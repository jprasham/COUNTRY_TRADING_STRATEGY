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149F92B9-2CBA-489C-B277-8F2D0DF0F30B}" xr6:coauthVersionLast="47" xr6:coauthVersionMax="47" xr10:uidLastSave="{00000000-0000-0000-0000-000000000000}"/>
  <bookViews>
    <workbookView xWindow="-98" yWindow="-98" windowWidth="22695" windowHeight="13546" firstSheet="1" activeTab="2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M2" i="1" a="1"/>
  <c r="Y2" i="6" a="1"/>
  <c r="T2" i="1" a="1"/>
  <c r="AF2" i="6" a="1"/>
  <c r="P2" i="6" a="1"/>
  <c r="AA2" i="1" a="1"/>
  <c r="O2" i="6" a="1"/>
  <c r="AH2" i="1" a="1"/>
  <c r="J2" i="1" a="1"/>
  <c r="AD2" i="6" a="1"/>
  <c r="F2" i="6" a="1"/>
  <c r="Q2" i="1" a="1"/>
  <c r="AC2" i="6" a="1"/>
  <c r="E2" i="6" a="1"/>
  <c r="X2" i="1" a="1"/>
  <c r="H2" i="1" a="1"/>
  <c r="AB2" i="6" a="1"/>
  <c r="L2" i="6" a="1"/>
  <c r="AE2" i="1" a="1"/>
  <c r="O2" i="1" a="1"/>
  <c r="AI2" i="6" a="1"/>
  <c r="AA2" i="6" a="1"/>
  <c r="S2" i="6" a="1"/>
  <c r="K2" i="6" a="1"/>
  <c r="C2" i="6" a="1"/>
  <c r="AD2" i="1" a="1"/>
  <c r="V2" i="1" a="1"/>
  <c r="N2" i="1" a="1"/>
  <c r="Z2" i="6" a="1"/>
  <c r="R2" i="6" a="1"/>
  <c r="AC2" i="1" a="1"/>
  <c r="E2" i="1" a="1"/>
  <c r="Q2" i="6" a="1"/>
  <c r="I2" i="6" a="1"/>
  <c r="AB2" i="1" a="1"/>
  <c r="K2" i="1" a="1"/>
  <c r="W2" i="6" a="1"/>
  <c r="Z2" i="1" a="1"/>
  <c r="N2" i="6" a="1"/>
  <c r="AG2" i="1" a="1"/>
  <c r="U2" i="6" a="1"/>
  <c r="AF2" i="1" a="1"/>
  <c r="AH2" i="6" a="1"/>
  <c r="J2" i="6" a="1"/>
  <c r="B2" i="6" a="1"/>
  <c r="U2" i="1" a="1"/>
  <c r="AG2" i="6" a="1"/>
  <c r="A2" i="6" a="1"/>
  <c r="L2" i="1" a="1"/>
  <c r="D2" i="1" a="1"/>
  <c r="X2" i="6" a="1"/>
  <c r="H2" i="6" a="1"/>
  <c r="AI2" i="1" a="1"/>
  <c r="S2" i="1" a="1"/>
  <c r="C2" i="1" a="1"/>
  <c r="AE2" i="6" a="1"/>
  <c r="G2" i="6" a="1"/>
  <c r="R2" i="1" a="1"/>
  <c r="B2" i="1" a="1"/>
  <c r="V2" i="6" a="1"/>
  <c r="Y2" i="1" a="1"/>
  <c r="I2" i="1" a="1"/>
  <c r="A2" i="1" a="1"/>
  <c r="M2" i="6" a="1"/>
  <c r="P2" i="1" a="1"/>
  <c r="T2" i="6" a="1"/>
  <c r="D2" i="6" a="1"/>
  <c r="W2" i="1" a="1"/>
  <c r="G2" i="1" a="1"/>
  <c r="G2" i="1" l="1"/>
  <c r="W2" i="1"/>
  <c r="D2" i="6"/>
  <c r="T2" i="6"/>
  <c r="P2" i="1"/>
  <c r="M2" i="6"/>
  <c r="A2" i="1"/>
  <c r="I2" i="1"/>
  <c r="Y2" i="1"/>
  <c r="V2" i="6"/>
  <c r="B2" i="1"/>
  <c r="R2" i="1"/>
  <c r="G2" i="6"/>
  <c r="AE2" i="6"/>
  <c r="C2" i="1"/>
  <c r="S2" i="1"/>
  <c r="AI2" i="1"/>
  <c r="H2" i="6"/>
  <c r="X2" i="6"/>
  <c r="D2" i="1"/>
  <c r="L2" i="1"/>
  <c r="A2" i="6"/>
  <c r="AG2" i="6"/>
  <c r="U2" i="1"/>
  <c r="B2" i="6"/>
  <c r="J2" i="6"/>
  <c r="AH2" i="6"/>
  <c r="AF2" i="1"/>
  <c r="U2" i="6"/>
  <c r="AG2" i="1"/>
  <c r="N2" i="6"/>
  <c r="Z2" i="1"/>
  <c r="W2" i="6"/>
  <c r="K2" i="1"/>
  <c r="AB2" i="1"/>
  <c r="I2" i="6"/>
  <c r="Q2" i="6"/>
  <c r="E2" i="1"/>
  <c r="AC2" i="1"/>
  <c r="R2" i="6"/>
  <c r="Z2" i="6"/>
  <c r="N2" i="1"/>
  <c r="V2" i="1"/>
  <c r="AD2" i="1"/>
  <c r="C2" i="6"/>
  <c r="K2" i="6"/>
  <c r="S2" i="6"/>
  <c r="AA2" i="6"/>
  <c r="AI2" i="6"/>
  <c r="O2" i="1"/>
  <c r="AE2" i="1"/>
  <c r="L2" i="6"/>
  <c r="AB2" i="6"/>
  <c r="H2" i="1"/>
  <c r="X2" i="1"/>
  <c r="E2" i="6"/>
  <c r="AC2" i="6"/>
  <c r="Q2" i="1"/>
  <c r="F2" i="6"/>
  <c r="AD2" i="6"/>
  <c r="J2" i="1"/>
  <c r="AH2" i="1"/>
  <c r="O2" i="6"/>
  <c r="AA2" i="1"/>
  <c r="P2" i="6"/>
  <c r="AF2" i="6"/>
  <c r="T2" i="1"/>
  <c r="Y2" i="6"/>
  <c r="M2" i="1"/>
  <c r="F2" i="1"/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A68" i="1" l="1"/>
  <c r="AI68" i="1"/>
  <c r="X68" i="1"/>
  <c r="W68" i="1"/>
  <c r="AC68" i="1"/>
  <c r="AH68" i="1"/>
  <c r="AE68" i="1"/>
  <c r="AF68" i="1"/>
  <c r="Y68" i="1"/>
  <c r="AB68" i="1"/>
  <c r="Z68" i="1"/>
  <c r="AG68" i="1"/>
  <c r="AD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F69" i="1"/>
  <c r="AF70" i="1" s="1"/>
  <c r="AH69" i="1"/>
  <c r="AH70" i="1" s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1EF5DBC7-0EBC-4198-8384-30EDA5BF607B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Timestamp="1773997744"&gt;&lt;FQL&gt;&lt;Q&gt;EPOL^FG_TOTAL_RETURNC(-5AY,0,AM)&lt;/Q&gt;&lt;R&gt;61&lt;/R&gt;&lt;C&gt;1&lt;/C&gt;&lt;D xsi:type="xsd:double"&gt;-6.842375&lt;/D&gt;&lt;D xsi:type="xsd:double"&gt;6.0935855&lt;/D&gt;&lt;D xsi:type="xsd:double"&gt;8.256412&lt;/D&gt;&lt;D xsi:type="xsd:double"&gt;1.45787&lt;/D&gt;&lt;D xsi:type="xsd:double"&gt;-2.106744&lt;/D&gt;&lt;D xsi:type="xsd:double"&gt;2.7737975&lt;/D&gt;&lt;D xsi:type="xsd:double"&gt;5.281532&lt;/D&gt;&lt;D xsi:type="xsd:double"&gt;5.1933646&lt;/D&gt;&lt;D xsi:type="xsd:double"&gt;-12.815124&lt;/D&gt;&lt;D xsi:type="xsd:double"&gt;-2.4328172&lt;/D&gt;&lt;D xsi:type="xsd:double"&gt;9.585619&lt;/D&gt;&lt;D xsi:type="xsd:double"&gt;-7.7904344&lt;/D&gt;&lt;D xsi:type="xsd:double"&gt;-8.00395&lt;/D&gt;&lt;D xsi:type="xsd:double"&gt;-1.9334078&lt;/D&gt;&lt;D xsi:type="xsd:double"&gt;-14.676893&lt;/D&gt;&lt;D xsi:type="xsd:double"&gt;-5.9554935&lt;/D&gt;&lt;D xsi:type="xsd:double"&gt;-4.063362&lt;/D&gt;&lt;D xsi:type="xsd:double"&gt;-1.722908&lt;/D&gt;&lt;D xsi:type="xsd:double"&gt;-7.9620123&lt;/D&gt;&lt;D xsi:type="xsd:double"&gt;-12.380958&lt;/D&gt;&lt;D xsi:type="xsd:double"&gt;30.978262&lt;/D&gt;&lt;D xsi:type="xsd:double"&gt;4.146993&lt;/D&gt;&lt;D xsi:type="xsd:double"&gt;11.351347&lt;/D&gt;&lt;D xsi:type="xsd:double"&gt;-3.3980548&lt;/D&gt;&lt;D xsi:type="xsd:double"&gt;-9.359294&lt;/D&gt;&lt;D xsi:type="xsd:double"&gt;18.295216&lt;/D&gt;&lt;D xsi:type="xsd:double"&gt;5.0380826&lt;/D&gt;&lt;D xsi:type="xsd:double"&gt;7.808137&lt;/D&gt;&lt;D xsi:type="xsd:double"&gt;8.4842205&lt;/D&gt;&lt;D xsi:type="xsd:double"&gt;-8.106815&lt;/D&gt;&lt;D xsi:type="xsd:double"&gt;-9.548521&lt;/D&gt;&lt;D xsi:type="xsd:double"&gt;8.663225&lt;/D&gt;&lt;D xsi:type="xsd:double"&gt;13.938749&lt;/D&gt;&lt;D xsi:type="xsd:double"&gt;8.34105&lt;/D&gt;&lt;D xsi:type="xsd:double"&gt;-6.761628&lt;/D&gt;&lt;D xsi:type="xsd:double"&gt;6.8460703&lt;/D&gt;&lt;D xsi:type="xsd:double"&gt;0.9721637&lt;/D&gt;&lt;D xsi:type="xsd:double"&gt;2.013123&lt;/D&gt;&lt;D xsi:type="xsd:double"&gt;10.982418&lt;/D&gt;&lt;D xsi:type="xsd:double"&gt;-7.377201&lt;/D&gt;&lt;D xsi:type="xsd:double"&gt;3.6989808&lt;/D&gt;&lt;D xsi:type="xsd:double"&gt;1.763022&lt;/D&gt;&lt;D xsi:type="xsd:double"&gt;-1.49073&lt;/D&gt;&lt;D xsi:type="xsd:double"&gt;-4.9079776&lt;/D&gt;&lt;D xsi:type="xsd:double"&gt;-8.817202&lt;/D&gt;&lt;D xsi:type="xsd:double"&gt;3.2103658&lt;/D&gt;&lt;D xsi:type="xsd:double"&gt;4.8433065&lt;/D&gt;&lt;D xsi:type="xsd:double"&gt;18.2971&lt;/D&gt;&lt;D xsi:type="xsd:double"&gt;10.222054&lt;/D&gt;&lt;D xsi:type="xsd:double"&gt;-1.7367125&lt;/D&gt;&lt;D xsi:type="xsd:double"&gt;7.9179883&lt;/D&gt;&lt;D xsi:type="xsd:double"&gt;-2.1542907&lt;/D&gt;&lt;D xsi:type="xsd:double"&gt;11.920977&lt;/D&gt;&lt;D xsi:type="xsd:double"&gt;2.8301954&lt;/D&gt;&lt;D xsi:type="xsd:double"&gt;-6.007695&lt;/D&gt;&lt;D xsi:type="xsd:double"&gt;3.652382&lt;/D&gt;&lt;D xsi:type="xsd:double"&gt;1.123941&lt;/D&gt;&lt;D xsi:type="xsd:double"&gt;8.026373&lt;/D&gt;&lt;D xsi:type="xsd:double"&gt;3.2777429&lt;/D&gt;&lt;D xsi:type="xsd:double"&gt;4.81627&lt;/D&gt;&lt;D xsi:type="xsd:double"&gt;-5.630815&lt;/D&gt;&lt;/FQL&gt;&lt;FQL&gt;&lt;Q&gt;EZA^FG_TOTAL_RETURNC(-5AY,0,AM)&lt;/Q&gt;&lt;R&gt;61&lt;/R&gt;&lt;C&gt;1&lt;/C&gt;&lt;D xsi:type="xsd:double"&gt;-0.12280345&lt;/D&gt;&lt;D xsi:type="xsd:double"&gt;6.270492&lt;/D&gt;&lt;D xsi:type="xsd:double"&gt;-1.5233338&lt;/D&gt;&lt;D xsi:type="xsd:double"&gt;-3.9405465&lt;/D&gt;&lt;D xsi:type="xsd:double"&gt;-3.7646592&lt;/D&gt;&lt;D xsi:type="xsd:double"&gt;-2.2017956&lt;/D&gt;&lt;D xsi:type="xsd:double"&gt;0.8743167&lt;/D&gt;&lt;D xsi:type="xsd:double"&gt;8.559036&lt;/D&gt;&lt;D xsi:type="xsd:double"&gt;-7.604784&lt;/D&gt;&lt;D xsi:type="xsd:double"&gt;-0.7789433&lt;/D&gt;&lt;D xsi:type="xsd:double"&gt;9.018922&lt;/D&gt;&lt;D xsi:type="xsd:double"&gt;5.468118&lt;/D&gt;&lt;D xsi:type="xsd:double"&gt;4.495883&lt;/D&gt;&lt;D xsi:type="xsd:double"&gt;-4.96155&lt;/D&gt;&lt;D xsi:type="xsd:double"&gt;-11.404347&lt;/D&gt;&lt;D xsi:type="xsd:double"&gt;-6.0528936&lt;/D&gt;&lt;D xsi:type="xsd:double"&gt;-3.241831&lt;/D&gt;&lt;D xsi:type="xsd:double"&gt;2.5678635&lt;/D&gt;&lt;D xsi:type="xsd:double"&gt;-7.8445315&lt;/D&gt;&lt;D xsi:type="xsd:double"&gt;-3.7257493&lt;/D&gt;&lt;D xsi:type="xsd:double"&gt;16.769695&lt;/D&gt;&lt;D xsi:type="xsd:double"&gt;-1.3228536&lt;/D&gt;&lt;D xsi:type="xsd:double"&gt;7.8143477&lt;/D&gt;&lt;D xsi:type="xsd:double"&gt;-6.171751&lt;/D&gt;&lt;D xsi:type="xsd:double"&gt;-8.263117&lt;/D&gt;&lt;D xsi:type="xsd:double"&gt;9.95152&lt;/D&gt;&lt;D xsi:type="xsd:double"&gt;-10.164774&lt;/D&gt;&lt;D xsi:type="xsd:double"&gt;11.038864&lt;/D&gt;&lt;D xsi:type="xsd:double"&gt;1.5147924&lt;/D&gt;&lt;D xsi:type="xsd:double"&gt;-9.979015&lt;/D&gt;&lt;D xsi:type="xsd:double"&gt;-0.3107965&lt;/D&gt;&lt;D xsi:type="xsd:double"&gt;-2.0265043&lt;/D&gt;&lt;D xsi:type="xsd:double"&gt;6.97428&lt;/D&gt;&lt;D xsi:type="xsd:double"&gt;2.9251337&lt;/D&gt;&lt;D xsi:type="xsd:double"&gt;-7.067317&lt;/D&gt;&lt;D xsi:type="xsd:double"&gt;1.4431834&lt;/D&gt;&lt;D xsi:type="xsd:double"&gt;-2.7935803&lt;/D&gt;&lt;D xsi:type="xsd:double"&gt;2.1820068&lt;/D&gt;&lt;D xsi:type="xsd:double"&gt;14.296865&lt;/D&gt;&lt;D xsi:type="xsd:double"&gt;2.1253347&lt;/D&gt;&lt;D xsi:type="xsd:double"&gt;-1.9487917&lt;/D&gt;&lt;D xsi:type="xsd:double"&gt;10.769582&lt;/D&gt;&lt;D xsi:type="xsd:double"&gt;0.43814182&lt;/D&gt;&lt;D xsi:type="xsd:double"&gt;4.9854636&lt;/D&gt;&lt;D xsi:type="xsd:double"&gt;-6.1535416&lt;/D&gt;&lt;D xsi:type="xsd:double"&gt;-3.5712183&lt;/D&gt;&lt;D xsi:type="xsd:double"&gt;-1.7273128&lt;/D&gt;&lt;D xsi:type="xsd:double"&gt;8.319675&lt;/D&gt;&lt;D xsi:type="xsd:double"&gt;5.5170894&lt;/D&gt;&lt;D xsi:type="xsd:double"&gt;-1.7838836&lt;/D&gt;&lt;D xsi:type="xsd:double"&gt;6.638837&lt;/D&gt;&lt;D xsi:type="xsd:double"&gt;2.6058912&lt;/D&gt;&lt;D xsi:type="xsd:double"&gt;5.810809&lt;/D&gt;&lt;D xsi:type="xsd:double"&gt;3.3935308&lt;/D&gt;&lt;D xsi:type="xsd:double"&gt;10.358214&lt;/D&gt;&lt;D xsi:type="xsd:double"&gt;4.589069&lt;/D&gt;&lt;D xsi:type="xsd:double"&gt;1.7734289&lt;/D&gt;&lt;D xsi:type="xsd:double"&gt;7.1291685&lt;/D&gt;&lt;D xsi:type="xsd:double"&gt;7.6627254&lt;/D&gt;&lt;D xsi:type="xsd:double"&gt;3.0640364&lt;/D&gt;&lt;D xsi:type="xsd:double"&gt;-13.438213&lt;/D&gt;&lt;/FQL&gt;&lt;FQL&gt;&lt;Q&gt;EWC^FG_PRICE(0,-200D)&lt;/Q&gt;&lt;R&gt;201&lt;/R&gt;&lt;C&gt;1&lt;/C&gt;&lt;D xsi:type="xsd:double"&gt;54.1&lt;/D&gt;&lt;D xsi:type="xsd:double"&gt;54.81&lt;/D&gt;&lt;D xsi:type="xsd:double"&gt;55.9&lt;/D&gt;&lt;D xsi:type="xsd:double"&gt;55.85&lt;/D&gt;&lt;D xsi:type="xsd:double"&gt;55.03&lt;/D&gt;&lt;D xsi:type="xsd:double"&gt;55.85&lt;/D&gt;&lt;D xsi:type="xsd:double"&gt;56.48&lt;/D&gt;&lt;D xsi:type="xsd:double"&gt;56.7&lt;/D&gt;&lt;D xsi:type="xsd:double"&gt;56.61&lt;/D&gt;&lt;D xsi:type="xsd:double"&gt;56.35&lt;/D&gt;&lt;D xsi:type="xsd:double"&gt;56.91&lt;/D&gt;&lt;D xsi:type="xsd:double"&gt;57.47&lt;/D&gt;&lt;D xsi:type="xsd:double"&gt;57.07&lt;/D&gt;&lt;D xsi:type="xsd:double"&gt;58.16&lt;/D&gt;&lt;D xsi:type="xsd:double"&gt;57.98&lt;/D&gt;&lt;D xsi:type="xsd:double"&gt;58.15&lt;/D&gt;&lt;D xsi:type="xsd:double"&gt;57.59&lt;/D&gt;&lt;D xsi:type="xsd:double"&gt;57.15&lt;/D&gt;&lt;D xsi:type="xsd:double"&gt;56.95&lt;/D&gt;&lt;D xsi:type="xsd:double"&gt;57.16&lt;/D&gt;&lt;D xsi:type="xsd:double"&gt;56.75&lt;/D&gt;&lt;D xsi:type="xsd:double"&gt;56.46&lt;/D&gt;&lt;D xsi:type="xsd:double"&gt;55.86&lt;/D&gt;&lt;D xsi:type="xsd:double"&gt;56.17&lt;/D&gt;&lt;D xsi:type="xsd:double"&gt;55.26&lt;/D&gt;&lt;D xsi:type="xsd:double"&gt;56.58&lt;/D&gt;&lt;D xsi:type="xsd:double"&gt;56.72&lt;/D&gt;&lt;D xsi:type="xsd:double"&gt;56.27&lt;/D&gt;&lt;D xsi:type="xsd:double"&gt;55.01&lt;/D&gt;&lt;D xsi:type="xsd:double"&gt;54.14&lt;/D&gt;&lt;D xsi:type="xsd:double"&gt;55.01&lt;/D&gt;&lt;D xsi:type="xsd:double"&gt;54.84&lt;/D&gt;&lt;D xsi:type="xsd:double"&gt;54.55&lt;/D&gt;&lt;D xsi:type="xsd:double"&gt;54.26&lt;/D&gt;&lt;D xsi:type="xsd:double"&gt;56.53&lt;/D&gt;&lt;D xsi:type="xsd:double"&gt;56.35&lt;/D&gt;&lt;D xsi:type="xsd:double"&gt;56.18&lt;/D&gt;&lt;D xsi:type="xsd:double"&gt;55.69&lt;/D&gt;&lt;D xsi:type="xsd:double"&gt;55.77&lt;/D&gt;&lt;D xsi:type="xsd:double"&gt;55.2&lt;/D&gt;&lt;D xsi:type="xsd:double"&gt;55.02&lt;/D&gt;&lt;D xsi:type="xsd:double"&gt;54.75&lt;/D&gt;&lt;D xsi:type="xsd:double"&gt;55.13&lt;/D&gt;&lt;D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xsi:type="xsd:double"&gt;54.3&lt;/D&gt;&lt;D xsi:type="xsd:double"&gt;54.33&lt;/D&gt;&lt;D xsi:type="xsd:double"&gt;54.8&lt;/D&gt;&lt;D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xsi:type="xsd:double"&gt;45.39&lt;/D&gt;&lt;/FQL&gt;&lt;FQL&gt;&lt;Q&gt;UAE^FG_TOTAL_RETURNC(-5AY,0,AM)&lt;/Q&gt;&lt;R&gt;61&lt;/R&gt;&lt;C&gt;1&lt;/C&gt;&lt;D xsi:type="xsd:double"&gt;2.7089834&lt;/D&gt;&lt;D xsi:type="xsd:double"&gt;1.4317989&lt;/D&gt;&lt;D xsi:type="xsd:double"&gt;5.8692455&lt;/D&gt;&lt;D xsi:type="xsd:double"&gt;3.801024&lt;/D&gt;&lt;D xsi:type="xsd:double"&gt;-3.4989476&lt;/D&gt;&lt;D xsi:type="xsd:double"&gt;4.641044&lt;/D&gt;&lt;D xsi:type="xsd:double"&gt;4.8322916&lt;/D&gt;&lt;D xsi:type="xsd:double"&gt;-3.1882763&lt;/D&gt;&lt;D xsi:type="xsd:double"&gt;13.499487&lt;/D&gt;&lt;D xsi:type="xsd:double"&gt;5.001557&lt;/D&gt;&lt;D xsi:type="xsd:double"&gt;-3.9021552&lt;/D&gt;&lt;D xsi:type="xsd:double"&gt;3.272736&lt;/D&gt;&lt;D xsi:type="xsd:double"&gt;6.9835544&lt;/D&gt;&lt;D xsi:type="xsd:double"&gt;4.1689515&lt;/D&gt;&lt;D xsi:type="xsd:double"&gt;-9.057397&lt;/D&gt;&lt;D xsi:type="xsd:double"&gt;-6.0822725&lt;/D&gt;&lt;D xsi:type="xsd:double"&gt;-1.5132368&lt;/D&gt;&lt;D xsi:type="xsd:double"&gt;6.5941095&lt;/D&gt;&lt;D xsi:type="xsd:double"&gt;-2.5825858&lt;/D&gt;&lt;D xsi:type="xsd:double"&gt;-5.733657&lt;/D&gt;&lt;D xsi:type="xsd:double"&gt;2.0274758&lt;/D&gt;&lt;D xsi:type="xsd:double"&gt;-2.0302832&lt;/D&gt;&lt;D xsi:type="xsd:double"&gt;-1.4426231&lt;/D&gt;&lt;D xsi:type="xsd:double"&gt;-0.6653309&lt;/D&gt;&lt;D xsi:type="xsd:double"&gt;-8.171469&lt;/D&gt;&lt;D xsi:type="xsd:double"&gt;6.9292426&lt;/D&gt;&lt;D xsi:type="xsd:double"&gt;-0.20463467&lt;/D&gt;&lt;D xsi:type="xsd:double"&gt;2.23006&lt;/D&gt;&lt;D xsi:type="xsd:double"&gt;2.953291&lt;/D&gt;&lt;D xsi:type="xsd:double"&gt;0.40026903&lt;/D&gt;&lt;D xsi:type="xsd:double"&gt;0.46511889&lt;/D&gt;&lt;D xsi:type="xsd:double"&gt;-7.208997&lt;/D&gt;&lt;D xsi:type="xsd:double"&gt;6.9850326&lt;/D&gt;&lt;D xsi:type="xsd:double"&gt;-3.0646265&lt;/D&gt;&lt;D xsi:type="xsd:double"&gt;3.2818198&lt;/D&gt;&lt;D xsi:type="xsd:double"&gt;0&lt;/D&gt;&lt;D xsi:type="xsd:double"&gt;0&lt;/D&gt;&lt;D xsi:type="xsd:double"&gt;-3.4159422&lt;/D&gt;&lt;D xsi:type="xsd:double"&gt;-0.27739406&lt;/D&gt;&lt;D xsi:type="xsd:double"&gt;-2.4957001&lt;/D&gt;&lt;D xsi:type="xsd:double"&gt;5.782068&lt;/D&gt;&lt;D xsi:type="xsd:double"&gt;2.5928497&lt;/D&gt;&lt;D xsi:type="xsd:double"&gt;5.2595615&lt;/D&gt;&lt;D xsi:type="xsd:double"&gt;-3.439325&lt;/D&gt;&lt;D xsi:type="xsd:double"&gt;4.6370983&lt;/D&gt;&lt;D xsi:type="xsd:double"&gt;3.7797332&lt;/D&gt;&lt;D xsi:type="xsd:double"&gt;5.204463&lt;/D&gt;&lt;D xsi:type="xsd:double"&gt;3.356886&lt;/D&gt;&lt;D xsi:type="xsd:double"&gt;-3.019935&lt;/D&gt;&lt;D xsi:type="xsd:double"&gt;-1.5276134&lt;/D&gt;&lt;D xsi:type="xsd:double"&gt;11.276841&lt;/D&gt;&lt;D xsi:type="xsd:double"&gt;-5.8089137&lt;/D&gt;&lt;D xsi:type="xsd:double"&gt;17.598581&lt;/D&gt;&lt;D xsi:type="xsd:double"&gt;-0.70920587&lt;/D&gt;&lt;D xsi:type="xsd:double"&gt;-1.8565178&lt;/D&gt;&lt;D xsi:type="xsd:double"&gt;0.82178116&lt;/D&gt;&lt;D xsi:type="xsd:double"&gt;-3.8716137&lt;/D&gt;&lt;D xsi:type="xsd:double"&gt;3.012371&lt;/D&gt;&lt;D xsi:type="xsd:double"&gt;3.2207847&lt;/D&gt;&lt;D xsi:type="xsd:double"&gt;9.159529&lt;/D&gt;&lt;D xsi:type="xsd:double"&gt;-17.38128&lt;/D&gt;&lt;/FQL&gt;&lt;FQL&gt;&lt;Q&gt;EWQ^FG_PRICE(0,-200D)&lt;/Q&gt;&lt;R&gt;201&lt;/R&gt;&lt;C&gt;1&lt;/C&gt;&lt;D xsi:type="xsd:double"&gt;43.2&lt;/D&gt;&lt;D xsi:type="xsd:double"&gt;43.11&lt;/D&gt;&lt;D xsi:type="xsd:double"&gt;43.65&lt;/D&gt;&lt;D xsi:type="xsd:double"&gt;43.48&lt;/D&gt;&lt;D xsi:type="xsd:double"&gt;42.8&lt;/D&gt;&lt;D xsi:type="xsd:double"&gt;43.58&lt;/D&gt;&lt;D xsi:type="xsd:double"&gt;44.2&lt;/D&gt;&lt;D xsi:type="xsd:double"&gt;44.08&lt;/D&gt;&lt;D xsi:type="xsd:double"&gt;44.2&lt;/D&gt;&lt;D xsi:type="xsd:double"&gt;44.14&lt;/D&gt;&lt;D xsi:type="xsd:double"&gt;44.28&lt;/D&gt;&lt;D xsi:type="xsd:double"&gt;45.23&lt;/D&gt;&lt;D xsi:type="xsd:double"&gt;45.07&lt;/D&gt;&lt;D xsi:type="xsd:double"&gt;46.57&lt;/D&gt;&lt;D xsi:type="xsd:double"&gt;47.87&lt;/D&gt;&lt;D xsi:type="xsd:double"&gt;48.35&lt;/D&gt;&lt;D xsi:type="xsd:double"&gt;48.02&lt;/D&gt;&lt;D xsi:type="xsd:double"&gt;47.62&lt;/D&gt;&lt;D xsi:type="xsd:double"&gt;47.49&lt;/D&gt;&lt;D xsi:type="xsd:double"&gt;47.68&lt;/D&gt;&lt;D xsi:type="xsd:double"&gt;46.91&lt;/D&gt;&lt;D xsi:type="xsd:double"&gt;47.03&lt;/D&gt;&lt;D xsi:type="xsd:double"&gt;47.05&lt;/D&gt;&lt;D xsi:type="xsd:double"&gt;46.7&lt;/D&gt;&lt;D xsi:type="xsd:double"&gt;46.68&lt;/D&gt;&lt;D xsi:type="xsd:double"&gt;47.08&lt;/D&gt;&lt;D xsi:type="xsd:double"&gt;46.83&lt;/D&gt;&lt;D xsi:type="xsd:double"&gt;46.99&lt;/D&gt;&lt;D xsi:type="xsd:double"&gt;46.4&lt;/D&gt;&lt;D xsi:type="xsd:double"&gt;45.73&lt;/D&gt;&lt;D xsi:type="xsd:double"&gt;46.03&lt;/D&gt;&lt;D xsi:type="xsd:double"&gt;45.69&lt;/D&gt;&lt;D xsi:type="xsd:double"&gt;45.68&lt;/D&gt;&lt;D xsi:type="xsd:double"&gt;45.35&lt;/D&gt;&lt;D xsi:type="xsd:double"&gt;45.82&lt;/D&gt;&lt;D xsi:type="xsd:double"&gt;45.53&lt;/D&gt;&lt;D xsi:type="xsd:double"&gt;46.15&lt;/D&gt;&lt;D xsi:type="xsd:double"&gt;45.65&lt;/D&gt;&lt;D xsi:type="xsd:double"&gt;45.51&lt;/D&gt;&lt;D xsi:type="xsd:double"&gt;45.16&lt;/D&gt;&lt;D xsi:type="xsd:double"&gt;45.05&lt;/D&gt;&lt;D xsi:type="xsd:double"&gt;44.55&lt;/D&gt;&lt;D xsi:type="xsd:double"&gt;45.29&lt;/D&gt;&lt;D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xsi:type="xsd:double"&gt;45.14&lt;/D&gt;&lt;D xsi:type="xsd:double"&gt;44.99&lt;/D&gt;&lt;D xsi:type="xsd:double"&gt;45.18&lt;/D&gt;&lt;D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xsi:type="xsd:double"&gt;43.14&lt;/D&gt;&lt;/FQL&gt;&lt;FQL&gt;&lt;Q&gt;MCHI^FG_PRICE(0,-200D)&lt;/Q&gt;&lt;R&gt;201&lt;/R&gt;&lt;C&gt;1&lt;/C&gt;&lt;D xsi:type="xsd:double"&gt;56.81&lt;/D&gt;&lt;D xsi:type="xsd:double"&gt;57.23&lt;/D&gt;&lt;D xsi:type="xsd:double"&gt;58.44&lt;/D&gt;&lt;D xsi:type="xsd:double"&gt;58.7&lt;/D&gt;&lt;D xsi:type="xsd:double"&gt;57.78&lt;/D&gt;&lt;D xsi:type="xsd:double"&gt;57.68&lt;/D&gt;&lt;D xsi:type="xsd:double"&gt;58.31&lt;/D&gt;&lt;D xsi:type="xsd:double"&gt;58.7&lt;/D&gt;&lt;D xsi:type="xsd:double"&gt;57.67&lt;/D&gt;&lt;D xsi:type="xsd:double"&gt;56.72&lt;/D&gt;&lt;D xsi:type="xsd:double"&gt;56.18&lt;/D&gt;&lt;D xsi:type="xsd:double"&gt;57.13&lt;/D&gt;&lt;D xsi:type="xsd:double"&gt;56.9&lt;/D&gt;&lt;D xsi:type="xsd:double"&gt;58.51&lt;/D&gt;&lt;D xsi:type="xsd:double"&gt;59.06&lt;/D&gt;&lt;D xsi:type="xsd:double"&gt;59.23&lt;/D&gt;&lt;D xsi:type="xsd:double"&gt;60.67&lt;/D&gt;&lt;D xsi:type="xsd:double"&gt;60.43&lt;/D&gt;&lt;D xsi:type="xsd:double"&gt;60.76&lt;/D&gt;&lt;D xsi:type="xsd:double"&gt;61.01&lt;/D&gt;&lt;D xsi:type="xsd:double"&gt;60.72&lt;/D&gt;&lt;D xsi:type="xsd:double"&gt;60.95&lt;/D&gt;&lt;D xsi:type="xsd:double"&gt;60.61&lt;/D&gt;&lt;D xsi:type="xsd:double"&gt;60.35&lt;/D&gt;&lt;D xsi:type="xsd:double"&gt;60.58&lt;/D&gt;&lt;D xsi:type="xsd:double"&gt;61.93&lt;/D&gt;&lt;D xsi:type="xsd:double"&gt;61.99&lt;/D&gt;&lt;D xsi:type="xsd:double"&gt;61.97&lt;/D&gt;&lt;D xsi:type="xsd:double"&gt;61.67&lt;/D&gt;&lt;D xsi:type="xsd:double"&gt;60.1&lt;/D&gt;&lt;D xsi:type="xsd:double"&gt;60.31&lt;/D&gt;&lt;D xsi:type="xsd:double"&gt;61.07&lt;/D&gt;&lt;D xsi:type="xsd:double"&gt;61.61&lt;/D&gt;&lt;D xsi:type="xsd:double"&gt;62.4&lt;/D&gt;&lt;D xsi:type="xsd:double"&gt;64.23&lt;/D&gt;&lt;D xsi:type="xsd:double"&gt;63.91&lt;/D&gt;&lt;D xsi:type="xsd:double"&gt;63.29&lt;/D&gt;&lt;D xsi:type="xsd:double"&gt;62.66&lt;/D&gt;&lt;D xsi:type="xsd:double"&gt;62.74&lt;/D&gt;&lt;D xsi:type="xsd:double"&gt;62.78&lt;/D&gt;&lt;D xsi:type="xsd:double"&gt;62.49&lt;/D&gt;&lt;D xsi:type="xsd:double"&gt;61.65&lt;/D&gt;&lt;D xsi:type="xsd:double"&gt;62.52&lt;/D&gt;&lt;D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xsi:type="xsd:double"&gt;60.58&lt;/D&gt;&lt;D xsi:type="xsd:double"&gt;60.37&lt;/D&gt;&lt;D xsi:type="xsd:double"&gt;61.27&lt;/D&gt;&lt;D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xsi:type="xsd:double"&gt;53.26&lt;/D&gt;&lt;/FQL&gt;&lt;FQL&gt;&lt;Q&gt;EWJ^FG_TOTAL_RETURNC(-5AY,0,AM)&lt;/Q&gt;&lt;R&gt;61&lt;/R&gt;&lt;C&gt;1&lt;/C&gt;&lt;D xsi:type="xsd:double"&gt;-0.91112256&lt;/D&gt;&lt;D xsi:type="xsd:double"&gt;-1.9804776&lt;/D&gt;&lt;D xsi:type="xsd:double"&gt;-3.3771157&lt;/D&gt;&lt;D xsi:type="xsd:double"&gt;1.1854053&lt;/D&gt;&lt;D xsi:type="xsd:double"&gt;-1.4721155&lt;/D&gt;&lt;D xsi:type="xsd:double"&gt;0.52821636&lt;/D&gt;&lt;D xsi:type="xsd:double"&gt;10.238707&lt;/D&gt;&lt;D xsi:type="xsd:double"&gt;-5.8559237&lt;/D&gt;&lt;D xsi:type="xsd:double"&gt;1.1283159&lt;/D&gt;&lt;D xsi:type="xsd:double"&gt;-2.5856376&lt;/D&gt;&lt;D xsi:type="xsd:double"&gt;-2.7674437&lt;/D&gt;&lt;D xsi:type="xsd:double"&gt;-2.6319802&lt;/D&gt;&lt;D xsi:type="xsd:double"&gt;-2.137357&lt;/D&gt;&lt;D xsi:type="xsd:double"&gt;-7.3229494&lt;/D&gt;&lt;D xsi:type="xsd:double"&gt;-2.3219526&lt;/D&gt;&lt;D xsi:type="xsd:double"&gt;-6.742394&lt;/D&gt;&lt;D xsi:type="xsd:double"&gt;2.99654&lt;/D&gt;&lt;D xsi:type="xsd:double"&gt;3.7486076&lt;/D&gt;&lt;D xsi:type="xsd:double"&gt;-6.8847775&lt;/D&gt;&lt;D xsi:type="xsd:double"&gt;-6.4092636&lt;/D&gt;&lt;D xsi:type="xsd:double"&gt;11.881197&lt;/D&gt;&lt;D xsi:type="xsd:double"&gt;0.14834404&lt;/D&gt;&lt;D xsi:type="xsd:double"&gt;5.535054&lt;/D&gt;&lt;D xsi:type="xsd:double"&gt;-0.31468868&lt;/D&gt;&lt;D xsi:type="xsd:double"&gt;-2.2974432&lt;/D&gt;&lt;D xsi:type="xsd:double"&gt;4.9901366&lt;/D&gt;&lt;D xsi:type="xsd:double"&gt;4.2229414&lt;/D&gt;&lt;D xsi:type="xsd:double"&gt;4.241252&lt;/D&gt;&lt;D xsi:type="xsd:double"&gt;0.3486514&lt;/D&gt;&lt;D xsi:type="xsd:double"&gt;-6.3171206&lt;/D&gt;&lt;D xsi:type="xsd:double"&gt;6.9622397&lt;/D&gt;&lt;D xsi:type="xsd:double"&gt;-7.7699003&lt;/D&gt;&lt;D xsi:type="xsd:double"&gt;6.544769&lt;/D&gt;&lt;D xsi:type="xsd:double"&gt;1.4274359&lt;/D&gt;&lt;D xsi:type="xsd:double"&gt;5.674982&lt;/D&gt;&lt;D xsi:type="xsd:double"&gt;2.6251793&lt;/D&gt;&lt;D xsi:type="xsd:double"&gt;4.8647046&lt;/D&gt;&lt;D xsi:type="xsd:double"&gt;-6.246477&lt;/D&gt;&lt;D xsi:type="xsd:double"&gt;3.368938&lt;/D&gt;&lt;D xsi:type="xsd:double"&gt;-2.2869349&lt;/D&gt;&lt;D xsi:type="xsd:double"&gt;4.9504876&lt;/D&gt;&lt;D xsi:type="xsd:double"&gt;0.5717516&lt;/D&gt;&lt;D xsi:type="xsd:double"&gt;1.2364984&lt;/D&gt;&lt;D xsi:type="xsd:double"&gt;-1.5443027&lt;/D&gt;&lt;D xsi:type="xsd:double"&gt;-3.3509195&lt;/D&gt;&lt;D xsi:type="xsd:double"&gt;-0.5147755&lt;/D&gt;&lt;D xsi:type="xsd:double"&gt;-0.31630993&lt;/D&gt;&lt;D xsi:type="xsd:double"&gt;5.197954&lt;/D&gt;&lt;D xsi:type="xsd:double"&gt;2.9876351&lt;/D&gt;&lt;D xsi:type="xsd:double"&gt;-5.062759&lt;/D&gt;&lt;D xsi:type="xsd:double"&gt;6.6108465&lt;/D&gt;&lt;D xsi:type="xsd:double"&gt;1.4749408&lt;/D&gt;&lt;D xsi:type="xsd:double"&gt;-1.6974747&lt;/D&gt;&lt;D xsi:type="xsd:double"&gt;11.432945&lt;/D&gt;&lt;D xsi:type="xsd:double"&gt;0.9622693&lt;/D&gt;&lt;D xsi:type="xsd:double"&gt;1.4977098&lt;/D&gt;&lt;D xsi:type="xsd:double"&gt;-1.6097546&lt;/D&gt;&lt;D xsi:type="xsd:double"&gt;3.6578417&lt;/D&gt;&lt;D xsi:type="xsd:double"&gt;6.0809135&lt;/D&gt;&lt;D xsi:type="xsd:double"&gt;6.691611&lt;/D&gt;&lt;D xsi:type="xsd:double"&gt;-7.8070107&lt;/D&gt;&lt;/FQL&gt;&lt;FQL&gt;&lt;Q&gt;INDA^FG_PRICE(0,-200D)&lt;/Q&gt;&lt;R&gt;201&lt;/R&gt;&lt;C&gt;1&lt;/C&gt;&lt;D xsi:type="xsd:double"&gt;47.52&lt;/D&gt;&lt;D xsi:type="xsd:double"&gt;47.72&lt;/D&gt;&lt;D xsi:type="xsd:double"&gt;48.52&lt;/D&gt;&lt;D xsi:type="xsd:double"&gt;48.56&lt;/D&gt;&lt;D xsi:type="xsd:double"&gt;48.06&lt;/D&gt;&lt;D xsi:type="xsd:double"&gt;48.52&lt;/D&gt;&lt;D xsi:type="xsd:double"&gt;49.27&lt;/D&gt;&lt;D xsi:type="xsd:double"&gt;49.93&lt;/D&gt;&lt;D xsi:type="xsd:double"&gt;49.98&lt;/D&gt;&lt;D xsi:type="xsd:double"&gt;49.99&lt;/D&gt;&lt;D xsi:type="xsd:double"&gt;50.37&lt;/D&gt;&lt;D xsi:type="xsd:double"&gt;50.27&lt;/D&gt;&lt;D xsi:type="xsd:double"&gt;50.22&lt;/D&gt;&lt;D xsi:type="xsd:double"&gt;50.95&lt;/D&gt;&lt;D xsi:type="xsd:double"&gt;52.27&lt;/D&gt;&lt;D xsi:type="xsd:double"&gt;52.58&lt;/D&gt;&lt;D xsi:type="xsd:double"&gt;52.74&lt;/D&gt;&lt;D xsi:type="xsd:double"&gt;52.67&lt;/D&gt;&lt;D xsi:type="xsd:double"&gt;52.61&lt;/D&gt;&lt;D xsi:type="xsd:double"&gt;53.42&lt;/D&gt;&lt;D xsi:type="xsd:double"&gt;52.3&lt;/D&gt;&lt;D xsi:type="xsd:double"&gt;53.32&lt;/D&gt;&lt;D xsi:type="xsd:double"&gt;53.27&lt;/D&gt;&lt;D xsi:type="xsd:double"&gt;52.89&lt;/D&gt;&lt;D xsi:type="xsd:double"&gt;53.11&lt;/D&gt;&lt;D xsi:type="xsd:double"&gt;53.53&lt;/D&gt;&lt;D xsi:type="xsd:double"&gt;53.74&lt;/D&gt;&lt;D xsi:type="xsd:double"&gt;53.44&lt;/D&gt;&lt;D xsi:type="xsd:double"&gt;53.28&lt;/D&gt;&lt;D xsi:type="xsd:double"&gt;52.95&lt;/D&gt;&lt;D xsi:type="xsd:double"&gt;53.44&lt;/D&gt;&lt;D xsi:type="xsd:double"&gt;53.15&lt;/D&gt;&lt;D xsi:type="xsd:double"&gt;53.28&lt;/D&gt;&lt;D xsi:type="xsd:double"&gt;51.74&lt;/D&gt;&lt;D xsi:type="xsd:double"&gt;51.61&lt;/D&gt;&lt;D xsi:type="xsd:double"&gt;51.49&lt;/D&gt;&lt;D xsi:type="xsd:double"&gt;51.69&lt;/D&gt;&lt;D xsi:type="xsd:double"&gt;51.44&lt;/D&gt;&lt;D xsi:type="xsd:double"&gt;51.24&lt;/D&gt;&lt;D xsi:type="xsd:double"&gt;51.795&lt;/D&gt;&lt;D xsi:type="xsd:double"&gt;51.55&lt;/D&gt;&lt;D xsi:type="xsd:double"&gt;51.73&lt;/D&gt;&lt;D xsi:type="xsd:double"&gt;52.85&lt;/D&gt;&lt;D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xsi:type="xsd:double"&gt;53.64&lt;/D&gt;&lt;D xsi:type="xsd:double"&gt;53.47&lt;/D&gt;&lt;D xsi:type="xsd:double"&gt;53.84&lt;/D&gt;&lt;D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</t>
        </r>
      </text>
    </comment>
    <comment ref="A2" authorId="0" shapeId="0" xr:uid="{17A4AAB8-438E-4104-A829-C94F66BD8196}">
      <text>
        <r>
          <rPr>
            <b/>
            <sz val="9"/>
            <color indexed="81"/>
            <rFont val="Tahoma"/>
            <charset val="1"/>
          </rPr>
          <t>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xsi:type="xsd:double"&gt;54.54&lt;/D&gt;&lt;/FQL&gt;&lt;FQL&gt;&lt;Q&gt;EWD^FG_TOTAL_RETURNC(-5AY,0,AM)&lt;/Q&gt;&lt;R&gt;61&lt;/R&gt;&lt;C&gt;1&lt;/C&gt;&lt;D xsi:type="xsd:double"&gt;3.3117175&lt;/D&gt;&lt;D xsi:type="xsd:double"&gt;7.4198604&lt;/D&gt;&lt;D xsi:type="xsd:double"&gt;-1.6903102&lt;/D&gt;&lt;D xsi:type="xsd:double"&gt;-0.8208692&lt;/D&gt;&lt;D xsi:type="xsd:double"&gt;1.0293484&lt;/D&gt;&lt;D xsi:type="xsd:double"&gt;0.86710453&lt;/D&gt;&lt;D xsi:type="xsd:double"&gt;1.053083&lt;/D&gt;&lt;D xsi:type="xsd:double"&gt;1.2335181&lt;/D&gt;&lt;D xsi:type="xsd:double"&gt;0.27310848&lt;/D&gt;&lt;D xsi:type="xsd:double"&gt;-5.3310337&lt;/D&gt;&lt;D xsi:type="xsd:double"&gt;-0.17831326&lt;/D&gt;&lt;D xsi:type="xsd:double"&gt;-9.490049&lt;/D&gt;&lt;D xsi:type="xsd:double"&gt;1.1874676&lt;/D&gt;&lt;D xsi:type="xsd:double"&gt;-3.5955012&lt;/D&gt;&lt;D xsi:type="xsd:double"&gt;-9.246307&lt;/D&gt;&lt;D xsi:type="xsd:double"&gt;-8.939499&lt;/D&gt;&lt;D xsi:type="xsd:double"&gt;3.4182549&lt;/D&gt;&lt;D xsi:type="xsd:double"&gt;0.5612731&lt;/D&gt;&lt;D xsi:type="xsd:double"&gt;-9.209299&lt;/D&gt;&lt;D xsi:type="xsd:double"&gt;-3.1762302&lt;/D&gt;&lt;D xsi:type="xsd:double"&gt;15.132273&lt;/D&gt;&lt;D xsi:type="xsd:double"&gt;-0.3526628&lt;/D&gt;&lt;D xsi:type="xsd:double"&gt;7.730365&lt;/D&gt;&lt;D xsi:type="xsd:double"&gt;2.7554512&lt;/D&gt;&lt;D xsi:type="xsd:double"&gt;-8.603346&lt;/D&gt;&lt;D xsi:type="xsd:double"&gt;11.308062&lt;/D&gt;&lt;D xsi:type="xsd:double"&gt;-0.35693645&lt;/D&gt;&lt;D xsi:type="xsd:double"&gt;-0.992012&lt;/D&gt;&lt;D xsi:type="xsd:double"&gt;1.0019541&lt;/D&gt;&lt;D xsi:type="xsd:double"&gt;-9.80987&lt;/D&gt;&lt;D xsi:type="xsd:double"&gt;0.3055334&lt;/D&gt;&lt;D xsi:type="xsd:double"&gt;-1.6143858&lt;/D&gt;&lt;D xsi:type="xsd:double"&gt;9.628487&lt;/D&gt;&lt;D xsi:type="xsd:double"&gt;12.792993&lt;/D&gt;&lt;D xsi:type="xsd:double"&gt;-6.587076&lt;/D&gt;&lt;D xsi:type="xsd:double"&gt;5.3282022&lt;/D&gt;&lt;D xsi:type="xsd:double"&gt;5.162978&lt;/D&gt;&lt;D xsi:type="xsd:double"&gt;-5.083072&lt;/D&gt;&lt;D xsi:type="xsd:double"&gt;7.392895&lt;/D&gt;&lt;D xsi:type="xsd:double"&gt;0.37549734&lt;/D&gt;&lt;D xsi:type="xsd:double"&gt;-1.3543427&lt;/D&gt;&lt;D xsi:type="xsd:double"&gt;2.1966934&lt;/D&gt;&lt;D xsi:type="xsd:double"&gt;4.0302873&lt;/D&gt;&lt;D xsi:type="xsd:double"&gt;-3.2636762&lt;/D&gt;&lt;D xsi:type="xsd:double"&gt;-7.0388374&lt;/D&gt;&lt;D xsi:type="xsd:double"&gt;-2.271539&lt;/D&gt;&lt;D xsi:type="xsd:double"&gt;4.835701&lt;/D&gt;&lt;D xsi:type="xsd:double"&gt;11.034656&lt;/D&gt;&lt;D xsi:type="xsd:double"&gt;2.6623845&lt;/D&gt;&lt;D xsi:type="xsd:double"&gt;-6.326848&lt;/D&gt;&lt;D xsi:type="xsd:double"&gt;10.238659&lt;/D&gt;&lt;D xsi:type="xsd:double"&gt;-2.642268&lt;/D&gt;&lt;D xsi:type="xsd:double"&gt;1.5234232&lt;/D&gt;&lt;D xsi:type="xsd:double"&gt;4.277718&lt;/D&gt;&lt;D xsi:type="xsd:double"&gt;1.8685579&lt;/D&gt;&lt;D xsi:type="xsd:double"&gt;0.75901747&lt;/D&gt;&lt;D xsi:type="xsd:double"&gt;-3.3898354&lt;/D&gt;&lt;D xsi:type="xsd:double"&gt;6.4656496&lt;/D&gt;&lt;D xsi:type="xsd:double"&gt;5.6848645&lt;/D&gt;&lt;D xsi:type="xsd:double"&gt;4.073286&lt;/D&gt;&lt;D xsi:type="xsd:double"&gt;-9.494382&lt;/D&gt;&lt;/FQL&gt;&lt;FQL&gt;&lt;Q&gt;EWW^FG_TOTAL_RETURNC(-5AY,0,AM)&lt;/Q&gt;&lt;R&gt;61&lt;/R&gt;&lt;C&gt;1&lt;/C&gt;&lt;D xsi:type="xsd:double"&gt;5.0587416&lt;/D&gt;&lt;D xsi:type="xsd:double"&gt;5.6138754&lt;/D&gt;&lt;D xsi:type="xsd:double"&gt;2.3120165&lt;/D&gt;&lt;D xsi:type="xsd:double"&gt;-0.34453273&lt;/D&gt;&lt;D xsi:type="xsd:double"&gt;0.23494959&lt;/D&gt;&lt;D xsi:type="xsd:double"&gt;4.0272713&lt;/D&gt;&lt;D xsi:type="xsd:double"&gt;1.8025398&lt;/D&gt;&lt;D xsi:type="xsd:double"&gt;0.38229227&lt;/D&gt;&lt;D xsi:type="xsd:double"&gt;-5.2515507&lt;/D&gt;&lt;D xsi:type="xsd:double"&gt;4.763448&lt;/D&gt;&lt;D xsi:type="xsd:double"&gt;2.2322297&lt;/D&gt;&lt;D xsi:type="xsd:double"&gt;0.5809307&lt;/D&gt;&lt;D xsi:type="xsd:double"&gt;4.740095&lt;/D&gt;&lt;D xsi:type="xsd:double"&gt;1.1218905&lt;/D&gt;&lt;D xsi:type="xsd:double"&gt;-4.5693874&lt;/D&gt;&lt;D xsi:type="xsd:double"&gt;-8.349389&lt;/D&gt;&lt;D xsi:type="xsd:double"&gt;-0.32744408&lt;/D&gt;&lt;D xsi:type="xsd:double"&gt;4.0297866&lt;/D&gt;&lt;D xsi:type="xsd:double"&gt;-1.8947423&lt;/D&gt;&lt;D xsi:type="xsd:double"&gt;-1.2446284&lt;/D&gt;&lt;D xsi:type="xsd:double"&gt;15.927851&lt;/D&gt;&lt;D xsi:type="xsd:double"&gt;-4.1493773&lt;/D&gt;&lt;D xsi:type="xsd:double"&gt;11.774087&lt;/D&gt;&lt;D xsi:type="xsd:double"&gt;4.5170546&lt;/D&gt;&lt;D xsi:type="xsd:double"&gt;-6.747526&lt;/D&gt;&lt;D xsi:type="xsd:double"&gt;9.250772&lt;/D&gt;&lt;D xsi:type="xsd:double"&gt;2.1797419&lt;/D&gt;&lt;D xsi:type="xsd:double"&gt;5.964005&lt;/D&gt;&lt;D xsi:type="xsd:double"&gt;-0.2184093&lt;/D&gt;&lt;D xsi:type="xsd:double"&gt;-3.2989383&lt;/D&gt;&lt;D xsi:type="xsd:double"&gt;-1.665318&lt;/D&gt;&lt;D xsi:type="xsd:double"&gt;-11.67379&lt;/D&gt;&lt;D xsi:type="xsd:double"&gt;15.580786&lt;/D&gt;&lt;D xsi:type="xsd:double"&gt;10.839105&lt;/D&gt;&lt;D xsi:type="xsd:double"&gt;-3.9159656&lt;/D&gt;&lt;D xsi:type="xsd:double"&gt;3.347671&lt;/D&gt;&lt;D xsi:type="xsd:double"&gt;-1.8425047&lt;/D&gt;&lt;D xsi:type="xsd:double"&gt;-1.7711163&lt;/D&gt;&lt;D xsi:type="xsd:double"&gt;6.272149&lt;/D&gt;&lt;D xsi:type="xsd:double"&gt;-16.956211&lt;/D&gt;&lt;D xsi:type="xsd:double"&gt;3.1695724&lt;/D&gt;&lt;D xsi:type="xsd:double"&gt;-2.6284337&lt;/D&gt;&lt;D xsi:type="xsd:double"&gt;-3.4005225&lt;/D&gt;&lt;D xsi:type="xsd:double"&gt;-2.0141542&lt;/D&gt;&lt;D xsi:type="xsd:double"&gt;-5.6851864&lt;/D&gt;&lt;D xsi:type="xsd:double"&gt;-2.8324008&lt;/D&gt;&lt;D xsi:type="xsd:double"&gt;-1.0216832&lt;/D&gt;&lt;D xsi:type="xsd:double"&gt;10.069513&lt;/D&gt;&lt;D xsi:type="xsd:double"&gt;0.3253579&lt;/D&gt;&lt;D xsi:type="xsd:double"&gt;4.7882557&lt;/D&gt;&lt;D xsi:type="xsd:double"&gt;10.267615&lt;/D&gt;&lt;D xsi:type="xsd:double"&gt;-0.8785069&lt;/D&gt;&lt;D xsi:type="xsd:double"&gt;0.8309245&lt;/D&gt;&lt;D xsi:type="xsd:double"&gt;3.010428&lt;/D&gt;&lt;D xsi:type="xsd:double"&gt;7.91837&lt;/D&gt;&lt;D xsi:type="xsd:double"&gt;0.045382977&lt;/D&gt;&lt;D xsi:type="xsd:double"&gt;0.9677887&lt;/D&gt;&lt;D xsi:type="xsd:double"&gt;5.1193714&lt;/D&gt;&lt;D xsi:type="xsd:double"&gt;7.480037&lt;/D&gt;&lt;D xsi:type="xsd:double"&gt;8.027029&lt;/D&gt;&lt;D xsi:type="xsd:double"&gt;-9.707284&lt;/D&gt;&lt;/FQL&gt;&lt;FQL&gt;&lt;Q&gt;QQQ^FG_PRICE(0,-200D)&lt;/Q&gt;&lt;R&gt;201&lt;/R&gt;&lt;C&gt;1&lt;/C&gt;&lt;D xsi:type="xsd:double"&gt;593.02&lt;/D&gt;&lt;D xsi:type="xsd:double"&gt;594.9&lt;/D&gt;&lt;D xsi:type="xsd:double"&gt;603.31&lt;/D&gt;&lt;D xsi:type="xsd:double"&gt;600.38&lt;/D&gt;&lt;D xsi:type="xsd:double"&gt;593.72&lt;/D&gt;&lt;D xsi:type="xsd:double"&gt;597.26&lt;/D&gt;&lt;D xsi:type="xsd:double"&gt;607.69&lt;/D&gt;&lt;D xsi:type="xsd:double"&gt;607.77&lt;/D&gt;&lt;D xsi:type="xsd:double"&gt;607.76&lt;/D&gt;&lt;D xsi:type="xsd:double"&gt;599.75&lt;/D&gt;&lt;D xsi:type="xsd:double"&gt;608.91&lt;/D&gt;&lt;D xsi:type="xsd:double"&gt;610.75&lt;/D&gt;&lt;D xsi:type="xsd:double"&gt;601.58&lt;/D&gt;&lt;D xsi:type="xsd:double"&gt;608.09&lt;/D&gt;&lt;D xsi:type="xsd:double"&gt;607.29&lt;/D&gt;&lt;D xsi:type="xsd:double"&gt;609.24&lt;/D&gt;&lt;D xsi:type="xsd:double"&gt;616.68&lt;/D&gt;&lt;D xsi:type="xsd:double"&gt;607.87&lt;/D&gt;&lt;D xsi:type="xsd:double"&gt;601.41&lt;/D&gt;&lt;D xsi:type="xsd:double"&gt;608.81&lt;/D&gt;&lt;D xsi:type="xsd:double"&gt;603.47&lt;/D&gt;&lt;D xsi:type="xsd:double"&gt;605.79&lt;/D&gt;&lt;D xsi:type="xsd:double"&gt;601.3&lt;/D&gt;&lt;D xsi:type="xsd:double"&gt;601.92&lt;/D&gt;&lt;D xsi:type="xsd:double"&gt;600.64&lt;/D&gt;&lt;D xsi:type="xsd:double"&gt;613.11&lt;/D&gt;&lt;D xsi:type="xsd:double"&gt;611.47&lt;/D&gt;&lt;D xsi:type="xsd:double"&gt;614.32&lt;/D&gt;&lt;D xsi:type="xsd:double"&gt;609.65&lt;/D&gt;&lt;D xsi:type="xsd:double"&gt;597.03&lt;/D&gt;&lt;D xsi:type="xsd:double"&gt;605.75&lt;/D&gt;&lt;D xsi:type="xsd:double"&gt;616.52&lt;/D&gt;&lt;D xsi:type="xsd:double"&gt;626.14&lt;/D&gt;&lt;D xsi:type="xsd:double"&gt;621.87&lt;/D&gt;&lt;D xsi:type="xsd:double"&gt;629.43&lt;/D&gt;&lt;D xsi:type="xsd:double"&gt;633.22&lt;/D&gt;&lt;D xsi:type="xsd:double"&gt;631.13&lt;/D&gt;&lt;D xsi:type="xsd:double"&gt;625.46&lt;/D&gt;&lt;D xsi:type="xsd:double"&gt;622.72&lt;/D&gt;&lt;D xsi:type="xsd:double"&gt;620.76&lt;/D&gt;&lt;D xsi:type="xsd:double"&gt;616.28&lt;/D&gt;&lt;D xsi:type="xsd:double"&gt;608.06&lt;/D&gt;&lt;D xsi:type="xsd:double"&gt;621.26&lt;/D&gt;&lt;D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xsi:type="xsd:double"&gt;619.43&lt;/D&gt;&lt;D xsi:type="xsd:double"&gt;620.87&lt;/D&gt;&lt;D xsi:type="xsd:double"&gt;623.89&lt;/D&gt;&lt;D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xsi:type="xsd:double"&gt;523.21&lt;/D&gt;&lt;/FQL&gt;&lt;FQL&gt;&lt;Q&gt;EPOL^FG_PRICE(0,-200D)&lt;/Q&gt;&lt;R&gt;201&lt;/R&gt;&lt;C&gt;1&lt;/C&gt;&lt;D xsi:type="xsd:double"&gt;35.53&lt;/D&gt;&lt;D xsi:type="xsd:double"&gt;35.26&lt;/D&gt;&lt;D xsi:type="xsd:double"&gt;36.08&lt;/D&gt;&lt;D xsi:type="xsd:double"&gt;35.08&lt;/D&gt;&lt;D xsi:type="xsd:double"&gt;34.48&lt;/D&gt;&lt;D xsi:type="xsd:double"&gt;34.87&lt;/D&gt;&lt;D xsi:type="xsd:double"&gt;35.73&lt;/D&gt;&lt;D xsi:type="xsd:double"&gt;35.68&lt;/D&gt;&lt;D xsi:type="xsd:double"&gt;35.66&lt;/D&gt;&lt;D xsi:type="xsd:double"&gt;35.37&lt;/D&gt;&lt;D xsi:type="xsd:double"&gt;35.8&lt;/D&gt;&lt;D xsi:type="xsd:double"&gt;36.21&lt;/D&gt;&lt;D xsi:type="xsd:double"&gt;35.53&lt;/D&gt;&lt;D xsi:type="xsd:double"&gt;37.31&lt;/D&gt;&lt;D xsi:type="xsd:double"&gt;38.13&lt;/D&gt;&lt;D xsi:type="xsd:double"&gt;38.19&lt;/D&gt;&lt;D xsi:type="xsd:double"&gt;38.71&lt;/D&gt;&lt;D xsi:type="xsd:double"&gt;37.95&lt;/D&gt;&lt;D xsi:type="xsd:double"&gt;38.1&lt;/D&gt;&lt;D xsi:type="xsd:double"&gt;37.81&lt;/D&gt;&lt;D xsi:type="xsd:double"&gt;37.65&lt;/D&gt;&lt;D xsi:type="xsd:double"&gt;37.73&lt;/D&gt;&lt;D xsi:type="xsd:double"&gt;37.5&lt;/D&gt;&lt;D xsi:type="xsd:double"&gt;37.67&lt;/D&gt;&lt;D xsi:type="xsd:double"&gt;37.91&lt;/D&gt;&lt;D xsi:type="xsd:double"&gt;38.39&lt;/D&gt;&lt;D xsi:type="xsd:double"&gt;38.11&lt;/D&gt;&lt;D xsi:type="xsd:double"&gt;38.76&lt;/D&gt;&lt;D xsi:type="xsd:double"&gt;37.92&lt;/D&gt;&lt;D xsi:type="xsd:double"&gt;37.37&lt;/D&gt;&lt;D xsi:type="xsd:double"&gt;38.28&lt;/D&gt;&lt;D xsi:type="xsd:double"&gt;38.35&lt;/D&gt;&lt;D xsi:type="xsd:double"&gt;37.66&lt;/D&gt;&lt;D xsi:type="xsd:double"&gt;37.59&lt;/D&gt;&lt;D xsi:type="xsd:double"&gt;38.38&lt;/D&gt;&lt;D xsi:type="xsd:double"&gt;38.25&lt;/D&gt;&lt;D xsi:type="xsd:double"&gt;38.44&lt;/D&gt;&lt;D xsi:type="xsd:double"&gt;37.74&lt;/D&gt;&lt;D xsi:type="xsd:double"&gt;36.89&lt;/D&gt;&lt;D xsi:type="xsd:double"&gt;37.26&lt;/D&gt;&lt;D xsi:type="xsd:double"&gt;36.15&lt;/D&gt;&lt;D xsi:type="xsd:double"&gt;35.84&lt;/D&gt;&lt;D xsi:type="xsd:double"&gt;35.92&lt;/D&gt;&lt;D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xsi:type="xsd:double"&gt;35.16&lt;/D&gt;&lt;D xsi:type="xsd:double"&gt;34.96&lt;/D&gt;&lt;D xsi:type="xsd:double"&gt;35.2&lt;/D&gt;&lt;D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xsi:type="xsd:double"&gt;30.49&lt;/D&gt;&lt;/FQL&gt;&lt;FQL&gt;&lt;Q&gt;QAT^FG_TOTAL_RETURNC(-5AY,0,AM)&lt;/Q&gt;&lt;R&gt;61&lt;/R&gt;&lt;C&gt;1&lt;/C&gt;&lt;D xsi:type="xsd:double"&gt;0.7646203&lt;/D&gt;&lt;D xsi:type="xsd:double"&gt;5.4742455&lt;/D&gt;&lt;D xsi:type="xsd:double"&gt;0.43679476&lt;/D&gt;&lt;D xsi:type="xsd:double"&gt;-2.0937502&lt;/D&gt;&lt;D xsi:type="xsd:double"&gt;0.16721487&lt;/D&gt;&lt;D xsi:type="xsd:double"&gt;5.1338673&lt;/D&gt;&lt;D xsi:type="xsd:double"&gt;0.13899803&lt;/D&gt;&lt;D xsi:type="xsd:double"&gt;5.2684903&lt;/D&gt;&lt;D xsi:type="xsd:double"&gt;1.7805576&lt;/D&gt;&lt;D xsi:type="xsd:double"&gt;-4.0257635&lt;/D&gt;&lt;D xsi:type="xsd:double"&gt;8.51779&lt;/D&gt;&lt;D xsi:type="xsd:double"&gt;3.1232834&lt;/D&gt;&lt;D xsi:type="xsd:double"&gt;5.430913&lt;/D&gt;&lt;D xsi:type="xsd:double"&gt;2.7633905&lt;/D&gt;&lt;D xsi:type="xsd:double"&gt;-6.968218&lt;/D&gt;&lt;D xsi:type="xsd:double"&gt;-4.170072&lt;/D&gt;&lt;D xsi:type="xsd:double"&gt;-1.499027&lt;/D&gt;&lt;D xsi:type="xsd:double"&gt;13.106096&lt;/D&gt;&lt;D xsi:type="xsd:double"&gt;-7.2580633&lt;/D&gt;&lt;D xsi:type="xsd:double"&gt;-1.7391324&lt;/D&gt;&lt;D xsi:type="xsd:double"&gt;-2.8518796&lt;/D&gt;&lt;D xsi:type="xsd:double"&gt;-9.194958&lt;/D&gt;&lt;D xsi:type="xsd:double"&gt;-0.47821403&lt;/D&gt;&lt;D xsi:type="xsd:double"&gt;-2.4559498&lt;/D&gt;&lt;D xsi:type="xsd:double"&gt;-4.214561&lt;/D&gt;&lt;D xsi:type="xsd:double"&gt;2.342856&lt;/D&gt;&lt;D xsi:type="xsd:double"&gt;7.7051997&lt;/D&gt;&lt;D xsi:type="xsd:double"&gt;-2.4306297&lt;/D&gt;&lt;D xsi:type="xsd:double"&gt;-0.3865242&lt;/D&gt;&lt;D xsi:type="xsd:double"&gt;1.1640787&lt;/D&gt;&lt;D xsi:type="xsd:double"&gt;-3.7534237&lt;/D&gt;&lt;D xsi:type="xsd:double"&gt;-5.152297&lt;/D&gt;&lt;D xsi:type="xsd:double"&gt;5.8223248&lt;/D&gt;&lt;D xsi:type="xsd:double"&gt;-1.0209799&lt;/D&gt;&lt;D xsi:type="xsd:double"&gt;0.74498653&lt;/D&gt;&lt;D xsi:type="xsd:double"&gt;-0.10238886&lt;/D&gt;&lt;D xsi:type="xsd:double"&gt;3.6897779&lt;/D&gt;&lt;D xsi:type="xsd:double"&gt;-4.33827&lt;/D&gt;&lt;D xsi:type="xsd:double"&gt;0.51665306&lt;/D&gt;&lt;D xsi:type="xsd:double"&gt;-0.8016825&lt;/D&gt;&lt;D xsi:type="xsd:double"&gt;2.1699905&lt;/D&gt;&lt;D xsi:type="xsd:double"&gt;2.7728558&lt;/D&gt;&lt;D xsi:type="xsd:double"&gt;4.5924187&lt;/D&gt;&lt;D xsi:type="xsd:double"&gt;1.5367746&lt;/D&gt;&lt;D xsi:type="xsd:double"&gt;-0.8648634&lt;/D&gt;&lt;D xsi:type="xsd:double"&gt;-1.5074372&lt;/D&gt;&lt;D xsi:type="xsd:double"&gt;0.112473965&lt;/D&gt;&lt;D xsi:type="xsd:double"&gt;1.5168548&lt;/D&gt;&lt;D xsi:type="xsd:double"&gt;0.3873825&lt;/D&gt;&lt;D xsi:type="xsd:double"&gt;-2.3153245&lt;/D&gt;&lt;D xsi:type="xsd:double"&gt;7.5056434&lt;/D&gt;&lt;D xsi:type="xsd:double"&gt;-4.207492&lt;/D&gt;&lt;D xsi:type="xsd:double"&gt;6.116724&lt;/D&gt;&lt;D xsi:type="xsd:double"&gt;7.0333123&lt;/D&gt;&lt;D xsi:type="xsd:double"&gt;-1.4822125&lt;/D&gt;&lt;D xsi:type="xsd:double"&gt;-4.2878685&lt;/D&gt;&lt;D xsi:type="xsd:double"&gt;-0.6811559&lt;/D&gt;&lt;D xsi:type="xsd:double"&gt;0.2511263&lt;/D&gt;&lt;D xsi:type="xsd:double"&gt;3.6484718&lt;/D&gt;&lt;D xsi:type="xsd:double"&gt;2.0328999&lt;/D&gt;&lt;D xsi:type="xsd:double"&gt;-7.6834736&lt;/D&gt;&lt;/FQL&gt;&lt;FQL&gt;&lt;Q&gt;EWU^FG_PRICE(0,-200D)&lt;/Q&gt;&lt;R&gt;201&lt;/R&gt;&lt;C&gt;1&lt;/C&gt;&lt;D xsi:type="xsd:double"&gt;45.11&lt;/D&gt;&lt;D xsi:type="xsd:double"&gt;45.38&lt;/D&gt;&lt;D xsi:type="xsd:double"&gt;46.3&lt;/D&gt;&lt;D xsi:type="xsd:double"&gt;46.11&lt;/D&gt;&lt;D xsi:type="xsd:double"&gt;45.33&lt;/D&gt;&lt;D xsi:type="xsd:double"&gt;45.88&lt;/D&gt;&lt;D xsi:type="xsd:double"&gt;46.31&lt;/D&gt;&lt;D xsi:type="xsd:double"&gt;46.41&lt;/D&gt;&lt;D xsi:type="xsd:double"&gt;46.29&lt;/D&gt;&lt;D xsi:type="xsd:double"&gt;46.02&lt;/D&gt;&lt;D xsi:type="xsd:double"&gt;46.24&lt;/D&gt;&lt;D xsi:type="xsd:double"&gt;47.24&lt;/D&gt;&lt;D xsi:type="xsd:double"&gt;46.76&lt;/D&gt;&lt;D xsi:type="xsd:double"&gt;48.12&lt;/D&gt;&lt;D xsi:type="xsd:double"&gt;48.68&lt;/D&gt;&lt;D xsi:type="xsd:double"&gt;48.61&lt;/D&gt;&lt;D xsi:type="xsd:double"&gt;48.66&lt;/D&gt;&lt;D xsi:type="xsd:double"&gt;47.98&lt;/D&gt;&lt;D xsi:type="xsd:double"&gt;47.89&lt;/D&gt;&lt;D xsi:type="xsd:double"&gt;48.04&lt;/D&gt;&lt;D xsi:type="xsd:double"&gt;47.68&lt;/D&gt;&lt;D xsi:type="xsd:double"&gt;47.88&lt;/D&gt;&lt;D xsi:type="xsd:double"&gt;47.42&lt;/D&gt;&lt;D xsi:type="xsd:double"&gt;47.25&lt;/D&gt;&lt;D xsi:type="xsd:double"&gt;47.01&lt;/D&gt;&lt;D xsi:type="xsd:double"&gt;47.43&lt;/D&gt;&lt;D xsi:type="xsd:double"&gt;46.74&lt;/D&gt;&lt;D xsi:type="xsd:double"&gt;47.02&lt;/D&gt;&lt;D xsi:type="xsd:double"&gt;46.9&lt;/D&gt;&lt;D xsi:type="xsd:double"&gt;45.94&lt;/D&gt;&lt;D xsi:type="xsd:double"&gt;47.05&lt;/D&gt;&lt;D xsi:type="xsd:double"&gt;46.47&lt;/D&gt;&lt;D xsi:type="xsd:double"&gt;46.54&lt;/D&gt;&lt;D xsi:type="xsd:double"&gt;46.16&lt;/D&gt;&lt;D xsi:type="xsd:double"&gt;46.44&lt;/D&gt;&lt;D xsi:type="xsd:double"&gt;46.24&lt;/D&gt;&lt;D xsi:type="xsd:double"&gt;46.5&lt;/D&gt;&lt;D xsi:type="xsd:double"&gt;45.83&lt;/D&gt;&lt;D xsi:type="xsd:double"&gt;45.57&lt;/D&gt;&lt;D xsi:type="xsd:double"&gt;45.07&lt;/D&gt;&lt;D xsi:type="xsd:double"&gt;45.16&lt;/D&gt;&lt;D xsi:type="xsd:double"&gt;44.7&lt;/D&gt;&lt;D xsi:type="xsd:double"&gt;45.18&lt;/D&gt;&lt;D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xsi:type="xsd:double"&gt;44.22&lt;/D&gt;&lt;D xsi:type="xsd:double"&gt;44.02&lt;/D&gt;&lt;D xsi:type="xsd:double"&gt;44.24&lt;/D&gt;&lt;D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xsi:type="xsd:double"&gt;40.29&lt;/D&gt;&lt;/FQL&gt;&lt;FQL&gt;&lt;Q&gt;EPHE^FG_PRICE(0,-200D)&lt;/Q&gt;&lt;R&gt;201&lt;/R&gt;&lt;C&gt;1&lt;/C&gt;&lt;D xsi:type="xsd:double"&gt;24.69&lt;/D&gt;&lt;D xsi:type="xsd:double"&gt;24.61&lt;/D&gt;&lt;D xsi:type="xsd:double"&gt;24.88&lt;/D&gt;&lt;D xsi:type="xsd:double"&gt;24.67&lt;/D&gt;&lt;D xsi:type="xsd:double"&gt;24.97&lt;/D&gt;&lt;D xsi:type="xsd:double"&gt;25.07&lt;/D&gt;&lt;D xsi:type="xsd:double"&gt;25.38&lt;/D&gt;&lt;D xsi:type="xsd:double</t>
        </r>
      </text>
    </comment>
    <comment ref="A3" authorId="0" shapeId="0" xr:uid="{7A1002A8-A2DB-4CBB-B28A-DB1E675C2B3A}">
      <text>
        <r>
          <rPr>
            <b/>
            <sz val="9"/>
            <color indexed="81"/>
            <rFont val="Tahoma"/>
            <charset val="1"/>
          </rPr>
          <t>"&gt;25.54&lt;/D&gt;&lt;D xsi:type="xsd:double"&gt;25.28&lt;/D&gt;&lt;D xsi:type="xsd:double"&gt;25.32&lt;/D&gt;&lt;D xsi:type="xsd:double"&gt;26.13&lt;/D&gt;&lt;D xsi:type="xsd:double"&gt;26.39&lt;/D&gt;&lt;D xsi:type="xsd:double"&gt;26.64&lt;/D&gt;&lt;D xsi:type="xsd:double"&gt;26.91&lt;/D&gt;&lt;D xsi:type="xsd:double"&gt;27.91&lt;/D&gt;&lt;D xsi:type="xsd:double"&gt;28.15&lt;/D&gt;&lt;D xsi:type="xsd:double"&gt;28.37&lt;/D&gt;&lt;D xsi:type="xsd:double"&gt;27.73&lt;/D&gt;&lt;D xsi:type="xsd:double"&gt;27.53&lt;/D&gt;&lt;D xsi:type="xsd:double"&gt;27.16&lt;/D&gt;&lt;D xsi:type="xsd:double"&gt;26.83&lt;/D&gt;&lt;D xsi:type="xsd:double"&gt;26.78&lt;/D&gt;&lt;D xsi:type="xsd:double"&gt;26.68&lt;/D&gt;&lt;D xsi:type="xsd:double"&gt;26.97&lt;/D&gt;&lt;D xsi:type="xsd:double"&gt;26.94&lt;/D&gt;&lt;D xsi:type="xsd:double"&gt;27.25&lt;/D&gt;&lt;D xsi:type="xsd:double"&gt;26.93&lt;/D&gt;&lt;D xsi:type="xsd:double"&gt;26.42&lt;/D&gt;&lt;D xsi:type="xsd:double"&gt;26.73&lt;/D&gt;&lt;D xsi:type="xsd:double"&gt;26.45&lt;/D&gt;&lt;D xsi:type="xsd:double"&gt;26.33&lt;/D&gt;&lt;D xsi:type="xsd:double"&gt;26.45&lt;/D&gt;&lt;D xsi:type="xsd:double"&gt;26.24&lt;/D&gt;&lt;D xsi:type="xsd:double"&gt;25.97&lt;/D&gt;&lt;D xsi:type="xsd:double"&gt;25.65&lt;/D&gt;&lt;D xsi:type="xsd:double"&gt;26.33&lt;/D&gt;&lt;D xsi:type="xsd:double"&gt;26.23&lt;/D&gt;&lt;D xsi:type="xsd:double"&gt;26.03&lt;/D&gt;&lt;D xsi:type="xsd:double"&gt;26.21&lt;/D&gt;&lt;D xsi:type="xsd:double"&gt;26.35&lt;/D&gt;&lt;D xsi:type="xsd:double"&gt;26.27&lt;/D&gt;&lt;D xsi:type="xsd:double"&gt;26&lt;/D&gt;&lt;D xsi:type="xsd:double"&gt;26.42&lt;/D&gt;&lt;D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xsi:type="xsd:double"&gt;25.06&lt;/D&gt;&lt;D xsi:type="xsd:double"&gt;25.09&lt;/D&gt;&lt;D xsi:type="xsd:double"&gt;25.08&lt;/D&gt;&lt;D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xsi:type="xsd:double"&gt;27.6&lt;/D&gt;&lt;/FQL&gt;&lt;FQL&gt;&lt;Q&gt;EWA^FG_TOTAL_RETURNC(-5AY,0,AM)&lt;/Q&gt;&lt;R&gt;61&lt;/R&gt;&lt;C&gt;1&lt;/C&gt;&lt;D xsi:type="xsd:double"&gt;-2.4120212&lt;/D&gt;&lt;D xsi:type="xsd:double"&gt;5.875194&lt;/D&gt;&lt;D xsi:type="xsd:double"&gt;-0.84193945&lt;/D&gt;&lt;D xsi:type="xsd:double"&gt;1.7851353&lt;/D&gt;&lt;D xsi:type="xsd:double"&gt;-3.6524415&lt;/D&gt;&lt;D xsi:type="xsd:double"&gt;0.877893&lt;/D&gt;&lt;D xsi:type="xsd:double"&gt;0.63290596&lt;/D&gt;&lt;D xsi:type="xsd:double"&gt;3.7342668&lt;/D&gt;&lt;D xsi:type="xsd:double"&gt;-4.0166736&lt;/D&gt;&lt;D xsi:type="xsd:double"&gt;-2.448988&lt;/D&gt;&lt;D xsi:type="xsd:double"&gt;1.9261003&lt;/D&gt;&lt;D xsi:type="xsd:double"&gt;-1.3168693&lt;/D&gt;&lt;D xsi:type="xsd:double"&gt;7.1309447&lt;/D&gt;&lt;D xsi:type="xsd:double"&gt;3.6979318&lt;/D&gt;&lt;D xsi:type="xsd:double"&gt;-10.548049&lt;/D&gt;&lt;D xsi:type="xsd:double"&gt;-9.851843&lt;/D&gt;&lt;D xsi:type="xsd:double"&gt;3.6040425&lt;/D&gt;&lt;D xsi:type="xsd:double"&gt;4.823756&lt;/D&gt;&lt;D xsi:type="xsd:double"&gt;-5.132741&lt;/D&gt;&lt;D xsi:type="xsd:double"&gt;-6.9962683&lt;/D&gt;&lt;D xsi:type="xsd:double"&gt;14.142429&lt;/D&gt;&lt;D xsi:type="xsd:double"&gt;-0.68888664&lt;/D&gt;&lt;D xsi:type="xsd:double"&gt;8.427215&lt;/D&gt;&lt;D xsi:type="xsd:double"&gt;-1.5378177&lt;/D&gt;&lt;D xsi:type="xsd:double"&gt;-7.2604537&lt;/D&gt;&lt;D xsi:type="xsd:double"&gt;6.8730116&lt;/D&gt;&lt;D xsi:type="xsd:double"&gt;-2.0442903&lt;/D&gt;&lt;D xsi:type="xsd:double"&gt;3.3520699&lt;/D&gt;&lt;D xsi:type="xsd:double"&gt;-0.6000817&lt;/D&gt;&lt;D xsi:type="xsd:double"&gt;-7.4601173&lt;/D&gt;&lt;D xsi:type="xsd:double"&gt;3.261888&lt;/D&gt;&lt;D xsi:type="xsd:double"&gt;-5.279785&lt;/D&gt;&lt;D xsi:type="xsd:double"&gt;5.8122873&lt;/D&gt;&lt;D xsi:type="xsd:double"&gt;10.400724&lt;/D&gt;&lt;D xsi:type="xsd:double"&gt;-3.1009555&lt;/D&gt;&lt;D xsi:type="xsd:double"&gt;1.9329906&lt;/D&gt;&lt;D xsi:type="xsd:double"&gt;1.6434908&lt;/D&gt;&lt;D xsi:type="xsd:double"&gt;-3.1509101&lt;/D&gt;&lt;D xsi:type="xsd:double"&gt;8.047938&lt;/D&gt;&lt;D xsi:type="xsd:double"&gt;-1.3231218&lt;/D&gt;&lt;D xsi:type="xsd:double"&gt;2.1285295&lt;/D&gt;&lt;D xsi:type="xsd:double"&gt;1.8036008&lt;/D&gt;&lt;D xsi:type="xsd:double"&gt;5.590546&lt;/D&gt;&lt;D xsi:type="xsd:double"&gt;-0.9694278&lt;/D&gt;&lt;D xsi:type="xsd:double"&gt;-1.5813231&lt;/D&gt;&lt;D xsi:type="xsd:double"&gt;-7.3061585&lt;/D&gt;&lt;D xsi:type="xsd:double"&gt;1.7205238&lt;/D&gt;&lt;D xsi:type="xsd:double"&gt;3.300333&lt;/D&gt;&lt;D xsi:type="xsd:double"&gt;-5.5511236&lt;/D&gt;&lt;D xsi:type="xsd:double"&gt;-0.16912818&lt;/D&gt;&lt;D xsi:type="xsd:double"&gt;8.555687&lt;/D&gt;&lt;D xsi:type="xsd:double"&gt;2.4340153&lt;/D&gt;&lt;D xsi:type="xsd:double"&gt;2.2815108&lt;/D&gt;&lt;D xsi:type="xsd:double"&gt;0.6049156&lt;/D&gt;&lt;D xsi:type="xsd:double"&gt;1.0522366&lt;/D&gt;&lt;D xsi:type="xsd:double"&gt;0.111567974&lt;/D&gt;&lt;D xsi:type="xsd:double"&gt;-6.0178337&lt;/D&gt;&lt;D xsi:type="xsd:double"&gt;4.0500283&lt;/D&gt;&lt;D xsi:type="xsd:double"&gt;3.3230305&lt;/D&gt;&lt;D xsi:type="xsd:double"&gt;9.835458&lt;/D&gt;&lt;D xsi:type="xsd:double"&gt;-3.7793696&lt;/D&gt;&lt;/FQL&gt;&lt;FQL&gt;&lt;Q&gt;EWM^FG_TOTAL_RETURNC(-5AY,0,AM)&lt;/Q&gt;&lt;R&gt;61&lt;/R&gt;&lt;C&gt;1&lt;/C&gt;&lt;D xsi:type="xsd:double"&gt;1.8471599&lt;/D&gt;&lt;D xsi:type="xsd:double"&gt;-1.6714096&lt;/D&gt;&lt;D xsi:type="xsd:double"&gt;-1.2658238&lt;/D&gt;&lt;D xsi:type="xsd:double"&gt;-0.4774809&lt;/D&gt;&lt;D xsi:type="xsd:double"&gt;-5.9984803&lt;/D&gt;&lt;D xsi:type="xsd:double"&gt;-0.36349297&lt;/D&gt;&lt;D xsi:type="xsd:double"&gt;3.8913608&lt;/D&gt;&lt;D xsi:type="xsd:double"&gt;5.189228&lt;/D&gt;&lt;D xsi:type="xsd:double"&gt;-6.6765547&lt;/D&gt;&lt;D xsi:type="xsd:double"&gt;-2.7066529&lt;/D&gt;&lt;D xsi:type="xsd:double"&gt;3.628683&lt;/D&gt;&lt;D xsi:type="xsd:double"&gt;4.478824&lt;/D&gt;&lt;D xsi:type="xsd:double"&gt;-0.038969517&lt;/D&gt;&lt;D xsi:type="xsd:double"&gt;-1.1305988&lt;/D&gt;&lt;D xsi:type="xsd:double"&gt;-5.4810762&lt;/D&gt;&lt;D xsi:type="xsd:double"&gt;-6.8102837&lt;/D&gt;&lt;D xsi:type="xsd:double"&gt;-1.4618516&lt;/D&gt;&lt;D xsi:type="xsd:double"&gt;4.126096&lt;/D&gt;&lt;D xsi:type="xsd:double"&gt;-4.140687&lt;/D&gt;&lt;D xsi:type="xsd:double"&gt;-6.223875&lt;/D&gt;&lt;D xsi:type="xsd:double"&gt;7.231295&lt;/D&gt;&lt;D xsi:type="xsd:double"&gt;4.5124054&lt;/D&gt;&lt;D xsi:type="xsd:double"&gt;5.31013&lt;/D&gt;&lt;D xsi:type="xsd:double"&gt;-4.4491587&lt;/D&gt;&lt;D xsi:type="xsd:double"&gt;-5.277157&lt;/D&gt;&lt;D xsi:type="xsd:double"&gt;3.2771468&lt;/D&gt;&lt;D xsi:type="xsd:double"&gt;-2.2212148&lt;/D&gt;&lt;D xsi:type="xsd:double"&gt;-3.9493382&lt;/D&gt;&lt;D xsi:type="xsd:double"&gt;2.8009772&lt;/D&gt;&lt;D xsi:type="xsd:double"&gt;0.047802925&lt;/D&gt;&lt;D xsi:type="xsd:double"&gt;0.9555578&lt;/D&gt;&lt;D xsi:type="xsd:double"&gt;-2.3663044&lt;/D&gt;&lt;D xsi:type="xsd:double"&gt;3.4900665&lt;/D&gt;&lt;D xsi:type="xsd:double"&gt;0.8430958&lt;/D&gt;&lt;D xsi:type="xsd:double"&gt;-0.69042444&lt;/D&gt;&lt;D xsi:type="xsd:double"&gt;1.8562555&lt;/D&gt;&lt;D xsi:type="xsd:double"&gt;2.4299145&lt;/D&gt;&lt;D xsi:type="xsd:double"&gt;-0.72992444&lt;/D&gt;&lt;D xsi:type="xsd:double"&gt;6.985295&lt;/D&gt;&lt;D xsi:type="xsd:double"&gt;-0.31858087&lt;/D&gt;&lt;D xsi:type="xsd:double"&gt;1.926446&lt;/D&gt;&lt;D xsi:type="xsd:double"&gt;7.9037786&lt;/D&gt;&lt;D xsi:type="xsd:double"&gt;6.4490438&lt;/D&gt;&lt;D xsi:type="xsd:double"&gt;-3.0665636&lt;/D&gt;&lt;D xsi:type="xsd:double"&gt;-5.787039&lt;/D&gt;&lt;D xsi:type="xsd:double"&gt;-1.1270583&lt;/D&gt;&lt;D xsi:type="xsd:double"&gt;-1.0970473&lt;/D&gt;&lt;D xsi:type="xsd:double"&gt;2.9010296&lt;/D&gt;&lt;D xsi:type="xsd:double"&gt;-3.316754&lt;/D&gt;&lt;D xsi:type="xsd:double"&gt;-2.3584902&lt;/D&gt;&lt;D xsi:type="xsd:double"&gt;8.43215&lt;/D&gt;&lt;D xsi:type="xsd:double"&gt;-2.4271727&lt;/D&gt;&lt;D xsi:type="xsd:double"&gt;1.441288&lt;/D&gt;&lt;D xsi:type="xsd:double"&gt;5.2235723&lt;/D&gt;&lt;D xsi:type="xsd:double"&gt;1.6282797&lt;/D&gt;&lt;D xsi:type="xsd:double"&gt;0.42985678&lt;/D&gt;&lt;D xsi:type="xsd:double"&gt;2.4513602&lt;/D&gt;&lt;D xsi:type="xsd:double"&gt;4.944706&lt;/D&gt;&lt;D xsi:type="xsd:double"&gt;3.5661697&lt;/D&gt;&lt;D xsi:type="xsd:double"&gt;5.857289&lt;/D&gt;&lt;D xsi:type="xsd:double"&gt;-1.006031&lt;/D&gt;&lt;/FQL&gt;&lt;FQL&gt;&lt;Q&gt;EWL^FG_PRICE(0,-200D)&lt;/Q&gt;&lt;R&gt;201&lt;/R&gt;&lt;C&gt;1&lt;/C&gt;&lt;D xsi:type="xsd:double"&gt;57.54&lt;/D&gt;&lt;D xsi:type="xsd:double"&gt;57.86&lt;/D&gt;&lt;D xsi:type="xsd:double"&gt;59.54&lt;/D&gt;&lt;D xsi:type="xsd:double"&gt;59.5&lt;/D&gt;&lt;D xsi:type="xsd:double"&gt;58.72&lt;/D&gt;&lt;D xsi:type="xsd:double"&gt;59.36&lt;/D&gt;&lt;D xsi:type="xsd:double"&gt;60.09&lt;/D&gt;&lt;D xsi:type="xsd:double"&gt;60.24&lt;/D&gt;&lt;D xsi:type="xsd:double"&gt;61.01&lt;/D&gt;&lt;D xsi:type="xsd:double"&gt;61.14&lt;/D&gt;&lt;D xsi:type="xsd:double"&gt;61.05&lt;/D&gt;&lt;D xsi:type="xsd:double"&gt;62.56&lt;/D&gt;&lt;D xsi:type="xsd:double"&gt;62.21&lt;/D&gt;&lt;D xsi:type="xsd:double"&gt;63.59&lt;/D&gt;&lt;D xsi:type="xsd:double"&gt;65.08&lt;/D&gt;&lt;D xsi:type="xsd:double"&gt;64.63&lt;/D&gt;&lt;D xsi:type="xsd:double"&gt;64.85&lt;/D&gt;&lt;D xsi:type="xsd:double"&gt;64.82&lt;/D&gt;&lt;D xsi:type="xsd:double"&gt;64.31&lt;/D&gt;&lt;D xsi:type="xsd:double"&gt;64.38&lt;/D&gt;&lt;D xsi:type="xsd:double"&gt;64.16&lt;/D&gt;&lt;D xsi:type="xsd:double"&gt;64.26&lt;/D&gt;&lt;D xsi:type="xsd:double"&gt;64.44&lt;/D&gt;&lt;D xsi:type="xsd:double"&gt;63.79&lt;/D&gt;&lt;D xsi:type="xsd:double"&gt;63.46&lt;/D&gt;&lt;D xsi:type="xsd:double"&gt;63.24&lt;/D&gt;&lt;D xsi:type="xsd:double"&gt;63.43&lt;/D&gt;&lt;D xsi:type="xsd:double"&gt;63.45&lt;/D&gt;&lt;D xsi:type="xsd:double"&gt;63.09&lt;/D&gt;&lt;D xsi:type="xsd:double"&gt;62.24&lt;/D&gt;&lt;D xsi:type="xsd:double"&gt;62.47&lt;/D&gt;&lt;D xsi:type="xsd:double"&gt;61.89&lt;/D&gt;&lt;D xsi:type="xsd:double"&gt;62.25&lt;/D&gt;&lt;D xsi:type="xsd:double"&gt;61.54&lt;/D&gt;&lt;D xsi:type="xsd:double"&gt;62.22&lt;/D&gt;&lt;D xsi:type="xsd:double"&gt;61.05&lt;/D&gt;&lt;D xsi:type="xsd:double"&gt;62.57&lt;/D&gt;&lt;D xsi:type="xsd:double"&gt;61.19&lt;/D&gt;&lt;D xsi:type="xsd:double"&gt;60.87&lt;/D&gt;&lt;D xsi:type="xsd:double"&gt;60.59&lt;/D&gt;&lt;D xsi:type="xsd:double"&gt;60.49&lt;/D&gt;&lt;D xsi:type="xsd:double"&gt;60.16&lt;/D&gt;&lt;D xsi:type="xsd:double"&gt;60.51&lt;/D&gt;&lt;D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xsi:type="xsd:double"&gt;60.17&lt;/D&gt;&lt;D xsi:type="xsd:double"&gt;60.35&lt;/D&gt;&lt;D xsi:type="xsd:double"&gt;60.54&lt;/D&gt;&lt;D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xsi:type="xsd:double"&gt;55.54&lt;/D&gt;&lt;/FQL&gt;&lt;FQL&gt;&lt;Q&gt;EWZ^FG_PRICE(0,-200D)&lt;/Q&gt;&lt;R&gt;201&lt;/R&gt;&lt;C&gt;1&lt;/C&gt;&lt;D xsi:type="xsd:double"&gt;36.5&lt;/D&gt;&lt;D xsi:type="xsd:double"&gt;36.26&lt;/D&gt;&lt;D xsi:type="xsd:double"&gt;36.71&lt;/D&gt;&lt;D xsi:type="xsd:double"&gt;36.53&lt;/D&gt;&lt;D xsi:type="xsd:double"&gt;35.49&lt;/D&gt;&lt;D xsi:type="xsd:double"&gt;36.12&lt;/D&gt;&lt;D xsi:type="xsd:double"&gt;37.61&lt;/D&gt;&lt;D xsi:type="xsd:double"&gt;37.53&lt;/D&gt;&lt;D xsi:type="xsd:double"&gt;37.1&lt;/D&gt;&lt;D xsi:type="xsd:double"&gt;36.28&lt;/D&gt;&lt;D xsi:type="xsd:double"&gt;36.36&lt;/D&gt;&lt;D xsi:type="xsd:double"&gt;37.49&lt;/D&gt;&lt;D xsi:type="xsd:double"&gt;36.82&lt;/D&gt;&lt;D xsi:type="xsd:double"&gt;38.64&lt;/D&gt;&lt;D xsi:type="xsd:double"&gt;38.73&lt;/D&gt;&lt;D xsi:type="xsd:double"&gt;39.1&lt;/D&gt;&lt;D xsi:type="xsd:double"&gt;39.59&lt;/D&gt;&lt;D xsi:type="xsd:double"&gt;39.47&lt;/D&gt;&lt;D xsi:type="xsd:double"&gt;38.77&lt;/D&gt;&lt;D xsi:type="xsd:double"&gt;39.37&lt;/D&gt;&lt;D xsi:type="xsd:double"&gt;38.61&lt;/D&gt;&lt;D xsi:type="xsd:double"&gt;38.03&lt;/D&gt;&lt;D xsi:type="xsd:double"&gt;37.74&lt;/D&gt;&lt;D xsi:type="xsd:double"&gt;38.06&lt;/D&gt;&lt;D xsi:type="xsd:double"&gt;38.49&lt;/D&gt;&lt;D xsi:type="xsd:double"&gt;39.16&lt;/D&gt;&lt;D xsi:type="xsd:double"&gt;38.32&lt;/D&gt;&lt;D xsi:type="xsd:double"&gt;38.42&lt;/D&gt;&lt;D xsi:type="xsd:double"&gt;37.56&lt;/D&gt;&lt;D xsi:type="xsd:double"&gt;36.91&lt;/D&gt;&lt;D xsi:type="xsd:double"&gt;36.98&lt;/D&gt;&lt;D xsi:type="xsd:double"&gt;38.04&lt;/D&gt;&lt;D xsi:type="xsd:double"&gt;37.45&lt;/D&gt;&lt;D xsi:type="xsd:double"&gt;37.04&lt;/D&gt;&lt;D xsi:type="xsd:double"&gt;38.12&lt;/D&gt;&lt;D xsi:type="xsd:double"&gt;38.33&lt;/D&gt;&lt;D xsi:type="xsd:double"&gt;37.89&lt;/D&gt;&lt;D xsi:type="xsd:double"&gt;36.61&lt;/D&gt;&lt;D xsi:type="xsd:double"&gt;36.59&lt;/D&gt;&lt;D xsi:type="xsd:double"&gt;35.95&lt;/D&gt;&lt;D xsi:type="xsd:double"&gt;35.02&lt;/D&gt;&lt;D xsi:type="xsd:double"&gt;33.62&lt;/D&gt;&lt;D xsi:type="xsd:double"&gt;33.17&lt;/D&gt;&lt;D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xsi:type="xsd:double"&gt;31.99&lt;/D&gt;&lt;D xsi:type="xsd:double"&gt;31.42&lt;/D&gt;&lt;D xsi:type="xsd:double"&gt;31.73&lt;/D&gt;&lt;D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xsi:type="xsd:double"&gt;27.27&lt;/D&gt;&lt;/FQL&gt;&lt;FQL&gt;&lt;Q&gt;SPY^FG_TOTAL_RETURNC(-5AY,0,AM)&lt;/Q&gt;&lt;R&gt;61&lt;/R&gt;&lt;C&gt;1&lt;/C&gt;&lt;D xsi:type="xsd:double"&gt;0.1865983&lt;/D&gt;&lt;D xsi:type="xsd:double"&gt;6.606233&lt;/D&gt;&lt;D xsi:type="xsd:double"&gt;-1.0476649&lt;/D&gt;&lt;D xsi:type="xsd:double"&gt;1.3230562&lt;/D&gt;&lt;D xsi:type="xsd:double"&gt;2.422154&lt;/D&gt;&lt;D xsi:type="xsd:double"&gt;3.5037756&lt;/D&gt;&lt;D xsi:type="xsd:double"&gt;0.6747961&lt;/D&gt;&lt;D xsi:type="xsd:double"&gt;2.093339&lt;/D&gt;&lt;D xsi:type="xsd:double"&gt;4.04979&lt;/D&gt;&lt;D xsi:type="xsd:double"&gt;-1.5746951&lt;/D&gt;&lt;D xsi:type="xsd:double"&gt;-1.7657161&lt;/D&gt;&lt;D xsi:type="xsd:double"&gt;-3.8782477&lt;/D&gt;&lt;D xsi:type="xsd:double"&gt;2.6842833&lt;/D&gt;&lt;D xsi:type="xsd:double"&gt;0.116980076&lt;/D&gt;&lt;D xsi:type="xsd:double"&gt;-12.4887705&lt;/D&gt;&lt;D xsi:type="xsd:double"&gt;-5.654788&lt;/D&gt;&lt;D xsi:type="xsd:double"&gt;7.2186112&lt;/D&gt;&lt;D xsi:type="xsd:double"&gt;7.6146603&lt;/D&gt;&lt;D xsi:type="xsd:double"&gt;-7.575983&lt;/D&gt;&lt;D xsi:type="xsd:double"&gt;-5.160207&lt;/D&gt;&lt;D xsi:type="xsd:double"&gt;7.4708223&lt;/D&gt;&lt;D xsi:type="xsd:double"&gt;-3.5966277&lt;/D&gt;&lt;D xsi:type="xsd:double"&gt;2.2683144&lt;/D&gt;&lt;D xsi:type="xsd:double"&gt;4.791069&lt;/D&gt;&lt;D xsi:type="xsd:double"&gt;-3.8706958&lt;/D&gt;&lt;D xsi:type="xsd:double"&gt;6.1924696&lt;/D&gt;&lt;D xsi:type="xsd:double"&gt;1.0817528&lt;/D&gt;&lt;D xsi:type="xsd:double"&gt;5.3696394&lt;/D&gt;&lt;D xsi:type="xsd:double"&gt;3.5816789&lt;/D&gt;&lt;D xsi:type="xsd:double"&gt;-4.1080894&lt;/D&gt;&lt;D xsi:type="xsd:double"&gt;1.7848372&lt;/D&gt;&lt;D xsi:type="xsd:double"&gt;-3.6773503&lt;/D&gt;&lt;D xsi:type="xsd:double"&gt;5.712545&lt;/D&gt;&lt;D xsi:type="xsd:double"&gt;5.762875&lt;/D&gt;&lt;D xsi:type="xsd:double"&gt;1.5984297&lt;/D&gt;&lt;D xsi:type="xsd:double"&gt;3.5404086&lt;/D&gt;&lt;D xsi:type="xsd:double"&gt;3.5661697&lt;/D&gt;&lt;D xsi:type="xsd:double"&gt;-3.984803&lt;/D&gt;&lt;D xsi:type="xsd:double"&gt;6.9250345&lt;/D&gt;&lt;D xsi:type="xsd:double"&gt;3.5961747&lt;/D&gt;&lt;D xsi:type="xsd:double"&gt;0.41450262&lt;/D&gt;&lt;D xsi:type="xsd:double"&gt;1.9344568&lt;/D&gt;&lt;D xsi:type="xsd:double"&gt;2.0317674&lt;/D&gt;&lt;D xsi:type="xsd:double"&gt;2.6981235&lt;/D&gt;&lt;D xsi:type="xsd:double"&gt;0.9767413&lt;/D&gt;&lt;D xsi:type="xsd:double"&gt;-0.7115066&lt;/D&gt;&lt;D xsi:type="xsd:double"&gt;2.2977233&lt;/D&gt;&lt;D xsi:type="xsd:double"&gt;2.568686&lt;/D&gt;&lt;D xsi:type="xsd:double"&gt;-7.4723005&lt;/D&gt;&lt;D xsi:type="xsd:double"&gt;-6.900966&lt;/D&gt;&lt;D xsi:type="xsd:double"&gt;13.001275&lt;/D&gt;&lt;D xsi:type="xsd:double"&gt;0.43541193&lt;/D&gt;&lt;D xsi:type="xsd:double"&gt;5.356157&lt;/D&gt;&lt;D xsi:type="xsd:double"&gt;1.94875&lt;/D&gt;&lt;D xsi:type="xsd:double"&gt;4.0201187&lt;/D&gt;&lt;D xsi:type="xsd:double"&gt;0.10396242&lt;/D&gt;&lt;D xsi:type="xsd:double"&gt;-0.26490688&lt;/D&gt;&lt;D xsi:type="xsd:double"&gt;3.0112386&lt;/D&gt;&lt;D xsi:type="xsd:double"&gt;1.6265273&lt;/D&gt;&lt;D xsi:type="xsd:double"&gt;-1.0380805&lt;/D&gt;&lt;D xsi:type="xsd:double"&gt;-3.6056578&lt;/D&gt;&lt;/FQL&gt;&lt;FQL&gt;&lt;Q&gt;INDA^FG_TOTAL_RETURNC(-5AY,0,AM)&lt;/Q&gt;&lt;R&gt;61&lt;/R&gt;&lt;C&gt;1&lt;/C&gt;&lt;D xsi:type="xsd:double"&gt;-0.6318748&lt;/D&gt;&lt;D xsi:type="xsd:double"&gt;-5.3933144&lt;/D&gt;&lt;D xsi:type="xsd:double"&gt;7.542944&lt;/D&gt;&lt;D xsi:type="xsd:double"&gt;1.8995166&lt;/D&gt;&lt;D xsi:type="xsd:double"&gt;-0.38653612&lt;/D&gt;&lt;D xsi:type="xsd:double"&gt;4.508102&lt;/D&gt;&lt;D xsi:type="xsd:double"&gt;7.6553464&lt;/D&gt;&lt;D xsi:type="xsd:double"&gt;2.1099687&lt;/D&gt;&lt;D xsi:type="xsd:double"&gt;-1.5299022&lt;/D&gt;&lt;D xsi:type="xsd:double"&gt;-5.5529537&lt;/D&gt;&lt;D xsi:type="xsd:double"&gt;7.141769&lt;/D&gt;&lt;D xsi:type="xsd:double"&gt;-5.2877483&lt;/D&gt;&lt;D xsi:type="xsd:double"&gt;0.33632517&lt;/D&gt;&lt;D xsi:type="xsd:double"&gt;-1.2737453&lt;/D&gt;&lt;D xsi:type="xsd:double"&gt;-7.7184258&lt;/D&gt;&lt;D xsi:type="xsd:double"&gt;-4.893303&lt;/D&gt;&lt;D xsi:type="xsd:double"&gt;5.067694&lt;/D&gt;&lt;D xsi:type="xsd:double"&gt;6.283748&lt;/D&gt;&lt;D xsi:type="xsd:double"&gt;0.6004691&lt;/D&gt;&lt;D xsi:type="xsd:double"&gt;-6.4738274&lt;/D&gt;&lt;D xsi:type="xsd:double"&gt;5.375552&lt;/D&gt;&lt;D xsi:type="xsd:double"&gt;-0.9550452&lt;/D&gt;&lt;D xsi:type="xsd:double"&gt;-0.023525953&lt;/D&gt;&lt;D xsi:type="xsd:double"&gt;-5.151725&lt;/D&gt;&lt;D xsi:type="xsd:double"&gt;-4.811507&lt;/D&gt;&lt;D xsi:type="xsd:double"&gt;3.7258983&lt;/D&gt;&lt;D xsi:type="xsd:double"&gt;2.6877642&lt;/D&gt;&lt;D xsi:type="xsd:double"&gt;5.703473&lt;/D&gt;&lt;D xsi:type="xsd:double"&gt;3.524232&lt;/D&gt;&lt;D xsi:type="xsd:double"&gt;-2.9563248&lt;/D&gt;&lt;D xsi:type="xsd:double"&gt;3.8541436&lt;/D&gt;&lt;D xsi:type="xsd:double"&gt;-1.4888823&lt;/D&gt;&lt;D xsi:type="xsd:double"&gt;1.6128898&lt;/D&gt;&lt;D xsi:type="xsd:double"&gt;8.158517&lt;/D&gt;&lt;D xsi:type="xsd:double"&gt;1.7857075&lt;/D&gt;&lt;D xsi:type="xsd:double"&gt;3.2466292&lt;/D&gt;&lt;D xsi:type="xsd:double"&gt;-2.0703137&lt;/D&gt;&lt;D xsi:type="xsd:double"&gt;2.3733616&lt;/D&gt;&lt;D xsi:type="xsd:double"&gt;3.1950116&lt;/D&gt;&lt;D xsi:type="xsd:double"&gt;4.795158&lt;/D&gt;&lt;D xsi:type="xsd:double"&gt;1.206994&lt;/D&gt;&lt;D xsi:type="xsd:double"&gt;0.55179596&lt;/D&gt;&lt;D xsi:type="xsd:double"&gt;2.8677583&lt;/D&gt;&lt;D xsi:type="xsd:double"&gt;-2.6673555&lt;/D&gt;&lt;D xsi:type="xsd:double"&gt;-5.2864256&lt;/D&gt;&lt;D xsi:type="xsd:double"&gt;1.1079311&lt;/D&gt;&lt;D xsi:type="xsd:double"&gt;-4.8168125&lt;/D&gt;&lt;D xsi:type="xsd:double"&gt;-2.7745247&lt;/D&gt;&lt;D xsi:type="xsd:double"&gt;1.7082095&lt;/D&gt;&lt;D xsi:type="xsd:double"&gt;3.260219&lt;/D&gt;&lt;D xsi:type="xsd:double"&gt;4.8220396&lt;/D&gt;&lt;D xsi:type="xsd:double"&gt;-1.8072248&lt;/D&gt;&lt;D xsi:type="xsd:double"&gt;1.3199449&lt;/D&gt;&lt;D xsi:type="xsd:double"&gt;-1.559633&lt;/D&gt;&lt;D xsi:type="xsd:double"&gt;0.5405307&lt;/D&gt;&lt;D xsi:type="xsd:double"&gt;0.94549656&lt;/D&gt;&lt;D xsi:type="xsd:double"&gt;0.69788694&lt;/D&gt;&lt;D xsi:type="xsd:double"&gt;-1.2401998&lt;/D&gt;&lt;D xsi:type="xsd:double"&gt;-2.400744&lt;/D&gt;&lt;D xsi:type="xsd:double"&gt;-1.0406792&lt;/D&gt;&lt;D xsi:type="xsd:double"&gt;-9.13958&lt;/D&gt;&lt;/FQL&gt;&lt;FQL&gt;&lt;Q&gt;EWI^FG_PRICE(0,-200D)&lt;/Q&gt;&lt;R&gt;201&lt;/R&gt;&lt;C&gt;1&lt;/C&gt;&lt;D xsi:type="xsd:double"&gt;52.46&lt;/D&gt;&lt;D xsi:type="xsd:double"&gt;52.41&lt;/D&gt;&lt;D xsi:type="xsd:double"&gt;53.37&lt;/D&gt;&lt;D xsi:type="xsd:double"&gt;52.67&lt;/D&gt;&lt;D xsi:type="xsd:double"&gt;52.08&lt;/D&gt;&lt;D xsi:type="xsd:double"&gt;52.65&lt;/D&gt;&lt;D xsi:type="xsd:double"&gt;53.56&lt;/D&gt;&lt;D xsi:type="xsd:double"&gt;53.79&lt;/D&gt;&lt;D xsi:type="xsd:double"&gt;53.54&lt;/D&gt;&lt;D xsi:type="xsd:double"&gt;52.96&lt;/D&gt;&lt;D xsi:type="xsd:double"&gt;53.43&lt;/D&gt;&lt;D xsi:type="xsd:double"&gt;54.57&lt;/D&gt;&lt;D xsi:type="xsd:double"&gt;53.89&lt;/D&gt;&lt;D xsi:type="xsd:double"&gt;55.95&lt;/D&gt;&lt;D xsi:type="xsd:double"&gt;57.33&lt;/D&gt;&lt;D xsi:type="xsd:double"&gt;57.93&lt;/D&gt;&lt;D xsi:type="xsd:double"&gt;57.61&lt;/D&gt;&lt;D xsi:type="xsd:double"&gt;56.94&lt;/D&gt;&lt;D xsi:type="xsd:double"&gt;56.94&lt;/D&gt;&lt;D xsi:type="xsd:double"&gt;56.81&lt;/D&gt;&lt;D xsi:type="xsd:double"&gt;55.89&lt;/D&gt;&lt;D xsi:type="xsd:double"&gt;56.32&lt;/D&gt;&lt;D xsi:type="xsd:double"&gt;56.02&lt;/D&gt;&lt;D xsi:type="xsd:double"&gt;55.54&lt;/D&gt;&lt;D xsi:type="xsd:double"&gt;56.52&lt;/D&gt;&lt;D xsi:type="xsd:double"&gt;56.98&lt;/D&gt;&lt;D xsi:type="xsd:double"&gt;57.32&lt;/D&gt;&lt;D xsi:type="xsd:double"&gt;57.61&lt;/D&gt;&lt;D xsi:type="xsd:double"&gt;56.28&lt;/D&gt;&lt;D xsi:type="xsd:double"&gt;55.7&lt;/D&gt;&lt;D xsi:type="xsd:double"&gt;56.95&lt;/D&gt;&lt;D xsi:type="xsd:double"&gt;56.93&lt;/D&gt;&lt;D xsi:type="xsd:double"&gt;56.37&lt;/D&gt;&lt;D xsi:type="xsd:double"&gt;55.88&lt;/D&gt;&lt;D xsi:type="xsd:double"&gt;56.17&lt;/D&gt;&lt;D xsi:type="xsd:double"&gt;55.83&lt;/D&gt;&lt;D xsi:type="xsd:double"&gt;56.63&lt;/D&gt;&lt;D xsi:type="xsd:double"&gt;55.39&lt;/D&gt;&lt;D xsi:type="xsd:double"&gt;54.91&lt;/D&gt;&lt;D xsi:type="xsd:double"&gt;54.77&lt;/D&gt;&lt;D xsi:type="xsd:double"&gt;54.44&lt;/D&gt;&lt;D xsi:type="xsd:double"&gt;54.02&lt;/D&gt;&lt;D xsi:type="xsd:double"&gt;54.92&lt;/D&gt;&lt;D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xsi:type="xsd:double"&gt;54.59&lt;/D&gt;&lt;D xsi:type="xsd:double"&gt;54.16&lt;/D&gt;&lt;D xsi:type="xsd:double"&gt;54.62&lt;/D&gt;&lt;D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</t>
        </r>
      </text>
    </comment>
    <comment ref="A4" authorId="0" shapeId="0" xr:uid="{6A5EC95A-FE47-4BCB-B277-AD2D3D96581E}">
      <text>
        <r>
          <rPr>
            <b/>
            <sz val="9"/>
            <color indexed="81"/>
            <rFont val="Tahoma"/>
            <charset val="1"/>
          </rPr>
          <t xml:space="preserve">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xsi:type="xsd:double"&gt;48.32&lt;/D&gt;&lt;/FQL&gt;&lt;FQL&gt;&lt;Q&gt;EWJ^FG_PRICE(0,-200D)&lt;/Q&gt;&lt;R&gt;201&lt;/R&gt;&lt;C&gt;1&lt;/C&gt;&lt;D xsi:type="xsd:double"&gt;84.08&lt;/D&gt;&lt;D xsi:type="xsd:double"&gt;84.15&lt;/D&gt;&lt;D xsi:type="xsd:double"&gt;85.08&lt;/D&gt;&lt;D xsi:type="xsd:double"&gt;85.07&lt;/D&gt;&lt;D xsi:type="xsd:double"&gt;83.36&lt;/D&gt;&lt;D xsi:type="xsd:double"&gt;84.19&lt;/D&gt;&lt;D xsi:type="xsd:double"&gt;85.73&lt;/D&gt;&lt;D xsi:type="xsd:double"&gt;86.46&lt;/D&gt;&lt;D xsi:type="xsd:double"&gt;85.64&lt;/D&gt;&lt;D xsi:type="xsd:double"&gt;84.77&lt;/D&gt;&lt;D xsi:type="xsd:double"&gt;85.89&lt;/D&gt;&lt;D xsi:type="xsd:double"&gt;88.59&lt;/D&gt;&lt;D xsi:type="xsd:double"&gt;86.83&lt;/D&gt;&lt;D xsi:type="xsd:double"&gt;90.2&lt;/D&gt;&lt;D xsi:type="xsd:double"&gt;92.37&lt;/D&gt;&lt;D xsi:type="xsd:double"&gt;92.48&lt;/D&gt;&lt;D xsi:type="xsd:double"&gt;92.44&lt;/D&gt;&lt;D xsi:type="xsd:double"&gt;91.23&lt;/D&gt;&lt;D xsi:type="xsd:double"&gt;91.39&lt;/D&gt;&lt;D xsi:type="xsd:double"&gt;91.47&lt;/D&gt;&lt;D xsi:type="xsd:double"&gt;91.2&lt;/D&gt;&lt;D xsi:type="xsd:double"&gt;91.38&lt;/D&gt;&lt;D xsi:type="xsd:double"&gt;91.87&lt;/D&gt;&lt;D xsi:type="xsd:double"&gt;93.85&lt;/D&gt;&lt;D xsi:type="xsd:double"&gt;93.37&lt;/D&gt;&lt;D xsi:type="xsd:double"&gt;93.97&lt;/D&gt;&lt;D xsi:type="xsd:double"&gt;93.1&lt;/D&gt;&lt;D xsi:type="xsd:double"&gt;91.29&lt;/D&gt;&lt;D xsi:type="xsd:double"&gt;89.4&lt;/D&gt;&lt;D xsi:type="xsd:double"&gt;86.1&lt;/D&gt;&lt;D xsi:type="xsd:double"&gt;87.49&lt;/D&gt;&lt;D xsi:type="xsd:double"&gt;86.68&lt;/D&gt;&lt;D xsi:type="xsd:double"&gt;85.89&lt;/D&gt;&lt;D xsi:type="xsd:double"&gt;85.72&lt;/D&gt;&lt;D xsi:type="xsd:double"&gt;86.09&lt;/D&gt;&lt;D xsi:type="xsd:double"&gt;85.21&lt;/D&gt;&lt;D xsi:type="xsd:double"&gt;85.84&lt;/D&gt;&lt;D xsi:type="xsd:double"&gt;84.63&lt;/D&gt;&lt;D xsi:type="xsd:double"&gt;84.56&lt;/D&gt;&lt;D xsi:type="xsd:double"&gt;84.86&lt;/D&gt;&lt;D xsi:type="xsd:double"&gt;84.78&lt;/D&gt;&lt;D xsi:type="xsd:double"&gt;83.72&lt;/D&gt;&lt;D xsi:type="xsd:double"&gt;85.48&lt;/D&gt;&lt;D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xsi:type="xsd:double"&gt;80.98&lt;/D&gt;&lt;D xsi:type="xsd:double"&gt;81.09&lt;/D&gt;&lt;D xsi:type="xsd:double"&gt;80.97&lt;/D&gt;&lt;D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xsi:type="xsd:double"&gt;75.04&lt;/D&gt;&lt;/FQL&gt;&lt;FQL&gt;&lt;Q&gt;TUR^FG_PRICE(0,-200D)&lt;/Q&gt;&lt;R&gt;201&lt;/R&gt;&lt;C&gt;1&lt;/C&gt;&lt;D xsi:type="xsd:double"&gt;38.78&lt;/D&gt;&lt;D xsi:type="xsd:double"&gt;38.73&lt;/D&gt;&lt;D xsi:type="xsd:double"&gt;39.42&lt;/D&gt;&lt;D xsi:type="xsd:double"&gt;38.87&lt;/D&gt;&lt;D xsi:type="xsd:double"&gt;38.66&lt;/D&gt;&lt;D xsi:type="xsd:double"&gt;39.34&lt;/D&gt;&lt;D xsi:type="xsd:double"&gt;39.29&lt;/D&gt;&lt;D xsi:type="xsd:double"&gt;39.18&lt;/D&gt;&lt;D xsi:type="xsd:double"&gt;38.74&lt;/D&gt;&lt;D xsi:type="xsd:double"&gt;37.22&lt;/D&gt;&lt;D xsi:type="xsd:double"&gt;38.73&lt;/D&gt;&lt;D xsi:type="xsd:double"&gt;38.96&lt;/D&gt;&lt;D xsi:type="xsd:double"&gt;38.78&lt;/D&gt;&lt;D xsi:type="xsd:double"&gt;39.59&lt;/D&gt;&lt;D xsi:type="xsd:double"&gt;40.63&lt;/D&gt;&lt;D xsi:type="xsd:double"&gt;41.23&lt;/D&gt;&lt;D xsi:type="xsd:double"&gt;41.19&lt;/D&gt;&lt;D xsi:type="xsd:double"&gt;41.93&lt;/D&gt;&lt;D xsi:type="xsd:double"&gt;41.76&lt;/D&gt;&lt;D xsi:type="xsd:double"&gt;41.65&lt;/D&gt;&lt;D xsi:type="xsd:double"&gt;41.26&lt;/D&gt;&lt;D xsi:type="xsd:double"&gt;42.41&lt;/D&gt;&lt;D xsi:type="xsd:double"&gt;42.34&lt;/D&gt;&lt;D xsi:type="xsd:double"&gt;42.22&lt;/D&gt;&lt;D xsi:type="xsd:double"&gt;41.91&lt;/D&gt;&lt;D xsi:type="xsd:double"&gt;41.21&lt;/D&gt;&lt;D xsi:type="xsd:double"&gt;40.97&lt;/D&gt;&lt;D xsi:type="xsd:double"&gt;41.54&lt;/D&gt;&lt;D xsi:type="xsd:double"&gt;40.84&lt;/D&gt;&lt;D xsi:type="xsd:double"&gt;40.66&lt;/D&gt;&lt;D xsi:type="xsd:double"&gt;41.37&lt;/D&gt;&lt;D xsi:type="xsd:double"&gt;41.54&lt;/D&gt;&lt;D xsi:type="xsd:double"&gt;41.14&lt;/D&gt;&lt;D xsi:type="xsd:double"&gt;41.25&lt;/D&gt;&lt;D xsi:type="xsd:double"&gt;41.58&lt;/D&gt;&lt;D xsi:type="xsd:double"&gt;40.39&lt;/D&gt;&lt;D xsi:type="xsd:double"&gt;39.56&lt;/D&gt;&lt;D xsi:type="xsd:double"&gt;39.86&lt;/D&gt;&lt;D xsi:type="xsd:double"&gt;39.43&lt;/D&gt;&lt;D xsi:type="xsd:double"&gt;39.08&lt;/D&gt;&lt;D xsi:type="xsd:double"&gt;38.64&lt;/D&gt;&lt;D xsi:type="xsd:double"&gt;38.87&lt;/D&gt;&lt;D xsi:type="xsd:double"&gt;38.41&lt;/D&gt;&lt;D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xsi:type="xsd:double"&gt;34.41&lt;/D&gt;&lt;D xsi:type="xsd:double"&gt;34.76&lt;/D&gt;&lt;D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xsi:type="xsd:double"&gt;30.05&lt;/D&gt;&lt;/FQL&gt;&lt;FQL&gt;&lt;Q&gt;EWY^FG_PRICE(0,-200D)&lt;/Q&gt;&lt;R&gt;201&lt;/R&gt;&lt;C&gt;1&lt;/C&gt;&lt;D xsi:type="xsd:double"&gt;134.82&lt;/D&gt;&lt;D xsi:type="xsd:double"&gt;131.88&lt;/D&gt;&lt;D xsi:type="xsd:double"&gt;134.43&lt;/D&gt;&lt;D xsi:type="xsd:double"&gt;133.1&lt;/D&gt;&lt;D xsi:type="xsd:double"&gt;124.15&lt;/D&gt;&lt;D xsi:type="xsd:double"&gt;123.5&lt;/D&gt;&lt;D xsi:type="xsd:double"&gt;132.85&lt;/D&gt;&lt;D xsi:type="xsd:double"&gt;130.3&lt;/D&gt;&lt;D xsi:type="xsd:double"&gt;133.89&lt;/D&gt;&lt;D xsi:type="xsd:double"&gt;126.73&lt;/D&gt;&lt;D xsi:type="xsd:double"&gt;125.74&lt;/D&gt;&lt;D xsi:type="xsd:double"&gt;134.37&lt;/D&gt;&lt;D xsi:type="xsd:double"&gt;132.34&lt;/D&gt;&lt;D xsi:type="xsd:double"&gt;147.54&lt;/D&gt;&lt;D xsi:type="xsd:double"&gt;151.37&lt;/D&gt;&lt;D xsi:type="xsd:double"&gt;150.41&lt;/D&gt;&lt;D xsi:type="xsd:double"&gt;148.89&lt;/D&gt;&lt;D xsi:type="xsd:double"&gt;144.55&lt;/D&gt;&lt;D xsi:type="xsd:double"&gt;139.3&lt;/D&gt;&lt;D xsi:type="xsd:double"&gt;141.88&lt;/D&gt;&lt;D xsi:type="xsd:double"&gt;135.21&lt;/D&gt;&lt;D xsi:type="xsd:double"&gt;132.93&lt;/D&gt;&lt;D xsi:type="xsd:double"&gt;130.68&lt;/D&gt;&lt;D xsi:type="xsd:double"&gt;133.97&lt;/D&gt;&lt;D xsi:type="xsd:double"&gt;130.8&lt;/D&gt;&lt;D xsi:type="xsd:double"&gt;130.6&lt;/D&gt;&lt;D xsi:type="xsd:double"&gt;124.45&lt;/D&gt;&lt;D xsi:type="xsd:double"&gt;126.05&lt;/D&gt;&lt;D xsi:type="xsd:double"&gt;124.71&lt;/D&gt;&lt;D xsi:type="xsd:double"&gt;120.21&lt;/D&gt;&lt;D xsi:type="xsd:double"&gt;120.26&lt;/D&gt;&lt;D xsi:type="xsd:double"&gt;124.32&lt;/D&gt;&lt;D xsi:type="xsd:double"&gt;120.93&lt;/D&gt;&lt;D xsi:type="xsd:double"&gt;122.41&lt;/D&gt;&lt;D xsi:type="xsd:double"&gt;124.5&lt;/D&gt;&lt;D xsi:type="xsd:double"&gt;125.56&lt;/D&gt;&lt;D xsi:type="xsd:double"&gt;122.7&lt;/D&gt;&lt;D xsi:type="xsd:double"&gt;117.32&lt;/D&gt;&lt;D xsi:type="xsd:double"&gt;117.97&lt;/D&gt;&lt;D xsi:type="xsd:double"&gt;115.99&lt;/D&gt;&lt;D xsi:type="xsd:double"&gt;115.66&lt;/D&gt;&lt;D xsi:type="xsd:double"&gt;110.97&lt;/D&gt;&lt;D xsi:type="xsd:double"&gt;112.22&lt;/D&gt;&lt;D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xsi:type="xsd:double"&gt;98.62&lt;/D&gt;&lt;D xsi:type="xsd:double"&gt;98.72&lt;/D&gt;&lt;D xsi:type="xsd:double"&gt;95.84&lt;/D&gt;&lt;D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xsi:type="xsd:double"&gt;61.74&lt;/D&gt;&lt;/FQL&gt;&lt;FQL&gt;&lt;Q&gt;ECH^FG_PRICE(0,-200D)&lt;/Q&gt;&lt;R&gt;201&lt;/R&gt;&lt;C&gt;1&lt;/C&gt;&lt;D xsi:type="xsd:double"&gt;39.76&lt;/D&gt;&lt;D xsi:type="xsd:double"&gt;39.77&lt;/D&gt;&lt;D xsi:type="xsd:double"&gt;40.18&lt;/D&gt;&lt;D xsi:type="xsd:double"&gt;39.79&lt;/D&gt;&lt;D xsi:type="xsd:double"&gt;38.85&lt;/D&gt;&lt;D xsi:type="xsd:double"&gt;39.28&lt;/D&gt;&lt;D xsi:type="xsd:double"&gt;40.64&lt;/D&gt;&lt;D xsi:type="xsd:double"&gt;40.68&lt;/D&gt;&lt;D xsi:type="xsd:double"&gt;39.73&lt;/D&gt;&lt;D xsi:type="xsd:double"&gt;38.99&lt;/D&gt;&lt;D xsi:type="xsd:double"&gt;38.97&lt;/D&gt;&lt;D xsi:type="xsd:double"&gt;40.31&lt;/D&gt;&lt;D xsi:type="xsd:double"&gt;39.57&lt;/D&gt;&lt;D xsi:type="xsd:double"&gt;41.56&lt;/D&gt;&lt;D xsi:type="xsd:double"&gt;43.5&lt;/D&gt;&lt;D xsi:type="xsd:double"&gt;44.34&lt;/D&gt;&lt;D xsi:type="xsd:double"&gt;44.73&lt;/D&gt;&lt;D xsi:type="xsd:double"&gt;44.54&lt;/D&gt;&lt;D xsi:type="xsd:double"&gt;43.51&lt;/D&gt;&lt;D xsi:type="xsd:double"&gt;43.58&lt;/D&gt;&lt;D xsi:type="xsd:double"&gt;43.52&lt;/D&gt;&lt;D xsi:type="xsd:double"&gt;43.69&lt;/D&gt;&lt;D xsi:type="xsd:double"&gt;43.8&lt;/D&gt;&lt;D xsi:type="xsd:double"&gt;43.81&lt;/D&gt;&lt;D xsi:type="xsd:double"&gt;44.25&lt;/D&gt;&lt;D xsi:type="xsd:double"&gt;45.35&lt;/D&gt;&lt;D xsi:type="xsd:double"&gt;44.54&lt;/D&gt;&lt;D xsi:type="xsd:double"&gt;46.17&lt;/D&gt;&lt;D xsi:type="xsd:double"&gt;45.24&lt;/D&gt;&lt;D xsi:type="xsd:double"&gt;45.19&lt;/D&gt;&lt;D xsi:type="xsd:double"&gt;45.66&lt;/D&gt;&lt;D xsi:type="xsd:double"&gt;47.19&lt;/D&gt;&lt;D xsi:type="xsd:double"&gt;46.05&lt;/D&gt;&lt;D xsi:type="xsd:double"&gt;45.24&lt;/D&gt;&lt;D xsi:type="xsd:double"&gt;46.875&lt;/D&gt;&lt;D xsi:type="xsd:double"&gt;47.06&lt;/D&gt;&lt;D xsi:type="xsd:double"&gt;47.37&lt;/D&gt;&lt;D xsi:type="xsd:double"&gt;46.78&lt;/D&gt;&lt;D xsi:type="xsd:double"&gt;46.4&lt;/D&gt;&lt;D xsi:type="xsd:double"&gt;46.175&lt;/D&gt;&lt;D xsi:type="xsd:double"&gt;45.2&lt;/D&gt;&lt;D xsi:type="xsd:double"&gt;43.89&lt;/D&gt;&lt;D xsi:type="xsd:double"&gt;44.09&lt;/D&gt;&lt;D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xsi:type="xsd:double"&gt;40.54&lt;/D&gt;&lt;D xsi:type="xsd:double"&gt;40.15&lt;/D&gt;&lt;D xsi:type="xsd:double"&gt;40.29&lt;/D&gt;&lt;D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xsi:type="xsd:double"&gt;31.53&lt;/D&gt;&lt;/FQL&gt;&lt;FQL&gt;&lt;Q&gt;QQQ^FG_TOTAL_RETURNC(-5AY,0,AM)&lt;/Q&gt;&lt;R&gt;61&lt;/R&gt;&lt;C&gt;1&lt;/C&gt;&lt;D xsi:type="xsd:double"&gt;-5.40148&lt;/D&gt;&lt;D xsi:type="xsd:double"&gt;8.35402&lt;/D&gt;&lt;D xsi:type="xsd:double"&gt;-4.8070135&lt;/D&gt;&lt;D xsi:type="xsd:double"&gt;6.2122226&lt;/D&gt;&lt;D xsi:type="xsd:double"&gt;3.6332726&lt;/D&gt;&lt;D xsi:type="xsd:double"&gt;2.619326&lt;/D&gt;&lt;D xsi:type="xsd:double"&gt;2.7118325&lt;/D&gt;&lt;D xsi:type="xsd:double"&gt;0.552392&lt;/D&gt;&lt;D xsi:type="xsd:double"&gt;7.5958133&lt;/D&gt;&lt;D xsi:type="xsd:double"&gt;-4.722887&lt;/D&gt;&lt;D xsi:type="xsd:double"&gt;-4.665226&lt;/D&gt;&lt;D xsi:type="xsd:double"&gt;-6.8134665&lt;/D&gt;&lt;D xsi:type="xsd:double"&gt;2.9223084&lt;/D&gt;&lt;D xsi:type="xsd:double"&gt;-1.365906&lt;/D&gt;&lt;D xsi:type="xsd:double"&gt;-16.369205&lt;/D&gt;&lt;D xsi:type="xsd:double"&gt;-5.141926&lt;/D&gt;&lt;D xsi:type="xsd:double"&gt;8.798897&lt;/D&gt;&lt;D xsi:type="xsd:double"&gt;8.23332&lt;/D&gt;&lt;D xsi:type="xsd:double"&gt;-9.691954&lt;/D&gt;&lt;D xsi:type="xsd:double"&gt;-7.06408&lt;/D&gt;&lt;D xsi:type="xsd:double"&gt;5.297804&lt;/D&gt;&lt;D xsi:type="xsd:double"&gt;-5.060947&lt;/D&gt;&lt;D xsi:type="xsd:double"&gt;2.0018458&lt;/D&gt;&lt;D xsi:type="xsd:double"&gt;9.453034&lt;/D&gt;&lt;D xsi:type="xsd:double"&gt;1.3946056&lt;/D&gt;&lt;D xsi:type="xsd:double"&gt;4.532981&lt;/D&gt;&lt;D xsi:type="xsd:double"&gt;5.585015&lt;/D&gt;&lt;D xsi:type="xsd:double"&gt;9.3370075&lt;/D&gt;&lt;D xsi:type="xsd:double"&gt;4.960096&lt;/D&gt;&lt;D xsi:type="xsd:double"&gt;-7.135999&lt;/D&gt;&lt;D xsi:type="xsd:double"&gt;3.4273624&lt;/D&gt;&lt;D </t>
        </r>
      </text>
    </comment>
    <comment ref="A5" authorId="0" shapeId="0" xr:uid="{E23300F5-751A-4050-9AE1-4C2D589F07A2}">
      <text>
        <r>
          <rPr>
            <b/>
            <sz val="9"/>
            <color indexed="81"/>
            <rFont val="Tahoma"/>
            <charset val="1"/>
          </rPr>
          <t>xsi:type="xsd:double"&gt;-2.6766121&lt;/D&gt;&lt;D xsi:type="xsd:double"&gt;7.2422743&lt;/D&gt;&lt;D xsi:type="xsd:double"&gt;6.1994433&lt;/D&gt;&lt;D xsi:type="xsd:double"&gt;2.991724&lt;/D&gt;&lt;D xsi:type="xsd:double"&gt;2.2294521&lt;/D&gt;&lt;D xsi:type="xsd:double"&gt;1.9915342&lt;/D&gt;&lt;D xsi:type="xsd:double"&gt;-5.454093&lt;/D&gt;&lt;D xsi:type="xsd:double"&gt;8.94972&lt;/D&gt;&lt;D xsi:type="xsd:double"&gt;7.404375&lt;/D&gt;&lt;D xsi:type="xsd:double"&gt;-1.8974125&lt;/D&gt;&lt;D xsi:type="xsd:double"&gt;1.2688279&lt;/D&gt;&lt;D xsi:type="xsd:double"&gt;0.43426752&lt;/D&gt;&lt;D xsi:type="xsd:double"&gt;2.4418354&lt;/D&gt;&lt;D xsi:type="xsd:double"&gt;1.8181086&lt;/D&gt;&lt;D xsi:type="xsd:double"&gt;2.1272779&lt;/D&gt;&lt;D xsi:type="xsd:double"&gt;1.6342521&lt;/D&gt;&lt;D xsi:type="xsd:double"&gt;3.407836&lt;/D&gt;&lt;D xsi:type="xsd:double"&gt;-10.867065&lt;/D&gt;&lt;D xsi:type="xsd:double"&gt;-7.515687&lt;/D&gt;&lt;D xsi:type="xsd:double"&gt;17.543352&lt;/D&gt;&lt;D xsi:type="xsd:double"&gt;1.3371348&lt;/D&gt;&lt;D xsi:type="xsd:double"&gt;6.2182665&lt;/D&gt;&lt;D xsi:type="xsd:double"&gt;1.428926&lt;/D&gt;&lt;D xsi:type="xsd:double"&gt;5.282104&lt;/D&gt;&lt;D xsi:type="xsd:double"&gt;0.8802891&lt;/D&gt;&lt;D xsi:type="xsd:double"&gt;-0.6722629&lt;/D&gt;&lt;D xsi:type="xsd:double"&gt;2.8639555&lt;/D&gt;&lt;D xsi:type="xsd:double"&gt;0.811398&lt;/D&gt;&lt;D xsi:type="xsd:double"&gt;-2.8635442&lt;/D&gt;&lt;D xsi:type="xsd:double"&gt;-1.7316461&lt;/D&gt;&lt;/FQL&gt;&lt;FQL&gt;&lt;Q&gt;KSA^FG_TOTAL_RETURNC(-5AY,0,AM)&lt;/Q&gt;&lt;R&gt;61&lt;/R&gt;&lt;C&gt;1&lt;/C&gt;&lt;D xsi:type="xsd:double"&gt;4.8570633&lt;/D&gt;&lt;D xsi:type="xsd:double"&gt;8.795071&lt;/D&gt;&lt;D xsi:type="xsd:double"&gt;2.7216315&lt;/D&gt;&lt;D xsi:type="xsd:double"&gt;2.9024363&lt;/D&gt;&lt;D xsi:type="xsd:double"&gt;-1.3381362&lt;/D&gt;&lt;D xsi:type="xsd:double"&gt;6.572771&lt;/D&gt;&lt;D xsi:type="xsd:double"&gt;2.0313263&lt;/D&gt;&lt;D xsi:type="xsd:double"&gt;4.5814395&lt;/D&gt;&lt;D xsi:type="xsd:double"&gt;-1.3532102&lt;/D&gt;&lt;D xsi:type="xsd:double"&gt;-4.528594&lt;/D&gt;&lt;D xsi:type="xsd:double"&gt;10.245824&lt;/D&gt;&lt;D xsi:type="xsd:double"&gt;1.5572906&lt;/D&gt;&lt;D xsi:type="xsd:double"&gt;3.3954024&lt;/D&gt;&lt;D xsi:type="xsd:double"&gt;6.3559294&lt;/D&gt;&lt;D xsi:type="xsd:double"&gt;-9.960156&lt;/D&gt;&lt;D xsi:type="xsd:double"&gt;-5.614245&lt;/D&gt;&lt;D xsi:type="xsd:double"&gt;0.16528368&lt;/D&gt;&lt;D xsi:type="xsd:double"&gt;7.6850653&lt;/D&gt;&lt;D xsi:type="xsd:double"&gt;-8.975476&lt;/D&gt;&lt;D xsi:type="xsd:double"&gt;3.9923072&lt;/D&gt;&lt;D xsi:type="xsd:double"&gt;-6.0592117&lt;/D&gt;&lt;D xsi:type="xsd:double"&gt;-8.630669&lt;/D&gt;&lt;D xsi:type="xsd:double"&gt;5.6644797&lt;/D&gt;&lt;D xsi:type="xsd:double"&gt;-2.190715&lt;/D&gt;&lt;D xsi:type="xsd:double"&gt;-5.0592957&lt;/D&gt;&lt;D xsi:type="xsd:double"&gt;12.628376&lt;/D&gt;&lt;D xsi:type="xsd:double"&gt;1.9467592&lt;/D&gt;&lt;D xsi:type="xsd:double"&gt;2.5326848&lt;/D&gt;&lt;D xsi:type="xsd:double"&gt;0.7395029&lt;/D&gt;&lt;D xsi:type="xsd:double"&gt;-3.836131&lt;/D&gt;&lt;D xsi:type="xsd:double"&gt;-3.250432&lt;/D&gt;&lt;D xsi:type="xsd:double"&gt;-4.5049667&lt;/D&gt;&lt;D xsi:type="xsd:double"&gt;5.810237&lt;/D&gt;&lt;D xsi:type="xsd:double"&gt;5.894208&lt;/D&gt;&lt;D xsi:type="xsd:double"&gt;1.9299865&lt;/D&gt;&lt;D xsi:type="xsd:double"&gt;5.3676963&lt;/D&gt;&lt;D xsi:type="xsd:double"&gt;0.5610466&lt;/D&gt;&lt;D xsi:type="xsd:double"&gt;-3.5706341&lt;/D&gt;&lt;D xsi:type="xsd:double"&gt;-1.5274227&lt;/D&gt;&lt;D xsi:type="xsd:double"&gt;-1.602006&lt;/D&gt;&lt;D xsi:type="xsd:double"&gt;1.9151568&lt;/D&gt;&lt;D xsi:type="xsd:double"&gt;-0.95148087&lt;/D&gt;&lt;D xsi:type="xsd:double"&gt;1.633048&lt;/D&gt;&lt;D xsi:type="xsd:double"&gt;-1.5831709&lt;/D&gt;&lt;D xsi:type="xsd:double"&gt;-0.3361404&lt;/D&gt;&lt;D xsi:type="xsd:double"&gt;-0.9895146&lt;/D&gt;&lt;D xsi:type="xsd:double"&gt;4.0020585&lt;/D&gt;&lt;D xsi:type="xsd:double"&gt;0.42928457&lt;/D&gt;&lt;D xsi:type="xsd:double"&gt;-4.108286&lt;/D&gt;&lt;D xsi:type="xsd:double"&gt;-0.47053695&lt;/D&gt;&lt;D xsi:type="xsd:double"&gt;-0.6966889&lt;/D&gt;&lt;D xsi:type="xsd:double"&gt;-7.355446&lt;/D&gt;&lt;D xsi:type="xsd:double"&gt;4.867983&lt;/D&gt;&lt;D xsi:type="xsd:double"&gt;-0.7605612&lt;/D&gt;&lt;D xsi:type="xsd:double"&gt;-0.026422739&lt;/D&gt;&lt;D xsi:type="xsd:double"&gt;7.79804&lt;/D&gt;&lt;D xsi:type="xsd:double"&gt;-5.7626247&lt;/D&gt;&lt;D xsi:type="xsd:double"&gt;-4.234183&lt;/D&gt;&lt;D xsi:type="xsd:double"&gt;4.0429115&lt;/D&gt;&lt;D xsi:type="xsd:double"&gt;0.79301596&lt;/D&gt;&lt;D xsi:type="xsd:double"&gt;-1.3899863&lt;/D&gt;&lt;/FQL&gt;&lt;FQL&gt;&lt;Q&gt;GREK^FG_TOTAL_RETURNC(-5AY,0,AM)&lt;/Q&gt;&lt;R&gt;61&lt;/R&gt;&lt;C&gt;1&lt;/C&gt;&lt;D xsi:type="xsd:double"&gt;7.4669957&lt;/D&gt;&lt;D xsi:type="xsd:double"&gt;4.721689&lt;/D&gt;&lt;D xsi:type="xsd:double"&gt;4.2155385&lt;/D&gt;&lt;D xsi:type="xsd:double"&gt;0.03517866&lt;/D&gt;&lt;D xsi:type="xsd:double"&gt;-9.493673&lt;/D&gt;&lt;D xsi:type="xsd:double"&gt;6.3325644&lt;/D&gt;&lt;D xsi:type="xsd:double"&gt;3.83631&lt;/D&gt;&lt;D xsi:type="xsd:double"&gt;-0.49437284&lt;/D&gt;&lt;D xsi:type="xsd:double"&gt;-2.367431&lt;/D&gt;&lt;D xsi:type="xsd:double"&gt;-4.2375984&lt;/D&gt;&lt;D xsi:type="xsd:double"&gt;9.489751&lt;/D&gt;&lt;D xsi:type="xsd:double"&gt;2.647376&lt;/D&gt;&lt;D xsi:type="xsd:double"&gt;-9.456671&lt;/D&gt;&lt;D xsi:type="xsd:double"&gt;5.469048&lt;/D&gt;&lt;D xsi:type="xsd:double"&gt;-9.2906&lt;/D&gt;&lt;D xsi:type="xsd:double"&gt;-5.518067&lt;/D&gt;&lt;D xsi:type="xsd:double"&gt;-3.8729131&lt;/D&gt;&lt;D xsi:type="xsd:double"&gt;9.027171&lt;/D&gt;&lt;D xsi:type="xsd:double"&gt;-5.6270065&lt;/D&gt;&lt;D xsi:type="xsd:double"&gt;-1.8313468&lt;/D&gt;&lt;D xsi:type="xsd:double"&gt;10.759222&lt;/D&gt;&lt;D xsi:type="xsd:double"&gt;4.8570275&lt;/D&gt;&lt;D xsi:type="xsd:double"&gt;9.036911&lt;/D&gt;&lt;D xsi:type="xsd:double"&gt;12.8998165&lt;/D&gt;&lt;D xsi:type="xsd:double"&gt;-10.242838&lt;/D&gt;&lt;D xsi:type="xsd:double"&gt;10.822058&lt;/D&gt;&lt;D xsi:type="xsd:double"&gt;0.1251936&lt;/D&gt;&lt;D xsi:type="xsd:double"&gt;15.317286&lt;/D&gt;&lt;D xsi:type="xsd:double"&gt;7.70396&lt;/D&gt;&lt;D xsi:type="xsd:double"&gt;-6.886077&lt;/D&gt;&lt;D xsi:type="xsd:double"&gt;-6.851554&lt;/D&gt;&lt;D xsi:type="xsd:double"&gt;-3.7653148&lt;/D&gt;&lt;D xsi:type="xsd:double"&gt;11.798609&lt;/D&gt;&lt;D xsi:type="xsd:double"&gt;3.309822&lt;/D&gt;&lt;D xsi:type="xsd:double"&gt;2.963996&lt;/D&gt;&lt;D xsi:type="xsd:double"&gt;3.9292216&lt;/D&gt;&lt;D xsi:type="xsd:double"&gt;-0.050073862&lt;/D&gt;&lt;D xsi:type="xsd:double"&gt;-2.555102&lt;/D&gt;&lt;D xsi:type="xsd:double"&gt;10.30848&lt;/D&gt;&lt;D xsi:type="xsd:double"&gt;-6.2689304&lt;/D&gt;&lt;D xsi:type="xsd:double"&gt;5.4454923&lt;/D&gt;&lt;D xsi:type="xsd:double"&gt;0&lt;/D&gt;&lt;D xsi:type="xsd:double"&gt;-0.056290627&lt;/D&gt;&lt;D xsi:type="xsd:double"&gt;-0.8902788&lt;/D&gt;&lt;D xsi:type="xsd:double"&gt;-8.4503355&lt;/D&gt;&lt;D xsi:type="xsd:double"&gt;4.6399355&lt;/D&gt;&lt;D xsi:type="xsd:double"&gt;5.0236225&lt;/D&gt;&lt;D xsi:type="xsd:double"&gt;5.9179425&lt;/D&gt;&lt;D xsi:type="xsd:double"&gt;12.245846&lt;/D&gt;&lt;D xsi:type="xsd:double"&gt;-1.4365971&lt;/D&gt;&lt;D xsi:type="xsd:double"&gt;11.744833&lt;/D&gt;&lt;D xsi:type="xsd:double"&gt;3.175807&lt;/D&gt;&lt;D xsi:type="xsd:double"&gt;13.830149&lt;/D&gt;&lt;D xsi:type="xsd:double"&gt;6.454253&lt;/D&gt;&lt;D xsi:type="xsd:double"&gt;-1.5502691&lt;/D&gt;&lt;D xsi:type="xsd:double"&gt;-2.1671355&lt;/D&gt;&lt;D xsi:type="xsd:double"&gt;0.9402394&lt;/D&gt;&lt;D xsi:type="xsd:double"&gt;6.1730385&lt;/D&gt;&lt;D xsi:type="xsd:double"&gt;6.327951&lt;/D&gt;&lt;D xsi:type="xsd:double"&gt;1.4422417&lt;/D&gt;&lt;D xsi:type="xsd:double"&gt;-10.993809&lt;/D&gt;&lt;/FQL&gt;&lt;FQL&gt;&lt;Q&gt;EWG^FG_PRICE(0,-200D)&lt;/Q&gt;&lt;R&gt;201&lt;/R&gt;&lt;C&gt;1&lt;/C&gt;&lt;D xsi:type="xsd:double"&gt;39.69&lt;/D&gt;&lt;D xsi:type="xsd:double"&gt;39.76&lt;/D&gt;&lt;D xsi:type="xsd:double"&gt;40.74&lt;/D&gt;&lt;D xsi:type="xsd:double"&gt;40.52&lt;/D&gt;&lt;D xsi:type="xsd:double"&gt;39.84&lt;/D&gt;&lt;D xsi:type="xsd:double"&gt;40.34&lt;/D&gt;&lt;D xsi:type="xsd:double"&gt;40.8&lt;/D&gt;&lt;D xsi:type="xsd:double"&gt;41.1&lt;/D&gt;&lt;D xsi:type="xsd:double"&gt;41.09&lt;/D&gt;&lt;D xsi:type="xsd:double"&gt;40.82&lt;/D&gt;&lt;D xsi:type="xsd:double"&gt;41.18&lt;/D&gt;&lt;D xsi:type="xsd:double"&gt;42.1&lt;/D&gt;&lt;D xsi:type="xsd:double"&gt;41.57&lt;/D&gt;&lt;D xsi:type="xsd:double"&gt;42.91&lt;/D&gt;&lt;D xsi:type="xsd:double"&gt;44.34&lt;/D&gt;&lt;D xsi:type="xsd:double"&gt;44.56&lt;/D&gt;&lt;D xsi:type="xsd:double"&gt;44.35&lt;/D&gt;&lt;D xsi:type="xsd:double"&gt;43.95&lt;/D&gt;&lt;D xsi:type="xsd:double"&gt;43.9&lt;/D&gt;&lt;D xsi:type="xsd:double"&gt;44.32&lt;/D&gt;&lt;D xsi:type="xsd:double"&gt;43.88&lt;/D&gt;&lt;D xsi:type="xsd:double"&gt;44.12&lt;/D&gt;&lt;D xsi:type="xsd:double"&gt;44.04&lt;/D&gt;&lt;D xsi:type="xsd:double"&gt;43.97&lt;/D&gt;&lt;D xsi:type="xsd:double"&gt;43.96&lt;/D&gt;&lt;D xsi:type="xsd:double"&gt;44.05&lt;/D&gt;&lt;D xsi:type="xsd:double"&gt;44.22&lt;/D&gt;&lt;D xsi:type="xsd:double"&gt;44.32&lt;/D&gt;&lt;D xsi:type="xsd:double"&gt;43.53&lt;/D&gt;&lt;D xsi:type="xsd:double"&gt;42.84&lt;/D&gt;&lt;D xsi:type="xsd:double"&gt;43.25&lt;/D&gt;&lt;D xsi:type="xsd:double"&gt;43.51&lt;/D&gt;&lt;D xsi:type="xsd:double"&gt;43.48&lt;/D&gt;&lt;D xsi:type="xsd:double"&gt;43.11&lt;/D&gt;&lt;D xsi:type="xsd:double"&gt;43.44&lt;/D&gt;&lt;D xsi:type="xsd:double"&gt;44.01&lt;/D&gt;&lt;D xsi:type="xsd:double"&gt;44.3&lt;/D&gt;&lt;D xsi:type="xsd:double"&gt;43.84&lt;/D&gt;&lt;D xsi:type="xsd:double"&gt;43.48&lt;/D&gt;&lt;D xsi:type="xsd:double"&gt;43.1&lt;/D&gt;&lt;D xsi:type="xsd:double"&gt;42.82&lt;/D&gt;&lt;D xsi:type="xsd:double"&gt;42.54&lt;/D&gt;&lt;D xsi:type="xsd:double"&gt;43.34&lt;/D&gt;&lt;D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xsi:type="xsd:double"&gt;42.75&lt;/D&gt;&lt;D xsi:type="xsd:double"&gt;42.51&lt;/D&gt;&lt;D xsi:type="xsd:double"&gt;42.65&lt;/D&gt;&lt;D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xsi:type="xsd:double"&gt;42.34&lt;/D&gt;&lt;/FQL&gt;&lt;FQL&gt;&lt;Q&gt;SET-BKK^FG_PRICE(0,-200D)&lt;/Q&gt;&lt;R&gt;201&lt;/R&gt;&lt;C&gt;1&lt;/C&gt;&lt;D xsi:type="xsd:double"&gt;1417.45&lt;/D&gt;&lt;D xsi:type="xsd:double"&gt;1440.85&lt;/D&gt;&lt;D xsi:type="xsd:double"&gt;1433.88&lt;/D&gt;&lt;D xsi:type="xsd:double"&gt;1405.02&lt;/D&gt;&lt;D xsi:type="xsd:double"&gt;1409.35&lt;/D&gt;&lt;D xsi:type="xsd:double"&gt;1429.8&lt;/D&gt;&lt;D xsi:type="xsd:double"&gt;1407.34&lt;/D&gt;&lt;D xsi:type="xsd:double"&gt;1405.76&lt;/D&gt;&lt;D xsi:type="xsd:double"&gt;1382.97&lt;/D&gt;&lt;D xsi:type="xsd:double"&gt;1410.37&lt;/D&gt;&lt;D xsi:type="xsd:double"&gt;1417.29&lt;/D&gt;&lt;D xsi:type="xsd:double"&gt;1384.61&lt;/D&gt;&lt;D xsi:type="xsd:double"&gt;1466.51&lt;/D&gt;&lt;D xsi:type="xsd:double"&gt;1528.26&lt;/D&gt;&lt;D xsi:type="xsd:double"&gt;1533.64&lt;/D&gt;&lt;D xsi:type="xsd:double"&gt;1516.01&lt;/D&gt;&lt;D xsi:type="xsd:double"&gt;1490.4&lt;/D&gt;&lt;D xsi:type="xsd:double"&gt;1480.24&lt;/D&gt;&lt;D xsi:type="xsd:double"&gt;1479.71&lt;/D&gt;&lt;D xsi:type="xsd:double"&gt;1493.91&lt;/D&gt;&lt;D xsi:type="xsd:double"&gt;1466.67&lt;/D&gt;&lt;D xsi:type="xsd:double"&gt;1459.68&lt;/D&gt;&lt;D xsi:type="xsd:double"&gt;1438.09&lt;/D&gt;&lt;D xsi:type="xsd:double"&gt;1430.41&lt;/D&gt;&lt;D xsi:type="xsd:double"&gt;1441.53&lt;/D&gt;&lt;D xsi:type="xsd:double"&gt;1411.7&lt;/D&gt;&lt;D xsi:type="xsd:double"&gt;1410.44&lt;/D&gt;&lt;D xsi:type="xsd:double"&gt;1400.89&lt;/D&gt;&lt;D xsi:type="xsd:double"&gt;1354.01&lt;/D&gt;&lt;D xsi:type="xsd:double"&gt;1346.23&lt;/D&gt;&lt;D xsi:type="xsd:double"&gt;1346.54&lt;/D&gt;&lt;D xsi:type="xsd:double"&gt;1336.11&lt;/D&gt;&lt;D xsi:type="xsd:double"&gt;1321.42&lt;/D&gt;&lt;D xsi:type="xsd:double"&gt;1325.62&lt;/D&gt;&lt;D xsi:type="xsd:double"&gt;1331.07&lt;/D&gt;&lt;D xsi:type="xsd:double"&gt;1338.9&lt;/D&gt;&lt;D xsi:type="xsd:double"&gt;1334.45&lt;/D&gt;&lt;D xsi:type="xsd:double"&gt;1307.07&lt;/D&gt;&lt;D xsi:type="xsd:double"&gt;1314.39&lt;/D&gt;&lt;D xsi:type="xsd:double"&gt;1311.64&lt;/D&gt;&lt;D xsi:type="xsd:double"&gt;1317.56&lt;/D&gt;&lt;D xsi:type="xsd:double"&gt;1296.37&lt;/D&gt;&lt;D xsi:type="xsd:double"&gt;1283.2&lt;/D&gt;&lt;D xsi:type="xsd:double"&gt;1275.6&lt;/D&gt;&lt;D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xsi:type="xsd:double"&gt;1261.39&lt;/D&gt;&lt;D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xsi:type="xsd:double"&gt;1176.36&lt;/D&gt;&lt;/FQL&gt;&lt;FQL&gt;&lt;Q&gt;EWU^FG_TOTAL_RETURNC(-5AY,0,AM)&lt;/Q&gt;&lt;R&gt;61&lt;/R&gt;&lt;C&gt;1&lt;/C&gt;&lt;D xsi:type="xsd:double"&gt;1.3561487&lt;/D&gt;&lt;D xsi:type="xsd:double"&gt;5.2245975&lt;/D&gt;&lt;D xsi:type="xsd:double"&gt;1.4532208&lt;/D&gt;&lt;D xsi:type="xsd:double"&gt;-1.7090797&lt;/D&gt;&lt;D xsi:type="xsd:double"&gt;-2.9330015&lt;/D&gt;&lt;D xsi:type="xsd:double"&gt;3.5305262&lt;/D&gt;&lt;D xsi:type="xsd:double"&gt;-0.58371425&lt;/D&gt;&lt;D xsi:type="xsd:double"&gt;4.480839&lt;/D&gt;&lt;D xsi:type="xsd:double"&gt;-2.3957431&lt;/D&gt;&lt;D xsi:type="xsd:double"&gt;-0.82787275&lt;/D&gt;&lt;D xsi:type="xsd:double"&gt;8.571434&lt;/D&gt;&lt;D xsi:type="xsd:double"&gt;-0.8964777&lt;/D&gt;&lt;D xsi:type="xsd:double"&gt;-2.7137458&lt;/D&gt;&lt;D xsi:type="xsd:double"&gt;2.0395875&lt;/D&gt;&lt;D xsi:type="xsd:double"&gt;-6.643152&lt;/D&gt;&lt;D xsi:type="xsd:double"&gt;-6.43661&lt;/D&gt;&lt;D xsi:type="xsd:double"&gt;2.433169&lt;/D&gt;&lt;D xsi:type="xsd:double"&gt;2.2081017&lt;/D&gt;&lt;D xsi:type="xsd:double"&gt;-6.743044&lt;/D&gt;&lt;D xsi:type="xsd:double"&gt;-6.0021043&lt;/D&gt;&lt;D xsi:type="xsd:double"&gt;13.032114&lt;/D&gt;&lt;D xsi:type="xsd:double"&gt;1.8986583&lt;/D&gt;&lt;D xsi:type="xsd:double"&gt;7.568276&lt;/D&gt;&lt;D xsi:type="xsd:double"&gt;0.3670931&lt;/D&gt;&lt;D xsi:type="xsd:double"&gt;-7.253891&lt;/D&gt;&lt;D xsi:type="xsd:double"&gt;10.647381&lt;/D&gt;&lt;D xsi:type="xsd:double"&gt;-1.039499&lt;/D&gt;&lt;D xsi:type="xsd:double"&gt;0.87172985&lt;/D&gt;&lt;D xsi:type="xsd:double"&gt;0.39428473&lt;/D&gt;&lt;D xsi:type="xsd:double"&gt;-4.92447&lt;/D&gt;&lt;D xsi:type="xsd:double"&gt;2.8598666&lt;/D&gt;&lt;D xsi:type="xsd:double"&gt;-3.7071347&lt;/D&gt;&lt;D xsi:type="xsd:double"&gt;2.9836297&lt;/D&gt;&lt;D xsi:type="xsd:double"&gt;4.174459&lt;/D&gt;&lt;D xsi:type="xsd:double"&gt;-2.225566&lt;/D&gt;&lt;D xsi:type="xsd:double"&gt;2.2528172&lt;/D&gt;&lt;D xsi:type="xsd:double"&gt;2.1419883&lt;/D&gt;&lt;D xsi:type="xsd:double"&gt;0.32954216&lt;/D&gt;&lt;D xsi:type="xsd:double"&gt;9.704388&lt;/D&gt;&lt;D xsi:type="xsd:double"&gt;-2.7038813&lt;/D&gt;&lt;D xsi:type="xsd:double"&gt;1.2835026&lt;/D&gt;&lt;D xsi:type="xsd:double"&gt;3.6046267&lt;/D&gt;&lt;D xsi:type="xsd:double"&gt;1.9026875&lt;/D&gt;&lt;D xsi:type="xsd:double"&gt;-1.2803495&lt;/D&gt;&lt;D xsi:type="xsd:double"&gt;-6.106454&lt;/D&gt;&lt;D xsi:type="xsd:double"&gt;-1.0740697&lt;/D&gt;&lt;D xsi:type="xsd:double"&gt;2.108705&lt;/D&gt;&lt;D xsi:type="xsd:double"&gt;6.5735817&lt;/D&gt;&lt;D xsi:type="xsd:double"&gt;3.6845088&lt;/D&gt;&lt;D xsi:type="xsd:double"&gt;-2.684921&lt;/D&gt;&lt;D xsi:type="xsd:double"&gt;6.38355&lt;/D&gt;&lt;D xsi:type="xsd:double"&gt;1.7616272&lt;/D&gt;&lt;D xsi:type="xsd:double"&gt;1.478827&lt;/D&gt;&lt;D xsi:type="xsd:double"&gt;3.74372&lt;/D&gt;&lt;D xsi:type="xsd:double"&gt;0.16952753&lt;/D&gt;&lt;D xsi:type="xsd:double"&gt;1.7166376&lt;/D&gt;&lt;D xsi:type="xsd:double"&gt;-0.8081794&lt;/D&gt;&lt;D xsi:type="xsd:double"&gt;6.3619256&lt;/D&gt;&lt;D xsi:type="xsd:double"&gt;3.766644&lt;/D&gt;&lt;D xsi:type="xsd:double"&gt;5.533421&lt;/D&gt;&lt;D xsi:type="xsd:double"&gt;-5.3901014&lt;/D&gt;&lt;/FQL&gt;&lt;FQL&gt;&lt;Q&gt;EPHE^FG_TOTAL_RETURNC(-5AY,0,AM)&lt;/Q&gt;&lt;R&gt;61&lt;/R&gt;&lt;C&gt;1&lt;/C&gt;&lt;D xsi:type="xsd:double"&gt;-4.397029&lt;/D&gt;&lt;D xsi:type="xsd:double"&gt;-0.60872436&lt;/D&gt;&lt;D xsi:type="xsd:double"&gt;-1.7012596&lt;/D&gt;&lt;D xsi:type="xsd:double"&gt;7.4059486&lt;/D&gt;&lt;D xsi:type="xsd:double"&gt;-7.8844905&lt;/D&gt;&lt;D xsi:type="xsd:double"&gt;2.6769996&lt;/D&gt;&lt;D xsi:type="xsd:double"&gt;4.459691&lt;/D&gt;&lt;D xsi:type="xsd:double"&gt;7.2906375&lt;/D&gt;&lt;D xsi:type="xsd:double"&gt;-1.1937559&lt;/D&gt;&lt;D xsi:type="xsd:double"&gt;1.2694359&lt;/D&gt;&lt;D xsi:type="xsd:double"&gt;-3.8685918&lt;/D&gt;&lt;D xsi:type="xsd:double"&gt;4.3117285&lt;/D&gt;&lt;D xsi:type="xsd:double"&gt;-7.8383327&lt;/D&gt;&lt;D xsi:type="xsd:double"&gt;-0.2990067&lt;/D&gt;&lt;D xsi:type="xsd:double"&gt;-3.7987292&lt;/D&gt;&lt;D xsi:type="xsd:double"&gt;-8.004272&lt;/D&gt;&lt;D xsi:type="xsd:double"&gt;-3.9428592&lt;/D&gt;&lt;D xsi:type="xsd:double"&gt;9.815586&lt;/D&gt;&lt;D xsi:type="xsd:double"&gt;-8.667385&lt;/D&gt;&lt;D xsi:type="xsd:double"&gt;-7.5523973&lt;/D&gt;&lt;D xsi:type="xsd:double"&gt;8.682632&lt;/D&gt;&lt;D xsi:type="xsd:double"&gt;1.0185361&lt;/D&gt;&lt;D xsi:type="xsd:double"&gt;13.502943&lt;/D&gt;&lt;D xsi:type="xsd:double"&gt;-4.5172396&lt;/D&gt;&lt;D xsi:type="xsd:double"&gt;-5.5615783&lt;/D&gt;&lt;D xsi:type="xsd:double"&gt;-1.7973185&lt;/D&gt;&lt;D xsi:type="xsd:double"&gt;4.2056084&lt;/D&gt;&lt;D xsi:type="xsd:double"&gt;-2.875644&lt;/D&gt;&lt;D xsi:type="xsd:double"&gt;4.400313&lt;/D&gt;&lt;D xsi:type="xsd:double"&gt;-7.3853016&lt;/D&gt;&lt;D xsi:type="xsd:double"&gt;-3.9871097&lt;/D&gt;&lt;D xsi:type="xsd:double"&gt;2.4328828&lt;/D&gt;&lt;D xsi:type="xsd:double"&gt;2.1293998&lt;/D&gt;&lt;D xsi:type="xsd:double"&gt;4.2501926&lt;/D&gt;&lt;D xsi:type="xsd:double"&gt;1.930213&lt;/D&gt;&lt;D xsi:type="xsd:double"&gt;4.770601&lt;/D&gt;&lt;D xsi:type="xsd:double"&gt;-0.1452446&lt;/D&gt;&lt;D xsi:type="xsd:double"&gt;-10.036367&lt;/D&gt;&lt;D xsi:type="xsd:double"&gt;4.7695994&lt;/D&gt;&lt;D xsi:type="xsd:double"&gt;-6.047493&lt;/D&gt;&lt;D xsi:type="xsd:double"&gt;6.586075&lt;/D&gt;&lt;D xsi:type="xsd:double"&gt;7.0003986&lt;/D&gt;&lt;D xsi:type="xsd:double"&gt;6.3596487&lt;/D&gt;&lt;D xsi:type="xsd:double"&gt;-0.8591056&lt;/D&gt;&lt;D xsi:type="xsd:double"&gt;-10.121316&lt;/D&gt;&lt;D xsi:type="xsd:double"&gt;-4.4981537&lt;/D&gt;&lt;D xsi:type="xsd:double"&gt;0.81466436&lt;/D&gt;&lt;D xsi:type="xsd:double"&gt;-1.5353501&lt;/D&gt;&lt;D xsi:type="xsd:double"&gt;6.1551094&lt;/D&gt;&lt;D xsi:type="xsd:double"&gt;-2.1959782&lt;/D&gt;&lt;D xsi:type="xsd:double"&gt;10.268391&lt;/D&gt;&lt;D xsi:type="xsd:double"&gt;-3.1605005&lt;/D&gt;&lt;D xsi:type="xsd:double"&gt;-2.2097409&lt;/D&gt;&lt;D xsi:type="xsd:double"&gt;0.53619146&lt;/D&gt;&lt;D xsi:type="xsd:double"&gt;2.0952344&lt;/D&gt;&lt;D xsi:type="xsd:double"&gt;-5.1865635&lt;/D&gt;&lt;D xsi:type="xsd:double"&gt;-4.64384&lt;/D&gt;&lt;D xsi:type="xsd:double"&gt;2.5804162&lt;/D&gt;&lt;D xsi:type="xsd:double"&gt;7.13706&lt;/D&gt;&lt;D xsi:type="xsd:double"&gt;1.5518546&lt;/D&gt;&lt;D xsi:type="xsd:double"&gt;-7.976145&lt;/D&gt;&lt;/FQL&gt;&lt;FQL&gt;&lt;Q&gt;QAT^FG_PRICE(0,-200D)&lt;/Q&gt;&lt;R&gt;201&lt;/R&gt;&lt;C&gt;1&lt;/C&gt;&lt;D xsi:type="xsd:double"&gt;18.33&lt;/D&gt;&lt;D xsi:type="xsd:double"&gt;18.67&lt;/D&gt;&lt;D xsi:type="xsd:double"&gt;18.69&lt;/D&gt;&lt;D xsi:type="xsd:double"&gt;18.74&lt;/D&gt;&lt;D xsi:type="xsd:double"&gt;18.74&lt;/D&gt;&lt;D xsi:type="xsd:double"&gt;18.7&lt;/D&gt;&lt;D xsi:type="xsd:double"&gt;18.8&lt;/D&gt;&lt;D xsi:type="xsd:double"&gt;18.93&lt;/D&gt;&lt;D xsi:type="xsd:double"&gt;18.81&lt;/D&gt;&lt;D xsi:type="xsd:double"&gt;18.75&lt;/D&gt;&lt;D xsi:type="xsd:double"&gt;18.86&lt;/D&gt;&lt;D xsi:type="xsd:double"&gt;18.89&lt;/D&gt;&lt;D xsi:type="xsd:double"&gt;19.01&lt;/D&gt;&lt;D xsi:type="xsd:double"&gt;18.87&lt;/D&gt;&lt;D xsi:type="xsd:double"&gt;19.46&lt;/D&gt;&lt;D xsi:type="xsd:double"&gt;19.52&lt;/D&gt;&lt;D xsi:type="xsd:double"&gt;19.89&lt;/D&gt;&lt;D xsi:type="xsd:double"&gt;19.99&lt;/D&gt;&lt;D xsi:type="xsd:double"&gt;19.92&lt;/D&gt;&lt;D xsi:type="xsd:double"&gt;19.845&lt;/D&gt;&lt;D xsi:type="xsd:double"&gt;19.8556&lt;/D&gt;&lt;D xsi:type="xsd:double"&gt;20.115&lt;/D&gt;&lt;D xsi:type="xsd:double"&gt;19.98&lt;/D&gt;&lt;D xsi:type="xsd:double"&gt;20.0967&lt;/D&gt;&lt;D xsi:type="xsd:double"&gt;20.075&lt;/D&gt;&lt;D xsi:type="xsd:double"&gt;20.125&lt;/D&gt;&lt;D xsi:type="xsd:double"&gt;20.095&lt;/D&gt;&lt;D xsi:type="xsd:double"&gt;20.1&lt;/D&gt;&lt;D xsi:type="xsd:double"&gt;19.94&lt;/D&gt;&lt;D xsi:type="xsd:double"&gt;19.82&lt;/D&gt;&lt;D xsi:type="xsd:double"&gt;19.96&lt;/D&gt;&lt;D xsi:type="xsd:double"&gt;19.9169&lt;/D&gt;&lt;D xsi:type="xsd:double"&gt;19.97&lt;/D&gt;&lt;D xsi:type="xsd:double"&gt;19.71&lt;/D&gt;&lt;D xsi:type="xsd:double"&gt;19.82&lt;/D&gt;&lt;D xsi:type="xsd:double"&gt;20&lt;/D&gt;&lt;D xsi:type="xsd:double"&gt;19.94&lt;/D&gt;&lt;D xsi:type="xsd:double"&gt;19.937&lt;/D&gt;&lt;D xsi:type="xsd:double"&gt;19.82&lt;/D&gt;&lt;D xsi:type="xsd:double"&gt;19.9&lt;/D&gt;&lt;D xsi:type="xsd:double"&gt;19.71&lt;/D&gt;&lt;D xsi:type="xsd:double"&gt;19.71&lt;/D&gt;&lt;D xsi:type="xsd:double"&gt;19.46&lt;/D&gt;&lt;D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xsi:type="xsd:double"&gt;18.8&lt;/D&gt;&lt;/FQL&gt;&lt;FQL&gt;&lt;Q&gt;EWT^FG_PRICE(0,-200D)&lt;/Q&gt;&lt;R&gt;201&lt;/R&gt;&lt;C&gt;1&lt;/C&gt;&lt;D xsi:type="xsd:double"&gt;72.14&lt;/D&gt;&lt;D xsi:type="xsd:double"&gt;71.34&lt;/D&gt;&lt;D xsi:type="xsd:double"&gt;73&lt;/D&gt;&lt;D xsi:type="xsd:double"&gt;72.03&lt;/D&gt;&lt;D xsi:type="xsd:double"&gt;69.99&lt;/D&gt;&lt;D xsi:type="xsd:double"&gt;69.76&lt;/D&gt;&lt;D xsi:type="xsd:double"&gt;71.91&lt;/D&gt;&lt;D xsi:type="xsd:double"&gt;70.44&lt;/D&gt;&lt;D xsi:type="xsd:double"&gt;70.76&lt;/D&gt;&lt;D xsi:type="xsd:double"&gt;69.52&lt;/D&gt;&lt;D xsi:type="xsd:double"&gt;70.4&lt;/D&gt;&lt;D xsi:type="xsd:double"&gt;71.62&lt;/D&gt;&lt;D xsi:type="xsd:double"&gt;71.29&lt;/D&gt;&lt;D xsi:type="xsd:double"&gt;75.07&lt;/D&gt;&lt;D xsi:type="xsd:double"&gt;75.67&lt;/D&gt;&lt;D xsi:type="xsd:double"&gt;76.14&lt;/D&gt;&lt;D xsi:type="xsd:double"&gt;77.06&lt;/D&gt;&lt;D xsi:type="xsd:double"&gt;75.73&lt;/D&gt;&lt;D xsi:type="xsd:double"&gt;73.18&lt;/D&gt;&lt;D xsi:type="xsd:double"&gt;74.38&lt;/D&gt;&lt;D xsi:type="xsd:double"&gt;72.67&lt;/D&gt;&lt;D xsi:type="xsd:double"&gt;72.98&lt;/D&gt;&lt;D xsi:type="xsd:double"&gt;72.89&lt;/D&gt;&lt;D xsi:type="xsd:double"&gt;73.05&lt;/D&gt;&lt;D xsi:type="xsd:double"&gt;72.56&lt;/D&gt;&lt;D xsi:type="xsd:double"&gt;73.35&lt;/D&gt;&lt;D xsi:ty</t>
        </r>
      </text>
    </comment>
    <comment ref="A6" authorId="0" shapeId="0" xr:uid="{1666AF04-212F-4214-93DA-9ADC2710947D}">
      <text>
        <r>
          <rPr>
            <b/>
            <sz val="9"/>
            <color indexed="81"/>
            <rFont val="Tahoma"/>
            <charset val="1"/>
          </rPr>
          <t>pe="xsd:double"&gt;71.44&lt;/D&gt;&lt;D xsi:type="xsd:double"&gt;70.76&lt;/D&gt;&lt;D xsi:type="xsd:double"&gt;70.05&lt;/D&gt;&lt;D xsi:type="xsd:double"&gt;67.86&lt;/D&gt;&lt;D xsi:type="xsd:double"&gt;68.15&lt;/D&gt;&lt;D xsi:type="xsd:double"&gt;68.83&lt;/D&gt;&lt;D xsi:type="xsd:double"&gt;68.94&lt;/D&gt;&lt;D xsi:type="xsd:double"&gt;68.06&lt;/D&gt;&lt;D xsi:type="xsd:double"&gt;69.83&lt;/D&gt;&lt;D xsi:type="xsd:double"&gt;71.19&lt;/D&gt;&lt;D xsi:type="xsd:double"&gt;71.32&lt;/D&gt;&lt;D xsi:type="xsd:double"&gt;69.94&lt;/D&gt;&lt;D xsi:type="xsd:double"&gt;69.71&lt;/D&gt;&lt;D xsi:type="xsd:double"&gt;68.25&lt;/D&gt;&lt;D xsi:type="xsd:double"&gt;67.45&lt;/D&gt;&lt;D xsi:type="xsd:double"&gt;66.54&lt;/D&gt;&lt;D xsi:type="xsd:double"&gt;67.34&lt;/D&gt;&lt;D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xsi:type="xsd:double"&gt;63.71&lt;/D&gt;&lt;D xsi:type="xsd:double"&gt;63.33&lt;/D&gt;&lt;D xsi:type="xsd:double"&gt;63.02&lt;/D&gt;&lt;D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xsi:type="xsd:double"&gt;52.84&lt;/D&gt;&lt;/FQL&gt;&lt;FQL&gt;&lt;Q&gt;EWL^FG_TOTAL_RETURNC(-5AY,0,AM)&lt;/Q&gt;&lt;R&gt;61&lt;/R&gt;&lt;C&gt;1&lt;/C&gt;&lt;D xsi:type="xsd:double"&gt;-0.47116876&lt;/D&gt;&lt;D xsi:type="xsd:double"&gt;5.61316&lt;/D&gt;&lt;D xsi:type="xsd:double"&gt;0.49093962&lt;/D&gt;&lt;D xsi:type="xsd:double"&gt;5.1542044&lt;/D&gt;&lt;D xsi:type="xsd:double"&gt;0.020563602&lt;/D&gt;&lt;D xsi:type="xsd:double"&gt;4.1341066&lt;/D&gt;&lt;D xsi:type="xsd:double"&gt;-4.404503&lt;/D&gt;&lt;D xsi:type="xsd:double"&gt;0.24793148&lt;/D&gt;&lt;D xsi:type="xsd:double"&gt;4.3693304&lt;/D&gt;&lt;D xsi:type="xsd:double"&gt;1.145339&lt;/D&gt;&lt;D xsi:type="xsd:double"&gt;-0.9566605&lt;/D&gt;&lt;D xsi:type="xsd:double"&gt;-4.7900677&lt;/D&gt;&lt;D xsi:type="xsd:double"&gt;1.387167&lt;/D&gt;&lt;D xsi:type="xsd:double"&gt;-0.7555723&lt;/D&gt;&lt;D xsi:type="xsd:double"&gt;-9.855962&lt;/D&gt;&lt;D xsi:type="xsd:double"&gt;-7.998383&lt;/D&gt;&lt;D xsi:type="xsd:double"&gt;6.936717&lt;/D&gt;&lt;D xsi:type="xsd:double"&gt;1.3967752&lt;/D&gt;&lt;D xsi:type="xsd:double"&gt;-6.467432&lt;/D&gt;&lt;D xsi:type="xsd:double"&gt;-5.5666504&lt;/D&gt;&lt;D xsi:type="xsd:double"&gt;11.287332&lt;/D&gt;&lt;D xsi:type="xsd:double"&gt;-0.8313477&lt;/D&gt;&lt;D xsi:type="xsd:double"&gt;7.6886177&lt;/D&gt;&lt;D xsi:type="xsd:double"&gt;-0.111210346&lt;/D&gt;&lt;D xsi:type="xsd:double"&gt;-5.165887&lt;/D&gt;&lt;D xsi:type="xsd:double"&gt;11.129379&lt;/D&gt;&lt;D xsi:type="xsd:double"&gt;1.9437909&lt;/D&gt;&lt;D xsi:type="xsd:double"&gt;-1.5269935&lt;/D&gt;&lt;D xsi:type="xsd:double"&gt;2.3886442&lt;/D&gt;&lt;D xsi:type="xsd:double"&gt;-5.2543106&lt;/D&gt;&lt;D xsi:type="xsd:double"&gt;0.17745495&lt;/D&gt;&lt;D xsi:type="xsd:double"&gt;-5.6244493&lt;/D&gt;&lt;D xsi:type="xsd:double"&gt;4.45801&lt;/D&gt;&lt;D xsi:type="xsd:double"&gt;6.2668443&lt;/D&gt;&lt;D xsi:type="xsd:double"&gt;-1.1625528&lt;/D&gt;&lt;D xsi:type="xsd:double"&gt;-0.19247532&lt;/D&gt;&lt;D xsi:type="xsd:double"&gt;1.7784476&lt;/D&gt;&lt;D xsi:type="xsd:double"&gt;-3.7894726&lt;/D&gt;&lt;D xsi:type="xsd:double"&gt;7.155359&lt;/D&gt;&lt;D xsi:type="xsd:double"&gt;2.7648926&lt;/D&gt;&lt;D xsi:type="xsd:double"&gt;0.18259287&lt;/D&gt;&lt;D xsi:type="xsd:double"&gt;4.0097237&lt;/D&gt;&lt;D xsi:type="xsd:double"&gt;0.29205084&lt;/D&gt;&lt;D xsi:type="xsd:double"&gt;0&lt;/D&gt;&lt;D xsi:type="xsd:double"&gt;-8.3673&lt;/D&gt;&lt;D xsi:type="xsd:double"&gt;-3.1144083&lt;/D&gt;&lt;D xsi:type="xsd:double"&gt;3.1489134&lt;/D&gt;&lt;D xsi:type="xsd:double"&gt;7.822776&lt;/D&gt;&lt;D xsi:type="xsd:double"&gt;4.679513&lt;/D&gt;&lt;D xsi:type="xsd:double"&gt;-2.4229944&lt;/D&gt;&lt;D xsi:type="xsd:double"&gt;5.9095263&lt;/D&gt;&lt;D xsi:type="xsd:double"&gt;-1.3751388&lt;/D&gt;&lt;D xsi:type="xsd:double"&gt;2.3098588&lt;/D&gt;&lt;D xsi:type="xsd:double"&gt;0.7709265&lt;/D&gt;&lt;D xsi:type="xsd:double"&gt;0.65573454&lt;/D&gt;&lt;D xsi:type="xsd:double"&gt;4.560256&lt;/D&gt;&lt;D xsi:type="xsd:double"&gt;-2.4575949&lt;/D&gt;&lt;D xsi:type="xsd:double"&gt;5.695522&lt;/D&gt;&lt;D xsi:type="xsd:double"&gt;1.5779734&lt;/D&gt;&lt;D xsi:type="xsd:double"&gt;6.0320735&lt;/D&gt;&lt;D xsi:type="xsd:double"&gt;-10.317957&lt;/D&gt;&lt;/FQL&gt;&lt;FQL&gt;&lt;Q&gt;EWY^FG_TOTAL_RETURNC(-5AY,0,AM)&lt;/Q&gt;&lt;R&gt;61&lt;/R&gt;&lt;C&gt;1&lt;/C&gt;&lt;D xsi:type="xsd:double"&gt;-4.5327606&lt;/D&gt;&lt;D xsi:type="xsd:double"&gt;5.085516&lt;/D&gt;&lt;D xsi:type="xsd:double"&gt;-3.5546064&lt;/D&gt;&lt;D xsi:type="xsd:double"&gt;1.1323214&lt;/D&gt;&lt;D xsi:type="xsd:double"&gt;-2.7332604&lt;/D&gt;&lt;D xsi:type="xsd:double"&gt;-6.3311157&lt;/D&gt;&lt;D xsi:type="xsd:double"&gt;0.09639263&lt;/D&gt;&lt;D xsi:type="xsd:double"&gt;-2.38325&lt;/D&gt;&lt;D xsi:type="xsd:double"&gt;-3.2922268&lt;/D&gt;&lt;D xsi:type="xsd:double"&gt;2.3334622&lt;/D&gt;&lt;D xsi:type="xsd:double"&gt;-3.4873307&lt;/D&gt;&lt;D xsi:type="xsd:double"&gt;-3.7584066&lt;/D&gt;&lt;D xsi:type="xsd:double"&gt;-2.0279586&lt;/D&gt;&lt;D xsi:type="xsd:double"&gt;-3.258741&lt;/D&gt;&lt;D xsi:type="xsd:double"&gt;-5.3491354&lt;/D&gt;&lt;D xsi:type="xsd:double"&gt;-8.813196&lt;/D&gt;&lt;D xsi:type="xsd:double"&gt;-1.6917944&lt;/D&gt;&lt;D xsi:type="xsd:double"&gt;0.39188862&lt;/D&gt;&lt;D xsi:type="xsd:double"&gt;-7.8241644&lt;/D&gt;&lt;D xsi:type="xsd:double"&gt;-8.764505&lt;/D&gt;&lt;D xsi:type="xsd:double"&gt;17.154396&lt;/D&gt;&lt;D xsi:type="xsd:double"&gt;-1.2433112&lt;/D&gt;&lt;D xsi:type="xsd:double"&gt;9.744036&lt;/D&gt;&lt;D xsi:type="xsd:double"&gt;-2.0588696&lt;/D&gt;&lt;D xsi:type="xsd:double"&gt;-4.204297&lt;/D&gt;&lt;D xsi:type="xsd:double"&gt;6.908965&lt;/D&gt;&lt;D xsi:type="xsd:double"&gt;-0.49711466&lt;/D&gt;&lt;D xsi:type="xsd:double"&gt;7.1394086&lt;/D&gt;&lt;D xsi:type="xsd:double"&gt;0.96269846&lt;/D&gt;&lt;D xsi:type="xsd:double"&gt;-9.609663&lt;/D&gt;&lt;D xsi:type="xsd:double"&gt;3.1481862&lt;/D&gt;&lt;D xsi:type="xsd:double"&gt;-7.782042&lt;/D&gt;&lt;D xsi:type="xsd:double"&gt;7.866919&lt;/D&gt;&lt;D xsi:type="xsd:double"&gt;4.2730927&lt;/D&gt;&lt;D xsi:type="xsd:double"&gt;-6.316364&lt;/D&gt;&lt;D xsi:type="xsd:double"&gt;8.319283&lt;/D&gt;&lt;D xsi:type="xsd:double"&gt;1.6980767&lt;/D&gt;&lt;D xsi:type="xsd:double"&gt;-6.0661736&lt;/D&gt;&lt;D xsi:type="xsd:double"&gt;6.751466&lt;/D&gt;&lt;D xsi:type="xsd:double"&gt;0.25969744&lt;/D&gt;&lt;D xsi:type="xsd:double"&gt;-0.6094694&lt;/D&gt;&lt;D xsi:type="xsd:double"&gt;1.609683&lt;/D&gt;&lt;D xsi:type="xsd:double"&gt;-3.5757363&lt;/D&gt;&lt;D xsi:type="xsd:double"&gt;-2.8790474&lt;/D&gt;&lt;D xsi:type="xsd:double"&gt;-7.3143244&lt;/D&gt;&lt;D xsi:type="xsd:double"&gt;-6.371653&lt;/D&gt;&lt;D xsi:type="xsd:double"&gt;4.2593718&lt;/D&gt;&lt;D xsi:type="xsd:double"&gt;6.2921643&lt;/D&gt;&lt;D xsi:type="xsd:double"&gt;-1.7844856&lt;/D&gt;&lt;D xsi:type="xsd:double"&gt;-5.118799&lt;/D&gt;&lt;D xsi:type="xsd:double"&gt;8.304178&lt;/D&gt;&lt;D xsi:type="xsd:double"&gt;15.385925&lt;/D&gt;&lt;D xsi:type="xsd:double"&gt;6.659782&lt;/D&gt;&lt;D xsi:type="xsd:double"&gt;-1.3123333&lt;/D&gt;&lt;D xsi:type="xsd:double"&gt;12.052071&lt;/D&gt;&lt;D xsi:type="xsd:double"&gt;10.5808735&lt;/D&gt;&lt;D xsi:type="xsd:double"&gt;2.304566&lt;/D&gt;&lt;D xsi:type="xsd:double"&gt;3.1564593&lt;/D&gt;&lt;D xsi:type="xsd:double"&gt;22.859657&lt;/D&gt;&lt;D xsi:type="xsd:double"&gt;20.486546&lt;/D&gt;&lt;D xsi:type="xsd:double"&gt;-0.2884388&lt;/D&gt;&lt;/FQL&gt;&lt;FQL&gt;&lt;Q&gt;ENZL^FG_PRICE(0,-200D)&lt;/Q&gt;&lt;R&gt;201&lt;/R&gt;&lt;C&gt;1&lt;/C&gt;&lt;D xsi:type="xsd:double"&gt;44.24&lt;/D&gt;&lt;D xsi:type="xsd:double"&gt;44.265&lt;/D&gt;&lt;D xsi:type="xsd:double"&gt;44.6695&lt;/D&gt;&lt;D xsi:type="xsd:double"&gt;44.85&lt;/D&gt;&lt;D xsi:type="xsd:double"&gt;43.8884&lt;/D&gt;&lt;D xsi:type="xsd:double"&gt;44.6653&lt;/D&gt;&lt;D xsi:type="xsd:double"&gt;45.1753&lt;/D&gt;&lt;D xsi:type="xsd:double"&gt;44.9836&lt;/D&gt;&lt;D xsi:type="xsd:double"&gt;45.21&lt;/D&gt;&lt;D xsi:type="xsd:double"&gt;45.7138&lt;/D&gt;&lt;D xsi:type="xsd:double"&gt;46.06&lt;/D&gt;&lt;D xsi:type="xsd:double"&gt;46.58&lt;/D&gt;&lt;D xsi:type="xsd:double"&gt;46.05&lt;/D&gt;&lt;D xsi:type="xsd:double"&gt;47.1153&lt;/D&gt;&lt;D xsi:type="xsd:double"&gt;47.4776&lt;/D&gt;&lt;D xsi:type="xsd:double"&gt;47.225&lt;/D&gt;&lt;D xsi:type="xsd:double"&gt;47.1645&lt;/D&gt;&lt;D xsi:type="xsd:double"&gt;46.72&lt;/D&gt;&lt;D xsi:type="xsd:double"&gt;45.9335&lt;/D&gt;&lt;D xsi:type="xsd:double"&gt;45.8355&lt;/D&gt;&lt;D xsi:type="xsd:double"&gt;46.0172&lt;/D&gt;&lt;D xsi:type="xsd:double"&gt;45.25&lt;/D&gt;&lt;D xsi:type="xsd:double"&gt;44.905&lt;/D&gt;&lt;D xsi:type="xsd:double"&gt;46.7721&lt;/D&gt;&lt;D xsi:type="xsd:double"&gt;47.4568&lt;/D&gt;&lt;D xsi:type="xsd:double"&gt;47.898&lt;/D&gt;&lt;D xsi:type="xsd:double"&gt;47.995&lt;/D&gt;&lt;D xsi:type="xsd:double"&gt;47.975&lt;/D&gt;&lt;D xsi:type="xsd:double"&gt;47.6&lt;/D&gt;&lt;D xsi:type="xsd:double"&gt;47.11&lt;/D&gt;&lt;D xsi:type="xsd:double"&gt;46.72&lt;/D&gt;&lt;D xsi:type="xsd:double"&gt;47.242&lt;/D&gt;&lt;D xsi:type="xsd:double"&gt;47.1177&lt;/D&gt;&lt;D xsi:type="xsd:double"&gt;46.9408&lt;/D&gt;&lt;D xsi:type="xsd:double"&gt;47.234&lt;/D&gt;&lt;D xsi:type="xsd:double"&gt;47.11&lt;/D&gt;&lt;D xsi:type="xsd:double"&gt;47.52&lt;/D&gt;&lt;D xsi:type="xsd:double"&gt;46.87&lt;/D&gt;&lt;D xsi:type="xsd:double"&gt;46.624&lt;/D&gt;&lt;D xsi:type="xsd:double"&gt;46.755&lt;/D&gt;&lt;D xsi:type="xsd:double"&gt;46.11&lt;/D&gt;&lt;D xsi:type="xsd:double"&gt;46.09&lt;/D&gt;&lt;D xsi:type="xsd:double"&gt;45.755&lt;/D&gt;&lt;D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xsi:type="xsd:double"&gt;45.41&lt;/D&gt;&lt;D xsi:type="xsd:double"&gt;45.41&lt;/D&gt;&lt;D xsi:type="xsd:double"&gt;45.73&lt;/D&gt;&lt;D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xsi:type="xsd:double"&gt;45.04&lt;/D&gt;&lt;/FQL&gt;&lt;FQL&gt;&lt;Q&gt;EWG^FG_TOTAL_RETURNC(-5AY,0,AM)&lt;/Q&gt;&lt;R&gt;61&lt;/R&gt;&lt;C&gt;1&lt;/C&gt;&lt;D xsi:type="xsd:double"&gt;1.6824841&lt;/D&gt;&lt;D xsi:type="xsd:double"&gt;6.0770035&lt;/D&gt;&lt;D xsi:type="xsd:double"&gt;-0.85082054&lt;/D&gt;&lt;D xsi:type="xsd:double"&gt;0.011897087&lt;/D&gt;&lt;D xsi:type="xsd:double"&gt;-2.3560226&lt;/D&gt;&lt;D xsi:type="xsd:double"&gt;2.800119&lt;/D&gt;&lt;D xsi:type="xsd:double"&gt;-1.3619184&lt;/D&gt;&lt;D xsi:type="xsd:double"&gt;-1.3513505&lt;/D&gt;&lt;D xsi:type="xsd:double"&gt;0.62537193&lt;/D&gt;&lt;D xsi:type="xsd:double"&gt;-4.956216&lt;/D&gt;&lt;D xsi:type="xsd:double"&gt;3.0784488&lt;/D&gt;&lt;D xsi:type="xsd:double"&gt;-4.9360094&lt;/D&gt;&lt;D xsi:type="xsd:double"&gt;-7.3397455&lt;/D&gt;&lt;D xsi:type="xsd:double"&gt;-5.257696&lt;/D&gt;&lt;D xsi:type="xsd:double"&gt;-5.257386&lt;/D&gt;&lt;D xsi:type="xsd:double"&gt;-5.9657693&lt;/D&gt;&lt;D xsi:type="xsd:double"&gt;-1.858896&lt;/D&gt;&lt;D xsi:type="xsd:double"&gt;-1.0331452&lt;/D&gt;&lt;D xsi:type="xsd:double"&gt;-5.219656&lt;/D&gt;&lt;D xsi:type="xsd:double"&gt;-4.4515905&lt;/D&gt;&lt;D xsi:type="xsd:double"&gt;19.74064&lt;/D&gt;&lt;D xsi:type="xsd:double"&gt;-1.2905419&lt;/D&gt;&lt;D xsi:type="xsd:double"&gt;11.829269&lt;/D&gt;&lt;D xsi:type="xsd:double"&gt;2.326429&lt;/D&gt;&lt;D xsi:type="xsd:double"&gt;-6.0745955&lt;/D&gt;&lt;D xsi:type="xsd:double"&gt;10.400904&lt;/D&gt;&lt;D xsi:type="xsd:double"&gt;0.44535398&lt;/D&gt;&lt;D xsi:type="xsd:double"&gt;1.3091326&lt;/D&gt;&lt;D xsi:type="xsd:double"&gt;1.0722876&lt;/D&gt;&lt;D xsi:type="xsd:double"&gt;-6.091714&lt;/D&gt;&lt;D xsi:type="xsd:double"&gt;-1.4212847&lt;/D&gt;&lt;D xsi:type="xsd:double"&gt;-5.878001&lt;/D&gt;&lt;D xsi:type="xsd:double"&gt;9.937155&lt;/D&gt;&lt;D xsi:type="xsd:double"&gt;5.680597&lt;/D&gt;&lt;D xsi:type="xsd:double"&gt;-2.3275495&lt;/D&gt;&lt;D xsi:type="xsd:double"&gt;2.1460772&lt;/D&gt;&lt;D xsi:type="xsd:double"&gt;5.286336&lt;/D&gt;&lt;D xsi:type="xsd:double"&gt;-3.4116507&lt;/D&gt;&lt;D xsi:type="xsd:double"&gt;8.030653&lt;/D&gt;&lt;D xsi:type="xsd:double"&gt;-4.2654753&lt;/D&gt;&lt;D xsi:type="xsd:double"&gt;1.914823&lt;/D&gt;&lt;D xsi:type="xsd:double"&gt;2.8830528&lt;/D&gt;&lt;D xsi:type="xsd:double"&gt;4.1876554&lt;/D&gt;&lt;D xsi:type="xsd:double"&gt;0.81596375&lt;/D&gt;&lt;D xsi:type="xsd:double"&gt;-5.605519&lt;/D&gt;&lt;D xsi:type="xsd:double"&gt;1.4607787&lt;/D&gt;&lt;D xsi:type="xsd:double"&gt;3.7558675&lt;/D&gt;&lt;D xsi:type="xsd:double"&gt;8.778275&lt;/D&gt;&lt;D xsi:type="xsd:double"&gt;8.264006&lt;/D&gt;&lt;D xsi:type="xsd:double"&gt;-4.200816&lt;/D&gt;&lt;D xsi:type="xsd:double"&gt;11.12299&lt;/D&gt;&lt;D xsi:type="xsd:double"&gt;-1.479131&lt;/D&gt;&lt;D xsi:type="xsd:double"&gt;4.5928597&lt;/D&gt;&lt;D xsi:type="xsd:double"&gt;0.6171346&lt;/D&gt;&lt;D xsi:type="xsd:double"&gt;-2.7600825&lt;/D&gt;&lt;D xsi:type="xsd:double"&gt;0.38815737&lt;/D&gt;&lt;D xsi:type="xsd:double"&gt;-4.519099&lt;/D&gt;&lt;D xsi:type="xsd:double"&gt;6.555307&lt;/D&gt;&lt;D xsi:type="xsd:double"&gt;2.9453754&lt;/D&gt;&lt;D xsi:type="xsd:double"&gt;1.2459636&lt;/D&gt;&lt;D xsi:type="xsd:double"&gt;-9.548778&lt;/D&gt;&lt;/FQL&gt;&lt;FQL&gt;&lt;Q&gt;GREK^FG_PRICE(0,-200D)&lt;/Q&gt;&lt;R&gt;201&lt;/R&gt;&lt;C&gt;1&lt;/C&gt;&lt;D xsi:type="xsd:double"&gt;63.23&lt;/D&gt;&lt;D xsi:type="xsd:double"&gt;63.5&lt;/D&gt;&lt;D xsi:type="xsd:double"&gt;64.35&lt;/D&gt;&lt;D xsi:type="xsd:double"&gt;64.21&lt;/D&gt;&lt;D xsi:type="xsd:double"&gt;63.38&lt;/D&gt;&lt;D xsi:type="xsd:double"&gt;64.81&lt;/D&gt;&lt;D xsi:type="xsd:double"&gt;66.58&lt;/D&gt;&lt;D xsi:type="xsd:double"&gt;66.37&lt;/D&gt;&lt;D xsi:type="xsd:double"&gt;65.08&lt;/D&gt;&lt;D xsi:type="xsd:double"&gt;65.15&lt;/D&gt;&lt;D xsi:type="xsd:double"&gt;65.87&lt;/D&gt;&lt;D xsi:type="xsd:double"&gt;66.74&lt;/D&gt;&lt;D xsi:type="xsd:double"&gt;63.86&lt;/D&gt;&lt;D xsi:type="xsd:double"&gt;67.67&lt;/D&gt;&lt;D xsi:type="xsd:double"&gt;70.68&lt;/D&gt;&lt;D xsi:type="xsd:double"&gt;72.03&lt;/D&gt;&lt;D xsi:type="xsd:double"&gt;71.51&lt;/D&gt;&lt;D xsi:type="xsd:double"&gt;70.34&lt;/D&gt;&lt;D xsi:type="xsd:double"&gt;71.04&lt;/D&gt;&lt;D xsi:type="xsd:double"&gt;70.9&lt;/D&gt;&lt;D xsi:type="xsd:double"&gt;71.04&lt;/D&gt;&lt;D xsi:type="xsd:double"&gt;72.89&lt;/D&gt;&lt;D xsi:type="xsd:double"&gt;70.66&lt;/D&gt;&lt;D xsi:type="xsd:double"&gt;71.9&lt;/D&gt;&lt;D xsi:type="xsd:double"&gt;73.56&lt;/D&gt;&lt;D xsi:type="xsd:double"&gt;73.84&lt;/D&gt;&lt;D xsi:type="xsd:double"&gt;74.54&lt;/D&gt;&lt;D xsi:type="xsd:double"&gt;74.77&lt;/D&gt;&lt;D xsi:type="xsd:double"&gt;75.17&lt;/D&gt;&lt;D xsi:type="xsd:double"&gt;74.65&lt;/D&gt;&lt;D xsi:type="xsd:double"&gt;76.09&lt;/D&gt;&lt;D xsi:type="xsd:double"&gt;76.02&lt;/D&gt;&lt;D xsi:type="xsd:double"&gt;74.66&lt;/D&gt;&lt;D xsi:type="xsd:double"&gt;73.75&lt;/D&gt;&lt;D xsi:type="xsd:double"&gt;75.62&lt;/D&gt;&lt;D xsi:type="xsd:double"&gt;77.2&lt;/D&gt;&lt;D xsi:type="xsd:double"&gt;75.35&lt;/D&gt;&lt;D xsi:type="xsd:double"&gt;73.06&lt;/D&gt;&lt;D xsi:type="xsd:double"&gt;72.25&lt;/D&gt;&lt;D xsi:type="xsd:double"&gt;72.2&lt;/D&gt;&lt;D xsi:type="xsd:double"&gt;70.74&lt;/D&gt;&lt;D xsi:type="xsd:double"&gt;69.88&lt;/D&gt;&lt;D xsi:type="xsd:double"&gt;70.03&lt;/D&gt;&lt;D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xsi:type="xsd:double"&gt;66.5&lt;/D&gt;&lt;D xsi:type="xsd:double"&gt;68&lt;/D&gt;&lt;D xsi:type="xsd:double"&gt;68.61&lt;/D&gt;&lt;D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xsi:type="xsd:double"&gt;55.7&lt;/D&gt;&lt;/FQL&gt;&lt;FQL&gt;&lt;Q&gt;EWN^FG_TOTAL_RETURNC(-5AY,0,AM)&lt;/Q&gt;&lt;R&gt;61&lt;/R&gt;&lt;C&gt;1&lt;/C&gt;&lt;D xsi:type="xsd:double"&gt;-2.1132946&lt;/D&gt;&lt;D xsi:type="xsd:double"&gt;7.2112083&lt;/D&gt;&lt;D xsi:type="xsd:double"&gt;-0.80963373&lt;/D&gt;&lt;D xsi:type="xsd:double"&gt;0.49370527&lt;/D&gt;&lt;D xsi:type="xsd:double"&gt;-1.3626873&lt;/D&gt;&lt;D xsi:type="xsd:double"&gt;7.162595&lt;/D&gt;&lt;D xsi:type="xsd:double"&gt;4.4228554&lt;/D&gt;&lt;D xsi:type="xsd:double"&gt;-1.7094016&lt;/D&gt;&lt;D xsi:type="xsd:double"&gt;0.79226494&lt;/D&gt;&lt;D xsi:type="xsd:double"&gt;-8.402604&lt;/D&gt;&lt;D xsi:type="xsd:double"&gt;0.2521038&lt;/D&gt;&lt;D xsi:type="xsd:double"&gt;-5.720872&lt;/D&gt;&lt;D xsi:type="xsd:double"&gt;-4.4898868&lt;/D&gt;&lt;D xsi:type="xsd:double"&gt;-5.468935&lt;/D&gt;&lt;D xsi:type="xsd:double"&gt;-8.9611&lt;/D&gt;&lt;D xsi:type="xsd:double"&gt;-6.443816&lt;/D&gt;&lt;D xsi:type="xsd:double"&gt;5.475843&lt;/D&gt;&lt;D xsi:type="xsd:double"&gt;1.8600702&lt;/D&gt;&lt;D xsi:type="xsd:double"&gt;-8.367401&lt;/D&gt;&lt;D xsi:type="xsd:double"&gt;-7.3765574&lt;/D&gt;&lt;D xsi:type="xsd:double"&gt;21.57997&lt;/D&gt;&lt;D xsi:type="xsd:double"&gt;-0.46866536&lt;/D&gt;&lt;D xsi:type="xsd:double"&gt;9.505999&lt;/D&gt;&lt;D xsi:type="xsd:double"&gt;2.999282&lt;/D&gt;&lt;D xsi:type="xsd:double"&gt;-6.486744&lt;/D&gt;&lt;D xsi:type="xsd:double"&gt;6.886077&lt;/D&gt;&lt;D xsi:type="xsd:double"&gt;1.4921784&lt;/D&gt;&lt;D xsi:type="xsd:double"&gt;1.639533&lt;/D&gt;&lt;D xsi:type="xsd:double"&gt;4.0051103&lt;/D&gt;&lt;D xsi:type="xsd:double"&gt;-8.516574&lt;/D&gt;&lt;D xsi:type="xsd:double"&gt;-4.7828197&lt;/D&gt;&lt;D xsi:type="xsd:double"&gt;-5.2280903&lt;/D&gt;&lt;D xsi:type="xsd:double"&gt;13.628996&lt;/D&gt;&lt;D xsi:type="xsd:double"&gt;6.8538785&lt;/D&gt;&lt;D xsi:type="xsd:double"&gt;-1.6241431&lt;/D&gt;&lt;D xsi:type="xsd:double"&gt;7.8239083&lt;/D&gt;&lt;D xsi:type="xsd:double"&gt;2.2847414&lt;/D&gt;&lt;D xsi:type="xsd:double"&gt;-3.1851053&lt;/D&gt;&lt;D xsi:type="xsd:double"&gt;10.489214&lt;/D&gt;&lt;D xsi:type="xsd:double"&gt;0.3851056&lt;/D&gt;&lt;D xsi:type="xsd:double"&gt;-3.467077&lt;/D&gt;&lt;D xsi:type="xsd:double"&gt;1.6747355&lt;/D&gt;&lt;D xsi:type="xsd:double"&gt;-0.1984477&lt;/D&gt;&lt;D xsi:type="xsd:double"&gt;-3.4599364&lt;/D&gt;&lt;D xsi:type="xsd:double"&gt;-7.7445927&lt;/D&gt;&lt;D xsi:type="xsd:double"&gt;0.50719976&lt;/D&gt;&lt;D xsi:type="xsd:double"&gt;3.3609629&lt;/D&gt;&lt;D xsi:type="xsd:double"&gt;4.8775196&lt;/D&gt;&lt;D xsi:type="xsd:double"&gt;2.2943377&lt;/D&gt;&lt;D xsi:type="xsd:double"&gt;-5.9405985&lt;/D&gt;&lt;D xsi:type="xsd:double"&gt;13.093448&lt;/D&gt;&lt;D xsi:type="xsd:double"&gt;0.5699873&lt;/D&gt;&lt;D xsi:type="xsd:double"&gt;2.3204923&lt;/D&gt;&lt;D xsi:type="xsd:double"&gt;-0.45828223&lt;/D&gt;&lt;D xsi:type="xsd:double"&gt;6.8119884&lt;/D&gt;&lt;D xsi:type="xsd:double"&gt;3.1843781&lt;/D&gt;&lt;D xsi:type="xsd:double"&gt;-2.728051&lt;/D&gt;&lt;D xsi:type="xsd:double"&gt;3.0299067&lt;/D&gt;&lt;D xsi:type="xsd:double"&gt;9.362305&lt;/D&gt;&lt;D xsi:type="xsd:double"&gt;1.2114406&lt;/D&gt;&lt;D xsi:type="xsd:double"&gt;-7.213533&lt;/D&gt;&lt;/FQL&gt;&lt;FQL&gt;&lt;Q&gt;VNM^FG_PRICE(0,-200D)&lt;/Q&gt;&lt;R&gt;201&lt;/R&gt;&lt;C&gt;1&lt;/C&gt;&lt;D xsi:type="xsd:double"&gt;16.98&lt;/D&gt;&lt;D xsi:type="xsd:double"&gt;17.03&lt;/D&gt;&lt;D xsi:type="xsd:double"&gt;17.32&lt;/D&gt;&lt;D xsi:type="xsd:double"&gt;17.3&lt;/D&gt;&lt;D xsi:type="xsd:double"&gt;16.71&lt;/D&gt;&lt;D xsi:type="xsd:double"&gt;16.75&lt;/D&gt;&lt;D xsi:type="xsd:double"&gt;17.41&lt;/D&gt;&lt;D xsi:type="xsd:double"&gt;17.06&lt;/D&gt;&lt;D xsi:type="xsd:double"&gt;17.23&lt;/D&gt;&lt;D xsi:type="xsd:double"&gt;17.45&lt;/D&gt;&lt;D xsi:type="xsd:double"&gt;18.02&lt;/D&gt;&lt;D xsi:type="xsd:double"&gt;18.3&lt;/D&gt;&lt;D xsi:type="xsd:double"&gt;18.12&lt;/D&gt;&lt;D xsi:type="xsd:double"&gt;18.63&lt;/D&gt;&lt;D xsi:type="xsd:double"&gt;19.08&lt;/D&gt;&lt;D xsi:type="xsd:double"&gt;19.16&lt;/D&gt;&lt;D xsi:type="xsd:double"&gt;19.085&lt;/D&gt;&lt;D xsi:type="xsd:double"&gt;19.25&lt;/D&gt;&lt;D xsi:type="xsd:double"&gt;19.23&lt;/D&gt;&lt;D xsi:type="xsd:double"&gt;19.285&lt;/D&gt;&lt;D xsi:type="xsd:double"&gt;18.76&lt;/D&gt;&lt;D xsi:type="xsd:double"&gt;18.77&lt;/D&gt;&lt;D xsi:type="xsd:double"&gt;18.73&lt;/D&gt;&lt;D xsi:type="xsd:double"&gt;18.89&lt;/D&gt;&lt;D xsi:type="xsd:double"&gt;18.51&lt;/D&gt;&lt;D xsi:type="xsd:double"&gt;18.71&lt;/D&gt;&lt;D xsi:type="xsd:double"&gt;18.08&lt;/D&gt;&lt;D xsi:type="xsd:double"&gt;18.045&lt;/D&gt;&lt;D xsi:type="xsd:double"&gt;18.03&lt;/D&gt;&lt;D xsi:type="xsd:double"&gt;18.12&lt;/D&gt;&lt;D xsi:type="xsd:double"&gt;18.61&lt;/D&gt;&lt;D xsi:type="xsd:double"&gt;18.45&lt;/D&gt;&lt;D xsi:type="xsd:double"&gt;18.77&lt;/D&gt;&lt;D xsi:type="xsd:double"&gt;19.07&lt;/D&gt;&lt;D xsi:type="xsd:double"&gt;18.81&lt;/D&gt;&lt;D xsi:type="xsd:double"&gt;18.5&lt;/D&gt;&lt;D xsi:type="xsd:double"&gt;18.76&lt;/D&gt;&lt;D xsi:type="xsd:double"&gt;18.91&lt;/D&gt;&lt;D xsi:type="xsd:double"&gt;19.42&lt;/D&gt;&lt;D xsi:type="xsd:double"&gt;19.625&lt;/D&gt;&lt;D xsi:type="xsd:double"&gt;19.39&lt;/D&gt;&lt;D xsi:type="xsd:double"&gt;19.51&lt;/D&gt;&lt;D xsi:type="xsd:double"&gt;19.73&lt;/D&gt;&lt;D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xsi:type="xsd:double"&gt;19.01&lt;/D&gt;&lt;D xsi:type="xsd:double"&gt;18.92&lt;/D&gt;&lt;D xsi:type="xsd:double"&gt;18.4&lt;/D&gt;&lt;D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</t>
        </r>
      </text>
    </comment>
    <comment ref="A7" authorId="0" shapeId="0" xr:uid="{0FB751AB-DB81-49E5-9158-AB90EDEFED35}">
      <text>
        <r>
          <rPr>
            <b/>
            <sz val="9"/>
            <color indexed="81"/>
            <rFont val="Tahoma"/>
            <charset val="1"/>
          </rPr>
          <t>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xsi:type="xsd:double"&gt;13.81&lt;/D&gt;&lt;/FQL&gt;&lt;FQL&gt;&lt;Q&gt;EWQ^FG_TOTAL_RETURNC(-5AY,0,AM)&lt;/Q&gt;&lt;R&gt;61&lt;/R&gt;&lt;C&gt;1&lt;/C&gt;&lt;D xsi:type="xsd:double"&gt;1.8620849&lt;/D&gt;&lt;D xsi:type="xsd:double"&gt;6.1982393&lt;/D&gt;&lt;D xsi:type="xsd:double"&gt;1.3985991&lt;/D&gt;&lt;D xsi:type="xsd:double"&gt;2.055788&lt;/D&gt;&lt;D xsi:type="xsd:double"&gt;-4.494083&lt;/D&gt;&lt;D xsi:type="xsd:double"&gt;3.99009&lt;/D&gt;&lt;D xsi:type="xsd:double"&gt;0.52924156&lt;/D&gt;&lt;D xsi:type="xsd:double"&gt;1.2108445&lt;/D&gt;&lt;D xsi:type="xsd:double"&gt;2.860856&lt;/D&gt;&lt;D xsi:type="xsd:double"&gt;-3.4957588&lt;/D&gt;&lt;D xsi:type="xsd:double"&gt;4.765749&lt;/D&gt;&lt;D xsi:type="xsd:double"&gt;-3.5980523&lt;/D&gt;&lt;D xsi:type="xsd:double"&gt;-6.158352&lt;/D&gt;&lt;D xsi:type="xsd:double"&gt;-2.3011386&lt;/D&gt;&lt;D xsi:type="xsd:double"&gt;-4.9432993&lt;/D&gt;&lt;D xsi:type="xsd:double"&gt;-6.466669&lt;/D&gt;&lt;D xsi:type="xsd:double"&gt;3.2996655&lt;/D&gt;&lt;D xsi:type="xsd:double"&gt;2.640152&lt;/D&gt;&lt;D xsi:type="xsd:double"&gt;-6.6052732&lt;/D&gt;&lt;D xsi:type="xsd:double"&gt;-3.7742257&lt;/D&gt;&lt;D xsi:type="xsd:double"&gt;16.077732&lt;/D&gt;&lt;D xsi:type="xsd:double"&gt;0.17739534&lt;/D&gt;&lt;D xsi:type="xsd:double"&gt;10.216522&lt;/D&gt;&lt;D xsi:type="xsd:double"&gt;3.9014935&lt;/D&gt;&lt;D xsi:type="xsd:double"&gt;-6.391472&lt;/D&gt;&lt;D xsi:type="xsd:double"&gt;12.062586&lt;/D&gt;&lt;D xsi:type="xsd:double"&gt;-0.8377731&lt;/D&gt;&lt;D xsi:type="xsd:double"&gt;0.22023916&lt;/D&gt;&lt;D xsi:type="xsd:double"&gt;2.376604&lt;/D&gt;&lt;D xsi:type="xsd:double"&gt;-5.5102053&lt;/D&gt;&lt;D xsi:type="xsd:double"&gt;-0.4589677&lt;/D&gt;&lt;D xsi:type="xsd:double"&gt;-6.8619432&lt;/D&gt;&lt;D xsi:type="xsd:double"&gt;8.648813&lt;/D&gt;&lt;D xsi:type="xsd:double"&gt;5.467701&lt;/D&gt;&lt;D xsi:type="xsd:double"&gt;-3.0064225&lt;/D&gt;&lt;D xsi:type="xsd:double"&gt;3.0854464&lt;/D&gt;&lt;D xsi:type="xsd:double"&gt;5.423379&lt;/D&gt;&lt;D xsi:type="xsd:double"&gt;-3.1545699&lt;/D&gt;&lt;D xsi:type="xsd:double"&gt;5.8631897&lt;/D&gt;&lt;D xsi:type="xsd:double"&gt;-6.444001&lt;/D&gt;&lt;D xsi:type="xsd:double"&gt;-0.051772594&lt;/D&gt;&lt;D xsi:type="xsd:double"&gt;1.631701&lt;/D&gt;&lt;D xsi:type="xsd:double"&gt;2.7268052&lt;/D&gt;&lt;D xsi:type="xsd:double"&gt;-2.6296258&lt;/D&gt;&lt;D xsi:type="xsd:double"&gt;-7.617837&lt;/D&gt;&lt;D xsi:type="xsd:double"&gt;-1.3080537&lt;/D&gt;&lt;D xsi:type="xsd:double"&gt;4.983115&lt;/D&gt;&lt;D xsi:type="xsd:double"&gt;6.5164924&lt;/D&gt;&lt;D xsi:type="xsd:double"&gt;5.6646466&lt;/D&gt;&lt;D xsi:type="xsd:double"&gt;-6.5522966&lt;/D&gt;&lt;D xsi:type="xsd:double"&gt;8.949507&lt;/D&gt;&lt;D xsi:type="xsd:double"&gt;-0.27583838&lt;/D&gt;&lt;D xsi:type="xsd:double"&gt;2.9997587&lt;/D&gt;&lt;D xsi:type="xsd:double"&gt;2.0969272&lt;/D&gt;&lt;D xsi:type="xsd:double"&gt;-0.31948686&lt;/D&gt;&lt;D xsi:type="xsd:double"&gt;3.5485387&lt;/D&gt;&lt;D xsi:type="xsd:double"&gt;-3.9575517&lt;/D&gt;&lt;D xsi:type="xsd:double"&gt;3.9086819&lt;/D&gt;&lt;D xsi:type="xsd:double"&gt;0.8461356&lt;/D&gt;&lt;D xsi:type="xsd:double"&gt;3.5769463&lt;/D&gt;&lt;D xsi:type="xsd:double"&gt;-7.9087615&lt;/D&gt;&lt;/FQL&gt;&lt;FQL&gt;&lt;Q&gt;EWD^FG_PRICE(0,-200D)&lt;/Q&gt;&lt;R&gt;201&lt;/R&gt;&lt;C&gt;1&lt;/C&gt;&lt;D xsi:type="xsd:double"&gt;48.33&lt;/D&gt;&lt;D xsi:type="xsd:double"&gt;49.17&lt;/D&gt;&lt;D xsi:type="xsd:double"&gt;50.44&lt;/D&gt;&lt;D xsi:type="xsd:double"&gt;50.3&lt;/D&gt;&lt;D xsi:type="xsd:double"&gt;49.34&lt;/D&gt;&lt;D xsi:type="xsd:double"&gt;50.53&lt;/D&gt;&lt;D xsi:type="xsd:double"&gt;51.41&lt;/D&gt;&lt;D xsi:type="xsd:double"&gt;51.76&lt;/D&gt;&lt;D xsi:type="xsd:double"&gt;51.37&lt;/D&gt;&lt;D xsi:type="xsd:double"&gt;51.74&lt;/D&gt;&lt;D xsi:type="xsd:double"&gt;52.04&lt;/D&gt;&lt;D xsi:type="xsd:double"&gt;52.91&lt;/D&gt;&lt;D xsi:type="xsd:double"&gt;51.87&lt;/D&gt;&lt;D xsi:type="xsd:double"&gt;53.17&lt;/D&gt;&lt;D xsi:type="xsd:double"&gt;54.72&lt;/D&gt;&lt;D xsi:type="xsd:double"&gt;54.56&lt;/D&gt;&lt;D xsi:type="xsd:double"&gt;54.13&lt;/D&gt;&lt;D xsi:type="xsd:double"&gt;54.01&lt;/D&gt;&lt;D xsi:type="xsd:double"&gt;53.49&lt;/D&gt;&lt;D xsi:type="xsd:double"&gt;54&lt;/D&gt;&lt;D xsi:type="xsd:double"&gt;53.4&lt;/D&gt;&lt;D xsi:type="xsd:double"&gt;53.5&lt;/D&gt;&lt;D xsi:type="xsd:double"&gt;53.26&lt;/D&gt;&lt;D xsi:type="xsd:double"&gt;53.47&lt;/D&gt;&lt;D xsi:type="xsd:double"&gt;53.42&lt;/D&gt;&lt;D xsi:type="xsd:double"&gt;54.56&lt;/D&gt;&lt;D xsi:type="xsd:double"&gt;54.17&lt;/D&gt;&lt;D xsi:type="xsd:double"&gt;53.38&lt;/D&gt;&lt;D xsi:type="xsd:double"&gt;52.93&lt;/D&gt;&lt;D xsi:type="xsd:double"&gt;51.86&lt;/D&gt;&lt;D xsi:type="xsd:double"&gt;52.92&lt;/D&gt;&lt;D xsi:type="xsd:double"&gt;53.23&lt;/D&gt;&lt;D xsi:type="xsd:double"&gt;52.88&lt;/D&gt;&lt;D xsi:type="xsd:double"&gt;52.27&lt;/D&gt;&lt;D xsi:type="xsd:double"&gt;53.45&lt;/D&gt;&lt;D xsi:type="xsd:double"&gt;52.93&lt;/D&gt;&lt;D xsi:type="xsd:double"&gt;53.64&lt;/D&gt;&lt;D xsi:type="xsd:double"&gt;52.72&lt;/D&gt;&lt;D xsi:type="xsd:double"&gt;52.38&lt;/D&gt;&lt;D xsi:type="xsd:double"&gt;51.74&lt;/D&gt;&lt;D xsi:type="xsd:double"&gt;51.52&lt;/D&gt;&lt;D xsi:type="xsd:double"&gt;50.46&lt;/D&gt;&lt;D xsi:type="xsd:double"&gt;51.31&lt;/D&gt;&lt;D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xsi:type="xsd:double"&gt;49.55&lt;/D&gt;&lt;D xsi:type="xsd:double"&gt;49.32&lt;/D&gt;&lt;D xsi:type="xsd:double"&gt;49.65&lt;/D&gt;&lt;D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xsi:type="xsd:double"&gt;45.62&lt;/D&gt;&lt;/FQL&gt;&lt;FQL&gt;&lt;Q&gt;EWW^FG_PRICE(0,-200D)&lt;/Q&gt;&lt;R&gt;201&lt;/R&gt;&lt;C&gt;1&lt;/C&gt;&lt;D xsi:type="xsd:double"&gt;72.18&lt;/D&gt;&lt;D xsi:type="xsd:double"&gt;72.38&lt;/D&gt;&lt;D xsi:type="xsd:double"&gt;73.38&lt;/D&gt;&lt;D xsi:type="xsd:double"&gt;73.16&lt;/D&gt;&lt;D xsi:type="xsd:double"&gt;71.53&lt;/D&gt;&lt;D xsi:type="xsd:double"&gt;72.17&lt;/D&gt;&lt;D xsi:type="xsd:double"&gt;74.69&lt;/D&gt;&lt;D xsi:type="xsd:double"&gt;74.76&lt;/D&gt;&lt;D xsi:type="xsd:double"&gt;73.89&lt;/D&gt;&lt;D xsi:type="xsd:double"&gt;73.72&lt;/D&gt;&lt;D xsi:type="xsd:double"&gt;75.25&lt;/D&gt;&lt;D xsi:type="xsd:double"&gt;77.91&lt;/D&gt;&lt;D xsi:type="xsd:double"&gt;75.37&lt;/D&gt;&lt;D xsi:type="xsd:double"&gt;79.46&lt;/D&gt;&lt;D xsi:type="xsd:double"&gt;80.94&lt;/D&gt;&lt;D xsi:type="xsd:double"&gt;80.66&lt;/D&gt;&lt;D xsi:type="xsd:double"&gt;80.45&lt;/D&gt;&lt;D xsi:type="xsd:double"&gt;80.37&lt;/D&gt;&lt;D xsi:type="xsd:double"&gt;79.54&lt;/D&gt;&lt;D xsi:type="xsd:double"&gt;81.23&lt;/D&gt;&lt;D xsi:type="xsd:double"&gt;79.94&lt;/D&gt;&lt;D xsi:type="xsd:double"&gt;80.15&lt;/D&gt;&lt;D xsi:type="xsd:double"&gt;80.76&lt;/D&gt;&lt;D xsi:type="xsd:double"&gt;81.03&lt;/D&gt;&lt;D xsi:type="xsd:double"&gt;79.92&lt;/D&gt;&lt;D xsi:type="xsd:double"&gt;80.7&lt;/D&gt;&lt;D xsi:type="xsd:double"&gt;80.48&lt;/D&gt;&lt;D xsi:type="xsd:double"&gt;80.67&lt;/D&gt;&lt;D xsi:type="xsd:double"&gt;79.87&lt;/D&gt;&lt;D xsi:type="xsd:double"&gt;76.83&lt;/D&gt;&lt;D xsi:type="xsd:double"&gt;77.22&lt;/D&gt;&lt;D xsi:type="xsd:double"&gt;78.76&lt;/D&gt;&lt;D xsi:type="xsd:double"&gt;75.43&lt;/D&gt;&lt;D xsi:type="xsd:double"&gt;75.12&lt;/D&gt;&lt;D xsi:type="xsd:double"&gt;78.45&lt;/D&gt;&lt;D xsi:type="xsd:double"&gt;78.73&lt;/D&gt;&lt;D xsi:type="xsd:double"&gt;77.86&lt;/D&gt;&lt;D xsi:type="xsd:double"&gt;76.7&lt;/D&gt;&lt;D xsi:type="xsd:double"&gt;76.08&lt;/D&gt;&lt;D xsi:type="xsd:double"&gt;75.75&lt;/D&gt;&lt;D xsi:type="xsd:double"&gt;75.36&lt;/D&gt;&lt;D xsi:type="xsd:double"&gt;74.61&lt;/D&gt;&lt;D xsi:type="xsd:double"&gt;74&lt;/D&gt;&lt;D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xsi:type="xsd:double"&gt;69.49&lt;/D&gt;&lt;D xsi:type="xsd:double"&gt;70.51&lt;/D&gt;&lt;D xsi:type="xsd:double"&gt;71.15&lt;/D&gt;&lt;D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xsi:type="xsd:double"&gt;60.64&lt;/D&gt;&lt;/FQL&gt;&lt;FQL&gt;&lt;Q&gt;CNYA^FG_PRICE(0,-200D)&lt;/Q&gt;&lt;R&gt;201&lt;/R&gt;&lt;C&gt;1&lt;/C&gt;&lt;D xsi:type="xsd:double"&gt;34.72&lt;/D&gt;&lt;D xsi:type="xsd:double"&gt;34.74&lt;/D&gt;&lt;D xsi:type="xsd:double"&gt;35.29&lt;/D&gt;&lt;D xsi:type="xsd:double"&gt;35.43&lt;/D&gt;&lt;D xsi:type="xsd:double"&gt;35.345&lt;/D&gt;&lt;D xsi:type="xsd:double"&gt;35.52&lt;/D&gt;&lt;D xsi:type="xsd:double"&gt;35.82&lt;/D&gt;&lt;D xsi:type="xsd:double"&gt;35.62&lt;/D&gt;&lt;D xsi:type="xsd:double"&gt;35.4&lt;/D&gt;&lt;D xsi:type="xsd:double"&gt;34.94&lt;/D&gt;&lt;D xsi:type="xsd:double"&gt;35.09&lt;/D&gt;&lt;D xsi:type="xsd:double"&gt;35.29&lt;/D&gt;&lt;D xsi:type="xsd:double"&gt;34.9&lt;/D&gt;&lt;D xsi:type="xsd:double"&gt;36.13&lt;/D&gt;&lt;D xsi:type="xsd:double"&gt;36.15&lt;/D&gt;&lt;D xsi:type="xsd:double"&gt;35.96&lt;/D&gt;&lt;D xsi:type="xsd:double"&gt;36.36&lt;/D&gt;&lt;D xsi:type="xsd:double"&gt;35.94&lt;/D&gt;&lt;D xsi:type="xsd:double"&gt;35.85&lt;/D&gt;&lt;D xsi:type="xsd:double"&gt;35.79&lt;/D&gt;&lt;D xsi:type="xsd:double"&gt;35.622&lt;/D&gt;&lt;D xsi:type="xsd:double"&gt;35.8&lt;/D&gt;&lt;D xsi:type="xsd:double"&gt;35.65&lt;/D&gt;&lt;D xsi:type="xsd:double"&gt;35.3684&lt;/D&gt;&lt;D xsi:type="xsd:double"&gt;35.56&lt;/D&gt;&lt;D xsi:type="xsd:double"&gt;35.76&lt;/D&gt;&lt;D xsi:type="xsd:double"&gt;35.715&lt;/D&gt;&lt;D xsi:type="xsd:double"&gt;35.82&lt;/D&gt;&lt;D xsi:type="xsd:double"&gt;35.41&lt;/D&gt;&lt;D xsi:type="xsd:double"&gt;34.84&lt;/D&gt;&lt;D xsi:type="xsd:double"&gt;35.14&lt;/D&gt;&lt;D xsi:type="xsd:double"&gt;35&lt;/D&gt;&lt;D xsi:type="xsd:double"&gt;34.72&lt;/D&gt;&lt;D xsi:type="xsd:double"&gt;35.11&lt;/D&gt;&lt;D xsi:type="xsd:double"&gt;35.89&lt;/D&gt;&lt;D xsi:type="xsd:double"&gt;35.52&lt;/D&gt;&lt;D xsi:type="xsd:double"&gt;35.64&lt;/D&gt;&lt;D xsi:type="xsd:double"&gt;35.58&lt;/D&gt;&lt;D xsi:type="xsd:double"&gt;35.55&lt;/D&gt;&lt;D xsi:type="xsd:double"&gt;35.78&lt;/D&gt;&lt;D xsi:type="xsd:double"&gt;35.805&lt;/D&gt;&lt;D xsi:type="xsd:double"&gt;35.5&lt;/D&gt;&lt;D xsi:type="xsd:double"&gt;35.515&lt;/D&gt;&lt;D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xsi:type="xsd:double"&gt;34.59&lt;/D&gt;&lt;D xsi:type="xsd:double"&gt;34.37&lt;/D&gt;&lt;D xsi:type="xsd:double"&gt;34.71&lt;/D&gt;&lt;D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xsi:type="xsd:double"&gt;27.72&lt;/D&gt;&lt;/FQL&gt;&lt;FQL&gt;&lt;Q&gt;VNM^FG_TOTAL_RETURNC(-5AY,0,AM)&lt;/Q&gt;&lt;R&gt;61&lt;/R&gt;&lt;C&gt;1&lt;/C&gt;&lt;D xsi:type="xsd:double"&gt;-2.7188718&lt;/D&gt;&lt;D xsi:type="xsd:double"&gt;9.223043&lt;/D&gt;&lt;D xsi:type="xsd:double"&gt;-3.5312235&lt;/D&gt;&lt;D xsi:type="xsd:double"&gt;6.153846&lt;/D&gt;&lt;D xsi:type="xsd:double"&gt;-6.3968062&lt;/D&gt;&lt;D xsi:type="xsd:double"&gt;3.924191&lt;/D&gt;&lt;D xsi:type="xsd:double"&gt;1.9265294&lt;/D&gt;&lt;D xsi:type="xsd:double"&gt;-0.6552458&lt;/D&gt;&lt;D xsi:type="xsd:double"&gt;4.211068&lt;/D&gt;&lt;D xsi:type="xsd:double"&gt;1.1197686&lt;/D&gt;&lt;D xsi:type="xsd:double"&gt;-4.4350266&lt;/D&gt;&lt;D xsi:type="xsd:double"&gt;0.20253658&lt;/D&gt;&lt;D xsi:type="xsd:double"&gt;-4.749876&lt;/D&gt;&lt;D xsi:type="xsd:double"&gt;-6.100792&lt;/D&gt;&lt;D xsi:type="xsd:double"&gt;-11.864406&lt;/D&gt;&lt;D xsi:type="xsd:double"&gt;-5.000007&lt;/D&gt;&lt;D xsi:type="xsd:double"&gt;-2.024287&lt;/D&gt;&lt;D xsi:type="xsd:double"&gt;6.404948&lt;/D&gt;&lt;D xsi:type="xsd:double"&gt;-6.9902897&lt;/D&gt;&lt;D xsi:type="xsd:double"&gt;-14.961725&lt;/D&gt;&lt;D xsi:type="xsd:double"&gt;-6.873977&lt;/D&gt;&lt;D xsi:type="xsd:double"&gt;7.7381253&lt;/D&gt;&lt;D xsi:type="xsd:double"&gt;6.12098&lt;/D&gt;&lt;D xsi:type="xsd:double"&gt;-7.835531&lt;/D&gt;&lt;D xsi:type="xsd:double"&gt;-2.1043777&lt;/D&gt;&lt;D xsi:type="xsd:double"&gt;2.837491&lt;/D&gt;&lt;D xsi:type="xsd:double"&gt;3.4280896&lt;/D&gt;&lt;D xsi:type="xsd:double"&gt;6.1439037&lt;/D&gt;&lt;D xsi:type="xsd:double"&gt;6.3214064&lt;/D&gt;&lt;D xsi:type="xsd:double"&gt;1.5759349&lt;/D&gt;&lt;D xsi:type="xsd:double"&gt;3.7376523&lt;/D&gt;&lt;D xsi:type="xsd:double"&gt;-15.975529&lt;/D&gt;&lt;D xsi:type="xsd:double"&gt;6.0679555&lt;/D&gt;&lt;D xsi:type="xsd:double"&gt;0.46947002&lt;/D&gt;&lt;D xsi:type="xsd:double"&gt;3.5064697&lt;/D&gt;&lt;D xsi:type="xsd:double"&gt;1.8561482&lt;/D&gt;&lt;D xsi:type="xsd:double"&gt;1.7463923&lt;/D&gt;&lt;D xsi:type="xsd:double"&gt;-11.567158&lt;/D&gt;&lt;D xsi:type="xsd:double"&gt;9.282696&lt;/D&gt;&lt;D xsi:type="xsd:double"&gt;-1.8532813&lt;/D&gt;&lt;D xsi:type="xsd:double"&gt;-5.1927624&lt;/D&gt;&lt;D xsi:type="xsd:double"&gt;2.406633&lt;/D&gt;&lt;D xsi:type="xsd:double"&gt;2.188003&lt;/D&gt;&lt;D xsi:type="xsd:double"&gt;-2.8548717&lt;/D&gt;&lt;D xsi:type="xsd:double"&gt;-7.0204077&lt;/D&gt;&lt;D xsi:type="xsd:double"&gt;2.1071076&lt;/D&gt;&lt;D xsi:type="xsd:double"&gt;-2.1496117&lt;/D&gt;&lt;D xsi:type="xsd:double"&gt;3.4270644&lt;/D&gt;&lt;D xsi:type="xsd:double"&gt;7.0518255&lt;/D&gt;&lt;D xsi:type="xsd:double"&gt;-6.904769&lt;/D&gt;&lt;D xsi:type="xsd:double"&gt;9.676051&lt;/D&gt;&lt;D xsi:type="xsd:double"&gt;3.8476467&lt;/D&gt;&lt;D xsi:type="xsd:double"&gt;16.579342&lt;/D&gt;&lt;D xsi:type="xsd:double"&gt;14.927769&lt;/D&gt;&lt;D xsi:type="xsd:double"&gt;-1.2290478&lt;/D&gt;&lt;D xsi:type="xsd:double"&gt;8.59729&lt;/D&gt;&lt;D xsi:type="xsd:double"&gt;-8.281249&lt;/D&gt;&lt;D xsi:type="xsd:double"&gt;4.4292927&lt;/D&gt;&lt;D xsi:type="xsd:double"&gt;7.5056434&lt;/D&gt;&lt;D xsi:type="xsd:double"&gt;-4.91637&lt;/D&gt;&lt;D xsi:type="xsd:double"&gt;-9.488278&lt;/D&gt;&lt;/FQL&gt;&lt;FQL&gt;&lt;Q&gt;EWN^FG_PRICE(0,-200D)&lt;/Q&gt;&lt;R&gt;201&lt;/R&gt;&lt;C&gt;1&lt;/C&gt;&lt;D xsi:type="xsd:double"&gt;58.14&lt;/D&gt;&lt;D xsi:type="xsd:double"&gt;58.34&lt;/D&gt;&lt;D xsi:type="xsd:double"&gt;59.597&lt;/D&gt;&lt;D xsi:type="xsd:double"&gt;59.7&lt;/D&gt;&lt;D xsi:type="xsd:double"&gt;58.63&lt;/D&gt;&lt;D xsi:type="xsd:double"&gt;58.96&lt;/D&gt;&lt;D xsi:type="xsd:double"&gt;60.03&lt;/D&gt;&lt;D xsi:type="xsd:double"&gt;59.71&lt;/D&gt;&lt;D xsi:type="xsd:double"&gt;59.23&lt;/D&gt;&lt;D xsi:type="xsd:double"&gt;58.13&lt;/D&gt;&lt;D xsi:type="xsd:double"&gt;59.54&lt;/D&gt;&lt;D xsi:type="xsd:double"&gt;60.74&lt;/D&gt;&lt;D xsi:type="xsd:double"&gt;59.67&lt;/D&gt;&lt;D xsi:type="xsd:double"&gt;61.33&lt;/D&gt;&lt;D xsi:type="xsd:double"&gt;62.8&lt;/D&gt;&lt;D xsi:type="xsd:double"&gt;63.05&lt;/D&gt;&lt;D xsi:type="xsd:double"&gt;63.77&lt;/D&gt;&lt;D xsi:type="xsd:double"&gt;63&lt;/D&gt;&lt;D xsi:type="xsd:double"&gt;62.95&lt;/D&gt;&lt;D xsi:type="xsd:double"&gt;63.18&lt;/D&gt;&lt;D xsi:type="xsd:double"&gt;62.66&lt;/D&gt;&lt;D xsi:type="xsd:double"&gt;62.94&lt;/D&gt;&lt;D xsi:type="xsd:double"&gt;62.23&lt;/D&gt;&lt;D xsi:type="xsd:double"&gt;61.65&lt;/D&gt;&lt;D xsi:type="xsd:double"&gt;61.53&lt;/D&gt;&lt;D xsi:type="xsd:double"&gt;63.06&lt;/D&gt;&lt;D xsi:type="xsd:double"&gt;63.07&lt;/D&gt;&lt;D xsi:type="xsd:double"&gt;62.99&lt;/D&gt;&lt;D xsi:type="xsd:double"&gt;62.03&lt;/D&gt;&lt;D xsi:type="xsd:double"&gt;60.56&lt;/D&gt;&lt;D xsi:type="xsd:double"&gt;61.07&lt;/D&gt;&lt;D xsi:type="xsd:double"&gt;61.9&lt;/D&gt;&lt;D xsi:type="xsd:double"&gt;62.77&lt;/D&gt;&lt;D xsi:type="xsd:double"&gt;62.27&lt;/D&gt;&lt;D xsi:type="xsd:double"&gt;63.48&lt;/D&gt;&lt;D xsi:type="xsd:double"&gt;63.05&lt;/D&gt;&lt;D xsi:type="xsd:double"&gt;63.7&lt;/D&gt;&lt;D xsi:type="xsd:double"&gt;62.81&lt;/D&gt;&lt;D xsi:type="xsd:double"&gt;62.33&lt;/D&gt;&lt;D xsi:type="xsd:double"&gt;62.14&lt;/D&gt;&lt;D xsi:type="xsd:double"&gt;61.539&lt;/D&gt;&lt;D xsi:type="xsd:double"&gt;60.64&lt;/D&gt;&lt;D xsi:type="xsd:double"&gt;61.91&lt;/D&gt;&lt;D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xsi:type="xsd:double"&gt;57.227&lt;/D&gt;&lt;D xsi:type="xsd:double"&gt;57&lt;/D&gt;&lt;D xsi:type="xsd:double"&gt;57.16&lt;/D&gt;&lt;D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</t>
        </r>
      </text>
    </comment>
    <comment ref="A8" authorId="0" shapeId="0" xr:uid="{F8E7CE0C-18C2-4F40-90D2-E07F706F2878}">
      <text>
        <r>
          <rPr>
            <b/>
            <sz val="9"/>
            <color indexed="81"/>
            <rFont val="Tahoma"/>
            <charset val="1"/>
          </rPr>
          <t>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xsi:type="xsd:double"&gt;53.2858&lt;/D&gt;&lt;/FQL&gt;&lt;FQL&gt;&lt;Q&gt;CNYA^JULIAN(FG_PRICE(0,-200D).DATES)&lt;/Q&gt;&lt;R&gt;201&lt;/R&gt;&lt;C&gt;1&lt;/C&gt;&lt;D xsi:type="xsd:long"&gt;46100&lt;/D&gt;&lt;D xsi:type="xsd:long"&gt;46099&lt;/D&gt;&lt;D xsi:type="xsd:long"&gt;46098&lt;/D&gt;&lt;D xsi:type="xsd:long"&gt;46097&lt;/D&gt;&lt;D xsi:type="xsd:long"&gt;46094&lt;/D&gt;&lt;D xsi:type="xsd:long"&gt;46093&lt;/D&gt;&lt;D xsi:type="xsd:long"&gt;46092&lt;/D&gt;&lt;D xsi:type="xsd:long"&gt;46091&lt;/D&gt;&lt;D xsi:type="xsd:long"&gt;46090&lt;/D&gt;&lt;D xsi:type="xsd:long"&gt;46087&lt;/D&gt;&lt;D xsi:type="xsd:long"&gt;46086&lt;/D&gt;&lt;D xsi:type="xsd:long"&gt;46085&lt;/D&gt;&lt;D xsi:type="xsd:long"&gt;46084&lt;/D&gt;&lt;D xsi:type="xsd:long"&gt;46083&lt;/D&gt;&lt;D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xsi:type="xsd:long"&gt;45810&lt;/D&gt;&lt;/FQL&gt;&lt;FQL&gt;&lt;Q&gt;EWZ^FG_TOTAL_RETURNC(-5AY,0,AM)&lt;/Q&gt;&lt;R&gt;61&lt;/R&gt;&lt;C&gt;1&lt;/C&gt;&lt;D xsi:type="xsd:double"&gt;-4.007846&lt;/D&gt;&lt;D xsi:type="xsd:double"&gt;2.9780984&lt;/D&gt;&lt;D xsi:type="xsd:double"&gt;6.322658&lt;/D&gt;&lt;D xsi:type="xsd:double"&gt;8.651817&lt;/D&gt;&lt;D xsi:type="xsd:double"&gt;-5.731368&lt;/D&gt;&lt;D xsi:type="xsd:double"&gt;-8.9082775&lt;/D&gt;&lt;D xsi:type="xsd:double"&gt;-3.36622&lt;/D&gt;&lt;D xsi:type="xsd:double"&gt;-5.6756735&lt;/D&gt;&lt;D xsi:type="xsd:double"&gt;-7.131487&lt;/D&gt;&lt;D xsi:type="xsd:double"&gt;3.757143&lt;/D&gt;&lt;D xsi:type="xsd:double"&gt;6.263888&lt;/D&gt;&lt;D xsi:type="xsd:double"&gt;10.137165&lt;/D&gt;&lt;D xsi:type="xsd:double"&gt;5.2551746&lt;/D&gt;&lt;D xsi:type="xsd:double"&gt;7.301581&lt;/D&gt;&lt;D xsi:type="xsd:double"&gt;-11.726737&lt;/D&gt;&lt;D xsi:type="xsd:double"&gt;-10.878765&lt;/D&gt;&lt;D xsi:type="xsd:double"&gt;-5.9455576&lt;/D&gt;&lt;D xsi:type="xsd:double"&gt;18.697643&lt;/D&gt;&lt;D xsi:type="xsd:double"&gt;0.32082796&lt;/D&gt;&lt;D xsi:type="xsd:double"&gt;3.229928&lt;/D&gt;&lt;D xsi:type="xsd:double"&gt;-8.70508&lt;/D&gt;&lt;D xsi:type="xsd:double"&gt;-2.1951675&lt;/D&gt;&lt;D xsi:type="xsd:double"&gt;10.231519&lt;/D&gt;&lt;D xsi:type="xsd:double"&gt;-2.8116524&lt;/D&gt;&lt;D xsi:type="xsd:double"&gt;-8.051592&lt;/D&gt;&lt;D xsi:type="xsd:double"&gt;5.269146&lt;/D&gt;&lt;D xsi:type="xsd:double"&gt;7.634139&lt;/D&gt;&lt;D xsi:type="xsd:double"&gt;10.783815&lt;/D&gt;&lt;D xsi:type="xsd:double"&gt;-0.1546979&lt;/D&gt;&lt;D xsi:type="xsd:double"&gt;-5.3610144&lt;/D&gt;&lt;D xsi:type="xsd:double"&gt;4.9115896&lt;/D&gt;&lt;D xsi:type="xsd:double"&gt;-6.0549316&lt;/D&gt;&lt;D xsi:type="xsd:double"&gt;11.262465&lt;/D&gt;&lt;D xsi:type="xsd:double"&gt;6.4795375&lt;/D&gt;&lt;D xsi:type="xsd:double"&gt;-4.230708&lt;/D&gt;&lt;D xsi:type="xsd:double"&gt;0.4551053&lt;/D&gt;&lt;D xsi:type="xsd:double"&gt;-3.110838&lt;/D&gt;&lt;D xsi:type="xsd:double"&gt;-4.177064&lt;/D&gt;&lt;D xsi:type="xsd:double"&gt;3.2856226&lt;/D&gt;&lt;D xsi:type="xsd:double"&gt;-11.973471&lt;/D&gt;&lt;D xsi:type="xsd:double"&gt;3.4737587&lt;/D&gt;&lt;D xsi:type="xsd:double"&gt;10.464287&lt;/D&gt;&lt;D xsi:type="xsd:double"&gt;-2.651149&lt;/D&gt;&lt;D xsi:type="xsd:double"&gt;-6.3434067&lt;/D&gt;&lt;D xsi:type="xsd:double"&gt;-3.2624125&lt;/D&gt;&lt;D xsi:type="xsd:double"&gt;-12.504631&lt;/D&gt;&lt;D xsi:type="xsd:double"&gt;3.1537414&lt;/D&gt;&lt;D xsi:type="xsd:double"&gt;10.785568&lt;/D&gt;&lt;D xsi:type="xsd:double"&gt;3.2579541&lt;/D&gt;&lt;D xsi:type="xsd:double"&gt;-6.3845634&lt;/D&gt;&lt;D xsi:type="xsd:double"&gt;11.736727&lt;/D&gt;&lt;D xsi:type="xsd:double"&gt;1.4584899&lt;/D&gt;&lt;D xsi:type="xsd:double"&gt;-4.3803396&lt;/D&gt;&lt;D xsi:type="xsd:double"&gt;1.899445&lt;/D&gt;&lt;D xsi:type="xsd:double"&gt;13.0482435&lt;/D&gt;&lt;D xsi:type="xsd:double"&gt;-3.944397&lt;/D&gt;&lt;D xsi:type="xsd:double"&gt;9.35713&lt;/D&gt;&lt;D xsi:type="xsd:double"&gt;-0.9454906&lt;/D&gt;&lt;D xsi:type="xsd:double"&gt;6.769645&lt;/D&gt;&lt;D xsi:type="xsd:double"&gt;16.400373&lt;/D&gt;&lt;D xsi:type="xsd:double"&gt;-5.4649057&lt;/D&gt;&lt;/FQL&gt;&lt;FQL&gt;&lt;Q&gt;EIDO^FG_TOTAL_RETURNC(-5AY,0,AM)&lt;/Q&gt;&lt;R&gt;61&lt;/R&gt;&lt;C&gt;1&lt;/C&gt;&lt;D xsi:type="xsd:double"&gt;-1.1012316&lt;/D&gt;&lt;D xsi:type="xsd:double"&gt;-6.8094254&lt;/D&gt;&lt;D xsi:type="xsd:double"&gt;-3.5386026&lt;/D&gt;&lt;D xsi:type="xsd:double"&gt;-0.8034885&lt;/D&gt;&lt;D xsi:type="xsd:double"&gt;-3.866607&lt;/D&gt;&lt;D xsi:type="xsd:double"&gt;3.3685327&lt;/D&gt;&lt;D xsi:type="xsd:double"&gt;3.404677&lt;/D&gt;&lt;D xsi:type="xsd:double"&gt;16.27469&lt;/D&gt;&lt;D xsi:type="xsd:double"&gt;-4.1666627&lt;/D&gt;&lt;D xsi:type="xsd:double"&gt;-3.1192958&lt;/D&gt;&lt;D xsi:type="xsd:double"&gt;1.2724876&lt;/D&gt;&lt;D xsi:type="xsd:double"&gt;3.9861321&lt;/D&gt;&lt;D xsi:type="xsd:double"&gt;1.8333316&lt;/D&gt;&lt;D xsi:type="xsd:double"&gt;0.24549961&lt;/D&gt;&lt;D xsi:type="xsd:double"&gt;-3.4285724&lt;/D&gt;&lt;D xsi:type="xsd:double"&gt;-3.0471325&lt;/D&gt;&lt;D xsi:type="xsd:double"&gt;-2.2104323&lt;/D&gt;&lt;D xsi:type="xsd:double"&gt;6.7359805&lt;/D&gt;&lt;D xsi:type="xsd:double"&gt;4.235494&lt;/D&gt;&lt;D xsi:type="xsd:double"&gt;-7.761073&lt;/D&gt;&lt;D xsi:type="xsd:double"&gt;2.1585941&lt;/D&gt;&lt;D xsi:type="xsd:double"&gt;-0.90692043&lt;/D&gt;&lt;D xsi:type="xsd:double"&gt;0.21977425&lt;/D&gt;&lt;D xsi:type="xsd:double"&gt;1.666677&lt;/D&gt;&lt;D xsi:type="xsd:double"&gt;-5.0905943&lt;/D&gt;&lt;D xsi:type="xsd:double"&gt;8.000004&lt;/D&gt;&lt;D xsi:type="xsd:double"&gt;-0.7154882&lt;/D&gt;&lt;D xsi:type="xsd:double"&gt;0.42910576&lt;/D&gt;&lt;D xsi:type="xsd:double"&gt;1.378727&lt;/D&gt;&lt;D xsi:type="xsd:double"&gt;-3.1024277&lt;/D&gt;&lt;D xsi:type="xsd:double"&gt;0.21929741&lt;/D&gt;&lt;D xsi:type="xsd:double"&gt;-8.796501&lt;/D&gt;&lt;D xsi:type="xsd:double"&gt;3.790784&lt;/D&gt;&lt;D xsi:type="xsd:double"&gt;2.2191525&lt;/D&gt;&lt;D xsi:type="xsd:double"&gt;1.2643576&lt;/D&gt;&lt;D xsi:type="xsd:double"&gt;2.3863196&lt;/D&gt;&lt;D xsi:type="xsd:double"&gt;0.043976307&lt;/D&gt;&lt;D xsi:type="xsd:double"&gt;-8.659339&lt;/D&gt;&lt;D xsi:type="xsd:double"&gt;2.5023937&lt;/D&gt;&lt;D xsi:type="xsd:double"&gt;-10.674894&lt;/D&gt;&lt;D xsi:type="xsd:double"&gt;9.847665&lt;/D&gt;&lt;D xsi:type="xsd:double"&gt;6.5378904&lt;/D&gt;&lt;D xsi:type="xsd:double"&gt;8.414686&lt;/D&gt;&lt;D xsi:type="xsd:double"&gt;-3.2590091&lt;/D&gt;&lt;D xsi:type="xsd:double"&gt;-10.859924&lt;/D&gt;&lt;D xsi:type="xsd:double"&gt;-8.569622&lt;/D&gt;&lt;D xsi:type="xsd:double"&gt;2.1944523&lt;/D&gt;&lt;D xsi:type="xsd:double"&gt;-3.8378358&lt;/D&gt;&lt;D xsi:type="xsd:double"&gt;-10.3428955&lt;/D&gt;&lt;D xsi:type="xsd:double"&gt;1.1285186&lt;/D&gt;&lt;D xsi:type="xsd:double"&gt;16.181028&lt;/D&gt;&lt;D xsi:type="xsd:double"&gt;-2.0761907&lt;/D&gt;&lt;D xsi:type="xsd:double"&gt;-1.0072768&lt;/D&gt;&lt;D xsi:type="xsd:double"&gt;3.5048008&lt;/D&gt;&lt;D xsi:type="xsd:double"&gt;-2.8399706&lt;/D&gt;&lt;D xsi:type="xsd:double"&gt;-2.7543664&lt;/D&gt;&lt;D xsi:type="xsd:double"&gt;6.82081&lt;/D&gt;&lt;D xsi:type="xsd:double"&gt;1.4113188&lt;/D&gt;&lt;D xsi:type="xsd:double"&gt;3.12016&lt;/D&gt;&lt;D xsi:type="xsd:double"&gt;-6.8443003&lt;/D&gt;&lt;D xsi:type="xsd:double"&gt;-14.021313&lt;/D&gt;&lt;/FQL&gt;&lt;FQL&gt;&lt;Q&gt;EWA^FG_PRICE(0,-200D)&lt;/Q&gt;&lt;R&gt;201&lt;/R&gt;&lt;C&gt;1&lt;/C&gt;&lt;D xsi:type="xsd:double"&gt;28.26&lt;/D&gt;&lt;D xsi:type="xsd:double"&gt;28&lt;/D&gt;&lt;D xsi:type="xsd:double"&gt;28.7&lt;/D&gt;&lt;D xsi:type="xsd:double"&gt;28.68&lt;/D&gt;&lt;D xsi:type="xsd:double"&gt;27.98&lt;/D&gt;&lt;D xsi:type="xsd:double"&gt;28.42&lt;/D&gt;&lt;D xsi:type="xsd:double"&gt;29&lt;/D&gt;&lt;D xsi:type="xsd:double"&gt;28.95&lt;/D&gt;&lt;D xsi:type="xsd:double"&gt;28.86&lt;/D&gt;&lt;D xsi:type="xsd:double"&gt;28.33&lt;/D&gt;&lt;D xsi:type="xsd:double"&gt;28.61&lt;/D&gt;&lt;D xsi:type="xsd:double"&gt;29.35&lt;/D&gt;&lt;D xsi:type="xsd:double"&gt;29.09&lt;/D&gt;&lt;D xsi:type="xsd:double"&gt;29.93&lt;/D&gt;&lt;D xsi:type="xsd:double"&gt;30.09&lt;/D&gt;&lt;D xsi:type="xsd:double"&gt;30.14&lt;/D&gt;&lt;D xsi:type="xsd:double"&gt;30.16&lt;/D&gt;&lt;D xsi:type="xsd:double"&gt;29.58&lt;/D&gt;&lt;D xsi:type="xsd:double"&gt;29.45&lt;/D&gt;&lt;D xsi:type="xsd:double"&gt;29.7&lt;/D&gt;&lt;D xsi:type="xsd:double"&gt;29.37&lt;/D&gt;&lt;D xsi:type="xsd:double"&gt;29.31&lt;/D&gt;&lt;D xsi:type="xsd:double"&gt;29.32&lt;/D&gt;&lt;D xsi:type="xsd:double"&gt;29.16&lt;/D&gt;&lt;D xsi:type="xsd:double"&gt;29.1&lt;/D&gt;&lt;D xsi:type="xsd:double"&gt;29.3&lt;/D&gt;&lt;D xsi:type="xsd:double"&gt;28.64&lt;/D&gt;&lt;D xsi:type="xsd:double"&gt;28.83&lt;/D&gt;&lt;D xsi:type="xsd:double"&gt;28.23&lt;/D&gt;&lt;D xsi:type="xsd:double"&gt;27.84&lt;/D&gt;&lt;D xsi:type="xsd:double"&gt;28.35&lt;/D&gt;&lt;D xsi:type="xsd:double"&gt;28.12&lt;/D&gt;&lt;D xsi:type="xsd:double"&gt;27.95&lt;/D&gt;&lt;D xsi:type="xsd:double"&gt;27.75&lt;/D&gt;&lt;D xsi:type="xsd:double"&gt;28.42&lt;/D&gt;&lt;D xsi:type="xsd:double"&gt;28.17&lt;/D&gt;&lt;D xsi:type="xsd:double"&gt;28.24&lt;/D&gt;&lt;D xsi:type="xsd:double"&gt;27.62&lt;/D&gt;&lt;D xsi:type="xsd:double"&gt;27.38&lt;/D&gt;&lt;D xsi:type="xsd:double"&gt;27.07&lt;/D&gt;&lt;D xsi:type="xsd:double"&gt;26.7&lt;/D&gt;&lt;D xsi:type="xsd:double"&gt;26.46&lt;/D&gt;&lt;D xsi:type="xsd:double"&gt;26.74&lt;/D&gt;&lt;D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xsi:type="xsd:double"&gt;26.41&lt;/D&gt;&lt;D xsi:type="xsd:double"&gt;26.48&lt;/D&gt;&lt;D xsi:type="xsd:double"&gt;26.68&lt;/D&gt;&lt;D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xsi:type="xsd:double"&gt;26.15&lt;/D&gt;&lt;/FQL&gt;&lt;FQL&gt;&lt;Q&gt;EWM^FG_PRICE(0,-200D)&lt;/Q&gt;&lt;R&gt;201&lt;/R&gt;&lt;C&gt;1&lt;/C&gt;&lt;D xsi:type="xsd:double"&gt;29.52&lt;/D&gt;&lt;D xsi:type="xsd:double"&gt;29.34&lt;/D&gt;&lt;D xsi:type="xsd:double"&gt;29.37&lt;/D&gt;&lt;D xsi:type="xsd:double"&gt;29.06&lt;/D&gt;&lt;D xsi:type="xsd:double"&gt;28.64&lt;/D&gt;&lt;D xsi:type="xsd:double"&gt;28.53&lt;/D&gt;&lt;D xsi:type="xsd:double"&gt;28.78&lt;/D&gt;&lt;D xsi:type="xsd:double"&gt;28.58&lt;/D&gt;&lt;D xsi:type="xsd:double"&gt;28.27&lt;/D&gt;&lt;D xsi:type="xsd:double"&gt;28.49&lt;/D&gt;&lt;D xsi:type="xsd:double"&gt;28.54&lt;/D&gt;&lt;D xsi:type="xsd:double"&gt;28.82&lt;/D&gt;&lt;D xsi:type="xsd:double"&gt;28.36&lt;/D&gt;&lt;D xsi:type="xsd:double"&gt;28.69&lt;/D&gt;&lt;D xsi:type="xsd:double"&gt;29.22&lt;/D&gt;&lt;D xsi:type="xsd:double"&gt;29.65&lt;/D&gt;&lt;D xsi:type="xsd:double"&gt;30.01&lt;/D&gt;&lt;D xsi:type="xsd:double"&gt;30.02&lt;/D&gt;&lt;D xsi:type="xsd:double"&gt;30.01&lt;/D&gt;&lt;D xsi:type="xsd:double"&gt;30.13&lt;/D&gt;&lt;D xsi:type="xsd:double"&gt;29.82&lt;/D&gt;&lt;D xsi:type="xsd:double"&gt;29.67&lt;/D&gt;&lt;D xsi:type="xsd:double"&gt;29.65&lt;/D&gt;&lt;D xsi:type="xsd:double"&gt;29.72&lt;/D&gt;&lt;D xsi:type="xsd:double"&gt;29.71&lt;/D&gt;&lt;D xsi:type="xsd:double"&gt;29.98&lt;/D&gt;&lt;D xsi:type="xsd:double"&gt;29.69&lt;/D&gt;&lt;D xsi:type="xsd:double"&gt;29.83&lt;/D&gt;&lt;D xsi:type="xsd:double"&gt;29.57&lt;/D&gt;&lt;D xsi:type="xsd:double"&gt;29.18&lt;/D&gt;&lt;D xsi:type="xsd:double"&gt;29.49&lt;/D&gt;&lt;D xsi:type="xsd:double"&gt;29.42&lt;/D&gt;&lt;D xsi:type="xsd:double"&gt;29.32&lt;/D&gt;&lt;D xsi:type="xsd:double"&gt;29.18&lt;/D&gt;&lt;D xsi:type="xsd:double"&gt;29.27&lt;/D&gt;&lt;D xsi:type="xsd:double"&gt;29.84&lt;/D&gt;&lt;D xsi:type="xsd:double"&gt;30.06&lt;/D&gt;&lt;D xsi:type="xsd:double"&gt;29.5&lt;/D&gt;&lt;D xsi:type="xsd:double"&gt;28.78&lt;/D&gt;&lt;D xsi:type="xsd:double"&gt;28.43&lt;/D&gt;&lt;D xsi:type="xsd:double"&gt;28.26&lt;/D&gt;&lt;D xsi:type="xsd:double"&gt;27.88&lt;/D&gt;&lt;D xsi:type="xsd:double"&gt;28.17&lt;/D&gt;&lt;D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xsi:type="xsd:double"&gt;27.57&lt;/D&gt;&lt;D xsi:type="xsd:double"&gt;27.53&lt;/D&gt;&lt;D xsi:type="xsd:double"&gt;27.64&lt;/D&gt;&lt;D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xsi:type="xsd:double"&gt;24.15&lt;/D&gt;&lt;/FQL&gt;&lt;FQL&gt;&lt;Q&gt;EWI^FG_TOTAL_RETURNC(-5AY,0,AM)&lt;/Q&gt;&lt;R&gt;61&lt;/R&gt;&lt;C&gt;1&lt;/C&gt;&lt;D xsi:type="xsd:double"&gt;3.40271&lt;/D&gt;&lt;D xsi:type="xsd:double"&gt;3.418529&lt;/D&gt;&lt;D xsi:type="xsd:double"&gt;0.27803183&lt;/D&gt;&lt;D xsi:type="xsd:double"&gt;0.90744495&lt;/D&gt;&lt;D xsi:type="xsd:double"&gt;-5.2843037&lt;/D&gt;&lt;D xsi:type="xsd:double"&gt;6.851554&lt;/D&gt;&lt;D xsi:type="xsd:double"&gt;-1.7099261&lt;/D&gt;&lt;D xsi:type="xsd:double"&gt;2.6405811&lt;/D&gt;&lt;D xsi:type="xsd:double"&gt;-0.39346814&lt;/D&gt;&lt;D xsi:type="xsd:double"&gt;-2.5825024&lt;/D&gt;&lt;D xsi:type="xsd:double"&gt;4.5555115&lt;/D&gt;&lt;D xsi:type="xsd:double"&gt;-2.7836561&lt;/D&gt;&lt;D xsi:type="xsd:double"&gt;-10.488642&lt;/D&gt;&lt;D xsi:type="xsd:double"&gt;1.6689777&lt;/D&gt;&lt;D xsi:type="xsd:double"&gt;-5.608755&lt;/D&gt;&lt;D xsi:type="xsd:double"&gt;-8.84329&lt;/D&gt;&lt;D xsi:type="xsd:double"&gt;-2.4989784&lt;/D&gt;&lt;D xsi:type="xsd:double"&gt;1.9747972&lt;/D&gt;&lt;D xsi:type="xsd:double"&gt;-1.5245199&lt;/D&gt;&lt;D xsi:type="xsd:double"&gt;-5.774057&lt;/D&gt;&lt;D xsi:type="xsd:double"&gt;21.136772&lt;/D&gt;&lt;D xsi:type="xsd:double"&gt;-1.0636628&lt;/D&gt;&lt;D xsi:type="xsd:double"&gt;10.1542&lt;/D&gt;&lt;D xsi:type="xsd:double"&gt;5.1894784&lt;/D&gt;&lt;D xsi:type="xsd:double"&gt;-8.8283&lt;/D&gt;&lt;D xsi:type="xsd:double"&gt;12.815952&lt;/D&gt;&lt;D xsi:type="xsd:double"&gt;-1.4515638&lt;/D&gt;&lt;D xsi:type="xsd:double"&gt;3.142655&lt;/D&gt;&lt;D xsi:type="xsd:double"&gt;4.7709823&lt;/D&gt;&lt;D xsi:type="xsd:double"&gt;-5.6466284&lt;/D&gt;&lt;D xsi:type="xsd:double"&gt;1.4800549&lt;/D&gt;&lt;D xsi:type="xsd:double"&gt;-5.738747&lt;/D&gt;&lt;D xsi:type="xsd:double"&gt;9.485364&lt;/D&gt;&lt;D xsi:type="xsd:double"&gt;4.70047&lt;/D&gt;&lt;D xsi:type="xsd:double"&gt;-0.5211711&lt;/D&gt;&lt;D xsi:type="xsd:double"&gt;2.7479172&lt;/D&gt;&lt;D xsi:type="xsd:double"&gt;8.866274&lt;/D&gt;&lt;D xsi:type="xsd:double"&gt;-2.8304458&lt;/D&gt;&lt;D xsi:type="xsd:double"&gt;8.106625&lt;/D&gt;&lt;D xsi:type="xsd:double"&gt;-6.0414734&lt;/D&gt;&lt;D xsi:type="xsd:double"&gt;3.853619&lt;/D&gt;&lt;D xsi:type="xsd:double"&gt;0.45381784&lt;/D&gt;&lt;D xsi:type="xsd:double"&gt;3.0560613&lt;/D&gt;&lt;D xsi:type="xsd:double"&gt;1.0572433&lt;/D&gt;&lt;D xsi:type="xsd:double"&gt;-7.3232946&lt;/D&gt;&lt;D xsi:type="xsd:double"&gt;-0.70410967&lt;/D&gt;&lt;D xsi:type="xsd:double"&gt;6.33446&lt;/D&gt;&lt;D xsi:type="xsd:double"&gt;7.413292&lt;/D&gt;&lt;D xsi:type="xsd:double"&gt;8.429885&lt;/D&gt;&lt;D xsi:type="xsd:double"&gt;-4.2282343&lt;/D&gt;&lt;D xsi:type="xsd:double"&gt;12.271536&lt;/D&gt;&lt;D xsi:type="xsd:double"&gt;-0.06648898&lt;/D&gt;&lt;D xsi:type="xsd:double"&gt;2.86268&lt;/D&gt;&lt;D xsi:type="xsd:double"&gt;8.014226&lt;/D&gt;&lt;D xsi:type="xsd:double"&gt;-0.48430562&lt;/D&gt;&lt;D xsi:type="xsd:double"&gt;-1.1679947&lt;/D&gt;&lt;D xsi:type="xsd:double"&gt;1.1227131&lt;/D&gt;&lt;D xsi:type="xsd:double"&gt;6.9738746&lt;/D&gt;&lt;D xsi:type="xsd:double"&gt;1.3097167&lt;/D&gt;&lt;D xsi:type="xsd:double"&gt;1.7662048&lt;/D&gt;&lt;D xsi:type="xsd:double"&gt;-6.1370554&lt;/D&gt;&lt;/FQL&gt;&lt;FQL&gt;&lt;Q&gt;TUR^FG_TOTAL_RETURNC(-5AY,0,AM)&lt;/Q&gt;&lt;R&gt;61&lt;/R&gt;&lt;C&gt;1&lt;/C&gt;&lt;D xsi:type="xsd:double"&gt;-4.1932225&lt;/D&gt;&lt;D xsi:type="xsd:double"&gt;-18.662464&lt;/D&gt;&lt;D xsi:type="xsd:double"&gt;2.1523833&lt;/D&gt;&lt;D xsi:type="xsd:double"&gt;-6.5292063&lt;/D&gt;&lt;D xsi:type="xsd:double"&gt;-2.878368&lt;/D&gt;&lt;D xsi:type="xsd:double"&gt;8.221793&lt;/D&gt;&lt;D xsi:type="xsd:double"&gt;-1.72261&lt;/D&gt;&lt;D xsi:type="xsd:double"&gt;-6.6966295&lt;/D&gt;&lt;D xsi:type="xsd:double"&gt;1.5895963&lt;/D&gt;&lt;D xsi:type="xsd:double"&gt;-18.50922&lt;/D&gt;&lt;D xsi:type="xsd:double"&gt;20.338976&lt;/D&gt;&lt;D xsi:type="xsd:double"&gt;-2.2826552&lt;/D&gt;&lt;D xsi:type="xsd:double"&gt;-3.0815125&lt;/D&gt;&lt;D xsi:type="xsd:double"&gt;20.769226&lt;/D&gt;&lt;D xsi:type="xsd:double"&gt;-12.526536&lt;/D&gt;&lt;D xsi:type="xsd:double"&gt;-3.8015604&lt;/D&gt;&lt;D xsi:type="xsd:double"&gt;-2.6466012&lt;/D&gt;&lt;D xsi:type="xsd:double"&gt;15.618336&lt;/D&gt;&lt;D xsi:type="xsd:double"&gt;5.5786014&lt;/D&gt;&lt;D xsi:type="xsd:double"&gt;17.860258&lt;/D&gt;&lt;D xsi:type="xsd:double"&gt;11.893296&lt;/D&gt;&lt;D xsi:type="xsd:double"&gt;21.064556&lt;/D&gt;&lt;D xsi:type="xsd:double"&gt;0.24739504&lt;/D&gt;&lt;D xsi:type="xsd:double"&gt;-6.580758&lt;/D&gt;&lt;D xsi:type="xsd:double"&gt;2.8764248&lt;/D&gt;&lt;D xsi:type="xsd:double"&gt;-3.2239676&lt;/D&gt;&lt;D xsi:type="xsd:double"&gt;-13.266504&lt;/D&gt;&lt;D xsi:type="xsd:double"&gt;3.2098413&lt;/D&gt;&lt;D xsi:type="xsd:double"&gt;6.311846&lt;/D&gt;&lt;D xsi:type="xsd:double"&gt;12.483954&lt;/D&gt;&lt;D xsi:type="xsd:double"&gt;4.0798903&lt;/D&gt;&lt;D xsi:type="xsd:double"&gt;-3.8651288&lt;/D&gt;&lt;D xsi:type="xsd:double"&gt;0.25663376&lt;/D&gt;&lt;D xsi:type="xsd:double"&gt;-3.1854331&lt;/D&gt;&lt;D xsi:type="xsd:double"&gt;0.05055666&lt;/D&gt;&lt;D xsi:type="xsd:double"&gt;14.035606&lt;/D&gt;&lt;D xsi:type="xsd:double"&gt;-8.456934&lt;/D&gt;&lt;D xsi:type="xsd:double"&gt;8.612847&lt;/D&gt;&lt;D xsi:type="xsd:double"&gt;12.928557&lt;/D&gt;&lt;D xsi:type="xsd:double"&gt;-1.9765377&lt;/D&gt;&lt;D xsi:type="xsd:double"&gt;4.667306&lt;/D&gt;&lt;D xsi:type="xsd:double"&gt;-11.685342&lt;/D&gt;&lt;D xsi:type="xsd:double"&gt;-2.1491408&lt;/D&gt;&lt;D xsi:type="xsd:double"&gt;-12.225461&lt;/D&gt;&lt;D xsi:type="xsd:double"&gt;4.5221567&lt;/D&gt;&lt;D xsi:type="xsd:double"&gt;3.2612205&lt;/D&gt;&lt;D xsi:type="xsd:double"&gt;2.0471096&lt;/D&gt;&lt;D xsi:type="xsd:double"&gt;-4.8502326&lt;/D&gt;&lt;D xsi:type="xsd:double"&gt;-4.577613&lt;/D&gt;&lt;D xsi:type="xsd:double"&gt;-3.4201026&lt;/D&gt;&lt;D xsi:type="xsd:double"&gt;1.8176198&lt;/D&gt;&lt;D xsi:type="xsd:double"&gt;-5.9148192&lt;/D&gt;&lt;D xsi:type="xsd:double"&gt;9.58153&lt;/D&gt;&lt;D xsi:type="xsd:double"&gt;4.561305&lt;/D&gt;&lt;D xsi:type="xsd:double"&gt;2.550733&lt;/D&gt;&lt;D xsi:type="xsd:double"&gt;-9.836072&lt;/D&gt;&lt;D xsi:type="xsd:double"&gt;5.5172443&lt;/D&gt;&lt;D xsi:type="xsd:double"&gt;4.6370983&lt;/D&gt;&lt;D xs</t>
        </r>
      </text>
    </comment>
    <comment ref="A9" authorId="0" shapeId="0" xr:uid="{BF8E8BAA-9608-4E82-A311-9DB90263034B}">
      <text>
        <r>
          <rPr>
            <b/>
            <sz val="9"/>
            <color indexed="81"/>
            <rFont val="Tahoma"/>
            <charset val="1"/>
          </rPr>
          <t>i:type="xsd:double"&gt;10.183584&lt;/D&gt;&lt;D xsi:type="xsd:double"&gt;7.419944&lt;/D&gt;&lt;D xsi:type="xsd:double"&gt;-6.0106635&lt;/D&gt;&lt;/FQL&gt;&lt;FQL&gt;&lt;Q&gt;ECH^FG_TOTAL_RETURNC(-5AY,0,AM)&lt;/Q&gt;&lt;R&gt;61&lt;/R&gt;&lt;C&gt;1&lt;/C&gt;&lt;D xsi:type="xsd:double"&gt;3.4378767&lt;/D&gt;&lt;D xsi:type="xsd:double"&gt;4.373181&lt;/D&gt;&lt;D xsi:type="xsd:double"&gt;-20.78212&lt;/D&gt;&lt;D xsi:type="xsd:double"&gt;1.1256337&lt;/D&gt;&lt;D xsi:type="xsd:double"&gt;-3.014183&lt;/D&gt;&lt;D xsi:type="xsd:double"&gt;-1.828152&lt;/D&gt;&lt;D xsi:type="xsd:double"&gt;1.5642405&lt;/D&gt;&lt;D xsi:type="xsd:double"&gt;-11.477816&lt;/D&gt;&lt;D xsi:type="xsd:double"&gt;5.426681&lt;/D&gt;&lt;D xsi:type="xsd:double"&gt;-2.201879&lt;/D&gt;&lt;D xsi:type="xsd:double"&gt;5.9449673&lt;/D&gt;&lt;D xsi:type="xsd:double"&gt;1.2142539&lt;/D&gt;&lt;D xsi:type="xsd:double"&gt;8.939624&lt;/D&gt;&lt;D xsi:type="xsd:double"&gt;-1.0657191&lt;/D&gt;&lt;D xsi:type="xsd:double"&gt;0.32316446&lt;/D&gt;&lt;D xsi:type="xsd:double"&gt;-4.0293217&lt;/D&gt;&lt;D xsi:type="xsd:double"&gt;-2.9092312&lt;/D&gt;&lt;D xsi:type="xsd:double"&gt;2.676785&lt;/D&gt;&lt;D xsi:type="xsd:double"&gt;6.0700417&lt;/D&gt;&lt;D xsi:type="xsd:double"&gt;-12.802643&lt;/D&gt;&lt;D xsi:type="xsd:double"&gt;5.8056355&lt;/D&gt;&lt;D xsi:type="xsd:double"&gt;3.7969232&lt;/D&gt;&lt;D xsi:type="xsd:double"&gt;7.2298646&lt;/D&gt;&lt;D xsi:type="xsd:double"&gt;7.2737217&lt;/D&gt;&lt;D xsi:type="xsd:double"&gt;-8.761745&lt;/D&gt;&lt;D xsi:type="xsd:double"&gt;9.284914&lt;/D&gt;&lt;D xsi:type="xsd:double"&gt;2.500856&lt;/D&gt;&lt;D xsi:type="xsd:double"&gt;1.9708276&lt;/D&gt;&lt;D xsi:type="xsd:double"&gt;8.963871&lt;/D&gt;&lt;D xsi:type="xsd:double"&gt;-11.542064&lt;/D&gt;&lt;D xsi:type="xsd:double"&gt;-4.349369&lt;/D&gt;&lt;D xsi:type="xsd:double"&gt;-9.94454&lt;/D&gt;&lt;D xsi:type="xsd:double"&gt;6.8965554&lt;/D&gt;&lt;D xsi:type="xsd:double"&gt;8.333325&lt;/D&gt;&lt;D xsi:type="xsd:double"&gt;-8.489836&lt;/D&gt;&lt;D xsi:type="xsd:double"&gt;-0.27290583&lt;/D&gt;&lt;D xsi:type="xsd:double"&gt;2.6583314&lt;/D&gt;&lt;D xsi:type="xsd:double"&gt;-0.038081408&lt;/D&gt;&lt;D xsi:type="xsd:double"&gt;11.352385&lt;/D&gt;&lt;D xsi:type="xsd:double"&gt;-7.375169&lt;/D&gt;&lt;D xsi:type="xsd:double"&gt;-0.56839585&lt;/D&gt;&lt;D xsi:type="xsd:double"&gt;0.76220036&lt;/D&gt;&lt;D xsi:type="xsd:double"&gt;-2.4205804&lt;/D&gt;&lt;D xsi:type="xsd:double"&gt;1.9767404&lt;/D&gt;&lt;D xsi:type="xsd:double"&gt;-3.4207523&lt;/D&gt;&lt;D xsi:type="xsd:double"&gt;-1.1288762&lt;/D&gt;&lt;D xsi:type="xsd:double"&gt;2.9552698&lt;/D&gt;&lt;D xsi:type="xsd:double"&gt;10.938716&lt;/D&gt;&lt;D xsi:type="xsd:double"&gt;8.181822&lt;/D&gt;&lt;D xsi:type="xsd:double"&gt;-3.1997383&lt;/D&gt;&lt;D xsi:type="xsd:double"&gt;10.050082&lt;/D&gt;&lt;D xsi:type="xsd:double"&gt;-5.959606&lt;/D&gt;&lt;D xsi:type="xsd:double"&gt;-0.59327483&lt;/D&gt;&lt;D xsi:type="xsd:double"&gt;6.730771&lt;/D&gt;&lt;D xsi:type="xsd:double"&gt;4.349184&lt;/D&gt;&lt;D xsi:type="xsd:double"&gt;-0.68472624&lt;/D&gt;&lt;D xsi:type="xsd:double"&gt;11.241007&lt;/D&gt;&lt;D xsi:type="xsd:double"&gt;6.0994625&lt;/D&gt;&lt;D xsi:type="xsd:double"&gt;12.375975&lt;/D&gt;&lt;D xsi:type="xsd:double"&gt;-1.2928069&lt;/D&gt;&lt;D xsi:type="xsd:double"&gt;-8.639711&lt;/D&gt;&lt;/FQL&gt;&lt;FQL&gt;&lt;Q&gt;SPY^FG_PRICE(0,-200D)&lt;/Q&gt;&lt;R&gt;201&lt;/R&gt;&lt;C&gt;1&lt;/C&gt;&lt;D xsi:type="xsd:double"&gt;659.8&lt;/D&gt;&lt;D xsi:type="xsd:double"&gt;661.43&lt;/D&gt;&lt;D xsi:type="xsd:double"&gt;670.79&lt;/D&gt;&lt;D xsi:type="xsd:double"&gt;669.03&lt;/D&gt;&lt;D xsi:type="xsd:double"&gt;662.29&lt;/D&gt;&lt;D xsi:type="xsd:double"&gt;666.06&lt;/D&gt;&lt;D xsi:type="xsd:double"&gt;676.33&lt;/D&gt;&lt;D xsi:type="xsd:double"&gt;677.18&lt;/D&gt;&lt;D xsi:type="xsd:double"&gt;678.27&lt;/D&gt;&lt;D xsi:type="xsd:double"&gt;672.38&lt;/D&gt;&lt;D xsi:type="xsd:double"&gt;681.31&lt;/D&gt;&lt;D xsi:type="xsd:double"&gt;685.13&lt;/D&gt;&lt;D xsi:type="xsd:double"&gt;680.33&lt;/D&gt;&lt;D xsi:type="xsd:double"&gt;686.38&lt;/D&gt;&lt;D xsi:type="xsd:double"&gt;685.99&lt;/D&gt;&lt;D xsi:type="xsd:double"&gt;689.3&lt;/D&gt;&lt;D xsi:type="xsd:double"&gt;693.15&lt;/D&gt;&lt;D xsi:type="xsd:double"&gt;687.35&lt;/D&gt;&lt;D xsi:type="xsd:double"&gt;682.39&lt;/D&gt;&lt;D xsi:type="xsd:double"&gt;689.43&lt;/D&gt;&lt;D xsi:type="xsd:double"&gt;684.48&lt;/D&gt;&lt;D xsi:type="xsd:double"&gt;686.29&lt;/D&gt;&lt;D xsi:type="xsd:double"&gt;682.85&lt;/D&gt;&lt;D xsi:type="xsd:double"&gt;681.75&lt;/D&gt;&lt;D xsi:type="xsd:double"&gt;681.27&lt;/D&gt;&lt;D xsi:type="xsd:double"&gt;691.96&lt;/D&gt;&lt;D xsi:type="xsd:double"&gt;692.12&lt;/D&gt;&lt;D xsi:type="xsd:double"&gt;693.95&lt;/D&gt;&lt;D xsi:type="xsd:double"&gt;690.62&lt;/D&gt;&lt;D xsi:type="xsd:double"&gt;677.62&lt;/D&gt;&lt;D xsi:type="xsd:double"&gt;686.19&lt;/D&gt;&lt;D xsi:type="xsd:double"&gt;689.53&lt;/D&gt;&lt;D xsi:type="xsd:double"&gt;695.41&lt;/D&gt;&lt;D xsi:type="xsd:double"&gt;691.97&lt;/D&gt;&lt;D xsi:type="xsd:double"&gt;694.04&lt;/D&gt;&lt;D xsi:type="xsd:double"&gt;695.42&lt;/D&gt;&lt;D xsi:type="xsd:double"&gt;695.49&lt;/D&gt;&lt;D xsi:type="xsd:double"&gt;692.73&lt;/D&gt;&lt;D xsi:type="xsd:double"&gt;689.23&lt;/D&gt;&lt;D xsi:type="xsd:double"&gt;688.98&lt;/D&gt;&lt;D xsi:type="xsd:double"&gt;685.4&lt;/D&gt;&lt;D xsi:type="xsd:double"&gt;677.58&lt;/D&gt;&lt;D xsi:type="xsd:double"&gt;691.66&lt;/D&gt;&lt;D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xsi:type="xsd:double"&gt;687.01&lt;/D&gt;&lt;D xsi:type="xsd:double"&gt;687.85&lt;/D&gt;&lt;D xsi:type="xsd:double"&gt;690.31&lt;/D&gt;&lt;D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xsi:type="xsd:double"&gt;592.71&lt;/D&gt;&lt;/FQL&gt;&lt;FQL&gt;&lt;Q&gt;EPU^FG_PRICE(0,-200D)&lt;/Q&gt;&lt;R&gt;201&lt;/R&gt;&lt;C&gt;1&lt;/C&gt;&lt;D xsi:type="xsd:double"&gt;76.63&lt;/D&gt;&lt;D xsi:type="xsd:double"&gt;78.25&lt;/D&gt;&lt;D xsi:type="xsd:double"&gt;81.81&lt;/D&gt;&lt;D xsi:type="xsd:double"&gt;81.46&lt;/D&gt;&lt;D xsi:type="xsd:double"&gt;80.07&lt;/D&gt;&lt;D xsi:type="xsd:double"&gt;81.95&lt;/D&gt;&lt;D xsi:type="xsd:double"&gt;84.67&lt;/D&gt;&lt;D xsi:type="xsd:double"&gt;86.87&lt;/D&gt;&lt;D xsi:type="xsd:double"&gt;83.97&lt;/D&gt;&lt;D xsi:type="xsd:double"&gt;83.19&lt;/D&gt;&lt;D xsi:type="xsd:double"&gt;84.72&lt;/D&gt;&lt;D xsi:type="xsd:double"&gt;88.67&lt;/D&gt;&lt;D xsi:type="xsd:double"&gt;87.55&lt;/D&gt;&lt;D xsi:type="xsd:double"&gt;93.38&lt;/D&gt;&lt;D xsi:type="xsd:double"&gt;93.84&lt;/D&gt;&lt;D xsi:type="xsd:double"&gt;93.46&lt;/D&gt;&lt;D xsi:type="xsd:double"&gt;93.37&lt;/D&gt;&lt;D xsi:type="xsd:double"&gt;92.18&lt;/D&gt;&lt;D xsi:type="xsd:double"&gt;90.66&lt;/D&gt;&lt;D xsi:type="xsd:double"&gt;89.66&lt;/D&gt;&lt;D xsi:type="xsd:double"&gt;88.13&lt;/D&gt;&lt;D xsi:type="xsd:double"&gt;86.571&lt;/D&gt;&lt;D xsi:type="xsd:double"&gt;84.91&lt;/D&gt;&lt;D xsi:type="xsd:double"&gt;86.67&lt;/D&gt;&lt;D xsi:type="xsd:double"&gt;87.03&lt;/D&gt;&lt;D xsi:type="xsd:double"&gt;90.05&lt;/D&gt;&lt;D xsi:type="xsd:double"&gt;89.43&lt;/D&gt;&lt;D xsi:type="xsd:double"&gt;91.08&lt;/D&gt;&lt;D xsi:type="xsd:double"&gt;88.15&lt;/D&gt;&lt;D xsi:type="xsd:double"&gt;85.17&lt;/D&gt;&lt;D xsi:type="xsd:double"&gt;88.38&lt;/D&gt;&lt;D xsi:type="xsd:double"&gt;91.33&lt;/D&gt;&lt;D xsi:type="xsd:double"&gt;87.4&lt;/D&gt;&lt;D xsi:type="xsd:double"&gt;86.6&lt;/D&gt;&lt;D xsi:type="xsd:double"&gt;92.57&lt;/D&gt;&lt;D xsi:type="xsd:double"&gt;92.07&lt;/D&gt;&lt;D xsi:type="xsd:double"&gt;91.61&lt;/D&gt;&lt;D xsi:type="xsd:double"&gt;90.43&lt;/D&gt;&lt;D xsi:type="xsd:double"&gt;88.38&lt;/D&gt;&lt;D xsi:type="xsd:double"&gt;86.2&lt;/D&gt;&lt;D xsi:type="xsd:double"&gt;85.04&lt;/D&gt;&lt;D xsi:type="xsd:double"&gt;84.78&lt;/D&gt;&lt;D xsi:type="xsd:double"&gt;82.63&lt;/D&gt;&lt;D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xsi:type="xsd:double"&gt;72.91&lt;/D&gt;&lt;D xsi:type="xsd:double"&gt;71.95&lt;/D&gt;&lt;D xsi:type="xsd:double"&gt;73.77&lt;/D&gt;&lt;D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xsi:type="xsd:double"&gt;47.72&lt;/D&gt;&lt;/FQL&gt;&lt;FQL&gt;&lt;Q&gt;SET-BKK^FG_TOTAL_RETURNC(-5AY,0,AM)&lt;/Q&gt;&lt;R&gt;61&lt;/R&gt;&lt;C&gt;1&lt;/C&gt;&lt;D xsi:type="xsd:double"&gt;4.228556&lt;/D&gt;&lt;D xsi:type="xsd:double"&gt;0.7001519&lt;/D&gt;&lt;D xsi:type="xsd:double"&gt;-0.8044958&lt;/D&gt;&lt;D xsi:type="xsd:double"&gt;3.2479048&lt;/D&gt;&lt;D xsi:type="xsd:double"&gt;-3.5319686&lt;/D&gt;&lt;D xsi:type="xsd:double"&gt;-0.75384974&lt;/D&gt;&lt;D xsi:type="xsd:double"&gt;5.269122&lt;/D&gt;&lt;D xsi:type="xsd:double"&gt;0.291574&lt;/D&gt;&lt;D xsi:type="xsd:double"&gt;0.8997917&lt;/D&gt;&lt;D xsi:type="xsd:double"&gt;-0.2024293&lt;/D&gt;&lt;D xsi:type="xsd:double"&gt;1.0056496&lt;/D&gt;&lt;D xsi:type="xsd:double"&gt;3.314352&lt;/D&gt;&lt;D xsi:type="xsd:double"&gt;-2.0248652&lt;/D&gt;&lt;D xsi:type="xsd:double"&gt;-0.17217994&lt;/D&gt;&lt;D xsi:type="xsd:double"&gt;-4.156077&lt;/D&gt;&lt;D xsi:type="xsd:double"&gt;-2.9010296&lt;/D&gt;&lt;D xsi:type="xsd:double"&gt;-1.6647518&lt;/D&gt;&lt;D xsi:type="xsd:double"&gt;6.031573&lt;/D&gt;&lt;D xsi:type="xsd:double"&gt;0.34749508&lt;/D&gt;&lt;D xsi:type="xsd:double"&gt;-2.6263058&lt;/D&gt;&lt;D xsi:type="xsd:double"&gt;1.8039703&lt;/D&gt;&lt;D xsi:type="xsd:double"&gt;0.05069971&lt;/D&gt;&lt;D xsi:type="xsd:double"&gt;4.3431044&lt;/D&gt;&lt;D xsi:type="xsd:double"&gt;-2.1800637&lt;/D&gt;&lt;D xsi:type="xsd:double"&gt;-5.32794&lt;/D&gt;&lt;D xsi:type="xsd:double"&gt;1.0910153&lt;/D&gt;&lt;D xsi:type="xsd:double"&gt;-4.1651607&lt;/D&gt;&lt;D xsi:type="xsd:double"&gt;2.774465&lt;/D&gt;&lt;D xsi:type="xsd:double"&gt;-1.3025761&lt;/D&gt;&lt;D xsi:type="xsd:double"&gt;-1.1401534&lt;/D&gt;&lt;D xsi:type="xsd:double"&gt;0.25277138&lt;/D&gt;&lt;D xsi:type="xsd:double"&gt;-6.5609035&lt;/D&gt;&lt;D xsi:type="xsd:double"&gt;-0.51017404&lt;/D&gt;&lt;D xsi:type="xsd:double"&gt;-1.4748037&lt;/D&gt;&lt;D xsi:type="xsd:double"&gt;-0.8882344&lt;/D&gt;&lt;D xsi:type="xsd:double"&gt;0.3486395&lt;/D&gt;&lt;D xsi:type="xsd:double"&gt;-0.3510356&lt;/D&gt;&lt;D xsi:type="xsd:double"&gt;-3.644228&lt;/D&gt;&lt;D xsi:type="xsd:double"&gt;3.7985802&lt;/D&gt;&lt;D xsi:type="xsd:double"&gt;-5.7034254&lt;/D&gt;&lt;D xsi:type="xsd:double"&gt;1.0216236&lt;/D&gt;&lt;D xsi:type="xsd:double"&gt;0.47374964&lt;/D&gt;&lt;D xsi:type="xsd:double"&gt;9.933651&lt;/D&gt;&lt;D xsi:type="xsd:double"&gt;2.4043918&lt;/D&gt;&lt;D xsi:type="xsd:double"&gt;-1.9941986&lt;/D&gt;&lt;D xsi:type="xsd:double"&gt;-5.655736&lt;/D&gt;&lt;D xsi:type="xsd:double"&gt;-2.6787102&lt;/D&gt;&lt;D xsi:type="xsd:double"&gt;-5.8450103&lt;/D&gt;&lt;D xsi:type="xsd:double"&gt;-5.752331&lt;/D&gt;&lt;D xsi:type="xsd:double"&gt;-3.2538772&lt;/D&gt;&lt;D xsi:type="xsd:double"&gt;3.1374216&lt;/D&gt;&lt;D xsi:type="xsd:double"&gt;-9.968328&lt;/D&gt;&lt;D xsi:type="xsd:double"&gt;12.898481&lt;/D&gt;&lt;D xsi:type="xsd:double"&gt;2.4184108&lt;/D&gt;&lt;D xsi:type="xsd:double"&gt;4.6093106&lt;/D&gt;&lt;D xsi:type="xsd:double"&gt;-1.4009237&lt;/D&gt;&lt;D xsi:type="xsd:double"&gt;-0.19142628&lt;/D&gt;&lt;D xsi:type="xsd:double"&gt;-1.5705526&lt;/D&gt;&lt;D xsi:type="xsd:double"&gt;2.4764657&lt;/D&gt;&lt;D xsi:type="xsd:double"&gt;16.420673&lt;/D&gt;&lt;D xsi:type="xsd:double"&gt;-5.1181197&lt;/D&gt;&lt;/FQL&gt;&lt;FQL&gt;&lt;Q&gt;CNYA^FG_TOTAL_RETURNC(-5AY,0,AM)&lt;/Q&gt;&lt;R&gt;61&lt;/R&gt;&lt;C&gt;1&lt;/C&gt;&lt;D xsi:type="xsd:double"&gt;-14.308953&lt;/D&gt;&lt;D xsi:type="xsd:double"&gt;0.8515835&lt;/D&gt;&lt;D xsi:type="xsd:double"&gt;4.101324&lt;/D&gt;&lt;D xsi:type="xsd:double"&gt;-0.7648885&lt;/D&gt;&lt;D xsi:type="xsd:double"&gt;1.5672445&lt;/D&gt;&lt;D xsi:type="xsd:double"&gt;-2.9479504&lt;/D&gt;&lt;D xsi:type="xsd:double"&gt;0.40341616&lt;/D&gt;&lt;D xsi:type="xsd:double"&gt;3.6246777&lt;/D&gt;&lt;D xsi:type="xsd:double"&gt;-1.239866&lt;/D&gt;&lt;D xsi:type="xsd:double"&gt;1.3639092&lt;/D&gt;&lt;D xsi:type="xsd:double"&gt;-3.426081&lt;/D&gt;&lt;D xsi:type="xsd:double"&gt;-2.976191&lt;/D&gt;&lt;D xsi:type="xsd:double"&gt;-6.7239285&lt;/D&gt;&lt;D xsi:type="xsd:double"&gt;-5.9458017&lt;/D&gt;&lt;D xsi:type="xsd:double"&gt;-6.097901&lt;/D&gt;&lt;D xsi:type="xsd:double"&gt;8.692956&lt;/D&gt;&lt;D xsi:type="xsd:double"&gt;-0.6864369&lt;/D&gt;&lt;D xsi:type="xsd:double"&gt;-3.8429618&lt;/D&gt;&lt;D xsi:type="xsd:double"&gt;-7.3318005&lt;/D&gt;&lt;D xsi:type="xsd:double"&gt;-7.2913465&lt;/D&gt;&lt;D xsi:type="xsd:double"&gt;3.5036922&lt;/D&gt;&lt;D xsi:type="xsd:double"&gt;2.8137803&lt;/D&gt;&lt;D xsi:type="xsd:double"&gt;10.5022545&lt;/D&gt;&lt;D xsi:type="xsd:double"&gt;-4.664445&lt;/D&gt;&lt;D xsi:type="xsd:double"&gt;-3.119266&lt;/D&gt;&lt;D xsi:type="xsd:double"&gt;4.324496&lt;/D&gt;&lt;D xsi:type="xsd:double"&gt;-5.9001503&lt;/D&gt;&lt;D xsi:type="xsd:double"&gt;-1.8228471&lt;/D&gt;&lt;D xsi:type="xsd:double"&gt;-3.2162786&lt;/D&gt;&lt;D xsi:type="xsd:double"&gt;-3.3231616&lt;/D&gt;&lt;D xsi:type="xsd:double"&gt;-1.0873377&lt;/D&gt;&lt;D xsi:type="xsd:double"&gt;-5.4609957&lt;/D&gt;&lt;D xsi:type="xsd:double"&gt;3.648162&lt;/D&gt;&lt;D xsi:type="xsd:double"&gt;-4.496866&lt;/D&gt;&lt;D xsi:type="xsd:double"&gt;-3.7665844&lt;/D&gt;&lt;D xsi:type="xsd:double"&gt;4.0607095&lt;/D&gt;&lt;D xsi:type="xsd:double"&gt;5.163574&lt;/D&gt;&lt;D xsi:type="xsd:double"&gt;-1.83658&lt;/D&gt;&lt;D xsi:type="xsd:double"&gt;4.8491716&lt;/D&gt;&lt;D xsi:type="xsd:double"&gt;-4.1587353&lt;/D&gt;&lt;D xsi:type="xsd:double"&gt;-1.3719559&lt;/D&gt;&lt;D xsi:type="xsd:double"&gt;-2.3956656&lt;/D&gt;&lt;D xsi:type="xsd:double"&gt;-3.7608922&lt;/D&gt;&lt;D xsi:type="xsd:double"&gt;21.061302&lt;/D&gt;&lt;D xsi:type="xsd:double"&gt;-0.57764053&lt;/D&gt;&lt;D xsi:type="xsd:double"&gt;-1.4687777&lt;/D&gt;&lt;D xsi:type="xsd:double"&gt;-3.2966971&lt;/D&gt;&lt;D xsi:type="xsd:double"&gt;3.4824014&lt;/D&gt;&lt;D xsi:type="xsd:double"&gt;2.5858998&lt;/D&gt;&lt;D xsi:type="xsd:double"&gt;-7.3895035&lt;/D&gt;&lt;D xsi:type="xsd:double"&gt;4.9216986&lt;/D&gt;&lt;D xsi:type="xsd:double"&gt;-0.24362803&lt;/D&gt;&lt;D xsi:type="xsd:double"&gt;6.330478&lt;/D&gt;&lt;D xsi:type="xsd:double"&gt;4.3390512&lt;/D&gt;&lt;D xsi:type="xsd:double"&gt;7.8336596&lt;/D&gt;&lt;D xsi:type="xsd:double"&gt;0.47832727&lt;/D&gt;&lt;D xsi:type="xsd:double"&gt;0.8033395&lt;/D&gt;&lt;D xsi:type="xsd:double"&gt;1.6880751&lt;/D&gt;&lt;D xsi:type="xsd:double"&gt;4.7949195&lt;/D&gt;&lt;D xsi:type="xsd:double"&gt;0.30128956&lt;/D&gt;&lt;D xsi:type="xsd:double"&gt;-2.5321424&lt;/D&gt;&lt;/FQL&gt;&lt;FQL&gt;&lt;Q&gt;KSA^FG_PRICE(0,-200D)&lt;/Q&gt;&lt;R&gt;201&lt;/R&gt;&lt;C&gt;1&lt;/C&gt;&lt;D xsi:type="xsd:double"&gt;37.6&lt;/D&gt;&lt;D xsi:type="xsd:double"&gt;37.74&lt;/D&gt;&lt;D xsi:type="xsd:double"&gt;38.18&lt;/D&gt;&lt;D xsi:type="xsd:double"&gt;38.31&lt;/D&gt;&lt;D xsi:type="xsd:double"&gt;37.6&lt;/D&gt;&lt;D xsi:type="xsd:double"&gt;37.9&lt;/D&gt;&lt;D xsi:type="xsd:double"&gt;38.11&lt;/D&gt;&lt;D xsi:type="xsd:double"&gt;38.28&lt;/D&gt;&lt;D xsi:type="xsd:double"&gt;38.25&lt;/D&gt;&lt;D xsi:type="xsd:double"&gt;37.09&lt;/D&gt;&lt;D xsi:type="xsd:double"&gt;37.25&lt;/D&gt;&lt;D xsi:type="xsd:double"&gt;37.46&lt;/D&gt;&lt;D xsi:type="xsd:double"&gt;36.68&lt;/D&gt;&lt;D xsi:type="xsd:double"&gt;36.58&lt;/D&gt;&lt;D xsi:type="xsd:double"&gt;37.17&lt;/D&gt;&lt;D xsi:type="xsd:double"&gt;37.13&lt;/D&gt;&lt;D xsi:type="xsd:double"&gt;37.92&lt;/D&gt;&lt;D xsi:type="xsd:double"&gt;38.18&lt;/D&gt;&lt;D xsi:type="xsd:double"&gt;38.3&lt;/D&gt;&lt;D xsi:type="xsd:double"&gt;38.63&lt;/D&gt;&lt;D xsi:type="xsd:double"&gt;38.13&lt;/D&gt;&lt;D xsi:type="xsd:double"&gt;39.12&lt;/D&gt;&lt;D xsi:type="xsd:double"&gt;38.94&lt;/D&gt;&lt;D xsi:type="xsd:double"&gt;39.16&lt;/D&gt;&lt;D xsi:type="xsd:double"&gt;38.94&lt;/D&gt;&lt;D xsi:type="xsd:double"&gt;39.19&lt;/D&gt;&lt;D xsi:type="xsd:double"&gt;39.23&lt;/D&gt;&lt;D xsi:type="xsd:double"&gt;39.46&lt;/D&gt;&lt;D xsi:type="xsd:double"&gt;39.75&lt;/D&gt;&lt;D xsi:type="xsd:double"&gt;39.22&lt;/D&gt;&lt;D xsi:type="xsd:double"&gt;39.63&lt;/D&gt;&lt;D xsi:type="xsd:double"&gt;39.57&lt;/D&gt;&lt;D xsi:type="xsd:double"&gt;39.79&lt;/D&gt;&lt;D xsi:type="xsd:double"&gt;39.86&lt;/D&gt;&lt;D xsi:type="xsd:double"&gt;39.87&lt;/D&gt;&lt;D xsi:type="xsd:double"&gt;40.14&lt;/D&gt;&lt;D xsi:type="xsd:double"&gt;40.12&lt;/D&gt;&lt;D xsi:type="xsd:double"&gt;39.61&lt;/D&gt;&lt;D xsi:type="xsd:double"&gt;39.01&lt;/D&gt;&lt;D xsi:type="xsd:double"&gt;38.93&lt;/D&gt;&lt;D xsi:type="xsd:double"&gt;38.3&lt;/D&gt;&lt;D xsi:type="xsd:double"&gt;37.94&lt;/D&gt;&lt;D xsi:type="xsd:double"&gt;37.83&lt;/D&gt;&lt;D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xsi:type="xsd:double"&gt;36.05&lt;/D&gt;&lt;D xsi:type="xsd:double"&gt;36.39&lt;/D&gt;&lt;D xsi:type="xsd:double"&gt;36.57&lt;/D&gt;&lt;D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xsi:type="xsd:double"&gt;38.16&lt;/D&gt;&lt;/FQL&gt;&lt;FQL&gt;&lt;Q&gt;EWC^FG_TOTAL_RETURNC(-5AY,0,AM)&lt;/Q&gt;&lt;R&gt;61&lt;/R&gt;&lt;C&gt;1&lt;/C&gt;&lt;D xsi:type="xsd:double"&gt;4.1162252&lt;/D&gt;&lt;D xsi:type="xsd:double"&gt;2.093017&lt;/D&gt;&lt;D xsi:type="xsd:double"&gt;5.06835&lt;/D&gt;&lt;D xsi:type="xsd:double"&gt;0.53372383&lt;/D&gt;&lt;D xsi:type="xsd:double"&gt;-3.7157536&lt;/D&gt;&lt;D xsi:type="xsd:double"&gt;1.9999981&lt;/D&gt;&lt;D xsi:type="xsd:double"&gt;1.5189171&lt;/D&gt;&lt;D xsi:type="xsd:double"&gt;6.991303&lt;/D&gt;&lt;D xsi:type="xsd:double"&gt;-0.20341277&lt;/D&gt;&lt;D xsi:type="xsd:double"&gt;-5.0542355&lt;/D&gt;&lt;D xsi:type="xsd:double"&gt;5.871165&lt;/D&gt;&lt;D xsi:type="xsd:double"&gt;-3.0808747&lt;/D&gt;&lt;D xsi:type="xsd:double"&gt;5.3774834&lt;/D&gt;&lt;D xsi:type="xsd:double"&gt;0.6033182&lt;/D&gt;&lt;D xsi:type="xsd:double"&gt;-9.245378&lt;/D&gt;&lt;D xsi:type="xsd:double"&gt;-7.6037884&lt;/D&gt;&lt;D xsi:type="xsd:double"&gt;1.3509393&lt;/D&gt;&lt;D xsi:type="xsd:double"&gt;5.242896&lt;/D&gt;&lt;D xsi:type="xsd:double"&gt;-4.3906507&lt;/D&gt;&lt;D xsi:type="xsd:double"&gt;-7.7715693&lt;/D&gt;&lt;D xsi:type="xsd:double"&gt;10.245776&lt;/D&gt;&lt;D xsi:type="xsd:double"&gt;-5.5631995&lt;/D&gt;&lt;D xsi:type="xsd:double"&gt;7.682729&lt;/D&gt;&lt;D xsi:type="xsd:double"&gt;1.068759&lt;/D&gt;&lt;D xsi:type="xsd:double"&gt;-7.5164375&lt;/D&gt;&lt;D xsi:type="xsd:double"&gt;9.45611&lt;/D&gt;&lt;D xsi:type="xsd:double"&gt;-1.806885&lt;/D&gt;&lt;D xsi:type="xsd:double"&gt;0.8679867&lt;/D&gt;&lt;D xsi:type="xsd:double"&gt;3.1097054&lt;/D&gt;&lt;D xsi:type="xsd:double"&gt;-5.808437&lt;/D&gt;&lt;D xsi:type="xsd:double"&gt;3.3204794&lt;/D&gt;&lt;D xsi:type="xsd:double"&gt;-5.681491&lt;/D&gt;&lt;D xsi:type="xsd:double"&gt;4.867673&lt;/D&gt;&lt;D xsi:type="xsd:double"&gt;6.2083006&lt;/D&gt;&lt;D xsi:type="xsd:double"&gt;-0.07721186&lt;/D&gt;&lt;D xsi:type="xsd:double"&gt;1.6348004&lt;/D&gt;&lt;D xsi:type="xsd:double"&gt;2.8353333&lt;/D&gt;&lt;D xsi:type="xsd:double"&gt;-1.6171813&lt;/D&gt;&lt;D xsi:type="xsd:double"&gt;3.9881468&lt;/D&gt;&lt;D xsi:type="xsd:double"&gt;-4.4680414&lt;/D&gt;&lt;D xsi:type="xsd:double"&gt;5.0930977&lt;/D&gt;&lt;D xsi:type="xsd:double"&gt;3.0484557&lt;/D&gt;&lt;D xsi:type="xsd:double"&gt;4.045522&lt;/D&gt;&lt;D xsi:type="xsd:double"&gt;2.1628141&lt;/D&gt;&lt;D xsi:type="xsd:double"&gt;0.57088137&lt;/D&gt;&lt;D xsi:type="xsd:double"&gt;-4.9857616&lt;/D&gt;&lt;D xsi:type="xsd:double"&gt;2.295661&lt;/D&gt;&lt;D xsi:type="xsd:double"&gt;4.1430354&lt;/D&gt;&lt;D xsi:type="xsd:double"&gt;-2.817899&lt;/D&gt;&lt;D xsi:type="xsd:double"&gt;0.14619827&lt;/D&gt;&lt;D xsi:type="xsd:double"&gt;7.177615&lt;/D&gt;&lt;D xsi:type="xsd:double"&gt;3.5709262&lt;/D&gt;&lt;D xsi:type="xsd:double"&gt;2.8023005&lt;/D&gt;&lt;D xsi:type="xsd:double"&gt;0.8800149&lt;/D&gt;&lt;D xsi:type="xsd:double"&gt;7.9361677&lt;/D&gt;&lt;D xsi:type="xsd:double"&gt;-0.88704824&lt;/D&gt;&lt;D xsi:type="xsd:double"&gt;0.6762147&lt;/D&gt;&lt;D xsi:type="xsd:double"&gt;6.995642&lt;/D&gt;&lt;D xsi:type="xsd:double"&gt;2.701199&lt;/D&gt;&lt;D xsi:type="xsd:double"&gt;2.938509&lt;/D&gt;&lt;D xsi:type="xsd:double"&gt;-4.6696067&lt;/D&gt;&lt;/FQL&gt;&lt;FQL&gt;&lt;Q&gt;EWT^FG_TOTAL_RETURNC(-5AY,0,AM)&lt;/Q&gt;&lt;R&gt;61&lt;/R&gt;&lt;C&gt;1&lt;/C&gt;&lt;D xsi:type="xsd:double"&gt;-3.1473756&lt;/D&gt;&lt;D xsi:type="xsd:double"&gt;8.132732&lt;/D&gt;&lt;D xsi:type="xsd:double"&gt;-5.422163&lt;/D&gt;&lt;D xsi:type="xsd:double"&gt;5.1613927&lt;/D&gt;&lt;D xsi:type="xsd:double"&gt;1.5507579&lt;/D&gt;&lt;D xsi:type="xsd:double"&gt;-5.1007566&lt;/D&gt;&lt;D xsi:type="xsd:double"&gt;6.6522956&lt;/D&gt;&lt;D xsi:type="xsd:double"&gt;-2.4731696&lt;/D&gt;&lt;D xsi:type="xsd:double"&gt;5.58213&lt;/D&gt;&lt;D xsi:type="xsd:double"&gt;0.12984276&lt;/D&gt;&lt;D xsi:type="xsd:double"&gt;3.2088041&lt;/D&gt;&lt;D xsi:type="xsd:double"&gt;-1.6821921&lt;/D&gt;&lt;D xsi:type="xsd:double"&gt;-4.491287&lt;/D&gt;&lt;D xsi:type="xsd:double"&gt;-7.1497145&lt;/D&gt;&lt;D xsi:type="xsd:double"&gt;-6.7700267&lt;/D&gt;&lt;D xsi:type="xsd:double"&gt;-3.2889843&lt;/D&gt;&lt;D xsi:type="xsd:double"&gt;-3.515476&lt;/D&gt;&lt;D xsi:type="xsd:double"&gt;3.3663392&lt;/D&gt;&lt;D xsi:type="xsd:double"&gt;-8.544058&lt;/D&gt;&lt;D xsi:type="xsd:double"&gt;-13.175535&lt;/D&gt;&lt;D xsi:type="xsd:double"&gt;17.273819&lt;/D&gt;&lt;D xsi:type="xsd:double"&gt;-0.72327256&lt;/D&gt;&lt;D xsi:type="xsd:double"&gt;6.040597&lt;/D&gt;&lt;D xsi:type="xsd:double"&gt;2.3754597&lt;/D&gt;&lt;D xsi:type="xsd:double"&gt;-1.8472612&lt;/D&gt;&lt;D xsi:type="xsd:double"&gt;1.7672777&lt;/D&gt;&lt;D xsi:type="xsd:double"&gt;2.8416753&lt;/D&gt;&lt;D xsi:type="xsd:double"&gt;6.25&lt;/D&gt;&lt;D xsi:type="xsd:double"&gt;-0.49536228&lt;/D&gt;&lt;D xsi:type="xsd:double"&gt;-6.40946&lt;/D&gt;&lt;D xsi:type="xsd:double"&gt;0.93085766&lt;/D&gt;&lt;D xsi:type="xsd:double"&gt;-1.6688645&lt;/D&gt;&lt;D xsi:type="xsd:double"&gt;6.8110824&lt;/D&gt;&lt;D xsi:type="xsd:double"&gt;3.6587954&lt;/D&gt;&lt;D xsi:type="xsd:double"&gt;0.4713297&lt;/D&gt;&lt;D xsi:type="xsd:double"&gt;4.299617&lt;/D&gt;&lt;D xsi:type="xsd:double"&gt;4.729879&lt;/D&gt;&lt;D xsi:type="xsd:double"&gt;-5.303502&lt;/D&gt;&lt;D xsi:type="xsd:double"&gt;11.529207&lt;/D&gt;&lt;D xsi:type="xsd:double"&gt;6.7869782&lt;/D&gt;&lt;D xsi:type="xsd:double"&gt;-2.3879468&lt;/D&gt;&lt;D xsi:type="xsd:double"&gt;2.822733&lt;/D&gt;&lt;D xsi:type="xsd:double"&gt;-1.7020524&lt;/D&gt;&lt;D xsi:type="xsd:double"&gt;5.4924607&lt;/D&gt;&lt;D xsi:type="xsd:double"&gt;-4.3240366&lt;/D&gt;&lt;D xsi:type="xsd:double"&gt;-1.2274325&lt;/D&gt;&lt;D xsi:type="xsd:double"&gt;0.3471613&lt;/D&gt;&lt;D xsi:type="xsd:double"&gt;2.0757318&lt;/D&gt;&lt;D xsi:type="xsd:double"&gt;-5.5921674&lt;/D&gt;&lt;D xsi:type="xsd:double"&gt;-10.49062&lt;/D&gt;&lt;D xsi:type="xsd:double"&gt;19.919777&lt;/D&gt;&lt;D xsi:type="xsd:double"&gt;4.106283&lt;/D&gt;&lt;D xsi:type="xsd:double"&gt;5.7290792&lt;/D&gt;&lt;D xsi:type="xsd:double"&gt;1.4348388&lt;/D&gt;&lt;D xsi:type="xsd:double"&gt;5.4751277&lt;/D&gt;&lt;D xsi:type="xsd:double"&gt;2.</t>
        </r>
      </text>
    </comment>
    <comment ref="A10" authorId="0" shapeId="0" xr:uid="{8497A61B-252C-4126-B649-A97832665A21}">
      <text>
        <r>
          <rPr>
            <b/>
            <sz val="9"/>
            <color indexed="81"/>
            <rFont val="Tahoma"/>
            <charset val="1"/>
          </rPr>
          <t>6980042&lt;/D&gt;&lt;D xsi:type="xsd:double"&gt;-3.9790988&lt;/D&gt;&lt;D xsi:type="xsd:double"&gt;3.1681776&lt;/D&gt;&lt;D xsi:type="xsd:double"&gt;9.2472315&lt;/D&gt;&lt;D xsi:type="xsd:double"&gt;7.9150558&lt;/D&gt;&lt;D xsi:type="xsd:double"&gt;-0.72932243&lt;/D&gt;&lt;/FQL&gt;&lt;FQL&gt;&lt;Q&gt;ECH^JULIAN(FG_TOTAL_RETURNC(-5AY,0,AM).DATES)&lt;/Q&gt;&lt;R&gt;61&lt;/R&gt;&lt;C&gt;1&lt;/C&gt;&lt;D xsi:type="xsd:long"&gt;44274&lt;/D&gt;&lt;D xsi:type="xsd:long"&gt;44305&lt;/D&gt;&lt;D xsi:type="xsd:long"&gt;44335&lt;/D&gt;&lt;D xsi:type="xsd:long"&gt;44365&lt;/D&gt;&lt;D xsi:type="xsd:long"&gt;44396&lt;/D&gt;&lt;D xsi:type="xsd:long"&gt;44427&lt;/D&gt;&lt;D xsi:type="xsd:long"&gt;44456&lt;/D&gt;&lt;D xsi:type="xsd:long"&gt;44488&lt;/D&gt;&lt;D xsi:type="xsd:long"&gt;44519&lt;/D&gt;&lt;D xsi:type="xsd:long"&gt;44547&lt;/D&gt;&lt;D xsi:type="xsd:long"&gt;44580&lt;/D&gt;&lt;D xsi:type="xsd:long"&gt;44610&lt;/D&gt;&lt;D xsi:type="xsd:long"&gt;44638&lt;/D&gt;&lt;D xsi:type="xsd:long"&gt;44670&lt;/D&gt;&lt;D xsi:type="xsd:long"&gt;44700&lt;/D&gt;&lt;D xsi:type="xsd:long"&gt;44729&lt;/D&gt;&lt;D xsi:type="xsd:long"&gt;44761&lt;/D&gt;&lt;D xsi:type="xsd:long"&gt;44792&lt;/D&gt;&lt;D xsi:type="xsd:long"&gt;44823&lt;/D&gt;&lt;D xsi:type="xsd:long"&gt;44853&lt;/D&gt;&lt;D xsi:type="xsd:long"&gt;44883&lt;/D&gt;&lt;D xsi:type="xsd:long"&gt;44914&lt;/D&gt;&lt;D xsi:type="xsd:long"&gt;44945&lt;/D&gt;&lt;D xsi:type="xsd:long"&gt;44974&lt;/D&gt;&lt;D xsi:type="xsd:long"&gt;45002&lt;/D&gt;&lt;D xsi:type="xsd:long"&gt;45035&lt;/D&gt;&lt;D xsi:type="xsd:long"&gt;45065&lt;/D&gt;&lt;D xsi:type="xsd:long"&gt;45093&lt;/D&gt;&lt;D xsi:type="xsd:long"&gt;45126&lt;/D&gt;&lt;D xsi:type="xsd:long"&gt;45156&lt;/D&gt;&lt;D xsi:type="xsd:long"&gt;45188&lt;/D&gt;&lt;D xsi:type="xsd:long"&gt;45218&lt;/D&gt;&lt;D xsi:type="xsd:long"&gt;45247&lt;/D&gt;&lt;D xsi:type="xsd:long"&gt;45279&lt;/D&gt;&lt;D xsi:type="xsd:long"&gt;45310&lt;/D&gt;&lt;D xsi:type="xsd:long"&gt;45338&lt;/D&gt;&lt;D xsi:type="xsd:long"&gt;45370&lt;/D&gt;&lt;D xsi:type="xsd:long"&gt;45401&lt;/D&gt;&lt;D xsi:type="xsd:long"&gt;45429&lt;/D&gt;&lt;D xsi:type="xsd:long"&gt;45461&lt;/D&gt;&lt;D xsi:type="xsd:long"&gt;45492&lt;/D&gt;&lt;D xsi:type="xsd:long"&gt;45523&lt;/D&gt;&lt;D xsi:type="xsd:long"&gt;45554&lt;/D&gt;&lt;D xsi:type="xsd:long"&gt;45583&lt;/D&gt;&lt;D xsi:type="xsd:long"&gt;45615&lt;/D&gt;&lt;D xsi:type="xsd:long"&gt;45645&lt;/D&gt;&lt;D xsi:type="xsd:long"&gt;45674&lt;/D&gt;&lt;D xsi:type="xsd:long"&gt;45707&lt;/D&gt;&lt;D xsi:type="xsd:long"&gt;45735&lt;/D&gt;&lt;D xsi:type="xsd:long"&gt;45764&lt;/D&gt;&lt;D xsi:type="xsd:long"&gt;45796&lt;/D&gt;&lt;D xsi:type="xsd:long"&gt;45826&lt;/D&gt;&lt;D xsi:type="xsd:long"&gt;45856&lt;/D&gt;&lt;D xsi:type="xsd:long"&gt;45888&lt;/D&gt;&lt;D xsi:type="xsd:long"&gt;45919&lt;/D&gt;&lt;D xsi:type="xsd:long"&gt;45947&lt;/D&gt;&lt;D xsi:type="xsd:long"&gt;45980&lt;/D&gt;&lt;D xsi:type="xsd:long"&gt;46010&lt;/D&gt;&lt;D xsi:type="xsd:long"&gt;46038&lt;/D&gt;&lt;D xsi:type="xsd:long"&gt;46072&lt;/D&gt;&lt;D xsi:type="xsd:long"&gt;46100&lt;/D&gt;&lt;/FQL&gt;&lt;FQL&gt;&lt;Q&gt;EZA^FG_PRICE(0,-200D)&lt;/Q&gt;&lt;R&gt;201&lt;/R&gt;&lt;C&gt;1&lt;/C&gt;&lt;D xsi:type="xsd:double"&gt;64.93&lt;/D&gt;&lt;D xsi:type="xsd:double"&gt;65.86&lt;/D&gt;&lt;D xsi:type="xsd:double"&gt;69.18&lt;/D&gt;&lt;D xsi:type="xsd:double"&gt;69.08&lt;/D&gt;&lt;D xsi:type="xsd:double"&gt;66.6&lt;/D&gt;&lt;D xsi:type="xsd:double"&gt;69.02&lt;/D&gt;&lt;D xsi:type="xsd:double"&gt;71.05&lt;/D&gt;&lt;D xsi:type="xsd:double"&gt;73.04&lt;/D&gt;&lt;D xsi:type="xsd:double"&gt;72&lt;/D&gt;&lt;D xsi:type="xsd:double"&gt;70.52&lt;/D&gt;&lt;D xsi:type="xsd:double"&gt;71.42&lt;/D&gt;&lt;D xsi:type="xsd:double"&gt;74.34&lt;/D&gt;&lt;D xsi:type="xsd:double"&gt;73.56&lt;/D&gt;&lt;D xsi:type="xsd:double"&gt;79.9&lt;/D&gt;&lt;D xsi:type="xsd:double"&gt;81.6&lt;/D&gt;&lt;D xsi:type="xsd:double"&gt;80.76&lt;/D&gt;&lt;D xsi:type="xsd:double"&gt;80.27&lt;/D&gt;&lt;D xsi:type="xsd:double"&gt;79.25&lt;/D&gt;&lt;D xsi:type="xsd:double"&gt;77.89&lt;/D&gt;&lt;D xsi:type="xsd:double"&gt;77.25&lt;/D&gt;&lt;D xsi:type="xsd:double"&gt;75.01&lt;/D&gt;&lt;D xsi:type="xsd:double"&gt;75.57&lt;/D&gt;&lt;D xsi:type="xsd:double"&gt;74.71&lt;/D&gt;&lt;D xsi:type="xsd:double"&gt;75.32&lt;/D&gt;&lt;D xsi:type="xsd:double"&gt;74.15&lt;/D&gt;&lt;D xsi:type="xsd:double"&gt;76.53&lt;/D&gt;&lt;D xsi:type="xsd:double"&gt;75.41&lt;/D&gt;&lt;D xsi:type="xsd:double"&gt;75.72&lt;/D&gt;&lt;D xsi:type="xsd:double"&gt;74.77&lt;/D&gt;&lt;D xsi:type="xsd:double"&gt;71.6&lt;/D&gt;&lt;D xsi:type="xsd:double"&gt;73.98&lt;/D&gt;&lt;D xsi:type="xsd:double"&gt;74.56&lt;/D&gt;&lt;D xsi:type="xsd:double"&gt;73.25&lt;/D&gt;&lt;D xsi:type="xsd:double"&gt;73.2&lt;/D&gt;&lt;D xsi:type="xsd:double"&gt;79.58&lt;/D&gt;&lt;D xsi:type="xsd:double"&gt;80.14&lt;/D&gt;&lt;D xsi:type="xsd:double"&gt;79.02&lt;/D&gt;&lt;D xsi:type="xsd:double"&gt;77.38&lt;/D&gt;&lt;D xsi:type="xsd:double"&gt;76.34&lt;/D&gt;&lt;D xsi:type="xsd:double"&gt;75.56&lt;/D&gt;&lt;D xsi:type="xsd:double"&gt;73.52&lt;/D&gt;&lt;D xsi:type="xsd:double"&gt;73.44&lt;/D&gt;&lt;D xsi:type="xsd:double"&gt;72.78&lt;/D&gt;&lt;D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xsi:type="xsd:double"&gt;69.23&lt;/D&gt;&lt;D xsi:type="xsd:double"&gt;68.43&lt;/D&gt;&lt;D xsi:type="xsd:double"&gt;70.31&lt;/D&gt;&lt;D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xsi:type="xsd:double"&gt;53.27&lt;/D&gt;&lt;/FQL&gt;&lt;FQL&gt;&lt;Q&gt;MCHI^FG_TOTAL_RETURNC(-5AY,0,AM)&lt;/Q&gt;&lt;R&gt;61&lt;/R&gt;&lt;C&gt;1&lt;/C&gt;&lt;D xsi:type="xsd:double"&gt;-11.238891&lt;/D&gt;&lt;D xsi:type="xsd:double"&gt;-3.2273233&lt;/D&gt;&lt;D xsi:type="xsd:double"&gt;-2.6898801&lt;/D&gt;&lt;D xsi:type="xsd:double"&gt;0.6807804&lt;/D&gt;&lt;D xsi:type="xsd:double"&gt;-4.1708174&lt;/D&gt;&lt;D xsi:type="xsd:double"&gt;-13.537741&lt;/D&gt;&lt;D xsi:type="xsd:double"&gt;3.5462022&lt;/D&gt;&lt;D xsi:type="xsd:double"&gt;5.282247&lt;/D&gt;&lt;D xsi:type="xsd:double"&gt;-5.334258&lt;/D&gt;&lt;D xsi:type="xsd:double"&gt;-8.924418&lt;/D&gt;&lt;D xsi:type="xsd:double"&gt;1.7716169&lt;/D&gt;&lt;D xsi:type="xsd:double"&gt;-2.563697&lt;/D&gt;&lt;D xsi:type="xsd:double"&gt;-10.573328&lt;/D&gt;&lt;D xsi:type="xsd:double"&gt;-6.5383253&lt;/D&gt;&lt;D xsi:type="xsd:double"&gt;-3.6727548&lt;/D&gt;&lt;D xsi:type="xsd:double"&gt;7.0987105&lt;/D&gt;&lt;D xsi:type="xsd:double"&gt;-0.28419495&lt;/D&gt;&lt;D xsi:type="xsd:double"&gt;-7.9042377&lt;/D&gt;&lt;D xsi:type="xsd:double"&gt;-4.477&lt;/D&gt;&lt;D xsi:type="xsd:double"&gt;-15.11879&lt;/D&gt;&lt;D xsi:type="xsd:double"&gt;12.111961&lt;/D&gt;&lt;D xsi:type="xsd:double"&gt;8.184206&lt;/D&gt;&lt;D xsi:type="xsd:double"&gt;13.966358&lt;/D&gt;&lt;D xsi:type="xsd:double"&gt;-6.146079&lt;/D&gt;&lt;D xsi:type="xsd:double"&gt;-6.3694296&lt;/D&gt;&lt;D xsi:type="xsd:double"&gt;4.4855475&lt;/D&gt;&lt;D xsi:type="xsd:double"&gt;-5.8799686&lt;/D&gt;&lt;D xsi:type="xsd:double"&gt;3.964901&lt;/D&gt;&lt;D xsi:type="xsd:double"&gt;-4.282117&lt;/D&gt;&lt;D xsi:type="xsd:double"&gt;-4.999995&lt;/D&gt;&lt;D xsi:type="xsd:double"&gt;1.2465358&lt;/D&gt;&lt;D xsi:type="xsd:double"&gt;-4.9931645&lt;/D&gt;&lt;D xsi:type="xsd:double"&gt;3.8396955&lt;/D&gt;&lt;D xsi:type="xsd:double"&gt;-4.4372616&lt;/D&gt;&lt;D xsi:type="xsd:double"&gt;-8.156133&lt;/D&gt;&lt;D xsi:type="xsd:double"&gt;4.724622&lt;/D&gt;&lt;D xsi:type="xsd:double"&gt;3.2482505&lt;/D&gt;&lt;D xsi:type="xsd:double"&gt;-1.5980005&lt;/D&gt;&lt;D xsi:type="xsd:double"&gt;20.375538&lt;/D&gt;&lt;D xsi:type="xsd:double"&gt;-7.8382015&lt;/D&gt;&lt;D xsi:type="xsd:double"&gt;-3.468871&lt;/D&gt;&lt;D xsi:type="xsd:double"&gt;2.1180391&lt;/D&gt;&lt;D xsi:type="xsd:double"&gt;-0.605917&lt;/D&gt;&lt;D xsi:type="xsd:double"&gt;18.38218&lt;/D&gt;&lt;D xsi:type="xsd:double"&gt;-5.545658&lt;/D&gt;&lt;D xsi:type="xsd:double"&gt;-0.18527508&lt;/D&gt;&lt;D xsi:type="xsd:double"&gt;-1.0916114&lt;/D&gt;&lt;D xsi:type="xsd:double"&gt;16.273535&lt;/D&gt;&lt;D xsi:type="xsd:double"&gt;8.524108&lt;/D&gt;&lt;D xsi:type="xsd:double"&gt;-15.469045&lt;/D&gt;&lt;D xsi:type="xsd:double"&gt;10.975862&lt;/D&gt;&lt;D xsi:type="xsd:double"&gt;-0.44781566&lt;/D&gt;&lt;D xsi:type="xsd:double"&gt;6.526983&lt;/D&gt;&lt;D xsi:type="xsd:double"&gt;3.7249804&lt;/D&gt;&lt;D xsi:type="xsd:double"&gt;8.138954&lt;/D&gt;&lt;D xsi:type="xsd:double"&gt;-1.7535686&lt;/D&gt;&lt;D xsi:type="xsd:double"&gt;-2.2113442&lt;/D&gt;&lt;D xsi:type="xsd:double"&gt;-0.8617997&lt;/D&gt;&lt;D xsi:type="xsd:double"&gt;3.1172633&lt;/D&gt;&lt;D xsi:type="xsd:double"&gt;-2.8790772&lt;/D&gt;&lt;D xsi:type="xsd:double"&gt;-6.439394&lt;/D&gt;&lt;/FQL&gt;&lt;FQL&gt;&lt;Q&gt;UAE^FG_PRICE(0,-200D)&lt;/Q&gt;&lt;R&gt;201&lt;/R&gt;&lt;C&gt;1&lt;/C&gt;&lt;D xsi:type="xsd:double"&gt;17.92&lt;/D&gt;&lt;D xsi:type="xsd:double"&gt;17.88&lt;/D&gt;&lt;D xsi:type="xsd:double"&gt;18.3&lt;/D&gt;&lt;D xsi:type="xsd:double"&gt;17.9&lt;/D&gt;&lt;D xsi:type="xsd:double"&gt;17.76&lt;/D&gt;&lt;D xsi:type="xsd:double"&gt;17.89&lt;/D&gt;&lt;D xsi:type="xsd:double"&gt;18.68&lt;/D&gt;&lt;D xsi:type="xsd:double"&gt;19.11&lt;/D&gt;&lt;D xsi:type="xsd:double"&gt;19.17&lt;/D&gt;&lt;D xsi:type="xsd:double"&gt;19.08&lt;/D&gt;&lt;D xsi:type="xsd:double"&gt;19.4&lt;/D&gt;&lt;D xsi:type="xsd:double"&gt;19.835&lt;/D&gt;&lt;D xsi:type="xsd:double"&gt;19.69&lt;/D&gt;&lt;D xsi:type="xsd:double"&gt;20.31&lt;/D&gt;&lt;D xsi:type="xsd:double"&gt;21.35&lt;/D&gt;&lt;D xsi:type="xsd:double"&gt;21.54&lt;/D&gt;&lt;D xsi:type="xsd:double"&gt;22&lt;/D&gt;&lt;D xsi:type="xsd:double"&gt;22&lt;/D&gt;&lt;D xsi:type="xsd:double"&gt;21.96&lt;/D&gt;&lt;D xsi:type="xsd:double"&gt;21.63&lt;/D&gt;&lt;D xsi:type="xsd:double"&gt;21.69&lt;/D&gt;&lt;D xsi:type="xsd:double"&gt;22.23&lt;/D&gt;&lt;D xsi:type="xsd:double"&gt;21.85&lt;/D&gt;&lt;D xsi:type="xsd:double"&gt;21.94&lt;/D&gt;&lt;D xsi:type="xsd:double"&gt;21.89&lt;/D&gt;&lt;D xsi:type="xsd:double"&gt;21.83&lt;/D&gt;&lt;D xsi:type="xsd:double"&gt;21.9&lt;/D&gt;&lt;D xsi:type="xsd:double"&gt;21.89&lt;/D&gt;&lt;D xsi:type="xsd:double"&gt;21.73&lt;/D&gt;&lt;D xsi:type="xsd:double"&gt;21.39&lt;/D&gt;&lt;D xsi:type="xsd:double"&gt;21.29&lt;/D&gt;&lt;D xsi:type="xsd:double"&gt;21.11&lt;/D&gt;&lt;D xsi:type="xsd:double"&gt;20.94&lt;/D&gt;&lt;D xsi:type="xsd:double"&gt;20.49&lt;/D&gt;&lt;D xsi:type="xsd:double"&gt;20.66&lt;/D&gt;&lt;D xsi:type="xsd:double"&gt;20.75&lt;/D&gt;&lt;D xsi:type="xsd:double"&gt;20.71&lt;/D&gt;&lt;D xsi:type="xsd:double"&gt;20.41&lt;/D&gt;&lt;D xsi:type="xsd:double"&gt;20.46&lt;/D&gt;&lt;D xsi:type="xsd:double"&gt;20.62&lt;/D&gt;&lt;D xsi:type="xsd:double"&gt;20.3&lt;/D&gt;&lt;D xsi:type="xsd:double"&gt;20.09&lt;/D&gt;&lt;D xsi:type="xsd:double"&gt;19.87&lt;/D&gt;&lt;D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xsi:type="xsd:double"&gt;19.05&lt;/D&gt;&lt;D xsi:type="xsd:double"&gt;19.6&lt;/D&gt;&lt;D xsi:type="xsd:double"&gt;19.54&lt;/D&gt;&lt;D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xsi:type="xsd:double"&gt;18.45&lt;/D&gt;&lt;/FQL&gt;&lt;FQL&gt;&lt;Q&gt;EIDO^FG_PRICE(0,-200D)&lt;/Q&gt;&lt;R&gt;201&lt;/R&gt;&lt;C&gt;1&lt;/C&gt;&lt;D xsi:type="xsd:double"&gt;15.33&lt;/D&gt;&lt;D xsi:type="xsd:double"&gt;15.39&lt;/D&gt;&lt;D xsi:type="xsd:double"&gt;15.57&lt;/D&gt;&lt;D xsi:type="xsd:double"&gt;15.41&lt;/D&gt;&lt;D xsi:type="xsd:double"&gt;15.52&lt;/D&gt;&lt;D xsi:type="xsd:double"&gt;15.86&lt;/D&gt;&lt;D xsi:type="xsd:double"&gt;16.17&lt;/D&gt;&lt;D xsi:type="xsd:double"&gt;16.32&lt;/D&gt;&lt;D xsi:type="xsd:double"&gt;16.4&lt;/D&gt;&lt;D xsi:type="xsd:double"&gt;16.21&lt;/D&gt;&lt;D xsi:type="xsd:double"&gt;16.66&lt;/D&gt;&lt;D xsi:type="xsd:double"&gt;16.87&lt;/D&gt;&lt;D xsi:type="xsd:double"&gt;17.15&lt;/D&gt;&lt;D xsi:type="xsd:double"&gt;17.52&lt;/D&gt;&lt;D xsi:type="xsd:double"&gt;17.82&lt;/D&gt;&lt;D xsi:type="xsd:double"&gt;17.89&lt;/D&gt;&lt;D xsi:type="xsd:double"&gt;18.22&lt;/D&gt;&lt;D xsi:type="xsd:double"&gt;17.95&lt;/D&gt;&lt;D xsi:type="xsd:double"&gt;18.11&lt;/D&gt;&lt;D xsi:type="xsd:double"&gt;18.06&lt;/D&gt;&lt;D xsi:type="xsd:double"&gt;17.83&lt;/D&gt;&lt;D xsi:type="xsd:double"&gt;17.87&lt;/D&gt;&lt;D xsi:type="xsd:double"&gt;17.82&lt;/D&gt;&lt;D xsi:type="xsd:double"&gt;17.77&lt;/D&gt;&lt;D xsi:type="xsd:double"&gt;17.89&lt;/D&gt;&lt;D xsi:type="xsd:double"&gt;18.09&lt;/D&gt;&lt;D xsi:type="xsd:double"&gt;17.75&lt;/D&gt;&lt;D xsi:type="xsd:double"&gt;17.6&lt;/D&gt;&lt;D xsi:type="xsd:double"&gt;17.6&lt;/D&gt;&lt;D xsi:type="xsd:double"&gt;17.51&lt;/D&gt;&lt;D xsi:type="xsd:double"&gt;17.79&lt;/D&gt;&lt;D xsi:type="xsd:double"&gt;17.59&lt;/D&gt;&lt;D xsi:type="xsd:double"&gt;17.41&lt;/D&gt;&lt;D xsi:type="xsd:double"&gt;17.65&lt;/D&gt;&lt;D xsi:type="xsd:double"&gt;17.58&lt;/D&gt;&lt;D xsi:type="xsd:double"&gt;17.26&lt;/D&gt;&lt;D xsi:type="xsd:double"&gt;19.18&lt;/D&gt;&lt;D xsi:type="xsd:double"&gt;19.2&lt;/D&gt;&lt;D xsi:type="xsd:double"&gt;19.01&lt;/D&gt;&lt;D xsi:type="xsd:double"&gt;19.05&lt;/D&gt;&lt;D xsi:type="xsd:double"&gt;18.94&lt;/D&gt;&lt;D xsi:type="xsd:double"&gt;19.13&lt;/D&gt;&lt;D xsi:type="xsd:double"&gt;19.14&lt;/D&gt;&lt;D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xsi:type="xsd:double"&gt;18.67&lt;/D&gt;&lt;D xsi:type="xsd:double"&gt;18.67&lt;/D&gt;&lt;D xsi:type="xsd:double"&gt;18.47&lt;/D&gt;&lt;D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xsi:type="xsd:double"&gt;18.56&lt;/D&gt;&lt;/FQL&gt;&lt;FQL&gt;&lt;Q&gt;ENZL^FG_TOTAL_RETURNC(-5AY,0,AM)&lt;/Q&gt;&lt;R&gt;61&lt;/R&gt;&lt;C&gt;1&lt;/C&gt;&lt;D xsi:type="xsd:double"&gt;-1.3386607&lt;/D&gt;&lt;D xsi:type="xsd:double"&gt;0.5566001&lt;/D&gt;&lt;D xsi:type="xsd:double"&gt;-3.934586&lt;/D&gt;&lt;D xsi:type="xsd:double"&gt;-2.4020195&lt;/D&gt;&lt;D xsi:type="xsd:double"&gt;0.80120564&lt;/D&gt;&lt;D xsi:type="xsd:double"&gt;0.96042156&lt;/D&gt;&lt;D xsi:type="xsd:double"&gt;3.837955&lt;/D&gt;&lt;D xsi:type="xsd:double"&gt;0.5212426&lt;/D&gt;&lt;D xsi:type="xsd:double"&gt;-5.4525495&lt;/D&gt;&lt;D xsi:type="xsd:double"&gt;-4.435891&lt;/D&gt;&lt;D xsi:type="xsd:double"&gt;0.14072657&lt;/D&gt;&lt;D xsi:type="xsd:double"&gt;-5.5422726&lt;/D&gt;&lt;D xsi:type="xsd:double"&gt;5.8241487&lt;/D&gt;&lt;D xsi:type="xsd:double"&gt;-7.232314&lt;/D&gt;&lt;D xsi:type="xsd:double"&gt;-10.420233&lt;/D&gt;&lt;D xsi:type="xsd:double"&gt;-6.880164&lt;/D&gt;&lt;D xsi:type="xsd:double"&gt;5.9040546&lt;/D&gt;&lt;D xsi:type="xsd:double"&gt;4.246521&lt;/D&gt;&lt;D xsi:type="xsd:double"&gt;-4.4495463&lt;/D&gt;&lt;D xsi:type="xsd:double"&gt;-10.472239&lt;/D&gt;&lt;D xsi:type="xsd:double"&gt;13.772893&lt;/D&gt;&lt;D xsi:type="xsd:double"&gt;4.797578&lt;/D&gt;&lt;D xsi:type="xsd:double"&gt;4.8784137&lt;/D&gt;&lt;D xsi:type="xsd:double"&gt;0.07849932&lt;/D&gt;&lt;D xsi:type="xsd:double"&gt;-4.2352915&lt;/D&gt;&lt;D xsi:type="xsd:double"&gt;1.289928&lt;/D&gt;&lt;D xsi:type="xsd:double"&gt;2.9108524&lt;/D&gt;&lt;D xsi:type="xsd:double"&gt;-3.0659974&lt;/D&gt;&lt;D xsi:type="xsd:double"&gt;1.8215299&lt;/D&gt;&lt;D xsi:type="xsd:double"&gt;-8.663321&lt;/D&gt;&lt;D xsi:type="xsd:double"&gt;-1.9146085&lt;/D&gt;&lt;D xsi:type="xsd:double"&gt;-3.9039671&lt;/D&gt;&lt;D xsi:type="xsd:double"&gt;3.4788609&lt;/D&gt;&lt;D xsi:type="xsd:double"&gt;9.814978&lt;/D&gt;&lt;D xsi:type="xsd:double"&gt;-3.1415403&lt;/D&gt;&lt;D xsi:type="xsd:double"&gt;-1.1909902&lt;/D&gt;&lt;D xsi:type="xsd:double"&gt;-1.3806701&lt;/D&gt;&lt;D xsi:type="xsd:double"&gt;-2.222222&lt;/D&gt;&lt;D xsi:type="xsd:double"&gt;4.2954564&lt;/D&gt;&lt;D xsi:type="xsd:double"&gt;1.0297537&lt;/D&gt;&lt;D xsi:type="xsd:double"&gt;0.3694892&lt;/D&gt;&lt;D xsi:type="xsd:double"&gt;5.43828&lt;/D&gt;&lt;D xsi:type="xsd:double"&gt;3.3447385&lt;/D&gt;&lt;D xsi:type="xsd:double"&gt;-2.2058845&lt;/D&gt;&lt;D xsi:type="xsd:double"&gt;-3.373295&lt;/D&gt;&lt;D xsi:type="xsd:double"&gt;-5.8656693&lt;/D&gt;&lt;D xsi:type="xsd:double"&gt;2.876389&lt;/D&gt;&lt;D xsi:type="xsd:double"&gt;-0.52925944&lt;/D&gt;&lt;D xsi:type="xsd:double"&gt;-6.4380527&lt;/D&gt;&lt;D xsi:type="xsd:double"&gt;2.8611898&lt;/D&gt;&lt;D xsi:type="xsd:double"&gt;3.7931085&lt;/D&gt;&lt;D xsi:type="xsd:double"&gt;0.79034567&lt;/D&gt;&lt;D xsi:type="xsd:double"&gt;1.3642311&lt;/D&gt;&lt;D xsi:type="xsd:double"&gt;-0.19695759&lt;/D&gt;&lt;D xsi:type="xsd:double"&gt;1.7651558&lt;/D&gt;&lt;D xsi:type="xsd:double"&gt;-2.6610672&lt;/D&gt;&lt;D xsi:type="xsd:double"&gt;-3.339672&lt;/D&gt;&lt;D xsi:type="xsd:double"&gt;3.9504647&lt;/D&gt;&lt;D xsi:type="xsd:double"&gt;2.0861268&lt;/D&gt;&lt;D xsi:type="xsd:double"&gt;0.573051&lt;/D&gt;&lt;D xsi:type="xsd:double"&gt;-3.8620293&lt;/D&gt;&lt;/FQL&gt;&lt;FQL&gt;&lt;Q&gt;EPU^FG_TOTAL_RETURNC(-5AY,0,AM)&lt;/Q&gt;&lt;R&gt;61&lt;/R&gt;&lt;C&gt;1&lt;/C&gt;&lt;D xsi:type="xsd:double"&gt;-6.4169765&lt;/D&gt;&lt;D xsi:type="xsd:double"&gt;-3.7223577&lt;/D&gt;&lt;D xsi:type="xsd:double"&gt;-2.587217&lt;/D&gt;&lt;D xsi:type="xsd:double"&gt;-14.533859&lt;/D&gt;&lt;D xsi:type="xsd:double"&gt;-1.9718289&lt;/D&gt;&lt;D xsi:type="xsd:double"&gt;-14.044541&lt;/D&gt;&lt;D xsi:type="xsd:double"&gt;11.993313&lt;/D&gt;&lt;D xsi:type="xsd:double"&gt;13.3582115&lt;/D&gt;&lt;D xsi:type="xsd:double"&gt;-3.1682014&lt;/D&gt;&lt;D xsi:type="xsd:double"&gt;-2.1065712&lt;/D&gt;&lt;D xsi:type="xsd:double"&gt;21.222889&lt;/D&gt;&lt;D xsi:type="xsd:double"&gt;1.2316823&lt;/D&gt;&lt;D xsi:type="xsd:double"&gt;6.5179586&lt;/D&gt;&lt;D xsi:type="xsd:double"&gt;-5.384821&lt;/D&gt;&lt;D xsi:type="xsd:double"&gt;-15.176779&lt;/D&gt;&lt;D xsi:type="xsd:double"&gt;-2.1426916&lt;/D&gt;&lt;D xsi:type="xsd:double"&gt;-10.017956&lt;/D&gt;&lt;D xsi:type="xsd:double"&gt;4.2298555&lt;/D&gt;&lt;D xsi:type="xsd:double"&gt;-0.84227324&lt;/D&gt;&lt;D xsi:type="xsd:double"&gt;-2.9343665&lt;/D&gt;&lt;D xsi:type="xsd:double"&gt;14.797139&lt;/D&gt;&lt;D xsi:type="xsd:double"&gt;-2.4727762&lt;/D&gt;&lt;D xsi:type="xsd:double"&gt;13.449025&lt;/D&gt;&lt;D xsi:type="xsd:double"&gt;-5.6724014&lt;/D&gt;&lt;D xsi:type="xsd:double"&gt;-3.5810769&lt;/D&gt;&lt;D xsi:type="xsd:double"&gt;10.6166725&lt;/D&gt;&lt;D xsi:type="xsd:double"&gt;-4.086155&lt;/D&gt;&lt;D xsi:type="xsd:double"&gt;6.3061476&lt;/D&gt;&lt;D xsi:type="xsd:double"&gt;4.6138644&lt;/D&gt;&lt;D xsi:type="xsd:double"&gt;-5.5353165&lt;/D&gt;&lt;D xsi:type="xsd:double"&gt;0.70807934&lt;/D&gt;&lt;D xsi:type="xsd:double"&gt;-6.6794515&lt;/D&gt;&lt;D xsi:type="xsd:double"&gt;5.199313&lt;/D&gt;&lt;D xsi:type="xsd:double"&gt;12.858176&lt;/D&gt;&lt;D xsi:type="xsd:double"&gt;-1.9998312&lt;/D&gt;&lt;D xsi:type="xsd:double"&gt;5.3550243&lt;/D&gt;&lt;D xsi:type="xsd:double"&gt;9.500504&lt;/D&gt;&lt;D xsi:type="xsd:double"&gt;4.2979956&lt;/D&gt;&lt;D xsi:type="xsd:double"&gt;10.139858&lt;/D&gt;&lt;D xsi:type="xsd:double"&gt;-6.3125668&lt;/D&gt;&lt;D xsi:type="xsd:double"&gt;1.7234921&lt;/D&gt;&lt;D xsi:type="xsd:double"&gt;-1.2676775&lt;/D&gt;&lt;D xsi:type="xsd:double"&gt;2.2143245&lt;/D&gt;&lt;D xsi:type="xsd:double"&gt;7.6170087&lt;/D&gt;&lt;D xsi:type="xsd:double"&gt;-2.4466872&lt;/D&gt;&lt;D xsi:type="xsd:double"&gt;-4.8797607&lt;/D&gt;&lt;D xsi:type="xsd:double"&gt;0.91809034&lt;/D&gt;&lt;D xsi:type="xsd:double"&gt;3.0887723&lt;/D&gt;&lt;D xsi:type="xsd:double"&gt;6.6945553&lt;/D&gt;&lt;D xsi:type="xsd:double"&gt;-2.8776944&lt;/D&gt;&lt;D xsi:type="xsd:double"&gt;4.537034&lt;/D&gt;&lt;D xsi:type="xsd:double"&gt;6.9621444&lt;/D&gt;&lt;D xsi:type="xsd:double"&gt;1.9114733&lt;/D&gt;&lt;D xsi:type="xsd:double"&gt;6.9536448&lt;/D&gt;&lt;D xsi:type="xsd:double"&gt;11.86378&lt;/D&gt;&lt;D xsi:type="xsd:double"&gt;8.923531&lt;/D&gt;&lt;D xsi:type="xsd:double"&gt;-2.7314603&lt;/D&gt;&lt;D xsi:type="xsd:double"&gt;16.722012&lt;/D&gt;&lt;D xsi:type="xsd:double"&gt;16.053368&lt;/D&gt;&lt;D xsi:type="xsd:double"&gt;6.656182&lt;/D&gt;&lt;D xsi:type="xsd:double"&gt;-13.048905&lt;/D&gt;&lt;/FQL&gt;&lt;/Schema&gt;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<sst xmlns="http://schemas.openxmlformats.org/spreadsheetml/2006/main" count="167" uniqueCount="82">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</sst>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workbookViewId="0">
      <selection activeCell="D10" sqref="D10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MONTHLY_RETURNS!$B$73:$AI$73=1)),"")</f>
        <v/>
      </c>
      <c r="B2" s="4" t="str" cm="1">
        <f t="array" ref="B2">IFERROR(TRANSPOSE(_xlfn._xlws.FILTER(MONTHLY_RETURNS!B65:AI65, MONTHLY_RETURNS!$B$73:$AI$73=1)),"")</f>
        <v/>
      </c>
      <c r="C2" s="4" t="str" cm="1">
        <f t="array" ref="C2">IFERROR(TRANSPOSE(_xlfn._xlws.FILTER(MONTHLY_RETURNS!B66:AI66, MONTHLY_RETURNS!$B$73:$AI$73=1)),"")</f>
        <v/>
      </c>
      <c r="D2" s="4" t="str" cm="1">
        <f t="array" ref="D2">IFERROR(TRANSPOSE(_xlfn._xlws.FILTER(MONTHLY_RETURNS!B67:AI67, MONTHLY_RETURNS!$B$73:$AI$73=1)),"")</f>
        <v/>
      </c>
      <c r="E2" s="4" t="str" cm="1">
        <f t="array" ref="E2">IFERROR(TRANSPOSE(_xlfn._xlws.FILTER(MONTHLY_RETURNS!B68:AI68, MONTHLY_RETURNS!$B$73:$AI$73=1)),"")</f>
        <v/>
      </c>
      <c r="F2" s="4" t="str" cm="1">
        <f t="array" ref="F2">IFERROR(TRANSPOSE(_xlfn._xlws.FILTER(MONTHLY_RETURNS!B69:AI69, MONTHLY_RETURNS!$B$73:$AI$73=1)),"")</f>
        <v/>
      </c>
      <c r="G2" s="4" t="str" cm="1">
        <f t="array" ref="G2">IFERROR(TRANSPOSE(_xlfn._xlws.FILTER(MONTHLY_RETURNS!B70:AI70, MONTHLY_RETURNS!$B$73:$AI$73=1)),"")</f>
        <v/>
      </c>
      <c r="H2" s="1" t="str" cm="1">
        <f t="array" ref="H2">IFERROR(TRANSPOSE(_xlfn._xlws.FILTER(MONTHLY_RETURNS!B71:AI71, MONTHLY_RETURNS!$B$73:$AI$73=1)),"")</f>
        <v/>
      </c>
      <c r="I2" s="1" t="str" cm="1">
        <f t="array" ref="I2">IFERROR(TRANSPOSE(_xlfn._xlws.FILTER(MONTHLY_RETURNS!B72:AI72, MONTHLY_RETURNS!$B$73:$AI$73=1)),"")</f>
        <v/>
      </c>
    </row>
    <row r="3" spans="1:9" x14ac:dyDescent="0.45">
      <c r="A3" s="5"/>
      <c r="B3" s="4"/>
      <c r="C3" s="4"/>
      <c r="D3" s="4"/>
      <c r="E3" s="4"/>
      <c r="F3" s="4"/>
      <c r="G3" s="4"/>
      <c r="H3" s="1"/>
      <c r="I3" s="1"/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8"/>
  <sheetViews>
    <sheetView tabSelected="1" workbookViewId="0">
      <selection activeCell="I10" sqref="I10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8">IFERROR(TRANSPOSE(_xlfn._xlws.FILTER(MONTHLY_RETURNS!B64:AI64, MONTHLY_RETURNS!$B$74:$AI$74=1)),"")</f>
        <v>EPU</v>
      </c>
      <c r="B2" s="4" t="str" cm="1">
        <f t="array" ref="B2:B8">IFERROR(TRANSPOSE(_xlfn._xlws.FILTER(MONTHLY_RETURNS!B65:AI65, MONTHLY_RETURNS!$B$74:$AI$74=1)),"")</f>
        <v>Peru</v>
      </c>
      <c r="C2" s="4" t="str" cm="1">
        <f t="array" ref="C2:C8">IFERROR(TRANSPOSE(_xlfn._xlws.FILTER(MONTHLY_RETURNS!B66:AI66, MONTHLY_RETURNS!$B$74:$AI$74=1)),"")</f>
        <v>EMERGING</v>
      </c>
      <c r="D2" s="4" cm="1">
        <f t="array" ref="D2:D8">IFERROR(TRANSPOSE(_xlfn._xlws.FILTER(MONTHLY_RETURNS!B67:AI67, MONTHLY_RETURNS!$B$74:$AI$74=1)),"")</f>
        <v>-0.13048905</v>
      </c>
      <c r="E2" s="4" cm="1">
        <f t="array" ref="E2:E8">IFERROR(TRANSPOSE(_xlfn._xlws.FILTER(MONTHLY_RETURNS!B68:AI68, MONTHLY_RETURNS!$B$74:$AI$74=1)),"")</f>
        <v>1.8129987006557376E-2</v>
      </c>
      <c r="F2" s="4" cm="1">
        <f t="array" ref="F2:F8">IFERROR(TRANSPOSE(_xlfn._xlws.FILTER(MONTHLY_RETURNS!B69:AI69, MONTHLY_RETURNS!$B$74:$AI$74=1)),"")</f>
        <v>7.1670311224824354E-2</v>
      </c>
      <c r="G2" s="4" cm="1">
        <f t="array" ref="G2:G8">IFERROR(TRANSPOSE(_xlfn._xlws.FILTER(MONTHLY_RETURNS!B70:AI70, MONTHLY_RETURNS!$B$74:$AI$74=1)),"")</f>
        <v>0.14334062244964871</v>
      </c>
      <c r="H2" cm="1">
        <f t="array" ref="H2:H8">IFERROR(TRANSPOSE(_xlfn._xlws.FILTER(MONTHLY_RETURNS!B71:AI71, MONTHLY_RETURNS!$B$74:$AI$74=1)),"")</f>
        <v>76.63</v>
      </c>
      <c r="I2" cm="1">
        <f t="array" ref="I2:I8">IFERROR(TRANSPOSE(_xlfn._xlws.FILTER(MONTHLY_RETURNS!B72:AI72, MONTHLY_RETURNS!$B$74:$AI$74=1)),"")</f>
        <v>64.748408955223894</v>
      </c>
    </row>
    <row r="3" spans="1:9" x14ac:dyDescent="0.45">
      <c r="A3" s="5" t="str">
        <v>EZA</v>
      </c>
      <c r="B3" s="4" t="str">
        <v>South Africa</v>
      </c>
      <c r="C3" s="4" t="str">
        <v>EMERGING</v>
      </c>
      <c r="D3" s="6">
        <v>-0.13438212999999999</v>
      </c>
      <c r="E3" s="6">
        <v>1.0402602945901639E-2</v>
      </c>
      <c r="F3" s="6">
        <v>6.1016672949330143E-2</v>
      </c>
      <c r="G3" s="6">
        <v>0.12203334589866029</v>
      </c>
      <c r="H3">
        <v>64.930000000000007</v>
      </c>
      <c r="I3">
        <v>64.114328358208951</v>
      </c>
    </row>
    <row r="4" spans="1:9" x14ac:dyDescent="0.45">
      <c r="A4" s="5" t="str">
        <v>GREK</v>
      </c>
      <c r="B4" s="4" t="str">
        <v>Greece</v>
      </c>
      <c r="C4" s="4" t="str">
        <v>EMERGING</v>
      </c>
      <c r="D4" s="6">
        <v>-0.10993809</v>
      </c>
      <c r="E4" s="6">
        <v>2.0668900250983606E-2</v>
      </c>
      <c r="F4" s="6">
        <v>6.4134530099730608E-2</v>
      </c>
      <c r="G4" s="6">
        <v>0.12826906019946122</v>
      </c>
      <c r="H4">
        <v>63.23</v>
      </c>
      <c r="I4">
        <v>64.938650746268664</v>
      </c>
    </row>
    <row r="5" spans="1:9" x14ac:dyDescent="0.45">
      <c r="A5" s="5" t="str">
        <v>INDA</v>
      </c>
      <c r="B5" s="4" t="str">
        <v>India</v>
      </c>
      <c r="C5" s="4" t="str">
        <v>EMERGING</v>
      </c>
      <c r="D5" s="6">
        <v>-9.1395799999999999E-2</v>
      </c>
      <c r="E5" s="6">
        <v>3.7509661077049176E-3</v>
      </c>
      <c r="F5" s="6">
        <v>3.349255185211901E-2</v>
      </c>
      <c r="G5" s="6">
        <v>6.6985103704238019E-2</v>
      </c>
      <c r="H5">
        <v>47.52</v>
      </c>
      <c r="I5">
        <v>53.317114427860687</v>
      </c>
    </row>
    <row r="6" spans="1:9" x14ac:dyDescent="0.45">
      <c r="A6" s="5" t="str">
        <v>QAT</v>
      </c>
      <c r="B6" s="4" t="str">
        <v>Qatar</v>
      </c>
      <c r="C6" s="4" t="str">
        <v>EMERGING</v>
      </c>
      <c r="D6" s="6">
        <v>-7.6834736000000001E-2</v>
      </c>
      <c r="E6" s="6">
        <v>4.2300745122950817E-3</v>
      </c>
      <c r="F6" s="6">
        <v>3.658570442824334E-2</v>
      </c>
      <c r="G6" s="6">
        <v>7.317140885648668E-2</v>
      </c>
      <c r="H6">
        <v>18.329999999999998</v>
      </c>
      <c r="I6">
        <v>19.299279601990058</v>
      </c>
    </row>
    <row r="7" spans="1:9" x14ac:dyDescent="0.45">
      <c r="A7" s="5" t="str">
        <v>UAE</v>
      </c>
      <c r="B7" s="4" t="str">
        <v>United Arab Emirates</v>
      </c>
      <c r="C7" s="4" t="str">
        <v>EMERGING</v>
      </c>
      <c r="D7" s="6">
        <v>-0.17381279999999999</v>
      </c>
      <c r="E7" s="6">
        <v>1.010323060327869E-2</v>
      </c>
      <c r="F7" s="6">
        <v>6.7857305989820385E-2</v>
      </c>
      <c r="G7" s="6">
        <v>0.13571461197964077</v>
      </c>
      <c r="H7">
        <v>17.920000000000002</v>
      </c>
      <c r="I7">
        <v>19.520057711442789</v>
      </c>
    </row>
    <row r="8" spans="1:9" x14ac:dyDescent="0.45">
      <c r="A8" s="5" t="str">
        <v>EWL</v>
      </c>
      <c r="B8" s="4" t="str">
        <v>Switzerland</v>
      </c>
      <c r="C8" s="4" t="str">
        <v>DEVELOPED</v>
      </c>
      <c r="D8" s="6">
        <v>-0.10317957</v>
      </c>
      <c r="E8" s="6">
        <v>6.9839270780327912E-3</v>
      </c>
      <c r="F8" s="6">
        <v>4.5902434448908083E-2</v>
      </c>
      <c r="G8" s="6">
        <v>9.1804868897816166E-2</v>
      </c>
      <c r="H8">
        <v>57.54</v>
      </c>
      <c r="I8">
        <v>57.431592039800996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44274</v>
      </c>
      <c r="B2" s="3" cm="1">
        <f t="array" ref="B2:B62">_xll.FDS(B1,"FG_TOTAL_RETURNC(-5AY,0,AM)")/100</f>
        <v>-0.14308953000000002</v>
      </c>
      <c r="C2" s="3" cm="1">
        <f t="array" ref="C2:C62">_xll.FDS(C1,"FG_TOTAL_RETURNC(-5AY,0,AM)")/100</f>
        <v>3.4378766999999998E-2</v>
      </c>
      <c r="D2" s="3" cm="1">
        <f t="array" ref="D2:D62">_xll.FDS(D1,"FG_TOTAL_RETURNC(-5AY,0,AM)")/100</f>
        <v>-1.1012315999999999E-2</v>
      </c>
      <c r="E2" s="3" cm="1">
        <f t="array" ref="E2:E62">_xll.FDS(E1,"FG_TOTAL_RETURNC(-5AY,0,AM)")/100</f>
        <v>-4.3970289999999995E-2</v>
      </c>
      <c r="F2" s="3" cm="1">
        <f t="array" ref="F2:F62">_xll.FDS(F1,"FG_TOTAL_RETURNC(-5AY,0,AM)")/100</f>
        <v>-6.8423749999999992E-2</v>
      </c>
      <c r="G2" s="3" cm="1">
        <f t="array" ref="G2:G62">_xll.FDS(G1,"FG_TOTAL_RETURNC(-5AY,0,AM)")/100</f>
        <v>-6.416976499999999E-2</v>
      </c>
      <c r="H2" s="3" cm="1">
        <f t="array" ref="H2:H62">_xll.FDS(H1,"FG_TOTAL_RETURNC(-5AY,0,AM)")/100</f>
        <v>1.8471599000000002E-2</v>
      </c>
      <c r="I2" s="3" cm="1">
        <f t="array" ref="I2:I62">_xll.FDS(I1,"FG_TOTAL_RETURNC(-5AY,0,AM)")/100</f>
        <v>-3.1473755999999999E-2</v>
      </c>
      <c r="J2" s="3" cm="1">
        <f t="array" ref="J2:J62">_xll.FDS(J1,"FG_TOTAL_RETURNC(-5AY,0,AM)")/100</f>
        <v>5.0587416000000003E-2</v>
      </c>
      <c r="K2" s="3" cm="1">
        <f t="array" ref="K2:K62">_xll.FDS(K1,"FG_TOTAL_RETURNC(-5AY,0,AM)")/100</f>
        <v>-4.5327605999999993E-2</v>
      </c>
      <c r="L2" s="3" cm="1">
        <f t="array" ref="L2:L62">_xll.FDS(L1,"FG_TOTAL_RETURNC(-5AY,0,AM)")/100</f>
        <v>-4.0078459999999996E-2</v>
      </c>
      <c r="M2" s="3" cm="1">
        <f t="array" ref="M2:M62">_xll.FDS(M1,"FG_TOTAL_RETURNC(-5AY,0,AM)")/100</f>
        <v>-1.2280345E-3</v>
      </c>
      <c r="N2" s="3" cm="1">
        <f t="array" ref="N2:N62">_xll.FDS(N1,"FG_TOTAL_RETURNC(-5AY,0,AM)")/100</f>
        <v>7.4669956999999995E-2</v>
      </c>
      <c r="O2" s="3" cm="1">
        <f t="array" ref="O2:O62">_xll.FDS(O1,"FG_TOTAL_RETURNC(-5AY,0,AM)")/100</f>
        <v>-6.3187479999999999E-3</v>
      </c>
      <c r="P2" s="3" cm="1">
        <f t="array" ref="P2:P62">_xll.FDS(P1,"FG_TOTAL_RETURNC(-5AY,0,AM)")/100</f>
        <v>-0.11238891000000001</v>
      </c>
      <c r="Q2" s="3" cm="1">
        <f t="array" ref="Q2:Q62">_xll.FDS(Q1,"FG_TOTAL_RETURNC(-5AY,0,AM)")/100</f>
        <v>7.6462030000000007E-3</v>
      </c>
      <c r="R2" s="3" cm="1">
        <f t="array" ref="R2:R62">_xll.FDS(R1,"FG_TOTAL_RETURNC(-5AY,0,AM)")/100</f>
        <v>4.228556E-2</v>
      </c>
      <c r="S2" s="3" cm="1">
        <f t="array" ref="S2:S62">_xll.FDS(S1,"FG_TOTAL_RETURNC(-5AY,0,AM)")/100</f>
        <v>-4.1932225000000004E-2</v>
      </c>
      <c r="T2" s="3" cm="1">
        <f t="array" ref="T2:T62">_xll.FDS(T1,"FG_TOTAL_RETURNC(-5AY,0,AM)")/100</f>
        <v>2.7089834E-2</v>
      </c>
      <c r="U2" s="3" cm="1">
        <f t="array" ref="U2:U62">_xll.FDS(U1,"FG_TOTAL_RETURNC(-5AY,0,AM)")/100</f>
        <v>-2.7188718000000001E-2</v>
      </c>
      <c r="V2" s="3" cm="1">
        <f t="array" ref="V2:V62">_xll.FDS(V1,"FG_TOTAL_RETURNC(-5AY,0,AM)")/100</f>
        <v>4.8570633000000002E-2</v>
      </c>
      <c r="W2" s="3" cm="1">
        <f t="array" ref="W2:W62">_xll.FDS(W1,"FG_TOTAL_RETURNC(-5AY,0,AM)")/100</f>
        <v>-1.3386607E-2</v>
      </c>
      <c r="X2" s="3" cm="1">
        <f t="array" ref="X2:X62">_xll.FDS(X1,"FG_TOTAL_RETURNC(-5AY,0,AM)")/100</f>
        <v>-2.4120211999999999E-2</v>
      </c>
      <c r="Y2" s="3" cm="1">
        <f t="array" ref="Y2:Y62">_xll.FDS(Y1,"FG_TOTAL_RETURNC(-5AY,0,AM)")/100</f>
        <v>4.1162251999999996E-2</v>
      </c>
      <c r="Z2" s="3" cm="1">
        <f t="array" ref="Z2:Z62">_xll.FDS(Z1,"FG_TOTAL_RETURNC(-5AY,0,AM)")/100</f>
        <v>1.6824841E-2</v>
      </c>
      <c r="AA2" s="3" cm="1">
        <f t="array" ref="AA2:AA62">_xll.FDS(AA1,"FG_TOTAL_RETURNC(-5AY,0,AM)")/100</f>
        <v>-9.1112255999999999E-3</v>
      </c>
      <c r="AB2" s="3" cm="1">
        <f t="array" ref="AB2:AB62">_xll.FDS(AB1,"FG_TOTAL_RETURNC(-5AY,0,AM)")/100</f>
        <v>-4.7116876000000002E-3</v>
      </c>
      <c r="AC2" s="3" cm="1">
        <f t="array" ref="AC2:AC62">_xll.FDS(AC1,"FG_TOTAL_RETURNC(-5AY,0,AM)")/100</f>
        <v>1.3561487000000001E-2</v>
      </c>
      <c r="AD2" s="3" cm="1">
        <f t="array" ref="AD2:AD62">_xll.FDS(AD1,"FG_TOTAL_RETURNC(-5AY,0,AM)")/100</f>
        <v>-5.4014800000000002E-2</v>
      </c>
      <c r="AE2" s="3" cm="1">
        <f t="array" ref="AE2:AE62">_xll.FDS(AE1,"FG_TOTAL_RETURNC(-5AY,0,AM)")/100</f>
        <v>1.8659829999999999E-3</v>
      </c>
      <c r="AF2" s="3" cm="1">
        <f t="array" ref="AF2:AF62">_xll.FDS(AF1,"FG_TOTAL_RETURNC(-5AY,0,AM)")/100</f>
        <v>1.8620848999999998E-2</v>
      </c>
      <c r="AG2" s="3" cm="1">
        <f t="array" ref="AG2:AG62">_xll.FDS(AG1,"FG_TOTAL_RETURNC(-5AY,0,AM)")/100</f>
        <v>-2.1132946E-2</v>
      </c>
      <c r="AH2" s="3" cm="1">
        <f t="array" ref="AH2:AH62">_xll.FDS(AH1,"FG_TOTAL_RETURNC(-5AY,0,AM)")/100</f>
        <v>3.3117174999999999E-2</v>
      </c>
      <c r="AI2" s="3" cm="1">
        <f t="array" ref="AI2:AI62">_xll.FDS(AI1,"FG_TOTAL_RETURNC(-5AY,0,AM)")/100</f>
        <v>3.4027099999999998E-2</v>
      </c>
      <c r="AJ2" s="3"/>
      <c r="AK2" s="3"/>
      <c r="AL2" s="3"/>
    </row>
    <row r="3" spans="1:38" x14ac:dyDescent="0.45">
      <c r="A3" s="2">
        <v>44305</v>
      </c>
      <c r="B3" s="3">
        <v>8.5158350000000011E-3</v>
      </c>
      <c r="C3" s="3">
        <v>4.3731809999999996E-2</v>
      </c>
      <c r="D3" s="3">
        <v>-6.8094254000000007E-2</v>
      </c>
      <c r="E3" s="3">
        <v>-6.0872435999999993E-3</v>
      </c>
      <c r="F3" s="3">
        <v>6.0935854999999997E-2</v>
      </c>
      <c r="G3" s="3">
        <v>-3.7223577000000001E-2</v>
      </c>
      <c r="H3" s="3">
        <v>-1.6714096000000001E-2</v>
      </c>
      <c r="I3" s="3">
        <v>8.1327320000000008E-2</v>
      </c>
      <c r="J3" s="3">
        <v>5.6138754000000006E-2</v>
      </c>
      <c r="K3" s="3">
        <v>5.0855160000000003E-2</v>
      </c>
      <c r="L3" s="3">
        <v>2.9780984E-2</v>
      </c>
      <c r="M3" s="3">
        <v>6.2704919999999997E-2</v>
      </c>
      <c r="N3" s="3">
        <v>4.7216889999999997E-2</v>
      </c>
      <c r="O3" s="3">
        <v>-5.3933144000000002E-2</v>
      </c>
      <c r="P3" s="3">
        <v>-3.2273232999999998E-2</v>
      </c>
      <c r="Q3" s="3">
        <v>5.4742455000000002E-2</v>
      </c>
      <c r="R3" s="3">
        <v>7.0015190000000003E-3</v>
      </c>
      <c r="S3" s="3">
        <v>-0.18662464000000001</v>
      </c>
      <c r="T3" s="3">
        <v>1.4317989E-2</v>
      </c>
      <c r="U3" s="3">
        <v>9.2230430000000002E-2</v>
      </c>
      <c r="V3" s="3">
        <v>8.7950710000000001E-2</v>
      </c>
      <c r="W3" s="3">
        <v>5.5660010000000001E-3</v>
      </c>
      <c r="X3" s="3">
        <v>5.8751939999999996E-2</v>
      </c>
      <c r="Y3" s="3">
        <v>2.0930170000000001E-2</v>
      </c>
      <c r="Z3" s="3">
        <v>6.0770035E-2</v>
      </c>
      <c r="AA3" s="3">
        <v>-1.9804776E-2</v>
      </c>
      <c r="AB3" s="3">
        <v>5.6131599999999997E-2</v>
      </c>
      <c r="AC3" s="3">
        <v>5.2245975E-2</v>
      </c>
      <c r="AD3" s="3">
        <v>8.3540200000000009E-2</v>
      </c>
      <c r="AE3" s="3">
        <v>6.6062330000000002E-2</v>
      </c>
      <c r="AF3" s="3">
        <v>6.1982392999999997E-2</v>
      </c>
      <c r="AG3" s="3">
        <v>7.2112082999999993E-2</v>
      </c>
      <c r="AH3" s="3">
        <v>7.4198604000000001E-2</v>
      </c>
      <c r="AI3" s="3">
        <v>3.418529E-2</v>
      </c>
      <c r="AJ3" s="3"/>
      <c r="AK3" s="3"/>
      <c r="AL3" s="3"/>
    </row>
    <row r="4" spans="1:38" x14ac:dyDescent="0.45">
      <c r="A4" s="2">
        <v>44335</v>
      </c>
      <c r="B4" s="3">
        <v>4.1013239999999999E-2</v>
      </c>
      <c r="C4" s="3">
        <v>-0.20782119999999998</v>
      </c>
      <c r="D4" s="3">
        <v>-3.5386026000000001E-2</v>
      </c>
      <c r="E4" s="3">
        <v>-1.7012596000000001E-2</v>
      </c>
      <c r="F4" s="3">
        <v>8.2564119999999991E-2</v>
      </c>
      <c r="G4" s="3">
        <v>-2.587217E-2</v>
      </c>
      <c r="H4" s="3">
        <v>-1.2658237999999999E-2</v>
      </c>
      <c r="I4" s="3">
        <v>-5.422163E-2</v>
      </c>
      <c r="J4" s="3">
        <v>2.3120164999999998E-2</v>
      </c>
      <c r="K4" s="3">
        <v>-3.5546064000000002E-2</v>
      </c>
      <c r="L4" s="3">
        <v>6.3226579999999991E-2</v>
      </c>
      <c r="M4" s="3">
        <v>-1.5233338000000001E-2</v>
      </c>
      <c r="N4" s="3">
        <v>4.2155385000000004E-2</v>
      </c>
      <c r="O4" s="3">
        <v>7.542944E-2</v>
      </c>
      <c r="P4" s="3">
        <v>-2.6898801E-2</v>
      </c>
      <c r="Q4" s="3">
        <v>4.3679475999999998E-3</v>
      </c>
      <c r="R4" s="3">
        <v>-8.0449579999999996E-3</v>
      </c>
      <c r="S4" s="3">
        <v>2.1523832999999999E-2</v>
      </c>
      <c r="T4" s="3">
        <v>5.8692454999999998E-2</v>
      </c>
      <c r="U4" s="3">
        <v>-3.5312234999999997E-2</v>
      </c>
      <c r="V4" s="3">
        <v>2.7216315000000001E-2</v>
      </c>
      <c r="W4" s="3">
        <v>-3.9345859999999996E-2</v>
      </c>
      <c r="X4" s="3">
        <v>-8.4193944999999999E-3</v>
      </c>
      <c r="Y4" s="3">
        <v>5.0683499999999999E-2</v>
      </c>
      <c r="Z4" s="3">
        <v>-8.5082053999999997E-3</v>
      </c>
      <c r="AA4" s="3">
        <v>-3.3771157000000003E-2</v>
      </c>
      <c r="AB4" s="3">
        <v>4.9093962E-3</v>
      </c>
      <c r="AC4" s="3">
        <v>1.4532208E-2</v>
      </c>
      <c r="AD4" s="3">
        <v>-4.8070135E-2</v>
      </c>
      <c r="AE4" s="3">
        <v>-1.0476648999999999E-2</v>
      </c>
      <c r="AF4" s="3">
        <v>1.3985991E-2</v>
      </c>
      <c r="AG4" s="3">
        <v>-8.0963373000000009E-3</v>
      </c>
      <c r="AH4" s="3">
        <v>-1.6903102E-2</v>
      </c>
      <c r="AI4" s="3">
        <v>2.7803182999999996E-3</v>
      </c>
      <c r="AJ4" s="3"/>
      <c r="AK4" s="3"/>
      <c r="AL4" s="3"/>
    </row>
    <row r="5" spans="1:38" x14ac:dyDescent="0.45">
      <c r="A5" s="2">
        <v>44365</v>
      </c>
      <c r="B5" s="3">
        <v>-7.6488849999999994E-3</v>
      </c>
      <c r="C5" s="3">
        <v>1.1256337E-2</v>
      </c>
      <c r="D5" s="3">
        <v>-8.0348850000000003E-3</v>
      </c>
      <c r="E5" s="3">
        <v>7.4059486000000008E-2</v>
      </c>
      <c r="F5" s="3">
        <v>1.45787E-2</v>
      </c>
      <c r="G5" s="3">
        <v>-0.14533858999999999</v>
      </c>
      <c r="H5" s="3">
        <v>-4.7748089999999997E-3</v>
      </c>
      <c r="I5" s="3">
        <v>5.1613927000000004E-2</v>
      </c>
      <c r="J5" s="3">
        <v>-3.4453273000000003E-3</v>
      </c>
      <c r="K5" s="3">
        <v>1.1323214E-2</v>
      </c>
      <c r="L5" s="3">
        <v>8.6518169999999991E-2</v>
      </c>
      <c r="M5" s="3">
        <v>-3.9405465000000001E-2</v>
      </c>
      <c r="N5" s="3">
        <v>3.5178660000000002E-4</v>
      </c>
      <c r="O5" s="3">
        <v>1.8995166000000001E-2</v>
      </c>
      <c r="P5" s="3">
        <v>6.8078039999999998E-3</v>
      </c>
      <c r="Q5" s="3">
        <v>-2.0937502E-2</v>
      </c>
      <c r="R5" s="3">
        <v>3.2479048000000003E-2</v>
      </c>
      <c r="S5" s="3">
        <v>-6.5292062999999997E-2</v>
      </c>
      <c r="T5" s="3">
        <v>3.8010240000000001E-2</v>
      </c>
      <c r="U5" s="3">
        <v>6.1538459999999996E-2</v>
      </c>
      <c r="V5" s="3">
        <v>2.9024363000000001E-2</v>
      </c>
      <c r="W5" s="3">
        <v>-2.4020195000000001E-2</v>
      </c>
      <c r="X5" s="3">
        <v>1.7851353E-2</v>
      </c>
      <c r="Y5" s="3">
        <v>5.3372382999999999E-3</v>
      </c>
      <c r="Z5" s="3">
        <v>1.1897087E-4</v>
      </c>
      <c r="AA5" s="3">
        <v>1.1854053E-2</v>
      </c>
      <c r="AB5" s="3">
        <v>5.1542044000000002E-2</v>
      </c>
      <c r="AC5" s="3">
        <v>-1.7090797000000001E-2</v>
      </c>
      <c r="AD5" s="3">
        <v>6.2122225999999996E-2</v>
      </c>
      <c r="AE5" s="3">
        <v>1.3230562E-2</v>
      </c>
      <c r="AF5" s="3">
        <v>2.0557880000000001E-2</v>
      </c>
      <c r="AG5" s="3">
        <v>4.9370526999999997E-3</v>
      </c>
      <c r="AH5" s="3">
        <v>-8.2086920000000001E-3</v>
      </c>
      <c r="AI5" s="3">
        <v>9.0744494999999998E-3</v>
      </c>
      <c r="AJ5" s="3"/>
      <c r="AK5" s="3"/>
      <c r="AL5" s="3"/>
    </row>
    <row r="6" spans="1:38" x14ac:dyDescent="0.45">
      <c r="A6" s="2">
        <v>44396</v>
      </c>
      <c r="B6" s="3">
        <v>1.5672445E-2</v>
      </c>
      <c r="C6" s="3">
        <v>-3.0141830000000001E-2</v>
      </c>
      <c r="D6" s="3">
        <v>-3.8666070000000004E-2</v>
      </c>
      <c r="E6" s="3">
        <v>-7.8844905000000007E-2</v>
      </c>
      <c r="F6" s="3">
        <v>-2.106744E-2</v>
      </c>
      <c r="G6" s="3">
        <v>-1.9718289E-2</v>
      </c>
      <c r="H6" s="3">
        <v>-5.9984802999999996E-2</v>
      </c>
      <c r="I6" s="3">
        <v>1.5507579000000001E-2</v>
      </c>
      <c r="J6" s="3">
        <v>2.3494958999999999E-3</v>
      </c>
      <c r="K6" s="3">
        <v>-2.7332603999999996E-2</v>
      </c>
      <c r="L6" s="3">
        <v>-5.7313679999999999E-2</v>
      </c>
      <c r="M6" s="3">
        <v>-3.7646592E-2</v>
      </c>
      <c r="N6" s="3">
        <v>-9.4936729999999997E-2</v>
      </c>
      <c r="O6" s="3">
        <v>-3.8653612E-3</v>
      </c>
      <c r="P6" s="3">
        <v>-4.1708174000000001E-2</v>
      </c>
      <c r="Q6" s="3">
        <v>1.6721486999999998E-3</v>
      </c>
      <c r="R6" s="3">
        <v>-3.5319685999999996E-2</v>
      </c>
      <c r="S6" s="3">
        <v>-2.8783679999999999E-2</v>
      </c>
      <c r="T6" s="3">
        <v>-3.4989475999999999E-2</v>
      </c>
      <c r="U6" s="3">
        <v>-6.3968062000000006E-2</v>
      </c>
      <c r="V6" s="3">
        <v>-1.3381362000000001E-2</v>
      </c>
      <c r="W6" s="3">
        <v>8.0120564000000002E-3</v>
      </c>
      <c r="X6" s="3">
        <v>-3.6524415000000005E-2</v>
      </c>
      <c r="Y6" s="3">
        <v>-3.7157536000000005E-2</v>
      </c>
      <c r="Z6" s="3">
        <v>-2.3560226000000004E-2</v>
      </c>
      <c r="AA6" s="3">
        <v>-1.4721155E-2</v>
      </c>
      <c r="AB6" s="3">
        <v>2.0563602000000001E-4</v>
      </c>
      <c r="AC6" s="3">
        <v>-2.9330015000000001E-2</v>
      </c>
      <c r="AD6" s="3">
        <v>3.6332726000000003E-2</v>
      </c>
      <c r="AE6" s="3">
        <v>2.422154E-2</v>
      </c>
      <c r="AF6" s="3">
        <v>-4.4940830000000001E-2</v>
      </c>
      <c r="AG6" s="3">
        <v>-1.3626872999999999E-2</v>
      </c>
      <c r="AH6" s="3">
        <v>1.0293483999999999E-2</v>
      </c>
      <c r="AI6" s="3">
        <v>-5.2843036999999995E-2</v>
      </c>
      <c r="AJ6" s="3"/>
      <c r="AK6" s="3"/>
      <c r="AL6" s="3"/>
    </row>
    <row r="7" spans="1:38" x14ac:dyDescent="0.45">
      <c r="A7" s="2">
        <v>44427</v>
      </c>
      <c r="B7" s="3">
        <v>-2.9479504E-2</v>
      </c>
      <c r="C7" s="3">
        <v>-1.8281519999999999E-2</v>
      </c>
      <c r="D7" s="3">
        <v>3.3685327000000001E-2</v>
      </c>
      <c r="E7" s="3">
        <v>2.6769995999999997E-2</v>
      </c>
      <c r="F7" s="3">
        <v>2.7737975000000002E-2</v>
      </c>
      <c r="G7" s="3">
        <v>-0.14044540999999999</v>
      </c>
      <c r="H7" s="3">
        <v>-3.6349297000000001E-3</v>
      </c>
      <c r="I7" s="3">
        <v>-5.1007566000000004E-2</v>
      </c>
      <c r="J7" s="3">
        <v>4.0272712999999995E-2</v>
      </c>
      <c r="K7" s="3">
        <v>-6.3311156999999993E-2</v>
      </c>
      <c r="L7" s="3">
        <v>-8.9082775000000003E-2</v>
      </c>
      <c r="M7" s="3">
        <v>-2.2017956000000002E-2</v>
      </c>
      <c r="N7" s="3">
        <v>6.3325644E-2</v>
      </c>
      <c r="O7" s="3">
        <v>4.5081019999999999E-2</v>
      </c>
      <c r="P7" s="3">
        <v>-0.13537741</v>
      </c>
      <c r="Q7" s="3">
        <v>5.1338673000000001E-2</v>
      </c>
      <c r="R7" s="3">
        <v>-7.5384974E-3</v>
      </c>
      <c r="S7" s="3">
        <v>8.2217929999999995E-2</v>
      </c>
      <c r="T7" s="3">
        <v>4.6410439999999997E-2</v>
      </c>
      <c r="U7" s="3">
        <v>3.9241909999999998E-2</v>
      </c>
      <c r="V7" s="3">
        <v>6.5727710000000009E-2</v>
      </c>
      <c r="W7" s="3">
        <v>9.6042156000000004E-3</v>
      </c>
      <c r="X7" s="3">
        <v>8.7789300000000008E-3</v>
      </c>
      <c r="Y7" s="3">
        <v>1.9999981E-2</v>
      </c>
      <c r="Z7" s="3">
        <v>2.8001189999999999E-2</v>
      </c>
      <c r="AA7" s="3">
        <v>5.2821636000000005E-3</v>
      </c>
      <c r="AB7" s="3">
        <v>4.1341066000000003E-2</v>
      </c>
      <c r="AC7" s="3">
        <v>3.5305262000000004E-2</v>
      </c>
      <c r="AD7" s="3">
        <v>2.6193259999999999E-2</v>
      </c>
      <c r="AE7" s="3">
        <v>3.5037756000000003E-2</v>
      </c>
      <c r="AF7" s="3">
        <v>3.9900899999999996E-2</v>
      </c>
      <c r="AG7" s="3">
        <v>7.1625949999999994E-2</v>
      </c>
      <c r="AH7" s="3">
        <v>8.6710452999999993E-3</v>
      </c>
      <c r="AI7" s="3">
        <v>6.851554E-2</v>
      </c>
      <c r="AJ7" s="3"/>
      <c r="AK7" s="3"/>
      <c r="AL7" s="3"/>
    </row>
    <row r="8" spans="1:38" x14ac:dyDescent="0.45">
      <c r="A8" s="2">
        <v>44456</v>
      </c>
      <c r="B8" s="3">
        <v>4.0341615999999999E-3</v>
      </c>
      <c r="C8" s="3">
        <v>1.5642404999999998E-2</v>
      </c>
      <c r="D8" s="3">
        <v>3.4046769999999997E-2</v>
      </c>
      <c r="E8" s="3">
        <v>4.4596910000000003E-2</v>
      </c>
      <c r="F8" s="3">
        <v>5.2815320000000006E-2</v>
      </c>
      <c r="G8" s="3">
        <v>0.11993313</v>
      </c>
      <c r="H8" s="3">
        <v>3.8913608000000002E-2</v>
      </c>
      <c r="I8" s="3">
        <v>6.6522956000000008E-2</v>
      </c>
      <c r="J8" s="3">
        <v>1.8025397999999998E-2</v>
      </c>
      <c r="K8" s="3">
        <v>9.6392630000000003E-4</v>
      </c>
      <c r="L8" s="3">
        <v>-3.3662200000000003E-2</v>
      </c>
      <c r="M8" s="3">
        <v>8.7431669999999996E-3</v>
      </c>
      <c r="N8" s="3">
        <v>3.8363100000000004E-2</v>
      </c>
      <c r="O8" s="3">
        <v>7.6553464000000002E-2</v>
      </c>
      <c r="P8" s="3">
        <v>3.5462022000000003E-2</v>
      </c>
      <c r="Q8" s="3">
        <v>1.3899803E-3</v>
      </c>
      <c r="R8" s="3">
        <v>5.2691220000000004E-2</v>
      </c>
      <c r="S8" s="3">
        <v>-1.7226100000000001E-2</v>
      </c>
      <c r="T8" s="3">
        <v>4.8322915999999994E-2</v>
      </c>
      <c r="U8" s="3">
        <v>1.9265293999999999E-2</v>
      </c>
      <c r="V8" s="3">
        <v>2.0313262999999998E-2</v>
      </c>
      <c r="W8" s="3">
        <v>3.8379549999999998E-2</v>
      </c>
      <c r="X8" s="3">
        <v>6.3290595999999999E-3</v>
      </c>
      <c r="Y8" s="3">
        <v>1.5189171E-2</v>
      </c>
      <c r="Z8" s="3">
        <v>-1.3619183999999999E-2</v>
      </c>
      <c r="AA8" s="3">
        <v>0.10238707</v>
      </c>
      <c r="AB8" s="3">
        <v>-4.4045029999999999E-2</v>
      </c>
      <c r="AC8" s="3">
        <v>-5.8371424999999998E-3</v>
      </c>
      <c r="AD8" s="3">
        <v>2.7118324999999999E-2</v>
      </c>
      <c r="AE8" s="3">
        <v>6.7479610000000002E-3</v>
      </c>
      <c r="AF8" s="3">
        <v>5.2924156000000002E-3</v>
      </c>
      <c r="AG8" s="3">
        <v>4.4228554000000003E-2</v>
      </c>
      <c r="AH8" s="3">
        <v>1.053083E-2</v>
      </c>
      <c r="AI8" s="3">
        <v>-1.7099260999999998E-2</v>
      </c>
      <c r="AJ8" s="3"/>
      <c r="AK8" s="3"/>
      <c r="AL8" s="3"/>
    </row>
    <row r="9" spans="1:38" x14ac:dyDescent="0.45">
      <c r="A9" s="2">
        <v>44488</v>
      </c>
      <c r="B9" s="3">
        <v>3.6246777000000001E-2</v>
      </c>
      <c r="C9" s="3">
        <v>-0.11477816</v>
      </c>
      <c r="D9" s="3">
        <v>0.1627469</v>
      </c>
      <c r="E9" s="3">
        <v>7.2906374999999995E-2</v>
      </c>
      <c r="F9" s="3">
        <v>5.1933646E-2</v>
      </c>
      <c r="G9" s="3">
        <v>0.133582115</v>
      </c>
      <c r="H9" s="3">
        <v>5.1892279999999999E-2</v>
      </c>
      <c r="I9" s="3">
        <v>-2.4731695999999997E-2</v>
      </c>
      <c r="J9" s="3">
        <v>3.8229227000000001E-3</v>
      </c>
      <c r="K9" s="3">
        <v>-2.38325E-2</v>
      </c>
      <c r="L9" s="3">
        <v>-5.6756735000000003E-2</v>
      </c>
      <c r="M9" s="3">
        <v>8.5590360000000004E-2</v>
      </c>
      <c r="N9" s="3">
        <v>-4.9437283999999998E-3</v>
      </c>
      <c r="O9" s="3">
        <v>2.1099686999999999E-2</v>
      </c>
      <c r="P9" s="3">
        <v>5.2822469999999996E-2</v>
      </c>
      <c r="Q9" s="3">
        <v>5.2684902999999998E-2</v>
      </c>
      <c r="R9" s="3">
        <v>2.91574E-3</v>
      </c>
      <c r="S9" s="3">
        <v>-6.6966295000000009E-2</v>
      </c>
      <c r="T9" s="3">
        <v>-3.1882763000000001E-2</v>
      </c>
      <c r="U9" s="3">
        <v>-6.5524579999999997E-3</v>
      </c>
      <c r="V9" s="3">
        <v>4.5814395000000001E-2</v>
      </c>
      <c r="W9" s="3">
        <v>5.212426E-3</v>
      </c>
      <c r="X9" s="3">
        <v>3.7342667999999996E-2</v>
      </c>
      <c r="Y9" s="3">
        <v>6.9913030000000001E-2</v>
      </c>
      <c r="Z9" s="3">
        <v>-1.3513504999999999E-2</v>
      </c>
      <c r="AA9" s="3">
        <v>-5.8559237E-2</v>
      </c>
      <c r="AB9" s="3">
        <v>2.4793148000000001E-3</v>
      </c>
      <c r="AC9" s="3">
        <v>4.4808389999999997E-2</v>
      </c>
      <c r="AD9" s="3">
        <v>5.5239199999999999E-3</v>
      </c>
      <c r="AE9" s="3">
        <v>2.093339E-2</v>
      </c>
      <c r="AF9" s="3">
        <v>1.2108445000000001E-2</v>
      </c>
      <c r="AG9" s="3">
        <v>-1.7094016E-2</v>
      </c>
      <c r="AH9" s="3">
        <v>1.2335180999999999E-2</v>
      </c>
      <c r="AI9" s="3">
        <v>2.6405810999999998E-2</v>
      </c>
      <c r="AJ9" s="3"/>
      <c r="AK9" s="3"/>
      <c r="AL9" s="3"/>
    </row>
    <row r="10" spans="1:38" x14ac:dyDescent="0.45">
      <c r="A10" s="2">
        <v>44519</v>
      </c>
      <c r="B10" s="3">
        <v>-1.2398659999999999E-2</v>
      </c>
      <c r="C10" s="3">
        <v>5.4266810000000006E-2</v>
      </c>
      <c r="D10" s="3">
        <v>-4.1666626999999998E-2</v>
      </c>
      <c r="E10" s="3">
        <v>-1.1937559E-2</v>
      </c>
      <c r="F10" s="3">
        <v>-0.12815124</v>
      </c>
      <c r="G10" s="3">
        <v>-3.1682014000000001E-2</v>
      </c>
      <c r="H10" s="3">
        <v>-6.6765546999999995E-2</v>
      </c>
      <c r="I10" s="3">
        <v>5.5821300000000004E-2</v>
      </c>
      <c r="J10" s="3">
        <v>-5.2515507000000003E-2</v>
      </c>
      <c r="K10" s="3">
        <v>-3.2922267999999998E-2</v>
      </c>
      <c r="L10" s="3">
        <v>-7.1314870000000002E-2</v>
      </c>
      <c r="M10" s="3">
        <v>-7.6047840000000005E-2</v>
      </c>
      <c r="N10" s="3">
        <v>-2.3674309999999997E-2</v>
      </c>
      <c r="O10" s="3">
        <v>-1.5299022000000001E-2</v>
      </c>
      <c r="P10" s="3">
        <v>-5.3342580000000001E-2</v>
      </c>
      <c r="Q10" s="3">
        <v>1.7805576E-2</v>
      </c>
      <c r="R10" s="3">
        <v>8.9979169999999994E-3</v>
      </c>
      <c r="S10" s="3">
        <v>1.5895962999999999E-2</v>
      </c>
      <c r="T10" s="3">
        <v>0.13499486999999999</v>
      </c>
      <c r="U10" s="3">
        <v>4.2110679999999998E-2</v>
      </c>
      <c r="V10" s="3">
        <v>-1.3532101999999999E-2</v>
      </c>
      <c r="W10" s="3">
        <v>-5.4525495E-2</v>
      </c>
      <c r="X10" s="3">
        <v>-4.0166736000000001E-2</v>
      </c>
      <c r="Y10" s="3">
        <v>-2.0341277E-3</v>
      </c>
      <c r="Z10" s="3">
        <v>6.2537193000000001E-3</v>
      </c>
      <c r="AA10" s="3">
        <v>1.1283159000000001E-2</v>
      </c>
      <c r="AB10" s="3">
        <v>4.3693304000000002E-2</v>
      </c>
      <c r="AC10" s="3">
        <v>-2.3957430999999998E-2</v>
      </c>
      <c r="AD10" s="3">
        <v>7.5958132999999997E-2</v>
      </c>
      <c r="AE10" s="3">
        <v>4.0497899999999996E-2</v>
      </c>
      <c r="AF10" s="3">
        <v>2.8608560000000002E-2</v>
      </c>
      <c r="AG10" s="3">
        <v>7.9226494000000005E-3</v>
      </c>
      <c r="AH10" s="3">
        <v>2.7310847999999998E-3</v>
      </c>
      <c r="AI10" s="3">
        <v>-3.9346813999999999E-3</v>
      </c>
      <c r="AJ10" s="3"/>
      <c r="AK10" s="3"/>
      <c r="AL10" s="3"/>
    </row>
    <row r="11" spans="1:38" x14ac:dyDescent="0.45">
      <c r="A11" s="2">
        <v>44547</v>
      </c>
      <c r="B11" s="3">
        <v>1.3639091999999998E-2</v>
      </c>
      <c r="C11" s="3">
        <v>-2.201879E-2</v>
      </c>
      <c r="D11" s="3">
        <v>-3.1192958000000003E-2</v>
      </c>
      <c r="E11" s="3">
        <v>1.2694358999999999E-2</v>
      </c>
      <c r="F11" s="3">
        <v>-2.4328172000000002E-2</v>
      </c>
      <c r="G11" s="3">
        <v>-2.1065712E-2</v>
      </c>
      <c r="H11" s="3">
        <v>-2.7066528999999999E-2</v>
      </c>
      <c r="I11" s="3">
        <v>1.2984276E-3</v>
      </c>
      <c r="J11" s="3">
        <v>4.7634480000000007E-2</v>
      </c>
      <c r="K11" s="3">
        <v>2.3334621999999999E-2</v>
      </c>
      <c r="L11" s="3">
        <v>3.7571430000000003E-2</v>
      </c>
      <c r="M11" s="3">
        <v>-7.7894330000000001E-3</v>
      </c>
      <c r="N11" s="3">
        <v>-4.2375984000000005E-2</v>
      </c>
      <c r="O11" s="3">
        <v>-5.5529536999999997E-2</v>
      </c>
      <c r="P11" s="3">
        <v>-8.9244179999999992E-2</v>
      </c>
      <c r="Q11" s="3">
        <v>-4.0257635E-2</v>
      </c>
      <c r="R11" s="3">
        <v>-2.0242929999999999E-3</v>
      </c>
      <c r="S11" s="3">
        <v>-0.18509219999999998</v>
      </c>
      <c r="T11" s="3">
        <v>5.0015570000000002E-2</v>
      </c>
      <c r="U11" s="3">
        <v>1.1197686E-2</v>
      </c>
      <c r="V11" s="3">
        <v>-4.5285939999999997E-2</v>
      </c>
      <c r="W11" s="3">
        <v>-4.4358910000000001E-2</v>
      </c>
      <c r="X11" s="3">
        <v>-2.4489879999999999E-2</v>
      </c>
      <c r="Y11" s="3">
        <v>-5.0542354999999997E-2</v>
      </c>
      <c r="Z11" s="3">
        <v>-4.9562160000000001E-2</v>
      </c>
      <c r="AA11" s="3">
        <v>-2.5856376E-2</v>
      </c>
      <c r="AB11" s="3">
        <v>1.1453390000000001E-2</v>
      </c>
      <c r="AC11" s="3">
        <v>-8.2787275000000011E-3</v>
      </c>
      <c r="AD11" s="3">
        <v>-4.7228869999999999E-2</v>
      </c>
      <c r="AE11" s="3">
        <v>-1.5746950999999999E-2</v>
      </c>
      <c r="AF11" s="3">
        <v>-3.4957587999999998E-2</v>
      </c>
      <c r="AG11" s="3">
        <v>-8.4026039999999996E-2</v>
      </c>
      <c r="AH11" s="3">
        <v>-5.3310336999999999E-2</v>
      </c>
      <c r="AI11" s="3">
        <v>-2.5825024000000002E-2</v>
      </c>
      <c r="AJ11" s="3"/>
      <c r="AK11" s="3"/>
      <c r="AL11" s="3"/>
    </row>
    <row r="12" spans="1:38" x14ac:dyDescent="0.45">
      <c r="A12" s="2">
        <v>44580</v>
      </c>
      <c r="B12" s="3">
        <v>-3.4260810000000003E-2</v>
      </c>
      <c r="C12" s="3">
        <v>5.9449673000000001E-2</v>
      </c>
      <c r="D12" s="3">
        <v>1.2724876000000001E-2</v>
      </c>
      <c r="E12" s="3">
        <v>-3.8685918E-2</v>
      </c>
      <c r="F12" s="3">
        <v>9.5856189999999994E-2</v>
      </c>
      <c r="G12" s="3">
        <v>0.21222888999999998</v>
      </c>
      <c r="H12" s="3">
        <v>3.6286829999999999E-2</v>
      </c>
      <c r="I12" s="3">
        <v>3.2088040999999998E-2</v>
      </c>
      <c r="J12" s="3">
        <v>2.2322297000000001E-2</v>
      </c>
      <c r="K12" s="3">
        <v>-3.4873306999999999E-2</v>
      </c>
      <c r="L12" s="3">
        <v>6.2638879999999994E-2</v>
      </c>
      <c r="M12" s="3">
        <v>9.018922E-2</v>
      </c>
      <c r="N12" s="3">
        <v>9.4897510000000004E-2</v>
      </c>
      <c r="O12" s="3">
        <v>7.1417690000000006E-2</v>
      </c>
      <c r="P12" s="3">
        <v>1.7716169E-2</v>
      </c>
      <c r="Q12" s="3">
        <v>8.5177900000000001E-2</v>
      </c>
      <c r="R12" s="3">
        <v>1.0056496E-2</v>
      </c>
      <c r="S12" s="3">
        <v>0.20338975999999998</v>
      </c>
      <c r="T12" s="3">
        <v>-3.9021552000000001E-2</v>
      </c>
      <c r="U12" s="3">
        <v>-4.4350265999999999E-2</v>
      </c>
      <c r="V12" s="3">
        <v>0.10245824000000001</v>
      </c>
      <c r="W12" s="3">
        <v>1.4072657E-3</v>
      </c>
      <c r="X12" s="3">
        <v>1.9261003000000002E-2</v>
      </c>
      <c r="Y12" s="3">
        <v>5.8711650000000004E-2</v>
      </c>
      <c r="Z12" s="3">
        <v>3.0784487999999999E-2</v>
      </c>
      <c r="AA12" s="3">
        <v>-2.7674437E-2</v>
      </c>
      <c r="AB12" s="3">
        <v>-9.5666050000000006E-3</v>
      </c>
      <c r="AC12" s="3">
        <v>8.571434E-2</v>
      </c>
      <c r="AD12" s="3">
        <v>-4.6652259999999994E-2</v>
      </c>
      <c r="AE12" s="3">
        <v>-1.7657160999999998E-2</v>
      </c>
      <c r="AF12" s="3">
        <v>4.7657489999999997E-2</v>
      </c>
      <c r="AG12" s="3">
        <v>2.5210379999999998E-3</v>
      </c>
      <c r="AH12" s="3">
        <v>-1.7831326E-3</v>
      </c>
      <c r="AI12" s="3">
        <v>4.5555115E-2</v>
      </c>
      <c r="AJ12" s="3"/>
      <c r="AK12" s="3"/>
      <c r="AL12" s="3"/>
    </row>
    <row r="13" spans="1:38" x14ac:dyDescent="0.45">
      <c r="A13" s="2">
        <v>44610</v>
      </c>
      <c r="B13" s="3">
        <v>-2.9761909999999999E-2</v>
      </c>
      <c r="C13" s="3">
        <v>1.2142539000000001E-2</v>
      </c>
      <c r="D13" s="3">
        <v>3.9861320999999998E-2</v>
      </c>
      <c r="E13" s="3">
        <v>4.3117284999999998E-2</v>
      </c>
      <c r="F13" s="3">
        <v>-7.7904344E-2</v>
      </c>
      <c r="G13" s="3">
        <v>1.2316822999999999E-2</v>
      </c>
      <c r="H13" s="3">
        <v>4.4788240000000007E-2</v>
      </c>
      <c r="I13" s="3">
        <v>-1.6821921E-2</v>
      </c>
      <c r="J13" s="3">
        <v>5.8093070000000005E-3</v>
      </c>
      <c r="K13" s="3">
        <v>-3.7584065999999999E-2</v>
      </c>
      <c r="L13" s="3">
        <v>0.10137164999999999</v>
      </c>
      <c r="M13" s="3">
        <v>5.4681179999999996E-2</v>
      </c>
      <c r="N13" s="3">
        <v>2.6473759999999999E-2</v>
      </c>
      <c r="O13" s="3">
        <v>-5.2877482999999996E-2</v>
      </c>
      <c r="P13" s="3">
        <v>-2.5636969999999999E-2</v>
      </c>
      <c r="Q13" s="3">
        <v>3.1232834000000001E-2</v>
      </c>
      <c r="R13" s="3">
        <v>3.3143520000000003E-2</v>
      </c>
      <c r="S13" s="3">
        <v>-2.2826552000000003E-2</v>
      </c>
      <c r="T13" s="3">
        <v>3.2727360000000004E-2</v>
      </c>
      <c r="U13" s="3">
        <v>2.0253657999999997E-3</v>
      </c>
      <c r="V13" s="3">
        <v>1.5572905999999999E-2</v>
      </c>
      <c r="W13" s="3">
        <v>-5.5422726000000005E-2</v>
      </c>
      <c r="X13" s="3">
        <v>-1.3168693E-2</v>
      </c>
      <c r="Y13" s="3">
        <v>-3.0808746999999997E-2</v>
      </c>
      <c r="Z13" s="3">
        <v>-4.9360093999999993E-2</v>
      </c>
      <c r="AA13" s="3">
        <v>-2.6319802E-2</v>
      </c>
      <c r="AB13" s="3">
        <v>-4.7900676999999996E-2</v>
      </c>
      <c r="AC13" s="3">
        <v>-8.9647770000000002E-3</v>
      </c>
      <c r="AD13" s="3">
        <v>-6.8134664999999997E-2</v>
      </c>
      <c r="AE13" s="3">
        <v>-3.8782477000000003E-2</v>
      </c>
      <c r="AF13" s="3">
        <v>-3.5980523E-2</v>
      </c>
      <c r="AG13" s="3">
        <v>-5.7208719999999998E-2</v>
      </c>
      <c r="AH13" s="3">
        <v>-9.4900490000000004E-2</v>
      </c>
      <c r="AI13" s="3">
        <v>-2.7836560999999999E-2</v>
      </c>
      <c r="AJ13" s="3"/>
      <c r="AK13" s="3"/>
      <c r="AL13" s="3"/>
    </row>
    <row r="14" spans="1:38" x14ac:dyDescent="0.45">
      <c r="A14" s="2">
        <v>44638</v>
      </c>
      <c r="B14" s="3">
        <v>-6.723928500000001E-2</v>
      </c>
      <c r="C14" s="3">
        <v>8.9396240000000002E-2</v>
      </c>
      <c r="D14" s="3">
        <v>1.8333315999999999E-2</v>
      </c>
      <c r="E14" s="3">
        <v>-7.8383327000000003E-2</v>
      </c>
      <c r="F14" s="3">
        <v>-8.00395E-2</v>
      </c>
      <c r="G14" s="3">
        <v>6.5179585999999998E-2</v>
      </c>
      <c r="H14" s="3">
        <v>-3.8969517000000004E-4</v>
      </c>
      <c r="I14" s="3">
        <v>-4.4912870000000001E-2</v>
      </c>
      <c r="J14" s="3">
        <v>4.7400950000000004E-2</v>
      </c>
      <c r="K14" s="3">
        <v>-2.0279585999999999E-2</v>
      </c>
      <c r="L14" s="3">
        <v>5.2551746000000003E-2</v>
      </c>
      <c r="M14" s="3">
        <v>4.4958829999999998E-2</v>
      </c>
      <c r="N14" s="3">
        <v>-9.4566709999999998E-2</v>
      </c>
      <c r="O14" s="3">
        <v>3.3632517000000001E-3</v>
      </c>
      <c r="P14" s="3">
        <v>-0.10573328</v>
      </c>
      <c r="Q14" s="3">
        <v>5.4309130000000004E-2</v>
      </c>
      <c r="R14" s="3">
        <v>-2.0248651999999999E-2</v>
      </c>
      <c r="S14" s="3">
        <v>-3.0815125000000002E-2</v>
      </c>
      <c r="T14" s="3">
        <v>6.9835543999999999E-2</v>
      </c>
      <c r="U14" s="3">
        <v>-4.7498760000000001E-2</v>
      </c>
      <c r="V14" s="3">
        <v>3.3954023999999999E-2</v>
      </c>
      <c r="W14" s="3">
        <v>5.8241487000000002E-2</v>
      </c>
      <c r="X14" s="3">
        <v>7.1309446999999998E-2</v>
      </c>
      <c r="Y14" s="3">
        <v>5.3774834000000001E-2</v>
      </c>
      <c r="Z14" s="3">
        <v>-7.3397455E-2</v>
      </c>
      <c r="AA14" s="3">
        <v>-2.1373570000000001E-2</v>
      </c>
      <c r="AB14" s="3">
        <v>1.3871670000000001E-2</v>
      </c>
      <c r="AC14" s="3">
        <v>-2.7137458E-2</v>
      </c>
      <c r="AD14" s="3">
        <v>2.9223084E-2</v>
      </c>
      <c r="AE14" s="3">
        <v>2.6842833E-2</v>
      </c>
      <c r="AF14" s="3">
        <v>-6.1583519999999996E-2</v>
      </c>
      <c r="AG14" s="3">
        <v>-4.4898868000000001E-2</v>
      </c>
      <c r="AH14" s="3">
        <v>1.1874675999999999E-2</v>
      </c>
      <c r="AI14" s="3">
        <v>-0.10488642000000001</v>
      </c>
      <c r="AJ14" s="3"/>
      <c r="AK14" s="3"/>
      <c r="AL14" s="3"/>
    </row>
    <row r="15" spans="1:38" x14ac:dyDescent="0.45">
      <c r="A15" s="2">
        <v>44670</v>
      </c>
      <c r="B15" s="3">
        <v>-5.9458016999999995E-2</v>
      </c>
      <c r="C15" s="3">
        <v>-1.0657191E-2</v>
      </c>
      <c r="D15" s="3">
        <v>2.4549961000000001E-3</v>
      </c>
      <c r="E15" s="3">
        <v>-2.9900670000000003E-3</v>
      </c>
      <c r="F15" s="3">
        <v>-1.9334077999999998E-2</v>
      </c>
      <c r="G15" s="3">
        <v>-5.3848209999999994E-2</v>
      </c>
      <c r="H15" s="3">
        <v>-1.1305987999999999E-2</v>
      </c>
      <c r="I15" s="3">
        <v>-7.1497144999999998E-2</v>
      </c>
      <c r="J15" s="3">
        <v>1.1218905E-2</v>
      </c>
      <c r="K15" s="3">
        <v>-3.2587410000000004E-2</v>
      </c>
      <c r="L15" s="3">
        <v>7.301581E-2</v>
      </c>
      <c r="M15" s="3">
        <v>-4.96155E-2</v>
      </c>
      <c r="N15" s="3">
        <v>5.469048E-2</v>
      </c>
      <c r="O15" s="3">
        <v>-1.2737453000000001E-2</v>
      </c>
      <c r="P15" s="3">
        <v>-6.5383253000000002E-2</v>
      </c>
      <c r="Q15" s="3">
        <v>2.7633905E-2</v>
      </c>
      <c r="R15" s="3">
        <v>-1.7217994000000001E-3</v>
      </c>
      <c r="S15" s="3">
        <v>0.20769225999999999</v>
      </c>
      <c r="T15" s="3">
        <v>4.1689515000000003E-2</v>
      </c>
      <c r="U15" s="3">
        <v>-6.100792E-2</v>
      </c>
      <c r="V15" s="3">
        <v>6.3559294000000002E-2</v>
      </c>
      <c r="W15" s="3">
        <v>-7.2323139999999994E-2</v>
      </c>
      <c r="X15" s="3">
        <v>3.6979318000000004E-2</v>
      </c>
      <c r="Y15" s="3">
        <v>6.0331820000000006E-3</v>
      </c>
      <c r="Z15" s="3">
        <v>-5.2576959999999999E-2</v>
      </c>
      <c r="AA15" s="3">
        <v>-7.3229493999999992E-2</v>
      </c>
      <c r="AB15" s="3">
        <v>-7.5557229999999994E-3</v>
      </c>
      <c r="AC15" s="3">
        <v>2.0395875000000001E-2</v>
      </c>
      <c r="AD15" s="3">
        <v>-1.3659060000000001E-2</v>
      </c>
      <c r="AE15" s="3">
        <v>1.1698007599999999E-3</v>
      </c>
      <c r="AF15" s="3">
        <v>-2.3011385999999998E-2</v>
      </c>
      <c r="AG15" s="3">
        <v>-5.4689349999999998E-2</v>
      </c>
      <c r="AH15" s="3">
        <v>-3.5955012000000001E-2</v>
      </c>
      <c r="AI15" s="3">
        <v>1.6689776999999999E-2</v>
      </c>
      <c r="AJ15" s="3"/>
      <c r="AK15" s="3"/>
      <c r="AL15" s="3"/>
    </row>
    <row r="16" spans="1:38" x14ac:dyDescent="0.45">
      <c r="A16" s="2">
        <v>44700</v>
      </c>
      <c r="B16" s="3">
        <v>-6.097901E-2</v>
      </c>
      <c r="C16" s="3">
        <v>3.2316445999999999E-3</v>
      </c>
      <c r="D16" s="3">
        <v>-3.4285724000000004E-2</v>
      </c>
      <c r="E16" s="3">
        <v>-3.7987291999999999E-2</v>
      </c>
      <c r="F16" s="3">
        <v>-0.14676892999999999</v>
      </c>
      <c r="G16" s="3">
        <v>-0.15176778999999999</v>
      </c>
      <c r="H16" s="3">
        <v>-5.4810762000000006E-2</v>
      </c>
      <c r="I16" s="3">
        <v>-6.7700266999999995E-2</v>
      </c>
      <c r="J16" s="3">
        <v>-4.5693874000000002E-2</v>
      </c>
      <c r="K16" s="3">
        <v>-5.3491353999999998E-2</v>
      </c>
      <c r="L16" s="3">
        <v>-0.11726737</v>
      </c>
      <c r="M16" s="3">
        <v>-0.11404346999999999</v>
      </c>
      <c r="N16" s="3">
        <v>-9.2905999999999989E-2</v>
      </c>
      <c r="O16" s="3">
        <v>-7.7184258000000006E-2</v>
      </c>
      <c r="P16" s="3">
        <v>-3.6727547999999999E-2</v>
      </c>
      <c r="Q16" s="3">
        <v>-6.9682179999999996E-2</v>
      </c>
      <c r="R16" s="3">
        <v>-4.1560769999999997E-2</v>
      </c>
      <c r="S16" s="3">
        <v>-0.12526535999999999</v>
      </c>
      <c r="T16" s="3">
        <v>-9.0573970000000004E-2</v>
      </c>
      <c r="U16" s="3">
        <v>-0.11864406000000001</v>
      </c>
      <c r="V16" s="3">
        <v>-9.9601559999999992E-2</v>
      </c>
      <c r="W16" s="3">
        <v>-0.10420233</v>
      </c>
      <c r="X16" s="3">
        <v>-0.10548049000000001</v>
      </c>
      <c r="Y16" s="3">
        <v>-9.2453779999999999E-2</v>
      </c>
      <c r="Z16" s="3">
        <v>-5.257386E-2</v>
      </c>
      <c r="AA16" s="3">
        <v>-2.3219526000000001E-2</v>
      </c>
      <c r="AB16" s="3">
        <v>-9.8559620000000001E-2</v>
      </c>
      <c r="AC16" s="3">
        <v>-6.6431519999999994E-2</v>
      </c>
      <c r="AD16" s="3">
        <v>-0.16369205000000001</v>
      </c>
      <c r="AE16" s="3">
        <v>-0.12488770499999999</v>
      </c>
      <c r="AF16" s="3">
        <v>-4.9432992999999995E-2</v>
      </c>
      <c r="AG16" s="3">
        <v>-8.9610999999999996E-2</v>
      </c>
      <c r="AH16" s="3">
        <v>-9.2463069999999994E-2</v>
      </c>
      <c r="AI16" s="3">
        <v>-5.6087550000000007E-2</v>
      </c>
      <c r="AJ16" s="3"/>
      <c r="AK16" s="3"/>
      <c r="AL16" s="3"/>
    </row>
    <row r="17" spans="1:38" x14ac:dyDescent="0.45">
      <c r="A17" s="2">
        <v>44729</v>
      </c>
      <c r="B17" s="3">
        <v>8.6929560000000003E-2</v>
      </c>
      <c r="C17" s="3">
        <v>-4.0293216999999999E-2</v>
      </c>
      <c r="D17" s="3">
        <v>-3.0471325E-2</v>
      </c>
      <c r="E17" s="3">
        <v>-8.0042719999999998E-2</v>
      </c>
      <c r="F17" s="3">
        <v>-5.9554935000000003E-2</v>
      </c>
      <c r="G17" s="3">
        <v>-2.1426916000000001E-2</v>
      </c>
      <c r="H17" s="3">
        <v>-6.8102836999999999E-2</v>
      </c>
      <c r="I17" s="3">
        <v>-3.2889843000000002E-2</v>
      </c>
      <c r="J17" s="3">
        <v>-8.3493890000000001E-2</v>
      </c>
      <c r="K17" s="3">
        <v>-8.8131959999999995E-2</v>
      </c>
      <c r="L17" s="3">
        <v>-0.10878765</v>
      </c>
      <c r="M17" s="3">
        <v>-6.0528935999999998E-2</v>
      </c>
      <c r="N17" s="3">
        <v>-5.5180670000000001E-2</v>
      </c>
      <c r="O17" s="3">
        <v>-4.8933030000000002E-2</v>
      </c>
      <c r="P17" s="3">
        <v>7.0987104999999995E-2</v>
      </c>
      <c r="Q17" s="3">
        <v>-4.1700720000000004E-2</v>
      </c>
      <c r="R17" s="3">
        <v>-2.9010296000000001E-2</v>
      </c>
      <c r="S17" s="3">
        <v>-3.8015604000000001E-2</v>
      </c>
      <c r="T17" s="3">
        <v>-6.0822725000000001E-2</v>
      </c>
      <c r="U17" s="3">
        <v>-5.0000070000000001E-2</v>
      </c>
      <c r="V17" s="3">
        <v>-5.6142450000000003E-2</v>
      </c>
      <c r="W17" s="3">
        <v>-6.8801639999999997E-2</v>
      </c>
      <c r="X17" s="3">
        <v>-9.8518430000000004E-2</v>
      </c>
      <c r="Y17" s="3">
        <v>-7.6037884E-2</v>
      </c>
      <c r="Z17" s="3">
        <v>-5.9657692999999998E-2</v>
      </c>
      <c r="AA17" s="3">
        <v>-6.7423940000000002E-2</v>
      </c>
      <c r="AB17" s="3">
        <v>-7.9983829999999992E-2</v>
      </c>
      <c r="AC17" s="3">
        <v>-6.4366099999999996E-2</v>
      </c>
      <c r="AD17" s="3">
        <v>-5.1419259999999994E-2</v>
      </c>
      <c r="AE17" s="3">
        <v>-5.6547880000000002E-2</v>
      </c>
      <c r="AF17" s="3">
        <v>-6.4666689999999999E-2</v>
      </c>
      <c r="AG17" s="3">
        <v>-6.4438159999999994E-2</v>
      </c>
      <c r="AH17" s="3">
        <v>-8.9394989999999994E-2</v>
      </c>
      <c r="AI17" s="3">
        <v>-8.8432899999999995E-2</v>
      </c>
      <c r="AJ17" s="3"/>
      <c r="AK17" s="3"/>
      <c r="AL17" s="3"/>
    </row>
    <row r="18" spans="1:38" x14ac:dyDescent="0.45">
      <c r="A18" s="2">
        <v>44761</v>
      </c>
      <c r="B18" s="3">
        <v>-6.8643690000000004E-3</v>
      </c>
      <c r="C18" s="3">
        <v>-2.9092311999999999E-2</v>
      </c>
      <c r="D18" s="3">
        <v>-2.2104322999999999E-2</v>
      </c>
      <c r="E18" s="3">
        <v>-3.9428591999999998E-2</v>
      </c>
      <c r="F18" s="3">
        <v>-4.0633619999999995E-2</v>
      </c>
      <c r="G18" s="3">
        <v>-0.10017956</v>
      </c>
      <c r="H18" s="3">
        <v>-1.4618516E-2</v>
      </c>
      <c r="I18" s="3">
        <v>-3.515476E-2</v>
      </c>
      <c r="J18" s="3">
        <v>-3.2744408000000003E-3</v>
      </c>
      <c r="K18" s="3">
        <v>-1.6917944000000001E-2</v>
      </c>
      <c r="L18" s="3">
        <v>-5.9455575999999996E-2</v>
      </c>
      <c r="M18" s="3">
        <v>-3.2418309999999999E-2</v>
      </c>
      <c r="N18" s="3">
        <v>-3.8729131E-2</v>
      </c>
      <c r="O18" s="3">
        <v>5.0676940000000004E-2</v>
      </c>
      <c r="P18" s="3">
        <v>-2.8419495E-3</v>
      </c>
      <c r="Q18" s="3">
        <v>-1.4990270000000002E-2</v>
      </c>
      <c r="R18" s="3">
        <v>-1.6647518E-2</v>
      </c>
      <c r="S18" s="3">
        <v>-2.6466012000000001E-2</v>
      </c>
      <c r="T18" s="3">
        <v>-1.5132368E-2</v>
      </c>
      <c r="U18" s="3">
        <v>-2.0242870000000003E-2</v>
      </c>
      <c r="V18" s="3">
        <v>1.6528367999999998E-3</v>
      </c>
      <c r="W18" s="3">
        <v>5.9040545999999999E-2</v>
      </c>
      <c r="X18" s="3">
        <v>3.6040425000000001E-2</v>
      </c>
      <c r="Y18" s="3">
        <v>1.3509393000000001E-2</v>
      </c>
      <c r="Z18" s="3">
        <v>-1.8588960000000002E-2</v>
      </c>
      <c r="AA18" s="3">
        <v>2.99654E-2</v>
      </c>
      <c r="AB18" s="3">
        <v>6.9367169999999992E-2</v>
      </c>
      <c r="AC18" s="3">
        <v>2.433169E-2</v>
      </c>
      <c r="AD18" s="3">
        <v>8.798897E-2</v>
      </c>
      <c r="AE18" s="3">
        <v>7.2186111999999997E-2</v>
      </c>
      <c r="AF18" s="3">
        <v>3.2996655E-2</v>
      </c>
      <c r="AG18" s="3">
        <v>5.4758430000000004E-2</v>
      </c>
      <c r="AH18" s="3">
        <v>3.4182549E-2</v>
      </c>
      <c r="AI18" s="3">
        <v>-2.4989784000000001E-2</v>
      </c>
      <c r="AJ18" s="3"/>
      <c r="AK18" s="3"/>
      <c r="AL18" s="3"/>
    </row>
    <row r="19" spans="1:38" x14ac:dyDescent="0.45">
      <c r="A19" s="2">
        <v>44792</v>
      </c>
      <c r="B19" s="3">
        <v>-3.8429617999999999E-2</v>
      </c>
      <c r="C19" s="3">
        <v>2.6767850000000003E-2</v>
      </c>
      <c r="D19" s="3">
        <v>6.7359804999999995E-2</v>
      </c>
      <c r="E19" s="3">
        <v>9.8155859999999998E-2</v>
      </c>
      <c r="F19" s="3">
        <v>-1.7229080000000001E-2</v>
      </c>
      <c r="G19" s="3">
        <v>4.2298555000000002E-2</v>
      </c>
      <c r="H19" s="3">
        <v>4.1260960000000006E-2</v>
      </c>
      <c r="I19" s="3">
        <v>3.3663392E-2</v>
      </c>
      <c r="J19" s="3">
        <v>4.0297866000000002E-2</v>
      </c>
      <c r="K19" s="3">
        <v>3.9188862E-3</v>
      </c>
      <c r="L19" s="3">
        <v>0.18697643</v>
      </c>
      <c r="M19" s="3">
        <v>2.5678635000000002E-2</v>
      </c>
      <c r="N19" s="3">
        <v>9.0271709999999991E-2</v>
      </c>
      <c r="O19" s="3">
        <v>6.2837480000000001E-2</v>
      </c>
      <c r="P19" s="3">
        <v>-7.9042376999999997E-2</v>
      </c>
      <c r="Q19" s="3">
        <v>0.13106096</v>
      </c>
      <c r="R19" s="3">
        <v>6.0315729999999998E-2</v>
      </c>
      <c r="S19" s="3">
        <v>0.15618335999999999</v>
      </c>
      <c r="T19" s="3">
        <v>6.5941095000000005E-2</v>
      </c>
      <c r="U19" s="3">
        <v>6.4049480000000006E-2</v>
      </c>
      <c r="V19" s="3">
        <v>7.6850652999999991E-2</v>
      </c>
      <c r="W19" s="3">
        <v>4.2465210000000003E-2</v>
      </c>
      <c r="X19" s="3">
        <v>4.8237560000000006E-2</v>
      </c>
      <c r="Y19" s="3">
        <v>5.2428959999999997E-2</v>
      </c>
      <c r="Z19" s="3">
        <v>-1.0331452000000001E-2</v>
      </c>
      <c r="AA19" s="3">
        <v>3.7486076E-2</v>
      </c>
      <c r="AB19" s="3">
        <v>1.3967752E-2</v>
      </c>
      <c r="AC19" s="3">
        <v>2.2081016999999998E-2</v>
      </c>
      <c r="AD19" s="3">
        <v>8.2333200000000009E-2</v>
      </c>
      <c r="AE19" s="3">
        <v>7.6146602999999993E-2</v>
      </c>
      <c r="AF19" s="3">
        <v>2.6401520000000001E-2</v>
      </c>
      <c r="AG19" s="3">
        <v>1.8600702E-2</v>
      </c>
      <c r="AH19" s="3">
        <v>5.6127309999999993E-3</v>
      </c>
      <c r="AI19" s="3">
        <v>1.9747971999999999E-2</v>
      </c>
      <c r="AJ19" s="3"/>
      <c r="AK19" s="3"/>
      <c r="AL19" s="3"/>
    </row>
    <row r="20" spans="1:38" x14ac:dyDescent="0.45">
      <c r="A20" s="2">
        <v>44823</v>
      </c>
      <c r="B20" s="3">
        <v>-7.3318005000000006E-2</v>
      </c>
      <c r="C20" s="3">
        <v>6.0700417E-2</v>
      </c>
      <c r="D20" s="3">
        <v>4.2354940000000001E-2</v>
      </c>
      <c r="E20" s="3">
        <v>-8.6673849999999997E-2</v>
      </c>
      <c r="F20" s="3">
        <v>-7.9620123000000001E-2</v>
      </c>
      <c r="G20" s="3">
        <v>-8.4227324000000006E-3</v>
      </c>
      <c r="H20" s="3">
        <v>-4.1406869999999998E-2</v>
      </c>
      <c r="I20" s="3">
        <v>-8.5440580000000002E-2</v>
      </c>
      <c r="J20" s="3">
        <v>-1.8947423000000001E-2</v>
      </c>
      <c r="K20" s="3">
        <v>-7.8241643999999999E-2</v>
      </c>
      <c r="L20" s="3">
        <v>3.2082796000000003E-3</v>
      </c>
      <c r="M20" s="3">
        <v>-7.8445315000000002E-2</v>
      </c>
      <c r="N20" s="3">
        <v>-5.6270065000000001E-2</v>
      </c>
      <c r="O20" s="3">
        <v>6.0046909999999995E-3</v>
      </c>
      <c r="P20" s="3">
        <v>-4.4770000000000004E-2</v>
      </c>
      <c r="Q20" s="3">
        <v>-7.2580633000000006E-2</v>
      </c>
      <c r="R20" s="3">
        <v>3.4749507999999999E-3</v>
      </c>
      <c r="S20" s="3">
        <v>5.5786014000000002E-2</v>
      </c>
      <c r="T20" s="3">
        <v>-2.5825858E-2</v>
      </c>
      <c r="U20" s="3">
        <v>-6.9902897000000006E-2</v>
      </c>
      <c r="V20" s="3">
        <v>-8.9754760000000003E-2</v>
      </c>
      <c r="W20" s="3">
        <v>-4.4495462999999999E-2</v>
      </c>
      <c r="X20" s="3">
        <v>-5.1327410000000004E-2</v>
      </c>
      <c r="Y20" s="3">
        <v>-4.3906507000000004E-2</v>
      </c>
      <c r="Z20" s="3">
        <v>-5.2196559999999996E-2</v>
      </c>
      <c r="AA20" s="3">
        <v>-6.8847775E-2</v>
      </c>
      <c r="AB20" s="3">
        <v>-6.4674319999999993E-2</v>
      </c>
      <c r="AC20" s="3">
        <v>-6.7430440000000008E-2</v>
      </c>
      <c r="AD20" s="3">
        <v>-9.6919540000000012E-2</v>
      </c>
      <c r="AE20" s="3">
        <v>-7.575983E-2</v>
      </c>
      <c r="AF20" s="3">
        <v>-6.6052732000000003E-2</v>
      </c>
      <c r="AG20" s="3">
        <v>-8.3674009999999993E-2</v>
      </c>
      <c r="AH20" s="3">
        <v>-9.209299E-2</v>
      </c>
      <c r="AI20" s="3">
        <v>-1.5245199000000001E-2</v>
      </c>
      <c r="AJ20" s="3"/>
      <c r="AK20" s="3"/>
      <c r="AL20" s="3"/>
    </row>
    <row r="21" spans="1:38" x14ac:dyDescent="0.45">
      <c r="A21" s="2">
        <v>44853</v>
      </c>
      <c r="B21" s="3">
        <v>-7.2913465000000011E-2</v>
      </c>
      <c r="C21" s="3">
        <v>-0.12802643</v>
      </c>
      <c r="D21" s="3">
        <v>-7.7610730000000003E-2</v>
      </c>
      <c r="E21" s="3">
        <v>-7.5523972999999994E-2</v>
      </c>
      <c r="F21" s="3">
        <v>-0.12380958</v>
      </c>
      <c r="G21" s="3">
        <v>-2.9343664999999998E-2</v>
      </c>
      <c r="H21" s="3">
        <v>-6.2238749999999995E-2</v>
      </c>
      <c r="I21" s="3">
        <v>-0.13175534999999999</v>
      </c>
      <c r="J21" s="3">
        <v>-1.2446284E-2</v>
      </c>
      <c r="K21" s="3">
        <v>-8.7645050000000002E-2</v>
      </c>
      <c r="L21" s="3">
        <v>3.229928E-2</v>
      </c>
      <c r="M21" s="3">
        <v>-3.7257493000000003E-2</v>
      </c>
      <c r="N21" s="3">
        <v>-1.8313467999999999E-2</v>
      </c>
      <c r="O21" s="3">
        <v>-6.4738273999999998E-2</v>
      </c>
      <c r="P21" s="3">
        <v>-0.15118790000000001</v>
      </c>
      <c r="Q21" s="3">
        <v>-1.7391324E-2</v>
      </c>
      <c r="R21" s="3">
        <v>-2.6263057999999999E-2</v>
      </c>
      <c r="S21" s="3">
        <v>0.17860258000000001</v>
      </c>
      <c r="T21" s="3">
        <v>-5.7336570000000003E-2</v>
      </c>
      <c r="U21" s="3">
        <v>-0.14961725000000001</v>
      </c>
      <c r="V21" s="3">
        <v>3.9923071999999997E-2</v>
      </c>
      <c r="W21" s="3">
        <v>-0.10472239</v>
      </c>
      <c r="X21" s="3">
        <v>-6.9962682999999998E-2</v>
      </c>
      <c r="Y21" s="3">
        <v>-7.7715693000000002E-2</v>
      </c>
      <c r="Z21" s="3">
        <v>-4.4515905000000001E-2</v>
      </c>
      <c r="AA21" s="3">
        <v>-6.4092635999999995E-2</v>
      </c>
      <c r="AB21" s="3">
        <v>-5.5666504000000006E-2</v>
      </c>
      <c r="AC21" s="3">
        <v>-6.0021043000000003E-2</v>
      </c>
      <c r="AD21" s="3">
        <v>-7.0640800000000004E-2</v>
      </c>
      <c r="AE21" s="3">
        <v>-5.160207E-2</v>
      </c>
      <c r="AF21" s="3">
        <v>-3.7742257000000001E-2</v>
      </c>
      <c r="AG21" s="3">
        <v>-7.3765574E-2</v>
      </c>
      <c r="AH21" s="3">
        <v>-3.1762301999999999E-2</v>
      </c>
      <c r="AI21" s="3">
        <v>-5.7740569999999998E-2</v>
      </c>
      <c r="AJ21" s="3"/>
      <c r="AK21" s="3"/>
      <c r="AL21" s="3"/>
    </row>
    <row r="22" spans="1:38" x14ac:dyDescent="0.45">
      <c r="A22" s="2">
        <v>44883</v>
      </c>
      <c r="B22" s="3">
        <v>3.5036921999999998E-2</v>
      </c>
      <c r="C22" s="3">
        <v>5.8056355000000004E-2</v>
      </c>
      <c r="D22" s="3">
        <v>2.1585941000000001E-2</v>
      </c>
      <c r="E22" s="3">
        <v>8.6826319999999999E-2</v>
      </c>
      <c r="F22" s="3">
        <v>0.30978262000000001</v>
      </c>
      <c r="G22" s="3">
        <v>0.14797139000000001</v>
      </c>
      <c r="H22" s="3">
        <v>7.2312950000000001E-2</v>
      </c>
      <c r="I22" s="3">
        <v>0.17273818999999999</v>
      </c>
      <c r="J22" s="3">
        <v>0.15927851000000001</v>
      </c>
      <c r="K22" s="3">
        <v>0.17154396</v>
      </c>
      <c r="L22" s="3">
        <v>-8.7050800000000012E-2</v>
      </c>
      <c r="M22" s="3">
        <v>0.16769694999999998</v>
      </c>
      <c r="N22" s="3">
        <v>0.10759221999999999</v>
      </c>
      <c r="O22" s="3">
        <v>5.3755520000000001E-2</v>
      </c>
      <c r="P22" s="3">
        <v>0.12111961</v>
      </c>
      <c r="Q22" s="3">
        <v>-2.8518796000000003E-2</v>
      </c>
      <c r="R22" s="3">
        <v>1.8039703000000001E-2</v>
      </c>
      <c r="S22" s="3">
        <v>0.11893295999999999</v>
      </c>
      <c r="T22" s="3">
        <v>2.0274758E-2</v>
      </c>
      <c r="U22" s="3">
        <v>-6.8739770000000006E-2</v>
      </c>
      <c r="V22" s="3">
        <v>-6.0592116999999994E-2</v>
      </c>
      <c r="W22" s="3">
        <v>0.13772893</v>
      </c>
      <c r="X22" s="3">
        <v>0.14142429000000001</v>
      </c>
      <c r="Y22" s="3">
        <v>0.10245775999999999</v>
      </c>
      <c r="Z22" s="3">
        <v>0.19740639999999998</v>
      </c>
      <c r="AA22" s="3">
        <v>0.11881197</v>
      </c>
      <c r="AB22" s="3">
        <v>0.11287332</v>
      </c>
      <c r="AC22" s="3">
        <v>0.13032114</v>
      </c>
      <c r="AD22" s="3">
        <v>5.2978040000000004E-2</v>
      </c>
      <c r="AE22" s="3">
        <v>7.4708223000000004E-2</v>
      </c>
      <c r="AF22" s="3">
        <v>0.16077732</v>
      </c>
      <c r="AG22" s="3">
        <v>0.21579969999999998</v>
      </c>
      <c r="AH22" s="3">
        <v>0.15132272999999999</v>
      </c>
      <c r="AI22" s="3">
        <v>0.21136772000000001</v>
      </c>
      <c r="AJ22" s="3"/>
      <c r="AK22" s="3"/>
      <c r="AL22" s="3"/>
    </row>
    <row r="23" spans="1:38" x14ac:dyDescent="0.45">
      <c r="A23" s="2">
        <v>44914</v>
      </c>
      <c r="B23" s="3">
        <v>2.8137802999999999E-2</v>
      </c>
      <c r="C23" s="3">
        <v>3.7969231999999999E-2</v>
      </c>
      <c r="D23" s="3">
        <v>-9.0692042999999996E-3</v>
      </c>
      <c r="E23" s="3">
        <v>1.0185360999999999E-2</v>
      </c>
      <c r="F23" s="3">
        <v>4.1469930000000002E-2</v>
      </c>
      <c r="G23" s="3">
        <v>-2.4727762E-2</v>
      </c>
      <c r="H23" s="3">
        <v>4.5124053999999997E-2</v>
      </c>
      <c r="I23" s="3">
        <v>-7.2327255999999999E-3</v>
      </c>
      <c r="J23" s="3">
        <v>-4.1493773000000005E-2</v>
      </c>
      <c r="K23" s="3">
        <v>-1.2433112E-2</v>
      </c>
      <c r="L23" s="3">
        <v>-2.1951675E-2</v>
      </c>
      <c r="M23" s="3">
        <v>-1.3228535999999999E-2</v>
      </c>
      <c r="N23" s="3">
        <v>4.8570275000000003E-2</v>
      </c>
      <c r="O23" s="3">
        <v>-9.5504520000000009E-3</v>
      </c>
      <c r="P23" s="3">
        <v>8.1842059999999994E-2</v>
      </c>
      <c r="Q23" s="3">
        <v>-9.1949580000000003E-2</v>
      </c>
      <c r="R23" s="3">
        <v>5.0699710000000006E-4</v>
      </c>
      <c r="S23" s="3">
        <v>0.21064556000000001</v>
      </c>
      <c r="T23" s="3">
        <v>-2.0302832E-2</v>
      </c>
      <c r="U23" s="3">
        <v>7.7381252999999997E-2</v>
      </c>
      <c r="V23" s="3">
        <v>-8.6306689999999991E-2</v>
      </c>
      <c r="W23" s="3">
        <v>4.7975779999999996E-2</v>
      </c>
      <c r="X23" s="3">
        <v>-6.8888663999999997E-3</v>
      </c>
      <c r="Y23" s="3">
        <v>-5.5631994999999997E-2</v>
      </c>
      <c r="Z23" s="3">
        <v>-1.2905419E-2</v>
      </c>
      <c r="AA23" s="3">
        <v>1.4834404000000001E-3</v>
      </c>
      <c r="AB23" s="3">
        <v>-8.3134769999999997E-3</v>
      </c>
      <c r="AC23" s="3">
        <v>1.8986582999999998E-2</v>
      </c>
      <c r="AD23" s="3">
        <v>-5.0609469999999997E-2</v>
      </c>
      <c r="AE23" s="3">
        <v>-3.5966276999999998E-2</v>
      </c>
      <c r="AF23" s="3">
        <v>1.7739534000000001E-3</v>
      </c>
      <c r="AG23" s="3">
        <v>-4.6866536E-3</v>
      </c>
      <c r="AH23" s="3">
        <v>-3.526628E-3</v>
      </c>
      <c r="AI23" s="3">
        <v>-1.0636627999999999E-2</v>
      </c>
      <c r="AJ23" s="3"/>
      <c r="AK23" s="3"/>
      <c r="AL23" s="3"/>
    </row>
    <row r="24" spans="1:38" x14ac:dyDescent="0.45">
      <c r="A24" s="2">
        <v>44945</v>
      </c>
      <c r="B24" s="3">
        <v>0.10502254499999999</v>
      </c>
      <c r="C24" s="3">
        <v>7.2298645999999994E-2</v>
      </c>
      <c r="D24" s="3">
        <v>2.1977425000000001E-3</v>
      </c>
      <c r="E24" s="3">
        <v>0.13502943000000001</v>
      </c>
      <c r="F24" s="3">
        <v>0.11351347000000001</v>
      </c>
      <c r="G24" s="3">
        <v>0.13449025000000001</v>
      </c>
      <c r="H24" s="3">
        <v>5.3101299999999997E-2</v>
      </c>
      <c r="I24" s="3">
        <v>6.0405970000000003E-2</v>
      </c>
      <c r="J24" s="3">
        <v>0.11774087</v>
      </c>
      <c r="K24" s="3">
        <v>9.744035999999999E-2</v>
      </c>
      <c r="L24" s="3">
        <v>0.10231519</v>
      </c>
      <c r="M24" s="3">
        <v>7.8143477000000003E-2</v>
      </c>
      <c r="N24" s="3">
        <v>9.0369110000000002E-2</v>
      </c>
      <c r="O24" s="3">
        <v>-2.3525952999999997E-4</v>
      </c>
      <c r="P24" s="3">
        <v>0.13966358000000001</v>
      </c>
      <c r="Q24" s="3">
        <v>-4.7821403000000004E-3</v>
      </c>
      <c r="R24" s="3">
        <v>4.3431043999999995E-2</v>
      </c>
      <c r="S24" s="3">
        <v>2.4739504000000001E-3</v>
      </c>
      <c r="T24" s="3">
        <v>-1.4426231000000001E-2</v>
      </c>
      <c r="U24" s="3">
        <v>6.1209800000000002E-2</v>
      </c>
      <c r="V24" s="3">
        <v>5.6644797000000004E-2</v>
      </c>
      <c r="W24" s="3">
        <v>4.8784137000000005E-2</v>
      </c>
      <c r="X24" s="3">
        <v>8.4272150000000004E-2</v>
      </c>
      <c r="Y24" s="3">
        <v>7.6827290000000006E-2</v>
      </c>
      <c r="Z24" s="3">
        <v>0.11829269000000001</v>
      </c>
      <c r="AA24" s="3">
        <v>5.5350539999999997E-2</v>
      </c>
      <c r="AB24" s="3">
        <v>7.6886177E-2</v>
      </c>
      <c r="AC24" s="3">
        <v>7.5682760000000002E-2</v>
      </c>
      <c r="AD24" s="3">
        <v>2.0018457999999999E-2</v>
      </c>
      <c r="AE24" s="3">
        <v>2.2683143999999999E-2</v>
      </c>
      <c r="AF24" s="3">
        <v>0.10216522</v>
      </c>
      <c r="AG24" s="3">
        <v>9.5059989999999997E-2</v>
      </c>
      <c r="AH24" s="3">
        <v>7.7303650000000002E-2</v>
      </c>
      <c r="AI24" s="3">
        <v>0.10154199999999999</v>
      </c>
      <c r="AJ24" s="3"/>
      <c r="AK24" s="3"/>
      <c r="AL24" s="3"/>
    </row>
    <row r="25" spans="1:38" x14ac:dyDescent="0.45">
      <c r="A25" s="2">
        <v>44974</v>
      </c>
      <c r="B25" s="3">
        <v>-4.6644449999999997E-2</v>
      </c>
      <c r="C25" s="3">
        <v>7.2737217000000007E-2</v>
      </c>
      <c r="D25" s="3">
        <v>1.6666770000000001E-2</v>
      </c>
      <c r="E25" s="3">
        <v>-4.5172395999999997E-2</v>
      </c>
      <c r="F25" s="3">
        <v>-3.3980547999999999E-2</v>
      </c>
      <c r="G25" s="3">
        <v>-5.6724014000000003E-2</v>
      </c>
      <c r="H25" s="3">
        <v>-4.4491586999999999E-2</v>
      </c>
      <c r="I25" s="3">
        <v>2.3754596999999999E-2</v>
      </c>
      <c r="J25" s="3">
        <v>4.5170545999999999E-2</v>
      </c>
      <c r="K25" s="3">
        <v>-2.0588696E-2</v>
      </c>
      <c r="L25" s="3">
        <v>-2.8116523999999997E-2</v>
      </c>
      <c r="M25" s="3">
        <v>-6.1717510000000003E-2</v>
      </c>
      <c r="N25" s="3">
        <v>0.128998165</v>
      </c>
      <c r="O25" s="3">
        <v>-5.1517250000000001E-2</v>
      </c>
      <c r="P25" s="3">
        <v>-6.1460790000000001E-2</v>
      </c>
      <c r="Q25" s="3">
        <v>-2.4559497999999999E-2</v>
      </c>
      <c r="R25" s="3">
        <v>-2.1800636999999998E-2</v>
      </c>
      <c r="S25" s="3">
        <v>-6.5807580000000004E-2</v>
      </c>
      <c r="T25" s="3">
        <v>-6.6533089999999996E-3</v>
      </c>
      <c r="U25" s="3">
        <v>-7.8355309999999997E-2</v>
      </c>
      <c r="V25" s="3">
        <v>-2.190715E-2</v>
      </c>
      <c r="W25" s="3">
        <v>7.8499319999999996E-4</v>
      </c>
      <c r="X25" s="3">
        <v>-1.5378177E-2</v>
      </c>
      <c r="Y25" s="3">
        <v>1.068759E-2</v>
      </c>
      <c r="Z25" s="3">
        <v>2.326429E-2</v>
      </c>
      <c r="AA25" s="3">
        <v>-3.1468868000000001E-3</v>
      </c>
      <c r="AB25" s="3">
        <v>-1.11210346E-3</v>
      </c>
      <c r="AC25" s="3">
        <v>3.6709310000000001E-3</v>
      </c>
      <c r="AD25" s="3">
        <v>9.4530340000000004E-2</v>
      </c>
      <c r="AE25" s="3">
        <v>4.7910690000000006E-2</v>
      </c>
      <c r="AF25" s="3">
        <v>3.9014935000000001E-2</v>
      </c>
      <c r="AG25" s="3">
        <v>2.999282E-2</v>
      </c>
      <c r="AH25" s="3">
        <v>2.7554512E-2</v>
      </c>
      <c r="AI25" s="3">
        <v>5.1894783999999999E-2</v>
      </c>
      <c r="AJ25" s="3"/>
      <c r="AK25" s="3"/>
      <c r="AL25" s="3"/>
    </row>
    <row r="26" spans="1:38" x14ac:dyDescent="0.45">
      <c r="A26" s="2">
        <v>45002</v>
      </c>
      <c r="B26" s="3">
        <v>-3.1192660000000001E-2</v>
      </c>
      <c r="C26" s="3">
        <v>-8.7617449999999999E-2</v>
      </c>
      <c r="D26" s="3">
        <v>-5.0905943000000002E-2</v>
      </c>
      <c r="E26" s="3">
        <v>-5.5615783000000002E-2</v>
      </c>
      <c r="F26" s="3">
        <v>-9.3592939999999999E-2</v>
      </c>
      <c r="G26" s="3">
        <v>-3.5810768999999999E-2</v>
      </c>
      <c r="H26" s="3">
        <v>-5.2771569999999997E-2</v>
      </c>
      <c r="I26" s="3">
        <v>-1.8472611999999999E-2</v>
      </c>
      <c r="J26" s="3">
        <v>-6.7475259999999995E-2</v>
      </c>
      <c r="K26" s="3">
        <v>-4.2042970000000006E-2</v>
      </c>
      <c r="L26" s="3">
        <v>-8.0515919999999991E-2</v>
      </c>
      <c r="M26" s="3">
        <v>-8.263116999999999E-2</v>
      </c>
      <c r="N26" s="3">
        <v>-0.10242838000000001</v>
      </c>
      <c r="O26" s="3">
        <v>-4.8115069999999996E-2</v>
      </c>
      <c r="P26" s="3">
        <v>-6.3694295999999997E-2</v>
      </c>
      <c r="Q26" s="3">
        <v>-4.214561E-2</v>
      </c>
      <c r="R26" s="3">
        <v>-5.3279399999999998E-2</v>
      </c>
      <c r="S26" s="3">
        <v>2.8764248000000003E-2</v>
      </c>
      <c r="T26" s="3">
        <v>-8.1714690000000006E-2</v>
      </c>
      <c r="U26" s="3">
        <v>-2.1043777E-2</v>
      </c>
      <c r="V26" s="3">
        <v>-5.0592957000000001E-2</v>
      </c>
      <c r="W26" s="3">
        <v>-4.2352914999999998E-2</v>
      </c>
      <c r="X26" s="3">
        <v>-7.2604536999999997E-2</v>
      </c>
      <c r="Y26" s="3">
        <v>-7.5164375000000005E-2</v>
      </c>
      <c r="Z26" s="3">
        <v>-6.0745954999999997E-2</v>
      </c>
      <c r="AA26" s="3">
        <v>-2.2974431999999999E-2</v>
      </c>
      <c r="AB26" s="3">
        <v>-5.1658869999999996E-2</v>
      </c>
      <c r="AC26" s="3">
        <v>-7.2538909999999998E-2</v>
      </c>
      <c r="AD26" s="3">
        <v>1.3946056E-2</v>
      </c>
      <c r="AE26" s="3">
        <v>-3.8706958E-2</v>
      </c>
      <c r="AF26" s="3">
        <v>-6.3914720000000008E-2</v>
      </c>
      <c r="AG26" s="3">
        <v>-6.4867439999999998E-2</v>
      </c>
      <c r="AH26" s="3">
        <v>-8.6033460000000006E-2</v>
      </c>
      <c r="AI26" s="3">
        <v>-8.8283E-2</v>
      </c>
      <c r="AJ26" s="3"/>
      <c r="AK26" s="3"/>
      <c r="AL26" s="3"/>
    </row>
    <row r="27" spans="1:38" x14ac:dyDescent="0.45">
      <c r="A27" s="2">
        <v>45035</v>
      </c>
      <c r="B27" s="3">
        <v>4.3244959999999999E-2</v>
      </c>
      <c r="C27" s="3">
        <v>9.2849140000000011E-2</v>
      </c>
      <c r="D27" s="3">
        <v>8.0000040000000008E-2</v>
      </c>
      <c r="E27" s="3">
        <v>-1.7973184999999999E-2</v>
      </c>
      <c r="F27" s="3">
        <v>0.18295216</v>
      </c>
      <c r="G27" s="3">
        <v>0.106166725</v>
      </c>
      <c r="H27" s="3">
        <v>3.2771467999999998E-2</v>
      </c>
      <c r="I27" s="3">
        <v>1.7672777000000001E-2</v>
      </c>
      <c r="J27" s="3">
        <v>9.2507720000000002E-2</v>
      </c>
      <c r="K27" s="3">
        <v>6.9089650000000002E-2</v>
      </c>
      <c r="L27" s="3">
        <v>5.2691460000000002E-2</v>
      </c>
      <c r="M27" s="3">
        <v>9.9515199999999998E-2</v>
      </c>
      <c r="N27" s="3">
        <v>0.10822058</v>
      </c>
      <c r="O27" s="3">
        <v>3.7258982999999996E-2</v>
      </c>
      <c r="P27" s="3">
        <v>4.4855474999999999E-2</v>
      </c>
      <c r="Q27" s="3">
        <v>2.3428559999999998E-2</v>
      </c>
      <c r="R27" s="3">
        <v>1.0910153000000001E-2</v>
      </c>
      <c r="S27" s="3">
        <v>-3.2239676000000002E-2</v>
      </c>
      <c r="T27" s="3">
        <v>6.9292426000000004E-2</v>
      </c>
      <c r="U27" s="3">
        <v>2.837491E-2</v>
      </c>
      <c r="V27" s="3">
        <v>0.12628375999999999</v>
      </c>
      <c r="W27" s="3">
        <v>1.2899279999999999E-2</v>
      </c>
      <c r="X27" s="3">
        <v>6.8730115999999994E-2</v>
      </c>
      <c r="Y27" s="3">
        <v>9.4561100000000009E-2</v>
      </c>
      <c r="Z27" s="3">
        <v>0.10400904000000001</v>
      </c>
      <c r="AA27" s="3">
        <v>4.9901365999999996E-2</v>
      </c>
      <c r="AB27" s="3">
        <v>0.11129379</v>
      </c>
      <c r="AC27" s="3">
        <v>0.10647380999999999</v>
      </c>
      <c r="AD27" s="3">
        <v>4.5329810000000005E-2</v>
      </c>
      <c r="AE27" s="3">
        <v>6.1924696000000001E-2</v>
      </c>
      <c r="AF27" s="3">
        <v>0.12062586</v>
      </c>
      <c r="AG27" s="3">
        <v>6.8860770000000002E-2</v>
      </c>
      <c r="AH27" s="3">
        <v>0.11308061999999999</v>
      </c>
      <c r="AI27" s="3">
        <v>0.12815952</v>
      </c>
      <c r="AJ27" s="3"/>
      <c r="AK27" s="3"/>
      <c r="AL27" s="3"/>
    </row>
    <row r="28" spans="1:38" x14ac:dyDescent="0.45">
      <c r="A28" s="2">
        <v>45065</v>
      </c>
      <c r="B28" s="3">
        <v>-5.9001502999999997E-2</v>
      </c>
      <c r="C28" s="3">
        <v>2.5008560000000003E-2</v>
      </c>
      <c r="D28" s="3">
        <v>-7.1548820000000004E-3</v>
      </c>
      <c r="E28" s="3">
        <v>4.2056084000000001E-2</v>
      </c>
      <c r="F28" s="3">
        <v>5.0380826000000004E-2</v>
      </c>
      <c r="G28" s="3">
        <v>-4.0861549999999996E-2</v>
      </c>
      <c r="H28" s="3">
        <v>-2.2212147999999998E-2</v>
      </c>
      <c r="I28" s="3">
        <v>2.8416752999999999E-2</v>
      </c>
      <c r="J28" s="3">
        <v>2.1797418999999998E-2</v>
      </c>
      <c r="K28" s="3">
        <v>-4.9711466000000003E-3</v>
      </c>
      <c r="L28" s="3">
        <v>7.6341390000000009E-2</v>
      </c>
      <c r="M28" s="3">
        <v>-0.10164774</v>
      </c>
      <c r="N28" s="3">
        <v>1.2519359999999999E-3</v>
      </c>
      <c r="O28" s="3">
        <v>2.6877642E-2</v>
      </c>
      <c r="P28" s="3">
        <v>-5.8799685999999997E-2</v>
      </c>
      <c r="Q28" s="3">
        <v>7.7051996999999997E-2</v>
      </c>
      <c r="R28" s="3">
        <v>-4.1651607000000007E-2</v>
      </c>
      <c r="S28" s="3">
        <v>-0.13266503999999998</v>
      </c>
      <c r="T28" s="3">
        <v>-2.0463466999999999E-3</v>
      </c>
      <c r="U28" s="3">
        <v>3.4280895999999998E-2</v>
      </c>
      <c r="V28" s="3">
        <v>1.9467591999999999E-2</v>
      </c>
      <c r="W28" s="3">
        <v>2.9108524E-2</v>
      </c>
      <c r="X28" s="3">
        <v>-2.0442903000000002E-2</v>
      </c>
      <c r="Y28" s="3">
        <v>-1.8068850000000001E-2</v>
      </c>
      <c r="Z28" s="3">
        <v>4.4535397999999997E-3</v>
      </c>
      <c r="AA28" s="3">
        <v>4.2229414E-2</v>
      </c>
      <c r="AB28" s="3">
        <v>1.9437909E-2</v>
      </c>
      <c r="AC28" s="3">
        <v>-1.039499E-2</v>
      </c>
      <c r="AD28" s="3">
        <v>5.5850150000000001E-2</v>
      </c>
      <c r="AE28" s="3">
        <v>1.0817528E-2</v>
      </c>
      <c r="AF28" s="3">
        <v>-8.3777310000000011E-3</v>
      </c>
      <c r="AG28" s="3">
        <v>1.4921784E-2</v>
      </c>
      <c r="AH28" s="3">
        <v>-3.5693645E-3</v>
      </c>
      <c r="AI28" s="3">
        <v>-1.4515637999999999E-2</v>
      </c>
      <c r="AJ28" s="3"/>
      <c r="AK28" s="3"/>
      <c r="AL28" s="3"/>
    </row>
    <row r="29" spans="1:38" x14ac:dyDescent="0.45">
      <c r="A29" s="2">
        <v>45093</v>
      </c>
      <c r="B29" s="3">
        <v>-1.8228471E-2</v>
      </c>
      <c r="C29" s="3">
        <v>1.9708276E-2</v>
      </c>
      <c r="D29" s="3">
        <v>4.2910576000000002E-3</v>
      </c>
      <c r="E29" s="3">
        <v>-2.8756439999999998E-2</v>
      </c>
      <c r="F29" s="3">
        <v>7.8081369999999997E-2</v>
      </c>
      <c r="G29" s="3">
        <v>6.3061476000000005E-2</v>
      </c>
      <c r="H29" s="3">
        <v>-3.9493382E-2</v>
      </c>
      <c r="I29" s="3">
        <v>6.25E-2</v>
      </c>
      <c r="J29" s="3">
        <v>5.964005E-2</v>
      </c>
      <c r="K29" s="3">
        <v>7.1394086000000009E-2</v>
      </c>
      <c r="L29" s="3">
        <v>0.10783815000000001</v>
      </c>
      <c r="M29" s="3">
        <v>0.11038864</v>
      </c>
      <c r="N29" s="3">
        <v>0.15317285999999999</v>
      </c>
      <c r="O29" s="3">
        <v>5.7034729999999999E-2</v>
      </c>
      <c r="P29" s="3">
        <v>3.9649009999999998E-2</v>
      </c>
      <c r="Q29" s="3">
        <v>-2.4306296999999998E-2</v>
      </c>
      <c r="R29" s="3">
        <v>2.7744650000000003E-2</v>
      </c>
      <c r="S29" s="3">
        <v>3.2098412999999999E-2</v>
      </c>
      <c r="T29" s="3">
        <v>2.23006E-2</v>
      </c>
      <c r="U29" s="3">
        <v>6.1439037000000002E-2</v>
      </c>
      <c r="V29" s="3">
        <v>2.5326848000000002E-2</v>
      </c>
      <c r="W29" s="3">
        <v>-3.0659974E-2</v>
      </c>
      <c r="X29" s="3">
        <v>3.3520699000000001E-2</v>
      </c>
      <c r="Y29" s="3">
        <v>8.6798670000000008E-3</v>
      </c>
      <c r="Z29" s="3">
        <v>1.3091326E-2</v>
      </c>
      <c r="AA29" s="3">
        <v>4.2412520000000002E-2</v>
      </c>
      <c r="AB29" s="3">
        <v>-1.5269934999999998E-2</v>
      </c>
      <c r="AC29" s="3">
        <v>8.7172984999999998E-3</v>
      </c>
      <c r="AD29" s="3">
        <v>9.3370074999999997E-2</v>
      </c>
      <c r="AE29" s="3">
        <v>5.3696393999999995E-2</v>
      </c>
      <c r="AF29" s="3">
        <v>2.2023915999999999E-3</v>
      </c>
      <c r="AG29" s="3">
        <v>1.639533E-2</v>
      </c>
      <c r="AH29" s="3">
        <v>-9.9201199999999993E-3</v>
      </c>
      <c r="AI29" s="3">
        <v>3.1426549999999998E-2</v>
      </c>
      <c r="AJ29" s="3"/>
      <c r="AK29" s="3"/>
      <c r="AL29" s="3"/>
    </row>
    <row r="30" spans="1:38" x14ac:dyDescent="0.45">
      <c r="A30" s="2">
        <v>45126</v>
      </c>
      <c r="B30" s="3">
        <v>-3.2162785999999999E-2</v>
      </c>
      <c r="C30" s="3">
        <v>8.9638709999999996E-2</v>
      </c>
      <c r="D30" s="3">
        <v>1.3787270000000001E-2</v>
      </c>
      <c r="E30" s="3">
        <v>4.4003129999999994E-2</v>
      </c>
      <c r="F30" s="3">
        <v>8.484220499999999E-2</v>
      </c>
      <c r="G30" s="3">
        <v>4.6138643999999999E-2</v>
      </c>
      <c r="H30" s="3">
        <v>2.8009772000000002E-2</v>
      </c>
      <c r="I30" s="3">
        <v>-4.9536227999999998E-3</v>
      </c>
      <c r="J30" s="3">
        <v>-2.1840929999999998E-3</v>
      </c>
      <c r="K30" s="3">
        <v>9.626984600000001E-3</v>
      </c>
      <c r="L30" s="3">
        <v>-1.546979E-3</v>
      </c>
      <c r="M30" s="3">
        <v>1.5147924E-2</v>
      </c>
      <c r="N30" s="3">
        <v>7.70396E-2</v>
      </c>
      <c r="O30" s="3">
        <v>3.5242320000000001E-2</v>
      </c>
      <c r="P30" s="3">
        <v>-4.2821170000000006E-2</v>
      </c>
      <c r="Q30" s="3">
        <v>-3.8652419999999996E-3</v>
      </c>
      <c r="R30" s="3">
        <v>-1.3025761E-2</v>
      </c>
      <c r="S30" s="3">
        <v>6.3118460000000001E-2</v>
      </c>
      <c r="T30" s="3">
        <v>2.9532910000000002E-2</v>
      </c>
      <c r="U30" s="3">
        <v>6.3214064E-2</v>
      </c>
      <c r="V30" s="3">
        <v>7.395029E-3</v>
      </c>
      <c r="W30" s="3">
        <v>1.8215299000000001E-2</v>
      </c>
      <c r="X30" s="3">
        <v>-6.0008170000000003E-3</v>
      </c>
      <c r="Y30" s="3">
        <v>3.1097054000000002E-2</v>
      </c>
      <c r="Z30" s="3">
        <v>1.0722875999999999E-2</v>
      </c>
      <c r="AA30" s="3">
        <v>3.486514E-3</v>
      </c>
      <c r="AB30" s="3">
        <v>2.3886441999999997E-2</v>
      </c>
      <c r="AC30" s="3">
        <v>3.9428472999999999E-3</v>
      </c>
      <c r="AD30" s="3">
        <v>4.9600959999999999E-2</v>
      </c>
      <c r="AE30" s="3">
        <v>3.5816789000000002E-2</v>
      </c>
      <c r="AF30" s="3">
        <v>2.3766039999999999E-2</v>
      </c>
      <c r="AG30" s="3">
        <v>4.0051103000000005E-2</v>
      </c>
      <c r="AH30" s="3">
        <v>1.0019541E-2</v>
      </c>
      <c r="AI30" s="3">
        <v>4.7709822999999998E-2</v>
      </c>
      <c r="AJ30" s="3"/>
      <c r="AK30" s="3"/>
      <c r="AL30" s="3"/>
    </row>
    <row r="31" spans="1:38" x14ac:dyDescent="0.45">
      <c r="A31" s="2">
        <v>45156</v>
      </c>
      <c r="B31" s="3">
        <v>-3.3231615999999999E-2</v>
      </c>
      <c r="C31" s="3">
        <v>-0.11542064</v>
      </c>
      <c r="D31" s="3">
        <v>-3.1024276999999999E-2</v>
      </c>
      <c r="E31" s="3">
        <v>-7.3853015999999994E-2</v>
      </c>
      <c r="F31" s="3">
        <v>-8.1068149999999992E-2</v>
      </c>
      <c r="G31" s="3">
        <v>-5.5353165000000003E-2</v>
      </c>
      <c r="H31" s="3">
        <v>4.7802925000000002E-4</v>
      </c>
      <c r="I31" s="3">
        <v>-6.4094600000000002E-2</v>
      </c>
      <c r="J31" s="3">
        <v>-3.2989383000000004E-2</v>
      </c>
      <c r="K31" s="3">
        <v>-9.6096629999999988E-2</v>
      </c>
      <c r="L31" s="3">
        <v>-5.3610143999999998E-2</v>
      </c>
      <c r="M31" s="3">
        <v>-9.9790150000000008E-2</v>
      </c>
      <c r="N31" s="3">
        <v>-6.8860770000000002E-2</v>
      </c>
      <c r="O31" s="3">
        <v>-2.9563248E-2</v>
      </c>
      <c r="P31" s="3">
        <v>-4.9999950000000001E-2</v>
      </c>
      <c r="Q31" s="3">
        <v>1.1640787E-2</v>
      </c>
      <c r="R31" s="3">
        <v>-1.1401534E-2</v>
      </c>
      <c r="S31" s="3">
        <v>0.12483954000000001</v>
      </c>
      <c r="T31" s="3">
        <v>4.0026903000000003E-3</v>
      </c>
      <c r="U31" s="3">
        <v>1.5759348999999999E-2</v>
      </c>
      <c r="V31" s="3">
        <v>-3.8361310000000003E-2</v>
      </c>
      <c r="W31" s="3">
        <v>-8.6633210000000002E-2</v>
      </c>
      <c r="X31" s="3">
        <v>-7.4601173000000007E-2</v>
      </c>
      <c r="Y31" s="3">
        <v>-5.8084369999999996E-2</v>
      </c>
      <c r="Z31" s="3">
        <v>-6.0917139999999995E-2</v>
      </c>
      <c r="AA31" s="3">
        <v>-6.3171205999999994E-2</v>
      </c>
      <c r="AB31" s="3">
        <v>-5.2543105999999999E-2</v>
      </c>
      <c r="AC31" s="3">
        <v>-4.9244700000000002E-2</v>
      </c>
      <c r="AD31" s="3">
        <v>-7.1359989999999998E-2</v>
      </c>
      <c r="AE31" s="3">
        <v>-4.1080894E-2</v>
      </c>
      <c r="AF31" s="3">
        <v>-5.5102052999999998E-2</v>
      </c>
      <c r="AG31" s="3">
        <v>-8.5165740000000004E-2</v>
      </c>
      <c r="AH31" s="3">
        <v>-9.8098699999999997E-2</v>
      </c>
      <c r="AI31" s="3">
        <v>-5.6466283999999999E-2</v>
      </c>
      <c r="AJ31" s="3"/>
      <c r="AK31" s="3"/>
      <c r="AL31" s="3"/>
    </row>
    <row r="32" spans="1:38" x14ac:dyDescent="0.45">
      <c r="A32" s="2">
        <v>45188</v>
      </c>
      <c r="B32" s="3">
        <v>-1.0873377E-2</v>
      </c>
      <c r="C32" s="3">
        <v>-4.3493690000000002E-2</v>
      </c>
      <c r="D32" s="3">
        <v>2.1929740999999999E-3</v>
      </c>
      <c r="E32" s="3">
        <v>-3.9871097000000001E-2</v>
      </c>
      <c r="F32" s="3">
        <v>-9.5485209999999987E-2</v>
      </c>
      <c r="G32" s="3">
        <v>7.0807933999999994E-3</v>
      </c>
      <c r="H32" s="3">
        <v>9.5555780000000003E-3</v>
      </c>
      <c r="I32" s="3">
        <v>9.3085766E-3</v>
      </c>
      <c r="J32" s="3">
        <v>-1.665318E-2</v>
      </c>
      <c r="K32" s="3">
        <v>3.1481861999999999E-2</v>
      </c>
      <c r="L32" s="3">
        <v>4.9115895999999999E-2</v>
      </c>
      <c r="M32" s="3">
        <v>-3.1079649999999999E-3</v>
      </c>
      <c r="N32" s="3">
        <v>-6.851554E-2</v>
      </c>
      <c r="O32" s="3">
        <v>3.8541435999999998E-2</v>
      </c>
      <c r="P32" s="3">
        <v>1.2465357999999999E-2</v>
      </c>
      <c r="Q32" s="3">
        <v>-3.7534236999999998E-2</v>
      </c>
      <c r="R32" s="3">
        <v>2.5277137999999998E-3</v>
      </c>
      <c r="S32" s="3">
        <v>4.0798902999999997E-2</v>
      </c>
      <c r="T32" s="3">
        <v>4.6511889000000004E-3</v>
      </c>
      <c r="U32" s="3">
        <v>3.7376523000000002E-2</v>
      </c>
      <c r="V32" s="3">
        <v>-3.2504320000000003E-2</v>
      </c>
      <c r="W32" s="3">
        <v>-1.9146085E-2</v>
      </c>
      <c r="X32" s="3">
        <v>3.2618879999999996E-2</v>
      </c>
      <c r="Y32" s="3">
        <v>3.3204794000000003E-2</v>
      </c>
      <c r="Z32" s="3">
        <v>-1.4212846999999999E-2</v>
      </c>
      <c r="AA32" s="3">
        <v>6.9622397000000003E-2</v>
      </c>
      <c r="AB32" s="3">
        <v>1.7745495E-3</v>
      </c>
      <c r="AC32" s="3">
        <v>2.8598666000000002E-2</v>
      </c>
      <c r="AD32" s="3">
        <v>3.4273623999999996E-2</v>
      </c>
      <c r="AE32" s="3">
        <v>1.7848371999999998E-2</v>
      </c>
      <c r="AF32" s="3">
        <v>-4.5896769999999995E-3</v>
      </c>
      <c r="AG32" s="3">
        <v>-4.7828197000000003E-2</v>
      </c>
      <c r="AH32" s="3">
        <v>3.0553340000000003E-3</v>
      </c>
      <c r="AI32" s="3">
        <v>1.4800549000000001E-2</v>
      </c>
      <c r="AJ32" s="3"/>
      <c r="AK32" s="3"/>
      <c r="AL32" s="3"/>
    </row>
    <row r="33" spans="1:38" x14ac:dyDescent="0.45">
      <c r="A33" s="2">
        <v>45218</v>
      </c>
      <c r="B33" s="3">
        <v>-5.4609957000000001E-2</v>
      </c>
      <c r="C33" s="3">
        <v>-9.9445400000000003E-2</v>
      </c>
      <c r="D33" s="3">
        <v>-8.7965009999999996E-2</v>
      </c>
      <c r="E33" s="3">
        <v>2.4328827999999997E-2</v>
      </c>
      <c r="F33" s="3">
        <v>8.6632250000000008E-2</v>
      </c>
      <c r="G33" s="3">
        <v>-6.6794514999999999E-2</v>
      </c>
      <c r="H33" s="3">
        <v>-2.3663044000000001E-2</v>
      </c>
      <c r="I33" s="3">
        <v>-1.6688644999999998E-2</v>
      </c>
      <c r="J33" s="3">
        <v>-0.11673790000000001</v>
      </c>
      <c r="K33" s="3">
        <v>-7.7820420000000001E-2</v>
      </c>
      <c r="L33" s="3">
        <v>-6.0549315999999999E-2</v>
      </c>
      <c r="M33" s="3">
        <v>-2.0265043E-2</v>
      </c>
      <c r="N33" s="3">
        <v>-3.7653147999999997E-2</v>
      </c>
      <c r="O33" s="3">
        <v>-1.4888823000000001E-2</v>
      </c>
      <c r="P33" s="3">
        <v>-4.9931644999999997E-2</v>
      </c>
      <c r="Q33" s="3">
        <v>-5.1522970000000001E-2</v>
      </c>
      <c r="R33" s="3">
        <v>-6.5609034999999996E-2</v>
      </c>
      <c r="S33" s="3">
        <v>-3.8651287999999999E-2</v>
      </c>
      <c r="T33" s="3">
        <v>-7.2089970000000003E-2</v>
      </c>
      <c r="U33" s="3">
        <v>-0.15975528999999999</v>
      </c>
      <c r="V33" s="3">
        <v>-4.5049666999999995E-2</v>
      </c>
      <c r="W33" s="3">
        <v>-3.9039670999999998E-2</v>
      </c>
      <c r="X33" s="3">
        <v>-5.2797850000000007E-2</v>
      </c>
      <c r="Y33" s="3">
        <v>-5.6814910000000003E-2</v>
      </c>
      <c r="Z33" s="3">
        <v>-5.8780010000000001E-2</v>
      </c>
      <c r="AA33" s="3">
        <v>-7.7699003000000003E-2</v>
      </c>
      <c r="AB33" s="3">
        <v>-5.6244493E-2</v>
      </c>
      <c r="AC33" s="3">
        <v>-3.7071347000000004E-2</v>
      </c>
      <c r="AD33" s="3">
        <v>-2.6766120999999997E-2</v>
      </c>
      <c r="AE33" s="3">
        <v>-3.6773502999999999E-2</v>
      </c>
      <c r="AF33" s="3">
        <v>-6.8619431999999994E-2</v>
      </c>
      <c r="AG33" s="3">
        <v>-5.2280902999999997E-2</v>
      </c>
      <c r="AH33" s="3">
        <v>-1.6143858000000001E-2</v>
      </c>
      <c r="AI33" s="3">
        <v>-5.7387470000000003E-2</v>
      </c>
      <c r="AJ33" s="3"/>
      <c r="AK33" s="3"/>
      <c r="AL33" s="3"/>
    </row>
    <row r="34" spans="1:38" x14ac:dyDescent="0.45">
      <c r="A34" s="2">
        <v>45247</v>
      </c>
      <c r="B34" s="3">
        <v>3.6481619999999999E-2</v>
      </c>
      <c r="C34" s="3">
        <v>6.8965553999999998E-2</v>
      </c>
      <c r="D34" s="3">
        <v>3.7907839999999998E-2</v>
      </c>
      <c r="E34" s="3">
        <v>2.1293997999999998E-2</v>
      </c>
      <c r="F34" s="3">
        <v>0.13938749</v>
      </c>
      <c r="G34" s="3">
        <v>5.1993129999999999E-2</v>
      </c>
      <c r="H34" s="3">
        <v>3.4900665000000004E-2</v>
      </c>
      <c r="I34" s="3">
        <v>6.8110824E-2</v>
      </c>
      <c r="J34" s="3">
        <v>0.15580785999999999</v>
      </c>
      <c r="K34" s="3">
        <v>7.866919E-2</v>
      </c>
      <c r="L34" s="3">
        <v>0.11262465000000001</v>
      </c>
      <c r="M34" s="3">
        <v>6.9742800000000008E-2</v>
      </c>
      <c r="N34" s="3">
        <v>0.11798609</v>
      </c>
      <c r="O34" s="3">
        <v>1.6128897999999999E-2</v>
      </c>
      <c r="P34" s="3">
        <v>3.8396954999999997E-2</v>
      </c>
      <c r="Q34" s="3">
        <v>5.8223247999999998E-2</v>
      </c>
      <c r="R34" s="3">
        <v>-5.1017403999999997E-3</v>
      </c>
      <c r="S34" s="3">
        <v>2.5663375999999999E-3</v>
      </c>
      <c r="T34" s="3">
        <v>6.9850326000000004E-2</v>
      </c>
      <c r="U34" s="3">
        <v>6.0679555000000003E-2</v>
      </c>
      <c r="V34" s="3">
        <v>5.810237E-2</v>
      </c>
      <c r="W34" s="3">
        <v>3.4788608999999998E-2</v>
      </c>
      <c r="X34" s="3">
        <v>5.8122873000000005E-2</v>
      </c>
      <c r="Y34" s="3">
        <v>4.8676730000000001E-2</v>
      </c>
      <c r="Z34" s="3">
        <v>9.9371550000000003E-2</v>
      </c>
      <c r="AA34" s="3">
        <v>6.5447690000000003E-2</v>
      </c>
      <c r="AB34" s="3">
        <v>4.4580099999999998E-2</v>
      </c>
      <c r="AC34" s="3">
        <v>2.9836296999999998E-2</v>
      </c>
      <c r="AD34" s="3">
        <v>7.2422742999999998E-2</v>
      </c>
      <c r="AE34" s="3">
        <v>5.7125450000000001E-2</v>
      </c>
      <c r="AF34" s="3">
        <v>8.648813000000001E-2</v>
      </c>
      <c r="AG34" s="3">
        <v>0.13628996000000002</v>
      </c>
      <c r="AH34" s="3">
        <v>9.6284869999999995E-2</v>
      </c>
      <c r="AI34" s="3">
        <v>9.4853640000000003E-2</v>
      </c>
      <c r="AJ34" s="3"/>
      <c r="AK34" s="3"/>
      <c r="AL34" s="3"/>
    </row>
    <row r="35" spans="1:38" x14ac:dyDescent="0.45">
      <c r="A35" s="2">
        <v>45279</v>
      </c>
      <c r="B35" s="3">
        <v>-4.4968660000000001E-2</v>
      </c>
      <c r="C35" s="3">
        <v>8.3333249999999998E-2</v>
      </c>
      <c r="D35" s="3">
        <v>2.2191525E-2</v>
      </c>
      <c r="E35" s="3">
        <v>4.2501926000000002E-2</v>
      </c>
      <c r="F35" s="3">
        <v>8.3410499999999999E-2</v>
      </c>
      <c r="G35" s="3">
        <v>0.12858175999999999</v>
      </c>
      <c r="H35" s="3">
        <v>8.4309579999999988E-3</v>
      </c>
      <c r="I35" s="3">
        <v>3.6587953999999999E-2</v>
      </c>
      <c r="J35" s="3">
        <v>0.10839105</v>
      </c>
      <c r="K35" s="3">
        <v>4.2730927000000002E-2</v>
      </c>
      <c r="L35" s="3">
        <v>6.4795375000000002E-2</v>
      </c>
      <c r="M35" s="3">
        <v>2.9251336999999999E-2</v>
      </c>
      <c r="N35" s="3">
        <v>3.3098219999999998E-2</v>
      </c>
      <c r="O35" s="3">
        <v>8.1585169999999999E-2</v>
      </c>
      <c r="P35" s="3">
        <v>-4.4372616000000004E-2</v>
      </c>
      <c r="Q35" s="3">
        <v>-1.0209798999999999E-2</v>
      </c>
      <c r="R35" s="3">
        <v>-1.4748037E-2</v>
      </c>
      <c r="S35" s="3">
        <v>-3.1854331E-2</v>
      </c>
      <c r="T35" s="3">
        <v>-3.0646265000000002E-2</v>
      </c>
      <c r="U35" s="3">
        <v>4.6947001999999996E-3</v>
      </c>
      <c r="V35" s="3">
        <v>5.8942080000000001E-2</v>
      </c>
      <c r="W35" s="3">
        <v>9.8149780000000006E-2</v>
      </c>
      <c r="X35" s="3">
        <v>0.10400724</v>
      </c>
      <c r="Y35" s="3">
        <v>6.2083006000000003E-2</v>
      </c>
      <c r="Z35" s="3">
        <v>5.6805969999999997E-2</v>
      </c>
      <c r="AA35" s="3">
        <v>1.4274359E-2</v>
      </c>
      <c r="AB35" s="3">
        <v>6.2668443000000004E-2</v>
      </c>
      <c r="AC35" s="3">
        <v>4.1744589999999998E-2</v>
      </c>
      <c r="AD35" s="3">
        <v>6.1994433000000002E-2</v>
      </c>
      <c r="AE35" s="3">
        <v>5.7628749999999999E-2</v>
      </c>
      <c r="AF35" s="3">
        <v>5.4677009999999998E-2</v>
      </c>
      <c r="AG35" s="3">
        <v>6.8538785000000005E-2</v>
      </c>
      <c r="AH35" s="3">
        <v>0.12792993</v>
      </c>
      <c r="AI35" s="3">
        <v>4.7004700000000003E-2</v>
      </c>
      <c r="AJ35" s="3"/>
      <c r="AK35" s="3"/>
      <c r="AL35" s="3"/>
    </row>
    <row r="36" spans="1:38" x14ac:dyDescent="0.45">
      <c r="A36" s="2">
        <v>45310</v>
      </c>
      <c r="B36" s="3">
        <v>-3.7665844000000004E-2</v>
      </c>
      <c r="C36" s="3">
        <v>-8.4898360000000006E-2</v>
      </c>
      <c r="D36" s="3">
        <v>1.2643576E-2</v>
      </c>
      <c r="E36" s="3">
        <v>1.9302130000000001E-2</v>
      </c>
      <c r="F36" s="3">
        <v>-6.7616280000000001E-2</v>
      </c>
      <c r="G36" s="3">
        <v>-1.9998312000000001E-2</v>
      </c>
      <c r="H36" s="3">
        <v>-6.9042444000000005E-3</v>
      </c>
      <c r="I36" s="3">
        <v>4.713297E-3</v>
      </c>
      <c r="J36" s="3">
        <v>-3.9159656000000001E-2</v>
      </c>
      <c r="K36" s="3">
        <v>-6.3163640000000007E-2</v>
      </c>
      <c r="L36" s="3">
        <v>-4.2307079999999997E-2</v>
      </c>
      <c r="M36" s="3">
        <v>-7.0673170000000007E-2</v>
      </c>
      <c r="N36" s="3">
        <v>2.963996E-2</v>
      </c>
      <c r="O36" s="3">
        <v>1.7857075E-2</v>
      </c>
      <c r="P36" s="3">
        <v>-8.1561330000000001E-2</v>
      </c>
      <c r="Q36" s="3">
        <v>7.4498653000000005E-3</v>
      </c>
      <c r="R36" s="3">
        <v>-8.8823440000000004E-3</v>
      </c>
      <c r="S36" s="3">
        <v>5.0556660000000003E-4</v>
      </c>
      <c r="T36" s="3">
        <v>3.2818198E-2</v>
      </c>
      <c r="U36" s="3">
        <v>3.5064696999999999E-2</v>
      </c>
      <c r="V36" s="3">
        <v>1.9299864999999999E-2</v>
      </c>
      <c r="W36" s="3">
        <v>-3.1415403000000001E-2</v>
      </c>
      <c r="X36" s="3">
        <v>-3.1009555000000001E-2</v>
      </c>
      <c r="Y36" s="3">
        <v>-7.721185999999999E-4</v>
      </c>
      <c r="Z36" s="3">
        <v>-2.3275495E-2</v>
      </c>
      <c r="AA36" s="3">
        <v>5.6749819999999999E-2</v>
      </c>
      <c r="AB36" s="3">
        <v>-1.1625528000000001E-2</v>
      </c>
      <c r="AC36" s="3">
        <v>-2.225566E-2</v>
      </c>
      <c r="AD36" s="3">
        <v>2.9917240000000001E-2</v>
      </c>
      <c r="AE36" s="3">
        <v>1.5984297000000001E-2</v>
      </c>
      <c r="AF36" s="3">
        <v>-3.0064225000000003E-2</v>
      </c>
      <c r="AG36" s="3">
        <v>-1.6241431000000001E-2</v>
      </c>
      <c r="AH36" s="3">
        <v>-6.587076E-2</v>
      </c>
      <c r="AI36" s="3">
        <v>-5.2117109999999999E-3</v>
      </c>
      <c r="AJ36" s="3"/>
      <c r="AK36" s="3"/>
      <c r="AL36" s="3"/>
    </row>
    <row r="37" spans="1:38" x14ac:dyDescent="0.45">
      <c r="A37" s="2">
        <v>45338</v>
      </c>
      <c r="B37" s="3">
        <v>4.0607094999999996E-2</v>
      </c>
      <c r="C37" s="3">
        <v>-2.7290583E-3</v>
      </c>
      <c r="D37" s="3">
        <v>2.3863196000000003E-2</v>
      </c>
      <c r="E37" s="3">
        <v>4.770601E-2</v>
      </c>
      <c r="F37" s="3">
        <v>6.8460702999999998E-2</v>
      </c>
      <c r="G37" s="3">
        <v>5.3550243000000004E-2</v>
      </c>
      <c r="H37" s="3">
        <v>1.8562555000000001E-2</v>
      </c>
      <c r="I37" s="3">
        <v>4.2996169999999993E-2</v>
      </c>
      <c r="J37" s="3">
        <v>3.347671E-2</v>
      </c>
      <c r="K37" s="3">
        <v>8.3192830000000009E-2</v>
      </c>
      <c r="L37" s="3">
        <v>4.5510530000000002E-3</v>
      </c>
      <c r="M37" s="3">
        <v>1.4431833999999999E-2</v>
      </c>
      <c r="N37" s="3">
        <v>3.9292215999999998E-2</v>
      </c>
      <c r="O37" s="3">
        <v>3.2466292000000001E-2</v>
      </c>
      <c r="P37" s="3">
        <v>4.7246219999999998E-2</v>
      </c>
      <c r="Q37" s="3">
        <v>-1.0238885999999999E-3</v>
      </c>
      <c r="R37" s="3">
        <v>3.4863949999999998E-3</v>
      </c>
      <c r="S37" s="3">
        <v>0.14035606</v>
      </c>
      <c r="T37" s="3">
        <v>0</v>
      </c>
      <c r="U37" s="3">
        <v>1.8561482000000001E-2</v>
      </c>
      <c r="V37" s="3">
        <v>5.3676963000000001E-2</v>
      </c>
      <c r="W37" s="3">
        <v>-1.1909902000000002E-2</v>
      </c>
      <c r="X37" s="3">
        <v>1.9329905999999997E-2</v>
      </c>
      <c r="Y37" s="3">
        <v>1.6348003999999999E-2</v>
      </c>
      <c r="Z37" s="3">
        <v>2.1460772000000003E-2</v>
      </c>
      <c r="AA37" s="3">
        <v>2.6251793000000002E-2</v>
      </c>
      <c r="AB37" s="3">
        <v>-1.9247532E-3</v>
      </c>
      <c r="AC37" s="3">
        <v>2.2528171999999999E-2</v>
      </c>
      <c r="AD37" s="3">
        <v>2.2294521000000001E-2</v>
      </c>
      <c r="AE37" s="3">
        <v>3.5404086000000001E-2</v>
      </c>
      <c r="AF37" s="3">
        <v>3.0854463999999998E-2</v>
      </c>
      <c r="AG37" s="3">
        <v>7.8239083000000001E-2</v>
      </c>
      <c r="AH37" s="3">
        <v>5.3282021999999998E-2</v>
      </c>
      <c r="AI37" s="3">
        <v>2.7479172E-2</v>
      </c>
      <c r="AJ37" s="3"/>
      <c r="AK37" s="3"/>
      <c r="AL37" s="3"/>
    </row>
    <row r="38" spans="1:38" x14ac:dyDescent="0.45">
      <c r="A38" s="2">
        <v>45370</v>
      </c>
      <c r="B38" s="3">
        <v>5.1635739999999999E-2</v>
      </c>
      <c r="C38" s="3">
        <v>2.6583313999999997E-2</v>
      </c>
      <c r="D38" s="3">
        <v>4.3976307000000002E-4</v>
      </c>
      <c r="E38" s="3">
        <v>-1.452446E-3</v>
      </c>
      <c r="F38" s="3">
        <v>9.721637E-3</v>
      </c>
      <c r="G38" s="3">
        <v>9.5005039999999999E-2</v>
      </c>
      <c r="H38" s="3">
        <v>2.4299145000000001E-2</v>
      </c>
      <c r="I38" s="3">
        <v>4.7298790000000007E-2</v>
      </c>
      <c r="J38" s="3">
        <v>-1.8425047E-2</v>
      </c>
      <c r="K38" s="3">
        <v>1.6980767000000001E-2</v>
      </c>
      <c r="L38" s="3">
        <v>-3.1108380000000001E-2</v>
      </c>
      <c r="M38" s="3">
        <v>-2.7935802999999999E-2</v>
      </c>
      <c r="N38" s="3">
        <v>-5.0073861999999994E-4</v>
      </c>
      <c r="O38" s="3">
        <v>-2.0703136999999996E-2</v>
      </c>
      <c r="P38" s="3">
        <v>3.2482505000000002E-2</v>
      </c>
      <c r="Q38" s="3">
        <v>3.6897778999999999E-2</v>
      </c>
      <c r="R38" s="3">
        <v>-3.5103560000000001E-3</v>
      </c>
      <c r="S38" s="3">
        <v>-8.4569340000000007E-2</v>
      </c>
      <c r="T38" s="3">
        <v>0</v>
      </c>
      <c r="U38" s="3">
        <v>1.7463922999999999E-2</v>
      </c>
      <c r="V38" s="3">
        <v>5.6104659999999997E-3</v>
      </c>
      <c r="W38" s="3">
        <v>-1.3806700999999999E-2</v>
      </c>
      <c r="X38" s="3">
        <v>1.6434907999999998E-2</v>
      </c>
      <c r="Y38" s="3">
        <v>2.8353332999999998E-2</v>
      </c>
      <c r="Z38" s="3">
        <v>5.2863360000000005E-2</v>
      </c>
      <c r="AA38" s="3">
        <v>4.8647045999999999E-2</v>
      </c>
      <c r="AB38" s="3">
        <v>1.7784476E-2</v>
      </c>
      <c r="AC38" s="3">
        <v>2.1419883000000001E-2</v>
      </c>
      <c r="AD38" s="3">
        <v>1.9915341999999999E-2</v>
      </c>
      <c r="AE38" s="3">
        <v>3.5661696999999999E-2</v>
      </c>
      <c r="AF38" s="3">
        <v>5.4233789999999997E-2</v>
      </c>
      <c r="AG38" s="3">
        <v>2.2847414E-2</v>
      </c>
      <c r="AH38" s="3">
        <v>5.162978E-2</v>
      </c>
      <c r="AI38" s="3">
        <v>8.8662740000000004E-2</v>
      </c>
      <c r="AJ38" s="3"/>
      <c r="AK38" s="3"/>
      <c r="AL38" s="3"/>
    </row>
    <row r="39" spans="1:38" x14ac:dyDescent="0.45">
      <c r="A39" s="2">
        <v>45401</v>
      </c>
      <c r="B39" s="3">
        <v>-1.8365800000000002E-2</v>
      </c>
      <c r="C39" s="3">
        <v>-3.8081408E-4</v>
      </c>
      <c r="D39" s="3">
        <v>-8.6593389999999992E-2</v>
      </c>
      <c r="E39" s="3">
        <v>-0.10036367</v>
      </c>
      <c r="F39" s="3">
        <v>2.0131230000000003E-2</v>
      </c>
      <c r="G39" s="3">
        <v>4.2979956E-2</v>
      </c>
      <c r="H39" s="3">
        <v>-7.2992444E-3</v>
      </c>
      <c r="I39" s="3">
        <v>-5.3035020000000002E-2</v>
      </c>
      <c r="J39" s="3">
        <v>-1.7711163000000002E-2</v>
      </c>
      <c r="K39" s="3">
        <v>-6.0661736000000001E-2</v>
      </c>
      <c r="L39" s="3">
        <v>-4.1770639999999998E-2</v>
      </c>
      <c r="M39" s="3">
        <v>2.1820067999999998E-2</v>
      </c>
      <c r="N39" s="3">
        <v>-2.5551020000000001E-2</v>
      </c>
      <c r="O39" s="3">
        <v>2.3733615999999999E-2</v>
      </c>
      <c r="P39" s="3">
        <v>-1.5980004999999999E-2</v>
      </c>
      <c r="Q39" s="3">
        <v>-4.3382699999999996E-2</v>
      </c>
      <c r="R39" s="3">
        <v>-3.6442280000000001E-2</v>
      </c>
      <c r="S39" s="3">
        <v>8.6128469999999999E-2</v>
      </c>
      <c r="T39" s="3">
        <v>-3.4159422000000002E-2</v>
      </c>
      <c r="U39" s="3">
        <v>-0.11567158</v>
      </c>
      <c r="V39" s="3">
        <v>-3.5706341000000003E-2</v>
      </c>
      <c r="W39" s="3">
        <v>-2.2222220000000001E-2</v>
      </c>
      <c r="X39" s="3">
        <v>-3.1509100999999998E-2</v>
      </c>
      <c r="Y39" s="3">
        <v>-1.6171813E-2</v>
      </c>
      <c r="Z39" s="3">
        <v>-3.4116506999999997E-2</v>
      </c>
      <c r="AA39" s="3">
        <v>-6.2464769999999996E-2</v>
      </c>
      <c r="AB39" s="3">
        <v>-3.7894725999999997E-2</v>
      </c>
      <c r="AC39" s="3">
        <v>3.2954215999999995E-3</v>
      </c>
      <c r="AD39" s="3">
        <v>-5.4540930000000001E-2</v>
      </c>
      <c r="AE39" s="3">
        <v>-3.984803E-2</v>
      </c>
      <c r="AF39" s="3">
        <v>-3.1545698999999996E-2</v>
      </c>
      <c r="AG39" s="3">
        <v>-3.1851052999999997E-2</v>
      </c>
      <c r="AH39" s="3">
        <v>-5.0830719999999996E-2</v>
      </c>
      <c r="AI39" s="3">
        <v>-2.8304458000000001E-2</v>
      </c>
      <c r="AJ39" s="3"/>
      <c r="AK39" s="3"/>
      <c r="AL39" s="3"/>
    </row>
    <row r="40" spans="1:38" x14ac:dyDescent="0.45">
      <c r="A40" s="2">
        <v>45429</v>
      </c>
      <c r="B40" s="3">
        <v>4.8491715999999997E-2</v>
      </c>
      <c r="C40" s="3">
        <v>0.11352385</v>
      </c>
      <c r="D40" s="3">
        <v>2.5023937E-2</v>
      </c>
      <c r="E40" s="3">
        <v>4.7695993999999999E-2</v>
      </c>
      <c r="F40" s="3">
        <v>0.10982417999999999</v>
      </c>
      <c r="G40" s="3">
        <v>0.10139858</v>
      </c>
      <c r="H40" s="3">
        <v>6.9852949999999997E-2</v>
      </c>
      <c r="I40" s="3">
        <v>0.11529207</v>
      </c>
      <c r="J40" s="3">
        <v>6.2721489999999991E-2</v>
      </c>
      <c r="K40" s="3">
        <v>6.7514660000000004E-2</v>
      </c>
      <c r="L40" s="3">
        <v>3.2856226000000002E-2</v>
      </c>
      <c r="M40" s="3">
        <v>0.14296865</v>
      </c>
      <c r="N40" s="3">
        <v>0.10308479999999999</v>
      </c>
      <c r="O40" s="3">
        <v>3.1950116000000001E-2</v>
      </c>
      <c r="P40" s="3">
        <v>0.20375537999999999</v>
      </c>
      <c r="Q40" s="3">
        <v>5.1665306000000001E-3</v>
      </c>
      <c r="R40" s="3">
        <v>3.7985801999999999E-2</v>
      </c>
      <c r="S40" s="3">
        <v>0.12928556999999999</v>
      </c>
      <c r="T40" s="3">
        <v>-2.7739406000000001E-3</v>
      </c>
      <c r="U40" s="3">
        <v>9.282696E-2</v>
      </c>
      <c r="V40" s="3">
        <v>-1.5274227E-2</v>
      </c>
      <c r="W40" s="3">
        <v>4.2954564000000001E-2</v>
      </c>
      <c r="X40" s="3">
        <v>8.0479380000000003E-2</v>
      </c>
      <c r="Y40" s="3">
        <v>3.9881468000000003E-2</v>
      </c>
      <c r="Z40" s="3">
        <v>8.0306529999999987E-2</v>
      </c>
      <c r="AA40" s="3">
        <v>3.3689379999999998E-2</v>
      </c>
      <c r="AB40" s="3">
        <v>7.155359E-2</v>
      </c>
      <c r="AC40" s="3">
        <v>9.7043879999999999E-2</v>
      </c>
      <c r="AD40" s="3">
        <v>8.9497199999999999E-2</v>
      </c>
      <c r="AE40" s="3">
        <v>6.9250344999999991E-2</v>
      </c>
      <c r="AF40" s="3">
        <v>5.8631897000000002E-2</v>
      </c>
      <c r="AG40" s="3">
        <v>0.10489214000000001</v>
      </c>
      <c r="AH40" s="3">
        <v>7.3928950000000007E-2</v>
      </c>
      <c r="AI40" s="3">
        <v>8.1066249999999992E-2</v>
      </c>
      <c r="AJ40" s="3"/>
      <c r="AK40" s="3"/>
      <c r="AL40" s="3"/>
    </row>
    <row r="41" spans="1:38" x14ac:dyDescent="0.45">
      <c r="A41" s="2">
        <v>45461</v>
      </c>
      <c r="B41" s="3">
        <v>-4.1587353000000001E-2</v>
      </c>
      <c r="C41" s="3">
        <v>-7.3751689999999995E-2</v>
      </c>
      <c r="D41" s="3">
        <v>-0.10674894</v>
      </c>
      <c r="E41" s="3">
        <v>-6.0474930000000003E-2</v>
      </c>
      <c r="F41" s="3">
        <v>-7.3772009999999999E-2</v>
      </c>
      <c r="G41" s="3">
        <v>-6.3125667999999996E-2</v>
      </c>
      <c r="H41" s="3">
        <v>-3.1858087000000003E-3</v>
      </c>
      <c r="I41" s="3">
        <v>6.7869782000000003E-2</v>
      </c>
      <c r="J41" s="3">
        <v>-0.16956210999999999</v>
      </c>
      <c r="K41" s="3">
        <v>2.5969743999999999E-3</v>
      </c>
      <c r="L41" s="3">
        <v>-0.11973470999999999</v>
      </c>
      <c r="M41" s="3">
        <v>2.1253346999999999E-2</v>
      </c>
      <c r="N41" s="3">
        <v>-6.2689304000000001E-2</v>
      </c>
      <c r="O41" s="3">
        <v>4.7951580000000001E-2</v>
      </c>
      <c r="P41" s="3">
        <v>-7.8382014999999999E-2</v>
      </c>
      <c r="Q41" s="3">
        <v>-8.016825E-3</v>
      </c>
      <c r="R41" s="3">
        <v>-5.7034254000000006E-2</v>
      </c>
      <c r="S41" s="3">
        <v>-1.9765377000000001E-2</v>
      </c>
      <c r="T41" s="3">
        <v>-2.4957000999999999E-2</v>
      </c>
      <c r="U41" s="3">
        <v>-1.8532812999999999E-2</v>
      </c>
      <c r="V41" s="3">
        <v>-1.6020059999999999E-2</v>
      </c>
      <c r="W41" s="3">
        <v>1.0297537000000001E-2</v>
      </c>
      <c r="X41" s="3">
        <v>-1.3231217999999999E-2</v>
      </c>
      <c r="Y41" s="3">
        <v>-4.4680413999999995E-2</v>
      </c>
      <c r="Z41" s="3">
        <v>-4.2654753000000004E-2</v>
      </c>
      <c r="AA41" s="3">
        <v>-2.2869348999999997E-2</v>
      </c>
      <c r="AB41" s="3">
        <v>2.7648926000000001E-2</v>
      </c>
      <c r="AC41" s="3">
        <v>-2.7038812999999998E-2</v>
      </c>
      <c r="AD41" s="3">
        <v>7.4043750000000005E-2</v>
      </c>
      <c r="AE41" s="3">
        <v>3.5961747000000002E-2</v>
      </c>
      <c r="AF41" s="3">
        <v>-6.4440010000000006E-2</v>
      </c>
      <c r="AG41" s="3">
        <v>3.8510559999999998E-3</v>
      </c>
      <c r="AH41" s="3">
        <v>3.7549734000000001E-3</v>
      </c>
      <c r="AI41" s="3">
        <v>-6.0414733999999998E-2</v>
      </c>
      <c r="AJ41" s="3"/>
      <c r="AK41" s="3"/>
      <c r="AL41" s="3"/>
    </row>
    <row r="42" spans="1:38" x14ac:dyDescent="0.45">
      <c r="A42" s="2">
        <v>45492</v>
      </c>
      <c r="B42" s="3">
        <v>-1.3719558999999999E-2</v>
      </c>
      <c r="C42" s="3">
        <v>-5.6839585E-3</v>
      </c>
      <c r="D42" s="3">
        <v>9.8476649999999999E-2</v>
      </c>
      <c r="E42" s="3">
        <v>6.5860749999999996E-2</v>
      </c>
      <c r="F42" s="3">
        <v>3.6989807999999999E-2</v>
      </c>
      <c r="G42" s="3">
        <v>1.7234921E-2</v>
      </c>
      <c r="H42" s="3">
        <v>1.9264460000000001E-2</v>
      </c>
      <c r="I42" s="3">
        <v>-2.3879468000000001E-2</v>
      </c>
      <c r="J42" s="3">
        <v>3.1695724000000002E-2</v>
      </c>
      <c r="K42" s="3">
        <v>-6.0946940000000003E-3</v>
      </c>
      <c r="L42" s="3">
        <v>3.4737587E-2</v>
      </c>
      <c r="M42" s="3">
        <v>-1.9487917E-2</v>
      </c>
      <c r="N42" s="3">
        <v>5.4454922999999995E-2</v>
      </c>
      <c r="O42" s="3">
        <v>1.2069939999999999E-2</v>
      </c>
      <c r="P42" s="3">
        <v>-3.4688709999999998E-2</v>
      </c>
      <c r="Q42" s="3">
        <v>2.1699904999999999E-2</v>
      </c>
      <c r="R42" s="3">
        <v>1.0216236E-2</v>
      </c>
      <c r="S42" s="3">
        <v>4.6673060000000002E-2</v>
      </c>
      <c r="T42" s="3">
        <v>5.7820679999999999E-2</v>
      </c>
      <c r="U42" s="3">
        <v>-5.1927624000000006E-2</v>
      </c>
      <c r="V42" s="3">
        <v>1.9151568000000001E-2</v>
      </c>
      <c r="W42" s="3">
        <v>3.694892E-3</v>
      </c>
      <c r="X42" s="3">
        <v>2.1285294999999999E-2</v>
      </c>
      <c r="Y42" s="3">
        <v>5.0930977000000002E-2</v>
      </c>
      <c r="Z42" s="3">
        <v>1.9148229999999999E-2</v>
      </c>
      <c r="AA42" s="3">
        <v>4.9504875999999996E-2</v>
      </c>
      <c r="AB42" s="3">
        <v>1.8259286999999999E-3</v>
      </c>
      <c r="AC42" s="3">
        <v>1.2835026000000001E-2</v>
      </c>
      <c r="AD42" s="3">
        <v>-1.8974124999999998E-2</v>
      </c>
      <c r="AE42" s="3">
        <v>4.1450261999999996E-3</v>
      </c>
      <c r="AF42" s="3">
        <v>-5.1772593999999995E-4</v>
      </c>
      <c r="AG42" s="3">
        <v>-3.4670770000000004E-2</v>
      </c>
      <c r="AH42" s="3">
        <v>-1.3543426999999999E-2</v>
      </c>
      <c r="AI42" s="3">
        <v>3.8536189999999998E-2</v>
      </c>
      <c r="AJ42" s="3"/>
      <c r="AK42" s="3"/>
      <c r="AL42" s="3"/>
    </row>
    <row r="43" spans="1:38" x14ac:dyDescent="0.45">
      <c r="A43" s="2">
        <v>45523</v>
      </c>
      <c r="B43" s="3">
        <v>-2.3956656E-2</v>
      </c>
      <c r="C43" s="3">
        <v>7.6220035999999998E-3</v>
      </c>
      <c r="D43" s="3">
        <v>6.5378904000000002E-2</v>
      </c>
      <c r="E43" s="3">
        <v>7.000398599999999E-2</v>
      </c>
      <c r="F43" s="3">
        <v>1.7630220000000002E-2</v>
      </c>
      <c r="G43" s="3">
        <v>-1.2676775E-2</v>
      </c>
      <c r="H43" s="3">
        <v>7.9037785999999999E-2</v>
      </c>
      <c r="I43" s="3">
        <v>2.8227329999999998E-2</v>
      </c>
      <c r="J43" s="3">
        <v>-2.6284337000000001E-2</v>
      </c>
      <c r="K43" s="3">
        <v>1.6096829999999999E-2</v>
      </c>
      <c r="L43" s="3">
        <v>0.10464287</v>
      </c>
      <c r="M43" s="3">
        <v>0.10769582</v>
      </c>
      <c r="N43" s="3">
        <v>0</v>
      </c>
      <c r="O43" s="3">
        <v>5.5179595999999996E-3</v>
      </c>
      <c r="P43" s="3">
        <v>2.1180391E-2</v>
      </c>
      <c r="Q43" s="3">
        <v>2.7728558E-2</v>
      </c>
      <c r="R43" s="3">
        <v>4.7374964E-3</v>
      </c>
      <c r="S43" s="3">
        <v>-0.11685342</v>
      </c>
      <c r="T43" s="3">
        <v>2.5928496999999998E-2</v>
      </c>
      <c r="U43" s="3">
        <v>2.4066329999999997E-2</v>
      </c>
      <c r="V43" s="3">
        <v>-9.5148087000000003E-3</v>
      </c>
      <c r="W43" s="3">
        <v>5.4382799999999995E-2</v>
      </c>
      <c r="X43" s="3">
        <v>1.8036007999999999E-2</v>
      </c>
      <c r="Y43" s="3">
        <v>3.0484556999999999E-2</v>
      </c>
      <c r="Z43" s="3">
        <v>2.8830528000000001E-2</v>
      </c>
      <c r="AA43" s="3">
        <v>5.7175160000000006E-3</v>
      </c>
      <c r="AB43" s="3">
        <v>4.0097237000000001E-2</v>
      </c>
      <c r="AC43" s="3">
        <v>3.6046267E-2</v>
      </c>
      <c r="AD43" s="3">
        <v>1.2688279E-2</v>
      </c>
      <c r="AE43" s="3">
        <v>1.9344567999999999E-2</v>
      </c>
      <c r="AF43" s="3">
        <v>1.631701E-2</v>
      </c>
      <c r="AG43" s="3">
        <v>1.6747354999999998E-2</v>
      </c>
      <c r="AH43" s="3">
        <v>2.1966934E-2</v>
      </c>
      <c r="AI43" s="3">
        <v>4.5381783999999996E-3</v>
      </c>
      <c r="AJ43" s="3"/>
      <c r="AK43" s="3"/>
      <c r="AL43" s="3"/>
    </row>
    <row r="44" spans="1:38" x14ac:dyDescent="0.45">
      <c r="A44" s="2">
        <v>45554</v>
      </c>
      <c r="B44" s="3">
        <v>-3.7608921999999996E-2</v>
      </c>
      <c r="C44" s="3">
        <v>-2.4205804000000001E-2</v>
      </c>
      <c r="D44" s="3">
        <v>8.414685999999999E-2</v>
      </c>
      <c r="E44" s="3">
        <v>6.3596487000000007E-2</v>
      </c>
      <c r="F44" s="3">
        <v>-1.4907300000000002E-2</v>
      </c>
      <c r="G44" s="3">
        <v>2.2143244999999999E-2</v>
      </c>
      <c r="H44" s="3">
        <v>6.4490437999999997E-2</v>
      </c>
      <c r="I44" s="3">
        <v>-1.7020523999999999E-2</v>
      </c>
      <c r="J44" s="3">
        <v>-3.4005225E-2</v>
      </c>
      <c r="K44" s="3">
        <v>-3.5757363E-2</v>
      </c>
      <c r="L44" s="3">
        <v>-2.6511490000000002E-2</v>
      </c>
      <c r="M44" s="3">
        <v>4.3814181999999998E-3</v>
      </c>
      <c r="N44" s="3">
        <v>-5.6290627000000007E-4</v>
      </c>
      <c r="O44" s="3">
        <v>2.8677583000000003E-2</v>
      </c>
      <c r="P44" s="3">
        <v>-6.05917E-3</v>
      </c>
      <c r="Q44" s="3">
        <v>4.5924186999999998E-2</v>
      </c>
      <c r="R44" s="3">
        <v>9.9336509999999989E-2</v>
      </c>
      <c r="S44" s="3">
        <v>-2.1491408E-2</v>
      </c>
      <c r="T44" s="3">
        <v>5.2595615000000005E-2</v>
      </c>
      <c r="U44" s="3">
        <v>2.1880030000000002E-2</v>
      </c>
      <c r="V44" s="3">
        <v>1.6330480000000001E-2</v>
      </c>
      <c r="W44" s="3">
        <v>3.3447385000000003E-2</v>
      </c>
      <c r="X44" s="3">
        <v>5.5905459999999997E-2</v>
      </c>
      <c r="Y44" s="3">
        <v>4.045522E-2</v>
      </c>
      <c r="Z44" s="3">
        <v>4.1876553999999996E-2</v>
      </c>
      <c r="AA44" s="3">
        <v>1.2364984000000001E-2</v>
      </c>
      <c r="AB44" s="3">
        <v>2.9205083999999997E-3</v>
      </c>
      <c r="AC44" s="3">
        <v>1.9026875000000002E-2</v>
      </c>
      <c r="AD44" s="3">
        <v>4.3426751999999999E-3</v>
      </c>
      <c r="AE44" s="3">
        <v>2.0317674000000001E-2</v>
      </c>
      <c r="AF44" s="3">
        <v>2.7268051999999997E-2</v>
      </c>
      <c r="AG44" s="3">
        <v>-1.9844770000000001E-3</v>
      </c>
      <c r="AH44" s="3">
        <v>4.0302873000000003E-2</v>
      </c>
      <c r="AI44" s="3">
        <v>3.0560613E-2</v>
      </c>
      <c r="AJ44" s="3"/>
      <c r="AK44" s="3"/>
      <c r="AL44" s="3"/>
    </row>
    <row r="45" spans="1:38" x14ac:dyDescent="0.45">
      <c r="A45" s="2">
        <v>45583</v>
      </c>
      <c r="B45" s="3">
        <v>0.21061302000000001</v>
      </c>
      <c r="C45" s="3">
        <v>1.9767403999999999E-2</v>
      </c>
      <c r="D45" s="3">
        <v>-3.2590091000000002E-2</v>
      </c>
      <c r="E45" s="3">
        <v>-8.5910559999999997E-3</v>
      </c>
      <c r="F45" s="3">
        <v>-4.9079775999999999E-2</v>
      </c>
      <c r="G45" s="3">
        <v>7.6170086999999997E-2</v>
      </c>
      <c r="H45" s="3">
        <v>-3.0665636E-2</v>
      </c>
      <c r="I45" s="3">
        <v>5.4924606999999993E-2</v>
      </c>
      <c r="J45" s="3">
        <v>-2.0141542000000002E-2</v>
      </c>
      <c r="K45" s="3">
        <v>-2.8790474E-2</v>
      </c>
      <c r="L45" s="3">
        <v>-6.3434066999999997E-2</v>
      </c>
      <c r="M45" s="3">
        <v>4.9854636000000001E-2</v>
      </c>
      <c r="N45" s="3">
        <v>-8.902788E-3</v>
      </c>
      <c r="O45" s="3">
        <v>-2.6673555000000002E-2</v>
      </c>
      <c r="P45" s="3">
        <v>0.18382180000000001</v>
      </c>
      <c r="Q45" s="3">
        <v>1.5367746E-2</v>
      </c>
      <c r="R45" s="3">
        <v>2.4043918000000001E-2</v>
      </c>
      <c r="S45" s="3">
        <v>-0.12225460999999999</v>
      </c>
      <c r="T45" s="3">
        <v>-3.439325E-2</v>
      </c>
      <c r="U45" s="3">
        <v>-2.8548716999999998E-2</v>
      </c>
      <c r="V45" s="3">
        <v>-1.5831708999999999E-2</v>
      </c>
      <c r="W45" s="3">
        <v>-2.2058844999999997E-2</v>
      </c>
      <c r="X45" s="3">
        <v>-9.6942779999999989E-3</v>
      </c>
      <c r="Y45" s="3">
        <v>2.1628141E-2</v>
      </c>
      <c r="Z45" s="3">
        <v>8.1596375000000006E-3</v>
      </c>
      <c r="AA45" s="3">
        <v>-1.5443027E-2</v>
      </c>
      <c r="AB45" s="3">
        <v>0</v>
      </c>
      <c r="AC45" s="3">
        <v>-1.2803495E-2</v>
      </c>
      <c r="AD45" s="3">
        <v>2.4418354E-2</v>
      </c>
      <c r="AE45" s="3">
        <v>2.6981234999999999E-2</v>
      </c>
      <c r="AF45" s="3">
        <v>-2.6296257999999999E-2</v>
      </c>
      <c r="AG45" s="3">
        <v>-3.4599364000000001E-2</v>
      </c>
      <c r="AH45" s="3">
        <v>-3.2636762E-2</v>
      </c>
      <c r="AI45" s="3">
        <v>1.0572433000000001E-2</v>
      </c>
      <c r="AJ45" s="3"/>
      <c r="AK45" s="3"/>
      <c r="AL45" s="3"/>
    </row>
    <row r="46" spans="1:38" x14ac:dyDescent="0.45">
      <c r="A46" s="2">
        <v>45615</v>
      </c>
      <c r="B46" s="3">
        <v>-5.7764053000000006E-3</v>
      </c>
      <c r="C46" s="3">
        <v>-3.4207523000000004E-2</v>
      </c>
      <c r="D46" s="3">
        <v>-0.10859924</v>
      </c>
      <c r="E46" s="3">
        <v>-0.10121316</v>
      </c>
      <c r="F46" s="3">
        <v>-8.8172020000000004E-2</v>
      </c>
      <c r="G46" s="3">
        <v>-2.4466872000000001E-2</v>
      </c>
      <c r="H46" s="3">
        <v>-5.7870390000000001E-2</v>
      </c>
      <c r="I46" s="3">
        <v>-4.3240366000000002E-2</v>
      </c>
      <c r="J46" s="3">
        <v>-5.6851864000000002E-2</v>
      </c>
      <c r="K46" s="3">
        <v>-7.3143243999999996E-2</v>
      </c>
      <c r="L46" s="3">
        <v>-3.2624124999999997E-2</v>
      </c>
      <c r="M46" s="3">
        <v>-6.1535415999999996E-2</v>
      </c>
      <c r="N46" s="3">
        <v>-8.4503355000000002E-2</v>
      </c>
      <c r="O46" s="3">
        <v>-5.2864256000000005E-2</v>
      </c>
      <c r="P46" s="3">
        <v>-5.5456580000000005E-2</v>
      </c>
      <c r="Q46" s="3">
        <v>-8.6486339999999988E-3</v>
      </c>
      <c r="R46" s="3">
        <v>-1.9941986000000002E-2</v>
      </c>
      <c r="S46" s="3">
        <v>4.5221566999999997E-2</v>
      </c>
      <c r="T46" s="3">
        <v>4.6370982999999998E-2</v>
      </c>
      <c r="U46" s="3">
        <v>-7.0204077000000004E-2</v>
      </c>
      <c r="V46" s="3">
        <v>-3.3614040000000001E-3</v>
      </c>
      <c r="W46" s="3">
        <v>-3.3732950000000005E-2</v>
      </c>
      <c r="X46" s="3">
        <v>-1.5813231000000001E-2</v>
      </c>
      <c r="Y46" s="3">
        <v>5.7088137000000008E-3</v>
      </c>
      <c r="Z46" s="3">
        <v>-5.6055190000000005E-2</v>
      </c>
      <c r="AA46" s="3">
        <v>-3.3509194999999999E-2</v>
      </c>
      <c r="AB46" s="3">
        <v>-8.3672999999999997E-2</v>
      </c>
      <c r="AC46" s="3">
        <v>-6.106454E-2</v>
      </c>
      <c r="AD46" s="3">
        <v>1.8181085999999999E-2</v>
      </c>
      <c r="AE46" s="3">
        <v>9.7674130000000008E-3</v>
      </c>
      <c r="AF46" s="3">
        <v>-7.6178369999999995E-2</v>
      </c>
      <c r="AG46" s="3">
        <v>-7.7445926999999998E-2</v>
      </c>
      <c r="AH46" s="3">
        <v>-7.0388374000000004E-2</v>
      </c>
      <c r="AI46" s="3">
        <v>-7.3232945999999993E-2</v>
      </c>
      <c r="AJ46" s="3"/>
      <c r="AK46" s="3"/>
      <c r="AL46" s="3"/>
    </row>
    <row r="47" spans="1:38" x14ac:dyDescent="0.45">
      <c r="A47" s="2">
        <v>45645</v>
      </c>
      <c r="B47" s="3">
        <v>-1.4687776999999999E-2</v>
      </c>
      <c r="C47" s="3">
        <v>-1.1288762000000001E-2</v>
      </c>
      <c r="D47" s="3">
        <v>-8.5696220000000004E-2</v>
      </c>
      <c r="E47" s="3">
        <v>-4.4981536999999995E-2</v>
      </c>
      <c r="F47" s="3">
        <v>3.2103658E-2</v>
      </c>
      <c r="G47" s="3">
        <v>-4.8797607E-2</v>
      </c>
      <c r="H47" s="3">
        <v>-1.1270583000000001E-2</v>
      </c>
      <c r="I47" s="3">
        <v>-1.2274324999999999E-2</v>
      </c>
      <c r="J47" s="3">
        <v>-2.8324007999999998E-2</v>
      </c>
      <c r="K47" s="3">
        <v>-6.3716530000000007E-2</v>
      </c>
      <c r="L47" s="3">
        <v>-0.12504630999999999</v>
      </c>
      <c r="M47" s="3">
        <v>-3.5712183000000002E-2</v>
      </c>
      <c r="N47" s="3">
        <v>4.6399355000000003E-2</v>
      </c>
      <c r="O47" s="3">
        <v>1.1079311000000001E-2</v>
      </c>
      <c r="P47" s="3">
        <v>-1.8527508000000001E-3</v>
      </c>
      <c r="Q47" s="3">
        <v>-1.5074372000000001E-2</v>
      </c>
      <c r="R47" s="3">
        <v>-5.6557360000000001E-2</v>
      </c>
      <c r="S47" s="3">
        <v>3.2612204999999998E-2</v>
      </c>
      <c r="T47" s="3">
        <v>3.7797331999999996E-2</v>
      </c>
      <c r="U47" s="3">
        <v>2.1071076000000001E-2</v>
      </c>
      <c r="V47" s="3">
        <v>-9.8951460000000005E-3</v>
      </c>
      <c r="W47" s="3">
        <v>-5.8656693000000003E-2</v>
      </c>
      <c r="X47" s="3">
        <v>-7.3061584999999998E-2</v>
      </c>
      <c r="Y47" s="3">
        <v>-4.9857616E-2</v>
      </c>
      <c r="Z47" s="3">
        <v>1.4607787000000001E-2</v>
      </c>
      <c r="AA47" s="3">
        <v>-5.1477550000000004E-3</v>
      </c>
      <c r="AB47" s="3">
        <v>-3.1144082999999999E-2</v>
      </c>
      <c r="AC47" s="3">
        <v>-1.0740696999999999E-2</v>
      </c>
      <c r="AD47" s="3">
        <v>2.1272779000000002E-2</v>
      </c>
      <c r="AE47" s="3">
        <v>-7.1150659999999998E-3</v>
      </c>
      <c r="AF47" s="3">
        <v>-1.3080537000000001E-2</v>
      </c>
      <c r="AG47" s="3">
        <v>5.0719976000000002E-3</v>
      </c>
      <c r="AH47" s="3">
        <v>-2.2715390000000002E-2</v>
      </c>
      <c r="AI47" s="3">
        <v>-7.0410967E-3</v>
      </c>
      <c r="AJ47" s="3"/>
      <c r="AK47" s="3"/>
      <c r="AL47" s="3"/>
    </row>
    <row r="48" spans="1:38" x14ac:dyDescent="0.45">
      <c r="A48" s="2">
        <v>45674</v>
      </c>
      <c r="B48" s="3">
        <v>-3.2966970999999998E-2</v>
      </c>
      <c r="C48" s="3">
        <v>2.9552697999999999E-2</v>
      </c>
      <c r="D48" s="3">
        <v>2.1944523000000001E-2</v>
      </c>
      <c r="E48" s="3">
        <v>8.1466435999999996E-3</v>
      </c>
      <c r="F48" s="3">
        <v>4.8433064999999997E-2</v>
      </c>
      <c r="G48" s="3">
        <v>9.1809034000000008E-3</v>
      </c>
      <c r="H48" s="3">
        <v>-1.0970473000000001E-2</v>
      </c>
      <c r="I48" s="3">
        <v>3.4716130000000001E-3</v>
      </c>
      <c r="J48" s="3">
        <v>-1.0216832E-2</v>
      </c>
      <c r="K48" s="3">
        <v>4.2593718000000003E-2</v>
      </c>
      <c r="L48" s="3">
        <v>3.1537414E-2</v>
      </c>
      <c r="M48" s="3">
        <v>-1.7273127999999999E-2</v>
      </c>
      <c r="N48" s="3">
        <v>5.0236225000000002E-2</v>
      </c>
      <c r="O48" s="3">
        <v>-4.8168124999999999E-2</v>
      </c>
      <c r="P48" s="3">
        <v>-1.0916113999999999E-2</v>
      </c>
      <c r="Q48" s="3">
        <v>1.12473965E-3</v>
      </c>
      <c r="R48" s="3">
        <v>-2.6787101999999997E-2</v>
      </c>
      <c r="S48" s="3">
        <v>2.0471096000000001E-2</v>
      </c>
      <c r="T48" s="3">
        <v>5.2044629999999995E-2</v>
      </c>
      <c r="U48" s="3">
        <v>-2.1496116999999999E-2</v>
      </c>
      <c r="V48" s="3">
        <v>4.0020585000000004E-2</v>
      </c>
      <c r="W48" s="3">
        <v>2.876389E-2</v>
      </c>
      <c r="X48" s="3">
        <v>1.7205238000000001E-2</v>
      </c>
      <c r="Y48" s="3">
        <v>2.2956609999999999E-2</v>
      </c>
      <c r="Z48" s="3">
        <v>3.7558675E-2</v>
      </c>
      <c r="AA48" s="3">
        <v>-3.1630993E-3</v>
      </c>
      <c r="AB48" s="3">
        <v>3.1489134000000002E-2</v>
      </c>
      <c r="AC48" s="3">
        <v>2.108705E-2</v>
      </c>
      <c r="AD48" s="3">
        <v>1.6342521000000002E-2</v>
      </c>
      <c r="AE48" s="3">
        <v>2.2977233E-2</v>
      </c>
      <c r="AF48" s="3">
        <v>4.9831149999999998E-2</v>
      </c>
      <c r="AG48" s="3">
        <v>3.3609629000000002E-2</v>
      </c>
      <c r="AH48" s="3">
        <v>4.8357010000000006E-2</v>
      </c>
      <c r="AI48" s="3">
        <v>6.3344600000000001E-2</v>
      </c>
      <c r="AJ48" s="3"/>
      <c r="AK48" s="3"/>
      <c r="AL48" s="3"/>
    </row>
    <row r="49" spans="1:38" x14ac:dyDescent="0.45">
      <c r="A49" s="2">
        <v>45707</v>
      </c>
      <c r="B49" s="3">
        <v>3.4824014E-2</v>
      </c>
      <c r="C49" s="3">
        <v>0.10938716</v>
      </c>
      <c r="D49" s="3">
        <v>-3.8378358000000001E-2</v>
      </c>
      <c r="E49" s="3">
        <v>-1.5353501E-2</v>
      </c>
      <c r="F49" s="3">
        <v>0.18297099999999999</v>
      </c>
      <c r="G49" s="3">
        <v>3.0887722999999999E-2</v>
      </c>
      <c r="H49" s="3">
        <v>2.9010296000000001E-2</v>
      </c>
      <c r="I49" s="3">
        <v>2.0757317999999997E-2</v>
      </c>
      <c r="J49" s="3">
        <v>0.10069513000000001</v>
      </c>
      <c r="K49" s="3">
        <v>6.2921642999999999E-2</v>
      </c>
      <c r="L49" s="3">
        <v>0.10785568</v>
      </c>
      <c r="M49" s="3">
        <v>8.319675E-2</v>
      </c>
      <c r="N49" s="3">
        <v>5.9179424999999994E-2</v>
      </c>
      <c r="O49" s="3">
        <v>-2.7745247000000001E-2</v>
      </c>
      <c r="P49" s="3">
        <v>0.16273535</v>
      </c>
      <c r="Q49" s="3">
        <v>1.5168547999999999E-2</v>
      </c>
      <c r="R49" s="3">
        <v>-5.8450103000000003E-2</v>
      </c>
      <c r="S49" s="3">
        <v>-4.8502325999999998E-2</v>
      </c>
      <c r="T49" s="3">
        <v>3.3568859999999999E-2</v>
      </c>
      <c r="U49" s="3">
        <v>3.4270643999999996E-2</v>
      </c>
      <c r="V49" s="3">
        <v>4.2928456999999998E-3</v>
      </c>
      <c r="W49" s="3">
        <v>-5.2925944000000004E-3</v>
      </c>
      <c r="X49" s="3">
        <v>3.3003330000000004E-2</v>
      </c>
      <c r="Y49" s="3">
        <v>4.1430353999999996E-2</v>
      </c>
      <c r="Z49" s="3">
        <v>8.7782750000000007E-2</v>
      </c>
      <c r="AA49" s="3">
        <v>5.1979540000000005E-2</v>
      </c>
      <c r="AB49" s="3">
        <v>7.8227760000000007E-2</v>
      </c>
      <c r="AC49" s="3">
        <v>6.5735817000000002E-2</v>
      </c>
      <c r="AD49" s="3">
        <v>3.4078360000000002E-2</v>
      </c>
      <c r="AE49" s="3">
        <v>2.5686859999999999E-2</v>
      </c>
      <c r="AF49" s="3">
        <v>6.5164923999999999E-2</v>
      </c>
      <c r="AG49" s="3">
        <v>4.8775196E-2</v>
      </c>
      <c r="AH49" s="3">
        <v>0.11034656</v>
      </c>
      <c r="AI49" s="3">
        <v>7.4132920000000005E-2</v>
      </c>
      <c r="AJ49" s="3"/>
      <c r="AK49" s="3"/>
      <c r="AL49" s="3"/>
    </row>
    <row r="50" spans="1:38" x14ac:dyDescent="0.45">
      <c r="A50" s="2">
        <v>45735</v>
      </c>
      <c r="B50" s="3">
        <v>2.5858998000000001E-2</v>
      </c>
      <c r="C50" s="3">
        <v>8.1818219999999997E-2</v>
      </c>
      <c r="D50" s="3">
        <v>-0.10342895499999999</v>
      </c>
      <c r="E50" s="3">
        <v>6.1551094000000001E-2</v>
      </c>
      <c r="F50" s="3">
        <v>0.10222054</v>
      </c>
      <c r="G50" s="3">
        <v>6.6945553000000005E-2</v>
      </c>
      <c r="H50" s="3">
        <v>-3.3167540000000002E-2</v>
      </c>
      <c r="I50" s="3">
        <v>-5.5921674000000005E-2</v>
      </c>
      <c r="J50" s="3">
        <v>3.2535789999999999E-3</v>
      </c>
      <c r="K50" s="3">
        <v>-1.7844855999999999E-2</v>
      </c>
      <c r="L50" s="3">
        <v>3.2579541000000004E-2</v>
      </c>
      <c r="M50" s="3">
        <v>5.5170893999999998E-2</v>
      </c>
      <c r="N50" s="3">
        <v>0.12245846000000001</v>
      </c>
      <c r="O50" s="3">
        <v>1.7082094999999999E-2</v>
      </c>
      <c r="P50" s="3">
        <v>8.5241079999999997E-2</v>
      </c>
      <c r="Q50" s="3">
        <v>3.873825E-3</v>
      </c>
      <c r="R50" s="3">
        <v>-5.7523310000000001E-2</v>
      </c>
      <c r="S50" s="3">
        <v>-4.5776130000000005E-2</v>
      </c>
      <c r="T50" s="3">
        <v>-3.019935E-2</v>
      </c>
      <c r="U50" s="3">
        <v>7.0518255000000002E-2</v>
      </c>
      <c r="V50" s="3">
        <v>-4.1082859999999999E-2</v>
      </c>
      <c r="W50" s="3">
        <v>-6.4380527000000007E-2</v>
      </c>
      <c r="X50" s="3">
        <v>-5.5511236000000005E-2</v>
      </c>
      <c r="Y50" s="3">
        <v>-2.8178990000000001E-2</v>
      </c>
      <c r="Z50" s="3">
        <v>8.2640060000000001E-2</v>
      </c>
      <c r="AA50" s="3">
        <v>2.9876350999999999E-2</v>
      </c>
      <c r="AB50" s="3">
        <v>4.6795129999999997E-2</v>
      </c>
      <c r="AC50" s="3">
        <v>3.6845087999999998E-2</v>
      </c>
      <c r="AD50" s="3">
        <v>-0.10867065000000001</v>
      </c>
      <c r="AE50" s="3">
        <v>-7.4723005000000009E-2</v>
      </c>
      <c r="AF50" s="3">
        <v>5.6646465999999999E-2</v>
      </c>
      <c r="AG50" s="3">
        <v>2.2943376999999997E-2</v>
      </c>
      <c r="AH50" s="3">
        <v>2.6623845E-2</v>
      </c>
      <c r="AI50" s="3">
        <v>8.4298850000000008E-2</v>
      </c>
      <c r="AJ50" s="3"/>
      <c r="AK50" s="3"/>
      <c r="AL50" s="3"/>
    </row>
    <row r="51" spans="1:38" x14ac:dyDescent="0.45">
      <c r="A51" s="2">
        <v>45764</v>
      </c>
      <c r="B51" s="3">
        <v>-7.3895034999999998E-2</v>
      </c>
      <c r="C51" s="3">
        <v>-3.1997382999999997E-2</v>
      </c>
      <c r="D51" s="3">
        <v>1.1285186000000001E-2</v>
      </c>
      <c r="E51" s="3">
        <v>-2.1959781999999997E-2</v>
      </c>
      <c r="F51" s="3">
        <v>-1.7367125000000001E-2</v>
      </c>
      <c r="G51" s="3">
        <v>-2.8776944000000002E-2</v>
      </c>
      <c r="H51" s="3">
        <v>-2.3584901999999998E-2</v>
      </c>
      <c r="I51" s="3">
        <v>-0.10490620000000001</v>
      </c>
      <c r="J51" s="3">
        <v>4.7882556999999999E-2</v>
      </c>
      <c r="K51" s="3">
        <v>-5.1187990000000003E-2</v>
      </c>
      <c r="L51" s="3">
        <v>-6.3845633999999998E-2</v>
      </c>
      <c r="M51" s="3">
        <v>-1.7838836E-2</v>
      </c>
      <c r="N51" s="3">
        <v>-1.4365971E-2</v>
      </c>
      <c r="O51" s="3">
        <v>3.2602190000000003E-2</v>
      </c>
      <c r="P51" s="3">
        <v>-0.15469045000000001</v>
      </c>
      <c r="Q51" s="3">
        <v>-2.3153244999999999E-2</v>
      </c>
      <c r="R51" s="3">
        <v>-3.2538772000000001E-2</v>
      </c>
      <c r="S51" s="3">
        <v>-3.4201025999999995E-2</v>
      </c>
      <c r="T51" s="3">
        <v>-1.5276133999999999E-2</v>
      </c>
      <c r="U51" s="3">
        <v>-6.9047689999999995E-2</v>
      </c>
      <c r="V51" s="3">
        <v>-4.7053694999999998E-3</v>
      </c>
      <c r="W51" s="3">
        <v>2.8611898E-2</v>
      </c>
      <c r="X51" s="3">
        <v>-1.6912817999999998E-3</v>
      </c>
      <c r="Y51" s="3">
        <v>1.4619826999999999E-3</v>
      </c>
      <c r="Z51" s="3">
        <v>-4.2008159999999996E-2</v>
      </c>
      <c r="AA51" s="3">
        <v>-5.062759E-2</v>
      </c>
      <c r="AB51" s="3">
        <v>-2.4229944E-2</v>
      </c>
      <c r="AC51" s="3">
        <v>-2.6849210000000002E-2</v>
      </c>
      <c r="AD51" s="3">
        <v>-7.5156870000000001E-2</v>
      </c>
      <c r="AE51" s="3">
        <v>-6.900966E-2</v>
      </c>
      <c r="AF51" s="3">
        <v>-6.5522966000000002E-2</v>
      </c>
      <c r="AG51" s="3">
        <v>-5.9405985000000001E-2</v>
      </c>
      <c r="AH51" s="3">
        <v>-6.3268480000000002E-2</v>
      </c>
      <c r="AI51" s="3">
        <v>-4.2282342999999993E-2</v>
      </c>
      <c r="AJ51" s="3"/>
      <c r="AK51" s="3"/>
      <c r="AL51" s="3"/>
    </row>
    <row r="52" spans="1:38" x14ac:dyDescent="0.45">
      <c r="A52" s="2">
        <v>45796</v>
      </c>
      <c r="B52" s="3">
        <v>4.9216985999999997E-2</v>
      </c>
      <c r="C52" s="3">
        <v>0.10050081999999999</v>
      </c>
      <c r="D52" s="3">
        <v>0.16181028</v>
      </c>
      <c r="E52" s="3">
        <v>0.10268390999999999</v>
      </c>
      <c r="F52" s="3">
        <v>7.9179883000000006E-2</v>
      </c>
      <c r="G52" s="3">
        <v>4.5370340000000002E-2</v>
      </c>
      <c r="H52" s="3">
        <v>8.4321499999999994E-2</v>
      </c>
      <c r="I52" s="3">
        <v>0.19919777</v>
      </c>
      <c r="J52" s="3">
        <v>0.10267614999999999</v>
      </c>
      <c r="K52" s="3">
        <v>8.3041780000000009E-2</v>
      </c>
      <c r="L52" s="3">
        <v>0.11736727</v>
      </c>
      <c r="M52" s="3">
        <v>6.6388370000000002E-2</v>
      </c>
      <c r="N52" s="3">
        <v>0.11744833</v>
      </c>
      <c r="O52" s="3">
        <v>4.8220395999999999E-2</v>
      </c>
      <c r="P52" s="3">
        <v>0.10975861999999999</v>
      </c>
      <c r="Q52" s="3">
        <v>7.5056434000000005E-2</v>
      </c>
      <c r="R52" s="3">
        <v>3.1374216000000003E-2</v>
      </c>
      <c r="S52" s="3">
        <v>1.8176197999999998E-2</v>
      </c>
      <c r="T52" s="3">
        <v>0.11276840999999999</v>
      </c>
      <c r="U52" s="3">
        <v>9.6760509999999994E-2</v>
      </c>
      <c r="V52" s="3">
        <v>-6.9668890000000004E-3</v>
      </c>
      <c r="W52" s="3">
        <v>3.7931085000000003E-2</v>
      </c>
      <c r="X52" s="3">
        <v>8.5556870000000007E-2</v>
      </c>
      <c r="Y52" s="3">
        <v>7.1776149999999997E-2</v>
      </c>
      <c r="Z52" s="3">
        <v>0.11122989999999999</v>
      </c>
      <c r="AA52" s="3">
        <v>6.6108465000000005E-2</v>
      </c>
      <c r="AB52" s="3">
        <v>5.9095262999999995E-2</v>
      </c>
      <c r="AC52" s="3">
        <v>6.3835499999999989E-2</v>
      </c>
      <c r="AD52" s="3">
        <v>0.17543351999999998</v>
      </c>
      <c r="AE52" s="3">
        <v>0.13001275000000001</v>
      </c>
      <c r="AF52" s="3">
        <v>8.949507000000001E-2</v>
      </c>
      <c r="AG52" s="3">
        <v>0.13093447999999999</v>
      </c>
      <c r="AH52" s="3">
        <v>0.10238659</v>
      </c>
      <c r="AI52" s="3">
        <v>0.12271536</v>
      </c>
      <c r="AJ52" s="3"/>
      <c r="AK52" s="3"/>
      <c r="AL52" s="3"/>
    </row>
    <row r="53" spans="1:38" x14ac:dyDescent="0.45">
      <c r="A53" s="2">
        <v>45826</v>
      </c>
      <c r="B53" s="3">
        <v>-2.4362803E-3</v>
      </c>
      <c r="C53" s="3">
        <v>-5.9596059999999999E-2</v>
      </c>
      <c r="D53" s="3">
        <v>-2.0761907000000003E-2</v>
      </c>
      <c r="E53" s="3">
        <v>-3.1605004999999999E-2</v>
      </c>
      <c r="F53" s="3">
        <v>-2.1542906999999997E-2</v>
      </c>
      <c r="G53" s="3">
        <v>6.9621443999999991E-2</v>
      </c>
      <c r="H53" s="3">
        <v>-2.4271727E-2</v>
      </c>
      <c r="I53" s="3">
        <v>4.1062830000000002E-2</v>
      </c>
      <c r="J53" s="3">
        <v>-8.7850689999999995E-3</v>
      </c>
      <c r="K53" s="3">
        <v>0.15385925</v>
      </c>
      <c r="L53" s="3">
        <v>1.4584899E-2</v>
      </c>
      <c r="M53" s="3">
        <v>2.6058912E-2</v>
      </c>
      <c r="N53" s="3">
        <v>3.1758069999999999E-2</v>
      </c>
      <c r="O53" s="3">
        <v>-1.8072247999999999E-2</v>
      </c>
      <c r="P53" s="3">
        <v>-4.4781565999999998E-3</v>
      </c>
      <c r="Q53" s="3">
        <v>-4.2074920000000002E-2</v>
      </c>
      <c r="R53" s="3">
        <v>-9.9683279999999999E-2</v>
      </c>
      <c r="S53" s="3">
        <v>-5.9148192000000002E-2</v>
      </c>
      <c r="T53" s="3">
        <v>-5.8089136999999999E-2</v>
      </c>
      <c r="U53" s="3">
        <v>3.8476467E-2</v>
      </c>
      <c r="V53" s="3">
        <v>-7.3554460000000002E-2</v>
      </c>
      <c r="W53" s="3">
        <v>7.9034567000000003E-3</v>
      </c>
      <c r="X53" s="3">
        <v>2.4340153E-2</v>
      </c>
      <c r="Y53" s="3">
        <v>3.5709261999999999E-2</v>
      </c>
      <c r="Z53" s="3">
        <v>-1.479131E-2</v>
      </c>
      <c r="AA53" s="3">
        <v>1.4749407999999999E-2</v>
      </c>
      <c r="AB53" s="3">
        <v>-1.3751388E-2</v>
      </c>
      <c r="AC53" s="3">
        <v>1.7616271999999999E-2</v>
      </c>
      <c r="AD53" s="3">
        <v>1.3371348E-2</v>
      </c>
      <c r="AE53" s="3">
        <v>4.3541192999999997E-3</v>
      </c>
      <c r="AF53" s="3">
        <v>-2.7583837999999999E-3</v>
      </c>
      <c r="AG53" s="3">
        <v>5.6998729999999994E-3</v>
      </c>
      <c r="AH53" s="3">
        <v>-2.642268E-2</v>
      </c>
      <c r="AI53" s="3">
        <v>-6.6488980000000005E-4</v>
      </c>
      <c r="AJ53" s="3"/>
      <c r="AK53" s="3"/>
      <c r="AL53" s="3"/>
    </row>
    <row r="54" spans="1:38" x14ac:dyDescent="0.45">
      <c r="A54" s="2">
        <v>45856</v>
      </c>
      <c r="B54" s="3">
        <v>6.3304780000000005E-2</v>
      </c>
      <c r="C54" s="3">
        <v>-5.9327483000000004E-3</v>
      </c>
      <c r="D54" s="3">
        <v>-1.0072768000000001E-2</v>
      </c>
      <c r="E54" s="3">
        <v>-2.2097408999999998E-2</v>
      </c>
      <c r="F54" s="3">
        <v>0.11920977000000001</v>
      </c>
      <c r="G54" s="3">
        <v>1.9114732999999998E-2</v>
      </c>
      <c r="H54" s="3">
        <v>1.4412879999999999E-2</v>
      </c>
      <c r="I54" s="3">
        <v>5.7290792E-2</v>
      </c>
      <c r="J54" s="3">
        <v>8.3092449999999998E-3</v>
      </c>
      <c r="K54" s="3">
        <v>6.6597820000000002E-2</v>
      </c>
      <c r="L54" s="3">
        <v>-4.3803396000000001E-2</v>
      </c>
      <c r="M54" s="3">
        <v>5.8108090000000001E-2</v>
      </c>
      <c r="N54" s="3">
        <v>0.13830149</v>
      </c>
      <c r="O54" s="3">
        <v>1.3199449E-2</v>
      </c>
      <c r="P54" s="3">
        <v>6.5269830000000001E-2</v>
      </c>
      <c r="Q54" s="3">
        <v>6.1167239999999998E-2</v>
      </c>
      <c r="R54" s="3">
        <v>0.12898481000000001</v>
      </c>
      <c r="S54" s="3">
        <v>9.5815300000000006E-2</v>
      </c>
      <c r="T54" s="3">
        <v>0.17598580999999999</v>
      </c>
      <c r="U54" s="3">
        <v>0.16579342</v>
      </c>
      <c r="V54" s="3">
        <v>4.867983E-2</v>
      </c>
      <c r="W54" s="3">
        <v>1.3642311000000001E-2</v>
      </c>
      <c r="X54" s="3">
        <v>2.2815108000000001E-2</v>
      </c>
      <c r="Y54" s="3">
        <v>2.8023005E-2</v>
      </c>
      <c r="Z54" s="3">
        <v>4.5928597000000002E-2</v>
      </c>
      <c r="AA54" s="3">
        <v>-1.6974746999999998E-2</v>
      </c>
      <c r="AB54" s="3">
        <v>2.3098588000000003E-2</v>
      </c>
      <c r="AC54" s="3">
        <v>1.4788269999999999E-2</v>
      </c>
      <c r="AD54" s="3">
        <v>6.2182665000000005E-2</v>
      </c>
      <c r="AE54" s="3">
        <v>5.3561569999999996E-2</v>
      </c>
      <c r="AF54" s="3">
        <v>2.9997587000000003E-2</v>
      </c>
      <c r="AG54" s="3">
        <v>2.3204923000000002E-2</v>
      </c>
      <c r="AH54" s="3">
        <v>1.5234232E-2</v>
      </c>
      <c r="AI54" s="3">
        <v>2.8626800000000001E-2</v>
      </c>
      <c r="AJ54" s="3"/>
      <c r="AK54" s="3"/>
      <c r="AL54" s="3"/>
    </row>
    <row r="55" spans="1:38" x14ac:dyDescent="0.45">
      <c r="A55" s="2">
        <v>45888</v>
      </c>
      <c r="B55" s="3">
        <v>4.3390511999999999E-2</v>
      </c>
      <c r="C55" s="3">
        <v>6.7307709999999993E-2</v>
      </c>
      <c r="D55" s="3">
        <v>3.5048007999999999E-2</v>
      </c>
      <c r="E55" s="3">
        <v>5.3619145999999999E-3</v>
      </c>
      <c r="F55" s="3">
        <v>2.8301954000000001E-2</v>
      </c>
      <c r="G55" s="3">
        <v>6.9536448000000001E-2</v>
      </c>
      <c r="H55" s="3">
        <v>5.2235722999999998E-2</v>
      </c>
      <c r="I55" s="3">
        <v>1.4348388E-2</v>
      </c>
      <c r="J55" s="3">
        <v>3.0104280000000001E-2</v>
      </c>
      <c r="K55" s="3">
        <v>-1.3123332999999999E-2</v>
      </c>
      <c r="L55" s="3">
        <v>1.899445E-2</v>
      </c>
      <c r="M55" s="3">
        <v>3.3935308000000004E-2</v>
      </c>
      <c r="N55" s="3">
        <v>6.4542530000000001E-2</v>
      </c>
      <c r="O55" s="3">
        <v>-1.559633E-2</v>
      </c>
      <c r="P55" s="3">
        <v>3.7249804000000004E-2</v>
      </c>
      <c r="Q55" s="3">
        <v>7.0333122999999997E-2</v>
      </c>
      <c r="R55" s="3">
        <v>2.4184108000000003E-2</v>
      </c>
      <c r="S55" s="3">
        <v>4.5613050000000002E-2</v>
      </c>
      <c r="T55" s="3">
        <v>-7.0920586999999998E-3</v>
      </c>
      <c r="U55" s="3">
        <v>0.14927768999999999</v>
      </c>
      <c r="V55" s="3">
        <v>-7.6056120000000003E-3</v>
      </c>
      <c r="W55" s="3">
        <v>-1.9695758999999998E-3</v>
      </c>
      <c r="X55" s="3">
        <v>6.049156E-3</v>
      </c>
      <c r="Y55" s="3">
        <v>8.8001490000000002E-3</v>
      </c>
      <c r="Z55" s="3">
        <v>6.1713459999999994E-3</v>
      </c>
      <c r="AA55" s="3">
        <v>0.11432945</v>
      </c>
      <c r="AB55" s="3">
        <v>7.7092649999999999E-3</v>
      </c>
      <c r="AC55" s="3">
        <v>3.7437200000000004E-2</v>
      </c>
      <c r="AD55" s="3">
        <v>1.428926E-2</v>
      </c>
      <c r="AE55" s="3">
        <v>1.9487500000000001E-2</v>
      </c>
      <c r="AF55" s="3">
        <v>2.0969272000000001E-2</v>
      </c>
      <c r="AG55" s="3">
        <v>-4.5828223E-3</v>
      </c>
      <c r="AH55" s="3">
        <v>4.2777179999999998E-2</v>
      </c>
      <c r="AI55" s="3">
        <v>8.0142260000000007E-2</v>
      </c>
      <c r="AJ55" s="3"/>
      <c r="AK55" s="3"/>
      <c r="AL55" s="3"/>
    </row>
    <row r="56" spans="1:38" x14ac:dyDescent="0.45">
      <c r="A56" s="2">
        <v>45919</v>
      </c>
      <c r="B56" s="3">
        <v>7.8336595999999994E-2</v>
      </c>
      <c r="C56" s="3">
        <v>4.3491840000000004E-2</v>
      </c>
      <c r="D56" s="3">
        <v>-2.8399706E-2</v>
      </c>
      <c r="E56" s="3">
        <v>2.0952343999999998E-2</v>
      </c>
      <c r="F56" s="3">
        <v>-6.0076949999999997E-2</v>
      </c>
      <c r="G56" s="3">
        <v>0.1186378</v>
      </c>
      <c r="H56" s="3">
        <v>1.6282797000000002E-2</v>
      </c>
      <c r="I56" s="3">
        <v>5.4751277000000001E-2</v>
      </c>
      <c r="J56" s="3">
        <v>7.918370000000001E-2</v>
      </c>
      <c r="K56" s="3">
        <v>0.12052071</v>
      </c>
      <c r="L56" s="3">
        <v>0.13048243500000001</v>
      </c>
      <c r="M56" s="3">
        <v>0.10358214</v>
      </c>
      <c r="N56" s="3">
        <v>-1.5502690999999999E-2</v>
      </c>
      <c r="O56" s="3">
        <v>5.4053070000000007E-3</v>
      </c>
      <c r="P56" s="3">
        <v>8.1389539999999996E-2</v>
      </c>
      <c r="Q56" s="3">
        <v>-1.4822124999999998E-2</v>
      </c>
      <c r="R56" s="3">
        <v>4.6093105999999995E-2</v>
      </c>
      <c r="S56" s="3">
        <v>2.5507330000000002E-2</v>
      </c>
      <c r="T56" s="3">
        <v>-1.8565178000000002E-2</v>
      </c>
      <c r="U56" s="3">
        <v>-1.2290478000000001E-2</v>
      </c>
      <c r="V56" s="3">
        <v>-2.6422739000000003E-4</v>
      </c>
      <c r="W56" s="3">
        <v>1.7651558000000001E-2</v>
      </c>
      <c r="X56" s="3">
        <v>1.0522366E-2</v>
      </c>
      <c r="Y56" s="3">
        <v>7.9361677000000005E-2</v>
      </c>
      <c r="Z56" s="3">
        <v>-2.7600825000000002E-2</v>
      </c>
      <c r="AA56" s="3">
        <v>9.6226929999999999E-3</v>
      </c>
      <c r="AB56" s="3">
        <v>6.5573454000000002E-3</v>
      </c>
      <c r="AC56" s="3">
        <v>1.6952753000000001E-3</v>
      </c>
      <c r="AD56" s="3">
        <v>5.2821040000000007E-2</v>
      </c>
      <c r="AE56" s="3">
        <v>4.0201186999999999E-2</v>
      </c>
      <c r="AF56" s="3">
        <v>-3.1948685999999998E-3</v>
      </c>
      <c r="AG56" s="3">
        <v>6.8119883999999992E-2</v>
      </c>
      <c r="AH56" s="3">
        <v>1.8685579000000001E-2</v>
      </c>
      <c r="AI56" s="3">
        <v>-4.8430562000000002E-3</v>
      </c>
      <c r="AJ56" s="3"/>
      <c r="AK56" s="3"/>
      <c r="AL56" s="3"/>
    </row>
    <row r="57" spans="1:38" x14ac:dyDescent="0.45">
      <c r="A57" s="2">
        <v>45947</v>
      </c>
      <c r="B57" s="3">
        <v>4.7832727000000005E-3</v>
      </c>
      <c r="C57" s="3">
        <v>-6.8472624000000008E-3</v>
      </c>
      <c r="D57" s="3">
        <v>-2.7543663999999999E-2</v>
      </c>
      <c r="E57" s="3">
        <v>-5.1865635E-2</v>
      </c>
      <c r="F57" s="3">
        <v>3.6523819999999999E-2</v>
      </c>
      <c r="G57" s="3">
        <v>8.9235310000000012E-2</v>
      </c>
      <c r="H57" s="3">
        <v>4.2985677999999999E-3</v>
      </c>
      <c r="I57" s="3">
        <v>2.6980042000000003E-2</v>
      </c>
      <c r="J57" s="3">
        <v>4.5382976999999995E-4</v>
      </c>
      <c r="K57" s="3">
        <v>0.10580873499999999</v>
      </c>
      <c r="L57" s="3">
        <v>-3.9443970000000002E-2</v>
      </c>
      <c r="M57" s="3">
        <v>4.5890690000000005E-2</v>
      </c>
      <c r="N57" s="3">
        <v>-2.1671355E-2</v>
      </c>
      <c r="O57" s="3">
        <v>9.4549656000000003E-3</v>
      </c>
      <c r="P57" s="3">
        <v>-1.7535685999999998E-2</v>
      </c>
      <c r="Q57" s="3">
        <v>-4.2878685E-2</v>
      </c>
      <c r="R57" s="3">
        <v>-1.4009237000000001E-2</v>
      </c>
      <c r="S57" s="3">
        <v>-9.8360719999999999E-2</v>
      </c>
      <c r="T57" s="3">
        <v>8.2178115999999996E-3</v>
      </c>
      <c r="U57" s="3">
        <v>8.5972899999999991E-2</v>
      </c>
      <c r="V57" s="3">
        <v>7.7980400000000005E-2</v>
      </c>
      <c r="W57" s="3">
        <v>-2.6610672000000002E-2</v>
      </c>
      <c r="X57" s="3">
        <v>1.1156797399999999E-3</v>
      </c>
      <c r="Y57" s="3">
        <v>-8.8704824000000008E-3</v>
      </c>
      <c r="Z57" s="3">
        <v>3.8815736999999999E-3</v>
      </c>
      <c r="AA57" s="3">
        <v>1.4977097999999999E-2</v>
      </c>
      <c r="AB57" s="3">
        <v>4.560256E-2</v>
      </c>
      <c r="AC57" s="3">
        <v>1.7166376000000001E-2</v>
      </c>
      <c r="AD57" s="3">
        <v>8.8028910000000002E-3</v>
      </c>
      <c r="AE57" s="3">
        <v>1.0396241999999999E-3</v>
      </c>
      <c r="AF57" s="3">
        <v>3.5485387E-2</v>
      </c>
      <c r="AG57" s="3">
        <v>3.1843781000000002E-2</v>
      </c>
      <c r="AH57" s="3">
        <v>7.5901746999999997E-3</v>
      </c>
      <c r="AI57" s="3">
        <v>-1.1679947E-2</v>
      </c>
      <c r="AJ57" s="3"/>
      <c r="AK57" s="3"/>
      <c r="AL57" s="3"/>
    </row>
    <row r="58" spans="1:38" x14ac:dyDescent="0.45">
      <c r="A58" s="2">
        <v>45980</v>
      </c>
      <c r="B58" s="3">
        <v>8.0333950000000005E-3</v>
      </c>
      <c r="C58" s="3">
        <v>0.11241007</v>
      </c>
      <c r="D58" s="3">
        <v>6.8208099999999994E-2</v>
      </c>
      <c r="E58" s="3">
        <v>-4.6438399999999998E-2</v>
      </c>
      <c r="F58" s="3">
        <v>1.123941E-2</v>
      </c>
      <c r="G58" s="3">
        <v>-2.7314603000000003E-2</v>
      </c>
      <c r="H58" s="3">
        <v>2.4513601999999999E-2</v>
      </c>
      <c r="I58" s="3">
        <v>-3.9790987999999999E-2</v>
      </c>
      <c r="J58" s="3">
        <v>9.6778869999999996E-3</v>
      </c>
      <c r="K58" s="3">
        <v>2.3045659999999999E-2</v>
      </c>
      <c r="L58" s="3">
        <v>9.3571299999999996E-2</v>
      </c>
      <c r="M58" s="3">
        <v>1.7734289E-2</v>
      </c>
      <c r="N58" s="3">
        <v>9.4023939999999997E-3</v>
      </c>
      <c r="O58" s="3">
        <v>6.9788693999999997E-3</v>
      </c>
      <c r="P58" s="3">
        <v>-2.2113442000000001E-2</v>
      </c>
      <c r="Q58" s="3">
        <v>-6.811559E-3</v>
      </c>
      <c r="R58" s="3">
        <v>-1.9142628E-3</v>
      </c>
      <c r="S58" s="3">
        <v>5.5172442999999995E-2</v>
      </c>
      <c r="T58" s="3">
        <v>-3.8716137000000005E-2</v>
      </c>
      <c r="U58" s="3">
        <v>-8.2812490000000002E-2</v>
      </c>
      <c r="V58" s="3">
        <v>-5.7626246999999998E-2</v>
      </c>
      <c r="W58" s="3">
        <v>-3.3396720000000005E-2</v>
      </c>
      <c r="X58" s="3">
        <v>-6.0178336999999998E-2</v>
      </c>
      <c r="Y58" s="3">
        <v>6.7621469999999996E-3</v>
      </c>
      <c r="Z58" s="3">
        <v>-4.519099E-2</v>
      </c>
      <c r="AA58" s="3">
        <v>-1.6097546000000001E-2</v>
      </c>
      <c r="AB58" s="3">
        <v>-2.4575949E-2</v>
      </c>
      <c r="AC58" s="3">
        <v>-8.0817939999999998E-3</v>
      </c>
      <c r="AD58" s="3">
        <v>-6.7226289999999999E-3</v>
      </c>
      <c r="AE58" s="3">
        <v>-2.6490687999999999E-3</v>
      </c>
      <c r="AF58" s="3">
        <v>-3.9575516999999998E-2</v>
      </c>
      <c r="AG58" s="3">
        <v>-2.7280509999999997E-2</v>
      </c>
      <c r="AH58" s="3">
        <v>-3.3898353999999999E-2</v>
      </c>
      <c r="AI58" s="3">
        <v>1.1227131E-2</v>
      </c>
      <c r="AJ58" s="3"/>
      <c r="AK58" s="3"/>
      <c r="AL58" s="3"/>
    </row>
    <row r="59" spans="1:38" x14ac:dyDescent="0.45">
      <c r="A59" s="2">
        <v>46010</v>
      </c>
      <c r="B59" s="3">
        <v>1.6880750999999999E-2</v>
      </c>
      <c r="C59" s="3">
        <v>6.0994624999999997E-2</v>
      </c>
      <c r="D59" s="3">
        <v>1.4113188E-2</v>
      </c>
      <c r="E59" s="3">
        <v>2.5804162000000002E-2</v>
      </c>
      <c r="F59" s="3">
        <v>8.0263729999999991E-2</v>
      </c>
      <c r="G59" s="3">
        <v>0.16722012</v>
      </c>
      <c r="H59" s="3">
        <v>4.9447060000000001E-2</v>
      </c>
      <c r="I59" s="3">
        <v>3.1681776000000002E-2</v>
      </c>
      <c r="J59" s="3">
        <v>5.1193714000000001E-2</v>
      </c>
      <c r="K59" s="3">
        <v>3.1564593000000002E-2</v>
      </c>
      <c r="L59" s="3">
        <v>-9.454905999999999E-3</v>
      </c>
      <c r="M59" s="3">
        <v>7.1291684999999994E-2</v>
      </c>
      <c r="N59" s="3">
        <v>6.1730384999999999E-2</v>
      </c>
      <c r="O59" s="3">
        <v>-1.2401998000000001E-2</v>
      </c>
      <c r="P59" s="3">
        <v>-8.6179969999999988E-3</v>
      </c>
      <c r="Q59" s="3">
        <v>2.5112630000000001E-3</v>
      </c>
      <c r="R59" s="3">
        <v>-1.5705526000000001E-2</v>
      </c>
      <c r="S59" s="3">
        <v>4.6370982999999998E-2</v>
      </c>
      <c r="T59" s="3">
        <v>3.0123709999999998E-2</v>
      </c>
      <c r="U59" s="3">
        <v>4.4292927000000003E-2</v>
      </c>
      <c r="V59" s="3">
        <v>-4.2341829999999997E-2</v>
      </c>
      <c r="W59" s="3">
        <v>3.9504646999999997E-2</v>
      </c>
      <c r="X59" s="3">
        <v>4.0500282999999998E-2</v>
      </c>
      <c r="Y59" s="3">
        <v>6.9956420000000005E-2</v>
      </c>
      <c r="Z59" s="3">
        <v>6.5553070000000005E-2</v>
      </c>
      <c r="AA59" s="3">
        <v>3.6578417000000002E-2</v>
      </c>
      <c r="AB59" s="3">
        <v>5.6955220000000001E-2</v>
      </c>
      <c r="AC59" s="3">
        <v>6.3619255999999999E-2</v>
      </c>
      <c r="AD59" s="3">
        <v>2.8639554999999997E-2</v>
      </c>
      <c r="AE59" s="3">
        <v>3.0112386000000001E-2</v>
      </c>
      <c r="AF59" s="3">
        <v>3.9086819000000002E-2</v>
      </c>
      <c r="AG59" s="3">
        <v>3.0299067000000002E-2</v>
      </c>
      <c r="AH59" s="3">
        <v>6.4656495999999994E-2</v>
      </c>
      <c r="AI59" s="3">
        <v>6.9738746000000004E-2</v>
      </c>
      <c r="AJ59" s="3"/>
      <c r="AK59" s="3"/>
      <c r="AL59" s="3"/>
    </row>
    <row r="60" spans="1:38" x14ac:dyDescent="0.45">
      <c r="A60" s="2">
        <v>46038</v>
      </c>
      <c r="B60" s="3">
        <v>4.7949195E-2</v>
      </c>
      <c r="C60" s="3">
        <v>0.12375975</v>
      </c>
      <c r="D60" s="3">
        <v>3.1201599999999999E-2</v>
      </c>
      <c r="E60" s="3">
        <v>7.1370600000000006E-2</v>
      </c>
      <c r="F60" s="3">
        <v>3.2777428999999997E-2</v>
      </c>
      <c r="G60" s="3">
        <v>0.16053367999999998</v>
      </c>
      <c r="H60" s="3">
        <v>3.5661696999999999E-2</v>
      </c>
      <c r="I60" s="3">
        <v>9.2472314999999999E-2</v>
      </c>
      <c r="J60" s="3">
        <v>7.4800370000000005E-2</v>
      </c>
      <c r="K60" s="3">
        <v>0.22859657</v>
      </c>
      <c r="L60" s="3">
        <v>6.7696449999999991E-2</v>
      </c>
      <c r="M60" s="3">
        <v>7.6627254000000006E-2</v>
      </c>
      <c r="N60" s="3">
        <v>6.3279509999999997E-2</v>
      </c>
      <c r="O60" s="3">
        <v>-2.4007440000000001E-2</v>
      </c>
      <c r="P60" s="3">
        <v>3.1172632999999998E-2</v>
      </c>
      <c r="Q60" s="3">
        <v>3.6484717999999999E-2</v>
      </c>
      <c r="R60" s="3">
        <v>2.4764656999999999E-2</v>
      </c>
      <c r="S60" s="3">
        <v>0.10183584</v>
      </c>
      <c r="T60" s="3">
        <v>3.2207846999999998E-2</v>
      </c>
      <c r="U60" s="3">
        <v>7.5056434000000005E-2</v>
      </c>
      <c r="V60" s="3">
        <v>4.0429114999999995E-2</v>
      </c>
      <c r="W60" s="3">
        <v>2.0861268000000002E-2</v>
      </c>
      <c r="X60" s="3">
        <v>3.3230305000000002E-2</v>
      </c>
      <c r="Y60" s="3">
        <v>2.701199E-2</v>
      </c>
      <c r="Z60" s="3">
        <v>2.9453754000000002E-2</v>
      </c>
      <c r="AA60" s="3">
        <v>6.0809135E-2</v>
      </c>
      <c r="AB60" s="3">
        <v>1.5779734E-2</v>
      </c>
      <c r="AC60" s="3">
        <v>3.7666439999999995E-2</v>
      </c>
      <c r="AD60" s="3">
        <v>8.1139799999999998E-3</v>
      </c>
      <c r="AE60" s="3">
        <v>1.6265273E-2</v>
      </c>
      <c r="AF60" s="3">
        <v>8.4613559999999997E-3</v>
      </c>
      <c r="AG60" s="3">
        <v>9.3623049999999985E-2</v>
      </c>
      <c r="AH60" s="3">
        <v>5.6848644999999996E-2</v>
      </c>
      <c r="AI60" s="3">
        <v>1.3097167E-2</v>
      </c>
      <c r="AJ60" s="3"/>
      <c r="AK60" s="3"/>
      <c r="AL60" s="3"/>
    </row>
    <row r="61" spans="1:38" x14ac:dyDescent="0.45">
      <c r="A61" s="2">
        <v>46072</v>
      </c>
      <c r="B61" s="3">
        <v>3.0128956E-3</v>
      </c>
      <c r="C61" s="3">
        <v>-1.2928069E-2</v>
      </c>
      <c r="D61" s="3">
        <v>-6.8443003000000002E-2</v>
      </c>
      <c r="E61" s="3">
        <v>1.5518545999999999E-2</v>
      </c>
      <c r="F61" s="3">
        <v>4.8162700000000003E-2</v>
      </c>
      <c r="G61" s="3">
        <v>6.6561820000000008E-2</v>
      </c>
      <c r="H61" s="3">
        <v>5.8572889999999996E-2</v>
      </c>
      <c r="I61" s="3">
        <v>7.9150557999999996E-2</v>
      </c>
      <c r="J61" s="3">
        <v>8.0270290000000008E-2</v>
      </c>
      <c r="K61" s="3">
        <v>0.20486546</v>
      </c>
      <c r="L61" s="3">
        <v>0.16400372999999999</v>
      </c>
      <c r="M61" s="3">
        <v>3.0640364E-2</v>
      </c>
      <c r="N61" s="3">
        <v>1.4422417E-2</v>
      </c>
      <c r="O61" s="3">
        <v>-1.0406792E-2</v>
      </c>
      <c r="P61" s="3">
        <v>-2.8790771999999999E-2</v>
      </c>
      <c r="Q61" s="3">
        <v>2.0328999E-2</v>
      </c>
      <c r="R61" s="3">
        <v>0.16420673</v>
      </c>
      <c r="S61" s="3">
        <v>7.4199440000000005E-2</v>
      </c>
      <c r="T61" s="3">
        <v>9.1595289999999996E-2</v>
      </c>
      <c r="U61" s="3">
        <v>-4.9163699999999998E-2</v>
      </c>
      <c r="V61" s="3">
        <v>7.9301596000000002E-3</v>
      </c>
      <c r="W61" s="3">
        <v>5.7305099999999994E-3</v>
      </c>
      <c r="X61" s="3">
        <v>9.8354579999999997E-2</v>
      </c>
      <c r="Y61" s="3">
        <v>2.9385089999999999E-2</v>
      </c>
      <c r="Z61" s="3">
        <v>1.2459636000000001E-2</v>
      </c>
      <c r="AA61" s="3">
        <v>6.6916110000000001E-2</v>
      </c>
      <c r="AB61" s="3">
        <v>6.0320735E-2</v>
      </c>
      <c r="AC61" s="3">
        <v>5.5334209999999995E-2</v>
      </c>
      <c r="AD61" s="3">
        <v>-2.8635442000000001E-2</v>
      </c>
      <c r="AE61" s="3">
        <v>-1.0380805E-2</v>
      </c>
      <c r="AF61" s="3">
        <v>3.5769463000000001E-2</v>
      </c>
      <c r="AG61" s="3">
        <v>1.2114405999999999E-2</v>
      </c>
      <c r="AH61" s="3">
        <v>4.0732860000000003E-2</v>
      </c>
      <c r="AI61" s="3">
        <v>1.7662048E-2</v>
      </c>
      <c r="AJ61" s="3"/>
      <c r="AK61" s="3"/>
      <c r="AL61" s="3"/>
    </row>
    <row r="62" spans="1:38" x14ac:dyDescent="0.45">
      <c r="A62" s="2">
        <v>46100</v>
      </c>
      <c r="B62" s="3">
        <v>-2.5321424000000002E-2</v>
      </c>
      <c r="C62" s="3">
        <v>-8.6397109999999999E-2</v>
      </c>
      <c r="D62" s="3">
        <v>-0.14021312999999999</v>
      </c>
      <c r="E62" s="3">
        <v>-7.9761449999999998E-2</v>
      </c>
      <c r="F62" s="3">
        <v>-5.6308150000000001E-2</v>
      </c>
      <c r="G62" s="3">
        <v>-0.13048905</v>
      </c>
      <c r="H62" s="3">
        <v>-1.0060309999999999E-2</v>
      </c>
      <c r="I62" s="3">
        <v>-7.2932242999999997E-3</v>
      </c>
      <c r="J62" s="3">
        <v>-9.7072839999999994E-2</v>
      </c>
      <c r="K62" s="3">
        <v>-2.8843879999999999E-3</v>
      </c>
      <c r="L62" s="3">
        <v>-5.4649057000000001E-2</v>
      </c>
      <c r="M62" s="3">
        <v>-0.13438212999999999</v>
      </c>
      <c r="N62" s="3">
        <v>-0.10993809</v>
      </c>
      <c r="O62" s="3">
        <v>-9.1395799999999999E-2</v>
      </c>
      <c r="P62" s="3">
        <v>-6.4393939999999997E-2</v>
      </c>
      <c r="Q62" s="3">
        <v>-7.6834736000000001E-2</v>
      </c>
      <c r="R62" s="3">
        <v>-5.1181197000000005E-2</v>
      </c>
      <c r="S62" s="3">
        <v>-6.0106634999999999E-2</v>
      </c>
      <c r="T62" s="3">
        <v>-0.17381279999999999</v>
      </c>
      <c r="U62" s="3">
        <v>-9.488278E-2</v>
      </c>
      <c r="V62" s="3">
        <v>-1.3899862999999998E-2</v>
      </c>
      <c r="W62" s="3">
        <v>-3.8620293E-2</v>
      </c>
      <c r="X62" s="3">
        <v>-3.7793696000000002E-2</v>
      </c>
      <c r="Y62" s="3">
        <v>-4.6696067000000001E-2</v>
      </c>
      <c r="Z62" s="3">
        <v>-9.5487780000000008E-2</v>
      </c>
      <c r="AA62" s="3">
        <v>-7.8070107E-2</v>
      </c>
      <c r="AB62" s="3">
        <v>-0.10317957</v>
      </c>
      <c r="AC62" s="3">
        <v>-5.3901013999999997E-2</v>
      </c>
      <c r="AD62" s="3">
        <v>-1.7316461000000002E-2</v>
      </c>
      <c r="AE62" s="3">
        <v>-3.6056577999999999E-2</v>
      </c>
      <c r="AF62" s="3">
        <v>-7.9087615E-2</v>
      </c>
      <c r="AG62" s="3">
        <v>-7.2135329999999998E-2</v>
      </c>
      <c r="AH62" s="3">
        <v>-9.4943819999999998E-2</v>
      </c>
      <c r="AI62" s="3">
        <v>-6.1370554000000001E-2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-2.5321424000000002E-2</v>
      </c>
      <c r="C67" s="3">
        <f t="shared" ref="C67:AI67" si="2">C62</f>
        <v>-8.6397109999999999E-2</v>
      </c>
      <c r="D67" s="3">
        <f t="shared" si="2"/>
        <v>-0.14021312999999999</v>
      </c>
      <c r="E67" s="3">
        <f t="shared" si="2"/>
        <v>-7.9761449999999998E-2</v>
      </c>
      <c r="F67" s="3">
        <f t="shared" si="2"/>
        <v>-5.6308150000000001E-2</v>
      </c>
      <c r="G67" s="3">
        <f t="shared" si="2"/>
        <v>-0.13048905</v>
      </c>
      <c r="H67" s="3">
        <f t="shared" si="2"/>
        <v>-1.0060309999999999E-2</v>
      </c>
      <c r="I67" s="3">
        <f t="shared" si="2"/>
        <v>-7.2932242999999997E-3</v>
      </c>
      <c r="J67" s="3">
        <f t="shared" si="2"/>
        <v>-9.7072839999999994E-2</v>
      </c>
      <c r="K67" s="3">
        <f t="shared" si="2"/>
        <v>-2.8843879999999999E-3</v>
      </c>
      <c r="L67" s="3">
        <f t="shared" si="2"/>
        <v>-5.4649057000000001E-2</v>
      </c>
      <c r="M67" s="3">
        <f t="shared" si="2"/>
        <v>-0.13438212999999999</v>
      </c>
      <c r="N67" s="3">
        <f t="shared" si="2"/>
        <v>-0.10993809</v>
      </c>
      <c r="O67" s="3">
        <f t="shared" si="2"/>
        <v>-9.1395799999999999E-2</v>
      </c>
      <c r="P67" s="3">
        <f t="shared" si="2"/>
        <v>-6.4393939999999997E-2</v>
      </c>
      <c r="Q67" s="3">
        <f t="shared" si="2"/>
        <v>-7.6834736000000001E-2</v>
      </c>
      <c r="R67" s="3">
        <f t="shared" si="2"/>
        <v>-5.1181197000000005E-2</v>
      </c>
      <c r="S67" s="3">
        <f t="shared" si="2"/>
        <v>-6.0106634999999999E-2</v>
      </c>
      <c r="T67" s="3">
        <f t="shared" si="2"/>
        <v>-0.17381279999999999</v>
      </c>
      <c r="U67" s="3">
        <f t="shared" si="2"/>
        <v>-9.488278E-2</v>
      </c>
      <c r="V67" s="3">
        <f t="shared" si="2"/>
        <v>-1.3899862999999998E-2</v>
      </c>
      <c r="W67" s="3">
        <f t="shared" si="2"/>
        <v>-3.8620293E-2</v>
      </c>
      <c r="X67" s="3">
        <f t="shared" si="2"/>
        <v>-3.7793696000000002E-2</v>
      </c>
      <c r="Y67" s="3">
        <f t="shared" si="2"/>
        <v>-4.6696067000000001E-2</v>
      </c>
      <c r="Z67" s="3">
        <f t="shared" si="2"/>
        <v>-9.5487780000000008E-2</v>
      </c>
      <c r="AA67" s="3">
        <f t="shared" si="2"/>
        <v>-7.8070107E-2</v>
      </c>
      <c r="AB67" s="3">
        <f t="shared" si="2"/>
        <v>-0.10317957</v>
      </c>
      <c r="AC67" s="3">
        <f t="shared" si="2"/>
        <v>-5.3901013999999997E-2</v>
      </c>
      <c r="AD67" s="3">
        <f t="shared" si="2"/>
        <v>-1.7316461000000002E-2</v>
      </c>
      <c r="AE67" s="3">
        <f t="shared" si="2"/>
        <v>-3.6056577999999999E-2</v>
      </c>
      <c r="AF67" s="3">
        <f t="shared" si="2"/>
        <v>-7.9087615E-2</v>
      </c>
      <c r="AG67" s="3">
        <f t="shared" si="2"/>
        <v>-7.2135329999999998E-2</v>
      </c>
      <c r="AH67" s="3">
        <f t="shared" si="2"/>
        <v>-9.4943819999999998E-2</v>
      </c>
      <c r="AI67" s="3">
        <f t="shared" si="2"/>
        <v>-6.1370554000000001E-2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-1.8660434049180337E-3</v>
      </c>
      <c r="C68" s="4">
        <f t="shared" si="3"/>
        <v>8.8576469609836037E-3</v>
      </c>
      <c r="D68" s="4">
        <f t="shared" si="3"/>
        <v>-2.8547662939344262E-3</v>
      </c>
      <c r="E68" s="4">
        <f t="shared" si="3"/>
        <v>-6.7030018688524673E-4</v>
      </c>
      <c r="F68" s="4">
        <f t="shared" si="3"/>
        <v>1.6085003377049181E-2</v>
      </c>
      <c r="G68" s="4">
        <f t="shared" si="3"/>
        <v>1.8129987006557376E-2</v>
      </c>
      <c r="H68" s="4">
        <f t="shared" si="3"/>
        <v>5.1509455521311477E-3</v>
      </c>
      <c r="I68" s="4">
        <f t="shared" si="3"/>
        <v>1.1203507057377049E-2</v>
      </c>
      <c r="J68" s="4">
        <f t="shared" si="3"/>
        <v>1.3472775774918028E-2</v>
      </c>
      <c r="K68" s="4">
        <f t="shared" si="3"/>
        <v>1.0226640752459016E-2</v>
      </c>
      <c r="L68" s="4">
        <f t="shared" si="3"/>
        <v>9.6647183049180345E-3</v>
      </c>
      <c r="M68" s="4">
        <f t="shared" si="3"/>
        <v>1.0402602945901639E-2</v>
      </c>
      <c r="N68" s="4">
        <f t="shared" si="3"/>
        <v>2.0668900250983606E-2</v>
      </c>
      <c r="O68" s="4">
        <f t="shared" si="3"/>
        <v>3.7509661077049176E-3</v>
      </c>
      <c r="P68" s="4">
        <f t="shared" si="3"/>
        <v>-3.8698863262295068E-3</v>
      </c>
      <c r="Q68" s="4">
        <f t="shared" si="3"/>
        <v>4.2300745122950817E-3</v>
      </c>
      <c r="R68" s="4">
        <f t="shared" si="3"/>
        <v>1.274257540983648E-5</v>
      </c>
      <c r="S68" s="4">
        <f t="shared" si="3"/>
        <v>1.085116878032787E-2</v>
      </c>
      <c r="T68" s="4">
        <f t="shared" si="3"/>
        <v>1.010323060327869E-2</v>
      </c>
      <c r="U68" s="4">
        <f t="shared" si="3"/>
        <v>2.1420550655737716E-3</v>
      </c>
      <c r="V68" s="4">
        <f t="shared" si="3"/>
        <v>5.5326185165573772E-3</v>
      </c>
      <c r="W68" s="4">
        <f t="shared" si="3"/>
        <v>-3.373242880327869E-3</v>
      </c>
      <c r="X68" s="4">
        <f t="shared" si="3"/>
        <v>6.51402937114754E-3</v>
      </c>
      <c r="Y68" s="4">
        <f t="shared" si="3"/>
        <v>1.0864348721311477E-2</v>
      </c>
      <c r="Z68" s="4">
        <f t="shared" si="3"/>
        <v>6.711132553606558E-3</v>
      </c>
      <c r="AA68" s="4">
        <f t="shared" si="3"/>
        <v>5.8161703983606585E-3</v>
      </c>
      <c r="AB68" s="4">
        <f t="shared" si="3"/>
        <v>6.9839270780327912E-3</v>
      </c>
      <c r="AC68" s="4">
        <f t="shared" si="3"/>
        <v>1.0412177454098356E-2</v>
      </c>
      <c r="AD68" s="4">
        <f t="shared" si="3"/>
        <v>1.1837884773770492E-2</v>
      </c>
      <c r="AE68" s="4">
        <f t="shared" si="3"/>
        <v>1.0784407043606552E-2</v>
      </c>
      <c r="AF68" s="4">
        <f t="shared" si="3"/>
        <v>7.6488911190163919E-3</v>
      </c>
      <c r="AG68" s="4">
        <f t="shared" si="3"/>
        <v>7.6745068114754131E-3</v>
      </c>
      <c r="AH68" s="4">
        <f t="shared" si="3"/>
        <v>6.239643214754096E-3</v>
      </c>
      <c r="AI68" s="4">
        <f t="shared" si="3"/>
        <v>1.3686661870491801E-2</v>
      </c>
    </row>
    <row r="69" spans="1:38" x14ac:dyDescent="0.45">
      <c r="A69" t="s">
        <v>21</v>
      </c>
      <c r="B69" s="4">
        <f t="shared" ref="B69:AI69" si="4">STDEV(B40:B62)</f>
        <v>5.6948601409650662E-2</v>
      </c>
      <c r="C69" s="4">
        <f t="shared" si="4"/>
        <v>6.3630453045420782E-2</v>
      </c>
      <c r="D69" s="4">
        <f t="shared" si="4"/>
        <v>7.5286405284121449E-2</v>
      </c>
      <c r="E69" s="4">
        <f t="shared" si="4"/>
        <v>5.460492559691147E-2</v>
      </c>
      <c r="F69" s="4">
        <f t="shared" si="4"/>
        <v>6.8142975802827133E-2</v>
      </c>
      <c r="G69" s="4">
        <f t="shared" si="4"/>
        <v>7.1670311224824354E-2</v>
      </c>
      <c r="H69" s="4">
        <f t="shared" si="4"/>
        <v>3.9680460003026129E-2</v>
      </c>
      <c r="I69" s="4">
        <f t="shared" si="4"/>
        <v>6.4108643536323229E-2</v>
      </c>
      <c r="J69" s="4">
        <f t="shared" si="4"/>
        <v>6.4748453124551075E-2</v>
      </c>
      <c r="K69" s="4">
        <f t="shared" si="4"/>
        <v>8.1235452841638855E-2</v>
      </c>
      <c r="L69" s="4">
        <f t="shared" si="4"/>
        <v>7.9457677782105926E-2</v>
      </c>
      <c r="M69" s="4">
        <f t="shared" si="4"/>
        <v>6.1016672949330143E-2</v>
      </c>
      <c r="N69" s="4">
        <f t="shared" si="4"/>
        <v>6.4134530099730608E-2</v>
      </c>
      <c r="O69" s="4">
        <f t="shared" si="4"/>
        <v>3.349255185211901E-2</v>
      </c>
      <c r="P69" s="4">
        <f t="shared" si="4"/>
        <v>8.6491988333775721E-2</v>
      </c>
      <c r="Q69" s="4">
        <f t="shared" si="4"/>
        <v>3.658570442824334E-2</v>
      </c>
      <c r="R69" s="4">
        <f t="shared" si="4"/>
        <v>6.3174264687707024E-2</v>
      </c>
      <c r="S69" s="4">
        <f t="shared" si="4"/>
        <v>6.975921288267535E-2</v>
      </c>
      <c r="T69" s="4">
        <f t="shared" si="4"/>
        <v>6.7857305989820385E-2</v>
      </c>
      <c r="U69" s="4">
        <f t="shared" si="4"/>
        <v>7.2797936110002778E-2</v>
      </c>
      <c r="V69" s="4">
        <f t="shared" si="4"/>
        <v>3.4180099069569404E-2</v>
      </c>
      <c r="W69" s="4">
        <f t="shared" si="4"/>
        <v>3.3105511435116537E-2</v>
      </c>
      <c r="X69" s="4">
        <f t="shared" si="4"/>
        <v>4.4371057719463161E-2</v>
      </c>
      <c r="Y69" s="4">
        <f t="shared" si="4"/>
        <v>3.6296909103007272E-2</v>
      </c>
      <c r="Z69" s="4">
        <f t="shared" si="4"/>
        <v>5.1771846293860689E-2</v>
      </c>
      <c r="AA69" s="4">
        <f t="shared" si="4"/>
        <v>4.3369463378381434E-2</v>
      </c>
      <c r="AB69" s="4">
        <f t="shared" si="4"/>
        <v>4.5902434448908083E-2</v>
      </c>
      <c r="AC69" s="4">
        <f t="shared" si="4"/>
        <v>3.9176788842488437E-2</v>
      </c>
      <c r="AD69" s="4">
        <f t="shared" si="4"/>
        <v>5.5259789826231129E-2</v>
      </c>
      <c r="AE69" s="4">
        <f t="shared" si="4"/>
        <v>4.2078710782170139E-2</v>
      </c>
      <c r="AF69" s="4">
        <f t="shared" si="4"/>
        <v>4.7518350972697715E-2</v>
      </c>
      <c r="AG69" s="4">
        <f t="shared" si="4"/>
        <v>5.309283094928325E-2</v>
      </c>
      <c r="AH69" s="4">
        <f t="shared" si="4"/>
        <v>5.3114318981383093E-2</v>
      </c>
      <c r="AI69" s="4">
        <f t="shared" si="4"/>
        <v>5.1670507748330784E-2</v>
      </c>
    </row>
    <row r="70" spans="1:38" x14ac:dyDescent="0.45">
      <c r="A70" t="s">
        <v>36</v>
      </c>
      <c r="B70" s="3">
        <f>B69*2</f>
        <v>0.11389720281930132</v>
      </c>
      <c r="C70" s="3">
        <f t="shared" ref="C70:AI70" si="5">C69*2</f>
        <v>0.12726090609084156</v>
      </c>
      <c r="D70" s="3">
        <f t="shared" si="5"/>
        <v>0.1505728105682429</v>
      </c>
      <c r="E70" s="3">
        <f t="shared" si="5"/>
        <v>0.10920985119382294</v>
      </c>
      <c r="F70" s="3">
        <f t="shared" si="5"/>
        <v>0.13628595160565427</v>
      </c>
      <c r="G70" s="3">
        <f t="shared" si="5"/>
        <v>0.14334062244964871</v>
      </c>
      <c r="H70" s="3">
        <f t="shared" si="5"/>
        <v>7.9360920006052257E-2</v>
      </c>
      <c r="I70" s="3">
        <f t="shared" si="5"/>
        <v>0.12821728707264646</v>
      </c>
      <c r="J70" s="3">
        <f t="shared" si="5"/>
        <v>0.12949690624910215</v>
      </c>
      <c r="K70" s="3">
        <f t="shared" si="5"/>
        <v>0.16247090568327771</v>
      </c>
      <c r="L70" s="3">
        <f t="shared" si="5"/>
        <v>0.15891535556421185</v>
      </c>
      <c r="M70" s="3">
        <f t="shared" si="5"/>
        <v>0.12203334589866029</v>
      </c>
      <c r="N70" s="3">
        <f t="shared" si="5"/>
        <v>0.12826906019946122</v>
      </c>
      <c r="O70" s="3">
        <f t="shared" si="5"/>
        <v>6.6985103704238019E-2</v>
      </c>
      <c r="P70" s="3">
        <f t="shared" si="5"/>
        <v>0.17298397666755144</v>
      </c>
      <c r="Q70" s="3">
        <f t="shared" si="5"/>
        <v>7.317140885648668E-2</v>
      </c>
      <c r="R70" s="3">
        <f t="shared" si="5"/>
        <v>0.12634852937541405</v>
      </c>
      <c r="S70" s="3">
        <f t="shared" si="5"/>
        <v>0.1395184257653507</v>
      </c>
      <c r="T70" s="3">
        <f t="shared" si="5"/>
        <v>0.13571461197964077</v>
      </c>
      <c r="U70" s="3">
        <f t="shared" si="5"/>
        <v>0.14559587222000556</v>
      </c>
      <c r="V70" s="3">
        <f t="shared" si="5"/>
        <v>6.8360198139138809E-2</v>
      </c>
      <c r="W70" s="3">
        <f t="shared" si="5"/>
        <v>6.6211022870233074E-2</v>
      </c>
      <c r="X70" s="3">
        <f t="shared" si="5"/>
        <v>8.8742115438926322E-2</v>
      </c>
      <c r="Y70" s="3">
        <f t="shared" si="5"/>
        <v>7.2593818206014543E-2</v>
      </c>
      <c r="Z70" s="3">
        <f t="shared" si="5"/>
        <v>0.10354369258772138</v>
      </c>
      <c r="AA70" s="3">
        <f t="shared" si="5"/>
        <v>8.6738926756762869E-2</v>
      </c>
      <c r="AB70" s="3">
        <f t="shared" si="5"/>
        <v>9.1804868897816166E-2</v>
      </c>
      <c r="AC70" s="3">
        <f t="shared" si="5"/>
        <v>7.8353577684976874E-2</v>
      </c>
      <c r="AD70" s="3">
        <f t="shared" si="5"/>
        <v>0.11051957965246226</v>
      </c>
      <c r="AE70" s="3">
        <f t="shared" si="5"/>
        <v>8.4157421564340279E-2</v>
      </c>
      <c r="AF70" s="3">
        <f t="shared" si="5"/>
        <v>9.503670194539543E-2</v>
      </c>
      <c r="AG70" s="3">
        <f t="shared" si="5"/>
        <v>0.1061856618985665</v>
      </c>
      <c r="AH70" s="3">
        <f t="shared" si="5"/>
        <v>0.10622863796276619</v>
      </c>
      <c r="AI70" s="3">
        <f t="shared" si="5"/>
        <v>0.10334101549666157</v>
      </c>
    </row>
    <row r="71" spans="1:38" x14ac:dyDescent="0.45">
      <c r="A71" t="s">
        <v>79</v>
      </c>
      <c r="B71">
        <f>PRICE_DATA!B2</f>
        <v>34.72</v>
      </c>
      <c r="C71">
        <f>PRICE_DATA!C2</f>
        <v>39.76</v>
      </c>
      <c r="D71">
        <f>PRICE_DATA!D2</f>
        <v>15.33</v>
      </c>
      <c r="E71">
        <f>PRICE_DATA!E2</f>
        <v>24.69</v>
      </c>
      <c r="F71">
        <f>PRICE_DATA!F2</f>
        <v>35.53</v>
      </c>
      <c r="G71">
        <f>PRICE_DATA!G2</f>
        <v>76.63</v>
      </c>
      <c r="H71">
        <f>PRICE_DATA!H2</f>
        <v>29.52</v>
      </c>
      <c r="I71">
        <f>PRICE_DATA!I2</f>
        <v>72.14</v>
      </c>
      <c r="J71">
        <f>PRICE_DATA!J2</f>
        <v>72.180000000000007</v>
      </c>
      <c r="K71">
        <f>PRICE_DATA!K2</f>
        <v>134.82</v>
      </c>
      <c r="L71">
        <f>PRICE_DATA!L2</f>
        <v>36.5</v>
      </c>
      <c r="M71">
        <f>PRICE_DATA!M2</f>
        <v>64.930000000000007</v>
      </c>
      <c r="N71">
        <f>PRICE_DATA!N2</f>
        <v>63.23</v>
      </c>
      <c r="O71">
        <f>PRICE_DATA!O2</f>
        <v>47.52</v>
      </c>
      <c r="P71">
        <f>PRICE_DATA!P2</f>
        <v>56.81</v>
      </c>
      <c r="Q71">
        <f>PRICE_DATA!Q2</f>
        <v>18.329999999999998</v>
      </c>
      <c r="R71">
        <f>PRICE_DATA!R2</f>
        <v>1417.45</v>
      </c>
      <c r="S71">
        <f>PRICE_DATA!S2</f>
        <v>38.78</v>
      </c>
      <c r="T71">
        <f>PRICE_DATA!T2</f>
        <v>17.920000000000002</v>
      </c>
      <c r="U71">
        <f>PRICE_DATA!U2</f>
        <v>16.98</v>
      </c>
      <c r="V71">
        <f>PRICE_DATA!V2</f>
        <v>37.6</v>
      </c>
      <c r="W71">
        <f>PRICE_DATA!W2</f>
        <v>44.24</v>
      </c>
      <c r="X71">
        <f>PRICE_DATA!X2</f>
        <v>28.26</v>
      </c>
      <c r="Y71">
        <f>PRICE_DATA!Y2</f>
        <v>54.1</v>
      </c>
      <c r="Z71">
        <f>PRICE_DATA!Z2</f>
        <v>39.69</v>
      </c>
      <c r="AA71">
        <f>PRICE_DATA!AA2</f>
        <v>84.08</v>
      </c>
      <c r="AB71">
        <f>PRICE_DATA!AB2</f>
        <v>57.54</v>
      </c>
      <c r="AC71">
        <f>PRICE_DATA!AC2</f>
        <v>45.11</v>
      </c>
      <c r="AD71">
        <f>PRICE_DATA!AD2</f>
        <v>593.02</v>
      </c>
      <c r="AE71">
        <f>PRICE_DATA!AE2</f>
        <v>659.8</v>
      </c>
      <c r="AF71">
        <f>PRICE_DATA!AF2</f>
        <v>43.2</v>
      </c>
      <c r="AG71">
        <f>PRICE_DATA!AG2</f>
        <v>58.14</v>
      </c>
      <c r="AH71">
        <f>PRICE_DATA!AH2</f>
        <v>48.33</v>
      </c>
      <c r="AI71">
        <f>PRICE_DATA!AI2</f>
        <v>52.46</v>
      </c>
    </row>
    <row r="72" spans="1:38" x14ac:dyDescent="0.45">
      <c r="A72" t="s">
        <v>80</v>
      </c>
      <c r="B72" s="7">
        <f>PRICE_DATA!B204</f>
        <v>33.05145671641791</v>
      </c>
      <c r="C72" s="7">
        <f>PRICE_DATA!C204</f>
        <v>36.239004975124395</v>
      </c>
      <c r="D72" s="7">
        <f>PRICE_DATA!D204</f>
        <v>17.98243781094526</v>
      </c>
      <c r="E72" s="7">
        <f>PRICE_DATA!E204</f>
        <v>25.905806965174126</v>
      </c>
      <c r="F72" s="7">
        <f>PRICE_DATA!F204</f>
        <v>33.864676616915425</v>
      </c>
      <c r="G72" s="7">
        <f>PRICE_DATA!G204</f>
        <v>64.748408955223894</v>
      </c>
      <c r="H72" s="7">
        <f>PRICE_DATA!H204</f>
        <v>26.30950248756217</v>
      </c>
      <c r="I72" s="7">
        <f>PRICE_DATA!I204</f>
        <v>63.732686567164151</v>
      </c>
      <c r="J72" s="7">
        <f>PRICE_DATA!J204</f>
        <v>67.414079601990025</v>
      </c>
      <c r="K72" s="7">
        <f>PRICE_DATA!K204</f>
        <v>92.561791044776129</v>
      </c>
      <c r="L72" s="7">
        <f>PRICE_DATA!L204</f>
        <v>31.589900497512431</v>
      </c>
      <c r="M72" s="7">
        <f>PRICE_DATA!M204</f>
        <v>64.114328358208951</v>
      </c>
      <c r="N72" s="7">
        <f>PRICE_DATA!N204</f>
        <v>64.938650746268664</v>
      </c>
      <c r="O72" s="7">
        <f>PRICE_DATA!O204</f>
        <v>53.317114427860687</v>
      </c>
      <c r="P72" s="7">
        <f>PRICE_DATA!P204</f>
        <v>60.585000000000029</v>
      </c>
      <c r="Q72" s="7">
        <f>PRICE_DATA!Q204</f>
        <v>19.299279601990058</v>
      </c>
      <c r="R72" s="7">
        <f>PRICE_DATA!R204</f>
        <v>1271.4578606965174</v>
      </c>
      <c r="S72" s="7">
        <f>PRICE_DATA!S204</f>
        <v>35.121317412935312</v>
      </c>
      <c r="T72" s="7">
        <f>PRICE_DATA!T204</f>
        <v>19.520057711442789</v>
      </c>
      <c r="U72" s="7">
        <f>PRICE_DATA!U204</f>
        <v>17.391019900497522</v>
      </c>
      <c r="V72" s="7">
        <f>PRICE_DATA!V204</f>
        <v>38.290149253731357</v>
      </c>
      <c r="W72" s="7">
        <f>PRICE_DATA!W204</f>
        <v>45.782146766169149</v>
      </c>
      <c r="X72" s="7">
        <f>PRICE_DATA!X204</f>
        <v>26.961442786069629</v>
      </c>
      <c r="Y72" s="7">
        <f>PRICE_DATA!Y204</f>
        <v>50.968159203980093</v>
      </c>
      <c r="Z72" s="7">
        <f>PRICE_DATA!Z204</f>
        <v>41.979353233830864</v>
      </c>
      <c r="AA72" s="7">
        <f>PRICE_DATA!AA204</f>
        <v>81.073134328358208</v>
      </c>
      <c r="AB72" s="7">
        <f>PRICE_DATA!AB204</f>
        <v>57.431592039800996</v>
      </c>
      <c r="AC72" s="7">
        <f>PRICE_DATA!AC204</f>
        <v>42.843084577114432</v>
      </c>
      <c r="AD72" s="7">
        <f>PRICE_DATA!AD204</f>
        <v>592.20990049751242</v>
      </c>
      <c r="AE72" s="7">
        <f>PRICE_DATA!AE204</f>
        <v>659.76656716417892</v>
      </c>
      <c r="AF72" s="7">
        <f>PRICE_DATA!AF204</f>
        <v>44.171044776119409</v>
      </c>
      <c r="AG72" s="7">
        <f>PRICE_DATA!AG204</f>
        <v>57.149915920398044</v>
      </c>
      <c r="AH72" s="7">
        <f>PRICE_DATA!AH204</f>
        <v>48.218507462686553</v>
      </c>
      <c r="AI72" s="7">
        <f>PRICE_DATA!AI204</f>
        <v>51.980547263681601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1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1</v>
      </c>
      <c r="N74">
        <f t="shared" si="7"/>
        <v>1</v>
      </c>
      <c r="O74">
        <f t="shared" si="7"/>
        <v>1</v>
      </c>
      <c r="P74">
        <f t="shared" si="7"/>
        <v>0</v>
      </c>
      <c r="Q74">
        <f t="shared" si="7"/>
        <v>1</v>
      </c>
      <c r="R74">
        <f t="shared" si="7"/>
        <v>0</v>
      </c>
      <c r="S74">
        <f t="shared" si="7"/>
        <v>0</v>
      </c>
      <c r="T74">
        <f t="shared" si="7"/>
        <v>1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1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46100</v>
      </c>
      <c r="B2" cm="1">
        <f t="array" ref="B2:B202">_xll.FDS(B1,"FG_PRICE(0,-200D)")</f>
        <v>34.72</v>
      </c>
      <c r="C2" cm="1">
        <f t="array" ref="C2:C202">_xll.FDS(C1,"FG_PRICE(0,-200D)")</f>
        <v>39.76</v>
      </c>
      <c r="D2" cm="1">
        <f t="array" ref="D2:D202">_xll.FDS(D1,"FG_PRICE(0,-200D)")</f>
        <v>15.33</v>
      </c>
      <c r="E2" cm="1">
        <f t="array" ref="E2:E202">_xll.FDS(E1,"FG_PRICE(0,-200D)")</f>
        <v>24.69</v>
      </c>
      <c r="F2" cm="1">
        <f t="array" ref="F2:F202">_xll.FDS(F1,"FG_PRICE(0,-200D)")</f>
        <v>35.53</v>
      </c>
      <c r="G2" cm="1">
        <f t="array" ref="G2:G202">_xll.FDS(G1,"FG_PRICE(0,-200D)")</f>
        <v>76.63</v>
      </c>
      <c r="H2" cm="1">
        <f t="array" ref="H2:H202">_xll.FDS(H1,"FG_PRICE(0,-200D)")</f>
        <v>29.52</v>
      </c>
      <c r="I2" cm="1">
        <f t="array" ref="I2:I202">_xll.FDS(I1,"FG_PRICE(0,-200D)")</f>
        <v>72.14</v>
      </c>
      <c r="J2" cm="1">
        <f t="array" ref="J2:J202">_xll.FDS(J1,"FG_PRICE(0,-200D)")</f>
        <v>72.180000000000007</v>
      </c>
      <c r="K2" cm="1">
        <f t="array" ref="K2:K202">_xll.FDS(K1,"FG_PRICE(0,-200D)")</f>
        <v>134.82</v>
      </c>
      <c r="L2" cm="1">
        <f t="array" ref="L2:L202">_xll.FDS(L1,"FG_PRICE(0,-200D)")</f>
        <v>36.5</v>
      </c>
      <c r="M2" cm="1">
        <f t="array" ref="M2:M202">_xll.FDS(M1,"FG_PRICE(0,-200D)")</f>
        <v>64.930000000000007</v>
      </c>
      <c r="N2" cm="1">
        <f t="array" ref="N2:N202">_xll.FDS(N1,"FG_PRICE(0,-200D)")</f>
        <v>63.23</v>
      </c>
      <c r="O2" cm="1">
        <f t="array" ref="O2:O202">_xll.FDS(O1,"FG_PRICE(0,-200D)")</f>
        <v>47.52</v>
      </c>
      <c r="P2" cm="1">
        <f t="array" ref="P2:P202">_xll.FDS(P1,"FG_PRICE(0,-200D)")</f>
        <v>56.81</v>
      </c>
      <c r="Q2" cm="1">
        <f t="array" ref="Q2:Q202">_xll.FDS(Q1,"FG_PRICE(0,-200D)")</f>
        <v>18.329999999999998</v>
      </c>
      <c r="R2" cm="1">
        <f t="array" ref="R2:R202">_xll.FDS(R1,"FG_PRICE(0,-200D)")</f>
        <v>1417.45</v>
      </c>
      <c r="S2" cm="1">
        <f t="array" ref="S2:S202">_xll.FDS(S1,"FG_PRICE(0,-200D)")</f>
        <v>38.78</v>
      </c>
      <c r="T2" cm="1">
        <f t="array" ref="T2:T202">_xll.FDS(T1,"FG_PRICE(0,-200D)")</f>
        <v>17.920000000000002</v>
      </c>
      <c r="U2" cm="1">
        <f t="array" ref="U2:U202">_xll.FDS(U1,"FG_PRICE(0,-200D)")</f>
        <v>16.98</v>
      </c>
      <c r="V2" cm="1">
        <f t="array" ref="V2:V202">_xll.FDS(V1,"FG_PRICE(0,-200D)")</f>
        <v>37.6</v>
      </c>
      <c r="W2" cm="1">
        <f t="array" ref="W2:W202">_xll.FDS(W1,"FG_PRICE(0,-200D)")</f>
        <v>44.24</v>
      </c>
      <c r="X2" cm="1">
        <f t="array" ref="X2:X202">_xll.FDS(X1,"FG_PRICE(0,-200D)")</f>
        <v>28.26</v>
      </c>
      <c r="Y2" cm="1">
        <f t="array" ref="Y2:Y202">_xll.FDS(Y1,"FG_PRICE(0,-200D)")</f>
        <v>54.1</v>
      </c>
      <c r="Z2" cm="1">
        <f t="array" ref="Z2:Z202">_xll.FDS(Z1,"FG_PRICE(0,-200D)")</f>
        <v>39.69</v>
      </c>
      <c r="AA2" cm="1">
        <f t="array" ref="AA2:AA202">_xll.FDS(AA1,"FG_PRICE(0,-200D)")</f>
        <v>84.08</v>
      </c>
      <c r="AB2" cm="1">
        <f t="array" ref="AB2:AB202">_xll.FDS(AB1,"FG_PRICE(0,-200D)")</f>
        <v>57.54</v>
      </c>
      <c r="AC2" cm="1">
        <f t="array" ref="AC2:AC202">_xll.FDS(AC1,"FG_PRICE(0,-200D)")</f>
        <v>45.11</v>
      </c>
      <c r="AD2" cm="1">
        <f t="array" ref="AD2:AD202">_xll.FDS(AD1,"FG_PRICE(0,-200D)")</f>
        <v>593.02</v>
      </c>
      <c r="AE2" cm="1">
        <f t="array" ref="AE2:AE202">_xll.FDS(AE1,"FG_PRICE(0,-200D)")</f>
        <v>659.8</v>
      </c>
      <c r="AF2" cm="1">
        <f t="array" ref="AF2:AF202">_xll.FDS(AF1,"FG_PRICE(0,-200D)")</f>
        <v>43.2</v>
      </c>
      <c r="AG2" cm="1">
        <f t="array" ref="AG2:AG202">_xll.FDS(AG1,"FG_PRICE(0,-200D)")</f>
        <v>58.14</v>
      </c>
      <c r="AH2" cm="1">
        <f t="array" ref="AH2:AH202">_xll.FDS(AH1,"FG_PRICE(0,-200D)")</f>
        <v>48.33</v>
      </c>
      <c r="AI2" cm="1">
        <f t="array" ref="AI2:AI202">_xll.FDS(AI1,"FG_PRICE(0,-200D)")</f>
        <v>52.46</v>
      </c>
    </row>
    <row r="3" spans="1:35" x14ac:dyDescent="0.45">
      <c r="A3" s="2">
        <v>46099</v>
      </c>
      <c r="B3">
        <v>34.74</v>
      </c>
      <c r="C3">
        <v>39.770000000000003</v>
      </c>
      <c r="D3">
        <v>15.39</v>
      </c>
      <c r="E3">
        <v>24.61</v>
      </c>
      <c r="F3">
        <v>35.26</v>
      </c>
      <c r="G3">
        <v>78.25</v>
      </c>
      <c r="H3">
        <v>29.34</v>
      </c>
      <c r="I3">
        <v>71.34</v>
      </c>
      <c r="J3">
        <v>72.38</v>
      </c>
      <c r="K3">
        <v>131.88</v>
      </c>
      <c r="L3">
        <v>36.26</v>
      </c>
      <c r="M3">
        <v>65.86</v>
      </c>
      <c r="N3">
        <v>63.5</v>
      </c>
      <c r="O3">
        <v>47.72</v>
      </c>
      <c r="P3">
        <v>57.23</v>
      </c>
      <c r="Q3">
        <v>18.670000000000002</v>
      </c>
      <c r="R3">
        <v>1440.85</v>
      </c>
      <c r="S3">
        <v>38.729999999999997</v>
      </c>
      <c r="T3">
        <v>17.88</v>
      </c>
      <c r="U3">
        <v>17.03</v>
      </c>
      <c r="V3">
        <v>37.74</v>
      </c>
      <c r="W3">
        <v>44.265000000000001</v>
      </c>
      <c r="X3">
        <v>28</v>
      </c>
      <c r="Y3">
        <v>54.81</v>
      </c>
      <c r="Z3">
        <v>39.76</v>
      </c>
      <c r="AA3">
        <v>84.15</v>
      </c>
      <c r="AB3">
        <v>57.86</v>
      </c>
      <c r="AC3">
        <v>45.38</v>
      </c>
      <c r="AD3">
        <v>594.9</v>
      </c>
      <c r="AE3">
        <v>661.43</v>
      </c>
      <c r="AF3">
        <v>43.11</v>
      </c>
      <c r="AG3">
        <v>58.34</v>
      </c>
      <c r="AH3">
        <v>49.17</v>
      </c>
      <c r="AI3">
        <v>52.41</v>
      </c>
    </row>
    <row r="4" spans="1:35" x14ac:dyDescent="0.45">
      <c r="A4" s="2">
        <v>46098</v>
      </c>
      <c r="B4">
        <v>35.29</v>
      </c>
      <c r="C4">
        <v>40.18</v>
      </c>
      <c r="D4">
        <v>15.57</v>
      </c>
      <c r="E4">
        <v>24.88</v>
      </c>
      <c r="F4">
        <v>36.08</v>
      </c>
      <c r="G4">
        <v>81.81</v>
      </c>
      <c r="H4">
        <v>29.37</v>
      </c>
      <c r="I4">
        <v>73</v>
      </c>
      <c r="J4">
        <v>73.38</v>
      </c>
      <c r="K4">
        <v>134.43</v>
      </c>
      <c r="L4">
        <v>36.71</v>
      </c>
      <c r="M4">
        <v>69.180000000000007</v>
      </c>
      <c r="N4">
        <v>64.349999999999994</v>
      </c>
      <c r="O4">
        <v>48.52</v>
      </c>
      <c r="P4">
        <v>58.44</v>
      </c>
      <c r="Q4">
        <v>18.690000000000001</v>
      </c>
      <c r="R4">
        <v>1433.88</v>
      </c>
      <c r="S4">
        <v>39.42</v>
      </c>
      <c r="T4">
        <v>18.3</v>
      </c>
      <c r="U4">
        <v>17.32</v>
      </c>
      <c r="V4">
        <v>38.18</v>
      </c>
      <c r="W4">
        <v>44.669499999999999</v>
      </c>
      <c r="X4">
        <v>28.7</v>
      </c>
      <c r="Y4">
        <v>55.9</v>
      </c>
      <c r="Z4">
        <v>40.74</v>
      </c>
      <c r="AA4">
        <v>85.08</v>
      </c>
      <c r="AB4">
        <v>59.54</v>
      </c>
      <c r="AC4">
        <v>46.3</v>
      </c>
      <c r="AD4">
        <v>603.30999999999995</v>
      </c>
      <c r="AE4">
        <v>670.79</v>
      </c>
      <c r="AF4">
        <v>43.65</v>
      </c>
      <c r="AG4">
        <v>59.597000000000001</v>
      </c>
      <c r="AH4">
        <v>50.44</v>
      </c>
      <c r="AI4">
        <v>53.37</v>
      </c>
    </row>
    <row r="5" spans="1:35" x14ac:dyDescent="0.45">
      <c r="A5" s="2">
        <v>46097</v>
      </c>
      <c r="B5">
        <v>35.43</v>
      </c>
      <c r="C5">
        <v>39.79</v>
      </c>
      <c r="D5">
        <v>15.41</v>
      </c>
      <c r="E5">
        <v>24.67</v>
      </c>
      <c r="F5">
        <v>35.08</v>
      </c>
      <c r="G5">
        <v>81.459999999999994</v>
      </c>
      <c r="H5">
        <v>29.06</v>
      </c>
      <c r="I5">
        <v>72.03</v>
      </c>
      <c r="J5">
        <v>73.16</v>
      </c>
      <c r="K5">
        <v>133.1</v>
      </c>
      <c r="L5">
        <v>36.53</v>
      </c>
      <c r="M5">
        <v>69.08</v>
      </c>
      <c r="N5">
        <v>64.209999999999994</v>
      </c>
      <c r="O5">
        <v>48.56</v>
      </c>
      <c r="P5">
        <v>58.7</v>
      </c>
      <c r="Q5">
        <v>18.739999999999998</v>
      </c>
      <c r="R5">
        <v>1405.02</v>
      </c>
      <c r="S5">
        <v>38.869999999999997</v>
      </c>
      <c r="T5">
        <v>17.899999999999999</v>
      </c>
      <c r="U5">
        <v>17.3</v>
      </c>
      <c r="V5">
        <v>38.31</v>
      </c>
      <c r="W5">
        <v>44.85</v>
      </c>
      <c r="X5">
        <v>28.68</v>
      </c>
      <c r="Y5">
        <v>55.85</v>
      </c>
      <c r="Z5">
        <v>40.520000000000003</v>
      </c>
      <c r="AA5">
        <v>85.07</v>
      </c>
      <c r="AB5">
        <v>59.5</v>
      </c>
      <c r="AC5">
        <v>46.11</v>
      </c>
      <c r="AD5">
        <v>600.38</v>
      </c>
      <c r="AE5">
        <v>669.03</v>
      </c>
      <c r="AF5">
        <v>43.48</v>
      </c>
      <c r="AG5">
        <v>59.7</v>
      </c>
      <c r="AH5">
        <v>50.3</v>
      </c>
      <c r="AI5">
        <v>52.67</v>
      </c>
    </row>
    <row r="6" spans="1:35" x14ac:dyDescent="0.45">
      <c r="A6" s="2">
        <v>46094</v>
      </c>
      <c r="B6">
        <v>35.344999999999999</v>
      </c>
      <c r="C6">
        <v>38.85</v>
      </c>
      <c r="D6">
        <v>15.52</v>
      </c>
      <c r="E6">
        <v>24.97</v>
      </c>
      <c r="F6">
        <v>34.479999999999997</v>
      </c>
      <c r="G6">
        <v>80.069999999999993</v>
      </c>
      <c r="H6">
        <v>28.64</v>
      </c>
      <c r="I6">
        <v>69.989999999999995</v>
      </c>
      <c r="J6">
        <v>71.53</v>
      </c>
      <c r="K6">
        <v>124.15</v>
      </c>
      <c r="L6">
        <v>35.49</v>
      </c>
      <c r="M6">
        <v>66.599999999999994</v>
      </c>
      <c r="N6">
        <v>63.38</v>
      </c>
      <c r="O6">
        <v>48.06</v>
      </c>
      <c r="P6">
        <v>57.78</v>
      </c>
      <c r="Q6">
        <v>18.739999999999998</v>
      </c>
      <c r="R6">
        <v>1409.35</v>
      </c>
      <c r="S6">
        <v>38.659999999999997</v>
      </c>
      <c r="T6">
        <v>17.760000000000002</v>
      </c>
      <c r="U6">
        <v>16.71</v>
      </c>
      <c r="V6">
        <v>37.6</v>
      </c>
      <c r="W6">
        <v>43.888399999999997</v>
      </c>
      <c r="X6">
        <v>27.98</v>
      </c>
      <c r="Y6">
        <v>55.03</v>
      </c>
      <c r="Z6">
        <v>39.840000000000003</v>
      </c>
      <c r="AA6">
        <v>83.36</v>
      </c>
      <c r="AB6">
        <v>58.72</v>
      </c>
      <c r="AC6">
        <v>45.33</v>
      </c>
      <c r="AD6">
        <v>593.72</v>
      </c>
      <c r="AE6">
        <v>662.29</v>
      </c>
      <c r="AF6">
        <v>42.8</v>
      </c>
      <c r="AG6">
        <v>58.63</v>
      </c>
      <c r="AH6">
        <v>49.34</v>
      </c>
      <c r="AI6">
        <v>52.08</v>
      </c>
    </row>
    <row r="7" spans="1:35" x14ac:dyDescent="0.45">
      <c r="A7" s="2">
        <v>46093</v>
      </c>
      <c r="B7">
        <v>35.520000000000003</v>
      </c>
      <c r="C7">
        <v>39.28</v>
      </c>
      <c r="D7">
        <v>15.86</v>
      </c>
      <c r="E7">
        <v>25.07</v>
      </c>
      <c r="F7">
        <v>34.869999999999997</v>
      </c>
      <c r="G7">
        <v>81.95</v>
      </c>
      <c r="H7">
        <v>28.53</v>
      </c>
      <c r="I7">
        <v>69.760000000000005</v>
      </c>
      <c r="J7">
        <v>72.17</v>
      </c>
      <c r="K7">
        <v>123.5</v>
      </c>
      <c r="L7">
        <v>36.119999999999997</v>
      </c>
      <c r="M7">
        <v>69.02</v>
      </c>
      <c r="N7">
        <v>64.81</v>
      </c>
      <c r="O7">
        <v>48.52</v>
      </c>
      <c r="P7">
        <v>57.68</v>
      </c>
      <c r="Q7">
        <v>18.7</v>
      </c>
      <c r="R7">
        <v>1429.8</v>
      </c>
      <c r="S7">
        <v>39.340000000000003</v>
      </c>
      <c r="T7">
        <v>17.89</v>
      </c>
      <c r="U7">
        <v>16.75</v>
      </c>
      <c r="V7">
        <v>37.9</v>
      </c>
      <c r="W7">
        <v>44.665300000000002</v>
      </c>
      <c r="X7">
        <v>28.42</v>
      </c>
      <c r="Y7">
        <v>55.85</v>
      </c>
      <c r="Z7">
        <v>40.340000000000003</v>
      </c>
      <c r="AA7">
        <v>84.19</v>
      </c>
      <c r="AB7">
        <v>59.36</v>
      </c>
      <c r="AC7">
        <v>45.88</v>
      </c>
      <c r="AD7">
        <v>597.26</v>
      </c>
      <c r="AE7">
        <v>666.06</v>
      </c>
      <c r="AF7">
        <v>43.58</v>
      </c>
      <c r="AG7">
        <v>58.96</v>
      </c>
      <c r="AH7">
        <v>50.53</v>
      </c>
      <c r="AI7">
        <v>52.65</v>
      </c>
    </row>
    <row r="8" spans="1:35" x14ac:dyDescent="0.45">
      <c r="A8" s="2">
        <v>46092</v>
      </c>
      <c r="B8">
        <v>35.82</v>
      </c>
      <c r="C8">
        <v>40.64</v>
      </c>
      <c r="D8">
        <v>16.170000000000002</v>
      </c>
      <c r="E8">
        <v>25.38</v>
      </c>
      <c r="F8">
        <v>35.729999999999997</v>
      </c>
      <c r="G8">
        <v>84.67</v>
      </c>
      <c r="H8">
        <v>28.78</v>
      </c>
      <c r="I8">
        <v>71.91</v>
      </c>
      <c r="J8">
        <v>74.69</v>
      </c>
      <c r="K8">
        <v>132.85</v>
      </c>
      <c r="L8">
        <v>37.61</v>
      </c>
      <c r="M8">
        <v>71.05</v>
      </c>
      <c r="N8">
        <v>66.58</v>
      </c>
      <c r="O8">
        <v>49.27</v>
      </c>
      <c r="P8">
        <v>58.31</v>
      </c>
      <c r="Q8">
        <v>18.8</v>
      </c>
      <c r="R8">
        <v>1407.34</v>
      </c>
      <c r="S8">
        <v>39.29</v>
      </c>
      <c r="T8">
        <v>18.68</v>
      </c>
      <c r="U8">
        <v>17.41</v>
      </c>
      <c r="V8">
        <v>38.11</v>
      </c>
      <c r="W8">
        <v>45.1753</v>
      </c>
      <c r="X8">
        <v>29</v>
      </c>
      <c r="Y8">
        <v>56.48</v>
      </c>
      <c r="Z8">
        <v>40.799999999999997</v>
      </c>
      <c r="AA8">
        <v>85.73</v>
      </c>
      <c r="AB8">
        <v>60.09</v>
      </c>
      <c r="AC8">
        <v>46.31</v>
      </c>
      <c r="AD8">
        <v>607.69000000000005</v>
      </c>
      <c r="AE8">
        <v>676.33</v>
      </c>
      <c r="AF8">
        <v>44.2</v>
      </c>
      <c r="AG8">
        <v>60.03</v>
      </c>
      <c r="AH8">
        <v>51.41</v>
      </c>
      <c r="AI8">
        <v>53.56</v>
      </c>
    </row>
    <row r="9" spans="1:35" x14ac:dyDescent="0.45">
      <c r="A9" s="2">
        <v>46091</v>
      </c>
      <c r="B9">
        <v>35.619999999999997</v>
      </c>
      <c r="C9">
        <v>40.68</v>
      </c>
      <c r="D9">
        <v>16.32</v>
      </c>
      <c r="E9">
        <v>25.54</v>
      </c>
      <c r="F9">
        <v>35.68</v>
      </c>
      <c r="G9">
        <v>86.87</v>
      </c>
      <c r="H9">
        <v>28.58</v>
      </c>
      <c r="I9">
        <v>70.44</v>
      </c>
      <c r="J9">
        <v>74.760000000000005</v>
      </c>
      <c r="K9">
        <v>130.30000000000001</v>
      </c>
      <c r="L9">
        <v>37.53</v>
      </c>
      <c r="M9">
        <v>73.040000000000006</v>
      </c>
      <c r="N9">
        <v>66.37</v>
      </c>
      <c r="O9">
        <v>49.93</v>
      </c>
      <c r="P9">
        <v>58.7</v>
      </c>
      <c r="Q9">
        <v>18.93</v>
      </c>
      <c r="R9">
        <v>1405.76</v>
      </c>
      <c r="S9">
        <v>39.18</v>
      </c>
      <c r="T9">
        <v>19.11</v>
      </c>
      <c r="U9">
        <v>17.059999999999999</v>
      </c>
      <c r="V9">
        <v>38.28</v>
      </c>
      <c r="W9">
        <v>44.983600000000003</v>
      </c>
      <c r="X9">
        <v>28.95</v>
      </c>
      <c r="Y9">
        <v>56.7</v>
      </c>
      <c r="Z9">
        <v>41.1</v>
      </c>
      <c r="AA9">
        <v>86.46</v>
      </c>
      <c r="AB9">
        <v>60.24</v>
      </c>
      <c r="AC9">
        <v>46.41</v>
      </c>
      <c r="AD9">
        <v>607.77</v>
      </c>
      <c r="AE9">
        <v>677.18</v>
      </c>
      <c r="AF9">
        <v>44.08</v>
      </c>
      <c r="AG9">
        <v>59.71</v>
      </c>
      <c r="AH9">
        <v>51.76</v>
      </c>
      <c r="AI9">
        <v>53.79</v>
      </c>
    </row>
    <row r="10" spans="1:35" x14ac:dyDescent="0.45">
      <c r="A10" s="2">
        <v>46090</v>
      </c>
      <c r="B10">
        <v>35.4</v>
      </c>
      <c r="C10">
        <v>39.729999999999997</v>
      </c>
      <c r="D10">
        <v>16.399999999999999</v>
      </c>
      <c r="E10">
        <v>25.28</v>
      </c>
      <c r="F10">
        <v>35.659999999999997</v>
      </c>
      <c r="G10">
        <v>83.97</v>
      </c>
      <c r="H10">
        <v>28.27</v>
      </c>
      <c r="I10">
        <v>70.760000000000005</v>
      </c>
      <c r="J10">
        <v>73.89</v>
      </c>
      <c r="K10">
        <v>133.88999999999999</v>
      </c>
      <c r="L10">
        <v>37.1</v>
      </c>
      <c r="M10">
        <v>72</v>
      </c>
      <c r="N10">
        <v>65.08</v>
      </c>
      <c r="O10">
        <v>49.98</v>
      </c>
      <c r="P10">
        <v>57.67</v>
      </c>
      <c r="Q10">
        <v>18.809999999999999</v>
      </c>
      <c r="R10">
        <v>1382.97</v>
      </c>
      <c r="S10">
        <v>38.74</v>
      </c>
      <c r="T10">
        <v>19.170000000000002</v>
      </c>
      <c r="U10">
        <v>17.23</v>
      </c>
      <c r="V10">
        <v>38.25</v>
      </c>
      <c r="W10">
        <v>45.21</v>
      </c>
      <c r="X10">
        <v>28.86</v>
      </c>
      <c r="Y10">
        <v>56.61</v>
      </c>
      <c r="Z10">
        <v>41.09</v>
      </c>
      <c r="AA10">
        <v>85.64</v>
      </c>
      <c r="AB10">
        <v>61.01</v>
      </c>
      <c r="AC10">
        <v>46.29</v>
      </c>
      <c r="AD10">
        <v>607.76</v>
      </c>
      <c r="AE10">
        <v>678.27</v>
      </c>
      <c r="AF10">
        <v>44.2</v>
      </c>
      <c r="AG10">
        <v>59.23</v>
      </c>
      <c r="AH10">
        <v>51.37</v>
      </c>
      <c r="AI10">
        <v>53.54</v>
      </c>
    </row>
    <row r="11" spans="1:35" x14ac:dyDescent="0.45">
      <c r="A11" s="2">
        <v>46087</v>
      </c>
      <c r="B11">
        <v>34.94</v>
      </c>
      <c r="C11">
        <v>38.99</v>
      </c>
      <c r="D11">
        <v>16.21</v>
      </c>
      <c r="E11">
        <v>25.32</v>
      </c>
      <c r="F11">
        <v>35.369999999999997</v>
      </c>
      <c r="G11">
        <v>83.19</v>
      </c>
      <c r="H11">
        <v>28.49</v>
      </c>
      <c r="I11">
        <v>69.52</v>
      </c>
      <c r="J11">
        <v>73.72</v>
      </c>
      <c r="K11">
        <v>126.73</v>
      </c>
      <c r="L11">
        <v>36.28</v>
      </c>
      <c r="M11">
        <v>70.52</v>
      </c>
      <c r="N11">
        <v>65.150000000000006</v>
      </c>
      <c r="O11">
        <v>49.99</v>
      </c>
      <c r="P11">
        <v>56.72</v>
      </c>
      <c r="Q11">
        <v>18.75</v>
      </c>
      <c r="R11">
        <v>1410.37</v>
      </c>
      <c r="S11">
        <v>37.22</v>
      </c>
      <c r="T11">
        <v>19.079999999999998</v>
      </c>
      <c r="U11">
        <v>17.45</v>
      </c>
      <c r="V11">
        <v>37.090000000000003</v>
      </c>
      <c r="W11">
        <v>45.713799999999999</v>
      </c>
      <c r="X11">
        <v>28.33</v>
      </c>
      <c r="Y11">
        <v>56.35</v>
      </c>
      <c r="Z11">
        <v>40.82</v>
      </c>
      <c r="AA11">
        <v>84.77</v>
      </c>
      <c r="AB11">
        <v>61.14</v>
      </c>
      <c r="AC11">
        <v>46.02</v>
      </c>
      <c r="AD11">
        <v>599.75</v>
      </c>
      <c r="AE11">
        <v>672.38</v>
      </c>
      <c r="AF11">
        <v>44.14</v>
      </c>
      <c r="AG11">
        <v>58.13</v>
      </c>
      <c r="AH11">
        <v>51.74</v>
      </c>
      <c r="AI11">
        <v>52.96</v>
      </c>
    </row>
    <row r="12" spans="1:35" x14ac:dyDescent="0.45">
      <c r="A12" s="2">
        <v>46086</v>
      </c>
      <c r="B12">
        <v>35.090000000000003</v>
      </c>
      <c r="C12">
        <v>38.97</v>
      </c>
      <c r="D12">
        <v>16.66</v>
      </c>
      <c r="E12">
        <v>26.13</v>
      </c>
      <c r="F12">
        <v>35.799999999999997</v>
      </c>
      <c r="G12">
        <v>84.72</v>
      </c>
      <c r="H12">
        <v>28.54</v>
      </c>
      <c r="I12">
        <v>70.400000000000006</v>
      </c>
      <c r="J12">
        <v>75.25</v>
      </c>
      <c r="K12">
        <v>125.74</v>
      </c>
      <c r="L12">
        <v>36.36</v>
      </c>
      <c r="M12">
        <v>71.42</v>
      </c>
      <c r="N12">
        <v>65.87</v>
      </c>
      <c r="O12">
        <v>50.37</v>
      </c>
      <c r="P12">
        <v>56.18</v>
      </c>
      <c r="Q12">
        <v>18.86</v>
      </c>
      <c r="R12">
        <v>1417.29</v>
      </c>
      <c r="S12">
        <v>38.729999999999997</v>
      </c>
      <c r="T12">
        <v>19.399999999999999</v>
      </c>
      <c r="U12">
        <v>18.02</v>
      </c>
      <c r="V12">
        <v>37.25</v>
      </c>
      <c r="W12">
        <v>46.06</v>
      </c>
      <c r="X12">
        <v>28.61</v>
      </c>
      <c r="Y12">
        <v>56.91</v>
      </c>
      <c r="Z12">
        <v>41.18</v>
      </c>
      <c r="AA12">
        <v>85.89</v>
      </c>
      <c r="AB12">
        <v>61.05</v>
      </c>
      <c r="AC12">
        <v>46.24</v>
      </c>
      <c r="AD12">
        <v>608.91</v>
      </c>
      <c r="AE12">
        <v>681.31</v>
      </c>
      <c r="AF12">
        <v>44.28</v>
      </c>
      <c r="AG12">
        <v>59.54</v>
      </c>
      <c r="AH12">
        <v>52.04</v>
      </c>
      <c r="AI12">
        <v>53.43</v>
      </c>
    </row>
    <row r="13" spans="1:35" x14ac:dyDescent="0.45">
      <c r="A13" s="2">
        <v>46085</v>
      </c>
      <c r="B13">
        <v>35.29</v>
      </c>
      <c r="C13">
        <v>40.31</v>
      </c>
      <c r="D13">
        <v>16.87</v>
      </c>
      <c r="E13">
        <v>26.39</v>
      </c>
      <c r="F13">
        <v>36.21</v>
      </c>
      <c r="G13">
        <v>88.67</v>
      </c>
      <c r="H13">
        <v>28.82</v>
      </c>
      <c r="I13">
        <v>71.62</v>
      </c>
      <c r="J13">
        <v>77.91</v>
      </c>
      <c r="K13">
        <v>134.37</v>
      </c>
      <c r="L13">
        <v>37.49</v>
      </c>
      <c r="M13">
        <v>74.34</v>
      </c>
      <c r="N13">
        <v>66.739999999999995</v>
      </c>
      <c r="O13">
        <v>50.27</v>
      </c>
      <c r="P13">
        <v>57.13</v>
      </c>
      <c r="Q13">
        <v>18.89</v>
      </c>
      <c r="R13">
        <v>1384.61</v>
      </c>
      <c r="S13">
        <v>38.96</v>
      </c>
      <c r="T13">
        <v>19.835000000000001</v>
      </c>
      <c r="U13">
        <v>18.3</v>
      </c>
      <c r="V13">
        <v>37.46</v>
      </c>
      <c r="W13">
        <v>46.58</v>
      </c>
      <c r="X13">
        <v>29.35</v>
      </c>
      <c r="Y13">
        <v>57.47</v>
      </c>
      <c r="Z13">
        <v>42.1</v>
      </c>
      <c r="AA13">
        <v>88.59</v>
      </c>
      <c r="AB13">
        <v>62.56</v>
      </c>
      <c r="AC13">
        <v>47.24</v>
      </c>
      <c r="AD13">
        <v>610.75</v>
      </c>
      <c r="AE13">
        <v>685.13</v>
      </c>
      <c r="AF13">
        <v>45.23</v>
      </c>
      <c r="AG13">
        <v>60.74</v>
      </c>
      <c r="AH13">
        <v>52.91</v>
      </c>
      <c r="AI13">
        <v>54.57</v>
      </c>
    </row>
    <row r="14" spans="1:35" x14ac:dyDescent="0.45">
      <c r="A14" s="2">
        <v>46084</v>
      </c>
      <c r="B14">
        <v>34.9</v>
      </c>
      <c r="C14">
        <v>39.57</v>
      </c>
      <c r="D14">
        <v>17.149999999999999</v>
      </c>
      <c r="E14">
        <v>26.64</v>
      </c>
      <c r="F14">
        <v>35.53</v>
      </c>
      <c r="G14">
        <v>87.55</v>
      </c>
      <c r="H14">
        <v>28.36</v>
      </c>
      <c r="I14">
        <v>71.290000000000006</v>
      </c>
      <c r="J14">
        <v>75.37</v>
      </c>
      <c r="K14">
        <v>132.34</v>
      </c>
      <c r="L14">
        <v>36.82</v>
      </c>
      <c r="M14">
        <v>73.56</v>
      </c>
      <c r="N14">
        <v>63.86</v>
      </c>
      <c r="O14">
        <v>50.22</v>
      </c>
      <c r="P14">
        <v>56.9</v>
      </c>
      <c r="Q14">
        <v>19.010000000000002</v>
      </c>
      <c r="R14">
        <v>1466.51</v>
      </c>
      <c r="S14">
        <v>38.78</v>
      </c>
      <c r="T14">
        <v>19.690000000000001</v>
      </c>
      <c r="U14">
        <v>18.12</v>
      </c>
      <c r="V14">
        <v>36.68</v>
      </c>
      <c r="W14">
        <v>46.05</v>
      </c>
      <c r="X14">
        <v>29.09</v>
      </c>
      <c r="Y14">
        <v>57.07</v>
      </c>
      <c r="Z14">
        <v>41.57</v>
      </c>
      <c r="AA14">
        <v>86.83</v>
      </c>
      <c r="AB14">
        <v>62.21</v>
      </c>
      <c r="AC14">
        <v>46.76</v>
      </c>
      <c r="AD14">
        <v>601.58000000000004</v>
      </c>
      <c r="AE14">
        <v>680.33</v>
      </c>
      <c r="AF14">
        <v>45.07</v>
      </c>
      <c r="AG14">
        <v>59.67</v>
      </c>
      <c r="AH14">
        <v>51.87</v>
      </c>
      <c r="AI14">
        <v>53.89</v>
      </c>
    </row>
    <row r="15" spans="1:35" x14ac:dyDescent="0.45">
      <c r="A15" s="2">
        <v>46083</v>
      </c>
      <c r="B15">
        <v>36.130000000000003</v>
      </c>
      <c r="C15">
        <v>41.56</v>
      </c>
      <c r="D15">
        <v>17.52</v>
      </c>
      <c r="E15">
        <v>26.91</v>
      </c>
      <c r="F15">
        <v>37.31</v>
      </c>
      <c r="G15">
        <v>93.38</v>
      </c>
      <c r="H15">
        <v>28.69</v>
      </c>
      <c r="I15">
        <v>75.069999999999993</v>
      </c>
      <c r="J15">
        <v>79.459999999999994</v>
      </c>
      <c r="K15">
        <v>147.54</v>
      </c>
      <c r="L15">
        <v>38.64</v>
      </c>
      <c r="M15">
        <v>79.900000000000006</v>
      </c>
      <c r="N15">
        <v>67.67</v>
      </c>
      <c r="O15">
        <v>50.95</v>
      </c>
      <c r="P15">
        <v>58.51</v>
      </c>
      <c r="Q15">
        <v>18.87</v>
      </c>
      <c r="R15">
        <v>1528.26</v>
      </c>
      <c r="S15">
        <v>39.590000000000003</v>
      </c>
      <c r="T15">
        <v>20.309999999999999</v>
      </c>
      <c r="U15">
        <v>18.63</v>
      </c>
      <c r="V15">
        <v>36.58</v>
      </c>
      <c r="W15">
        <v>47.115299999999998</v>
      </c>
      <c r="X15">
        <v>29.93</v>
      </c>
      <c r="Y15">
        <v>58.16</v>
      </c>
      <c r="Z15">
        <v>42.91</v>
      </c>
      <c r="AA15">
        <v>90.2</v>
      </c>
      <c r="AB15">
        <v>63.59</v>
      </c>
      <c r="AC15">
        <v>48.12</v>
      </c>
      <c r="AD15">
        <v>608.09</v>
      </c>
      <c r="AE15">
        <v>686.38</v>
      </c>
      <c r="AF15">
        <v>46.57</v>
      </c>
      <c r="AG15">
        <v>61.33</v>
      </c>
      <c r="AH15">
        <v>53.17</v>
      </c>
      <c r="AI15">
        <v>55.95</v>
      </c>
    </row>
    <row r="16" spans="1:35" x14ac:dyDescent="0.45">
      <c r="A16" s="2">
        <v>46080</v>
      </c>
      <c r="B16">
        <v>36.15</v>
      </c>
      <c r="C16">
        <v>43.5</v>
      </c>
      <c r="D16">
        <v>17.82</v>
      </c>
      <c r="E16">
        <v>27.91</v>
      </c>
      <c r="F16">
        <v>38.130000000000003</v>
      </c>
      <c r="G16">
        <v>93.84</v>
      </c>
      <c r="H16">
        <v>29.22</v>
      </c>
      <c r="I16">
        <v>75.67</v>
      </c>
      <c r="J16">
        <v>80.94</v>
      </c>
      <c r="K16">
        <v>151.37</v>
      </c>
      <c r="L16">
        <v>38.729999999999997</v>
      </c>
      <c r="M16">
        <v>81.599999999999994</v>
      </c>
      <c r="N16">
        <v>70.680000000000007</v>
      </c>
      <c r="O16">
        <v>52.27</v>
      </c>
      <c r="P16">
        <v>59.06</v>
      </c>
      <c r="Q16">
        <v>19.46</v>
      </c>
      <c r="R16">
        <v>1533.64</v>
      </c>
      <c r="S16">
        <v>40.630000000000003</v>
      </c>
      <c r="T16">
        <v>21.35</v>
      </c>
      <c r="U16">
        <v>19.079999999999998</v>
      </c>
      <c r="V16">
        <v>37.17</v>
      </c>
      <c r="W16">
        <v>47.477600000000002</v>
      </c>
      <c r="X16">
        <v>30.09</v>
      </c>
      <c r="Y16">
        <v>57.98</v>
      </c>
      <c r="Z16">
        <v>44.34</v>
      </c>
      <c r="AA16">
        <v>92.37</v>
      </c>
      <c r="AB16">
        <v>65.08</v>
      </c>
      <c r="AC16">
        <v>48.68</v>
      </c>
      <c r="AD16">
        <v>607.29</v>
      </c>
      <c r="AE16">
        <v>685.99</v>
      </c>
      <c r="AF16">
        <v>47.87</v>
      </c>
      <c r="AG16">
        <v>62.8</v>
      </c>
      <c r="AH16">
        <v>54.72</v>
      </c>
      <c r="AI16">
        <v>57.33</v>
      </c>
    </row>
    <row r="17" spans="1:35" x14ac:dyDescent="0.45">
      <c r="A17" s="2">
        <v>46079</v>
      </c>
      <c r="B17">
        <v>35.96</v>
      </c>
      <c r="C17">
        <v>44.34</v>
      </c>
      <c r="D17">
        <v>17.89</v>
      </c>
      <c r="E17">
        <v>28.15</v>
      </c>
      <c r="F17">
        <v>38.19</v>
      </c>
      <c r="G17">
        <v>93.46</v>
      </c>
      <c r="H17">
        <v>29.65</v>
      </c>
      <c r="I17">
        <v>76.14</v>
      </c>
      <c r="J17">
        <v>80.66</v>
      </c>
      <c r="K17">
        <v>150.41</v>
      </c>
      <c r="L17">
        <v>39.1</v>
      </c>
      <c r="M17">
        <v>80.760000000000005</v>
      </c>
      <c r="N17">
        <v>72.03</v>
      </c>
      <c r="O17">
        <v>52.58</v>
      </c>
      <c r="P17">
        <v>59.23</v>
      </c>
      <c r="Q17">
        <v>19.52</v>
      </c>
      <c r="R17">
        <v>1516.01</v>
      </c>
      <c r="S17">
        <v>41.23</v>
      </c>
      <c r="T17">
        <v>21.54</v>
      </c>
      <c r="U17">
        <v>19.16</v>
      </c>
      <c r="V17">
        <v>37.130000000000003</v>
      </c>
      <c r="W17">
        <v>47.225000000000001</v>
      </c>
      <c r="X17">
        <v>30.14</v>
      </c>
      <c r="Y17">
        <v>58.15</v>
      </c>
      <c r="Z17">
        <v>44.56</v>
      </c>
      <c r="AA17">
        <v>92.48</v>
      </c>
      <c r="AB17">
        <v>64.63</v>
      </c>
      <c r="AC17">
        <v>48.61</v>
      </c>
      <c r="AD17">
        <v>609.24</v>
      </c>
      <c r="AE17">
        <v>689.3</v>
      </c>
      <c r="AF17">
        <v>48.35</v>
      </c>
      <c r="AG17">
        <v>63.05</v>
      </c>
      <c r="AH17">
        <v>54.56</v>
      </c>
      <c r="AI17">
        <v>57.93</v>
      </c>
    </row>
    <row r="18" spans="1:35" x14ac:dyDescent="0.45">
      <c r="A18" s="2">
        <v>46078</v>
      </c>
      <c r="B18">
        <v>36.36</v>
      </c>
      <c r="C18">
        <v>44.73</v>
      </c>
      <c r="D18">
        <v>18.22</v>
      </c>
      <c r="E18">
        <v>28.37</v>
      </c>
      <c r="F18">
        <v>38.71</v>
      </c>
      <c r="G18">
        <v>93.37</v>
      </c>
      <c r="H18">
        <v>30.01</v>
      </c>
      <c r="I18">
        <v>77.06</v>
      </c>
      <c r="J18">
        <v>80.45</v>
      </c>
      <c r="K18">
        <v>148.88999999999999</v>
      </c>
      <c r="L18">
        <v>39.590000000000003</v>
      </c>
      <c r="M18">
        <v>80.27</v>
      </c>
      <c r="N18">
        <v>71.510000000000005</v>
      </c>
      <c r="O18">
        <v>52.74</v>
      </c>
      <c r="P18">
        <v>60.67</v>
      </c>
      <c r="Q18">
        <v>19.89</v>
      </c>
      <c r="R18">
        <v>1490.4</v>
      </c>
      <c r="S18">
        <v>41.19</v>
      </c>
      <c r="T18">
        <v>22</v>
      </c>
      <c r="U18">
        <v>19.085000000000001</v>
      </c>
      <c r="V18">
        <v>37.92</v>
      </c>
      <c r="W18">
        <v>47.164499999999997</v>
      </c>
      <c r="X18">
        <v>30.16</v>
      </c>
      <c r="Y18">
        <v>57.59</v>
      </c>
      <c r="Z18">
        <v>44.35</v>
      </c>
      <c r="AA18">
        <v>92.44</v>
      </c>
      <c r="AB18">
        <v>64.849999999999994</v>
      </c>
      <c r="AC18">
        <v>48.66</v>
      </c>
      <c r="AD18">
        <v>616.67999999999995</v>
      </c>
      <c r="AE18">
        <v>693.15</v>
      </c>
      <c r="AF18">
        <v>48.02</v>
      </c>
      <c r="AG18">
        <v>63.77</v>
      </c>
      <c r="AH18">
        <v>54.13</v>
      </c>
      <c r="AI18">
        <v>57.61</v>
      </c>
    </row>
    <row r="19" spans="1:35" x14ac:dyDescent="0.45">
      <c r="A19" s="2">
        <v>46077</v>
      </c>
      <c r="B19">
        <v>35.94</v>
      </c>
      <c r="C19">
        <v>44.54</v>
      </c>
      <c r="D19">
        <v>17.95</v>
      </c>
      <c r="E19">
        <v>27.73</v>
      </c>
      <c r="F19">
        <v>37.950000000000003</v>
      </c>
      <c r="G19">
        <v>92.18</v>
      </c>
      <c r="H19">
        <v>30.02</v>
      </c>
      <c r="I19">
        <v>75.73</v>
      </c>
      <c r="J19">
        <v>80.37</v>
      </c>
      <c r="K19">
        <v>144.55000000000001</v>
      </c>
      <c r="L19">
        <v>39.47</v>
      </c>
      <c r="M19">
        <v>79.25</v>
      </c>
      <c r="N19">
        <v>70.34</v>
      </c>
      <c r="O19">
        <v>52.67</v>
      </c>
      <c r="P19">
        <v>60.43</v>
      </c>
      <c r="Q19">
        <v>19.989999999999998</v>
      </c>
      <c r="R19">
        <v>1480.24</v>
      </c>
      <c r="S19">
        <v>41.93</v>
      </c>
      <c r="T19">
        <v>22</v>
      </c>
      <c r="U19">
        <v>19.25</v>
      </c>
      <c r="V19">
        <v>38.18</v>
      </c>
      <c r="W19">
        <v>46.72</v>
      </c>
      <c r="X19">
        <v>29.58</v>
      </c>
      <c r="Y19">
        <v>57.15</v>
      </c>
      <c r="Z19">
        <v>43.95</v>
      </c>
      <c r="AA19">
        <v>91.23</v>
      </c>
      <c r="AB19">
        <v>64.819999999999993</v>
      </c>
      <c r="AC19">
        <v>47.98</v>
      </c>
      <c r="AD19">
        <v>607.87</v>
      </c>
      <c r="AE19">
        <v>687.35</v>
      </c>
      <c r="AF19">
        <v>47.62</v>
      </c>
      <c r="AG19">
        <v>63</v>
      </c>
      <c r="AH19">
        <v>54.01</v>
      </c>
      <c r="AI19">
        <v>56.94</v>
      </c>
    </row>
    <row r="20" spans="1:35" x14ac:dyDescent="0.45">
      <c r="A20" s="2">
        <v>46076</v>
      </c>
      <c r="B20">
        <v>35.85</v>
      </c>
      <c r="C20">
        <v>43.51</v>
      </c>
      <c r="D20">
        <v>18.11</v>
      </c>
      <c r="E20">
        <v>27.53</v>
      </c>
      <c r="F20">
        <v>38.1</v>
      </c>
      <c r="G20">
        <v>90.66</v>
      </c>
      <c r="H20">
        <v>30.01</v>
      </c>
      <c r="I20">
        <v>73.180000000000007</v>
      </c>
      <c r="J20">
        <v>79.540000000000006</v>
      </c>
      <c r="K20">
        <v>139.30000000000001</v>
      </c>
      <c r="L20">
        <v>38.770000000000003</v>
      </c>
      <c r="M20">
        <v>77.89</v>
      </c>
      <c r="N20">
        <v>71.040000000000006</v>
      </c>
      <c r="O20">
        <v>52.61</v>
      </c>
      <c r="P20">
        <v>60.76</v>
      </c>
      <c r="Q20">
        <v>19.920000000000002</v>
      </c>
      <c r="R20">
        <v>1479.71</v>
      </c>
      <c r="S20">
        <v>41.76</v>
      </c>
      <c r="T20">
        <v>21.96</v>
      </c>
      <c r="U20">
        <v>19.23</v>
      </c>
      <c r="V20">
        <v>38.299999999999997</v>
      </c>
      <c r="W20">
        <v>45.933500000000002</v>
      </c>
      <c r="X20">
        <v>29.45</v>
      </c>
      <c r="Y20">
        <v>56.95</v>
      </c>
      <c r="Z20">
        <v>43.9</v>
      </c>
      <c r="AA20">
        <v>91.39</v>
      </c>
      <c r="AB20">
        <v>64.31</v>
      </c>
      <c r="AC20">
        <v>47.89</v>
      </c>
      <c r="AD20">
        <v>601.41</v>
      </c>
      <c r="AE20">
        <v>682.39</v>
      </c>
      <c r="AF20">
        <v>47.49</v>
      </c>
      <c r="AG20">
        <v>62.95</v>
      </c>
      <c r="AH20">
        <v>53.49</v>
      </c>
      <c r="AI20">
        <v>56.94</v>
      </c>
    </row>
    <row r="21" spans="1:35" x14ac:dyDescent="0.45">
      <c r="A21" s="2">
        <v>46073</v>
      </c>
      <c r="B21">
        <v>35.79</v>
      </c>
      <c r="C21">
        <v>43.58</v>
      </c>
      <c r="D21">
        <v>18.059999999999999</v>
      </c>
      <c r="E21">
        <v>27.16</v>
      </c>
      <c r="F21">
        <v>37.81</v>
      </c>
      <c r="G21">
        <v>89.66</v>
      </c>
      <c r="H21">
        <v>30.13</v>
      </c>
      <c r="I21">
        <v>74.38</v>
      </c>
      <c r="J21">
        <v>81.23</v>
      </c>
      <c r="K21">
        <v>141.88</v>
      </c>
      <c r="L21">
        <v>39.369999999999997</v>
      </c>
      <c r="M21">
        <v>77.25</v>
      </c>
      <c r="N21">
        <v>70.900000000000006</v>
      </c>
      <c r="O21">
        <v>53.42</v>
      </c>
      <c r="P21">
        <v>61.01</v>
      </c>
      <c r="Q21">
        <v>19.844999999999999</v>
      </c>
      <c r="R21">
        <v>1493.91</v>
      </c>
      <c r="S21">
        <v>41.65</v>
      </c>
      <c r="T21">
        <v>21.63</v>
      </c>
      <c r="U21">
        <v>19.285</v>
      </c>
      <c r="V21">
        <v>38.630000000000003</v>
      </c>
      <c r="W21">
        <v>45.835500000000003</v>
      </c>
      <c r="X21">
        <v>29.7</v>
      </c>
      <c r="Y21">
        <v>57.16</v>
      </c>
      <c r="Z21">
        <v>44.32</v>
      </c>
      <c r="AA21">
        <v>91.47</v>
      </c>
      <c r="AB21">
        <v>64.38</v>
      </c>
      <c r="AC21">
        <v>48.04</v>
      </c>
      <c r="AD21">
        <v>608.80999999999995</v>
      </c>
      <c r="AE21">
        <v>689.43</v>
      </c>
      <c r="AF21">
        <v>47.68</v>
      </c>
      <c r="AG21">
        <v>63.18</v>
      </c>
      <c r="AH21">
        <v>54</v>
      </c>
      <c r="AI21">
        <v>56.81</v>
      </c>
    </row>
    <row r="22" spans="1:35" x14ac:dyDescent="0.45">
      <c r="A22" s="2">
        <v>46072</v>
      </c>
      <c r="B22">
        <v>35.622</v>
      </c>
      <c r="C22">
        <v>43.52</v>
      </c>
      <c r="D22">
        <v>17.829999999999998</v>
      </c>
      <c r="E22">
        <v>26.83</v>
      </c>
      <c r="F22">
        <v>37.65</v>
      </c>
      <c r="G22">
        <v>88.13</v>
      </c>
      <c r="H22">
        <v>29.82</v>
      </c>
      <c r="I22">
        <v>72.67</v>
      </c>
      <c r="J22">
        <v>79.94</v>
      </c>
      <c r="K22">
        <v>135.21</v>
      </c>
      <c r="L22">
        <v>38.61</v>
      </c>
      <c r="M22">
        <v>75.010000000000005</v>
      </c>
      <c r="N22">
        <v>71.040000000000006</v>
      </c>
      <c r="O22">
        <v>52.3</v>
      </c>
      <c r="P22">
        <v>60.72</v>
      </c>
      <c r="Q22">
        <v>19.855599999999999</v>
      </c>
      <c r="R22">
        <v>1466.67</v>
      </c>
      <c r="S22">
        <v>41.26</v>
      </c>
      <c r="T22">
        <v>21.69</v>
      </c>
      <c r="U22">
        <v>18.760000000000002</v>
      </c>
      <c r="V22">
        <v>38.130000000000003</v>
      </c>
      <c r="W22">
        <v>46.017200000000003</v>
      </c>
      <c r="X22">
        <v>29.37</v>
      </c>
      <c r="Y22">
        <v>56.75</v>
      </c>
      <c r="Z22">
        <v>43.88</v>
      </c>
      <c r="AA22">
        <v>91.2</v>
      </c>
      <c r="AB22">
        <v>64.16</v>
      </c>
      <c r="AC22">
        <v>47.68</v>
      </c>
      <c r="AD22">
        <v>603.47</v>
      </c>
      <c r="AE22">
        <v>684.48</v>
      </c>
      <c r="AF22">
        <v>46.91</v>
      </c>
      <c r="AG22">
        <v>62.66</v>
      </c>
      <c r="AH22">
        <v>53.4</v>
      </c>
      <c r="AI22">
        <v>55.89</v>
      </c>
    </row>
    <row r="23" spans="1:35" x14ac:dyDescent="0.45">
      <c r="A23" s="2">
        <v>46071</v>
      </c>
      <c r="B23">
        <v>35.799999999999997</v>
      </c>
      <c r="C23">
        <v>43.69</v>
      </c>
      <c r="D23">
        <v>17.87</v>
      </c>
      <c r="E23">
        <v>26.78</v>
      </c>
      <c r="F23">
        <v>37.729999999999997</v>
      </c>
      <c r="G23">
        <v>86.570999999999998</v>
      </c>
      <c r="H23">
        <v>29.67</v>
      </c>
      <c r="I23">
        <v>72.98</v>
      </c>
      <c r="J23">
        <v>80.150000000000006</v>
      </c>
      <c r="K23">
        <v>132.93</v>
      </c>
      <c r="L23">
        <v>38.03</v>
      </c>
      <c r="M23">
        <v>75.569999999999993</v>
      </c>
      <c r="N23">
        <v>72.89</v>
      </c>
      <c r="O23">
        <v>53.32</v>
      </c>
      <c r="P23">
        <v>60.95</v>
      </c>
      <c r="Q23">
        <v>20.114999999999998</v>
      </c>
      <c r="R23">
        <v>1459.68</v>
      </c>
      <c r="S23">
        <v>42.41</v>
      </c>
      <c r="T23">
        <v>22.23</v>
      </c>
      <c r="U23">
        <v>18.77</v>
      </c>
      <c r="V23">
        <v>39.119999999999997</v>
      </c>
      <c r="W23">
        <v>45.25</v>
      </c>
      <c r="X23">
        <v>29.31</v>
      </c>
      <c r="Y23">
        <v>56.46</v>
      </c>
      <c r="Z23">
        <v>44.12</v>
      </c>
      <c r="AA23">
        <v>91.38</v>
      </c>
      <c r="AB23">
        <v>64.260000000000005</v>
      </c>
      <c r="AC23">
        <v>47.88</v>
      </c>
      <c r="AD23">
        <v>605.79</v>
      </c>
      <c r="AE23">
        <v>686.29</v>
      </c>
      <c r="AF23">
        <v>47.03</v>
      </c>
      <c r="AG23">
        <v>62.94</v>
      </c>
      <c r="AH23">
        <v>53.5</v>
      </c>
      <c r="AI23">
        <v>56.32</v>
      </c>
    </row>
    <row r="24" spans="1:35" x14ac:dyDescent="0.45">
      <c r="A24" s="2">
        <v>46070</v>
      </c>
      <c r="B24">
        <v>35.65</v>
      </c>
      <c r="C24">
        <v>43.8</v>
      </c>
      <c r="D24">
        <v>17.82</v>
      </c>
      <c r="E24">
        <v>26.68</v>
      </c>
      <c r="F24">
        <v>37.5</v>
      </c>
      <c r="G24">
        <v>84.91</v>
      </c>
      <c r="H24">
        <v>29.65</v>
      </c>
      <c r="I24">
        <v>72.89</v>
      </c>
      <c r="J24">
        <v>80.760000000000005</v>
      </c>
      <c r="K24">
        <v>130.68</v>
      </c>
      <c r="L24">
        <v>37.74</v>
      </c>
      <c r="M24">
        <v>74.709999999999994</v>
      </c>
      <c r="N24">
        <v>70.66</v>
      </c>
      <c r="O24">
        <v>53.27</v>
      </c>
      <c r="P24">
        <v>60.61</v>
      </c>
      <c r="Q24">
        <v>19.98</v>
      </c>
      <c r="R24">
        <v>1438.09</v>
      </c>
      <c r="S24">
        <v>42.34</v>
      </c>
      <c r="T24">
        <v>21.85</v>
      </c>
      <c r="U24">
        <v>18.73</v>
      </c>
      <c r="V24">
        <v>38.94</v>
      </c>
      <c r="W24">
        <v>44.905000000000001</v>
      </c>
      <c r="X24">
        <v>29.32</v>
      </c>
      <c r="Y24">
        <v>55.86</v>
      </c>
      <c r="Z24">
        <v>44.04</v>
      </c>
      <c r="AA24">
        <v>91.87</v>
      </c>
      <c r="AB24">
        <v>64.44</v>
      </c>
      <c r="AC24">
        <v>47.42</v>
      </c>
      <c r="AD24">
        <v>601.29999999999995</v>
      </c>
      <c r="AE24">
        <v>682.85</v>
      </c>
      <c r="AF24">
        <v>47.05</v>
      </c>
      <c r="AG24">
        <v>62.23</v>
      </c>
      <c r="AH24">
        <v>53.26</v>
      </c>
      <c r="AI24">
        <v>56.02</v>
      </c>
    </row>
    <row r="25" spans="1:35" x14ac:dyDescent="0.45">
      <c r="A25" s="2">
        <v>46066</v>
      </c>
      <c r="B25">
        <v>35.368400000000001</v>
      </c>
      <c r="C25">
        <v>43.81</v>
      </c>
      <c r="D25">
        <v>17.77</v>
      </c>
      <c r="E25">
        <v>26.97</v>
      </c>
      <c r="F25">
        <v>37.67</v>
      </c>
      <c r="G25">
        <v>86.67</v>
      </c>
      <c r="H25">
        <v>29.72</v>
      </c>
      <c r="I25">
        <v>73.05</v>
      </c>
      <c r="J25">
        <v>81.03</v>
      </c>
      <c r="K25">
        <v>133.97</v>
      </c>
      <c r="L25">
        <v>38.06</v>
      </c>
      <c r="M25">
        <v>75.319999999999993</v>
      </c>
      <c r="N25">
        <v>71.900000000000006</v>
      </c>
      <c r="O25">
        <v>52.89</v>
      </c>
      <c r="P25">
        <v>60.35</v>
      </c>
      <c r="Q25">
        <v>20.096699999999998</v>
      </c>
      <c r="R25">
        <v>1430.41</v>
      </c>
      <c r="S25">
        <v>42.22</v>
      </c>
      <c r="T25">
        <v>21.94</v>
      </c>
      <c r="U25">
        <v>18.89</v>
      </c>
      <c r="V25">
        <v>39.159999999999997</v>
      </c>
      <c r="W25">
        <v>46.772100000000002</v>
      </c>
      <c r="X25">
        <v>29.16</v>
      </c>
      <c r="Y25">
        <v>56.17</v>
      </c>
      <c r="Z25">
        <v>43.97</v>
      </c>
      <c r="AA25">
        <v>93.85</v>
      </c>
      <c r="AB25">
        <v>63.79</v>
      </c>
      <c r="AC25">
        <v>47.25</v>
      </c>
      <c r="AD25">
        <v>601.91999999999996</v>
      </c>
      <c r="AE25">
        <v>681.75</v>
      </c>
      <c r="AF25">
        <v>46.7</v>
      </c>
      <c r="AG25">
        <v>61.65</v>
      </c>
      <c r="AH25">
        <v>53.47</v>
      </c>
      <c r="AI25">
        <v>55.54</v>
      </c>
    </row>
    <row r="26" spans="1:35" x14ac:dyDescent="0.45">
      <c r="A26" s="2">
        <v>46065</v>
      </c>
      <c r="B26">
        <v>35.56</v>
      </c>
      <c r="C26">
        <v>44.25</v>
      </c>
      <c r="D26">
        <v>17.89</v>
      </c>
      <c r="E26">
        <v>26.94</v>
      </c>
      <c r="F26">
        <v>37.909999999999997</v>
      </c>
      <c r="G26">
        <v>87.03</v>
      </c>
      <c r="H26">
        <v>29.71</v>
      </c>
      <c r="I26">
        <v>72.56</v>
      </c>
      <c r="J26">
        <v>79.92</v>
      </c>
      <c r="K26">
        <v>130.80000000000001</v>
      </c>
      <c r="L26">
        <v>38.49</v>
      </c>
      <c r="M26">
        <v>74.150000000000006</v>
      </c>
      <c r="N26">
        <v>73.56</v>
      </c>
      <c r="O26">
        <v>53.11</v>
      </c>
      <c r="P26">
        <v>60.58</v>
      </c>
      <c r="Q26">
        <v>20.074999999999999</v>
      </c>
      <c r="R26">
        <v>1441.53</v>
      </c>
      <c r="S26">
        <v>41.91</v>
      </c>
      <c r="T26">
        <v>21.89</v>
      </c>
      <c r="U26">
        <v>18.510000000000002</v>
      </c>
      <c r="V26">
        <v>38.94</v>
      </c>
      <c r="W26">
        <v>47.456800000000001</v>
      </c>
      <c r="X26">
        <v>29.1</v>
      </c>
      <c r="Y26">
        <v>55.26</v>
      </c>
      <c r="Z26">
        <v>43.96</v>
      </c>
      <c r="AA26">
        <v>93.37</v>
      </c>
      <c r="AB26">
        <v>63.46</v>
      </c>
      <c r="AC26">
        <v>47.01</v>
      </c>
      <c r="AD26">
        <v>600.64</v>
      </c>
      <c r="AE26">
        <v>681.27</v>
      </c>
      <c r="AF26">
        <v>46.68</v>
      </c>
      <c r="AG26">
        <v>61.53</v>
      </c>
      <c r="AH26">
        <v>53.42</v>
      </c>
      <c r="AI26">
        <v>56.52</v>
      </c>
    </row>
    <row r="27" spans="1:35" x14ac:dyDescent="0.45">
      <c r="A27" s="2">
        <v>46064</v>
      </c>
      <c r="B27">
        <v>35.76</v>
      </c>
      <c r="C27">
        <v>45.35</v>
      </c>
      <c r="D27">
        <v>18.09</v>
      </c>
      <c r="E27">
        <v>27.25</v>
      </c>
      <c r="F27">
        <v>38.39</v>
      </c>
      <c r="G27">
        <v>90.05</v>
      </c>
      <c r="H27">
        <v>29.98</v>
      </c>
      <c r="I27">
        <v>73.349999999999994</v>
      </c>
      <c r="J27">
        <v>80.7</v>
      </c>
      <c r="K27">
        <v>130.6</v>
      </c>
      <c r="L27">
        <v>39.159999999999997</v>
      </c>
      <c r="M27">
        <v>76.53</v>
      </c>
      <c r="N27">
        <v>73.84</v>
      </c>
      <c r="O27">
        <v>53.53</v>
      </c>
      <c r="P27">
        <v>61.93</v>
      </c>
      <c r="Q27">
        <v>20.125</v>
      </c>
      <c r="R27">
        <v>1411.7</v>
      </c>
      <c r="S27">
        <v>41.21</v>
      </c>
      <c r="T27">
        <v>21.83</v>
      </c>
      <c r="U27">
        <v>18.71</v>
      </c>
      <c r="V27">
        <v>39.19</v>
      </c>
      <c r="W27">
        <v>47.898000000000003</v>
      </c>
      <c r="X27">
        <v>29.3</v>
      </c>
      <c r="Y27">
        <v>56.58</v>
      </c>
      <c r="Z27">
        <v>44.05</v>
      </c>
      <c r="AA27">
        <v>93.97</v>
      </c>
      <c r="AB27">
        <v>63.24</v>
      </c>
      <c r="AC27">
        <v>47.43</v>
      </c>
      <c r="AD27">
        <v>613.11</v>
      </c>
      <c r="AE27">
        <v>691.96</v>
      </c>
      <c r="AF27">
        <v>47.08</v>
      </c>
      <c r="AG27">
        <v>63.06</v>
      </c>
      <c r="AH27">
        <v>54.56</v>
      </c>
      <c r="AI27">
        <v>56.98</v>
      </c>
    </row>
    <row r="28" spans="1:35" x14ac:dyDescent="0.45">
      <c r="A28" s="2">
        <v>46063</v>
      </c>
      <c r="B28">
        <v>35.715000000000003</v>
      </c>
      <c r="C28">
        <v>44.54</v>
      </c>
      <c r="D28">
        <v>17.75</v>
      </c>
      <c r="E28">
        <v>26.93</v>
      </c>
      <c r="F28">
        <v>38.11</v>
      </c>
      <c r="G28">
        <v>89.43</v>
      </c>
      <c r="H28">
        <v>29.69</v>
      </c>
      <c r="I28">
        <v>71.44</v>
      </c>
      <c r="J28">
        <v>80.48</v>
      </c>
      <c r="K28">
        <v>124.45</v>
      </c>
      <c r="L28">
        <v>38.32</v>
      </c>
      <c r="M28">
        <v>75.41</v>
      </c>
      <c r="N28">
        <v>74.540000000000006</v>
      </c>
      <c r="O28">
        <v>53.74</v>
      </c>
      <c r="P28">
        <v>61.99</v>
      </c>
      <c r="Q28">
        <v>20.094999999999999</v>
      </c>
      <c r="R28">
        <v>1410.44</v>
      </c>
      <c r="S28">
        <v>40.97</v>
      </c>
      <c r="T28">
        <v>21.9</v>
      </c>
      <c r="U28">
        <v>18.079999999999998</v>
      </c>
      <c r="V28">
        <v>39.229999999999997</v>
      </c>
      <c r="W28">
        <v>47.994999999999997</v>
      </c>
      <c r="X28">
        <v>28.64</v>
      </c>
      <c r="Y28">
        <v>56.72</v>
      </c>
      <c r="Z28">
        <v>44.22</v>
      </c>
      <c r="AA28">
        <v>93.1</v>
      </c>
      <c r="AB28">
        <v>63.43</v>
      </c>
      <c r="AC28">
        <v>46.74</v>
      </c>
      <c r="AD28">
        <v>611.47</v>
      </c>
      <c r="AE28">
        <v>692.12</v>
      </c>
      <c r="AF28">
        <v>46.83</v>
      </c>
      <c r="AG28">
        <v>63.07</v>
      </c>
      <c r="AH28">
        <v>54.17</v>
      </c>
      <c r="AI28">
        <v>57.32</v>
      </c>
    </row>
    <row r="29" spans="1:35" x14ac:dyDescent="0.45">
      <c r="A29" s="2">
        <v>46062</v>
      </c>
      <c r="B29">
        <v>35.82</v>
      </c>
      <c r="C29">
        <v>46.17</v>
      </c>
      <c r="D29">
        <v>17.600000000000001</v>
      </c>
      <c r="E29">
        <v>26.42</v>
      </c>
      <c r="F29">
        <v>38.76</v>
      </c>
      <c r="G29">
        <v>91.08</v>
      </c>
      <c r="H29">
        <v>29.83</v>
      </c>
      <c r="I29">
        <v>70.760000000000005</v>
      </c>
      <c r="J29">
        <v>80.67</v>
      </c>
      <c r="K29">
        <v>126.05</v>
      </c>
      <c r="L29">
        <v>38.42</v>
      </c>
      <c r="M29">
        <v>75.72</v>
      </c>
      <c r="N29">
        <v>74.77</v>
      </c>
      <c r="O29">
        <v>53.44</v>
      </c>
      <c r="P29">
        <v>61.97</v>
      </c>
      <c r="Q29">
        <v>20.100000000000001</v>
      </c>
      <c r="R29">
        <v>1400.89</v>
      </c>
      <c r="S29">
        <v>41.54</v>
      </c>
      <c r="T29">
        <v>21.89</v>
      </c>
      <c r="U29">
        <v>18.045000000000002</v>
      </c>
      <c r="V29">
        <v>39.46</v>
      </c>
      <c r="W29">
        <v>47.975000000000001</v>
      </c>
      <c r="X29">
        <v>28.83</v>
      </c>
      <c r="Y29">
        <v>56.27</v>
      </c>
      <c r="Z29">
        <v>44.32</v>
      </c>
      <c r="AA29">
        <v>91.29</v>
      </c>
      <c r="AB29">
        <v>63.45</v>
      </c>
      <c r="AC29">
        <v>47.02</v>
      </c>
      <c r="AD29">
        <v>614.32000000000005</v>
      </c>
      <c r="AE29">
        <v>693.95</v>
      </c>
      <c r="AF29">
        <v>46.99</v>
      </c>
      <c r="AG29">
        <v>62.99</v>
      </c>
      <c r="AH29">
        <v>53.38</v>
      </c>
      <c r="AI29">
        <v>57.61</v>
      </c>
    </row>
    <row r="30" spans="1:35" x14ac:dyDescent="0.45">
      <c r="A30" s="2">
        <v>46059</v>
      </c>
      <c r="B30">
        <v>35.409999999999997</v>
      </c>
      <c r="C30">
        <v>45.24</v>
      </c>
      <c r="D30">
        <v>17.600000000000001</v>
      </c>
      <c r="E30">
        <v>26.73</v>
      </c>
      <c r="F30">
        <v>37.92</v>
      </c>
      <c r="G30">
        <v>88.15</v>
      </c>
      <c r="H30">
        <v>29.57</v>
      </c>
      <c r="I30">
        <v>70.05</v>
      </c>
      <c r="J30">
        <v>79.87</v>
      </c>
      <c r="K30">
        <v>124.71</v>
      </c>
      <c r="L30">
        <v>37.56</v>
      </c>
      <c r="M30">
        <v>74.77</v>
      </c>
      <c r="N30">
        <v>75.17</v>
      </c>
      <c r="O30">
        <v>53.28</v>
      </c>
      <c r="P30">
        <v>61.67</v>
      </c>
      <c r="Q30">
        <v>19.940000000000001</v>
      </c>
      <c r="R30">
        <v>1354.01</v>
      </c>
      <c r="S30">
        <v>40.840000000000003</v>
      </c>
      <c r="T30">
        <v>21.73</v>
      </c>
      <c r="U30">
        <v>18.03</v>
      </c>
      <c r="V30">
        <v>39.75</v>
      </c>
      <c r="W30">
        <v>47.6</v>
      </c>
      <c r="X30">
        <v>28.23</v>
      </c>
      <c r="Y30">
        <v>55.01</v>
      </c>
      <c r="Z30">
        <v>43.53</v>
      </c>
      <c r="AA30">
        <v>89.4</v>
      </c>
      <c r="AB30">
        <v>63.09</v>
      </c>
      <c r="AC30">
        <v>46.9</v>
      </c>
      <c r="AD30">
        <v>609.65</v>
      </c>
      <c r="AE30">
        <v>690.62</v>
      </c>
      <c r="AF30">
        <v>46.4</v>
      </c>
      <c r="AG30">
        <v>62.03</v>
      </c>
      <c r="AH30">
        <v>52.93</v>
      </c>
      <c r="AI30">
        <v>56.28</v>
      </c>
    </row>
    <row r="31" spans="1:35" x14ac:dyDescent="0.45">
      <c r="A31" s="2">
        <v>46058</v>
      </c>
      <c r="B31">
        <v>34.840000000000003</v>
      </c>
      <c r="C31">
        <v>45.19</v>
      </c>
      <c r="D31">
        <v>17.510000000000002</v>
      </c>
      <c r="E31">
        <v>26.45</v>
      </c>
      <c r="F31">
        <v>37.369999999999997</v>
      </c>
      <c r="G31">
        <v>85.17</v>
      </c>
      <c r="H31">
        <v>29.18</v>
      </c>
      <c r="I31">
        <v>67.86</v>
      </c>
      <c r="J31">
        <v>76.83</v>
      </c>
      <c r="K31">
        <v>120.21</v>
      </c>
      <c r="L31">
        <v>36.909999999999997</v>
      </c>
      <c r="M31">
        <v>71.599999999999994</v>
      </c>
      <c r="N31">
        <v>74.650000000000006</v>
      </c>
      <c r="O31">
        <v>52.95</v>
      </c>
      <c r="P31">
        <v>60.1</v>
      </c>
      <c r="Q31">
        <v>19.82</v>
      </c>
      <c r="R31">
        <v>1346.23</v>
      </c>
      <c r="S31">
        <v>40.659999999999997</v>
      </c>
      <c r="T31">
        <v>21.39</v>
      </c>
      <c r="U31">
        <v>18.12</v>
      </c>
      <c r="V31">
        <v>39.22</v>
      </c>
      <c r="W31">
        <v>47.11</v>
      </c>
      <c r="X31">
        <v>27.84</v>
      </c>
      <c r="Y31">
        <v>54.14</v>
      </c>
      <c r="Z31">
        <v>42.84</v>
      </c>
      <c r="AA31">
        <v>86.1</v>
      </c>
      <c r="AB31">
        <v>62.24</v>
      </c>
      <c r="AC31">
        <v>45.94</v>
      </c>
      <c r="AD31">
        <v>597.03</v>
      </c>
      <c r="AE31">
        <v>677.62</v>
      </c>
      <c r="AF31">
        <v>45.73</v>
      </c>
      <c r="AG31">
        <v>60.56</v>
      </c>
      <c r="AH31">
        <v>51.86</v>
      </c>
      <c r="AI31">
        <v>55.7</v>
      </c>
    </row>
    <row r="32" spans="1:35" x14ac:dyDescent="0.45">
      <c r="A32" s="2">
        <v>46057</v>
      </c>
      <c r="B32">
        <v>35.14</v>
      </c>
      <c r="C32">
        <v>45.66</v>
      </c>
      <c r="D32">
        <v>17.79</v>
      </c>
      <c r="E32">
        <v>26.33</v>
      </c>
      <c r="F32">
        <v>38.28</v>
      </c>
      <c r="G32">
        <v>88.38</v>
      </c>
      <c r="H32">
        <v>29.49</v>
      </c>
      <c r="I32">
        <v>68.150000000000006</v>
      </c>
      <c r="J32">
        <v>77.22</v>
      </c>
      <c r="K32">
        <v>120.26</v>
      </c>
      <c r="L32">
        <v>36.979999999999997</v>
      </c>
      <c r="M32">
        <v>73.98</v>
      </c>
      <c r="N32">
        <v>76.09</v>
      </c>
      <c r="O32">
        <v>53.44</v>
      </c>
      <c r="P32">
        <v>60.31</v>
      </c>
      <c r="Q32">
        <v>19.96</v>
      </c>
      <c r="R32">
        <v>1346.54</v>
      </c>
      <c r="S32">
        <v>41.37</v>
      </c>
      <c r="T32">
        <v>21.29</v>
      </c>
      <c r="U32">
        <v>18.61</v>
      </c>
      <c r="V32">
        <v>39.630000000000003</v>
      </c>
      <c r="W32">
        <v>46.72</v>
      </c>
      <c r="X32">
        <v>28.35</v>
      </c>
      <c r="Y32">
        <v>55.01</v>
      </c>
      <c r="Z32">
        <v>43.25</v>
      </c>
      <c r="AA32">
        <v>87.49</v>
      </c>
      <c r="AB32">
        <v>62.47</v>
      </c>
      <c r="AC32">
        <v>47.05</v>
      </c>
      <c r="AD32">
        <v>605.75</v>
      </c>
      <c r="AE32">
        <v>686.19</v>
      </c>
      <c r="AF32">
        <v>46.03</v>
      </c>
      <c r="AG32">
        <v>61.07</v>
      </c>
      <c r="AH32">
        <v>52.92</v>
      </c>
      <c r="AI32">
        <v>56.95</v>
      </c>
    </row>
    <row r="33" spans="1:35" x14ac:dyDescent="0.45">
      <c r="A33" s="2">
        <v>46056</v>
      </c>
      <c r="B33">
        <v>35</v>
      </c>
      <c r="C33">
        <v>47.19</v>
      </c>
      <c r="D33">
        <v>17.59</v>
      </c>
      <c r="E33">
        <v>26.45</v>
      </c>
      <c r="F33">
        <v>38.35</v>
      </c>
      <c r="G33">
        <v>91.33</v>
      </c>
      <c r="H33">
        <v>29.42</v>
      </c>
      <c r="I33">
        <v>68.83</v>
      </c>
      <c r="J33">
        <v>78.760000000000005</v>
      </c>
      <c r="K33">
        <v>124.32</v>
      </c>
      <c r="L33">
        <v>38.04</v>
      </c>
      <c r="M33">
        <v>74.56</v>
      </c>
      <c r="N33">
        <v>76.02</v>
      </c>
      <c r="O33">
        <v>53.15</v>
      </c>
      <c r="P33">
        <v>61.07</v>
      </c>
      <c r="Q33">
        <v>19.916899999999998</v>
      </c>
      <c r="R33">
        <v>1336.11</v>
      </c>
      <c r="S33">
        <v>41.54</v>
      </c>
      <c r="T33">
        <v>21.11</v>
      </c>
      <c r="U33">
        <v>18.45</v>
      </c>
      <c r="V33">
        <v>39.57</v>
      </c>
      <c r="W33">
        <v>47.241999999999997</v>
      </c>
      <c r="X33">
        <v>28.12</v>
      </c>
      <c r="Y33">
        <v>54.84</v>
      </c>
      <c r="Z33">
        <v>43.51</v>
      </c>
      <c r="AA33">
        <v>86.68</v>
      </c>
      <c r="AB33">
        <v>61.89</v>
      </c>
      <c r="AC33">
        <v>46.47</v>
      </c>
      <c r="AD33">
        <v>616.52</v>
      </c>
      <c r="AE33">
        <v>689.53</v>
      </c>
      <c r="AF33">
        <v>45.69</v>
      </c>
      <c r="AG33">
        <v>61.9</v>
      </c>
      <c r="AH33">
        <v>53.23</v>
      </c>
      <c r="AI33">
        <v>56.93</v>
      </c>
    </row>
    <row r="34" spans="1:35" x14ac:dyDescent="0.45">
      <c r="A34" s="2">
        <v>46055</v>
      </c>
      <c r="B34">
        <v>34.72</v>
      </c>
      <c r="C34">
        <v>46.05</v>
      </c>
      <c r="D34">
        <v>17.41</v>
      </c>
      <c r="E34">
        <v>26.24</v>
      </c>
      <c r="F34">
        <v>37.659999999999997</v>
      </c>
      <c r="G34">
        <v>87.4</v>
      </c>
      <c r="H34">
        <v>29.32</v>
      </c>
      <c r="I34">
        <v>68.94</v>
      </c>
      <c r="J34">
        <v>75.430000000000007</v>
      </c>
      <c r="K34">
        <v>120.93</v>
      </c>
      <c r="L34">
        <v>37.450000000000003</v>
      </c>
      <c r="M34">
        <v>73.25</v>
      </c>
      <c r="N34">
        <v>74.66</v>
      </c>
      <c r="O34">
        <v>53.28</v>
      </c>
      <c r="P34">
        <v>61.61</v>
      </c>
      <c r="Q34">
        <v>19.97</v>
      </c>
      <c r="R34">
        <v>1321.42</v>
      </c>
      <c r="S34">
        <v>41.14</v>
      </c>
      <c r="T34">
        <v>20.94</v>
      </c>
      <c r="U34">
        <v>18.77</v>
      </c>
      <c r="V34">
        <v>39.79</v>
      </c>
      <c r="W34">
        <v>47.117699999999999</v>
      </c>
      <c r="X34">
        <v>27.95</v>
      </c>
      <c r="Y34">
        <v>54.55</v>
      </c>
      <c r="Z34">
        <v>43.48</v>
      </c>
      <c r="AA34">
        <v>85.89</v>
      </c>
      <c r="AB34">
        <v>62.25</v>
      </c>
      <c r="AC34">
        <v>46.54</v>
      </c>
      <c r="AD34">
        <v>626.14</v>
      </c>
      <c r="AE34">
        <v>695.41</v>
      </c>
      <c r="AF34">
        <v>45.68</v>
      </c>
      <c r="AG34">
        <v>62.77</v>
      </c>
      <c r="AH34">
        <v>52.88</v>
      </c>
      <c r="AI34">
        <v>56.37</v>
      </c>
    </row>
    <row r="35" spans="1:35" x14ac:dyDescent="0.45">
      <c r="A35" s="2">
        <v>46052</v>
      </c>
      <c r="B35">
        <v>35.11</v>
      </c>
      <c r="C35">
        <v>45.24</v>
      </c>
      <c r="D35">
        <v>17.649999999999999</v>
      </c>
      <c r="E35">
        <v>25.97</v>
      </c>
      <c r="F35">
        <v>37.590000000000003</v>
      </c>
      <c r="G35">
        <v>86.6</v>
      </c>
      <c r="H35">
        <v>29.18</v>
      </c>
      <c r="I35">
        <v>68.06</v>
      </c>
      <c r="J35">
        <v>75.12</v>
      </c>
      <c r="K35">
        <v>122.41</v>
      </c>
      <c r="L35">
        <v>37.04</v>
      </c>
      <c r="M35">
        <v>73.2</v>
      </c>
      <c r="N35">
        <v>73.75</v>
      </c>
      <c r="O35">
        <v>51.74</v>
      </c>
      <c r="P35">
        <v>62.4</v>
      </c>
      <c r="Q35">
        <v>19.71</v>
      </c>
      <c r="R35">
        <v>1325.62</v>
      </c>
      <c r="S35">
        <v>41.25</v>
      </c>
      <c r="T35">
        <v>20.49</v>
      </c>
      <c r="U35">
        <v>19.07</v>
      </c>
      <c r="V35">
        <v>39.86</v>
      </c>
      <c r="W35">
        <v>46.940800000000003</v>
      </c>
      <c r="X35">
        <v>27.75</v>
      </c>
      <c r="Y35">
        <v>54.26</v>
      </c>
      <c r="Z35">
        <v>43.11</v>
      </c>
      <c r="AA35">
        <v>85.72</v>
      </c>
      <c r="AB35">
        <v>61.54</v>
      </c>
      <c r="AC35">
        <v>46.16</v>
      </c>
      <c r="AD35">
        <v>621.87</v>
      </c>
      <c r="AE35">
        <v>691.97</v>
      </c>
      <c r="AF35">
        <v>45.35</v>
      </c>
      <c r="AG35">
        <v>62.27</v>
      </c>
      <c r="AH35">
        <v>52.27</v>
      </c>
      <c r="AI35">
        <v>55.88</v>
      </c>
    </row>
    <row r="36" spans="1:35" x14ac:dyDescent="0.45">
      <c r="A36" s="2">
        <v>46051</v>
      </c>
      <c r="B36">
        <v>35.89</v>
      </c>
      <c r="C36">
        <v>46.875</v>
      </c>
      <c r="D36">
        <v>17.579999999999998</v>
      </c>
      <c r="E36">
        <v>25.65</v>
      </c>
      <c r="F36">
        <v>38.380000000000003</v>
      </c>
      <c r="G36">
        <v>92.57</v>
      </c>
      <c r="H36">
        <v>29.27</v>
      </c>
      <c r="I36">
        <v>69.83</v>
      </c>
      <c r="J36">
        <v>78.45</v>
      </c>
      <c r="K36">
        <v>124.5</v>
      </c>
      <c r="L36">
        <v>38.119999999999997</v>
      </c>
      <c r="M36">
        <v>79.58</v>
      </c>
      <c r="N36">
        <v>75.62</v>
      </c>
      <c r="O36">
        <v>51.61</v>
      </c>
      <c r="P36">
        <v>64.23</v>
      </c>
      <c r="Q36">
        <v>19.82</v>
      </c>
      <c r="R36">
        <v>1331.07</v>
      </c>
      <c r="S36">
        <v>41.58</v>
      </c>
      <c r="T36">
        <v>20.66</v>
      </c>
      <c r="U36">
        <v>18.809999999999999</v>
      </c>
      <c r="V36">
        <v>39.869999999999997</v>
      </c>
      <c r="W36">
        <v>47.234000000000002</v>
      </c>
      <c r="X36">
        <v>28.42</v>
      </c>
      <c r="Y36">
        <v>56.53</v>
      </c>
      <c r="Z36">
        <v>43.44</v>
      </c>
      <c r="AA36">
        <v>86.09</v>
      </c>
      <c r="AB36">
        <v>62.22</v>
      </c>
      <c r="AC36">
        <v>46.44</v>
      </c>
      <c r="AD36">
        <v>629.42999999999995</v>
      </c>
      <c r="AE36">
        <v>694.04</v>
      </c>
      <c r="AF36">
        <v>45.82</v>
      </c>
      <c r="AG36">
        <v>63.48</v>
      </c>
      <c r="AH36">
        <v>53.45</v>
      </c>
      <c r="AI36">
        <v>56.17</v>
      </c>
    </row>
    <row r="37" spans="1:35" x14ac:dyDescent="0.45">
      <c r="A37" s="2">
        <v>46050</v>
      </c>
      <c r="B37">
        <v>35.520000000000003</v>
      </c>
      <c r="C37">
        <v>47.06</v>
      </c>
      <c r="D37">
        <v>17.260000000000002</v>
      </c>
      <c r="E37">
        <v>26.33</v>
      </c>
      <c r="F37">
        <v>38.25</v>
      </c>
      <c r="G37">
        <v>92.07</v>
      </c>
      <c r="H37">
        <v>29.84</v>
      </c>
      <c r="I37">
        <v>71.19</v>
      </c>
      <c r="J37">
        <v>78.73</v>
      </c>
      <c r="K37">
        <v>125.56</v>
      </c>
      <c r="L37">
        <v>38.33</v>
      </c>
      <c r="M37">
        <v>80.14</v>
      </c>
      <c r="N37">
        <v>77.2</v>
      </c>
      <c r="O37">
        <v>51.49</v>
      </c>
      <c r="P37">
        <v>63.91</v>
      </c>
      <c r="Q37">
        <v>20</v>
      </c>
      <c r="R37">
        <v>1338.9</v>
      </c>
      <c r="S37">
        <v>40.39</v>
      </c>
      <c r="T37">
        <v>20.75</v>
      </c>
      <c r="U37">
        <v>18.5</v>
      </c>
      <c r="V37">
        <v>40.14</v>
      </c>
      <c r="W37">
        <v>47.11</v>
      </c>
      <c r="X37">
        <v>28.17</v>
      </c>
      <c r="Y37">
        <v>56.35</v>
      </c>
      <c r="Z37">
        <v>44.01</v>
      </c>
      <c r="AA37">
        <v>85.21</v>
      </c>
      <c r="AB37">
        <v>61.05</v>
      </c>
      <c r="AC37">
        <v>46.24</v>
      </c>
      <c r="AD37">
        <v>633.22</v>
      </c>
      <c r="AE37">
        <v>695.42</v>
      </c>
      <c r="AF37">
        <v>45.53</v>
      </c>
      <c r="AG37">
        <v>63.05</v>
      </c>
      <c r="AH37">
        <v>52.93</v>
      </c>
      <c r="AI37">
        <v>55.83</v>
      </c>
    </row>
    <row r="38" spans="1:35" x14ac:dyDescent="0.45">
      <c r="A38" s="2">
        <v>46049</v>
      </c>
      <c r="B38">
        <v>35.64</v>
      </c>
      <c r="C38">
        <v>47.37</v>
      </c>
      <c r="D38">
        <v>19.18</v>
      </c>
      <c r="E38">
        <v>26.23</v>
      </c>
      <c r="F38">
        <v>38.44</v>
      </c>
      <c r="G38">
        <v>91.61</v>
      </c>
      <c r="H38">
        <v>30.06</v>
      </c>
      <c r="I38">
        <v>71.319999999999993</v>
      </c>
      <c r="J38">
        <v>77.86</v>
      </c>
      <c r="K38">
        <v>122.7</v>
      </c>
      <c r="L38">
        <v>37.89</v>
      </c>
      <c r="M38">
        <v>79.02</v>
      </c>
      <c r="N38">
        <v>75.349999999999994</v>
      </c>
      <c r="O38">
        <v>51.69</v>
      </c>
      <c r="P38">
        <v>63.29</v>
      </c>
      <c r="Q38">
        <v>19.940000000000001</v>
      </c>
      <c r="R38">
        <v>1334.45</v>
      </c>
      <c r="S38">
        <v>39.56</v>
      </c>
      <c r="T38">
        <v>20.71</v>
      </c>
      <c r="U38">
        <v>18.760000000000002</v>
      </c>
      <c r="V38">
        <v>40.119999999999997</v>
      </c>
      <c r="W38">
        <v>47.52</v>
      </c>
      <c r="X38">
        <v>28.24</v>
      </c>
      <c r="Y38">
        <v>56.18</v>
      </c>
      <c r="Z38">
        <v>44.3</v>
      </c>
      <c r="AA38">
        <v>85.84</v>
      </c>
      <c r="AB38">
        <v>62.57</v>
      </c>
      <c r="AC38">
        <v>46.5</v>
      </c>
      <c r="AD38">
        <v>631.13</v>
      </c>
      <c r="AE38">
        <v>695.49</v>
      </c>
      <c r="AF38">
        <v>46.15</v>
      </c>
      <c r="AG38">
        <v>63.7</v>
      </c>
      <c r="AH38">
        <v>53.64</v>
      </c>
      <c r="AI38">
        <v>56.63</v>
      </c>
    </row>
    <row r="39" spans="1:35" x14ac:dyDescent="0.45">
      <c r="A39" s="2">
        <v>46048</v>
      </c>
      <c r="B39">
        <v>35.58</v>
      </c>
      <c r="C39">
        <v>46.78</v>
      </c>
      <c r="D39">
        <v>19.2</v>
      </c>
      <c r="E39">
        <v>26.03</v>
      </c>
      <c r="F39">
        <v>37.74</v>
      </c>
      <c r="G39">
        <v>90.43</v>
      </c>
      <c r="H39">
        <v>29.5</v>
      </c>
      <c r="I39">
        <v>69.94</v>
      </c>
      <c r="J39">
        <v>76.7</v>
      </c>
      <c r="K39">
        <v>117.32</v>
      </c>
      <c r="L39">
        <v>36.61</v>
      </c>
      <c r="M39">
        <v>77.38</v>
      </c>
      <c r="N39">
        <v>73.06</v>
      </c>
      <c r="O39">
        <v>51.44</v>
      </c>
      <c r="P39">
        <v>62.66</v>
      </c>
      <c r="Q39">
        <v>19.937000000000001</v>
      </c>
      <c r="R39">
        <v>1307.07</v>
      </c>
      <c r="S39">
        <v>39.86</v>
      </c>
      <c r="T39">
        <v>20.41</v>
      </c>
      <c r="U39">
        <v>18.91</v>
      </c>
      <c r="V39">
        <v>39.61</v>
      </c>
      <c r="W39">
        <v>46.87</v>
      </c>
      <c r="X39">
        <v>27.62</v>
      </c>
      <c r="Y39">
        <v>55.69</v>
      </c>
      <c r="Z39">
        <v>43.84</v>
      </c>
      <c r="AA39">
        <v>84.63</v>
      </c>
      <c r="AB39">
        <v>61.19</v>
      </c>
      <c r="AC39">
        <v>45.83</v>
      </c>
      <c r="AD39">
        <v>625.46</v>
      </c>
      <c r="AE39">
        <v>692.73</v>
      </c>
      <c r="AF39">
        <v>45.65</v>
      </c>
      <c r="AG39">
        <v>62.81</v>
      </c>
      <c r="AH39">
        <v>52.72</v>
      </c>
      <c r="AI39">
        <v>55.39</v>
      </c>
    </row>
    <row r="40" spans="1:35" x14ac:dyDescent="0.45">
      <c r="A40" s="2">
        <v>46045</v>
      </c>
      <c r="B40">
        <v>35.549999999999997</v>
      </c>
      <c r="C40">
        <v>46.4</v>
      </c>
      <c r="D40">
        <v>19.010000000000002</v>
      </c>
      <c r="E40">
        <v>26.21</v>
      </c>
      <c r="F40">
        <v>36.89</v>
      </c>
      <c r="G40">
        <v>88.38</v>
      </c>
      <c r="H40">
        <v>28.78</v>
      </c>
      <c r="I40">
        <v>69.709999999999994</v>
      </c>
      <c r="J40">
        <v>76.08</v>
      </c>
      <c r="K40">
        <v>117.97</v>
      </c>
      <c r="L40">
        <v>36.590000000000003</v>
      </c>
      <c r="M40">
        <v>76.34</v>
      </c>
      <c r="N40">
        <v>72.25</v>
      </c>
      <c r="O40">
        <v>51.24</v>
      </c>
      <c r="P40">
        <v>62.74</v>
      </c>
      <c r="Q40">
        <v>19.82</v>
      </c>
      <c r="R40">
        <v>1314.39</v>
      </c>
      <c r="S40">
        <v>39.43</v>
      </c>
      <c r="T40">
        <v>20.46</v>
      </c>
      <c r="U40">
        <v>19.420000000000002</v>
      </c>
      <c r="V40">
        <v>39.01</v>
      </c>
      <c r="W40">
        <v>46.624000000000002</v>
      </c>
      <c r="X40">
        <v>27.38</v>
      </c>
      <c r="Y40">
        <v>55.77</v>
      </c>
      <c r="Z40">
        <v>43.48</v>
      </c>
      <c r="AA40">
        <v>84.56</v>
      </c>
      <c r="AB40">
        <v>60.87</v>
      </c>
      <c r="AC40">
        <v>45.57</v>
      </c>
      <c r="AD40">
        <v>622.72</v>
      </c>
      <c r="AE40">
        <v>689.23</v>
      </c>
      <c r="AF40">
        <v>45.51</v>
      </c>
      <c r="AG40">
        <v>62.33</v>
      </c>
      <c r="AH40">
        <v>52.38</v>
      </c>
      <c r="AI40">
        <v>54.91</v>
      </c>
    </row>
    <row r="41" spans="1:35" x14ac:dyDescent="0.45">
      <c r="A41" s="2">
        <v>46044</v>
      </c>
      <c r="B41">
        <v>35.78</v>
      </c>
      <c r="C41">
        <v>46.174999999999997</v>
      </c>
      <c r="D41">
        <v>19.05</v>
      </c>
      <c r="E41">
        <v>26.35</v>
      </c>
      <c r="F41">
        <v>37.26</v>
      </c>
      <c r="G41">
        <v>86.2</v>
      </c>
      <c r="H41">
        <v>28.43</v>
      </c>
      <c r="I41">
        <v>68.25</v>
      </c>
      <c r="J41">
        <v>75.75</v>
      </c>
      <c r="K41">
        <v>115.99</v>
      </c>
      <c r="L41">
        <v>35.950000000000003</v>
      </c>
      <c r="M41">
        <v>75.56</v>
      </c>
      <c r="N41">
        <v>72.2</v>
      </c>
      <c r="O41">
        <v>51.795000000000002</v>
      </c>
      <c r="P41">
        <v>62.78</v>
      </c>
      <c r="Q41">
        <v>19.899999999999999</v>
      </c>
      <c r="R41">
        <v>1311.64</v>
      </c>
      <c r="S41">
        <v>39.08</v>
      </c>
      <c r="T41">
        <v>20.62</v>
      </c>
      <c r="U41">
        <v>19.625</v>
      </c>
      <c r="V41">
        <v>38.93</v>
      </c>
      <c r="W41">
        <v>46.755000000000003</v>
      </c>
      <c r="X41">
        <v>27.07</v>
      </c>
      <c r="Y41">
        <v>55.2</v>
      </c>
      <c r="Z41">
        <v>43.1</v>
      </c>
      <c r="AA41">
        <v>84.86</v>
      </c>
      <c r="AB41">
        <v>60.59</v>
      </c>
      <c r="AC41">
        <v>45.07</v>
      </c>
      <c r="AD41">
        <v>620.76</v>
      </c>
      <c r="AE41">
        <v>688.98</v>
      </c>
      <c r="AF41">
        <v>45.16</v>
      </c>
      <c r="AG41">
        <v>62.14</v>
      </c>
      <c r="AH41">
        <v>51.74</v>
      </c>
      <c r="AI41">
        <v>54.77</v>
      </c>
    </row>
    <row r="42" spans="1:35" x14ac:dyDescent="0.45">
      <c r="A42" s="2">
        <v>46043</v>
      </c>
      <c r="B42">
        <v>35.805</v>
      </c>
      <c r="C42">
        <v>45.2</v>
      </c>
      <c r="D42">
        <v>18.940000000000001</v>
      </c>
      <c r="E42">
        <v>26.27</v>
      </c>
      <c r="F42">
        <v>36.15</v>
      </c>
      <c r="G42">
        <v>85.04</v>
      </c>
      <c r="H42">
        <v>28.26</v>
      </c>
      <c r="I42">
        <v>67.45</v>
      </c>
      <c r="J42">
        <v>75.36</v>
      </c>
      <c r="K42">
        <v>115.66</v>
      </c>
      <c r="L42">
        <v>35.020000000000003</v>
      </c>
      <c r="M42">
        <v>73.52</v>
      </c>
      <c r="N42">
        <v>70.739999999999995</v>
      </c>
      <c r="O42">
        <v>51.55</v>
      </c>
      <c r="P42">
        <v>62.49</v>
      </c>
      <c r="Q42">
        <v>19.71</v>
      </c>
      <c r="R42">
        <v>1317.56</v>
      </c>
      <c r="S42">
        <v>38.64</v>
      </c>
      <c r="T42">
        <v>20.3</v>
      </c>
      <c r="U42">
        <v>19.39</v>
      </c>
      <c r="V42">
        <v>38.299999999999997</v>
      </c>
      <c r="W42">
        <v>46.11</v>
      </c>
      <c r="X42">
        <v>26.7</v>
      </c>
      <c r="Y42">
        <v>55.02</v>
      </c>
      <c r="Z42">
        <v>42.82</v>
      </c>
      <c r="AA42">
        <v>84.78</v>
      </c>
      <c r="AB42">
        <v>60.49</v>
      </c>
      <c r="AC42">
        <v>45.16</v>
      </c>
      <c r="AD42">
        <v>616.28</v>
      </c>
      <c r="AE42">
        <v>685.4</v>
      </c>
      <c r="AF42">
        <v>45.05</v>
      </c>
      <c r="AG42">
        <v>61.539000000000001</v>
      </c>
      <c r="AH42">
        <v>51.52</v>
      </c>
      <c r="AI42">
        <v>54.44</v>
      </c>
    </row>
    <row r="43" spans="1:35" x14ac:dyDescent="0.45">
      <c r="A43" s="2">
        <v>46042</v>
      </c>
      <c r="B43">
        <v>35.5</v>
      </c>
      <c r="C43">
        <v>43.89</v>
      </c>
      <c r="D43">
        <v>19.13</v>
      </c>
      <c r="E43">
        <v>26</v>
      </c>
      <c r="F43">
        <v>35.840000000000003</v>
      </c>
      <c r="G43">
        <v>84.78</v>
      </c>
      <c r="H43">
        <v>27.88</v>
      </c>
      <c r="I43">
        <v>66.540000000000006</v>
      </c>
      <c r="J43">
        <v>74.61</v>
      </c>
      <c r="K43">
        <v>110.97</v>
      </c>
      <c r="L43">
        <v>33.619999999999997</v>
      </c>
      <c r="M43">
        <v>73.44</v>
      </c>
      <c r="N43">
        <v>69.88</v>
      </c>
      <c r="O43">
        <v>51.73</v>
      </c>
      <c r="P43">
        <v>61.65</v>
      </c>
      <c r="Q43">
        <v>19.71</v>
      </c>
      <c r="R43">
        <v>1296.3699999999999</v>
      </c>
      <c r="S43">
        <v>38.869999999999997</v>
      </c>
      <c r="T43">
        <v>20.09</v>
      </c>
      <c r="U43">
        <v>19.510000000000002</v>
      </c>
      <c r="V43">
        <v>37.94</v>
      </c>
      <c r="W43">
        <v>46.09</v>
      </c>
      <c r="X43">
        <v>26.46</v>
      </c>
      <c r="Y43">
        <v>54.75</v>
      </c>
      <c r="Z43">
        <v>42.54</v>
      </c>
      <c r="AA43">
        <v>83.72</v>
      </c>
      <c r="AB43">
        <v>60.16</v>
      </c>
      <c r="AC43">
        <v>44.7</v>
      </c>
      <c r="AD43">
        <v>608.05999999999995</v>
      </c>
      <c r="AE43">
        <v>677.58</v>
      </c>
      <c r="AF43">
        <v>44.55</v>
      </c>
      <c r="AG43">
        <v>60.64</v>
      </c>
      <c r="AH43">
        <v>50.46</v>
      </c>
      <c r="AI43">
        <v>54.02</v>
      </c>
    </row>
    <row r="44" spans="1:35" x14ac:dyDescent="0.45">
      <c r="A44" s="2">
        <v>46038</v>
      </c>
      <c r="B44">
        <v>35.515000000000001</v>
      </c>
      <c r="C44">
        <v>44.09</v>
      </c>
      <c r="D44">
        <v>19.14</v>
      </c>
      <c r="E44">
        <v>26.42</v>
      </c>
      <c r="F44">
        <v>35.92</v>
      </c>
      <c r="G44">
        <v>82.63</v>
      </c>
      <c r="H44">
        <v>28.17</v>
      </c>
      <c r="I44">
        <v>67.34</v>
      </c>
      <c r="J44">
        <v>74</v>
      </c>
      <c r="K44">
        <v>112.22</v>
      </c>
      <c r="L44">
        <v>33.17</v>
      </c>
      <c r="M44">
        <v>72.78</v>
      </c>
      <c r="N44">
        <v>70.03</v>
      </c>
      <c r="O44">
        <v>52.85</v>
      </c>
      <c r="P44">
        <v>62.52</v>
      </c>
      <c r="Q44">
        <v>19.46</v>
      </c>
      <c r="R44">
        <v>1283.2</v>
      </c>
      <c r="S44">
        <v>38.409999999999997</v>
      </c>
      <c r="T44">
        <v>19.87</v>
      </c>
      <c r="U44">
        <v>19.73</v>
      </c>
      <c r="V44">
        <v>37.83</v>
      </c>
      <c r="W44">
        <v>45.755000000000003</v>
      </c>
      <c r="X44">
        <v>26.74</v>
      </c>
      <c r="Y44">
        <v>55.13</v>
      </c>
      <c r="Z44">
        <v>43.34</v>
      </c>
      <c r="AA44">
        <v>85.48</v>
      </c>
      <c r="AB44">
        <v>60.51</v>
      </c>
      <c r="AC44">
        <v>45.18</v>
      </c>
      <c r="AD44">
        <v>621.26</v>
      </c>
      <c r="AE44">
        <v>691.66</v>
      </c>
      <c r="AF44">
        <v>45.29</v>
      </c>
      <c r="AG44">
        <v>61.91</v>
      </c>
      <c r="AH44">
        <v>51.31</v>
      </c>
      <c r="AI44">
        <v>54.92</v>
      </c>
    </row>
    <row r="45" spans="1:35" x14ac:dyDescent="0.45">
      <c r="A45" s="2">
        <v>46037</v>
      </c>
      <c r="B45">
        <v>35.869999999999997</v>
      </c>
      <c r="C45">
        <v>44.15</v>
      </c>
      <c r="D45">
        <v>19.22</v>
      </c>
      <c r="E45">
        <v>26.38</v>
      </c>
      <c r="F45">
        <v>36.15</v>
      </c>
      <c r="G45">
        <v>83.01</v>
      </c>
      <c r="H45">
        <v>28.28</v>
      </c>
      <c r="I45">
        <v>67.290000000000006</v>
      </c>
      <c r="J45">
        <v>73.25</v>
      </c>
      <c r="K45">
        <v>111.05</v>
      </c>
      <c r="L45">
        <v>33.36</v>
      </c>
      <c r="M45">
        <v>73.739999999999995</v>
      </c>
      <c r="N45">
        <v>69.84</v>
      </c>
      <c r="O45">
        <v>53.22</v>
      </c>
      <c r="P45">
        <v>63.59</v>
      </c>
      <c r="Q45">
        <v>19.425000000000001</v>
      </c>
      <c r="R45">
        <v>1275.5999999999999</v>
      </c>
      <c r="S45">
        <v>37.94</v>
      </c>
      <c r="T45">
        <v>19.73</v>
      </c>
      <c r="U45">
        <v>19.53</v>
      </c>
      <c r="V45">
        <v>37.99</v>
      </c>
      <c r="W45">
        <v>45.630099999999999</v>
      </c>
      <c r="X45">
        <v>26.65</v>
      </c>
      <c r="Y45">
        <v>55.22</v>
      </c>
      <c r="Z45">
        <v>43.24</v>
      </c>
      <c r="AA45">
        <v>85.42</v>
      </c>
      <c r="AB45">
        <v>60.52</v>
      </c>
      <c r="AC45">
        <v>45.09</v>
      </c>
      <c r="AD45">
        <v>621.78</v>
      </c>
      <c r="AE45">
        <v>692.24</v>
      </c>
      <c r="AF45">
        <v>45.4</v>
      </c>
      <c r="AG45">
        <v>61.6</v>
      </c>
      <c r="AH45">
        <v>51.05</v>
      </c>
      <c r="AI45">
        <v>54.8</v>
      </c>
    </row>
    <row r="46" spans="1:35" x14ac:dyDescent="0.45">
      <c r="A46" s="2">
        <v>46036</v>
      </c>
      <c r="B46">
        <v>35.6</v>
      </c>
      <c r="C46">
        <v>44.51</v>
      </c>
      <c r="D46">
        <v>19.14</v>
      </c>
      <c r="E46">
        <v>26.04</v>
      </c>
      <c r="F46">
        <v>36.03</v>
      </c>
      <c r="G46">
        <v>82.26</v>
      </c>
      <c r="H46">
        <v>28.2</v>
      </c>
      <c r="I46">
        <v>66.510000000000005</v>
      </c>
      <c r="J46">
        <v>73.38</v>
      </c>
      <c r="K46">
        <v>109.64</v>
      </c>
      <c r="L46">
        <v>33.159999999999997</v>
      </c>
      <c r="M46">
        <v>73.39</v>
      </c>
      <c r="N46">
        <v>69.150000000000006</v>
      </c>
      <c r="O46">
        <v>53.25</v>
      </c>
      <c r="P46">
        <v>63.55</v>
      </c>
      <c r="Q46">
        <v>19.659600000000001</v>
      </c>
      <c r="R46">
        <v>1261.3900000000001</v>
      </c>
      <c r="S46">
        <v>37.590000000000003</v>
      </c>
      <c r="T46">
        <v>19.59</v>
      </c>
      <c r="U46">
        <v>19.690000000000001</v>
      </c>
      <c r="V46">
        <v>38.21</v>
      </c>
      <c r="W46">
        <v>45.89</v>
      </c>
      <c r="X46">
        <v>26.54</v>
      </c>
      <c r="Y46">
        <v>55.18</v>
      </c>
      <c r="Z46">
        <v>43.49</v>
      </c>
      <c r="AA46">
        <v>85.04</v>
      </c>
      <c r="AB46">
        <v>60.87</v>
      </c>
      <c r="AC46">
        <v>45.28</v>
      </c>
      <c r="AD46">
        <v>619.54999999999995</v>
      </c>
      <c r="AE46">
        <v>690.36</v>
      </c>
      <c r="AF46">
        <v>45.87</v>
      </c>
      <c r="AG46">
        <v>60.67</v>
      </c>
      <c r="AH46">
        <v>50.61</v>
      </c>
      <c r="AI46">
        <v>55.04</v>
      </c>
    </row>
    <row r="47" spans="1:35" x14ac:dyDescent="0.45">
      <c r="A47" s="2">
        <v>46035</v>
      </c>
      <c r="B47">
        <v>35.590000000000003</v>
      </c>
      <c r="C47">
        <v>44.34</v>
      </c>
      <c r="D47">
        <v>19.03</v>
      </c>
      <c r="E47">
        <v>26.24</v>
      </c>
      <c r="F47">
        <v>36.090000000000003</v>
      </c>
      <c r="G47">
        <v>80.989999999999995</v>
      </c>
      <c r="H47">
        <v>28.05</v>
      </c>
      <c r="I47">
        <v>66.099999999999994</v>
      </c>
      <c r="J47">
        <v>71.97</v>
      </c>
      <c r="K47">
        <v>107.54</v>
      </c>
      <c r="L47">
        <v>32.630000000000003</v>
      </c>
      <c r="M47">
        <v>73.09</v>
      </c>
      <c r="N47">
        <v>69</v>
      </c>
      <c r="O47">
        <v>53.04</v>
      </c>
      <c r="P47">
        <v>63.52</v>
      </c>
      <c r="Q47">
        <v>19.71</v>
      </c>
      <c r="R47">
        <v>1244.3</v>
      </c>
      <c r="S47">
        <v>37.729999999999997</v>
      </c>
      <c r="T47">
        <v>19.760000000000002</v>
      </c>
      <c r="U47">
        <v>19.8</v>
      </c>
      <c r="V47">
        <v>38.21</v>
      </c>
      <c r="W47">
        <v>45.52</v>
      </c>
      <c r="X47">
        <v>26.41</v>
      </c>
      <c r="Y47">
        <v>55.12</v>
      </c>
      <c r="Z47">
        <v>43.57</v>
      </c>
      <c r="AA47">
        <v>84.45</v>
      </c>
      <c r="AB47">
        <v>60.17</v>
      </c>
      <c r="AC47">
        <v>44.98</v>
      </c>
      <c r="AD47">
        <v>626.24</v>
      </c>
      <c r="AE47">
        <v>693.77</v>
      </c>
      <c r="AF47">
        <v>45.96</v>
      </c>
      <c r="AG47">
        <v>60.78</v>
      </c>
      <c r="AH47">
        <v>50.7</v>
      </c>
      <c r="AI47">
        <v>54.81</v>
      </c>
    </row>
    <row r="48" spans="1:35" x14ac:dyDescent="0.45">
      <c r="A48" s="2">
        <v>46034</v>
      </c>
      <c r="B48">
        <v>36.229999999999997</v>
      </c>
      <c r="C48">
        <v>43.87</v>
      </c>
      <c r="D48">
        <v>18.989999999999998</v>
      </c>
      <c r="E48">
        <v>26.41</v>
      </c>
      <c r="F48">
        <v>36.380000000000003</v>
      </c>
      <c r="G48">
        <v>80.55</v>
      </c>
      <c r="H48">
        <v>27.97</v>
      </c>
      <c r="I48">
        <v>66.62</v>
      </c>
      <c r="J48">
        <v>72.06</v>
      </c>
      <c r="K48">
        <v>108.93</v>
      </c>
      <c r="L48">
        <v>32.93</v>
      </c>
      <c r="M48">
        <v>72.78</v>
      </c>
      <c r="N48">
        <v>69.489999999999995</v>
      </c>
      <c r="O48">
        <v>53.4</v>
      </c>
      <c r="P48">
        <v>64.260000000000005</v>
      </c>
      <c r="Q48">
        <v>19.6099</v>
      </c>
      <c r="R48">
        <v>1235.3</v>
      </c>
      <c r="S48">
        <v>37.54</v>
      </c>
      <c r="T48">
        <v>19.55</v>
      </c>
      <c r="U48">
        <v>19.670000000000002</v>
      </c>
      <c r="V48">
        <v>37.82</v>
      </c>
      <c r="W48">
        <v>46.1</v>
      </c>
      <c r="X48">
        <v>26.45</v>
      </c>
      <c r="Y48">
        <v>55.09</v>
      </c>
      <c r="Z48">
        <v>43.83</v>
      </c>
      <c r="AA48">
        <v>85.29</v>
      </c>
      <c r="AB48">
        <v>60.63</v>
      </c>
      <c r="AC48">
        <v>45.09</v>
      </c>
      <c r="AD48">
        <v>627.16999999999996</v>
      </c>
      <c r="AE48">
        <v>695.16</v>
      </c>
      <c r="AF48">
        <v>46.1</v>
      </c>
      <c r="AG48">
        <v>61.04</v>
      </c>
      <c r="AH48">
        <v>50.91</v>
      </c>
      <c r="AI48">
        <v>55.32</v>
      </c>
    </row>
    <row r="49" spans="1:35" x14ac:dyDescent="0.45">
      <c r="A49" s="2">
        <v>46031</v>
      </c>
      <c r="B49">
        <v>35.83</v>
      </c>
      <c r="C49">
        <v>42.85</v>
      </c>
      <c r="D49">
        <v>19.010000000000002</v>
      </c>
      <c r="E49">
        <v>26.13</v>
      </c>
      <c r="F49">
        <v>36.200000000000003</v>
      </c>
      <c r="G49">
        <v>78.19</v>
      </c>
      <c r="H49">
        <v>27.59</v>
      </c>
      <c r="I49">
        <v>65.92</v>
      </c>
      <c r="J49">
        <v>71.06</v>
      </c>
      <c r="K49">
        <v>108.89</v>
      </c>
      <c r="L49">
        <v>33.06</v>
      </c>
      <c r="M49">
        <v>70.69</v>
      </c>
      <c r="N49">
        <v>68.98</v>
      </c>
      <c r="O49">
        <v>53.174999999999997</v>
      </c>
      <c r="P49">
        <v>62.22</v>
      </c>
      <c r="Q49">
        <v>19.36</v>
      </c>
      <c r="R49">
        <v>1242.2</v>
      </c>
      <c r="S49">
        <v>37.159999999999997</v>
      </c>
      <c r="T49">
        <v>19.43</v>
      </c>
      <c r="U49">
        <v>19.28</v>
      </c>
      <c r="V49">
        <v>36.869999999999997</v>
      </c>
      <c r="W49">
        <v>45.98</v>
      </c>
      <c r="X49">
        <v>26.26</v>
      </c>
      <c r="Y49">
        <v>54.63</v>
      </c>
      <c r="Z49">
        <v>43.41</v>
      </c>
      <c r="AA49">
        <v>84.61</v>
      </c>
      <c r="AB49">
        <v>60.58</v>
      </c>
      <c r="AC49">
        <v>44.79</v>
      </c>
      <c r="AD49">
        <v>626.65</v>
      </c>
      <c r="AE49">
        <v>694.07</v>
      </c>
      <c r="AF49">
        <v>45.88</v>
      </c>
      <c r="AG49">
        <v>60.4</v>
      </c>
      <c r="AH49">
        <v>50.78</v>
      </c>
      <c r="AI49">
        <v>55.03</v>
      </c>
    </row>
    <row r="50" spans="1:35" x14ac:dyDescent="0.45">
      <c r="A50" s="2">
        <v>46030</v>
      </c>
      <c r="B50">
        <v>35.49</v>
      </c>
      <c r="C50">
        <v>42.75</v>
      </c>
      <c r="D50">
        <v>18.989999999999998</v>
      </c>
      <c r="E50">
        <v>26.08</v>
      </c>
      <c r="F50">
        <v>35.82</v>
      </c>
      <c r="G50">
        <v>76.55</v>
      </c>
      <c r="H50">
        <v>27.36</v>
      </c>
      <c r="I50">
        <v>65.44</v>
      </c>
      <c r="J50">
        <v>70.48</v>
      </c>
      <c r="K50">
        <v>106.59</v>
      </c>
      <c r="L50">
        <v>32.880000000000003</v>
      </c>
      <c r="M50">
        <v>70.34</v>
      </c>
      <c r="N50">
        <v>69.19</v>
      </c>
      <c r="O50">
        <v>53.72</v>
      </c>
      <c r="P50">
        <v>62.28</v>
      </c>
      <c r="Q50">
        <v>19.28</v>
      </c>
      <c r="R50">
        <v>1254.0899999999999</v>
      </c>
      <c r="S50">
        <v>36.729999999999997</v>
      </c>
      <c r="T50">
        <v>19.649999999999999</v>
      </c>
      <c r="U50">
        <v>19.309999999999999</v>
      </c>
      <c r="V50">
        <v>36.82</v>
      </c>
      <c r="W50">
        <v>46.115000000000002</v>
      </c>
      <c r="X50">
        <v>26.37</v>
      </c>
      <c r="Y50">
        <v>54.46</v>
      </c>
      <c r="Z50">
        <v>43.31</v>
      </c>
      <c r="AA50">
        <v>82.86</v>
      </c>
      <c r="AB50">
        <v>60.21</v>
      </c>
      <c r="AC50">
        <v>44.6</v>
      </c>
      <c r="AD50">
        <v>620.47</v>
      </c>
      <c r="AE50">
        <v>689.51</v>
      </c>
      <c r="AF50">
        <v>45.46</v>
      </c>
      <c r="AG50">
        <v>59.21</v>
      </c>
      <c r="AH50">
        <v>50.28</v>
      </c>
      <c r="AI50">
        <v>55.24</v>
      </c>
    </row>
    <row r="51" spans="1:35" x14ac:dyDescent="0.45">
      <c r="A51" s="2">
        <v>46029</v>
      </c>
      <c r="B51">
        <v>35.5</v>
      </c>
      <c r="C51">
        <v>42.39</v>
      </c>
      <c r="D51">
        <v>19.03</v>
      </c>
      <c r="E51">
        <v>25.92</v>
      </c>
      <c r="F51">
        <v>36.6</v>
      </c>
      <c r="G51">
        <v>75.42</v>
      </c>
      <c r="H51">
        <v>27.43</v>
      </c>
      <c r="I51">
        <v>65.59</v>
      </c>
      <c r="J51">
        <v>69.92</v>
      </c>
      <c r="K51">
        <v>107.03</v>
      </c>
      <c r="L51">
        <v>32.700000000000003</v>
      </c>
      <c r="M51">
        <v>71.45</v>
      </c>
      <c r="N51">
        <v>67.98</v>
      </c>
      <c r="O51">
        <v>54.2</v>
      </c>
      <c r="P51">
        <v>61.88</v>
      </c>
      <c r="Q51">
        <v>19.405000000000001</v>
      </c>
      <c r="R51">
        <v>1253.5999999999999</v>
      </c>
      <c r="S51">
        <v>36.630000000000003</v>
      </c>
      <c r="T51">
        <v>19.649999999999999</v>
      </c>
      <c r="U51">
        <v>19.440000000000001</v>
      </c>
      <c r="V51">
        <v>36.32</v>
      </c>
      <c r="W51">
        <v>46.295000000000002</v>
      </c>
      <c r="X51">
        <v>26.27</v>
      </c>
      <c r="Y51">
        <v>54.01</v>
      </c>
      <c r="Z51">
        <v>43.26</v>
      </c>
      <c r="AA51">
        <v>82.92</v>
      </c>
      <c r="AB51">
        <v>60.31</v>
      </c>
      <c r="AC51">
        <v>44.49</v>
      </c>
      <c r="AD51">
        <v>624.02</v>
      </c>
      <c r="AE51">
        <v>689.58</v>
      </c>
      <c r="AF51">
        <v>45.4</v>
      </c>
      <c r="AG51">
        <v>59.8</v>
      </c>
      <c r="AH51">
        <v>50.87</v>
      </c>
      <c r="AI51">
        <v>54.97</v>
      </c>
    </row>
    <row r="52" spans="1:35" x14ac:dyDescent="0.45">
      <c r="A52" s="2">
        <v>46028</v>
      </c>
      <c r="B52">
        <v>35.64</v>
      </c>
      <c r="C52">
        <v>42.55</v>
      </c>
      <c r="D52">
        <v>19.079999999999998</v>
      </c>
      <c r="E52">
        <v>25.98</v>
      </c>
      <c r="F52">
        <v>36.26</v>
      </c>
      <c r="G52">
        <v>76.709999999999994</v>
      </c>
      <c r="H52">
        <v>27.63</v>
      </c>
      <c r="I52">
        <v>65.83</v>
      </c>
      <c r="J52">
        <v>70.040000000000006</v>
      </c>
      <c r="K52">
        <v>107.61</v>
      </c>
      <c r="L52">
        <v>33.11</v>
      </c>
      <c r="M52">
        <v>72.739999999999995</v>
      </c>
      <c r="N52">
        <v>67.39</v>
      </c>
      <c r="O52">
        <v>54.08</v>
      </c>
      <c r="P52">
        <v>62.71</v>
      </c>
      <c r="Q52">
        <v>19.3551</v>
      </c>
      <c r="R52">
        <v>1280.82</v>
      </c>
      <c r="S52">
        <v>36.770000000000003</v>
      </c>
      <c r="T52">
        <v>19.425000000000001</v>
      </c>
      <c r="U52">
        <v>19.43</v>
      </c>
      <c r="V52">
        <v>37.03</v>
      </c>
      <c r="W52">
        <v>46.147599999999997</v>
      </c>
      <c r="X52">
        <v>26.49</v>
      </c>
      <c r="Y52">
        <v>54.65</v>
      </c>
      <c r="Z52">
        <v>43.13</v>
      </c>
      <c r="AA52">
        <v>83.07</v>
      </c>
      <c r="AB52">
        <v>60.55</v>
      </c>
      <c r="AC52">
        <v>45.05</v>
      </c>
      <c r="AD52">
        <v>623.41999999999996</v>
      </c>
      <c r="AE52">
        <v>691.81</v>
      </c>
      <c r="AF52">
        <v>45.6</v>
      </c>
      <c r="AG52">
        <v>60.44</v>
      </c>
      <c r="AH52">
        <v>50.11</v>
      </c>
      <c r="AI52">
        <v>55.29</v>
      </c>
    </row>
    <row r="53" spans="1:35" x14ac:dyDescent="0.45">
      <c r="A53" s="2">
        <v>46027</v>
      </c>
      <c r="B53">
        <v>35.21</v>
      </c>
      <c r="C53">
        <v>41.6</v>
      </c>
      <c r="D53">
        <v>19.04</v>
      </c>
      <c r="E53">
        <v>25.46</v>
      </c>
      <c r="F53">
        <v>36.17</v>
      </c>
      <c r="G53">
        <v>74.87</v>
      </c>
      <c r="H53">
        <v>27.61</v>
      </c>
      <c r="I53">
        <v>65.3</v>
      </c>
      <c r="J53">
        <v>70.58</v>
      </c>
      <c r="K53">
        <v>104.83</v>
      </c>
      <c r="L53">
        <v>32.79</v>
      </c>
      <c r="M53">
        <v>70.239999999999995</v>
      </c>
      <c r="N53">
        <v>67.61</v>
      </c>
      <c r="O53">
        <v>54.29</v>
      </c>
      <c r="P53">
        <v>62.67</v>
      </c>
      <c r="Q53">
        <v>19.190000000000001</v>
      </c>
      <c r="R53">
        <v>1274.75</v>
      </c>
      <c r="S53">
        <v>35.81</v>
      </c>
      <c r="T53">
        <v>19.22</v>
      </c>
      <c r="U53">
        <v>19.02</v>
      </c>
      <c r="V53">
        <v>36</v>
      </c>
      <c r="W53">
        <v>45.858400000000003</v>
      </c>
      <c r="X53">
        <v>26.61</v>
      </c>
      <c r="Y53">
        <v>54.59</v>
      </c>
      <c r="Z53">
        <v>43.05</v>
      </c>
      <c r="AA53">
        <v>83.13</v>
      </c>
      <c r="AB53">
        <v>60.43</v>
      </c>
      <c r="AC53">
        <v>44.81</v>
      </c>
      <c r="AD53">
        <v>617.99</v>
      </c>
      <c r="AE53">
        <v>687.72</v>
      </c>
      <c r="AF53">
        <v>45.42</v>
      </c>
      <c r="AG53">
        <v>60.14</v>
      </c>
      <c r="AH53">
        <v>50.39</v>
      </c>
      <c r="AI53">
        <v>55.67</v>
      </c>
    </row>
    <row r="54" spans="1:35" x14ac:dyDescent="0.45">
      <c r="A54" s="2">
        <v>46024</v>
      </c>
      <c r="B54">
        <v>34.909999999999997</v>
      </c>
      <c r="C54">
        <v>40.369999999999997</v>
      </c>
      <c r="D54">
        <v>18.809999999999999</v>
      </c>
      <c r="E54">
        <v>25.3</v>
      </c>
      <c r="F54">
        <v>36.25</v>
      </c>
      <c r="G54">
        <v>72.709999999999994</v>
      </c>
      <c r="H54">
        <v>27.42</v>
      </c>
      <c r="I54">
        <v>64.77</v>
      </c>
      <c r="J54">
        <v>69.66</v>
      </c>
      <c r="K54">
        <v>102.22</v>
      </c>
      <c r="L54">
        <v>32.200000000000003</v>
      </c>
      <c r="M54">
        <v>69.400000000000006</v>
      </c>
      <c r="N54">
        <v>67.444599999999994</v>
      </c>
      <c r="O54">
        <v>54.56</v>
      </c>
      <c r="P54">
        <v>62.24</v>
      </c>
      <c r="Q54">
        <v>18.824999999999999</v>
      </c>
      <c r="R54">
        <v>1280.05</v>
      </c>
      <c r="S54">
        <v>34.92</v>
      </c>
      <c r="T54">
        <v>19.2151</v>
      </c>
      <c r="U54">
        <v>19.11</v>
      </c>
      <c r="V54">
        <v>36.770000000000003</v>
      </c>
      <c r="W54">
        <v>45.471899999999998</v>
      </c>
      <c r="X54">
        <v>26.47</v>
      </c>
      <c r="Y54">
        <v>54.19</v>
      </c>
      <c r="Z54">
        <v>42.56</v>
      </c>
      <c r="AA54">
        <v>81.33</v>
      </c>
      <c r="AB54">
        <v>60.34</v>
      </c>
      <c r="AC54">
        <v>44.46</v>
      </c>
      <c r="AD54">
        <v>613.12</v>
      </c>
      <c r="AE54">
        <v>683.17</v>
      </c>
      <c r="AF54">
        <v>45.31</v>
      </c>
      <c r="AG54">
        <v>58.64</v>
      </c>
      <c r="AH54">
        <v>49.6</v>
      </c>
      <c r="AI54">
        <v>55.16</v>
      </c>
    </row>
    <row r="55" spans="1:35" x14ac:dyDescent="0.45">
      <c r="A55" s="2">
        <v>46022</v>
      </c>
      <c r="B55">
        <v>34.58</v>
      </c>
      <c r="C55">
        <v>40.4</v>
      </c>
      <c r="D55">
        <v>18.7</v>
      </c>
      <c r="E55">
        <v>24.92</v>
      </c>
      <c r="F55">
        <v>35.19</v>
      </c>
      <c r="G55">
        <v>72.349999999999994</v>
      </c>
      <c r="H55">
        <v>27.36</v>
      </c>
      <c r="I55">
        <v>63.53</v>
      </c>
      <c r="J55">
        <v>69.33</v>
      </c>
      <c r="K55">
        <v>97.22</v>
      </c>
      <c r="L55">
        <v>31.77</v>
      </c>
      <c r="M55">
        <v>68.8</v>
      </c>
      <c r="N55">
        <v>65.91</v>
      </c>
      <c r="O55">
        <v>54.05</v>
      </c>
      <c r="P55">
        <v>60.07</v>
      </c>
      <c r="Q55">
        <v>18.818300000000001</v>
      </c>
      <c r="R55">
        <v>1259.67</v>
      </c>
      <c r="S55">
        <v>34.42</v>
      </c>
      <c r="T55">
        <v>19.12</v>
      </c>
      <c r="U55">
        <v>19.079999999999998</v>
      </c>
      <c r="V55">
        <v>36.409999999999997</v>
      </c>
      <c r="W55">
        <v>45.271500000000003</v>
      </c>
      <c r="X55">
        <v>26.19</v>
      </c>
      <c r="Y55">
        <v>53.93</v>
      </c>
      <c r="Z55">
        <v>42.5</v>
      </c>
      <c r="AA55">
        <v>80.739999999999995</v>
      </c>
      <c r="AB55">
        <v>59.96</v>
      </c>
      <c r="AC55">
        <v>43.98</v>
      </c>
      <c r="AD55">
        <v>614.30999999999995</v>
      </c>
      <c r="AE55">
        <v>681.92</v>
      </c>
      <c r="AF55">
        <v>44.99</v>
      </c>
      <c r="AG55">
        <v>57.03</v>
      </c>
      <c r="AH55">
        <v>49.23</v>
      </c>
      <c r="AI55">
        <v>54.33</v>
      </c>
    </row>
    <row r="56" spans="1:35" x14ac:dyDescent="0.45">
      <c r="A56" s="2">
        <v>46021</v>
      </c>
      <c r="B56">
        <v>34.590000000000003</v>
      </c>
      <c r="C56">
        <v>40.54</v>
      </c>
      <c r="D56">
        <v>18.670000000000002</v>
      </c>
      <c r="E56">
        <v>25.06</v>
      </c>
      <c r="F56">
        <v>35.159999999999997</v>
      </c>
      <c r="G56">
        <v>72.91</v>
      </c>
      <c r="H56">
        <v>27.57</v>
      </c>
      <c r="I56">
        <v>63.71</v>
      </c>
      <c r="J56">
        <v>69.489999999999995</v>
      </c>
      <c r="K56">
        <v>98.62</v>
      </c>
      <c r="L56">
        <v>31.99</v>
      </c>
      <c r="M56">
        <v>69.23</v>
      </c>
      <c r="N56">
        <v>66.5</v>
      </c>
      <c r="O56">
        <v>53.64</v>
      </c>
      <c r="P56">
        <v>60.58</v>
      </c>
      <c r="Q56">
        <v>18.95</v>
      </c>
      <c r="R56">
        <v>1254.03</v>
      </c>
      <c r="S56">
        <v>34.42</v>
      </c>
      <c r="T56">
        <v>19.05</v>
      </c>
      <c r="U56">
        <v>19.010000000000002</v>
      </c>
      <c r="V56">
        <v>36.049999999999997</v>
      </c>
      <c r="W56">
        <v>45.41</v>
      </c>
      <c r="X56">
        <v>26.41</v>
      </c>
      <c r="Y56">
        <v>54.3</v>
      </c>
      <c r="Z56">
        <v>42.75</v>
      </c>
      <c r="AA56">
        <v>80.98</v>
      </c>
      <c r="AB56">
        <v>60.17</v>
      </c>
      <c r="AC56">
        <v>44.22</v>
      </c>
      <c r="AD56">
        <v>619.42999999999995</v>
      </c>
      <c r="AE56">
        <v>687.01</v>
      </c>
      <c r="AF56">
        <v>45.14</v>
      </c>
      <c r="AG56">
        <v>57.226999999999997</v>
      </c>
      <c r="AH56">
        <v>49.55</v>
      </c>
      <c r="AI56">
        <v>54.59</v>
      </c>
    </row>
    <row r="57" spans="1:35" x14ac:dyDescent="0.45">
      <c r="A57" s="2">
        <v>46020</v>
      </c>
      <c r="B57">
        <v>34.369999999999997</v>
      </c>
      <c r="C57">
        <v>40.15</v>
      </c>
      <c r="D57">
        <v>18.670000000000002</v>
      </c>
      <c r="E57">
        <v>25.09</v>
      </c>
      <c r="F57">
        <v>34.96</v>
      </c>
      <c r="G57">
        <v>71.95</v>
      </c>
      <c r="H57">
        <v>27.53</v>
      </c>
      <c r="I57">
        <v>63.33</v>
      </c>
      <c r="J57">
        <v>70.510000000000005</v>
      </c>
      <c r="K57">
        <v>98.72</v>
      </c>
      <c r="L57">
        <v>31.42</v>
      </c>
      <c r="M57">
        <v>68.430000000000007</v>
      </c>
      <c r="N57">
        <v>68</v>
      </c>
      <c r="O57">
        <v>53.47</v>
      </c>
      <c r="P57">
        <v>60.37</v>
      </c>
      <c r="Q57">
        <v>18.8751</v>
      </c>
      <c r="R57">
        <v>1259.25</v>
      </c>
      <c r="S57">
        <v>34.409999999999997</v>
      </c>
      <c r="T57">
        <v>19.600000000000001</v>
      </c>
      <c r="U57">
        <v>18.920000000000002</v>
      </c>
      <c r="V57">
        <v>36.39</v>
      </c>
      <c r="W57">
        <v>45.41</v>
      </c>
      <c r="X57">
        <v>26.48</v>
      </c>
      <c r="Y57">
        <v>54.33</v>
      </c>
      <c r="Z57">
        <v>42.51</v>
      </c>
      <c r="AA57">
        <v>81.09</v>
      </c>
      <c r="AB57">
        <v>60.35</v>
      </c>
      <c r="AC57">
        <v>44.02</v>
      </c>
      <c r="AD57">
        <v>620.87</v>
      </c>
      <c r="AE57">
        <v>687.85</v>
      </c>
      <c r="AF57">
        <v>44.99</v>
      </c>
      <c r="AG57">
        <v>57</v>
      </c>
      <c r="AH57">
        <v>49.32</v>
      </c>
      <c r="AI57">
        <v>54.16</v>
      </c>
    </row>
    <row r="58" spans="1:35" x14ac:dyDescent="0.45">
      <c r="A58" s="2">
        <v>46017</v>
      </c>
      <c r="B58">
        <v>34.71</v>
      </c>
      <c r="C58">
        <v>40.29</v>
      </c>
      <c r="D58">
        <v>18.47</v>
      </c>
      <c r="E58">
        <v>25.08</v>
      </c>
      <c r="F58">
        <v>35.200000000000003</v>
      </c>
      <c r="G58">
        <v>73.77</v>
      </c>
      <c r="H58">
        <v>27.64</v>
      </c>
      <c r="I58">
        <v>63.02</v>
      </c>
      <c r="J58">
        <v>71.150000000000006</v>
      </c>
      <c r="K58">
        <v>95.84</v>
      </c>
      <c r="L58">
        <v>31.73</v>
      </c>
      <c r="M58">
        <v>70.31</v>
      </c>
      <c r="N58">
        <v>68.61</v>
      </c>
      <c r="O58">
        <v>53.84</v>
      </c>
      <c r="P58">
        <v>61.27</v>
      </c>
      <c r="Q58">
        <v>18.864999999999998</v>
      </c>
      <c r="R58">
        <v>1264.77</v>
      </c>
      <c r="S58">
        <v>34.76</v>
      </c>
      <c r="T58">
        <v>19.54</v>
      </c>
      <c r="U58">
        <v>18.399999999999999</v>
      </c>
      <c r="V58">
        <v>36.57</v>
      </c>
      <c r="W58">
        <v>45.73</v>
      </c>
      <c r="X58">
        <v>26.68</v>
      </c>
      <c r="Y58">
        <v>54.8</v>
      </c>
      <c r="Z58">
        <v>42.65</v>
      </c>
      <c r="AA58">
        <v>80.97</v>
      </c>
      <c r="AB58">
        <v>60.54</v>
      </c>
      <c r="AC58">
        <v>44.24</v>
      </c>
      <c r="AD58">
        <v>623.89</v>
      </c>
      <c r="AE58">
        <v>690.31</v>
      </c>
      <c r="AF58">
        <v>45.18</v>
      </c>
      <c r="AG58">
        <v>57.16</v>
      </c>
      <c r="AH58">
        <v>49.65</v>
      </c>
      <c r="AI58">
        <v>54.62</v>
      </c>
    </row>
    <row r="59" spans="1:35" x14ac:dyDescent="0.45">
      <c r="A59" s="2">
        <v>46015</v>
      </c>
      <c r="B59">
        <v>34.44</v>
      </c>
      <c r="C59">
        <v>40.03</v>
      </c>
      <c r="D59">
        <v>18.45</v>
      </c>
      <c r="E59">
        <v>24.94</v>
      </c>
      <c r="F59">
        <v>35.15</v>
      </c>
      <c r="G59">
        <v>72.739999999999995</v>
      </c>
      <c r="H59">
        <v>27.69</v>
      </c>
      <c r="I59">
        <v>62.53</v>
      </c>
      <c r="J59">
        <v>70.95</v>
      </c>
      <c r="K59">
        <v>94.6</v>
      </c>
      <c r="L59">
        <v>31.55</v>
      </c>
      <c r="M59">
        <v>69.92</v>
      </c>
      <c r="N59">
        <v>68.16</v>
      </c>
      <c r="O59">
        <v>54.01</v>
      </c>
      <c r="P59">
        <v>60.61</v>
      </c>
      <c r="Q59">
        <v>18.96</v>
      </c>
      <c r="R59">
        <v>1275.33</v>
      </c>
      <c r="S59">
        <v>34.869999999999997</v>
      </c>
      <c r="T59">
        <v>19.52</v>
      </c>
      <c r="U59">
        <v>19.010000000000002</v>
      </c>
      <c r="V59">
        <v>36.6</v>
      </c>
      <c r="W59">
        <v>45.74</v>
      </c>
      <c r="X59">
        <v>26.6</v>
      </c>
      <c r="Y59">
        <v>54.6</v>
      </c>
      <c r="Z59">
        <v>42.57</v>
      </c>
      <c r="AA59">
        <v>81</v>
      </c>
      <c r="AB59">
        <v>60.53</v>
      </c>
      <c r="AC59">
        <v>44.08</v>
      </c>
      <c r="AD59">
        <v>623.92999999999995</v>
      </c>
      <c r="AE59">
        <v>690.38</v>
      </c>
      <c r="AF59">
        <v>44.98</v>
      </c>
      <c r="AG59">
        <v>57.1</v>
      </c>
      <c r="AH59">
        <v>49.31</v>
      </c>
      <c r="AI59">
        <v>54.56</v>
      </c>
    </row>
    <row r="60" spans="1:35" x14ac:dyDescent="0.45">
      <c r="A60" s="2">
        <v>46014</v>
      </c>
      <c r="B60">
        <v>34.31</v>
      </c>
      <c r="C60">
        <v>39.92</v>
      </c>
      <c r="D60">
        <v>18.559999999999999</v>
      </c>
      <c r="E60">
        <v>24.93</v>
      </c>
      <c r="F60">
        <v>34.99</v>
      </c>
      <c r="G60">
        <v>72.78</v>
      </c>
      <c r="H60">
        <v>27.53</v>
      </c>
      <c r="I60">
        <v>62.5</v>
      </c>
      <c r="J60">
        <v>71.040000000000006</v>
      </c>
      <c r="K60">
        <v>92.7</v>
      </c>
      <c r="L60">
        <v>31.65</v>
      </c>
      <c r="M60">
        <v>69.540000000000006</v>
      </c>
      <c r="N60">
        <v>68.209999999999994</v>
      </c>
      <c r="O60">
        <v>54.47</v>
      </c>
      <c r="P60">
        <v>60.67</v>
      </c>
      <c r="Q60">
        <v>18.930199999999999</v>
      </c>
      <c r="R60">
        <v>1271.1099999999999</v>
      </c>
      <c r="S60">
        <v>34.814999999999998</v>
      </c>
      <c r="T60">
        <v>19.559999999999999</v>
      </c>
      <c r="U60">
        <v>19.079999999999998</v>
      </c>
      <c r="V60">
        <v>36.76</v>
      </c>
      <c r="W60">
        <v>45.54</v>
      </c>
      <c r="X60">
        <v>26.61</v>
      </c>
      <c r="Y60">
        <v>54.54</v>
      </c>
      <c r="Z60">
        <v>42.44</v>
      </c>
      <c r="AA60">
        <v>81.14</v>
      </c>
      <c r="AB60">
        <v>60.4</v>
      </c>
      <c r="AC60">
        <v>43.98</v>
      </c>
      <c r="AD60">
        <v>622.11</v>
      </c>
      <c r="AE60">
        <v>687.96</v>
      </c>
      <c r="AF60">
        <v>44.9</v>
      </c>
      <c r="AG60">
        <v>56.84</v>
      </c>
      <c r="AH60">
        <v>49.21</v>
      </c>
      <c r="AI60">
        <v>54.4</v>
      </c>
    </row>
    <row r="61" spans="1:35" x14ac:dyDescent="0.45">
      <c r="A61" s="2">
        <v>46013</v>
      </c>
      <c r="B61">
        <v>34.24</v>
      </c>
      <c r="C61">
        <v>39.79</v>
      </c>
      <c r="D61">
        <v>18.68</v>
      </c>
      <c r="E61">
        <v>24.96</v>
      </c>
      <c r="F61">
        <v>35.200000000000003</v>
      </c>
      <c r="G61">
        <v>72.08</v>
      </c>
      <c r="H61">
        <v>27.41</v>
      </c>
      <c r="I61">
        <v>61.98</v>
      </c>
      <c r="J61">
        <v>69.95</v>
      </c>
      <c r="K61">
        <v>91.75</v>
      </c>
      <c r="L61">
        <v>30.97</v>
      </c>
      <c r="M61">
        <v>68.790000000000006</v>
      </c>
      <c r="N61">
        <v>68.39</v>
      </c>
      <c r="O61">
        <v>54.19</v>
      </c>
      <c r="P61">
        <v>60.89</v>
      </c>
      <c r="Q61">
        <v>18.839600000000001</v>
      </c>
      <c r="R61">
        <v>1269.68</v>
      </c>
      <c r="S61">
        <v>34.61</v>
      </c>
      <c r="T61">
        <v>19.45</v>
      </c>
      <c r="U61">
        <v>18.61</v>
      </c>
      <c r="V61">
        <v>36.549999999999997</v>
      </c>
      <c r="W61">
        <v>45.18</v>
      </c>
      <c r="X61">
        <v>26.15</v>
      </c>
      <c r="Y61">
        <v>54.17</v>
      </c>
      <c r="Z61">
        <v>42.34</v>
      </c>
      <c r="AA61">
        <v>80.459999999999994</v>
      </c>
      <c r="AB61">
        <v>59.93</v>
      </c>
      <c r="AC61">
        <v>43.79</v>
      </c>
      <c r="AD61">
        <v>619.21</v>
      </c>
      <c r="AE61">
        <v>684.83</v>
      </c>
      <c r="AF61">
        <v>44.96</v>
      </c>
      <c r="AG61">
        <v>57.01</v>
      </c>
      <c r="AH61">
        <v>48.8</v>
      </c>
      <c r="AI61">
        <v>54.24</v>
      </c>
    </row>
    <row r="62" spans="1:35" x14ac:dyDescent="0.45">
      <c r="A62" s="2">
        <v>46010</v>
      </c>
      <c r="B62">
        <v>33.89</v>
      </c>
      <c r="C62">
        <v>39.31</v>
      </c>
      <c r="D62">
        <v>18.579999999999998</v>
      </c>
      <c r="E62">
        <v>24.66</v>
      </c>
      <c r="F62">
        <v>34.78</v>
      </c>
      <c r="G62">
        <v>71.2</v>
      </c>
      <c r="H62">
        <v>27.2</v>
      </c>
      <c r="I62">
        <v>61.64</v>
      </c>
      <c r="J62">
        <v>68.849999999999994</v>
      </c>
      <c r="K62">
        <v>91.34</v>
      </c>
      <c r="L62">
        <v>31.17</v>
      </c>
      <c r="M62">
        <v>67.599999999999994</v>
      </c>
      <c r="N62">
        <v>67.25</v>
      </c>
      <c r="O62">
        <v>54.15</v>
      </c>
      <c r="P62">
        <v>60.63</v>
      </c>
      <c r="Q62">
        <v>18.774999999999999</v>
      </c>
      <c r="R62">
        <v>1252.19</v>
      </c>
      <c r="S62">
        <v>34.86</v>
      </c>
      <c r="T62">
        <v>19.25</v>
      </c>
      <c r="U62">
        <v>18.39</v>
      </c>
      <c r="V62">
        <v>36.36</v>
      </c>
      <c r="W62">
        <v>44.82</v>
      </c>
      <c r="X62">
        <v>25.88</v>
      </c>
      <c r="Y62">
        <v>53.68</v>
      </c>
      <c r="Z62">
        <v>42.1</v>
      </c>
      <c r="AA62">
        <v>80.58</v>
      </c>
      <c r="AB62">
        <v>59.57</v>
      </c>
      <c r="AC62">
        <v>43.54</v>
      </c>
      <c r="AD62">
        <v>617.04999999999995</v>
      </c>
      <c r="AE62">
        <v>680.59</v>
      </c>
      <c r="AF62">
        <v>44.91</v>
      </c>
      <c r="AG62">
        <v>56.61</v>
      </c>
      <c r="AH62">
        <v>48.55</v>
      </c>
      <c r="AI62">
        <v>54.21</v>
      </c>
    </row>
    <row r="63" spans="1:35" x14ac:dyDescent="0.45">
      <c r="A63" s="2">
        <v>46009</v>
      </c>
      <c r="B63">
        <v>33.58</v>
      </c>
      <c r="C63">
        <v>38.69</v>
      </c>
      <c r="D63">
        <v>18.63</v>
      </c>
      <c r="E63">
        <v>25.01</v>
      </c>
      <c r="F63">
        <v>34.409999999999997</v>
      </c>
      <c r="G63">
        <v>69.98</v>
      </c>
      <c r="H63">
        <v>26.88</v>
      </c>
      <c r="I63">
        <v>60.87</v>
      </c>
      <c r="J63">
        <v>68.75</v>
      </c>
      <c r="K63">
        <v>90.07</v>
      </c>
      <c r="L63">
        <v>31.17</v>
      </c>
      <c r="M63">
        <v>67.510000000000005</v>
      </c>
      <c r="N63">
        <v>66.94</v>
      </c>
      <c r="O63">
        <v>53.28</v>
      </c>
      <c r="P63">
        <v>59.99</v>
      </c>
      <c r="Q63">
        <v>18.739999999999998</v>
      </c>
      <c r="R63">
        <v>1250.07</v>
      </c>
      <c r="S63">
        <v>34.82</v>
      </c>
      <c r="T63">
        <v>19.309999999999999</v>
      </c>
      <c r="U63">
        <v>17.88</v>
      </c>
      <c r="V63">
        <v>36.299999999999997</v>
      </c>
      <c r="W63">
        <v>44.6999</v>
      </c>
      <c r="X63">
        <v>25.81</v>
      </c>
      <c r="Y63">
        <v>53.22</v>
      </c>
      <c r="Z63">
        <v>41.94</v>
      </c>
      <c r="AA63">
        <v>79.97</v>
      </c>
      <c r="AB63">
        <v>59.47</v>
      </c>
      <c r="AC63">
        <v>43.13</v>
      </c>
      <c r="AD63">
        <v>609.11</v>
      </c>
      <c r="AE63">
        <v>676.47</v>
      </c>
      <c r="AF63">
        <v>44.8</v>
      </c>
      <c r="AG63">
        <v>56.02</v>
      </c>
      <c r="AH63">
        <v>48.18</v>
      </c>
      <c r="AI63">
        <v>53.81</v>
      </c>
    </row>
    <row r="64" spans="1:35" x14ac:dyDescent="0.45">
      <c r="A64" s="2">
        <v>46008</v>
      </c>
      <c r="B64">
        <v>33.630000000000003</v>
      </c>
      <c r="C64">
        <v>38.28</v>
      </c>
      <c r="D64">
        <v>18.600000000000001</v>
      </c>
      <c r="E64">
        <v>25.1</v>
      </c>
      <c r="F64">
        <v>34.270000000000003</v>
      </c>
      <c r="G64">
        <v>69.180000000000007</v>
      </c>
      <c r="H64">
        <v>26.6</v>
      </c>
      <c r="I64">
        <v>60.03</v>
      </c>
      <c r="J64">
        <v>67.45</v>
      </c>
      <c r="K64">
        <v>88.58</v>
      </c>
      <c r="L64">
        <v>31</v>
      </c>
      <c r="M64">
        <v>66.64</v>
      </c>
      <c r="N64">
        <v>66.25</v>
      </c>
      <c r="O64">
        <v>52.97</v>
      </c>
      <c r="P64">
        <v>59.47</v>
      </c>
      <c r="Q64">
        <v>18.6081</v>
      </c>
      <c r="R64">
        <v>1256.8499999999999</v>
      </c>
      <c r="S64">
        <v>34.734999999999999</v>
      </c>
      <c r="T64">
        <v>19.1129</v>
      </c>
      <c r="U64">
        <v>17.54</v>
      </c>
      <c r="V64">
        <v>35.83</v>
      </c>
      <c r="W64">
        <v>44.634999999999998</v>
      </c>
      <c r="X64">
        <v>25.58</v>
      </c>
      <c r="Y64">
        <v>52.81</v>
      </c>
      <c r="Z64">
        <v>41.61</v>
      </c>
      <c r="AA64">
        <v>79.739999999999995</v>
      </c>
      <c r="AB64">
        <v>58.84</v>
      </c>
      <c r="AC64">
        <v>42.94</v>
      </c>
      <c r="AD64">
        <v>600.41</v>
      </c>
      <c r="AE64">
        <v>671.4</v>
      </c>
      <c r="AF64">
        <v>44.62</v>
      </c>
      <c r="AG64">
        <v>55.57</v>
      </c>
      <c r="AH64">
        <v>47.62</v>
      </c>
      <c r="AI64">
        <v>53.51</v>
      </c>
    </row>
    <row r="65" spans="1:35" x14ac:dyDescent="0.45">
      <c r="A65" s="2">
        <v>46007</v>
      </c>
      <c r="B65">
        <v>33.197000000000003</v>
      </c>
      <c r="C65">
        <v>38.840000000000003</v>
      </c>
      <c r="D65">
        <v>18.670000000000002</v>
      </c>
      <c r="E65">
        <v>25.19</v>
      </c>
      <c r="F65">
        <v>34.409999999999997</v>
      </c>
      <c r="G65">
        <v>69.3</v>
      </c>
      <c r="H65">
        <v>26.79</v>
      </c>
      <c r="I65">
        <v>61.12</v>
      </c>
      <c r="J65">
        <v>68.28</v>
      </c>
      <c r="K65">
        <v>89.52</v>
      </c>
      <c r="L65">
        <v>31.6</v>
      </c>
      <c r="M65">
        <v>65.7</v>
      </c>
      <c r="N65">
        <v>66.81</v>
      </c>
      <c r="O65">
        <v>52.95</v>
      </c>
      <c r="P65">
        <v>59.7</v>
      </c>
      <c r="Q65">
        <v>18.696899999999999</v>
      </c>
      <c r="R65">
        <v>1260.68</v>
      </c>
      <c r="S65">
        <v>34.71</v>
      </c>
      <c r="T65">
        <v>19.239999999999998</v>
      </c>
      <c r="U65">
        <v>17.850000000000001</v>
      </c>
      <c r="V65">
        <v>36.090000000000003</v>
      </c>
      <c r="W65">
        <v>45.1265</v>
      </c>
      <c r="X65">
        <v>25.82</v>
      </c>
      <c r="Y65">
        <v>52.98</v>
      </c>
      <c r="Z65">
        <v>42.03</v>
      </c>
      <c r="AA65">
        <v>80.849999999999994</v>
      </c>
      <c r="AB65">
        <v>59.02</v>
      </c>
      <c r="AC65">
        <v>42.73</v>
      </c>
      <c r="AD65">
        <v>611.75</v>
      </c>
      <c r="AE65">
        <v>678.87</v>
      </c>
      <c r="AF65">
        <v>44.94</v>
      </c>
      <c r="AG65">
        <v>56.41</v>
      </c>
      <c r="AH65">
        <v>48.23</v>
      </c>
      <c r="AI65">
        <v>53.58</v>
      </c>
    </row>
    <row r="66" spans="1:35" x14ac:dyDescent="0.45">
      <c r="A66" s="2">
        <v>46006</v>
      </c>
      <c r="B66">
        <v>34.049999999999997</v>
      </c>
      <c r="C66">
        <v>38.994999999999997</v>
      </c>
      <c r="D66">
        <v>18.86</v>
      </c>
      <c r="E66">
        <v>24.95</v>
      </c>
      <c r="F66">
        <v>35.9</v>
      </c>
      <c r="G66">
        <v>69.25</v>
      </c>
      <c r="H66">
        <v>27.09</v>
      </c>
      <c r="I66">
        <v>64.11</v>
      </c>
      <c r="J66">
        <v>70.48</v>
      </c>
      <c r="K66">
        <v>92.73</v>
      </c>
      <c r="L66">
        <v>33.58</v>
      </c>
      <c r="M66">
        <v>69.61</v>
      </c>
      <c r="N66">
        <v>67.45</v>
      </c>
      <c r="O66">
        <v>53.1</v>
      </c>
      <c r="P66">
        <v>60.87</v>
      </c>
      <c r="Q66">
        <v>19.010000000000002</v>
      </c>
      <c r="R66">
        <v>1273.4000000000001</v>
      </c>
      <c r="S66">
        <v>35.29</v>
      </c>
      <c r="T66">
        <v>19.38</v>
      </c>
      <c r="U66">
        <v>17.420000000000002</v>
      </c>
      <c r="V66">
        <v>36.81</v>
      </c>
      <c r="W66">
        <v>45.75</v>
      </c>
      <c r="X66">
        <v>26.42</v>
      </c>
      <c r="Y66">
        <v>53.8</v>
      </c>
      <c r="Z66">
        <v>42.1</v>
      </c>
      <c r="AA66">
        <v>84.87</v>
      </c>
      <c r="AB66">
        <v>59.06</v>
      </c>
      <c r="AC66">
        <v>43.75</v>
      </c>
      <c r="AD66">
        <v>610.54</v>
      </c>
      <c r="AE66">
        <v>680.73</v>
      </c>
      <c r="AF66">
        <v>45.18</v>
      </c>
      <c r="AG66">
        <v>58.76</v>
      </c>
      <c r="AH66">
        <v>49.11</v>
      </c>
      <c r="AI66">
        <v>54.35</v>
      </c>
    </row>
    <row r="67" spans="1:35" x14ac:dyDescent="0.45">
      <c r="A67" s="2">
        <v>46003</v>
      </c>
      <c r="B67">
        <v>34.08</v>
      </c>
      <c r="C67">
        <v>39.78</v>
      </c>
      <c r="D67">
        <v>18.760000000000002</v>
      </c>
      <c r="E67">
        <v>24.9</v>
      </c>
      <c r="F67">
        <v>35.200000000000003</v>
      </c>
      <c r="G67">
        <v>69.3</v>
      </c>
      <c r="H67">
        <v>26.98</v>
      </c>
      <c r="I67">
        <v>64.099999999999994</v>
      </c>
      <c r="J67">
        <v>70.69</v>
      </c>
      <c r="K67">
        <v>92.67</v>
      </c>
      <c r="L67">
        <v>33.32</v>
      </c>
      <c r="M67">
        <v>68.63</v>
      </c>
      <c r="N67">
        <v>67.239999999999995</v>
      </c>
      <c r="O67">
        <v>53.14</v>
      </c>
      <c r="P67">
        <v>61.52</v>
      </c>
      <c r="Q67">
        <v>19.32</v>
      </c>
      <c r="R67">
        <v>1254.0999999999999</v>
      </c>
      <c r="S67">
        <v>34.82</v>
      </c>
      <c r="T67">
        <v>19.350000000000001</v>
      </c>
      <c r="U67">
        <v>17.489999999999998</v>
      </c>
      <c r="V67">
        <v>37.4</v>
      </c>
      <c r="W67">
        <v>45.71</v>
      </c>
      <c r="X67">
        <v>26.52</v>
      </c>
      <c r="Y67">
        <v>53.89</v>
      </c>
      <c r="Z67">
        <v>42.18</v>
      </c>
      <c r="AA67">
        <v>84</v>
      </c>
      <c r="AB67">
        <v>58.37</v>
      </c>
      <c r="AC67">
        <v>43.28</v>
      </c>
      <c r="AD67">
        <v>613.62</v>
      </c>
      <c r="AE67">
        <v>681.76</v>
      </c>
      <c r="AF67">
        <v>44.88</v>
      </c>
      <c r="AG67">
        <v>58.6</v>
      </c>
      <c r="AH67">
        <v>49.38</v>
      </c>
      <c r="AI67">
        <v>53.66</v>
      </c>
    </row>
    <row r="68" spans="1:35" x14ac:dyDescent="0.45">
      <c r="A68" s="2">
        <v>46002</v>
      </c>
      <c r="B68">
        <v>34.090000000000003</v>
      </c>
      <c r="C68">
        <v>39.28</v>
      </c>
      <c r="D68">
        <v>18.68</v>
      </c>
      <c r="E68">
        <v>25.02</v>
      </c>
      <c r="F68">
        <v>35.270000000000003</v>
      </c>
      <c r="G68">
        <v>69.680000000000007</v>
      </c>
      <c r="H68">
        <v>26.87</v>
      </c>
      <c r="I68">
        <v>65.92</v>
      </c>
      <c r="J68">
        <v>71.06</v>
      </c>
      <c r="K68">
        <v>94.96</v>
      </c>
      <c r="L68">
        <v>33.159999999999997</v>
      </c>
      <c r="M68">
        <v>69.5</v>
      </c>
      <c r="N68">
        <v>67.67</v>
      </c>
      <c r="O68">
        <v>53.57</v>
      </c>
      <c r="P68">
        <v>61.69</v>
      </c>
      <c r="Q68">
        <v>19.315000000000001</v>
      </c>
      <c r="R68">
        <v>1253.54</v>
      </c>
      <c r="S68">
        <v>34.82</v>
      </c>
      <c r="T68">
        <v>19.510000000000002</v>
      </c>
      <c r="U68">
        <v>18.27</v>
      </c>
      <c r="V68">
        <v>37.619999999999997</v>
      </c>
      <c r="W68">
        <v>46.35</v>
      </c>
      <c r="X68">
        <v>26.64</v>
      </c>
      <c r="Y68">
        <v>54.08</v>
      </c>
      <c r="Z68">
        <v>42.39</v>
      </c>
      <c r="AA68">
        <v>84.22</v>
      </c>
      <c r="AB68">
        <v>58.49</v>
      </c>
      <c r="AC68">
        <v>43.65</v>
      </c>
      <c r="AD68">
        <v>625.58000000000004</v>
      </c>
      <c r="AE68">
        <v>689.17</v>
      </c>
      <c r="AF68">
        <v>45</v>
      </c>
      <c r="AG68">
        <v>59.5</v>
      </c>
      <c r="AH68">
        <v>49.67</v>
      </c>
      <c r="AI68">
        <v>53.95</v>
      </c>
    </row>
    <row r="69" spans="1:35" x14ac:dyDescent="0.45">
      <c r="A69" s="2">
        <v>46001</v>
      </c>
      <c r="B69">
        <v>34.340000000000003</v>
      </c>
      <c r="C69">
        <v>38.75</v>
      </c>
      <c r="D69">
        <v>18.86</v>
      </c>
      <c r="E69">
        <v>24.73</v>
      </c>
      <c r="F69">
        <v>34.880000000000003</v>
      </c>
      <c r="G69">
        <v>68.290000000000006</v>
      </c>
      <c r="H69">
        <v>26.52</v>
      </c>
      <c r="I69">
        <v>66.8</v>
      </c>
      <c r="J69">
        <v>69.040000000000006</v>
      </c>
      <c r="K69">
        <v>96.75</v>
      </c>
      <c r="L69">
        <v>32.770000000000003</v>
      </c>
      <c r="M69">
        <v>68.180000000000007</v>
      </c>
      <c r="N69">
        <v>66.77</v>
      </c>
      <c r="O69">
        <v>53.36</v>
      </c>
      <c r="P69">
        <v>61.81</v>
      </c>
      <c r="Q69">
        <v>19.168500000000002</v>
      </c>
      <c r="R69">
        <v>1269.8699999999999</v>
      </c>
      <c r="S69">
        <v>34.729999999999997</v>
      </c>
      <c r="T69">
        <v>19.440100000000001</v>
      </c>
      <c r="U69">
        <v>18.28</v>
      </c>
      <c r="V69">
        <v>37.659999999999997</v>
      </c>
      <c r="W69">
        <v>46.2943</v>
      </c>
      <c r="X69">
        <v>26.65</v>
      </c>
      <c r="Y69">
        <v>53.72</v>
      </c>
      <c r="Z69">
        <v>41.94</v>
      </c>
      <c r="AA69">
        <v>83.91</v>
      </c>
      <c r="AB69">
        <v>58.38</v>
      </c>
      <c r="AC69">
        <v>43.46</v>
      </c>
      <c r="AD69">
        <v>627.61</v>
      </c>
      <c r="AE69">
        <v>687.57</v>
      </c>
      <c r="AF69">
        <v>44.58</v>
      </c>
      <c r="AG69">
        <v>58.8</v>
      </c>
      <c r="AH69">
        <v>49.36</v>
      </c>
      <c r="AI69">
        <v>53.55</v>
      </c>
    </row>
    <row r="70" spans="1:35" x14ac:dyDescent="0.45">
      <c r="A70" s="2">
        <v>46000</v>
      </c>
      <c r="B70">
        <v>34.225000000000001</v>
      </c>
      <c r="C70">
        <v>38.340000000000003</v>
      </c>
      <c r="D70">
        <v>18.68</v>
      </c>
      <c r="E70">
        <v>24.67</v>
      </c>
      <c r="F70">
        <v>34.25</v>
      </c>
      <c r="G70">
        <v>67.48</v>
      </c>
      <c r="H70">
        <v>26.37</v>
      </c>
      <c r="I70">
        <v>65.72</v>
      </c>
      <c r="J70">
        <v>69.27</v>
      </c>
      <c r="K70">
        <v>95.57</v>
      </c>
      <c r="L70">
        <v>32.74</v>
      </c>
      <c r="M70">
        <v>66.91</v>
      </c>
      <c r="N70">
        <v>65.8</v>
      </c>
      <c r="O70">
        <v>53.27</v>
      </c>
      <c r="P70">
        <v>61.35</v>
      </c>
      <c r="Q70">
        <v>19.041399999999999</v>
      </c>
      <c r="R70">
        <v>1261.3900000000001</v>
      </c>
      <c r="S70">
        <v>34.659999999999997</v>
      </c>
      <c r="T70">
        <v>19.38</v>
      </c>
      <c r="U70">
        <v>18.649999999999999</v>
      </c>
      <c r="V70">
        <v>37.43</v>
      </c>
      <c r="W70">
        <v>45.950400000000002</v>
      </c>
      <c r="X70">
        <v>26.35</v>
      </c>
      <c r="Y70">
        <v>53.07</v>
      </c>
      <c r="Z70">
        <v>41.53</v>
      </c>
      <c r="AA70">
        <v>83.31</v>
      </c>
      <c r="AB70">
        <v>57.69</v>
      </c>
      <c r="AC70">
        <v>42.88</v>
      </c>
      <c r="AD70">
        <v>625.04999999999995</v>
      </c>
      <c r="AE70">
        <v>683.04</v>
      </c>
      <c r="AF70">
        <v>44.21</v>
      </c>
      <c r="AG70">
        <v>58.55</v>
      </c>
      <c r="AH70">
        <v>48.55</v>
      </c>
      <c r="AI70">
        <v>53.02</v>
      </c>
    </row>
    <row r="71" spans="1:35" x14ac:dyDescent="0.45">
      <c r="A71" s="2">
        <v>45999</v>
      </c>
      <c r="B71">
        <v>34.36</v>
      </c>
      <c r="C71">
        <v>38.24</v>
      </c>
      <c r="D71">
        <v>18.87</v>
      </c>
      <c r="E71">
        <v>24.58</v>
      </c>
      <c r="F71">
        <v>33.51</v>
      </c>
      <c r="G71">
        <v>66.53</v>
      </c>
      <c r="H71">
        <v>26.32</v>
      </c>
      <c r="I71">
        <v>65.569999999999993</v>
      </c>
      <c r="J71">
        <v>68.64</v>
      </c>
      <c r="K71">
        <v>95.07</v>
      </c>
      <c r="L71">
        <v>32.75</v>
      </c>
      <c r="M71">
        <v>66.39</v>
      </c>
      <c r="N71">
        <v>66.97</v>
      </c>
      <c r="O71">
        <v>53.08</v>
      </c>
      <c r="P71">
        <v>62.22</v>
      </c>
      <c r="Q71">
        <v>18.955400000000001</v>
      </c>
      <c r="R71">
        <v>1273.77</v>
      </c>
      <c r="S71">
        <v>34.42</v>
      </c>
      <c r="T71">
        <v>19.079999999999998</v>
      </c>
      <c r="U71">
        <v>18.72</v>
      </c>
      <c r="V71">
        <v>37.19</v>
      </c>
      <c r="W71">
        <v>46.026699999999998</v>
      </c>
      <c r="X71">
        <v>26.24</v>
      </c>
      <c r="Y71">
        <v>52.95</v>
      </c>
      <c r="Z71">
        <v>41.34</v>
      </c>
      <c r="AA71">
        <v>83.19</v>
      </c>
      <c r="AB71">
        <v>57.76</v>
      </c>
      <c r="AC71">
        <v>43.08</v>
      </c>
      <c r="AD71">
        <v>624.28</v>
      </c>
      <c r="AE71">
        <v>683.63</v>
      </c>
      <c r="AF71">
        <v>44.65</v>
      </c>
      <c r="AG71">
        <v>58.7224</v>
      </c>
      <c r="AH71">
        <v>48.4</v>
      </c>
      <c r="AI71">
        <v>52.98</v>
      </c>
    </row>
    <row r="72" spans="1:35" x14ac:dyDescent="0.45">
      <c r="A72" s="2">
        <v>45996</v>
      </c>
      <c r="B72">
        <v>34.21</v>
      </c>
      <c r="C72">
        <v>38.18</v>
      </c>
      <c r="D72">
        <v>18.82</v>
      </c>
      <c r="E72">
        <v>24.73</v>
      </c>
      <c r="F72">
        <v>33.44</v>
      </c>
      <c r="G72">
        <v>67.03</v>
      </c>
      <c r="H72">
        <v>26.64</v>
      </c>
      <c r="I72">
        <v>65.349999999999994</v>
      </c>
      <c r="J72">
        <v>68.680000000000007</v>
      </c>
      <c r="K72">
        <v>94.3</v>
      </c>
      <c r="L72">
        <v>32.53</v>
      </c>
      <c r="M72">
        <v>67.88</v>
      </c>
      <c r="N72">
        <v>66.45</v>
      </c>
      <c r="O72">
        <v>53.97</v>
      </c>
      <c r="P72">
        <v>62.66</v>
      </c>
      <c r="Q72">
        <v>18.930399999999999</v>
      </c>
      <c r="R72">
        <v>1274.82</v>
      </c>
      <c r="S72">
        <v>33.840000000000003</v>
      </c>
      <c r="T72">
        <v>19.22</v>
      </c>
      <c r="U72">
        <v>18.649999999999999</v>
      </c>
      <c r="V72">
        <v>37.200000000000003</v>
      </c>
      <c r="W72">
        <v>45.994999999999997</v>
      </c>
      <c r="X72">
        <v>26.34</v>
      </c>
      <c r="Y72">
        <v>53.29</v>
      </c>
      <c r="Z72">
        <v>41.41</v>
      </c>
      <c r="AA72">
        <v>83.7</v>
      </c>
      <c r="AB72">
        <v>58.03</v>
      </c>
      <c r="AC72">
        <v>43.22</v>
      </c>
      <c r="AD72">
        <v>625.48</v>
      </c>
      <c r="AE72">
        <v>685.69</v>
      </c>
      <c r="AF72">
        <v>44.62</v>
      </c>
      <c r="AG72">
        <v>58.55</v>
      </c>
      <c r="AH72">
        <v>48.37</v>
      </c>
      <c r="AI72">
        <v>52.98</v>
      </c>
    </row>
    <row r="73" spans="1:35" x14ac:dyDescent="0.45">
      <c r="A73" s="2">
        <v>45995</v>
      </c>
      <c r="B73">
        <v>33.74</v>
      </c>
      <c r="C73">
        <v>38.51</v>
      </c>
      <c r="D73">
        <v>18.79</v>
      </c>
      <c r="E73">
        <v>24.2</v>
      </c>
      <c r="F73">
        <v>33.53</v>
      </c>
      <c r="G73">
        <v>67</v>
      </c>
      <c r="H73">
        <v>26.59</v>
      </c>
      <c r="I73">
        <v>64.510000000000005</v>
      </c>
      <c r="J73">
        <v>68.819999999999993</v>
      </c>
      <c r="K73">
        <v>91.87</v>
      </c>
      <c r="L73">
        <v>34.72</v>
      </c>
      <c r="M73">
        <v>67.05</v>
      </c>
      <c r="N73">
        <v>66.3</v>
      </c>
      <c r="O73">
        <v>53.76</v>
      </c>
      <c r="P73">
        <v>61.98</v>
      </c>
      <c r="Q73">
        <v>18.940200000000001</v>
      </c>
      <c r="R73">
        <v>1277.58</v>
      </c>
      <c r="S73">
        <v>33.549999999999997</v>
      </c>
      <c r="T73">
        <v>19.05</v>
      </c>
      <c r="U73">
        <v>18.59</v>
      </c>
      <c r="V73">
        <v>37.17</v>
      </c>
      <c r="W73">
        <v>46.005000000000003</v>
      </c>
      <c r="X73">
        <v>26.29</v>
      </c>
      <c r="Y73">
        <v>53.07</v>
      </c>
      <c r="Z73">
        <v>41.14</v>
      </c>
      <c r="AA73">
        <v>83.62</v>
      </c>
      <c r="AB73">
        <v>57.91</v>
      </c>
      <c r="AC73">
        <v>43.42</v>
      </c>
      <c r="AD73">
        <v>622.94000000000005</v>
      </c>
      <c r="AE73">
        <v>684.39</v>
      </c>
      <c r="AF73">
        <v>44.75</v>
      </c>
      <c r="AG73">
        <v>58.78</v>
      </c>
      <c r="AH73">
        <v>48.09</v>
      </c>
      <c r="AI73">
        <v>53.15</v>
      </c>
    </row>
    <row r="74" spans="1:35" x14ac:dyDescent="0.45">
      <c r="A74" s="2">
        <v>45994</v>
      </c>
      <c r="B74">
        <v>33.76</v>
      </c>
      <c r="C74">
        <v>38.619999999999997</v>
      </c>
      <c r="D74">
        <v>18.829999999999998</v>
      </c>
      <c r="E74">
        <v>24.68</v>
      </c>
      <c r="F74">
        <v>33.61</v>
      </c>
      <c r="G74">
        <v>66.03</v>
      </c>
      <c r="H74">
        <v>26.73</v>
      </c>
      <c r="I74">
        <v>64.849999999999994</v>
      </c>
      <c r="J74">
        <v>68.430000000000007</v>
      </c>
      <c r="K74">
        <v>93</v>
      </c>
      <c r="L74">
        <v>34.200000000000003</v>
      </c>
      <c r="M74">
        <v>66.92</v>
      </c>
      <c r="N74">
        <v>66.37</v>
      </c>
      <c r="O74">
        <v>53.41</v>
      </c>
      <c r="P74">
        <v>61.88</v>
      </c>
      <c r="Q74">
        <v>18.930199999999999</v>
      </c>
      <c r="R74">
        <v>1276.57</v>
      </c>
      <c r="S74">
        <v>33.869999999999997</v>
      </c>
      <c r="T74">
        <v>18.850000000000001</v>
      </c>
      <c r="U74">
        <v>18.690000000000001</v>
      </c>
      <c r="V74">
        <v>37.04</v>
      </c>
      <c r="W74">
        <v>46.165599999999998</v>
      </c>
      <c r="X74">
        <v>26.13</v>
      </c>
      <c r="Y74">
        <v>52.47</v>
      </c>
      <c r="Z74">
        <v>40.950000000000003</v>
      </c>
      <c r="AA74">
        <v>82.61</v>
      </c>
      <c r="AB74">
        <v>58.07</v>
      </c>
      <c r="AC74">
        <v>43.46</v>
      </c>
      <c r="AD74">
        <v>623.52</v>
      </c>
      <c r="AE74">
        <v>683.89</v>
      </c>
      <c r="AF74">
        <v>44.79</v>
      </c>
      <c r="AG74">
        <v>59.18</v>
      </c>
      <c r="AH74">
        <v>47.77</v>
      </c>
      <c r="AI74">
        <v>53.29</v>
      </c>
    </row>
    <row r="75" spans="1:35" x14ac:dyDescent="0.45">
      <c r="A75" s="2">
        <v>45993</v>
      </c>
      <c r="B75">
        <v>33.81</v>
      </c>
      <c r="C75">
        <v>38.29</v>
      </c>
      <c r="D75">
        <v>18.920000000000002</v>
      </c>
      <c r="E75">
        <v>25.06</v>
      </c>
      <c r="F75">
        <v>33.65</v>
      </c>
      <c r="G75">
        <v>64.67</v>
      </c>
      <c r="H75">
        <v>26.67</v>
      </c>
      <c r="I75">
        <v>64.63</v>
      </c>
      <c r="J75">
        <v>68.709999999999994</v>
      </c>
      <c r="K75">
        <v>92.07</v>
      </c>
      <c r="L75">
        <v>34.03</v>
      </c>
      <c r="M75">
        <v>66.5</v>
      </c>
      <c r="N75">
        <v>66.64</v>
      </c>
      <c r="O75">
        <v>53.88</v>
      </c>
      <c r="P75">
        <v>62.24</v>
      </c>
      <c r="Q75">
        <v>18.774999999999999</v>
      </c>
      <c r="R75">
        <v>1256.69</v>
      </c>
      <c r="S75">
        <v>34.1</v>
      </c>
      <c r="T75">
        <v>18.53</v>
      </c>
      <c r="U75">
        <v>18.649999999999999</v>
      </c>
      <c r="V75">
        <v>36.979999999999997</v>
      </c>
      <c r="W75">
        <v>45.818399999999997</v>
      </c>
      <c r="X75">
        <v>25.93</v>
      </c>
      <c r="Y75">
        <v>52.14</v>
      </c>
      <c r="Z75">
        <v>40.89</v>
      </c>
      <c r="AA75">
        <v>82.47</v>
      </c>
      <c r="AB75">
        <v>57.94</v>
      </c>
      <c r="AC75">
        <v>43.01</v>
      </c>
      <c r="AD75">
        <v>622</v>
      </c>
      <c r="AE75">
        <v>681.53</v>
      </c>
      <c r="AF75">
        <v>44.44</v>
      </c>
      <c r="AG75">
        <v>58.57</v>
      </c>
      <c r="AH75">
        <v>47.61</v>
      </c>
      <c r="AI75">
        <v>53</v>
      </c>
    </row>
    <row r="76" spans="1:35" x14ac:dyDescent="0.45">
      <c r="A76" s="2">
        <v>45992</v>
      </c>
      <c r="B76">
        <v>34.25</v>
      </c>
      <c r="C76">
        <v>37.69</v>
      </c>
      <c r="D76">
        <v>18.79</v>
      </c>
      <c r="E76">
        <v>25.24</v>
      </c>
      <c r="F76">
        <v>33.9</v>
      </c>
      <c r="G76">
        <v>64.569999999999993</v>
      </c>
      <c r="H76">
        <v>26.6</v>
      </c>
      <c r="I76">
        <v>64.13</v>
      </c>
      <c r="J76">
        <v>68.459999999999994</v>
      </c>
      <c r="K76">
        <v>90.62</v>
      </c>
      <c r="L76">
        <v>33.4</v>
      </c>
      <c r="M76">
        <v>67.45</v>
      </c>
      <c r="N76">
        <v>66.28</v>
      </c>
      <c r="O76">
        <v>54.33</v>
      </c>
      <c r="P76">
        <v>62.66</v>
      </c>
      <c r="Q76">
        <v>18.71</v>
      </c>
      <c r="R76">
        <v>1252.71</v>
      </c>
      <c r="S76">
        <v>34.03</v>
      </c>
      <c r="T76">
        <v>18.4941</v>
      </c>
      <c r="U76">
        <v>18.38</v>
      </c>
      <c r="V76">
        <v>37.06</v>
      </c>
      <c r="W76">
        <v>45.48</v>
      </c>
      <c r="X76">
        <v>25.73</v>
      </c>
      <c r="Y76">
        <v>52.18</v>
      </c>
      <c r="Z76">
        <v>40.520000000000003</v>
      </c>
      <c r="AA76">
        <v>82.53</v>
      </c>
      <c r="AB76">
        <v>57.42</v>
      </c>
      <c r="AC76">
        <v>42.93</v>
      </c>
      <c r="AD76">
        <v>617.16999999999996</v>
      </c>
      <c r="AE76">
        <v>680.27</v>
      </c>
      <c r="AF76">
        <v>44.41</v>
      </c>
      <c r="AG76">
        <v>58.32</v>
      </c>
      <c r="AH76">
        <v>47.58</v>
      </c>
      <c r="AI76">
        <v>52.66</v>
      </c>
    </row>
    <row r="77" spans="1:35" x14ac:dyDescent="0.45">
      <c r="A77" s="2">
        <v>45989</v>
      </c>
      <c r="B77">
        <v>33.950000000000003</v>
      </c>
      <c r="C77">
        <v>37.86</v>
      </c>
      <c r="D77">
        <v>18.670000000000002</v>
      </c>
      <c r="E77">
        <v>25.21</v>
      </c>
      <c r="F77">
        <v>34.07</v>
      </c>
      <c r="G77">
        <v>64.47</v>
      </c>
      <c r="H77">
        <v>26.43</v>
      </c>
      <c r="I77">
        <v>64.510000000000005</v>
      </c>
      <c r="J77">
        <v>68.42</v>
      </c>
      <c r="K77">
        <v>90.87</v>
      </c>
      <c r="L77">
        <v>33.61</v>
      </c>
      <c r="M77">
        <v>66.739999999999995</v>
      </c>
      <c r="N77">
        <v>65.319999999999993</v>
      </c>
      <c r="O77">
        <v>54.71</v>
      </c>
      <c r="P77">
        <v>62.2</v>
      </c>
      <c r="Q77">
        <v>18.88</v>
      </c>
      <c r="R77">
        <v>1261.18</v>
      </c>
      <c r="S77">
        <v>33.5</v>
      </c>
      <c r="T77">
        <v>18.579999999999998</v>
      </c>
      <c r="U77">
        <v>18.34</v>
      </c>
      <c r="V77">
        <v>37.44</v>
      </c>
      <c r="W77">
        <v>45.625700000000002</v>
      </c>
      <c r="X77">
        <v>25.85</v>
      </c>
      <c r="Y77">
        <v>52.7</v>
      </c>
      <c r="Z77">
        <v>40.92</v>
      </c>
      <c r="AA77">
        <v>83.01</v>
      </c>
      <c r="AB77">
        <v>57.82</v>
      </c>
      <c r="AC77">
        <v>43.15</v>
      </c>
      <c r="AD77">
        <v>619.25</v>
      </c>
      <c r="AE77">
        <v>683.39</v>
      </c>
      <c r="AF77">
        <v>44.57</v>
      </c>
      <c r="AG77">
        <v>58.17</v>
      </c>
      <c r="AH77">
        <v>47.91</v>
      </c>
      <c r="AI77">
        <v>52.93</v>
      </c>
    </row>
    <row r="78" spans="1:35" x14ac:dyDescent="0.45">
      <c r="A78" s="2">
        <v>45987</v>
      </c>
      <c r="B78">
        <v>33.590000000000003</v>
      </c>
      <c r="C78">
        <v>37.61</v>
      </c>
      <c r="D78">
        <v>18.87</v>
      </c>
      <c r="E78">
        <v>25.02</v>
      </c>
      <c r="F78">
        <v>34.07</v>
      </c>
      <c r="G78">
        <v>63.1</v>
      </c>
      <c r="H78">
        <v>26.64</v>
      </c>
      <c r="I78">
        <v>63.66</v>
      </c>
      <c r="J78">
        <v>67.88</v>
      </c>
      <c r="K78">
        <v>91.55</v>
      </c>
      <c r="L78">
        <v>33.47</v>
      </c>
      <c r="M78">
        <v>67.83</v>
      </c>
      <c r="N78">
        <v>66.150000000000006</v>
      </c>
      <c r="O78">
        <v>54.67</v>
      </c>
      <c r="P78">
        <v>61.91</v>
      </c>
      <c r="Q78">
        <v>18.885000000000002</v>
      </c>
      <c r="R78">
        <v>1268.78</v>
      </c>
      <c r="S78">
        <v>33.590000000000003</v>
      </c>
      <c r="T78">
        <v>18.53</v>
      </c>
      <c r="U78">
        <v>18.239999999999998</v>
      </c>
      <c r="V78">
        <v>37.380000000000003</v>
      </c>
      <c r="W78">
        <v>45.47</v>
      </c>
      <c r="X78">
        <v>25.82</v>
      </c>
      <c r="Y78">
        <v>52.25</v>
      </c>
      <c r="Z78">
        <v>40.6</v>
      </c>
      <c r="AA78">
        <v>83.26</v>
      </c>
      <c r="AB78">
        <v>57.55</v>
      </c>
      <c r="AC78">
        <v>42.99</v>
      </c>
      <c r="AD78">
        <v>614.27</v>
      </c>
      <c r="AE78">
        <v>679.68</v>
      </c>
      <c r="AF78">
        <v>44.43</v>
      </c>
      <c r="AG78">
        <v>57.79</v>
      </c>
      <c r="AH78">
        <v>47.43</v>
      </c>
      <c r="AI78">
        <v>52.54</v>
      </c>
    </row>
    <row r="79" spans="1:35" x14ac:dyDescent="0.45">
      <c r="A79" s="2">
        <v>45986</v>
      </c>
      <c r="B79">
        <v>33.51</v>
      </c>
      <c r="C79">
        <v>37.270000000000003</v>
      </c>
      <c r="D79">
        <v>18.73</v>
      </c>
      <c r="E79">
        <v>25</v>
      </c>
      <c r="F79">
        <v>33.729999999999997</v>
      </c>
      <c r="G79">
        <v>61.56</v>
      </c>
      <c r="H79">
        <v>26.49</v>
      </c>
      <c r="I79">
        <v>62.8</v>
      </c>
      <c r="J79">
        <v>67.75</v>
      </c>
      <c r="K79">
        <v>89.79</v>
      </c>
      <c r="L79">
        <v>32.549999999999997</v>
      </c>
      <c r="M79">
        <v>66.3</v>
      </c>
      <c r="N79">
        <v>65.48</v>
      </c>
      <c r="O79">
        <v>54.28</v>
      </c>
      <c r="P79">
        <v>62.2</v>
      </c>
      <c r="Q79">
        <v>18.77</v>
      </c>
      <c r="R79">
        <v>1252.73</v>
      </c>
      <c r="S79">
        <v>33.54</v>
      </c>
      <c r="T79">
        <v>18.71</v>
      </c>
      <c r="U79">
        <v>17.75</v>
      </c>
      <c r="V79">
        <v>37.590000000000003</v>
      </c>
      <c r="W79">
        <v>44.699399999999997</v>
      </c>
      <c r="X79">
        <v>25.62</v>
      </c>
      <c r="Y79">
        <v>51.56</v>
      </c>
      <c r="Z79">
        <v>40.19</v>
      </c>
      <c r="AA79">
        <v>81.92</v>
      </c>
      <c r="AB79">
        <v>57.26</v>
      </c>
      <c r="AC79">
        <v>42.52</v>
      </c>
      <c r="AD79">
        <v>608.89</v>
      </c>
      <c r="AE79">
        <v>675.02</v>
      </c>
      <c r="AF79">
        <v>44.06</v>
      </c>
      <c r="AG79">
        <v>56.872</v>
      </c>
      <c r="AH79">
        <v>47.06</v>
      </c>
      <c r="AI79">
        <v>52.16</v>
      </c>
    </row>
    <row r="80" spans="1:35" x14ac:dyDescent="0.45">
      <c r="A80" s="2">
        <v>45985</v>
      </c>
      <c r="B80">
        <v>33.11</v>
      </c>
      <c r="C80">
        <v>36.61</v>
      </c>
      <c r="D80">
        <v>18.78</v>
      </c>
      <c r="E80">
        <v>24.97</v>
      </c>
      <c r="F80">
        <v>32.94</v>
      </c>
      <c r="G80">
        <v>61.02</v>
      </c>
      <c r="H80">
        <v>26.47</v>
      </c>
      <c r="I80">
        <v>62.51</v>
      </c>
      <c r="J80">
        <v>66.55</v>
      </c>
      <c r="K80">
        <v>90.3</v>
      </c>
      <c r="L80">
        <v>32.200000000000003</v>
      </c>
      <c r="M80">
        <v>65.89</v>
      </c>
      <c r="N80">
        <v>63.99</v>
      </c>
      <c r="O80">
        <v>54.22</v>
      </c>
      <c r="P80">
        <v>61.96</v>
      </c>
      <c r="Q80">
        <v>18.850000000000001</v>
      </c>
      <c r="R80">
        <v>1254.4000000000001</v>
      </c>
      <c r="S80">
        <v>33.76</v>
      </c>
      <c r="T80">
        <v>18.75</v>
      </c>
      <c r="U80">
        <v>17.91</v>
      </c>
      <c r="V80">
        <v>38.159999999999997</v>
      </c>
      <c r="W80">
        <v>44.47</v>
      </c>
      <c r="X80">
        <v>25.44</v>
      </c>
      <c r="Y80">
        <v>51.05</v>
      </c>
      <c r="Z80">
        <v>39.47</v>
      </c>
      <c r="AA80">
        <v>81.739999999999995</v>
      </c>
      <c r="AB80">
        <v>56.39</v>
      </c>
      <c r="AC80">
        <v>41.92</v>
      </c>
      <c r="AD80">
        <v>605.16</v>
      </c>
      <c r="AE80">
        <v>668.73</v>
      </c>
      <c r="AF80">
        <v>43.33</v>
      </c>
      <c r="AG80">
        <v>55.95</v>
      </c>
      <c r="AH80">
        <v>46.26</v>
      </c>
      <c r="AI80">
        <v>51.19</v>
      </c>
    </row>
    <row r="81" spans="1:35" x14ac:dyDescent="0.45">
      <c r="A81" s="2">
        <v>45982</v>
      </c>
      <c r="B81">
        <v>33.06</v>
      </c>
      <c r="C81">
        <v>36.340000000000003</v>
      </c>
      <c r="D81">
        <v>18.37</v>
      </c>
      <c r="E81">
        <v>25.06</v>
      </c>
      <c r="F81">
        <v>33.04</v>
      </c>
      <c r="G81">
        <v>59.64</v>
      </c>
      <c r="H81">
        <v>26.29</v>
      </c>
      <c r="I81">
        <v>61.8</v>
      </c>
      <c r="J81">
        <v>66.040000000000006</v>
      </c>
      <c r="K81">
        <v>89.22</v>
      </c>
      <c r="L81">
        <v>32.03</v>
      </c>
      <c r="M81">
        <v>64.86</v>
      </c>
      <c r="N81">
        <v>64.64</v>
      </c>
      <c r="O81">
        <v>54.21</v>
      </c>
      <c r="P81">
        <v>60.92</v>
      </c>
      <c r="Q81">
        <v>18.68</v>
      </c>
      <c r="R81">
        <v>1281.81</v>
      </c>
      <c r="S81">
        <v>33.78</v>
      </c>
      <c r="T81">
        <v>18.68</v>
      </c>
      <c r="U81">
        <v>17.72</v>
      </c>
      <c r="V81">
        <v>38.28</v>
      </c>
      <c r="W81">
        <v>44.33</v>
      </c>
      <c r="X81">
        <v>25.33</v>
      </c>
      <c r="Y81">
        <v>50.43</v>
      </c>
      <c r="Z81">
        <v>39.4</v>
      </c>
      <c r="AA81">
        <v>81.19</v>
      </c>
      <c r="AB81">
        <v>56.69</v>
      </c>
      <c r="AC81">
        <v>42.06</v>
      </c>
      <c r="AD81">
        <v>590.07000000000005</v>
      </c>
      <c r="AE81">
        <v>659.03</v>
      </c>
      <c r="AF81">
        <v>43.69</v>
      </c>
      <c r="AG81">
        <v>55.92</v>
      </c>
      <c r="AH81">
        <v>46.06</v>
      </c>
      <c r="AI81">
        <v>51.47</v>
      </c>
    </row>
    <row r="82" spans="1:35" x14ac:dyDescent="0.45">
      <c r="A82" s="2">
        <v>45981</v>
      </c>
      <c r="B82">
        <v>33.46</v>
      </c>
      <c r="C82">
        <v>36.590000000000003</v>
      </c>
      <c r="D82">
        <v>18.329999999999998</v>
      </c>
      <c r="E82">
        <v>24.37</v>
      </c>
      <c r="F82">
        <v>32.56</v>
      </c>
      <c r="G82">
        <v>59.5</v>
      </c>
      <c r="H82">
        <v>26.05</v>
      </c>
      <c r="I82">
        <v>61.68</v>
      </c>
      <c r="J82">
        <v>66.02</v>
      </c>
      <c r="K82">
        <v>88.53</v>
      </c>
      <c r="L82">
        <v>31.9</v>
      </c>
      <c r="M82">
        <v>64.930000000000007</v>
      </c>
      <c r="N82">
        <v>62.76</v>
      </c>
      <c r="O82">
        <v>54.72</v>
      </c>
      <c r="P82">
        <v>60.88</v>
      </c>
      <c r="Q82">
        <v>18.614999999999998</v>
      </c>
      <c r="R82">
        <v>1272.17</v>
      </c>
      <c r="S82">
        <v>33.58</v>
      </c>
      <c r="T82">
        <v>18.758199999999999</v>
      </c>
      <c r="U82">
        <v>17.45</v>
      </c>
      <c r="V82">
        <v>38.19</v>
      </c>
      <c r="W82">
        <v>43.75</v>
      </c>
      <c r="X82">
        <v>24.95</v>
      </c>
      <c r="Y82">
        <v>49.91</v>
      </c>
      <c r="Z82">
        <v>38.89</v>
      </c>
      <c r="AA82">
        <v>79.489999999999995</v>
      </c>
      <c r="AB82">
        <v>55.69</v>
      </c>
      <c r="AC82">
        <v>41.34</v>
      </c>
      <c r="AD82">
        <v>585.66999999999996</v>
      </c>
      <c r="AE82">
        <v>652.53</v>
      </c>
      <c r="AF82">
        <v>42.99</v>
      </c>
      <c r="AG82">
        <v>55.52</v>
      </c>
      <c r="AH82">
        <v>45.38</v>
      </c>
      <c r="AI82">
        <v>50.81</v>
      </c>
    </row>
    <row r="83" spans="1:35" x14ac:dyDescent="0.45">
      <c r="A83" s="2">
        <v>45980</v>
      </c>
      <c r="B83">
        <v>33.880000000000003</v>
      </c>
      <c r="C83">
        <v>37.11</v>
      </c>
      <c r="D83">
        <v>18.48</v>
      </c>
      <c r="E83">
        <v>24.23</v>
      </c>
      <c r="F83">
        <v>33.29</v>
      </c>
      <c r="G83">
        <v>61.25</v>
      </c>
      <c r="H83">
        <v>26.33</v>
      </c>
      <c r="I83">
        <v>62.5</v>
      </c>
      <c r="J83">
        <v>66.77</v>
      </c>
      <c r="K83">
        <v>90.56</v>
      </c>
      <c r="L83">
        <v>32.49</v>
      </c>
      <c r="M83">
        <v>66.569999999999993</v>
      </c>
      <c r="N83">
        <v>63.34</v>
      </c>
      <c r="O83">
        <v>54.83</v>
      </c>
      <c r="P83">
        <v>61.91</v>
      </c>
      <c r="Q83">
        <v>18.954999999999998</v>
      </c>
      <c r="R83">
        <v>1270.04</v>
      </c>
      <c r="S83">
        <v>33.659999999999997</v>
      </c>
      <c r="T83">
        <v>18.87</v>
      </c>
      <c r="U83">
        <v>17.61</v>
      </c>
      <c r="V83">
        <v>38.43</v>
      </c>
      <c r="W83">
        <v>43.6663</v>
      </c>
      <c r="X83">
        <v>25.3</v>
      </c>
      <c r="Y83">
        <v>50.62</v>
      </c>
      <c r="Z83">
        <v>39.51</v>
      </c>
      <c r="AA83">
        <v>80.680000000000007</v>
      </c>
      <c r="AB83">
        <v>56.36</v>
      </c>
      <c r="AC83">
        <v>41.73</v>
      </c>
      <c r="AD83">
        <v>599.87</v>
      </c>
      <c r="AE83">
        <v>662.63</v>
      </c>
      <c r="AF83">
        <v>43.44</v>
      </c>
      <c r="AG83">
        <v>57.05</v>
      </c>
      <c r="AH83">
        <v>46.17</v>
      </c>
      <c r="AI83">
        <v>51.34</v>
      </c>
    </row>
    <row r="84" spans="1:35" x14ac:dyDescent="0.45">
      <c r="A84" s="2">
        <v>45979</v>
      </c>
      <c r="B84">
        <v>33.93</v>
      </c>
      <c r="C84">
        <v>36.83</v>
      </c>
      <c r="D84">
        <v>18.260000000000002</v>
      </c>
      <c r="E84">
        <v>24.02</v>
      </c>
      <c r="F84">
        <v>32.869999999999997</v>
      </c>
      <c r="G84">
        <v>60.32</v>
      </c>
      <c r="H84">
        <v>26.16</v>
      </c>
      <c r="I84">
        <v>62.67</v>
      </c>
      <c r="J84">
        <v>66.67</v>
      </c>
      <c r="K84">
        <v>91.59</v>
      </c>
      <c r="L84">
        <v>32.71</v>
      </c>
      <c r="M84">
        <v>66.16</v>
      </c>
      <c r="N84">
        <v>63.2</v>
      </c>
      <c r="O84">
        <v>54.61</v>
      </c>
      <c r="P84">
        <v>62.42</v>
      </c>
      <c r="Q84">
        <v>18.815000000000001</v>
      </c>
      <c r="R84">
        <v>1280.07</v>
      </c>
      <c r="S84">
        <v>33.299999999999997</v>
      </c>
      <c r="T84">
        <v>18.850000000000001</v>
      </c>
      <c r="U84">
        <v>17.73</v>
      </c>
      <c r="V84">
        <v>38.79</v>
      </c>
      <c r="W84">
        <v>44.235900000000001</v>
      </c>
      <c r="X84">
        <v>25.4</v>
      </c>
      <c r="Y84">
        <v>50.53</v>
      </c>
      <c r="Z84">
        <v>39.53</v>
      </c>
      <c r="AA84">
        <v>80.78</v>
      </c>
      <c r="AB84">
        <v>56.58</v>
      </c>
      <c r="AC84">
        <v>42.19</v>
      </c>
      <c r="AD84">
        <v>596.30999999999995</v>
      </c>
      <c r="AE84">
        <v>660.08</v>
      </c>
      <c r="AF84">
        <v>43.63</v>
      </c>
      <c r="AG84">
        <v>56.63</v>
      </c>
      <c r="AH84">
        <v>46.49</v>
      </c>
      <c r="AI84">
        <v>51.81</v>
      </c>
    </row>
    <row r="85" spans="1:35" x14ac:dyDescent="0.45">
      <c r="A85" s="2">
        <v>45978</v>
      </c>
      <c r="B85">
        <v>33.89</v>
      </c>
      <c r="C85">
        <v>37.31</v>
      </c>
      <c r="D85">
        <v>18.38</v>
      </c>
      <c r="E85">
        <v>23.95</v>
      </c>
      <c r="F85">
        <v>33.39</v>
      </c>
      <c r="G85">
        <v>61.163600000000002</v>
      </c>
      <c r="H85">
        <v>26.23</v>
      </c>
      <c r="I85">
        <v>63.16</v>
      </c>
      <c r="J85">
        <v>65.87</v>
      </c>
      <c r="K85">
        <v>93.02</v>
      </c>
      <c r="L85">
        <v>32.78</v>
      </c>
      <c r="M85">
        <v>66.13</v>
      </c>
      <c r="N85">
        <v>64.5</v>
      </c>
      <c r="O85">
        <v>54.65</v>
      </c>
      <c r="P85">
        <v>62.78</v>
      </c>
      <c r="Q85">
        <v>18.89</v>
      </c>
      <c r="R85">
        <v>1269.26</v>
      </c>
      <c r="S85">
        <v>33.08</v>
      </c>
      <c r="T85">
        <v>18.93</v>
      </c>
      <c r="U85">
        <v>17.66</v>
      </c>
      <c r="V85">
        <v>38.450000000000003</v>
      </c>
      <c r="W85">
        <v>44.493200000000002</v>
      </c>
      <c r="X85">
        <v>25.64</v>
      </c>
      <c r="Y85">
        <v>50.34</v>
      </c>
      <c r="Z85">
        <v>40.01</v>
      </c>
      <c r="AA85">
        <v>82.47</v>
      </c>
      <c r="AB85">
        <v>56.81</v>
      </c>
      <c r="AC85">
        <v>42.44</v>
      </c>
      <c r="AD85">
        <v>603.66</v>
      </c>
      <c r="AE85">
        <v>665.67</v>
      </c>
      <c r="AF85">
        <v>44.2</v>
      </c>
      <c r="AG85">
        <v>57.36</v>
      </c>
      <c r="AH85">
        <v>47.22</v>
      </c>
      <c r="AI85">
        <v>52.56</v>
      </c>
    </row>
    <row r="86" spans="1:35" x14ac:dyDescent="0.45">
      <c r="A86" s="2">
        <v>45975</v>
      </c>
      <c r="B86">
        <v>34.19</v>
      </c>
      <c r="C86">
        <v>36.369999999999997</v>
      </c>
      <c r="D86">
        <v>18.38</v>
      </c>
      <c r="E86">
        <v>23.28</v>
      </c>
      <c r="F86">
        <v>34.159999999999997</v>
      </c>
      <c r="G86">
        <v>62.34</v>
      </c>
      <c r="H86">
        <v>26.45</v>
      </c>
      <c r="I86">
        <v>65.17</v>
      </c>
      <c r="J86">
        <v>67.22</v>
      </c>
      <c r="K86">
        <v>94.13</v>
      </c>
      <c r="L86">
        <v>33.18</v>
      </c>
      <c r="M86">
        <v>66.989999999999995</v>
      </c>
      <c r="N86">
        <v>65</v>
      </c>
      <c r="O86">
        <v>54.62</v>
      </c>
      <c r="P86">
        <v>63.5</v>
      </c>
      <c r="Q86">
        <v>19.285</v>
      </c>
      <c r="R86">
        <v>1287.44</v>
      </c>
      <c r="S86">
        <v>32.85</v>
      </c>
      <c r="T86">
        <v>19.170000000000002</v>
      </c>
      <c r="U86">
        <v>17.59</v>
      </c>
      <c r="V86">
        <v>38.83</v>
      </c>
      <c r="W86">
        <v>44.844999999999999</v>
      </c>
      <c r="X86">
        <v>25.95</v>
      </c>
      <c r="Y86">
        <v>50.89</v>
      </c>
      <c r="Z86">
        <v>40.86</v>
      </c>
      <c r="AA86">
        <v>83.98</v>
      </c>
      <c r="AB86">
        <v>57.55</v>
      </c>
      <c r="AC86">
        <v>42.77</v>
      </c>
      <c r="AD86">
        <v>608.86</v>
      </c>
      <c r="AE86">
        <v>671.93</v>
      </c>
      <c r="AF86">
        <v>44.84</v>
      </c>
      <c r="AG86">
        <v>58.13</v>
      </c>
      <c r="AH86">
        <v>47.65</v>
      </c>
      <c r="AI86">
        <v>53.2</v>
      </c>
    </row>
    <row r="87" spans="1:35" x14ac:dyDescent="0.45">
      <c r="A87" s="2">
        <v>45974</v>
      </c>
      <c r="B87">
        <v>34.64</v>
      </c>
      <c r="C87">
        <v>36.71</v>
      </c>
      <c r="D87">
        <v>18.28</v>
      </c>
      <c r="E87">
        <v>23.69</v>
      </c>
      <c r="F87">
        <v>34.130000000000003</v>
      </c>
      <c r="G87">
        <v>62.52</v>
      </c>
      <c r="H87">
        <v>26.5</v>
      </c>
      <c r="I87">
        <v>63.99</v>
      </c>
      <c r="J87">
        <v>67.38</v>
      </c>
      <c r="K87">
        <v>94.07</v>
      </c>
      <c r="L87">
        <v>32.979999999999997</v>
      </c>
      <c r="M87">
        <v>67.83</v>
      </c>
      <c r="N87">
        <v>64.67</v>
      </c>
      <c r="O87">
        <v>54.2</v>
      </c>
      <c r="P87">
        <v>64.459999999999994</v>
      </c>
      <c r="Q87">
        <v>19.25</v>
      </c>
      <c r="R87">
        <v>1284.81</v>
      </c>
      <c r="S87">
        <v>32.78</v>
      </c>
      <c r="T87">
        <v>19.190000000000001</v>
      </c>
      <c r="U87">
        <v>17.420000000000002</v>
      </c>
      <c r="V87">
        <v>38.729999999999997</v>
      </c>
      <c r="W87">
        <v>44.943399999999997</v>
      </c>
      <c r="X87">
        <v>25.94</v>
      </c>
      <c r="Y87">
        <v>50.64</v>
      </c>
      <c r="Z87">
        <v>41.25</v>
      </c>
      <c r="AA87">
        <v>83.01</v>
      </c>
      <c r="AB87">
        <v>57.85</v>
      </c>
      <c r="AC87">
        <v>43.04</v>
      </c>
      <c r="AD87">
        <v>608.4</v>
      </c>
      <c r="AE87">
        <v>672.04</v>
      </c>
      <c r="AF87">
        <v>45.04</v>
      </c>
      <c r="AG87">
        <v>58.61</v>
      </c>
      <c r="AH87">
        <v>48.27</v>
      </c>
      <c r="AI87">
        <v>53.98</v>
      </c>
    </row>
    <row r="88" spans="1:35" x14ac:dyDescent="0.45">
      <c r="A88" s="2">
        <v>45973</v>
      </c>
      <c r="B88">
        <v>34.43</v>
      </c>
      <c r="C88">
        <v>37.26</v>
      </c>
      <c r="D88">
        <v>18.440000000000001</v>
      </c>
      <c r="E88">
        <v>23.6</v>
      </c>
      <c r="F88">
        <v>34.42</v>
      </c>
      <c r="G88">
        <v>64.38</v>
      </c>
      <c r="H88">
        <v>26.53</v>
      </c>
      <c r="I88">
        <v>65.41</v>
      </c>
      <c r="J88">
        <v>68.16</v>
      </c>
      <c r="K88">
        <v>95.92</v>
      </c>
      <c r="L88">
        <v>33.22</v>
      </c>
      <c r="M88">
        <v>68.08</v>
      </c>
      <c r="N88">
        <v>64.319999999999993</v>
      </c>
      <c r="O88">
        <v>54.56</v>
      </c>
      <c r="P88">
        <v>64.58</v>
      </c>
      <c r="Q88">
        <v>19.555</v>
      </c>
      <c r="R88">
        <v>1300.47</v>
      </c>
      <c r="S88">
        <v>33.03</v>
      </c>
      <c r="T88">
        <v>19.48</v>
      </c>
      <c r="U88">
        <v>17.53</v>
      </c>
      <c r="V88">
        <v>39.17</v>
      </c>
      <c r="W88">
        <v>45.657200000000003</v>
      </c>
      <c r="X88">
        <v>26.58</v>
      </c>
      <c r="Y88">
        <v>51.75</v>
      </c>
      <c r="Z88">
        <v>41.68</v>
      </c>
      <c r="AA88">
        <v>84.34</v>
      </c>
      <c r="AB88">
        <v>58.06</v>
      </c>
      <c r="AC88">
        <v>43.51</v>
      </c>
      <c r="AD88">
        <v>621.08000000000004</v>
      </c>
      <c r="AE88">
        <v>683.38</v>
      </c>
      <c r="AF88">
        <v>45.14</v>
      </c>
      <c r="AG88">
        <v>59.03</v>
      </c>
      <c r="AH88">
        <v>48.82</v>
      </c>
      <c r="AI88">
        <v>54.12</v>
      </c>
    </row>
    <row r="89" spans="1:35" x14ac:dyDescent="0.45">
      <c r="A89" s="2">
        <v>45972</v>
      </c>
      <c r="B89">
        <v>34.47</v>
      </c>
      <c r="C89">
        <v>36.5</v>
      </c>
      <c r="D89">
        <v>18.45</v>
      </c>
      <c r="E89">
        <v>23.41</v>
      </c>
      <c r="F89">
        <v>34.56</v>
      </c>
      <c r="G89">
        <v>63.04</v>
      </c>
      <c r="H89">
        <v>26.78</v>
      </c>
      <c r="I89">
        <v>65.39</v>
      </c>
      <c r="J89">
        <v>69.34</v>
      </c>
      <c r="K89">
        <v>95.29</v>
      </c>
      <c r="L89">
        <v>33.49</v>
      </c>
      <c r="M89">
        <v>66.53</v>
      </c>
      <c r="N89">
        <v>63.63</v>
      </c>
      <c r="O89">
        <v>54.74</v>
      </c>
      <c r="P89">
        <v>64.53</v>
      </c>
      <c r="Q89">
        <v>19.6479</v>
      </c>
      <c r="R89">
        <v>1306.26</v>
      </c>
      <c r="S89">
        <v>32.85</v>
      </c>
      <c r="T89">
        <v>19.690000000000001</v>
      </c>
      <c r="U89">
        <v>16.93</v>
      </c>
      <c r="V89">
        <v>39.39</v>
      </c>
      <c r="W89">
        <v>45.674999999999997</v>
      </c>
      <c r="X89">
        <v>26.63</v>
      </c>
      <c r="Y89">
        <v>51.04</v>
      </c>
      <c r="Z89">
        <v>41.23</v>
      </c>
      <c r="AA89">
        <v>83.75</v>
      </c>
      <c r="AB89">
        <v>57.67</v>
      </c>
      <c r="AC89">
        <v>43.65</v>
      </c>
      <c r="AD89">
        <v>621.57000000000005</v>
      </c>
      <c r="AE89">
        <v>683</v>
      </c>
      <c r="AF89">
        <v>44.71</v>
      </c>
      <c r="AG89">
        <v>58.73</v>
      </c>
      <c r="AH89">
        <v>48.48</v>
      </c>
      <c r="AI89">
        <v>53.75</v>
      </c>
    </row>
    <row r="90" spans="1:35" x14ac:dyDescent="0.45">
      <c r="A90" s="2">
        <v>45971</v>
      </c>
      <c r="B90">
        <v>34.770000000000003</v>
      </c>
      <c r="C90">
        <v>36.299999999999997</v>
      </c>
      <c r="D90">
        <v>18.55</v>
      </c>
      <c r="E90">
        <v>23.7</v>
      </c>
      <c r="F90">
        <v>34.44</v>
      </c>
      <c r="G90">
        <v>63.13</v>
      </c>
      <c r="H90">
        <v>26.47</v>
      </c>
      <c r="I90">
        <v>65.75</v>
      </c>
      <c r="J90">
        <v>67.91</v>
      </c>
      <c r="K90">
        <v>95.67</v>
      </c>
      <c r="L90">
        <v>32.72</v>
      </c>
      <c r="M90">
        <v>66.62</v>
      </c>
      <c r="N90">
        <v>63.69</v>
      </c>
      <c r="O90">
        <v>54.15</v>
      </c>
      <c r="P90">
        <v>64.7</v>
      </c>
      <c r="Q90">
        <v>19.48</v>
      </c>
      <c r="R90">
        <v>1302.9100000000001</v>
      </c>
      <c r="S90">
        <v>33.549999999999997</v>
      </c>
      <c r="T90">
        <v>19.53</v>
      </c>
      <c r="U90">
        <v>16.71</v>
      </c>
      <c r="V90">
        <v>39.32</v>
      </c>
      <c r="W90">
        <v>45.684100000000001</v>
      </c>
      <c r="X90">
        <v>26.81</v>
      </c>
      <c r="Y90">
        <v>50.89</v>
      </c>
      <c r="Z90">
        <v>40.96</v>
      </c>
      <c r="AA90">
        <v>83.68</v>
      </c>
      <c r="AB90">
        <v>56.36</v>
      </c>
      <c r="AC90">
        <v>43.44</v>
      </c>
      <c r="AD90">
        <v>623.23</v>
      </c>
      <c r="AE90">
        <v>681.44</v>
      </c>
      <c r="AF90">
        <v>44.19</v>
      </c>
      <c r="AG90">
        <v>58.56</v>
      </c>
      <c r="AH90">
        <v>47.74</v>
      </c>
      <c r="AI90">
        <v>53.15</v>
      </c>
    </row>
    <row r="91" spans="1:35" x14ac:dyDescent="0.45">
      <c r="A91" s="2">
        <v>45968</v>
      </c>
      <c r="B91">
        <v>34.6</v>
      </c>
      <c r="C91">
        <v>35.799999999999997</v>
      </c>
      <c r="D91">
        <v>18.53</v>
      </c>
      <c r="E91">
        <v>23.79</v>
      </c>
      <c r="F91">
        <v>33.840000000000003</v>
      </c>
      <c r="G91">
        <v>61.77</v>
      </c>
      <c r="H91">
        <v>26.23</v>
      </c>
      <c r="I91">
        <v>64.61</v>
      </c>
      <c r="J91">
        <v>67.819999999999993</v>
      </c>
      <c r="K91">
        <v>91.8</v>
      </c>
      <c r="L91">
        <v>32.299999999999997</v>
      </c>
      <c r="M91">
        <v>64.239999999999995</v>
      </c>
      <c r="N91">
        <v>62.35</v>
      </c>
      <c r="O91">
        <v>53.75</v>
      </c>
      <c r="P91">
        <v>63.61</v>
      </c>
      <c r="Q91">
        <v>19.420000000000002</v>
      </c>
      <c r="R91">
        <v>1313.31</v>
      </c>
      <c r="S91">
        <v>33.86</v>
      </c>
      <c r="T91">
        <v>19.43</v>
      </c>
      <c r="U91">
        <v>16.88</v>
      </c>
      <c r="V91">
        <v>39.28</v>
      </c>
      <c r="W91">
        <v>45.580800000000004</v>
      </c>
      <c r="X91">
        <v>26.44</v>
      </c>
      <c r="Y91">
        <v>50.1</v>
      </c>
      <c r="Z91">
        <v>40.479999999999997</v>
      </c>
      <c r="AA91">
        <v>83.29</v>
      </c>
      <c r="AB91">
        <v>55.74</v>
      </c>
      <c r="AC91">
        <v>42.87</v>
      </c>
      <c r="AD91">
        <v>609.74</v>
      </c>
      <c r="AE91">
        <v>670.97</v>
      </c>
      <c r="AF91">
        <v>43.78</v>
      </c>
      <c r="AG91">
        <v>57.74</v>
      </c>
      <c r="AH91">
        <v>47.24</v>
      </c>
      <c r="AI91">
        <v>52.19</v>
      </c>
    </row>
    <row r="92" spans="1:35" x14ac:dyDescent="0.45">
      <c r="A92" s="2">
        <v>45967</v>
      </c>
      <c r="B92">
        <v>34.590000000000003</v>
      </c>
      <c r="C92">
        <v>35.25</v>
      </c>
      <c r="D92">
        <v>18.440000000000001</v>
      </c>
      <c r="E92">
        <v>24.11</v>
      </c>
      <c r="F92">
        <v>33.950000000000003</v>
      </c>
      <c r="G92">
        <v>61.75</v>
      </c>
      <c r="H92">
        <v>26.01</v>
      </c>
      <c r="I92">
        <v>64.94</v>
      </c>
      <c r="J92">
        <v>66.97</v>
      </c>
      <c r="K92">
        <v>93.51</v>
      </c>
      <c r="L92">
        <v>32.04</v>
      </c>
      <c r="M92">
        <v>63.7</v>
      </c>
      <c r="N92">
        <v>62.47</v>
      </c>
      <c r="O92">
        <v>53.62</v>
      </c>
      <c r="P92">
        <v>63.97</v>
      </c>
      <c r="Q92">
        <v>19.46</v>
      </c>
      <c r="R92">
        <v>1295.29</v>
      </c>
      <c r="S92">
        <v>34.25</v>
      </c>
      <c r="T92">
        <v>19.309999999999999</v>
      </c>
      <c r="U92">
        <v>17.32</v>
      </c>
      <c r="V92">
        <v>39.299999999999997</v>
      </c>
      <c r="W92">
        <v>45.333100000000002</v>
      </c>
      <c r="X92">
        <v>26.46</v>
      </c>
      <c r="Y92">
        <v>49.75</v>
      </c>
      <c r="Z92">
        <v>40.39</v>
      </c>
      <c r="AA92">
        <v>82.96</v>
      </c>
      <c r="AB92">
        <v>55.22</v>
      </c>
      <c r="AC92">
        <v>42.62</v>
      </c>
      <c r="AD92">
        <v>611.66999999999996</v>
      </c>
      <c r="AE92">
        <v>670.31</v>
      </c>
      <c r="AF92">
        <v>43.42</v>
      </c>
      <c r="AG92">
        <v>57.96</v>
      </c>
      <c r="AH92">
        <v>46.98</v>
      </c>
      <c r="AI92">
        <v>51.75</v>
      </c>
    </row>
    <row r="93" spans="1:35" x14ac:dyDescent="0.45">
      <c r="A93" s="2">
        <v>45966</v>
      </c>
      <c r="B93">
        <v>34.380000000000003</v>
      </c>
      <c r="C93">
        <v>35.299999999999997</v>
      </c>
      <c r="D93">
        <v>18.54</v>
      </c>
      <c r="E93">
        <v>24.19</v>
      </c>
      <c r="F93">
        <v>33.51</v>
      </c>
      <c r="G93">
        <v>61.39</v>
      </c>
      <c r="H93">
        <v>26.2</v>
      </c>
      <c r="I93">
        <v>66.03</v>
      </c>
      <c r="J93">
        <v>67.180000000000007</v>
      </c>
      <c r="K93">
        <v>96.62</v>
      </c>
      <c r="L93">
        <v>32.1</v>
      </c>
      <c r="M93">
        <v>63.4</v>
      </c>
      <c r="N93">
        <v>62.68</v>
      </c>
      <c r="O93">
        <v>54.3</v>
      </c>
      <c r="P93">
        <v>63.36</v>
      </c>
      <c r="Q93">
        <v>19.414999999999999</v>
      </c>
      <c r="R93">
        <v>1298.5999999999999</v>
      </c>
      <c r="S93">
        <v>34.130000000000003</v>
      </c>
      <c r="T93">
        <v>19.350000000000001</v>
      </c>
      <c r="U93">
        <v>17.57</v>
      </c>
      <c r="V93">
        <v>39.35</v>
      </c>
      <c r="W93">
        <v>45.91</v>
      </c>
      <c r="X93">
        <v>26.67</v>
      </c>
      <c r="Y93">
        <v>50.26</v>
      </c>
      <c r="Z93">
        <v>40.729999999999997</v>
      </c>
      <c r="AA93">
        <v>82.8</v>
      </c>
      <c r="AB93">
        <v>55.4</v>
      </c>
      <c r="AC93">
        <v>42.61</v>
      </c>
      <c r="AD93">
        <v>623.28</v>
      </c>
      <c r="AE93">
        <v>677.58</v>
      </c>
      <c r="AF93">
        <v>43.88</v>
      </c>
      <c r="AG93">
        <v>58.26</v>
      </c>
      <c r="AH93">
        <v>47.29</v>
      </c>
      <c r="AI93">
        <v>52</v>
      </c>
    </row>
    <row r="94" spans="1:35" x14ac:dyDescent="0.45">
      <c r="A94" s="2">
        <v>45965</v>
      </c>
      <c r="B94">
        <v>33.97</v>
      </c>
      <c r="C94">
        <v>34.5</v>
      </c>
      <c r="D94">
        <v>18.36</v>
      </c>
      <c r="E94">
        <v>24.38</v>
      </c>
      <c r="F94">
        <v>33.31</v>
      </c>
      <c r="G94">
        <v>60.31</v>
      </c>
      <c r="H94">
        <v>25.98</v>
      </c>
      <c r="I94">
        <v>65.430000000000007</v>
      </c>
      <c r="J94">
        <v>65.650000000000006</v>
      </c>
      <c r="K94">
        <v>95.76</v>
      </c>
      <c r="L94">
        <v>31.18</v>
      </c>
      <c r="M94">
        <v>61.44</v>
      </c>
      <c r="N94">
        <v>62.17</v>
      </c>
      <c r="O94">
        <v>54.02</v>
      </c>
      <c r="P94">
        <v>62.73</v>
      </c>
      <c r="Q94">
        <v>19.434999999999999</v>
      </c>
      <c r="R94">
        <v>1308.8599999999999</v>
      </c>
      <c r="S94">
        <v>33.909999999999997</v>
      </c>
      <c r="T94">
        <v>19.36</v>
      </c>
      <c r="U94">
        <v>17.53</v>
      </c>
      <c r="V94">
        <v>39.68</v>
      </c>
      <c r="W94">
        <v>45.38</v>
      </c>
      <c r="X94">
        <v>26.41</v>
      </c>
      <c r="Y94">
        <v>49.72</v>
      </c>
      <c r="Z94">
        <v>40.340000000000003</v>
      </c>
      <c r="AA94">
        <v>82.83</v>
      </c>
      <c r="AB94">
        <v>55.06</v>
      </c>
      <c r="AC94">
        <v>42.18</v>
      </c>
      <c r="AD94">
        <v>619.25</v>
      </c>
      <c r="AE94">
        <v>675.24</v>
      </c>
      <c r="AF94">
        <v>43.63</v>
      </c>
      <c r="AG94">
        <v>57.82</v>
      </c>
      <c r="AH94">
        <v>46.87</v>
      </c>
      <c r="AI94">
        <v>51.38</v>
      </c>
    </row>
    <row r="95" spans="1:35" x14ac:dyDescent="0.45">
      <c r="A95" s="2">
        <v>45964</v>
      </c>
      <c r="B95">
        <v>34.377099999999999</v>
      </c>
      <c r="C95">
        <v>35.93</v>
      </c>
      <c r="D95">
        <v>18.45</v>
      </c>
      <c r="E95">
        <v>24.15</v>
      </c>
      <c r="F95">
        <v>33.78</v>
      </c>
      <c r="G95">
        <v>62.16</v>
      </c>
      <c r="H95">
        <v>26.06</v>
      </c>
      <c r="I95">
        <v>66.900000000000006</v>
      </c>
      <c r="J95">
        <v>66.23</v>
      </c>
      <c r="K95">
        <v>100.78</v>
      </c>
      <c r="L95">
        <v>31.52</v>
      </c>
      <c r="M95">
        <v>63.76</v>
      </c>
      <c r="N95">
        <v>63.18</v>
      </c>
      <c r="O95">
        <v>54.24</v>
      </c>
      <c r="P95">
        <v>63.55</v>
      </c>
      <c r="Q95">
        <v>19.315000000000001</v>
      </c>
      <c r="R95">
        <v>1309.5</v>
      </c>
      <c r="S95">
        <v>34.450000000000003</v>
      </c>
      <c r="T95">
        <v>19.579999999999998</v>
      </c>
      <c r="U95">
        <v>17.09</v>
      </c>
      <c r="V95">
        <v>40</v>
      </c>
      <c r="W95">
        <v>45.705599999999997</v>
      </c>
      <c r="X95">
        <v>26.84</v>
      </c>
      <c r="Y95">
        <v>50.67</v>
      </c>
      <c r="Z95">
        <v>40.909999999999997</v>
      </c>
      <c r="AA95">
        <v>83.64</v>
      </c>
      <c r="AB95">
        <v>55.12</v>
      </c>
      <c r="AC95">
        <v>42.53</v>
      </c>
      <c r="AD95">
        <v>632.08000000000004</v>
      </c>
      <c r="AE95">
        <v>683.34</v>
      </c>
      <c r="AF95">
        <v>44.07</v>
      </c>
      <c r="AG95">
        <v>58.68</v>
      </c>
      <c r="AH95">
        <v>47.7</v>
      </c>
      <c r="AI95">
        <v>51.79</v>
      </c>
    </row>
    <row r="96" spans="1:35" x14ac:dyDescent="0.45">
      <c r="A96" s="2">
        <v>45961</v>
      </c>
      <c r="B96">
        <v>34.299999999999997</v>
      </c>
      <c r="C96">
        <v>35.32</v>
      </c>
      <c r="D96">
        <v>18.28</v>
      </c>
      <c r="E96">
        <v>24.55</v>
      </c>
      <c r="F96">
        <v>33.71</v>
      </c>
      <c r="G96">
        <v>62.78</v>
      </c>
      <c r="H96">
        <v>25.85</v>
      </c>
      <c r="I96">
        <v>66.650000000000006</v>
      </c>
      <c r="J96">
        <v>66.53</v>
      </c>
      <c r="K96">
        <v>97</v>
      </c>
      <c r="L96">
        <v>31.17</v>
      </c>
      <c r="M96">
        <v>63.77</v>
      </c>
      <c r="N96">
        <v>62.22</v>
      </c>
      <c r="O96">
        <v>53.97</v>
      </c>
      <c r="P96">
        <v>63.57</v>
      </c>
      <c r="Q96">
        <v>19.3</v>
      </c>
      <c r="R96">
        <v>1314.65</v>
      </c>
      <c r="S96">
        <v>34.15</v>
      </c>
      <c r="T96">
        <v>19.68</v>
      </c>
      <c r="U96">
        <v>17.43</v>
      </c>
      <c r="V96">
        <v>40.28</v>
      </c>
      <c r="W96">
        <v>45.89</v>
      </c>
      <c r="X96">
        <v>26.77</v>
      </c>
      <c r="Y96">
        <v>50.74</v>
      </c>
      <c r="Z96">
        <v>40.729999999999997</v>
      </c>
      <c r="AA96">
        <v>83.45</v>
      </c>
      <c r="AB96">
        <v>55.36</v>
      </c>
      <c r="AC96">
        <v>42.67</v>
      </c>
      <c r="AD96">
        <v>629.07000000000005</v>
      </c>
      <c r="AE96">
        <v>682.06</v>
      </c>
      <c r="AF96">
        <v>44.28</v>
      </c>
      <c r="AG96">
        <v>58.8</v>
      </c>
      <c r="AH96">
        <v>47.99</v>
      </c>
      <c r="AI96">
        <v>51.81</v>
      </c>
    </row>
    <row r="97" spans="1:35" x14ac:dyDescent="0.45">
      <c r="A97" s="2">
        <v>45960</v>
      </c>
      <c r="B97">
        <v>34.9</v>
      </c>
      <c r="C97">
        <v>35.340000000000003</v>
      </c>
      <c r="D97">
        <v>18.27</v>
      </c>
      <c r="E97">
        <v>24.4</v>
      </c>
      <c r="F97">
        <v>34.22</v>
      </c>
      <c r="G97">
        <v>63.11</v>
      </c>
      <c r="H97">
        <v>25.88</v>
      </c>
      <c r="I97">
        <v>66.540000000000006</v>
      </c>
      <c r="J97">
        <v>66.73</v>
      </c>
      <c r="K97">
        <v>95.26</v>
      </c>
      <c r="L97">
        <v>31.05</v>
      </c>
      <c r="M97">
        <v>64.37</v>
      </c>
      <c r="N97">
        <v>62.69</v>
      </c>
      <c r="O97">
        <v>54.27</v>
      </c>
      <c r="P97">
        <v>64.38</v>
      </c>
      <c r="Q97">
        <v>19.289100000000001</v>
      </c>
      <c r="R97">
        <v>1315.64</v>
      </c>
      <c r="S97">
        <v>33.64</v>
      </c>
      <c r="T97">
        <v>20.149999999999999</v>
      </c>
      <c r="U97">
        <v>17.71</v>
      </c>
      <c r="V97">
        <v>40.229999999999997</v>
      </c>
      <c r="W97">
        <v>45.755000000000003</v>
      </c>
      <c r="X97">
        <v>26.89</v>
      </c>
      <c r="Y97">
        <v>50.67</v>
      </c>
      <c r="Z97">
        <v>41</v>
      </c>
      <c r="AA97">
        <v>83.21</v>
      </c>
      <c r="AB97">
        <v>55.6</v>
      </c>
      <c r="AC97">
        <v>42.75</v>
      </c>
      <c r="AD97">
        <v>626.04999999999995</v>
      </c>
      <c r="AE97">
        <v>679.83</v>
      </c>
      <c r="AF97">
        <v>44.44</v>
      </c>
      <c r="AG97">
        <v>59.48</v>
      </c>
      <c r="AH97">
        <v>48.49</v>
      </c>
      <c r="AI97">
        <v>51.82</v>
      </c>
    </row>
    <row r="98" spans="1:35" x14ac:dyDescent="0.45">
      <c r="A98" s="2">
        <v>45959</v>
      </c>
      <c r="B98">
        <v>35.270000000000003</v>
      </c>
      <c r="C98">
        <v>34.97</v>
      </c>
      <c r="D98">
        <v>18.32</v>
      </c>
      <c r="E98">
        <v>24.74</v>
      </c>
      <c r="F98">
        <v>34.53</v>
      </c>
      <c r="G98">
        <v>63.12</v>
      </c>
      <c r="H98">
        <v>25.91</v>
      </c>
      <c r="I98">
        <v>67.13</v>
      </c>
      <c r="J98">
        <v>67.430000000000007</v>
      </c>
      <c r="K98">
        <v>96.9</v>
      </c>
      <c r="L98">
        <v>31.18</v>
      </c>
      <c r="M98">
        <v>64.75</v>
      </c>
      <c r="N98">
        <v>63.76</v>
      </c>
      <c r="O98">
        <v>54.61</v>
      </c>
      <c r="P98">
        <v>65.489999999999995</v>
      </c>
      <c r="Q98">
        <v>19.25</v>
      </c>
      <c r="R98">
        <v>1314.28</v>
      </c>
      <c r="S98">
        <v>33.909999999999997</v>
      </c>
      <c r="T98">
        <v>20</v>
      </c>
      <c r="U98">
        <v>18.149999999999999</v>
      </c>
      <c r="V98">
        <v>41.03</v>
      </c>
      <c r="W98">
        <v>45.674999999999997</v>
      </c>
      <c r="X98">
        <v>27</v>
      </c>
      <c r="Y98">
        <v>50.75</v>
      </c>
      <c r="Z98">
        <v>41.27</v>
      </c>
      <c r="AA98">
        <v>83.23</v>
      </c>
      <c r="AB98">
        <v>55.66</v>
      </c>
      <c r="AC98">
        <v>42.83</v>
      </c>
      <c r="AD98">
        <v>635.77</v>
      </c>
      <c r="AE98">
        <v>687.39</v>
      </c>
      <c r="AF98">
        <v>44.86</v>
      </c>
      <c r="AG98">
        <v>59.366</v>
      </c>
      <c r="AH98">
        <v>48.74</v>
      </c>
      <c r="AI98">
        <v>52.11</v>
      </c>
    </row>
    <row r="99" spans="1:35" x14ac:dyDescent="0.45">
      <c r="A99" s="2">
        <v>45958</v>
      </c>
      <c r="B99">
        <v>34.950000000000003</v>
      </c>
      <c r="C99">
        <v>34.630000000000003</v>
      </c>
      <c r="D99">
        <v>18.05</v>
      </c>
      <c r="E99">
        <v>24.44</v>
      </c>
      <c r="F99">
        <v>34.85</v>
      </c>
      <c r="G99">
        <v>62.53</v>
      </c>
      <c r="H99">
        <v>26.01</v>
      </c>
      <c r="I99">
        <v>67.09</v>
      </c>
      <c r="J99">
        <v>67.099999999999994</v>
      </c>
      <c r="K99">
        <v>94.45</v>
      </c>
      <c r="L99">
        <v>30.92</v>
      </c>
      <c r="M99">
        <v>65.23</v>
      </c>
      <c r="N99">
        <v>62.89</v>
      </c>
      <c r="O99">
        <v>54.54</v>
      </c>
      <c r="P99">
        <v>65.12</v>
      </c>
      <c r="Q99">
        <v>19.195</v>
      </c>
      <c r="R99">
        <v>1323.52</v>
      </c>
      <c r="S99">
        <v>33.979999999999997</v>
      </c>
      <c r="T99">
        <v>20.010000000000002</v>
      </c>
      <c r="U99">
        <v>18.18</v>
      </c>
      <c r="V99">
        <v>40.89</v>
      </c>
      <c r="W99">
        <v>45.844999999999999</v>
      </c>
      <c r="X99">
        <v>27.52</v>
      </c>
      <c r="Y99">
        <v>51.41</v>
      </c>
      <c r="Z99">
        <v>41.72</v>
      </c>
      <c r="AA99">
        <v>83.93</v>
      </c>
      <c r="AB99">
        <v>56.17</v>
      </c>
      <c r="AC99">
        <v>42.92</v>
      </c>
      <c r="AD99">
        <v>632.91999999999996</v>
      </c>
      <c r="AE99">
        <v>687.06</v>
      </c>
      <c r="AF99">
        <v>45.14</v>
      </c>
      <c r="AG99">
        <v>59.01</v>
      </c>
      <c r="AH99">
        <v>49.07</v>
      </c>
      <c r="AI99">
        <v>52.18</v>
      </c>
    </row>
    <row r="100" spans="1:35" x14ac:dyDescent="0.45">
      <c r="A100" s="2">
        <v>45957</v>
      </c>
      <c r="B100">
        <v>34.950000000000003</v>
      </c>
      <c r="C100">
        <v>34.590000000000003</v>
      </c>
      <c r="D100">
        <v>18.09</v>
      </c>
      <c r="E100">
        <v>24.4</v>
      </c>
      <c r="F100">
        <v>34.200000000000003</v>
      </c>
      <c r="G100">
        <v>61.55</v>
      </c>
      <c r="H100">
        <v>25.96</v>
      </c>
      <c r="I100">
        <v>66.98</v>
      </c>
      <c r="J100">
        <v>66.33</v>
      </c>
      <c r="K100">
        <v>94.31</v>
      </c>
      <c r="L100">
        <v>30.77</v>
      </c>
      <c r="M100">
        <v>64.2</v>
      </c>
      <c r="N100">
        <v>63.03</v>
      </c>
      <c r="O100">
        <v>54.72</v>
      </c>
      <c r="P100">
        <v>65.59</v>
      </c>
      <c r="Q100">
        <v>19.195</v>
      </c>
      <c r="R100">
        <v>1313.91</v>
      </c>
      <c r="S100">
        <v>33.89</v>
      </c>
      <c r="T100">
        <v>19.97</v>
      </c>
      <c r="U100">
        <v>17.739999999999998</v>
      </c>
      <c r="V100">
        <v>40.61</v>
      </c>
      <c r="W100">
        <v>45.99</v>
      </c>
      <c r="X100">
        <v>27.37</v>
      </c>
      <c r="Y100">
        <v>50.79</v>
      </c>
      <c r="Z100">
        <v>41.78</v>
      </c>
      <c r="AA100">
        <v>83.53</v>
      </c>
      <c r="AB100">
        <v>56.94</v>
      </c>
      <c r="AC100">
        <v>42.98</v>
      </c>
      <c r="AD100">
        <v>628.09</v>
      </c>
      <c r="AE100">
        <v>685.24</v>
      </c>
      <c r="AF100">
        <v>45.33</v>
      </c>
      <c r="AG100">
        <v>59.564999999999998</v>
      </c>
      <c r="AH100">
        <v>49.23</v>
      </c>
      <c r="AI100">
        <v>51.93</v>
      </c>
    </row>
    <row r="101" spans="1:35" x14ac:dyDescent="0.45">
      <c r="A101" s="2">
        <v>45954</v>
      </c>
      <c r="B101">
        <v>34.479999999999997</v>
      </c>
      <c r="C101">
        <v>34.369999999999997</v>
      </c>
      <c r="D101">
        <v>18.3</v>
      </c>
      <c r="E101">
        <v>24.7</v>
      </c>
      <c r="F101">
        <v>33.909999999999997</v>
      </c>
      <c r="G101">
        <v>61.62</v>
      </c>
      <c r="H101">
        <v>25.69</v>
      </c>
      <c r="I101">
        <v>66.48</v>
      </c>
      <c r="J101">
        <v>65.37</v>
      </c>
      <c r="K101">
        <v>92.05</v>
      </c>
      <c r="L101">
        <v>30.48</v>
      </c>
      <c r="M101">
        <v>65.180000000000007</v>
      </c>
      <c r="N101">
        <v>63.27</v>
      </c>
      <c r="O101">
        <v>54.51</v>
      </c>
      <c r="P101">
        <v>64.510000000000005</v>
      </c>
      <c r="Q101">
        <v>19.29</v>
      </c>
      <c r="R101">
        <v>1302.3499999999999</v>
      </c>
      <c r="S101">
        <v>34.04</v>
      </c>
      <c r="T101">
        <v>19.98</v>
      </c>
      <c r="U101">
        <v>18.21</v>
      </c>
      <c r="V101">
        <v>40.729999999999997</v>
      </c>
      <c r="W101">
        <v>45.615000000000002</v>
      </c>
      <c r="X101">
        <v>27.18</v>
      </c>
      <c r="Y101">
        <v>50.84</v>
      </c>
      <c r="Z101">
        <v>41.59</v>
      </c>
      <c r="AA101">
        <v>82.5</v>
      </c>
      <c r="AB101">
        <v>57.12</v>
      </c>
      <c r="AC101">
        <v>42.78</v>
      </c>
      <c r="AD101">
        <v>617.1</v>
      </c>
      <c r="AE101">
        <v>677.25</v>
      </c>
      <c r="AF101">
        <v>45.11</v>
      </c>
      <c r="AG101">
        <v>58.91</v>
      </c>
      <c r="AH101">
        <v>48.86</v>
      </c>
      <c r="AI101">
        <v>51.27</v>
      </c>
    </row>
    <row r="102" spans="1:35" x14ac:dyDescent="0.45">
      <c r="A102" s="2">
        <v>45953</v>
      </c>
      <c r="B102">
        <v>34.06</v>
      </c>
      <c r="C102">
        <v>34.200000000000003</v>
      </c>
      <c r="D102">
        <v>18.3</v>
      </c>
      <c r="E102">
        <v>24.99</v>
      </c>
      <c r="F102">
        <v>34.17</v>
      </c>
      <c r="G102">
        <v>61.61</v>
      </c>
      <c r="H102">
        <v>25.65</v>
      </c>
      <c r="I102">
        <v>65.709999999999994</v>
      </c>
      <c r="J102">
        <v>66.02</v>
      </c>
      <c r="K102">
        <v>90.07</v>
      </c>
      <c r="L102">
        <v>30.47</v>
      </c>
      <c r="M102">
        <v>64.930000000000007</v>
      </c>
      <c r="N102">
        <v>64.06</v>
      </c>
      <c r="O102">
        <v>54.76</v>
      </c>
      <c r="P102">
        <v>64.11</v>
      </c>
      <c r="Q102">
        <v>19.260000000000002</v>
      </c>
      <c r="R102">
        <v>1290.72</v>
      </c>
      <c r="S102">
        <v>33.11</v>
      </c>
      <c r="T102">
        <v>19.920000000000002</v>
      </c>
      <c r="U102">
        <v>18.29</v>
      </c>
      <c r="V102">
        <v>40.67</v>
      </c>
      <c r="W102">
        <v>45.52</v>
      </c>
      <c r="X102">
        <v>27.19</v>
      </c>
      <c r="Y102">
        <v>50.58</v>
      </c>
      <c r="Z102">
        <v>41.55</v>
      </c>
      <c r="AA102">
        <v>82.22</v>
      </c>
      <c r="AB102">
        <v>57.17</v>
      </c>
      <c r="AC102">
        <v>42.6</v>
      </c>
      <c r="AD102">
        <v>610.58000000000004</v>
      </c>
      <c r="AE102">
        <v>671.76</v>
      </c>
      <c r="AF102">
        <v>45.27</v>
      </c>
      <c r="AG102">
        <v>58.87</v>
      </c>
      <c r="AH102">
        <v>48.65</v>
      </c>
      <c r="AI102">
        <v>51.17</v>
      </c>
    </row>
    <row r="103" spans="1:35" x14ac:dyDescent="0.45">
      <c r="A103" s="2">
        <v>45952</v>
      </c>
      <c r="B103">
        <v>33.86</v>
      </c>
      <c r="C103">
        <v>33.47</v>
      </c>
      <c r="D103">
        <v>17.89</v>
      </c>
      <c r="E103">
        <v>24.82</v>
      </c>
      <c r="F103">
        <v>33.83</v>
      </c>
      <c r="G103">
        <v>60.71</v>
      </c>
      <c r="H103">
        <v>25.47</v>
      </c>
      <c r="I103">
        <v>65.03</v>
      </c>
      <c r="J103">
        <v>65.510000000000005</v>
      </c>
      <c r="K103">
        <v>89.45</v>
      </c>
      <c r="L103">
        <v>30.03</v>
      </c>
      <c r="M103">
        <v>63.58</v>
      </c>
      <c r="N103">
        <v>63.56</v>
      </c>
      <c r="O103">
        <v>55.29</v>
      </c>
      <c r="P103">
        <v>63.03</v>
      </c>
      <c r="Q103">
        <v>19.14</v>
      </c>
      <c r="R103">
        <v>1284.47</v>
      </c>
      <c r="S103">
        <v>32.96</v>
      </c>
      <c r="T103">
        <v>19.690000000000001</v>
      </c>
      <c r="U103">
        <v>18.170000000000002</v>
      </c>
      <c r="V103">
        <v>40.51</v>
      </c>
      <c r="W103">
        <v>45.230899999999998</v>
      </c>
      <c r="X103">
        <v>27.07</v>
      </c>
      <c r="Y103">
        <v>50.2</v>
      </c>
      <c r="Z103">
        <v>41.44</v>
      </c>
      <c r="AA103">
        <v>82.18</v>
      </c>
      <c r="AB103">
        <v>57.14</v>
      </c>
      <c r="AC103">
        <v>42.41</v>
      </c>
      <c r="AD103">
        <v>605.49</v>
      </c>
      <c r="AE103">
        <v>667.8</v>
      </c>
      <c r="AF103">
        <v>44.91</v>
      </c>
      <c r="AG103">
        <v>58.12</v>
      </c>
      <c r="AH103">
        <v>48.36</v>
      </c>
      <c r="AI103">
        <v>50.66</v>
      </c>
    </row>
    <row r="104" spans="1:35" x14ac:dyDescent="0.45">
      <c r="A104" s="2">
        <v>45951</v>
      </c>
      <c r="B104">
        <v>33.880000000000003</v>
      </c>
      <c r="C104">
        <v>33.5</v>
      </c>
      <c r="D104">
        <v>18.170000000000002</v>
      </c>
      <c r="E104">
        <v>25.11</v>
      </c>
      <c r="F104">
        <v>33.1</v>
      </c>
      <c r="G104">
        <v>61.35</v>
      </c>
      <c r="H104">
        <v>25.74</v>
      </c>
      <c r="I104">
        <v>65.78</v>
      </c>
      <c r="J104">
        <v>65.069999999999993</v>
      </c>
      <c r="K104">
        <v>88.64</v>
      </c>
      <c r="L104">
        <v>29.94</v>
      </c>
      <c r="M104">
        <v>63.27</v>
      </c>
      <c r="N104">
        <v>63.28</v>
      </c>
      <c r="O104">
        <v>54.48</v>
      </c>
      <c r="P104">
        <v>63.44</v>
      </c>
      <c r="Q104">
        <v>19.09</v>
      </c>
      <c r="R104">
        <v>1274.6099999999999</v>
      </c>
      <c r="S104">
        <v>32.72</v>
      </c>
      <c r="T104">
        <v>19.579999999999998</v>
      </c>
      <c r="U104">
        <v>18.045000000000002</v>
      </c>
      <c r="V104">
        <v>40.47</v>
      </c>
      <c r="W104">
        <v>45.325000000000003</v>
      </c>
      <c r="X104">
        <v>27.11</v>
      </c>
      <c r="Y104">
        <v>49.99</v>
      </c>
      <c r="Z104">
        <v>41.69</v>
      </c>
      <c r="AA104">
        <v>82.57</v>
      </c>
      <c r="AB104">
        <v>57.11</v>
      </c>
      <c r="AC104">
        <v>41.96</v>
      </c>
      <c r="AD104">
        <v>611.38</v>
      </c>
      <c r="AE104">
        <v>671.29</v>
      </c>
      <c r="AF104">
        <v>44.98</v>
      </c>
      <c r="AG104">
        <v>58.35</v>
      </c>
      <c r="AH104">
        <v>48.54</v>
      </c>
      <c r="AI104">
        <v>51.1</v>
      </c>
    </row>
    <row r="105" spans="1:35" x14ac:dyDescent="0.45">
      <c r="A105" s="2">
        <v>45950</v>
      </c>
      <c r="B105">
        <v>33.64</v>
      </c>
      <c r="C105">
        <v>33.85</v>
      </c>
      <c r="D105">
        <v>17.82</v>
      </c>
      <c r="E105">
        <v>25.33</v>
      </c>
      <c r="F105">
        <v>33.49</v>
      </c>
      <c r="G105">
        <v>64</v>
      </c>
      <c r="H105">
        <v>25.82</v>
      </c>
      <c r="I105">
        <v>66.17</v>
      </c>
      <c r="J105">
        <v>65.94</v>
      </c>
      <c r="K105">
        <v>90.43</v>
      </c>
      <c r="L105">
        <v>30.22</v>
      </c>
      <c r="M105">
        <v>66.209999999999994</v>
      </c>
      <c r="N105">
        <v>62.99</v>
      </c>
      <c r="O105">
        <v>54.74</v>
      </c>
      <c r="P105">
        <v>64.12</v>
      </c>
      <c r="Q105">
        <v>19.135000000000002</v>
      </c>
      <c r="R105">
        <v>1291.46</v>
      </c>
      <c r="S105">
        <v>32.76</v>
      </c>
      <c r="T105">
        <v>19.57</v>
      </c>
      <c r="U105">
        <v>18.2</v>
      </c>
      <c r="V105">
        <v>40.89</v>
      </c>
      <c r="W105">
        <v>45.56</v>
      </c>
      <c r="X105">
        <v>27.26</v>
      </c>
      <c r="Y105">
        <v>50.72</v>
      </c>
      <c r="Z105">
        <v>41.88</v>
      </c>
      <c r="AA105">
        <v>83.54</v>
      </c>
      <c r="AB105">
        <v>57.68</v>
      </c>
      <c r="AC105">
        <v>42.16</v>
      </c>
      <c r="AD105">
        <v>611.54</v>
      </c>
      <c r="AE105">
        <v>671.3</v>
      </c>
      <c r="AF105">
        <v>45.2</v>
      </c>
      <c r="AG105">
        <v>58.85</v>
      </c>
      <c r="AH105">
        <v>48.09</v>
      </c>
      <c r="AI105">
        <v>51.24</v>
      </c>
    </row>
    <row r="106" spans="1:35" x14ac:dyDescent="0.45">
      <c r="A106" s="2">
        <v>45947</v>
      </c>
      <c r="B106">
        <v>33.61</v>
      </c>
      <c r="C106">
        <v>33.36</v>
      </c>
      <c r="D106">
        <v>17.3</v>
      </c>
      <c r="E106">
        <v>25.41</v>
      </c>
      <c r="F106">
        <v>32.92</v>
      </c>
      <c r="G106">
        <v>62.97</v>
      </c>
      <c r="H106">
        <v>25.7</v>
      </c>
      <c r="I106">
        <v>65.09</v>
      </c>
      <c r="J106">
        <v>66.13</v>
      </c>
      <c r="K106">
        <v>88.52</v>
      </c>
      <c r="L106">
        <v>29.71</v>
      </c>
      <c r="M106">
        <v>65.41</v>
      </c>
      <c r="N106">
        <v>62.75</v>
      </c>
      <c r="O106">
        <v>54.45</v>
      </c>
      <c r="P106">
        <v>63.31</v>
      </c>
      <c r="Q106">
        <v>19.085000000000001</v>
      </c>
      <c r="R106">
        <v>1286.69</v>
      </c>
      <c r="S106">
        <v>31.9</v>
      </c>
      <c r="T106">
        <v>19.63</v>
      </c>
      <c r="U106">
        <v>19.2</v>
      </c>
      <c r="V106">
        <v>40.78</v>
      </c>
      <c r="W106">
        <v>45.174999999999997</v>
      </c>
      <c r="X106">
        <v>26.92</v>
      </c>
      <c r="Y106">
        <v>50.28</v>
      </c>
      <c r="Z106">
        <v>41.38</v>
      </c>
      <c r="AA106">
        <v>82</v>
      </c>
      <c r="AB106">
        <v>57.78</v>
      </c>
      <c r="AC106">
        <v>42.07</v>
      </c>
      <c r="AD106">
        <v>603.92999999999995</v>
      </c>
      <c r="AE106">
        <v>664.39</v>
      </c>
      <c r="AF106">
        <v>45.23</v>
      </c>
      <c r="AG106">
        <v>58.65</v>
      </c>
      <c r="AH106">
        <v>47.79</v>
      </c>
      <c r="AI106">
        <v>50.77</v>
      </c>
    </row>
    <row r="107" spans="1:35" x14ac:dyDescent="0.45">
      <c r="A107" s="2">
        <v>45946</v>
      </c>
      <c r="B107">
        <v>34.020000000000003</v>
      </c>
      <c r="C107">
        <v>33.4</v>
      </c>
      <c r="D107">
        <v>17.36</v>
      </c>
      <c r="E107">
        <v>25.42</v>
      </c>
      <c r="F107">
        <v>32.83</v>
      </c>
      <c r="G107">
        <v>64.55</v>
      </c>
      <c r="H107">
        <v>25.58</v>
      </c>
      <c r="I107">
        <v>65.17</v>
      </c>
      <c r="J107">
        <v>67.05</v>
      </c>
      <c r="K107">
        <v>87.88</v>
      </c>
      <c r="L107">
        <v>29.24</v>
      </c>
      <c r="M107">
        <v>67.33</v>
      </c>
      <c r="N107">
        <v>63.87</v>
      </c>
      <c r="O107">
        <v>54.064999999999998</v>
      </c>
      <c r="P107">
        <v>63.4</v>
      </c>
      <c r="Q107">
        <v>19.1356</v>
      </c>
      <c r="R107">
        <v>1266.3800000000001</v>
      </c>
      <c r="S107">
        <v>32.340000000000003</v>
      </c>
      <c r="T107">
        <v>19.47</v>
      </c>
      <c r="U107">
        <v>19.64</v>
      </c>
      <c r="V107">
        <v>40.78</v>
      </c>
      <c r="W107">
        <v>45.42</v>
      </c>
      <c r="X107">
        <v>26.97</v>
      </c>
      <c r="Y107">
        <v>50.62</v>
      </c>
      <c r="Z107">
        <v>41.59</v>
      </c>
      <c r="AA107">
        <v>81.55</v>
      </c>
      <c r="AB107">
        <v>57.47</v>
      </c>
      <c r="AC107">
        <v>41.99</v>
      </c>
      <c r="AD107">
        <v>599.99</v>
      </c>
      <c r="AE107">
        <v>660.64</v>
      </c>
      <c r="AF107">
        <v>45.15</v>
      </c>
      <c r="AG107">
        <v>58.49</v>
      </c>
      <c r="AH107">
        <v>47.8</v>
      </c>
      <c r="AI107">
        <v>50.88</v>
      </c>
    </row>
    <row r="108" spans="1:35" x14ac:dyDescent="0.45">
      <c r="A108" s="2">
        <v>45945</v>
      </c>
      <c r="B108">
        <v>33.99</v>
      </c>
      <c r="C108">
        <v>33.409999999999997</v>
      </c>
      <c r="D108">
        <v>17.21</v>
      </c>
      <c r="E108">
        <v>25.44</v>
      </c>
      <c r="F108">
        <v>32.9</v>
      </c>
      <c r="G108">
        <v>64.099999999999994</v>
      </c>
      <c r="H108">
        <v>25.66</v>
      </c>
      <c r="I108">
        <v>64.989999999999995</v>
      </c>
      <c r="J108">
        <v>65.87</v>
      </c>
      <c r="K108">
        <v>85.17</v>
      </c>
      <c r="L108">
        <v>29.32</v>
      </c>
      <c r="M108">
        <v>66.03</v>
      </c>
      <c r="N108">
        <v>64.67</v>
      </c>
      <c r="O108">
        <v>53.76</v>
      </c>
      <c r="P108">
        <v>63.25</v>
      </c>
      <c r="Q108">
        <v>19.070699999999999</v>
      </c>
      <c r="R108">
        <v>1286.98</v>
      </c>
      <c r="S108">
        <v>32.56</v>
      </c>
      <c r="T108">
        <v>19.47</v>
      </c>
      <c r="U108">
        <v>19.420000000000002</v>
      </c>
      <c r="V108">
        <v>40.89</v>
      </c>
      <c r="W108">
        <v>45.14</v>
      </c>
      <c r="X108">
        <v>26.89</v>
      </c>
      <c r="Y108">
        <v>50.96</v>
      </c>
      <c r="Z108">
        <v>41.53</v>
      </c>
      <c r="AA108">
        <v>81.290000000000006</v>
      </c>
      <c r="AB108">
        <v>56.64</v>
      </c>
      <c r="AC108">
        <v>42.02</v>
      </c>
      <c r="AD108">
        <v>602.22</v>
      </c>
      <c r="AE108">
        <v>665.17</v>
      </c>
      <c r="AF108">
        <v>44.42</v>
      </c>
      <c r="AG108">
        <v>58.27</v>
      </c>
      <c r="AH108">
        <v>47.58</v>
      </c>
      <c r="AI108">
        <v>50.47</v>
      </c>
    </row>
    <row r="109" spans="1:35" x14ac:dyDescent="0.45">
      <c r="A109" s="2">
        <v>45944</v>
      </c>
      <c r="B109">
        <v>33.549999999999997</v>
      </c>
      <c r="C109">
        <v>32.799999999999997</v>
      </c>
      <c r="D109">
        <v>17.22</v>
      </c>
      <c r="E109">
        <v>25.45</v>
      </c>
      <c r="F109">
        <v>32.22</v>
      </c>
      <c r="G109">
        <v>63.3</v>
      </c>
      <c r="H109">
        <v>25.72</v>
      </c>
      <c r="I109">
        <v>63.7</v>
      </c>
      <c r="J109">
        <v>64.84</v>
      </c>
      <c r="K109">
        <v>82.69</v>
      </c>
      <c r="L109">
        <v>29.1</v>
      </c>
      <c r="M109">
        <v>65.31</v>
      </c>
      <c r="N109">
        <v>64.83</v>
      </c>
      <c r="O109">
        <v>52.78</v>
      </c>
      <c r="P109">
        <v>62.58</v>
      </c>
      <c r="Q109">
        <v>19.204999999999998</v>
      </c>
      <c r="R109">
        <v>1313.99</v>
      </c>
      <c r="S109">
        <v>32.35</v>
      </c>
      <c r="T109">
        <v>19.57</v>
      </c>
      <c r="U109">
        <v>19.690000000000001</v>
      </c>
      <c r="V109">
        <v>40.75</v>
      </c>
      <c r="W109">
        <v>45.066499999999998</v>
      </c>
      <c r="X109">
        <v>26.7</v>
      </c>
      <c r="Y109">
        <v>50.53</v>
      </c>
      <c r="Z109">
        <v>41.67</v>
      </c>
      <c r="AA109">
        <v>80.040000000000006</v>
      </c>
      <c r="AB109">
        <v>56.33</v>
      </c>
      <c r="AC109">
        <v>42.06</v>
      </c>
      <c r="AD109">
        <v>598</v>
      </c>
      <c r="AE109">
        <v>662.23</v>
      </c>
      <c r="AF109">
        <v>44.13</v>
      </c>
      <c r="AG109">
        <v>57.76</v>
      </c>
      <c r="AH109">
        <v>47.45</v>
      </c>
      <c r="AI109">
        <v>50.79</v>
      </c>
    </row>
    <row r="110" spans="1:35" x14ac:dyDescent="0.45">
      <c r="A110" s="2">
        <v>45943</v>
      </c>
      <c r="B110">
        <v>33.94</v>
      </c>
      <c r="C110">
        <v>32.119999999999997</v>
      </c>
      <c r="D110">
        <v>17.57</v>
      </c>
      <c r="E110">
        <v>25.3</v>
      </c>
      <c r="F110">
        <v>32.409999999999997</v>
      </c>
      <c r="G110">
        <v>63.41</v>
      </c>
      <c r="H110">
        <v>25.71</v>
      </c>
      <c r="I110">
        <v>64.56</v>
      </c>
      <c r="J110">
        <v>65.47</v>
      </c>
      <c r="K110">
        <v>83.62</v>
      </c>
      <c r="L110">
        <v>29.18</v>
      </c>
      <c r="M110">
        <v>66.010000000000005</v>
      </c>
      <c r="N110">
        <v>65.61</v>
      </c>
      <c r="O110">
        <v>52.97</v>
      </c>
      <c r="P110">
        <v>63.3</v>
      </c>
      <c r="Q110">
        <v>19.254999999999999</v>
      </c>
      <c r="R110">
        <v>1304.92</v>
      </c>
      <c r="S110">
        <v>33.04</v>
      </c>
      <c r="T110">
        <v>19.16</v>
      </c>
      <c r="U110">
        <v>19.59</v>
      </c>
      <c r="V110">
        <v>40.69</v>
      </c>
      <c r="W110">
        <v>45.45</v>
      </c>
      <c r="X110">
        <v>26.66</v>
      </c>
      <c r="Y110">
        <v>50.59</v>
      </c>
      <c r="Z110">
        <v>41.78</v>
      </c>
      <c r="AA110">
        <v>79.290000000000006</v>
      </c>
      <c r="AB110">
        <v>56.08</v>
      </c>
      <c r="AC110">
        <v>41.99</v>
      </c>
      <c r="AD110">
        <v>602.01</v>
      </c>
      <c r="AE110">
        <v>663.04</v>
      </c>
      <c r="AF110">
        <v>43.35</v>
      </c>
      <c r="AG110">
        <v>57.75</v>
      </c>
      <c r="AH110">
        <v>47.32</v>
      </c>
      <c r="AI110">
        <v>50.5</v>
      </c>
    </row>
    <row r="111" spans="1:35" x14ac:dyDescent="0.45">
      <c r="A111" s="2">
        <v>45940</v>
      </c>
      <c r="B111">
        <v>32.92</v>
      </c>
      <c r="C111">
        <v>31.5</v>
      </c>
      <c r="D111">
        <v>17.309999999999999</v>
      </c>
      <c r="E111">
        <v>24.87</v>
      </c>
      <c r="F111">
        <v>31.78</v>
      </c>
      <c r="G111">
        <v>60.91</v>
      </c>
      <c r="H111">
        <v>25.33</v>
      </c>
      <c r="I111">
        <v>61.62</v>
      </c>
      <c r="J111">
        <v>64.39</v>
      </c>
      <c r="K111">
        <v>80.72</v>
      </c>
      <c r="L111">
        <v>28.79</v>
      </c>
      <c r="M111">
        <v>63.32</v>
      </c>
      <c r="N111">
        <v>65.45</v>
      </c>
      <c r="O111">
        <v>52.77</v>
      </c>
      <c r="P111">
        <v>61.39</v>
      </c>
      <c r="Q111">
        <v>19.23</v>
      </c>
      <c r="R111">
        <v>1305.24</v>
      </c>
      <c r="S111">
        <v>32.840000000000003</v>
      </c>
      <c r="T111">
        <v>19</v>
      </c>
      <c r="U111">
        <v>18.98</v>
      </c>
      <c r="V111">
        <v>39.81</v>
      </c>
      <c r="W111">
        <v>45.805</v>
      </c>
      <c r="X111">
        <v>26.44</v>
      </c>
      <c r="Y111">
        <v>49.86</v>
      </c>
      <c r="Z111">
        <v>41.52</v>
      </c>
      <c r="AA111">
        <v>78.36</v>
      </c>
      <c r="AB111">
        <v>56.1</v>
      </c>
      <c r="AC111">
        <v>41.73</v>
      </c>
      <c r="AD111">
        <v>589.5</v>
      </c>
      <c r="AE111">
        <v>653.02</v>
      </c>
      <c r="AF111">
        <v>43.29</v>
      </c>
      <c r="AG111">
        <v>56.64</v>
      </c>
      <c r="AH111">
        <v>46.92</v>
      </c>
      <c r="AI111">
        <v>50.31</v>
      </c>
    </row>
    <row r="112" spans="1:35" x14ac:dyDescent="0.45">
      <c r="A112" s="2">
        <v>45939</v>
      </c>
      <c r="B112">
        <v>34.44</v>
      </c>
      <c r="C112">
        <v>32.520000000000003</v>
      </c>
      <c r="D112">
        <v>17.649999999999999</v>
      </c>
      <c r="E112">
        <v>25.2</v>
      </c>
      <c r="F112">
        <v>32.28</v>
      </c>
      <c r="G112">
        <v>62.65</v>
      </c>
      <c r="H112">
        <v>25.98</v>
      </c>
      <c r="I112">
        <v>64.83</v>
      </c>
      <c r="J112">
        <v>65.42</v>
      </c>
      <c r="K112">
        <v>83.43</v>
      </c>
      <c r="L112">
        <v>29.67</v>
      </c>
      <c r="M112">
        <v>65.06</v>
      </c>
      <c r="N112">
        <v>65.7</v>
      </c>
      <c r="O112">
        <v>52.81</v>
      </c>
      <c r="P112">
        <v>65.12</v>
      </c>
      <c r="Q112">
        <v>19.329999999999998</v>
      </c>
      <c r="R112">
        <v>1285.6400000000001</v>
      </c>
      <c r="S112">
        <v>33.369999999999997</v>
      </c>
      <c r="T112">
        <v>19.25</v>
      </c>
      <c r="U112">
        <v>18.75</v>
      </c>
      <c r="V112">
        <v>40.68</v>
      </c>
      <c r="W112">
        <v>46.575000000000003</v>
      </c>
      <c r="X112">
        <v>26.92</v>
      </c>
      <c r="Y112">
        <v>50.53</v>
      </c>
      <c r="Z112">
        <v>42.09</v>
      </c>
      <c r="AA112">
        <v>81.55</v>
      </c>
      <c r="AB112">
        <v>56.36</v>
      </c>
      <c r="AC112">
        <v>42.07</v>
      </c>
      <c r="AD112">
        <v>610.70000000000005</v>
      </c>
      <c r="AE112">
        <v>671.16</v>
      </c>
      <c r="AF112">
        <v>43.89</v>
      </c>
      <c r="AG112">
        <v>57.89</v>
      </c>
      <c r="AH112">
        <v>47.2</v>
      </c>
      <c r="AI112">
        <v>51.13</v>
      </c>
    </row>
    <row r="113" spans="1:35" x14ac:dyDescent="0.45">
      <c r="A113" s="2">
        <v>45938</v>
      </c>
      <c r="B113">
        <v>34.21</v>
      </c>
      <c r="C113">
        <v>32.79</v>
      </c>
      <c r="D113">
        <v>17.45</v>
      </c>
      <c r="E113">
        <v>25.67</v>
      </c>
      <c r="F113">
        <v>32.619999999999997</v>
      </c>
      <c r="G113">
        <v>63.53</v>
      </c>
      <c r="H113">
        <v>26.02</v>
      </c>
      <c r="I113">
        <v>65.650000000000006</v>
      </c>
      <c r="J113">
        <v>65.73</v>
      </c>
      <c r="K113">
        <v>84.19</v>
      </c>
      <c r="L113">
        <v>29.87</v>
      </c>
      <c r="M113">
        <v>66.8</v>
      </c>
      <c r="N113">
        <v>65.62</v>
      </c>
      <c r="O113">
        <v>52.63</v>
      </c>
      <c r="P113">
        <v>66.13</v>
      </c>
      <c r="Q113">
        <v>19.309999999999999</v>
      </c>
      <c r="R113">
        <v>1293.6099999999999</v>
      </c>
      <c r="S113">
        <v>33.615000000000002</v>
      </c>
      <c r="T113">
        <v>19.29</v>
      </c>
      <c r="U113">
        <v>18.43</v>
      </c>
      <c r="V113">
        <v>40.549999999999997</v>
      </c>
      <c r="W113">
        <v>47.094999999999999</v>
      </c>
      <c r="X113">
        <v>27.23</v>
      </c>
      <c r="Y113">
        <v>51.14</v>
      </c>
      <c r="Z113">
        <v>42.34</v>
      </c>
      <c r="AA113">
        <v>81.75</v>
      </c>
      <c r="AB113">
        <v>56.83</v>
      </c>
      <c r="AC113">
        <v>42.68</v>
      </c>
      <c r="AD113">
        <v>611.44000000000005</v>
      </c>
      <c r="AE113">
        <v>673.11</v>
      </c>
      <c r="AF113">
        <v>44.3</v>
      </c>
      <c r="AG113">
        <v>58.41</v>
      </c>
      <c r="AH113">
        <v>47.88</v>
      </c>
      <c r="AI113">
        <v>52.29</v>
      </c>
    </row>
    <row r="114" spans="1:35" x14ac:dyDescent="0.45">
      <c r="A114" s="2">
        <v>45937</v>
      </c>
      <c r="B114">
        <v>34.26</v>
      </c>
      <c r="C114">
        <v>32.270000000000003</v>
      </c>
      <c r="D114">
        <v>17.43</v>
      </c>
      <c r="E114">
        <v>25.36</v>
      </c>
      <c r="F114">
        <v>32.58</v>
      </c>
      <c r="G114">
        <v>61.87</v>
      </c>
      <c r="H114">
        <v>25.99</v>
      </c>
      <c r="I114">
        <v>64.81</v>
      </c>
      <c r="J114">
        <v>65.040000000000006</v>
      </c>
      <c r="K114">
        <v>83.35</v>
      </c>
      <c r="L114">
        <v>29.68</v>
      </c>
      <c r="M114">
        <v>64.790000000000006</v>
      </c>
      <c r="N114">
        <v>65.33</v>
      </c>
      <c r="O114">
        <v>52.88</v>
      </c>
      <c r="P114">
        <v>65.81</v>
      </c>
      <c r="Q114">
        <v>19.260000000000002</v>
      </c>
      <c r="R114">
        <v>1288.29</v>
      </c>
      <c r="S114">
        <v>33.69</v>
      </c>
      <c r="T114">
        <v>19.13</v>
      </c>
      <c r="U114">
        <v>18.23</v>
      </c>
      <c r="V114">
        <v>40.590000000000003</v>
      </c>
      <c r="W114">
        <v>47.05</v>
      </c>
      <c r="X114">
        <v>27.14</v>
      </c>
      <c r="Y114">
        <v>50.94</v>
      </c>
      <c r="Z114">
        <v>42.07</v>
      </c>
      <c r="AA114">
        <v>81.96</v>
      </c>
      <c r="AB114">
        <v>56.55</v>
      </c>
      <c r="AC114">
        <v>42.45</v>
      </c>
      <c r="AD114">
        <v>604.51</v>
      </c>
      <c r="AE114">
        <v>669.12</v>
      </c>
      <c r="AF114">
        <v>43.79</v>
      </c>
      <c r="AG114">
        <v>58.56</v>
      </c>
      <c r="AH114">
        <v>47.82</v>
      </c>
      <c r="AI114">
        <v>51.94</v>
      </c>
    </row>
    <row r="115" spans="1:35" x14ac:dyDescent="0.45">
      <c r="A115" s="2">
        <v>45936</v>
      </c>
      <c r="B115">
        <v>34.369999999999997</v>
      </c>
      <c r="C115">
        <v>32.049999999999997</v>
      </c>
      <c r="D115">
        <v>17.420000000000002</v>
      </c>
      <c r="E115">
        <v>25.1</v>
      </c>
      <c r="F115">
        <v>32.51</v>
      </c>
      <c r="G115">
        <v>62.71</v>
      </c>
      <c r="H115">
        <v>26.09</v>
      </c>
      <c r="I115">
        <v>65.03</v>
      </c>
      <c r="J115">
        <v>65.44</v>
      </c>
      <c r="K115">
        <v>84.78</v>
      </c>
      <c r="L115">
        <v>30.31</v>
      </c>
      <c r="M115">
        <v>65.319999999999993</v>
      </c>
      <c r="N115">
        <v>65.38</v>
      </c>
      <c r="O115">
        <v>52.76</v>
      </c>
      <c r="P115">
        <v>66.64</v>
      </c>
      <c r="Q115">
        <v>19.215</v>
      </c>
      <c r="R115">
        <v>1275.03</v>
      </c>
      <c r="S115">
        <v>33.47</v>
      </c>
      <c r="T115">
        <v>19.04</v>
      </c>
      <c r="U115">
        <v>18.434999999999999</v>
      </c>
      <c r="V115">
        <v>40.770000000000003</v>
      </c>
      <c r="W115">
        <v>47.134999999999998</v>
      </c>
      <c r="X115">
        <v>27.36</v>
      </c>
      <c r="Y115">
        <v>51.3</v>
      </c>
      <c r="Z115">
        <v>42.42</v>
      </c>
      <c r="AA115">
        <v>83.27</v>
      </c>
      <c r="AB115">
        <v>56.72</v>
      </c>
      <c r="AC115">
        <v>42.58</v>
      </c>
      <c r="AD115">
        <v>607.71</v>
      </c>
      <c r="AE115">
        <v>671.61</v>
      </c>
      <c r="AF115">
        <v>44.19</v>
      </c>
      <c r="AG115">
        <v>59.68</v>
      </c>
      <c r="AH115">
        <v>48.26</v>
      </c>
      <c r="AI115">
        <v>52.26</v>
      </c>
    </row>
    <row r="116" spans="1:35" x14ac:dyDescent="0.45">
      <c r="A116" s="2">
        <v>45933</v>
      </c>
      <c r="B116">
        <v>34.39</v>
      </c>
      <c r="C116">
        <v>32.32</v>
      </c>
      <c r="D116">
        <v>17.43</v>
      </c>
      <c r="E116">
        <v>25.59</v>
      </c>
      <c r="F116">
        <v>32.92</v>
      </c>
      <c r="G116">
        <v>62.31</v>
      </c>
      <c r="H116">
        <v>26.2</v>
      </c>
      <c r="I116">
        <v>64.64</v>
      </c>
      <c r="J116">
        <v>66.81</v>
      </c>
      <c r="K116">
        <v>83.85</v>
      </c>
      <c r="L116">
        <v>30.33</v>
      </c>
      <c r="M116">
        <v>65.06</v>
      </c>
      <c r="N116">
        <v>66.17</v>
      </c>
      <c r="O116">
        <v>52.45</v>
      </c>
      <c r="P116">
        <v>66.55</v>
      </c>
      <c r="Q116">
        <v>19.295000000000002</v>
      </c>
      <c r="R116">
        <v>1274.17</v>
      </c>
      <c r="S116">
        <v>33.74</v>
      </c>
      <c r="T116">
        <v>19.11</v>
      </c>
      <c r="U116">
        <v>17.53</v>
      </c>
      <c r="V116">
        <v>40.49</v>
      </c>
      <c r="W116">
        <v>47.188299999999998</v>
      </c>
      <c r="X116">
        <v>27.43</v>
      </c>
      <c r="Y116">
        <v>51.24</v>
      </c>
      <c r="Z116">
        <v>42.43</v>
      </c>
      <c r="AA116">
        <v>81.78</v>
      </c>
      <c r="AB116">
        <v>56.66</v>
      </c>
      <c r="AC116">
        <v>42.64</v>
      </c>
      <c r="AD116">
        <v>603.17999999999995</v>
      </c>
      <c r="AE116">
        <v>669.21</v>
      </c>
      <c r="AF116">
        <v>44.91</v>
      </c>
      <c r="AG116">
        <v>59.62</v>
      </c>
      <c r="AH116">
        <v>48.2</v>
      </c>
      <c r="AI116">
        <v>52.61</v>
      </c>
    </row>
    <row r="117" spans="1:35" x14ac:dyDescent="0.45">
      <c r="A117" s="2">
        <v>45932</v>
      </c>
      <c r="B117">
        <v>34.5182</v>
      </c>
      <c r="C117">
        <v>32.4</v>
      </c>
      <c r="D117">
        <v>17.440000000000001</v>
      </c>
      <c r="E117">
        <v>25.22</v>
      </c>
      <c r="F117">
        <v>32.81</v>
      </c>
      <c r="G117">
        <v>61.33</v>
      </c>
      <c r="H117">
        <v>26.27</v>
      </c>
      <c r="I117">
        <v>64</v>
      </c>
      <c r="J117">
        <v>66.900000000000006</v>
      </c>
      <c r="K117">
        <v>83.53</v>
      </c>
      <c r="L117">
        <v>30.24</v>
      </c>
      <c r="M117">
        <v>64.209999999999994</v>
      </c>
      <c r="N117">
        <v>65.25</v>
      </c>
      <c r="O117">
        <v>52.3</v>
      </c>
      <c r="P117">
        <v>66.989999999999995</v>
      </c>
      <c r="Q117">
        <v>19.274999999999999</v>
      </c>
      <c r="R117">
        <v>1288.07</v>
      </c>
      <c r="S117">
        <v>34.450000000000003</v>
      </c>
      <c r="T117">
        <v>19.079999999999998</v>
      </c>
      <c r="U117">
        <v>17.515000000000001</v>
      </c>
      <c r="V117">
        <v>40.479999999999997</v>
      </c>
      <c r="W117">
        <v>46.68</v>
      </c>
      <c r="X117">
        <v>27.18</v>
      </c>
      <c r="Y117">
        <v>50.59</v>
      </c>
      <c r="Z117">
        <v>42.47</v>
      </c>
      <c r="AA117">
        <v>80.150000000000006</v>
      </c>
      <c r="AB117">
        <v>56.25</v>
      </c>
      <c r="AC117">
        <v>42.26</v>
      </c>
      <c r="AD117">
        <v>605.73</v>
      </c>
      <c r="AE117">
        <v>669.22</v>
      </c>
      <c r="AF117">
        <v>44.77</v>
      </c>
      <c r="AG117">
        <v>59.51</v>
      </c>
      <c r="AH117">
        <v>47.94</v>
      </c>
      <c r="AI117">
        <v>52.33</v>
      </c>
    </row>
    <row r="118" spans="1:35" x14ac:dyDescent="0.45">
      <c r="A118" s="2">
        <v>45931</v>
      </c>
      <c r="B118">
        <v>34.369500000000002</v>
      </c>
      <c r="C118">
        <v>32.71</v>
      </c>
      <c r="D118">
        <v>17.46</v>
      </c>
      <c r="E118">
        <v>25.2</v>
      </c>
      <c r="F118">
        <v>32.6</v>
      </c>
      <c r="G118">
        <v>61.05</v>
      </c>
      <c r="H118">
        <v>26.21</v>
      </c>
      <c r="I118">
        <v>64.14</v>
      </c>
      <c r="J118">
        <v>66.78</v>
      </c>
      <c r="K118">
        <v>81.89</v>
      </c>
      <c r="L118">
        <v>30.58</v>
      </c>
      <c r="M118">
        <v>64.75</v>
      </c>
      <c r="N118">
        <v>65.56</v>
      </c>
      <c r="O118">
        <v>52.39</v>
      </c>
      <c r="P118">
        <v>66.25</v>
      </c>
      <c r="Q118">
        <v>19.39</v>
      </c>
      <c r="R118">
        <v>1278.74</v>
      </c>
      <c r="S118">
        <v>34.96</v>
      </c>
      <c r="T118">
        <v>18.989999999999998</v>
      </c>
      <c r="U118">
        <v>18.04</v>
      </c>
      <c r="V118">
        <v>40.25</v>
      </c>
      <c r="W118">
        <v>46.711599999999997</v>
      </c>
      <c r="X118">
        <v>27.15</v>
      </c>
      <c r="Y118">
        <v>50.57</v>
      </c>
      <c r="Z118">
        <v>42.13</v>
      </c>
      <c r="AA118">
        <v>80.209999999999994</v>
      </c>
      <c r="AB118">
        <v>55.94</v>
      </c>
      <c r="AC118">
        <v>42.5</v>
      </c>
      <c r="AD118">
        <v>603.25</v>
      </c>
      <c r="AE118">
        <v>668.45</v>
      </c>
      <c r="AF118">
        <v>44.49</v>
      </c>
      <c r="AG118">
        <v>58.84</v>
      </c>
      <c r="AH118">
        <v>47.61</v>
      </c>
      <c r="AI118">
        <v>52.41</v>
      </c>
    </row>
    <row r="119" spans="1:35" x14ac:dyDescent="0.45">
      <c r="A119" s="2">
        <v>45930</v>
      </c>
      <c r="B119">
        <v>34.340000000000003</v>
      </c>
      <c r="C119">
        <v>32.96</v>
      </c>
      <c r="D119">
        <v>17.55</v>
      </c>
      <c r="E119">
        <v>24.84</v>
      </c>
      <c r="F119">
        <v>32.200000000000003</v>
      </c>
      <c r="G119">
        <v>61.5</v>
      </c>
      <c r="H119">
        <v>25.92</v>
      </c>
      <c r="I119">
        <v>63.62</v>
      </c>
      <c r="J119">
        <v>68.209999999999994</v>
      </c>
      <c r="K119">
        <v>80.099999999999994</v>
      </c>
      <c r="L119">
        <v>31</v>
      </c>
      <c r="M119">
        <v>64.099999999999994</v>
      </c>
      <c r="N119">
        <v>64.400000000000006</v>
      </c>
      <c r="O119">
        <v>52.06</v>
      </c>
      <c r="P119">
        <v>65.849999999999994</v>
      </c>
      <c r="Q119">
        <v>19.53</v>
      </c>
      <c r="R119">
        <v>1288.26</v>
      </c>
      <c r="S119">
        <v>34.229999999999997</v>
      </c>
      <c r="T119">
        <v>18.89</v>
      </c>
      <c r="U119">
        <v>17.84</v>
      </c>
      <c r="V119">
        <v>40.58</v>
      </c>
      <c r="W119">
        <v>45.933399999999999</v>
      </c>
      <c r="X119">
        <v>27</v>
      </c>
      <c r="Y119">
        <v>50.55</v>
      </c>
      <c r="Z119">
        <v>41.61</v>
      </c>
      <c r="AA119">
        <v>80.209999999999994</v>
      </c>
      <c r="AB119">
        <v>55.24</v>
      </c>
      <c r="AC119">
        <v>41.97</v>
      </c>
      <c r="AD119">
        <v>600.37</v>
      </c>
      <c r="AE119">
        <v>666.18</v>
      </c>
      <c r="AF119">
        <v>43.93</v>
      </c>
      <c r="AG119">
        <v>58.01</v>
      </c>
      <c r="AH119">
        <v>47.2</v>
      </c>
      <c r="AI119">
        <v>51.95</v>
      </c>
    </row>
    <row r="120" spans="1:35" x14ac:dyDescent="0.45">
      <c r="A120" s="2">
        <v>45929</v>
      </c>
      <c r="B120">
        <v>34.200000000000003</v>
      </c>
      <c r="C120">
        <v>32.85</v>
      </c>
      <c r="D120">
        <v>17.690000000000001</v>
      </c>
      <c r="E120">
        <v>25.04</v>
      </c>
      <c r="F120">
        <v>32.11</v>
      </c>
      <c r="G120">
        <v>60.803600000000003</v>
      </c>
      <c r="H120">
        <v>25.78</v>
      </c>
      <c r="I120">
        <v>63.08</v>
      </c>
      <c r="J120">
        <v>67.459999999999994</v>
      </c>
      <c r="K120">
        <v>80.239999999999995</v>
      </c>
      <c r="L120">
        <v>30.99</v>
      </c>
      <c r="M120">
        <v>63.42</v>
      </c>
      <c r="N120">
        <v>64.27</v>
      </c>
      <c r="O120">
        <v>52.16</v>
      </c>
      <c r="P120">
        <v>65.53</v>
      </c>
      <c r="Q120">
        <v>19.425000000000001</v>
      </c>
      <c r="R120">
        <v>1278.4100000000001</v>
      </c>
      <c r="S120">
        <v>34.57</v>
      </c>
      <c r="T120">
        <v>18.82</v>
      </c>
      <c r="U120">
        <v>17.690000000000001</v>
      </c>
      <c r="V120">
        <v>40.15</v>
      </c>
      <c r="W120">
        <v>45.484999999999999</v>
      </c>
      <c r="X120">
        <v>26.98</v>
      </c>
      <c r="Y120">
        <v>50.46</v>
      </c>
      <c r="Z120">
        <v>41.31</v>
      </c>
      <c r="AA120">
        <v>80.510000000000005</v>
      </c>
      <c r="AB120">
        <v>54.57</v>
      </c>
      <c r="AC120">
        <v>41.63</v>
      </c>
      <c r="AD120">
        <v>598.73</v>
      </c>
      <c r="AE120">
        <v>663.68</v>
      </c>
      <c r="AF120">
        <v>43.78</v>
      </c>
      <c r="AG120">
        <v>57.67</v>
      </c>
      <c r="AH120">
        <v>47.22</v>
      </c>
      <c r="AI120">
        <v>51.5</v>
      </c>
    </row>
    <row r="121" spans="1:35" x14ac:dyDescent="0.45">
      <c r="A121" s="2">
        <v>45926</v>
      </c>
      <c r="B121">
        <v>33.54</v>
      </c>
      <c r="C121">
        <v>33.17</v>
      </c>
      <c r="D121">
        <v>17.600000000000001</v>
      </c>
      <c r="E121">
        <v>25.12</v>
      </c>
      <c r="F121">
        <v>32.17</v>
      </c>
      <c r="G121">
        <v>59.3</v>
      </c>
      <c r="H121">
        <v>25.73</v>
      </c>
      <c r="I121">
        <v>62.74</v>
      </c>
      <c r="J121">
        <v>67.14</v>
      </c>
      <c r="K121">
        <v>78.87</v>
      </c>
      <c r="L121">
        <v>30.73</v>
      </c>
      <c r="M121">
        <v>63.3</v>
      </c>
      <c r="N121">
        <v>63.82</v>
      </c>
      <c r="O121">
        <v>52.25</v>
      </c>
      <c r="P121">
        <v>64.319999999999993</v>
      </c>
      <c r="Q121">
        <v>19.420000000000002</v>
      </c>
      <c r="R121">
        <v>1273.2</v>
      </c>
      <c r="S121">
        <v>34.770000000000003</v>
      </c>
      <c r="T121">
        <v>18.98</v>
      </c>
      <c r="U121">
        <v>17.55</v>
      </c>
      <c r="V121">
        <v>39.950000000000003</v>
      </c>
      <c r="W121">
        <v>45.365000000000002</v>
      </c>
      <c r="X121">
        <v>26.67</v>
      </c>
      <c r="Y121">
        <v>50.02</v>
      </c>
      <c r="Z121">
        <v>41.2</v>
      </c>
      <c r="AA121">
        <v>80.44</v>
      </c>
      <c r="AB121">
        <v>54.26</v>
      </c>
      <c r="AC121">
        <v>41.58</v>
      </c>
      <c r="AD121">
        <v>595.97</v>
      </c>
      <c r="AE121">
        <v>661.82</v>
      </c>
      <c r="AF121">
        <v>43.59</v>
      </c>
      <c r="AG121">
        <v>57.12</v>
      </c>
      <c r="AH121">
        <v>47.2</v>
      </c>
      <c r="AI121">
        <v>51.54</v>
      </c>
    </row>
    <row r="122" spans="1:35" x14ac:dyDescent="0.45">
      <c r="A122" s="2">
        <v>45925</v>
      </c>
      <c r="B122">
        <v>33.880000000000003</v>
      </c>
      <c r="C122">
        <v>33.21</v>
      </c>
      <c r="D122">
        <v>17.41</v>
      </c>
      <c r="E122">
        <v>25.09</v>
      </c>
      <c r="F122">
        <v>31.57</v>
      </c>
      <c r="G122">
        <v>59.78</v>
      </c>
      <c r="H122">
        <v>25.27</v>
      </c>
      <c r="I122">
        <v>63.06</v>
      </c>
      <c r="J122">
        <v>66.180000000000007</v>
      </c>
      <c r="K122">
        <v>79.89</v>
      </c>
      <c r="L122">
        <v>30.58</v>
      </c>
      <c r="M122">
        <v>61.67</v>
      </c>
      <c r="N122">
        <v>63.96</v>
      </c>
      <c r="O122">
        <v>52.49</v>
      </c>
      <c r="P122">
        <v>64.760000000000005</v>
      </c>
      <c r="Q122">
        <v>19.37</v>
      </c>
      <c r="R122">
        <v>1282.54</v>
      </c>
      <c r="S122">
        <v>35.19</v>
      </c>
      <c r="T122">
        <v>18.84</v>
      </c>
      <c r="U122">
        <v>17.670000000000002</v>
      </c>
      <c r="V122">
        <v>39.840000000000003</v>
      </c>
      <c r="W122">
        <v>45.196899999999999</v>
      </c>
      <c r="X122">
        <v>26.47</v>
      </c>
      <c r="Y122">
        <v>50.05</v>
      </c>
      <c r="Z122">
        <v>40.75</v>
      </c>
      <c r="AA122">
        <v>80.459999999999994</v>
      </c>
      <c r="AB122">
        <v>53.86</v>
      </c>
      <c r="AC122">
        <v>41.04</v>
      </c>
      <c r="AD122">
        <v>593.53</v>
      </c>
      <c r="AE122">
        <v>658.05</v>
      </c>
      <c r="AF122">
        <v>43.05</v>
      </c>
      <c r="AG122">
        <v>57.02</v>
      </c>
      <c r="AH122">
        <v>46.62</v>
      </c>
      <c r="AI122">
        <v>50.94</v>
      </c>
    </row>
    <row r="123" spans="1:35" x14ac:dyDescent="0.45">
      <c r="A123" s="2">
        <v>45924</v>
      </c>
      <c r="B123">
        <v>33.680599999999998</v>
      </c>
      <c r="C123">
        <v>33.630000000000003</v>
      </c>
      <c r="D123">
        <v>17.68</v>
      </c>
      <c r="E123">
        <v>25.69</v>
      </c>
      <c r="F123">
        <v>32.090000000000003</v>
      </c>
      <c r="G123">
        <v>59.89</v>
      </c>
      <c r="H123">
        <v>25.33</v>
      </c>
      <c r="I123">
        <v>63.57</v>
      </c>
      <c r="J123">
        <v>66.47</v>
      </c>
      <c r="K123">
        <v>80.040000000000006</v>
      </c>
      <c r="L123">
        <v>31.05</v>
      </c>
      <c r="M123">
        <v>61.97</v>
      </c>
      <c r="N123">
        <v>65</v>
      </c>
      <c r="O123">
        <v>52.74</v>
      </c>
      <c r="P123">
        <v>64.58</v>
      </c>
      <c r="Q123">
        <v>19.565000000000001</v>
      </c>
      <c r="R123">
        <v>1292.72</v>
      </c>
      <c r="S123">
        <v>35.299999999999997</v>
      </c>
      <c r="T123">
        <v>18.68</v>
      </c>
      <c r="U123">
        <v>17.579999999999998</v>
      </c>
      <c r="V123">
        <v>40.54</v>
      </c>
      <c r="W123">
        <v>45.596299999999999</v>
      </c>
      <c r="X123">
        <v>26.47</v>
      </c>
      <c r="Y123">
        <v>50.24</v>
      </c>
      <c r="Z123">
        <v>41.24</v>
      </c>
      <c r="AA123">
        <v>80.849999999999994</v>
      </c>
      <c r="AB123">
        <v>54.51</v>
      </c>
      <c r="AC123">
        <v>41.35</v>
      </c>
      <c r="AD123">
        <v>596.1</v>
      </c>
      <c r="AE123">
        <v>661.1</v>
      </c>
      <c r="AF123">
        <v>43.41</v>
      </c>
      <c r="AG123">
        <v>57.27</v>
      </c>
      <c r="AH123">
        <v>47.01</v>
      </c>
      <c r="AI123">
        <v>51.29</v>
      </c>
    </row>
    <row r="124" spans="1:35" x14ac:dyDescent="0.45">
      <c r="A124" s="2">
        <v>45923</v>
      </c>
      <c r="B124">
        <v>33.47</v>
      </c>
      <c r="C124">
        <v>33.68</v>
      </c>
      <c r="D124">
        <v>17.760000000000002</v>
      </c>
      <c r="E124">
        <v>26.16</v>
      </c>
      <c r="F124">
        <v>32.04</v>
      </c>
      <c r="G124">
        <v>58.88</v>
      </c>
      <c r="H124">
        <v>25.74</v>
      </c>
      <c r="I124">
        <v>64.290000000000006</v>
      </c>
      <c r="J124">
        <v>67.430000000000007</v>
      </c>
      <c r="K124">
        <v>81.45</v>
      </c>
      <c r="L124">
        <v>31.32</v>
      </c>
      <c r="M124">
        <v>62.87</v>
      </c>
      <c r="N124">
        <v>65.23</v>
      </c>
      <c r="O124">
        <v>53.06</v>
      </c>
      <c r="P124">
        <v>63.66</v>
      </c>
      <c r="Q124">
        <v>19.785</v>
      </c>
      <c r="R124">
        <v>1297.01</v>
      </c>
      <c r="S124">
        <v>35.06</v>
      </c>
      <c r="T124">
        <v>19.14</v>
      </c>
      <c r="U124">
        <v>17.29</v>
      </c>
      <c r="V124">
        <v>40.78</v>
      </c>
      <c r="W124">
        <v>45.865900000000003</v>
      </c>
      <c r="X124">
        <v>26.87</v>
      </c>
      <c r="Y124">
        <v>50.53</v>
      </c>
      <c r="Z124">
        <v>41.27</v>
      </c>
      <c r="AA124">
        <v>81.09</v>
      </c>
      <c r="AB124">
        <v>55.24</v>
      </c>
      <c r="AC124">
        <v>41.47</v>
      </c>
      <c r="AD124">
        <v>598.20000000000005</v>
      </c>
      <c r="AE124">
        <v>663.21</v>
      </c>
      <c r="AF124">
        <v>43.89</v>
      </c>
      <c r="AG124">
        <v>57.62</v>
      </c>
      <c r="AH124">
        <v>47.85</v>
      </c>
      <c r="AI124">
        <v>51.51</v>
      </c>
    </row>
    <row r="125" spans="1:35" x14ac:dyDescent="0.45">
      <c r="A125" s="2">
        <v>45922</v>
      </c>
      <c r="B125">
        <v>33.67</v>
      </c>
      <c r="C125">
        <v>33.5</v>
      </c>
      <c r="D125">
        <v>17.73</v>
      </c>
      <c r="E125">
        <v>26.6</v>
      </c>
      <c r="F125">
        <v>32</v>
      </c>
      <c r="G125">
        <v>58.59</v>
      </c>
      <c r="H125">
        <v>25.79</v>
      </c>
      <c r="I125">
        <v>64.02</v>
      </c>
      <c r="J125">
        <v>66.900000000000006</v>
      </c>
      <c r="K125">
        <v>81.56</v>
      </c>
      <c r="L125">
        <v>30.79</v>
      </c>
      <c r="M125">
        <v>62.46</v>
      </c>
      <c r="N125">
        <v>64.760000000000005</v>
      </c>
      <c r="O125">
        <v>53.5</v>
      </c>
      <c r="P125">
        <v>64.430000000000007</v>
      </c>
      <c r="Q125">
        <v>19.940000000000001</v>
      </c>
      <c r="R125">
        <v>1306.69</v>
      </c>
      <c r="S125">
        <v>35.58</v>
      </c>
      <c r="T125">
        <v>19.55</v>
      </c>
      <c r="U125">
        <v>17.53</v>
      </c>
      <c r="V125">
        <v>38.18</v>
      </c>
      <c r="W125">
        <v>46.287199999999999</v>
      </c>
      <c r="X125">
        <v>26.92</v>
      </c>
      <c r="Y125">
        <v>50.88</v>
      </c>
      <c r="Z125">
        <v>41.24</v>
      </c>
      <c r="AA125">
        <v>81.25</v>
      </c>
      <c r="AB125">
        <v>55.57</v>
      </c>
      <c r="AC125">
        <v>41.61</v>
      </c>
      <c r="AD125">
        <v>602.20000000000005</v>
      </c>
      <c r="AE125">
        <v>666.84</v>
      </c>
      <c r="AF125">
        <v>43.78</v>
      </c>
      <c r="AG125">
        <v>57.36</v>
      </c>
      <c r="AH125">
        <v>47.63</v>
      </c>
      <c r="AI125">
        <v>51.74</v>
      </c>
    </row>
    <row r="126" spans="1:35" x14ac:dyDescent="0.45">
      <c r="A126" s="2">
        <v>45919</v>
      </c>
      <c r="B126">
        <v>33.450000000000003</v>
      </c>
      <c r="C126">
        <v>33.590000000000003</v>
      </c>
      <c r="D126">
        <v>17.79</v>
      </c>
      <c r="E126">
        <v>26.8</v>
      </c>
      <c r="F126">
        <v>31.76</v>
      </c>
      <c r="G126">
        <v>57.811199999999999</v>
      </c>
      <c r="H126">
        <v>25.59</v>
      </c>
      <c r="I126">
        <v>63.38</v>
      </c>
      <c r="J126">
        <v>66.099999999999994</v>
      </c>
      <c r="K126">
        <v>80.05</v>
      </c>
      <c r="L126">
        <v>30.93</v>
      </c>
      <c r="M126">
        <v>62.54</v>
      </c>
      <c r="N126">
        <v>64.14</v>
      </c>
      <c r="O126">
        <v>53.94</v>
      </c>
      <c r="P126">
        <v>64.44</v>
      </c>
      <c r="Q126">
        <v>19.940000000000001</v>
      </c>
      <c r="R126">
        <v>1308.19</v>
      </c>
      <c r="S126">
        <v>35.380000000000003</v>
      </c>
      <c r="T126">
        <v>19.47</v>
      </c>
      <c r="U126">
        <v>17.68</v>
      </c>
      <c r="V126">
        <v>37.83</v>
      </c>
      <c r="W126">
        <v>46.41</v>
      </c>
      <c r="X126">
        <v>26.89</v>
      </c>
      <c r="Y126">
        <v>50.73</v>
      </c>
      <c r="Z126">
        <v>41.22</v>
      </c>
      <c r="AA126">
        <v>80.790000000000006</v>
      </c>
      <c r="AB126">
        <v>55.26</v>
      </c>
      <c r="AC126">
        <v>41.36</v>
      </c>
      <c r="AD126">
        <v>599.35</v>
      </c>
      <c r="AE126">
        <v>663.7</v>
      </c>
      <c r="AF126">
        <v>43.68</v>
      </c>
      <c r="AG126">
        <v>56.84</v>
      </c>
      <c r="AH126">
        <v>47.43</v>
      </c>
      <c r="AI126">
        <v>51.37</v>
      </c>
    </row>
    <row r="127" spans="1:35" x14ac:dyDescent="0.45">
      <c r="A127" s="2">
        <v>45918</v>
      </c>
      <c r="B127">
        <v>33.479999999999997</v>
      </c>
      <c r="C127">
        <v>33.6</v>
      </c>
      <c r="D127">
        <v>17.72</v>
      </c>
      <c r="E127">
        <v>26.46</v>
      </c>
      <c r="F127">
        <v>32.07</v>
      </c>
      <c r="G127">
        <v>57.14</v>
      </c>
      <c r="H127">
        <v>25.6</v>
      </c>
      <c r="I127">
        <v>63.77</v>
      </c>
      <c r="J127">
        <v>65.95</v>
      </c>
      <c r="K127">
        <v>80.75</v>
      </c>
      <c r="L127">
        <v>30.82</v>
      </c>
      <c r="M127">
        <v>61.48</v>
      </c>
      <c r="N127">
        <v>64.3</v>
      </c>
      <c r="O127">
        <v>53.74</v>
      </c>
      <c r="P127">
        <v>64.75</v>
      </c>
      <c r="Q127">
        <v>19.940000000000001</v>
      </c>
      <c r="R127">
        <v>1299.78</v>
      </c>
      <c r="S127">
        <v>34.35</v>
      </c>
      <c r="T127">
        <v>19.36</v>
      </c>
      <c r="U127">
        <v>17.8</v>
      </c>
      <c r="V127">
        <v>37.770000000000003</v>
      </c>
      <c r="W127">
        <v>46.255000000000003</v>
      </c>
      <c r="X127">
        <v>26.89</v>
      </c>
      <c r="Y127">
        <v>50.18</v>
      </c>
      <c r="Z127">
        <v>41.45</v>
      </c>
      <c r="AA127">
        <v>81.489999999999995</v>
      </c>
      <c r="AB127">
        <v>55.21</v>
      </c>
      <c r="AC127">
        <v>41.66</v>
      </c>
      <c r="AD127">
        <v>595.32000000000005</v>
      </c>
      <c r="AE127">
        <v>662.26</v>
      </c>
      <c r="AF127">
        <v>43.84</v>
      </c>
      <c r="AG127">
        <v>56.97</v>
      </c>
      <c r="AH127">
        <v>47.56</v>
      </c>
      <c r="AI127">
        <v>51.44</v>
      </c>
    </row>
    <row r="128" spans="1:35" x14ac:dyDescent="0.45">
      <c r="A128" s="2">
        <v>45917</v>
      </c>
      <c r="B128">
        <v>33.96</v>
      </c>
      <c r="C128">
        <v>33.4</v>
      </c>
      <c r="D128">
        <v>17.98</v>
      </c>
      <c r="E128">
        <v>26.55</v>
      </c>
      <c r="F128">
        <v>32.32</v>
      </c>
      <c r="G128">
        <v>57.874499999999998</v>
      </c>
      <c r="H128">
        <v>25.95</v>
      </c>
      <c r="I128">
        <v>63.21</v>
      </c>
      <c r="J128">
        <v>66.53</v>
      </c>
      <c r="K128">
        <v>79.83</v>
      </c>
      <c r="L128">
        <v>30.94</v>
      </c>
      <c r="M128">
        <v>60.86</v>
      </c>
      <c r="N128">
        <v>64.099999999999994</v>
      </c>
      <c r="O128">
        <v>54.02</v>
      </c>
      <c r="P128">
        <v>65.8</v>
      </c>
      <c r="Q128">
        <v>19.850000000000001</v>
      </c>
      <c r="R128">
        <v>1293.6199999999999</v>
      </c>
      <c r="S128">
        <v>34.75</v>
      </c>
      <c r="T128">
        <v>19.16</v>
      </c>
      <c r="U128">
        <v>17.88</v>
      </c>
      <c r="V128">
        <v>37.43</v>
      </c>
      <c r="W128">
        <v>47.045000000000002</v>
      </c>
      <c r="X128">
        <v>27.14</v>
      </c>
      <c r="Y128">
        <v>49.98</v>
      </c>
      <c r="Z128">
        <v>41.06</v>
      </c>
      <c r="AA128">
        <v>81.17</v>
      </c>
      <c r="AB128">
        <v>55.29</v>
      </c>
      <c r="AC128">
        <v>41.79</v>
      </c>
      <c r="AD128">
        <v>590</v>
      </c>
      <c r="AE128">
        <v>659.18</v>
      </c>
      <c r="AF128">
        <v>43.53</v>
      </c>
      <c r="AG128">
        <v>55.8782</v>
      </c>
      <c r="AH128">
        <v>47.17</v>
      </c>
      <c r="AI128">
        <v>51.33</v>
      </c>
    </row>
    <row r="129" spans="1:35" x14ac:dyDescent="0.45">
      <c r="A129" s="2">
        <v>45916</v>
      </c>
      <c r="B129">
        <v>33.770000000000003</v>
      </c>
      <c r="C129">
        <v>33.76</v>
      </c>
      <c r="D129">
        <v>17.850000000000001</v>
      </c>
      <c r="E129">
        <v>26.22</v>
      </c>
      <c r="F129">
        <v>32.51</v>
      </c>
      <c r="G129">
        <v>57.915399999999998</v>
      </c>
      <c r="H129">
        <v>25.54</v>
      </c>
      <c r="I129">
        <v>63.32</v>
      </c>
      <c r="J129">
        <v>66.8</v>
      </c>
      <c r="K129">
        <v>80.69</v>
      </c>
      <c r="L129">
        <v>30.69</v>
      </c>
      <c r="M129">
        <v>61</v>
      </c>
      <c r="N129">
        <v>64.77</v>
      </c>
      <c r="O129">
        <v>53.87</v>
      </c>
      <c r="P129">
        <v>64.86</v>
      </c>
      <c r="Q129">
        <v>19.77</v>
      </c>
      <c r="R129">
        <v>1288.03</v>
      </c>
      <c r="S129">
        <v>34.82</v>
      </c>
      <c r="T129">
        <v>19.32</v>
      </c>
      <c r="U129">
        <v>18.059999999999999</v>
      </c>
      <c r="V129">
        <v>36.9</v>
      </c>
      <c r="W129">
        <v>47.020400000000002</v>
      </c>
      <c r="X129">
        <v>27.38</v>
      </c>
      <c r="Y129">
        <v>50.08</v>
      </c>
      <c r="Z129">
        <v>41.15</v>
      </c>
      <c r="AA129">
        <v>81.349999999999994</v>
      </c>
      <c r="AB129">
        <v>55.48</v>
      </c>
      <c r="AC129">
        <v>41.89</v>
      </c>
      <c r="AD129">
        <v>591.17999999999995</v>
      </c>
      <c r="AE129">
        <v>660</v>
      </c>
      <c r="AF129">
        <v>43.82</v>
      </c>
      <c r="AG129">
        <v>55.71</v>
      </c>
      <c r="AH129">
        <v>47.46</v>
      </c>
      <c r="AI129">
        <v>52.15</v>
      </c>
    </row>
    <row r="130" spans="1:35" x14ac:dyDescent="0.45">
      <c r="A130" s="2">
        <v>45915</v>
      </c>
      <c r="B130">
        <v>33.81</v>
      </c>
      <c r="C130">
        <v>33.799999999999997</v>
      </c>
      <c r="D130">
        <v>17.96</v>
      </c>
      <c r="E130">
        <v>25.71</v>
      </c>
      <c r="F130">
        <v>32.81</v>
      </c>
      <c r="G130">
        <v>58.435400000000001</v>
      </c>
      <c r="H130">
        <v>25.55</v>
      </c>
      <c r="I130">
        <v>63.02</v>
      </c>
      <c r="J130">
        <v>66.77</v>
      </c>
      <c r="K130">
        <v>79.19</v>
      </c>
      <c r="L130">
        <v>30.51</v>
      </c>
      <c r="M130">
        <v>60.93</v>
      </c>
      <c r="N130">
        <v>65.23</v>
      </c>
      <c r="O130">
        <v>53.43</v>
      </c>
      <c r="P130">
        <v>64.430000000000007</v>
      </c>
      <c r="Q130">
        <v>19.55</v>
      </c>
      <c r="R130">
        <v>1278.05</v>
      </c>
      <c r="S130">
        <v>34.24</v>
      </c>
      <c r="T130">
        <v>19.2</v>
      </c>
      <c r="U130">
        <v>18.399999999999999</v>
      </c>
      <c r="V130">
        <v>36.71</v>
      </c>
      <c r="W130">
        <v>47.107199999999999</v>
      </c>
      <c r="X130">
        <v>27.57</v>
      </c>
      <c r="Y130">
        <v>50.13</v>
      </c>
      <c r="Z130">
        <v>41.42</v>
      </c>
      <c r="AA130">
        <v>81.349999999999994</v>
      </c>
      <c r="AB130">
        <v>55.56</v>
      </c>
      <c r="AC130">
        <v>42.09</v>
      </c>
      <c r="AD130">
        <v>591.67999999999995</v>
      </c>
      <c r="AE130">
        <v>660.91</v>
      </c>
      <c r="AF130">
        <v>43.89</v>
      </c>
      <c r="AG130">
        <v>55.75</v>
      </c>
      <c r="AH130">
        <v>47.61</v>
      </c>
      <c r="AI130">
        <v>52.39</v>
      </c>
    </row>
    <row r="131" spans="1:35" x14ac:dyDescent="0.45">
      <c r="A131" s="2">
        <v>45912</v>
      </c>
      <c r="B131">
        <v>33.6</v>
      </c>
      <c r="C131">
        <v>33.22</v>
      </c>
      <c r="D131">
        <v>17.829999999999998</v>
      </c>
      <c r="E131">
        <v>25.8</v>
      </c>
      <c r="F131">
        <v>32.28</v>
      </c>
      <c r="G131">
        <v>57.768000000000001</v>
      </c>
      <c r="H131">
        <v>25.47</v>
      </c>
      <c r="I131">
        <v>62.83</v>
      </c>
      <c r="J131">
        <v>66.12</v>
      </c>
      <c r="K131">
        <v>78.66</v>
      </c>
      <c r="L131">
        <v>30.03</v>
      </c>
      <c r="M131">
        <v>60.57</v>
      </c>
      <c r="N131">
        <v>65.17</v>
      </c>
      <c r="O131">
        <v>53.15</v>
      </c>
      <c r="P131">
        <v>63.95</v>
      </c>
      <c r="Q131">
        <v>19.54</v>
      </c>
      <c r="R131">
        <v>1276.08</v>
      </c>
      <c r="S131">
        <v>32.270000000000003</v>
      </c>
      <c r="T131">
        <v>19.170000000000002</v>
      </c>
      <c r="U131">
        <v>17.97</v>
      </c>
      <c r="V131">
        <v>36.72</v>
      </c>
      <c r="W131">
        <v>46.74</v>
      </c>
      <c r="X131">
        <v>27.24</v>
      </c>
      <c r="Y131">
        <v>49.6</v>
      </c>
      <c r="Z131">
        <v>41.31</v>
      </c>
      <c r="AA131">
        <v>80.760000000000005</v>
      </c>
      <c r="AB131">
        <v>55.65</v>
      </c>
      <c r="AC131">
        <v>41.94</v>
      </c>
      <c r="AD131">
        <v>586.66</v>
      </c>
      <c r="AE131">
        <v>657.41</v>
      </c>
      <c r="AF131">
        <v>43.49</v>
      </c>
      <c r="AG131">
        <v>54.66</v>
      </c>
      <c r="AH131">
        <v>47.24</v>
      </c>
      <c r="AI131">
        <v>51.72</v>
      </c>
    </row>
    <row r="132" spans="1:35" x14ac:dyDescent="0.45">
      <c r="A132" s="2">
        <v>45911</v>
      </c>
      <c r="B132">
        <v>33.94</v>
      </c>
      <c r="C132">
        <v>34.020000000000003</v>
      </c>
      <c r="D132">
        <v>17.64</v>
      </c>
      <c r="E132">
        <v>26</v>
      </c>
      <c r="F132">
        <v>32.6</v>
      </c>
      <c r="G132">
        <v>57.547199999999997</v>
      </c>
      <c r="H132">
        <v>25.33</v>
      </c>
      <c r="I132">
        <v>62.74</v>
      </c>
      <c r="J132">
        <v>65.709999999999994</v>
      </c>
      <c r="K132">
        <v>77.86</v>
      </c>
      <c r="L132">
        <v>30.05</v>
      </c>
      <c r="M132">
        <v>60.56</v>
      </c>
      <c r="N132">
        <v>64.22</v>
      </c>
      <c r="O132">
        <v>53.24</v>
      </c>
      <c r="P132">
        <v>64.209999999999994</v>
      </c>
      <c r="Q132">
        <v>19.579999999999998</v>
      </c>
      <c r="R132">
        <v>1266.1099999999999</v>
      </c>
      <c r="S132">
        <v>32.32</v>
      </c>
      <c r="T132">
        <v>19.010000000000002</v>
      </c>
      <c r="U132">
        <v>18.03</v>
      </c>
      <c r="V132">
        <v>36.799999999999997</v>
      </c>
      <c r="W132">
        <v>47.225000000000001</v>
      </c>
      <c r="X132">
        <v>27.41</v>
      </c>
      <c r="Y132">
        <v>49.92</v>
      </c>
      <c r="Z132">
        <v>41.39</v>
      </c>
      <c r="AA132">
        <v>81.319999999999993</v>
      </c>
      <c r="AB132">
        <v>56.12</v>
      </c>
      <c r="AC132">
        <v>42.19</v>
      </c>
      <c r="AD132">
        <v>584.08000000000004</v>
      </c>
      <c r="AE132">
        <v>657.63</v>
      </c>
      <c r="AF132">
        <v>43.53</v>
      </c>
      <c r="AG132">
        <v>54.46</v>
      </c>
      <c r="AH132">
        <v>47.33</v>
      </c>
      <c r="AI132">
        <v>51.6</v>
      </c>
    </row>
    <row r="133" spans="1:35" x14ac:dyDescent="0.45">
      <c r="A133" s="2">
        <v>45910</v>
      </c>
      <c r="B133">
        <v>32.840000000000003</v>
      </c>
      <c r="C133">
        <v>32.89</v>
      </c>
      <c r="D133">
        <v>17.329999999999998</v>
      </c>
      <c r="E133">
        <v>25.92</v>
      </c>
      <c r="F133">
        <v>31.83</v>
      </c>
      <c r="G133">
        <v>56.45</v>
      </c>
      <c r="H133">
        <v>25.17</v>
      </c>
      <c r="I133">
        <v>62.56</v>
      </c>
      <c r="J133">
        <v>64.28</v>
      </c>
      <c r="K133">
        <v>76.650000000000006</v>
      </c>
      <c r="L133">
        <v>29.79</v>
      </c>
      <c r="M133">
        <v>59.73</v>
      </c>
      <c r="N133">
        <v>63.64</v>
      </c>
      <c r="O133">
        <v>53.16</v>
      </c>
      <c r="P133">
        <v>62.54</v>
      </c>
      <c r="Q133">
        <v>19.53</v>
      </c>
      <c r="R133">
        <v>1264.8</v>
      </c>
      <c r="S133">
        <v>32.92</v>
      </c>
      <c r="T133">
        <v>18.850000000000001</v>
      </c>
      <c r="U133">
        <v>17.75</v>
      </c>
      <c r="V133">
        <v>36.799999999999997</v>
      </c>
      <c r="W133">
        <v>46.85</v>
      </c>
      <c r="X133">
        <v>27.11</v>
      </c>
      <c r="Y133">
        <v>49.42</v>
      </c>
      <c r="Z133">
        <v>41.07</v>
      </c>
      <c r="AA133">
        <v>80.36</v>
      </c>
      <c r="AB133">
        <v>55.62</v>
      </c>
      <c r="AC133">
        <v>41.74</v>
      </c>
      <c r="AD133">
        <v>580.70000000000005</v>
      </c>
      <c r="AE133">
        <v>652.21</v>
      </c>
      <c r="AF133">
        <v>42.9</v>
      </c>
      <c r="AG133">
        <v>53.79</v>
      </c>
      <c r="AH133">
        <v>47.1</v>
      </c>
      <c r="AI133">
        <v>50.93</v>
      </c>
    </row>
    <row r="134" spans="1:35" x14ac:dyDescent="0.45">
      <c r="A134" s="2">
        <v>45909</v>
      </c>
      <c r="B134">
        <v>32.94</v>
      </c>
      <c r="C134">
        <v>32.695</v>
      </c>
      <c r="D134">
        <v>17.059999999999999</v>
      </c>
      <c r="E134">
        <v>26.09</v>
      </c>
      <c r="F134">
        <v>32.380000000000003</v>
      </c>
      <c r="G134">
        <v>56</v>
      </c>
      <c r="H134">
        <v>25.17</v>
      </c>
      <c r="I134">
        <v>61.62</v>
      </c>
      <c r="J134">
        <v>64.260000000000005</v>
      </c>
      <c r="K134">
        <v>74.92</v>
      </c>
      <c r="L134">
        <v>29.54</v>
      </c>
      <c r="M134">
        <v>59.03</v>
      </c>
      <c r="N134">
        <v>63.6</v>
      </c>
      <c r="O134">
        <v>52.71</v>
      </c>
      <c r="P134">
        <v>62.97</v>
      </c>
      <c r="Q134">
        <v>19.37</v>
      </c>
      <c r="R134">
        <v>1252.55</v>
      </c>
      <c r="S134">
        <v>32.68</v>
      </c>
      <c r="T134">
        <v>18.91</v>
      </c>
      <c r="U134">
        <v>17.670000000000002</v>
      </c>
      <c r="V134">
        <v>36.76</v>
      </c>
      <c r="W134">
        <v>46.655000000000001</v>
      </c>
      <c r="X134">
        <v>26.89</v>
      </c>
      <c r="Y134">
        <v>49.27</v>
      </c>
      <c r="Z134">
        <v>41.48</v>
      </c>
      <c r="AA134">
        <v>80.06</v>
      </c>
      <c r="AB134">
        <v>56.02</v>
      </c>
      <c r="AC134">
        <v>41.75</v>
      </c>
      <c r="AD134">
        <v>580.51</v>
      </c>
      <c r="AE134">
        <v>650.33000000000004</v>
      </c>
      <c r="AF134">
        <v>43.06</v>
      </c>
      <c r="AG134">
        <v>54.12</v>
      </c>
      <c r="AH134">
        <v>47.3</v>
      </c>
      <c r="AI134">
        <v>50.86</v>
      </c>
    </row>
    <row r="135" spans="1:35" x14ac:dyDescent="0.45">
      <c r="A135" s="2">
        <v>45908</v>
      </c>
      <c r="B135">
        <v>33.14</v>
      </c>
      <c r="C135">
        <v>33.229999999999997</v>
      </c>
      <c r="D135">
        <v>17.5</v>
      </c>
      <c r="E135">
        <v>26.09</v>
      </c>
      <c r="F135">
        <v>32.880000000000003</v>
      </c>
      <c r="G135">
        <v>56.647500000000001</v>
      </c>
      <c r="H135">
        <v>25.12</v>
      </c>
      <c r="I135">
        <v>60.98</v>
      </c>
      <c r="J135">
        <v>64.150000000000006</v>
      </c>
      <c r="K135">
        <v>74.19</v>
      </c>
      <c r="L135">
        <v>29.58</v>
      </c>
      <c r="M135">
        <v>59.34</v>
      </c>
      <c r="N135">
        <v>63.86</v>
      </c>
      <c r="O135">
        <v>52.89</v>
      </c>
      <c r="P135">
        <v>62.3</v>
      </c>
      <c r="Q135">
        <v>19.63</v>
      </c>
      <c r="R135">
        <v>1259.31</v>
      </c>
      <c r="S135">
        <v>32.54</v>
      </c>
      <c r="T135">
        <v>18.940000000000001</v>
      </c>
      <c r="U135">
        <v>17.37</v>
      </c>
      <c r="V135">
        <v>36.69</v>
      </c>
      <c r="W135">
        <v>46.74</v>
      </c>
      <c r="X135">
        <v>27</v>
      </c>
      <c r="Y135">
        <v>49.3</v>
      </c>
      <c r="Z135">
        <v>41.69</v>
      </c>
      <c r="AA135">
        <v>80.959999999999994</v>
      </c>
      <c r="AB135">
        <v>56.33</v>
      </c>
      <c r="AC135">
        <v>41.71</v>
      </c>
      <c r="AD135">
        <v>578.87</v>
      </c>
      <c r="AE135">
        <v>648.83000000000004</v>
      </c>
      <c r="AF135">
        <v>42.99</v>
      </c>
      <c r="AG135">
        <v>54.17</v>
      </c>
      <c r="AH135">
        <v>47.42</v>
      </c>
      <c r="AI135">
        <v>50.64</v>
      </c>
    </row>
    <row r="136" spans="1:35" x14ac:dyDescent="0.45">
      <c r="A136" s="2">
        <v>45905</v>
      </c>
      <c r="B136">
        <v>33.020000000000003</v>
      </c>
      <c r="C136">
        <v>33.83</v>
      </c>
      <c r="D136">
        <v>17.93</v>
      </c>
      <c r="E136">
        <v>26.06</v>
      </c>
      <c r="F136">
        <v>32.14</v>
      </c>
      <c r="G136">
        <v>56.5</v>
      </c>
      <c r="H136">
        <v>25.03</v>
      </c>
      <c r="I136">
        <v>60.21</v>
      </c>
      <c r="J136">
        <v>63.83</v>
      </c>
      <c r="K136">
        <v>73.63</v>
      </c>
      <c r="L136">
        <v>29.63</v>
      </c>
      <c r="M136">
        <v>57.92</v>
      </c>
      <c r="N136">
        <v>63.4</v>
      </c>
      <c r="O136">
        <v>52.48</v>
      </c>
      <c r="P136">
        <v>61.35</v>
      </c>
      <c r="Q136">
        <v>19.690000000000001</v>
      </c>
      <c r="R136">
        <v>1248.78</v>
      </c>
      <c r="S136">
        <v>33.33</v>
      </c>
      <c r="T136">
        <v>19.16</v>
      </c>
      <c r="U136">
        <v>17.97</v>
      </c>
      <c r="V136">
        <v>37.200000000000003</v>
      </c>
      <c r="W136">
        <v>46.13</v>
      </c>
      <c r="X136">
        <v>26.93</v>
      </c>
      <c r="Y136">
        <v>49.17</v>
      </c>
      <c r="Z136">
        <v>41.34</v>
      </c>
      <c r="AA136">
        <v>79.180000000000007</v>
      </c>
      <c r="AB136">
        <v>56.25</v>
      </c>
      <c r="AC136">
        <v>41.55</v>
      </c>
      <c r="AD136">
        <v>576.05999999999995</v>
      </c>
      <c r="AE136">
        <v>647.24</v>
      </c>
      <c r="AF136">
        <v>42.56</v>
      </c>
      <c r="AG136">
        <v>53.47</v>
      </c>
      <c r="AH136">
        <v>47.01</v>
      </c>
      <c r="AI136">
        <v>50.46</v>
      </c>
    </row>
    <row r="137" spans="1:35" x14ac:dyDescent="0.45">
      <c r="A137" s="2">
        <v>45904</v>
      </c>
      <c r="B137">
        <v>32.229999999999997</v>
      </c>
      <c r="C137">
        <v>33.4</v>
      </c>
      <c r="D137">
        <v>17.77</v>
      </c>
      <c r="E137">
        <v>25.78</v>
      </c>
      <c r="F137">
        <v>32.130000000000003</v>
      </c>
      <c r="G137">
        <v>55.73</v>
      </c>
      <c r="H137">
        <v>24.97</v>
      </c>
      <c r="I137">
        <v>59.3</v>
      </c>
      <c r="J137">
        <v>63.07</v>
      </c>
      <c r="K137">
        <v>73.069999999999993</v>
      </c>
      <c r="L137">
        <v>29.17</v>
      </c>
      <c r="M137">
        <v>56.57</v>
      </c>
      <c r="N137">
        <v>63.26</v>
      </c>
      <c r="O137">
        <v>52.59</v>
      </c>
      <c r="P137">
        <v>60.3</v>
      </c>
      <c r="Q137">
        <v>19.7</v>
      </c>
      <c r="R137">
        <v>1244.48</v>
      </c>
      <c r="S137">
        <v>33.729999999999997</v>
      </c>
      <c r="T137">
        <v>19.2</v>
      </c>
      <c r="U137">
        <v>18.43</v>
      </c>
      <c r="V137">
        <v>37.35</v>
      </c>
      <c r="W137">
        <v>45.37</v>
      </c>
      <c r="X137">
        <v>26.9</v>
      </c>
      <c r="Y137">
        <v>49.12</v>
      </c>
      <c r="Z137">
        <v>41.34</v>
      </c>
      <c r="AA137">
        <v>78.73</v>
      </c>
      <c r="AB137">
        <v>55.71</v>
      </c>
      <c r="AC137">
        <v>41.39</v>
      </c>
      <c r="AD137">
        <v>575.23</v>
      </c>
      <c r="AE137">
        <v>649.12</v>
      </c>
      <c r="AF137">
        <v>42.56</v>
      </c>
      <c r="AG137">
        <v>52.87</v>
      </c>
      <c r="AH137">
        <v>46.26</v>
      </c>
      <c r="AI137">
        <v>50.65</v>
      </c>
    </row>
    <row r="138" spans="1:35" x14ac:dyDescent="0.45">
      <c r="A138" s="2">
        <v>45903</v>
      </c>
      <c r="B138">
        <v>32.94</v>
      </c>
      <c r="C138">
        <v>33.049999999999997</v>
      </c>
      <c r="D138">
        <v>17.809999999999999</v>
      </c>
      <c r="E138">
        <v>25.58</v>
      </c>
      <c r="F138">
        <v>31.52</v>
      </c>
      <c r="G138">
        <v>56.01</v>
      </c>
      <c r="H138">
        <v>24.87</v>
      </c>
      <c r="I138">
        <v>58.73</v>
      </c>
      <c r="J138">
        <v>62.8</v>
      </c>
      <c r="K138">
        <v>72.91</v>
      </c>
      <c r="L138">
        <v>28.99</v>
      </c>
      <c r="M138">
        <v>57.7</v>
      </c>
      <c r="N138">
        <v>63.4</v>
      </c>
      <c r="O138">
        <v>52.62</v>
      </c>
      <c r="P138">
        <v>61.33</v>
      </c>
      <c r="Q138">
        <v>19.86</v>
      </c>
      <c r="R138">
        <v>1236.6099999999999</v>
      </c>
      <c r="S138">
        <v>33.51</v>
      </c>
      <c r="T138">
        <v>19.03</v>
      </c>
      <c r="U138">
        <v>18.25</v>
      </c>
      <c r="V138">
        <v>37.11</v>
      </c>
      <c r="W138">
        <v>45.494999999999997</v>
      </c>
      <c r="X138">
        <v>26.6</v>
      </c>
      <c r="Y138">
        <v>48.87</v>
      </c>
      <c r="Z138">
        <v>41.05</v>
      </c>
      <c r="AA138">
        <v>77.930000000000007</v>
      </c>
      <c r="AB138">
        <v>55.08</v>
      </c>
      <c r="AC138">
        <v>41.18</v>
      </c>
      <c r="AD138">
        <v>570.07000000000005</v>
      </c>
      <c r="AE138">
        <v>643.74</v>
      </c>
      <c r="AF138">
        <v>42.54</v>
      </c>
      <c r="AG138">
        <v>52.22</v>
      </c>
      <c r="AH138">
        <v>46.18</v>
      </c>
      <c r="AI138">
        <v>50.38</v>
      </c>
    </row>
    <row r="139" spans="1:35" x14ac:dyDescent="0.45">
      <c r="A139" s="2">
        <v>45902</v>
      </c>
      <c r="B139">
        <v>33.200000000000003</v>
      </c>
      <c r="C139">
        <v>32.729999999999997</v>
      </c>
      <c r="D139">
        <v>17.739999999999998</v>
      </c>
      <c r="E139">
        <v>25.68</v>
      </c>
      <c r="F139">
        <v>31.29</v>
      </c>
      <c r="G139">
        <v>54.91</v>
      </c>
      <c r="H139">
        <v>24.73</v>
      </c>
      <c r="I139">
        <v>58.05</v>
      </c>
      <c r="J139">
        <v>62.91</v>
      </c>
      <c r="K139">
        <v>71.92</v>
      </c>
      <c r="L139">
        <v>29</v>
      </c>
      <c r="M139">
        <v>57.25</v>
      </c>
      <c r="N139">
        <v>62.28</v>
      </c>
      <c r="O139">
        <v>52.35</v>
      </c>
      <c r="P139">
        <v>61.64</v>
      </c>
      <c r="Q139">
        <v>19.73</v>
      </c>
      <c r="R139">
        <v>1250.0899999999999</v>
      </c>
      <c r="S139">
        <v>33.97</v>
      </c>
      <c r="T139">
        <v>19.14</v>
      </c>
      <c r="U139">
        <v>18.14</v>
      </c>
      <c r="V139">
        <v>37.21</v>
      </c>
      <c r="W139">
        <v>45.380099999999999</v>
      </c>
      <c r="X139">
        <v>26.77</v>
      </c>
      <c r="Y139">
        <v>48.59</v>
      </c>
      <c r="Z139">
        <v>41.04</v>
      </c>
      <c r="AA139">
        <v>78.150000000000006</v>
      </c>
      <c r="AB139">
        <v>54.67</v>
      </c>
      <c r="AC139">
        <v>40.9</v>
      </c>
      <c r="AD139">
        <v>565.62</v>
      </c>
      <c r="AE139">
        <v>640.27</v>
      </c>
      <c r="AF139">
        <v>42.29</v>
      </c>
      <c r="AG139">
        <v>51.94</v>
      </c>
      <c r="AH139">
        <v>45.89</v>
      </c>
      <c r="AI139">
        <v>50.4</v>
      </c>
    </row>
    <row r="140" spans="1:35" x14ac:dyDescent="0.45">
      <c r="A140" s="2">
        <v>45898</v>
      </c>
      <c r="B140">
        <v>33.47</v>
      </c>
      <c r="C140">
        <v>32.81</v>
      </c>
      <c r="D140">
        <v>17.670000000000002</v>
      </c>
      <c r="E140">
        <v>26.15</v>
      </c>
      <c r="F140">
        <v>31.7</v>
      </c>
      <c r="G140">
        <v>53.8</v>
      </c>
      <c r="H140">
        <v>24.87</v>
      </c>
      <c r="I140">
        <v>58.82</v>
      </c>
      <c r="J140">
        <v>61.94</v>
      </c>
      <c r="K140">
        <v>72.239999999999995</v>
      </c>
      <c r="L140">
        <v>29.5</v>
      </c>
      <c r="M140">
        <v>57.67</v>
      </c>
      <c r="N140">
        <v>63.09</v>
      </c>
      <c r="O140">
        <v>51.98</v>
      </c>
      <c r="P140">
        <v>61.31</v>
      </c>
      <c r="Q140">
        <v>20</v>
      </c>
      <c r="R140">
        <v>1248.03</v>
      </c>
      <c r="S140">
        <v>35.29</v>
      </c>
      <c r="T140">
        <v>19.38</v>
      </c>
      <c r="U140">
        <v>18.29</v>
      </c>
      <c r="V140">
        <v>37.36</v>
      </c>
      <c r="W140">
        <v>44.86</v>
      </c>
      <c r="X140">
        <v>27.08</v>
      </c>
      <c r="Y140">
        <v>48.79</v>
      </c>
      <c r="Z140">
        <v>41.88</v>
      </c>
      <c r="AA140">
        <v>78.28</v>
      </c>
      <c r="AB140">
        <v>55.33</v>
      </c>
      <c r="AC140">
        <v>41.46</v>
      </c>
      <c r="AD140">
        <v>570.4</v>
      </c>
      <c r="AE140">
        <v>645.04999999999995</v>
      </c>
      <c r="AF140">
        <v>42.59</v>
      </c>
      <c r="AG140">
        <v>53</v>
      </c>
      <c r="AH140">
        <v>46.39</v>
      </c>
      <c r="AI140">
        <v>51.05</v>
      </c>
    </row>
    <row r="141" spans="1:35" x14ac:dyDescent="0.45">
      <c r="A141" s="2">
        <v>45897</v>
      </c>
      <c r="B141">
        <v>33.159999999999997</v>
      </c>
      <c r="C141">
        <v>32.58</v>
      </c>
      <c r="D141">
        <v>18.190000000000001</v>
      </c>
      <c r="E141">
        <v>26.39</v>
      </c>
      <c r="F141">
        <v>32.07</v>
      </c>
      <c r="G141">
        <v>53.418799999999997</v>
      </c>
      <c r="H141">
        <v>25.13</v>
      </c>
      <c r="I141">
        <v>59.9</v>
      </c>
      <c r="J141">
        <v>62.52</v>
      </c>
      <c r="K141">
        <v>73.64</v>
      </c>
      <c r="L141">
        <v>29.49</v>
      </c>
      <c r="M141">
        <v>57.15</v>
      </c>
      <c r="N141">
        <v>63.94</v>
      </c>
      <c r="O141">
        <v>52.54</v>
      </c>
      <c r="P141">
        <v>60.45</v>
      </c>
      <c r="Q141">
        <v>19.96</v>
      </c>
      <c r="R141">
        <v>1251.26</v>
      </c>
      <c r="S141">
        <v>35.54</v>
      </c>
      <c r="T141">
        <v>19.53</v>
      </c>
      <c r="U141">
        <v>18.315000000000001</v>
      </c>
      <c r="V141">
        <v>37.47</v>
      </c>
      <c r="W141">
        <v>44.87</v>
      </c>
      <c r="X141">
        <v>27.09</v>
      </c>
      <c r="Y141">
        <v>48.46</v>
      </c>
      <c r="Z141">
        <v>42.02</v>
      </c>
      <c r="AA141">
        <v>79.290000000000006</v>
      </c>
      <c r="AB141">
        <v>55.33</v>
      </c>
      <c r="AC141">
        <v>41.57</v>
      </c>
      <c r="AD141">
        <v>577.08000000000004</v>
      </c>
      <c r="AE141">
        <v>648.91999999999996</v>
      </c>
      <c r="AF141">
        <v>42.9</v>
      </c>
      <c r="AG141">
        <v>53.5</v>
      </c>
      <c r="AH141">
        <v>46.63</v>
      </c>
      <c r="AI141">
        <v>51.19</v>
      </c>
    </row>
    <row r="142" spans="1:35" x14ac:dyDescent="0.45">
      <c r="A142" s="2">
        <v>45896</v>
      </c>
      <c r="B142">
        <v>32.26</v>
      </c>
      <c r="C142">
        <v>32.549999999999997</v>
      </c>
      <c r="D142">
        <v>18.16</v>
      </c>
      <c r="E142">
        <v>26.56</v>
      </c>
      <c r="F142">
        <v>32.340000000000003</v>
      </c>
      <c r="G142">
        <v>52.967199999999998</v>
      </c>
      <c r="H142">
        <v>25.05</v>
      </c>
      <c r="I142">
        <v>59.77</v>
      </c>
      <c r="J142">
        <v>61.94</v>
      </c>
      <c r="K142">
        <v>72.47</v>
      </c>
      <c r="L142">
        <v>29.02</v>
      </c>
      <c r="M142">
        <v>57.38</v>
      </c>
      <c r="N142">
        <v>64.489999999999995</v>
      </c>
      <c r="O142">
        <v>52.68</v>
      </c>
      <c r="P142">
        <v>60.02</v>
      </c>
      <c r="Q142">
        <v>20.13</v>
      </c>
      <c r="R142">
        <v>1262.67</v>
      </c>
      <c r="S142">
        <v>35.51</v>
      </c>
      <c r="T142">
        <v>19.68</v>
      </c>
      <c r="U142">
        <v>18.02</v>
      </c>
      <c r="V142">
        <v>37.68</v>
      </c>
      <c r="W142">
        <v>44.67</v>
      </c>
      <c r="X142">
        <v>27</v>
      </c>
      <c r="Y142">
        <v>48.37</v>
      </c>
      <c r="Z142">
        <v>41.89</v>
      </c>
      <c r="AA142">
        <v>78.63</v>
      </c>
      <c r="AB142">
        <v>55.24</v>
      </c>
      <c r="AC142">
        <v>41.66</v>
      </c>
      <c r="AD142">
        <v>573.49</v>
      </c>
      <c r="AE142">
        <v>646.63</v>
      </c>
      <c r="AF142">
        <v>42.56</v>
      </c>
      <c r="AG142">
        <v>53.59</v>
      </c>
      <c r="AH142">
        <v>46.46</v>
      </c>
      <c r="AI142">
        <v>50.91</v>
      </c>
    </row>
    <row r="143" spans="1:35" x14ac:dyDescent="0.45">
      <c r="A143" s="2">
        <v>45895</v>
      </c>
      <c r="B143">
        <v>32.909999999999997</v>
      </c>
      <c r="C143">
        <v>32.44</v>
      </c>
      <c r="D143">
        <v>18.38</v>
      </c>
      <c r="E143">
        <v>26.12</v>
      </c>
      <c r="F143">
        <v>32.86</v>
      </c>
      <c r="G143">
        <v>53.39</v>
      </c>
      <c r="H143">
        <v>25.13</v>
      </c>
      <c r="I143">
        <v>59.5</v>
      </c>
      <c r="J143">
        <v>61.44</v>
      </c>
      <c r="K143">
        <v>72.39</v>
      </c>
      <c r="L143">
        <v>28.61</v>
      </c>
      <c r="M143">
        <v>58.1</v>
      </c>
      <c r="N143">
        <v>64.98</v>
      </c>
      <c r="O143">
        <v>52.55</v>
      </c>
      <c r="P143">
        <v>61.62</v>
      </c>
      <c r="Q143">
        <v>20.14</v>
      </c>
      <c r="R143">
        <v>1253.3900000000001</v>
      </c>
      <c r="S143">
        <v>35.97</v>
      </c>
      <c r="T143">
        <v>19.75</v>
      </c>
      <c r="U143">
        <v>17.96</v>
      </c>
      <c r="V143">
        <v>38.020000000000003</v>
      </c>
      <c r="W143">
        <v>45.19</v>
      </c>
      <c r="X143">
        <v>26.97</v>
      </c>
      <c r="Y143">
        <v>48.02</v>
      </c>
      <c r="Z143">
        <v>42.13</v>
      </c>
      <c r="AA143">
        <v>78.92</v>
      </c>
      <c r="AB143">
        <v>55.11</v>
      </c>
      <c r="AC143">
        <v>41.74</v>
      </c>
      <c r="AD143">
        <v>572.61</v>
      </c>
      <c r="AE143">
        <v>645.16</v>
      </c>
      <c r="AF143">
        <v>42.58</v>
      </c>
      <c r="AG143">
        <v>53.77</v>
      </c>
      <c r="AH143">
        <v>46.64</v>
      </c>
      <c r="AI143">
        <v>51.42</v>
      </c>
    </row>
    <row r="144" spans="1:35" x14ac:dyDescent="0.45">
      <c r="A144" s="2">
        <v>45894</v>
      </c>
      <c r="B144">
        <v>32.909999999999997</v>
      </c>
      <c r="C144">
        <v>32.71</v>
      </c>
      <c r="D144">
        <v>18.61</v>
      </c>
      <c r="E144">
        <v>26.69</v>
      </c>
      <c r="F144">
        <v>32.590000000000003</v>
      </c>
      <c r="G144">
        <v>52.93</v>
      </c>
      <c r="H144">
        <v>25.5</v>
      </c>
      <c r="I144">
        <v>59.26</v>
      </c>
      <c r="J144">
        <v>61.71</v>
      </c>
      <c r="K144">
        <v>72.73</v>
      </c>
      <c r="L144">
        <v>28.74</v>
      </c>
      <c r="M144">
        <v>58.35</v>
      </c>
      <c r="N144">
        <v>65.62</v>
      </c>
      <c r="O144">
        <v>53.23</v>
      </c>
      <c r="P144">
        <v>61.54</v>
      </c>
      <c r="Q144">
        <v>20.002600000000001</v>
      </c>
      <c r="R144">
        <v>1244.79</v>
      </c>
      <c r="S144">
        <v>35.93</v>
      </c>
      <c r="T144">
        <v>19.829999999999998</v>
      </c>
      <c r="U144">
        <v>17.22</v>
      </c>
      <c r="V144">
        <v>38.08</v>
      </c>
      <c r="W144">
        <v>45.62</v>
      </c>
      <c r="X144">
        <v>26.83</v>
      </c>
      <c r="Y144">
        <v>47.55</v>
      </c>
      <c r="Z144">
        <v>42.12</v>
      </c>
      <c r="AA144">
        <v>79.05</v>
      </c>
      <c r="AB144">
        <v>54.97</v>
      </c>
      <c r="AC144">
        <v>41.79</v>
      </c>
      <c r="AD144">
        <v>570.32000000000005</v>
      </c>
      <c r="AE144">
        <v>642.47</v>
      </c>
      <c r="AF144">
        <v>42.96</v>
      </c>
      <c r="AG144">
        <v>53.84</v>
      </c>
      <c r="AH144">
        <v>46.57</v>
      </c>
      <c r="AI144">
        <v>51.76</v>
      </c>
    </row>
    <row r="145" spans="1:35" x14ac:dyDescent="0.45">
      <c r="A145" s="2">
        <v>45891</v>
      </c>
      <c r="B145">
        <v>32.71</v>
      </c>
      <c r="C145">
        <v>32.799999999999997</v>
      </c>
      <c r="D145">
        <v>18.649999999999999</v>
      </c>
      <c r="E145">
        <v>26.63</v>
      </c>
      <c r="F145">
        <v>32.700000000000003</v>
      </c>
      <c r="G145">
        <v>53.23</v>
      </c>
      <c r="H145">
        <v>25.72</v>
      </c>
      <c r="I145">
        <v>59.66</v>
      </c>
      <c r="J145">
        <v>62.8</v>
      </c>
      <c r="K145">
        <v>73.510000000000005</v>
      </c>
      <c r="L145">
        <v>28.61</v>
      </c>
      <c r="M145">
        <v>58.8</v>
      </c>
      <c r="N145">
        <v>65.995000000000005</v>
      </c>
      <c r="O145">
        <v>53.58</v>
      </c>
      <c r="P145">
        <v>61.57</v>
      </c>
      <c r="Q145">
        <v>20.189599999999999</v>
      </c>
      <c r="R145">
        <v>1248.1300000000001</v>
      </c>
      <c r="S145">
        <v>35.69</v>
      </c>
      <c r="T145">
        <v>19.96</v>
      </c>
      <c r="U145">
        <v>17.36</v>
      </c>
      <c r="V145">
        <v>38.130000000000003</v>
      </c>
      <c r="W145">
        <v>45.782899999999998</v>
      </c>
      <c r="X145">
        <v>27.26</v>
      </c>
      <c r="Y145">
        <v>48.03</v>
      </c>
      <c r="Z145">
        <v>42.66</v>
      </c>
      <c r="AA145">
        <v>80.02</v>
      </c>
      <c r="AB145">
        <v>55.64</v>
      </c>
      <c r="AC145">
        <v>42.08</v>
      </c>
      <c r="AD145">
        <v>571.97</v>
      </c>
      <c r="AE145">
        <v>645.30999999999995</v>
      </c>
      <c r="AF145">
        <v>44.18</v>
      </c>
      <c r="AG145">
        <v>54.188000000000002</v>
      </c>
      <c r="AH145">
        <v>47.24</v>
      </c>
      <c r="AI145">
        <v>52.34</v>
      </c>
    </row>
    <row r="146" spans="1:35" x14ac:dyDescent="0.45">
      <c r="A146" s="2">
        <v>45890</v>
      </c>
      <c r="B146">
        <v>31.62</v>
      </c>
      <c r="C146">
        <v>31.9</v>
      </c>
      <c r="D146">
        <v>18.440000000000001</v>
      </c>
      <c r="E146">
        <v>26.15</v>
      </c>
      <c r="F146">
        <v>33.380000000000003</v>
      </c>
      <c r="G146">
        <v>52.009</v>
      </c>
      <c r="H146">
        <v>25.19</v>
      </c>
      <c r="I146">
        <v>58.57</v>
      </c>
      <c r="J146">
        <v>61.55</v>
      </c>
      <c r="K146">
        <v>71.22</v>
      </c>
      <c r="L146">
        <v>27.66</v>
      </c>
      <c r="M146">
        <v>56.91</v>
      </c>
      <c r="N146">
        <v>65.2</v>
      </c>
      <c r="O146">
        <v>53.57</v>
      </c>
      <c r="P146">
        <v>60</v>
      </c>
      <c r="Q146">
        <v>20.065000000000001</v>
      </c>
      <c r="R146">
        <v>1235.76</v>
      </c>
      <c r="S146">
        <v>35.51</v>
      </c>
      <c r="T146">
        <v>19.753</v>
      </c>
      <c r="U146">
        <v>17.600000000000001</v>
      </c>
      <c r="V146">
        <v>37.94</v>
      </c>
      <c r="W146">
        <v>45.58</v>
      </c>
      <c r="X146">
        <v>26.86</v>
      </c>
      <c r="Y146">
        <v>47.28</v>
      </c>
      <c r="Z146">
        <v>42.08</v>
      </c>
      <c r="AA146">
        <v>78.7</v>
      </c>
      <c r="AB146">
        <v>54.94</v>
      </c>
      <c r="AC146">
        <v>41.66</v>
      </c>
      <c r="AD146">
        <v>563.28</v>
      </c>
      <c r="AE146">
        <v>635.54999999999995</v>
      </c>
      <c r="AF146">
        <v>43.55</v>
      </c>
      <c r="AG146">
        <v>53.08</v>
      </c>
      <c r="AH146">
        <v>46.08</v>
      </c>
      <c r="AI146">
        <v>51.53</v>
      </c>
    </row>
    <row r="147" spans="1:35" x14ac:dyDescent="0.45">
      <c r="A147" s="2">
        <v>45889</v>
      </c>
      <c r="B147">
        <v>31.74</v>
      </c>
      <c r="C147">
        <v>32.04</v>
      </c>
      <c r="D147">
        <v>18.600000000000001</v>
      </c>
      <c r="E147">
        <v>26.35</v>
      </c>
      <c r="F147">
        <v>33.78</v>
      </c>
      <c r="G147">
        <v>51.75</v>
      </c>
      <c r="H147">
        <v>25.19</v>
      </c>
      <c r="I147">
        <v>58.78</v>
      </c>
      <c r="J147">
        <v>61.17</v>
      </c>
      <c r="K147">
        <v>71.36</v>
      </c>
      <c r="L147">
        <v>27.69</v>
      </c>
      <c r="M147">
        <v>57.11</v>
      </c>
      <c r="N147">
        <v>65.400000000000006</v>
      </c>
      <c r="O147">
        <v>53.8</v>
      </c>
      <c r="P147">
        <v>59.92</v>
      </c>
      <c r="Q147">
        <v>20.079999999999998</v>
      </c>
      <c r="R147">
        <v>1242.31</v>
      </c>
      <c r="S147">
        <v>35.04</v>
      </c>
      <c r="T147">
        <v>19.8</v>
      </c>
      <c r="U147">
        <v>17.690000000000001</v>
      </c>
      <c r="V147">
        <v>37.89</v>
      </c>
      <c r="W147">
        <v>45.674999999999997</v>
      </c>
      <c r="X147">
        <v>26.7</v>
      </c>
      <c r="Y147">
        <v>47.11</v>
      </c>
      <c r="Z147">
        <v>42.39</v>
      </c>
      <c r="AA147">
        <v>79.64</v>
      </c>
      <c r="AB147">
        <v>55.52</v>
      </c>
      <c r="AC147">
        <v>41.72</v>
      </c>
      <c r="AD147">
        <v>565.9</v>
      </c>
      <c r="AE147">
        <v>638.11</v>
      </c>
      <c r="AF147">
        <v>43.97</v>
      </c>
      <c r="AG147">
        <v>53.58</v>
      </c>
      <c r="AH147">
        <v>46.45</v>
      </c>
      <c r="AI147">
        <v>51.69</v>
      </c>
    </row>
    <row r="148" spans="1:35" x14ac:dyDescent="0.45">
      <c r="A148" s="2">
        <v>45888</v>
      </c>
      <c r="B148">
        <v>31.02</v>
      </c>
      <c r="C148">
        <v>32.19</v>
      </c>
      <c r="D148">
        <v>18.309999999999999</v>
      </c>
      <c r="E148">
        <v>26.25</v>
      </c>
      <c r="F148">
        <v>33.79</v>
      </c>
      <c r="G148">
        <v>51.68</v>
      </c>
      <c r="H148">
        <v>25.18</v>
      </c>
      <c r="I148">
        <v>60.09</v>
      </c>
      <c r="J148">
        <v>61.25</v>
      </c>
      <c r="K148">
        <v>71.44</v>
      </c>
      <c r="L148">
        <v>27.36</v>
      </c>
      <c r="M148">
        <v>56.67</v>
      </c>
      <c r="N148">
        <v>65.150000000000006</v>
      </c>
      <c r="O148">
        <v>53.65</v>
      </c>
      <c r="P148">
        <v>59.59</v>
      </c>
      <c r="Q148">
        <v>20.239999999999998</v>
      </c>
      <c r="R148">
        <v>1259.42</v>
      </c>
      <c r="S148">
        <v>34.5</v>
      </c>
      <c r="T148">
        <v>19.8383</v>
      </c>
      <c r="U148">
        <v>17.899999999999999</v>
      </c>
      <c r="V148">
        <v>37.840000000000003</v>
      </c>
      <c r="W148">
        <v>45.604999999999997</v>
      </c>
      <c r="X148">
        <v>26.61</v>
      </c>
      <c r="Y148">
        <v>47</v>
      </c>
      <c r="Z148">
        <v>42.39</v>
      </c>
      <c r="AA148">
        <v>80.02</v>
      </c>
      <c r="AB148">
        <v>54.9</v>
      </c>
      <c r="AC148">
        <v>41.29</v>
      </c>
      <c r="AD148">
        <v>569.28</v>
      </c>
      <c r="AE148">
        <v>639.80999999999995</v>
      </c>
      <c r="AF148">
        <v>43.82</v>
      </c>
      <c r="AG148">
        <v>53.215000000000003</v>
      </c>
      <c r="AH148">
        <v>46.56</v>
      </c>
      <c r="AI148">
        <v>51.62</v>
      </c>
    </row>
    <row r="149" spans="1:35" x14ac:dyDescent="0.45">
      <c r="A149" s="2">
        <v>45887</v>
      </c>
      <c r="B149">
        <v>31.32</v>
      </c>
      <c r="C149">
        <v>32.549999999999997</v>
      </c>
      <c r="D149">
        <v>18.43</v>
      </c>
      <c r="E149">
        <v>26.34</v>
      </c>
      <c r="F149">
        <v>33.64</v>
      </c>
      <c r="G149">
        <v>52.382100000000001</v>
      </c>
      <c r="H149">
        <v>25.13</v>
      </c>
      <c r="I149">
        <v>61.04</v>
      </c>
      <c r="J149">
        <v>61.19</v>
      </c>
      <c r="K149">
        <v>72.8</v>
      </c>
      <c r="L149">
        <v>28.29</v>
      </c>
      <c r="M149">
        <v>57.11</v>
      </c>
      <c r="N149">
        <v>65.58</v>
      </c>
      <c r="O149">
        <v>53.5</v>
      </c>
      <c r="P149">
        <v>60.04</v>
      </c>
      <c r="Q149">
        <v>20.38</v>
      </c>
      <c r="R149">
        <v>1266.67</v>
      </c>
      <c r="S149">
        <v>34.47</v>
      </c>
      <c r="T149">
        <v>19.965</v>
      </c>
      <c r="U149">
        <v>17.84</v>
      </c>
      <c r="V149">
        <v>37.83</v>
      </c>
      <c r="W149">
        <v>45.844999999999999</v>
      </c>
      <c r="X149">
        <v>26.84</v>
      </c>
      <c r="Y149">
        <v>47.35</v>
      </c>
      <c r="Z149">
        <v>42.45</v>
      </c>
      <c r="AA149">
        <v>80.3</v>
      </c>
      <c r="AB149">
        <v>54.35</v>
      </c>
      <c r="AC149">
        <v>41.29</v>
      </c>
      <c r="AD149">
        <v>577.11</v>
      </c>
      <c r="AE149">
        <v>643.29999999999995</v>
      </c>
      <c r="AF149">
        <v>43.55</v>
      </c>
      <c r="AG149">
        <v>53.13</v>
      </c>
      <c r="AH149">
        <v>46.28</v>
      </c>
      <c r="AI149">
        <v>51.54</v>
      </c>
    </row>
    <row r="150" spans="1:35" x14ac:dyDescent="0.45">
      <c r="A150" s="2">
        <v>45884</v>
      </c>
      <c r="B150">
        <v>30.97</v>
      </c>
      <c r="C150">
        <v>32.4</v>
      </c>
      <c r="D150">
        <v>18.5</v>
      </c>
      <c r="E150">
        <v>26.39</v>
      </c>
      <c r="F150">
        <v>33.450000000000003</v>
      </c>
      <c r="G150">
        <v>52.191600000000001</v>
      </c>
      <c r="H150">
        <v>24.98</v>
      </c>
      <c r="I150">
        <v>60.42</v>
      </c>
      <c r="J150">
        <v>61.34</v>
      </c>
      <c r="K150">
        <v>73.39</v>
      </c>
      <c r="L150">
        <v>28.2</v>
      </c>
      <c r="M150">
        <v>57.62</v>
      </c>
      <c r="N150">
        <v>66.89</v>
      </c>
      <c r="O150">
        <v>52.71</v>
      </c>
      <c r="P150">
        <v>59.68</v>
      </c>
      <c r="Q150">
        <v>20.54</v>
      </c>
      <c r="R150">
        <v>1277.43</v>
      </c>
      <c r="S150">
        <v>34.24</v>
      </c>
      <c r="T150">
        <v>19.905000000000001</v>
      </c>
      <c r="U150">
        <v>17.71</v>
      </c>
      <c r="V150">
        <v>37.549999999999997</v>
      </c>
      <c r="W150">
        <v>45.683999999999997</v>
      </c>
      <c r="X150">
        <v>26.83</v>
      </c>
      <c r="Y150">
        <v>47.27</v>
      </c>
      <c r="Z150">
        <v>42.58</v>
      </c>
      <c r="AA150">
        <v>80.150000000000006</v>
      </c>
      <c r="AB150">
        <v>54.5</v>
      </c>
      <c r="AC150">
        <v>41.27</v>
      </c>
      <c r="AD150">
        <v>577.34</v>
      </c>
      <c r="AE150">
        <v>643.44000000000005</v>
      </c>
      <c r="AF150">
        <v>43.89</v>
      </c>
      <c r="AG150">
        <v>53.16</v>
      </c>
      <c r="AH150">
        <v>46.61</v>
      </c>
      <c r="AI150">
        <v>51.79</v>
      </c>
    </row>
    <row r="151" spans="1:35" x14ac:dyDescent="0.45">
      <c r="A151" s="2">
        <v>45883</v>
      </c>
      <c r="B151">
        <v>30.72</v>
      </c>
      <c r="C151">
        <v>32.270000000000003</v>
      </c>
      <c r="D151">
        <v>18.63</v>
      </c>
      <c r="E151">
        <v>26.28</v>
      </c>
      <c r="F151">
        <v>33.270000000000003</v>
      </c>
      <c r="G151">
        <v>51.95</v>
      </c>
      <c r="H151">
        <v>25.03</v>
      </c>
      <c r="I151">
        <v>60.65</v>
      </c>
      <c r="J151">
        <v>60.99</v>
      </c>
      <c r="K151">
        <v>73.66</v>
      </c>
      <c r="L151">
        <v>27.89</v>
      </c>
      <c r="M151">
        <v>57.64</v>
      </c>
      <c r="N151">
        <v>66.53</v>
      </c>
      <c r="O151">
        <v>52.41</v>
      </c>
      <c r="P151">
        <v>59.3</v>
      </c>
      <c r="Q151">
        <v>20.52</v>
      </c>
      <c r="R151">
        <v>1259.07</v>
      </c>
      <c r="S151">
        <v>34.11</v>
      </c>
      <c r="T151">
        <v>19.98</v>
      </c>
      <c r="U151">
        <v>17.760000000000002</v>
      </c>
      <c r="V151">
        <v>37.590000000000003</v>
      </c>
      <c r="W151">
        <v>45.57</v>
      </c>
      <c r="X151">
        <v>26.74</v>
      </c>
      <c r="Y151">
        <v>47.33</v>
      </c>
      <c r="Z151">
        <v>42.5</v>
      </c>
      <c r="AA151">
        <v>78.8</v>
      </c>
      <c r="AB151">
        <v>54.1</v>
      </c>
      <c r="AC151">
        <v>41.5</v>
      </c>
      <c r="AD151">
        <v>579.89</v>
      </c>
      <c r="AE151">
        <v>644.95000000000005</v>
      </c>
      <c r="AF151">
        <v>43.5</v>
      </c>
      <c r="AG151">
        <v>53.3</v>
      </c>
      <c r="AH151">
        <v>46.06</v>
      </c>
      <c r="AI151">
        <v>51.56</v>
      </c>
    </row>
    <row r="152" spans="1:35" x14ac:dyDescent="0.45">
      <c r="A152" s="2">
        <v>45882</v>
      </c>
      <c r="B152">
        <v>31.01</v>
      </c>
      <c r="C152">
        <v>32.54</v>
      </c>
      <c r="D152">
        <v>18.829999999999998</v>
      </c>
      <c r="E152">
        <v>26.72</v>
      </c>
      <c r="F152">
        <v>34.07</v>
      </c>
      <c r="G152">
        <v>52.16</v>
      </c>
      <c r="H152">
        <v>25.27</v>
      </c>
      <c r="I152">
        <v>61.03</v>
      </c>
      <c r="J152">
        <v>61.99</v>
      </c>
      <c r="K152">
        <v>74.72</v>
      </c>
      <c r="L152">
        <v>28.18</v>
      </c>
      <c r="M152">
        <v>58.36</v>
      </c>
      <c r="N152">
        <v>66.81</v>
      </c>
      <c r="O152">
        <v>52.71</v>
      </c>
      <c r="P152">
        <v>60.56</v>
      </c>
      <c r="Q152">
        <v>20.56</v>
      </c>
      <c r="R152">
        <v>1265.1500000000001</v>
      </c>
      <c r="S152">
        <v>34.47</v>
      </c>
      <c r="T152">
        <v>19.93</v>
      </c>
      <c r="U152">
        <v>17.46</v>
      </c>
      <c r="V152">
        <v>37.44</v>
      </c>
      <c r="W152">
        <v>45.82</v>
      </c>
      <c r="X152">
        <v>26.91</v>
      </c>
      <c r="Y152">
        <v>47.64</v>
      </c>
      <c r="Z152">
        <v>42.38</v>
      </c>
      <c r="AA152">
        <v>79.27</v>
      </c>
      <c r="AB152">
        <v>54.2</v>
      </c>
      <c r="AC152">
        <v>41.36</v>
      </c>
      <c r="AD152">
        <v>580.34</v>
      </c>
      <c r="AE152">
        <v>644.89</v>
      </c>
      <c r="AF152">
        <v>43.31</v>
      </c>
      <c r="AG152">
        <v>53.36</v>
      </c>
      <c r="AH152">
        <v>46.02</v>
      </c>
      <c r="AI152">
        <v>51.1</v>
      </c>
    </row>
    <row r="153" spans="1:35" x14ac:dyDescent="0.45">
      <c r="A153" s="2">
        <v>45881</v>
      </c>
      <c r="B153">
        <v>30.73</v>
      </c>
      <c r="C153">
        <v>31.97</v>
      </c>
      <c r="D153">
        <v>18.61</v>
      </c>
      <c r="E153">
        <v>26.55</v>
      </c>
      <c r="F153">
        <v>33.99</v>
      </c>
      <c r="G153">
        <v>51.75</v>
      </c>
      <c r="H153">
        <v>24.94</v>
      </c>
      <c r="I153">
        <v>61.09</v>
      </c>
      <c r="J153">
        <v>62.33</v>
      </c>
      <c r="K153">
        <v>74.099999999999994</v>
      </c>
      <c r="L153">
        <v>28.39</v>
      </c>
      <c r="M153">
        <v>57.5</v>
      </c>
      <c r="N153">
        <v>66.349999999999994</v>
      </c>
      <c r="O153">
        <v>52.465000000000003</v>
      </c>
      <c r="P153">
        <v>58.73</v>
      </c>
      <c r="Q153">
        <v>20.27</v>
      </c>
      <c r="R153">
        <v>1264.47</v>
      </c>
      <c r="S153">
        <v>34.54</v>
      </c>
      <c r="T153">
        <v>20.149999999999999</v>
      </c>
      <c r="U153">
        <v>17.440000000000001</v>
      </c>
      <c r="V153">
        <v>37.49</v>
      </c>
      <c r="W153">
        <v>45.658999999999999</v>
      </c>
      <c r="X153">
        <v>26.96</v>
      </c>
      <c r="Y153">
        <v>47.51</v>
      </c>
      <c r="Z153">
        <v>42.15</v>
      </c>
      <c r="AA153">
        <v>79.23</v>
      </c>
      <c r="AB153">
        <v>53.81</v>
      </c>
      <c r="AC153">
        <v>41.03</v>
      </c>
      <c r="AD153">
        <v>580.04999999999995</v>
      </c>
      <c r="AE153">
        <v>642.69000000000005</v>
      </c>
      <c r="AF153">
        <v>42.89</v>
      </c>
      <c r="AG153">
        <v>52.967399999999998</v>
      </c>
      <c r="AH153">
        <v>45.99</v>
      </c>
      <c r="AI153">
        <v>50.64</v>
      </c>
    </row>
    <row r="154" spans="1:35" x14ac:dyDescent="0.45">
      <c r="A154" s="2">
        <v>45880</v>
      </c>
      <c r="B154">
        <v>30.295000000000002</v>
      </c>
      <c r="C154">
        <v>31.47</v>
      </c>
      <c r="D154">
        <v>17.98</v>
      </c>
      <c r="E154">
        <v>26.19</v>
      </c>
      <c r="F154">
        <v>33.44</v>
      </c>
      <c r="G154">
        <v>51.130899999999997</v>
      </c>
      <c r="H154">
        <v>24.6</v>
      </c>
      <c r="I154">
        <v>60.28</v>
      </c>
      <c r="J154">
        <v>61.54</v>
      </c>
      <c r="K154">
        <v>73.03</v>
      </c>
      <c r="L154">
        <v>27.64</v>
      </c>
      <c r="M154">
        <v>56.36</v>
      </c>
      <c r="N154">
        <v>65.680000000000007</v>
      </c>
      <c r="O154">
        <v>52.27</v>
      </c>
      <c r="P154">
        <v>57.82</v>
      </c>
      <c r="Q154">
        <v>20.034600000000001</v>
      </c>
      <c r="R154">
        <v>1246.96</v>
      </c>
      <c r="S154">
        <v>34.844799999999999</v>
      </c>
      <c r="T154">
        <v>20.079999999999998</v>
      </c>
      <c r="U154">
        <v>17.27</v>
      </c>
      <c r="V154">
        <v>37.43</v>
      </c>
      <c r="W154">
        <v>45.79</v>
      </c>
      <c r="X154">
        <v>26.65</v>
      </c>
      <c r="Y154">
        <v>47.28</v>
      </c>
      <c r="Z154">
        <v>41.94</v>
      </c>
      <c r="AA154">
        <v>77.790000000000006</v>
      </c>
      <c r="AB154">
        <v>53.2</v>
      </c>
      <c r="AC154">
        <v>40.64</v>
      </c>
      <c r="AD154">
        <v>572.85</v>
      </c>
      <c r="AE154">
        <v>635.91999999999996</v>
      </c>
      <c r="AF154">
        <v>42.35</v>
      </c>
      <c r="AG154">
        <v>52.37</v>
      </c>
      <c r="AH154">
        <v>45.23</v>
      </c>
      <c r="AI154">
        <v>49.99</v>
      </c>
    </row>
    <row r="155" spans="1:35" x14ac:dyDescent="0.45">
      <c r="A155" s="2">
        <v>45877</v>
      </c>
      <c r="B155">
        <v>30.27</v>
      </c>
      <c r="C155">
        <v>31.41</v>
      </c>
      <c r="D155">
        <v>17.829999999999998</v>
      </c>
      <c r="E155">
        <v>26.63</v>
      </c>
      <c r="F155">
        <v>33.97</v>
      </c>
      <c r="G155">
        <v>51.72</v>
      </c>
      <c r="H155">
        <v>24.51</v>
      </c>
      <c r="I155">
        <v>60.29</v>
      </c>
      <c r="J155">
        <v>61.64</v>
      </c>
      <c r="K155">
        <v>73.5</v>
      </c>
      <c r="L155">
        <v>27.81</v>
      </c>
      <c r="M155">
        <v>56.45</v>
      </c>
      <c r="N155">
        <v>65.069199999999995</v>
      </c>
      <c r="O155">
        <v>52.12</v>
      </c>
      <c r="P155">
        <v>58.19</v>
      </c>
      <c r="Q155">
        <v>19.93</v>
      </c>
      <c r="R155">
        <v>1229.4000000000001</v>
      </c>
      <c r="S155">
        <v>34.68</v>
      </c>
      <c r="T155">
        <v>20.14</v>
      </c>
      <c r="U155">
        <v>17.18</v>
      </c>
      <c r="V155">
        <v>37.83</v>
      </c>
      <c r="W155">
        <v>45.744999999999997</v>
      </c>
      <c r="X155">
        <v>26.63</v>
      </c>
      <c r="Y155">
        <v>47.34</v>
      </c>
      <c r="Z155">
        <v>42.34</v>
      </c>
      <c r="AA155">
        <v>77.930000000000007</v>
      </c>
      <c r="AB155">
        <v>53.6</v>
      </c>
      <c r="AC155">
        <v>40.53</v>
      </c>
      <c r="AD155">
        <v>574.54999999999995</v>
      </c>
      <c r="AE155">
        <v>637.17999999999995</v>
      </c>
      <c r="AF155">
        <v>42.68</v>
      </c>
      <c r="AG155">
        <v>52.52</v>
      </c>
      <c r="AH155">
        <v>45.88</v>
      </c>
      <c r="AI155">
        <v>50.16</v>
      </c>
    </row>
    <row r="156" spans="1:35" x14ac:dyDescent="0.45">
      <c r="A156" s="2">
        <v>45876</v>
      </c>
      <c r="B156">
        <v>30.3</v>
      </c>
      <c r="C156">
        <v>30.74</v>
      </c>
      <c r="D156">
        <v>17.72</v>
      </c>
      <c r="E156">
        <v>26.49</v>
      </c>
      <c r="F156">
        <v>33.53</v>
      </c>
      <c r="G156">
        <v>50.705500000000001</v>
      </c>
      <c r="H156">
        <v>24.38</v>
      </c>
      <c r="I156">
        <v>60.36</v>
      </c>
      <c r="J156">
        <v>61.65</v>
      </c>
      <c r="K156">
        <v>73.44</v>
      </c>
      <c r="L156">
        <v>28.05</v>
      </c>
      <c r="M156">
        <v>56.66</v>
      </c>
      <c r="N156">
        <v>64.58</v>
      </c>
      <c r="O156">
        <v>52.53</v>
      </c>
      <c r="P156">
        <v>58.2</v>
      </c>
      <c r="Q156">
        <v>19.946000000000002</v>
      </c>
      <c r="R156">
        <v>1218.33</v>
      </c>
      <c r="S156">
        <v>34.61</v>
      </c>
      <c r="T156">
        <v>20.100000000000001</v>
      </c>
      <c r="U156">
        <v>16.8</v>
      </c>
      <c r="V156">
        <v>37.83</v>
      </c>
      <c r="W156">
        <v>45.795000000000002</v>
      </c>
      <c r="X156">
        <v>26.6</v>
      </c>
      <c r="Y156">
        <v>47.34</v>
      </c>
      <c r="Z156">
        <v>42.33</v>
      </c>
      <c r="AA156">
        <v>76.62</v>
      </c>
      <c r="AB156">
        <v>53.68</v>
      </c>
      <c r="AC156">
        <v>40.49</v>
      </c>
      <c r="AD156">
        <v>569.24</v>
      </c>
      <c r="AE156">
        <v>632.25</v>
      </c>
      <c r="AF156">
        <v>42.49</v>
      </c>
      <c r="AG156">
        <v>52.2</v>
      </c>
      <c r="AH156">
        <v>45.6</v>
      </c>
      <c r="AI156">
        <v>49.95</v>
      </c>
    </row>
    <row r="157" spans="1:35" x14ac:dyDescent="0.45">
      <c r="A157" s="2">
        <v>45875</v>
      </c>
      <c r="B157">
        <v>30.33</v>
      </c>
      <c r="C157">
        <v>30.09</v>
      </c>
      <c r="D157">
        <v>17.66</v>
      </c>
      <c r="E157">
        <v>26.41</v>
      </c>
      <c r="F157">
        <v>32.840000000000003</v>
      </c>
      <c r="G157">
        <v>50.183300000000003</v>
      </c>
      <c r="H157">
        <v>24.4</v>
      </c>
      <c r="I157">
        <v>59.14</v>
      </c>
      <c r="J157">
        <v>60.76</v>
      </c>
      <c r="K157">
        <v>73.180000000000007</v>
      </c>
      <c r="L157">
        <v>27.45</v>
      </c>
      <c r="M157">
        <v>56.17</v>
      </c>
      <c r="N157">
        <v>64.2</v>
      </c>
      <c r="O157">
        <v>52.255000000000003</v>
      </c>
      <c r="P157">
        <v>58.36</v>
      </c>
      <c r="Q157">
        <v>19.850000000000001</v>
      </c>
      <c r="R157">
        <v>1242.3499999999999</v>
      </c>
      <c r="S157">
        <v>34.46</v>
      </c>
      <c r="T157">
        <v>20.25</v>
      </c>
      <c r="U157">
        <v>17.09</v>
      </c>
      <c r="V157">
        <v>38.04</v>
      </c>
      <c r="W157">
        <v>45.63</v>
      </c>
      <c r="X157">
        <v>26.66</v>
      </c>
      <c r="Y157">
        <v>47.73</v>
      </c>
      <c r="Z157">
        <v>41.84</v>
      </c>
      <c r="AA157">
        <v>76.03</v>
      </c>
      <c r="AB157">
        <v>52.98</v>
      </c>
      <c r="AC157">
        <v>40.380000000000003</v>
      </c>
      <c r="AD157">
        <v>567.32000000000005</v>
      </c>
      <c r="AE157">
        <v>632.78</v>
      </c>
      <c r="AF157">
        <v>42.02</v>
      </c>
      <c r="AG157">
        <v>51.43</v>
      </c>
      <c r="AH157">
        <v>44.82</v>
      </c>
      <c r="AI157">
        <v>49.52</v>
      </c>
    </row>
    <row r="158" spans="1:35" x14ac:dyDescent="0.45">
      <c r="A158" s="2">
        <v>45874</v>
      </c>
      <c r="B158">
        <v>30.17</v>
      </c>
      <c r="C158">
        <v>30.26</v>
      </c>
      <c r="D158">
        <v>17.62</v>
      </c>
      <c r="E158">
        <v>26.16</v>
      </c>
      <c r="F158">
        <v>31.79</v>
      </c>
      <c r="G158">
        <v>49.7</v>
      </c>
      <c r="H158">
        <v>24.24</v>
      </c>
      <c r="I158">
        <v>58.92</v>
      </c>
      <c r="J158">
        <v>60.19</v>
      </c>
      <c r="K158">
        <v>72.89</v>
      </c>
      <c r="L158">
        <v>27.02</v>
      </c>
      <c r="M158">
        <v>55.4</v>
      </c>
      <c r="N158">
        <v>62.98</v>
      </c>
      <c r="O158">
        <v>52.41</v>
      </c>
      <c r="P158">
        <v>57.86</v>
      </c>
      <c r="Q158">
        <v>19.785</v>
      </c>
      <c r="R158">
        <v>1244.1400000000001</v>
      </c>
      <c r="S158">
        <v>34.29</v>
      </c>
      <c r="T158">
        <v>20.010000000000002</v>
      </c>
      <c r="U158">
        <v>16.670000000000002</v>
      </c>
      <c r="V158">
        <v>37.78</v>
      </c>
      <c r="W158">
        <v>45.255000000000003</v>
      </c>
      <c r="X158">
        <v>26.41</v>
      </c>
      <c r="Y158">
        <v>46.93</v>
      </c>
      <c r="Z158">
        <v>41.49</v>
      </c>
      <c r="AA158">
        <v>75.03</v>
      </c>
      <c r="AB158">
        <v>53.48</v>
      </c>
      <c r="AC158">
        <v>40.229999999999997</v>
      </c>
      <c r="AD158">
        <v>560.27</v>
      </c>
      <c r="AE158">
        <v>627.97</v>
      </c>
      <c r="AF158">
        <v>41.83</v>
      </c>
      <c r="AG158">
        <v>51.33</v>
      </c>
      <c r="AH158">
        <v>44.45</v>
      </c>
      <c r="AI158">
        <v>48.74</v>
      </c>
    </row>
    <row r="159" spans="1:35" x14ac:dyDescent="0.45">
      <c r="A159" s="2">
        <v>45873</v>
      </c>
      <c r="B159">
        <v>29.9</v>
      </c>
      <c r="C159">
        <v>30.24</v>
      </c>
      <c r="D159">
        <v>17.59</v>
      </c>
      <c r="E159">
        <v>26.35</v>
      </c>
      <c r="F159">
        <v>31.94</v>
      </c>
      <c r="G159">
        <v>49.27</v>
      </c>
      <c r="H159">
        <v>24.13</v>
      </c>
      <c r="I159">
        <v>58.84</v>
      </c>
      <c r="J159">
        <v>59.23</v>
      </c>
      <c r="K159">
        <v>72.33</v>
      </c>
      <c r="L159">
        <v>26.93</v>
      </c>
      <c r="M159">
        <v>55.05</v>
      </c>
      <c r="N159">
        <v>62.02</v>
      </c>
      <c r="O159">
        <v>52.48</v>
      </c>
      <c r="P159">
        <v>57.47</v>
      </c>
      <c r="Q159">
        <v>19.71</v>
      </c>
      <c r="R159">
        <v>1233.68</v>
      </c>
      <c r="S159">
        <v>34.32</v>
      </c>
      <c r="T159">
        <v>20.21</v>
      </c>
      <c r="U159">
        <v>16.579999999999998</v>
      </c>
      <c r="V159">
        <v>37.630000000000003</v>
      </c>
      <c r="W159">
        <v>44.93</v>
      </c>
      <c r="X159">
        <v>26.28</v>
      </c>
      <c r="Y159">
        <v>46.58</v>
      </c>
      <c r="Z159">
        <v>41.3</v>
      </c>
      <c r="AA159">
        <v>75.290000000000006</v>
      </c>
      <c r="AB159">
        <v>53.31</v>
      </c>
      <c r="AC159">
        <v>40.21</v>
      </c>
      <c r="AD159">
        <v>564.1</v>
      </c>
      <c r="AE159">
        <v>631.16999999999996</v>
      </c>
      <c r="AF159">
        <v>41.86</v>
      </c>
      <c r="AG159">
        <v>51.35</v>
      </c>
      <c r="AH159">
        <v>44.3</v>
      </c>
      <c r="AI159">
        <v>48.57</v>
      </c>
    </row>
    <row r="160" spans="1:35" x14ac:dyDescent="0.45">
      <c r="A160" s="2">
        <v>45870</v>
      </c>
      <c r="B160">
        <v>29.6</v>
      </c>
      <c r="C160">
        <v>29.98</v>
      </c>
      <c r="D160">
        <v>17.61</v>
      </c>
      <c r="E160">
        <v>25.78</v>
      </c>
      <c r="F160">
        <v>31.7</v>
      </c>
      <c r="G160">
        <v>48.35</v>
      </c>
      <c r="H160">
        <v>23.98</v>
      </c>
      <c r="I160">
        <v>58.39</v>
      </c>
      <c r="J160">
        <v>59.6</v>
      </c>
      <c r="K160">
        <v>70.650000000000006</v>
      </c>
      <c r="L160">
        <v>26.65</v>
      </c>
      <c r="M160">
        <v>53.43</v>
      </c>
      <c r="N160">
        <v>60.34</v>
      </c>
      <c r="O160">
        <v>52.72</v>
      </c>
      <c r="P160">
        <v>56.52</v>
      </c>
      <c r="Q160">
        <v>19.664999999999999</v>
      </c>
      <c r="R160">
        <v>1217.1500000000001</v>
      </c>
      <c r="S160">
        <v>33.92</v>
      </c>
      <c r="T160">
        <v>19.95</v>
      </c>
      <c r="U160">
        <v>15.95</v>
      </c>
      <c r="V160">
        <v>37.32</v>
      </c>
      <c r="W160">
        <v>44.69</v>
      </c>
      <c r="X160">
        <v>25.91</v>
      </c>
      <c r="Y160">
        <v>45.86</v>
      </c>
      <c r="Z160">
        <v>40.75</v>
      </c>
      <c r="AA160">
        <v>74.069999999999993</v>
      </c>
      <c r="AB160">
        <v>52.43</v>
      </c>
      <c r="AC160">
        <v>39.94</v>
      </c>
      <c r="AD160">
        <v>553.88</v>
      </c>
      <c r="AE160">
        <v>621.72</v>
      </c>
      <c r="AF160">
        <v>41.43</v>
      </c>
      <c r="AG160">
        <v>50.85</v>
      </c>
      <c r="AH160">
        <v>43.68</v>
      </c>
      <c r="AI160">
        <v>47.83</v>
      </c>
    </row>
    <row r="161" spans="1:35" x14ac:dyDescent="0.45">
      <c r="A161" s="2">
        <v>45869</v>
      </c>
      <c r="B161">
        <v>29.68</v>
      </c>
      <c r="C161">
        <v>29.83</v>
      </c>
      <c r="D161">
        <v>17.27</v>
      </c>
      <c r="E161">
        <v>25.42</v>
      </c>
      <c r="F161">
        <v>31.75</v>
      </c>
      <c r="G161">
        <v>48.65</v>
      </c>
      <c r="H161">
        <v>23.49</v>
      </c>
      <c r="I161">
        <v>58.36</v>
      </c>
      <c r="J161">
        <v>60.14</v>
      </c>
      <c r="K161">
        <v>72.81</v>
      </c>
      <c r="L161">
        <v>26.55</v>
      </c>
      <c r="M161">
        <v>53.05</v>
      </c>
      <c r="N161">
        <v>60.51</v>
      </c>
      <c r="O161">
        <v>52.64</v>
      </c>
      <c r="P161">
        <v>57.43</v>
      </c>
      <c r="Q161">
        <v>19.655000000000001</v>
      </c>
      <c r="R161">
        <v>1212.49</v>
      </c>
      <c r="S161">
        <v>33.85</v>
      </c>
      <c r="T161">
        <v>20.039899999999999</v>
      </c>
      <c r="U161">
        <v>16.010000000000002</v>
      </c>
      <c r="V161">
        <v>37.56</v>
      </c>
      <c r="W161">
        <v>45.05</v>
      </c>
      <c r="X161">
        <v>26.02</v>
      </c>
      <c r="Y161">
        <v>46.18</v>
      </c>
      <c r="Z161">
        <v>41.15</v>
      </c>
      <c r="AA161">
        <v>73.62</v>
      </c>
      <c r="AB161">
        <v>52.72</v>
      </c>
      <c r="AC161">
        <v>39.81</v>
      </c>
      <c r="AD161">
        <v>565.01</v>
      </c>
      <c r="AE161">
        <v>632.08000000000004</v>
      </c>
      <c r="AF161">
        <v>41.94</v>
      </c>
      <c r="AG161">
        <v>51.26</v>
      </c>
      <c r="AH161">
        <v>43.86</v>
      </c>
      <c r="AI161">
        <v>48.25</v>
      </c>
    </row>
    <row r="162" spans="1:35" x14ac:dyDescent="0.45">
      <c r="A162" s="2">
        <v>45868</v>
      </c>
      <c r="B162">
        <v>30.24</v>
      </c>
      <c r="C162">
        <v>29.48</v>
      </c>
      <c r="D162">
        <v>17.579999999999998</v>
      </c>
      <c r="E162">
        <v>26.175000000000001</v>
      </c>
      <c r="F162">
        <v>32.21</v>
      </c>
      <c r="G162">
        <v>47.99</v>
      </c>
      <c r="H162">
        <v>23.84</v>
      </c>
      <c r="I162">
        <v>58.35</v>
      </c>
      <c r="J162">
        <v>60.17</v>
      </c>
      <c r="K162">
        <v>73.680000000000007</v>
      </c>
      <c r="L162">
        <v>26.88</v>
      </c>
      <c r="M162">
        <v>53.99</v>
      </c>
      <c r="N162">
        <v>60.44</v>
      </c>
      <c r="O162">
        <v>52.7</v>
      </c>
      <c r="P162">
        <v>57.89</v>
      </c>
      <c r="Q162">
        <v>19.66</v>
      </c>
      <c r="R162">
        <v>1219.6199999999999</v>
      </c>
      <c r="S162">
        <v>33.659999999999997</v>
      </c>
      <c r="T162">
        <v>20.260000000000002</v>
      </c>
      <c r="U162">
        <v>16.03</v>
      </c>
      <c r="V162">
        <v>37.619999999999997</v>
      </c>
      <c r="W162">
        <v>45.19</v>
      </c>
      <c r="X162">
        <v>26.15</v>
      </c>
      <c r="Y162">
        <v>46.38</v>
      </c>
      <c r="Z162">
        <v>41.63</v>
      </c>
      <c r="AA162">
        <v>73.98</v>
      </c>
      <c r="AB162">
        <v>53.48</v>
      </c>
      <c r="AC162">
        <v>40.04</v>
      </c>
      <c r="AD162">
        <v>568.02</v>
      </c>
      <c r="AE162">
        <v>634.46</v>
      </c>
      <c r="AF162">
        <v>42.47</v>
      </c>
      <c r="AG162">
        <v>52.2</v>
      </c>
      <c r="AH162">
        <v>44.54</v>
      </c>
      <c r="AI162">
        <v>49.13</v>
      </c>
    </row>
    <row r="163" spans="1:35" x14ac:dyDescent="0.45">
      <c r="A163" s="2">
        <v>45867</v>
      </c>
      <c r="B163">
        <v>30.44</v>
      </c>
      <c r="C163">
        <v>29.83</v>
      </c>
      <c r="D163">
        <v>17.8</v>
      </c>
      <c r="E163">
        <v>26.37</v>
      </c>
      <c r="F163">
        <v>32.25</v>
      </c>
      <c r="G163">
        <v>49.44</v>
      </c>
      <c r="H163">
        <v>24.04</v>
      </c>
      <c r="I163">
        <v>58.62</v>
      </c>
      <c r="J163">
        <v>60.93</v>
      </c>
      <c r="K163">
        <v>73.489999999999995</v>
      </c>
      <c r="L163">
        <v>26.76</v>
      </c>
      <c r="M163">
        <v>54.54</v>
      </c>
      <c r="N163">
        <v>60.98</v>
      </c>
      <c r="O163">
        <v>53.49</v>
      </c>
      <c r="P163">
        <v>58.56</v>
      </c>
      <c r="Q163">
        <v>19.600000000000001</v>
      </c>
      <c r="R163">
        <v>1191.75</v>
      </c>
      <c r="S163">
        <v>33.28</v>
      </c>
      <c r="T163">
        <v>20.145</v>
      </c>
      <c r="U163">
        <v>15.9</v>
      </c>
      <c r="V163">
        <v>37.39</v>
      </c>
      <c r="W163">
        <v>45.834299999999999</v>
      </c>
      <c r="X163">
        <v>26.37</v>
      </c>
      <c r="Y163">
        <v>46.79</v>
      </c>
      <c r="Z163">
        <v>41.89</v>
      </c>
      <c r="AA163">
        <v>73.88</v>
      </c>
      <c r="AB163">
        <v>54.12</v>
      </c>
      <c r="AC163">
        <v>40.39</v>
      </c>
      <c r="AD163">
        <v>567.26</v>
      </c>
      <c r="AE163">
        <v>635.26</v>
      </c>
      <c r="AF163">
        <v>42.91</v>
      </c>
      <c r="AG163">
        <v>52.69</v>
      </c>
      <c r="AH163">
        <v>44.96</v>
      </c>
      <c r="AI163">
        <v>49.06</v>
      </c>
    </row>
    <row r="164" spans="1:35" x14ac:dyDescent="0.45">
      <c r="A164" s="2">
        <v>45866</v>
      </c>
      <c r="B164">
        <v>30.29</v>
      </c>
      <c r="C164">
        <v>29.78</v>
      </c>
      <c r="D164">
        <v>17.75</v>
      </c>
      <c r="E164">
        <v>26.55</v>
      </c>
      <c r="F164">
        <v>32.130000000000003</v>
      </c>
      <c r="G164">
        <v>49.15</v>
      </c>
      <c r="H164">
        <v>24.05</v>
      </c>
      <c r="I164">
        <v>59.06</v>
      </c>
      <c r="J164">
        <v>60.06</v>
      </c>
      <c r="K164">
        <v>72.709999999999994</v>
      </c>
      <c r="L164">
        <v>26.52</v>
      </c>
      <c r="M164">
        <v>54.22</v>
      </c>
      <c r="N164">
        <v>60.45</v>
      </c>
      <c r="O164">
        <v>53.23</v>
      </c>
      <c r="P164">
        <v>58.7</v>
      </c>
      <c r="Q164">
        <v>19.600000000000001</v>
      </c>
      <c r="R164">
        <v>1208.1300000000001</v>
      </c>
      <c r="S164">
        <v>33.43</v>
      </c>
      <c r="T164">
        <v>20.32</v>
      </c>
      <c r="U164">
        <v>16.78</v>
      </c>
      <c r="V164">
        <v>37.61</v>
      </c>
      <c r="W164">
        <v>45.64</v>
      </c>
      <c r="X164">
        <v>26.22</v>
      </c>
      <c r="Y164">
        <v>46.72</v>
      </c>
      <c r="Z164">
        <v>41.67</v>
      </c>
      <c r="AA164">
        <v>74.27</v>
      </c>
      <c r="AB164">
        <v>54.16</v>
      </c>
      <c r="AC164">
        <v>40.119999999999997</v>
      </c>
      <c r="AD164">
        <v>568.14</v>
      </c>
      <c r="AE164">
        <v>636.94000000000005</v>
      </c>
      <c r="AF164">
        <v>42.8</v>
      </c>
      <c r="AG164">
        <v>52.91</v>
      </c>
      <c r="AH164">
        <v>45.78</v>
      </c>
      <c r="AI164">
        <v>48.78</v>
      </c>
    </row>
    <row r="165" spans="1:35" x14ac:dyDescent="0.45">
      <c r="A165" s="2">
        <v>45863</v>
      </c>
      <c r="B165">
        <v>30.31</v>
      </c>
      <c r="C165">
        <v>30.34</v>
      </c>
      <c r="D165">
        <v>17.600000000000001</v>
      </c>
      <c r="E165">
        <v>26.752199999999998</v>
      </c>
      <c r="F165">
        <v>33.35</v>
      </c>
      <c r="G165">
        <v>49.61</v>
      </c>
      <c r="H165">
        <v>24.19</v>
      </c>
      <c r="I165">
        <v>59.43</v>
      </c>
      <c r="J165">
        <v>61.05</v>
      </c>
      <c r="K165">
        <v>73.209999999999994</v>
      </c>
      <c r="L165">
        <v>26.94</v>
      </c>
      <c r="M165">
        <v>54.74</v>
      </c>
      <c r="N165">
        <v>62.15</v>
      </c>
      <c r="O165">
        <v>53.8</v>
      </c>
      <c r="P165">
        <v>58.93</v>
      </c>
      <c r="Q165">
        <v>19.63</v>
      </c>
      <c r="R165">
        <v>1206.58</v>
      </c>
      <c r="S165">
        <v>33.79</v>
      </c>
      <c r="T165">
        <v>20.350000000000001</v>
      </c>
      <c r="U165">
        <v>16.47</v>
      </c>
      <c r="V165">
        <v>37.72</v>
      </c>
      <c r="W165">
        <v>46.051099999999998</v>
      </c>
      <c r="X165">
        <v>26.48</v>
      </c>
      <c r="Y165">
        <v>47.01</v>
      </c>
      <c r="Z165">
        <v>42.81</v>
      </c>
      <c r="AA165">
        <v>75.680000000000007</v>
      </c>
      <c r="AB165">
        <v>55.16</v>
      </c>
      <c r="AC165">
        <v>40.64</v>
      </c>
      <c r="AD165">
        <v>566.37</v>
      </c>
      <c r="AE165">
        <v>637.1</v>
      </c>
      <c r="AF165">
        <v>43.72</v>
      </c>
      <c r="AG165">
        <v>53.5</v>
      </c>
      <c r="AH165">
        <v>46.38</v>
      </c>
      <c r="AI165">
        <v>49.56</v>
      </c>
    </row>
    <row r="166" spans="1:35" x14ac:dyDescent="0.45">
      <c r="A166" s="2">
        <v>45862</v>
      </c>
      <c r="B166">
        <v>30.45</v>
      </c>
      <c r="C166">
        <v>30.49</v>
      </c>
      <c r="D166">
        <v>17.809999999999999</v>
      </c>
      <c r="E166">
        <v>27</v>
      </c>
      <c r="F166">
        <v>33.29</v>
      </c>
      <c r="G166">
        <v>49.98</v>
      </c>
      <c r="H166">
        <v>24.3</v>
      </c>
      <c r="I166">
        <v>59.39</v>
      </c>
      <c r="J166">
        <v>60.85</v>
      </c>
      <c r="K166">
        <v>73.31</v>
      </c>
      <c r="L166">
        <v>27.13</v>
      </c>
      <c r="M166">
        <v>55.44</v>
      </c>
      <c r="N166">
        <v>62</v>
      </c>
      <c r="O166">
        <v>54.06</v>
      </c>
      <c r="P166">
        <v>59.18</v>
      </c>
      <c r="Q166">
        <v>19.61</v>
      </c>
      <c r="R166">
        <v>1198.1099999999999</v>
      </c>
      <c r="S166">
        <v>33.950000000000003</v>
      </c>
      <c r="T166">
        <v>20.11</v>
      </c>
      <c r="U166">
        <v>15.994999999999999</v>
      </c>
      <c r="V166">
        <v>37.68</v>
      </c>
      <c r="W166">
        <v>45.98</v>
      </c>
      <c r="X166">
        <v>26.58</v>
      </c>
      <c r="Y166">
        <v>46.97</v>
      </c>
      <c r="Z166">
        <v>42.7</v>
      </c>
      <c r="AA166">
        <v>76.55</v>
      </c>
      <c r="AB166">
        <v>55.12</v>
      </c>
      <c r="AC166">
        <v>40.770000000000003</v>
      </c>
      <c r="AD166">
        <v>565.01</v>
      </c>
      <c r="AE166">
        <v>634.41999999999996</v>
      </c>
      <c r="AF166">
        <v>43.4</v>
      </c>
      <c r="AG166">
        <v>53.93</v>
      </c>
      <c r="AH166">
        <v>45.9</v>
      </c>
      <c r="AI166">
        <v>49.12</v>
      </c>
    </row>
    <row r="167" spans="1:35" x14ac:dyDescent="0.45">
      <c r="A167" s="2">
        <v>45861</v>
      </c>
      <c r="B167">
        <v>30.35</v>
      </c>
      <c r="C167">
        <v>30.41</v>
      </c>
      <c r="D167">
        <v>17.809999999999999</v>
      </c>
      <c r="E167">
        <v>27.09</v>
      </c>
      <c r="F167">
        <v>33.450000000000003</v>
      </c>
      <c r="G167">
        <v>50.3</v>
      </c>
      <c r="H167">
        <v>24.21</v>
      </c>
      <c r="I167">
        <v>59.8</v>
      </c>
      <c r="J167">
        <v>60.47</v>
      </c>
      <c r="K167">
        <v>73.849999999999994</v>
      </c>
      <c r="L167">
        <v>27.48</v>
      </c>
      <c r="M167">
        <v>56.27</v>
      </c>
      <c r="N167">
        <v>62.58</v>
      </c>
      <c r="O167">
        <v>54.73</v>
      </c>
      <c r="P167">
        <v>59.25</v>
      </c>
      <c r="Q167">
        <v>19.54</v>
      </c>
      <c r="R167">
        <v>1157.6300000000001</v>
      </c>
      <c r="S167">
        <v>33.86</v>
      </c>
      <c r="T167">
        <v>20.105</v>
      </c>
      <c r="U167">
        <v>16</v>
      </c>
      <c r="V167">
        <v>37.97</v>
      </c>
      <c r="W167">
        <v>46.134999999999998</v>
      </c>
      <c r="X167">
        <v>26.82</v>
      </c>
      <c r="Y167">
        <v>47.17</v>
      </c>
      <c r="Z167">
        <v>43.21</v>
      </c>
      <c r="AA167">
        <v>76.489999999999995</v>
      </c>
      <c r="AB167">
        <v>56.2</v>
      </c>
      <c r="AC167">
        <v>40.9</v>
      </c>
      <c r="AD167">
        <v>563.80999999999995</v>
      </c>
      <c r="AE167">
        <v>634.21</v>
      </c>
      <c r="AF167">
        <v>44.4</v>
      </c>
      <c r="AG167">
        <v>54.25</v>
      </c>
      <c r="AH167">
        <v>46.3</v>
      </c>
      <c r="AI167">
        <v>49.84</v>
      </c>
    </row>
    <row r="168" spans="1:35" x14ac:dyDescent="0.45">
      <c r="A168" s="2">
        <v>45860</v>
      </c>
      <c r="B168">
        <v>30.364999999999998</v>
      </c>
      <c r="C168">
        <v>30.39</v>
      </c>
      <c r="D168">
        <v>17.559999999999999</v>
      </c>
      <c r="E168">
        <v>26.52</v>
      </c>
      <c r="F168">
        <v>32.93</v>
      </c>
      <c r="G168">
        <v>49.55</v>
      </c>
      <c r="H168">
        <v>23.99</v>
      </c>
      <c r="I168">
        <v>58.72</v>
      </c>
      <c r="J168">
        <v>59.03</v>
      </c>
      <c r="K168">
        <v>72.89</v>
      </c>
      <c r="L168">
        <v>27</v>
      </c>
      <c r="M168">
        <v>55.74</v>
      </c>
      <c r="N168">
        <v>61.43</v>
      </c>
      <c r="O168">
        <v>54.61</v>
      </c>
      <c r="P168">
        <v>58.664999999999999</v>
      </c>
      <c r="Q168">
        <v>19.34</v>
      </c>
      <c r="R168">
        <v>1161.01</v>
      </c>
      <c r="S168">
        <v>33.869999999999997</v>
      </c>
      <c r="T168">
        <v>19.795000000000002</v>
      </c>
      <c r="U168">
        <v>15.82</v>
      </c>
      <c r="V168">
        <v>37.5</v>
      </c>
      <c r="W168">
        <v>46.155000000000001</v>
      </c>
      <c r="X168">
        <v>26.55</v>
      </c>
      <c r="Y168">
        <v>47.09</v>
      </c>
      <c r="Z168">
        <v>42.42</v>
      </c>
      <c r="AA168">
        <v>72.98</v>
      </c>
      <c r="AB168">
        <v>54.96</v>
      </c>
      <c r="AC168">
        <v>40.43</v>
      </c>
      <c r="AD168">
        <v>561.25</v>
      </c>
      <c r="AE168">
        <v>628.86</v>
      </c>
      <c r="AF168">
        <v>43.16</v>
      </c>
      <c r="AG168">
        <v>53.37</v>
      </c>
      <c r="AH168">
        <v>45.21</v>
      </c>
      <c r="AI168">
        <v>48.55</v>
      </c>
    </row>
    <row r="169" spans="1:35" x14ac:dyDescent="0.45">
      <c r="A169" s="2">
        <v>45859</v>
      </c>
      <c r="B169">
        <v>29.98</v>
      </c>
      <c r="C169">
        <v>30.3</v>
      </c>
      <c r="D169">
        <v>17.73</v>
      </c>
      <c r="E169">
        <v>26.34</v>
      </c>
      <c r="F169">
        <v>32.9</v>
      </c>
      <c r="G169">
        <v>48.93</v>
      </c>
      <c r="H169">
        <v>24.03</v>
      </c>
      <c r="I169">
        <v>59.36</v>
      </c>
      <c r="J169">
        <v>59.24</v>
      </c>
      <c r="K169">
        <v>73.87</v>
      </c>
      <c r="L169">
        <v>27.08</v>
      </c>
      <c r="M169">
        <v>55.7</v>
      </c>
      <c r="N169">
        <v>61.53</v>
      </c>
      <c r="O169">
        <v>54.75</v>
      </c>
      <c r="P169">
        <v>57.81</v>
      </c>
      <c r="Q169">
        <v>19.12</v>
      </c>
      <c r="R169">
        <v>1143.31</v>
      </c>
      <c r="S169">
        <v>33.93</v>
      </c>
      <c r="T169">
        <v>19.899999999999999</v>
      </c>
      <c r="U169">
        <v>15.35</v>
      </c>
      <c r="V169">
        <v>37.82</v>
      </c>
      <c r="W169">
        <v>46.367600000000003</v>
      </c>
      <c r="X169">
        <v>26.37</v>
      </c>
      <c r="Y169">
        <v>46.71</v>
      </c>
      <c r="Z169">
        <v>42.42</v>
      </c>
      <c r="AA169">
        <v>72.61</v>
      </c>
      <c r="AB169">
        <v>54.51</v>
      </c>
      <c r="AC169">
        <v>40.01</v>
      </c>
      <c r="AD169">
        <v>564.16999999999996</v>
      </c>
      <c r="AE169">
        <v>628.77</v>
      </c>
      <c r="AF169">
        <v>43.03</v>
      </c>
      <c r="AG169">
        <v>53.41</v>
      </c>
      <c r="AH169">
        <v>45.25</v>
      </c>
      <c r="AI169">
        <v>48.03</v>
      </c>
    </row>
    <row r="170" spans="1:35" x14ac:dyDescent="0.45">
      <c r="A170" s="2">
        <v>45856</v>
      </c>
      <c r="B170">
        <v>29.73</v>
      </c>
      <c r="C170">
        <v>30.16</v>
      </c>
      <c r="D170">
        <v>17.690000000000001</v>
      </c>
      <c r="E170">
        <v>26.11</v>
      </c>
      <c r="F170">
        <v>32.86</v>
      </c>
      <c r="G170">
        <v>48.32</v>
      </c>
      <c r="H170">
        <v>23.93</v>
      </c>
      <c r="I170">
        <v>59.24</v>
      </c>
      <c r="J170">
        <v>59.46</v>
      </c>
      <c r="K170">
        <v>72.39</v>
      </c>
      <c r="L170">
        <v>26.85</v>
      </c>
      <c r="M170">
        <v>54.81</v>
      </c>
      <c r="N170">
        <v>61.2</v>
      </c>
      <c r="O170">
        <v>54.5</v>
      </c>
      <c r="P170">
        <v>57.45</v>
      </c>
      <c r="Q170">
        <v>18.91</v>
      </c>
      <c r="R170">
        <v>1121.1300000000001</v>
      </c>
      <c r="S170">
        <v>32.994999999999997</v>
      </c>
      <c r="T170">
        <v>19.98</v>
      </c>
      <c r="U170">
        <v>15.574999999999999</v>
      </c>
      <c r="V170">
        <v>38.130000000000003</v>
      </c>
      <c r="W170">
        <v>45.695</v>
      </c>
      <c r="X170">
        <v>26.45</v>
      </c>
      <c r="Y170">
        <v>46.59</v>
      </c>
      <c r="Z170">
        <v>42.13</v>
      </c>
      <c r="AA170">
        <v>71.81</v>
      </c>
      <c r="AB170">
        <v>54.48</v>
      </c>
      <c r="AC170">
        <v>39.799999999999997</v>
      </c>
      <c r="AD170">
        <v>561.26</v>
      </c>
      <c r="AE170">
        <v>627.58000000000004</v>
      </c>
      <c r="AF170">
        <v>42.92</v>
      </c>
      <c r="AG170">
        <v>53.46</v>
      </c>
      <c r="AH170">
        <v>44.65</v>
      </c>
      <c r="AI170">
        <v>47.79</v>
      </c>
    </row>
    <row r="171" spans="1:35" x14ac:dyDescent="0.45">
      <c r="A171" s="2">
        <v>45855</v>
      </c>
      <c r="B171">
        <v>29.6</v>
      </c>
      <c r="C171">
        <v>30.23</v>
      </c>
      <c r="D171">
        <v>17.760000000000002</v>
      </c>
      <c r="E171">
        <v>26.08</v>
      </c>
      <c r="F171">
        <v>32.340000000000003</v>
      </c>
      <c r="G171">
        <v>48.2014</v>
      </c>
      <c r="H171">
        <v>23.93</v>
      </c>
      <c r="I171">
        <v>59.48</v>
      </c>
      <c r="J171">
        <v>59.79</v>
      </c>
      <c r="K171">
        <v>73.06</v>
      </c>
      <c r="L171">
        <v>27.69</v>
      </c>
      <c r="M171">
        <v>53.57</v>
      </c>
      <c r="N171">
        <v>61.52</v>
      </c>
      <c r="O171">
        <v>55.01</v>
      </c>
      <c r="P171">
        <v>56.92</v>
      </c>
      <c r="Q171">
        <v>18.96</v>
      </c>
      <c r="R171">
        <v>1110.4000000000001</v>
      </c>
      <c r="S171">
        <v>33.15</v>
      </c>
      <c r="T171">
        <v>20.05</v>
      </c>
      <c r="U171">
        <v>15.67</v>
      </c>
      <c r="V171">
        <v>38.17</v>
      </c>
      <c r="W171">
        <v>45.872</v>
      </c>
      <c r="X171">
        <v>26.28</v>
      </c>
      <c r="Y171">
        <v>46.71</v>
      </c>
      <c r="Z171">
        <v>42.35</v>
      </c>
      <c r="AA171">
        <v>72.39</v>
      </c>
      <c r="AB171">
        <v>54.36</v>
      </c>
      <c r="AC171">
        <v>39.83</v>
      </c>
      <c r="AD171">
        <v>561.79999999999995</v>
      </c>
      <c r="AE171">
        <v>628.04</v>
      </c>
      <c r="AF171">
        <v>42.98</v>
      </c>
      <c r="AG171">
        <v>53.51</v>
      </c>
      <c r="AH171">
        <v>44.98</v>
      </c>
      <c r="AI171">
        <v>47.75</v>
      </c>
    </row>
    <row r="172" spans="1:35" x14ac:dyDescent="0.45">
      <c r="A172" s="2">
        <v>45854</v>
      </c>
      <c r="B172">
        <v>29.26</v>
      </c>
      <c r="C172">
        <v>29.77</v>
      </c>
      <c r="D172">
        <v>17.7</v>
      </c>
      <c r="E172">
        <v>26.35</v>
      </c>
      <c r="F172">
        <v>31.97</v>
      </c>
      <c r="G172">
        <v>48.003799999999998</v>
      </c>
      <c r="H172">
        <v>23.71</v>
      </c>
      <c r="I172">
        <v>58.98</v>
      </c>
      <c r="J172">
        <v>59.77</v>
      </c>
      <c r="K172">
        <v>73.08</v>
      </c>
      <c r="L172">
        <v>27.57</v>
      </c>
      <c r="M172">
        <v>53.43</v>
      </c>
      <c r="N172">
        <v>60.8</v>
      </c>
      <c r="O172">
        <v>55.27</v>
      </c>
      <c r="P172">
        <v>56.51</v>
      </c>
      <c r="Q172">
        <v>18.779</v>
      </c>
      <c r="R172">
        <v>1115.6500000000001</v>
      </c>
      <c r="S172">
        <v>32.5</v>
      </c>
      <c r="T172">
        <v>19.86</v>
      </c>
      <c r="U172">
        <v>15.41</v>
      </c>
      <c r="V172">
        <v>38.1</v>
      </c>
      <c r="W172">
        <v>45.56</v>
      </c>
      <c r="X172">
        <v>26.19</v>
      </c>
      <c r="Y172">
        <v>46.47</v>
      </c>
      <c r="Z172">
        <v>42.18</v>
      </c>
      <c r="AA172">
        <v>72.02</v>
      </c>
      <c r="AB172">
        <v>54.55</v>
      </c>
      <c r="AC172">
        <v>39.85</v>
      </c>
      <c r="AD172">
        <v>557.29</v>
      </c>
      <c r="AE172">
        <v>624.22</v>
      </c>
      <c r="AF172">
        <v>42.74</v>
      </c>
      <c r="AG172">
        <v>53.47</v>
      </c>
      <c r="AH172">
        <v>44.63</v>
      </c>
      <c r="AI172">
        <v>47.76</v>
      </c>
    </row>
    <row r="173" spans="1:35" x14ac:dyDescent="0.45">
      <c r="A173" s="2">
        <v>45853</v>
      </c>
      <c r="B173">
        <v>29.29</v>
      </c>
      <c r="C173">
        <v>29.89</v>
      </c>
      <c r="D173">
        <v>17.72</v>
      </c>
      <c r="E173">
        <v>26.96</v>
      </c>
      <c r="F173">
        <v>31.66</v>
      </c>
      <c r="G173">
        <v>48.12</v>
      </c>
      <c r="H173">
        <v>23.8</v>
      </c>
      <c r="I173">
        <v>58.27</v>
      </c>
      <c r="J173">
        <v>59.38</v>
      </c>
      <c r="K173">
        <v>73.069999999999993</v>
      </c>
      <c r="L173">
        <v>27.47</v>
      </c>
      <c r="M173">
        <v>52.86</v>
      </c>
      <c r="N173">
        <v>60.25</v>
      </c>
      <c r="O173">
        <v>54.875</v>
      </c>
      <c r="P173">
        <v>56.68</v>
      </c>
      <c r="Q173">
        <v>18.690000000000001</v>
      </c>
      <c r="R173">
        <v>1123</v>
      </c>
      <c r="S173">
        <v>32.840000000000003</v>
      </c>
      <c r="T173">
        <v>19.41</v>
      </c>
      <c r="U173">
        <v>15.04</v>
      </c>
      <c r="V173">
        <v>38.090000000000003</v>
      </c>
      <c r="W173">
        <v>44.89</v>
      </c>
      <c r="X173">
        <v>26.07</v>
      </c>
      <c r="Y173">
        <v>46.04</v>
      </c>
      <c r="Z173">
        <v>41.82</v>
      </c>
      <c r="AA173">
        <v>71.69</v>
      </c>
      <c r="AB173">
        <v>54.18</v>
      </c>
      <c r="AC173">
        <v>39.590000000000003</v>
      </c>
      <c r="AD173">
        <v>556.72</v>
      </c>
      <c r="AE173">
        <v>622.14</v>
      </c>
      <c r="AF173">
        <v>42.56</v>
      </c>
      <c r="AG173">
        <v>54.45</v>
      </c>
      <c r="AH173">
        <v>44.69</v>
      </c>
      <c r="AI173">
        <v>47.32</v>
      </c>
    </row>
    <row r="174" spans="1:35" x14ac:dyDescent="0.45">
      <c r="A174" s="2">
        <v>45852</v>
      </c>
      <c r="B174">
        <v>29.395</v>
      </c>
      <c r="C174">
        <v>30.21</v>
      </c>
      <c r="D174">
        <v>17.63</v>
      </c>
      <c r="E174">
        <v>27.36</v>
      </c>
      <c r="F174">
        <v>32.14</v>
      </c>
      <c r="G174">
        <v>48.69</v>
      </c>
      <c r="H174">
        <v>24.09</v>
      </c>
      <c r="I174">
        <v>57.81</v>
      </c>
      <c r="J174">
        <v>59.61</v>
      </c>
      <c r="K174">
        <v>73.2</v>
      </c>
      <c r="L174">
        <v>27.31</v>
      </c>
      <c r="M174">
        <v>52.99</v>
      </c>
      <c r="N174">
        <v>60.82</v>
      </c>
      <c r="O174">
        <v>54.92</v>
      </c>
      <c r="P174">
        <v>55.55</v>
      </c>
      <c r="Q174">
        <v>18.71</v>
      </c>
      <c r="R174">
        <v>1119.94</v>
      </c>
      <c r="S174">
        <v>32.97</v>
      </c>
      <c r="T174">
        <v>19.37</v>
      </c>
      <c r="U174">
        <v>15.24</v>
      </c>
      <c r="V174">
        <v>38.65</v>
      </c>
      <c r="W174">
        <v>45.49</v>
      </c>
      <c r="X174">
        <v>26.39</v>
      </c>
      <c r="Y174">
        <v>46.44</v>
      </c>
      <c r="Z174">
        <v>42.35</v>
      </c>
      <c r="AA174">
        <v>72.41</v>
      </c>
      <c r="AB174">
        <v>54.71</v>
      </c>
      <c r="AC174">
        <v>40.03</v>
      </c>
      <c r="AD174">
        <v>556.21</v>
      </c>
      <c r="AE174">
        <v>624.80999999999995</v>
      </c>
      <c r="AF174">
        <v>43.12</v>
      </c>
      <c r="AG174">
        <v>54.4</v>
      </c>
      <c r="AH174">
        <v>45.3</v>
      </c>
      <c r="AI174">
        <v>48.16</v>
      </c>
    </row>
    <row r="175" spans="1:35" x14ac:dyDescent="0.45">
      <c r="A175" s="2">
        <v>45849</v>
      </c>
      <c r="B175">
        <v>29.2</v>
      </c>
      <c r="C175">
        <v>30.51</v>
      </c>
      <c r="D175">
        <v>17.87</v>
      </c>
      <c r="E175">
        <v>27.13</v>
      </c>
      <c r="F175">
        <v>31.95</v>
      </c>
      <c r="G175">
        <v>48.83</v>
      </c>
      <c r="H175">
        <v>24.08</v>
      </c>
      <c r="I175">
        <v>58.3</v>
      </c>
      <c r="J175">
        <v>60.13</v>
      </c>
      <c r="K175">
        <v>72.56</v>
      </c>
      <c r="L175">
        <v>27.53</v>
      </c>
      <c r="M175">
        <v>52.98</v>
      </c>
      <c r="N175">
        <v>60.99</v>
      </c>
      <c r="O175">
        <v>54.88</v>
      </c>
      <c r="P175">
        <v>54.95</v>
      </c>
      <c r="Q175">
        <v>18.73</v>
      </c>
      <c r="R175">
        <v>1127.21</v>
      </c>
      <c r="S175">
        <v>33.17</v>
      </c>
      <c r="T175">
        <v>19.21</v>
      </c>
      <c r="U175">
        <v>15.22</v>
      </c>
      <c r="V175">
        <v>38.89</v>
      </c>
      <c r="W175">
        <v>45.76</v>
      </c>
      <c r="X175">
        <v>26.36</v>
      </c>
      <c r="Y175">
        <v>46.13</v>
      </c>
      <c r="Z175">
        <v>42.45</v>
      </c>
      <c r="AA175">
        <v>72.36</v>
      </c>
      <c r="AB175">
        <v>54.7</v>
      </c>
      <c r="AC175">
        <v>39.92</v>
      </c>
      <c r="AD175">
        <v>554.20000000000005</v>
      </c>
      <c r="AE175">
        <v>623.62</v>
      </c>
      <c r="AF175">
        <v>43.28</v>
      </c>
      <c r="AG175">
        <v>54.41</v>
      </c>
      <c r="AH175">
        <v>45.57</v>
      </c>
      <c r="AI175">
        <v>47.99</v>
      </c>
    </row>
    <row r="176" spans="1:35" x14ac:dyDescent="0.45">
      <c r="A176" s="2">
        <v>45848</v>
      </c>
      <c r="B176">
        <v>29.32</v>
      </c>
      <c r="C176">
        <v>31.1</v>
      </c>
      <c r="D176">
        <v>17.760000000000002</v>
      </c>
      <c r="E176">
        <v>27.19</v>
      </c>
      <c r="F176">
        <v>32.049999999999997</v>
      </c>
      <c r="G176">
        <v>49.12</v>
      </c>
      <c r="H176">
        <v>24.11</v>
      </c>
      <c r="I176">
        <v>58.38</v>
      </c>
      <c r="J176">
        <v>60.29</v>
      </c>
      <c r="K176">
        <v>73.14</v>
      </c>
      <c r="L176">
        <v>27.72</v>
      </c>
      <c r="M176">
        <v>53.95</v>
      </c>
      <c r="N176">
        <v>61.32</v>
      </c>
      <c r="O176">
        <v>55.27</v>
      </c>
      <c r="P176">
        <v>55.01</v>
      </c>
      <c r="Q176">
        <v>18.75</v>
      </c>
      <c r="R176">
        <v>1115.69</v>
      </c>
      <c r="S176">
        <v>33.25</v>
      </c>
      <c r="T176">
        <v>19.079999999999998</v>
      </c>
      <c r="U176">
        <v>15.12</v>
      </c>
      <c r="V176">
        <v>39</v>
      </c>
      <c r="W176">
        <v>46.01</v>
      </c>
      <c r="X176">
        <v>26.58</v>
      </c>
      <c r="Y176">
        <v>46.41</v>
      </c>
      <c r="Z176">
        <v>42.86</v>
      </c>
      <c r="AA176">
        <v>72.94</v>
      </c>
      <c r="AB176">
        <v>55.45</v>
      </c>
      <c r="AC176">
        <v>40.270000000000003</v>
      </c>
      <c r="AD176">
        <v>555.45000000000005</v>
      </c>
      <c r="AE176">
        <v>625.82000000000005</v>
      </c>
      <c r="AF176">
        <v>43.75</v>
      </c>
      <c r="AG176">
        <v>54.63</v>
      </c>
      <c r="AH176">
        <v>46.39</v>
      </c>
      <c r="AI176">
        <v>48.53</v>
      </c>
    </row>
    <row r="177" spans="1:35" x14ac:dyDescent="0.45">
      <c r="A177" s="2">
        <v>45847</v>
      </c>
      <c r="B177">
        <v>29.07</v>
      </c>
      <c r="C177">
        <v>31.04</v>
      </c>
      <c r="D177">
        <v>17.47</v>
      </c>
      <c r="E177">
        <v>27.15</v>
      </c>
      <c r="F177">
        <v>32.72</v>
      </c>
      <c r="G177">
        <v>48.81</v>
      </c>
      <c r="H177">
        <v>23.98</v>
      </c>
      <c r="I177">
        <v>58.03</v>
      </c>
      <c r="J177">
        <v>60.28</v>
      </c>
      <c r="K177">
        <v>72.08</v>
      </c>
      <c r="L177">
        <v>28.16</v>
      </c>
      <c r="M177">
        <v>54</v>
      </c>
      <c r="N177">
        <v>61.08</v>
      </c>
      <c r="O177">
        <v>55.66</v>
      </c>
      <c r="P177">
        <v>54.58</v>
      </c>
      <c r="Q177">
        <v>18.75</v>
      </c>
      <c r="R177">
        <v>1110.01</v>
      </c>
      <c r="S177">
        <v>32.79</v>
      </c>
      <c r="T177">
        <v>19.13</v>
      </c>
      <c r="U177">
        <v>14.89</v>
      </c>
      <c r="V177">
        <v>38.89</v>
      </c>
      <c r="W177">
        <v>46.07</v>
      </c>
      <c r="X177">
        <v>26.24</v>
      </c>
      <c r="Y177">
        <v>46.13</v>
      </c>
      <c r="Z177">
        <v>43.26</v>
      </c>
      <c r="AA177">
        <v>73.3</v>
      </c>
      <c r="AB177">
        <v>55.28</v>
      </c>
      <c r="AC177">
        <v>40.01</v>
      </c>
      <c r="AD177">
        <v>556.25</v>
      </c>
      <c r="AE177">
        <v>624.05999999999995</v>
      </c>
      <c r="AF177">
        <v>43.84</v>
      </c>
      <c r="AG177">
        <v>54.58</v>
      </c>
      <c r="AH177">
        <v>46.05</v>
      </c>
      <c r="AI177">
        <v>49.17</v>
      </c>
    </row>
    <row r="178" spans="1:35" x14ac:dyDescent="0.45">
      <c r="A178" s="2">
        <v>45846</v>
      </c>
      <c r="B178">
        <v>29.12</v>
      </c>
      <c r="C178">
        <v>31.41</v>
      </c>
      <c r="D178">
        <v>17.309999999999999</v>
      </c>
      <c r="E178">
        <v>26.78</v>
      </c>
      <c r="F178">
        <v>32.619999999999997</v>
      </c>
      <c r="G178">
        <v>49.3</v>
      </c>
      <c r="H178">
        <v>23.95</v>
      </c>
      <c r="I178">
        <v>57.66</v>
      </c>
      <c r="J178">
        <v>60.89</v>
      </c>
      <c r="K178">
        <v>72.08</v>
      </c>
      <c r="L178">
        <v>28.71</v>
      </c>
      <c r="M178">
        <v>53.81</v>
      </c>
      <c r="N178">
        <v>60.9</v>
      </c>
      <c r="O178">
        <v>55.69</v>
      </c>
      <c r="P178">
        <v>55.13</v>
      </c>
      <c r="Q178">
        <v>18.73</v>
      </c>
      <c r="R178">
        <v>1089.56</v>
      </c>
      <c r="S178">
        <v>32.119999999999997</v>
      </c>
      <c r="T178">
        <v>18.84</v>
      </c>
      <c r="U178">
        <v>14.51</v>
      </c>
      <c r="V178">
        <v>38.9</v>
      </c>
      <c r="W178">
        <v>45.98</v>
      </c>
      <c r="X178">
        <v>26.14</v>
      </c>
      <c r="Y178">
        <v>46</v>
      </c>
      <c r="Z178">
        <v>42.59</v>
      </c>
      <c r="AA178">
        <v>73.19</v>
      </c>
      <c r="AB178">
        <v>54.82</v>
      </c>
      <c r="AC178">
        <v>39.79</v>
      </c>
      <c r="AD178">
        <v>552.34</v>
      </c>
      <c r="AE178">
        <v>620.34</v>
      </c>
      <c r="AF178">
        <v>43.27</v>
      </c>
      <c r="AG178">
        <v>54.33</v>
      </c>
      <c r="AH178">
        <v>45.55</v>
      </c>
      <c r="AI178">
        <v>48.34</v>
      </c>
    </row>
    <row r="179" spans="1:35" x14ac:dyDescent="0.45">
      <c r="A179" s="2">
        <v>45845</v>
      </c>
      <c r="B179">
        <v>28.86</v>
      </c>
      <c r="C179">
        <v>31.02</v>
      </c>
      <c r="D179">
        <v>17.34</v>
      </c>
      <c r="E179">
        <v>26.72</v>
      </c>
      <c r="F179">
        <v>32.25</v>
      </c>
      <c r="G179">
        <v>49.62</v>
      </c>
      <c r="H179">
        <v>23.93</v>
      </c>
      <c r="I179">
        <v>57.63</v>
      </c>
      <c r="J179">
        <v>61.11</v>
      </c>
      <c r="K179">
        <v>70.069999999999993</v>
      </c>
      <c r="L179">
        <v>28.6</v>
      </c>
      <c r="M179">
        <v>53.84</v>
      </c>
      <c r="N179">
        <v>59.12</v>
      </c>
      <c r="O179">
        <v>55.36</v>
      </c>
      <c r="P179">
        <v>54.62</v>
      </c>
      <c r="Q179">
        <v>18.68</v>
      </c>
      <c r="R179">
        <v>1082.42</v>
      </c>
      <c r="S179">
        <v>32.44</v>
      </c>
      <c r="T179">
        <v>18.86</v>
      </c>
      <c r="U179">
        <v>14.18</v>
      </c>
      <c r="V179">
        <v>39.08</v>
      </c>
      <c r="W179">
        <v>45.5</v>
      </c>
      <c r="X179">
        <v>25.98</v>
      </c>
      <c r="Y179">
        <v>46.18</v>
      </c>
      <c r="Z179">
        <v>42.23</v>
      </c>
      <c r="AA179">
        <v>72.819999999999993</v>
      </c>
      <c r="AB179">
        <v>54.53</v>
      </c>
      <c r="AC179">
        <v>39.42</v>
      </c>
      <c r="AD179">
        <v>552.03</v>
      </c>
      <c r="AE179">
        <v>620.67999999999995</v>
      </c>
      <c r="AF179">
        <v>42.68</v>
      </c>
      <c r="AG179">
        <v>53.98</v>
      </c>
      <c r="AH179">
        <v>45.52</v>
      </c>
      <c r="AI179">
        <v>47.87</v>
      </c>
    </row>
    <row r="180" spans="1:35" x14ac:dyDescent="0.45">
      <c r="A180" s="2">
        <v>45841</v>
      </c>
      <c r="B180">
        <v>28.91</v>
      </c>
      <c r="C180">
        <v>31.82</v>
      </c>
      <c r="D180">
        <v>17.47</v>
      </c>
      <c r="E180">
        <v>27.08</v>
      </c>
      <c r="F180">
        <v>32.82</v>
      </c>
      <c r="G180">
        <v>50.06</v>
      </c>
      <c r="H180">
        <v>24.41</v>
      </c>
      <c r="I180">
        <v>59.44</v>
      </c>
      <c r="J180">
        <v>61.7</v>
      </c>
      <c r="K180">
        <v>72.7</v>
      </c>
      <c r="L180">
        <v>29.31</v>
      </c>
      <c r="M180">
        <v>54.79</v>
      </c>
      <c r="N180">
        <v>59.72</v>
      </c>
      <c r="O180">
        <v>55.79</v>
      </c>
      <c r="P180">
        <v>54.72</v>
      </c>
      <c r="Q180">
        <v>18.63</v>
      </c>
      <c r="R180">
        <v>1106.73</v>
      </c>
      <c r="S180">
        <v>33.04</v>
      </c>
      <c r="T180">
        <v>18.84</v>
      </c>
      <c r="U180">
        <v>13.96</v>
      </c>
      <c r="V180">
        <v>38.89</v>
      </c>
      <c r="W180">
        <v>45.96</v>
      </c>
      <c r="X180">
        <v>26.48</v>
      </c>
      <c r="Y180">
        <v>46.67</v>
      </c>
      <c r="Z180">
        <v>42.21</v>
      </c>
      <c r="AA180">
        <v>74.599999999999994</v>
      </c>
      <c r="AB180">
        <v>54.9</v>
      </c>
      <c r="AC180">
        <v>39.82</v>
      </c>
      <c r="AD180">
        <v>556.22</v>
      </c>
      <c r="AE180">
        <v>625.34</v>
      </c>
      <c r="AF180">
        <v>43.08</v>
      </c>
      <c r="AG180">
        <v>54.29</v>
      </c>
      <c r="AH180">
        <v>45.62</v>
      </c>
      <c r="AI180">
        <v>48.21</v>
      </c>
    </row>
    <row r="181" spans="1:35" x14ac:dyDescent="0.45">
      <c r="A181" s="2">
        <v>45840</v>
      </c>
      <c r="B181">
        <v>28.7</v>
      </c>
      <c r="C181">
        <v>31.85</v>
      </c>
      <c r="D181">
        <v>17.48</v>
      </c>
      <c r="E181">
        <v>27</v>
      </c>
      <c r="F181">
        <v>32.19</v>
      </c>
      <c r="G181">
        <v>49.75</v>
      </c>
      <c r="H181">
        <v>24.41</v>
      </c>
      <c r="I181">
        <v>58.75</v>
      </c>
      <c r="J181">
        <v>61.59</v>
      </c>
      <c r="K181">
        <v>71.95</v>
      </c>
      <c r="L181">
        <v>28.91</v>
      </c>
      <c r="M181">
        <v>54.31</v>
      </c>
      <c r="N181">
        <v>59.34</v>
      </c>
      <c r="O181">
        <v>55.6</v>
      </c>
      <c r="P181">
        <v>55</v>
      </c>
      <c r="Q181">
        <v>18.559999999999999</v>
      </c>
      <c r="R181">
        <v>1107.69</v>
      </c>
      <c r="S181">
        <v>33.07</v>
      </c>
      <c r="T181">
        <v>18.600000000000001</v>
      </c>
      <c r="U181">
        <v>13.76</v>
      </c>
      <c r="V181">
        <v>38.44</v>
      </c>
      <c r="W181">
        <v>46.265000000000001</v>
      </c>
      <c r="X181">
        <v>26.54</v>
      </c>
      <c r="Y181">
        <v>46.33</v>
      </c>
      <c r="Z181">
        <v>42.17</v>
      </c>
      <c r="AA181">
        <v>74.459999999999994</v>
      </c>
      <c r="AB181">
        <v>55.27</v>
      </c>
      <c r="AC181">
        <v>39.61</v>
      </c>
      <c r="AD181">
        <v>550.79999999999995</v>
      </c>
      <c r="AE181">
        <v>620.45000000000005</v>
      </c>
      <c r="AF181">
        <v>43.27</v>
      </c>
      <c r="AG181">
        <v>54.3</v>
      </c>
      <c r="AH181">
        <v>45.51</v>
      </c>
      <c r="AI181">
        <v>48.29</v>
      </c>
    </row>
    <row r="182" spans="1:35" x14ac:dyDescent="0.45">
      <c r="A182" s="2">
        <v>45839</v>
      </c>
      <c r="B182">
        <v>28.71</v>
      </c>
      <c r="C182">
        <v>31.51</v>
      </c>
      <c r="D182">
        <v>17.489999999999998</v>
      </c>
      <c r="E182">
        <v>27.14</v>
      </c>
      <c r="F182">
        <v>32.06</v>
      </c>
      <c r="G182">
        <v>48.857199999999999</v>
      </c>
      <c r="H182">
        <v>24.38</v>
      </c>
      <c r="I182">
        <v>57.58</v>
      </c>
      <c r="J182">
        <v>61.12</v>
      </c>
      <c r="K182">
        <v>71.64</v>
      </c>
      <c r="L182">
        <v>28.79</v>
      </c>
      <c r="M182">
        <v>54.21</v>
      </c>
      <c r="N182">
        <v>58.63</v>
      </c>
      <c r="O182">
        <v>55.84</v>
      </c>
      <c r="P182">
        <v>55.27</v>
      </c>
      <c r="Q182">
        <v>18.579999999999998</v>
      </c>
      <c r="R182">
        <v>1100.01</v>
      </c>
      <c r="S182">
        <v>32.479999999999997</v>
      </c>
      <c r="T182">
        <v>18.66</v>
      </c>
      <c r="U182">
        <v>13.72</v>
      </c>
      <c r="V182">
        <v>38.25</v>
      </c>
      <c r="W182">
        <v>45.96</v>
      </c>
      <c r="X182">
        <v>26.35</v>
      </c>
      <c r="Y182">
        <v>46.19</v>
      </c>
      <c r="Z182">
        <v>42.01</v>
      </c>
      <c r="AA182">
        <v>74.42</v>
      </c>
      <c r="AB182">
        <v>54.98</v>
      </c>
      <c r="AC182">
        <v>39.85</v>
      </c>
      <c r="AD182">
        <v>546.99</v>
      </c>
      <c r="AE182">
        <v>617.65</v>
      </c>
      <c r="AF182">
        <v>42.87</v>
      </c>
      <c r="AG182">
        <v>54.07</v>
      </c>
      <c r="AH182">
        <v>45.19</v>
      </c>
      <c r="AI182">
        <v>48.05</v>
      </c>
    </row>
    <row r="183" spans="1:35" x14ac:dyDescent="0.45">
      <c r="A183" s="2">
        <v>45838</v>
      </c>
      <c r="B183">
        <v>28.71</v>
      </c>
      <c r="C183">
        <v>31.45</v>
      </c>
      <c r="D183">
        <v>17.63</v>
      </c>
      <c r="E183">
        <v>27.12</v>
      </c>
      <c r="F183">
        <v>32.26</v>
      </c>
      <c r="G183">
        <v>48.59</v>
      </c>
      <c r="H183">
        <v>24.34</v>
      </c>
      <c r="I183">
        <v>57.4</v>
      </c>
      <c r="J183">
        <v>60.56</v>
      </c>
      <c r="K183">
        <v>71.78</v>
      </c>
      <c r="L183">
        <v>28.85</v>
      </c>
      <c r="M183">
        <v>53.75</v>
      </c>
      <c r="N183">
        <v>58.04</v>
      </c>
      <c r="O183">
        <v>55.68</v>
      </c>
      <c r="P183">
        <v>55.1</v>
      </c>
      <c r="Q183">
        <v>18.62</v>
      </c>
      <c r="R183">
        <v>1062.78</v>
      </c>
      <c r="S183">
        <v>32.26</v>
      </c>
      <c r="T183">
        <v>18.72</v>
      </c>
      <c r="U183">
        <v>13.75</v>
      </c>
      <c r="V183">
        <v>38.54</v>
      </c>
      <c r="W183">
        <v>45.61</v>
      </c>
      <c r="X183">
        <v>26.32</v>
      </c>
      <c r="Y183">
        <v>46.2</v>
      </c>
      <c r="Z183">
        <v>42.31</v>
      </c>
      <c r="AA183">
        <v>74.97</v>
      </c>
      <c r="AB183">
        <v>54.81</v>
      </c>
      <c r="AC183">
        <v>39.72</v>
      </c>
      <c r="AD183">
        <v>551.64</v>
      </c>
      <c r="AE183">
        <v>617.85</v>
      </c>
      <c r="AF183">
        <v>42.8</v>
      </c>
      <c r="AG183">
        <v>54.5</v>
      </c>
      <c r="AH183">
        <v>45.74</v>
      </c>
      <c r="AI183">
        <v>48.14</v>
      </c>
    </row>
    <row r="184" spans="1:35" x14ac:dyDescent="0.45">
      <c r="A184" s="2">
        <v>45835</v>
      </c>
      <c r="B184">
        <v>28.46</v>
      </c>
      <c r="C184">
        <v>31.05</v>
      </c>
      <c r="D184">
        <v>17.489999999999998</v>
      </c>
      <c r="E184">
        <v>27.23</v>
      </c>
      <c r="F184">
        <v>31.69</v>
      </c>
      <c r="G184">
        <v>48.49</v>
      </c>
      <c r="H184">
        <v>24.07</v>
      </c>
      <c r="I184">
        <v>57.85</v>
      </c>
      <c r="J184">
        <v>60.32</v>
      </c>
      <c r="K184">
        <v>70.739999999999995</v>
      </c>
      <c r="L184">
        <v>28.14</v>
      </c>
      <c r="M184">
        <v>52.64</v>
      </c>
      <c r="N184">
        <v>58.17</v>
      </c>
      <c r="O184">
        <v>55.86</v>
      </c>
      <c r="P184">
        <v>55.18</v>
      </c>
      <c r="Q184">
        <v>18.57</v>
      </c>
      <c r="R184">
        <v>1067.6300000000001</v>
      </c>
      <c r="S184">
        <v>30.49</v>
      </c>
      <c r="T184">
        <v>18.57</v>
      </c>
      <c r="U184">
        <v>13.73</v>
      </c>
      <c r="V184">
        <v>38.26</v>
      </c>
      <c r="W184">
        <v>45.37</v>
      </c>
      <c r="X184">
        <v>26.09</v>
      </c>
      <c r="Y184">
        <v>45.58</v>
      </c>
      <c r="Z184">
        <v>42.3</v>
      </c>
      <c r="AA184">
        <v>75.28</v>
      </c>
      <c r="AB184">
        <v>54.63</v>
      </c>
      <c r="AC184">
        <v>39.72</v>
      </c>
      <c r="AD184">
        <v>548.09</v>
      </c>
      <c r="AE184">
        <v>614.91</v>
      </c>
      <c r="AF184">
        <v>42.61</v>
      </c>
      <c r="AG184">
        <v>54.36</v>
      </c>
      <c r="AH184">
        <v>46.02</v>
      </c>
      <c r="AI184">
        <v>47.86</v>
      </c>
    </row>
    <row r="185" spans="1:35" x14ac:dyDescent="0.45">
      <c r="A185" s="2">
        <v>45834</v>
      </c>
      <c r="B185">
        <v>28.79</v>
      </c>
      <c r="C185">
        <v>31.26</v>
      </c>
      <c r="D185">
        <v>17.510000000000002</v>
      </c>
      <c r="E185">
        <v>26.85</v>
      </c>
      <c r="F185">
        <v>31.65</v>
      </c>
      <c r="G185">
        <v>49.107799999999997</v>
      </c>
      <c r="H185">
        <v>24.07</v>
      </c>
      <c r="I185">
        <v>57.85</v>
      </c>
      <c r="J185">
        <v>60.31</v>
      </c>
      <c r="K185">
        <v>71.94</v>
      </c>
      <c r="L185">
        <v>28.13</v>
      </c>
      <c r="M185">
        <v>52.98</v>
      </c>
      <c r="N185">
        <v>59.31</v>
      </c>
      <c r="O185">
        <v>55.71</v>
      </c>
      <c r="P185">
        <v>55.54</v>
      </c>
      <c r="Q185">
        <v>18.53</v>
      </c>
      <c r="R185">
        <v>1068.73</v>
      </c>
      <c r="S185">
        <v>30.19</v>
      </c>
      <c r="T185">
        <v>18.5</v>
      </c>
      <c r="U185">
        <v>13.61</v>
      </c>
      <c r="V185">
        <v>38.159999999999997</v>
      </c>
      <c r="W185">
        <v>45.32</v>
      </c>
      <c r="X185">
        <v>26.43</v>
      </c>
      <c r="Y185">
        <v>45.92</v>
      </c>
      <c r="Z185">
        <v>41.64</v>
      </c>
      <c r="AA185">
        <v>73.97</v>
      </c>
      <c r="AB185">
        <v>54.26</v>
      </c>
      <c r="AC185">
        <v>39.69</v>
      </c>
      <c r="AD185">
        <v>546.22</v>
      </c>
      <c r="AE185">
        <v>611.87</v>
      </c>
      <c r="AF185">
        <v>42.14</v>
      </c>
      <c r="AG185">
        <v>53.97</v>
      </c>
      <c r="AH185">
        <v>45.33</v>
      </c>
      <c r="AI185">
        <v>47.5</v>
      </c>
    </row>
    <row r="186" spans="1:35" x14ac:dyDescent="0.45">
      <c r="A186" s="2">
        <v>45833</v>
      </c>
      <c r="B186">
        <v>28.805</v>
      </c>
      <c r="C186">
        <v>30.86</v>
      </c>
      <c r="D186">
        <v>17.18</v>
      </c>
      <c r="E186">
        <v>26.81</v>
      </c>
      <c r="F186">
        <v>30.57</v>
      </c>
      <c r="G186">
        <v>47.315899999999999</v>
      </c>
      <c r="H186">
        <v>23.82</v>
      </c>
      <c r="I186">
        <v>57.31</v>
      </c>
      <c r="J186">
        <v>59.68</v>
      </c>
      <c r="K186">
        <v>72.37</v>
      </c>
      <c r="L186">
        <v>27.57</v>
      </c>
      <c r="M186">
        <v>52.89</v>
      </c>
      <c r="N186">
        <v>58.42</v>
      </c>
      <c r="O186">
        <v>55</v>
      </c>
      <c r="P186">
        <v>55.53</v>
      </c>
      <c r="Q186">
        <v>18.36</v>
      </c>
      <c r="R186">
        <v>1094.58</v>
      </c>
      <c r="S186">
        <v>30.68</v>
      </c>
      <c r="T186">
        <v>18.22</v>
      </c>
      <c r="U186">
        <v>13.54</v>
      </c>
      <c r="V186">
        <v>37.82</v>
      </c>
      <c r="W186">
        <v>44.6</v>
      </c>
      <c r="X186">
        <v>26.03</v>
      </c>
      <c r="Y186">
        <v>45.32</v>
      </c>
      <c r="Z186">
        <v>41.15</v>
      </c>
      <c r="AA186">
        <v>72.44</v>
      </c>
      <c r="AB186">
        <v>53.75</v>
      </c>
      <c r="AC186">
        <v>39.28</v>
      </c>
      <c r="AD186">
        <v>541.16</v>
      </c>
      <c r="AE186">
        <v>607.12</v>
      </c>
      <c r="AF186">
        <v>41.89</v>
      </c>
      <c r="AG186">
        <v>53.8</v>
      </c>
      <c r="AH186">
        <v>44.67</v>
      </c>
      <c r="AI186">
        <v>47.17</v>
      </c>
    </row>
    <row r="187" spans="1:35" x14ac:dyDescent="0.45">
      <c r="A187" s="2">
        <v>45832</v>
      </c>
      <c r="B187">
        <v>28.55</v>
      </c>
      <c r="C187">
        <v>30.96</v>
      </c>
      <c r="D187">
        <v>17.38</v>
      </c>
      <c r="E187">
        <v>26.61</v>
      </c>
      <c r="F187">
        <v>30.56</v>
      </c>
      <c r="G187">
        <v>47.313000000000002</v>
      </c>
      <c r="H187">
        <v>23.77</v>
      </c>
      <c r="I187">
        <v>56.82</v>
      </c>
      <c r="J187">
        <v>59.21</v>
      </c>
      <c r="K187">
        <v>72.650000000000006</v>
      </c>
      <c r="L187">
        <v>27.98</v>
      </c>
      <c r="M187">
        <v>53.46</v>
      </c>
      <c r="N187">
        <v>57.86</v>
      </c>
      <c r="O187">
        <v>54.8</v>
      </c>
      <c r="P187">
        <v>55.57</v>
      </c>
      <c r="Q187">
        <v>18.25</v>
      </c>
      <c r="R187">
        <v>1113.58</v>
      </c>
      <c r="S187">
        <v>30.86</v>
      </c>
      <c r="T187">
        <v>18.3</v>
      </c>
      <c r="U187">
        <v>13.62</v>
      </c>
      <c r="V187">
        <v>37.72</v>
      </c>
      <c r="W187">
        <v>44.79</v>
      </c>
      <c r="X187">
        <v>26.05</v>
      </c>
      <c r="Y187">
        <v>45.62</v>
      </c>
      <c r="Z187">
        <v>41.39</v>
      </c>
      <c r="AA187">
        <v>72.739999999999995</v>
      </c>
      <c r="AB187">
        <v>54.32</v>
      </c>
      <c r="AC187">
        <v>39.409999999999997</v>
      </c>
      <c r="AD187">
        <v>539.78</v>
      </c>
      <c r="AE187">
        <v>606.78</v>
      </c>
      <c r="AF187">
        <v>42.04</v>
      </c>
      <c r="AG187">
        <v>54.16</v>
      </c>
      <c r="AH187">
        <v>44.95</v>
      </c>
      <c r="AI187">
        <v>47.2</v>
      </c>
    </row>
    <row r="188" spans="1:35" x14ac:dyDescent="0.45">
      <c r="A188" s="2">
        <v>45831</v>
      </c>
      <c r="B188">
        <v>28.03</v>
      </c>
      <c r="C188">
        <v>30.03</v>
      </c>
      <c r="D188">
        <v>16.89</v>
      </c>
      <c r="E188">
        <v>25.96</v>
      </c>
      <c r="F188">
        <v>29.51</v>
      </c>
      <c r="G188">
        <v>46.97</v>
      </c>
      <c r="H188">
        <v>23.53</v>
      </c>
      <c r="I188">
        <v>55.18</v>
      </c>
      <c r="J188">
        <v>57.94</v>
      </c>
      <c r="K188">
        <v>69.42</v>
      </c>
      <c r="L188">
        <v>27.66</v>
      </c>
      <c r="M188">
        <v>52.35</v>
      </c>
      <c r="N188">
        <v>56.55</v>
      </c>
      <c r="O188">
        <v>54.31</v>
      </c>
      <c r="P188">
        <v>54.13</v>
      </c>
      <c r="Q188">
        <v>17.96</v>
      </c>
      <c r="R188">
        <v>1114.49</v>
      </c>
      <c r="S188">
        <v>30.08</v>
      </c>
      <c r="T188">
        <v>17.66</v>
      </c>
      <c r="U188">
        <v>13.4</v>
      </c>
      <c r="V188">
        <v>37.1</v>
      </c>
      <c r="W188">
        <v>44.86</v>
      </c>
      <c r="X188">
        <v>25.79</v>
      </c>
      <c r="Y188">
        <v>45.33</v>
      </c>
      <c r="Z188">
        <v>40.75</v>
      </c>
      <c r="AA188">
        <v>72.02</v>
      </c>
      <c r="AB188">
        <v>53.46</v>
      </c>
      <c r="AC188">
        <v>39.17</v>
      </c>
      <c r="AD188">
        <v>531.65</v>
      </c>
      <c r="AE188">
        <v>600.15</v>
      </c>
      <c r="AF188">
        <v>41.57</v>
      </c>
      <c r="AG188">
        <v>53.03</v>
      </c>
      <c r="AH188">
        <v>43.96</v>
      </c>
      <c r="AI188">
        <v>46.45</v>
      </c>
    </row>
    <row r="189" spans="1:35" x14ac:dyDescent="0.45">
      <c r="A189" s="2">
        <v>45828</v>
      </c>
      <c r="B189">
        <v>27.925000000000001</v>
      </c>
      <c r="C189">
        <v>30.1</v>
      </c>
      <c r="D189">
        <v>17.18</v>
      </c>
      <c r="E189">
        <v>26.5</v>
      </c>
      <c r="F189">
        <v>29.72</v>
      </c>
      <c r="G189">
        <v>47.08</v>
      </c>
      <c r="H189">
        <v>23.41</v>
      </c>
      <c r="I189">
        <v>54.84</v>
      </c>
      <c r="J189">
        <v>58.11</v>
      </c>
      <c r="K189">
        <v>68.53</v>
      </c>
      <c r="L189">
        <v>27.67</v>
      </c>
      <c r="M189">
        <v>51.73</v>
      </c>
      <c r="N189">
        <v>54.71</v>
      </c>
      <c r="O189">
        <v>53.9</v>
      </c>
      <c r="P189">
        <v>53.5</v>
      </c>
      <c r="Q189">
        <v>17.72</v>
      </c>
      <c r="R189">
        <v>1122.7</v>
      </c>
      <c r="S189">
        <v>29.96</v>
      </c>
      <c r="T189">
        <v>17.260000000000002</v>
      </c>
      <c r="U189">
        <v>13.345000000000001</v>
      </c>
      <c r="V189">
        <v>36.56</v>
      </c>
      <c r="W189">
        <v>44.6</v>
      </c>
      <c r="X189">
        <v>25.55</v>
      </c>
      <c r="Y189">
        <v>45.1</v>
      </c>
      <c r="Z189">
        <v>40.340000000000003</v>
      </c>
      <c r="AA189">
        <v>71.760000000000005</v>
      </c>
      <c r="AB189">
        <v>52.68</v>
      </c>
      <c r="AC189">
        <v>38.9</v>
      </c>
      <c r="AD189">
        <v>526.83000000000004</v>
      </c>
      <c r="AE189">
        <v>594.28</v>
      </c>
      <c r="AF189">
        <v>41.29</v>
      </c>
      <c r="AG189">
        <v>51.892699999999998</v>
      </c>
      <c r="AH189">
        <v>43.81</v>
      </c>
      <c r="AI189">
        <v>46.36</v>
      </c>
    </row>
    <row r="190" spans="1:35" x14ac:dyDescent="0.45">
      <c r="A190" s="2">
        <v>45826</v>
      </c>
      <c r="B190">
        <v>27.96</v>
      </c>
      <c r="C190">
        <v>30.34</v>
      </c>
      <c r="D190">
        <v>17.87</v>
      </c>
      <c r="E190">
        <v>26.7</v>
      </c>
      <c r="F190">
        <v>29.36</v>
      </c>
      <c r="G190">
        <v>47.413699999999999</v>
      </c>
      <c r="H190">
        <v>23.59</v>
      </c>
      <c r="I190">
        <v>56.03</v>
      </c>
      <c r="J190">
        <v>58.97</v>
      </c>
      <c r="K190">
        <v>67.87</v>
      </c>
      <c r="L190">
        <v>28.08</v>
      </c>
      <c r="M190">
        <v>51.8</v>
      </c>
      <c r="N190">
        <v>54.58</v>
      </c>
      <c r="O190">
        <v>53.79</v>
      </c>
      <c r="P190">
        <v>53.93</v>
      </c>
      <c r="Q190">
        <v>17.82</v>
      </c>
      <c r="R190">
        <v>1128.6199999999999</v>
      </c>
      <c r="S190">
        <v>30.11</v>
      </c>
      <c r="T190">
        <v>16.989999999999998</v>
      </c>
      <c r="U190">
        <v>13.36</v>
      </c>
      <c r="V190">
        <v>36.36</v>
      </c>
      <c r="W190">
        <v>45.08</v>
      </c>
      <c r="X190">
        <v>25.86</v>
      </c>
      <c r="Y190">
        <v>45.32</v>
      </c>
      <c r="Z190">
        <v>40.28</v>
      </c>
      <c r="AA190">
        <v>73.05</v>
      </c>
      <c r="AB190">
        <v>53.25</v>
      </c>
      <c r="AC190">
        <v>39.22</v>
      </c>
      <c r="AD190">
        <v>528.99</v>
      </c>
      <c r="AE190">
        <v>597.44000000000005</v>
      </c>
      <c r="AF190">
        <v>41.67</v>
      </c>
      <c r="AG190">
        <v>52.247599999999998</v>
      </c>
      <c r="AH190">
        <v>43.98</v>
      </c>
      <c r="AI190">
        <v>46.46</v>
      </c>
    </row>
    <row r="191" spans="1:35" x14ac:dyDescent="0.45">
      <c r="A191" s="2">
        <v>45825</v>
      </c>
      <c r="B191">
        <v>28</v>
      </c>
      <c r="C191">
        <v>30.45</v>
      </c>
      <c r="D191">
        <v>18.02</v>
      </c>
      <c r="E191">
        <v>26.98</v>
      </c>
      <c r="F191">
        <v>29.39</v>
      </c>
      <c r="G191">
        <v>47.62</v>
      </c>
      <c r="H191">
        <v>23.53</v>
      </c>
      <c r="I191">
        <v>55.65</v>
      </c>
      <c r="J191">
        <v>58.91</v>
      </c>
      <c r="K191">
        <v>66.63</v>
      </c>
      <c r="L191">
        <v>28.11</v>
      </c>
      <c r="M191">
        <v>51.56</v>
      </c>
      <c r="N191">
        <v>54.88</v>
      </c>
      <c r="O191">
        <v>53.83</v>
      </c>
      <c r="P191">
        <v>54.44</v>
      </c>
      <c r="Q191">
        <v>17.895</v>
      </c>
      <c r="R191">
        <v>1141.58</v>
      </c>
      <c r="S191">
        <v>30.21</v>
      </c>
      <c r="T191">
        <v>17.239999999999998</v>
      </c>
      <c r="U191">
        <v>13.31</v>
      </c>
      <c r="V191">
        <v>36.83</v>
      </c>
      <c r="W191">
        <v>45.09</v>
      </c>
      <c r="X191">
        <v>25.77</v>
      </c>
      <c r="Y191">
        <v>45.45</v>
      </c>
      <c r="Z191">
        <v>40.4</v>
      </c>
      <c r="AA191">
        <v>72.28</v>
      </c>
      <c r="AB191">
        <v>53.42</v>
      </c>
      <c r="AC191">
        <v>39.200000000000003</v>
      </c>
      <c r="AD191">
        <v>529.08000000000004</v>
      </c>
      <c r="AE191">
        <v>597.53</v>
      </c>
      <c r="AF191">
        <v>41.74</v>
      </c>
      <c r="AG191">
        <v>52.33</v>
      </c>
      <c r="AH191">
        <v>44.43</v>
      </c>
      <c r="AI191">
        <v>46.26</v>
      </c>
    </row>
    <row r="192" spans="1:35" x14ac:dyDescent="0.45">
      <c r="A192" s="2">
        <v>45824</v>
      </c>
      <c r="B192">
        <v>28.12</v>
      </c>
      <c r="C192">
        <v>31.11</v>
      </c>
      <c r="D192">
        <v>18.010000000000002</v>
      </c>
      <c r="E192">
        <v>27.35</v>
      </c>
      <c r="F192">
        <v>29.38</v>
      </c>
      <c r="G192">
        <v>47.7117</v>
      </c>
      <c r="H192">
        <v>23.93</v>
      </c>
      <c r="I192">
        <v>56.46</v>
      </c>
      <c r="J192">
        <v>59.82</v>
      </c>
      <c r="K192">
        <v>68.19</v>
      </c>
      <c r="L192">
        <v>28.31</v>
      </c>
      <c r="M192">
        <v>53.04</v>
      </c>
      <c r="N192">
        <v>55.79</v>
      </c>
      <c r="O192">
        <v>54.56</v>
      </c>
      <c r="P192">
        <v>55.01</v>
      </c>
      <c r="Q192">
        <v>18.045000000000002</v>
      </c>
      <c r="R192">
        <v>1139.1600000000001</v>
      </c>
      <c r="S192">
        <v>30.63</v>
      </c>
      <c r="T192">
        <v>17.559999999999999</v>
      </c>
      <c r="U192">
        <v>13.26</v>
      </c>
      <c r="V192">
        <v>37.479999999999997</v>
      </c>
      <c r="W192">
        <v>45.97</v>
      </c>
      <c r="X192">
        <v>26.09</v>
      </c>
      <c r="Y192">
        <v>45.76</v>
      </c>
      <c r="Z192">
        <v>41.13</v>
      </c>
      <c r="AA192">
        <v>73.150000000000006</v>
      </c>
      <c r="AB192">
        <v>53.77</v>
      </c>
      <c r="AC192">
        <v>39.619999999999997</v>
      </c>
      <c r="AD192">
        <v>534.29</v>
      </c>
      <c r="AE192">
        <v>602.67999999999995</v>
      </c>
      <c r="AF192">
        <v>42.21</v>
      </c>
      <c r="AG192">
        <v>53.08</v>
      </c>
      <c r="AH192">
        <v>44.91</v>
      </c>
      <c r="AI192">
        <v>47.21</v>
      </c>
    </row>
    <row r="193" spans="1:35" x14ac:dyDescent="0.45">
      <c r="A193" s="2">
        <v>45821</v>
      </c>
      <c r="B193">
        <v>28.15</v>
      </c>
      <c r="C193">
        <v>31.83</v>
      </c>
      <c r="D193">
        <v>18.62</v>
      </c>
      <c r="E193">
        <v>27.66</v>
      </c>
      <c r="F193">
        <v>29.86</v>
      </c>
      <c r="G193">
        <v>48.2913</v>
      </c>
      <c r="H193">
        <v>24.26</v>
      </c>
      <c r="I193">
        <v>55.85</v>
      </c>
      <c r="J193">
        <v>61.06</v>
      </c>
      <c r="K193">
        <v>66.42</v>
      </c>
      <c r="L193">
        <v>28.14</v>
      </c>
      <c r="M193">
        <v>53.3</v>
      </c>
      <c r="N193">
        <v>56</v>
      </c>
      <c r="O193">
        <v>54.04</v>
      </c>
      <c r="P193">
        <v>54.77</v>
      </c>
      <c r="Q193">
        <v>18.2</v>
      </c>
      <c r="R193">
        <v>1135.24</v>
      </c>
      <c r="S193">
        <v>30.75</v>
      </c>
      <c r="T193">
        <v>17.88</v>
      </c>
      <c r="U193">
        <v>13.02</v>
      </c>
      <c r="V193">
        <v>37.130000000000003</v>
      </c>
      <c r="W193">
        <v>45.19</v>
      </c>
      <c r="X193">
        <v>26.32</v>
      </c>
      <c r="Y193">
        <v>45.88</v>
      </c>
      <c r="Z193">
        <v>41.51</v>
      </c>
      <c r="AA193">
        <v>73.599999999999994</v>
      </c>
      <c r="AB193">
        <v>55.22</v>
      </c>
      <c r="AC193">
        <v>40.42</v>
      </c>
      <c r="AD193">
        <v>526.96</v>
      </c>
      <c r="AE193">
        <v>597</v>
      </c>
      <c r="AF193">
        <v>42.83</v>
      </c>
      <c r="AG193">
        <v>53.54</v>
      </c>
      <c r="AH193">
        <v>45.49</v>
      </c>
      <c r="AI193">
        <v>47.43</v>
      </c>
    </row>
    <row r="194" spans="1:35" x14ac:dyDescent="0.45">
      <c r="A194" s="2">
        <v>45820</v>
      </c>
      <c r="B194">
        <v>28.42</v>
      </c>
      <c r="C194">
        <v>32.51</v>
      </c>
      <c r="D194">
        <v>18.899999999999999</v>
      </c>
      <c r="E194">
        <v>28.08</v>
      </c>
      <c r="F194">
        <v>30.63</v>
      </c>
      <c r="G194">
        <v>48.584800000000001</v>
      </c>
      <c r="H194">
        <v>24.54</v>
      </c>
      <c r="I194">
        <v>56.74</v>
      </c>
      <c r="J194">
        <v>61.57</v>
      </c>
      <c r="K194">
        <v>67.69</v>
      </c>
      <c r="L194">
        <v>28.15</v>
      </c>
      <c r="M194">
        <v>54.77</v>
      </c>
      <c r="N194">
        <v>56.89</v>
      </c>
      <c r="O194">
        <v>54.8</v>
      </c>
      <c r="P194">
        <v>55.79</v>
      </c>
      <c r="Q194">
        <v>18.899999999999999</v>
      </c>
      <c r="R194">
        <v>1136.43</v>
      </c>
      <c r="S194">
        <v>31.57</v>
      </c>
      <c r="T194">
        <v>18.395</v>
      </c>
      <c r="U194">
        <v>13.36</v>
      </c>
      <c r="V194">
        <v>38.07</v>
      </c>
      <c r="W194">
        <v>46.07</v>
      </c>
      <c r="X194">
        <v>26.64</v>
      </c>
      <c r="Y194">
        <v>46</v>
      </c>
      <c r="Z194">
        <v>42.22</v>
      </c>
      <c r="AA194">
        <v>74.209999999999994</v>
      </c>
      <c r="AB194">
        <v>56.27</v>
      </c>
      <c r="AC194">
        <v>40.78</v>
      </c>
      <c r="AD194">
        <v>533.66</v>
      </c>
      <c r="AE194">
        <v>603.75</v>
      </c>
      <c r="AF194">
        <v>43.57</v>
      </c>
      <c r="AG194">
        <v>54.73</v>
      </c>
      <c r="AH194">
        <v>46.02</v>
      </c>
      <c r="AI194">
        <v>48.25</v>
      </c>
    </row>
    <row r="195" spans="1:35" x14ac:dyDescent="0.45">
      <c r="A195" s="2">
        <v>45819</v>
      </c>
      <c r="B195">
        <v>28.29</v>
      </c>
      <c r="C195">
        <v>32.54</v>
      </c>
      <c r="D195">
        <v>18.91</v>
      </c>
      <c r="E195">
        <v>27.93</v>
      </c>
      <c r="F195">
        <v>30.62</v>
      </c>
      <c r="G195">
        <v>48.44</v>
      </c>
      <c r="H195">
        <v>24.45</v>
      </c>
      <c r="I195">
        <v>55.83</v>
      </c>
      <c r="J195">
        <v>61.56</v>
      </c>
      <c r="K195">
        <v>66.989999999999995</v>
      </c>
      <c r="L195">
        <v>28.22</v>
      </c>
      <c r="M195">
        <v>54.08</v>
      </c>
      <c r="N195">
        <v>56.52</v>
      </c>
      <c r="O195">
        <v>55.33</v>
      </c>
      <c r="P195">
        <v>55.86</v>
      </c>
      <c r="Q195">
        <v>18.96</v>
      </c>
      <c r="R195">
        <v>1140.6300000000001</v>
      </c>
      <c r="S195">
        <v>32.11</v>
      </c>
      <c r="T195">
        <v>18.72</v>
      </c>
      <c r="U195">
        <v>13.32</v>
      </c>
      <c r="V195">
        <v>38.46</v>
      </c>
      <c r="W195">
        <v>45.76</v>
      </c>
      <c r="X195">
        <v>26.6</v>
      </c>
      <c r="Y195">
        <v>45.66</v>
      </c>
      <c r="Z195">
        <v>42.11</v>
      </c>
      <c r="AA195">
        <v>73.67</v>
      </c>
      <c r="AB195">
        <v>55.43</v>
      </c>
      <c r="AC195">
        <v>40.409999999999997</v>
      </c>
      <c r="AD195">
        <v>532.41</v>
      </c>
      <c r="AE195">
        <v>601.36</v>
      </c>
      <c r="AF195">
        <v>43.11</v>
      </c>
      <c r="AG195">
        <v>54.37</v>
      </c>
      <c r="AH195">
        <v>45.9</v>
      </c>
      <c r="AI195">
        <v>47.93</v>
      </c>
    </row>
    <row r="196" spans="1:35" x14ac:dyDescent="0.45">
      <c r="A196" s="2">
        <v>45818</v>
      </c>
      <c r="B196">
        <v>28.1</v>
      </c>
      <c r="C196">
        <v>31.82</v>
      </c>
      <c r="D196">
        <v>18.84</v>
      </c>
      <c r="E196">
        <v>27.82</v>
      </c>
      <c r="F196">
        <v>30.83</v>
      </c>
      <c r="G196">
        <v>48.231099999999998</v>
      </c>
      <c r="H196">
        <v>24.28</v>
      </c>
      <c r="I196">
        <v>55.8</v>
      </c>
      <c r="J196">
        <v>61.36</v>
      </c>
      <c r="K196">
        <v>66.16</v>
      </c>
      <c r="L196">
        <v>27.72</v>
      </c>
      <c r="M196">
        <v>54.66</v>
      </c>
      <c r="N196">
        <v>56.48</v>
      </c>
      <c r="O196">
        <v>55.26</v>
      </c>
      <c r="P196">
        <v>55.69</v>
      </c>
      <c r="Q196">
        <v>18.920000000000002</v>
      </c>
      <c r="R196">
        <v>1132.02</v>
      </c>
      <c r="S196">
        <v>32.17</v>
      </c>
      <c r="T196">
        <v>18.78</v>
      </c>
      <c r="U196">
        <v>13.4</v>
      </c>
      <c r="V196">
        <v>38.72</v>
      </c>
      <c r="W196">
        <v>45.65</v>
      </c>
      <c r="X196">
        <v>26.71</v>
      </c>
      <c r="Y196">
        <v>45.43</v>
      </c>
      <c r="Z196">
        <v>42.12</v>
      </c>
      <c r="AA196">
        <v>73.88</v>
      </c>
      <c r="AB196">
        <v>55.67</v>
      </c>
      <c r="AC196">
        <v>40.31</v>
      </c>
      <c r="AD196">
        <v>534.21</v>
      </c>
      <c r="AE196">
        <v>603.08000000000004</v>
      </c>
      <c r="AF196">
        <v>43.21</v>
      </c>
      <c r="AG196">
        <v>54.57</v>
      </c>
      <c r="AH196">
        <v>45.94</v>
      </c>
      <c r="AI196">
        <v>47.93</v>
      </c>
    </row>
    <row r="197" spans="1:35" x14ac:dyDescent="0.45">
      <c r="A197" s="2">
        <v>45817</v>
      </c>
      <c r="B197">
        <v>28.3</v>
      </c>
      <c r="C197">
        <v>31.75</v>
      </c>
      <c r="D197">
        <v>18.59</v>
      </c>
      <c r="E197">
        <v>28.12</v>
      </c>
      <c r="F197">
        <v>30</v>
      </c>
      <c r="G197">
        <v>48.53</v>
      </c>
      <c r="H197">
        <v>24.32</v>
      </c>
      <c r="I197">
        <v>54.71</v>
      </c>
      <c r="J197">
        <v>61.09</v>
      </c>
      <c r="K197">
        <v>66.48</v>
      </c>
      <c r="L197">
        <v>27.62</v>
      </c>
      <c r="M197">
        <v>54.44</v>
      </c>
      <c r="N197">
        <v>55.85</v>
      </c>
      <c r="O197">
        <v>55.24</v>
      </c>
      <c r="P197">
        <v>55.52</v>
      </c>
      <c r="Q197">
        <v>18.829999999999998</v>
      </c>
      <c r="R197">
        <v>1149.18</v>
      </c>
      <c r="S197">
        <v>31.66</v>
      </c>
      <c r="T197">
        <v>18.71</v>
      </c>
      <c r="U197">
        <v>13.26</v>
      </c>
      <c r="V197">
        <v>38.57</v>
      </c>
      <c r="W197">
        <v>45.32</v>
      </c>
      <c r="X197">
        <v>26.44</v>
      </c>
      <c r="Y197">
        <v>45.3</v>
      </c>
      <c r="Z197">
        <v>42.31</v>
      </c>
      <c r="AA197">
        <v>73.930000000000007</v>
      </c>
      <c r="AB197">
        <v>55.62</v>
      </c>
      <c r="AC197">
        <v>40.340000000000003</v>
      </c>
      <c r="AD197">
        <v>530.70000000000005</v>
      </c>
      <c r="AE197">
        <v>599.67999999999995</v>
      </c>
      <c r="AF197">
        <v>43.08</v>
      </c>
      <c r="AG197">
        <v>54.02</v>
      </c>
      <c r="AH197">
        <v>45.91</v>
      </c>
      <c r="AI197">
        <v>48.18</v>
      </c>
    </row>
    <row r="198" spans="1:35" x14ac:dyDescent="0.45">
      <c r="A198" s="2">
        <v>45814</v>
      </c>
      <c r="B198">
        <v>28.22</v>
      </c>
      <c r="C198">
        <v>31.84</v>
      </c>
      <c r="D198">
        <v>18.510000000000002</v>
      </c>
      <c r="E198">
        <v>27.95</v>
      </c>
      <c r="F198">
        <v>29.46</v>
      </c>
      <c r="G198">
        <v>48.5916</v>
      </c>
      <c r="H198">
        <v>24.25</v>
      </c>
      <c r="I198">
        <v>54.11</v>
      </c>
      <c r="J198">
        <v>61.24</v>
      </c>
      <c r="K198">
        <v>65.569999999999993</v>
      </c>
      <c r="L198">
        <v>27.72</v>
      </c>
      <c r="M198">
        <v>53.94</v>
      </c>
      <c r="N198">
        <v>55.46</v>
      </c>
      <c r="O198">
        <v>54.91</v>
      </c>
      <c r="P198">
        <v>54.92</v>
      </c>
      <c r="Q198">
        <v>18.829999999999998</v>
      </c>
      <c r="R198">
        <v>1164.01</v>
      </c>
      <c r="S198">
        <v>31.61</v>
      </c>
      <c r="T198">
        <v>18.670000000000002</v>
      </c>
      <c r="U198">
        <v>13.64</v>
      </c>
      <c r="V198">
        <v>38.51</v>
      </c>
      <c r="W198">
        <v>45.31</v>
      </c>
      <c r="X198">
        <v>26.37</v>
      </c>
      <c r="Y198">
        <v>45.39</v>
      </c>
      <c r="Z198">
        <v>42.52</v>
      </c>
      <c r="AA198">
        <v>73.819999999999993</v>
      </c>
      <c r="AB198">
        <v>55.64</v>
      </c>
      <c r="AC198">
        <v>40.35</v>
      </c>
      <c r="AD198">
        <v>529.91999999999996</v>
      </c>
      <c r="AE198">
        <v>599.14</v>
      </c>
      <c r="AF198">
        <v>43.04</v>
      </c>
      <c r="AG198">
        <v>53.63</v>
      </c>
      <c r="AH198">
        <v>46.14</v>
      </c>
      <c r="AI198">
        <v>48.3</v>
      </c>
    </row>
    <row r="199" spans="1:35" x14ac:dyDescent="0.45">
      <c r="A199" s="2">
        <v>45813</v>
      </c>
      <c r="B199">
        <v>28.29</v>
      </c>
      <c r="C199">
        <v>32.17</v>
      </c>
      <c r="D199">
        <v>18.559999999999999</v>
      </c>
      <c r="E199">
        <v>27.96</v>
      </c>
      <c r="F199">
        <v>29.75</v>
      </c>
      <c r="G199">
        <v>48.796100000000003</v>
      </c>
      <c r="H199">
        <v>24.31</v>
      </c>
      <c r="I199">
        <v>53.74</v>
      </c>
      <c r="J199">
        <v>60.72</v>
      </c>
      <c r="K199">
        <v>65.36</v>
      </c>
      <c r="L199">
        <v>27.6</v>
      </c>
      <c r="M199">
        <v>54.03</v>
      </c>
      <c r="N199">
        <v>55.77</v>
      </c>
      <c r="O199">
        <v>54.18</v>
      </c>
      <c r="P199">
        <v>54.99</v>
      </c>
      <c r="Q199">
        <v>18.78</v>
      </c>
      <c r="R199">
        <v>1160.74</v>
      </c>
      <c r="S199">
        <v>31.44</v>
      </c>
      <c r="T199">
        <v>18.61</v>
      </c>
      <c r="U199">
        <v>13.74</v>
      </c>
      <c r="V199">
        <v>38.479999999999997</v>
      </c>
      <c r="W199">
        <v>45.53</v>
      </c>
      <c r="X199">
        <v>26.36</v>
      </c>
      <c r="Y199">
        <v>45.32</v>
      </c>
      <c r="Z199">
        <v>42.57</v>
      </c>
      <c r="AA199">
        <v>73.39</v>
      </c>
      <c r="AB199">
        <v>55.47</v>
      </c>
      <c r="AC199">
        <v>40.22</v>
      </c>
      <c r="AD199">
        <v>524.79</v>
      </c>
      <c r="AE199">
        <v>593.04999999999995</v>
      </c>
      <c r="AF199">
        <v>43.04</v>
      </c>
      <c r="AG199">
        <v>53.36</v>
      </c>
      <c r="AH199">
        <v>46.17</v>
      </c>
      <c r="AI199">
        <v>47.98</v>
      </c>
    </row>
    <row r="200" spans="1:35" x14ac:dyDescent="0.45">
      <c r="A200" s="2">
        <v>45812</v>
      </c>
      <c r="B200">
        <v>28.18</v>
      </c>
      <c r="C200">
        <v>31.88</v>
      </c>
      <c r="D200">
        <v>18.45</v>
      </c>
      <c r="E200">
        <v>27.66</v>
      </c>
      <c r="F200">
        <v>30.22</v>
      </c>
      <c r="G200">
        <v>48.064999999999998</v>
      </c>
      <c r="H200">
        <v>24.14</v>
      </c>
      <c r="I200">
        <v>53.96</v>
      </c>
      <c r="J200">
        <v>60.25</v>
      </c>
      <c r="K200">
        <v>63.98</v>
      </c>
      <c r="L200">
        <v>27.44</v>
      </c>
      <c r="M200">
        <v>53.46</v>
      </c>
      <c r="N200">
        <v>55.24</v>
      </c>
      <c r="O200">
        <v>53.92</v>
      </c>
      <c r="P200">
        <v>54.79</v>
      </c>
      <c r="Q200">
        <v>18.91</v>
      </c>
      <c r="R200">
        <v>1163.42</v>
      </c>
      <c r="S200">
        <v>31.36</v>
      </c>
      <c r="T200">
        <v>18.59</v>
      </c>
      <c r="U200">
        <v>13.86</v>
      </c>
      <c r="V200">
        <v>38.380000000000003</v>
      </c>
      <c r="W200">
        <v>45.25</v>
      </c>
      <c r="X200">
        <v>26.33</v>
      </c>
      <c r="Y200">
        <v>45.25</v>
      </c>
      <c r="Z200">
        <v>42.46</v>
      </c>
      <c r="AA200">
        <v>74.08</v>
      </c>
      <c r="AB200">
        <v>55.56</v>
      </c>
      <c r="AC200">
        <v>40.19</v>
      </c>
      <c r="AD200">
        <v>528.77</v>
      </c>
      <c r="AE200">
        <v>595.92999999999995</v>
      </c>
      <c r="AF200">
        <v>43.08</v>
      </c>
      <c r="AG200">
        <v>53.23</v>
      </c>
      <c r="AH200">
        <v>45.93</v>
      </c>
      <c r="AI200">
        <v>47.74</v>
      </c>
    </row>
    <row r="201" spans="1:35" x14ac:dyDescent="0.45">
      <c r="A201" s="2">
        <v>45811</v>
      </c>
      <c r="B201">
        <v>27.96</v>
      </c>
      <c r="C201">
        <v>31.58</v>
      </c>
      <c r="D201">
        <v>18.420000000000002</v>
      </c>
      <c r="E201">
        <v>27.78</v>
      </c>
      <c r="F201">
        <v>29.92</v>
      </c>
      <c r="G201">
        <v>47.95</v>
      </c>
      <c r="H201">
        <v>24.09</v>
      </c>
      <c r="I201">
        <v>53.15</v>
      </c>
      <c r="J201">
        <v>60.39</v>
      </c>
      <c r="K201">
        <v>61.89</v>
      </c>
      <c r="L201">
        <v>27.58</v>
      </c>
      <c r="M201">
        <v>53.13</v>
      </c>
      <c r="N201">
        <v>55.29</v>
      </c>
      <c r="O201">
        <v>53.96</v>
      </c>
      <c r="P201">
        <v>53.76</v>
      </c>
      <c r="Q201">
        <v>19.079999999999998</v>
      </c>
      <c r="R201">
        <v>1178.43</v>
      </c>
      <c r="S201">
        <v>30.84</v>
      </c>
      <c r="T201">
        <v>18.59</v>
      </c>
      <c r="U201">
        <v>13.96</v>
      </c>
      <c r="V201">
        <v>38</v>
      </c>
      <c r="W201">
        <v>44.61</v>
      </c>
      <c r="X201">
        <v>26.07</v>
      </c>
      <c r="Y201">
        <v>45.34</v>
      </c>
      <c r="Z201">
        <v>42.12</v>
      </c>
      <c r="AA201">
        <v>74.13</v>
      </c>
      <c r="AB201">
        <v>55.03</v>
      </c>
      <c r="AC201">
        <v>40.06</v>
      </c>
      <c r="AD201">
        <v>527.29999999999995</v>
      </c>
      <c r="AE201">
        <v>596.09</v>
      </c>
      <c r="AF201">
        <v>42.84</v>
      </c>
      <c r="AG201">
        <v>52.95</v>
      </c>
      <c r="AH201">
        <v>45.2</v>
      </c>
      <c r="AI201">
        <v>47.87</v>
      </c>
    </row>
    <row r="202" spans="1:35" x14ac:dyDescent="0.45">
      <c r="A202" s="2">
        <v>45810</v>
      </c>
      <c r="B202">
        <v>27.72</v>
      </c>
      <c r="C202">
        <v>31.53</v>
      </c>
      <c r="D202">
        <v>18.559999999999999</v>
      </c>
      <c r="E202">
        <v>27.6</v>
      </c>
      <c r="F202">
        <v>30.49</v>
      </c>
      <c r="G202">
        <v>47.72</v>
      </c>
      <c r="H202">
        <v>24.15</v>
      </c>
      <c r="I202">
        <v>52.84</v>
      </c>
      <c r="J202">
        <v>60.64</v>
      </c>
      <c r="K202">
        <v>61.74</v>
      </c>
      <c r="L202">
        <v>27.27</v>
      </c>
      <c r="M202">
        <v>53.27</v>
      </c>
      <c r="N202">
        <v>55.7</v>
      </c>
      <c r="O202">
        <v>54.54</v>
      </c>
      <c r="P202">
        <v>53.26</v>
      </c>
      <c r="Q202">
        <v>18.8</v>
      </c>
      <c r="R202">
        <v>1176.3599999999999</v>
      </c>
      <c r="S202">
        <v>30.05</v>
      </c>
      <c r="T202">
        <v>18.45</v>
      </c>
      <c r="U202">
        <v>13.81</v>
      </c>
      <c r="V202">
        <v>38.159999999999997</v>
      </c>
      <c r="W202">
        <v>45.04</v>
      </c>
      <c r="X202">
        <v>26.15</v>
      </c>
      <c r="Y202">
        <v>45.39</v>
      </c>
      <c r="Z202">
        <v>42.34</v>
      </c>
      <c r="AA202">
        <v>75.040000000000006</v>
      </c>
      <c r="AB202">
        <v>55.54</v>
      </c>
      <c r="AC202">
        <v>40.29</v>
      </c>
      <c r="AD202">
        <v>523.21</v>
      </c>
      <c r="AE202">
        <v>592.71</v>
      </c>
      <c r="AF202">
        <v>43.14</v>
      </c>
      <c r="AG202">
        <v>53.285800000000002</v>
      </c>
      <c r="AH202">
        <v>45.62</v>
      </c>
      <c r="AI202">
        <v>48.32</v>
      </c>
    </row>
    <row r="204" spans="1:35" x14ac:dyDescent="0.45">
      <c r="A204" t="s">
        <v>78</v>
      </c>
      <c r="B204">
        <f>AVERAGE(_xlfn.ANCHORARRAY(B2))</f>
        <v>33.05145671641791</v>
      </c>
      <c r="C204">
        <f t="shared" ref="C204:AI204" si="0">AVERAGE(_xlfn.ANCHORARRAY(C2))</f>
        <v>36.239004975124395</v>
      </c>
      <c r="D204">
        <f t="shared" si="0"/>
        <v>17.98243781094526</v>
      </c>
      <c r="E204">
        <f t="shared" si="0"/>
        <v>25.905806965174126</v>
      </c>
      <c r="F204">
        <f t="shared" si="0"/>
        <v>33.864676616915425</v>
      </c>
      <c r="G204">
        <f t="shared" si="0"/>
        <v>64.748408955223894</v>
      </c>
      <c r="H204">
        <f t="shared" si="0"/>
        <v>26.30950248756217</v>
      </c>
      <c r="I204">
        <f t="shared" si="0"/>
        <v>63.732686567164151</v>
      </c>
      <c r="J204">
        <f t="shared" si="0"/>
        <v>67.414079601990025</v>
      </c>
      <c r="K204">
        <f t="shared" si="0"/>
        <v>92.561791044776129</v>
      </c>
      <c r="L204">
        <f t="shared" si="0"/>
        <v>31.589900497512431</v>
      </c>
      <c r="M204">
        <f t="shared" si="0"/>
        <v>64.114328358208951</v>
      </c>
      <c r="N204">
        <f t="shared" si="0"/>
        <v>64.938650746268664</v>
      </c>
      <c r="O204">
        <f t="shared" si="0"/>
        <v>53.317114427860687</v>
      </c>
      <c r="P204">
        <f t="shared" si="0"/>
        <v>60.585000000000029</v>
      </c>
      <c r="Q204">
        <f t="shared" si="0"/>
        <v>19.299279601990058</v>
      </c>
      <c r="R204">
        <f t="shared" si="0"/>
        <v>1271.4578606965174</v>
      </c>
      <c r="S204">
        <f t="shared" si="0"/>
        <v>35.121317412935312</v>
      </c>
      <c r="T204">
        <f t="shared" si="0"/>
        <v>19.520057711442789</v>
      </c>
      <c r="U204">
        <f t="shared" si="0"/>
        <v>17.391019900497522</v>
      </c>
      <c r="V204">
        <f t="shared" si="0"/>
        <v>38.290149253731357</v>
      </c>
      <c r="W204">
        <f t="shared" si="0"/>
        <v>45.782146766169149</v>
      </c>
      <c r="X204">
        <f t="shared" si="0"/>
        <v>26.961442786069629</v>
      </c>
      <c r="Y204">
        <f t="shared" si="0"/>
        <v>50.968159203980093</v>
      </c>
      <c r="Z204">
        <f t="shared" si="0"/>
        <v>41.979353233830864</v>
      </c>
      <c r="AA204">
        <f t="shared" si="0"/>
        <v>81.073134328358208</v>
      </c>
      <c r="AB204">
        <f t="shared" si="0"/>
        <v>57.431592039800996</v>
      </c>
      <c r="AC204">
        <f t="shared" si="0"/>
        <v>42.843084577114432</v>
      </c>
      <c r="AD204">
        <f t="shared" si="0"/>
        <v>592.20990049751242</v>
      </c>
      <c r="AE204">
        <f t="shared" si="0"/>
        <v>659.76656716417892</v>
      </c>
      <c r="AF204">
        <f t="shared" si="0"/>
        <v>44.171044776119409</v>
      </c>
      <c r="AG204">
        <f t="shared" si="0"/>
        <v>57.149915920398044</v>
      </c>
      <c r="AH204">
        <f t="shared" si="0"/>
        <v>48.218507462686553</v>
      </c>
      <c r="AI204">
        <f t="shared" si="0"/>
        <v>51.980547263681601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3997744"><![CDATA[{"EPOL^FG_TOTAL_RETURNC(-5AY,0,AM)":[-6.842375,6.0935855,8.256412,1.45787,-2.106744,2.7737975,5.281532,5.1933646,-12.815124,-2.4328172,9.585619,-7.7904344,-8.00395,-1.9334078,-14.676893,-5.9554935,-4.063362,-1.722908,-7.9620123,-12.380958,30.978262,4.146993,11.351347,-3.3980548,-9.359294,18.295216,5.0380826,7.808137,8.4842205,-8.106815,-9.548521,8.663225,13.938749,8.34105,-6.761628,6.8460703,0.9721637,2.013123,10.982418,-7.377201,3.6989808,1.763022,-1.49073,-4.9079776,-8.817202,3.2103658,4.8433065,18.2971,10.222054,-1.7367125,7.9179883,-2.1542907,11.920977,2.8301954,-6.007695,3.652382,1.123941,8.026373,3.2777429,4.81627,-5.630815],"EZA^FG_TOTAL_RETURNC(-5AY,0,AM)":[-0.12280345,6.270492,-1.5233338,-3.9405465,-3.7646592,-2.2017956,0.8743167,8.559036,-7.604784,-0.7789433,9.018922,5.468118,4.495883,-4.96155,-11.404347,-6.0528936,-3.241831,2.5678635,-7.8445315,-3.7257493,16.769695,-1.3228536,7.8143477,-6.171751,-8.263117,9.95152,-10.164774,11.038864,1.5147924,-9.979015,-0.3107965,-2.0265043,6.97428,2.9251337,-7.067317,1.4431834,-2.7935803,2.1820068,14.296865,2.1253347,-1.9487917,10.769582,0.43814182,4.9854636,-6.1535416,-3.5712183,-1.7273128,8.319675,5.5170894,-1.7838836,6.638837,2.6058912,5.810809,3.3935308,10.358214,4.589069,1.7734289,7.1291685,7.6627254,3.0640364,-13.438213],"EWC^FG_PRICE(0,-200D)":[54.1,54.81,55.9,55.85,55.03,55.85,56.48,56.7,56.61,56.35,56.91,57.47,57.07,58.16,57.98,58.15,57.59,57.15,56.95,57.16,56.75,56.46,55.86,56.17,55.26,56.58,56.72,56.27,55.01,54.14,55.01,54.84,54.55,54.26,56.53,56.35,56.18,55.69,55.77,55.2,55.02,54.75,55.13,55.22,55.18,55.12,55.09,54.63,54.46,54.01,54.65,54.59,54.19,53.93,54.3,54.33,54.8,54.6,54.54,54.17,53.68,53.22,52.81,52.98,53.8,53.89,54.08,53.72,53.07,52.95,53.29,53.07,52.47,52.14,52.18,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],"UAE^FG_TOTAL_RETURNC(-5AY,0,AM)":[2.7089834,1.4317989,5.8692455,3.801024,-3.4989476,4.641044,4.8322916,-3.1882763,13.499487,5.001557,-3.9021552,3.272736,6.9835544,4.1689515,-9.057397,-6.0822725,-1.5132368,6.5941095,-2.5825858,-5.733657,2.0274758,-2.0302832,-1.4426231,-0.6653309,-8.171469,6.9292426,-0.20463467,2.23006,2.953291,0.40026903,0.46511889,-7.208997,6.9850326,-3.0646265,3.2818198,0.0,0.0,-3.4159422,-0.27739406,-2.4957001,5.782068,2.5928497,5.2595615,-3.439325,4.6370983,3.7797332,5.204463,3.356886,-3.019935,-1.5276134,11.276841,-5.8089137,17.598581,-0.70920587,-1.8565178,0.82178116,-3.8716137,3.012371,3.2207847,9.159529,-17.38128],"EWQ^FG_PRICE(0,-200D)":[43.2,43.11,43.65,43.48,42.8,43.58,44.2,44.08,44.2,44.14,44.28,45.23,45.07,46.57,47.87,48.35,48.02,47.62,47.49,47.68,46.91,47.03,47.05,46.7,46.68,47.08,46.83,46.99,46.4,45.73,46.03,45.69,45.68,45.35,45.82,45.53,46.15,45.65,45.51,45.16,45.05,44.55,45.29,45.4,45.87,45.96,46.1,45.88,45.46,45.4,45.6,45.42,45.31,44.99,45.14,44.99,45.18,44.98,44.9,44.96,44.91,44.8,44.62,44.94,45.18,44.88,45.0,44.58,44.21,44.65,44.62,44.75,44.79,44.44,44.41,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],"MCHI^FG_PRICE(0,-200D)":[56.81,57.23,58.44,58.7,57.78,57.68,58.31,58.7,57.67,56.72,56.18,57.13,56.9,58.51,59.06,59.23,60.67,60.43,60.76,61.01,60.72,60.95,60.61,60.35,60.58,61.93,61.99,61.97,61.67,60.1,60.31,61.07,61.61,62.4,64.23,63.91,63.29,62.66,62.74,62.78,62.49,61.65,62.52,63.59,63.55,63.52,64.26,62.22,62.28,61.88,62.71,62.67,62.24,60.07,60.58,60.37,61.27,60.61,60.67,60.89,60.63,59.99,59.47,59.7,60.87,61.52,61.69,61.81,61.35,62.22,62.66,61.98,61.88,62.24,62.66,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],"EWJ^FG_TOTAL_RETURNC(-5AY,0,AM)":[-0.91112256,-1.9804776,-3.3771157,1.1854053,-1.4721155,0.52821636,10.238707,-5.8559237,1.1283159,-2.5856376,-2.7674437,-2.6319802,-2.137357,-7.3229494,-2.3219526,-6.742394,2.99654,3.7486076,-6.8847775,-6.4092636,11.881197,0.14834404,5.535054,-0.31468868,-2.2974432,4.9901366,4.2229414,4.241252,0.3486514,-6.3171206,6.9622397,-7.7699003,6.544769,1.4274359,5.674982,2.6251793,4.8647046,-6.246477,3.368938,-2.2869349,4.9504876,0.5717516,1.2364984,-1.5443027,-3.3509195,-0.5147755,-0.31630993,5.197954,2.9876351,-5.062759,6.6108465,1.4749408,-1.6974747,11.432945,0.9622693,1.4977098,-1.6097546,3.6578417,6.0809135,6.691611,-7.8070107],"INDA^FG_PRICE(0,-200D)":[47.52,47.72,48.52,48.56,48.06,48.52,49.27,49.93,49.98,49.99,50.37,50.27,50.22,50.95,52.27,52.58,52.74,52.67,52.61,53.42,52.3,53.32,53.27,52.89,53.11,53.53,53.74,53.44,53.28,52.95,53.44,53.15,53.28,51.74,51.61,51.49,51.69,51.44,51.24,51.795,51.55,51.73,52.85,53.22,53.25,53.04,53.4,53.175,53.72,54.2,54.08,54.29,54.56,54.05,53.64,53.47,53.84,54.01,54.47,54.19,54.15,53.28,52.97,52.95,53.1,53.14,53.57,53.36,53.27,53.08,53.97,53.76,53.41,53.88,54.33,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],"EWD^FG_TOTAL_RETURNC(-5AY,0,AM)":[3.3117175,7.4198604,-1.6903102,-0.8208692,1.0293484,0.86710453,1.053083,1.2335181,0.27310848,-5.3310337,-0.17831326,-9.490049,1.1874676,-3.5955012,-9.246307,-8.939499,3.4182549,0.5612731,-9.209299,-3.1762302,15.132273,-0.3526628,7.730365,2.7554512,-8.603346,11.308062,-0.35693645,-0.992012,1.0019541,-9.80987,0.3055334,-1.6143858,9.628487,12.792993,-6.587076,5.3282022,5.162978,-5.083072,7.392895,0.37549734,-1.3543427,2.1966934,4.0302873,-3.2636762,-7.0388374,-2.271539,4.835701,11.034656,2.6623845,-6.326848,10.238659,-2.642268,1.5234232,4.277718,1.8685579,0.75901747,-3.3898354,6.4656496,5.6848645,4.073286,-9.494382],"EWW^FG_TOTAL_RETURNC(-5AY,0,AM)":[5.0587416,5.6138754,2.3120165,-0.34453273,0.23494959,4.0272713,1.8025398,0.38229227,-5.2515507,4.763448,2.2322297,0.5809307,4.740095,1.1218905,-4.5693874,-8.349389,-0.32744408,4.0297866,-1.8947423,-1.2446284,15.927851,-4.1493773,11.774087,4.5170546,-6.747526,9.250772,2.1797419,5.964005,-0.2184093,-3.2989383,-1.665318,-11.67379,15.580786,10.839105,-3.9159656,3.347671,-1.8425047,-1.7711163,6.272149,-16.956211,3.1695724,-2.6284337,-3.4005225,-2.0141542,-5.6851864,-2.8324008,-1.0216832,10.069513,0.3253579,4.7882557,10.267615,-0.8785069,0.8309245,3.010428,7.91837,0.045382977,0.9677887,5.1193714,7.480037,8.027029,-9.707284],"QQQ^FG_PRICE(0,-200D)":[593.02,594.9,603.31,600.38,593.72,597.26,607.69,607.77,607.76,599.75,608.91,610.75,601.58,608.09,607.29,609.24,616.68,607.87,601.41,608.81,603.47,605.79,601.3,601.92,600.64,613.11,611.47,614.32,609.65,597.03,605.75,616.52,626.14,621.87,629.43,633.22,631.13,625.46,622.72,620.76,616.28,608.06,621.26,621.78,619.55,626.24,627.17,626.65,620.47,624.02,623.42,617.99,613.12,614.31,619.43,620.87,623.89,623.93,622.11,619.21,617.05,609.11,600.41,611.75,610.54,613.62,625.58,627.61,625.05,624.28,625.48,622.94,623.52,622.0,617.17,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],"EPOL^FG_PRICE(0,-200D)":[35.53,35.26,36.08,35.08,34.48,34.87,35.73,35.68,35.66,35.37,35.8,36.21,35.53,37.31,38.13,38.19,38.71,37.95,38.1,37.81,37.65,37.73,37.5,37.67,37.91,38.39,38.11,38.76,37.92,37.37,38.28,38.35,37.66,37.59,38.38,38.25,38.44,37.74,36.89,37.26,36.15,35.84,35.92,36.15,36.03,36.09,36.38,36.2,35.82,36.6,36.26,36.17,36.25,35.19,35.16,34.96,35.2,35.15,34.99,35.2,34.78,34.41,34.27,34.41,35.9,35.2,35.27,34.88,34.25,33.51,33.44,33.53,33.61,33.65,33.9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],"QAT^FG_TOTAL_RETURNC(-5AY,0,AM)":[0.7646203,5.4742455,0.43679476,-2.0937502,0.16721487,5.1338673,0.13899803,5.2684903,1.7805576,-4.0257635,8.51779,3.1232834,5.430913,2.7633905,-6.968218,-4.170072,-1.499027,13.106096,-7.2580633,-1.7391324,-2.8518796,-9.194958,-0.47821403,-2.4559498,-4.214561,2.342856,7.7051997,-2.4306297,-0.3865242,1.1640787,-3.7534237,-5.152297,5.8223248,-1.0209799,0.74498653,-0.10238886,3.6897779,-4.33827,0.51665306,-0.8016825,2.1699905,2.7728558,4.5924187,1.5367746,-0.8648634,-1.5074372,0.112473965,1.5168548,0.3873825,-2.3153245,7.5056434,-4.207492,6.116724,7.0333123,-1.4822125,-4.2878685,-0.6811559,0.2511263,3.6484718,2.0328999,-7.6834736],"EWU^FG_PRICE(0,-200D)":[45.11,45.38,46.3,46.11,45.33,45.88,46.31,46.41,46.29,46.02,46.24,47.24,46.76,48.12,48.68,48.61,48.66,47.98,47.89,48.04,47.68,47.88,47.42,47.25,47.01,47.43,46.74,47.02,46.9,45.94,47.05,46.47,46.54,46.16,46.44,46.24,46.5,45.83,45.57,45.07,45.16,44.7,45.18,45.09,45.28,44.98,45.09,44.79,44.6,44.49,45.05,44.81,44.46,43.98,44.22,44.02,44.24,44.08,43.98,43.79,43.54,43.13,42.94,42.73,43.75,43.28,43.65,43.46,42.88,43.08,43.22,43.42,43.46,43.01,42.93,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],"EPHE^FG_PRICE(0,-200D)":[24.69,24.61,24.88,24.67,24.97,25.07,25.38,25.54,25.28,25.32,26.13,26.39,26.64,26.91,27.91,28.15,28.37,27.73,27.53,27.16,26.83,26.78,26.68,26.97,26.94,27.25,26.93,26.42,26.73,26.45,26.33,26.45,26.24,25.97,25.65,26.33,26.23,26.03,26.21,26.35,26.27,26.0,26.42,26.38,26.04,26.24,26.41,26.13,26.08,25.92,25.98,25.46,25.3,24.92,25.06,25.09,25.08,24.94,24.93,24.96,24.66,25.01,25.1,25.19,24.95,24.9,25.02,24.73,24.67,24.58,24.73,24.2,24.68,25.06,25.24,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],"EWA^FG_TOTAL_RETURNC(-5AY,0,AM)":[-2.4120212,5.875194,-0.84193945,1.7851353,-3.6524415,0.877893,0.63290596,3.7342668,-4.0166736,-2.448988,1.9261003,-1.3168693,7.1309447,3.6979318,-10.548049,-9.851843,3.6040425,4.823756,-5.132741,-6.9962683,14.142429,-0.68888664,8.427215,-1.5378177,-7.2604537,6.8730116,-2.0442903,3.3520699,-0.6000817,-7.4601173,3.261888,-5.279785,5.8122873,10.400724,-3.1009555,1.9329906,1.6434908,-3.1509101,8.047938,-1.3231218,2.1285295,1.8036008,5.590546,-0.9694278,-1.5813231,-7.3061585,1.7205238,3.300333,-5.5511236,-0.16912818,8.555687,2.4340153,2.2815108,0.6049156,1.0522366,0.111567974,-6.0178337,4.0500283,3.3230305,9.835458,-3.7793696],"EWM^FG_TOTAL_RETURNC(-5AY,0,AM)":[1.8471599,-1.6714096,-1.2658238,-0.4774809,-5.9984803,-0.36349297,3.8913608,5.189228,-6.6765547,-2.7066529,3.628683,4.478824,-0.038969517,-1.1305988,-5.4810762,-6.8102837,-1.4618516,4.126096,-4.140687,-6.223875,7.231295,4.5124054,5.31013,-4.4491587,-5.277157,3.2771468,-2.2212148,-3.9493382,2.8009772,0.047802925,0.9555578,-2.3663044,3.4900665,0.8430958,-0.69042444,1.8562555,2.4299145,-0.72992444,6.985295,-0.31858087,1.926446,7.9037786,6.4490438,-3.0665636,-5.787039,-1.1270583,-1.0970473,2.9010296,-3.316754,-2.3584902,8.43215,-2.4271727,1.441288,5.2235723,1.6282797,0.42985678,2.4513602,4.944706,3.5661697,5.857289,-1.006031],"EWL^FG_PRICE(0,-200D)":[57.54,57.86,59.54,59.5,58.72,59.36,60.09,60.24,61.01,61.14,61.05,62.56,62.21,63.59,65.08,64.63,64.85,64.82,64.31,64.38,64.16,64.26,64.44,63.79,63.46,63.24,63.43,63.45,63.09,62.24,62.47,61.89,62.25,61.54,62.22,61.05,62.57,61.19,60.87,60.59,60.49,60.16,60.51,60.52,60.87,60.17,60.63,60.58,60.21,60.31,60.55,60.43,60.34,59.96,60.17,60.35,60.54,60.53,60.4,59.93,59.57,59.47,58.84,59.02,59.06,58.37,58.49,58.38,57.69,57.76,58.03,57.91,58.07,57.94,57.42,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],"EWZ^FG_PRICE(0,-200D)":[36.5,36.26,36.71,36.53,35.49,36.12,37.61,37.53,37.1,36.28,36.36,37.49,36.82,38.64,38.73,39.1,39.59,39.47,38.77,39.37,38.61,38.03,37.74,38.06,38.49,39.16,38.32,38.42,37.56,36.91,36.98,38.04,37.45,37.04,38.12,38.33,37.89,36.61,36.59,35.95,35.02,33.62,33.17,33.36,33.16,32.63,32.93,33.06,32.88,32.7,33.11,32.79,32.2,31.77,31.99,31.42,31.73,31.55,31.65,30.97,31.17,31.17,31.0,31.6,33.58,33.32,33.16,32.77,32.74,32.75,32.53,34.72,34.2,34.03,33.4,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],"SPY^FG_TOTAL_RETURNC(-5AY,0,AM)":[0.1865983,6.606233,-1.0476649,1.3230562,2.422154,3.5037756,0.6747961,2.093339,4.04979,-1.5746951,-1.7657161,-3.8782477,2.6842833,0.116980076,-12.4887705,-5.654788,7.2186112,7.6146603,-7.575983,-5.160207,7.4708223,-3.5966277,2.2683144,4.791069,-3.8706958,6.1924696,1.0817528,5.3696394,3.5816789,-4.1080894,1.7848372,-3.6773503,5.712545,5.762875,1.5984297,3.5404086,3.5661697,-3.984803,6.9250345,3.5961747,0.41450262,1.9344568,2.0317674,2.6981235,0.9767413,-0.7115066,2.2977233,2.568686,-7.4723005,-6.900966,13.001275,0.43541193,5.356157,1.94875,4.0201187,0.10396242,-0.26490688,3.0112386,1.6265273,-1.0380805,-3.6056578],"INDA^FG_TOTAL_RETURNC(-5AY,0,AM)":[-0.6318748,-5.3933144,7.542944,1.8995166,-0.38653612,4.508102,7.6553464,2.1099687,-1.5299022,-5.5529537,7.141769,-5.2877483,0.33632517,-1.2737453,-7.7184258,-4.893303,5.067694,6.283748,0.6004691,-6.4738274,5.375552,-0.9550452,-0.023525953,-5.151725,-4.811507,3.7258983,2.6877642,5.703473,3.524232,-2.9563248,3.8541436,-1.4888823,1.6128898,8.158517,1.7857075,3.2466292,-2.0703137,2.3733616,3.1950116,4.795158,1.206994,0.55179596,2.8677583,-2.6673555,-5.2864256,1.1079311,-4.8168125,-2.7745247,1.7082095,3.260219,4.8220396,-1.8072248,1.3199449,-1.559633,0.5405307,0.94549656,0.69788694,-1.2401998,-2.400744,-1.0406792,-9.13958],"EWI^FG_PRICE(0,-200D)":[52.46,52.41,53.37,52.67,52.08,52.65,53.56,53.79,53.54,52.96,53.43,54.57,53.89,55.95,57.33,57.93,57.61,56.94,56.94,56.81,55.89,56.32,56.02,55.54,56.52,56.98,57.32,57.61,56.28,55.7,56.95,56.93,56.37,55.88,56.17,55.83,56.63,55.39,54.91,54.77,54.44,54.02,54.92,54.8,55.04,54.81,55.32,55.03,55.24,54.97,55.29,55.67,55.16,54.33,54.59,54.16,54.62,54.56,54.4,54.24,54.21,53.81,53.51,53.58,54.35,53.66,53.95,53.55,53.02,52.98,52.98,53.15,53.29,53.0,52.66,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],"EWJ^FG_PRICE(0,-200D)":[84.08,84.15,85.08,85.07,83.36,84.19,85.73,86.46,85.64,84.77,85.89,88.59,86.83,90.2,92.37,92.48,92.44,91.23,91.39,91.47,91.2,91.38,91.87,93.85,93.37,93.97,93.1,91.29,89.4,86.1,87.49,86.68,85.89,85.72,86.09,85.21,85.84,84.63,84.56,84.86,84.78,83.72,85.48,85.42,85.04,84.45,85.29,84.61,82.86,82.92,83.07,83.13,81.33,80.74,80.98,81.09,80.97,81.0,81.14,80.46,80.58,79.97,79.74,80.85,84.87,84.0,84.22,83.91,83.31,83.19,83.7,83.62,82.61,82.47,82.53,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],"TUR^FG_PRICE(0,-200D)":[38.78,38.73,39.42,38.87,38.66,39.34,39.29,39.18,38.74,37.22,38.73,38.96,38.78,39.59,40.63,41.23,41.19,41.93,41.76,41.65,41.26,42.41,42.34,42.22,41.91,41.21,40.97,41.54,40.84,40.66,41.37,41.54,41.14,41.25,41.58,40.39,39.56,39.86,39.43,39.08,38.64,38.87,38.41,37.94,37.59,37.73,37.54,37.16,36.73,36.63,36.77,35.81,34.92,34.42,34.42,34.41,34.76,34.87,34.815,34.61,34.86,34.82,34.735,34.71,35.29,34.82,34.82,34.73,34.66,34.42,33.84,33.55,33.87,34.1,34.03,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],"EWY^FG_PRICE(0,-200D)":[134.82,131.88,134.43,133.1,124.15,123.5,132.85,130.3,133.89,126.73,125.74,134.37,132.34,147.54,151.37,150.41,148.89,144.55,139.3,141.88,135.21,132.93,130.68,133.97,130.8,130.6,124.45,126.05,124.71,120.21,120.26,124.32,120.93,122.41,124.5,125.56,122.7,117.32,117.97,115.99,115.66,110.97,112.22,111.05,109.64,107.54,108.93,108.89,106.59,107.03,107.61,104.83,102.22,97.22,98.62,98.72,95.84,94.6,92.7,91.75,91.34,90.07,88.58,89.52,92.73,92.67,94.96,96.75,95.57,95.07,94.3,91.87,93.0,92.07,90.62,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],"ECH^FG_PRICE(0,-200D)":[39.76,39.77,40.18,39.79,38.85,39.28,40.64,40.68,39.73,38.99,38.97,40.31,39.57,41.56,43.5,44.34,44.73,44.54,43.51,43.58,43.52,43.69,43.8,43.81,44.25,45.35,44.54,46.17,45.24,45.19,45.66,47.19,46.05,45.24,46.875,47.06,47.37,46.78,46.4,46.175,45.2,43.89,44.09,44.15,44.51,44.34,43.87,42.85,42.75,42.39,42.55,41.6,40.37,40.4,40.54,40.15,40.29,40.03,39.92,39.79,39.31,38.69,38.28,38.84,38.995,39.78,39.28,38.75,38.34,38.24,38.18,38.51,38.62,38.29,37.69,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],"QQQ^FG_TOTAL_RETURNC(-5AY,0,AM)":[-5.40148,8.35402,-4.8070135,6.2122226,3.6332726,2.619326,2.7118325,0.552392,7.5958133,-4.722887,-4.665226,-6.8134665,2.9223084,-1.365906,-16.369205,-5.141926,8.798897,8.23332,-9.691954,-7.06408,5.297804,-5.060947,2.0018458,9.453034,1.3946056,4.532981,5.585015,9.3370075,4.960096,-7.135999,3.4273624,-2.6766121,7.2422743,6.1994433,2.991724,2.2294521,1.9915342,-5.454093,8.94972,7.404375,-1.8974125,1.2688279,0.43426752,2.4418354,1.8181086,2.1272779,1.6342521,3.407836,-10.867065,-7.515687,17.543352,1.3371348,6.2182665,1.428926,5.282104,0.8802891,-0.6722629,2.8639555,0.811398,-2.8635442,-1.7316461],"KSA^FG_TOTAL_RETURNC(-5AY,0,AM)":[4.8570633,8.795071,2.7216315,2.9024363,-1.3381362,6.572771,2.0313263,4.5814395,-1.3532102,-4.528594,10.245824,1.5572906,3.3954024,6.3559294,-9.960156,-5.614245,0.16528368,7.6850653,-8.975476,3.9923072,-6.0592117,-8.630669,5.6644797,-2.190715,-5.0592957,12.628376,1.9467592,2.5326848,0.7395029,-3.836131,-3.250432,-4.5049667,5.810237,5.894208,1.9299865,5.3676963,0.5610466,-3.5706341,-1.5274227,-1.602006,1.9151568,-0.95148087,1.633048,-1.5831709,-0.3361404,-0.9895146,4.0020585,0.42928457,-4.108286,-0.47053695,-0.6966889,-7.355446,4.867983,-0.7605612,-0.026422739,7.79804,-5.7626247,-4.234183,4.0429115,0.79301596,-1.3899863],"GREK^FG_TOTAL_RETURNC(-5AY,0,AM)":[7.4669957,4.721689,4.2155385,0.03517866,-9.493673,6.3325644,3.83631,-0.49437284,-2.367431,-4.2375984,9.489751,2.647376,-9.456671,5.469048,-9.2906,-5.518067,-3.8729131,9.027171,-5.6270065,-1.8313468,10.759222,4.8570275,9.036911,12.8998165,-10.242838,10.822058,0.1251936,15.317286,7.70396,-6.886077,-6.851554,-3.7653148,11.798609,3.309822,2.963996,3.9292216,-0.050073862,-2.555102,10.30848,-6.2689304,5.4454923,0.0,-0.056290627,-0.8902788,-8.4503355,4.6399355,5.0236225,5.9179425,12.245846,-1.4365971,11.744833,3.175807,13.830149,6.454253,-1.5502691,-2.1671355,0.9402394,6.1730385,6.327951,1.4422417,-10.993809],"EWG^FG_PRICE(0,-200D)":[39.69,39.76,40.74,40.52,39.84,40.34,40.8,41.1,41.09,40.82,41.18,42.1,41.57,42.91,44.34,44.56,44.35,43.95,43.9,44.32,43.88,44.12,44.04,43.97,43.96,44.05,44.22,44.32,43.53,42.84,43.25,43.51,43.48,43.11,43.44,44.01,44.3,43.84,43.48,43.1,42.82,42.54,43.34,43.24,43.49,43.57,43.83,43.41,43.31,43.26,43.13,43.05,42.56,42.5,42.75,42.51,42.65,42.57,42.44,42.34,42.1,41.94,41.61,42.03,42.1,42.18,42.39,41.94,41.53,41.34,41.41,41.14,40.95,40.89,40.52,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],"SET-BKK^FG_PRICE(0,-200D)":[1417.45,1440.85,1433.88,1405.02,1409.35,1429.8,1407.34,1405.76,1382.97,1410.37,1417.29,1384.61,1466.51,1528.26,1533.64,1516.01,1490.4,1480.24,1479.71,1493.91,1466.67,1459.68,1438.09,1430.41,1441.53,1411.7,1410.44,1400.89,1354.01,1346.23,1346.54,1336.11,1321.42,1325.62,1331.07,1338.9,1334.45,1307.07,1314.39,1311.64,1317.56,1296.37,1283.2,1275.6,1261.39,1244.3,1235.3,1242.2,1254.09,1253.6,1280.82,1274.75,1280.05,1259.67,1254.03,1259.25,1264.77,1275.33,1271.11,1269.68,1252.19,1250.07,1256.85,1260.68,1273.4,1254.1,1253.54,1269.87,1261.39,1273.77,1274.82,1277.58,1276.57,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],"EWU^FG_TOTAL_RETURNC(-5AY,0,AM)":[1.3561487,5.2245975,1.4532208,-1.7090797,-2.9330015,3.5305262,-0.58371425,4.480839,-2.3957431,-0.82787275,8.571434,-0.8964777,-2.7137458,2.0395875,-6.643152,-6.43661,2.433169,2.2081017,-6.743044,-6.0021043,13.032114,1.8986583,7.568276,0.3670931,-7.253891,10.647381,-1.039499,0.87172985,0.39428473,-4.92447,2.8598666,-3.7071347,2.9836297,4.174459,-2.225566,2.2528172,2.1419883,0.32954216,9.704388,-2.7038813,1.2835026,3.6046267,1.9026875,-1.2803495,-6.106454,-1.0740697,2.108705,6.5735817,3.6845088,-2.684921,6.38355,1.7616272,1.478827,3.74372,0.16952753,1.7166376,-0.8081794,6.3619256,3.766644,5.533421,-5.3901014],"EPHE^FG_TOTAL_RETURNC(-5AY,0,AM)":[-4.397029,-0.60872436,-1.7012596,7.4059486,-7.8844905,2.6769996,4.459691,7.2906375,-1.1937559,1.2694359,-3.8685918,4.3117285,-7.8383327,-0.2990067,-3.7987292,-8.004272,-3.9428592,9.815586,-8.667385,-7.5523973,8.682632,1.0185361,13.502943,-4.5172396,-5.5615783,-1.7973185,4.2056084,-2.875644,4.400313,-7.3853016,-3.9871097,2.4328828,2.1293998,4.2501926,1.930213,4.770601,-0.1452446,-10.036367,4.7695994,-6.047493,6.586075,7.0003986,6.3596487,-0.8591056,-10.121316,-4.4981537,0.81466436,-1.5353501,6.1551094,-2.1959782,10.268391,-3.1605005,-2.2097409,0.53619146,2.0952344,-5.1865635,-4.64384,2.5804162,7.13706,1.5518546,-7.976145],"QAT^FG_PRICE(0,-200D)":[18.33,18.67,18.69,18.74,18.74,18.7,18.8,18.93,18.81,18.75,18.86,18.89,19.01,18.87,19.46,19.52,19.89,19.99,19.92,19.845,19.8556,20.115,19.98,20.0967,20.075,20.125,20.095,20.1,19.94,19.82,19.96,19.9169,19.97,19.71,19.82,20.0,19.94,19.937,19.82,19.9,19.71,19.71,19.46,19.425,19.6596,19.71,19.6099,19.36,19.28,19.405,19.3551,19.19,18.825,18.8183,18.95,18.8751,18.865,18.96,18.9302,18.8396,18.775,18.74,18.6081,18.6969,19.01,19.32,19.315,19.1685,19.0414,18.9554,18.9304,18.9402,18.9302,18.775,18.71,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],"EWT^FG_PRICE(0,-200D)":[72.14,71.34,73.0,72.03,69.99,69.76,71.91,70.44,70.76,69.52,70.4,71.62,71.29,75.07,75.67,76.14,77.06,75.73,73.18,74.38,72.67,72.98,72.89,73.05,72.56,73.35,71.44,70.76,70.05,67.86,68.15,68.83,68.94,68.06,69.83,71.19,71.32,69.94,69.71,68.25,67.45,66.54,67.34,67.29,66.51,66.1,66.62,65.92,65.44,65.59,65.83,65.3,64.77,63.53,63.71,63.33,63.02,62.53,62.5,61.98,61.64,60.87,60.03,61.12,64.11,64.1,65.92,66.8,65.72,65.57,65.35,64.51,64.85,64.63,64.13,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],"EWL^FG_TOTAL_RETURNC(-5AY,0,AM)":[-0.47116876,5.61316,0.49093962,5.1542044,0.020563602,4.1341066,-4.404503,0.24793148,4.3693304,1.145339,-0.9566605,-4.7900677,1.387167,-0.7555723,-9.855962,-7.998383,6.936717,1.3967752,-6.467432,-5.5666504,11.287332,-0.8313477,7.6886177,-0.111210346,-5.165887,11.129379,1.9437909,-1.5269935,2.3886442,-5.2543106,0.17745495,-5.6244493,4.45801,6.2668443,-1.1625528,-0.19247532,1.7784476,-3.7894726,7.155359,2.7648926,0.18259287,4.0097237,0.29205084,0.0,-8.3673,-3.1144083,3.1489134,7.822776,4.679513,-2.4229944,5.9095263,-1.3751388,2.3098588,0.7709265,0.65573454,4.560256,-2.4575949,5.695522,1.5779734,6.0320735,-10.317957],"EWY^FG_TOTAL_RETURNC(-5AY,0,AM)":[-4.5327606,5.085516,-3.5546064,1.1323214,-2.7332604,-6.3311157,0.09639263,-2.38325,-3.2922268,2.3334622,-3.4873307,-3.7584066,-2.0279586,-3.258741,-5.3491354,-8.813196,-1.6917944,0.39188862,-7.8241644,-8.764505,17.154396,-1.2433112,9.744036,-2.0588696,-4.204297,6.908965,-0.49711466,7.1394086,0.96269846,-9.609663,3.1481862,-7.782042,7.866919,4.2730927,-6.316364,8.319283,1.6980767,-6.0661736,6.751466,0.25969744,-0.6094694,1.609683,-3.5757363,-2.8790474,-7.3143244,-6.371653,4.2593718,6.2921643,-1.7844856,-5.118799,8.304178,15.385925,6.659782,-1.3123333,12.052071,10.5808735,2.304566,3.1564593,22.859657,20.486546,-0.2884388],"ENZL^FG_PRICE(0,-200D)":[44.24,44.265,44.6695,44.85,43.8884,44.6653,45.1753,44.9836,45.21,45.7138,46.06,46.58,46.05,47.1153,47.4776,47.225,47.1645,46.72,45.9335,45.8355,46.0172,45.25,44.905,46.7721,47.4568,47.898,47.995,47.975,47.6,47.11,46.72,47.242,47.1177,46.9408,47.234,47.11,47.52,46.87,46.624,46.755,46.11,46.09,45.755,45.6301,45.89,45.52,46.1,45.98,46.115,46.295,46.1476,45.8584,45.4719,45.2715,45.41,45.41,45.73,45.74,45.54,45.18,44.82,44.6999,44.635,45.1265,45.75,45.71,46.35,46.2943,45.9504,46.0267,45.995,46.005,46.1656,45.8184,45.48,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],"EWG^FG_TOTAL_RETURNC(-5AY,0,AM)":[1.6824841,6.0770035,-0.85082054,0.011897087,-2.3560226,2.800119,-1.3619184,-1.3513505,0.62537193,-4.956216,3.0784488,-4.9360094,-7.3397455,-5.257696,-5.257386,-5.9657693,-1.858896,-1.0331452,-5.219656,-4.4515905,19.74064,-1.2905419,11.829269,2.326429,-6.0745955,10.400904,0.44535398,1.3091326,1.0722876,-6.091714,-1.4212847,-5.878001,9.937155,5.680597,-2.3275495,2.1460772,5.286336,-3.4116507,8.030653,-4.2654753,1.914823,2.8830528,4.1876554,0.81596375,-5.605519,1.4607787,3.7558675,8.778275,8.264006,-4.200816,11.12299,-1.479131,4.5928597,0.6171346,-2.7600825,0.38815737,-4.519099,6.555307,2.9453754,1.2459636,-9.548778],"GREK^FG_PRICE(0,-200D)":[63.23,63.5,64.35,64.21,63.38,64.81,66.58,66.37,65.08,65.15,65.87,66.74,63.86,67.67,70.68,72.03,71.51,70.34,71.04,70.9,71.04,72.89,70.66,71.9,73.56,73.84,74.54,74.77,75.17,74.65,76.09,76.02,74.66,73.75,75.62,77.2,75.35,73.06,72.25,72.2,70.74,69.88,70.03,69.84,69.15,69.0,69.49,68.98,69.19,67.98,67.39,67.61,67.4446,65.91,66.5,68.0,68.61,68.16,68.21,68.39,67.25,66.94,66.25,66.81,67.45,67.24,67.67,66.77,65.8,66.97,66.45,66.3,66.37,66.64,66.28,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],"EWN^FG_TOTAL_RETURNC(-5AY,0,AM)":[-2.1132946,7.2112083,-0.80963373,0.49370527,-1.3626873,7.162595,4.4228554,-1.7094016,0.79226494,-8.402604,0.2521038,-5.720872,-4.4898868,-5.468935,-8.9611,-6.443816,5.475843,1.8600702,-8.367401,-7.3765574,21.57997,-0.46866536,9.505999,2.999282,-6.486744,6.886077,1.4921784,1.639533,4.0051103,-8.516574,-4.7828197,-5.2280903,13.628996,6.8538785,-1.6241431,7.8239083,2.2847414,-3.1851053,10.489214,0.3851056,-3.467077,1.6747355,-0.1984477,-3.4599364,-7.7445927,0.50719976,3.3609629,4.8775196,2.2943377,-5.9405985,13.093448,0.5699873,2.3204923,-0.45828223,6.8119884,3.1843781,-2.728051,3.0299067,9.362305,1.2114406,-7.213533],"VNM^FG_PRICE(0,-200D)":[16.98,17.03,17.32,17.3,16.71,16.75,17.41,17.06,17.23,17.45,18.02,18.3,18.12,18.63,19.08,19.16,19.085,19.25,19.23,19.285,18.76,18.77,18.73,18.89,18.51,18.71,18.08,18.045,18.03,18.12,18.61,18.45,18.77,19.07,18.81,18.5,18.76,18.91,19.42,19.625,19.39,19.51,19.73,19.53,19.69,19.8,19.67,19.28,19.31,19.44,19.43,19.02,19.11,19.08,19.01,18.92,18.4,19.01,19.08,18.61,18.39,17.88,17.54,17.85,17.42,17.49,18.27,18.28,18.65,18.72,18.65,18.59,18.69,18.65,18.38,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],"EWQ^FG_TOTAL_RETURNC(-5AY,0,AM)":[1.8620849,6.1982393,1.3985991,2.055788,-4.494083,3.99009,0.52924156,1.2108445,2.860856,-3.4957588,4.765749,-3.5980523,-6.158352,-2.3011386,-4.9432993,-6.466669,3.2996655,2.640152,-6.6052732,-3.7742257,16.077732,0.17739534,10.216522,3.9014935,-6.391472,12.062586,-0.8377731,0.22023916,2.376604,-5.5102053,-0.4589677,-6.8619432,8.648813,5.467701,-3.0064225,3.0854464,5.423379,-3.1545699,5.8631897,-6.444001,-0.051772594,1.631701,2.7268052,-2.6296258,-7.617837,-1.3080537,4.983115,6.5164924,5.6646466,-6.5522966,8.949507,-0.27583838,2.9997587,2.0969272,-0.31948686,3.5485387,-3.9575517,3.9086819,0.8461356,3.5769463,-7.9087615],"EWD^FG_PRICE(0,-200D)":[48.33,49.17,50.44,50.3,49.34,50.53,51.41,51.76,51.37,51.74,52.04,52.91,51.87,53.17,54.72,54.56,54.13,54.01,53.49,54.0,53.4,53.5,53.26,53.47,53.42,54.56,54.17,53.38,52.93,51.86,52.92,53.23,52.88,52.27,53.45,52.93,53.64,52.72,52.38,51.74,51.52,50.46,51.31,51.05,50.61,50.7,50.91,50.78,50.28,50.87,50.11,50.39,49.6,49.23,49.55,49.32,49.65,49.31,49.21,48.8,48.55,48.18,47.62,48.23,49.11,49.38,49.67,49.36,48.55,48.4,48.37,48.09,47.77,47.61,47.58,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],"EWW^FG_PRICE(0,-200D)":[72.18,72.38,73.38,73.16,71.53,72.17,74.69,74.76,73.89,73.72,75.25,77.91,75.37,79.46,80.94,80.66,80.45,80.37,79.54,81.23,79.94,80.15,80.76,81.03,79.92,80.7,80.48,80.67,79.87,76.83,77.22,78.76,75.43,75.12,78.45,78.73,77.86,76.7,76.08,75.75,75.36,74.61,74.0,73.25,73.38,71.97,72.06,71.06,70.48,69.92,70.04,70.58,69.66,69.33,69.49,70.51,71.15,70.95,71.04,69.95,68.85,68.75,67.45,68.28,70.48,70.69,71.06,69.04,69.27,68.64,68.68,68.82,68.43,68.71,68.46,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],"CNYA^FG_PRICE(0,-200D)":[34.72,34.74,35.29,35.43,35.345,35.52,35.82,35.62,35.4,34.94,35.09,35.29,34.9,36.13,36.15,35.96,36.36,35.94,35.85,35.79,35.622,35.8,35.65,35.3684,35.56,35.76,35.715,35.82,35.41,34.84,35.14,35.0,34.72,35.11,35.89,35.52,35.64,35.58,35.55,35.78,35.805,35.5,35.515,35.87,35.6,35.59,36.23,35.83,35.49,35.5,35.64,35.21,34.91,34.58,34.59,34.37,34.71,34.44,34.31,34.24,33.89,33.58,33.63,33.197,34.05,34.08,34.09,34.34,34.225,34.36,34.21,33.74,33.76,33.81,34.25,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],"VNM^FG_TOTAL_RETURNC(-5AY,0,AM)":[-2.7188718,9.223043,-3.5312235,6.153846,-6.3968062,3.924191,1.9265294,-0.6552458,4.211068,1.1197686,-4.4350266,0.20253658,-4.749876,-6.100792,-11.864406,-5.000007,-2.024287,6.404948,-6.9902897,-14.961725,-6.873977,7.7381253,6.12098,-7.835531,-2.1043777,2.837491,3.4280896,6.1439037,6.3214064,1.5759349,3.7376523,-15.975529,6.0679555,0.46947002,3.5064697,1.8561482,1.7463923,-11.567158,9.282696,-1.8532813,-5.1927624,2.406633,2.188003,-2.8548717,-7.0204077,2.1071076,-2.1496117,3.4270644,7.0518255,-6.904769,9.676051,3.8476467,16.579342,14.927769,-1.2290478,8.59729,-8.281249,4.4292927,7.5056434,-4.91637,-9.488278],"EWN^FG_PRICE(0,-200D)":[58.14,58.34,59.597,59.7,58.63,58.96,60.03,59.71,59.23,58.13,59.54,60.74,59.67,61.33,62.8,63.05,63.77,63.0,62.95,63.18,62.66,62.94,62.23,61.65,61.53,63.06,63.07,62.99,62.03,60.56,61.07,61.9,62.77,62.27,63.48,63.05,63.7,62.81,62.33,62.14,61.539,60.64,61.91,61.6,60.67,60.78,61.04,60.4,59.21,59.8,60.44,60.14,58.64,57.03,57.227,57.0,57.16,57.1,56.84,57.01,56.61,56.02,55.57,56.41,58.76,58.6,59.5,58.8,58.55,58.7224,58.55,58.78,59.18,58.57,58.32,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],"CNYA^JULIAN(FG_PRICE(0,-200D).DATES)":[46100,46099,46098,46097,46094,46093,46092,46091,46090,46087,46086,46085,46084,46083,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],"EWZ^FG_TOTAL_RETURNC(-5AY,0,AM)":[-4.007846,2.9780984,6.322658,8.651817,-5.731368,-8.9082775,-3.36622,-5.6756735,-7.131487,3.757143,6.263888,10.137165,5.2551746,7.301581,-11.726737,-10.878765,-5.9455576,18.697643,0.32082796,3.229928,-8.70508,-2.1951675,10.231519,-2.8116524,-8.051592,5.269146,7.634139,10.783815,-0.1546979,-5.3610144,4.9115896,-6.0549316,11.262465,6.4795375,-4.230708,0.4551053,-3.110838,-4.177064,3.2856226,-11.973471,3.4737587,10.464287,-2.651149,-6.3434067,-3.2624125,-12.504631,3.1537414,10.785568,3.2579541,-6.3845634,11.736727,1.4584899,-4.3803396,1.899445,13.0482435,-3.944397,9.35713,-0.9454906,6.769645,16.400373,-5.4649057],"EIDO^FG_TOTAL_RETURNC(-5AY,0,AM)":[-1.1012316,-6.8094254,-3.5386026,-0.8034885,-3.866607,3.3685327,3.404677,16.27469,-4.1666627,-3.1192958,1.2724876,3.9861321,1.8333316,0.24549961,-3.4285724,-3.0471325,-2.2104323,6.7359805,4.235494,-7.761073,2.1585941,-0.90692043,0.21977425,1.666677,-5.0905943,8.000004,-0.7154882,0.42910576,1.378727,-3.1024277,0.21929741,-8.796501,3.790784,2.2191525,1.2643576,2.3863196,0.043976307,-8.659339,2.5023937,-10.674894,9.847665,6.5378904,8.414686,-3.2590091,-10.859924,-8.569622,2.1944523,-3.8378358,-10.3428955,1.1285186,16.181028,-2.0761907,-1.0072768,3.5048008,-2.8399706,-2.7543664,6.82081,1.4113188,3.12016,-6.8443003,-14.021313],"EWA^FG_PRICE(0,-200D)":[28.26,28.0,28.7,28.68,27.98,28.42,29.0,28.95,28.86,28.33,28.61,29.35,29.09,29.93,30.09,30.14,30.16,29.58,29.45,29.7,29.37,29.31,29.32,29.16,29.1,29.3,28.64,28.83,28.23,27.84,28.35,28.12,27.95,27.75,28.42,28.17,28.24,27.62,27.38,27.07,26.7,26.46,26.74,26.65,26.54,26.41,26.45,26.26,26.37,26.27,26.49,26.61,26.47,26.19,26.41,26.48,26.68,26.6,26.61,26.15,25.88,25.81,25.58,25.82,26.42,26.52,26.64,26.65,26.35,26.24,26.34,26.29,26.13,25.93,25.73,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],"EWM^FG_PRICE(0,-200D)":[29.52,29.34,29.37,29.06,28.64,28.53,28.78,28.58,28.27,28.49,28.54,28.82,28.36,28.69,29.22,29.65,30.01,30.02,30.01,30.13,29.82,29.67,29.65,29.72,29.71,29.98,29.69,29.83,29.57,29.18,29.49,29.42,29.32,29.18,29.27,29.84,30.06,29.5,28.78,28.43,28.26,27.88,28.17,28.28,28.2,28.05,27.97,27.59,27.36,27.43,27.63,27.61,27.42,27.36,27.57,27.53,27.64,27.69,27.53,27.41,27.2,26.88,26.6,26.79,27.09,26.98,26.87,26.52,26.37,26.32,26.64,26.59,26.73,26.67,26.6,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],"EWI^FG_TOTAL_RETURNC(-5AY,0,AM)":[3.40271,3.418529,0.27803183,0.90744495,-5.2843037,6.851554,-1.7099261,2.6405811,-0.39346814,-2.5825024,4.5555115,-2.7836561,-10.488642,1.6689777,-5.608755,-8.84329,-2.4989784,1.9747972,-1.5245199,-5.774057,21.136772,-1.0636628,10.1542,5.1894784,-8.8283,12.815952,-1.4515638,3.142655,4.7709823,-5.6466284,1.4800549,-5.738747,9.485364,4.70047,-0.5211711,2.7479172,8.866274,-2.8304458,8.106625,-6.0414734,3.853619,0.45381784,3.0560613,1.0572433,-7.3232946,-0.70410967,6.33446,7.413292,8.429885,-4.2282343,12.271536,-0.06648898,2.86268,8.014226,-0.48430562,-1.1679947,1.1227131,6.9738746,1.3097167,1.7662048,-6.1370554],"TUR^FG_TOTAL_RETURNC(-5AY,0,AM)":[-4.1932225,-18.662464,2.1523833,-6.5292063,-2.878368,8.221793,-1.72261,-6.6966295,1.5895963,-18.50922,20.338976,-2.2826552,-3.0815125,20.769226,-12.526536,-3.8015604,-2.6466012,15.618336,5.5786014,17.860258,11.893296,21.064556,0.24739504,-6.580758,2.8764248,-3.2239676,-13.266504,3.2098413,6.311846,12.483954,4.0798903,-3.8651288,0.25663376,-3.1854331,0.05055666,14.035606,-8.456934,8.612847,12.928557,-1.9765377,4.667306,-11.685342,-2.1491408,-12.225461,4.5221567,3.2612205,2.0471096,-4.8502326,-4.577613,-3.4201026,1.8176198,-5.9148192,9.58153,4.561305,2.550733,-9.836072,5.5172443,4.6370983,10.183584,7.419944,-6.0106635],"ECH^FG_TOTAL_RETURNC(-5AY,0,AM)":[3.4378767,4.373181,-20.78212,1.1256337,-3.014183,-1.828152,1.5642405,-11.477816,5.426681,-2.201879,5.9449673,1.2142539,8.939624,-1.0657191,0.32316446,-4.0293217,-2.9092312,2.676785,6.0700417,-12.802643,5.8056355,3.7969232,7.2298646,7.2737217,-8.761745,9.284914,2.500856,1.9708276,8.963871,-11.542064,-4.349369,-9.94454,6.8965554,8.333325,-8.489836,-0.27290583,2.6583314,-0.038081408,11.352385,-7.375169,-0.56839585,0.76220036,-2.4205804,1.9767404,-3.4207523,-1.1288762,2.9552698,10.938716,8.181822,-3.1997383,10.050082,-5.959606,-0.59327483,6.730771,4.349184,-0.68472624,11.241007,6.0994625,12.375975,-1.2928069,-8.639711],"SPY^FG_PRICE(0,-200D)":[659.8,661.43,670.79,669.03,662.29,666.06,676.33,677.18,678.27,672.38,681.31,685.13,680.33,686.38,685.99,689.3,693.15,687.35,682.39,689.43,684.48,686.29,682.85,681.75,681.27,691.96,692.12,693.95,690.62,677.62,686.19,689.53,695.41,691.97,694.04,695.42,695.49,692.73,689.23,688.98,685.4,677.58,691.66,692.24,690.36,693.77,695.16,694.07,689.51,689.58,691.81,687.72,683.17,681.92,687.01,687.85,690.31,690.38,687.96,684.83,680.59,676.47,671.4,678.87,680.73,681.76,689.17,687.57,683.04,683.63,685.69,684.39,683.89,681.53,680.27,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],"EPU^FG_PRICE(0,-200D)":[76.63,78.25,81.81,81.46,80.07,81.95,84.67,86.87,83.97,83.19,84.72,88.67,87.55,93.38,93.84,93.46,93.37,92.18,90.66,89.66,88.13,86.571,84.91,86.67,87.03,90.05,89.43,91.08,88.15,85.17,88.38,91.33,87.4,86.6,92.57,92.07,91.61,90.43,88.38,86.2,85.04,84.78,82.63,83.01,82.26,80.99,80.55,78.19,76.55,75.42,76.71,74.87,72.71,72.35,72.91,71.95,73.77,72.74,72.78,72.08,71.2,69.98,69.18,69.3,69.25,69.3,69.68,68.29,67.48,66.53,67.03,67.0,66.03,64.67,64.57,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],"SET-BKK^FG_TOTAL_RETURNC(-5AY,0,AM)":[4.228556,0.7001519,-0.8044958,3.2479048,-3.5319686,-0.75384974,5.269122,0.291574,0.8997917,-0.2024293,1.0056496,3.314352,-2.0248652,-0.17217994,-4.156077,-2.9010296,-1.6647518,6.031573,0.34749508,-2.6263058,1.8039703,0.05069971,4.3431044,-2.1800637,-5.32794,1.0910153,-4.1651607,2.774465,-1.3025761,-1.1401534,0.25277138,-6.5609035,-0.51017404,-1.4748037,-0.8882344,0.3486395,-0.3510356,-3.644228,3.7985802,-5.7034254,1.0216236,0.47374964,9.933651,2.4043918,-1.9941986,-5.655736,-2.6787102,-5.8450103,-5.752331,-3.2538772,3.1374216,-9.968328,12.898481,2.4184108,4.6093106,-1.4009237,-0.19142628,-1.5705526,2.4764657,16.420673,-5.1181197],"CNYA^FG_TOTAL_RETURNC(-5AY,0,AM)":[-14.308953,0.8515835,4.101324,-0.7648885,1.5672445,-2.9479504,0.40341616,3.6246777,-1.239866,1.3639092,-3.426081,-2.976191,-6.7239285,-5.9458017,-6.097901,8.692956,-0.6864369,-3.8429618,-7.3318005,-7.2913465,3.5036922,2.8137803,10.5022545,-4.664445,-3.119266,4.324496,-5.9001503,-1.8228471,-3.2162786,-3.3231616,-1.0873377,-5.4609957,3.648162,-4.496866,-3.7665844,4.0607095,5.163574,-1.83658,4.8491716,-4.1587353,-1.3719559,-2.3956656,-3.7608922,21.061302,-0.57764053,-1.4687777,-3.2966971,3.4824014,2.5858998,-7.3895035,4.9216986,-0.24362803,6.330478,4.3390512,7.8336596,0.47832727,0.8033395,1.6880751,4.7949195,0.30128956,-2.5321424],"KSA^FG_PRICE(0,-200D)":[37.6,37.74,38.18,38.31,37.6,37.9,38.11,38.28,38.25,37.09,37.25,37.46,36.68,36.58,37.17,37.13,37.92,38.18,38.3,38.63,38.13,39.12,38.94,39.16,38.94,39.19,39.23,39.46,39.75,39.22,39.63,39.57,39.79,39.86,39.87,40.14,40.12,39.61,39.01,38.93,38.3,37.94,37.83,37.99,38.21,38.21,37.82,36.87,36.82,36.32,37.03,36.0,36.77,36.41,36.05,36.39,36.57,36.6,36.76,36.55,36.36,36.3,35.83,36.09,36.81,37.4,37.62,37.66,37.43,37.19,37.2,37.17,37.04,36.98,37.06,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],"EWC^FG_TOTAL_RETURNC(-5AY,0,AM)":[4.1162252,2.093017,5.06835,0.53372383,-3.7157536,1.9999981,1.5189171,6.991303,-0.20341277,-5.0542355,5.871165,-3.0808747,5.3774834,0.6033182,-9.245378,-7.6037884,1.3509393,5.242896,-4.3906507,-7.7715693,10.245776,-5.5631995,7.682729,1.068759,-7.5164375,9.45611,-1.806885,0.8679867,3.1097054,-5.808437,3.3204794,-5.681491,4.867673,6.2083006,-0.07721186,1.6348004,2.8353333,-1.6171813,3.9881468,-4.4680414,5.0930977,3.0484557,4.045522,2.1628141,0.57088137,-4.9857616,2.295661,4.1430354,-2.817899,0.14619827,7.177615,3.5709262,2.8023005,0.8800149,7.9361677,-0.88704824,0.6762147,6.995642,2.701199,2.938509,-4.6696067],"EWT^FG_TOTAL_RETURNC(-5AY,0,AM)":[-3.1473756,8.132732,-5.422163,5.1613927,1.5507579,-5.1007566,6.6522956,-2.4731696,5.58213,0.12984276,3.2088041,-1.6821921,-4.491287,-7.1497145,-6.7700267,-3.2889843,-3.515476,3.3663392,-8.544058,-13.175535,17.273819,-0.72327256,6.040597,2.3754597,-1.8472612,1.7672777,2.8416753,6.25,-0.49536228,-6.40946,0.93085766,-1.6688645,6.8110824,3.6587954,0.4713297,4.299617,4.729879,-5.303502,11.529207,6.7869782,-2.3879468,2.822733,-1.7020524,5.4924607,-4.3240366,-1.2274325,0.3471613,2.0757318,-5.5921674,-10.49062,19.919777,4.106283,5.7290792,1.4348388,5.4751277,2.6980042,-3.9790988,3.1681776,9.2472315,7.9150558,-0.72932243],"ECH^JULIAN(FG_TOTAL_RETURNC(-5AY,0,AM).DATES)":[44274,44305,44335,44365,44396,44427,44456,44488,44519,44547,44580,44610,44638,44670,44700,44729,44761,44792,44823,44853,44883,44914,44945,44974,45002,45035,45065,45093,45126,45156,45188,45218,45247,45279,45310,45338,45370,45401,45429,45461,45492,45523,45554,45583,45615,45645,45674,45707,45735,45764,45796,45826,45856,45888,45919,45947,45980,46010,46038,46072,46100],"EZA^FG_PRICE(0,-200D)":[64.93,65.86,69.18,69.08,66.6,69.02,71.05,73.04,72.0,70.52,71.42,74.34,73.56,79.9,81.6,80.76,80.27,79.25,77.89,77.25,75.01,75.57,74.71,75.32,74.15,76.53,75.41,75.72,74.77,71.6,73.98,74.56,73.25,73.2,79.58,80.14,79.02,77.38,76.34,75.56,73.52,73.44,72.78,73.74,73.39,73.09,72.78,70.69,70.34,71.45,72.74,70.24,69.4,68.8,69.23,68.43,70.31,69.92,69.54,68.79,67.6,67.51,66.64,65.7,69.61,68.63,69.5,68.18,66.91,66.39,67.88,67.05,66.92,66.5,67.45,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],"MCHI^FG_TOTAL_RETURNC(-5AY,0,AM)":[-11.238891,-3.2273233,-2.6898801,0.6807804,-4.1708174,-13.537741,3.5462022,5.282247,-5.334258,-8.924418,1.7716169,-2.563697,-10.573328,-6.5383253,-3.6727548,7.0987105,-0.28419495,-7.9042377,-4.477,-15.11879,12.111961,8.184206,13.966358,-6.146079,-6.3694296,4.4855475,-5.8799686,3.964901,-4.282117,-4.999995,1.2465358,-4.9931645,3.8396955,-4.4372616,-8.156133,4.724622,3.2482505,-1.5980005,20.375538,-7.8382015,-3.468871,2.1180391,-0.605917,18.38218,-5.545658,-0.18527508,-1.0916114,16.273535,8.524108,-15.469045,10.975862,-0.44781566,6.526983,3.7249804,8.138954,-1.7535686,-2.2113442,-0.8617997,3.1172633,-2.8790772,-6.439394],"UAE^FG_PRICE(0,-200D)":[17.92,17.88,18.3,17.9,17.76,17.89,18.68,19.11,19.17,19.08,19.4,19.835,19.69,20.31,21.35,21.54,22.0,22.0,21.96,21.63,21.69,22.23,21.85,21.94,21.89,21.83,21.9,21.89,21.73,21.39,21.29,21.11,20.94,20.49,20.66,20.75,20.71,20.41,20.46,20.62,20.3,20.09,19.87,19.73,19.59,19.76,19.55,19.43,19.65,19.65,19.425,19.22,19.2151,19.12,19.05,19.6,19.54,19.52,19.56,19.45,19.25,19.31,19.1129,19.24,19.38,19.35,19.51,19.4401,19.38,19.08,19.22,19.05,18.85,18.53,18.4941,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],"EIDO^FG_PRICE(0,-200D)":[15.33,15.39,15.57,15.41,15.52,15.86,16.17,16.32,16.4,16.21,16.66,16.87,17.15,17.52,17.82,17.89,18.22,17.95,18.11,18.06,17.83,17.87,17.82,17.77,17.89,18.09,17.75,17.6,17.6,17.51,17.79,17.59,17.41,17.65,17.58,17.26,19.18,19.2,19.01,19.05,18.94,19.13,19.14,19.22,19.14,19.03,18.99,19.01,18.99,19.03,19.08,19.04,18.81,18.7,18.67,18.67,18.47,18.45,18.56,18.68,18.58,18.63,18.6,18.67,18.86,18.76,18.68,18.86,18.68,18.87,18.82,18.79,18.83,18.92,18.79,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],"ENZL^FG_TOTAL_RETURNC(-5AY,0,AM)":[-1.3386607,0.5566001,-3.934586,-2.4020195,0.80120564,0.96042156,3.837955,0.5212426,-5.4525495,-4.435891,0.14072657,-5.5422726,5.8241487,-7.232314,-10.420233,-6.880164,5.9040546,4.246521,-4.4495463,-10.472239,13.772893,4.797578,4.8784137,0.07849932,-4.2352915,1.289928,2.9108524,-3.0659974,1.8215299,-8.663321,-1.9146085,-3.9039671,3.4788609,9.814978,-3.1415403,-1.1909902,-1.3806701,-2.222222,4.2954564,1.0297537,0.3694892,5.43828,3.3447385,-2.2058845,-3.373295,-5.8656693,2.876389,-0.52925944,-6.4380527,2.8611898,3.7931085,0.79034567,1.3642311,-0.19695759,1.7651558,-2.6610672,-3.339672,3.9504647,2.0861268,0.573051,-3.8620293],"EPU^FG_TOTAL_RETURNC(-5AY,0,AM)":[-6.4169765,-3.7223577,-2.587217,-14.533859,-1.9718289,-14.044541,11.993313,13.3582115,-3.1682014,-2.1065712,21.222889,1.2316823,6.5179586,-5.384821,-15.176779,-2.1426916,-10.017956,4.2298555,-0.84227324,-2.9343665,14.797139,-2.4727762,13.449025,-5.6724014,-3.5810769,10.6166725,-4.086155,6.3061476,4.6138644,-5.5353165,0.70807934,-6.6794515,5.199313,12.858176,-1.9998312,5.3550243,9.500504,4.2979956,10.139858,-6.3125668,1.7234921,-1.2676775,2.2143245,7.6170087,-2.4466872,-4.8797607,0.91809034,3.0887723,6.6945553,-2.8776944,4.537034,6.9621444,1.9114733,6.9536448,11.86378,8.923531,-2.7314603,16.722012,16.053368,6.656182,-13.048905]}]]></FdsFormulaCache>
</file>

<file path=customXml/itemProps1.xml><?xml version="1.0" encoding="utf-8"?>
<ds:datastoreItem xmlns:ds="http://schemas.openxmlformats.org/officeDocument/2006/customXml" ds:itemID="{C4B69AAA-142D-4A27-A9FE-ABCF8710F787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2026-03-20T09:09:04Z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