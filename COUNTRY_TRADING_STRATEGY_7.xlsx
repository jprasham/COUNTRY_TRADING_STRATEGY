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C7222D89-CA9F-4E4E-A800-8039F2B21C14}" xr6:coauthVersionLast="47" xr6:coauthVersionMax="47" xr10:uidLastSave="{00000000-0000-0000-0000-000000000000}"/>
  <bookViews>
    <workbookView xWindow="-98" yWindow="-98" windowWidth="22695" windowHeight="13546" firstSheet="1" activeTab="2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A2" i="6" a="1"/>
  <c r="S2" i="6" a="1"/>
  <c r="C2" i="6" a="1"/>
  <c r="AD2" i="1" a="1"/>
  <c r="F2" i="1" a="1"/>
  <c r="AG2" i="6" a="1"/>
  <c r="I2" i="6" a="1"/>
  <c r="AB2" i="1" a="1"/>
  <c r="T2" i="1" a="1"/>
  <c r="D2" i="1" a="1"/>
  <c r="AF2" i="6" a="1"/>
  <c r="P2" i="6" a="1"/>
  <c r="H2" i="6" a="1"/>
  <c r="AI2" i="1" a="1"/>
  <c r="AA2" i="1" a="1"/>
  <c r="S2" i="1" a="1"/>
  <c r="K2" i="1" a="1"/>
  <c r="C2" i="1" a="1"/>
  <c r="O2" i="6" a="1"/>
  <c r="R2" i="1" a="1"/>
  <c r="J2" i="1" a="1"/>
  <c r="F2" i="6" a="1"/>
  <c r="Y2" i="1" a="1"/>
  <c r="Q2" i="1" a="1"/>
  <c r="A2" i="1" a="1"/>
  <c r="AC2" i="6" a="1"/>
  <c r="E2" i="6" a="1"/>
  <c r="AF2" i="1" a="1"/>
  <c r="L2" i="6" a="1"/>
  <c r="D2" i="6" a="1"/>
  <c r="AE2" i="1" a="1"/>
  <c r="AI2" i="6" a="1"/>
  <c r="K2" i="6" a="1"/>
  <c r="V2" i="1" a="1"/>
  <c r="N2" i="1" a="1"/>
  <c r="Y2" i="6" a="1"/>
  <c r="AE2" i="6" a="1"/>
  <c r="G2" i="6" a="1"/>
  <c r="AH2" i="1" a="1"/>
  <c r="B2" i="1" a="1"/>
  <c r="V2" i="6" a="1"/>
  <c r="I2" i="1" a="1"/>
  <c r="M2" i="6" a="1"/>
  <c r="X2" i="1" a="1"/>
  <c r="H2" i="1" a="1"/>
  <c r="T2" i="6" a="1"/>
  <c r="W2" i="1" a="1"/>
  <c r="O2" i="1" a="1"/>
  <c r="G2" i="1" a="1"/>
  <c r="AH2" i="6" a="1"/>
  <c r="Z2" i="6" a="1"/>
  <c r="R2" i="6" a="1"/>
  <c r="J2" i="6" a="1"/>
  <c r="B2" i="6" a="1"/>
  <c r="AC2" i="1" a="1"/>
  <c r="U2" i="1" a="1"/>
  <c r="M2" i="1" a="1"/>
  <c r="E2" i="1" a="1"/>
  <c r="Q2" i="6" a="1"/>
  <c r="A2" i="6" a="1"/>
  <c r="L2" i="1" a="1"/>
  <c r="X2" i="6" a="1"/>
  <c r="W2" i="6" a="1"/>
  <c r="Z2" i="1" a="1"/>
  <c r="AD2" i="6" a="1"/>
  <c r="N2" i="6" a="1"/>
  <c r="AG2" i="1" a="1"/>
  <c r="U2" i="6" a="1"/>
  <c r="P2" i="1" a="1"/>
  <c r="AB2" i="6" a="1"/>
  <c r="AB2" i="6" l="1"/>
  <c r="P2" i="1"/>
  <c r="U2" i="6"/>
  <c r="AG2" i="1"/>
  <c r="N2" i="6"/>
  <c r="AD2" i="6"/>
  <c r="Z2" i="1"/>
  <c r="W2" i="6"/>
  <c r="X2" i="6"/>
  <c r="L2" i="1"/>
  <c r="A2" i="6"/>
  <c r="Q2" i="6"/>
  <c r="E2" i="1"/>
  <c r="M2" i="1"/>
  <c r="U2" i="1"/>
  <c r="AC2" i="1"/>
  <c r="AC68" i="1" s="1"/>
  <c r="B2" i="6"/>
  <c r="J2" i="6"/>
  <c r="R2" i="6"/>
  <c r="Z2" i="6"/>
  <c r="AH2" i="6"/>
  <c r="G2" i="1"/>
  <c r="O2" i="1"/>
  <c r="W2" i="1"/>
  <c r="W68" i="1" s="1"/>
  <c r="T2" i="6"/>
  <c r="H2" i="1"/>
  <c r="X2" i="1"/>
  <c r="X68" i="1" s="1"/>
  <c r="M2" i="6"/>
  <c r="I2" i="1"/>
  <c r="V2" i="6"/>
  <c r="B2" i="1"/>
  <c r="AH2" i="1"/>
  <c r="AH68" i="1" s="1"/>
  <c r="G2" i="6"/>
  <c r="AE2" i="6"/>
  <c r="Y2" i="6"/>
  <c r="N2" i="1"/>
  <c r="V2" i="1"/>
  <c r="K2" i="6"/>
  <c r="AI2" i="6"/>
  <c r="AE2" i="1"/>
  <c r="AE68" i="1" s="1"/>
  <c r="D2" i="6"/>
  <c r="L2" i="6"/>
  <c r="AF2" i="1"/>
  <c r="AF68" i="1" s="1"/>
  <c r="E2" i="6"/>
  <c r="AC2" i="6"/>
  <c r="A2" i="1"/>
  <c r="Q2" i="1"/>
  <c r="Y2" i="1"/>
  <c r="Y68" i="1" s="1"/>
  <c r="F2" i="6"/>
  <c r="J2" i="1"/>
  <c r="R2" i="1"/>
  <c r="O2" i="6"/>
  <c r="C2" i="1"/>
  <c r="K2" i="1"/>
  <c r="S2" i="1"/>
  <c r="AA2" i="1"/>
  <c r="AI2" i="1"/>
  <c r="H2" i="6"/>
  <c r="P2" i="6"/>
  <c r="AF2" i="6"/>
  <c r="D2" i="1"/>
  <c r="T2" i="1"/>
  <c r="AB2" i="1"/>
  <c r="AB68" i="1" s="1"/>
  <c r="I2" i="6"/>
  <c r="AG2" i="6"/>
  <c r="F2" i="1"/>
  <c r="AD2" i="1"/>
  <c r="C2" i="6"/>
  <c r="S2" i="6"/>
  <c r="AA2" i="6"/>
  <c r="Z68" i="1"/>
  <c r="AG68" i="1"/>
  <c r="AI68" i="1"/>
  <c r="AA68" i="1"/>
  <c r="AD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F69" i="1"/>
  <c r="AF70" i="1" s="1"/>
  <c r="AH69" i="1"/>
  <c r="AH70" i="1" s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3D8581BA-8387-4AB3-9F40-C2F7210EF756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Timestamp="1772821729"&gt;&lt;FQL&gt;&lt;Q&gt;EWJ^FG_PRICE(0,-200D)&lt;/Q&gt;&lt;R&gt;201&lt;/R&gt;&lt;C&gt;1&lt;/C&gt;&lt;D xsi:type="xsd:double"&gt;85.02&lt;/D&gt;&lt;D xsi:type="xsd:double"&gt;85.89&lt;/D&gt;&lt;D xsi:type="xsd:double"&gt;88.59&lt;/D&gt;&lt;D xsi:type="xsd:double"&gt;86.83&lt;/D&gt;&lt;D xsi:type="xsd:double"&gt;90.2&lt;/D&gt;&lt;D xsi:type="xsd:double"&gt;92.37&lt;/D&gt;&lt;D xsi:type="xsd:double"&gt;92.48&lt;/D&gt;&lt;D xsi:type="xsd:double"&gt;92.44&lt;/D&gt;&lt;D xsi:type="xsd:double"&gt;91.23&lt;/D&gt;&lt;D xsi:type="xsd:double"&gt;91.39&lt;/D&gt;&lt;D xsi:type="xsd:double"&gt;91.47&lt;/D&gt;&lt;D xsi:type="xsd:double"&gt;91.2&lt;/D&gt;&lt;D xsi:type="xsd:double"&gt;91.38&lt;/D&gt;&lt;D xsi:type="xsd:double"&gt;91.87&lt;/D&gt;&lt;D xsi:type="xsd:double"&gt;93.85&lt;/D&gt;&lt;D xsi:type="xsd:double"&gt;93.37&lt;/D&gt;&lt;D xsi:type="xsd:double"&gt;93.97&lt;/D&gt;&lt;D xsi:type="xsd:double"&gt;93.1&lt;/D&gt;&lt;D xsi:type="xsd:double"&gt;91.29&lt;/D&gt;&lt;D xsi:type="xsd:double"&gt;89.4&lt;/D&gt;&lt;D xsi:type="xsd:double"&gt;86.1&lt;/D&gt;&lt;D xsi:type="xsd:double"&gt;87.49&lt;/D&gt;&lt;D xsi:type="xsd:double"&gt;86.68&lt;/D&gt;&lt;D xsi:type="xsd:double"&gt;85.89&lt;/D&gt;&lt;D xsi:type="xsd:double"&gt;85.72&lt;/D&gt;&lt;D xsi:type="xsd:double"&gt;86.09&lt;/D&gt;&lt;D xsi:type="xsd:double"&gt;85.21&lt;/D&gt;&lt;D xsi:type="xsd:double"&gt;85.84&lt;/D&gt;&lt;D xsi:type="xsd:double"&gt;84.63&lt;/D&gt;&lt;D xsi:type="xsd:double"&gt;84.56&lt;/D&gt;&lt;D xsi:type="xsd:double"&gt;84.86&lt;/D&gt;&lt;D xsi:type="xsd:double"&gt;84.78&lt;/D&gt;&lt;D xsi:type="xsd:double"&gt;83.72&lt;/D&gt;&lt;D xsi:type="xsd:double"&gt;85.48&lt;/D&gt;&lt;D xsi:type="xsd:double"&gt;85.42&lt;/D&gt;&lt;D xsi:type="xsd:double"&gt;85.04&lt;/D&gt;&lt;D xsi:type="xsd:double"&gt;84.45&lt;/D&gt;&lt;D xsi:type="xsd:double"&gt;85.29&lt;/D&gt;&lt;D xsi:type="xsd:double"&gt;84.61&lt;/D&gt;&lt;D xsi:type="xsd:double"&gt;82.86&lt;/D&gt;&lt;D xsi:type="xsd:double"&gt;82.92&lt;/D&gt;&lt;D xsi:type="xsd:double"&gt;83.07&lt;/D&gt;&lt;D xsi:type="xsd:double"&gt;83.13&lt;/D&gt;&lt;D xsi:type="xsd:double"&gt;81.33&lt;/D&gt;&lt;D xsi:type="xsd:double"&gt;80.74&lt;/D&gt;&lt;D xsi:type="xsd:double"&gt;80.98&lt;/D&gt;&lt;D xsi:type="xsd:double"&gt;81.09&lt;/D&gt;&lt;D xsi:type="xsd:double"&gt;80.97&lt;/D&gt;&lt;D xsi:type="xsd:double"&gt;81&lt;/D&gt;&lt;D xsi:type="xsd:double"&gt;81.14&lt;/D&gt;&lt;D xsi:type="xsd:double"&gt;80.46&lt;/D&gt;&lt;D xsi:type="xsd:double"&gt;80.58&lt;/D&gt;&lt;D xsi:type="xsd:double"&gt;79.97&lt;/D&gt;&lt;D xsi:type="xsd:double"&gt;79.74&lt;/D&gt;&lt;D xsi:type="xsd:double"&gt;80.85&lt;/D&gt;&lt;D xsi:type="xsd:double"&gt;84.87&lt;/D&gt;&lt;D xsi:type="xsd:double"&gt;84&lt;/D&gt;&lt;D xsi:type="xsd:double"&gt;84.22&lt;/D&gt;&lt;D xsi:type="xsd:double"&gt;83.91&lt;/D&gt;&lt;D xsi:type="xsd:double"&gt;83.31&lt;/D&gt;&lt;D xsi:type="xsd:double"&gt;83.19&lt;/D&gt;&lt;D xsi:type="xsd:double"&gt;83.7&lt;/D&gt;&lt;D xsi:type="xsd:double"&gt;83.62&lt;/D&gt;&lt;D xsi:type="xsd:double"&gt;82.61&lt;/D&gt;&lt;D xsi:type="xsd:double"&gt;82.47&lt;/D&gt;&lt;D xsi:type="xsd:double"&gt;82.53&lt;/D&gt;&lt;D xsi:type="xsd:double"&gt;83.01&lt;/D&gt;&lt;D xsi:type="xsd:double"&gt;83.26&lt;/D&gt;&lt;D xsi:type="xsd:double"&gt;81.92&lt;/D&gt;&lt;D xsi:type="xsd:double"&gt;81.74&lt;/D&gt;&lt;D xsi:type="xsd:double"&gt;81.19&lt;/D&gt;&lt;D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xsi:type="xsd:double"&gt;73.39&lt;/D&gt;&lt;D xsi:type="xsd:double"&gt;74.08&lt;/D&gt;&lt;D xsi:type="xsd:double"&gt;74.13&lt;/D&gt;&lt;D xsi:type="xsd:double"&gt;75.04&lt;/D&gt;&lt;D xsi:type="xsd:double"&gt;74.12&lt;/D&gt;&lt;D xsi:type="xsd:double"&gt;74.03&lt;/D&gt;&lt;D xsi:type="xsd:double"&gt;73.61&lt;/D&gt;&lt;D xsi:type="xsd:double"&gt;74.95&lt;/D&gt;&lt;D xsi:type="xsd:double"&gt;73.03&lt;/D&gt;&lt;D xsi:type="xsd:double"&gt;72.37&lt;/D&gt;&lt;D xsi:type="xsd:double"&gt;72.31&lt;/D&gt;&lt;D xsi:type="xsd:double"&gt;72.99&lt;/D&gt;&lt;D xsi:type="xsd:double"&gt;72.57&lt;/D&gt;&lt;/FQL&gt;&lt;FQL&gt;&lt;Q&gt;TUR^FG_PRICE(0,-200D)&lt;/Q&gt;&lt;R&gt;201&lt;/R&gt;&lt;C&gt;1&lt;/C&gt;&lt;D xsi:type="xsd:double"&gt;37.72&lt;/D&gt;&lt;D xsi:type="xsd:double"&gt;38.73&lt;/D&gt;&lt;D xsi:type="xsd:double"&gt;38.96&lt;/D&gt;&lt;D xsi:type="xsd:double"&gt;38.78&lt;/D&gt;&lt;D xsi:type="xsd:double"&gt;39.59&lt;/D&gt;&lt;D xsi:type="xsd:double"&gt;40.63&lt;/D&gt;&lt;D xsi:type="xsd:double"&gt;41.23&lt;/D&gt;&lt;D xsi:type="xsd:double"&gt;41.19&lt;/D&gt;&lt;D xsi:type="xsd:double"&gt;41.93&lt;/D&gt;&lt;D xsi:type="xsd:double"&gt;41.76&lt;/D&gt;&lt;D xsi:type="xsd:double"&gt;41.65&lt;/D&gt;&lt;D xsi:type="xsd:double"&gt;41.26&lt;/D&gt;&lt;D xsi:type="xsd:double"&gt;42.41&lt;/D&gt;&lt;D xsi:type="xsd:double"&gt;42.34&lt;/D&gt;&lt;D xsi:type="xsd:double"&gt;42.22&lt;/D&gt;&lt;D xsi:type="xsd:double"&gt;41.91&lt;/D&gt;&lt;D xsi:type="xsd:double"&gt;41.21&lt;/D&gt;&lt;D xsi:type="xsd:double"&gt;40.97&lt;/D&gt;&lt;D xsi:type="xsd:double"&gt;41.54&lt;/D&gt;&lt;D xsi:type="xsd:double"&gt;40.84&lt;/D&gt;&lt;D xsi:type="xsd:double"&gt;40.66&lt;/D&gt;&lt;D xsi:type="xsd:double"&gt;41.37&lt;/D&gt;&lt;D xsi:type="xsd:double"&gt;41.54&lt;/D&gt;&lt;D xsi:type="xsd:double"&gt;41.14&lt;/D&gt;&lt;D xsi:type="xsd:double"&gt;41.25&lt;/D&gt;&lt;D xsi:type="xsd:double"&gt;41.58&lt;/D&gt;&lt;D xsi:type="xsd:double"&gt;40.39&lt;/D&gt;&lt;D xsi:type="xsd:double"&gt;39.56&lt;/D&gt;&lt;D xsi:type="xsd:double"&gt;39.86&lt;/D&gt;&lt;D xsi:type="xsd:double"&gt;39.43&lt;/D&gt;&lt;D xsi:type="xsd:double"&gt;39.08&lt;/D&gt;&lt;D xsi:type="xsd:double"&gt;38.64&lt;/D&gt;&lt;D xsi:type="xsd:double"&gt;38.87&lt;/D&gt;&lt;D xsi:type="xsd:double"&gt;38.41&lt;/D&gt;&lt;D xsi:type="xsd:double"&gt;37.94&lt;/D&gt;&lt;D xsi:type="xsd:double"&gt;37.59&lt;/D&gt;&lt;D xsi:type="xsd:double"&gt;37.73&lt;/D&gt;&lt;D xsi:type="xsd:double"&gt;37.54&lt;/D&gt;&lt;D xsi:type="xsd:double"&gt;37.16&lt;/D&gt;&lt;D xsi:type="xsd:double"&gt;36.73&lt;/D&gt;&lt;D xsi:type="xsd:double"&gt;36.63&lt;/D&gt;&lt;D xsi:type="xsd:double"&gt;36.77&lt;/D&gt;&lt;D xsi:type="xsd:double"&gt;35.81&lt;/D&gt;&lt;D xsi:type="xsd:double"&gt;34.92&lt;/D&gt;&lt;D xsi:type="xsd:double"&gt;34.42&lt;/D&gt;&lt;D xsi:type="xsd:double"&gt;34.42&lt;/D&gt;&lt;D xsi:type="xsd:double"&gt;34.41&lt;/D&gt;&lt;D xsi:type="xsd:double"&gt;34.76&lt;/D&gt;&lt;D xsi:type="xsd:double"&gt;34.87&lt;/D&gt;&lt;D xsi:type="xsd:double"&gt;34.815&lt;/D&gt;&lt;D xsi:type="xsd:double"&gt;34.61&lt;/D&gt;&lt;D xsi:type="xsd:double"&gt;34.86&lt;/D&gt;&lt;D xsi:type="xsd:double"&gt;34.82&lt;/D&gt;&lt;D xsi:type="xsd:double"&gt;34.735&lt;/D&gt;&lt;D xsi:type="xsd:double"&gt;34.71&lt;/D&gt;&lt;D xsi:type="xsd:double"&gt;35.29&lt;/D&gt;&lt;D xsi:type="xsd:double"&gt;34.82&lt;/D&gt;&lt;D xsi:type="xsd:double"&gt;34.82&lt;/D&gt;&lt;D xsi:type="xsd:double"&gt;34.73&lt;/D&gt;&lt;D xsi:type="xsd:double"&gt;34.66&lt;/D&gt;&lt;D xsi:type="xsd:double"&gt;34.42&lt;/D&gt;&lt;D xsi:type="xsd:double"&gt;33.84&lt;/D&gt;&lt;D xsi:type="xsd:double"&gt;33.55&lt;/D&gt;&lt;D xsi:type="xsd:double"&gt;33.87&lt;/D&gt;&lt;D xsi:type="xsd:double"&gt;34.1&lt;/D&gt;&lt;D xsi:type="xsd:double"&gt;34.03&lt;/D&gt;&lt;D xsi:type="xsd:double"&gt;33.5&lt;/D&gt;&lt;D xsi:type="xsd:double"&gt;33.59&lt;/D&gt;&lt;D xsi:type="xsd:double"&gt;33.54&lt;/D&gt;&lt;D xsi:type="xsd:double"&gt;33.76&lt;/D&gt;&lt;D xsi:type="xsd:double"&gt;33.78&lt;/D&gt;&lt;D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xsi:type="xsd:double"&gt;31.44&lt;/D&gt;&lt;D xsi:type="xsd:double"&gt;31.36&lt;/D&gt;&lt;D xsi:type="xsd:double"&gt;30.84&lt;/D&gt;&lt;D xsi:type="xsd:double"&gt;30.05&lt;/D&gt;&lt;D xsi:type="xsd:double"&gt;29.99&lt;/D&gt;&lt;D xsi:type="xsd:double"&gt;30.54&lt;/D&gt;&lt;D xsi:type="xsd:double"&gt;30.56&lt;/D&gt;&lt;D xsi:type="xsd:double"&gt;30.86&lt;/D&gt;&lt;D xsi:type="xsd:double"&gt;31.24&lt;/D&gt;&lt;D xsi:type="xsd:double"&gt;31.7&lt;/D&gt;&lt;D xsi:type="xsd:double"&gt;31.42&lt;/D&gt;&lt;D xsi:type="xsd:double"&gt;31.86&lt;/D&gt;&lt;D xsi:type="xsd:double"&gt;32.49&lt;/D&gt;&lt;/FQL&gt;&lt;FQL&gt;&lt;Q&gt;ECH^FG_PRICE(0,-200D)&lt;/Q&gt;&lt;R&gt;201&lt;/R&gt;&lt;C&gt;1&lt;/C&gt;&lt;D xsi:type="xsd:double"&gt;39.33&lt;/D&gt;&lt;D xsi:type="xsd:double"&gt;38.97&lt;/D&gt;&lt;D xsi:type="xsd:double"&gt;40.31&lt;/D&gt;&lt;D xsi:type="xsd:double"&gt;39.57&lt;/D&gt;&lt;D xsi:type="xsd:double"&gt;41.56&lt;/D&gt;&lt;D xsi:type="xsd:double"&gt;43.5&lt;/D&gt;&lt;D xsi:type="xsd:double"&gt;44.34&lt;/D&gt;&lt;D xsi:type="xsd:double"&gt;44.73&lt;/D&gt;&lt;D xsi:type="xsd:double"&gt;44.54&lt;/D&gt;&lt;D xsi:type="xsd:double"&gt;43.51&lt;/D&gt;&lt;D xsi:type="xsd:double"&gt;43.58&lt;/D&gt;&lt;D xsi:type="xsd:double"&gt;43.52&lt;/D&gt;&lt;D xsi:type="xsd:double"&gt;43.69&lt;/D&gt;&lt;D xsi:type="xsd:double"&gt;43.8&lt;/D&gt;&lt;D xsi:type="xsd:double"&gt;43.81&lt;/D&gt;&lt;D xsi:type="xsd:double"&gt;44.25&lt;/D&gt;&lt;D xsi:type="xsd:double"&gt;45.35&lt;/D&gt;&lt;D xsi:type="xsd:double"&gt;44.54&lt;/D&gt;&lt;D xsi:type="xsd:double"&gt;46.17&lt;/D&gt;&lt;D xsi:type="xsd:double"&gt;45.24&lt;/D&gt;&lt;D xsi:type="xsd:double"&gt;45.19&lt;/D&gt;&lt;D xsi:type="xsd:double"&gt;45.66&lt;/D&gt;&lt;D xsi:type="xsd:double"&gt;47.19&lt;/D&gt;&lt;D xsi:type="xsd:double"&gt;46.05&lt;/D&gt;&lt;D xsi:type="xsd:double"&gt;45.24&lt;/D&gt;&lt;D xsi:type="xsd:double"&gt;46.875&lt;/D&gt;&lt;D xsi:type="xsd:double"&gt;47.06&lt;/D&gt;&lt;D xsi:type="xsd:double"&gt;47.37&lt;/D&gt;&lt;D xsi:type="xsd:double"&gt;46.78&lt;/D&gt;&lt;D xsi:type="xsd:double"&gt;46.4&lt;/D&gt;&lt;D xsi:type="xsd:double"&gt;46.175&lt;/D&gt;&lt;D xsi:type="xsd:double"&gt;45.2&lt;/D&gt;&lt;D xsi:type="xsd:double"&gt;43.89&lt;/D&gt;&lt;D xsi:type="xsd:double"&gt;44.09&lt;/D&gt;&lt;D xsi:type="xsd:double"&gt;44.15&lt;/D&gt;&lt;D xsi:type="xsd:double"&gt;44.51&lt;/D&gt;&lt;D xsi:type="xsd:double"&gt;44.34&lt;/D&gt;&lt;D xsi:type="xsd:double"&gt;43.87&lt;/D&gt;&lt;D xsi:type="xsd:double"&gt;42.85&lt;/D&gt;&lt;D xsi:type="xsd:double"&gt;42.75&lt;/D&gt;&lt;D xsi:type="xsd:double"&gt;42.39&lt;/D&gt;&lt;D xsi:type="xsd:double"&gt;42.55&lt;/D&gt;&lt;D xsi:type="xsd:double"&gt;41.6&lt;/D&gt;&lt;D xsi:type="xsd:double"&gt;40.37&lt;/D&gt;&lt;D xsi:type="xsd:double"&gt;40.4&lt;/D&gt;&lt;D xsi:type="xsd:double"&gt;40.54&lt;/D&gt;&lt;D xsi:type="xsd:double"&gt;40.15&lt;/D&gt;&lt;D xsi:type="xsd:double"&gt;40.29&lt;/D&gt;&lt;D xsi:type="xsd:double"&gt;40.03&lt;/D&gt;&lt;D xsi:type="xsd:double"&gt;39.92&lt;/D&gt;&lt;D xsi:type="xsd:double"&gt;39.79&lt;/D&gt;&lt;D xsi:type="xsd:double"&gt;39.31&lt;/D&gt;&lt;D xsi:type="xsd:double"&gt;38.69&lt;/D&gt;&lt;D xsi:type="xsd:double"&gt;38.28&lt;/D&gt;&lt;D xsi:type="xsd:double"&gt;38.84&lt;/D&gt;&lt;D xsi:type="xsd:double"&gt;38.995&lt;/D&gt;&lt;D xsi:type="xsd:double"&gt;39.78&lt;/D&gt;&lt;D xsi:type="xsd:double"&gt;39.28&lt;/D&gt;&lt;D xsi:type="xsd:double"&gt;38.75&lt;/D&gt;&lt;D xsi:type="xsd:double"&gt;38.34&lt;/D&gt;&lt;D xsi:type="xsd:double"&gt;38.24&lt;/D&gt;&lt;D xsi:type="xsd:double"&gt;38.18&lt;/D&gt;&lt;D xsi:type="xsd:double"&gt;38.51&lt;/D&gt;&lt;D xsi:type="xsd:double"&gt;38.62&lt;/D&gt;&lt;D xsi:type="xsd:double"&gt;38.29&lt;/D&gt;&lt;D xsi:type="xsd:double"&gt;37.69&lt;/D&gt;&lt;D xsi:type="xsd:double"&gt;37.86&lt;/D&gt;&lt;D xsi:type="xsd:double"&gt;37.61&lt;/D&gt;&lt;D xsi:type="xsd:double"&gt;37.27&lt;/D&gt;&lt;D xsi:type="xsd:double"&gt;36.61&lt;/D&gt;&lt;D xsi:type="xsd:double"&gt;36.34&lt;/D&gt;&lt;D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xsi:type="xsd:double"&gt;31.84&lt;/D&gt;&lt;D xsi:type="xsd:double"&gt;32.17&lt;/D&gt;&lt;D xsi:type="xsd:double"&gt;31.88&lt;/D&gt;&lt;D xsi:type="xsd:double"&gt;31.58&lt;/D&gt;&lt;D xsi:type="xsd:double"&gt;31.53&lt;/D&gt;&lt;D xsi:type="xsd:double"&gt;31.5&lt;/D&gt;&lt;D xsi:type="xsd:double"&gt;32.08&lt;/D&gt;&lt;D xsi:type="xsd:double"&gt;32.17&lt;/D&gt;&lt;D xsi:type="xsd:double"&gt;32.75&lt;/D&gt;&lt;D xsi:type="xsd:double"&gt;32.85&lt;/D&gt;&lt;D xsi:type="xsd:double"&gt;32.635&lt;/D&gt;&lt;D xsi:type="xsd:double"&gt;32.69&lt;/D&gt;&lt;D xsi:type="xsd:double"&gt;32.75&lt;/D&gt;&lt;D xsi:type="xsd:double"&gt;32.96&lt;/D&gt;&lt;/FQL&gt;&lt;FQL&gt;&lt;Q&gt;QQQ^FG_TOTAL_RETURNC(-5AY,0,AM)&lt;/Q&gt;&lt;R&gt;61&lt;/R&gt;&lt;C&gt;1&lt;/C&gt;&lt;D xsi:type="xsd:double"&gt;-6.8445206&lt;/D&gt;&lt;D xsi:type="xsd:double"&gt;7.3052406&lt;/D&gt;&lt;D xsi:type="xsd:double"&gt;0.20856857&lt;/D&gt;&lt;D xsi:type="xsd:double"&gt;1.2337446&lt;/D&gt;&lt;D xsi:type="xsd:double"&gt;7.450843&lt;/D&gt;&lt;D xsi:type="xsd:double"&gt;2.1821737&lt;/D&gt;&lt;D xsi:type="xsd:double"&gt;3.6734223&lt;/D&gt;&lt;D xsi:type="xsd:double"&gt;-5.6327524&lt;/D&gt;&lt;D xsi:type="xsd:double"&gt;10.823811&lt;/D&gt;&lt;D xsi:type="xsd:double"&gt;-3.1108856&lt;/D&gt;&lt;D xsi:type="xsd:double"&gt;-0.4361272&lt;/D&gt;&lt;D xsi:type="xsd:double"&gt;-6.7730784&lt;/D&gt;&lt;D xsi:type="xsd:double"&gt;-5.784762&lt;/D&gt;&lt;D xsi:type="xsd:double"&gt;4.86145&lt;/D&gt;&lt;D xsi:type="xsd:double"&gt;-12.458247&lt;/D&gt;&lt;D xsi:type="xsd:double"&gt;-0.65642595&lt;/D&gt;&lt;D xsi:type="xsd:double"&gt;-5.8193264&lt;/D&gt;&lt;D xsi:type="xsd:double"&gt;11.409283&lt;/D&gt;&lt;D xsi:type="xsd:double"&gt;-8.919972&lt;/D&gt;&lt;D xsi:type="xsd:double"&gt;-4.3649673&lt;/D&gt;&lt;D xsi:type="xsd:double"&gt;-5.39034&lt;/D&gt;&lt;D xsi:type="xsd:double"&gt;6.4228535&lt;/D&gt;&lt;D xsi:type="xsd:double"&gt;-4.340702&lt;/D&gt;&lt;D xsi:type="xsd:double"&gt;12.942707&lt;/D&gt;&lt;D xsi:type="xsd:double"&gt;-1.1759281&lt;/D&gt;&lt;D xsi:type="xsd:double"&gt;6.1732054&lt;/D&gt;&lt;D xsi:type="xsd:double"&gt;1.5217781&lt;/D&gt;&lt;D xsi:type="xsd:double"&gt;9.895002&lt;/D&gt;&lt;D xsi:type="xsd:double"&gt;3.6987662&lt;/D&gt;&lt;D xsi:type="xsd:double"&gt;1.2464046&lt;/D&gt;&lt;D xsi:type="xsd:double"&gt;0.7257223&lt;/D&gt;&lt;D xsi:type="xsd:double"&gt;-2.5385737&lt;/D&gt;&lt;D xsi:type="xsd:double"&gt;1.2366295&lt;/D&gt;&lt;D xsi:type="xsd:double"&gt;4.290235&lt;/D&gt;&lt;D xsi:type="xsd:double"&gt;3.297305&lt;/D&gt;&lt;D xsi:type="xsd:double"&gt;7.773161&lt;/D&gt;&lt;D xsi:type="xsd:double"&gt;2.619338&lt;/D&gt;&lt;D xsi:type="xsd:double"&gt;0.5144596&lt;/D&gt;&lt;D xsi:type="xsd:double"&gt;-0.049948692&lt;/D&gt;&lt;D xsi:type="xsd:double"&gt;5.2515626&lt;/D&gt;&lt;D xsi:type="xsd:double"&gt;7.2484612&lt;/D&gt;&lt;D xsi:type="xsd:double"&gt;-11.413658&lt;/D&gt;&lt;D xsi:type="xsd:double"&gt;2.0840406&lt;/D&gt;&lt;D xsi:type="xsd:double"&gt;8.7617035&lt;/D&gt;&lt;D xsi:type="xsd:double"&gt;3.7470222&lt;/D&gt;&lt;D xsi:type="xsd:double"&gt;4.133868&lt;/D&gt;&lt;D xsi:type="xsd:double"&gt;-0.20945072&lt;/D&gt;&lt;D xsi:type="xsd:double"&gt;0.9646535&lt;/D&gt;&lt;D xsi:type="xsd:double"&gt;-7.817215&lt;/D&gt;&lt;D xsi:type="xsd:double"&gt;-13.296497&lt;/D&gt;&lt;D xsi:type="xsd:double"&gt;13.89736&lt;/D&gt;&lt;D xsi:type="xsd:double"&gt;10.076642&lt;/D&gt;&lt;D xsi:type="xsd:double"&gt;5.0796986&lt;/D&gt;&lt;D xsi:type="xsd:double"&gt;1.9956231&lt;/D&gt;&lt;D xsi:type="xsd:double"&gt;1.5405774&lt;/D&gt;&lt;D xsi:type="xsd:double"&gt;5.6157947&lt;/D&gt;&lt;D xsi:type="xsd:double"&gt;0.6516218&lt;/D&gt;&lt;D xsi:type="xsd:double"&gt;2.2577524&lt;/D&gt;&lt;D xsi:type="xsd:double"&gt;-0.20153522&lt;/D&gt;&lt;D xsi:type="xsd:double"&gt;-2.2087753&lt;/D&gt;&lt;D xsi:type="xsd:double"&gt;-0.766021&lt;/D&gt;&lt;/FQL&gt;&lt;FQL&gt;&lt;Q&gt;EPOL^FG_TOTAL_RETURNC(-5AY,0,AM)&lt;/Q&gt;&lt;R&gt;61&lt;/R&gt;&lt;C&gt;1&lt;/C&gt;&lt;D xsi:type="xsd:double"&gt;-3.340292&lt;/D&gt;&lt;D xsi:type="xsd:double"&gt;3.2937288&lt;/D&gt;&lt;D xsi:type="xsd:double"&gt;5.3319454&lt;/D&gt;&lt;D xsi:type="xsd:double"&gt;13.449133&lt;/D&gt;&lt;D xsi:type="xsd:double"&gt;-5.475646&lt;/D&gt;&lt;D xsi:type="xsd:double"&gt;0.97448826&lt;/D&gt;&lt;D xsi:type="xsd:double"&gt;7.6746345&lt;/D&gt;&lt;D xsi:type="xsd:double"&gt;-2.646184&lt;/D&gt;&lt;D xsi:type="xsd:double"&gt;3.375709&lt;/D&gt;&lt;D xsi:type="xsd:double"&gt;-11.577606&lt;/D&gt;&lt;D xsi:type="xsd:double"&gt;3.6920905&lt;/D&gt;&lt;D xsi:type="xsd:double"&gt;-2.6647925&lt;/D&gt;&lt;D xsi:type="xsd:double"&gt;-22.430355&lt;/D&gt;&lt;D xsi:type="xsd:double"&gt;14.241493&lt;/D&gt;&lt;D xsi:type="xsd:double"&gt;-18.102985&lt;/D&gt;&lt;D xsi:type="xsd:double"&gt;8.206487&lt;/D&gt;&lt;D xsi:type="xsd:double"&gt;-16.124344&lt;/D&gt;&lt;D xsi:type="xsd:double"&gt;2.7225852&lt;/D&gt;&lt;D xsi:type="xsd:double"&gt;-15.472775&lt;/D&gt;&lt;D xsi:type="xsd:double"&gt;-6.3559294&lt;/D&gt;&lt;D xsi:type="xsd:double"&gt;20.180988&lt;/D&gt;&lt;D xsi:type="xsd:double"&gt;12.048197&lt;/D&gt;&lt;D xsi:type="xsd:double"&gt;12.2854595&lt;/D&gt;&lt;D xsi:type="xsd:double"&gt;-3.1668723&lt;/D&gt;&lt;D xsi:type="xsd:double"&gt;1.886797&lt;/D&gt;&lt;D xsi:type="xsd:double"&gt;-3.641981&lt;/D&gt;&lt;D xsi:type="xsd:double"&gt;12.8123045&lt;/D&gt;&lt;D xsi:type="xsd:double"&gt;5.7353735&lt;/D&gt;&lt;D xsi:type="xsd:double"&gt;-0.37595034&lt;/D&gt;&lt;D xsi:type="xsd:double"&gt;10.026956&lt;/D&gt;&lt;D xsi:type="xsd:double"&gt;-11.366976&lt;/D&gt;&lt;D xsi:type="xsd:double"&gt;-5.5279136&lt;/D&gt;&lt;D xsi:type="xsd:double"&gt;19.660627&lt;/D&gt;&lt;D xsi:type="xsd:double"&gt;9.535444&lt;/D&gt;&lt;D xsi:type="xsd:double"&gt;-0.10937452&lt;/D&gt;&lt;D xsi:type="xsd:double"&gt;2.207911&lt;/D&gt;&lt;D xsi:type="xsd:double"&gt;4.4104457&lt;/D&gt;&lt;D xsi:type="xsd:double"&gt;4.2672396&lt;/D&gt;&lt;D xsi:type="xsd:double"&gt;2.6250482&lt;/D&gt;&lt;D xsi:type="xsd:double"&gt;-0.18126965&lt;/D&gt;&lt;D xsi:type="xsd:double"&gt;2.206099&lt;/D&gt;&lt;D xsi:type="xsd:double"&gt;-11.061949&lt;/D&gt;&lt;D xsi:type="xsd:double"&gt;6.9199443&lt;/D&gt;&lt;D xsi:type="xsd:double"&gt;-1.2690306&lt;/D&gt;&lt;D xsi:type="xsd:double"&gt;-4.4558764&lt;/D&gt;&lt;D xsi:type="xsd:double"&gt;3.4977555&lt;/D&gt;&lt;D xsi:type="xsd:double"&gt;-2.5857985&lt;/D&gt;&lt;D xsi:type="xsd:double"&gt;11.829948&lt;/D&gt;&lt;D xsi:type="xsd:double"&gt;10.99174&lt;/D&gt;&lt;D xsi:type="xsd:double"&gt;-6.4035773&lt;/D&gt;&lt;D xsi:type="xsd:double"&gt;17.263329&lt;/D&gt;&lt;D xsi:type="xsd:double"&gt;-0.06784201&lt;/D&gt;&lt;D xsi:type="xsd:double"&gt;13.349188&lt;/D&gt;&lt;D xsi:type="xsd:double"&gt;0.06093979&lt;/D&gt;&lt;D xsi:type="xsd:double"&gt;-2.1315515&lt;/D&gt;&lt;D xsi:type="xsd:double"&gt;1.151216&lt;/D&gt;&lt;D xsi:type="xsd:double"&gt;4.429412&lt;/D&gt;&lt;D xsi:type="xsd:double"&gt;-1.5022159&lt;/D&gt;&lt;D xsi:type="xsd:double"&gt;12.118053&lt;/D&gt;&lt;D xsi:type="xsd:double"&gt;4.578042&lt;/D&gt;&lt;D xsi:type="xsd:double"&gt;-6.513709&lt;/D&gt;&lt;/FQL&gt;&lt;FQL&gt;&lt;Q&gt;EWN^FG_PRICE(0,-200D)&lt;/Q&gt;&lt;R&gt;201&lt;/R&gt;&lt;C&gt;1&lt;/C&gt;&lt;D xsi:type="xsd:double"&gt;58.56&lt;/D&gt;&lt;D xsi:type="xsd:double"&gt;59.54&lt;/D&gt;&lt;D xsi:type="xsd:double"&gt;60.74&lt;/D&gt;&lt;D xsi:type="xsd:double"&gt;59.67&lt;/D&gt;&lt;D xsi:type="xsd:double"&gt;61.33&lt;/D&gt;&lt;D xsi:type="xsd:double"&gt;62.8&lt;/D&gt;&lt;D xsi:type="xsd:double"&gt;63.05&lt;/D&gt;&lt;D xsi:type="xsd:double"&gt;63.77&lt;/D&gt;&lt;D xsi:type="xsd:double"&gt;63&lt;/D&gt;&lt;D xsi:type="xsd:double"&gt;62.95&lt;/D&gt;&lt;D xsi:type="xsd:double"&gt;63.18&lt;/D&gt;&lt;D xsi:type="xsd:double"&gt;62.66&lt;/D&gt;&lt;D xsi:type="xsd:double"&gt;62.94&lt;/D&gt;&lt;D xsi:type="xsd:double"&gt;62.23&lt;/D&gt;&lt;D xsi:type="xsd:double"&gt;61.65&lt;/D&gt;&lt;D xsi:type="xsd:double"&gt;61.53&lt;/D&gt;&lt;D xsi:type="xsd:double"&gt;63.06&lt;/D&gt;&lt;D xsi:type="xsd:double"&gt;63.07&lt;/D&gt;&lt;D xsi:type="xsd:double"&gt;62.99&lt;/D&gt;&lt;D xsi:type="xsd:double"&gt;62.03&lt;/D&gt;&lt;D xsi:type="xsd:double"&gt;60.56&lt;/D&gt;&lt;D xsi:type="xsd:double"&gt;61.07&lt;/D&gt;&lt;D xsi:type="xsd:double"&gt;61.9&lt;/D&gt;&lt;D xsi:type="xsd:double"&gt;62.77&lt;/D&gt;&lt;D xsi:type="xsd:double"&gt;62.27&lt;/D&gt;&lt;D xsi:type="xsd:double"&gt;63.48&lt;/D&gt;&lt;D xsi:type="xsd:double"&gt;63.05&lt;/D&gt;&lt;D xsi:type="xsd:double"&gt;63.7&lt;/D&gt;&lt;D xsi:type="xsd:double"&gt;62.81&lt;/D&gt;&lt;D xsi:type="xsd:double"&gt;62.33&lt;/D&gt;&lt;D xsi:type="xsd:double"&gt;62.14&lt;/D&gt;&lt;D xsi:type="xsd:double"&gt;61.539&lt;/D&gt;&lt;D xsi:type="xsd:double"&gt;60.64&lt;/D&gt;&lt;D xsi:type="xsd:double"&gt;61.91&lt;/D&gt;&lt;D xsi:type="xsd:double"&gt;61.6&lt;/D&gt;&lt;D xsi:type="xsd:double"&gt;60.67&lt;/D&gt;&lt;D xsi:type="xsd:double"&gt;60.78&lt;/D&gt;&lt;D xsi:type="xsd:double"&gt;61.04&lt;/D&gt;&lt;D xsi:type="xsd:double"&gt;60.4&lt;/D&gt;&lt;D xsi:type="xsd:double"&gt;59.21&lt;/D&gt;&lt;D xsi:type="xsd:double"&gt;59.8&lt;/D&gt;&lt;D xsi:type="xsd:double"&gt;60.44&lt;/D&gt;&lt;D xsi:type="xsd:double"&gt;60.14&lt;/D&gt;&lt;D xsi:type="xsd:double"&gt;58.64&lt;/D&gt;&lt;D xsi:type="xsd:double"&gt;57.03&lt;/D&gt;&lt;D xsi:type="xsd:double"&gt;57.227&lt;/D&gt;&lt;D xsi:type="xsd:double"&gt;57&lt;/D&gt;&lt;D xsi:type="xsd:double"&gt;57.16&lt;/D&gt;&lt;D xsi:type="xsd:double"&gt;57.1&lt;/D&gt;&lt;D xsi:type="xsd:double"&gt;56.84&lt;/D&gt;&lt;D xsi:type="xsd:double"&gt;57.01&lt;/D&gt;&lt;D xsi:type="xsd:double"&gt;56.61&lt;/D&gt;&lt;D xsi:type="xsd:double"&gt;56.02&lt;/D&gt;&lt;D xsi:type="xsd:double"&gt;55.57&lt;/D&gt;&lt;D xsi:type="xsd:double"&gt;56.41&lt;/D&gt;&lt;D xsi:type="xsd:double"&gt;58.76&lt;/D&gt;&lt;D xsi:type="xsd:double"&gt;58.6&lt;/D&gt;&lt;D xsi:type="xsd:double"&gt;59.5&lt;/D&gt;&lt;D xsi:type="xsd:double"&gt;58.8&lt;/D&gt;&lt;D xsi:type="xsd:double"&gt;58.55&lt;/D&gt;&lt;D xsi:type="xsd:double"&gt;58.7224&lt;/D&gt;&lt;D xsi:type="xsd:double"&gt;58.55&lt;/D&gt;&lt;D xsi:type="xsd:double"&gt;58.78&lt;/D&gt;&lt;D xsi:type="xsd:double"&gt;59.18&lt;/D&gt;&lt;D xsi:type="xsd:double"&gt;58.57&lt;/D&gt;&lt;D xsi:type="xsd:double"&gt;58.32&lt;/D&gt;&lt;D xsi:type="xsd:double"&gt;58.17&lt;/D&gt;&lt;D xsi:type="xsd:double"&gt;57.79&lt;/D&gt;&lt;D xsi:type="xsd:double"&gt;56.872&lt;/D&gt;&lt;D xsi:type="xsd:double"&gt;55.95&lt;/D&gt;&lt;D xsi:type="xsd:double"&gt;55.92&lt;/D&gt;&lt;D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xsi:type="xsd:double"&gt;58.41&lt;/D&gt;&lt;D xsi:type="xsd:double"&gt;58.56&lt;/D&gt;&lt;D xsi:type="xsd:double"&gt;59.68&lt;/D&gt;&lt;D xsi:type="xsd:double"&gt;59.62&lt;/D&gt;&lt;D xsi:type="xsd:double"&gt;59.51&lt;/D&gt;&lt;D xsi:type="xsd:double"&gt;58.84&lt;/D&gt;&lt;D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xsi:type="xsd:double"&gt;53.36&lt;/D&gt;&lt;D xsi:type="xsd:double"&gt;53.23&lt;/D&gt;&lt;D xsi:type="xsd:double"&gt;52.95&lt;/D&gt;&lt;D xsi:type="xsd:double"&gt;53.2858&lt;/D&gt;&lt;D xsi:type="xsd:double"&gt;52.85&lt;/D&gt;&lt;D xsi:type="xsd:double"&gt;52.94&lt;/D&gt;&lt;D xsi:type="xsd:double"&gt;52.59&lt;/D&gt;&lt;D xsi:type="xsd:double"&gt;53&lt;/D&gt;&lt;D xsi:type="xsd:double"&gt;52.26&lt;/D&gt;&lt;D xsi:type="xsd:double"&gt;52.54&lt;/D&gt;&lt;D xsi:type="xsd:double"&gt;52.48&lt;/D&gt;&lt;D xsi:type="xsd:double"&gt;52.8&lt;/D&gt;&lt;D xsi:type="xsd:double"&gt;52.645&lt;/D&gt;&lt;/FQL&gt;&lt;FQL&gt;&lt;Q&gt;EWT^FG_PRICE(0,-200D)&lt;/Q&gt;&lt;R&gt;201&lt;/R&gt;&lt;C&gt;1&lt;/C&gt;&lt;D xsi:type="xsd:double"&gt;70.26&lt;/D&gt;&lt;D xsi:type="xsd:double"&gt;70.4&lt;/D&gt;&lt;D xsi:type="xsd:double"&gt;71.62&lt;/D&gt;&lt;D xsi:type="xsd:double"&gt;71.29&lt;/D&gt;&lt;D xsi:type="xsd:double"&gt;75.07&lt;/D&gt;&lt;D xsi:type="xsd:double"&gt;75.67&lt;/D&gt;&lt;D xsi:type="xsd:double"&gt;76.14</t>
        </r>
      </text>
    </comment>
    <comment ref="A2" authorId="0" shapeId="0" xr:uid="{733FE235-8CB5-4B71-A087-29D6DD695C12}">
      <text>
        <r>
          <rPr>
            <b/>
            <sz val="9"/>
            <color indexed="81"/>
            <rFont val="Tahoma"/>
            <charset val="1"/>
          </rPr>
          <t>&lt;/D&gt;&lt;D xsi:type="xsd:double"&gt;77.06&lt;/D&gt;&lt;D xsi:type="xsd:double"&gt;75.73&lt;/D&gt;&lt;D xsi:type="xsd:double"&gt;73.18&lt;/D&gt;&lt;D xsi:type="xsd:double"&gt;74.38&lt;/D&gt;&lt;D xsi:type="xsd:double"&gt;72.67&lt;/D&gt;&lt;D xsi:type="xsd:double"&gt;72.98&lt;/D&gt;&lt;D xsi:type="xsd:double"&gt;72.89&lt;/D&gt;&lt;D xsi:type="xsd:double"&gt;73.05&lt;/D&gt;&lt;D xsi:type="xsd:double"&gt;72.56&lt;/D&gt;&lt;D xsi:type="xsd:double"&gt;73.35&lt;/D&gt;&lt;D xsi:type="xsd:double"&gt;71.44&lt;/D&gt;&lt;D xsi:type="xsd:double"&gt;70.76&lt;/D&gt;&lt;D xsi:type="xsd:double"&gt;70.05&lt;/D&gt;&lt;D xsi:type="xsd:double"&gt;67.86&lt;/D&gt;&lt;D xsi:type="xsd:double"&gt;68.15&lt;/D&gt;&lt;D xsi:type="xsd:double"&gt;68.83&lt;/D&gt;&lt;D xsi:type="xsd:double"&gt;68.94&lt;/D&gt;&lt;D xsi:type="xsd:double"&gt;68.06&lt;/D&gt;&lt;D xsi:type="xsd:double"&gt;69.83&lt;/D&gt;&lt;D xsi:type="xsd:double"&gt;71.19&lt;/D&gt;&lt;D xsi:type="xsd:double"&gt;71.32&lt;/D&gt;&lt;D xsi:type="xsd:double"&gt;69.94&lt;/D&gt;&lt;D xsi:type="xsd:double"&gt;69.71&lt;/D&gt;&lt;D xsi:type="xsd:double"&gt;68.25&lt;/D&gt;&lt;D xsi:type="xsd:double"&gt;67.45&lt;/D&gt;&lt;D xsi:type="xsd:double"&gt;66.54&lt;/D&gt;&lt;D xsi:type="xsd:double"&gt;67.34&lt;/D&gt;&lt;D xsi:type="xsd:double"&gt;67.29&lt;/D&gt;&lt;D xsi:type="xsd:double"&gt;66.51&lt;/D&gt;&lt;D xsi:type="xsd:double"&gt;66.1&lt;/D&gt;&lt;D xsi:type="xsd:double"&gt;66.62&lt;/D&gt;&lt;D xsi:type="xsd:double"&gt;65.92&lt;/D&gt;&lt;D xsi:type="xsd:double"&gt;65.44&lt;/D&gt;&lt;D xsi:type="xsd:double"&gt;65.59&lt;/D&gt;&lt;D xsi:type="xsd:double"&gt;65.83&lt;/D&gt;&lt;D xsi:type="xsd:double"&gt;65.3&lt;/D&gt;&lt;D xsi:type="xsd:double"&gt;64.77&lt;/D&gt;&lt;D xsi:type="xsd:double"&gt;63.53&lt;/D&gt;&lt;D xsi:type="xsd:double"&gt;63.71&lt;/D&gt;&lt;D xsi:type="xsd:double"&gt;63.33&lt;/D&gt;&lt;D xsi:type="xsd:double"&gt;63.02&lt;/D&gt;&lt;D xsi:type="xsd:double"&gt;62.53&lt;/D&gt;&lt;D xsi:type="xsd:double"&gt;62.5&lt;/D&gt;&lt;D xsi:type="xsd:double"&gt;61.98&lt;/D&gt;&lt;D xsi:type="xsd:double"&gt;61.64&lt;/D&gt;&lt;D xsi:type="xsd:double"&gt;60.87&lt;/D&gt;&lt;D xsi:type="xsd:double"&gt;60.03&lt;/D&gt;&lt;D xsi:type="xsd:double"&gt;61.12&lt;/D&gt;&lt;D xsi:type="xsd:double"&gt;64.11&lt;/D&gt;&lt;D xsi:type="xsd:double"&gt;64.1&lt;/D&gt;&lt;D xsi:type="xsd:double"&gt;65.92&lt;/D&gt;&lt;D xsi:type="xsd:double"&gt;66.8&lt;/D&gt;&lt;D xsi:type="xsd:double"&gt;65.72&lt;/D&gt;&lt;D xsi:type="xsd:double"&gt;65.57&lt;/D&gt;&lt;D xsi:type="xsd:double"&gt;65.35&lt;/D&gt;&lt;D xsi:type="xsd:double"&gt;64.51&lt;/D&gt;&lt;D xsi:type="xsd:double"&gt;64.85&lt;/D&gt;&lt;D xsi:type="xsd:double"&gt;64.63&lt;/D&gt;&lt;D xsi:type="xsd:double"&gt;64.13&lt;/D&gt;&lt;D xsi:type="xsd:double"&gt;64.51&lt;/D&gt;&lt;D xsi:type="xsd:double"&gt;63.66&lt;/D&gt;&lt;D xsi:type="xsd:double"&gt;62.8&lt;/D&gt;&lt;D xsi:type="xsd:double"&gt;62.51&lt;/D&gt;&lt;D xsi:type="xsd:double"&gt;61.8&lt;/D&gt;&lt;D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xsi:type="xsd:double"&gt;53.74&lt;/D&gt;&lt;D xsi:type="xsd:double"&gt;53.96&lt;/D&gt;&lt;D xsi:type="xsd:double"&gt;53.15&lt;/D&gt;&lt;D xsi:type="xsd:double"&gt;52.84&lt;/D&gt;&lt;D xsi:type="xsd:double"&gt;52.38&lt;/D&gt;&lt;D xsi:type="xsd:double"&gt;52.87&lt;/D&gt;&lt;D xsi:type="xsd:double"&gt;53.26&lt;/D&gt;&lt;D xsi:type="xsd:double"&gt;53.58&lt;/D&gt;&lt;D xsi:type="xsd:double"&gt;53.52&lt;/D&gt;&lt;D xsi:type="xsd:double"&gt;53.7&lt;/D&gt;&lt;D xsi:type="xsd:double"&gt;53.72&lt;/D&gt;&lt;D xsi:type="xsd:double"&gt;53.48&lt;/D&gt;&lt;D xsi:type="xsd:double"&gt;53.82&lt;/D&gt;&lt;/FQL&gt;&lt;FQL&gt;&lt;Q&gt;EWL^FG_TOTAL_RETURNC(-5AY,0,AM)&lt;/Q&gt;&lt;R&gt;61&lt;/R&gt;&lt;C&gt;1&lt;/C&gt;&lt;D xsi:type="xsd:double"&gt;-2.6534736&lt;/D&gt;&lt;D xsi:type="xsd:double"&gt;4.781699&lt;/D&gt;&lt;D xsi:type="xsd:double"&gt;3.6375642&lt;/D&gt;&lt;D xsi:type="xsd:double"&gt;5.254209&lt;/D&gt;&lt;D xsi:type="xsd:double"&gt;0.38309097&lt;/D&gt;&lt;D xsi:type="xsd:double"&gt;2.7680874&lt;/D&gt;&lt;D xsi:type="xsd:double"&gt;1.2370348&lt;/D&gt;&lt;D xsi:type="xsd:double"&gt;-7.41033&lt;/D&gt;&lt;D xsi:type="xsd:double"&gt;8.365261&lt;/D&gt;&lt;D xsi:type="xsd:double"&gt;-1.6892552&lt;/D&gt;&lt;D xsi:type="xsd:double"&gt;3.4765244&lt;/D&gt;&lt;D xsi:type="xsd:double"&gt;-5.6381583&lt;/D&gt;&lt;D xsi:type="xsd:double"&gt;-6.0159564&lt;/D&gt;&lt;D xsi:type="xsd:double"&gt;7.0542097&lt;/D&gt;&lt;D xsi:type="xsd:double"&gt;-9.334951&lt;/D&gt;&lt;D xsi:type="xsd:double"&gt;0.40376186&lt;/D&gt;&lt;D xsi:type="xsd:double"&gt;-6.0299277&lt;/D&gt;&lt;D xsi:type="xsd:double"&gt;4.002905&lt;/D&gt;&lt;D xsi:type="xsd:double"&gt;-6.648004&lt;/D&gt;&lt;D xsi:type="xsd:double"&gt;-5.0724626&lt;/D&gt;&lt;D xsi:type="xsd:double"&gt;3.658855&lt;/D&gt;&lt;D xsi:type="xsd:double"&gt;8.100557&lt;/D&gt;&lt;D xsi:type="xsd:double"&gt;2.9128551&lt;/D&gt;&lt;D xsi:type="xsd:double"&gt;2.2825837&lt;/D&gt;&lt;D xsi:type="xsd:double"&gt;-1.852268&lt;/D&gt;&lt;D xsi:type="xsd:double"&gt;5.0250053&lt;/D&gt;&lt;D xsi:type="xsd:double"&gt;5.4557323&lt;/D&gt;&lt;D xsi:type="xsd:double"&gt;-3.1410336&lt;/D&gt;&lt;D xsi:type="xsd:double"&gt;-2.5010526&lt;/D&gt;&lt;D xsi:type="xsd:double"&gt;3.400755&lt;/D&gt;&lt;D xsi:type="xsd:double"&gt;-3.1169415&lt;/D&gt;&lt;D xsi:type="xsd:double"&gt;-3.4169078&lt;/D&gt;&lt;D xsi:type="xsd:double"&gt;-0.9648502&lt;/D&gt;&lt;D xsi:type="xsd:double"&gt;6.1238647&lt;/D&gt;&lt;D xsi:type="xsd:double"&gt;4.2622924&lt;/D&gt;&lt;D xsi:type="xsd:double"&gt;-1.0482192&lt;/D&gt;&lt;D xsi:type="xsd:double"&gt;0.38136244&lt;/D&gt;&lt;D xsi:type="xsd:double"&gt;-1.6462684&lt;/D&gt;&lt;D xsi:type="xsd:double"&gt;-0.49356222&lt;/D&gt;&lt;D xsi:type="xsd:double"&gt;9.186983&lt;/D&gt;&lt;D xsi:type="xsd:double"&gt;-1.9152045&lt;/D&gt;&lt;D xsi:type="xsd:double"&gt;0.63734055&lt;/D&gt;&lt;D xsi:type="xsd:double"&gt;4.2288065&lt;/D&gt;&lt;D xsi:type="xsd:double"&gt;-0.19600391&lt;/D&gt;&lt;D xsi:type="xsd:double"&gt;-3.966999&lt;/D&gt;&lt;D xsi:type="xsd:double"&gt;-1.3292491&lt;/D&gt;&lt;D xsi:type="xsd:double"&gt;-3.5854936&lt;/D&gt;&lt;D xsi:type="xsd:double"&gt;7.416165&lt;/D&gt;&lt;D xsi:type="xsd:double"&gt;5.2431464&lt;/D&gt;&lt;D xsi:type="xsd:double"&gt;-8.043355&lt;/D&gt;&lt;D xsi:type="xsd:double"&gt;12.365591&lt;/D&gt;&lt;D xsi:type="xsd:double"&gt;2.3923397&lt;/D&gt;&lt;D xsi:type="xsd:double"&gt;0.54781437&lt;/D&gt;&lt;D xsi:type="xsd:double"&gt;-3.4972727&lt;/D&gt;&lt;D xsi:type="xsd:double"&gt;6.1721444&lt;/D&gt;&lt;D xsi:type="xsd:double"&gt;0.83556175&lt;/D&gt;&lt;D xsi:type="xsd:double"&gt;-2.6445687&lt;/D&gt;&lt;D xsi:type="xsd:double"&gt;5.0887346&lt;/D&gt;&lt;D xsi:type="xsd:double"&gt;4.34258&lt;/D&gt;&lt;D xsi:type="xsd:double"&gt;4.1948795&lt;/D&gt;&lt;D xsi:type="xsd:double"&gt;-2.9957175&lt;/D&gt;&lt;/FQL&gt;&lt;FQL&gt;&lt;Q&gt;UAE^FG_TOTAL_RETURNC(-5AY,0,AM)&lt;/Q&gt;&lt;R&gt;61&lt;/R&gt;&lt;C&gt;1&lt;/C&gt;&lt;D xsi:type="xsd:double"&gt;-0.5290985&lt;/D&gt;&lt;D xsi:type="xsd:double"&gt;1.8237114&lt;/D&gt;&lt;D xsi:type="xsd:double"&gt;2.1641731&lt;/D&gt;&lt;D xsi:type="xsd:double"&gt;7.742882&lt;/D&gt;&lt;D xsi:type="xsd:double"&gt;-1.7527819&lt;/D&gt;&lt;D xsi:type="xsd:double"&gt;2.285707&lt;/D&gt;&lt;D xsi:type="xsd:double"&gt;3.9804459&lt;/D&gt;&lt;D xsi:type="xsd:double"&gt;-2.384156&lt;/D&gt;&lt;D xsi:type="xsd:double"&gt;8.703136&lt;/D&gt;&lt;D xsi:type="xsd:double"&gt;11.392403&lt;/D&gt;&lt;D xsi:type="xsd:double"&gt;-6.493849&lt;/D&gt;&lt;D xsi:type="xsd:double"&gt;2.0389318&lt;/D&gt;&lt;D xsi:type="xsd:double"&gt;10.351086&lt;/D&gt;&lt;D xsi:type="xsd:double"&gt;4.881513&lt;/D&gt;&lt;D xsi:type="xsd:double"&gt;-1.8823266&lt;/D&gt;&lt;D xsi:type="xsd:double"&gt;-9.488278&lt;/D&gt;&lt;D xsi:type="xsd:double"&gt;-9.115815&lt;/D&gt;&lt;D xsi:type="xsd:double"&gt;8.747519&lt;/D&gt;&lt;D xsi:type="xsd:double"&gt;-5.276662&lt;/D&gt;&lt;D xsi:type="xsd:double"&gt;-0.6053746&lt;/D&gt;&lt;D xsi:type="xsd:double"&gt;0.7119775&lt;/D&gt;&lt;D xsi:type="xsd:double"&gt;-0.3856063&lt;/D&gt;&lt;D xsi:type="xsd:double"&gt;-3.7905276&lt;/D&gt;&lt;D xsi:type="xsd:double"&gt;0.6048441&lt;/D&gt;&lt;D xsi:type="xsd:double"&gt;-0.3340006&lt;/D&gt;&lt;D xsi:type="xsd:double"&gt;-4.7587156&lt;/D&gt;&lt;D xsi:type="xsd:double"&gt;7.741034&lt;/D&gt;&lt;D xsi:type="xsd:double"&gt;-4.2129335&lt;/D&gt;&lt;D xsi:type="xsd:double"&gt;3.2468915&lt;/D&gt;&lt;D xsi:type="xsd:double"&gt;4.070556&lt;/D&gt;&lt;D xsi:type="xsd:double"&gt;-4.0417194&lt;/D&gt;&lt;D xsi:type="xsd:double"&gt;5.57065&lt;/D&gt;&lt;D xsi:type="xsd:double"&gt;-5.276704&lt;/D&gt;&lt;D xsi:type="xsd:double"&gt;-1.4945686&lt;/D&gt;&lt;D xsi:type="xsd:double"&gt;3.0132413&lt;/D&gt;&lt;D xsi:type="xsd:double"&gt;-1.8194079&lt;/D&gt;&lt;D xsi:type="xsd:double"&gt;-1.3040483&lt;/D&gt;&lt;D xsi:type="xsd:double"&gt;4.033375&lt;/D&gt;&lt;D xsi:type="xsd:double"&gt;-2.807486&lt;/D&gt;&lt;D xsi:type="xsd:double"&gt;-5.0206304&lt;/D&gt;&lt;D xsi:type="xsd:double"&gt;3.8618684&lt;/D&gt;&lt;D xsi:type="xsd:double"&gt;1.3768077&lt;/D&gt;&lt;D xsi:type="xsd:double"&gt;7.8627586&lt;/D&gt;&lt;D xsi:type="xsd:double"&gt;-3.313452&lt;/D&gt;&lt;D xsi:type="xsd:double"&gt;4.934883&lt;/D&gt;&lt;D xsi:type="xsd:double"&gt;1.1103749&lt;/D&gt;&lt;D xsi:type="xsd:double"&gt;5.8059096&lt;/D&gt;&lt;D xsi:type="xsd:double"&gt;4.2787194&lt;/D&gt;&lt;D xsi:type="xsd:double"&gt;0.17585754&lt;/D&gt;&lt;D xsi:type="xsd:double"&gt;-8.71855&lt;/D&gt;&lt;D xsi:type="xsd:double"&gt;17.371786&lt;/D&gt;&lt;D xsi:type="xsd:double"&gt;1.9661427&lt;/D&gt;&lt;D xsi:type="xsd:double"&gt;4.3354273&lt;/D&gt;&lt;D xsi:type="xsd:double"&gt;7.4840784&lt;/D&gt;&lt;D xsi:type="xsd:double"&gt;-5.3827167&lt;/D&gt;&lt;D xsi:type="xsd:double"&gt;-0.62630177&lt;/D&gt;&lt;D xsi:type="xsd:double"&gt;1.4180541&lt;/D&gt;&lt;D xsi:type="xsd:double"&gt;-0.46607852&lt;/D&gt;&lt;D xsi:type="xsd:double"&gt;2.0559192&lt;/D&gt;&lt;D xsi:type="xsd:double"&gt;11.866152&lt;/D&gt;&lt;D xsi:type="xsd:double"&gt;-12.103081&lt;/D&gt;&lt;/FQL&gt;&lt;FQL&gt;&lt;Q&gt;EIDO^FG_TOTAL_RETURNC(-5AY,0,AM)&lt;/Q&gt;&lt;R&gt;61&lt;/R&gt;&lt;C&gt;1&lt;/C&gt;&lt;D xsi:type="xsd:double"&gt;-3.9815605&lt;/D&gt;&lt;D xsi:type="xsd:double"&gt;-4.3649077&lt;/D&gt;&lt;D xsi:type="xsd:double"&gt;0.41077137&lt;/D&gt;&lt;D xsi:type="xsd:double"&gt;2.3181796&lt;/D&gt;&lt;D xsi:type="xsd:double"&gt;-9.111232&lt;/D&gt;&lt;D xsi:type="xsd:double"&gt;0.54107904&lt;/D&gt;&lt;D xsi:type="xsd:double"&gt;5.479443&lt;/D&gt;&lt;D xsi:type="xsd:double"&gt;6.7254186&lt;/D&gt;&lt;D xsi:type="xsd:double"&gt;2.3468018&lt;/D&gt;&lt;D xsi:type="xsd:double"&gt;-0.8917153&lt;/D&gt;&lt;D xsi:type="xsd:double"&gt;-0.5446732&lt;/D&gt;&lt;D xsi:type="xsd:double"&gt;0.5206108&lt;/D&gt;&lt;D xsi:type="xsd:double"&gt;3.8843274&lt;/D&gt;&lt;D xsi:type="xsd:double"&gt;1.6202688&lt;/D&gt;&lt;D xsi:type="xsd:double"&gt;2.3712277&lt;/D&gt;&lt;D xsi:type="xsd:double"&gt;-2.1166146&lt;/D&gt;&lt;D xsi:type="xsd:double"&gt;-10.629696&lt;/D&gt;&lt;D xsi:type="xsd:double"&gt;8.611107&lt;/D&gt;&lt;D xsi:type="xsd:double"&gt;2.8559208&lt;/D&gt;&lt;D xsi:type="xsd:double"&gt;-2.3207605&lt;/D&gt;&lt;D xsi:type="xsd:double"&gt;0.55155754&lt;/D&gt;&lt;D xsi:type="xsd:double"&gt;-3.5021067&lt;/D&gt;&lt;D xsi:type="xsd:double"&gt;-2.9212475&lt;/D&gt;&lt;D xsi:type="xsd:double"&gt;5.368519&lt;/D&gt;&lt;D xsi:type="xsd:double"&gt;-3.1951606&lt;/D&gt;&lt;D xsi:type="xsd:double"&gt;5.352366&lt;/D&gt;&lt;D xsi:type="xsd:double"&gt;2.836585&lt;/D&gt;&lt;D xsi:type="xsd:double"&gt;-2.0996332&lt;/D&gt;&lt;D xsi:type="xsd:double"&gt;-2.047354&lt;/D&gt;&lt;D xsi:type="xsd:double"&gt;1.0955334&lt;/D&gt;&lt;D xsi:type="xsd:double"&gt;0.086688995&lt;/D&gt;&lt;D xsi:type="xsd:double"&gt;-4.7639666&lt;/D&gt;&lt;D xsi:type="xsd:double"&gt;-2.1373332&lt;/D&gt;&lt;D xsi:type="xsd:double"&gt;0.7434964&lt;/D&gt;&lt;D xsi:type="xsd:double"&gt;5.0397754&lt;/D&gt;&lt;D xsi:type="xsd:double"&gt;-2.0363033&lt;/D&gt;&lt;D xsi:type="xsd:double"&gt;1.8075109&lt;/D&gt;&lt;D xsi:type="xsd:double"&gt;-2.308035&lt;/D&gt;&lt;D xsi:type="xsd:double"&gt;-4.634261&lt;/D&gt;&lt;D xsi:type="xsd:double"&gt;-4.1924715&lt;/D&gt;&lt;D xsi:type="xsd:double"&gt;2.1776915&lt;/D&gt;&lt;D xsi:type="xsd:double"&gt;0.10075569&lt;/D&gt;&lt;D xsi:type="xsd:double"&gt;10.468042&lt;/D&gt;&lt;D xsi:type="xsd:double"&gt;-1.6856551&lt;/D&gt;&lt;D xsi:type="xsd:double"&gt;-3.5217822&lt;/D&gt;&lt;D xsi:type="xsd:double"&gt;-2.0172894&lt;/D&gt;&lt;D xsi:type="xsd:double"&gt;-7.094872&lt;/D&gt;&lt;D xsi:type="xsd:double"&gt;-5.7877836&lt;/D&gt;&lt;D xsi:type="xsd:double"&gt;-2.6166022&lt;/D&gt;&lt;D xsi:type="xsd:double"&gt;-11.85748&lt;/D&gt;&lt;D xsi:type="xsd:double"&gt;17.561293&lt;/D&gt;&lt;D xsi:type="xsd:double"&gt;4.3404818&lt;/D&gt;&lt;D xsi:type="xsd:double"&gt;-3.07858&lt;/D&gt;&lt;D xsi:type="xsd:double"&gt;1.0875821&lt;/D&gt;&lt;D xsi:type="xsd:double"&gt;1.528883&lt;/D&gt;&lt;D xsi:type="xsd:double"&gt;-2.8443933&lt;/D&gt;&lt;D xsi:type="xsd:double"&gt;5.8553457&lt;/D&gt;&lt;D xsi:type="xsd:double"&gt;2.0607352&lt;/D&gt;&lt;D xsi:type="xsd:double"&gt;2.3643732&lt;/D&gt;&lt;D xsi:type="xsd:double"&gt;-7.756811&lt;/D&gt;&lt;D xsi:type="xsd:double"&gt;-7.3295536&lt;/D&gt;&lt;/FQL&gt;&lt;FQL&gt;&lt;Q&gt;EWQ^FG_PRICE(0,-200D)&lt;/Q&gt;&lt;R&gt;201&lt;/R&gt;&lt;C&gt;1&lt;/C&gt;&lt;D xsi:type="xsd:double"&gt;44.115&lt;/D&gt;&lt;D xsi:type="xsd:double"&gt;44.28&lt;/D&gt;&lt;D xsi:type="xsd:double"&gt;45.23&lt;/D&gt;&lt;D xsi:type="xsd:double"&gt;45.07&lt;/D&gt;&lt;D xsi:type="xsd:double"&gt;46.57&lt;/D&gt;&lt;D xsi:type="xsd:double"&gt;47.87&lt;/D&gt;&lt;D xsi:type="xsd:double"&gt;48.35&lt;/D&gt;&lt;D xsi:type="xsd:double"&gt;48.02&lt;/D&gt;&lt;D xsi:type="xsd:double"&gt;47.62&lt;/D&gt;&lt;D xsi:type="xsd:double"&gt;47.49&lt;/D&gt;&lt;D xsi:type="xsd:double"&gt;47.68&lt;/D&gt;&lt;D xsi:type="xsd:double"&gt;46.91&lt;/D&gt;&lt;D xsi:type="xsd:double"&gt;47.03&lt;/D&gt;&lt;D xsi:type="xsd:double"&gt;47.05&lt;/D&gt;&lt;D xsi:type="xsd:double"&gt;46.7&lt;/D&gt;&lt;D xsi:type="xsd:double"&gt;46.68&lt;/D&gt;&lt;D xsi:type="xsd:double"&gt;47.08&lt;/D&gt;&lt;D xsi:type="xsd:double"&gt;46.83&lt;/D&gt;&lt;D xsi:type="xsd:double"&gt;46.99&lt;/D&gt;&lt;D xsi:type="xsd:double"&gt;46.4&lt;/D&gt;&lt;D xsi:type="xsd:double"&gt;45.73&lt;/D&gt;&lt;D xsi:type="xsd:double"&gt;46.03&lt;/D&gt;&lt;D xsi:type="xsd:double"&gt;45.69&lt;/D&gt;&lt;D xsi:type="xsd:double"&gt;45.68&lt;/D&gt;&lt;D xsi:type="xsd:double"&gt;45.35&lt;/D&gt;&lt;D xsi:type="xsd:double"&gt;45.82&lt;/D&gt;&lt;D xsi:type="xsd:double"&gt;45.53&lt;/D&gt;&lt;D xsi:type="xsd:double"&gt;46.15&lt;/D&gt;&lt;D xsi:type="xsd:double"&gt;45.65&lt;/D&gt;&lt;D xsi:type="xsd:double"&gt;45.51&lt;/D&gt;&lt;D xsi:type="xsd:double"&gt;45.16&lt;/D&gt;&lt;D xsi:type="xsd:double"&gt;45.05&lt;/D&gt;&lt;D xsi:type="xsd:double"&gt;44.55&lt;/D&gt;&lt;D xsi:type="xsd:double"&gt;45.29&lt;/D&gt;&lt;D xsi:type="xsd:double"&gt;45.4&lt;/D&gt;&lt;D xsi:type="xsd:double"&gt;45.87&lt;/D&gt;&lt;D xsi:type="xsd:double"&gt;45.96&lt;/D&gt;&lt;D xsi:type="xsd:double"&gt;46.1&lt;/D&gt;&lt;D xsi:type="xsd:double"&gt;45.88&lt;/D&gt;&lt;D xsi:type="xsd:double"&gt;45.46&lt;/D&gt;&lt;D xsi:type="xsd:double"&gt;45.4&lt;/D&gt;&lt;D xsi:type="xsd:double"&gt;45.6&lt;/D&gt;&lt;D xsi:type="xsd:double"&gt;45.42&lt;/D&gt;&lt;D xsi:type="xsd:double"&gt;45.31&lt;/D&gt;&lt;D xsi:type="xsd:double"&gt;44.99&lt;/D&gt;&lt;D xsi:type="xsd:double"&gt;45.14&lt;/D&gt;&lt;D xsi:type="xsd:double"&gt;44.99&lt;/D&gt;&lt;D xsi:type="xsd:double"&gt;45.18&lt;/D&gt;&lt;D xsi:type="xsd:double"&gt;44.98&lt;/D&gt;&lt;D xsi:type="xsd:double"&gt;44.9&lt;/D&gt;&lt;D xsi:type="xsd:double"&gt;44.96&lt;/D&gt;&lt;D xsi:type="xsd:double"&gt;44.91&lt;/D&gt;&lt;D xsi:type="xsd:double"&gt;44.8&lt;/D&gt;&lt;D xsi:type="xsd:double"&gt;44.62&lt;/D&gt;&lt;D xsi:type="xsd:double"&gt;44.94&lt;/D&gt;&lt;D xsi:type="xsd:double"&gt;45.18&lt;/D&gt;&lt;D xsi:type="xsd:double"&gt;44.88&lt;/D&gt;&lt;D xsi:type="xsd:double"&gt;45&lt;/D&gt;&lt;D xsi:type="xsd:double"&gt;44.58&lt;/D&gt;&lt;D xsi:type="xsd:double"&gt;44.21&lt;/D&gt;&lt;D xsi:type="xsd:double"&gt;44.65&lt;/D&gt;&lt;D xsi:type="xsd:double"&gt;44.62&lt;/D&gt;&lt;D xsi:type="xsd:double"&gt;44.75&lt;/D&gt;&lt;D xsi:type="xsd:double"&gt;44.79&lt;/D&gt;&lt;D xsi:type="xsd:double"&gt;44.44&lt;/D&gt;&lt;D xsi:type="xsd:double"&gt;44.41&lt;/D&gt;&lt;D xsi:type="xsd:double"&gt;44.57&lt;/D&gt;&lt;D xsi:type="xsd:double"&gt;44.43&lt;/D&gt;&lt;D xsi:type="xsd:double"&gt;44.06&lt;/D&gt;&lt;D xsi:type="xsd:double"&gt;43.33&lt;/D&gt;&lt;D xsi:type="xsd:double"&gt;43.69&lt;/D&gt;&lt;D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xsi:type="xsd:double"&gt;42.56&lt;/D&gt;&lt;D xsi:type="xsd:double"&gt;43.12&lt;/D&gt;&lt;D xsi:type="xsd:double"&gt;43.28&lt;/D&gt;&lt;D xsi:type="xsd:double"&gt;43.75&lt;/D&gt;&lt;D xsi:type="xsd:double"&gt;43.84&lt;/D&gt;&lt;D xsi:type="xsd:double"&gt;43.27&lt;/D&gt;&lt;D xsi:type="xsd:double"&gt;42.68&lt;/D&gt;&lt;D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xsi:type="xsd:double"&gt;43.04&lt;/D&gt;&lt;D xsi:type="xsd:double"&gt;43.08&lt;/D&gt;&lt;D xsi:type="xsd:double"&gt;42.84&lt;/D&gt;&lt;D xsi:type="xsd:double"&gt;43.14&lt;/D&gt;&lt;D xsi:type="xsd:double"&gt;42.49&lt;/D&gt;&lt;D xsi:type="xsd:double"&gt;42.76&lt;/D&gt;&lt;D xsi:type="xsd:double"&gt;42.47&lt;/D&gt;&lt;D xsi:type="xsd:double"&gt;42.92&lt;/D&gt;&lt;D xsi:type="xsd:double"&gt;42.4&lt;/D&gt;&lt;D xsi:type="xsd:double"&gt;42.65&lt;/D&gt;&lt;D xsi:type="xsd:double"&gt;42.71&lt;/D&gt;&lt;D xsi:type="xsd:double"&gt;43.1&lt;/D&gt;&lt;D xsi:type="xsd:double"&gt;42.73&lt;/D&gt;&lt;/FQL&gt;&lt;FQL&gt;&lt;Q&gt;MCHI^FG_PRICE(0,-200D)&lt;/Q&gt;&lt;R&gt;201&lt;/R&gt;&lt;C&gt;1&lt;/C&gt;&lt;D xsi:type="xsd:double"&gt;56.88&lt;/D&gt;&lt;D xsi:type="xsd:double"&gt;56.18&lt;/D&gt;&lt;D xsi:type="xsd:double"&gt;57.13&lt;/D&gt;&lt;D xsi:type="xsd:double"&gt;56.9&lt;/D&gt;&lt;D xsi:type="xsd:double"&gt;58.51&lt;/D&gt;&lt;D xsi:type="xsd:double"&gt;59.06&lt;/D&gt;&lt;D xsi:type="xsd:double"&gt;59.23&lt;/D&gt;&lt;D xsi:type="xsd:double"&gt;60.67&lt;/D&gt;&lt;D xsi:type="xsd:double"&gt;60.43&lt;/D&gt;&lt;D xsi:type="xsd:double"&gt;60.76&lt;/D&gt;&lt;D xsi:type="xsd:double"&gt;61.01&lt;/D&gt;&lt;D xsi:type="xsd:double"&gt;60.72&lt;/D&gt;&lt;D xsi:type="xsd:double"&gt;60.95&lt;/D&gt;&lt;D xsi:type="xsd:double"&gt;60.61&lt;/D&gt;&lt;D xsi:type="xsd:double"&gt;60.35&lt;/D&gt;&lt;D xsi:type="xsd:double"&gt;60.58&lt;/D&gt;&lt;D xsi:type="xsd:double"&gt;61.93&lt;/D&gt;&lt;D xsi:type="xsd:double"&gt;61.99&lt;/D&gt;&lt;D xsi:type="xsd:double"&gt;61.97&lt;/D&gt;&lt;D xsi:type="xsd:double"&gt;61.67&lt;/D&gt;&lt;D xsi:type="xsd:double"&gt;60.1&lt;/D&gt;&lt;D xsi:type="xsd:double"&gt;60.31&lt;/D&gt;&lt;D xsi:type="xsd:double"&gt;61.07&lt;/D&gt;&lt;D xsi:type="xsd:double"&gt;61.61&lt;/D&gt;&lt;D xsi:type="xsd:double"&gt;62.4&lt;/D&gt;&lt;D xsi:type="xsd:double"&gt;64.23&lt;/D&gt;&lt;D xsi:type="xsd:double"&gt;63.91&lt;/D&gt;&lt;D xsi:type="xsd:double"&gt;63.29&lt;/D&gt;&lt;D xsi:type="xsd:double"&gt;62.66&lt;/D&gt;&lt;D xsi:type="xsd:double"&gt;62.74&lt;/D&gt;&lt;D xsi:type="xsd:double"&gt;62.78&lt;/D&gt;&lt;D xsi:type="xsd:double"&gt;62.49&lt;/D&gt;&lt;D xsi:type="xsd:double"&gt;61.65&lt;/D&gt;&lt;D xsi:type="xsd:double"&gt;62.52&lt;/D&gt;&lt;D xsi:type="xsd:double"&gt;63.59&lt;/D&gt;&lt;D xsi:type="xsd:double"&gt;63.55&lt;/D&gt;&lt;D xsi:type="xsd:double"&gt;63.52&lt;/D&gt;&lt;D xsi:type="xsd:double"&gt;64.26&lt;/D&gt;&lt;D xsi:type="xsd:double"&gt;62.22&lt;/D&gt;&lt;D xsi:type="xsd:double"&gt;62.28&lt;/D&gt;&lt;D xsi:type="xsd:double"&gt;61.88&lt;/D&gt;&lt;D xsi:type="xsd:double"&gt;62.71&lt;/D&gt;&lt;D xsi:type="xsd:double"&gt;62.67&lt;/D&gt;&lt;D xsi:type="xsd:double"&gt;62.24&lt;/D&gt;&lt;D xsi:type="xsd:double"&gt;60.07&lt;/D&gt;&lt;D xsi:type="xsd:double"&gt;60.58&lt;/D&gt;&lt;D xsi:type="xsd:double"&gt;60.37&lt;/D&gt;&lt;D xsi:type="xsd:double"&gt;61.27&lt;/D&gt;&lt;D xsi:type="xsd:double"&gt;60.61&lt;/D&gt;&lt;D xsi:type="xsd:double"&gt;60.67&lt;/D&gt;&lt;D xsi:type="xsd:double"&gt;60.89&lt;/D&gt;&lt;D xsi:type="xsd:double"&gt;60.63&lt;/D&gt;&lt;D xsi:type="xsd:double"&gt;59.99&lt;/D&gt;&lt;D xsi:type="xsd:double"&gt;59.47&lt;/D&gt;&lt;D xsi:type="xsd:double"&gt;59.7&lt;/D&gt;&lt;D xsi:type="xsd:double"&gt;60.87&lt;/D&gt;&lt;D xsi:type="xsd:double"&gt;61.52&lt;/D&gt;&lt;D xsi:type="xsd:double"&gt;61.69&lt;/D&gt;&lt;D xsi:type="xsd:double"&gt;61.81&lt;/D&gt;&lt;D xsi:type="xsd:double"&gt;61.35&lt;/D&gt;&lt;D xsi:type="xsd:double"&gt;62.22&lt;/D&gt;&lt;D xsi:type="xsd:double"&gt;62.66&lt;/D&gt;&lt;D xsi:type="xsd:double"&gt;61.98&lt;/D&gt;&lt;D xsi:type="xsd:double"&gt;61.88&lt;/D&gt;&lt;D xsi:type="xsd:double"&gt;62.24&lt;/D&gt;&lt;D xsi:type="xsd:double"&gt;62.66&lt;/D&gt;&lt;D xsi:type="xsd:double"&gt;62.2&lt;/D&gt;&lt;D xsi:type="xsd:double"&gt;61.91&lt;/D&gt;&lt;D xsi:type="xsd:double"&gt;62.2&lt;/D&gt;&lt;D xsi:type="xsd:double"&gt;61.96&lt;/D&gt;&lt;D xsi:type="xsd:double"&gt;60.92&lt;/D&gt;&lt;D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xsi:type="xsd:double"&gt;54.99&lt;/D&gt;&lt;D xsi:type="xsd:double"&gt;54.79&lt;/D&gt;&lt;D xsi:type="xsd:double"&gt;53.76&lt;/D&gt;&lt;D xsi:type="xsd:double"&gt;53.26&lt;/D&gt;&lt;D xsi:type="xsd:double"&gt;52.82&lt;/D&gt;&lt;D xsi:type="xsd:double"&gt;53.86&lt;/D&gt;&lt;D xsi:type="xsd:double"&gt;53.33&lt;/D&gt;&lt;D xsi:type="xsd:double"&gt;54.04&lt;/D&gt;&lt;D xsi:type="xsd:double"&gt;54.78&lt;/D&gt;&lt;D xsi:type="xsd:double"&gt;54.75&lt;/D&gt;&lt;D xsi:type="xsd:double"&gt;54.99&lt;/D&gt;&lt;D xsi:type="xsd:double"&gt;55.2&lt;/D&gt;&lt;D xsi:type="xsd:double"&gt;54.7&lt;/D&gt;&lt;/FQL&gt;&lt;FQL&gt;&lt;Q&gt;EWM^FG_PRICE(0,-200D)&lt;/Q&gt;&lt;R&gt;201&lt;/R&gt;&lt;C&gt;1&lt;/C&gt;&lt;D xsi:type="xsd:double"&gt;28.54&lt;/D&gt;&lt;D xsi:type="xsd:double"&gt;28.54&lt;/D&gt;&lt;D xsi:type="xsd:double"&gt;28.82&lt;/D&gt;&lt;D xsi:type="xsd:double"&gt;28.36&lt;/D&gt;&lt;D xsi:type="xsd:double"&gt;28.69&lt;/D&gt;&lt;D xsi:type="xsd:double"&gt;29.22&lt;/D&gt;&lt;D xsi:type="xsd:double"&gt;29.65&lt;/D&gt;&lt;D xsi:type="xsd:double"&gt;30.01&lt;/D&gt;&lt;D xsi:type="xsd:double"&gt;30.02&lt;/D&gt;&lt;D xsi:type="xsd:double"&gt;30.01&lt;/D&gt;&lt;D xsi:type="xsd:double"&gt;30.13&lt;/D&gt;&lt;D xsi:type="xsd:double"&gt;29.82&lt;/D&gt;&lt;D xsi:type="xsd:double"&gt;29.67&lt;/D&gt;&lt;D xsi:type="xsd:double"&gt;29.65&lt;/D&gt;&lt;D xsi:type="xsd:double"&gt;29.72&lt;/D&gt;&lt;D xsi:type="xsd:double"&gt;29.71&lt;/D&gt;&lt;D xsi:type="xsd:double"&gt;29.98&lt;/D&gt;&lt;D xsi:type="xsd:double"&gt;29.69&lt;/D&gt;&lt;D xsi:type="xsd:double"&gt;29.83&lt;/D&gt;&lt;D xsi:type="xsd:double"&gt;29.57&lt;/D&gt;&lt;D xsi:type="xsd:double"&gt;29.18&lt;/D&gt;&lt;D xsi:type="xsd:double"&gt;29.49&lt;/D&gt;&lt;D xsi:type="xsd:double"&gt;29.42&lt;/D&gt;&lt;D xsi:type="xsd:double"&gt;29.32&lt;/D&gt;&lt;D xsi:type="xsd:double"&gt;29.18&lt;/D&gt;&lt;D xsi:type="xsd:double"&gt;29.27&lt;/D&gt;&lt;D xsi:type="xsd:double"&gt;29.84&lt;/D&gt;&lt;D xsi:type="xsd:double"&gt;30.06&lt;/D&gt;&lt;D xsi:type="xsd:double"&gt;29.5&lt;/D&gt;&lt;D xsi:type="xsd:double"&gt;28.78&lt;/D&gt;&lt;D xsi:type="xsd:double"&gt;28.43&lt;/D&gt;&lt;D xsi:type="xsd:double"&gt;28.26&lt;/D&gt;&lt;D xsi:type="xsd:double"&gt;27.88&lt;/D&gt;&lt;D xsi:type="xsd:double"&gt;28.17&lt;/D&gt;&lt;D xsi:type="xsd:double"&gt;28.28&lt;/D&gt;&lt;D xsi:type="xsd:double"&gt;28.2&lt;/D&gt;&lt;D xsi:type="xsd:double"&gt;28.05&lt;/D&gt;&lt;D xsi:type="xsd:double"&gt;27.97&lt;/D&gt;&lt;D xsi:type="xsd:double"&gt;27.59&lt;/D&gt;&lt;D xsi:type="xsd:double"&gt;27.36&lt;/D&gt;&lt;D xsi:type="xsd:double"&gt;27.43&lt;/D&gt;&lt;D xsi:type="xsd:double"&gt;27.63&lt;/D&gt;&lt;D xsi:type="xsd:double"&gt;27.61&lt;/D&gt;&lt;D xsi:type="xsd:double"&gt;27.42&lt;/D&gt;&lt;D xsi:type="xsd:double"&gt;27.36&lt;/D&gt;&lt;D xsi:type="xsd:double"&gt;27.57&lt;/D&gt;&lt;D xsi:type="xsd:double"&gt;27.53&lt;/D&gt;&lt;D xsi:type="xsd:double"&gt;27.64&lt;/D&gt;&lt;D xsi:type="xsd:double"&gt;27.69&lt;/D&gt;&lt;D xsi:type="xsd:double"&gt;27.53&lt;/D&gt;&lt;D xsi:type="xsd:double"&gt;27.41&lt;/D&gt;&lt;D xsi:type="xsd:double"&gt;27.2&lt;/D&gt;&lt;D xsi:type="xsd:double"&gt;26.88&lt;/D&gt;&lt;D xsi:type="xsd:double"&gt;26.6&lt;/D&gt;&lt;D xsi:type="xsd:double"&gt;26.79&lt;/D&gt;&lt;D xsi:type="xsd:double"&gt;27.09&lt;/D&gt;&lt;D xsi:type="xsd:double"&gt;26.98&lt;/D&gt;&lt;D xsi:type="xsd:double"&gt;26.87&lt;/D&gt;&lt;D xsi:type="xsd:double"&gt;26.52&lt;/D&gt;&lt;D xsi:type="xsd:double"&gt;26.37&lt;/D&gt;&lt;D xsi:type="xsd:double"&gt;26.32&lt;/D&gt;&lt;D xsi:type="xsd:double"&gt;26.64&lt;/D&gt;&lt;D xsi:type="xsd:double"&gt;26.59&lt;/D&gt;&lt;D xsi:type="xsd:double"&gt;26.73&lt;/D&gt;&lt;D xsi:type="xsd:double"&gt;26.67&lt;/D&gt;&lt;D xsi:type="xsd:double"&gt;26.6&lt;/D&gt;&lt;D xsi:type="xsd:double"&gt;26.43&lt;/D&gt;&lt;D xsi:type="xsd:double"&gt;26.64&lt;/D&gt;&lt;D xsi:type="xsd:double"&gt;26.49&lt;/D&gt;&lt;D xsi:type="xsd:double"&gt;26.47&lt;/D&gt;&lt;D xsi:type="xsd:double"&gt;26.29&lt;/D&gt;&lt;D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</t>
        </r>
      </text>
    </comment>
    <comment ref="A3" authorId="0" shapeId="0" xr:uid="{E7CD1BFD-AD0F-4F01-ABA9-F0345667481F}">
      <text>
        <r>
          <rPr>
            <b/>
            <sz val="9"/>
            <color indexed="81"/>
            <rFont val="Tahoma"/>
            <charset val="1"/>
          </rPr>
          <t>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xsi:type="xsd:double"&gt;24.31&lt;/D&gt;&lt;D xsi:type="xsd:double"&gt;24.14&lt;/D&gt;&lt;D xsi:type="xsd:double"&gt;24.09&lt;/D&gt;&lt;D xsi:type="xsd:double"&gt;24.15&lt;/D&gt;&lt;D xsi:type="xsd:double"&gt;23.96&lt;/D&gt;&lt;D xsi:type="xsd:double"&gt;24.3&lt;/D&gt;&lt;D xsi:type="xsd:double"&gt;24.47&lt;/D&gt;&lt;D xsi:type="xsd:double"&gt;24.52&lt;/D&gt;&lt;D xsi:type="xsd:double"&gt;24.58&lt;/D&gt;&lt;D xsi:type="xsd:double"&gt;24.24&lt;/D&gt;&lt;D xsi:type="xsd:double"&gt;24.49&lt;/D&gt;&lt;D xsi:type="xsd:double"&gt;24.5&lt;/D&gt;&lt;D xsi:type="xsd:double"&gt;24.69&lt;/D&gt;&lt;/FQL&gt;&lt;FQL&gt;&lt;Q&gt;EWI^FG_TOTAL_RETURNC(-5AY,0,AM)&lt;/Q&gt;&lt;R&gt;61&lt;/R&gt;&lt;C&gt;1&lt;/C&gt;&lt;D xsi:type="xsd:double"&gt;-0.5921066&lt;/D&gt;&lt;D xsi:type="xsd:double"&gt;5.625415&lt;/D&gt;&lt;D xsi:type="xsd:double"&gt;1.3784528&lt;/D&gt;&lt;D xsi:type="xsd:double"&gt;5.4079056&lt;/D&gt;&lt;D xsi:type="xsd:double"&gt;-4.062766&lt;/D&gt;&lt;D xsi:type="xsd:double"&gt;2.103293&lt;/D&gt;&lt;D xsi:type="xsd:double"&gt;0.30294657&lt;/D&gt;&lt;D xsi:type="xsd:double"&gt;-3.8659036&lt;/D&gt;&lt;D xsi:type="xsd:double"&gt;8.011317&lt;/D&gt;&lt;D xsi:type="xsd:double"&gt;-6.137294&lt;/D&gt;&lt;D xsi:type="xsd:double"&gt;4.441166&lt;/D&gt;&lt;D xsi:type="xsd:double"&gt;-1.5949428&lt;/D&gt;&lt;D xsi:type="xsd:double"&gt;-18.715595&lt;/D&gt;&lt;D xsi:type="xsd:double"&gt;8.577883&lt;/D&gt;&lt;D xsi:type="xsd:double"&gt;-6.444907&lt;/D&gt;&lt;D xsi:type="xsd:double"&gt;6.296301&lt;/D&gt;&lt;D xsi:type="xsd:double"&gt;-17.005747&lt;/D&gt;&lt;D xsi:type="xsd:double"&gt;6.5339684&lt;/D&gt;&lt;D xsi:type="xsd:double"&gt;-7.6360703&lt;/D&gt;&lt;D xsi:type="xsd:double"&gt;-2.682501&lt;/D&gt;&lt;D xsi:type="xsd:double"&gt;12.968826&lt;/D&gt;&lt;D xsi:type="xsd:double"&gt;9.440004&lt;/D&gt;&lt;D xsi:type="xsd:double"&gt;5.5104136&lt;/D&gt;&lt;D xsi:type="xsd:double"&gt;5.6610346&lt;/D&gt;&lt;D xsi:type="xsd:double"&gt;2.6622295&lt;/D&gt;&lt;D xsi:type="xsd:double"&gt;0.09723902&lt;/D&gt;&lt;D xsi:type="xsd:double"&gt;3.6269426&lt;/D&gt;&lt;D xsi:type="xsd:double"&gt;-3.8749993&lt;/D&gt;&lt;D xsi:type="xsd:double"&gt;3.119874&lt;/D&gt;&lt;D xsi:type="xsd:double"&gt;3.7790775&lt;/D&gt;&lt;D xsi:type="xsd:double"&gt;-3.0189872&lt;/D&gt;&lt;D xsi:type="xsd:double"&gt;-3.369701&lt;/D&gt;&lt;D xsi:type="xsd:double"&gt;3.6200643&lt;/D&gt;&lt;D xsi:type="xsd:double"&gt;5.929482&lt;/D&gt;&lt;D xsi:type="xsd:double"&gt;2.9773831&lt;/D&gt;&lt;D xsi:type="xsd:double"&gt;0.7735729&lt;/D&gt;&lt;D xsi:type="xsd:double"&gt;8.001184&lt;/D&gt;&lt;D xsi:type="xsd:double"&gt;1.339519&lt;/D&gt;&lt;D xsi:type="xsd:double"&gt;0.8362651&lt;/D&gt;&lt;D xsi:type="xsd:double"&gt;4.3338656&lt;/D&gt;&lt;D xsi:type="xsd:double"&gt;-2.8312325&lt;/D&gt;&lt;D xsi:type="xsd:double"&gt;-5.462414&lt;/D&gt;&lt;D xsi:type="xsd:double"&gt;7.951951&lt;/D&gt;&lt;D xsi:type="xsd:double"&gt;0.21196604&lt;/D&gt;&lt;D xsi:type="xsd:double"&gt;-1.6657889&lt;/D&gt;&lt;D xsi:type="xsd:double"&gt;1.5326738&lt;/D&gt;&lt;D xsi:type="xsd:double"&gt;-2.3128152&lt;/D&gt;&lt;D xsi:type="xsd:double"&gt;8.120001&lt;/D&gt;&lt;D xsi:type="xsd:double"&gt;7.6120257&lt;/D&gt;&lt;D xsi:type="xsd:double"&gt;-8.942509&lt;/D&gt;&lt;D xsi:type="xsd:double"&gt;17.485058&lt;/D&gt;&lt;D xsi:type="xsd:double"&gt;6.811142&lt;/D&gt;&lt;D xsi:type="xsd:double"&gt;1.550734&lt;/D&gt;&lt;D xsi:type="xsd:double"&gt;2.7172804&lt;/D&gt;&lt;D xsi:type="xsd:double"&gt;1.8982172&lt;/D&gt;&lt;D xsi:type="xsd:double"&gt;3.567183&lt;/D&gt;&lt;D xsi:type="xsd:double"&gt;-0.97588897&lt;/D&gt;&lt;D xsi:type="xsd:double"&gt;2.3768067&lt;/D&gt;&lt;D xsi:type="xsd:double"&gt;5.7277203&lt;/D&gt;&lt;D xsi:type="xsd:double"&gt;1.7905593&lt;/D&gt;&lt;D xsi:type="xsd:double"&gt;-5.7391586&lt;/D&gt;&lt;/FQL&gt;&lt;FQL&gt;&lt;Q&gt;EWJ^FG_TOTAL_RETURNC(-5AY,0,AM)&lt;/Q&gt;&lt;R&gt;61&lt;/R&gt;&lt;C&gt;1&lt;/C&gt;&lt;D xsi:type="xsd:double"&gt;-1.5740037&lt;/D&gt;&lt;D xsi:type="xsd:double"&gt;1.1150122&lt;/D&gt;&lt;D xsi:type="xsd:double"&gt;-0.2901852&lt;/D&gt;&lt;D xsi:type="xsd:double"&gt;1.2078047&lt;/D&gt;&lt;D xsi:type="xsd:double"&gt;-2.0034015&lt;/D&gt;&lt;D xsi:type="xsd:double"&gt;0.23647547&lt;/D&gt;&lt;D xsi:type="xsd:double"&gt;5.883217&lt;/D&gt;&lt;D xsi:type="xsd:double"&gt;-5.6120276&lt;/D&gt;&lt;D xsi:type="xsd:double"&gt;3.806436&lt;/D&gt;&lt;D xsi:type="xsd:double"&gt;-4.2069316&lt;/D&gt;&lt;D xsi:type="xsd:double"&gt;0.87673664&lt;/D&gt;&lt;D xsi:type="xsd:double"&gt;-4.2920947&lt;/D&gt;&lt;D xsi:type="xsd:double"&gt;-4.7337294&lt;/D&gt;&lt;D xsi:type="xsd:double"&gt;-2.1085322&lt;/D&gt;&lt;D xsi:type="xsd:double"&gt;-5.343133&lt;/D&gt;&lt;D xsi:type="xsd:double"&gt;1.1113048&lt;/D&gt;&lt;D xsi:type="xsd:double"&gt;-7.16055&lt;/D&gt;&lt;D xsi:type="xsd:double"&gt;4.952562&lt;/D&gt;&lt;D xsi:type="xsd:double"&gt;-6.798053&lt;/D&gt;&lt;D xsi:type="xsd:double"&gt;-2.3860335&lt;/D&gt;&lt;D xsi:type="xsd:double"&gt;1.0930061&lt;/D&gt;&lt;D xsi:type="xsd:double"&gt;7.3127627&lt;/D&gt;&lt;D xsi:type="xsd:double"&gt;0.5527139&lt;/D&gt;&lt;D xsi:type="xsd:double"&gt;5.039251&lt;/D&gt;&lt;D xsi:type="xsd:double"&gt;-0.2607286&lt;/D&gt;&lt;D xsi:type="xsd:double"&gt;0.74938536&lt;/D&gt;&lt;D xsi:type="xsd:double"&gt;2.9752612&lt;/D&gt;&lt;D xsi:type="xsd:double"&gt;5.896187&lt;/D&gt;&lt;D xsi:type="xsd:double"&gt;-2.9203355&lt;/D&gt;&lt;D xsi:type="xsd:double"&gt;1.662004&lt;/D&gt;&lt;D xsi:type="xsd:double"&gt;0.7283926&lt;/D&gt;&lt;D xsi:type="xsd:double"&gt;-4.5797825&lt;/D&gt;&lt;D xsi:type="xsd:double"&gt;3.065002&lt;/D&gt;&lt;D xsi:type="xsd:double"&gt;2.40196&lt;/D&gt;&lt;D xsi:type="xsd:double"&gt;2.8011084&lt;/D&gt;&lt;D xsi:type="xsd:double"&gt;4.171264&lt;/D&gt;&lt;D xsi:type="xsd:double"&gt;7.8422546&lt;/D&gt;&lt;D xsi:type="xsd:double"&gt;-2.1017253&lt;/D&gt;&lt;D xsi:type="xsd:double"&gt;-0.2862513&lt;/D&gt;&lt;D xsi:type="xsd:double"&gt;-0.6171942&lt;/D&gt;&lt;D xsi:type="xsd:double"&gt;1.7949939&lt;/D&gt;&lt;D xsi:type="xsd:double"&gt;-9.777016&lt;/D&gt;&lt;D xsi:type="xsd:double"&gt;7.873893&lt;/D&gt;&lt;D xsi:type="xsd:double"&gt;5.566168&lt;/D&gt;&lt;D xsi:type="xsd:double"&gt;-3.4780204&lt;/D&gt;&lt;D xsi:type="xsd:double"&gt;2.4502754&lt;/D&gt;&lt;D xsi:type="xsd:double"&gt;-3.6474466&lt;/D&gt;&lt;D xsi:type="xsd:double"&gt;2.9215455&lt;/D&gt;&lt;D xsi:type="xsd:double"&gt;0.30258894&lt;/D&gt;&lt;D xsi:type="xsd:double"&gt;-11.636263&lt;/D&gt;&lt;D xsi:type="xsd:double"&gt;17.75322&lt;/D&gt;&lt;D xsi:type="xsd:double"&gt;1.9190907&lt;/D&gt;&lt;D xsi:type="xsd:double"&gt;1.8733263&lt;/D&gt;&lt;D xsi:type="xsd:double"&gt;1.9168854&lt;/D&gt;&lt;D xsi:type="xsd:double"&gt;4.143107&lt;/D&gt;&lt;D xsi:type="xsd:double"&gt;5.165446&lt;/D&gt;&lt;D xsi:type="xsd:double"&gt;-0.3722787&lt;/D&gt;&lt;D xsi:type="xsd:double"&gt;0.89199543&lt;/D&gt;&lt;D xsi:type="xsd:double"&gt;3.005302&lt;/D&gt;&lt;D xsi:type="xsd:double"&gt;7.6200843&lt;/D&gt;&lt;D xsi:type="xsd:double"&gt;-4.899335&lt;/D&gt;&lt;/FQL&gt;&lt;FQL&gt;&lt;Q&gt;TUR^FG_TOTAL_RETURNC(-5AY,0,AM)&lt;/Q&gt;&lt;R&gt;61&lt;/R&gt;&lt;C&gt;1&lt;/C&gt;&lt;D xsi:type="xsd:double"&gt;-4.6961308&lt;/D&gt;&lt;D xsi:type="xsd:double"&gt;-13.876814&lt;/D&gt;&lt;D xsi:type="xsd:double"&gt;0.16827583&lt;/D&gt;&lt;D xsi:type="xsd:double"&gt;-3.8219213&lt;/D&gt;&lt;D xsi:type="xsd:double"&gt;-3.7709415&lt;/D&gt;&lt;D xsi:type="xsd:double"&gt;4.626167&lt;/D&gt;&lt;D xsi:type="xsd:double"&gt;6.878078&lt;/D&gt;&lt;D xsi:type="xsd:double"&gt;-12.411207&lt;/D&gt;&lt;D xsi:type="xsd:double"&gt;6.0114503&lt;/D&gt;&lt;D xsi:type="xsd:double"&gt;-15.571552&lt;/D&gt;&lt;D xsi:type="xsd:double"&gt;4.033923&lt;/D&gt;&lt;D xsi:type="xsd:double"&gt;-1.904279&lt;/D&gt;&lt;D xsi:type="xsd:double"&gt;-1.7313719&lt;/D&gt;&lt;D xsi:type="xsd:double"&gt;14.308596&lt;/D&gt;&lt;D xsi:type="xsd:double"&gt;3.9701104&lt;/D&gt;&lt;D xsi:type="xsd:double"&gt;-3.1446576&lt;/D&gt;&lt;D xsi:type="xsd:double"&gt;-11.423874&lt;/D&gt;&lt;D xsi:type="xsd:double"&gt;8.8853&lt;/D&gt;&lt;D xsi:type="xsd:double"&gt;18.644905&lt;/D&gt;&lt;D xsi:type="xsd:double"&gt;2.8345108&lt;/D&gt;&lt;D xsi:type="xsd:double"&gt;16.092419&lt;/D&gt;&lt;D xsi:type="xsd:double"&gt;17.59777&lt;/D&gt;&lt;D xsi:type="xsd:double"&gt;7.958722&lt;/D&gt;&lt;D xsi:type="xsd:double"&gt;-8.43007&lt;/D&gt;&lt;D xsi:type="xsd:double"&gt;11.077571&lt;/D&gt;&lt;D xsi:type="xsd:double"&gt;-9.836954&lt;/D&gt;&lt;D xsi:type="xsd:double"&gt;-11.03074&lt;/D&gt;&lt;D xsi:type="xsd:double"&gt;10.365856&lt;/D&gt;&lt;D xsi:type="xsd:double"&gt;-5.3061905&lt;/D&gt;&lt;D xsi:type="xsd:double"&gt;16.151773&lt;/D&gt;&lt;D xsi:type="xsd:double"&gt;11.419487&lt;/D&gt;&lt;D xsi:type="xsd:double"&gt;2.464974&lt;/D&gt;&lt;D xsi:type="xsd:double"&gt;-10.23044&lt;/D&gt;&lt;D xsi:type="xsd:double"&gt;-1.9181967&lt;/D&gt;&lt;D xsi:type="xsd:double"&gt;-5.189067&lt;/D&gt;&lt;D xsi:type="xsd:double"&gt;13.825882&lt;/D&gt;&lt;D xsi:type="xsd:double"&gt;-4.982501&lt;/D&gt;&lt;D xsi:type="xsd:double"&gt;9.977329&lt;/D&gt;&lt;D xsi:type="xsd:double"&gt;7.190728&lt;/D&gt;&lt;D xsi:type="xsd:double"&gt;0.43280125&lt;/D&gt;&lt;D xsi:type="xsd:double"&gt;4.606676&lt;/D&gt;&lt;D xsi:type="xsd:double"&gt;-12.256723&lt;/D&gt;&lt;D xsi:type="xsd:double"&gt;-2.8254569&lt;/D&gt;&lt;D xsi:type="xsd:double"&gt;-6.5217314&lt;/D&gt;&lt;D xsi:type="xsd:double"&gt;-2.558142&lt;/D&gt;&lt;D xsi:type="xsd:double"&gt;12.828159&lt;/D&gt;&lt;D xsi:type="xsd:double"&gt;-2.1538973&lt;/D&gt;&lt;D xsi:type="xsd:double"&gt;-3.6082506&lt;/D&gt;&lt;D xsi:type="xsd:double"&gt;4.925418&lt;/D&gt;&lt;D xsi:type="xsd:double"&gt;-15.048277&lt;/D&gt;&lt;D xsi:type="xsd:double"&gt;-2.873379&lt;/D&gt;&lt;D xsi:type="xsd:double"&gt;2.763331&lt;/D&gt;&lt;D xsi:type="xsd:double"&gt;6.114757&lt;/D&gt;&lt;D xsi:type="xsd:double"&gt;4.2978168&lt;/D&gt;&lt;D xsi:type="xsd:double"&gt;-3.2791555&lt;/D&gt;&lt;D xsi:type="xsd:double"&gt;0.42004585&lt;/D&gt;&lt;D xsi:type="xsd:double"&gt;2.3304462&lt;/D&gt;&lt;D xsi:type="xsd:double"&gt;-1.1970818&lt;/D&gt;&lt;D xsi:type="xsd:double"&gt;9.783136&lt;/D&gt;&lt;D xsi:type="xsd:double"&gt;11.0688095&lt;/D&gt;&lt;D xsi:type="xsd:double"&gt;-7.6395693&lt;/D&gt;&lt;/FQL&gt;&lt;FQL&gt;&lt;Q&gt;EWY^FG_TOTAL_RETURNC(-5AY,0,AM)&lt;/Q&gt;&lt;R&gt;61&lt;/R&gt;&lt;C&gt;1&lt;/C&gt;&lt;D xsi:type="xsd:double"&gt;-4.249138&lt;/D&gt;&lt;D xsi:type="xsd:double"&gt;3.3142328&lt;/D&gt;&lt;D xsi:type="xsd:double"&gt;0.31535625&lt;/D&gt;&lt;D xsi:type="xsd:double"&gt;1.6802192&lt;/D&gt;&lt;D xsi:type="xsd:double"&gt;-1.5778303&lt;/D&gt;&lt;D xsi:type="xsd:double"&gt;-2.0905554&lt;/D&gt;&lt;D xsi:type="xsd:double"&gt;-2.9759943&lt;/D&gt;&lt;D xsi:type="xsd:double"&gt;-11.995435&lt;/D&gt;&lt;D xsi:type="xsd:double"&gt;2.9670954&lt;/D&gt;&lt;D xsi:type="xsd:double"&gt;0.39007664&lt;/D&gt;&lt;D xsi:type="xsd:double"&gt;-3.213799&lt;/D&gt;&lt;D xsi:type="xsd:double"&gt;-3.796792&lt;/D&gt;&lt;D xsi:type="xsd:double"&gt;-3.754127&lt;/D&gt;&lt;D xsi:type="xsd:double"&gt;0&lt;/D&gt;&lt;D xsi:type="xsd:double"&gt;-5.5150747&lt;/D&gt;&lt;D xsi:type="xsd:double"&gt;1.1492491&lt;/D&gt;&lt;D xsi:type="xsd:double"&gt;-15.503061&lt;/D&gt;&lt;D xsi:type="xsd:double"&gt;7.448685&lt;/D&gt;&lt;D xsi:type="xsd:double"&gt;-9.50107&lt;/D&gt;&lt;D xsi:type="xsd:double"&gt;-8.64265&lt;/D&gt;&lt;D xsi:type="xsd:double"&gt;7.408881&lt;/D&gt;&lt;D xsi:type="xsd:double"&gt;5.8409095&lt;/D&gt;&lt;D xsi:type="xsd:double"&gt;6.17913&lt;/D&gt;&lt;D xsi:type="xsd:double"&gt;2.83854&lt;/D&gt;&lt;D xsi:type="xsd:double"&gt;-1.3963342&lt;/D&gt;&lt;D xsi:type="xsd:double"&gt;-1.26791&lt;/D&gt;&lt;D xsi:type="xsd:double"&gt;2.7184844&lt;/D&gt;&lt;D xsi:type="xsd:double"&gt;6.673157&lt;/D&gt;&lt;D xsi:type="xsd:double"&gt;-4.398775&lt;/D&gt;&lt;D xsi:type="xsd:double"&gt;3.216052&lt;/D&gt;&lt;D xsi:type="xsd:double"&gt;-4.334414&lt;/D&gt;&lt;D xsi:type="xsd:double"&gt;-5.4982243&lt;/D&gt;&lt;D xsi:type="xsd:double"&gt;6.9442034&lt;/D&gt;&lt;D xsi:type="xsd:double"&gt;-2.4569273&lt;/D&gt;&lt;D xsi:type="xsd:double"&gt;5.5360556&lt;/D&gt;&lt;D xsi:type="xsd:double"&gt;-1.11323&lt;/D&gt;&lt;D xsi:type="xsd:double"&gt;4.6638846&lt;/D&gt;&lt;D xsi:type="xsd:double"&gt;1.5672922&lt;/D&gt;&lt;D xsi:type="xsd:double"&gt;-0.52949786&lt;/D&gt;&lt;D xsi:type="xsd:double"&gt;-1.6121626&lt;/D&gt;&lt;D xsi:type="xsd:double"&gt;6.600702&lt;/D&gt;&lt;D xsi:type="xsd:double"&gt;-13.805103&lt;/D&gt;&lt;D xsi:type="xsd:double"&gt;1.7833114&lt;/D&gt;&lt;D xsi:type="xsd:double"&gt;3.6363602&lt;/D&gt;&lt;D xsi:type="xsd:double"&gt;-5.3110065&lt;/D&gt;&lt;D xsi:type="xsd:double"&gt;-7.4279966&lt;/D&gt;&lt;D xsi:type="xsd:double"&gt;1.3796449&lt;/D&gt;&lt;D xsi:type="xsd:double"&gt;1.5073538&lt;/D&gt;&lt;D xsi:type="xsd:double"&gt;-0.50706863&lt;/D&gt;&lt;D xsi:type="xsd:double"&gt;-6.7164183&lt;/D&gt;&lt;D xsi:type="xsd:double"&gt;14.146339&lt;/D&gt;&lt;D xsi:type="xsd:double"&gt;12.085474&lt;/D&gt;&lt;D xsi:type="xsd:double"&gt;10.873866&lt;/D&gt;&lt;D xsi:type="xsd:double"&gt;0.6602526&lt;/D&gt;&lt;D xsi:type="xsd:double"&gt;0.6149173&lt;/D&gt;&lt;D xsi:type="xsd:double"&gt;15.143288&lt;/D&gt;&lt;D xsi:type="xsd:double"&gt;10.297239&lt;/D&gt;&lt;D xsi:type="xsd:double"&gt;0.84483624&lt;/D&gt;&lt;D xsi:type="xsd:double"&gt;16.711258&lt;/D&gt;&lt;D xsi:type="xsd:double"&gt;15.8907175&lt;/D&gt;&lt;D xsi:type="xsd:double"&gt;2.2371888&lt;/D&gt;&lt;/FQL&gt;&lt;FQL&gt;&lt;Q&gt;ECH^FG_TOTAL_RETURNC(-5AY,0,AM)&lt;/Q&gt;&lt;R&gt;61&lt;/R&gt;&lt;C&gt;1&lt;/C&gt;&lt;D xsi:type="xsd:double"&gt;3.9871335&lt;/D&gt;&lt;D xsi:type="xsd:double"&gt;6.0606003&lt;/D&gt;&lt;D xsi:type="xsd:double"&gt;-2.915454&lt;/D&gt;&lt;D xsi:type="xsd:double"&gt;-12.012011&lt;/D&gt;&lt;D xsi:type="xsd:double"&gt;-4.4789257&lt;/D&gt;&lt;D xsi:type="xsd:double"&gt;-3.5247147&lt;/D&gt;&lt;D xsi:type="xsd:double"&gt;7.683623&lt;/D&gt;&lt;D xsi:type="xsd:double"&gt;-13.116473&lt;/D&gt;&lt;D xsi:type="xsd:double"&gt;6.5217376&lt;/D&gt;&lt;D xsi:type="xsd:double"&gt;-5.2154183&lt;/D&gt;&lt;D xsi:type="xsd:double"&gt;-2.642876&lt;/D&gt;&lt;D xsi:type="xsd:double"&gt;3.9340138&lt;/D&gt;&lt;D xsi:type="xsd:double"&gt;9.727311&lt;/D&gt;&lt;D xsi:type="xsd:double"&gt;6.6765666&lt;/D&gt;&lt;D xsi:type="xsd:double"&gt;-9.874826&lt;/D&gt;&lt;D xsi:type="xsd:double"&gt;17.091047&lt;/D&gt;&lt;D xsi:type="xsd:double"&gt;-20.320553&lt;/D&gt;&lt;D xsi:type="xsd:double"&gt;10.5806465&lt;/D&gt;&lt;D xsi:type="xsd:double"&gt;11.435246&lt;/D&gt;&lt;D xsi:type="xsd:double"&gt;-12.949383&lt;/D&gt;&lt;D xsi:type="xsd:double"&gt;3.4081817&lt;/D&gt;&lt;D xsi:type="xsd:double"&gt;4.071343&lt;/D&gt;&lt;D xsi:type="xsd:double"&gt;2.2294283&lt;/D&gt;&lt;D xsi:type="xsd:double"&gt;7.1401834&lt;/D&gt;&lt;D xsi:type="xsd:double"&gt;2.3377538&lt;/D&gt;&lt;D xsi:type="xsd:double"&gt;-6.2393427&lt;/D&gt;&lt;D xsi:type="xsd:double"&gt;6.072724&lt;/D&gt;&lt;D xsi:type="xsd:double"&gt;3.2910466&lt;/D&gt;&lt;D xsi:type="xsd:double"&gt;1.5017033&lt;/D&gt;&lt;D xsi:type="xsd:double"&gt;1.2580752&lt;/D&gt;&lt;D xsi:type="xsd:double"&gt;-8.059102&lt;/D&gt;&lt;D xsi:type="xsd:double"&gt;-9.861207&lt;/D&gt;&lt;D xsi:type="xsd:double"&gt;2.7552724&lt;/D&gt;&lt;D xsi:type="xsd:double"&gt;6.348574&lt;/D&gt;&lt;D xsi:type="xsd:double"&gt;0.9045601&lt;/D&gt;&lt;D xsi:type="xsd:double"&gt;-7.2855053&lt;/D&gt;&lt;D xsi:type="xsd:double"&gt;1.2365341&lt;/D&gt;&lt;D xsi:type="xsd:double"&gt;7.4468136&lt;/D&gt;&lt;D xsi:type="xsd:double"&gt;1.2467861&lt;/D&gt;&lt;D xsi:type="xsd:double"&gt;3.4045577&lt;/D&gt;&lt;D xsi:type="xsd:double"&gt;-6.103337&lt;/D&gt;&lt;D xsi:type="xsd:double"&gt;-5.7787895&lt;/D&gt;&lt;D xsi:type="xsd:double"&gt;1.5434623&lt;/D&gt;&lt;D xsi:type="xsd:double"&gt;6.0800076&lt;/D&gt;&lt;D xsi:type="xsd:double"&gt;-3.054303&lt;/D&gt;&lt;D xsi:type="xsd:double"&gt;-0.27226806&lt;/D&gt;&lt;D xsi:type="xsd:double"&gt;-2.5244892&lt;/D&gt;&lt;D xsi:type="xsd:double"&gt;13.32798&lt;/D&gt;&lt;D xsi:type="xsd:double"&gt;5.1718116&lt;/D&gt;&lt;D xsi:type="xsd:double"&gt;-5.052209&lt;/D&gt;&lt;D xsi:type="xsd:double"&gt;12.167442&lt;/D&gt;&lt;D xsi:type="xsd:double"&gt;0.695765&lt;/D&gt;&lt;D xsi:type="xsd:double"&gt;2.0970464&lt;/D&gt;&lt;D xsi:type="xsd:double"&gt;-5.4368315&lt;/D&gt;&lt;D xsi:type="xsd:double"&gt;12.42938&lt;/D&gt;&lt;D xsi:type="xsd:double"&gt;-5.261612&lt;/D&gt;&lt;D xsi:type="xsd:double"&gt;9.984398&lt;/D&gt;&lt;D xsi:type="xsd:double"&gt;8.312058&lt;/D&gt;&lt;D xsi:type="xsd:double"&gt;11.841047&lt;/D&gt;&lt;D xsi:type="xsd:double"&gt;6.3219786&lt;/D&gt;&lt;D xsi:type="xsd:double"&gt;-13.063658&lt;/D&gt;&lt;/FQL&gt;&lt;FQL&gt;&lt;Q&gt;INDA^FG_PRICE(0,-200D)&lt;/Q&gt;&lt;R&gt;201&lt;/R&gt;&lt;C&gt;1&lt;/C&gt;&lt;D xsi:type="xsd:double"&gt;50&lt;/D&gt;&lt;D xsi:type="xsd:double"&gt;50.37&lt;/D&gt;&lt;D xsi:type="xsd:double"&gt;50.27&lt;/D&gt;&lt;D xsi:type="xsd:double"&gt;50.22&lt;/D&gt;&lt;D xsi:type="xsd:double"&gt;50.95&lt;/D&gt;&lt;D xsi:type="xsd:double"&gt;52.27&lt;/D&gt;&lt;D xsi:type="xsd:double"&gt;52.58&lt;/D&gt;&lt;D xsi:type="xsd:double"&gt;52.74&lt;/D&gt;&lt;D xsi:type="xsd:double"&gt;52.67&lt;/D&gt;&lt;D xsi:type="xsd:double"&gt;52.61&lt;/D&gt;&lt;D xsi:type="xsd:double"&gt;53.42&lt;/D&gt;&lt;D xsi:type="xsd:double"&gt;52.3&lt;/D&gt;&lt;D xsi:type="xsd:double"&gt;53.32&lt;/D&gt;&lt;D xsi:type="xsd:double"&gt;53.27&lt;/D&gt;&lt;D xsi:type="xsd:double"&gt;52.89&lt;/D&gt;&lt;D xsi:type="xsd:double"&gt;53.11&lt;/D&gt;&lt;D xsi:type="xsd:double"&gt;53.53&lt;/D&gt;&lt;D xsi:type="xsd:double"&gt;53.74&lt;/D&gt;&lt;D xsi:type="xsd:double"&gt;53.44&lt;/D&gt;&lt;D xsi:type="xsd:double"&gt;53.28&lt;/D&gt;&lt;D xsi:type="xsd:double"&gt;52.95&lt;/D&gt;&lt;D xsi:type="xsd:double"&gt;53.44&lt;/D&gt;&lt;D xsi:type="xsd:double"&gt;53.15&lt;/D&gt;&lt;D xsi:type="xsd:double"&gt;53.28&lt;/D&gt;&lt;D xsi:type="xsd:double"&gt;51.74&lt;/D&gt;&lt;D xsi:type="xsd:double"&gt;51.61&lt;/D&gt;&lt;D xsi:type="xsd:double"&gt;51.49&lt;/D&gt;&lt;D xsi:type="xsd:double"&gt;51.69&lt;/D&gt;&lt;D xsi:type="xsd:double"&gt;51.44&lt;/D&gt;&lt;D xsi:type="xsd:double"&gt;51.24&lt;/D&gt;&lt;D xsi:type="xsd:double"&gt;51.795&lt;/D&gt;&lt;D xsi:type="xsd:double"&gt;51.55&lt;/D&gt;&lt;D xsi:type="xsd:double"&gt;51.73&lt;/D&gt;&lt;D xsi:type="xsd:double"&gt;52.85&lt;/D&gt;&lt;D xsi:type="xsd:double"&gt;53.22&lt;/D&gt;&lt;D xsi:type="xsd:double"&gt;53.25&lt;/D&gt;&lt;D xsi:type="xsd:double"&gt;53.04&lt;/D&gt;&lt;D xsi:type="xsd:double"&gt;53.4&lt;/D&gt;&lt;D xsi:type="xsd:double"&gt;53.175&lt;/D&gt;&lt;D xsi:type="xsd:double"&gt;53.72&lt;/D&gt;&lt;D xsi:type="xsd:double"&gt;54.2&lt;/D&gt;&lt;D xsi:type="xsd:double"&gt;54.08&lt;/D&gt;&lt;D xsi:type="xsd:double"&gt;54.29&lt;/D&gt;&lt;D xsi:type="xsd:double"&gt;54.56&lt;/D&gt;&lt;D xsi:type="xsd:double"&gt;54.05&lt;/D&gt;&lt;D xsi:type="xsd:double"&gt;53.64&lt;/D&gt;&lt;D xsi:type="xsd:double"&gt;53.47&lt;/D&gt;&lt;D xsi:type="xsd:double"&gt;53.84&lt;/D&gt;&lt;D xsi:type="xsd:double"&gt;54.01&lt;/D&gt;&lt;D xsi:type="xsd:double"&gt;54.47&lt;/D&gt;&lt;D xsi:type="xsd:double"&gt;54.19&lt;/D&gt;&lt;D xsi:type="xsd:double"&gt;54.15&lt;/D&gt;&lt;D xsi:type="xsd:double"&gt;53.28&lt;/D&gt;&lt;D xsi:type="xsd:double"&gt;52.97&lt;/D&gt;&lt;D xsi:type="xsd:double"&gt;52.95&lt;/D&gt;&lt;D xsi:type="xsd:double"&gt;53.1&lt;/D&gt;&lt;D xsi:type="xsd:double"&gt;53.14&lt;/D&gt;&lt;D xsi:type="xsd:double"&gt;53.57&lt;/D&gt;&lt;D xsi:type="xsd:double"&gt;53.36&lt;/D&gt;&lt;D xsi:type="xsd:double"&gt;53.27&lt;/D&gt;&lt;D xsi:type="xsd:double"&gt;53.08&lt;/D&gt;&lt;D xsi:type="xsd:double"&gt;53.97&lt;/D&gt;&lt;D xsi:type="xsd:double"&gt;53.76&lt;/D&gt;&lt;D xsi:type="xsd:double"&gt;53.41&lt;/D&gt;&lt;D xsi:type="xsd:double"&gt;53.88&lt;/D&gt;&lt;D xsi:type="xsd:double"&gt;54.33&lt;/D&gt;&lt;D xsi:type="xsd:double"&gt;54.71&lt;/D&gt;&lt;D xsi:type="xsd:double"&gt;54.67&lt;/D&gt;&lt;D xsi:type="xsd:double"&gt;54.28&lt;/D&gt;&lt;D xsi:type="xsd:double"&gt;54.22&lt;/D&gt;&lt;D xsi:type="xsd:double"&gt;54.21&lt;/D&gt;&lt;D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xsi:type="xsd:double"&gt;54.18&lt;/D&gt;&lt;D xsi:type="xsd:double"&gt;53.92&lt;/D&gt;&lt;D xsi:type="xsd:double"&gt;53.96&lt;/D&gt;&lt;D xsi:type="xsd:double"&gt;54.54&lt;/D&gt;&lt;D xsi:type="xsd:double"&gt;54.31&lt;/D&gt;&lt;D xsi:type="xsd:double"&gt;54.59&lt;/D&gt;&lt;D xsi:type="xsd:double"&gt;54.285&lt;/D&gt;&lt;D xsi:type="xsd:double"&gt;54.53&lt;/D&gt;&lt;D xsi:type="xsd:double"&gt;54.58&lt;/D&gt;&lt;D xsi:type="xsd:double"&gt;53.79&lt;/D&gt;&lt;D xsi:type="xsd:double"&gt;54.03&lt;/D&gt;&lt;D xsi:type="xsd:double"&gt;54.07&lt;/D&gt;&lt;D xsi:type="xsd:double"&gt;54.78&lt;/D&gt;&lt;/FQL&gt;&lt;FQL&gt;&lt;Q&gt;SET-BKK^FG_TOTAL_RETURNC(-5AY,0,AM)&lt;/Q&gt;&lt;R&gt;61&lt;/R&gt;&lt;C&gt;1&lt;/C&gt;&lt;D xsi:type="xsd:double"&gt;3.17384&lt;/D&gt;&lt;D xsi:type="xsd:double"&gt;2.302301&lt;/D&gt;&lt;D xsi:type="xsd:double"&gt;-0.4906118&lt;/D&gt;&lt;D xsi:type="xsd:double"&gt;2.5205016&lt;/D&gt;&lt;D xsi:type="xsd:double"&gt;-1.247263&lt;/D&gt;&lt;D xsi:type="xsd:double"&gt;-4.3803396&lt;/D&gt;&lt;D xsi:type="xsd:double"&gt;8.322823&lt;/D&gt;&lt;D xsi:type="xsd:double"&gt;-1.7526388&lt;/D&gt;&lt;D xsi:type="xsd:double"&gt;0.41618347&lt;/D&gt;&lt;D xsi:type="xsd:double"&gt;-2.3385525&lt;/D&gt;&lt;D xsi:type="xsd:double"&gt;4.082644&lt;/D&gt;&lt;D xsi:type="xsd:double"&gt;1.2818813&lt;/D&gt;&lt;D xsi:type="xsd:double"&gt;-0.14932156&lt;/D&gt;&lt;D xsi:type="xsd:double"&gt;1.762259&lt;/D&gt;&lt;D xsi:type="xsd:double"&gt;-4.208851&lt;/D&gt;&lt;D xsi:type="xsd:double"&gt;1.012528&lt;/D&gt;&lt;D xsi:type="xsd:double"&gt;-6.335652&lt;/D&gt;&lt;D xsi:type="xsd:double"&gt;3.8461685&lt;/D&gt;&lt;D xsi:type="xsd:double"&gt;2.04736&lt;/D&gt;&lt;D xsi:type="xsd:double"&gt;-2.7352214&lt;/D&gt;&lt;D xsi:type="xsd:double"&gt;2.3370504&lt;/D&gt;&lt;D xsi:type="xsd:double"&gt;0.40889978&lt;/D&gt;&lt;D xsi:type="xsd:double"&gt;2.504027&lt;/D&gt;&lt;D xsi:type="xsd:double"&gt;0.4928708&lt;/D&gt;&lt;D xsi:type="xsd:double"&gt;-4.472357&lt;/D&gt;&lt;D xsi:type="xsd:double"&gt;-2.224809&lt;/D&gt;&lt;D xsi:type="xsd:double"&gt;-2.407819&lt;/D&gt;&lt;D xsi:type="xsd:double"&gt;-0.31044483&lt;/D&gt;&lt;D xsi:type="xsd:double"&gt;-2.4912715&lt;/D&gt;&lt;D xsi:type="xsd:double"&gt;2.683735&lt;/D&gt;&lt;D xsi:type="xsd:double"&gt;1.1970282&lt;/D&gt;&lt;D xsi:type="xsd:double"&gt;-7.123679&lt;/D&gt;&lt;D xsi:type="xsd:double"&gt;-1.4765859&lt;/D&gt;&lt;D xsi:type="xsd:double"&gt;-1.9517183&lt;/D&gt;&lt;D xsi:type="xsd:double"&gt;2.7642012&lt;/D&gt;&lt;D xsi:type="xsd:double"&gt;-2.1709263&lt;/D&gt;&lt;D xsi:type="xsd:double"&gt;-1.8905282&lt;/D&gt;&lt;D xsi:type="xsd:double"&gt;0.36699772&lt;/D&gt;&lt;D xsi:type="xsd:double"&gt;-0.41145682&lt;/D&gt;&lt;D xsi:type="xsd:double"&gt;-3.0301034&lt;/D&gt;&lt;D xsi:type="xsd:double"&gt;-1.2360692&lt;/D&gt;&lt;D xsi:type="xsd:double"&gt;-2.8948367&lt;/D&gt;&lt;D xsi:type="xsd:double"&gt;12.058771&lt;/D&gt;&lt;D xsi:type="xsd:double"&gt;1.1634588&lt;/D&gt;&lt;D xsi:type="xsd:double"&gt;1.6042948&lt;/D&gt;&lt;D xsi:type="xsd:double"&gt;-1.0535538&lt;/D&gt;&lt;D xsi:type="xsd:double"&gt;-5.462265&lt;/D&gt;&lt;D xsi:type="xsd:double"&gt;-8.055955&lt;/D&gt;&lt;D xsi:type="xsd:double"&gt;-5.746108&lt;/D&gt;&lt;D xsi:type="xsd:double"&gt;-5.408776&lt;/D&gt;&lt;D xsi:type="xsd:double"&gt;5.5678487&lt;/D&gt;&lt;D xsi:type="xsd:double"&gt;-4.329628&lt;/D&gt;&lt;D xsi:type="xsd:double"&gt;-1.4510453&lt;/D&gt;&lt;D xsi:type="xsd:double"&gt;12.905157&lt;/D&gt;&lt;D xsi:type="xsd:double"&gt;0.026106834&lt;/D&gt;&lt;D xsi:type="xsd:double"&gt;1.647687&lt;/D&gt;&lt;D xsi:type="xsd:double"&gt;2.1522403&lt;/D&gt;&lt;D xsi:type="xsd:double"&gt;-3.010714&lt;/D&gt;&lt;D xsi:type="xsd:double"&gt;0.076937675&lt;/D&gt;&lt;D xsi:type="xsd:double"&gt;6.2176943&lt;/D&gt;&lt;D xsi:type="xsd:double"&gt;4.1624546&lt;/D&gt;&lt;/FQL&gt;&lt;FQL&gt;&lt;Q&gt;EWW^FG_TOTAL_RETURNC(-5AY,0,AM)&lt;/Q&gt;&lt;R&gt;61&lt;/R&gt;&lt;C&gt;1&lt;/C&gt;&lt;D xsi:type="xsd:double"&gt;-1.1876464&lt;/D&gt;&lt;D xsi:type="xsd:double"&gt;9.038472&lt;/D&gt;&lt;D xsi:type="xsd:double"&gt;2.5132298&lt;/D&gt;&lt;D xsi:type="xsd:double"&gt;4.2150497&lt;/D&gt;&lt;D xsi:type="xsd:double"&gt;-0.90100765&lt;/D&gt;&lt;D xsi:type="xsd:double"&gt;2.497375&lt;/D&gt;&lt;D xsi:type="xsd:double"&gt;3.0303001&lt;/D&gt;&lt;D xsi:type="xsd:double"&gt;-4.550874&lt;/D&gt;&lt;D xsi:type="xsd:double"&gt;3.4145355&lt;/D&gt;&lt;D xsi:type="xsd:double"&gt;-6.180793&lt;/D&gt;&lt;D xsi:type="xsd:double"&gt;9.795343&lt;/D&gt;&lt;D xsi:type="xsd:double"&gt;-4.3211102&lt;/D&gt;&lt;D xsi:type="xsd:double"&gt;1.6573429&lt;/D&gt;&lt;D xsi:type="xsd:double"&gt;9.252095&lt;/D&gt;&lt;D xsi:type="xsd:double"&gt;-9.662378&lt;/D&gt;&lt;D xsi:type="xsd:double"&gt;4.2535663&lt;/D&gt;&lt;D xsi:type="xsd:double"&gt;-8.179074&lt;/D&gt;&lt;D xsi:type="xsd:double"&gt;-0.7008314&lt;/D&gt;&lt;D xsi:type="xsd:double"&gt;-0.749892&lt;/D&gt;&lt;D xsi:type="xsd:double"&gt;1.6888857&lt;/D&gt;&lt;D xsi:type="xsd:double"&gt;15.4283285&lt;/D&gt;&lt;D xsi:type="xsd:double"&gt;-1.4388442&lt;/D&gt;&lt;D xsi:type="xsd:double"&gt;5.26284&lt;/D&gt;&lt;D xsi:type="xsd:double"&gt;5.1210403&lt;/D&gt;&lt;D xsi:type="xsd:double"&gt;5.934453&lt;/D&gt;&lt;D xsi:type="xsd:double"&gt;-1.9565165&lt;/D&gt;&lt;D xsi:type="xsd:double"&gt;4.4687033&lt;/D&gt;&lt;D xsi:type="xsd:double"&gt;1.8612266&lt;/D&gt;&lt;D xsi:type="xsd:double"&gt;-0.4223764&lt;/D&gt;&lt;D xsi:type="xsd:double"&gt;1.7674685&lt;/D&gt;&lt;D xsi:type="xsd:double"&gt;-4.891652&lt;/D&gt;&lt;D xsi:type="xsd:double"&gt;-8.343106&lt;/D&gt;&lt;D xsi:type="xsd:double"&gt;9.102535&lt;/D&gt;&lt;D xsi:type="xsd:double"&gt;6.8688273&lt;/D&gt;&lt;D xsi:type="xsd:double"&gt;6.462121&lt;/D&gt;&lt;D xsi:type="xsd:double"&gt;3.0502439&lt;/D&gt;&lt;D xsi:type="xsd:double"&gt;-4.6865883&lt;/D&gt;&lt;D xsi:type="xsd:double"&gt;7.0482492&lt;/D&gt;&lt;D xsi:type="xsd:double"&gt;-4.152441&lt;/D&gt;&lt;D xsi:type="xsd:double"&gt;-10.059351&lt;/D&gt;&lt;D xsi:type="xsd:double"&gt;-4.7160864&lt;/D&gt;&lt;D xsi:type="xsd:double"&gt;-7.943434&lt;/D&gt;&lt;D xsi:type="xsd:double"&gt;-2.4843574&lt;/D&gt;&lt;D xsi:type="xsd:double"&gt;7.8763247&lt;/D&gt;&lt;D xsi:type="xsd:double"&gt;-5.660719&lt;/D&gt;&lt;D xsi:type="xsd:double"&gt;-1.2039006&lt;/D&gt;&lt;D xsi:type="xsd:double"&gt;-4.1797876&lt;/D&gt;&lt;D xsi:type="xsd:double"&gt;5.6238294&lt;/D&gt;&lt;D xsi:type="xsd:double"&gt;1.4592767&lt;/D&gt;&lt;D xsi:type="xsd:double"&gt;-2.9737651&lt;/D&gt;&lt;D xsi:type="xsd:double"&gt;16.967154&lt;/D&gt;&lt;D xsi:type="xsd:double"&gt;4.8809767&lt;/D&gt;&lt;D xsi:type="xsd:double"&gt;2.575636&lt;/D&gt;&lt;D xsi:type="xsd:double"&gt;-1.5235066&lt;/D&gt;&lt;D xsi:type="xsd:double"&gt;5.052674&lt;/D&gt;&lt;D xsi:type="xsd:double"&gt;2.5223255&lt;/D&gt;&lt;D xsi:type="xsd:double"&gt;2.338016&lt;/D&gt;&lt;D xsi:type="xsd:double"&gt;2.5533795&lt;/D&gt;&lt;D xsi:type="xsd:double"&gt;3.962338&lt;/D&gt;&lt;D xsi:type="xsd:double"&gt;14.034843&lt;/D&gt;&lt;D xsi:type="xsd:double"&gt;-6.948793&lt;/D&gt;&lt;/FQL&gt;&lt;FQL&gt;&lt;Q&gt;EPOL^FG_PRICE(0,-200D)&lt;/Q&gt;&lt;R&gt;201&lt;/R&gt;&lt;C&gt;1&lt;/C&gt;&lt;D xsi:type="xsd:double"&gt;35.45&lt;/D&gt;&lt;D xsi:type="xsd:double"&gt;35.8&lt;/D&gt;&lt;D xsi:type="xsd:double"&gt;36.21&lt;/D&gt;&lt;D xsi:type="xsd:double"&gt;35.53&lt;/D&gt;&lt;D xsi:type="xsd:double"&gt;37.31&lt;/D&gt;&lt;D xsi:type="xsd:double"&gt;38.13&lt;/D&gt;&lt;D xsi:type="xsd:double"&gt;38.19&lt;/D&gt;&lt;D xsi:type="xsd:double"&gt;38.71&lt;/D&gt;&lt;D xsi:type="xsd:double"&gt;37.95&lt;/D&gt;&lt;D xsi:type="xsd:double"&gt;38.1&lt;/D&gt;&lt;D xsi:type="xsd:double"&gt;37.81&lt;/D&gt;&lt;D xsi:type="xsd:double"&gt;37.65&lt;/D&gt;&lt;D xsi:type="xsd:double"&gt;37.73&lt;/D&gt;&lt;D xsi:type="xsd:double"&gt;37.5&lt;/D&gt;&lt;D xsi:type="xsd:double"&gt;37.67&lt;/D&gt;&lt;D xsi:type="xsd:double"&gt;37.91&lt;/D&gt;&lt;D xsi:type="xsd:double"&gt;38.39&lt;/D&gt;&lt;D xsi:type="xsd:double"&gt;38.11&lt;/D&gt;&lt;D xsi:type="xsd:double"&gt;38.76&lt;/D&gt;&lt;D xsi:type="xsd:double"&gt;37.92&lt;/D&gt;&lt;D xsi:type="xsd:double"&gt;37.37&lt;/D&gt;&lt;D xsi:type="xsd:double"&gt;38.28&lt;/D&gt;&lt;D xsi:type="xsd:double"&gt;38.35&lt;/D&gt;&lt;D xsi:type="xsd:double"&gt;37.66&lt;/D&gt;&lt;D xsi:type="xsd:double"&gt;37.59&lt;/D&gt;&lt;D xsi:type="xsd:double"&gt;38.38&lt;/D&gt;&lt;D xsi:type="xsd:double"&gt;38.25&lt;/D&gt;&lt;D xsi:type="xsd:double"&gt;38.44&lt;/D&gt;&lt;D xsi:type="xsd:double"&gt;37.74&lt;/D&gt;&lt;D xsi:type="xsd:double"&gt;36.89&lt;/D&gt;&lt;D xsi:type="xsd:double"&gt;37.26&lt;/D&gt;&lt;D xsi:type="xsd:double"&gt;36.15&lt;/D&gt;&lt;D xsi:type="xsd:double"&gt;35.84&lt;/D&gt;&lt;D xsi:type="xsd:double"&gt;35.92&lt;/D&gt;&lt;D xsi:type="xsd:double"&gt;36.15&lt;/D&gt;&lt;D xsi:type="xsd:double"&gt;36.03&lt;/D&gt;&lt;D xsi:type="xsd:double"&gt;36.09&lt;/D&gt;&lt;D xsi:type="xsd:double"&gt;36.38&lt;/D&gt;&lt;D xsi:type="xsd:double"&gt;36.2&lt;/D&gt;&lt;D xsi:type="xsd:double"&gt;35.82&lt;/D&gt;&lt;D xsi:type="xsd:double"&gt;36.6&lt;/D&gt;&lt;D xsi:type="xsd:double"&gt;36.26&lt;/D&gt;&lt;D xsi:type="xsd:double"&gt;36.17&lt;/D&gt;&lt;D xsi:type="xsd:double"&gt;36.25&lt;/D&gt;&lt;D xsi:type="xsd:double"&gt;35.19&lt;/D&gt;&lt;D xsi:type="xsd:double"&gt;35.16&lt;/D&gt;&lt;D xsi:type="xsd:double"&gt;34.96&lt;/D&gt;&lt;D xsi:type="xsd:double"&gt;35.2&lt;/D&gt;&lt;D xsi:type="xsd:double"&gt;35.15&lt;/D&gt;&lt;D xsi:type="xsd:double"&gt;34.99&lt;/D&gt;&lt;D xsi:type="xsd:double"&gt;35.2&lt;/D&gt;&lt;D xsi:type="xsd:double"&gt;34.78&lt;/D&gt;&lt;D xsi:type="xsd:double"&gt;34.41&lt;/D&gt;&lt;D xsi:type="xsd:double"&gt;34.27&lt;/D&gt;&lt;D xsi:type="xsd:double"&gt;34.41&lt;/D&gt;&lt;D xsi:type="xsd:double"&gt;35.9&lt;/D&gt;&lt;D xsi:type="xsd:double"&gt;35.2&lt;/D&gt;&lt;D xsi:type="xsd:double"&gt;35.27&lt;/D&gt;&lt;D xsi:type="xsd:double"&gt;34.88&lt;/D&gt;&lt;D xsi:type="xsd:double"&gt;34.25&lt;/D&gt;&lt;D xsi:type="xsd:double"&gt;33.51&lt;/D&gt;&lt;D xsi:type="xsd:double"&gt;33.44&lt;/D&gt;&lt;D xsi:type="xsd:double"&gt;33.53&lt;/D&gt;&lt;D xsi:type="xsd:double"&gt;33.61&lt;/D&gt;&lt;D xsi:type="xsd:double"&gt;33.65&lt;/D&gt;&lt;D xsi:type="xsd:double"&gt;33.9&lt;/D&gt;&lt;D xsi:type="xsd:double"&gt;34.07&lt;/D&gt;&lt;D xsi:type="xsd:double"&gt;34.07&lt;/D&gt;&lt;D xsi:type="xsd:double"&gt;33.73&lt;/D&gt;&lt;D xsi:type="xsd:double"&gt;32.94&lt;/D&gt;&lt;D xsi:type="xsd:double"&gt;33.04&lt;/D&gt;&lt;D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xsi:type="xsd:double"&gt;29.75&lt;/D&gt;&lt;D xsi:type="xsd:double"&gt;30.22&lt;/D&gt;&lt;D xsi:type="xsd:double"&gt;29.92&lt;/D&gt;&lt;D xsi:type="xsd:double"&gt;30.49&lt;/D&gt;&lt;D xsi:type="xsd:double"&gt;30.37&lt;/D&gt;&lt;D xsi:type="xsd:double"&gt;30.72&lt;/D&gt;&lt;D xsi:type="xsd:double"&gt;31.25&lt;/D&gt;&lt;D xsi:type="xsd:double"&gt;30.82&lt;/D&gt;&lt;D xsi:type="xsd:double"&gt;29.85&lt;/D&gt;&lt;D xsi:type="xsd:double"&gt;29.99&lt;/D&gt;&lt;D xsi:type="xsd:double"&gt;30.09&lt;/D&gt;&lt;D xsi:type="xsd:double"&gt;30.77&lt;/D&gt;&lt;D xsi:type="xsd:double"&gt;30.53&lt;/D&gt;&lt;/FQL&gt;&lt;FQL&gt;&lt;Q&gt;EWC^FG_TOTAL_RETURNC(-5AY,0,AM)&lt;/Q&gt;&lt;R&gt;61&lt;/R&gt;&lt;C&gt;1&lt;/C&gt;&lt;D xsi:type="xsd:double"&gt;3.3083558&lt;/D&gt;&lt;D xsi:type="xsd:double"&gt;4.8338413&lt;/D&gt;&lt;D xsi:type="xsd:double"&gt;4.8703074&lt;/D&gt;&lt;D xsi:type="xsd:double"&gt;5.001378&lt;/D&gt;&lt;D xsi:type="xsd:double"&gt;-1.6753793&lt;/D&gt;&lt;D xsi:type="xsd:double"&gt;0.40172338&lt;/D&gt;&lt;D xsi:type="xsd:double"&gt;1.6270876&lt;/D&gt;&lt;D xsi:type="xsd:double"&gt;-3.2283425&lt;/D&gt;&lt;D xsi:type="xsd:double"&gt;7.5671315&lt;/D&gt;&lt;D xsi:type="xsd:double"&gt;-4.538578&lt;/D&gt;&lt;D xsi:type="xsd:double"&gt;1.6957164&lt;/D&gt;&lt;D xsi:type="xsd:double"&gt;0.9997368&lt;/D&gt;&lt;D xsi:type="xsd:double"&gt;0.3907323&lt;/D&gt;&lt;D xsi:type="xsd:double"&gt;3.5287976&lt;/D&gt;&lt;D xsi:type="xsd:double"&gt;-7.719302&lt;/D&gt;&lt;D xsi:type="xsd:double"&gt;3.63</t>
        </r>
      </text>
    </comment>
    <comment ref="A4" authorId="0" shapeId="0" xr:uid="{7F720CF7-5057-40EC-AEAC-F897F0BE04CB}">
      <text>
        <r>
          <rPr>
            <b/>
            <sz val="9"/>
            <color indexed="81"/>
            <rFont val="Tahoma"/>
            <charset val="1"/>
          </rPr>
          <t>93285&lt;/D&gt;&lt;D xsi:type="xsd:double"&gt;-12.824577&lt;/D&gt;&lt;D xsi:type="xsd:double"&gt;5.2695274&lt;/D&gt;&lt;D xsi:type="xsd:double"&gt;-4.2577686&lt;/D&gt;&lt;D xsi:type="xsd:double"&gt;-4.507208&lt;/D&gt;&lt;D xsi:type="xsd:double"&gt;4.940212&lt;/D&gt;&lt;D xsi:type="xsd:double"&gt;1.6191959&lt;/D&gt;&lt;D xsi:type="xsd:double"&gt;1.0080934&lt;/D&gt;&lt;D xsi:type="xsd:double"&gt;4.119742&lt;/D&gt;&lt;D xsi:type="xsd:double"&gt;-1.3378918&lt;/D&gt;&lt;D xsi:type="xsd:double"&gt;-0.46162605&lt;/D&gt;&lt;D xsi:type="xsd:double"&gt;2.7536273&lt;/D&gt;&lt;D xsi:type="xsd:double"&gt;-2.59521&lt;/D&gt;&lt;D xsi:type="xsd:double"&gt;-0.3032148&lt;/D&gt;&lt;D xsi:type="xsd:double"&gt;2.1713495&lt;/D&gt;&lt;D xsi:type="xsd:double"&gt;-1.5508354&lt;/D&gt;&lt;D xsi:type="xsd:double"&gt;-4.4048967&lt;/D&gt;&lt;D xsi:type="xsd:double"&gt;2.6243567&lt;/D&gt;&lt;D xsi:type="xsd:double"&gt;3.8953185&lt;/D&gt;&lt;D xsi:type="xsd:double"&gt;5.5110097&lt;/D&gt;&lt;D xsi:type="xsd:double"&gt;-0.7148683&lt;/D&gt;&lt;D xsi:type="xsd:double"&gt;3.2124043&lt;/D&gt;&lt;D xsi:type="xsd:double"&gt;2.736783&lt;/D&gt;&lt;D xsi:type="xsd:double"&gt;-0.44398308&lt;/D&gt;&lt;D xsi:type="xsd:double"&gt;-0.341022&lt;/D&gt;&lt;D xsi:type="xsd:double"&gt;-0.036340952&lt;/D&gt;&lt;D xsi:type="xsd:double"&gt;-1.5417278&lt;/D&gt;&lt;D xsi:type="xsd:double"&gt;6.128514&lt;/D&gt;&lt;D xsi:type="xsd:double"&gt;6.0035586&lt;/D&gt;&lt;D xsi:type="xsd:double"&gt;-0.21597147&lt;/D&gt;&lt;D xsi:type="xsd:double"&gt;3.126502&lt;/D&gt;&lt;D xsi:type="xsd:double"&gt;-3.5264552&lt;/D&gt;&lt;D xsi:type="xsd:double"&gt;2.4007797&lt;/D&gt;&lt;D xsi:type="xsd:double"&gt;-3.4210563&lt;/D&gt;&lt;D xsi:type="xsd:double"&gt;-4.85509&lt;/D&gt;&lt;D xsi:type="xsd:double"&gt;11.351215&lt;/D&gt;&lt;D xsi:type="xsd:double"&gt;6.125784&lt;/D&gt;&lt;D xsi:type="xsd:double"&gt;3.5074115&lt;/D&gt;&lt;D xsi:type="xsd:double"&gt;2.2712708&lt;/D&gt;&lt;D xsi:type="xsd:double"&gt;3.0169725&lt;/D&gt;&lt;D xsi:type="xsd:double"&gt;4.3319106&lt;/D&gt;&lt;D xsi:type="xsd:double"&gt;-3.021443&lt;/D&gt;&lt;D xsi:type="xsd:double"&gt;7.1155787&lt;/D&gt;&lt;D xsi:type="xsd:double"&gt;3.4713507&lt;/D&gt;&lt;D xsi:type="xsd:double"&gt;0.6587267&lt;/D&gt;&lt;D xsi:type="xsd:double"&gt;2.7631402&lt;/D&gt;&lt;/FQL&gt;&lt;FQL&gt;&lt;Q&gt;QAT^FG_TOTAL_RETURNC(-5AY,0,AM)&lt;/Q&gt;&lt;R&gt;61&lt;/R&gt;&lt;C&gt;1&lt;/C&gt;&lt;D xsi:type="xsd:double"&gt;-2.4193585&lt;/D&gt;&lt;D xsi:type="xsd:double"&gt;3.829205&lt;/D&gt;&lt;D xsi:type="xsd:double"&gt;3.8317919&lt;/D&gt;&lt;D xsi:type="xsd:double"&gt;-0.7517755&lt;/D&gt;&lt;D xsi:type="xsd:double"&gt;-0.08806586&lt;/D&gt;&lt;D xsi:type="xsd:double"&gt;0.5795598&lt;/D&gt;&lt;D xsi:type="xsd:double"&gt;3.09062&lt;/D&gt;&lt;D xsi:type="xsd:double"&gt;5.030489&lt;/D&gt;&lt;D xsi:type="xsd:double"&gt;2.0319343&lt;/D&gt;&lt;D xsi:type="xsd:double"&gt;-2.4182081&lt;/D&gt;&lt;D xsi:type="xsd:double"&gt;1.288271&lt;/D&gt;&lt;D xsi:type="xsd:double"&gt;8.08276&lt;/D&gt;&lt;D xsi:type="xsd:double"&gt;6.788337&lt;/D&gt;&lt;D xsi:type="xsd:double"&gt;1.7507315&lt;/D&gt;&lt;D xsi:type="xsd:double"&gt;-3.195417&lt;/D&gt;&lt;D xsi:type="xsd:double"&gt;-4.9090147&lt;/D&gt;&lt;D xsi:type="xsd:double"&gt;-5.2913785&lt;/D&gt;&lt;D xsi:type="xsd:double"&gt;9.965981&lt;/D&gt;&lt;D xsi:type="xsd:double"&gt;-4.376668&lt;/D&gt;&lt;D xsi:type="xsd:double"&gt;1.8428206&lt;/D&gt;&lt;D xsi:type="xsd:double"&gt;-2.0818412&lt;/D&gt;&lt;D xsi:type="xsd:double"&gt;-8.159483&lt;/D&gt;&lt;D xsi:type="xsd:double"&gt;-1.090455&lt;/D&gt;&lt;D xsi:type="xsd:double"&gt;-5.1438093&lt;/D&gt;&lt;D xsi:type="xsd:double"&gt;0.44128895&lt;/D&gt;&lt;D xsi:type="xsd:double"&gt;-1.2398899&lt;/D&gt;&lt;D xsi:type="xsd:double"&gt;5.7860255&lt;/D&gt;&lt;D xsi:type="xsd:double"&gt;-3.1475663&lt;/D&gt;&lt;D xsi:type="xsd:double"&gt;-0.9456992&lt;/D&gt;&lt;D xsi:type="xsd:double"&gt;4.751265&lt;/D&gt;&lt;D xsi:type="xsd:double"&gt;-6.1366024&lt;/D&gt;&lt;D xsi:type="xsd:double"&gt;-2.1034718&lt;/D&gt;&lt;D xsi:type="xsd:double"&gt;1.4518023&lt;/D&gt;&lt;D xsi:type="xsd:double"&gt;-2.8048098&lt;/D&gt;&lt;D xsi:type="xsd:double"&gt;5.477035&lt;/D&gt;&lt;D xsi:type="xsd:double"&gt;-5.1926317&lt;/D&gt;&lt;D xsi:type="xsd:double"&gt;4.8881054&lt;/D&gt;&lt;D xsi:type="xsd:double"&gt;-2.6389658&lt;/D&gt;&lt;D xsi:type="xsd:double"&gt;-0.40369034&lt;/D&gt;&lt;D xsi:type="xsd:double"&gt;-1.3885438&lt;/D&gt;&lt;D xsi:type="xsd:double"&gt;5.49736&lt;/D&gt;&lt;D xsi:type="xsd:double"&gt;0.05828142&lt;/D&gt;&lt;D xsi:type="xsd:double"&gt;3.203261&lt;/D&gt;&lt;D xsi:type="xsd:double"&gt;2.990973&lt;/D&gt;&lt;D xsi:type="xsd:double"&gt;2.191782&lt;/D&gt;&lt;D xsi:type="xsd:double"&gt;-3.3780098&lt;/D&gt;&lt;D xsi:type="xsd:double"&gt;-0.04030466&lt;/D&gt;&lt;D xsi:type="xsd:double"&gt;1.4664412&lt;/D&gt;&lt;D xsi:type="xsd:double"&gt;0.83379745&lt;/D&gt;&lt;D xsi:type="xsd:double"&gt;-7.221609&lt;/D&gt;&lt;D xsi:type="xsd:double"&gt;10.219836&lt;/D&gt;&lt;D xsi:type="xsd:double"&gt;1.50944&lt;/D&gt;&lt;D xsi:type="xsd:double"&gt;1.3167739&lt;/D&gt;&lt;D xsi:type="xsd:double"&gt;6.5485835&lt;/D&gt;&lt;D xsi:type="xsd:double"&gt;-0.80604553&lt;/D&gt;&lt;D xsi:type="xsd:double"&gt;-2.4123967&lt;/D&gt;&lt;D xsi:type="xsd:double"&gt;1.2750387&lt;/D&gt;&lt;D xsi:type="xsd:double"&gt;-2.7214706&lt;/D&gt;&lt;D xsi:type="xsd:double"&gt;3.4829378&lt;/D&gt;&lt;D xsi:type="xsd:double"&gt;3.0219436&lt;/D&gt;&lt;D xsi:type="xsd:double"&gt;-5.9428334&lt;/D&gt;&lt;/FQL&gt;&lt;FQL&gt;&lt;Q&gt;ECH^JULIAN(FG_TOTAL_RETURNC(-5AY,0,AM).DATES)&lt;/Q&gt;&lt;R&gt;61&lt;/R&gt;&lt;C&gt;1&lt;/C&gt;&lt;D xsi:type="xsd:long"&gt;44260&lt;/D&gt;&lt;D xsi:type="xsd:long"&gt;44292&lt;/D&gt;&lt;D xsi:type="xsd:long"&gt;44322&lt;/D&gt;&lt;D xsi:type="xsd:long"&gt;44351&lt;/D&gt;&lt;D xsi:type="xsd:long"&gt;44383&lt;/D&gt;&lt;D xsi:type="xsd:long"&gt;44414&lt;/D&gt;&lt;D xsi:type="xsd:long"&gt;44442&lt;/D&gt;&lt;D xsi:type="xsd:long"&gt;44475&lt;/D&gt;&lt;D xsi:type="xsd:long"&gt;44505&lt;/D&gt;&lt;D xsi:type="xsd:long"&gt;44536&lt;/D&gt;&lt;D xsi:type="xsd:long"&gt;44567&lt;/D&gt;&lt;D xsi:type="xsd:long"&gt;44596&lt;/D&gt;&lt;D xsi:type="xsd:long"&gt;44624&lt;/D&gt;&lt;D xsi:type="xsd:long"&gt;44657&lt;/D&gt;&lt;D xsi:type="xsd:long"&gt;44687&lt;/D&gt;&lt;D xsi:type="xsd:long"&gt;44718&lt;/D&gt;&lt;D xsi:type="xsd:long"&gt;44748&lt;/D&gt;&lt;D xsi:type="xsd:long"&gt;44778&lt;/D&gt;&lt;D xsi:type="xsd:long"&gt;44810&lt;/D&gt;&lt;D xsi:type="xsd:long"&gt;44840&lt;/D&gt;&lt;D xsi:type="xsd:long"&gt;44869&lt;/D&gt;&lt;D xsi:type="xsd:long"&gt;44901&lt;/D&gt;&lt;D xsi:type="xsd:long"&gt;44932&lt;/D&gt;&lt;D xsi:type="xsd:long"&gt;44963&lt;/D&gt;&lt;D xsi:type="xsd:long"&gt;44991&lt;/D&gt;&lt;D xsi:type="xsd:long"&gt;45022&lt;/D&gt;&lt;D xsi:type="xsd:long"&gt;45051&lt;/D&gt;&lt;D xsi:type="xsd:long"&gt;45083&lt;/D&gt;&lt;D xsi:type="xsd:long"&gt;45113&lt;/D&gt;&lt;D xsi:type="xsd:long"&gt;45142&lt;/D&gt;&lt;D xsi:type="xsd:long"&gt;45175&lt;/D&gt;&lt;D xsi:type="xsd:long"&gt;45205&lt;/D&gt;&lt;D xsi:type="xsd:long"&gt;45236&lt;/D&gt;&lt;D xsi:type="xsd:long"&gt;45266&lt;/D&gt;&lt;D xsi:type="xsd:long"&gt;45296&lt;/D&gt;&lt;D xsi:type="xsd:long"&gt;45328&lt;/D&gt;&lt;D xsi:type="xsd:long"&gt;45357&lt;/D&gt;&lt;D xsi:type="xsd:long"&gt;45387&lt;/D&gt;&lt;D xsi:type="xsd:long"&gt;45418&lt;/D&gt;&lt;D xsi:type="xsd:long"&gt;45449&lt;/D&gt;&lt;D xsi:type="xsd:long"&gt;45478&lt;/D&gt;&lt;D xsi:type="xsd:long"&gt;45510&lt;/D&gt;&lt;D xsi:type="xsd:long"&gt;45541&lt;/D&gt;&lt;D xsi:type="xsd:long"&gt;45569&lt;/D&gt;&lt;D xsi:type="xsd:long"&gt;45602&lt;/D&gt;&lt;D xsi:type="xsd:long"&gt;45632&lt;/D&gt;&lt;D xsi:type="xsd:long"&gt;45663&lt;/D&gt;&lt;D xsi:type="xsd:long"&gt;45694&lt;/D&gt;&lt;D xsi:type="xsd:long"&gt;45722&lt;/D&gt;&lt;D xsi:type="xsd:long"&gt;45751&lt;/D&gt;&lt;D xsi:type="xsd:long"&gt;45783&lt;/D&gt;&lt;D xsi:type="xsd:long"&gt;45814&lt;/D&gt;&lt;D xsi:type="xsd:long"&gt;45841&lt;/D&gt;&lt;D xsi:type="xsd:long"&gt;45875&lt;/D&gt;&lt;D xsi:type="xsd:long"&gt;45905&lt;/D&gt;&lt;D xsi:type="xsd:long"&gt;45936&lt;/D&gt;&lt;D xsi:type="xsd:long"&gt;45967&lt;/D&gt;&lt;D xsi:type="xsd:long"&gt;45996&lt;/D&gt;&lt;D xsi:type="xsd:long"&gt;46028&lt;/D&gt;&lt;D xsi:type="xsd:long"&gt;46059&lt;/D&gt;&lt;D xsi:type="xsd:long"&gt;46087&lt;/D&gt;&lt;/FQL&gt;&lt;FQL&gt;&lt;Q&gt;EWU^FG_PRICE(0,-200D)&lt;/Q&gt;&lt;R&gt;201&lt;/R&gt;&lt;C&gt;1&lt;/C&gt;&lt;D xsi:type="xsd:double"&gt;46.0396&lt;/D&gt;&lt;D xsi:type="xsd:double"&gt;46.24&lt;/D&gt;&lt;D xsi:type="xsd:double"&gt;47.24&lt;/D&gt;&lt;D xsi:type="xsd:double"&gt;46.76&lt;/D&gt;&lt;D xsi:type="xsd:double"&gt;48.12&lt;/D&gt;&lt;D xsi:type="xsd:double"&gt;48.68&lt;/D&gt;&lt;D xsi:type="xsd:double"&gt;48.61&lt;/D&gt;&lt;D xsi:type="xsd:double"&gt;48.66&lt;/D&gt;&lt;D xsi:type="xsd:double"&gt;47.98&lt;/D&gt;&lt;D xsi:type="xsd:double"&gt;47.89&lt;/D&gt;&lt;D xsi:type="xsd:double"&gt;48.04&lt;/D&gt;&lt;D xsi:type="xsd:double"&gt;47.68&lt;/D&gt;&lt;D xsi:type="xsd:double"&gt;47.88&lt;/D&gt;&lt;D xsi:type="xsd:double"&gt;47.42&lt;/D&gt;&lt;D xsi:type="xsd:double"&gt;47.25&lt;/D&gt;&lt;D xsi:type="xsd:double"&gt;47.01&lt;/D&gt;&lt;D xsi:type="xsd:double"&gt;47.43&lt;/D&gt;&lt;D xsi:type="xsd:double"&gt;46.74&lt;/D&gt;&lt;D xsi:type="xsd:double"&gt;47.02&lt;/D&gt;&lt;D xsi:type="xsd:double"&gt;46.9&lt;/D&gt;&lt;D xsi:type="xsd:double"&gt;45.94&lt;/D&gt;&lt;D xsi:type="xsd:double"&gt;47.05&lt;/D&gt;&lt;D xsi:type="xsd:double"&gt;46.47&lt;/D&gt;&lt;D xsi:type="xsd:double"&gt;46.54&lt;/D&gt;&lt;D xsi:type="xsd:double"&gt;46.16&lt;/D&gt;&lt;D xsi:type="xsd:double"&gt;46.44&lt;/D&gt;&lt;D xsi:type="xsd:double"&gt;46.24&lt;/D&gt;&lt;D xsi:type="xsd:double"&gt;46.5&lt;/D&gt;&lt;D xsi:type="xsd:double"&gt;45.83&lt;/D&gt;&lt;D xsi:type="xsd:double"&gt;45.57&lt;/D&gt;&lt;D xsi:type="xsd:double"&gt;45.07&lt;/D&gt;&lt;D xsi:type="xsd:double"&gt;45.16&lt;/D&gt;&lt;D xsi:type="xsd:double"&gt;44.7&lt;/D&gt;&lt;D xsi:type="xsd:double"&gt;45.18&lt;/D&gt;&lt;D xsi:type="xsd:double"&gt;45.09&lt;/D&gt;&lt;D xsi:type="xsd:double"&gt;45.28&lt;/D&gt;&lt;D xsi:type="xsd:double"&gt;44.98&lt;/D&gt;&lt;D xsi:type="xsd:double"&gt;45.09&lt;/D&gt;&lt;D xsi:type="xsd:double"&gt;44.79&lt;/D&gt;&lt;D xsi:type="xsd:double"&gt;44.6&lt;/D&gt;&lt;D xsi:type="xsd:double"&gt;44.49&lt;/D&gt;&lt;D xsi:type="xsd:double"&gt;45.05&lt;/D&gt;&lt;D xsi:type="xsd:double"&gt;44.81&lt;/D&gt;&lt;D xsi:type="xsd:double"&gt;44.46&lt;/D&gt;&lt;D xsi:type="xsd:double"&gt;43.98&lt;/D&gt;&lt;D xsi:type="xsd:double"&gt;44.22&lt;/D&gt;&lt;D xsi:type="xsd:double"&gt;44.02&lt;/D&gt;&lt;D xsi:type="xsd:double"&gt;44.24&lt;/D&gt;&lt;D xsi:type="xsd:double"&gt;44.08&lt;/D&gt;&lt;D xsi:type="xsd:double"&gt;43.98&lt;/D&gt;&lt;D xsi:type="xsd:double"&gt;43.79&lt;/D&gt;&lt;D xsi:type="xsd:double"&gt;43.54&lt;/D&gt;&lt;D xsi:type="xsd:double"&gt;43.13&lt;/D&gt;&lt;D xsi:type="xsd:double"&gt;42.94&lt;/D&gt;&lt;D xsi:type="xsd:double"&gt;42.73&lt;/D&gt;&lt;D xsi:type="xsd:double"&gt;43.75&lt;/D&gt;&lt;D xsi:type="xsd:double"&gt;43.28&lt;/D&gt;&lt;D xsi:type="xsd:double"&gt;43.65&lt;/D&gt;&lt;D xsi:type="xsd:double"&gt;43.46&lt;/D&gt;&lt;D xsi:type="xsd:double"&gt;42.88&lt;/D&gt;&lt;D xsi:type="xsd:double"&gt;43.08&lt;/D&gt;&lt;D xsi:type="xsd:double"&gt;43.22&lt;/D&gt;&lt;D xsi:type="xsd:double"&gt;43.42&lt;/D&gt;&lt;D xsi:type="xsd:double"&gt;43.46&lt;/D&gt;&lt;D xsi:type="xsd:double"&gt;43.01&lt;/D&gt;&lt;D xsi:type="xsd:double"&gt;42.93&lt;/D&gt;&lt;D xsi:type="xsd:double"&gt;43.15&lt;/D&gt;&lt;D xsi:type="xsd:double"&gt;42.99&lt;/D&gt;&lt;D xsi:type="xsd:double"&gt;42.52&lt;/D&gt;&lt;D xsi:type="xsd:double"&gt;41.92&lt;/D&gt;&lt;D xsi:type="xsd:double"&gt;42.06&lt;/D&gt;&lt;D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xsi:type="xsd:double"&gt;41.39&lt;/D&gt;&lt;D xsi:type="xsd:double"&gt;41.18&lt;/D&gt;&lt;D xsi:type="xsd:double"&gt;40.9&lt;/D&gt;&lt;D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xsi:type="xsd:double"&gt;40.22&lt;/D&gt;&lt;D xsi:type="xsd:double"&gt;40.19&lt;/D&gt;&lt;D xsi:type="xsd:double"&gt;40.06&lt;/D&gt;&lt;D xsi:type="xsd:double"&gt;40.29&lt;/D&gt;&lt;D xsi:type="xsd:double"&gt;39.92&lt;/D&gt;&lt;D xsi:type="xsd:double"&gt;39.79&lt;/D&gt;&lt;D xsi:type="xsd:double"&gt;39.67&lt;/D&gt;&lt;D xsi:type="xsd:double"&gt;40.07&lt;/D&gt;&lt;D xsi:type="xsd:double"&gt;39.88&lt;/D&gt;&lt;D xsi:type="xsd:double"&gt;39.53&lt;/D&gt;&lt;D xsi:type="xsd:double"&gt;39.43&lt;/D&gt;&lt;D xsi:type="xsd:double"&gt;39.61&lt;/D&gt;&lt;D xsi:type="xsd:double"&gt;39.33&lt;/D&gt;&lt;/FQL&gt;&lt;FQL&gt;&lt;Q&gt;EPHE^FG_PRICE(0,-200D)&lt;/Q&gt;&lt;R&gt;201&lt;/R&gt;&lt;C&gt;1&lt;/C&gt;&lt;D xsi:type="xsd:double"&gt;25.49&lt;/D&gt;&lt;D xsi:type="xsd:double"&gt;26.13&lt;/D&gt;&lt;D xsi:type="xsd:double"&gt;26.39&lt;/D&gt;&lt;D xsi:type="xsd:double"&gt;26.64&lt;/D&gt;&lt;D xsi:type="xsd:double"&gt;26.91&lt;/D&gt;&lt;D xsi:type="xsd:double"&gt;27.91&lt;/D&gt;&lt;D xsi:type="xsd:double"&gt;28.15&lt;/D&gt;&lt;D xsi:type="xsd:double"&gt;28.37&lt;/D&gt;&lt;D xsi:type="xsd:double"&gt;27.73&lt;/D&gt;&lt;D xsi:type="xsd:double"&gt;27.53&lt;/D&gt;&lt;D xsi:type="xsd:double"&gt;27.16&lt;/D&gt;&lt;D xsi:type="xsd:double"&gt;26.83&lt;/D&gt;&lt;D xsi:type="xsd:double"&gt;26.78&lt;/D&gt;&lt;D xsi:type="xsd:double"&gt;26.68&lt;/D&gt;&lt;D xsi:type="xsd:double"&gt;26.97&lt;/D&gt;&lt;D xsi:type="xsd:double"&gt;26.94&lt;/D&gt;&lt;D xsi:type="xsd:double"&gt;27.25&lt;/D&gt;&lt;D xsi:type="xsd:double"&gt;26.93&lt;/D&gt;&lt;D xsi:type="xsd:double"&gt;26.42&lt;/D&gt;&lt;D xsi:type="xsd:double"&gt;26.73&lt;/D&gt;&lt;D xsi:type="xsd:double"&gt;26.45&lt;/D&gt;&lt;D xsi:type="xsd:double"&gt;26.33&lt;/D&gt;&lt;D xsi:type="xsd:double"&gt;26.45&lt;/D&gt;&lt;D xsi:type="xsd:double"&gt;26.24&lt;/D&gt;&lt;D xsi:type="xsd:double"&gt;25.97&lt;/D&gt;&lt;D xsi:type="xsd:double"&gt;25.65&lt;/D&gt;&lt;D xsi:type="xsd:double"&gt;26.33&lt;/D&gt;&lt;D xsi:type="xsd:double"&gt;26.23&lt;/D&gt;&lt;D xsi:type="xsd:double"&gt;26.03&lt;/D&gt;&lt;D xsi:type="xsd:double"&gt;26.21&lt;/D&gt;&lt;D xsi:type="xsd:double"&gt;26.35&lt;/D&gt;&lt;D xsi:type="xsd:double"&gt;26.27&lt;/D&gt;&lt;D xsi:type="xsd:double"&gt;26&lt;/D&gt;&lt;D xsi:type="xsd:double"&gt;26.42&lt;/D&gt;&lt;D xsi:type="xsd:double"&gt;26.38&lt;/D&gt;&lt;D xsi:type="xsd:double"&gt;26.04&lt;/D&gt;&lt;D xsi:type="xsd:double"&gt;26.24&lt;/D&gt;&lt;D xsi:type="xsd:double"&gt;26.41&lt;/D&gt;&lt;D xsi:type="xsd:double"&gt;26.13&lt;/D&gt;&lt;D xsi:type="xsd:double"&gt;26.08&lt;/D&gt;&lt;D xsi:type="xsd:double"&gt;25.92&lt;/D&gt;&lt;D xsi:type="xsd:double"&gt;25.98&lt;/D&gt;&lt;D xsi:type="xsd:double"&gt;25.46&lt;/D&gt;&lt;D xsi:type="xsd:double"&gt;25.3&lt;/D&gt;&lt;D xsi:type="xsd:double"&gt;24.92&lt;/D&gt;&lt;D xsi:type="xsd:double"&gt;25.06&lt;/D&gt;&lt;D xsi:type="xsd:double"&gt;25.09&lt;/D&gt;&lt;D xsi:type="xsd:double"&gt;25.08&lt;/D&gt;&lt;D xsi:type="xsd:double"&gt;24.94&lt;/D&gt;&lt;D xsi:type="xsd:double"&gt;24.93&lt;/D&gt;&lt;D xsi:type="xsd:double"&gt;24.96&lt;/D&gt;&lt;D xsi:type="xsd:double"&gt;24.66&lt;/D&gt;&lt;D xsi:type="xsd:double"&gt;25.01&lt;/D&gt;&lt;D xsi:type="xsd:double"&gt;25.1&lt;/D&gt;&lt;D xsi:type="xsd:double"&gt;25.19&lt;/D&gt;&lt;D xsi:type="xsd:double"&gt;24.95&lt;/D&gt;&lt;D xsi:type="xsd:double"&gt;24.9&lt;/D&gt;&lt;D xsi:type="xsd:double"&gt;25.02&lt;/D&gt;&lt;D xsi:type="xsd:double"&gt;24.73&lt;/D&gt;&lt;D xsi:type="xsd:double"&gt;24.67&lt;/D&gt;&lt;D xsi:type="xsd:double"&gt;24.58&lt;/D&gt;&lt;D xsi:type="xsd:double"&gt;24.73&lt;/D&gt;&lt;D xsi:type="xsd:double"&gt;24.2&lt;/D&gt;&lt;D xsi:type="xsd:double"&gt;24.68&lt;/D&gt;&lt;D xsi:type="xsd:double"&gt;25.06&lt;/D&gt;&lt;D xsi:type="xsd:double"&gt;25.24&lt;/D&gt;&lt;D xsi:type="xsd:double"&gt;25.21&lt;/D&gt;&lt;D xsi:type="xsd:double"&gt;25.02&lt;/D&gt;&lt;D xsi:type="xsd:double"&gt;25&lt;/D&gt;&lt;D xsi:type="xsd:double"&gt;24.97&lt;/D&gt;&lt;D xsi:type="xsd:double"&gt;25.06&lt;/D&gt;&lt;D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xsi:type="xsd:double"&gt;27.82&lt;/D&gt;&lt;D xsi:type="xsd:double"&gt;28.12&lt;/D&gt;&lt;D xsi:type="xsd:double"&gt;27.95&lt;/D&gt;&lt;D xsi:type="xsd:double"&gt;27.96&lt;/D&gt;&lt;D xsi:type="xsd:double"&gt;27.66&lt;/D&gt;&lt;D xsi:type="xsd:double"&gt;27.78&lt;/D&gt;&lt;D xsi:type="xsd:double"&gt;27.6&lt;/D&gt;&lt;D xsi:type="xsd:double"&gt;27.24&lt;/D&gt;&lt;D xsi:type="xsd:double"&gt;27.84&lt;/D&gt;&lt;D xsi:type="xsd:double"&gt;27.93&lt;/D&gt;&lt;D xsi:type="xsd:double"&gt;27.78&lt;/D&gt;&lt;D xsi:type="xsd:double"&gt;27.81&lt;/D&gt;&lt;D xsi:type="xsd:double"&gt;27.27&lt;/D&gt;&lt;D xsi:type="xsd:double"&gt;27.46&lt;/D&gt;&lt;D xsi:type="xsd:double"&gt;27.36&lt;/D&gt;&lt;D xsi:type="xsd:double"&gt;27.9&lt;/D&gt;&lt;/FQL&gt;&lt;FQL&gt;&lt;Q&gt;EWQ^FG_TOTAL_RETURNC(-5AY,0,AM)&lt;/Q&gt;&lt;R&gt;61&lt;/R&gt;&lt;C&gt;1&lt;/C&gt;&lt;D xsi:type="xsd:double"&gt;1.30409&lt;/D&gt;&lt;D xsi:type="xsd:double"&gt;4.2714953&lt;/D&gt;&lt;D xsi:type="xsd:double"&gt;6.172836&lt;/D&gt;&lt;D xsi:type="xsd:double"&gt;3.6205053&lt;/D&gt;&lt;D xsi:type="xsd:double"&gt;-3.0349255&lt;/D&gt;&lt;D xsi:type="xsd:double"&gt;3.9627671&lt;/D&gt;&lt;D xsi:type="xsd:double"&gt;-0.15349388&lt;/D&gt;&lt;D xsi:type="xsd:double"&gt;-4.176265&lt;/D&gt;&lt;D xsi:type="xsd:double"&gt;8.021391&lt;/D&gt;&lt;D xsi:type="xsd:double"&gt;-5.297035&lt;/D&gt;&lt;D xsi:type="xsd:double"&gt;4.9957514&lt;/D&gt;&lt;D xsi:type="xsd:double"&gt;-2.2256315&lt;/D&gt;&lt;D xsi:type="xsd:double"&gt;-16.457355&lt;/D&gt;&lt;D xsi:type="xsd:double"&gt;6.7647934&lt;/D&gt;&lt;D xsi:type="xsd:double"&gt;-5.280137&lt;/D&gt;&lt;D xsi:type="xsd:double"&gt;6.875181&lt;/D&gt;&lt;D xsi:type="xsd:double"&gt;-12.771731&lt;/D&gt;&lt;D xsi:type="xsd:double"&gt;8.823526&lt;/D&gt;&lt;D xsi:type="xsd:double"&gt;-8.73664&lt;/D&gt;&lt;D xsi:type="xsd:double"&gt;-3.9944947&lt;/D&gt;&lt;D xsi:type="xsd:double"&gt;10.186518&lt;/D&gt;&lt;D xsi:type="xsd:double"&gt;9.505213&lt;/D&gt;&lt;D xsi:type="xsd:double"&gt;4.2689204&lt;/D&gt;&lt;D xsi:type="xsd:double"&gt;4.7210217&lt;/D&gt;&lt;D xsi:type="xsd:double"&gt;2.0491838&lt;/D&gt;&lt;D xsi:type="xsd:double"&gt;2.2489905&lt;/D&gt;&lt;D xsi:type="xsd:double"&gt;3.1683803&lt;/D&gt;&lt;D xsi:type="xsd:double"&gt;-4.6700535&lt;/D&gt;&lt;D xsi:type="xsd:double"&gt;0.2758503&lt;/D&gt;&lt;D xsi:type="xsd:double"&gt;3.338766&lt;/D&gt;&lt;D xsi:type="xsd:double"&gt;-3.8350403&lt;/D&gt;&lt;D xsi:type="xsd:double"&gt;-3.1685352&lt;/D&gt;&lt;D xsi:type="xsd:double"&gt;-0.028216839&lt;/D&gt;&lt;D xsi:type="xsd:double"&gt;6.2076807&lt;/D&gt;&lt;D xsi:type="xsd:double"&gt;1.8278837&lt;/D&gt;&lt;D xsi:type="xsd:double"&gt;1.5493631&lt;/D&gt;&lt;D xsi:type="xsd:double"&gt;4.758215&lt;/D&gt;&lt;D xsi:type="xsd:double"&gt;0.7652521&lt;/D&gt;&lt;D xsi:type="xsd:double"&gt;0.195992&lt;/D&gt;&lt;D xsi:type="xsd:double"&gt;3.080678&lt;/D&gt;&lt;D xsi:type="xsd:double"&gt;-4.90942&lt;/D&gt;&lt;D xsi:type="xsd:double"&gt;-5.691677&lt;/D&gt;&lt;D xsi:type="xsd:double"&gt;4.1407228&lt;/D&gt;&lt;D xsi:type="xsd:double"&gt;2.5987506&lt;/D&gt;&lt;D xsi:type="xsd:double"&gt;-5.1671743&lt;/D&gt;&lt;D xsi:type="xsd:double"&gt;-0.58760047&lt;/D&gt;&lt;D xsi:type="xsd:double"&gt;-1.9046605&lt;/D&gt;&lt;D xsi:type="xsd:double"&gt;7.753861&lt;/D&gt;&lt;D xsi:type="xsd:double"&gt;6.0947537&lt;/D&gt;&lt;D xsi:type="xsd:double"&gt;-10.185856&lt;/D&gt;&lt;D xsi:type="xsd:double"&gt;11.851656&lt;/D&gt;&lt;D xsi:type="xsd:double"&gt;3.4118295&lt;/D&gt;&lt;D xsi:type="xsd:double"&gt;2.3559809&lt;/D&gt;&lt;D xsi:type="xsd:double"&gt;-2.4605393&lt;/D&gt;&lt;D xsi:type="xsd:double"&gt;1.2851&lt;/D&gt;&lt;D xsi:type="xsd:double"&gt;3.8298845&lt;/D&gt;&lt;D xsi:type="xsd:double"&gt;-1.7424762&lt;/D&gt;&lt;D xsi:type="xsd:double"&gt;2.7637005&lt;/D&gt;&lt;D xsi:type="xsd:double"&gt;2.7149916&lt;/D&gt;&lt;D xsi:type="xsd:double"&gt;1.7543912&lt;/D&gt;&lt;D xsi:type="xsd:double"&gt;-4.9245653&lt;/D&gt;&lt;/FQL&gt;&lt;FQL&gt;&lt;Q&gt;EWZ^FG_PRICE(0,-200D)&lt;/Q&gt;&lt;R&gt;201&lt;/R&gt;&lt;C&gt;1&lt;/C&gt;&lt;D xsi:type="xsd:double"&gt;36.165&lt;/D&gt;&lt;D xsi:type="xsd:double"&gt;36.36&lt;/D&gt;&lt;D xsi:type="xsd:double"&gt;37.49&lt;/D&gt;&lt;D xsi:type="xsd:double"&gt;36.82&lt;/D&gt;&lt;D xsi:type="xsd:double"&gt;38.64&lt;/D&gt;&lt;D xsi:type="xsd:double"&gt;38.73&lt;/D&gt;&lt;D xsi:type="xsd:double"&gt;39.1&lt;/D&gt;&lt;D xsi:type="xsd:double"&gt;39.59&lt;/D&gt;&lt;D xsi:type="xsd:double"&gt;39.47&lt;/D&gt;&lt;D xsi:type="xsd:double"&gt;38.77&lt;/D&gt;&lt;D xsi:type="xsd:double"&gt;39.37&lt;/D&gt;&lt;D xsi:type="xsd:double"&gt;38.61&lt;/D&gt;&lt;D xsi:type="xsd:double"&gt;38.03&lt;/D&gt;&lt;D xsi:type="xsd:double"&gt;37.74&lt;/D&gt;&lt;D xsi:type="xsd:double"&gt;38.06&lt;/D&gt;&lt;D xsi:type="xsd:double"&gt;38.49&lt;/D&gt;&lt;D xsi:type="xsd:double"&gt;39.16&lt;/D&gt;&lt;D xsi:type="xsd:double"&gt;38.32&lt;/D&gt;&lt;D xsi:type="xsd:double"&gt;38.42&lt;/D&gt;&lt;D xsi:type="xsd:double"&gt;37.56&lt;/D&gt;&lt;D xsi:type="xsd:double"&gt;36.91&lt;/D&gt;&lt;D xsi:type="xsd:double"&gt;36.98&lt;/D&gt;&lt;D xsi:type="xsd:double"&gt;38.04&lt;/D&gt;&lt;D xsi:type="xsd:double"&gt;37.45&lt;/D&gt;&lt;D xsi:type="xsd:double"&gt;37.04&lt;/D&gt;&lt;D xsi:type="xsd:double"&gt;38.12&lt;/D&gt;&lt;D xsi:type="xsd:double"&gt;38.33&lt;/D&gt;&lt;D xsi:type="xsd:double"&gt;37.89&lt;/D&gt;&lt;D xsi:type="xsd:double"&gt;36.61&lt;/D&gt;&lt;D xsi:type="xsd:double"&gt;36.59&lt;/D&gt;&lt;D xsi:type="xsd:double"&gt;35.95&lt;/D&gt;&lt;D xsi:type="xsd:double"&gt;35.02&lt;/D&gt;&lt;D xsi:type="xsd:double"&gt;33.62&lt;/D&gt;&lt;D xsi:type="xsd:double"&gt;33.17&lt;/D&gt;&lt;D xsi:type="xsd:double"&gt;33.36&lt;/D&gt;&lt;D xsi:type="xsd:double"&gt;33.16&lt;/D&gt;&lt;D xsi:type="xsd:double"&gt;32.63&lt;/D&gt;&lt;D xsi:type="xsd:double"&gt;32.93&lt;/D&gt;&lt;D xsi:type="xsd:double"&gt;33.06&lt;/D&gt;&lt;D xsi:type="xsd:double"&gt;32.88&lt;/D&gt;&lt;D xsi:type="xsd:double"&gt;32.7&lt;/D&gt;&lt;D xsi:type="xsd:double"&gt;33.11&lt;/D&gt;&lt;D xsi:type="xsd:double"&gt;32.79&lt;/D&gt;&lt;D xsi:type="xsd:double"&gt;32.2&lt;/D&gt;&lt;D xsi:type="xsd:double"&gt;31.77&lt;/D&gt;&lt;D xsi:type="xsd:double"&gt;31.99&lt;/D&gt;&lt;D xsi:type="xsd:double"&gt;31.42&lt;/D&gt;&lt;D xsi:type="xsd:double"&gt;31.73&lt;/D&gt;&lt;D xsi:type="xsd:double"&gt;31.55&lt;/D&gt;&lt;D xsi:type="xsd:double"&gt;31.65&lt;/D&gt;&lt;D xsi:type="xsd:double"&gt;30.97&lt;/D&gt;&lt;D xsi:type="xsd:double"&gt;31.17&lt;/D&gt;&lt;D xsi:type="xsd:double"&gt;31.17&lt;/D&gt;&lt;D xsi:type="xsd:double"&gt;31&lt;/D&gt;&lt;D xsi:type="xsd:double"&gt;31.6&lt;/D&gt;&lt;D xsi:type="xsd:double"&gt;33.58&lt;/D&gt;&lt;D xsi:type="xsd:double"&gt;33.32&lt;/D&gt;&lt;D xsi:type="xsd:double"&gt;33.16&lt;/D&gt;&lt;D xsi:type="xsd:double"&gt;32.77&lt;/D&gt;&lt;D xsi:type="xsd:double"&gt;32.74&lt;/D&gt;&lt;D xsi:type="xsd:double"&gt;32.75&lt;/D&gt;&lt;D xsi:type="xsd:double"&gt;32.53&lt;/D&gt;&lt;D xsi:type="xsd:double"&gt;34.72&lt;/D&gt;&lt;D xsi:type="xsd:double"&gt;34.2&lt;/D&gt;&lt;D xsi:type="xsd:double"&gt;34.03&lt;/D&gt;&lt;D xsi:type="xsd:double"&gt;33.4&lt;/D&gt;&lt;D xsi:type="xsd:double"&gt;33.61&lt;/D&gt;&lt;D xsi:type="xsd:double"&gt;33.47&lt;/D&gt;&lt;D xsi:type="xsd:double"&gt;32.55&lt;/D&gt;&lt;D xsi:type="xsd:double"&gt;32.2&lt;/D&gt;&lt;D xsi:type="xsd:double"&gt;32.03&lt;/D&gt;&lt;D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xsi:type="xsd:double"&gt;28.91&lt;/D&gt;&lt;D xsi:type="xsd:double"&gt;28.79&lt;/D&gt;&lt;D xsi:type="xsd:double"&gt;28.85&lt;/D&gt;&lt;D xsi:type="xsd:double"&gt;28.14&lt;/D&gt;&lt;D xsi:type="xsd:double"&gt;28.13&lt;/D&gt;&lt;D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xsi:type="xsd:double"&gt;27.6&lt;/D&gt;&lt;D xsi:type="xsd:double"&gt;27.44&lt;/D&gt;&lt;D xsi:type="xsd:double"&gt;27.58&lt;/D&gt;&lt;D xsi:type="xsd:double"&gt;27.27&lt;/D&gt;&lt;D xsi:type="xsd:double"&gt;27.21&lt;/D&gt;&lt;D xsi:type="xsd:double"&gt;27.7&lt;/D&gt;&lt;D xsi:type="xsd:double"&gt;27.69&lt;/D&gt;&lt;D xsi:type="xsd:double"&gt;27.99&lt;/D&gt;&lt;D xsi:type="xsd:double"&gt;27.65&lt;/D&gt;&lt;D xsi:type="xsd:double"&gt;27.52&lt;/D&gt;&lt;D xsi:type="xsd:double"&gt;27.67&lt;/D&gt;&lt;D xsi:type="xsd:double"&gt;28.16&lt;/D&gt;&lt;D xsi:type="xsd:double"&gt;28.18&lt;/D&gt;&lt;/FQL&gt;&lt;FQL&gt;&lt;Q&gt;EIDO^FG_PRICE(0,-200D)&lt;/Q&gt;&lt;R&gt;201&lt;/R&gt;&lt;C&gt;1&lt;/C&gt;&lt;D xsi:type="xsd:double"&gt;16.31&lt;/D&gt;&lt;D xsi:type="xsd:double"&gt;16.66&lt;/D&gt;&lt;D xsi:type="xsd:double"&gt;16.87&lt;/D&gt;&lt;D xsi:type="xsd:double"&gt;17.15&lt;/D&gt;&lt;D xsi:type="xsd:double"&gt;17.52&lt;/D&gt;&lt;D xsi:type="xsd:double"&gt;17.82&lt;/D&gt;&lt;D xsi:type="xsd:double"&gt;17.89&lt;/D&gt;&lt;D xsi:type="xsd:double"&gt;18.22&lt;/D&gt;&lt;D xsi:type="xsd:double"&gt;17.95&lt;/D&gt;&lt;D xsi:type="xsd:double"&gt;18.11&lt;/D&gt;&lt;D xsi:type="xsd:double"&gt;18.06&lt;/D&gt;&lt;D xsi:type="xsd:double"&gt;17.83&lt;/D&gt;&lt;D xsi:type="xsd:double"&gt;17.87&lt;/D&gt;&lt;D xsi:type="xsd:double"&gt;17.82&lt;/D&gt;&lt;D xsi:type="xsd:double"&gt;17.77&lt;/D&gt;&lt;D xsi:type="xsd:double"&gt;17.89&lt;/D&gt;&lt;D xsi:type="xsd:double"&gt;18.09&lt;/D&gt;&lt;D xsi:type="xsd:double"&gt;17.75&lt;/D&gt;&lt;D xsi:type="xsd:double"&gt;17.6&lt;/D&gt;&lt;D xsi:type="xsd:double"&gt;17.6&lt;/D&gt;&lt;D xsi:type="xsd:double"&gt;17.51&lt;/D&gt;&lt;D xsi:type="xsd:double"&gt;17.79&lt;/D&gt;&lt;D xsi:type="xsd:double"&gt;17.59&lt;/D&gt;&lt;D xsi:type="xsd:double"&gt;17.41&lt;/D&gt;&lt;D xsi:type="xsd:double"&gt;17.65&lt;/D&gt;&lt;D xsi:type="xsd:double"&gt;17.58&lt;/D&gt;&lt;D xsi:type="xsd:double"&gt;17.26&lt;/D&gt;&lt;D xsi:type="xsd:double"&gt;19.18&lt;/D&gt;&lt;D xsi:type="xsd:double"&gt;19.2&lt;/D&gt;&lt;D xsi:type="xsd:double"&gt;19.01&lt;/D&gt;&lt;D xsi:type="xsd:double"&gt;19.05&lt;/D&gt;&lt;D xsi:type="xsd:double"&gt;18.94&lt;/D&gt;&lt;D xsi:type="xsd:double"&gt;19.13&lt;/D&gt;&lt;D xsi:type="xsd:double"&gt;19.14&lt;/D&gt;&lt;D xsi:type="xsd:double"&gt;19.22&lt;/D&gt;&lt;D xsi:type="xsd:double"&gt;19.14&lt;/D&gt;&lt;D xsi:type="xsd:double"&gt;19.03&lt;/D&gt;&lt;D xsi:type="xsd:double"&gt;18.99&lt;/D&gt;&lt;D xsi:type="xsd:double"&gt;19.01&lt;/D&gt;&lt;D xsi:type="xsd:double"&gt;18.99&lt;/D&gt;&lt;D xsi:type="xsd:double"&gt;19.03&lt;/D&gt;&lt;D xsi:type="xsd:double"&gt;19.08&lt;/D&gt;&lt;D xsi:type="xsd:double"&gt;19.04&lt;/D&gt;&lt;D xsi:type="xsd:double"&gt;18.81&lt;/D&gt;&lt;D xsi:type="xsd:double"&gt;18.7&lt;/D&gt;&lt;D xsi:type="xsd:double"&gt;18.67&lt;/D&gt;&lt;D xsi:type="xsd:double"&gt;18.67&lt;/D&gt;&lt;D xsi:type="xsd:double"&gt;18.47&lt;/D&gt;&lt;D xsi:type="xsd:double"&gt;18.45&lt;/D&gt;&lt;D xsi:type="xsd:double"&gt;18.56&lt;/D&gt;&lt;D xsi:type="xsd:double"&gt;18.68&lt;/D&gt;&lt;D xsi:type="xsd:double"&gt;18.58&lt;/D&gt;&lt;D xsi:type="xsd:double"&gt;18.63&lt;/D&gt;&lt;D xsi:type="xsd:double"&gt;18.6&lt;/D&gt;&lt;D xsi:type="xsd:double"&gt;18.67&lt;/D&gt;&lt;D xsi:type="xsd:double"&gt;18.86&lt;/D&gt;&lt;D xsi:type="xsd:double"&gt;18.76&lt;/D&gt;&lt;D xsi:type="xsd:double"&gt;18.68&lt;/D&gt;&lt;D xsi:type="xsd:double"&gt;18.86&lt;/D&gt;&lt;D xsi:type="xsd:double"&gt;18.68&lt;/D&gt;&lt;D xsi:type="xsd:double"&gt;18.87&lt;/D&gt;&lt;D xsi:type="xsd:double"&gt;18.82&lt;/D&gt;&lt;D xsi:type="xsd:double"&gt;18.79&lt;/D&gt;&lt;D xsi:type="xsd:double"&gt;18.83&lt;/D&gt;&lt;D xsi:type="xsd:double"&gt;18.92&lt;/D&gt;&lt;D xsi:type="xsd:double"&gt;18.79&lt;/D&gt;&lt;D xsi:type="xsd:double"&gt;18.67&lt;/D&gt;&lt;D xsi:type="xsd:double"&gt;18.87&lt;/D&gt;&lt;D xsi:type="xsd:double"&gt;18.73&lt;/D&gt;&lt;D xsi:type="xsd:double"&gt;18.78&lt;/D&gt;&lt;D xsi:type="xsd:double"&gt;18.37&lt;/D&gt;&lt;D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</t>
        </r>
      </text>
    </comment>
    <comment ref="A5" authorId="0" shapeId="0" xr:uid="{EFC2C3CC-53C2-4327-8ED6-4466558F050A}">
      <text>
        <r>
          <rPr>
            <b/>
            <sz val="9"/>
            <color indexed="81"/>
            <rFont val="Tahoma"/>
            <charset val="1"/>
          </rPr>
          <t>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xsi:type="xsd:double"&gt;18.56&lt;/D&gt;&lt;D xsi:type="xsd:double"&gt;18.45&lt;/D&gt;&lt;D xsi:type="xsd:double"&gt;18.42&lt;/D&gt;&lt;D xsi:type="xsd:double"&gt;18.56&lt;/D&gt;&lt;D xsi:type="xsd:double"&gt;18.88&lt;/D&gt;&lt;D xsi:type="xsd:double"&gt;18.95&lt;/D&gt;&lt;D xsi:type="xsd:double"&gt;18.91&lt;/D&gt;&lt;D xsi:type="xsd:double"&gt;19.04&lt;/D&gt;&lt;D xsi:type="xsd:double"&gt;19.16&lt;/D&gt;&lt;D xsi:type="xsd:double"&gt;18.91&lt;/D&gt;&lt;D xsi:type="xsd:double"&gt;18.79&lt;/D&gt;&lt;D xsi:type="xsd:double"&gt;18.53&lt;/D&gt;&lt;D xsi:type="xsd:double"&gt;18.74&lt;/D&gt;&lt;/FQL&gt;&lt;FQL&gt;&lt;Q&gt;SPY^FG_TOTAL_RETURNC(-5AY,0,AM)&lt;/Q&gt;&lt;R&gt;61&lt;/R&gt;&lt;C&gt;1&lt;/C&gt;&lt;D xsi:type="xsd:double"&gt;-1.0523319&lt;/D&gt;&lt;D xsi:type="xsd:double"&gt;6.209731&lt;/D&gt;&lt;D xsi:type="xsd:double"&gt;3.1887174&lt;/D&gt;&lt;D xsi:type="xsd:double"&gt;0.84234476&lt;/D&gt;&lt;D xsi:type="xsd:double"&gt;2.7840972&lt;/D&gt;&lt;D xsi:type="xsd:double"&gt;2.208209&lt;/D&gt;&lt;D xsi:type="xsd:double"&gt;2.3932695&lt;/D&gt;&lt;D xsi:type="xsd:double"&gt;-3.701973&lt;/D&gt;&lt;D xsi:type="xsd:double"&gt;7.7328086&lt;/D&gt;&lt;D xsi:type="xsd:double"&gt;-2.078843&lt;/D&gt;&lt;D xsi:type="xsd:double"&gt;2.357316&lt;/D&gt;&lt;D xsi:type="xsd:double"&gt;-4.1116357&lt;/D&gt;&lt;D xsi:type="xsd:double"&gt;-3.6839783&lt;/D&gt;&lt;D xsi:type="xsd:double"&gt;3.6379457&lt;/D&gt;&lt;D xsi:type="xsd:double"&gt;-7.878703&lt;/D&gt;&lt;D xsi:type="xsd:double"&gt;0.109398365&lt;/D&gt;&lt;D xsi:type="xsd:double"&gt;-6.5295935&lt;/D&gt;&lt;D xsi:type="xsd:double"&gt;7.885194&lt;/D&gt;&lt;D xsi:type="xsd:double"&gt;-5.4925385&lt;/D&gt;&lt;D xsi:type="xsd:double"&gt;-4.0983677&lt;/D&gt;&lt;D xsi:type="xsd:double"&gt;0.84404945&lt;/D&gt;&lt;D xsi:type="xsd:double"&gt;4.6446085&lt;/D&gt;&lt;D xsi:type="xsd:double"&gt;-1.0020137&lt;/D&gt;&lt;D xsi:type="xsd:double"&gt;5.6045175&lt;/D&gt;&lt;D xsi:type="xsd:double"&gt;-1.307857&lt;/D&gt;&lt;D xsi:type="xsd:double"&gt;1.557672&lt;/D&gt;&lt;D xsi:type="xsd:double"&gt;0.84068775&lt;/D&gt;&lt;D xsi:type="xsd:double"&gt;3.7321568&lt;/D&gt;&lt;D xsi:type="xsd:double"&gt;3.1000495&lt;/D&gt;&lt;D xsi:type="xsd:double"&gt;1.6262531&lt;/D&gt;&lt;D xsi:type="xsd:double"&gt;-0.13204813&lt;/D&gt;&lt;D xsi:type="xsd:double"&gt;-3.3943355&lt;/D&gt;&lt;D xsi:type="xsd:double"&gt;1.4317632&lt;/D&gt;&lt;D xsi:type="xsd:double"&gt;4.3769717&lt;/D&gt;&lt;D xsi:type="xsd:double"&gt;3.3117056&lt;/D&gt;&lt;D xsi:type="xsd:double"&gt;5.569327&lt;/D&gt;&lt;D xsi:type="xsd:double"&gt;3.1924367&lt;/D&gt;&lt;D xsi:type="xsd:double"&gt;2.020955&lt;/D&gt;&lt;D xsi:type="xsd:double"&gt;-0.35877228&lt;/D&gt;&lt;D xsi:type="xsd:double"&gt;3.5019398&lt;/D&gt;&lt;D xsi:type="xsd:double"&gt;4.072082&lt;/D&gt;&lt;D xsi:type="xsd:double"&gt;-5.857849&lt;/D&gt;&lt;D xsi:type="xsd:double"&gt;3.4874916&lt;/D&gt;&lt;D xsi:type="xsd:double"&gt;6.362438&lt;/D&gt;&lt;D xsi:type="xsd:double"&gt;3.1519413&lt;/D&gt;&lt;D xsi:type="xsd:double"&gt;2.8373718&lt;/D&gt;&lt;D xsi:type="xsd:double"&gt;-1.7226517&lt;/D&gt;&lt;D xsi:type="xsd:double"&gt;1.8409014&lt;/D&gt;&lt;D xsi:type="xsd:double"&gt;-5.543274&lt;/D&gt;&lt;D xsi:type="xsd:double"&gt;-11.508614&lt;/D&gt;&lt;D xsi:type="xsd:double"&gt;10.592151&lt;/D&gt;&lt;D xsi:type="xsd:double"&gt;7.2190404&lt;/D&gt;&lt;D xsi:type="xsd:double"&gt;4.682243&lt;/D&gt;&lt;D xsi:type="xsd:double"&gt;1.1897564&lt;/D&gt;&lt;D xsi:type="xsd:double"&gt;2.2851467&lt;/D&gt;&lt;D xsi:type="xsd:double"&gt;4.0514946&lt;/D&gt;&lt;D xsi:type="xsd:double"&gt;-0.19356012&lt;/D&gt;&lt;D xsi:type="xsd:double"&gt;2.294457&lt;/D&gt;&lt;D xsi:type="xsd:double"&gt;1.1880398&lt;/D&gt;&lt;D xsi:type="xsd:double"&gt;-0.17201304&lt;/D&gt;&lt;D xsi:type="xsd:double"&gt;-2.1676123&lt;/D&gt;&lt;/FQL&gt;&lt;FQL&gt;&lt;Q&gt;EWI^FG_PRICE(0,-200D)&lt;/Q&gt;&lt;R&gt;201&lt;/R&gt;&lt;C&gt;1&lt;/C&gt;&lt;D xsi:type="xsd:double"&gt;53.05&lt;/D&gt;&lt;D xsi:type="xsd:double"&gt;53.43&lt;/D&gt;&lt;D xsi:type="xsd:double"&gt;54.57&lt;/D&gt;&lt;D xsi:type="xsd:double"&gt;53.89&lt;/D&gt;&lt;D xsi:type="xsd:double"&gt;55.95&lt;/D&gt;&lt;D xsi:type="xsd:double"&gt;57.33&lt;/D&gt;&lt;D xsi:type="xsd:double"&gt;57.93&lt;/D&gt;&lt;D xsi:type="xsd:double"&gt;57.61&lt;/D&gt;&lt;D xsi:type="xsd:double"&gt;56.94&lt;/D&gt;&lt;D xsi:type="xsd:double"&gt;56.94&lt;/D&gt;&lt;D xsi:type="xsd:double"&gt;56.81&lt;/D&gt;&lt;D xsi:type="xsd:double"&gt;55.89&lt;/D&gt;&lt;D xsi:type="xsd:double"&gt;56.32&lt;/D&gt;&lt;D xsi:type="xsd:double"&gt;56.02&lt;/D&gt;&lt;D xsi:type="xsd:double"&gt;55.54&lt;/D&gt;&lt;D xsi:type="xsd:double"&gt;56.52&lt;/D&gt;&lt;D xsi:type="xsd:double"&gt;56.98&lt;/D&gt;&lt;D xsi:type="xsd:double"&gt;57.32&lt;/D&gt;&lt;D xsi:type="xsd:double"&gt;57.61&lt;/D&gt;&lt;D xsi:type="xsd:double"&gt;56.28&lt;/D&gt;&lt;D xsi:type="xsd:double"&gt;55.7&lt;/D&gt;&lt;D xsi:type="xsd:double"&gt;56.95&lt;/D&gt;&lt;D xsi:type="xsd:double"&gt;56.93&lt;/D&gt;&lt;D xsi:type="xsd:double"&gt;56.37&lt;/D&gt;&lt;D xsi:type="xsd:double"&gt;55.88&lt;/D&gt;&lt;D xsi:type="xsd:double"&gt;56.17&lt;/D&gt;&lt;D xsi:type="xsd:double"&gt;55.83&lt;/D&gt;&lt;D xsi:type="xsd:double"&gt;56.63&lt;/D&gt;&lt;D xsi:type="xsd:double"&gt;55.39&lt;/D&gt;&lt;D xsi:type="xsd:double"&gt;54.91&lt;/D&gt;&lt;D xsi:type="xsd:double"&gt;54.77&lt;/D&gt;&lt;D xsi:type="xsd:double"&gt;54.44&lt;/D&gt;&lt;D xsi:type="xsd:double"&gt;54.02&lt;/D&gt;&lt;D xsi:type="xsd:double"&gt;54.92&lt;/D&gt;&lt;D xsi:type="xsd:double"&gt;54.8&lt;/D&gt;&lt;D xsi:type="xsd:double"&gt;55.04&lt;/D&gt;&lt;D xsi:type="xsd:double"&gt;54.81&lt;/D&gt;&lt;D xsi:type="xsd:double"&gt;55.32&lt;/D&gt;&lt;D xsi:type="xsd:double"&gt;55.03&lt;/D&gt;&lt;D xsi:type="xsd:double"&gt;55.24&lt;/D&gt;&lt;D xsi:type="xsd:double"&gt;54.97&lt;/D&gt;&lt;D xsi:type="xsd:double"&gt;55.29&lt;/D&gt;&lt;D xsi:type="xsd:double"&gt;55.67&lt;/D&gt;&lt;D xsi:type="xsd:double"&gt;55.16&lt;/D&gt;&lt;D xsi:type="xsd:double"&gt;54.33&lt;/D&gt;&lt;D xsi:type="xsd:double"&gt;54.59&lt;/D&gt;&lt;D xsi:type="xsd:double"&gt;54.16&lt;/D&gt;&lt;D xsi:type="xsd:double"&gt;54.62&lt;/D&gt;&lt;D xsi:type="xsd:double"&gt;54.56&lt;/D&gt;&lt;D xsi:type="xsd:double"&gt;54.4&lt;/D&gt;&lt;D xsi:type="xsd:double"&gt;54.24&lt;/D&gt;&lt;D xsi:type="xsd:double"&gt;54.21&lt;/D&gt;&lt;D xsi:type="xsd:double"&gt;53.81&lt;/D&gt;&lt;D xsi:type="xsd:double"&gt;53.51&lt;/D&gt;&lt;D xsi:type="xsd:double"&gt;53.58&lt;/D&gt;&lt;D xsi:type="xsd:double"&gt;54.35&lt;/D&gt;&lt;D xsi:type="xsd:double"&gt;53.66&lt;/D&gt;&lt;D xsi:type="xsd:double"&gt;53.95&lt;/D&gt;&lt;D xsi:type="xsd:double"&gt;53.55&lt;/D&gt;&lt;D xsi:type="xsd:double"&gt;53.02&lt;/D&gt;&lt;D xsi:type="xsd:double"&gt;52.98&lt;/D&gt;&lt;D xsi:type="xsd:double"&gt;52.98&lt;/D&gt;&lt;D xsi:type="xsd:double"&gt;53.15&lt;/D&gt;&lt;D xsi:type="xsd:double"&gt;53.29&lt;/D&gt;&lt;D xsi:type="xsd:double"&gt;53&lt;/D&gt;&lt;D xsi:type="xsd:double"&gt;52.66&lt;/D&gt;&lt;D xsi:type="xsd:double"&gt;52.93&lt;/D&gt;&lt;D xsi:type="xsd:double"&gt;52.54&lt;/D&gt;&lt;D xsi:type="xsd:double"&gt;52.16&lt;/D&gt;&lt;D xsi:type="xsd:double"&gt;51.19&lt;/D&gt;&lt;D xsi:type="xsd:double"&gt;51.47&lt;/D&gt;&lt;D xsi:type="xsd:double"&gt;50.81&lt;/D&gt;&lt;D xsi:type="xsd:double"&gt;51.34&lt;/D&gt;&lt;D xsi:type="xsd:double"&gt;51.81&lt;/D&gt;&lt;D xsi:type="xsd:double"&gt;52.56&lt;/D&gt;&lt;D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xsi:type="xsd:double"&gt;47.98&lt;/D&gt;&lt;D xsi:type="xsd:double"&gt;47.74&lt;/D&gt;&lt;D xsi:type="xsd:double"&gt;47.87&lt;/D&gt;&lt;D xsi:type="xsd:double"&gt;48.32&lt;/D&gt;&lt;D xsi:type="xsd:double"&gt;47.77&lt;/D&gt;&lt;D xsi:type="xsd:double"&gt;47.58&lt;/D&gt;&lt;D xsi:type="xsd:double"&gt;47.55&lt;/D&gt;&lt;D xsi:type="xsd:double"&gt;47.66&lt;/D&gt;&lt;D xsi:type="xsd:double"&gt;46.96&lt;/D&gt;&lt;D xsi:type="xsd:double"&gt;47.54&lt;/D&gt;&lt;D xsi:type="xsd:double"&gt;47.65&lt;/D&gt;&lt;D xsi:type="xsd:double"&gt;47.84&lt;/D&gt;&lt;D xsi:type="xsd:double"&gt;47.3&lt;/D&gt;&lt;/FQL&gt;&lt;FQL&gt;&lt;Q&gt;EWY^FG_PRICE(0,-200D)&lt;/Q&gt;&lt;R&gt;201&lt;/R&gt;&lt;C&gt;1&lt;/C&gt;&lt;D xsi:type="xsd:double"&gt;127.5&lt;/D&gt;&lt;D xsi:type="xsd:double"&gt;125.74&lt;/D&gt;&lt;D xsi:type="xsd:double"&gt;134.37&lt;/D&gt;&lt;D xsi:type="xsd:double"&gt;132.34&lt;/D&gt;&lt;D xsi:type="xsd:double"&gt;147.54&lt;/D&gt;&lt;D xsi:type="xsd:double"&gt;151.37&lt;/D&gt;&lt;D xsi:type="xsd:double"&gt;150.41&lt;/D&gt;&lt;D xsi:type="xsd:double"&gt;148.89&lt;/D&gt;&lt;D xsi:type="xsd:double"&gt;144.55&lt;/D&gt;&lt;D xsi:type="xsd:double"&gt;139.3&lt;/D&gt;&lt;D xsi:type="xsd:double"&gt;141.88&lt;/D&gt;&lt;D xsi:type="xsd:double"&gt;135.21&lt;/D&gt;&lt;D xsi:type="xsd:double"&gt;132.93&lt;/D&gt;&lt;D xsi:type="xsd:double"&gt;130.68&lt;/D&gt;&lt;D xsi:type="xsd:double"&gt;133.97&lt;/D&gt;&lt;D xsi:type="xsd:double"&gt;130.8&lt;/D&gt;&lt;D xsi:type="xsd:double"&gt;130.6&lt;/D&gt;&lt;D xsi:type="xsd:double"&gt;124.45&lt;/D&gt;&lt;D xsi:type="xsd:double"&gt;126.05&lt;/D&gt;&lt;D xsi:type="xsd:double"&gt;124.71&lt;/D&gt;&lt;D xsi:type="xsd:double"&gt;120.21&lt;/D&gt;&lt;D xsi:type="xsd:double"&gt;120.26&lt;/D&gt;&lt;D xsi:type="xsd:double"&gt;124.32&lt;/D&gt;&lt;D xsi:type="xsd:double"&gt;120.93&lt;/D&gt;&lt;D xsi:type="xsd:double"&gt;122.41&lt;/D&gt;&lt;D xsi:type="xsd:double"&gt;124.5&lt;/D&gt;&lt;D xsi:type="xsd:double"&gt;125.56&lt;/D&gt;&lt;D xsi:type="xsd:double"&gt;122.7&lt;/D&gt;&lt;D xsi:type="xsd:double"&gt;117.32&lt;/D&gt;&lt;D xsi:type="xsd:double"&gt;117.97&lt;/D&gt;&lt;D xsi:type="xsd:double"&gt;115.99&lt;/D&gt;&lt;D xsi:type="xsd:double"&gt;115.66&lt;/D&gt;&lt;D xsi:type="xsd:double"&gt;110.97&lt;/D&gt;&lt;D xsi:type="xsd:double"&gt;112.22&lt;/D&gt;&lt;D xsi:type="xsd:double"&gt;111.05&lt;/D&gt;&lt;D xsi:type="xsd:double"&gt;109.64&lt;/D&gt;&lt;D xsi:type="xsd:double"&gt;107.54&lt;/D&gt;&lt;D xsi:type="xsd:double"&gt;108.93&lt;/D&gt;&lt;D xsi:type="xsd:double"&gt;108.89&lt;/D&gt;&lt;D xsi:type="xsd:double"&gt;106.59&lt;/D&gt;&lt;D xsi:type="xsd:double"&gt;107.03&lt;/D&gt;&lt;D xsi:type="xsd:double"&gt;107.61&lt;/D&gt;&lt;D xsi:type="xsd:double"&gt;104.83&lt;/D&gt;&lt;D xsi:type="xsd:double"&gt;102.22&lt;/D&gt;&lt;D xsi:type="xsd:double"&gt;97.22&lt;/D&gt;&lt;D xsi:type="xsd:double"&gt;98.62&lt;/D&gt;&lt;D xsi:type="xsd:double"&gt;98.72&lt;/D&gt;&lt;D xsi:type="xsd:double"&gt;95.84&lt;/D&gt;&lt;D xsi:type="xsd:double"&gt;94.6&lt;/D&gt;&lt;D xsi:type="xsd:double"&gt;92.7&lt;/D&gt;&lt;D xsi:type="xsd:double"&gt;91.75&lt;/D&gt;&lt;D xsi:type="xsd:double"&gt;91.34&lt;/D&gt;&lt;D xsi:type="xsd:double"&gt;90.07&lt;/D&gt;&lt;D xsi:type="xsd:double"&gt;88.58&lt;/D&gt;&lt;D xsi:type="xsd:double"&gt;89.52&lt;/D&gt;&lt;D xsi:type="xsd:double"&gt;92.73&lt;/D&gt;&lt;D xsi:type="xsd:double"&gt;92.67&lt;/D&gt;&lt;D xsi:type="xsd:double"&gt;94.96&lt;/D&gt;&lt;D xsi:type="xsd:double"&gt;96.75&lt;/D&gt;&lt;D xsi:type="xsd:double"&gt;95.57&lt;/D&gt;&lt;D xsi:type="xsd:double"&gt;95.07&lt;/D&gt;&lt;D xsi:type="xsd:double"&gt;94.3&lt;/D&gt;&lt;D xsi:type="xsd:double"&gt;91.87&lt;/D&gt;&lt;D xsi:type="xsd:double"&gt;93&lt;/D&gt;&lt;D xsi:type="xsd:double"&gt;92.07&lt;/D&gt;&lt;D xsi:type="xsd:double"&gt;90.62&lt;/D&gt;&lt;D xsi:type="xsd:double"&gt;90.87&lt;/D&gt;&lt;D xsi:type="xsd:double"&gt;91.55&lt;/D&gt;&lt;D xsi:type="xsd:double"&gt;89.79&lt;/D&gt;&lt;D xsi:type="xsd:double"&gt;90.3&lt;/D&gt;&lt;D xsi:type="xsd:double"&gt;89.22&lt;/D&gt;&lt;D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xsi:type="xsd:double"&gt;65.36&lt;/D&gt;&lt;D xsi:type="xsd:double"&gt;63.98&lt;/D&gt;&lt;D xsi:type="xsd:double"&gt;61.89&lt;/D&gt;&lt;D xsi:type="xsd:double"&gt;61.74&lt;/D&gt;&lt;D xsi:type="xsd:double"&gt;60.63&lt;/D&gt;&lt;D xsi:type="xsd:double"&gt;61.8&lt;/D&gt;&lt;D xsi:type="xsd:double"&gt;60.75&lt;/D&gt;&lt;D xsi:type="xsd:double"&gt;59.98&lt;/D&gt;&lt;D xsi:type="xsd:double"&gt;58.96&lt;/D&gt;&lt;D xsi:type="xsd:double"&gt;58.29&lt;/D&gt;&lt;D xsi:type="xsd:double"&gt;59.1&lt;/D&gt;&lt;D xsi:type="xsd:double"&gt;58.4&lt;/D&gt;&lt;D xsi:type="xsd:double"&gt;58.82&lt;/D&gt;&lt;/FQL&gt;&lt;FQL&gt;&lt;Q&gt;KSA^FG_TOTAL_RETURNC(-5AY,0,AM)&lt;/Q&gt;&lt;R&gt;61&lt;/R&gt;&lt;C&gt;1&lt;/C&gt;&lt;D xsi:type="xsd:double"&gt;6.653869&lt;/D&gt;&lt;D xsi:type="xsd:double"&gt;9.568083&lt;/D&gt;&lt;D xsi:type="xsd:double"&gt;2.6827216&lt;/D&gt;&lt;D xsi:type="xsd:double"&gt;4.612112&lt;/D&gt;&lt;D xsi:type="xsd:double"&gt;1.4831066&lt;/D&gt;&lt;D xsi:type="xsd:double"&gt;2.6869416&lt;/D&gt;&lt;D xsi:type="xsd:double"&gt;2.6660085&lt;/D&gt;&lt;D xsi:type="xsd:double"&gt;2.2120714&lt;/D&gt;&lt;D xsi:type="xsd:double"&gt;1.7172456&lt;/D&gt;&lt;D xsi:type="xsd:double"&gt;-5.804813&lt;/D&gt;&lt;D xsi:type="xsd:double"&gt;3.3068776&lt;/D&gt;&lt;D xsi:type="xsd:double"&gt;7.0368648&lt;/D&gt;&lt;D xsi:type="xsd:double"&gt;4.449904&lt;/D&gt;&lt;D xsi:type="xsd:double"&gt;3.4682155&lt;/D&gt;&lt;D xsi:type="xsd:double"&gt;3.5588622&lt;/D&gt;&lt;D xsi:type="xsd:double"&gt;-7.9920053&lt;/D&gt;&lt;D xsi:type="xsd:double"&gt;-10.594034&lt;/D&gt;&lt;D xsi:type="xsd:double"&gt;7.80524&lt;/D&gt;&lt;D xsi:type="xsd:double"&gt;-1.1348188&lt;/D&gt;&lt;D xsi:type="xsd:double"&gt;-0.96419454&lt;/D&gt;&lt;D xsi:type="xsd:double"&gt;-1.1821926&lt;/D&gt;&lt;D xsi:type="xsd:double"&gt;-11.681914&lt;/D&gt;&lt;D xsi:type="xsd:double"&gt;3.2212377&lt;/D&gt;&lt;D xsi:type="xsd:double"&gt;-1.1443496&lt;/D&gt;&lt;D xsi:type="xsd:double"&gt;-0.5787909&lt;/D&gt;&lt;D xsi:type="xsd:double"&gt;5.9010267&lt;/D&gt;&lt;D xsi:type="xsd:double"&gt;2.3738146&lt;/D&gt;&lt;D xsi:type="xsd:double"&gt;1.0007262&lt;/D&gt;&lt;D xsi:type="xsd:double"&gt;0.9428859&lt;/D&gt;&lt;D xsi:type="xsd:double"&gt;-1.1627913&lt;/D&gt;&lt;D xsi:type="xsd:double"&gt;-1.3970554&lt;/D&gt;&lt;D xsi:type="xsd:double"&gt;-4.5488415&lt;/D&gt;&lt;D xsi:type="xsd:double"&gt;2.1354198&lt;/D&gt;&lt;D xsi:type="xsd:double"&gt;0.89240074&lt;/D&gt;&lt;D xsi:type="xsd:double"&gt;10.08507&lt;/D&gt;&lt;D xsi:type="xsd:double"&gt;-0.2093494&lt;/D&gt;&lt;D xsi:type="xsd:double"&gt;3.076923&lt;/D&gt;&lt;D xsi:type="xsd:double"&gt;1.198554&lt;/D&gt;&lt;D xsi:type="xsd:double"&gt;-3.106141&lt;/D&gt;&lt;D xsi:type="xsd:double"&gt;-6.549817&lt;/D&gt;&lt;D xsi:type="xsd:double"&gt;1.173377&lt;/D&gt;&lt;D xsi:type="xsd:double"&gt;-0.32186508&lt;/D&gt;&lt;D xsi:type="xsd:double"&gt;3.725779&lt;/D&gt;&lt;D xsi:type="xsd:double"&gt;-0.8860111&lt;/D&gt;&lt;D xsi:type="xsd:double"&gt;1.6187549&lt;/D&gt;&lt;D xsi:type="xsd:double"&gt;-1.0223508&lt;/D&gt;&lt;D xsi:type="xsd:double"&gt;0.7171154&lt;/D&gt;&lt;D xsi:type="xsd:double"&gt;2.6744485&lt;/D&gt;&lt;D xsi:type="xsd:double"&gt;-4.641247&lt;/D&gt;&lt;D xsi:type="xsd:double"&gt;-3.20338&lt;/D&gt;&lt;D xsi:type="xsd:double"&gt;1.8984079&lt;/D&gt;&lt;D xsi:type="xsd:double"&gt;-3.0463338&lt;/D&gt;&lt;D xsi:type="xsd:double"&gt;2.6933074&lt;/D&gt;&lt;D xsi:type="xsd:double"&gt;-2.1856487&lt;/D&gt;&lt;D xsi:type="xsd:double"&gt;-2.208203&lt;/D&gt;&lt;D xsi:type="xsd:double"&gt;9.596777&lt;/D&gt;&lt;D xsi:type="xsd:double"&gt;-3.6055982&lt;/D&gt;&lt;D xsi:type="xsd:double"&gt;-5.3435087&lt;/D&gt;&lt;D xsi:type="xsd:double"&gt;0.7552624&lt;/D&gt;&lt;D xsi:type="xsd:double"&gt;7.3454022&lt;/D&gt;&lt;D xsi:type="xsd:double"&gt;-6.666672&lt;/D&gt;&lt;/FQL&gt;&lt;FQL&gt;&lt;Q&gt;GREK^FG_TOTAL_RETURNC(-5AY,0,AM)&lt;/Q&gt;&lt;R&gt;61&lt;/R&gt;&lt;C&gt;1&lt;/C&gt;&lt;D xsi:type="xsd:double"&gt;7.7824235&lt;/D&gt;&lt;D xsi:type="xsd:double"&gt;5.31832&lt;/D&gt;&lt;D xsi:type="xsd:double"&gt;6.561005&lt;/D&gt;&lt;D xsi:type="xsd:double"&gt;1.1414766&lt;/D&gt;&lt;D xsi:type="xsd:double"&gt;-6.5663457&lt;/D&gt;&lt;D xsi:type="xsd:double"&gt;1.1713028&lt;/D&gt;&lt;D xsi:type="xsd:double"&gt;5.1012993&lt;/D&gt;&lt;D xsi:type="xsd:double"&gt;-4.5438886&lt;/D&gt;&lt;D xsi:type="xsd:double"&gt;1.1539817&lt;/D&gt;&lt;D xsi:type="xsd:double"&gt;-4.9197855&lt;/D&gt;&lt;D xsi:type="xsd:double"&gt;0.61438084&lt;/D&gt;&lt;D xsi:type="xsd:double"&gt;10.814929&lt;/D&gt;&lt;D xsi:type="xsd:double"&gt;-16.254293&lt;/D&gt;&lt;D xsi:type="xsd:double"&gt;9.766102&lt;/D&gt;&lt;D xsi:type="xsd:double"&gt;-4.785049&lt;/D&gt;&lt;D xsi:type="xsd:double"&gt;4.9862623&lt;/D&gt;&lt;D xsi:type="xsd:double"&gt;-18.341087&lt;/D&gt;&lt;D xsi:type="xsd:double"&gt;9.733701&lt;/D&gt;&lt;D xsi:type="xsd:double"&gt;-5.2301226&lt;/D&gt;&lt;D xsi:type="xsd:double"&gt;-2.60486&lt;/D&gt;&lt;D xsi:type="xsd:double"&gt;11.378061&lt;/D&gt;&lt;D xsi:type="xsd:double"&gt;5.7794094&lt;/D&gt;&lt;D xsi:type="xsd:double"&gt;9.9012375&lt;/D&gt;&lt;D xsi:type="xsd:double"&gt;8.591949&lt;/D&gt;&lt;D xsi:type="xsd:double"&gt;3.4665227&lt;/D&gt;&lt;D xsi:type="xsd:double"&gt;-1.24681&lt;/D&gt;&lt;D xsi:type="xsd:double"&gt;4.2408586&lt;/D&gt;&lt;D xsi:type="xsd:double"&gt;9.161496&lt;/D&gt;&lt;D xsi:type="xsd:double"&gt;5.4807425&lt;/D&gt;&lt;D xsi:type="xsd:double"&gt;4.5577884&lt;/D&gt;&lt;D xsi:type="xsd:double"&gt;-7.057607&lt;/D&gt;&lt;D xsi:type="xsd:double"&gt;-11.111111&lt;/D&gt;&lt;D xsi:type="xsd:double"&gt;11.7148285&lt;/D&gt;&lt;D xsi:type="xsd:double"&gt;2.417767&lt;/D&gt;&lt;D xsi:type="xsd:double"&gt;4.4627905&lt;/D&gt;&lt;D xsi:type="xsd:double"&gt;7.774806&lt;/D&gt;&lt;D xsi:type="xsd:double"&gt;1.8656731&lt;/D&gt;&lt;D xsi:type="xsd:double"&gt;-4.004884&lt;/D&gt;&lt;D xsi:type="xsd:double"&gt;5.4947853&lt;/D&gt;&lt;D xsi:type="xsd:double"&gt;0.6269574&lt;/D&gt;&lt;D xsi:type="xsd:double"&gt;-0.31707287&lt;/D&gt;&lt;D xsi:type="xsd:double"&gt;-3.7376463&lt;/D&gt;&lt;D xsi:type="xsd:double"&gt;5.0100207&lt;/D&gt;&lt;D xsi:type="xsd:double"&gt;0.6782055&lt;/D&gt;&lt;D xsi:type="xsd:double"&gt;-5.3887844&lt;/D&gt;&lt;D xsi:type="xsd:double"&gt;2.251947&lt;/D&gt;&lt;D xsi:type="xsd:double"&gt;2.5883317&lt;/D&gt;&lt;D xsi:type="xsd:double"&gt;2.3578167&lt;/D&gt;&lt;D xsi:type="xsd:double"&gt;9.105766&lt;/D&gt;&lt;D xsi:type="xsd:double"&gt;-2.8093636&lt;/D&gt;&lt;D xsi:type="xsd:double"&gt;15.003443&lt;/D&gt;&lt;D xsi:type="xsd:double"&gt;10.632348&lt;/D&gt;&lt;D xsi:type="xsd:double"&gt;9.314907&lt;/D&gt;&lt;D xsi:type="xsd:double"&gt;7.501662&lt;/D&gt;&lt;D xsi:type="xsd:double"&gt;-1.2461007&lt;/D&gt;&lt;D xsi:type="xsd:double"&gt;3.1230211&lt;/D&gt;&lt;D xsi:type="xsd:double"&gt;-4.450899&lt;/D&gt;&lt;D xsi:type="xsd:double"&gt;6.371057&lt;/D&gt;&lt;D xsi:type="xsd:double"&gt;3.5514355&lt;/D&gt;&lt;D xsi:type="xsd:double"&gt;11.544741&lt;/D&gt;&lt;D xsi:type="xsd:double"&gt;-12.808037&lt;/D&gt;&lt;/FQL&gt;&lt;FQL&gt;&lt;Q&gt;EWC^FG_PRICE(0,-200D)&lt;/Q&gt;&lt;R&gt;201&lt;/R&gt;&lt;C&gt;1&lt;/C&gt;&lt;D xsi:type="xsd:double"&gt;56.53&lt;/D&gt;&lt;D xsi:type="xsd:double"&gt;56.91&lt;/D&gt;&lt;D xsi:type="xsd:double"&gt;57.47&lt;/D&gt;&lt;D xsi:type="xsd:double"&gt;57.07&lt;/D&gt;&lt;D xsi:type="xsd:double"&gt;58.16&lt;/D&gt;&lt;D xsi:type="xsd:double"&gt;57.98&lt;/D&gt;&lt;D xsi:type="xsd:double"&gt;58.15&lt;/D&gt;&lt;D xsi:type="xsd:double"&gt;57.59&lt;/D&gt;&lt;D xsi:type="xsd:double"&gt;57.15&lt;/D&gt;&lt;D xsi:type="xsd:double"&gt;56.95&lt;/D&gt;&lt;D xsi:type="xsd:double"&gt;57.16&lt;/D&gt;&lt;D xsi:type="xsd:double"&gt;56.75&lt;/D&gt;&lt;D xsi:type="xsd:double"&gt;56.46&lt;/D&gt;&lt;D xsi:type="xsd:double"&gt;55.86&lt;/D&gt;&lt;D xsi:type="xsd:double"&gt;56.17&lt;/D&gt;&lt;D xsi:type="xsd:double"&gt;55.26&lt;/D&gt;&lt;D xsi:type="xsd:double"&gt;56.58&lt;/D&gt;&lt;D xsi:type="xsd:double"&gt;56.72&lt;/D&gt;&lt;D xsi:type="xsd:double"&gt;56.27&lt;/D&gt;&lt;D xsi:type="xsd:double"&gt;55.01&lt;/D&gt;&lt;D xsi:type="xsd:double"&gt;54.14&lt;/D&gt;&lt;D xsi:type="xsd:double"&gt;55.01&lt;/D&gt;&lt;D xsi:type="xsd:double"&gt;54.84&lt;/D&gt;&lt;D xsi:type="xsd:double"&gt;54.55&lt;/D&gt;&lt;D xsi:type="xsd:double"&gt;54.26&lt;/D&gt;&lt;D xsi:type="xsd:double"&gt;56.53&lt;/D&gt;&lt;D xsi:type="xsd:double"&gt;56.35&lt;/D&gt;&lt;D xsi:type="xsd:double"&gt;56.18&lt;/D&gt;&lt;D xsi:type="xsd:double"&gt;55.69&lt;/D&gt;&lt;D xsi:type="xsd:double"&gt;55.77&lt;/D&gt;&lt;D xsi:type="xsd:double"&gt;55.2&lt;/D&gt;&lt;D xsi:type="xsd:double"&gt;55.02&lt;/D&gt;&lt;D xsi:type="xsd:double"&gt;54.75&lt;/D&gt;&lt;D xsi:type="xsd:double"&gt;55.13&lt;/D&gt;&lt;D xsi:type="xsd:double"&gt;55.22&lt;/D&gt;&lt;D xsi:type="xsd:double"&gt;55.18&lt;/D&gt;&lt;D xsi:type="xsd:double"&gt;55.12&lt;/D&gt;&lt;D xsi:type="xsd:double"&gt;55.09&lt;/D&gt;&lt;D xsi:type="xsd:double"&gt;54.63&lt;/D&gt;&lt;D xsi:type="xsd:double"&gt;54.46&lt;/D&gt;&lt;D xsi:type="xsd:double"&gt;54.01&lt;/D&gt;&lt;D xsi:type="xsd:double"&gt;54.65&lt;/D&gt;&lt;D xsi:type="xsd:double"&gt;54.59&lt;/D&gt;&lt;D xsi:type="xsd:double"&gt;54.19&lt;/D&gt;&lt;D xsi:type="xsd:double"&gt;53.93&lt;/D&gt;&lt;D xsi:type="xsd:double"&gt;54.3&lt;/D&gt;&lt;D xsi:type="xsd:double"&gt;54.33&lt;/D&gt;&lt;D xsi:type="xsd:double"&gt;54.8&lt;/D&gt;&lt;D xsi:type="xsd:double"&gt;54.6&lt;/D&gt;&lt;D xsi:type="xsd:double"&gt;54.54&lt;/D&gt;&lt;D xsi:type="xsd:double"&gt;54.17&lt;/D&gt;&lt;D xsi:type="xsd:double"&gt;53.68&lt;/D&gt;&lt;D xsi:type="xsd:double"&gt;53.22&lt;/D&gt;&lt;D xsi:type="xsd:double"&gt;52.81&lt;/D&gt;&lt;D xsi:type="xsd:double"&gt;52.98&lt;/D&gt;&lt;D xsi:type="xsd:double"&gt;53.8&lt;/D&gt;&lt;D xsi:type="xsd:double"&gt;53.89&lt;/D&gt;&lt;D xsi:type="xsd:double"&gt;54.08&lt;/D&gt;&lt;D xsi:type="xsd:double"&gt;53.72&lt;/D&gt;&lt;D xsi:type="xsd:double"&gt;53.07&lt;/D&gt;&lt;D xsi:type="xsd:double"&gt;52.95&lt;/D&gt;&lt;D xsi:type="xsd:double"&gt;53.29&lt;/D&gt;&lt;D xsi:type="xsd:double"&gt;53.07&lt;/D&gt;&lt;D xsi:type="xsd:double"&gt;52.47&lt;/D&gt;&lt;D xsi:type="xsd:double"&gt;52.14&lt;/D&gt;&lt;D xsi:type="xsd:double"&gt;52.18&lt;/D&gt;&lt;D xsi:type="xsd:double"&gt;52.7&lt;/D&gt;&lt;D xsi:type="xsd:double"&gt;52.25&lt;/D&gt;&lt;D xsi:type="xsd:double"&gt;51.56&lt;/D&gt;&lt;D xsi:type="xsd:double"&gt;51.05&lt;/D&gt;&lt;D xsi:type="xsd:double"&gt;50.43&lt;/D&gt;&lt;D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xsi:type="xsd:double"&gt;45.32&lt;/D&gt;&lt;D xsi:type="xsd:double"&gt;45.25&lt;/D&gt;&lt;D xsi:type="xsd:double"&gt;45.34&lt;/D&gt;&lt;D xsi:type="xsd:double"&gt;45.39&lt;/D&gt;&lt;D xsi:type="xsd:double"&gt;44.96&lt;/D&gt;&lt;D xsi:type="xsd:double"&gt;44.78&lt;/D&gt;&lt;D xsi:type="xsd:double"&gt;44.76&lt;/D&gt;&lt;D xsi:type="xsd:double"&gt;44.82&lt;/D&gt;&lt;D xsi:type="xsd:double"&gt;44.44&lt;/D&gt;&lt;D xsi:type="xsd:double"&gt;44&lt;/D&gt;&lt;D xsi:type="xsd:double"&gt;43.94&lt;/D&gt;&lt;D xsi:type="xsd:double"&gt;44.19&lt;/D&gt;&lt;D xsi:type="xsd:double"&gt;44.05&lt;/D&gt;&lt;/FQL&gt;&lt;FQL&gt;&lt;Q&gt;SPY^FG_PRICE(0,-200D)&lt;/Q&gt;&lt;R&gt;201&lt;/R&gt;&lt;C&gt;1&lt;/C&gt;&lt;D xsi:type="xsd:double"&gt;675.65&lt;/D&gt;&lt;D xsi:type="xsd:double"&gt;681.31&lt;/D&gt;&lt;D xsi:type="xsd:double"&gt;685.13&lt;/D&gt;&lt;D xsi:type="xsd:double"&gt;680.33&lt;/D&gt;&lt;D xsi:type="xsd:double"&gt;686.38&lt;/D&gt;&lt;D xsi:type="xsd:double"&gt;685.99&lt;/D&gt;&lt;D xsi:type="xsd:double"&gt;689.3&lt;/D&gt;&lt;D xsi:type="xsd:double"&gt;693.15&lt;/D&gt;&lt;D xsi:type="xsd:double"&gt;687.35&lt;/D&gt;&lt;D xsi:type="xsd:double"&gt;682.39&lt;/D&gt;&lt;D xsi:type="xsd:double"&gt;689.43&lt;/D&gt;&lt;D xsi:type="xsd:double"&gt;684.48&lt;/D&gt;&lt;D xsi:type="xsd:double"&gt;686.29&lt;/D&gt;&lt;D xsi:type="xsd:double"&gt;682.85&lt;/D&gt;&lt;D xsi:type="xsd:double"&gt;681.75&lt;/D&gt;&lt;D xsi:type="xsd:double"&gt;681.27&lt;/D&gt;&lt;D xsi:type="xsd:double"&gt;691.96&lt;/D&gt;&lt;D xsi:type="xsd:double"&gt;692.12&lt;/D&gt;&lt;D xsi:type="xsd:double"&gt;693.95&lt;/D&gt;&lt;D xsi:type="xsd:double"&gt;690.62&lt;/D&gt;&lt;D xsi:type="xsd:double"&gt;677.62&lt;/D&gt;&lt;D xsi:type="xsd:double"&gt;686.19&lt;/D&gt;&lt;D xsi:type="xsd:double"&gt;689.53&lt;/D&gt;&lt;D xsi:type="xsd:double"&gt;695.41&lt;/D&gt;&lt;D xsi:type="xsd:double"&gt;691.97&lt;/D&gt;&lt;D xsi:type="xsd:double"&gt;694.04&lt;/D&gt;&lt;D xsi:type="xsd:double"&gt;695.42&lt;/D&gt;&lt;D xsi:type="xsd:double"&gt;695.49&lt;/D&gt;&lt;D xsi:type="xsd:double"&gt;692.73&lt;/D&gt;&lt;D xsi:type="xsd:double"&gt;689.23&lt;/D&gt;&lt;D xsi:type="xsd:double"&gt;688.98&lt;/D&gt;&lt;D xsi:type="xsd:double"&gt;685.4&lt;/D&gt;&lt;D xsi:type="xsd:double"&gt;677.58&lt;/D&gt;&lt;D xsi:type="xsd:double"&gt;691.66&lt;/D&gt;&lt;D xsi:type="xsd:double"&gt;692.24&lt;/D&gt;&lt;D xsi:type="xsd:double"&gt;690.36&lt;/D&gt;&lt;D xsi:type="xsd:double"&gt;693.77&lt;/D&gt;&lt;D xsi:type="xsd:double"&gt;695.16&lt;/D&gt;&lt;D xsi:type="xsd:double"&gt;694.07&lt;/D&gt;&lt;D xsi:type="xsd:double"&gt;689.51&lt;/D&gt;&lt;D xsi:type="xsd:double"&gt;689.58&lt;/D&gt;&lt;D xsi:type="xsd:double"&gt;691.81&lt;/D&gt;&lt;D xsi:type="xsd:double"&gt;687.72&lt;/D&gt;&lt;D xsi:type="xsd:double"&gt;683.17&lt;/D&gt;&lt;D xsi:type="xsd:double"&gt;681.92&lt;/D&gt;&lt;D xsi:type="xsd:double"&gt;687.01&lt;/D&gt;&lt;D xsi:type="xsd:do</t>
        </r>
      </text>
    </comment>
    <comment ref="A6" authorId="0" shapeId="0" xr:uid="{9136397F-10C2-4DA4-BE62-8743F73E9C1B}">
      <text>
        <r>
          <rPr>
            <b/>
            <sz val="9"/>
            <color indexed="81"/>
            <rFont val="Tahoma"/>
            <charset val="1"/>
          </rPr>
          <t>uble"&gt;687.85&lt;/D&gt;&lt;D xsi:type="xsd:double"&gt;690.31&lt;/D&gt;&lt;D xsi:type="xsd:double"&gt;690.38&lt;/D&gt;&lt;D xsi:type="xsd:double"&gt;687.96&lt;/D&gt;&lt;D xsi:type="xsd:double"&gt;684.83&lt;/D&gt;&lt;D xsi:type="xsd:double"&gt;680.59&lt;/D&gt;&lt;D xsi:type="xsd:double"&gt;676.47&lt;/D&gt;&lt;D xsi:type="xsd:double"&gt;671.4&lt;/D&gt;&lt;D xsi:type="xsd:double"&gt;678.87&lt;/D&gt;&lt;D xsi:type="xsd:double"&gt;680.73&lt;/D&gt;&lt;D xsi:type="xsd:double"&gt;681.76&lt;/D&gt;&lt;D xsi:type="xsd:double"&gt;689.17&lt;/D&gt;&lt;D xsi:type="xsd:double"&gt;687.57&lt;/D&gt;&lt;D xsi:type="xsd:double"&gt;683.04&lt;/D&gt;&lt;D xsi:type="xsd:double"&gt;683.63&lt;/D&gt;&lt;D xsi:type="xsd:double"&gt;685.69&lt;/D&gt;&lt;D xsi:type="xsd:double"&gt;684.39&lt;/D&gt;&lt;D xsi:type="xsd:double"&gt;683.89&lt;/D&gt;&lt;D xsi:type="xsd:double"&gt;681.53&lt;/D&gt;&lt;D xsi:type="xsd:double"&gt;680.27&lt;/D&gt;&lt;D xsi:type="xsd:double"&gt;683.39&lt;/D&gt;&lt;D xsi:type="xsd:double"&gt;679.68&lt;/D&gt;&lt;D xsi:type="xsd:double"&gt;675.02&lt;/D&gt;&lt;D xsi:type="xsd:double"&gt;668.73&lt;/D&gt;&lt;D xsi:type="xsd:double"&gt;659.03&lt;/D&gt;&lt;D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xsi:type="xsd:double"&gt;597.53&lt;/D&gt;&lt;D xsi:type="xsd:double"&gt;602.68&lt;/D&gt;&lt;D xsi:type="xsd:double"&gt;597&lt;/D&gt;&lt;D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xsi:type="xsd:double"&gt;593.05&lt;/D&gt;&lt;D xsi:type="xsd:double"&gt;595.93&lt;/D&gt;&lt;D xsi:type="xsd:double"&gt;596.09&lt;/D&gt;&lt;D xsi:type="xsd:double"&gt;592.71&lt;/D&gt;&lt;D xsi:type="xsd:double"&gt;589.39&lt;/D&gt;&lt;D xsi:type="xsd:double"&gt;590.05&lt;/D&gt;&lt;D xsi:type="xsd:double"&gt;587.73&lt;/D&gt;&lt;D xsi:type="xsd:double"&gt;591.15&lt;/D&gt;&lt;D xsi:type="xsd:double"&gt;579.11&lt;/D&gt;&lt;D xsi:type="xsd:double"&gt;583.09&lt;/D&gt;&lt;D xsi:type="xsd:double"&gt;582.86&lt;/D&gt;&lt;D xsi:type="xsd:double"&gt;592.85&lt;/D&gt;&lt;D xsi:type="xsd:double"&gt;594.85&lt;/D&gt;&lt;/FQL&gt;&lt;FQL&gt;&lt;Q&gt;EPU^FG_PRICE(0,-200D)&lt;/Q&gt;&lt;R&gt;201&lt;/R&gt;&lt;C&gt;1&lt;/C&gt;&lt;D xsi:type="xsd:double"&gt;83.9&lt;/D&gt;&lt;D xsi:type="xsd:double"&gt;84.72&lt;/D&gt;&lt;D xsi:type="xsd:double"&gt;88.67&lt;/D&gt;&lt;D xsi:type="xsd:double"&gt;87.55&lt;/D&gt;&lt;D xsi:type="xsd:double"&gt;93.38&lt;/D&gt;&lt;D xsi:type="xsd:double"&gt;93.84&lt;/D&gt;&lt;D xsi:type="xsd:double"&gt;93.46&lt;/D&gt;&lt;D xsi:type="xsd:double"&gt;93.37&lt;/D&gt;&lt;D xsi:type="xsd:double"&gt;92.18&lt;/D&gt;&lt;D xsi:type="xsd:double"&gt;90.66&lt;/D&gt;&lt;D xsi:type="xsd:double"&gt;89.66&lt;/D&gt;&lt;D xsi:type="xsd:double"&gt;88.13&lt;/D&gt;&lt;D xsi:type="xsd:double"&gt;86.571&lt;/D&gt;&lt;D xsi:type="xsd:double"&gt;84.91&lt;/D&gt;&lt;D xsi:type="xsd:double"&gt;86.67&lt;/D&gt;&lt;D xsi:type="xsd:double"&gt;87.03&lt;/D&gt;&lt;D xsi:type="xsd:double"&gt;90.05&lt;/D&gt;&lt;D xsi:type="xsd:double"&gt;89.43&lt;/D&gt;&lt;D xsi:type="xsd:double"&gt;91.08&lt;/D&gt;&lt;D xsi:type="xsd:double"&gt;88.15&lt;/D&gt;&lt;D xsi:type="xsd:double"&gt;85.17&lt;/D&gt;&lt;D xsi:type="xsd:double"&gt;88.38&lt;/D&gt;&lt;D xsi:type="xsd:double"&gt;91.33&lt;/D&gt;&lt;D xsi:type="xsd:double"&gt;87.4&lt;/D&gt;&lt;D xsi:type="xsd:double"&gt;86.6&lt;/D&gt;&lt;D xsi:type="xsd:double"&gt;92.57&lt;/D&gt;&lt;D xsi:type="xsd:double"&gt;92.07&lt;/D&gt;&lt;D xsi:type="xsd:double"&gt;91.61&lt;/D&gt;&lt;D xsi:type="xsd:double"&gt;90.43&lt;/D&gt;&lt;D xsi:type="xsd:double"&gt;88.38&lt;/D&gt;&lt;D xsi:type="xsd:double"&gt;86.2&lt;/D&gt;&lt;D xsi:type="xsd:double"&gt;85.04&lt;/D&gt;&lt;D xsi:type="xsd:double"&gt;84.78&lt;/D&gt;&lt;D xsi:type="xsd:double"&gt;82.63&lt;/D&gt;&lt;D xsi:type="xsd:double"&gt;83.01&lt;/D&gt;&lt;D xsi:type="xsd:double"&gt;82.26&lt;/D&gt;&lt;D xsi:type="xsd:double"&gt;80.99&lt;/D&gt;&lt;D xsi:type="xsd:double"&gt;80.55&lt;/D&gt;&lt;D xsi:type="xsd:double"&gt;78.19&lt;/D&gt;&lt;D xsi:type="xsd:double"&gt;76.55&lt;/D&gt;&lt;D xsi:type="xsd:double"&gt;75.42&lt;/D&gt;&lt;D xsi:type="xsd:double"&gt;76.71&lt;/D&gt;&lt;D xsi:type="xsd:double"&gt;74.87&lt;/D&gt;&lt;D xsi:type="xsd:double"&gt;72.71&lt;/D&gt;&lt;D xsi:type="xsd:double"&gt;72.35&lt;/D&gt;&lt;D xsi:type="xsd:double"&gt;72.91&lt;/D&gt;&lt;D xsi:type="xsd:double"&gt;71.95&lt;/D&gt;&lt;D xsi:type="xsd:double"&gt;73.77&lt;/D&gt;&lt;D xsi:type="xsd:double"&gt;72.74&lt;/D&gt;&lt;D xsi:type="xsd:double"&gt;72.78&lt;/D&gt;&lt;D xsi:type="xsd:double"&gt;72.08&lt;/D&gt;&lt;D xsi:type="xsd:double"&gt;71.2&lt;/D&gt;&lt;D xsi:type="xsd:double"&gt;69.98&lt;/D&gt;&lt;D xsi:type="xsd:double"&gt;69.18&lt;/D&gt;&lt;D xsi:type="xsd:double"&gt;69.3&lt;/D&gt;&lt;D xsi:type="xsd:double"&gt;69.25&lt;/D&gt;&lt;D xsi:type="xsd:double"&gt;69.3&lt;/D&gt;&lt;D xsi:type="xsd:double"&gt;69.68&lt;/D&gt;&lt;D xsi:type="xsd:double"&gt;68.29&lt;/D&gt;&lt;D xsi:type="xsd:double"&gt;67.48&lt;/D&gt;&lt;D xsi:type="xsd:double"&gt;66.53&lt;/D&gt;&lt;D xsi:type="xsd:double"&gt;67.03&lt;/D&gt;&lt;D xsi:type="xsd:double"&gt;67&lt;/D&gt;&lt;D xsi:type="xsd:double"&gt;66.03&lt;/D&gt;&lt;D xsi:type="xsd:double"&gt;64.67&lt;/D&gt;&lt;D xsi:type="xsd:double"&gt;64.57&lt;/D&gt;&lt;D xsi:type="xsd:double"&gt;64.47&lt;/D&gt;&lt;D xsi:type="xsd:double"&gt;63.1&lt;/D&gt;&lt;D xsi:type="xsd:double"&gt;61.56&lt;/D&gt;&lt;D xsi:type="xsd:double"&gt;61.02&lt;/D&gt;&lt;D xsi:type="xsd:double"&gt;59.64&lt;/D&gt;&lt;D xsi:type="xsd:double"&gt;59.5&lt;/D&gt;&lt;D xsi:type="xsd:double"&gt;61.25&lt;/D&gt;&lt;D xsi:type="xsd:double"&gt;60.32&lt;/D&gt;&lt;D xsi:type="xsd:double"&gt;61.1636&lt;/D&gt;&lt;D xsi:type="xsd:double"&gt;62.34&lt;/D&gt;&lt;D xsi:type="xsd:double"&gt;62.52&lt;/D&gt;&lt;D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xsi:type="xsd:double"&gt;49.75&lt;/D&gt;&lt;D xsi:type="xsd:double"&gt;48.8572&lt;/D&gt;&lt;D xsi:type="xsd:double"&gt;48.59&lt;/D&gt;&lt;D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xsi:type="xsd:double"&gt;48.7961&lt;/D&gt;&lt;D xsi:type="xsd:double"&gt;48.065&lt;/D&gt;&lt;D xsi:type="xsd:double"&gt;47.95&lt;/D&gt;&lt;D xsi:type="xsd:double"&gt;47.72&lt;/D&gt;&lt;D xsi:type="xsd:double"&gt;46.64&lt;/D&gt;&lt;D xsi:type="xsd:double"&gt;46.6136&lt;/D&gt;&lt;D xsi:type="xsd:double"&gt;46.5428&lt;/D&gt;&lt;D xsi:type="xsd:double"&gt;46.83&lt;/D&gt;&lt;D xsi:type="xsd:double"&gt;46.76&lt;/D&gt;&lt;D xsi:type="xsd:double"&gt;45.76&lt;/D&gt;&lt;D xsi:type="xsd:double"&gt;45.66&lt;/D&gt;&lt;D xsi:type="xsd:double"&gt;45.57&lt;/D&gt;&lt;D xsi:type="xsd:double"&gt;45.16&lt;/D&gt;&lt;/FQL&gt;&lt;FQL&gt;&lt;Q&gt;EWD^FG_TOTAL_RETURNC(-5AY,0,AM)&lt;/Q&gt;&lt;R&gt;61&lt;/R&gt;&lt;C&gt;1&lt;/C&gt;&lt;D xsi:type="xsd:double"&gt;2.1235943&lt;/D&gt;&lt;D xsi:type="xsd:double"&gt;7.3130846&lt;/D&gt;&lt;D xsi:type="xsd:double"&gt;3.5053372&lt;/D&gt;&lt;D xsi:type="xsd:double"&gt;3.7442088&lt;/D&gt;&lt;D xsi:type="xsd:double"&gt;-3.0450046&lt;/D&gt;&lt;D xsi:type="xsd:double"&gt;3.316927&lt;/D&gt;&lt;D xsi:type="xsd:double"&gt;0.82850456&lt;/D&gt;&lt;D xsi:type="xsd:double"&gt;-8.648312&lt;/D&gt;&lt;D xsi:type="xsd:double"&gt;9.916794&lt;/D&gt;&lt;D xsi:type="xsd:double"&gt;-7.2217703&lt;/D&gt;&lt;D xsi:type="xsd:double"&gt;4.395056&lt;/D&gt;&lt;D xsi:type="xsd:double"&gt;-7.8431425&lt;/D&gt;&lt;D xsi:type="xsd:double"&gt;-18.723398&lt;/D&gt;&lt;D xsi:type="xsd:double"&gt;12.79813&lt;/D&gt;&lt;D xsi:type="xsd:double"&gt;-12.429089&lt;/D&gt;&lt;D xsi:type="xsd:double"&gt;8.833921&lt;/D&gt;&lt;D xsi:type="xsd:double"&gt;-15.563&lt;/D&gt;&lt;D xsi:type="xsd:double"&gt;9.297729&lt;/D&gt;&lt;D xsi:type="xsd:double"&gt;-11.342388&lt;/D&gt;&lt;D xsi:type="xsd:double"&gt;-4.593396&lt;/D&gt;&lt;D xsi:type="xsd:double"&gt;8.630526&lt;/D&gt;&lt;D xsi:type="xsd:double"&gt;10.37426&lt;/D&gt;&lt;D xsi:type="xsd:double"&gt;1.1999011&lt;/D&gt;&lt;D xsi:type="xsd:double"&gt;4.6704054&lt;/D&gt;&lt;D xsi:type="xsd:double"&gt;1.412034&lt;/D&gt;&lt;D xsi:type="xsd:double"&gt;-2.2834837&lt;/D&gt;&lt;D xsi:type="xsd:double"&gt;5.8991194&lt;/D&gt;&lt;D xsi:type="xsd:double"&gt;-5.7588816&lt;/D&gt;&lt;D xsi:type="xsd:double"&gt;-3.2267332&lt;/D&gt;&lt;D xsi:type="xsd:double"&gt;2.419591&lt;/D&gt;&lt;D xsi:type="xsd:double"&gt;-4.2350826&lt;/D&gt;&lt;D xsi:type="xsd:double"&gt;-0.39109588&lt;/D&gt;&lt;D xsi:type="xsd:double"&gt;-0.9060681&lt;/D&gt;&lt;D xsi:type="xsd:double"&gt;12.618101&lt;/D&gt;&lt;D xsi:type="xsd:double"&gt;4.4383883&lt;/D&gt;&lt;D xsi:type="xsd:double"&gt;-0.9824693&lt;/D&gt;&lt;D xsi:type="xsd:double"&gt;7.3478103&lt;/D&gt;&lt;D xsi:type="xsd:double"&gt;-0.099915266&lt;/D&gt;&lt;D xsi:type="xsd:double"&gt;-0.27506948&lt;/D&gt;&lt;D xsi:type="xsd:double"&gt;6.845534&lt;/D&gt;&lt;D xsi:type="xsd:double"&gt;-2.8003275&lt;/D&gt;&lt;D xsi:type="xsd:double"&gt;-7.1148157&lt;/D&gt;&lt;D xsi:type="xsd:double"&gt;5.5467486&lt;/D&gt;&lt;D xsi:type="xsd:double"&gt;5.6806803&lt;/D&gt;&lt;D xsi:type="xsd:double"&gt;-6.4882755&lt;/D&gt;&lt;D xsi:type="xsd:double"&gt;1.468718&lt;/D&gt;&lt;D xsi:type="xsd:double"&gt;-3.9181411&lt;/D&gt;&lt;D xsi:type="xsd:double"&gt;9.688306&lt;/D&gt;&lt;D xsi:type="xsd:double"&gt;4.925418&lt;/D&gt;&lt;D xsi:type="xsd:double"&gt;-13.856924&lt;/D&gt;&lt;D xsi:type="xsd:double"&gt;15.745354&lt;/D&gt;&lt;D xsi:type="xsd:double"&gt;4.4363976&lt;/D&gt;&lt;D xsi:type="xsd:double"&gt;1.0976076&lt;/D&gt;&lt;D xsi:type="xsd:double"&gt;-1.7536163&lt;/D&gt;&lt;D xsi:type="xsd:double"&gt;4.88621&lt;/D&gt;&lt;D xsi:type="xsd:double"&gt;2.659011&lt;/D&gt;&lt;D xsi:type="xsd:double"&gt;-2.6522994&lt;/D&gt;&lt;D xsi:type="xsd:double"&gt;2.958703&lt;/D&gt;&lt;D xsi:type="xsd:double"&gt;4.888642&lt;/D&gt;&lt;D xsi:type="xsd:double"&gt;5.62762&lt;/D&gt;&lt;D xsi:type="xsd:double"&gt;-2.0782113&lt;/D&gt;&lt;/FQL&gt;&lt;FQL&gt;&lt;Q&gt;CNYA^FG_TOTAL_RETURNC(-5AY,0,AM)&lt;/Q&gt;&lt;R&gt;61&lt;/R&gt;&lt;C&gt;1&lt;/C&gt;&lt;D xsi:type="xsd:double"&gt;-5.9095917&lt;/D&gt;&lt;D xsi:type="xsd:double"&gt;-1.6639292&lt;/D&gt;&lt;D xsi:type="xsd:double"&gt;-0.047665834&lt;/D&gt;&lt;D xsi:type="xsd:double"&gt;7.606113&lt;/D&gt;&lt;D xsi:type="xsd:double"&gt;-4.8967123&lt;/D&gt;&lt;D xsi:type="xsd:double"&gt;-1.1435211&lt;/D&gt;&lt;D xsi:type="xsd:double"&gt;0.37771463&lt;/D&gt;&lt;D xsi:type="xsd:double"&gt;-1.7874002&lt;/D&gt;&lt;D xsi:type="xsd:double"&gt;2.5383234&lt;/D&gt;&lt;D xsi:type="xsd:double"&gt;2.63896&lt;/D&gt;&lt;D xsi:type="xsd:double"&gt;-3.0514836&lt;/D&gt;&lt;D xsi:type="xsd:double"&gt;-4.831833&lt;/D&gt;&lt;D xsi:type="xsd:double"&gt;-0.97063184&lt;/D&gt;&lt;D xsi:type="xsd:double"&gt;-6.861019&lt;/D&gt;&lt;D xsi:type="xsd:double"&gt;-12.844044&lt;/D&gt;&lt;D xsi:type="xsd:double"&gt;9.040249&lt;/D&gt;&lt;D xsi:type="xsd:double"&gt;6.161022&lt;/D&gt;&lt;D xsi:type="xsd:double"&gt;-5.894965&lt;/D&gt;&lt;D xsi:type="xsd:double"&gt;-5.125284&lt;/D&gt;&lt;D xsi:type="xsd:double"&gt;-4.6818733&lt;/D&gt;&lt;D xsi:type="xsd:double"&gt;-2.8022647&lt;/D&gt;&lt;D xsi:type="xsd:double"&gt;6.316805&lt;/D&gt;&lt;D xsi:type="xsd:double"&gt;2.8449178&lt;/D&gt;&lt;D xsi:type="xsd:double"&gt;1.8512964&lt;/D&gt;&lt;D xsi:type="xsd:double"&gt;-2.175206&lt;/D&gt;&lt;D xsi:type="xsd:double"&gt;0.94424486&lt;/D&gt;&lt;D xsi:type="xsd:double"&gt;-3.1834662&lt;/D&gt;&lt;D xsi:type="xsd:double"&gt;-7.6515493&lt;/D&gt;&lt;D xsi:type="xsd:double"&gt;-1.5853643&lt;/D&gt;&lt;D xsi:type="xsd:double"&gt;6.426108&lt;/D&gt;&lt;D xsi:type="xsd:double"&gt;-7.2973847&lt;/D&gt;&lt;D xsi:type="xsd:double"&gt;-2.4555922&lt;/D&gt;&lt;D xsi:type="xsd:double"&gt;-1.4461637&lt;/D&gt;&lt;D xsi:type="xsd:double"&gt;-4.1304407&lt;/D&gt;&lt;D xsi:type="xsd:double"&gt;-1.8953025&lt;/D&gt;&lt;D xsi:type="xsd:double"&gt;-1.8459082&lt;/D&gt;&lt;D xsi:type="xsd:double"&gt;7.5633764&lt;/D&gt;&lt;D xsi:type="xsd:double"&gt;0.32687187&lt;/D&gt;&lt;D xsi:type="xsd:double"&gt;3.1595707&lt;/D&gt;&lt;D xsi:type="xsd:double"&gt;-2.7620256&lt;/D&gt;&lt;D xsi:type="xsd:double"&gt;-4.9600124&lt;/D&gt;&lt;D xsi:type="xsd:double"&gt;-0.39856434&lt;/D&gt;&lt;D xsi:type="xsd:double"&gt;-2.6010394&lt;/D&gt;&lt;D xsi:type="xsd:double"&gt;42.93344&lt;/D&gt;&lt;D xsi:type="xsd:double"&gt;-13.768328&lt;/D&gt;&lt;D xsi:type="xsd:double"&gt;-2.8666675&lt;/D&gt;&lt;D xsi:type="xsd:double"&gt;-6.043184&lt;/D&gt;&lt;D xsi:type="xsd:double"&gt;2.5755882&lt;/D&gt;&lt;D xsi:type="xsd:double"&gt;4.1666627&lt;/D&gt;&lt;D xsi:type="xsd:double"&gt;-7.213974&lt;/D&gt;&lt;D xsi:type="xsd:double"&gt;4.7439814&lt;/D&gt;&lt;D xsi:type="xsd:double"&gt;1.437819&lt;/D&gt;&lt;D xsi:type="xsd:double"&gt;2.8533936&lt;/D&gt;&lt;D xsi:type="xsd:double"&gt;4.9117923&lt;/D&gt;&lt;D xsi:type="xsd:double"&gt;8.869112&lt;/D&gt;&lt;D xsi:type="xsd:double"&gt;4.0884256&lt;/D&gt;&lt;D xsi:type="xsd:double"&gt;0.6400943&lt;/D&gt;&lt;D xsi:type="xsd:double"&gt;-1.0985851&lt;/D&gt;&lt;D xsi:type="xsd:double"&gt;5.90744&lt;/D&gt;&lt;D xsi:type="xsd:double"&gt;-0.6453395&lt;/D&gt;&lt;D xsi:type="xsd:double"&gt;-1.0448992&lt;/D&gt;&lt;/FQL&gt;&lt;FQL&gt;&lt;Q&gt;KSA^FG_PRICE(0,-200D)&lt;/Q&gt;&lt;R&gt;201&lt;/R&gt;&lt;C&gt;1&lt;/C&gt;&lt;D xsi:type="xsd:double"&gt;37.1&lt;/D&gt;&lt;D xsi:type="xsd:double"&gt;37.25&lt;/D&gt;&lt;D xsi:type="xsd:double"&gt;37.46&lt;/D&gt;&lt;D xsi:type="xsd:double"&gt;36.68&lt;/D&gt;&lt;D xsi:type="xsd:double"&gt;36.58&lt;/D&gt;&lt;D xsi:type="xsd:double"&gt;37.17&lt;/D&gt;&lt;D xsi:type="xsd:double"&gt;37.13&lt;/D&gt;&lt;D xsi:type="xsd:double"&gt;37.92&lt;/D&gt;&lt;D xsi:type="xsd:double"&gt;38.18&lt;/D&gt;&lt;D xsi:type="xsd:double"&gt;38.3&lt;/D&gt;&lt;D xsi:type="xsd:double"&gt;38.63&lt;/D&gt;&lt;D xsi:type="xsd:double"&gt;38.13&lt;/D&gt;&lt;D xsi:type="xsd:double"&gt;39.12&lt;/D&gt;&lt;D xsi:type="xsd:double"&gt;38.94&lt;/D&gt;&lt;D xsi:type="xsd:double"&gt;39.16&lt;/D&gt;&lt;D xsi:type="xsd:double"&gt;38.94&lt;/D&gt;&lt;D xsi:type="xsd:double"&gt;39.19&lt;/D&gt;&lt;D xsi:type="xsd:double"&gt;39.23&lt;/D&gt;&lt;D xsi:type="xsd:double"&gt;39.46&lt;/D&gt;&lt;D xsi:type="xsd:double"&gt;39.75&lt;/D&gt;&lt;D xsi:type="xsd:double"&gt;39.22&lt;/D&gt;&lt;D xsi:type="xsd:double"&gt;39.63&lt;/D&gt;&lt;D xsi:type="xsd:double"&gt;39.57&lt;/D&gt;&lt;D xsi:type="xsd:double"&gt;39.79&lt;/D&gt;&lt;D xsi:type="xsd:double"&gt;39.86&lt;/D&gt;&lt;D xsi:type="xsd:double"&gt;39.87&lt;/D&gt;&lt;D xsi:type="xsd:double"&gt;40.14&lt;/D&gt;&lt;D xsi:type="xsd:double"&gt;40.12&lt;/D&gt;&lt;D xsi:type="xsd:double"&gt;39.61&lt;/D&gt;&lt;D xsi:type="xsd:double"&gt;39.01&lt;/D&gt;&lt;D xsi:type="xsd:double"&gt;38.93&lt;/D&gt;&lt;D xsi:type="xsd:double"&gt;38.3&lt;/D&gt;&lt;D xsi:type="xsd:double"&gt;37.94&lt;/D&gt;&lt;D xsi:type="xsd:double"&gt;37.83&lt;/D&gt;&lt;D xsi:type="xsd:double"&gt;37.99&lt;/D&gt;&lt;D xsi:type="xsd:double"&gt;38.21&lt;/D&gt;&lt;D xsi:type="xsd:double"&gt;38.21&lt;/D&gt;&lt;D xsi:type="xsd:double"&gt;37.82&lt;/D&gt;&lt;D xsi:type="xsd:double"&gt;36.87&lt;/D&gt;&lt;D xsi:type="xsd:double"&gt;36.82&lt;/D&gt;&lt;D xsi:type="xsd:double"&gt;36.32&lt;/D&gt;&lt;D xsi:type="xsd:double"&gt;37.03&lt;/D&gt;&lt;D xsi:type="xsd:double"&gt;36&lt;/D&gt;&lt;D xsi:type="xsd:double"&gt;36.77&lt;/D&gt;&lt;D xsi:type="xsd:double"&gt;36.41&lt;/D&gt;&lt;D xsi:type="xsd:double"&gt;36.05&lt;/D&gt;&lt;D xsi:type="xsd:double"&gt;36.39&lt;/D&gt;&lt;D xsi:type="xsd:double"&gt;36.57&lt;/D&gt;&lt;D xsi:type="xsd:double"&gt;36.6&lt;/D&gt;&lt;D xsi:type="xsd:double"&gt;36.76&lt;/D&gt;&lt;D xsi:type="xsd:double"&gt;36.55&lt;/D&gt;&lt;D xsi:type="xsd:double"&gt;36.36&lt;/D&gt;&lt;D xsi:type="xsd:double"&gt;36.3&lt;/D&gt;&lt;D xsi:type="xsd:double"&gt;35.83&lt;/D&gt;&lt;D xsi:type="xsd:double"&gt;36.09&lt;/D&gt;&lt;D xsi:type="xsd:double"&gt;36.81&lt;/D&gt;&lt;D xsi:type="xsd:double"&gt;37.4&lt;/D&gt;&lt;D xsi:type="xsd:double"&gt;37.62&lt;/D&gt;&lt;D xsi:type="xsd:double"&gt;37.66&lt;/D&gt;&lt;D xsi:type="xsd:double"&gt;37.43&lt;/D&gt;&lt;D xsi:type="xsd:double"&gt;37.19&lt;/D&gt;&lt;D xsi:type="xsd:double"&gt;37.2&lt;/D&gt;&lt;D xsi:type="xsd:double"&gt;37.17&lt;/D&gt;&lt;D xsi:type="xsd:double"&gt;37.04&lt;/D&gt;&lt;D xsi:type="xsd:double"&gt;36.98&lt;/D&gt;&lt;D xsi:type="xsd:double"&gt;37.06&lt;/D&gt;&lt;D xsi:type="xsd:double"&gt;37.44&lt;/D&gt;&lt;D xsi:type="xsd:double"&gt;37.38&lt;/D&gt;&lt;D xsi:type="xsd:double"&gt;37.59&lt;/D&gt;&lt;D xsi:type="xsd:double"&gt;38.16&lt;/D&gt;&lt;D xsi:type="xsd:double"&gt;38.28&lt;/D&gt;&lt;D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xsi:type="xsd:double"&gt;38.48&lt;/D&gt;&lt;D xsi:type="xsd:double"&gt;38.38&lt;/D&gt;&lt;D xsi:type="xsd:double"&gt;38&lt;/D&gt;&lt;D xsi:type="xsd:double"&gt;38.16&lt;/D&gt;&lt;D xsi:type="xsd:double"&gt;38.33&lt;/D&gt;&lt;D xsi:type="xsd:double"&gt;38.39&lt;/D&gt;&lt;D xsi:type="xsd:double"&gt;38.6&lt;/D&gt;&lt;D xsi:type="xsd:double"&gt;38.21&lt;/D&gt;&lt;D xsi:type="xsd:double"&gt;39.17&lt;/D&gt;&lt;D xsi:type="xsd:double"&gt;39.28&lt;/D&gt;&lt;D xsi:type="xsd:double"&gt;39.3&lt;/D&gt;&lt;D xsi:type="xsd:double"&gt;39.89&lt;/D&gt;&lt;D xsi:type="xsd:double"&gt;39.91&lt;/D&gt;&lt;/FQL&gt;&lt;FQL&gt;&lt;Q&gt;EWT^FG_TOTAL_RETURNC(-5AY,0,AM)&lt;/Q&gt;&lt;R&gt;61&lt;/R&gt;&lt;C&gt;1&lt;/C&gt;&lt;D xsi:type="xsd:double"&gt;0.103485584&lt;/D&gt;&lt;D xsi:type="xsd:double"&gt;4.341829&lt;/D&gt;&lt;D xsi:type="xsd:double"&gt;4.04557&lt;/D&gt;&lt;D xsi:type="xsd:double"&gt;1.301384&lt;/D&gt;&lt;D xsi:type="xsd:double"&gt;0.924325&lt;/D&gt;&lt;D xsi:type="xsd:double"&gt;0.41912794&lt;/D&gt;&lt;D xsi:type="xsd:double"&gt;1.4067054&lt;/D&gt;&lt;D xsi:type="xsd:double"&gt;-7.667679&lt;/D&gt;&lt;D xsi:type="xsd:double"&gt;5.7619214&lt;/D&gt;&lt;D xsi:type="xsd:double"&gt;3.3562303&lt;/D&gt;&lt;D xsi:type="xsd:double"&gt;3.9324522&lt;/D&gt;&lt;D xsi:type="xsd:double"&gt;-3.7180781&lt;/D&gt;&lt;D xsi:type="xsd:double"&gt;-3.1172514&lt;/D&gt;&lt;D xsi:type="xsd:double"&gt;-2.609253&lt;/D&gt;&lt;D xsi:type="xsd:double"&gt;-9.335965&lt;/D&gt;&lt;D xsi:type="xsd:double"&gt;2.1211028&lt;/D&gt;&lt;D xsi:type="xsd:double"&gt;-14.770108&lt;/D&gt;&lt;D xsi:type="xsd:double"&gt;7.1651816&lt;/D&gt;&lt;D xsi:type="xsd:double"&gt;-5.675417&lt;/D&gt;&lt;D xsi:type="xsd:double"&gt;-7.356274&lt;/D&gt;&lt;D xsi:type="xsd:double"&gt;-4.3371916&lt;/D&gt;&lt;D xsi:type="xsd:double"&gt;14.694262&lt;/D&gt;&lt;D xsi:type="xsd:double"&gt;0.4115939&lt;/D&gt;&lt;D xsi:type="xsd:double"&gt;5.6945443&lt;/D&gt;&lt;D xsi:type="xsd:double"&gt;0.8115411&lt;/D&gt;&lt;D xsi:type="xsd:double"&gt;0.38013458&lt;/D&gt;&lt;D xsi:type="xsd:double"&gt;-1.0915518&lt;/D&gt;&lt;D xsi:type="xsd:double"&gt;6.441438&lt;/D&gt;&lt;D xsi:type="xsd:double"&gt;-2.7084172&lt;/D&gt;&lt;D xsi:type="xsd:double"&gt;1.6528964&lt;/D&gt;&lt;D xsi:type="xsd:double"&gt;-2.5460064&lt;/D&gt;&lt;D xsi:type="xsd:double"&gt;0.04390478&lt;/D&gt;&lt;D xsi:type="xsd:double"&gt;0.592494&lt;/D&gt;&lt;D xsi:type="xsd:double"&gt;4.9520135&lt;/D&gt;&lt;D xsi:type="xsd:double"&gt;4.009855&lt;/D&gt;&lt;D xsi:type="xsd:double"&gt;2.9285908&lt;/D&gt;&lt;D xsi:type="xsd:double"&gt;5.187142&lt;/D&gt;&lt;D xsi:type="xsd:double"&gt;1.1651993&lt;/D&gt;&lt;D xsi:type="xsd:double"&gt;0.76100826&lt;/D&gt;&lt;D xsi:type="xsd:double"&gt;5.327606&lt;/D&gt;&lt;D xsi:type="xsd:double"&gt;7.5193763&lt;/D&gt;&lt;D xsi:type="xsd:double"&gt;-12.959623&lt;/D&gt;&lt;D xsi:type="xsd:double"&gt;3.706777&lt;/D&gt;&lt;D xsi:type="xsd:double"&gt;7.3881745&lt;/D&gt;&lt;D xsi:type="xsd:double"&gt;2.714765&lt;/D&gt;&lt;D xsi:type="xsd:double"&gt;-0.706017&lt;/D&gt;&lt;D xsi:type="xsd:double"&gt;1.3290763&lt;/D&gt;&lt;D xsi:type="xsd:double"&gt;-2.898556&lt;/D&gt;&lt;D xsi:type="xsd:double"&gt;-2.8128564&lt;/D&gt;&lt;D xsi:type="xsd:double"&gt;-13.723177&lt;/D&gt;&lt;D xsi:type="xsd:double"&gt;17.66317&lt;/D&gt;&lt;D xsi:type="xsd:double"&gt;4.9456954&lt;/D&gt;&lt;D xsi:type="xsd:double"&gt;9.8503&lt;/D&gt;&lt;D xsi:type="xsd:double"&gt;-0.5047083&lt;/D&gt;&lt;D xsi:type="xsd:double"&gt;1.8092632&lt;/D&gt;&lt;D xsi:type="xsd:double"&gt;8.005309&lt;/D&gt;&lt;D xsi:type="xsd:double"&gt;-0.13839006&lt;/D&gt;&lt;D xsi:type="xsd:double"&gt;0.6313443&lt;/D&gt;&lt;D xsi:type="xsd:double"&gt;5.3759217&lt;/D&gt;&lt;D xsi:type="xsd:double"&gt;6.4104557&lt;/D&gt;&lt;D xsi:type="xsd:double"&gt;0.29978752&lt;/D&gt;&lt;/FQL&gt;&lt;FQL&gt;&lt;Q&gt;EZA^FG_PRICE(0,-200D)&lt;/Q&gt;&lt;R&gt;201&lt;/R&gt;&lt;C&gt;1&lt;/C&gt;&lt;D xsi:type="xsd:double"&gt;70.7225&lt;/D&gt;&lt;D xsi:type="xsd:double"&gt;71.42&lt;/D&gt;&lt;D xsi:type="xsd:double"&gt;74.34&lt;/D&gt;&lt;D xsi:type="xsd:double"&gt;73.56&lt;/D&gt;&lt;D xsi:type="xsd:double"&gt;79.9&lt;/D&gt;&lt;D xsi:type="xsd:double"&gt;81.6&lt;/D&gt;&lt;D xsi:type="xsd:double"&gt;80.76&lt;/D&gt;&lt;D xsi:type="xsd:double"&gt;80.27&lt;/D&gt;&lt;D xsi:type="xsd:double"&gt;79.25&lt;/D&gt;&lt;D xsi:type="xsd:double"&gt;77.89&lt;/D&gt;&lt;D xsi:type="xsd:double"&gt;77.25&lt;/D&gt;&lt;D xsi:type="xsd:double"&gt;75.01&lt;/D&gt;&lt;D xsi:type="xsd:double"&gt;75.57&lt;/D&gt;&lt;D xsi:type="xsd:double"&gt;74.71&lt;/D&gt;&lt;D xsi:type="xsd:double"&gt;75.32&lt;/D&gt;&lt;D xsi:type="xsd:double"&gt;74.15&lt;/D&gt;&lt;D xsi:type="xsd:double"&gt;76.53&lt;/D&gt;&lt;D xsi:type="xsd:double"&gt;75.41&lt;/D&gt;&lt;D xsi:type="xsd:double"&gt;75.72&lt;/D&gt;&lt;D xsi:type="xsd:double"&gt;74.77&lt;/D&gt;&lt;D xsi:type="xsd:double"&gt;71.6&lt;/D&gt;&lt;D xsi:type="xsd:double"&gt;73.98&lt;/D&gt;&lt;D xsi:type="xsd:double"&gt;74.56&lt;/D&gt;&lt;D xsi:type="xsd:double"&gt;73.25&lt;/D&gt;&lt;D xsi:type="xsd:double"&gt;73.2&lt;/D&gt;&lt;D xsi:type="xsd:double"&gt;79.58&lt;/D&gt;&lt;D xsi:type="xsd:double"&gt;80.14&lt;/D&gt;&lt;D xsi:type="xsd:double"&gt;79.02&lt;/D&gt;&lt;D xsi:type="xsd:double"&gt;77.38&lt;/D&gt;&lt;D xsi:type="xsd:double"&gt;76.34&lt;/D&gt;&lt;D xsi:type="xsd:double"&gt;75.56&lt;/D&gt;&lt;D xsi:type="xsd:double"&gt;73.52&lt;/D&gt;&lt;D xsi:type="xsd:double"&gt;73.44&lt;/D&gt;&lt;D xsi:type="xsd:double"&gt;72.78&lt;/D&gt;&lt;D xsi:type="xsd:double"&gt;73.74&lt;/D&gt;&lt;D xsi:type="xsd:double"&gt;73.39&lt;/D&gt;&lt;D xsi:type="xsd:double"&gt;73.09&lt;/D&gt;&lt;D xsi:type="xsd:double"&gt;72.78&lt;/D&gt;&lt;D xsi:type="xsd:double"&gt;70.69&lt;/D&gt;&lt;D xsi:type="xsd:double"&gt;70.34&lt;/D&gt;&lt;D xsi:type="xsd:double"&gt;71.45&lt;/D&gt;&lt;D xsi:type="xsd:double"&gt;72.74&lt;/D&gt;&lt;D xsi:type="xsd:double"&gt;70.24&lt;/D&gt;&lt;D xsi:type="xsd:double"&gt;69.4&lt;/D&gt;&lt;D xsi:type="xsd:double"&gt;68.8&lt;/D&gt;&lt;D xsi:type="xsd:double"&gt;69.23&lt;/D&gt;&lt;D xsi:type="xsd:double"&gt;68.43&lt;/D&gt;&lt;D xsi:type="xsd:double"&gt;70.31&lt;/D&gt;&lt;D xsi:type="xsd:double"&gt;69.92&lt;/D&gt;&lt;D xsi:type="xsd:double"&gt;69.54&lt;/D&gt;&lt;D xsi:type="xsd:double"&gt;68.79&lt;/D&gt;&lt;D xsi:type="xsd:double"&gt;67.6&lt;/D&gt;&lt;D xsi:type="xsd:double"&gt;67.51&lt;/D&gt;&lt;D xsi:type="xsd:double"&gt;66.64&lt;/D&gt;&lt;D xsi:type="xsd:double"&gt;65.7&lt;/D&gt;&lt;D xsi:type="xsd:double"&gt;69.61&lt;/D&gt;&lt;D xsi:type="xsd:double"&gt;68.63&lt;/D&gt;&lt;D xsi:type="xsd:double"&gt;69.5&lt;/D&gt;&lt;D xsi:type="xsd:double"&gt;68.18&lt;/D&gt;&lt;D xsi:type="xsd:double"&gt;66.91&lt;/D&gt;&lt;D xsi:type="xsd:double"&gt;66.39&lt;/D&gt;&lt;D xsi:type="xsd:double"&gt;67.88&lt;/D&gt;&lt;D xsi:type="xsd:double"&gt;67.05&lt;/D&gt;&lt;D xsi:type="xsd:double"&gt;66.92&lt;/D&gt;&lt;D xsi:type="xsd:double"&gt;66.5&lt;/D&gt;&lt;D xsi:type="xsd:double"&gt;67.45&lt;/D&gt;&lt;D xsi:type="xsd:double"&gt;66.74&lt;/D&gt;&lt;D xsi:type="xsd:double"&gt;67.83&lt;/D&gt;&lt;D xsi:type="xsd:double"&gt;66.3&lt;/D&gt;&lt;D xsi:type="xsd:double"&gt;65.89&lt;/D&gt;&lt;D xsi:type="xsd:double"&gt;64.86&lt;/D&gt;&lt;D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</t>
        </r>
      </text>
    </comment>
    <comment ref="A7" authorId="0" shapeId="0" xr:uid="{B8B57471-4051-4B21-A4F3-D55FF53F419A}">
      <text>
        <r>
          <rPr>
            <b/>
            <sz val="9"/>
            <color indexed="81"/>
            <rFont val="Tahoma"/>
            <charset val="1"/>
          </rPr>
          <t>double"&gt;53.94&lt;/D&gt;&lt;D xsi:type="xsd:double"&gt;54.03&lt;/D&gt;&lt;D xsi:type="xsd:double"&gt;53.46&lt;/D&gt;&lt;D xsi:type="xsd:double"&gt;53.13&lt;/D&gt;&lt;D xsi:type="xsd:double"&gt;53.27&lt;/D&gt;&lt;D xsi:type="xsd:double"&gt;52.21&lt;/D&gt;&lt;D xsi:type="xsd:double"&gt;53.05&lt;/D&gt;&lt;D xsi:type="xsd:double"&gt;52.03&lt;/D&gt;&lt;D xsi:type="xsd:double"&gt;51.91&lt;/D&gt;&lt;D xsi:type="xsd:double"&gt;52.52&lt;/D&gt;&lt;D xsi:type="xsd:double"&gt;51.43&lt;/D&gt;&lt;D xsi:type="xsd:double"&gt;51.45&lt;/D&gt;&lt;D xsi:type="xsd:double"&gt;51.61&lt;/D&gt;&lt;D xsi:type="xsd:double"&gt;51.08&lt;/D&gt;&lt;/FQL&gt;&lt;FQL&gt;&lt;Q&gt;EWA^FG_TOTAL_RETURNC(-5AY,0,AM)&lt;/Q&gt;&lt;R&gt;61&lt;/R&gt;&lt;C&gt;1&lt;/C&gt;&lt;D xsi:type="xsd:double"&gt;1.3704181&lt;/D&gt;&lt;D xsi:type="xsd:double"&gt;0.35785437&lt;/D&gt;&lt;D xsi:type="xsd:double"&gt;4.833591&lt;/D&gt;&lt;D xsi:type="xsd:double"&gt;3.4769416&lt;/D&gt;&lt;D xsi:type="xsd:double"&gt;-4.457271&lt;/D&gt;&lt;D xsi:type="xsd:double"&gt;2.093029&lt;/D&gt;&lt;D xsi:type="xsd:double"&gt;0.75930357&lt;/D&gt;&lt;D xsi:type="xsd:double"&gt;-5.312741&lt;/D&gt;&lt;D xsi:type="xsd:double"&gt;5.173099&lt;/D&gt;&lt;D xsi:type="xsd:double"&gt;-6.6969395&lt;/D&gt;&lt;D xsi:type="xsd:double"&gt;2.9719949&lt;/D&gt;&lt;D xsi:type="xsd:double"&gt;-5.673468&lt;/D&gt;&lt;D xsi:type="xsd:double"&gt;7.183039&lt;/D&gt;&lt;D xsi:type="xsd:double"&gt;7.226479&lt;/D&gt;&lt;D xsi:type="xsd:double"&gt;-9.299696&lt;/D&gt;&lt;D xsi:type="xsd:double"&gt;3.52844&lt;/D&gt;&lt;D xsi:type="xsd:double"&gt;-13.201785&lt;/D&gt;&lt;D xsi:type="xsd:double"&gt;6.7238927&lt;/D&gt;&lt;D xsi:type="xsd:double"&gt;-4.066128&lt;/D&gt;&lt;D xsi:type="xsd:double"&gt;-4.704237&lt;/D&gt;&lt;D xsi:type="xsd:double"&gt;4.2522073&lt;/D&gt;&lt;D xsi:type="xsd:double"&gt;8.110642&lt;/D&gt;&lt;D xsi:type="xsd:double"&gt;1.6854525&lt;/D&gt;&lt;D xsi:type="xsd:double"&gt;5.5603743&lt;/D&gt;&lt;D xsi:type="xsd:double"&gt;-4.320985&lt;/D&gt;&lt;D xsi:type="xsd:double"&gt;-0.6881714&lt;/D&gt;&lt;D xsi:type="xsd:double"&gt;0.90948343&lt;/D&gt;&lt;D xsi:type="xsd:double"&gt;-2.5750995&lt;/D&gt;&lt;D xsi:type="xsd:double"&gt;-1.6109049&lt;/D&gt;&lt;D xsi:type="xsd:double"&gt;2.5091171&lt;/D&gt;&lt;D xsi:type="xsd:double"&gt;-2.7147233&lt;/D&gt;&lt;D xsi:type="xsd:double"&gt;-2.012813&lt;/D&gt;&lt;D xsi:type="xsd:double"&gt;1.4005542&lt;/D&gt;&lt;D xsi:type="xsd:double"&gt;3.7753344&lt;/D&gt;&lt;D xsi:type="xsd:double"&gt;7.7655673&lt;/D&gt;&lt;D xsi:type="xsd:double"&gt;-0.7142842&lt;/D&gt;&lt;D xsi:type="xsd:double"&gt;3.131616&lt;/D&gt;&lt;D xsi:type="xsd:double"&gt;0.7796407&lt;/D&gt;&lt;D xsi:type="xsd:double"&gt;-0.570029&lt;/D&gt;&lt;D xsi:type="xsd:double"&gt;2.7846098&lt;/D&gt;&lt;D xsi:type="xsd:double"&gt;1.3393402&lt;/D&gt;&lt;D xsi:type="xsd:double"&gt;-5.370742&lt;/D&gt;&lt;D xsi:type="xsd:double"&gt;6.3955903&lt;/D&gt;&lt;D xsi:type="xsd:double"&gt;5.334389&lt;/D&gt;&lt;D xsi:type="xsd:double"&gt;-2.834469&lt;/D&gt;&lt;D xsi:type="xsd:double"&gt;-0.03888607&lt;/D&gt;&lt;D xsi:type="xsd:double"&gt;-3.7409961&lt;/D&gt;&lt;D xsi:type="xsd:double"&gt;3.288114&lt;/D&gt;&lt;D xsi:type="xsd:double"&gt;-4.417026&lt;/D&gt;&lt;D xsi:type="xsd:double"&gt;-11.948377&lt;/D&gt;&lt;D xsi:type="xsd:double"&gt;18.43971&lt;/D&gt;&lt;D xsi:type="xsd:double"&gt;5.269468&lt;/D&gt;&lt;D xsi:type="xsd:double"&gt;1.9464493&lt;/D&gt;&lt;D xsi:type="xsd:double"&gt;0.6797552&lt;/D&gt;&lt;D xsi:type="xsd:double"&gt;1.0127544&lt;/D&gt;&lt;D xsi:type="xsd:double"&gt;1.5967369&lt;/D&gt;&lt;D xsi:type="xsd:double"&gt;-3.289479&lt;/D&gt;&lt;D xsi:type="xsd:double"&gt;-0.4535079&lt;/D&gt;&lt;D xsi:type="xsd:double"&gt;2.2974133&lt;/D&gt;&lt;D xsi:type="xsd:double"&gt;6.5685153&lt;/D&gt;&lt;D xsi:type="xsd:double"&gt;0.8147359&lt;/D&gt;&lt;/FQL&gt;&lt;FQL&gt;&lt;Q&gt;EWM^FG_TOTAL_RETURNC(-5AY,0,AM)&lt;/Q&gt;&lt;R&gt;61&lt;/R&gt;&lt;C&gt;1&lt;/C&gt;&lt;D xsi:type="xsd:double"&gt;-0.32680035&lt;/D&gt;&lt;D xsi:type="xsd:double"&gt;-0.400728&lt;/D&gt;&lt;D xsi:type="xsd:double"&gt;0.10973215&lt;/D&gt;&lt;D xsi:type="xsd:double"&gt;0.21921396&lt;/D&gt;&lt;D xsi:type="xsd:double"&gt;-4.634416&lt;/D&gt;&lt;D xsi:type="xsd:double"&gt;-3.351736&lt;/D&gt;&lt;D xsi:type="xsd:double"&gt;7.874334&lt;/D&gt;&lt;D xsi:type="xsd:double"&gt;-2.0801842&lt;/D&gt;&lt;D xsi:type="xsd:double"&gt;-1.0428667&lt;/D&gt;&lt;D xsi:type="xsd:double"&gt;-4.605776&lt;/D&gt;&lt;D xsi:type="xsd:double"&gt;3.8785934&lt;/D&gt;&lt;D xsi:type="xsd:double"&gt;-0.61025023&lt;/D&gt;&lt;D xsi:type="xsd:double"&gt;5.1985264&lt;/D&gt;&lt;D xsi:type="xsd:double"&gt;0.6225705&lt;/D&gt;&lt;D xsi:type="xsd:double"&gt;-6.573862&lt;/D&gt;&lt;D xsi:type="xsd:double"&gt;-1.7798007&lt;/D&gt;&lt;D xsi:type="xsd:double"&gt;-7.50187&lt;/D&gt;&lt;D xsi:type="xsd:double"&gt;5.0209165&lt;/D&gt;&lt;D xsi:type="xsd:double"&gt;-2.346176&lt;/D&gt;&lt;D xsi:type="xsd:double"&gt;-6.527644&lt;/D&gt;&lt;D xsi:type="xsd:double"&gt;0.5819559&lt;/D&gt;&lt;D xsi:type="xsd:double"&gt;9.836065&lt;/D&gt;&lt;D xsi:type="xsd:double"&gt;1.9431353&lt;/D&gt;&lt;D xsi:type="xsd:double"&gt;2.2173882&lt;/D&gt;&lt;D xsi:type="xsd:double"&gt;-6.7630825&lt;/D&gt;&lt;D xsi:type="xsd:double"&gt;1.5510917&lt;/D&gt;&lt;D xsi:type="xsd:double"&gt;-0.4492402&lt;/D&gt;&lt;D xsi:type="xsd:double"&gt;-7.3555946&lt;/D&gt;&lt;D xsi:type="xsd:double"&gt;-1.5135765&lt;/D&gt;&lt;D xsi:type="xsd:double"&gt;7.703924&lt;/D&gt;&lt;D xsi:type="xsd:double"&gt;-2.0570278&lt;/D&gt;&lt;D xsi:type="xsd:double"&gt;-1.8615842&lt;/D&gt;&lt;D xsi:type="xsd:double"&gt;4.9610972&lt;/D&gt;&lt;D xsi:type="xsd:double"&gt;-2.2706209999999998&lt;/D&gt;&lt;D xsi:type="xsd:double"&gt;3.5529017&lt;/D&gt;&lt;D xsi:type="xsd:double"&gt;-1.5377462&lt;/D&gt;&lt;D xsi:type="xsd:double"&gt;2.0823479&lt;/D&gt;&lt;D xsi:type="xsd:double"&gt;2.5034785&lt;/D&gt;&lt;D xsi:type="xsd:double"&gt;3.0755281&lt;/D&gt;&lt;D xsi:type="xsd:double"&gt;2.1061897&lt;/D&gt;&lt;D xsi:type="xsd:double"&gt;0.117218494&lt;/D&gt;&lt;D xsi:type="xsd:double"&gt;1.7444372&lt;/D&gt;&lt;D xsi:type="xsd:double"&gt;8.3583355&lt;/D&gt;&lt;D xsi:type="xsd:double"&gt;3.1645536&lt;/D&gt;&lt;D xsi:type="xsd:double"&gt;-3.7960112&lt;/D&gt;&lt;D xsi:type="xsd:double"&gt;-0.3587067&lt;/D&gt;&lt;D xsi:type="xsd:double"&gt;-1.2203872&lt;/D&gt;&lt;D xsi:type="xsd:double"&gt;-0.8250773&lt;/D&gt;&lt;D xsi:type="xsd:double"&gt;-2.5790393&lt;/D&gt;&lt;D xsi:type="xsd:double"&gt;-6.447482&lt;/D&gt;&lt;D xsi:type="xsd:double"&gt;12.460065&lt;/D&gt;&lt;D xsi:type="xsd:double"&gt;-1.5827894&lt;/D&gt;&lt;D xsi:type="xsd:double"&gt;2.7964354&lt;/D&gt;&lt;D xsi:type="xsd:double"&gt;-0.040966272&lt;/D&gt;&lt;D xsi:type="xsd:double"&gt;2.581966&lt;/D&gt;&lt;D xsi:type="xsd:double"&gt;4.23491&lt;/D&gt;&lt;D xsi:type="xsd:double"&gt;-0.30663013&lt;/D&gt;&lt;D xsi:type="xsd:double"&gt;2.422142&lt;/D&gt;&lt;D xsi:type="xsd:double"&gt;5.36325&lt;/D&gt;&lt;D xsi:type="xsd:double"&gt;7.0213556&lt;/D&gt;&lt;D xsi:type="xsd:double"&gt;-3.4832537&lt;/D&gt;&lt;/FQL&gt;&lt;FQL&gt;&lt;Q&gt;UAE^FG_PRICE(0,-200D)&lt;/Q&gt;&lt;R&gt;201&lt;/R&gt;&lt;C&gt;1&lt;/C&gt;&lt;D xsi:type="xsd:double"&gt;19.1&lt;/D&gt;&lt;D xsi:type="xsd:double"&gt;19.4&lt;/D&gt;&lt;D xsi:type="xsd:double"&gt;19.835&lt;/D&gt;&lt;D xsi:type="xsd:double"&gt;19.69&lt;/D&gt;&lt;D xsi:type="xsd:double"&gt;20.31&lt;/D&gt;&lt;D xsi:type="xsd:double"&gt;21.35&lt;/D&gt;&lt;D xsi:type="xsd:double"&gt;21.54&lt;/D&gt;&lt;D xsi:type="xsd:double"&gt;22&lt;/D&gt;&lt;D xsi:type="xsd:double"&gt;22&lt;/D&gt;&lt;D xsi:type="xsd:double"&gt;21.96&lt;/D&gt;&lt;D xsi:type="xsd:double"&gt;21.63&lt;/D&gt;&lt;D xsi:type="xsd:double"&gt;21.69&lt;/D&gt;&lt;D xsi:type="xsd:double"&gt;22.23&lt;/D&gt;&lt;D xsi:type="xsd:double"&gt;21.85&lt;/D&gt;&lt;D xsi:type="xsd:double"&gt;21.94&lt;/D&gt;&lt;D xsi:type="xsd:double"&gt;21.89&lt;/D&gt;&lt;D xsi:type="xsd:double"&gt;21.83&lt;/D&gt;&lt;D xsi:type="xsd:double"&gt;21.9&lt;/D&gt;&lt;D xsi:type="xsd:double"&gt;21.89&lt;/D&gt;&lt;D xsi:type="xsd:double"&gt;21.73&lt;/D&gt;&lt;D xsi:type="xsd:double"&gt;21.39&lt;/D&gt;&lt;D xsi:type="xsd:double"&gt;21.29&lt;/D&gt;&lt;D xsi:type="xsd:double"&gt;21.11&lt;/D&gt;&lt;D xsi:type="xsd:double"&gt;20.94&lt;/D&gt;&lt;D xsi:type="xsd:double"&gt;20.49&lt;/D&gt;&lt;D xsi:type="xsd:double"&gt;20.66&lt;/D&gt;&lt;D xsi:type="xsd:double"&gt;20.75&lt;/D&gt;&lt;D xsi:type="xsd:double"&gt;20.71&lt;/D&gt;&lt;D xsi:type="xsd:double"&gt;20.41&lt;/D&gt;&lt;D xsi:type="xsd:double"&gt;20.46&lt;/D&gt;&lt;D xsi:type="xsd:double"&gt;20.62&lt;/D&gt;&lt;D xsi:type="xsd:double"&gt;20.3&lt;/D&gt;&lt;D xsi:type="xsd:double"&gt;20.09&lt;/D&gt;&lt;D xsi:type="xsd:double"&gt;19.87&lt;/D&gt;&lt;D xsi:type="xsd:double"&gt;19.73&lt;/D&gt;&lt;D xsi:type="xsd:double"&gt;19.59&lt;/D&gt;&lt;D xsi:type="xsd:double"&gt;19.76&lt;/D&gt;&lt;D xsi:type="xsd:double"&gt;19.55&lt;/D&gt;&lt;D xsi:type="xsd:double"&gt;19.43&lt;/D&gt;&lt;D xsi:type="xsd:double"&gt;19.65&lt;/D&gt;&lt;D xsi:type="xsd:double"&gt;19.65&lt;/D&gt;&lt;D xsi:type="xsd:double"&gt;19.425&lt;/D&gt;&lt;D xsi:type="xsd:double"&gt;19.22&lt;/D&gt;&lt;D xsi:type="xsd:double"&gt;19.2151&lt;/D&gt;&lt;D xsi:type="xsd:double"&gt;19.12&lt;/D&gt;&lt;D xsi:type="xsd:double"&gt;19.05&lt;/D&gt;&lt;D xsi:type="xsd:double"&gt;19.6&lt;/D&gt;&lt;D xsi:type="xsd:double"&gt;19.54&lt;/D&gt;&lt;D xsi:type="xsd:double"&gt;19.52&lt;/D&gt;&lt;D xsi:type="xsd:double"&gt;19.56&lt;/D&gt;&lt;D xsi:type="xsd:double"&gt;19.45&lt;/D&gt;&lt;D xsi:type="xsd:double"&gt;19.25&lt;/D&gt;&lt;D xsi:type="xsd:double"&gt;19.31&lt;/D&gt;&lt;D xsi:type="xsd:double"&gt;19.1129&lt;/D&gt;&lt;D xsi:type="xsd:double"&gt;19.24&lt;/D&gt;&lt;D xsi:type="xsd:double"&gt;19.38&lt;/D&gt;&lt;D xsi:type="xsd:double"&gt;19.35&lt;/D&gt;&lt;D xsi:type="xsd:double"&gt;19.51&lt;/D&gt;&lt;D xsi:type="xsd:double"&gt;19.4401&lt;/D&gt;&lt;D xsi:type="xsd:double"&gt;19.38&lt;/D&gt;&lt;D xsi:type="xsd:double"&gt;19.08&lt;/D&gt;&lt;D xsi:type="xsd:double"&gt;19.22&lt;/D&gt;&lt;D xsi:type="xsd:double"&gt;19.05&lt;/D&gt;&lt;D xsi:type="xsd:double"&gt;18.85&lt;/D&gt;&lt;D xsi:type="xsd:double"&gt;18.53&lt;/D&gt;&lt;D xsi:type="xsd:double"&gt;18.4941&lt;/D&gt;&lt;D xsi:type="xsd:double"&gt;18.58&lt;/D&gt;&lt;D xsi:type="xsd:double"&gt;18.53&lt;/D&gt;&lt;D xsi:type="xsd:double"&gt;18.71&lt;/D&gt;&lt;D xsi:type="xsd:double"&gt;18.75&lt;/D&gt;&lt;D xsi:type="xsd:double"&gt;18.68&lt;/D&gt;&lt;D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xsi:type="xsd:double"&gt;18.61&lt;/D&gt;&lt;D xsi:type="xsd:double"&gt;18.59&lt;/D&gt;&lt;D xsi:type="xsd:double"&gt;18.59&lt;/D&gt;&lt;D xsi:type="xsd:double"&gt;18.45&lt;/D&gt;&lt;D xsi:type="xsd:double"&gt;18.57&lt;/D&gt;&lt;D xsi:type="xsd:double"&gt;18.59&lt;/D&gt;&lt;D xsi:type="xsd:double"&gt;18.66&lt;/D&gt;&lt;D xsi:type="xsd:double"&gt;18.62&lt;/D&gt;&lt;D xsi:type="xsd:double"&gt;18.45&lt;/D&gt;&lt;D xsi:type="xsd:double"&gt;18.53&lt;/D&gt;&lt;D xsi:type="xsd:double"&gt;18.57&lt;/D&gt;&lt;D xsi:type="xsd:double"&gt;18.71&lt;/D&gt;&lt;D xsi:type="xsd:double"&gt;18.65&lt;/D&gt;&lt;/FQL&gt;&lt;FQL&gt;&lt;Q&gt;ENZL^FG_TOTAL_RETURNC(-5AY,0,AM)&lt;/Q&gt;&lt;R&gt;61&lt;/R&gt;&lt;C&gt;1&lt;/C&gt;&lt;D xsi:type="xsd:double"&gt;-7.273531&lt;/D&gt;&lt;D xsi:type="xsd:double"&gt;-1.543355&lt;/D&gt;&lt;D xsi:type="xsd:double"&gt;4.9773693&lt;/D&gt;&lt;D xsi:type="xsd:double"&gt;-3.5714269&lt;/D&gt;&lt;D xsi:type="xsd:double"&gt;-0.93138814&lt;/D&gt;&lt;D xsi:type="xsd:double"&gt;0.50406456&lt;/D&gt;&lt;D xsi:type="xsd:double"&gt;4.7888637&lt;/D&gt;&lt;D xsi:type="xsd:double"&gt;-3.7980497&lt;/D&gt;&lt;D xsi:type="xsd:double"&gt;1.7653584&lt;/D&gt;&lt;D xsi:type="xsd:double"&gt;-8.253116&lt;/D&gt;&lt;D xsi:type="xsd:double"&gt;1.4829397&lt;/D&gt;&lt;D xsi:type="xsd:double"&gt;-7.5303373&lt;/D&gt;&lt;D xsi:type="xsd:double"&gt;4.0729046&lt;/D&gt;&lt;D xsi:type="xsd:double"&gt;-1.2687624&lt;/D&gt;&lt;D xsi:type="xsd:double"&gt;-12.144793&lt;/D&gt;&lt;D xsi:type="xsd:double"&gt;0.16480684&lt;/D&gt;&lt;D xsi:type="xsd:double"&gt;-6.1514435&lt;/D&gt;&lt;D xsi:type="xsd:double"&gt;7.8270555&lt;/D&gt;&lt;D xsi:type="xsd:double"&gt;-5.387628&lt;/D&gt;&lt;D xsi:type="xsd:double"&gt;-9.650076&lt;/D&gt;&lt;D xsi:type="xsd:double"&gt;7.3129654&lt;/D&gt;&lt;D xsi:type="xsd:double"&gt;9.863257&lt;/D&gt;&lt;D xsi:type="xsd:double"&gt;2.0430923&lt;/D&gt;&lt;D xsi:type="xsd:double"&gt;3.6668658&lt;/D&gt;&lt;D xsi:type="xsd:double"&gt;-4.8163595&lt;/D&gt;&lt;D xsi:type="xsd:double"&gt;1.5679121&lt;/D&gt;&lt;D xsi:type="xsd:double"&gt;1.2630224&lt;/D&gt;&lt;D xsi:type="xsd:double"&gt;-4.019004&lt;/D&gt;&lt;D xsi:type="xsd:double"&gt;1.3760328&lt;/D&gt;&lt;D xsi:type="xsd:double"&gt;-0.69872737&lt;/D&gt;&lt;D xsi:type="xsd:double"&gt;-7.636589&lt;/D&gt;&lt;D xsi:type="xsd:double"&gt;0.8962512&lt;/D&gt;&lt;D xsi:type="xsd:double"&gt;-1.1769891&lt;/D&gt;&lt;D xsi:type="xsd:double"&gt;4.2471886&lt;/D&gt;&lt;D xsi:type="xsd:double"&gt;5.0296783&lt;/D&gt;&lt;D xsi:type="xsd:double"&gt;-2.1160662&lt;/D&gt;&lt;D xsi:type="xsd:double"&gt;-2.5256872&lt;/D&gt;&lt;D xsi:type="xsd:double"&gt;0.32937527&lt;/D&gt;&lt;D xsi:type="xsd:double"&gt;-0.45961738&lt;/D&gt;&lt;D xsi:type="xsd:double"&gt;4.0017605&lt;/D&gt;&lt;D xsi:type="xsd:double"&gt;-2.9831767&lt;/D&gt;&lt;D xsi:type="xsd:double"&gt;-0.21958947&lt;/D&gt;&lt;D xsi:type="xsd:double"&gt;7.3283434&lt;/D&gt;&lt;D xsi:type="xsd:double"&gt;0.020503998&lt;/D&gt;&lt;D xsi:type="xsd:double"&gt;-2.603525&lt;/D&gt;&lt;D xsi:type="xsd:double"&gt;-1.6417563&lt;/D&gt;&lt;D xsi:type="xsd:double"&gt;-1.1127651&lt;/D&gt;&lt;D xsi:type="xsd:double"&gt;-1.4912307&lt;/D&gt;&lt;D xsi:type="xsd:double"&gt;-4.8975887&lt;/D&gt;&lt;D xsi:type="xsd:double"&gt;-6.062734&lt;/D&gt;&lt;D xsi:type="xsd:double"&gt;11.6870165&lt;/D&gt;&lt;D xsi:type="xsd:double"&gt;1.0932684&lt;/D&gt;&lt;D xsi:type="xsd:double"&gt;2.3949862&lt;/D&gt;&lt;D xsi:type="xsd:double"&gt;-0.7180095&lt;/D&gt;&lt;D xsi:type="xsd:double"&gt;1.0957718&lt;/D&gt;&lt;D xsi:type="xsd:double"&gt;2.1786213&lt;/D&gt;&lt;D xsi:type="xsd:double"&gt;-3.8228452&lt;/D&gt;&lt;D xsi:type="xsd:double"&gt;1.4600754&lt;/D&gt;&lt;D xsi:type="xsd:double"&gt;1.6107202&lt;/D&gt;&lt;D xsi:type="xsd:double"&gt;3.1472921&lt;/D&gt;&lt;D xsi:type="xsd:double"&gt;-4.3067217&lt;/D&gt;&lt;/FQL&gt;&lt;FQL&gt;&lt;Q&gt;INDA^FG_TOTAL_RETURNC(-5AY,0,AM)&lt;/Q&gt;&lt;R&gt;61&lt;/R&gt;&lt;C&gt;1&lt;/C&gt;&lt;D xsi:type="xsd:double"&gt;0.90026855&lt;/D&gt;&lt;D xsi:type="xsd:double"&gt;-1.2444198&lt;/D&gt;&lt;D xsi:type="xsd:double"&gt;0.33285618&lt;/D&gt;&lt;D xsi:type="xsd:double"&gt;7.535541&lt;/D&gt;&lt;D xsi:type="xsd:double"&gt;-2.9735446&lt;/D&gt;&lt;D xsi:type="xsd:double"&gt;3.8190365&lt;/D&gt;&lt;D xsi:type="xsd:double"&gt;8.824182&lt;/D&gt;&lt;D xsi:type="xsd:double"&gt;-1.3883352&lt;/D&gt;&lt;D xsi:type="xsd:double"&gt;1.9996047&lt;/D&gt;&lt;D xsi:type="xsd:double"&gt;-5.7011423&lt;/D&gt;&lt;D xsi:type="xsd:double"&gt;5.6189656&lt;/D&gt;&lt;D xsi:type="xsd:double"&gt;-2.9304802&lt;/D&gt;&lt;D xsi:type="xsd:double"&gt;-8.550024&lt;/D&gt;&lt;D xsi:type="xsd:double"&gt;9.831333&lt;/D&gt;&lt;D xsi:type="xsd:double"&gt;-7.6349316&lt;/D&gt;&lt;D xsi:type="xsd:double"&gt;-1.6627014&lt;/D&gt;&lt;D xsi:type="xsd:double"&gt;-3.019321&lt;/D&gt;&lt;D xsi:type="xsd:double"&gt;6.6251516&lt;/D&gt;&lt;D xsi:type="xsd:double"&gt;0.2335906&lt;/D&gt;&lt;D xsi:type="xsd:double"&gt;-4.264736&lt;/D&gt;&lt;D xsi:type="xsd:double"&gt;4.819858&lt;/D&gt;&lt;D xsi:type="xsd:double"&gt;0.18578768&lt;/D&gt;&lt;D xsi:type="xsd:double"&gt;-2.457112&lt;/D&gt;&lt;D xsi:type="xsd:double"&gt;-4.919207&lt;/D&gt;&lt;D xsi:type="xsd:double"&gt;0.44988394&lt;/D&gt;&lt;D xsi:type="xsd:double"&gt;-0.59716105&lt;/D&gt;&lt;D xsi:type="xsd:double"&gt;3.6295414&lt;/D&gt;&lt;D xsi:type="xsd:double"&gt;2.0772815&lt;/D&gt;&lt;D xsi:type="xsd:double"&gt;3.3186078&lt;/D&gt;&lt;D xsi:type="xsd:double"&gt;1.032579&lt;/D&gt;&lt;D xsi:type="xsd:double"&gt;0.31796694&lt;/D&gt;&lt;D xsi:type="xsd:double"&gt;0.92823505&lt;/D&gt;&lt;D xsi:type="xsd:double"&gt;-0.8748412&lt;/D&gt;&lt;D xsi:type="xsd:double"&gt;7.12831&lt;/D&gt;&lt;D xsi:type="xsd:double"&gt;3.6966681&lt;/D&gt;&lt;D xsi:type="xsd:double"&gt;3.442657&lt;/D&gt;&lt;D xsi:type="xsd:double"&gt;2.6191473&lt;/D&gt;&lt;D xsi:type="xsd:double"&gt;-0.17271042&lt;/D&gt;&lt;D xsi:type="xsd:double"&gt;0.67281723&lt;/D&gt;&lt;D xsi:type="xsd:double"&gt;1.8903971&lt;/D&gt;&lt;D xsi:type="xsd:double"&gt;6.184411&lt;/D&gt;&lt;D xsi:type="xsd:double"&gt;-2.8062105&lt;/D&gt;&lt;D xsi:type="xsd:double"&gt;2.6148558&lt;/D&gt;&lt;D xsi:type="xsd:double"&gt;1.0440588&lt;/D&gt;&lt;D xsi:type="xsd:double"&gt;-3.432572&lt;/D&gt;&lt;D xsi:type="xsd:double"&gt;0.9611845&lt;/D&gt;&lt;D xsi:type="xsd:double"&gt;-4.7507706&lt;/D&gt;&lt;D xsi:type="xsd:double"&gt;-3.400457&lt;/D&gt;&lt;D xsi:type="xsd:double"&gt;-3.7561476&lt;/D&gt;&lt;D xsi:type="xsd:double"&gt;0.5108237&lt;/D&gt;&lt;D xsi:type="xsd:double"&gt;9.127879&lt;/D&gt;&lt;D xsi:type="xsd:double"&gt;2.2913575&lt;/D&gt;&lt;D xsi:type="xsd:double"&gt;1.6026258&lt;/D&gt;&lt;D xsi:type="xsd:double"&gt;-6.33626&lt;/D&gt;&lt;D xsi:type="xsd:double"&gt;0.43057203&lt;/D&gt;&lt;D xsi:type="xsd:double"&gt;0.5335331&lt;/D&gt;&lt;D xsi:type="xsd:double"&gt;1.6300201&lt;/D&gt;&lt;D xsi:type="xsd:double"&gt;0.6527424&lt;/D&gt;&lt;D xsi:type="xsd:double"&gt;0.20381212&lt;/D&gt;&lt;D xsi:type="xsd:double"&gt;-1.4792979&lt;/D&gt;&lt;D xsi:type="xsd:double"&gt;-6.1561527&lt;/D&gt;&lt;/FQL&gt;&lt;FQL&gt;&lt;Q&gt;EPU^FG_TOTAL_RETURNC(-5AY,0,AM)&lt;/Q&gt;&lt;R&gt;61&lt;/R&gt;&lt;C&gt;1&lt;/C&gt;&lt;D xsi:type="xsd:double"&gt;-1.0714352&lt;/D&gt;&lt;D xsi:type="xsd:double"&gt;-0.74422956&lt;/D&gt;&lt;D xsi:type="xsd:double"&gt;-10.749263&lt;/D&gt;&lt;D xsi:type="xsd:double"&gt;8.840132&lt;/D&gt;&lt;D xsi:type="xsd:double"&gt;-17.425251&lt;/D&gt;&lt;D xsi:type="xsd:double"&gt;-7.217729&lt;/D&gt;&lt;D xsi:type="xsd:double"&gt;1.4860868&lt;/D&gt;&lt;D xsi:type="xsd:double"&gt;-1.0833085&lt;/D&gt;&lt;D xsi:type="xsd:double"&gt;10.838377&lt;/D&gt;&lt;D xsi:type="xsd:double"&gt;-3.5775185&lt;/D&gt;&lt;D xsi:type="xsd:double"&gt;11.887884&lt;/D&gt;&lt;D xsi:type="xsd:double"&gt;1.9721985&lt;/D&gt;&lt;D xsi:type="xsd:double"&gt;14.806593&lt;/D&gt;&lt;D xsi:type="xsd:double"&gt;1.7122388&lt;/D&gt;&lt;D xsi:type="xsd:double"&gt;-18.951946&lt;/D&gt;&lt;D xsi:type="xsd:double"&gt;3.819096&lt;/D&gt;&lt;D xsi:type="xsd:double"&gt;-17.790722&lt;/D&gt;&lt;D xsi:type="xsd:double"&gt;4.51771&lt;/D&gt;&lt;D xsi:type="xsd:double"&gt;-2.4532735&lt;/D&gt;&lt;D xsi:type="xsd:double"&gt;3.4331322&lt;/D&gt;&lt;D xsi:type="xsd:double"&gt;8.5295315&lt;/D&gt;&lt;D xsi:type="xsd:double"&gt;4.694164&lt;/D&gt;&lt;D xsi:type="xsd:double"&gt;5.525887&lt;/D&gt;&lt;D xsi:type="xsd:double"&gt;0.065505505&lt;/D&gt;&lt;D xsi:type="xsd:double"&gt;-1.3093293&lt;/D&gt;&lt;D xsi:type="xsd:double"&gt;1.1608601&lt;/D&gt;&lt;D xsi:type="xsd:double"&gt;2.9508233&lt;/D&gt;&lt;D xsi:type="xsd:double"&gt;-1.0621011&lt;/D&gt;&lt;D xsi:type="xsd:double"&gt;-0.30269623&lt;/D&gt;&lt;D xsi:type="xsd:double"&gt;8.987057&lt;/D&gt;&lt;D xsi:type="xsd:double"&gt;-4.7619104&lt;/D&gt;&lt;D xsi:type="xsd:double"&gt;-7.133758&lt;/D&gt;&lt;D xsi:type="xsd:double"&gt;1.8175602&lt;/D&gt;&lt;D xsi:type="xsd:double"&gt;2.4930954&lt;/D&gt;&lt;D xsi:type="xsd:double"&gt;13.16613&lt;/D&gt;&lt;D xsi:type="xsd:double"&gt;0.00030994415&lt;/D&gt;&lt;D xsi:type="xsd:double"&gt;6.603062&lt;/D&gt;&lt;D xsi:type="xsd:double"&gt;10.910249&lt;/D&gt;&lt;D xsi:type="xsd:double"&gt;4.438317&lt;/D&gt;&lt;D xsi:type="xsd:double"&gt;3.180313&lt;/D&gt;&lt;D xsi:type="xsd:double"&gt;-0.056415796&lt;/D&gt;&lt;D xsi:type="xsd:double"&gt;-7.53817&lt;/D&gt;&lt;D xsi:type="xsd:double"&gt;-0.60448647&lt;/D&gt;&lt;D xsi:type="xsd:double"&gt;13.492811&lt;/D&gt;&lt;D xsi:type="xsd:double"&gt;-0.6721735&lt;/D&gt;&lt;D xsi:type="xsd:double"&gt;-1.266402&lt;/D&gt;&lt;D xsi:type="xsd:double"&gt;-3.1083822&lt;/D&gt;&lt;D xsi:type="xsd:double"&gt;4.4356585&lt;/D&gt;&lt;D xsi:type="xsd:double"&gt;-1.4265418&lt;/D&gt;&lt;D xsi:type="xsd:double"&gt;-3.4008682&lt;/D&gt;&lt;D xsi:type="xsd:double"&gt;13.483154&lt;/D&gt;&lt;D xsi:type="xsd:double"&gt;6.9122076&lt;/D&gt;&lt;D xsi:type="xsd:double"&gt;4.956627&lt;/D&gt;&lt;D xsi:type="xsd:double"&gt;0.24629831&lt;/D&gt;&lt;D xsi:type="xsd:double"&gt;12.58725&lt;/D&gt;&lt;D xsi:type="xsd:double"&gt;10.991144&lt;/D&gt;&lt;D xsi:type="xsd:double"&gt;-1.5308559&lt;/D&gt;&lt;D xsi:type="xsd:double"&gt;8.550608&lt;/D&gt;&lt;D xsi:type="xsd:double"&gt;14.9109955&lt;/D&gt;&lt;D xsi:type="xsd:double"&gt;14.913309&lt;/D&gt;&lt;D xsi:type="xsd:double"&gt;-4.8213243&lt;/D&gt;&lt;/FQL&gt;&lt;FQL&gt;&lt;Q&gt;EWD^FG_PRICE(0,-200D)&lt;/Q&gt;&lt;R&gt;201&lt;/R&gt;&lt;C&gt;1&lt;/C&gt;&lt;D xsi:type="xsd:double"&gt;51.83&lt;/D&gt;&lt;D xsi:type="xsd:double"&gt;52.04&lt;/D&gt;&lt;D xsi:type="xsd:double"&gt;52.91&lt;/D&gt;&lt;D xsi:type="xsd:double"&gt;51.87&lt;/D&gt;&lt;D xsi:type="xsd:double"&gt;53.17&lt;/D&gt;&lt;D xsi:type="xsd:double"&gt;54.72&lt;/D&gt;&lt;D xsi:type="xsd:double"&gt;54.56&lt;/D&gt;&lt;D xsi:type="xsd:double"&gt;54.13&lt;/D&gt;&lt;D xsi:type="xsd:double"&gt;54.01&lt;/D&gt;&lt;D xsi:type="xsd:double"&gt;53.49&lt;/D&gt;&lt;D xsi:type="xsd:double"&gt;54&lt;/D&gt;&lt;D xsi:type="xsd:double"&gt;53.4&lt;/D&gt;&lt;D xsi:type="xsd:double"&gt;53.5&lt;/D&gt;&lt;D xsi:type="xsd:double"&gt;53.26&lt;/D&gt;&lt;D xsi:type="xsd:double"&gt;53.47&lt;/D&gt;&lt;D xsi:type="xsd:double"&gt;53.42&lt;/D&gt;&lt;D xsi:type="xsd:double"&gt;54.56&lt;/D&gt;&lt;D xsi:type="xsd:double"&gt;54.17&lt;/D&gt;&lt;D xsi:type="xsd:double"&gt;53.38&lt;/D&gt;&lt;D xsi:type="xsd:double"&gt;52.93&lt;/D&gt;&lt;D xsi:type="xsd:double"&gt;51.86&lt;/D&gt;&lt;D xsi:type="xsd:double"&gt;52.92&lt;/D&gt;&lt;D xsi:type="xsd:double"&gt;53.23&lt;/D&gt;&lt;D xsi:type="xsd:double"&gt;52.88&lt;/D&gt;&lt;D xsi:type="xsd:double"&gt;52.27&lt;/D&gt;&lt;D xsi:type="xsd:double"&gt;53.45&lt;/D&gt;&lt;D xsi:type="xsd:double"&gt;52.93&lt;/D&gt;&lt;D xsi:type="xsd:double"&gt;53.64&lt;/D&gt;&lt;D xsi:type="xsd:double"&gt;52.72&lt;/D&gt;&lt;D xsi:type="xsd:double"&gt;52.38&lt;/D&gt;&lt;D xsi:type="xsd:double"&gt;51.74&lt;/D&gt;&lt;D xsi:type="xsd:double"&gt;51.52&lt;/D&gt;&lt;D xsi:type="xsd:double"&gt;50.46&lt;/D&gt;&lt;D xsi:type="xsd:double"&gt;51.31&lt;/D&gt;&lt;D xsi:type="xsd:double"&gt;51.05&lt;/D&gt;&lt;D xsi:type="xsd:double"&gt;50.61&lt;/D&gt;&lt;D xsi:type="xsd:double"&gt;50.7&lt;/D&gt;&lt;D xsi:type="xsd:double"&gt;50.91&lt;/D&gt;&lt;D xsi:type="xsd:double"&gt;50.78&lt;/D&gt;&lt;D xsi:type="xsd:double"&gt;50.28&lt;/D&gt;&lt;D xsi:type="xsd:double"&gt;50.87&lt;/D&gt;&lt;D xsi:type="xsd:double"&gt;50.11&lt;/D&gt;&lt;D xsi:type="xsd:double"&gt;50.39&lt;/D&gt;&lt;D xsi:type="xsd:double"&gt;49.6&lt;/D&gt;&lt;D xsi:type="xsd:double"&gt;49.23&lt;/D&gt;&lt;D xsi:type="xsd:double"&gt;49.55&lt;/D&gt;&lt;D xsi:type="xsd:double"&gt;49.32&lt;/D&gt;&lt;D xsi:type="xsd:double"&gt;49.65&lt;/D&gt;&lt;D xsi:type="xsd:double"&gt;49.31&lt;/D&gt;&lt;D xsi:type="xsd:double"&gt;49.21&lt;/D&gt;&lt;D xsi:type="xsd:double"&gt;48.8&lt;/D&gt;&lt;D xsi:type="xsd:double"&gt;48.55&lt;/D&gt;&lt;D xsi:type="xsd:double"&gt;48.18&lt;/D&gt;&lt;D xsi:type="xsd:double"&gt;47.62&lt;/D&gt;&lt;D xsi:type="xsd:double"&gt;48.23&lt;/D&gt;&lt;D xsi:type="xsd:double"&gt;49.11&lt;/D&gt;&lt;D xsi:type="xsd:double"&gt;49.38&lt;/D&gt;&lt;D xsi:type="xsd:double"&gt;49.67&lt;/D&gt;&lt;D xsi:type="xsd:double"&gt;49.36&lt;/D&gt;&lt;D xsi:type="xsd:double"&gt;48.55&lt;/D&gt;&lt;D xsi:type="xsd:double"&gt;48.4&lt;/D&gt;&lt;D xsi:type="xsd:double"&gt;48.37&lt;/D&gt;&lt;D xsi:type="xsd:double"&gt;48.09&lt;/D&gt;&lt;D xsi:type="xsd:double"&gt;47.77&lt;/D&gt;&lt;D xsi:type="xsd:double"&gt;47.61&lt;/D&gt;&lt;D xsi:type="xsd:double"&gt;47.58&lt;/D&gt;&lt;D xsi:type="xsd:double"&gt;47.91&lt;/D&gt;&lt;D xsi:type="xsd:double"&gt;47.43&lt;/D&gt;&lt;D xsi:type="xsd:double"&gt;47.06&lt;/D&gt;&lt;D xsi:type="xsd:double"&gt;46.26&lt;/D&gt;&lt;D xsi:type="xsd:double"&gt;46.06&lt;/D&gt;&lt;D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xsi:type="xsd:double"&gt;46.17&lt;/D&gt;&lt;D xsi:type="xsd:double"&gt;45.93&lt;/D&gt;&lt;D xsi:type="xsd:double"&gt;45.2&lt;/D&gt;&lt;D xsi:type="xsd:double"&gt;45.62&lt;/D&gt;&lt;D xsi:type="xsd:double"&gt;45.45&lt;/D&gt;&lt;D xsi:type="xsd:double"&gt;45.36&lt;/D&gt;&lt;D xsi:type="xsd:double"&gt;45.24&lt;/D&gt;&lt;D xsi:type="xsd:double"&gt;45.55&lt;/D&gt;&lt;D xsi:type="xsd:double"&gt;45.32&lt;/D&gt;&lt;D xsi:type="xsd:double"&gt;45.09&lt;/D&gt;&lt;D xsi:type="xsd:double"&gt;45.94&lt;/D&gt;&lt;D xsi:type="xsd:double"&gt;46.35&lt;/D&gt;&lt;D xsi:type="xsd:double"&gt;46.19&lt;/D&gt;&lt;/FQL&gt;&lt;FQL&gt;&lt;Q&gt;EWG^FG_PRICE(0,-200D)&lt;/Q&gt;&lt;R&gt;201&lt;/R&gt;&lt;C&gt;1&lt;/C&gt;&lt;D xsi:type="xsd:double"&gt;40.9&lt;/D&gt;&lt;D xsi:type="xsd:double"&gt;41.18&lt;/D&gt;&lt;D xsi:type="xsd:double"&gt;42.1&lt;/D&gt;&lt;D xsi:type="xsd:double"&gt;41.57&lt;/D&gt;&lt;D xsi:type="xsd:double"&gt;42.91&lt;/D&gt;&lt;D xsi:type="xsd:double"&gt;44.34&lt;/D&gt;&lt;D xsi:type="xsd:double"&gt;44.56&lt;/D&gt;&lt;D xsi:type="xsd:double"&gt;44.35&lt;/D&gt;&lt;D xsi:type="xsd:double"&gt;43.95&lt;/D&gt;&lt;D xsi:type="xsd:double"&gt;43.9&lt;/D&gt;&lt;D xsi:type="xsd:double"&gt;44.32&lt;/D&gt;&lt;D xsi:type="xsd:double"&gt;43.88&lt;/D&gt;&lt;D xsi:type="xsd:double"&gt;44.12&lt;/D&gt;&lt;D xsi:type="xsd:double"&gt;44.04&lt;/D&gt;&lt;D xsi:type="xsd:double"&gt;43.97&lt;/D&gt;&lt;D xsi:type="xsd:double"&gt;43.96&lt;/D&gt;&lt;D xsi:type="xsd:double"&gt;44.05&lt;/D&gt;&lt;D xsi:type="xsd:double"&gt;44.22&lt;/D&gt;&lt;D xsi:type="xsd:double"&gt;44.32&lt;/D&gt;&lt;D xsi:type="xsd:double"&gt;43.53&lt;/D&gt;&lt;D xsi:type="xsd:double"&gt;42.84&lt;/D&gt;&lt;D xsi:type="xsd:double"&gt;43.25&lt;/D&gt;&lt;D xsi:type="xsd:double"&gt;43.51&lt;/D&gt;&lt;D xsi:type="xsd:double"&gt;43.48&lt;/D&gt;&lt;D xsi:type="xsd:double"&gt;43.11&lt;/D&gt;&lt;D xsi:type="xsd:double"&gt;43.44&lt;/D&gt;&lt;D xsi:type="xsd:double"&gt;44.01&lt;/D&gt;&lt;D xsi:type="xsd:double"&gt;44.3&lt;/D&gt;&lt;D xsi:type="xsd:double"&gt;43.84&lt;/D&gt;&lt;D xsi:type="xsd:double"&gt;43.48&lt;/D&gt;&lt;D xsi:type="xsd:double"&gt;43.1&lt;/D&gt;&lt;D xsi:type="xsd:double"&gt;42.82&lt;/D&gt;&lt;D xsi:type="xsd:double"&gt;42.54&lt;/D&gt;&lt;D xsi:type="xsd:double"&gt;43.34&lt;/D&gt;&lt;D xsi:type="xsd:double"&gt;43.24&lt;/D&gt;&lt;D xsi:type="xsd:double"&gt;43.49&lt;/D&gt;&lt;D xsi:type="xsd:double"&gt;43.57&lt;/D&gt;&lt;D xsi:type="xsd:double"&gt;43.83&lt;/D&gt;&lt;D xsi:type="xsd:double"&gt;43.41&lt;/D&gt;&lt;D xsi:type="xsd:double"&gt;43.31&lt;/D&gt;&lt;D xsi:type="xsd:double"&gt;43.26&lt;/D&gt;&lt;D xsi:type="xsd:double"&gt;43.13&lt;/D&gt;&lt;D xsi:type="xsd:double"&gt;43.05&lt;/D&gt;&lt;D xsi:type="xsd:double"&gt;42.56&lt;/D&gt;&lt;D xsi:type="xsd:double"&gt;42.5&lt;/D&gt;&lt;D xsi:type="xsd:double"&gt;42.75&lt;/D&gt;&lt;D xsi:type="xsd:double"&gt;42.51&lt;/D&gt;&lt;D xsi:type="xsd:double"&gt;42.65&lt;/D&gt;&lt;D xsi:type="xsd:double"&gt;42.57&lt;/D&gt;&lt;D xsi:type="xsd:double"&gt;42.44&lt;/D&gt;&lt;D xsi:type="xsd:double"&gt;42.34&lt;/D&gt;&lt;D xsi:type="xsd:double"&gt;42.1&lt;/D&gt;&lt;D xsi:type="xsd:double"&gt;41.94&lt;/D&gt;&lt;D xsi:type="xsd:double"&gt;41.61&lt;/D&gt;&lt;D xsi:type="xsd:double"&gt;42.03&lt;/D&gt;&lt;D xsi:type="xsd:double"&gt;42.1&lt;/D&gt;&lt;D xsi:type="xsd:double"&gt;42.18&lt;/D&gt;&lt;D xsi:type="xsd:double"&gt;42.39&lt;/D&gt;&lt;D xsi:type="xsd:double"&gt;41.94&lt;/D&gt;&lt;D xsi:type="xsd:double"&gt;41.53&lt;/D&gt;&lt;D xsi:type="xsd:double"&gt;41.34&lt;/D&gt;&lt;D xsi:type="xsd:double"&gt;41.41&lt;/D&gt;&lt;D xsi:type="xsd:double"&gt;41.14&lt;/D&gt;&lt;D xsi:type="xsd:double"&gt;40.95&lt;/D&gt;&lt;D xsi:type="xsd:double"&gt;40.89&lt;/D&gt;&lt;D xsi:type="xsd:double"&gt;40.52&lt;/D&gt;&lt;D xsi:type="xsd:double"&gt;40.92&lt;/D&gt;&lt;D xsi:type="xsd:double"&gt;40.6&lt;/D&gt;&lt;D xsi:type="xsd:double"&gt;40.19&lt;/D&gt;&lt;D xsi:type="xsd:double"&gt;39.47&lt;/D&gt;&lt;D xsi:type="xsd:double"&gt;39.4&lt;/D&gt;&lt;D xsi:type="xsd:double"&gt;38.89&lt;/D&gt;&lt;D xsi:type="xsd:double"&gt;39.51&lt;/D&gt;&lt;D xsi:type="xsd:double"&gt;39.53&lt;/D&gt;&lt;D xsi:type="xsd:double"&gt;40.01&lt;/D&gt;&lt;D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xsi:type="xsd:double"&gt;42.57&lt;/D&gt;&lt;D xsi:type="xsd:double"&gt;42.46&lt;/D&gt;&lt;D xsi:type="xsd:double"&gt;42.12&lt;/D&gt;</t>
        </r>
      </text>
    </comment>
    <comment ref="A8" authorId="0" shapeId="0" xr:uid="{1D6CA344-DE8F-419F-8ACE-B74DF2382478}">
      <text>
        <r>
          <rPr>
            <b/>
            <sz val="9"/>
            <color indexed="81"/>
            <rFont val="Tahoma"/>
            <charset val="1"/>
          </rPr>
          <t>&lt;D xsi:type="xsd:double"&gt;42.34&lt;/D&gt;&lt;D xsi:type="xsd:double"&gt;41.97&lt;/D&gt;&lt;D xsi:type="xsd:double"&gt;41.85&lt;/D&gt;&lt;D xsi:type="xsd:double"&gt;41.77&lt;/D&gt;&lt;D xsi:type="xsd:double"&gt;42.31&lt;/D&gt;&lt;D xsi:type="xsd:double"&gt;41.26&lt;/D&gt;&lt;D xsi:type="xsd:double"&gt;41.64&lt;/D&gt;&lt;D xsi:type="xsd:double"&gt;41.68&lt;/D&gt;&lt;D xsi:type="xsd:double"&gt;41.77&lt;/D&gt;&lt;D xsi:type="xsd:double"&gt;41.56&lt;/D&gt;&lt;/FQL&gt;&lt;FQL&gt;&lt;Q&gt;SET-BKK^FG_PRICE(0,-200D)&lt;/Q&gt;&lt;R&gt;201&lt;/R&gt;&lt;C&gt;1&lt;/C&gt;&lt;D xsi:type="xsd:double"&gt;1410.37&lt;/D&gt;&lt;D xsi:type="xsd:double"&gt;1417.29&lt;/D&gt;&lt;D xsi:type="xsd:double"&gt;1384.61&lt;/D&gt;&lt;D xsi:type="xsd:double"&gt;1466.51&lt;/D&gt;&lt;D xsi:type="xsd:double"&gt;1528.26&lt;/D&gt;&lt;D xsi:type="xsd:double"&gt;1533.64&lt;/D&gt;&lt;D xsi:type="xsd:double"&gt;1516.01&lt;/D&gt;&lt;D xsi:type="xsd:double"&gt;1490.4&lt;/D&gt;&lt;D xsi:type="xsd:double"&gt;1480.24&lt;/D&gt;&lt;D xsi:type="xsd:double"&gt;1479.71&lt;/D&gt;&lt;D xsi:type="xsd:double"&gt;1493.91&lt;/D&gt;&lt;D xsi:type="xsd:double"&gt;1466.67&lt;/D&gt;&lt;D xsi:type="xsd:double"&gt;1459.68&lt;/D&gt;&lt;D xsi:type="xsd:double"&gt;1438.09&lt;/D&gt;&lt;D xsi:type="xsd:double"&gt;1430.41&lt;/D&gt;&lt;D xsi:type="xsd:double"&gt;1441.53&lt;/D&gt;&lt;D xsi:type="xsd:double"&gt;1411.7&lt;/D&gt;&lt;D xsi:type="xsd:double"&gt;1410.44&lt;/D&gt;&lt;D xsi:type="xsd:double"&gt;1400.89&lt;/D&gt;&lt;D xsi:type="xsd:double"&gt;1354.01&lt;/D&gt;&lt;D xsi:type="xsd:double"&gt;1346.23&lt;/D&gt;&lt;D xsi:type="xsd:double"&gt;1346.54&lt;/D&gt;&lt;D xsi:type="xsd:double"&gt;1336.11&lt;/D&gt;&lt;D xsi:type="xsd:double"&gt;1321.42&lt;/D&gt;&lt;D xsi:type="xsd:double"&gt;1325.62&lt;/D&gt;&lt;D xsi:type="xsd:double"&gt;1331.07&lt;/D&gt;&lt;D xsi:type="xsd:double"&gt;1338.9&lt;/D&gt;&lt;D xsi:type="xsd:double"&gt;1334.45&lt;/D&gt;&lt;D xsi:type="xsd:double"&gt;1307.07&lt;/D&gt;&lt;D xsi:type="xsd:double"&gt;1314.39&lt;/D&gt;&lt;D xsi:type="xsd:double"&gt;1311.64&lt;/D&gt;&lt;D xsi:type="xsd:double"&gt;1317.56&lt;/D&gt;&lt;D xsi:type="xsd:double"&gt;1296.37&lt;/D&gt;&lt;D xsi:type="xsd:double"&gt;1283.2&lt;/D&gt;&lt;D xsi:type="xsd:double"&gt;1275.6&lt;/D&gt;&lt;D xsi:type="xsd:double"&gt;1261.39&lt;/D&gt;&lt;D xsi:type="xsd:double"&gt;1244.3&lt;/D&gt;&lt;D xsi:type="xsd:double"&gt;1235.3&lt;/D&gt;&lt;D xsi:type="xsd:double"&gt;1242.2&lt;/D&gt;&lt;D xsi:type="xsd:double"&gt;1254.09&lt;/D&gt;&lt;D xsi:type="xsd:double"&gt;1253.6&lt;/D&gt;&lt;D xsi:type="xsd:double"&gt;1280.82&lt;/D&gt;&lt;D xsi:type="xsd:double"&gt;1274.75&lt;/D&gt;&lt;D xsi:type="xsd:double"&gt;1280.05&lt;/D&gt;&lt;D xsi:type="xsd:double"&gt;1259.67&lt;/D&gt;&lt;D xsi:type="xsd:double"&gt;1254.03&lt;/D&gt;&lt;D xsi:type="xsd:double"&gt;1259.25&lt;/D&gt;&lt;D xsi:type="xsd:double"&gt;1264.77&lt;/D&gt;&lt;D xsi:type="xsd:double"&gt;1275.33&lt;/D&gt;&lt;D xsi:type="xsd:double"&gt;1271.11&lt;/D&gt;&lt;D xsi:type="xsd:double"&gt;1269.68&lt;/D&gt;&lt;D xsi:type="xsd:double"&gt;1252.19&lt;/D&gt;&lt;D xsi:type="xsd:double"&gt;1250.07&lt;/D&gt;&lt;D xsi:type="xsd:double"&gt;1256.85&lt;/D&gt;&lt;D xsi:type="xsd:double"&gt;1260.68&lt;/D&gt;&lt;D xsi:type="xsd:double"&gt;1273.4&lt;/D&gt;&lt;D xsi:type="xsd:double"&gt;1254.1&lt;/D&gt;&lt;D xsi:type="xsd:double"&gt;1253.54&lt;/D&gt;&lt;D xsi:type="xsd:double"&gt;1269.87&lt;/D&gt;&lt;D xsi:type="xsd:double"&gt;1261.39&lt;/D&gt;&lt;D xsi:type="xsd:double"&gt;1273.77&lt;/D&gt;&lt;D xsi:type="xsd:double"&gt;1274.82&lt;/D&gt;&lt;D xsi:type="xsd:double"&gt;1277.58&lt;/D&gt;&lt;D xsi:type="xsd:double"&gt;1276.57&lt;/D&gt;&lt;D xsi:type="xsd:double"&gt;1256.69&lt;/D&gt;&lt;D xsi:type="xsd:double"&gt;1252.71&lt;/D&gt;&lt;D xsi:type="xsd:double"&gt;1261.18&lt;/D&gt;&lt;D xsi:type="xsd:double"&gt;1268.78&lt;/D&gt;&lt;D xsi:type="xsd:double"&gt;1252.73&lt;/D&gt;&lt;D xsi:type="xsd:double"&gt;1254.4&lt;/D&gt;&lt;D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xsi:type="xsd:double"&gt;1140.63&lt;/D&gt;&lt;D xsi:type="xsd:double"&gt;1132.02&lt;/D&gt;&lt;D xsi:type="xsd:double"&gt;1149.18&lt;/D&gt;&lt;D xsi:type="xsd:double"&gt;1164.01&lt;/D&gt;&lt;D xsi:type="xsd:double"&gt;1160.74&lt;/D&gt;&lt;D xsi:type="xsd:double"&gt;1163.42&lt;/D&gt;&lt;D xsi:type="xsd:double"&gt;1178.43&lt;/D&gt;&lt;D xsi:type="xsd:double"&gt;1176.36&lt;/D&gt;&lt;D xsi:type="xsd:double"&gt;1173.37&lt;/D&gt;&lt;D xsi:type="xsd:double"&gt;1179.81&lt;/D&gt;&lt;D xsi:type="xsd:double"&gt;1189.14&lt;/D&gt;&lt;D xsi:type="xsd:double"&gt;1187.06&lt;/D&gt;&lt;D xsi:type="xsd:double"&gt;1195.77&lt;/D&gt;&lt;D xsi:type="xsd:double"&gt;1194.49&lt;/D&gt;&lt;D xsi:type="xsd:double"&gt;1216.71&lt;/D&gt;&lt;D xsi:type="xsd:double"&gt;1214.39&lt;/D&gt;&lt;D xsi:type="xsd:double"&gt;1210.94&lt;/D&gt;&lt;/FQL&gt;&lt;FQL&gt;&lt;Q&gt;EWW^FG_PRICE(0,-200D)&lt;/Q&gt;&lt;R&gt;201&lt;/R&gt;&lt;C&gt;1&lt;/C&gt;&lt;D xsi:type="xsd:double"&gt;74.32&lt;/D&gt;&lt;D xsi:type="xsd:double"&gt;75.25&lt;/D&gt;&lt;D xsi:type="xsd:double"&gt;77.91&lt;/D&gt;&lt;D xsi:type="xsd:double"&gt;75.37&lt;/D&gt;&lt;D xsi:type="xsd:double"&gt;79.46&lt;/D&gt;&lt;D xsi:type="xsd:double"&gt;80.94&lt;/D&gt;&lt;D xsi:type="xsd:double"&gt;80.66&lt;/D&gt;&lt;D xsi:type="xsd:double"&gt;80.45&lt;/D&gt;&lt;D xsi:type="xsd:double"&gt;80.37&lt;/D&gt;&lt;D xsi:type="xsd:double"&gt;79.54&lt;/D&gt;&lt;D xsi:type="xsd:double"&gt;81.23&lt;/D&gt;&lt;D xsi:type="xsd:double"&gt;79.94&lt;/D&gt;&lt;D xsi:type="xsd:double"&gt;80.15&lt;/D&gt;&lt;D xsi:type="xsd:double"&gt;80.76&lt;/D&gt;&lt;D xsi:type="xsd:double"&gt;81.03&lt;/D&gt;&lt;D xsi:type="xsd:double"&gt;79.92&lt;/D&gt;&lt;D xsi:type="xsd:double"&gt;80.7&lt;/D&gt;&lt;D xsi:type="xsd:double"&gt;80.48&lt;/D&gt;&lt;D xsi:type="xsd:double"&gt;80.67&lt;/D&gt;&lt;D xsi:type="xsd:double"&gt;79.87&lt;/D&gt;&lt;D xsi:type="xsd:double"&gt;76.83&lt;/D&gt;&lt;D xsi:type="xsd:double"&gt;77.22&lt;/D&gt;&lt;D xsi:type="xsd:double"&gt;78.76&lt;/D&gt;&lt;D xsi:type="xsd:double"&gt;75.43&lt;/D&gt;&lt;D xsi:type="xsd:double"&gt;75.12&lt;/D&gt;&lt;D xsi:type="xsd:double"&gt;78.45&lt;/D&gt;&lt;D xsi:type="xsd:double"&gt;78.73&lt;/D&gt;&lt;D xsi:type="xsd:double"&gt;77.86&lt;/D&gt;&lt;D xsi:type="xsd:double"&gt;76.7&lt;/D&gt;&lt;D xsi:type="xsd:double"&gt;76.08&lt;/D&gt;&lt;D xsi:type="xsd:double"&gt;75.75&lt;/D&gt;&lt;D xsi:type="xsd:double"&gt;75.36&lt;/D&gt;&lt;D xsi:type="xsd:double"&gt;74.61&lt;/D&gt;&lt;D xsi:type="xsd:double"&gt;74&lt;/D&gt;&lt;D xsi:type="xsd:double"&gt;73.25&lt;/D&gt;&lt;D xsi:type="xsd:double"&gt;73.38&lt;/D&gt;&lt;D xsi:type="xsd:double"&gt;71.97&lt;/D&gt;&lt;D xsi:type="xsd:double"&gt;72.06&lt;/D&gt;&lt;D xsi:type="xsd:double"&gt;71.06&lt;/D&gt;&lt;D xsi:type="xsd:double"&gt;70.48&lt;/D&gt;&lt;D xsi:type="xsd:double"&gt;69.92&lt;/D&gt;&lt;D xsi:type="xsd:double"&gt;70.04&lt;/D&gt;&lt;D xsi:type="xsd:double"&gt;70.58&lt;/D&gt;&lt;D xsi:type="xsd:double"&gt;69.66&lt;/D&gt;&lt;D xsi:type="xsd:double"&gt;69.33&lt;/D&gt;&lt;D xsi:type="xsd:double"&gt;69.49&lt;/D&gt;&lt;D xsi:type="xsd:double"&gt;70.51&lt;/D&gt;&lt;D xsi:type="xsd:double"&gt;71.15&lt;/D&gt;&lt;D xsi:type="xsd:double"&gt;70.95&lt;/D&gt;&lt;D xsi:type="xsd:double"&gt;71.04&lt;/D&gt;&lt;D xsi:type="xsd:double"&gt;69.95&lt;/D&gt;&lt;D xsi:type="xsd:double"&gt;68.85&lt;/D&gt;&lt;D xsi:type="xsd:double"&gt;68.75&lt;/D&gt;&lt;D xsi:type="xsd:double"&gt;67.45&lt;/D&gt;&lt;D xsi:type="xsd:double"&gt;68.28&lt;/D&gt;&lt;D xsi:type="xsd:double"&gt;70.48&lt;/D&gt;&lt;D xsi:type="xsd:double"&gt;70.69&lt;/D&gt;&lt;D xsi:type="xsd:double"&gt;71.06&lt;/D&gt;&lt;D xsi:type="xsd:double"&gt;69.04&lt;/D&gt;&lt;D xsi:type="xsd:double"&gt;69.27&lt;/D&gt;&lt;D xsi:type="xsd:double"&gt;68.64&lt;/D&gt;&lt;D xsi:type="xsd:double"&gt;68.68&lt;/D&gt;&lt;D xsi:type="xsd:double"&gt;68.82&lt;/D&gt;&lt;D xsi:type="xsd:double"&gt;68.43&lt;/D&gt;&lt;D xsi:type="xsd:double"&gt;68.71&lt;/D&gt;&lt;D xsi:type="xsd:double"&gt;68.46&lt;/D&gt;&lt;D xsi:type="xsd:double"&gt;68.42&lt;/D&gt;&lt;D xsi:type="xsd:double"&gt;67.88&lt;/D&gt;&lt;D xsi:type="xsd:double"&gt;67.75&lt;/D&gt;&lt;D xsi:type="xsd:double"&gt;66.55&lt;/D&gt;&lt;D xsi:type="xsd:double"&gt;66.04&lt;/D&gt;&lt;D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xsi:type="xsd:double"&gt;60.72&lt;/D&gt;&lt;D xsi:type="xsd:double"&gt;60.25&lt;/D&gt;&lt;D xsi:type="xsd:double"&gt;60.39&lt;/D&gt;&lt;D xsi:type="xsd:double"&gt;60.64&lt;/D&gt;&lt;D xsi:type="xsd:double"&gt;60.17&lt;/D&gt;&lt;D xsi:type="xsd:double"&gt;61.23&lt;/D&gt;&lt;D xsi:type="xsd:double"&gt;60.9&lt;/D&gt;&lt;D xsi:type="xsd:double"&gt;61.13&lt;/D&gt;&lt;D xsi:type="xsd:double"&gt;60.67&lt;/D&gt;&lt;D xsi:type="xsd:double"&gt;59.83&lt;/D&gt;&lt;D xsi:type="xsd:double"&gt;60.32&lt;/D&gt;&lt;D xsi:type="xsd:double"&gt;60.53&lt;/D&gt;&lt;D xsi:type="xsd:double"&gt;60.57&lt;/D&gt;&lt;/FQL&gt;&lt;FQL&gt;&lt;Q&gt;CNYA^FG_PRICE(0,-200D)&lt;/Q&gt;&lt;R&gt;201&lt;/R&gt;&lt;C&gt;1&lt;/C&gt;&lt;D xsi:type="xsd:double"&gt;35.04&lt;/D&gt;&lt;D xsi:type="xsd:double"&gt;35.09&lt;/D&gt;&lt;D xsi:type="xsd:double"&gt;35.29&lt;/D&gt;&lt;D xsi:type="xsd:double"&gt;34.9&lt;/D&gt;&lt;D xsi:type="xsd:double"&gt;36.13&lt;/D&gt;&lt;D xsi:type="xsd:double"&gt;36.15&lt;/D&gt;&lt;D xsi:type="xsd:double"&gt;35.96&lt;/D&gt;&lt;D xsi:type="xsd:double"&gt;36.36&lt;/D&gt;&lt;D xsi:type="xsd:double"&gt;35.94&lt;/D&gt;&lt;D xsi:type="xsd:double"&gt;35.85&lt;/D&gt;&lt;D xsi:type="xsd:double"&gt;35.79&lt;/D&gt;&lt;D xsi:type="xsd:double"&gt;35.622&lt;/D&gt;&lt;D xsi:type="xsd:double"&gt;35.8&lt;/D&gt;&lt;D xsi:type="xsd:double"&gt;35.65&lt;/D&gt;&lt;D xsi:type="xsd:double"&gt;35.3684&lt;/D&gt;&lt;D xsi:type="xsd:double"&gt;35.56&lt;/D&gt;&lt;D xsi:type="xsd:double"&gt;35.76&lt;/D&gt;&lt;D xsi:type="xsd:double"&gt;35.715&lt;/D&gt;&lt;D xsi:type="xsd:double"&gt;35.82&lt;/D&gt;&lt;D xsi:type="xsd:double"&gt;35.41&lt;/D&gt;&lt;D xsi:type="xsd:double"&gt;34.84&lt;/D&gt;&lt;D xsi:type="xsd:double"&gt;35.14&lt;/D&gt;&lt;D xsi:type="xsd:double"&gt;35&lt;/D&gt;&lt;D xsi:type="xsd:double"&gt;34.72&lt;/D&gt;&lt;D xsi:type="xsd:double"&gt;35.11&lt;/D&gt;&lt;D xsi:type="xsd:double"&gt;35.89&lt;/D&gt;&lt;D xsi:type="xsd:double"&gt;35.52&lt;/D&gt;&lt;D xsi:type="xsd:double"&gt;35.64&lt;/D&gt;&lt;D xsi:type="xsd:double"&gt;35.58&lt;/D&gt;&lt;D xsi:type="xsd:double"&gt;35.55&lt;/D&gt;&lt;D xsi:type="xsd:double"&gt;35.78&lt;/D&gt;&lt;D xsi:type="xsd:double"&gt;35.805&lt;/D&gt;&lt;D xsi:type="xsd:double"&gt;35.5&lt;/D&gt;&lt;D xsi:type="xsd:double"&gt;35.515&lt;/D&gt;&lt;D xsi:type="xsd:double"&gt;35.87&lt;/D&gt;&lt;D xsi:type="xsd:double"&gt;35.6&lt;/D&gt;&lt;D xsi:type="xsd:double"&gt;35.59&lt;/D&gt;&lt;D xsi:type="xsd:double"&gt;36.23&lt;/D&gt;&lt;D xsi:type="xsd:double"&gt;35.83&lt;/D&gt;&lt;D xsi:type="xsd:double"&gt;35.49&lt;/D&gt;&lt;D xsi:type="xsd:double"&gt;35.5&lt;/D&gt;&lt;D xsi:type="xsd:double"&gt;35.64&lt;/D&gt;&lt;D xsi:type="xsd:double"&gt;35.21&lt;/D&gt;&lt;D xsi:type="xsd:double"&gt;34.91&lt;/D&gt;&lt;D xsi:type="xsd:double"&gt;34.58&lt;/D&gt;&lt;D xsi:type="xsd:double"&gt;34.59&lt;/D&gt;&lt;D xsi:type="xsd:double"&gt;34.37&lt;/D&gt;&lt;D xsi:type="xsd:double"&gt;34.71&lt;/D&gt;&lt;D xsi:type="xsd:double"&gt;34.44&lt;/D&gt;&lt;D xsi:type="xsd:double"&gt;34.31&lt;/D&gt;&lt;D xsi:type="xsd:double"&gt;34.24&lt;/D&gt;&lt;D xsi:type="xsd:double"&gt;33.89&lt;/D&gt;&lt;D xsi:type="xsd:double"&gt;33.58&lt;/D&gt;&lt;D xsi:type="xsd:double"&gt;33.63&lt;/D&gt;&lt;D xsi:type="xsd:double"&gt;33.197&lt;/D&gt;&lt;D xsi:type="xsd:double"&gt;34.05&lt;/D&gt;&lt;D xsi:type="xsd:double"&gt;34.08&lt;/D&gt;&lt;D xsi:type="xsd:double"&gt;34.09&lt;/D&gt;&lt;D xsi:type="xsd:double"&gt;34.34&lt;/D&gt;&lt;D xsi:type="xsd:double"&gt;34.225&lt;/D&gt;&lt;D xsi:type="xsd:double"&gt;34.36&lt;/D&gt;&lt;D xsi:type="xsd:double"&gt;34.21&lt;/D&gt;&lt;D xsi:type="xsd:double"&gt;33.74&lt;/D&gt;&lt;D xsi:type="xsd:double"&gt;33.76&lt;/D&gt;&lt;D xsi:type="xsd:double"&gt;33.81&lt;/D&gt;&lt;D xsi:type="xsd:double"&gt;34.25&lt;/D&gt;&lt;D xsi:type="xsd:double"&gt;33.95&lt;/D&gt;&lt;D xsi:type="xsd:double"&gt;33.59&lt;/D&gt;&lt;D xsi:type="xsd:double"&gt;33.51&lt;/D&gt;&lt;D xsi:type="xsd:double"&gt;33.11&lt;/D&gt;&lt;D xsi:type="xsd:double"&gt;33.06&lt;/D&gt;&lt;D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xsi:type="xsd:double"&gt;28.29&lt;/D&gt;&lt;D xsi:type="xsd:double"&gt;28.18&lt;/D&gt;&lt;D xsi:type="xsd:double"&gt;27.96&lt;/D&gt;&lt;D xsi:type="xsd:double"&gt;27.72&lt;/D&gt;&lt;D xsi:type="xsd:double"&gt;27.67&lt;/D&gt;&lt;D xsi:type="xsd:double"&gt;28.02&lt;/D&gt;&lt;D xsi:type="xsd:double"&gt;27.83&lt;/D&gt;&lt;D xsi:type="xsd:double"&gt;27.9&lt;/D&gt;&lt;D xsi:type="xsd:double"&gt;28.2&lt;/D&gt;&lt;D xsi:type="xsd:double"&gt;28.3&lt;/D&gt;&lt;D xsi:type="xsd:double"&gt;28.4&lt;/D&gt;&lt;D xsi:type="xsd:double"&gt;28.28&lt;/D&gt;&lt;D xsi:type="xsd:double"&gt;28.14&lt;/D&gt;&lt;/FQL&gt;&lt;FQL&gt;&lt;Q&gt;EWU^FG_TOTAL_RETURNC(-5AY,0,AM)&lt;/Q&gt;&lt;R&gt;61&lt;/R&gt;&lt;C&gt;1&lt;/C&gt;&lt;D xsi:type="xsd:double"&gt;4.9664497&lt;/D&gt;&lt;D xsi:type="xsd:double"&gt;1.886189&lt;/D&gt;&lt;D xsi:type="xsd:double"&gt;4.8948884&lt;/D&gt;&lt;D xsi:type="xsd:double"&gt;2.0341039&lt;/D&gt;&lt;D xsi:type="xsd:double"&gt;-2.1262884&lt;/D&gt;&lt;D xsi:type="xsd:double"&gt;1.2488604&lt;/D&gt;&lt;D xsi:type="xsd:double"&gt;0.6919384&lt;/D&gt;&lt;D xsi:type="xsd:double"&gt;-3.0176342&lt;/D&gt;&lt;D xsi:type="xsd:double"&gt;3.2963634&lt;/D&gt;&lt;D xsi:type="xsd:double"&gt;-2.3859203&lt;/D&gt;&lt;D xsi:type="xsd:double"&gt;5.421412&lt;/D&gt;&lt;D xsi:type="xsd:double"&gt;1.697433&lt;/D&gt;&lt;D xsi:type="xsd:double"&gt;-8.023429&lt;/D&gt;&lt;D xsi:type="xsd:double"&gt;8.213949&lt;/D&gt;&lt;D xsi:type="xsd:double"&gt;-7.0609035&lt;/D&gt;&lt;D xsi:type="xsd:double"&gt;4.6850204&lt;/D&gt;&lt;D xsi:type="xsd:double"&gt;-10.266108&lt;/D&gt;&lt;D xsi:type="xsd:double"&gt;5.1475644&lt;/D&gt;&lt;D xsi:type="xsd:double"&gt;-6.462139&lt;/D&gt;&lt;D xsi:type="xsd:double"&gt;-6.5247717&lt;/D&gt;&lt;D xsi:type="xsd:double"&gt;7.5401187&lt;/D&gt;&lt;D xsi:type="xsd:double"&gt;9.649431&lt;/D&gt;&lt;D xsi:type="xsd:double"&gt;1.8175721&lt;/D&gt;&lt;D xsi:type="xsd:double"&gt;0.7573366&lt;/D&gt;&lt;D xsi:type="xsd:double"&gt;1.8164635&lt;/D&gt;&lt;D xsi:type="xsd:double"&gt;1.6917944&lt;/D&gt;&lt;D xsi:type="xsd:double"&gt;2.48034&lt;/D&gt;&lt;D xsi:type="xsd:double"&gt;-3.600949&lt;/D&gt;&lt;D xsi:type="xsd:double"&gt;-2.271247&lt;/D&gt;&lt;D xsi:type="xsd:double"&gt;3.3216238&lt;/D&gt;&lt;D xsi:type="xsd:double"&gt;-2.3802102&lt;/D&gt;&lt;D xsi:type="xsd:double"&gt;-0.31665564&lt;/D&gt;&lt;D xsi:type="xsd:double"&gt;-0.31766295&lt;/D&gt;&lt;D xsi:type="xsd:double"&gt;2.9955387&lt;/D&gt;&lt;D xsi:type="xsd:double"&gt;3.8848042&lt;/D&gt;&lt;D xsi:type="xsd:double"&gt;-0.5179703&lt;/D&gt;&lt;D xsi:type="xsd:double"&gt;1.2557387&lt;/D&gt;&lt;D xsi:type="xsd:double"&gt;3.3272743&lt;/D&gt;&lt;D xsi:type="xsd:double"&gt;4.0983677&lt;/D&gt;&lt;D xsi:type="xsd:double"&gt;2.3622036&lt;/D&gt;&lt;D xsi:type="xsd:double"&gt;-0.64664483&lt;/D&gt;&lt;D xsi:type="xsd:double"&gt;-2.4809718&lt;/D&gt;&lt;D xsi:type="xsd:double"&gt;5.4929256&lt;/D&gt;&lt;D xsi:type="xsd:double"&gt;1.3154268&lt;/D&gt;&lt;D xsi:type="xsd:double"&gt;-3.5704613&lt;/D&gt;&lt;D xsi:type="xsd:double"&gt;0.70126057&lt;/D&gt;&lt;D xsi:type="xsd:double"&gt;-2.9347718&lt;/D&gt;&lt;D xsi:type="xsd:double"&gt;5.6548476&lt;/D&gt;&lt;D xsi:type="xsd:double"&gt;3.300047&lt;/D&gt;&lt;D xsi:type="xsd:double"&gt;-7.060403&lt;/D&gt;&lt;D xsi:type="xsd:double"&gt;11.409593&lt;/D&gt;&lt;D xsi:type="xsd:double"&gt;4.614985&lt;/D&gt;&lt;D xsi:type="xsd:double"&gt;0.7066369&lt;/D&gt;&lt;D xsi:type="xsd:double"&gt;1.4063358&lt;/D&gt;&lt;D xsi:type="xsd:double"&gt;2.8974652&lt;/D&gt;&lt;D xsi:type="xsd:double"&gt;2.4789453&lt;/D&gt;&lt;D xsi:type="xsd:double"&gt;0.09393692&lt;/D&gt;&lt;D xsi:type="xsd:double"&gt;1.4077902&lt;/D&gt;&lt;D xsi:type="xsd:double"&gt;6.256652&lt;/D&gt;&lt;D xsi:type="xsd:double"&gt;4.1065574&lt;/D&gt;&lt;D xsi:type="xsd:double"&gt;-1.8345416&lt;/D&gt;&lt;/FQL&gt;&lt;FQL&gt;&lt;Q&gt;VNM^FG_TOTAL_RETURNC(-5AY,0,AM)&lt;/Q&gt;&lt;R&gt;61&lt;/R&gt;&lt;C&gt;1&lt;/C&gt;&lt;D xsi:type="xsd:double"&gt;-1.2276769&lt;/D&gt;&lt;D xsi:type="xsd:double"&gt;4.5197725&lt;/D&gt;&lt;D xsi:type="xsd:double"&gt;1.9459486&lt;/D&gt;&lt;D xsi:type="xsd:double"&gt;6.733823&lt;/D&gt;&lt;D xsi:type="xsd:double"&gt;1.1922598&lt;/D&gt;&lt;D xsi:type="xsd:double"&gt;-2.749145&lt;/D&gt;&lt;D xsi:type="xsd:double"&gt;1.9687057&lt;/D&gt;&lt;D xsi:type="xsd:double"&gt;-4.900998&lt;/D&gt;&lt;D xsi:type="xsd:double"&gt;6.2988043&lt;/D&gt;&lt;D xsi:type="xsd:double"&gt;-2.007836&lt;/D&gt;&lt;D xsi:type="xsd:double"&gt;7.431555&lt;/D&gt;&lt;D xsi:type="xsd:double"&gt;-7.807386&lt;/D&gt;&lt;D xsi:type="xsd:double"&gt;-0.40568113&lt;/D&gt;&lt;D xsi:type="xsd:double"&gt;-2.9531538&lt;/D&gt;&lt;D xsi:type="xsd:double"&gt;-12.801671&lt;/D&gt;&lt;D xsi:type="xsd:double"&gt;-4.933816&lt;/D&gt;&lt;D xsi:type="xsd:double"&gt;-12.658226&lt;/D&gt;&lt;D xsi:type="xsd:double"&gt;10.797095&lt;/D&gt;&lt;D xsi:type="xsd:double"&gt;-1.5696526&lt;/D&gt;&lt;D xsi:type="xsd:double"&gt;-15.813952&lt;/D&gt;&lt;D xsi:type="xsd:double"&gt;-10.497236&lt;/D&gt;&lt;D xsi:type="xsd:double"&gt;10.317457&lt;/D&gt;&lt;D xsi:type="xsd:double"&gt;0.29375553&lt;/D&gt;&lt;D xsi:type="xsd:double"&gt;-0.5631566&lt;/D&gt;&lt;D xsi:type="xsd:double"&gt;-7.1197453&lt;/D&gt;&lt;D xsi:type="xsd:double"&gt;7.0557475&lt;/D&gt;&lt;D xsi:type="xsd:double"&gt;-2.3596406&lt;/D&gt;&lt;D xsi:type="xsd:double"&gt;9.16667&lt;/D&gt;&lt;D xsi:type="xsd:double"&gt;0.916028&lt;/D&gt;&lt;D xsi:type="xsd:double"&gt;14.069593&lt;/D&gt;&lt;D xsi:type="xsd:double"&gt;2.71883&lt;/D&gt;&lt;D xsi:type="xsd:double"&gt;-13.686246&lt;/D&gt;&lt;D xsi:type="xsd:double"&gt;-4.637247&lt;/D&gt;&lt;D xsi:type="xsd:double"&gt;7.2941184&lt;/D&gt;&lt;D xsi:type="xsd:double"&gt;1.0852814&lt;/D&gt;&lt;D xsi:type="xsd:double"&gt;-1.2580991&lt;/D&gt;&lt;D xsi:type="xsd:double"&gt;4.4015527&lt;/D&gt;&lt;D xsi:type="xsd:double"&gt;-1.1094689&lt;/D&gt;&lt;D xsi:type="xsd:double"&gt;-5.38519&lt;/D&gt;&lt;D xsi:type="xsd:double"&gt;1.2253046&lt;/D&gt;&lt;D xsi:type="xsd:double"&gt;-2.772361&lt;/D&gt;&lt;D xsi:type="xsd:double"&gt;-6.3453794&lt;/D&gt;&lt;D xsi:type="xsd:double"&gt;7.8044534&lt;/D&gt;&lt;D xsi:type="xsd:double"&gt;-0.7159889&lt;/D&gt;&lt;D xsi:type="xsd:double"&gt;-3.8461506&lt;/D&gt;&lt;D xsi:type="xsd:double"&gt;-0.24999976&lt;/D&gt;&lt;D xsi:type="xsd:double"&gt;-4.2606535&lt;/D&gt;&lt;D xsi:type="xsd:double"&gt;1.1343837&lt;/D&gt;&lt;D xsi:type="xsd:double"&gt;5.2631497&lt;/D&gt;&lt;D xsi:type="xsd:double"&gt;-4.5901594&lt;/D&gt;&lt;D xsi:type="xsd:double"&gt;4.982817&lt;/D&gt;&lt;D xsi:type="xsd:double"&gt;11.620295&lt;/D&gt;&lt;D xsi:type="xsd:double"&gt;2.3460388&lt;/D&gt;&lt;D xsi:type="xsd:double"&gt;22.421206&lt;/D&gt;&lt;D xsi:type="xsd:double"&gt;5.1492095&lt;/D&gt;&lt;D xsi:type="xsd:double"&gt;2.5876522&lt;/D&gt;&lt;D xsi:type="xsd:double"&gt;-6.048274&lt;/D&gt;&lt;D xsi:type="xsd:double"&gt;7.6789856&lt;/D&gt;&lt;D xsi:type="xsd:double"&gt;4.395032&lt;/D&gt;&lt;D xsi:type="xsd:double"&gt;-7.205349&lt;/D&gt;&lt;D xsi:type="xsd:double"&gt;-2.6899636&lt;/D&gt;&lt;/FQL&gt;&lt;FQL&gt;&lt;Q&gt;EZA^FG_TOTAL_RETURNC(-5AY,0,AM)&lt;/Q&gt;&lt;R&gt;61&lt;/R&gt;&lt;C&gt;1&lt;/C&gt;&lt;D xsi:type="xsd:double"&gt;0.98947287&lt;/D&gt;&lt;D xsi:type="xsd:double"&gt;7.087755&lt;/D&gt;&lt;D xsi:type="xsd:double"&gt;-0.48666596&lt;/D&gt;&lt;D xsi:type="xsd:double"&gt;7.0031285&lt;/D&gt;&lt;D xsi:type="xsd:double"&gt;-10.831839&lt;/D&gt;&lt;D xsi:type="xsd:double"&gt;-0.28968453&lt;/D&gt;&lt;D xsi:type="xsd:double"&gt;2.0958781&lt;/D&gt;&lt;D xsi:type="xsd:double"&gt;-3.6382138999999998&lt;/D&gt;&lt;D xsi:type="xsd:double"&gt;2.1092653&lt;/D&gt;&lt;D xsi:type="xsd:double"&gt;-4.4825435&lt;/D&gt;&lt;D xsi:type="xsd:double"&gt;3.0864835&lt;/D&gt;&lt;D xsi:type="xsd:double"&gt;5.7863474&lt;/D&gt;&lt;D xsi:type="xsd:double"&gt;4.367864&lt;/D&gt;&lt;D xsi:type="xsd:double"&gt;4.9337626&lt;/D&gt;&lt;D xsi:type="xsd:double"&gt;-17.983896&lt;/D&gt;&lt;D xsi:type="xsd:double"&gt;6.357348&lt;/D&gt;&lt;D xsi:type="xsd:double"&gt;-11.141115&lt;/D&gt;&lt;D xsi:type="xsd:double"&gt;2.4131298&lt;/D&gt;&lt;D xsi:type="xsd:double"&gt;-5.7492914&lt;/D&gt;&lt;D xsi:type="xsd:double"&gt;-5.249995&lt;/D&gt;&lt;D xsi:type="xsd:double"&gt;7.4670076&lt;/D&gt;&lt;D xsi:type="xsd:double"&gt;6.6781282&lt;/D&gt;&lt;D xsi:type="xsd:double"&gt;5.6170225&lt;/D&gt;&lt;D xsi:type="xsd:double"&gt;-1.747787&lt;/D&gt;&lt;D xsi:type="xsd:double"&gt;-5.6518793&lt;/D&gt;&lt;D xsi:type="xsd:double"&gt;1.3842463&lt;/D&gt;&lt;D xsi:type="xsd:double"&gt;-0.164783&lt;/D&gt;&lt;D xsi:type="xsd:double"&gt;-7.0973816&lt;/D&gt;&lt;D xsi:type="xsd:double"&gt;-1.8022537&lt;/D&gt;&lt;D xsi:type="xsd:double"&gt;9.045494&lt;/D&gt;&lt;D xsi:type="xsd:double"&gt;-7.2582664&lt;/D&gt;&lt;D xsi:type="xsd:double"&gt;-3.874147&lt;/D&gt;&lt;D xsi:type="xsd:double"&gt;8.817959&lt;/D&gt;&lt;D xsi:type="xsd:double"&gt;-1.2925684&lt;/D&gt;&lt;D xsi:type="xsd:double"&gt;1.146102&lt;/D&gt;&lt;D xsi:type="xsd:double"&gt;-0.2016604&lt;/D&gt;&lt;D xsi:type="xsd:double"&gt;-1.4397562&lt;/D&gt;&lt;D xsi:type="xsd:double"&gt;3.1778574&lt;/D&gt;&lt;D xsi:type="xsd:double"&gt;3.7009478&lt;/D&gt;&lt;D xsi:type="xsd:double"&gt;-3.3293426&lt;/D&gt;&lt;D xsi:type="xsd:double"&gt;11.535668&lt;/D&gt;&lt;D xsi:type="xsd:double"&gt;-3.9034307&lt;/D&gt;&lt;D xsi:type="xsd:double"&gt;6.5508366&lt;/D&gt;&lt;D xsi:type="xsd:double"&gt;9.739971&lt;/D&gt;&lt;D xsi:type="xsd:double"&gt;-0.7831335&lt;/D&gt;&lt;D xsi:type="xsd:double"&gt;-2.1453202&lt;/D&gt;&lt;D xsi:type="xsd:double"&gt;-7.562846&lt;/D&gt;&lt;D xsi:type="xsd:double"&gt;7.4947&lt;/D&gt;&lt;D xsi:type="xsd:double"&gt;2.104795&lt;/D&gt;&lt;D xsi:type="xsd:double"&gt;-11.337769&lt;/D&gt;&lt;D xsi:type="xsd:double"&gt;22.814238&lt;/D&gt;&lt;D xsi:type="xsd:double"&gt;6.369555&lt;/D&gt;&lt;D xsi:type="xsd:double"&gt;2.7741194&lt;/D&gt;&lt;D xsi:type="xsd:double"&gt;2.5187016&lt;/D&gt;&lt;D xsi:type="xsd:double"&gt;3.1155467&lt;/D&gt;&lt;D xsi:type="xsd:double"&gt;12.776243&lt;/D&gt;&lt;D xsi:type="xsd:double"&gt;-2.4800956&lt;/D&gt;&lt;D xsi:type="xsd:double"&gt;6.5620065&lt;/D&gt;&lt;D xsi:type="xsd:double"&gt;13.050127&lt;/D&gt;&lt;D xsi:type="xsd:double"&gt;2.790761&lt;/D&gt;&lt;D xsi:type="xsd:double"&gt;-5.413258&lt;/D&gt;&lt;/FQL&gt;&lt;FQL&gt;&lt;Q&gt;EPHE^FG_TOTAL_RETURNC(-5AY,0,AM)&lt;/Q&gt;&lt;R&gt;61&lt;/R&gt;&lt;C&gt;1&lt;/C&gt;&lt;D xsi:type="xsd:double"&gt;-2.4644494&lt;/D&gt;&lt;D xsi:type="xsd:double"&gt;-3.3041775&lt;/D&gt;&lt;D xsi:type="xsd:double"&gt;-2.9815793&lt;/D&gt;&lt;D xsi:type="xsd:double"&gt;9.081495&lt;/D&gt;&lt;D xsi:type="xsd:double"&gt;-1.9334078&lt;/D&gt;&lt;D xsi:type="xsd:double"&gt;-7.63731&lt;/D&gt;&lt;D xsi:type="xsd:double"&gt;7.1780443&lt;/D&gt;&lt;D xsi:type="xsd:double"&gt;1.5430093&lt;/D&gt;&lt;D xsi:type="xsd:double"&gt;6.6925287&lt;/D&gt;&lt;D xsi:type="xsd:double"&gt;-3.303033&lt;/D&gt;&lt;D xsi:type="xsd:double"&gt;-2.2114396&lt;/D&gt;&lt;D xsi:type="xsd:double"&gt;3.3129573&lt;/D&gt;&lt;D xsi:type="xsd:double"&gt;-0.24905801&lt;/D&gt;&lt;D xsi:type="xsd:double"&gt;-2.99626&lt;/D&gt;&lt;D xsi:type="xsd:double"&gt;-6.949806&lt;/D&gt;&lt;D xsi:type="xsd:double"&gt;-1.8326461&lt;/D&gt;&lt;D xsi:type="xsd:double"&gt;-7.3398294&lt;/D&gt;&lt;D xsi:type="xsd:double"&gt;0.8846164&lt;/D&gt;&lt;D xsi:type="xsd:double"&gt;-0.15249252&lt;/D&gt;&lt;D xsi:type="xsd:double"&gt;-12.943876&lt;/D&gt;&lt;D xsi:type="xsd:double"&gt;4.6052694&lt;/D&gt;&lt;D xsi:type="xsd:double"&gt;10.859537&lt;/D&gt;&lt;D xsi:type="xsd:double"&gt;4.7207117&lt;/D&gt;&lt;D xsi:type="xsd:double"&gt;3.12047&lt;/D&gt;&lt;D xsi:type="xsd:double"&gt;-5.277973&lt;/D&gt;&lt;D xsi:type="xsd:double"&gt;-0.9286761&lt;/D&gt;&lt;D xsi:type="xsd:double"&gt;2.662158&lt;/D&gt;&lt;D xsi:type="xsd:double"&gt;-5.843675&lt;/D&gt;&lt;D xsi:type="xsd:double"&gt;0.5023718&lt;/D&gt;&lt;D xsi:type="xsd:double"&gt;1.9042969&lt;/D&gt;&lt;D xsi:type="xsd:double"&gt;-5.855298&lt;/D&gt;&lt;D xsi:type="xsd:double"&gt;0.24430752&lt;/D&gt;&lt;D xsi:type="xsd:double"&gt;-1.4216125&lt;/D&gt;&lt;D xsi:type="xsd:double"&gt;4.408729&lt;/D&gt;&lt;D xsi:type="xsd:double"&gt;5.874169&lt;/D&gt;&lt;D xsi:type="xsd:double"&gt;0.8643389&lt;/D&gt;&lt;D xsi:type="xsd:double"&gt;2.3472428&lt;/D&gt;&lt;D xsi:type="xsd:double"&gt;-3.7495434&lt;/D&gt;&lt;D xsi:type="xsd:double"&gt;-1.5506804&lt;/D&gt;&lt;D xsi:type="xsd:double"&gt;-4.80215&lt;/D&gt;&lt;D xsi:type="xsd:double"&gt;1.3881087&lt;/D&gt;&lt;D xsi:type="xsd:double"&gt;-0.161618&lt;/D&gt;&lt;D xsi:type="xsd:double"&gt;11.61474&lt;/D&gt;&lt;D xsi:type="xsd:double"&gt;6.2726617&lt;/D&gt;&lt;D xsi:type="xsd:double"&gt;-6.9600763&lt;/D&gt;&lt;D xsi:type="xsd:double"&gt;-3.923726&lt;/D&gt;&lt;D xsi:type="xsd:double"&gt;-0.7083118&lt;/D&gt;&lt;D xsi:type="xsd:double"&gt;-4.1101274&lt;/D&gt;&lt;D xsi:type="xsd:double"&gt;1.6579032&lt;/D&gt;&lt;D xsi:type="xsd:double"&gt;-5.210817&lt;/D&gt;&lt;D xsi:type="xsd:double"&gt;14.771295&lt;/D&gt;&lt;D xsi:type="xsd:double"&gt;2.1937847&lt;/D&gt;&lt;D xsi:type="xsd:double"&gt;-1.9579649&lt;/D&gt;&lt;D xsi:type="xsd:double"&gt;-2.474153&lt;/D&gt;&lt;D xsi:type="xsd:double"&gt;-1.3252556&lt;/D&gt;&lt;D xsi:type="xsd:double"&gt;-3.6838055&lt;/D&gt;&lt;D xsi:type="xsd:double"&gt;-3.944224&lt;/D&gt;&lt;D xsi:type="xsd:double"&gt;2.571547&lt;/D&gt;&lt;D xsi:type="xsd:double"&gt;5.8863044&lt;/D&gt;&lt;D xsi:type="xsd:double"&gt;2.8868318&lt;/D&gt;&lt;D xsi:type="xsd:double"&gt;-4.638982&lt;/D&gt;&lt;/FQL&gt;&lt;FQL&gt;&lt;Q&gt;QAT^FG_PRICE(0,-200D)&lt;/Q&gt;&lt;R&gt;201&lt;/R&gt;&lt;C&gt;1&lt;/C&gt;&lt;D xsi:type="xsd:double"&gt;18.755&lt;/D&gt;&lt;D xsi:type="xsd:double"&gt;18.86&lt;/D&gt;&lt;D xsi:type="xsd:double"&gt;18.89&lt;/D&gt;&lt;D xsi:type="xsd:double"&gt;19.01&lt;/D&gt;&lt;D xsi:type="xsd:double"&gt;18.87&lt;/D&gt;&lt;D xsi:type="xsd:double"&gt;19.46&lt;/D&gt;&lt;D xsi:type="xsd:double"&gt;19.52&lt;/D&gt;&lt;D xsi:type="xsd:double"&gt;19.89&lt;/D&gt;&lt;D xsi:type="xsd:double"&gt;19.99&lt;/D&gt;&lt;D xsi:type="xsd:double"&gt;19.92&lt;/D&gt;&lt;D xsi:type="xsd:double"&gt;19.845&lt;/D&gt;&lt;D xsi:type="xsd:double"&gt;19.8556&lt;/D&gt;&lt;D xsi:type="xsd:double"&gt;20.115&lt;/D&gt;&lt;D xsi:type="xsd:double"&gt;19.98&lt;/D&gt;&lt;D xsi:type="xsd:double"&gt;20.0967&lt;/D&gt;&lt;D xsi:type="xsd:double"&gt;20.075&lt;/D&gt;&lt;D xsi:type="xsd:double"&gt;20.125&lt;/D&gt;&lt;D xsi:type="xsd:double"&gt;20.095&lt;/D&gt;&lt;D xsi:type="xsd:double"&gt;20.1&lt;/D&gt;&lt;D xsi:type="xsd:double"&gt;19.94&lt;/D&gt;&lt;D xsi:type="xsd:double"&gt;19.82&lt;/D&gt;&lt;D xsi:type="xsd:double"&gt;19.96&lt;/D&gt;&lt;D xsi:type="xsd:double"&gt;19.9169&lt;/D&gt;&lt;D xsi:type="xsd:double"&gt;19.97&lt;/D&gt;&lt;D xsi:type="xsd:double"&gt;19.71&lt;/D&gt;&lt;D xsi:type="xsd:double"&gt;19.82&lt;/D&gt;&lt;D xsi:type="xsd:double"&gt;20&lt;/D&gt;&lt;D xsi:type="xsd:double"&gt;19.94&lt;/D&gt;&lt;D xsi:type="xsd:double"&gt;19.937&lt;/D&gt;&lt;D xsi:type="xsd:double"&gt;19.82&lt;/D&gt;&lt;D xsi:type="xsd:double"&gt;19.9&lt;/D&gt;&lt;D xsi:type="xsd:double"&gt;19.71&lt;/D&gt;&lt;D xsi:type="xsd:double"&gt;19.71&lt;/D&gt;&lt;D xsi:type="xsd:double"&gt;19.46&lt;/D&gt;&lt;D xsi:type="xsd:double"&gt;19.425&lt;/D&gt;&lt;D xsi:type="xsd:double"&gt;19.6596&lt;/D&gt;&lt;D xsi:type="xsd:double"&gt;19.71&lt;/D&gt;&lt;D xsi:type="xsd:double"&gt;19.6099&lt;/D&gt;&lt;D xsi:type="xsd:double"&gt;19.36&lt;/D&gt;&lt;D xsi:type="xsd:double"&gt;19.28&lt;/D&gt;&lt;D xsi:type="xsd:double"&gt;19.405&lt;/D&gt;&lt;D xsi:type="xsd:double"&gt;19.3551&lt;/D&gt;&lt;D xsi:type="xsd:double"&gt;19.19&lt;/D&gt;&lt;D xsi:type="xsd:double"&gt;18.825&lt;/D&gt;&lt;D xsi:type="xsd:double"&gt;18.8183&lt;/D&gt;&lt;D xsi:type="xsd:double"&gt;18.95&lt;/D&gt;&lt;D xsi:type="xsd:double"&gt;18.8751&lt;/D&gt;&lt;D xsi:type="xsd:double"&gt;18.865&lt;/D&gt;&lt;D xsi:type="xsd:double"&gt;18.96&lt;/D&gt;&lt;D xsi:type="xsd:double"&gt;18.9302&lt;/D&gt;&lt;D xsi:type="xsd:</t>
        </r>
      </text>
    </comment>
    <comment ref="A9" authorId="0" shapeId="0" xr:uid="{5D1B589B-AB66-4A7D-ADC3-62B8A6DCAD97}">
      <text>
        <r>
          <rPr>
            <b/>
            <sz val="9"/>
            <color indexed="81"/>
            <rFont val="Tahoma"/>
            <charset val="1"/>
          </rPr>
          <t>double"&gt;18.8396&lt;/D&gt;&lt;D xsi:type="xsd:double"&gt;18.775&lt;/D&gt;&lt;D xsi:type="xsd:double"&gt;18.74&lt;/D&gt;&lt;D xsi:type="xsd:double"&gt;18.6081&lt;/D&gt;&lt;D xsi:type="xsd:double"&gt;18.6969&lt;/D&gt;&lt;D xsi:type="xsd:double"&gt;19.01&lt;/D&gt;&lt;D xsi:type="xsd:double"&gt;19.32&lt;/D&gt;&lt;D xsi:type="xsd:double"&gt;19.315&lt;/D&gt;&lt;D xsi:type="xsd:double"&gt;19.1685&lt;/D&gt;&lt;D xsi:type="xsd:double"&gt;19.0414&lt;/D&gt;&lt;D xsi:type="xsd:double"&gt;18.9554&lt;/D&gt;&lt;D xsi:type="xsd:double"&gt;18.9304&lt;/D&gt;&lt;D xsi:type="xsd:double"&gt;18.9402&lt;/D&gt;&lt;D xsi:type="xsd:double"&gt;18.9302&lt;/D&gt;&lt;D xsi:type="xsd:double"&gt;18.775&lt;/D&gt;&lt;D xsi:type="xsd:double"&gt;18.71&lt;/D&gt;&lt;D xsi:type="xsd:double"&gt;18.88&lt;/D&gt;&lt;D xsi:type="xsd:double"&gt;18.885&lt;/D&gt;&lt;D xsi:type="xsd:double"&gt;18.77&lt;/D&gt;&lt;D xsi:type="xsd:double"&gt;18.85&lt;/D&gt;&lt;D xsi:type="xsd:double"&gt;18.68&lt;/D&gt;&lt;D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xsi:type="xsd:double"&gt;20.065&lt;/D&gt;&lt;D xsi:type="xsd:double"&gt;20.08&lt;/D&gt;&lt;D xsi:type="xsd:double"&gt;20.24&lt;/D&gt;&lt;D xsi:type="xsd:double"&gt;20.38&lt;/D&gt;&lt;D xsi:type="xsd:double"&gt;20.54&lt;/D&gt;&lt;D xsi:type="xsd:double"&gt;20.52&lt;/D&gt;&lt;D xsi:type="xsd:double"&gt;20.56&lt;/D&gt;&lt;D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xsi:type="xsd:double"&gt;18.78&lt;/D&gt;&lt;D xsi:type="xsd:double"&gt;18.91&lt;/D&gt;&lt;D xsi:type="xsd:double"&gt;19.08&lt;/D&gt;&lt;D xsi:type="xsd:double"&gt;18.8&lt;/D&gt;&lt;D xsi:type="xsd:double"&gt;18.75&lt;/D&gt;&lt;D xsi:type="xsd:double"&gt;18.83&lt;/D&gt;&lt;D xsi:type="xsd:double"&gt;18.94&lt;/D&gt;&lt;D xsi:type="xsd:double"&gt;18.91&lt;/D&gt;&lt;D xsi:type="xsd:double"&gt;19.15&lt;/D&gt;&lt;D xsi:type="xsd:double"&gt;19.11&lt;/D&gt;&lt;D xsi:type="xsd:double"&gt;19.18&lt;/D&gt;&lt;D xsi:type="xsd:double"&gt;19.06&lt;/D&gt;&lt;D xsi:type="xsd:double"&gt;19.05&lt;/D&gt;&lt;/FQL&gt;&lt;FQL&gt;&lt;Q&gt;CNYA^JULIAN(FG_PRICE(0,-200D).DATES)&lt;/Q&gt;&lt;R&gt;201&lt;/R&gt;&lt;C&gt;1&lt;/C&gt;&lt;D xsi:type="xsd:long"&gt;46087&lt;/D&gt;&lt;D xsi:type="xsd:long"&gt;46086&lt;/D&gt;&lt;D xsi:type="xsd:long"&gt;46085&lt;/D&gt;&lt;D xsi:type="xsd:long"&gt;46084&lt;/D&gt;&lt;D xsi:type="xsd:long"&gt;46083&lt;/D&gt;&lt;D xsi:type="xsd:long"&gt;46080&lt;/D&gt;&lt;D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xsi:type="xsd:long"&gt;45796&lt;/D&gt;&lt;/FQL&gt;&lt;FQL&gt;&lt;Q&gt;EWZ^FG_TOTAL_RETURNC(-5AY,0,AM)&lt;/Q&gt;&lt;R&gt;61&lt;/R&gt;&lt;C&gt;1&lt;/C&gt;&lt;D xsi:type="xsd:double"&gt;-8.942861&lt;/D&gt;&lt;D xsi:type="xsd:double"&gt;2.9099703&lt;/D&gt;&lt;D xsi:type="xsd:double"&gt;9.0132475&lt;/D&gt;&lt;D xsi:type="xsd:double"&gt;12.591195&lt;/D&gt;&lt;D xsi:type="xsd:double"&gt;-6.6069784&lt;/D&gt;&lt;D xsi:type="xsd:double"&gt;-1.9827843&lt;/D&gt;&lt;D xsi:type="xsd:double"&gt;-4.5781255&lt;/D&gt;&lt;D xsi:type="xsd:double"&gt;-10.7113&lt;/D&gt;&lt;D xsi:type="xsd:double"&gt;-6.435484&lt;/D&gt;&lt;D xsi:type="xsd:double"&gt;0.8347273&lt;/D&gt;&lt;D xsi:type="xsd:double"&gt;-4.6203613&lt;/D&gt;&lt;D xsi:type="xsd:double"&gt;18.341423&lt;/D&gt;&lt;D xsi:type="xsd:double"&gt;8.238638&lt;/D&gt;&lt;D xsi:type="xsd:double"&gt;9.857094&lt;/D&gt;&lt;D xsi:type="xsd:double"&gt;-16.80382&lt;/D&gt;&lt;D xsi:type="xsd:double"&gt;11.263561&lt;/D&gt;&lt;D xsi:type="xsd:double"&gt;-20.774948&lt;/D&gt;&lt;D xsi:type="xsd:double"&gt;12.817597&lt;/D&gt;&lt;D xsi:type="xsd:double"&gt;1.6806722&lt;/D&gt;&lt;D xsi:type="xsd:double"&gt;8.628106&lt;/D&gt;&lt;D xsi:type="xsd:double"&gt;3.0736446&lt;/D&gt;&lt;D xsi:type="xsd:double"&gt;-9.27074&lt;/D&gt;&lt;D xsi:type="xsd:double"&gt;-0.8817315&lt;/D&gt;&lt;D xsi:type="xsd:double"&gt;0.742054&lt;/D&gt;&lt;D xsi:type="xsd:double"&gt;-2.9112577&lt;/D&gt;&lt;D xsi:type="xsd:double"&gt;-2.1315038&lt;/D&gt;&lt;D xsi:type="xsd:double"&gt;6.164634&lt;/D&gt;&lt;D xsi:type="xsd:double"&gt;9.005558&lt;/D&gt;&lt;D xsi:type="xsd:double"&gt;2.1603346&lt;/D&gt;&lt;D xsi:type="xsd:double"&gt;2.559185&lt;/D&gt;&lt;D xsi:type="xsd:double"&gt;-4.0548983&lt;/D&gt;&lt;D xsi:type="xsd:double"&gt;-4.5838776&lt;/D&gt;&lt;D xsi:type="xsd:double"&gt;9.097099&lt;/D&gt;&lt;D xsi:type="xsd:double"&gt;5.0593376&lt;/D&gt;&lt;D xsi:type="xsd:double"&gt;6.1401606&lt;/D&gt;&lt;D xsi:type="xsd:double"&gt;-2.6117146&lt;/D&gt;&lt;D xsi:type="xsd:double"&gt;-1.2216926&lt;/D&gt;&lt;D xsi:type="xsd:double"&gt;-4.042238&lt;/D&gt;&lt;D xsi:type="xsd:double"&gt;1.634717&lt;/D&gt;&lt;D xsi:type="xsd:double"&gt;-7.918346&lt;/D&gt;&lt;D xsi:type="xsd:double"&gt;-1.5045762&lt;/D&gt;&lt;D xsi:type="xsd:double"&gt;-3.2405794&lt;/D&gt;&lt;D xsi:type="xsd:double"&gt;6.8802357&lt;/D&gt;&lt;D xsi:type="xsd:double"&gt;0.17030239&lt;/D&gt;&lt;D xsi:type="xsd:double"&gt;-3.6722183&lt;/D&gt;&lt;D xsi:type="xsd:double"&gt;-10.801268&lt;/D&gt;&lt;D xsi:type="xsd:double"&gt;-5.5037975&lt;/D&gt;&lt;D xsi:type="xsd:double"&gt;12.828374&lt;/D&gt;&lt;D xsi:type="xsd:double"&gt;-4.656583&lt;/D&gt;&lt;D xsi:type="xsd:double"&gt;-0.28489828&lt;/D&gt;&lt;D xsi:type="xsd:double"&gt;8.612251&lt;/D&gt;&lt;D xsi:type="xsd:double"&gt;4.1713595&lt;/D&gt;&lt;D xsi:type="xsd:double"&gt;7.6601267&lt;/D&gt;&lt;D xsi:type="xsd:double"&gt;-6.3459516&lt;/D&gt;&lt;D xsi:type="xsd:double"&gt;7.941711&lt;/D&gt;&lt;D xsi:type="xsd:double"&gt;2.2949696&lt;/D&gt;&lt;D xsi:type="xsd:double"&gt;5.707693&lt;/D&gt;&lt;D xsi:type="xsd:double"&gt;1.529336&lt;/D&gt;&lt;D xsi:type="xsd:double"&gt;5.439043&lt;/D&gt;&lt;D xsi:type="xsd:double"&gt;13.440048&lt;/D&gt;&lt;D xsi:type="xsd:double"&gt;-3.7140608&lt;/D&gt;&lt;/FQL&gt;&lt;FQL&gt;&lt;Q&gt;EWA^FG_PRICE(0,-200D)&lt;/Q&gt;&lt;R&gt;201&lt;/R&gt;&lt;C&gt;1&lt;/C&gt;&lt;D xsi:type="xsd:double"&gt;28.46&lt;/D&gt;&lt;D xsi:type="xsd:double"&gt;28.61&lt;/D&gt;&lt;D xsi:type="xsd:double"&gt;29.35&lt;/D&gt;&lt;D xsi:type="xsd:double"&gt;29.09&lt;/D&gt;&lt;D xsi:type="xsd:double"&gt;29.93&lt;/D&gt;&lt;D xsi:type="xsd:double"&gt;30.09&lt;/D&gt;&lt;D xsi:type="xsd:double"&gt;30.14&lt;/D&gt;&lt;D xsi:type="xsd:double"&gt;30.16&lt;/D&gt;&lt;D xsi:type="xsd:double"&gt;29.58&lt;/D&gt;&lt;D xsi:type="xsd:double"&gt;29.45&lt;/D&gt;&lt;D xsi:type="xsd:double"&gt;29.7&lt;/D&gt;&lt;D xsi:type="xsd:double"&gt;29.37&lt;/D&gt;&lt;D xsi:type="xsd:double"&gt;29.31&lt;/D&gt;&lt;D xsi:type="xsd:double"&gt;29.32&lt;/D&gt;&lt;D xsi:type="xsd:double"&gt;29.16&lt;/D&gt;&lt;D xsi:type="xsd:double"&gt;29.1&lt;/D&gt;&lt;D xsi:type="xsd:double"&gt;29.3&lt;/D&gt;&lt;D xsi:type="xsd:double"&gt;28.64&lt;/D&gt;&lt;D xsi:type="xsd:double"&gt;28.83&lt;/D&gt;&lt;D xsi:type="xsd:double"&gt;28.23&lt;/D&gt;&lt;D xsi:type="xsd:double"&gt;27.84&lt;/D&gt;&lt;D xsi:type="xsd:double"&gt;28.35&lt;/D&gt;&lt;D xsi:type="xsd:double"&gt;28.12&lt;/D&gt;&lt;D xsi:type="xsd:double"&gt;27.95&lt;/D&gt;&lt;D xsi:type="xsd:double"&gt;27.75&lt;/D&gt;&lt;D xsi:type="xsd:double"&gt;28.42&lt;/D&gt;&lt;D xsi:type="xsd:double"&gt;28.17&lt;/D&gt;&lt;D xsi:type="xsd:double"&gt;28.24&lt;/D&gt;&lt;D xsi:type="xsd:double"&gt;27.62&lt;/D&gt;&lt;D xsi:type="xsd:double"&gt;27.38&lt;/D&gt;&lt;D xsi:type="xsd:double"&gt;27.07&lt;/D&gt;&lt;D xsi:type="xsd:double"&gt;26.7&lt;/D&gt;&lt;D xsi:type="xsd:double"&gt;26.46&lt;/D&gt;&lt;D xsi:type="xsd:double"&gt;26.74&lt;/D&gt;&lt;D xsi:type="xsd:double"&gt;26.65&lt;/D&gt;&lt;D xsi:type="xsd:double"&gt;26.54&lt;/D&gt;&lt;D xsi:type="xsd:double"&gt;26.41&lt;/D&gt;&lt;D xsi:type="xsd:double"&gt;26.45&lt;/D&gt;&lt;D xsi:type="xsd:double"&gt;26.26&lt;/D&gt;&lt;D xsi:type="xsd:double"&gt;26.37&lt;/D&gt;&lt;D xsi:type="xsd:double"&gt;26.27&lt;/D&gt;&lt;D xsi:type="xsd:double"&gt;26.49&lt;/D&gt;&lt;D xsi:type="xsd:double"&gt;26.61&lt;/D&gt;&lt;D xsi:type="xsd:double"&gt;26.47&lt;/D&gt;&lt;D xsi:type="xsd:double"&gt;26.19&lt;/D&gt;&lt;D xsi:type="xsd:double"&gt;26.41&lt;/D&gt;&lt;D xsi:type="xsd:double"&gt;26.48&lt;/D&gt;&lt;D xsi:type="xsd:double"&gt;26.68&lt;/D&gt;&lt;D xsi:type="xsd:double"&gt;26.6&lt;/D&gt;&lt;D xsi:type="xsd:double"&gt;26.61&lt;/D&gt;&lt;D xsi:type="xsd:double"&gt;26.15&lt;/D&gt;&lt;D xsi:type="xsd:double"&gt;25.88&lt;/D&gt;&lt;D xsi:type="xsd:double"&gt;25.81&lt;/D&gt;&lt;D xsi:type="xsd:double"&gt;25.58&lt;/D&gt;&lt;D xsi:type="xsd:double"&gt;25.82&lt;/D&gt;&lt;D xsi:type="xsd:double"&gt;26.42&lt;/D&gt;&lt;D xsi:type="xsd:double"&gt;26.52&lt;/D&gt;&lt;D xsi:type="xsd:double"&gt;26.64&lt;/D&gt;&lt;D xsi:type="xsd:double"&gt;26.65&lt;/D&gt;&lt;D xsi:type="xsd:double"&gt;26.35&lt;/D&gt;&lt;D xsi:type="xsd:double"&gt;26.24&lt;/D&gt;&lt;D xsi:type="xsd:double"&gt;26.34&lt;/D&gt;&lt;D xsi:type="xsd:double"&gt;26.29&lt;/D&gt;&lt;D xsi:type="xsd:double"&gt;26.13&lt;/D&gt;&lt;D xsi:type="xsd:double"&gt;25.93&lt;/D&gt;&lt;D xsi:type="xsd:double"&gt;25.73&lt;/D&gt;&lt;D xsi:type="xsd:double"&gt;25.85&lt;/D&gt;&lt;D xsi:type="xsd:double"&gt;25.82&lt;/D&gt;&lt;D xsi:type="xsd:double"&gt;25.62&lt;/D&gt;&lt;D xsi:type="xsd:double"&gt;25.44&lt;/D&gt;&lt;D xsi:type="xsd:double"&gt;25.33&lt;/D&gt;&lt;D xsi:type="xsd:double"&gt;24.95&lt;/D&gt;&lt;D xsi:type="xsd:double"&gt;25.3&lt;/D&gt;&lt;D xsi:type="xsd:double"&gt;25.4&lt;/D&gt;&lt;D xsi:type="xsd:double"&gt;25.64&lt;/D&gt;&lt;D xsi:type="xsd:double"&gt;25.95&lt;/D&gt;&lt;D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xsi:type="xsd:double"&gt;26.36&lt;/D&gt;&lt;D xsi:type="xsd:double"&gt;26.33&lt;/D&gt;&lt;D xsi:type="xsd:double"&gt;26.07&lt;/D&gt;&lt;D xsi:type="xsd:double"&gt;26.15&lt;/D&gt;&lt;D xsi:type="xsd:double"&gt;25.81&lt;/D&gt;&lt;D xsi:type="xsd:double"&gt;25.64&lt;/D&gt;&lt;D xsi:type="xsd:double"&gt;25.56&lt;/D&gt;&lt;D xsi:type="xsd:double"&gt;25.87&lt;/D&gt;&lt;D xsi:type="xsd:double"&gt;25.65&lt;/D&gt;&lt;D xsi:type="xsd:double"&gt;25.41&lt;/D&gt;&lt;D xsi:type="xsd:double"&gt;25.41&lt;/D&gt;&lt;D xsi:type="xsd:double"&gt;25.63&lt;/D&gt;&lt;D xsi:type="xsd:double"&gt;25.63&lt;/D&gt;&lt;/FQL&gt;&lt;FQL&gt;&lt;Q&gt;ENZL^FG_PRICE(0,-200D)&lt;/Q&gt;&lt;R&gt;201&lt;/R&gt;&lt;C&gt;1&lt;/C&gt;&lt;D xsi:type="xsd:double"&gt;45.55&lt;/D&gt;&lt;D xsi:type="xsd:double"&gt;46.06&lt;/D&gt;&lt;D xsi:type="xsd:double"&gt;46.58&lt;/D&gt;&lt;D xsi:type="xsd:double"&gt;46.05&lt;/D&gt;&lt;D xsi:type="xsd:double"&gt;47.1153&lt;/D&gt;&lt;D xsi:type="xsd:double"&gt;47.4776&lt;/D&gt;&lt;D xsi:type="xsd:double"&gt;47.225&lt;/D&gt;&lt;D xsi:type="xsd:double"&gt;47.1645&lt;/D&gt;&lt;D xsi:type="xsd:double"&gt;46.72&lt;/D&gt;&lt;D xsi:type="xsd:double"&gt;45.9335&lt;/D&gt;&lt;D xsi:type="xsd:double"&gt;45.8355&lt;/D&gt;&lt;D xsi:type="xsd:double"&gt;46.0172&lt;/D&gt;&lt;D xsi:type="xsd:double"&gt;45.25&lt;/D&gt;&lt;D xsi:type="xsd:double"&gt;44.905&lt;/D&gt;&lt;D xsi:type="xsd:double"&gt;46.7721&lt;/D&gt;&lt;D xsi:type="xsd:double"&gt;47.4568&lt;/D&gt;&lt;D xsi:type="xsd:double"&gt;47.898&lt;/D&gt;&lt;D xsi:type="xsd:double"&gt;47.995&lt;/D&gt;&lt;D xsi:type="xsd:double"&gt;47.975&lt;/D&gt;&lt;D xsi:type="xsd:double"&gt;47.6&lt;/D&gt;&lt;D xsi:type="xsd:double"&gt;47.11&lt;/D&gt;&lt;D xsi:type="xsd:double"&gt;46.72&lt;/D&gt;&lt;D xsi:type="xsd:double"&gt;47.242&lt;/D&gt;&lt;D xsi:type="xsd:double"&gt;47.1177&lt;/D&gt;&lt;D xsi:type="xsd:double"&gt;46.9408&lt;/D&gt;&lt;D xsi:type="xsd:double"&gt;47.234&lt;/D&gt;&lt;D xsi:type="xsd:double"&gt;47.11&lt;/D&gt;&lt;D xsi:type="xsd:double"&gt;47.52&lt;/D&gt;&lt;D xsi:type="xsd:double"&gt;46.87&lt;/D&gt;&lt;D xsi:type="xsd:double"&gt;46.624&lt;/D&gt;&lt;D xsi:type="xsd:double"&gt;46.755&lt;/D&gt;&lt;D xsi:type="xsd:double"&gt;46.11&lt;/D&gt;&lt;D xsi:type="xsd:double"&gt;46.09&lt;/D&gt;&lt;D xsi:type="xsd:double"&gt;45.755&lt;/D&gt;&lt;D xsi:type="xsd:double"&gt;45.6301&lt;/D&gt;&lt;D xsi:type="xsd:double"&gt;45.89&lt;/D&gt;&lt;D xsi:type="xsd:double"&gt;45.52&lt;/D&gt;&lt;D xsi:type="xsd:double"&gt;46.1&lt;/D&gt;&lt;D xsi:type="xsd:double"&gt;45.98&lt;/D&gt;&lt;D xsi:type="xsd:double"&gt;46.115&lt;/D&gt;&lt;D xsi:type="xsd:double"&gt;46.295&lt;/D&gt;&lt;D xsi:type="xsd:double"&gt;46.1476&lt;/D&gt;&lt;D xsi:type="xsd:double"&gt;45.8584&lt;/D&gt;&lt;D xsi:type="xsd:double"&gt;45.4719&lt;/D&gt;&lt;D xsi:type="xsd:double"&gt;45.2715&lt;/D&gt;&lt;D xsi:type="xsd:double"&gt;45.41&lt;/D&gt;&lt;D xsi:type="xsd:double"&gt;45.41&lt;/D&gt;&lt;D xsi:type="xsd:double"&gt;45.73&lt;/D&gt;&lt;D xsi:type="xsd:double"&gt;45.74&lt;/D&gt;&lt;D xsi:type="xsd:double"&gt;45.54&lt;/D&gt;&lt;D xsi:type="xsd:double"&gt;45.18&lt;/D&gt;&lt;D xsi:type="xsd:double"&gt;44.82&lt;/D&gt;&lt;D xsi:type="xsd:double"&gt;44.6999&lt;/D&gt;&lt;D xsi:type="xsd:double"&gt;44.635&lt;/D&gt;&lt;D xsi:type="xsd:double"&gt;45.1265&lt;/D&gt;&lt;D xsi:type="xsd:double"&gt;45.75&lt;/D&gt;&lt;D xsi:type="xsd:double"&gt;45.71&lt;/D&gt;&lt;D xsi:type="xsd:double"&gt;46.35&lt;/D&gt;&lt;D xsi:type="xsd:double"&gt;46.2943&lt;/D&gt;&lt;D xsi:type="xsd:double"&gt;45.9504&lt;/D&gt;&lt;D xsi:type="xsd:double"&gt;46.0267&lt;/D&gt;&lt;D xsi:type="xsd:double"&gt;45.995&lt;/D&gt;&lt;D xsi:type="xsd:double"&gt;46.005&lt;/D&gt;&lt;D xsi:type="xsd:double"&gt;46.1656&lt;/D&gt;&lt;D xsi:type="xsd:double"&gt;45.8184&lt;/D&gt;&lt;D xsi:type="xsd:double"&gt;45.48&lt;/D&gt;&lt;D xsi:type="xsd:double"&gt;45.6257&lt;/D&gt;&lt;D xsi:type="xsd:double"&gt;45.47&lt;/D&gt;&lt;D xsi:type="xsd:double"&gt;44.6994&lt;/D&gt;&lt;D xsi:type="xsd:double"&gt;44.47&lt;/D&gt;&lt;D xsi:type="xsd:double"&gt;44.33&lt;/D&gt;&lt;D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xsi:type="xsd:double"&gt;45.53&lt;/D&gt;&lt;D xsi:type="xsd:double"&gt;45.25&lt;/D&gt;&lt;D xsi:type="xsd:double"&gt;44.61&lt;/D&gt;&lt;D xsi:type="xsd:double"&gt;45.04&lt;/D&gt;&lt;D xsi:type="xsd:double"&gt;44.39&lt;/D&gt;&lt;D xsi:type="xsd:double"&gt;43.97&lt;/D&gt;&lt;D xsi:type="xsd:double"&gt;44.23&lt;/D&gt;&lt;D xsi:type="xsd:double"&gt;45.38&lt;/D&gt;&lt;D xsi:type="xsd:double"&gt;45.36&lt;/D&gt;&lt;D xsi:type="xsd:double"&gt;45.08&lt;/D&gt;&lt;D xsi:type="xsd:double"&gt;45.22&lt;/D&gt;&lt;D xsi:type="xsd:double"&gt;45.2&lt;/D&gt;&lt;D xsi:type="xsd:double"&gt;45.15&lt;/D&gt;&lt;/FQL&gt;&lt;FQL&gt;&lt;Q&gt;EWG^FG_TOTAL_RETURNC(-5AY,0,AM)&lt;/Q&gt;&lt;R&gt;61&lt;/R&gt;&lt;C&gt;1&lt;/C&gt;&lt;D xsi:type="xsd:double"&gt;-1.715678&lt;/D&gt;&lt;D xsi:type="xsd:double"&gt;6.982541&lt;/D&gt;&lt;D xsi:type="xsd:double"&gt;1.5151501&lt;/D&gt;&lt;D xsi:type="xsd:double"&gt;4.0183783&lt;/D&gt;&lt;D xsi:type="xsd:double"&gt;-3.4363568&lt;/D&gt;&lt;D xsi:type="xsd:double"&gt;0.9590268&lt;/D&gt;&lt;D xsi:type="xsd:double"&gt;1.0938287&lt;/D&gt;&lt;D xsi:type="xsd:double"&gt;-7.801819&lt;/D&gt;&lt;D xsi:type="xsd:double"&gt;6.639898&lt;/D&gt;&lt;D xsi:type="xsd:double"&gt;-6.921518&lt;/D&gt;&lt;D xsi:type="xsd:double"&gt;3.6582708&lt;/D&gt;&lt;D xsi:type="xsd:double"&gt;-3.1789243&lt;/D&gt;&lt;D xsi:type="xsd:double"&gt;-19.043154&lt;/D&gt;&lt;D xsi:type="xsd:double"&gt;6.5662503&lt;/D&gt;&lt;D xsi:type="xsd:double"&gt;-7.8651667&lt;/D&gt;&lt;D xsi:type="xsd:double"&gt;8.300554&lt;/D&gt;&lt;D xsi:type="xsd:double"&gt;-17.541355&lt;/D&gt;&lt;D xsi:type="xsd:double"&gt;7.2207093&lt;/D&gt;&lt;D xsi:type="xsd:double"&gt;-8.979249&lt;/D&gt;&lt;D xsi:type="xsd:double"&gt;-4.7929287&lt;/D&gt;&lt;D xsi:type="xsd:double"&gt;9.042036&lt;/D&gt;&lt;D xsi:type="xsd:double"&gt;12.415957&lt;/D&gt;&lt;D xsi:type="xsd:double"&gt;5.1389813&lt;/D&gt;&lt;D xsi:type="xsd:double"&gt;6.5250397&lt;/D&gt;&lt;D xsi:type="xsd:double"&gt;0.035607815&lt;/D&gt;&lt;D xsi:type="xsd:double"&gt;1.7443895&lt;/D&gt;&lt;D xsi:type="xsd:double"&gt;3.2190323&lt;/D&gt;&lt;D xsi:type="xsd:double"&gt;-3.3559322&lt;/D&gt;&lt;D xsi:type="xsd:double"&gt;-1.2904286&lt;/D&gt;&lt;D xsi:type="xsd:double"&gt;3.066814&lt;/D&gt;&lt;D xsi:type="xsd:double"&gt;-3.5423338&lt;/D&gt;&lt;D xsi:type="xsd:double"&gt;-4.1865587&lt;/D&gt;&lt;D xsi:type="xsd:double"&gt;-0.11498928&lt;/D&gt;&lt;D xsi:type="xsd:double"&gt;10.360706&lt;/D&gt;&lt;D xsi:type="xsd:double"&gt;0.9440899&lt;/D&gt;&lt;D xsi:type="xsd:double"&gt;0.8611798&lt;/D&gt;&lt;D xsi:type="xsd:double"&gt;5.225408&lt;/D&gt;&lt;D xsi:type="xsd:double"&gt;1.7526865&lt;/D&gt;&lt;D xsi:type="xsd:double"&gt;-0.22328496&lt;/D&gt;&lt;D xsi:type="xsd:double"&gt;3.3887506&lt;/D&gt;&lt;D xsi:type="xsd:double"&gt;-0.79687834&lt;/D&gt;&lt;D xsi:type="xsd:double"&gt;-5.8128357&lt;/D&gt;&lt;D xsi:type="xsd:double"&gt;7.42625&lt;/D&gt;&lt;D xsi:type="xsd:double"&gt;4.4191957&lt;/D&gt;&lt;D xsi:type="xsd:double"&gt;-3.5066545&lt;/D&gt;&lt;D xsi:type="xsd:double"&gt;4.6052575&lt;/D&gt;&lt;D xsi:type="xsd:double"&gt;-3.354293&lt;/D&gt;&lt;D xsi:type="xsd:double"&gt;8.800745&lt;/D&gt;&lt;D xsi:type="xsd:double"&gt;9.911704&lt;/D&gt;&lt;D xsi:type="xsd:double"&gt;-11.0650425&lt;/D&gt;&lt;D xsi:type="xsd:double"&gt;18.50233&lt;/D&gt;&lt;D xsi:type="xsd:double"&gt;4.548812&lt;/D&gt;&lt;D xsi:type="xsd:double"&gt;0.91050863&lt;/D&gt;&lt;D xsi:type="xsd:double"&gt;-0.87656975&lt;/D&gt;&lt;D xsi:type="xsd:double"&gt;-1.1950314&lt;/D&gt;&lt;D xsi:type="xsd:double"&gt;2.6124716&lt;/D&gt;&lt;D xsi:type="xsd:double"&gt;-4.785478&lt;/D&gt;&lt;D xsi:type="xsd:double"&gt;2.5253773&lt;/D&gt;&lt;D xsi:type="xsd:double"&gt;4.1535854&lt;/D&gt;&lt;D xsi:type="xsd:double"&gt;0.92742443&lt;/D&gt;&lt;D xsi:type="xsd:double"&gt;-6.041807&lt;/D&gt;&lt;/FQL&gt;&lt;FQL&gt;&lt;Q&gt;QQQ^FG_PRICE(0,-200D)&lt;/Q&gt;&lt;R&gt;201&lt;/R&gt;&lt;C&gt;1&lt;/C&gt;&lt;D xsi:type="xsd:double"&gt;604.98&lt;/D&gt;&lt;D xsi:type="xsd:double"&gt;608.91&lt;/D&gt;&lt;D xsi:type="xsd:double"&gt;610.75&lt;/D&gt;&lt;D xsi:type="xsd:double"&gt;601.58&lt;/D&gt;&lt;D xsi:type="xsd:double"&gt;608.09&lt;/D&gt;&lt;D xsi:type="xsd:double"&gt;607.29&lt;/D&gt;&lt;D xsi:type="xsd:double"&gt;609.24&lt;/D&gt;&lt;D xsi:type="xsd:double"&gt;616.68&lt;/D&gt;&lt;D xsi:type="xsd:double"&gt;607.87&lt;/D&gt;&lt;D xsi:type="xsd:double"&gt;601.41&lt;/D&gt;&lt;D xsi:type="xsd:double"&gt;608.81&lt;/D&gt;&lt;D xsi:type="xsd:double"&gt;603.47&lt;/D&gt;&lt;D xsi:type="xsd:double"&gt;605.79&lt;/D&gt;&lt;D xsi:type="xsd:double"&gt;601.3&lt;/D&gt;&lt;D xsi:type="xsd:double"&gt;601.92&lt;/D&gt;&lt;D xsi:type="xsd:double"&gt;600.64&lt;/D&gt;&lt;D xsi:type="xsd:double"&gt;613.11&lt;/D&gt;&lt;D xsi:type="xsd:double"&gt;611.47&lt;/D&gt;&lt;D xsi:type="xsd:double"&gt;614.32&lt;/D&gt;&lt;D xsi:type="xsd:double"&gt;609.65&lt;/D&gt;&lt;D xsi:type="xsd:double"&gt;597.03&lt;/D&gt;&lt;D xsi:type="xsd:double"&gt;605.75&lt;/D&gt;&lt;D xsi:type="xsd:double"&gt;616.52&lt;/D&gt;&lt;D xsi:type="xsd:double"&gt;626.14&lt;/D&gt;&lt;D xsi:type="xsd:double"&gt;621.87&lt;/D&gt;&lt;D xsi:type="xsd:double"&gt;629.43&lt;/D&gt;&lt;D xsi:type="xsd:double"&gt;633.22&lt;/D&gt;&lt;D xsi:type="xsd:double"&gt;631.13&lt;/D&gt;&lt;D xsi:type="xsd:double"&gt;625.46&lt;/D&gt;&lt;D xsi:type="xsd:double"&gt;622.72&lt;/D&gt;&lt;D xsi:type="xsd:double"&gt;620.76&lt;/D&gt;&lt;D xsi:type="xsd:double"&gt;616.28&lt;/D&gt;&lt;D xsi:type="xsd:double"&gt;608.06&lt;/D&gt;&lt;D xsi:type="xsd:double"&gt;621.26&lt;/D&gt;&lt;D xsi:type="xsd:double"&gt;621.78&lt;/D&gt;&lt;D xsi:type="xsd:double"&gt;619.55&lt;/D&gt;&lt;D xsi:type="xsd:double"&gt;626.24&lt;/D&gt;&lt;D xsi:type="xsd:double"&gt;627.17&lt;/D&gt;&lt;D xsi:type="xsd:double"&gt;626.65&lt;/D&gt;&lt;D xsi:type="xsd:double"&gt;620.47&lt;/D&gt;&lt;D xsi:type="xsd:double"&gt;624.02&lt;/D&gt;&lt;D xsi:type="xsd:double"&gt;623.42&lt;/D&gt;&lt;D xsi:type="xsd:double"&gt;617.99&lt;/D&gt;&lt;D xsi:type="xsd:double"&gt;613.12&lt;/D&gt;&lt;D xsi:type="xsd:double"&gt;614.31&lt;/D&gt;&lt;D xsi:type="xsd:double"&gt;619.43&lt;/D&gt;&lt;D xsi:type="xsd:double"&gt;620.87&lt;/D&gt;&lt;D xsi:type="xsd:double"&gt;623.89&lt;/D&gt;&lt;D xsi:type="xsd:double"&gt;623.93&lt;/D&gt;&lt;D xsi:type="xsd:double"&gt;622.11&lt;/D&gt;&lt;D xsi:type="xsd:double"&gt;619.21&lt;/D&gt;&lt;D xsi:type="xsd:double"&gt;617.05&lt;/D&gt;&lt;D xsi:type="xsd:double"&gt;609.11&lt;/D&gt;&lt;D xsi:type="xsd:double"&gt;600.41&lt;/D&gt;&lt;D xsi:type="xsd:double"&gt;611.75&lt;/D&gt;&lt;D xsi:type="xsd:double"&gt;610.54&lt;/D&gt;&lt;D xsi:type="xsd:double"&gt;613.62&lt;/D&gt;&lt;D xsi:type="xsd:double"&gt;625.58&lt;/D&gt;&lt;D xsi:type="xsd:double"&gt;627.61&lt;/D&gt;&lt;D xsi:type="xsd:double"&gt;625.05&lt;/D&gt;&lt;D xsi:type="xsd:double"&gt;624.28&lt;/D&gt;&lt;D xsi:type="xsd:double"&gt;625.48&lt;/D&gt;&lt;D xsi:type="xsd:double"&gt;622.94&lt;/D&gt;&lt;D xsi:type="xsd:double"&gt;623.52&lt;/D&gt;&lt;D xsi:type="xsd:double"&gt;622&lt;/D&gt;&lt;D xsi:type="xsd:double"&gt;617.17&lt;/D&gt;&lt;D xsi:type="xsd:double"&gt;619.25&lt;/D&gt;&lt;D xsi:</t>
        </r>
      </text>
    </comment>
    <comment ref="A10" authorId="0" shapeId="0" xr:uid="{13972462-5B50-42BF-A585-87E83F558079}">
      <text>
        <r>
          <rPr>
            <b/>
            <sz val="9"/>
            <color indexed="81"/>
            <rFont val="Tahoma"/>
            <charset val="1"/>
          </rPr>
          <t>type="xsd:double"&gt;614.27&lt;/D&gt;&lt;D xsi:type="xsd:double"&gt;608.89&lt;/D&gt;&lt;D xsi:type="xsd:double"&gt;605.16&lt;/D&gt;&lt;D xsi:type="xsd:double"&gt;590.07&lt;/D&gt;&lt;D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xsi:type="xsd:double"&gt;550.8&lt;/D&gt;&lt;D xsi:type="xsd:double"&gt;546.99&lt;/D&gt;&lt;D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xsi:type="xsd:double"&gt;524.79&lt;/D&gt;&lt;D xsi:type="xsd:double"&gt;528.77&lt;/D&gt;&lt;D xsi:type="xsd:double"&gt;527.3&lt;/D&gt;&lt;D xsi:type="xsd:double"&gt;523.21&lt;/D&gt;&lt;D xsi:type="xsd:double"&gt;519.11&lt;/D&gt;&lt;D xsi:type="xsd:double"&gt;519.93&lt;/D&gt;&lt;D xsi:type="xsd:double"&gt;518.91&lt;/D&gt;&lt;D xsi:type="xsd:double"&gt;521.22&lt;/D&gt;&lt;D xsi:type="xsd:double"&gt;509.24&lt;/D&gt;&lt;D xsi:type="xsd:double"&gt;514&lt;/D&gt;&lt;D xsi:type="xsd:double"&gt;513.04&lt;/D&gt;&lt;D xsi:type="xsd:double"&gt;520.27&lt;/D&gt;&lt;D xsi:type="xsd:double"&gt;522.01&lt;/D&gt;&lt;/FQL&gt;&lt;FQL&gt;&lt;Q&gt;GREK^FG_PRICE(0,-200D)&lt;/Q&gt;&lt;R&gt;201&lt;/R&gt;&lt;C&gt;1&lt;/C&gt;&lt;D xsi:type="xsd:double"&gt;65.5422&lt;/D&gt;&lt;D xsi:type="xsd:double"&gt;65.87&lt;/D&gt;&lt;D xsi:type="xsd:double"&gt;66.74&lt;/D&gt;&lt;D xsi:type="xsd:double"&gt;63.86&lt;/D&gt;&lt;D xsi:type="xsd:double"&gt;67.67&lt;/D&gt;&lt;D xsi:type="xsd:double"&gt;70.68&lt;/D&gt;&lt;D xsi:type="xsd:double"&gt;72.03&lt;/D&gt;&lt;D xsi:type="xsd:double"&gt;71.51&lt;/D&gt;&lt;D xsi:type="xsd:double"&gt;70.34&lt;/D&gt;&lt;D xsi:type="xsd:double"&gt;71.04&lt;/D&gt;&lt;D xsi:type="xsd:double"&gt;70.9&lt;/D&gt;&lt;D xsi:type="xsd:double"&gt;71.04&lt;/D&gt;&lt;D xsi:type="xsd:double"&gt;72.89&lt;/D&gt;&lt;D xsi:type="xsd:double"&gt;70.66&lt;/D&gt;&lt;D xsi:type="xsd:double"&gt;71.9&lt;/D&gt;&lt;D xsi:type="xsd:double"&gt;73.56&lt;/D&gt;&lt;D xsi:type="xsd:double"&gt;73.84&lt;/D&gt;&lt;D xsi:type="xsd:double"&gt;74.54&lt;/D&gt;&lt;D xsi:type="xsd:double"&gt;74.77&lt;/D&gt;&lt;D xsi:type="xsd:double"&gt;75.17&lt;/D&gt;&lt;D xsi:type="xsd:double"&gt;74.65&lt;/D&gt;&lt;D xsi:type="xsd:double"&gt;76.09&lt;/D&gt;&lt;D xsi:type="xsd:double"&gt;76.02&lt;/D&gt;&lt;D xsi:type="xsd:double"&gt;74.66&lt;/D&gt;&lt;D xsi:type="xsd:double"&gt;73.75&lt;/D&gt;&lt;D xsi:type="xsd:double"&gt;75.62&lt;/D&gt;&lt;D xsi:type="xsd:double"&gt;77.2&lt;/D&gt;&lt;D xsi:type="xsd:double"&gt;75.35&lt;/D&gt;&lt;D xsi:type="xsd:double"&gt;73.06&lt;/D&gt;&lt;D xsi:type="xsd:double"&gt;72.25&lt;/D&gt;&lt;D xsi:type="xsd:double"&gt;72.2&lt;/D&gt;&lt;D xsi:type="xsd:double"&gt;70.74&lt;/D&gt;&lt;D xsi:type="xsd:double"&gt;69.88&lt;/D&gt;&lt;D xsi:type="xsd:double"&gt;70.03&lt;/D&gt;&lt;D xsi:type="xsd:double"&gt;69.84&lt;/D&gt;&lt;D xsi:type="xsd:double"&gt;69.15&lt;/D&gt;&lt;D xsi:type="xsd:double"&gt;69&lt;/D&gt;&lt;D xsi:type="xsd:double"&gt;69.49&lt;/D&gt;&lt;D xsi:type="xsd:double"&gt;68.98&lt;/D&gt;&lt;D xsi:type="xsd:double"&gt;69.19&lt;/D&gt;&lt;D xsi:type="xsd:double"&gt;67.98&lt;/D&gt;&lt;D xsi:type="xsd:double"&gt;67.39&lt;/D&gt;&lt;D xsi:type="xsd:double"&gt;67.61&lt;/D&gt;&lt;D xsi:type="xsd:double"&gt;67.4446&lt;/D&gt;&lt;D xsi:type="xsd:double"&gt;65.91&lt;/D&gt;&lt;D xsi:type="xsd:double"&gt;66.5&lt;/D&gt;&lt;D xsi:type="xsd:double"&gt;68&lt;/D&gt;&lt;D xsi:type="xsd:double"&gt;68.61&lt;/D&gt;&lt;D xsi:type="xsd:double"&gt;68.16&lt;/D&gt;&lt;D xsi:type="xsd:double"&gt;68.21&lt;/D&gt;&lt;D xsi:type="xsd:double"&gt;68.39&lt;/D&gt;&lt;D xsi:type="xsd:double"&gt;67.25&lt;/D&gt;&lt;D xsi:type="xsd:double"&gt;66.94&lt;/D&gt;&lt;D xsi:type="xsd:double"&gt;66.25&lt;/D&gt;&lt;D xsi:type="xsd:double"&gt;66.81&lt;/D&gt;&lt;D xsi:type="xsd:double"&gt;67.45&lt;/D&gt;&lt;D xsi:type="xsd:double"&gt;67.24&lt;/D&gt;&lt;D xsi:type="xsd:double"&gt;67.67&lt;/D&gt;&lt;D xsi:type="xsd:double"&gt;66.77&lt;/D&gt;&lt;D xsi:type="xsd:double"&gt;65.8&lt;/D&gt;&lt;D xsi:type="xsd:double"&gt;66.97&lt;/D&gt;&lt;D xsi:type="xsd:double"&gt;66.45&lt;/D&gt;&lt;D xsi:type="xsd:double"&gt;66.3&lt;/D&gt;&lt;D xsi:type="xsd:double"&gt;66.37&lt;/D&gt;&lt;D xsi:type="xsd:double"&gt;66.64&lt;/D&gt;&lt;D xsi:type="xsd:double"&gt;66.28&lt;/D&gt;&lt;D xsi:type="xsd:double"&gt;65.32&lt;/D&gt;&lt;D xsi:type="xsd:double"&gt;66.15&lt;/D&gt;&lt;D xsi:type="xsd:double"&gt;65.48&lt;/D&gt;&lt;D xsi:type="xsd:double"&gt;63.99&lt;/D&gt;&lt;D xsi:type="xsd:double"&gt;64.64&lt;/D&gt;&lt;D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xsi:type="xsd:double"&gt;55.77&lt;/D&gt;&lt;D xsi:type="xsd:double"&gt;55.24&lt;/D&gt;&lt;D xsi:type="xsd:double"&gt;55.29&lt;/D&gt;&lt;D xsi:type="xsd:double"&gt;55.7&lt;/D&gt;&lt;D xsi:type="xsd:double"&gt;55&lt;/D&gt;&lt;D xsi:type="xsd:double"&gt;55.71&lt;/D&gt;&lt;D xsi:type="xsd:double"&gt;55.85&lt;/D&gt;&lt;D xsi:type="xsd:double"&gt;55.02&lt;/D&gt;&lt;D xsi:type="xsd:double"&gt;53.23&lt;/D&gt;&lt;D xsi:type="xsd:double"&gt;53.88&lt;/D&gt;&lt;D xsi:type="xsd:double"&gt;54.14&lt;/D&gt;&lt;D xsi:type="xsd:double"&gt;53.89&lt;/D&gt;&lt;D xsi:type="xsd:double"&gt;52.9&lt;/D&gt;&lt;/FQL&gt;&lt;FQL&gt;&lt;Q&gt;EWN^FG_TOTAL_RETURNC(-5AY,0,AM)&lt;/Q&gt;&lt;R&gt;61&lt;/R&gt;&lt;C&gt;1&lt;/C&gt;&lt;D xsi:type="xsd:double"&gt;-0.79854727&lt;/D&gt;&lt;D xsi:type="xsd:double"&gt;9.222639&lt;/D&gt;&lt;D xsi:type="xsd:double"&gt;2.1899343&lt;/D&gt;&lt;D xsi:type="xsd:double"&gt;2.9466271&lt;/D&gt;&lt;D xsi:type="xsd:double"&gt;-3.2465637&lt;/D&gt;&lt;D xsi:type="xsd:double"&gt;5.0603867&lt;/D&gt;&lt;D xsi:type="xsd:double"&gt;6.382549&lt;/D&gt;&lt;D xsi:type="xsd:double"&gt;-8.664054&lt;/D&gt;&lt;D xsi:type="xsd:double"&gt;8.363926&lt;/D&gt;&lt;D xsi:type="xsd:double"&gt;-8.697289&lt;/D&gt;&lt;D xsi:type="xsd:double"&gt;1.4484406&lt;/D&gt;&lt;D xsi:type="xsd:double"&gt;-5.834353&lt;/D&gt;&lt;D xsi:type="xsd:double"&gt;-16.269493&lt;/D&gt;&lt;D xsi:type="xsd:double"&gt;6.7011595&lt;/D&gt;&lt;D xsi:type="xsd:double"&gt;-9.966051&lt;/D&gt;&lt;D xsi:type="xsd:double"&gt;6.167507&lt;/D&gt;&lt;D xsi:type="xsd:double"&gt;-13.057107&lt;/D&gt;&lt;D xsi:type="xsd:double"&gt;11.291754&lt;/D&gt;&lt;D xsi:type="xsd:double"&gt;-11.792832&lt;/D&gt;&lt;D xsi:type="xsd:double"&gt;-2.981025&lt;/D&gt;&lt;D xsi:type="xsd:double"&gt;3.3985019&lt;/D&gt;&lt;D xsi:type="xsd:double"&gt;15.56356&lt;/D&gt;&lt;D xsi:type="xsd:double"&gt;3.8879156&lt;/D&gt;&lt;D xsi:type="xsd:double"&gt;5.7232738&lt;/D&gt;&lt;D xsi:type="xsd:double"&gt;-1.3206422&lt;/D&gt;&lt;D xsi:type="xsd:double"&gt;1.326263&lt;/D&gt;&lt;D xsi:type="xsd:double"&gt;0.5949497&lt;/D&gt;&lt;D xsi:type="xsd:double"&gt;0.40217638&lt;/D&gt;&lt;D xsi:type="xsd:double"&gt;0.42939186&lt;/D&gt;&lt;D xsi:type="xsd:double"&gt;2.7995229&lt;/D&gt;&lt;D xsi:type="xsd:double"&gt;-6.2081757&lt;/D&gt;&lt;D xsi:type="xsd:double"&gt;-6.274605&lt;/D&gt;&lt;D xsi:type="xsd:double"&gt;2.9404044&lt;/D&gt;&lt;D xsi:type="xsd:double"&gt;7.753122&lt;/D&gt;&lt;D xsi:type="xsd:double"&gt;2.2806883&lt;/D&gt;&lt;D xsi:type="xsd:double"&gt;7.530892&lt;/D&gt;&lt;D xsi:type="xsd:double"&gt;5.5941105&lt;/D&gt;&lt;D xsi:type="xsd:double"&gt;2.1355271&lt;/D&gt;&lt;D xsi:type="xsd:double"&gt;-0.20105243&lt;/D&gt;&lt;D xsi:type="xsd:double"&gt;6.0435176&lt;/D&gt;&lt;D xsi:type="xsd:double"&gt;-0.60088634&lt;/D&gt;&lt;D xsi:type="xsd:double"&gt;-9.914959&lt;/D&gt;&lt;D xsi:type="xsd:double"&gt;2.6389122&lt;/D&gt;&lt;D xsi:type="xsd:double"&gt;5.2188516&lt;/D&gt;&lt;D xsi:type="xsd:double"&gt;-8.694851&lt;/D&gt;&lt;D xsi:type="xsd:double"&gt;1.2619734&lt;/D&gt;&lt;D xsi:type="xsd:double"&gt;-0.8988619&lt;/D&gt;&lt;D xsi:type="xsd:double"&gt;1.8042684&lt;/D&gt;&lt;D xsi:type="xsd:double"&gt;4.1460752&lt;/D&gt;&lt;D xsi:type="xsd:double"&gt;-11.014849&lt;/D&gt;&lt;D xsi:type="xsd:double"&gt;15.85536&lt;/D&gt;&lt;D xsi:type="xsd:double"&gt;7.302928&lt;/D&gt;&lt;D xsi:type="xsd:double"&gt;2.5820255&lt;/D&gt;&lt;D xsi:type="xsd:double"&gt;-5.2680073&lt;/D&gt;&lt;D xsi:type="xsd:double"&gt;3.966558&lt;/D&gt;&lt;D xsi:type="xsd:double"&gt;11.613989&lt;/D&gt;&lt;D xsi:type="xsd:double"&gt;-2.8820395&lt;/D&gt;&lt;D xsi:type="xsd:double"&gt;1.01794&lt;/D&gt;&lt;D xsi:type="xsd:double"&gt;7.1823597&lt;/D&gt;&lt;D xsi:type="xsd:double"&gt;2.6307106&lt;/D&gt;&lt;D xsi:type="xsd:double"&gt;-5.594063&lt;/D&gt;&lt;/FQL&gt;&lt;FQL&gt;&lt;Q&gt;VNM^FG_PRICE(0,-200D)&lt;/Q&gt;&lt;R&gt;201&lt;/R&gt;&lt;C&gt;1&lt;/C&gt;&lt;D xsi:type="xsd:double"&gt;17.545&lt;/D&gt;&lt;D xsi:type="xsd:double"&gt;18.02&lt;/D&gt;&lt;D xsi:type="xsd:double"&gt;18.3&lt;/D&gt;&lt;D xsi:type="xsd:double"&gt;18.12&lt;/D&gt;&lt;D xsi:type="xsd:double"&gt;18.63&lt;/D&gt;&lt;D xsi:type="xsd:double"&gt;19.08&lt;/D&gt;&lt;D xsi:type="xsd:double"&gt;19.16&lt;/D&gt;&lt;D xsi:type="xsd:double"&gt;19.085&lt;/D&gt;&lt;D xsi:type="xsd:double"&gt;19.25&lt;/D&gt;&lt;D xsi:type="xsd:double"&gt;19.23&lt;/D&gt;&lt;D xsi:type="xsd:double"&gt;19.285&lt;/D&gt;&lt;D xsi:type="xsd:double"&gt;18.76&lt;/D&gt;&lt;D xsi:type="xsd:double"&gt;18.77&lt;/D&gt;&lt;D xsi:type="xsd:double"&gt;18.73&lt;/D&gt;&lt;D xsi:type="xsd:double"&gt;18.89&lt;/D&gt;&lt;D xsi:type="xsd:double"&gt;18.51&lt;/D&gt;&lt;D xsi:type="xsd:double"&gt;18.71&lt;/D&gt;&lt;D xsi:type="xsd:double"&gt;18.08&lt;/D&gt;&lt;D xsi:type="xsd:double"&gt;18.045&lt;/D&gt;&lt;D xsi:type="xsd:double"&gt;18.03&lt;/D&gt;&lt;D xsi:type="xsd:double"&gt;18.12&lt;/D&gt;&lt;D xsi:type="xsd:double"&gt;18.61&lt;/D&gt;&lt;D xsi:type="xsd:double"&gt;18.45&lt;/D&gt;&lt;D xsi:type="xsd:double"&gt;18.77&lt;/D&gt;&lt;D xsi:type="xsd:double"&gt;19.07&lt;/D&gt;&lt;D xsi:type="xsd:double"&gt;18.81&lt;/D&gt;&lt;D xsi:type="xsd:double"&gt;18.5&lt;/D&gt;&lt;D xsi:type="xsd:double"&gt;18.76&lt;/D&gt;&lt;D xsi:type="xsd:double"&gt;18.91&lt;/D&gt;&lt;D xsi:type="xsd:double"&gt;19.42&lt;/D&gt;&lt;D xsi:type="xsd:double"&gt;19.625&lt;/D&gt;&lt;D xsi:type="xsd:double"&gt;19.39&lt;/D&gt;&lt;D xsi:type="xsd:double"&gt;19.51&lt;/D&gt;&lt;D xsi:type="xsd:double"&gt;19.73&lt;/D&gt;&lt;D xsi:type="xsd:double"&gt;19.53&lt;/D&gt;&lt;D xsi:type="xsd:double"&gt;19.69&lt;/D&gt;&lt;D xsi:type="xsd:double"&gt;19.8&lt;/D&gt;&lt;D xsi:type="xsd:double"&gt;19.67&lt;/D&gt;&lt;D xsi:type="xsd:double"&gt;19.28&lt;/D&gt;&lt;D xsi:type="xsd:double"&gt;19.31&lt;/D&gt;&lt;D xsi:type="xsd:double"&gt;19.44&lt;/D&gt;&lt;D xsi:type="xsd:double"&gt;19.43&lt;/D&gt;&lt;D xsi:type="xsd:double"&gt;19.02&lt;/D&gt;&lt;D xsi:type="xsd:double"&gt;19.11&lt;/D&gt;&lt;D xsi:type="xsd:double"&gt;19.08&lt;/D&gt;&lt;D xsi:type="xsd:double"&gt;19.01&lt;/D&gt;&lt;D xsi:type="xsd:double"&gt;18.92&lt;/D&gt;&lt;D xsi:type="xsd:double"&gt;18.4&lt;/D&gt;&lt;D xsi:type="xsd:double"&gt;19.01&lt;/D&gt;&lt;D xsi:type="xsd:double"&gt;19.08&lt;/D&gt;&lt;D xsi:type="xsd:double"&gt;18.61&lt;/D&gt;&lt;D xsi:type="xsd:double"&gt;18.39&lt;/D&gt;&lt;D xsi:type="xsd:double"&gt;17.88&lt;/D&gt;&lt;D xsi:type="xsd:double"&gt;17.54&lt;/D&gt;&lt;D xsi:type="xsd:double"&gt;17.85&lt;/D&gt;&lt;D xsi:type="xsd:double"&gt;17.42&lt;/D&gt;&lt;D xsi:type="xsd:double"&gt;17.49&lt;/D&gt;&lt;D xsi:type="xsd:double"&gt;18.27&lt;/D&gt;&lt;D xsi:type="xsd:double"&gt;18.28&lt;/D&gt;&lt;D xsi:type="xsd:double"&gt;18.65&lt;/D&gt;&lt;D xsi:type="xsd:double"&gt;18.72&lt;/D&gt;&lt;D xsi:type="xsd:double"&gt;18.65&lt;/D&gt;&lt;D xsi:type="xsd:double"&gt;18.59&lt;/D&gt;&lt;D xsi:type="xsd:double"&gt;18.69&lt;/D&gt;&lt;D xsi:type="xsd:double"&gt;18.65&lt;/D&gt;&lt;D xsi:type="xsd:double"&gt;18.38&lt;/D&gt;&lt;D xsi:type="xsd:double"&gt;18.34&lt;/D&gt;&lt;D xsi:type="xsd:double"&gt;18.24&lt;/D&gt;&lt;D xsi:type="xsd:double"&gt;17.75&lt;/D&gt;&lt;D xsi:type="xsd:double"&gt;17.91&lt;/D&gt;&lt;D xsi:type="xsd:double"&gt;17.72&lt;/D&gt;&lt;D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xsi:type="xsd:double"&gt;15.12&lt;/D&gt;&lt;D xsi:type="xsd:double"&gt;14.89&lt;/D&gt;&lt;D xsi:type="xsd:double"&gt;14.51&lt;/D&gt;&lt;D xsi:type="xsd:double"&gt;14.18&lt;/D&gt;&lt;D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xsi:type="xsd:double"&gt;13.74&lt;/D&gt;&lt;D xsi:type="xsd:double"&gt;13.86&lt;/D&gt;&lt;D xsi:type="xsd:double"&gt;13.96&lt;/D&gt;&lt;D xsi:type="xsd:double"&gt;13.81&lt;/D&gt;&lt;D xsi:type="xsd:double"&gt;13.59&lt;/D&gt;&lt;D xsi:type="xsd:double"&gt;13.51&lt;/D&gt;&lt;D xsi:type="xsd:double"&gt;13.71&lt;/D&gt;&lt;D xsi:type="xsd:double"&gt;13.585&lt;/D&gt;&lt;D xsi:type="xsd:double"&gt;13.14&lt;/D&gt;&lt;D xsi:type="xsd:double"&gt;13.17&lt;/D&gt;&lt;D xsi:type="xsd:double"&gt;13.21&lt;/D&gt;&lt;D xsi:type="xsd:double"&gt;13.09&lt;/D&gt;&lt;D xsi:type="xsd:double"&gt;12.865&lt;/D&gt;&lt;/FQL&gt;&lt;FQL&gt;&lt;Q&gt;MCHI^FG_TOTAL_RETURNC(-5AY,0,AM)&lt;/Q&gt;&lt;R&gt;61&lt;/R&gt;&lt;C&gt;1&lt;/C&gt;&lt;D xsi:type="xsd:double"&gt;-7.803029&lt;/D&gt;&lt;D xsi:type="xsd:double"&gt;-1.4555752&lt;/D&gt;&lt;D xsi:type="xsd:double"&gt;-3.6926746&lt;/D&gt;&lt;D xsi:type="xsd:double"&gt;2.2881866&lt;/D&gt;&lt;D xsi:type="xsd:double"&gt;-5.078644&lt;/D&gt;&lt;D xsi:type="xsd:double"&gt;-9.7663765&lt;/D&gt;&lt;D xsi:type="xsd:double"&gt;1.9241691&lt;/D&gt;&lt;D xsi:type="xsd:double"&gt;-8.453644&lt;/D&gt;&lt;D xsi:type="xsd:double"&gt;2.577722&lt;/D&gt;&lt;D xsi:type="xsd:double"&gt;-5.2180347&lt;/D&gt;&lt;D xsi:type="xsd:double"&gt;-4.1285515&lt;/D&gt;&lt;D xsi:type="xsd:double"&gt;2.2615552&lt;/D&gt;&lt;D xsi:type="xsd:double"&gt;-11.10577&lt;/D&gt;&lt;D xsi:type="xsd:double"&gt;-2.6140273&lt;/D&gt;&lt;D xsi:type="xsd:double"&gt;-12.03258&lt;/D&gt;&lt;D xsi:type="xsd:double"&gt;11.826599&lt;/D&gt;&lt;D xsi:type="xsd:double"&gt;3.708315&lt;/D&gt;&lt;D xsi:type="xsd:double"&gt;-9.45428&lt;/D&gt;&lt;D xsi:type="xsd:double"&gt;-4.474908&lt;/D&gt;&lt;D xsi:type="xsd:double"&gt;-6.583667&lt;/D&gt;&lt;D xsi:type="xsd:double"&gt;-8.086747&lt;/D&gt;&lt;D xsi:type="xsd:double"&gt;18.874418&lt;/D&gt;&lt;D xsi:type="xsd:double"&gt;9.643054&lt;/D&gt;&lt;D xsi:type="xsd:double"&gt;-0.7845402&lt;/D&gt;&lt;D xsi:type="xsd:double"&gt;-3.876561&lt;/D&gt;&lt;D xsi:type="xsd:double"&gt;-0.22071004&lt;/D&gt;&lt;D xsi:type="xsd:double"&gt;-3.7200868&lt;/D&gt;&lt;D xsi:type="xsd:double"&gt;-3.9473653&lt;/D&gt;&lt;D xsi:type="xsd:double"&gt;-3.4369051&lt;/D&gt;&lt;D xsi:type="xsd:double"&gt;9.002042&lt;/D&gt;&lt;D xsi:type="xsd:double"&gt;-5.4431734&lt;/D&gt;&lt;D xsi:type="xsd:double"&gt;-4.8963428&lt;/D&gt;&lt;D xsi:type="xsd:double"&gt;0.9044528&lt;/D&gt;&lt;D xsi:type="xsd:double"&gt;-6.0445786&lt;/D&gt;&lt;D xsi:type="xsd:double"&gt;-1.1058569&lt;/D&gt;&lt;D xsi:type="xsd:double"&gt;-2.3332536&lt;/D&gt;&lt;D xsi:type="xsd:double"&gt;1.4801383&lt;/D&gt;&lt;D xsi:type="xsd:double"&gt;2.2261977&lt;/D&gt;&lt;D xsi:type="xsd:double"&gt;11.964952&lt;/D&gt;&lt;D xsi:type="xsd:double"&gt;-0.3576994&lt;/D&gt;&lt;D xsi:type="xsd:double"&gt;-3.774047&lt;/D&gt;&lt;D xsi:type="xsd:double"&gt;-5.0117073&lt;/D&gt;&lt;D xsi:type="xsd:double"&gt;0.36981106&lt;/D&gt;&lt;D xsi:type="xsd:double"&gt;40.014744&lt;/D&gt;&lt;D xsi:type="xsd:double"&gt;-12.8947315&lt;/D&gt;&lt;D xsi:type="xsd:double"&gt;-3.7059426&lt;/D&gt;&lt;D xsi:type="xsd:double"&gt;-2.7800083&lt;/D&gt;&lt;D xsi:type="xsd:double"&gt;7.6720715&lt;/D&gt;&lt;D xsi:type="xsd:double"&gt;15.085506&lt;/D&gt;&lt;D xsi:type="xsd:double"&gt;-11.551386&lt;/D&gt;&lt;D xsi:type="xsd:double"&gt;7.8999996&lt;/D&gt;&lt;D xsi:type="xsd:double"&gt;1.7979622&lt;/D&gt;&lt;D xsi:type="xsd:double"&gt;0.6058693&lt;/D&gt;&lt;D xsi:type="xsd:double"&gt;6.6520452&lt;/D&gt;&lt;D xsi:type="xsd:double"&gt;5.123365&lt;/D&gt;&lt;D xsi:type="xsd:double"&gt;8.622658&lt;/D&gt;&lt;D xsi:type="xsd:double"&gt;-4.0066004&lt;/D&gt;&lt;D xsi:type="xsd:double"&gt;-2.0478368&lt;/D&gt;&lt;D xsi:type="xsd:double"&gt;1.3119459&lt;/D&gt;&lt;D xsi:type="xsd:double"&gt;-1.6584277&lt;/D&gt;&lt;D xsi:type="xsd:double"&gt;-7.767141&lt;/D&gt;&lt;/FQL&gt;&lt;FQL&gt;&lt;Q&gt;EWL^FG_PRICE(0,-200D)&lt;/Q&gt;&lt;R&gt;201&lt;/R&gt;&lt;C&gt;1&lt;/C&gt;&lt;D xsi:type="xsd:double"&gt;61.2&lt;/D&gt;&lt;D xsi:type="xsd:double"&gt;61.05&lt;/D&gt;&lt;D xsi:type="xsd:double"&gt;62.56&lt;/D&gt;&lt;D xsi:type="xsd:double"&gt;62.21&lt;/D&gt;&lt;D xsi:type="xsd:double"&gt;63.59&lt;/D&gt;&lt;D xsi:type="xsd:double"&gt;65.08&lt;/D&gt;&lt;D xsi:type="xsd:double"&gt;64.63&lt;/D&gt;&lt;D xsi:type="xsd:double"&gt;64.85&lt;/D&gt;&lt;D xsi:type="xsd:double"&gt;64.82&lt;/D&gt;&lt;D xsi:type="xsd:double"&gt;64.31&lt;/D&gt;&lt;D xsi:type="xsd:double"&gt;64.38&lt;/D&gt;&lt;D xsi:type="xsd:double"&gt;64.16&lt;/D&gt;&lt;D xsi:type="xsd:double"&gt;64.26&lt;/D&gt;&lt;D xsi:type="xsd:double"&gt;64.44&lt;/D&gt;&lt;D xsi:type="xsd:double"&gt;63.79&lt;/D&gt;&lt;D xsi:type="xsd:double"&gt;63.46&lt;/D&gt;&lt;D xsi:type="xsd:double"&gt;63.24&lt;/D&gt;&lt;D xsi:type="xsd:double"&gt;63.43&lt;/D&gt;&lt;D xsi:type="xsd:double"&gt;63.45&lt;/D&gt;&lt;D xsi:type="xsd:double"&gt;63.09&lt;/D&gt;&lt;D xsi:type="xsd:double"&gt;62.24&lt;/D&gt;&lt;D xsi:type="xsd:double"&gt;62.47&lt;/D&gt;&lt;D xsi:type="xsd:double"&gt;61.89&lt;/D&gt;&lt;D xsi:type="xsd:double"&gt;62.25&lt;/D&gt;&lt;D xsi:type="xsd:double"&gt;61.54&lt;/D&gt;&lt;D xsi:type="xsd:double"&gt;62.22&lt;/D&gt;&lt;D xsi:type="xsd:double"&gt;61.05&lt;/D&gt;&lt;D xsi:type="xsd:double"&gt;62.57&lt;/D&gt;&lt;D xsi:type="xsd:double"&gt;61.19&lt;/D&gt;&lt;D xsi:type="xsd:double"&gt;60.87&lt;/D&gt;&lt;D xsi:type="xsd:double"&gt;60.59&lt;/D&gt;&lt;D xsi:type="xsd:double"&gt;60.49&lt;/D&gt;&lt;D xsi:type="xsd:double"&gt;60.16&lt;/D&gt;&lt;D xsi:type="xsd:double"&gt;60.51&lt;/D&gt;&lt;D xsi:type="xsd:double"&gt;60.52&lt;/D&gt;&lt;D xsi:type="xsd:double"&gt;60.87&lt;/D&gt;&lt;D xsi:type="xsd:double"&gt;60.17&lt;/D&gt;&lt;D xsi:type="xsd:double"&gt;60.63&lt;/D&gt;&lt;D xsi:type="xsd:double"&gt;60.58&lt;/D&gt;&lt;D xsi:type="xsd:double"&gt;60.21&lt;/D&gt;&lt;D xsi:type="xsd:double"&gt;60.31&lt;/D&gt;&lt;D xsi:type="xsd:double"&gt;60.55&lt;/D&gt;&lt;D xsi:type="xsd:double"&gt;60.43&lt;/D&gt;&lt;D xsi:type="xsd:double"&gt;60.34&lt;/D&gt;&lt;D xsi:type="xsd:double"&gt;59.96&lt;/D&gt;&lt;D xsi:type="xsd:double"&gt;60.17&lt;/D&gt;&lt;D xsi:type="xsd:double"&gt;60.35&lt;/D&gt;&lt;D xsi:type="xsd:double"&gt;60.54&lt;/D&gt;&lt;D xsi:type="xsd:double"&gt;60.53&lt;/D&gt;&lt;D xsi:type="xsd:double"&gt;60.4&lt;/D&gt;&lt;D xsi:type="xsd:double"&gt;59.93&lt;/D&gt;&lt;D xsi:type="xsd:double"&gt;59.57&lt;/D&gt;&lt;D xsi:type="xsd:double"&gt;59.47&lt;/D&gt;&lt;D xsi:type="xsd:double"&gt;58.84&lt;/D&gt;&lt;D xsi:type="xsd:double"&gt;59.02&lt;/D&gt;&lt;D xsi:type="xsd:double"&gt;59.06&lt;/D&gt;&lt;D xsi:type="xsd:double"&gt;58.37&lt;/D&gt;&lt;D xsi:type="xsd:double"&gt;58.49&lt;/D&gt;&lt;D xsi:type="xsd:double"&gt;58.38&lt;/D&gt;&lt;D xsi:type="xsd:double"&gt;57.69&lt;/D&gt;&lt;D xsi:type="xsd:double"&gt;57.76&lt;/D&gt;&lt;D xsi:type="xsd:double"&gt;58.03&lt;/D&gt;&lt;D xsi:type="xsd:double"&gt;57.91&lt;/D&gt;&lt;D xsi:type="xsd:double"&gt;58.07&lt;/D&gt;&lt;D xsi:type="xsd:double"&gt;57.94&lt;/D&gt;&lt;D xsi:type="xsd:double"&gt;57.42&lt;/D&gt;&lt;D xsi:type="xsd:double"&gt;57.82&lt;/D&gt;&lt;D xsi:type="xsd:double"&gt;57.55&lt;/D&gt;&lt;D xsi:type="xsd:double"&gt;57.26&lt;/D&gt;&lt;D xsi:type="xsd:double"&gt;56.39&lt;/D&gt;&lt;D xsi:type="xsd:double"&gt;56.69&lt;/D&gt;&lt;D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xsi:type="xsd:double"&gt;55.47&lt;/D&gt;&lt;D xsi:type="xsd:double"&gt;55.56&lt;/D&gt;&lt;D xsi:type="xsd:double"&gt;55.03&lt;/D&gt;&lt;D xsi:type="xsd:double"&gt;55.54&lt;/D&gt;&lt;D xsi:type="xsd:double"&gt;55.18&lt;/D&gt;&lt;D xsi:type="xsd:double"&gt;54.9&lt;/D&gt;&lt;D xsi:type="xsd:double"&gt;54.62&lt;/D&gt;&lt;D xsi:type="xsd:double"&gt;55.2&lt;/D&gt;&lt;D xsi:type="xsd:double"&gt;55.03&lt;/D&gt;&lt;D xsi:type="xsd:double"&gt;54.77&lt;/D&gt;&lt;D xsi:type="xsd:double"&gt;55.04&lt;/D&gt;&lt;D xsi:type="xsd:double"&gt;55.17&lt;/D&gt;&lt;D xsi:type="xsd:double"&gt;55.02&lt;/D&gt;&lt;/FQL&gt;&lt;/Schema&gt;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<sst xmlns="http://schemas.openxmlformats.org/spreadsheetml/2006/main" count="167" uniqueCount="82">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</sst>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workbookViewId="0">
      <selection activeCell="D18" sqref="D18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MONTHLY_RETURNS!$B$73:$AI$73=1)),"")</f>
        <v/>
      </c>
      <c r="B2" s="4" t="str" cm="1">
        <f t="array" ref="B2">IFERROR(TRANSPOSE(_xlfn._xlws.FILTER(MONTHLY_RETURNS!B65:AI65, MONTHLY_RETURNS!$B$73:$AI$73=1)),"")</f>
        <v/>
      </c>
      <c r="C2" s="4" t="str" cm="1">
        <f t="array" ref="C2">IFERROR(TRANSPOSE(_xlfn._xlws.FILTER(MONTHLY_RETURNS!B66:AI66, MONTHLY_RETURNS!$B$73:$AI$73=1)),"")</f>
        <v/>
      </c>
      <c r="D2" s="4" t="str" cm="1">
        <f t="array" ref="D2">IFERROR(TRANSPOSE(_xlfn._xlws.FILTER(MONTHLY_RETURNS!B67:AI67, MONTHLY_RETURNS!$B$73:$AI$73=1)),"")</f>
        <v/>
      </c>
      <c r="E2" s="4" t="str" cm="1">
        <f t="array" ref="E2">IFERROR(TRANSPOSE(_xlfn._xlws.FILTER(MONTHLY_RETURNS!B68:AI68, MONTHLY_RETURNS!$B$73:$AI$73=1)),"")</f>
        <v/>
      </c>
      <c r="F2" s="4" t="str" cm="1">
        <f t="array" ref="F2">IFERROR(TRANSPOSE(_xlfn._xlws.FILTER(MONTHLY_RETURNS!B69:AI69, MONTHLY_RETURNS!$B$73:$AI$73=1)),"")</f>
        <v/>
      </c>
      <c r="G2" s="4" t="str" cm="1">
        <f t="array" ref="G2">IFERROR(TRANSPOSE(_xlfn._xlws.FILTER(MONTHLY_RETURNS!B70:AI70, MONTHLY_RETURNS!$B$73:$AI$73=1)),"")</f>
        <v/>
      </c>
      <c r="H2" s="1" t="str" cm="1">
        <f t="array" ref="H2">IFERROR(TRANSPOSE(_xlfn._xlws.FILTER(MONTHLY_RETURNS!B71:AI71, MONTHLY_RETURNS!$B$73:$AI$73=1)),"")</f>
        <v/>
      </c>
      <c r="I2" s="1" t="str" cm="1">
        <f t="array" ref="I2">IFERROR(TRANSPOSE(_xlfn._xlws.FILTER(MONTHLY_RETURNS!B72:AI72, MONTHLY_RETURNS!$B$73:$AI$73=1)),"")</f>
        <v/>
      </c>
    </row>
    <row r="3" spans="1:9" x14ac:dyDescent="0.45">
      <c r="A3" s="5"/>
      <c r="B3" s="4"/>
      <c r="C3" s="4"/>
      <c r="D3" s="4"/>
      <c r="E3" s="4"/>
      <c r="F3" s="4"/>
      <c r="G3" s="4"/>
      <c r="H3" s="1"/>
      <c r="I3" s="1"/>
    </row>
    <row r="4" spans="1:9" x14ac:dyDescent="0.45">
      <c r="A4" s="5"/>
      <c r="B4" s="4"/>
      <c r="C4" s="4"/>
      <c r="D4" s="4"/>
      <c r="E4" s="4"/>
      <c r="F4" s="4"/>
      <c r="G4" s="4"/>
      <c r="H4" s="1"/>
      <c r="I4" s="1"/>
    </row>
    <row r="5" spans="1:9" x14ac:dyDescent="0.45">
      <c r="A5" s="5"/>
      <c r="B5" s="4"/>
      <c r="C5" s="4"/>
      <c r="D5" s="4"/>
      <c r="E5" s="4"/>
      <c r="F5" s="4"/>
      <c r="G5" s="4"/>
      <c r="H5" s="1"/>
      <c r="I5" s="1"/>
    </row>
    <row r="6" spans="1:9" x14ac:dyDescent="0.45">
      <c r="A6" s="5"/>
      <c r="B6" s="4"/>
      <c r="C6" s="4"/>
      <c r="D6" s="4"/>
      <c r="E6" s="4"/>
      <c r="F6" s="4"/>
      <c r="G6" s="4"/>
      <c r="H6" s="1"/>
      <c r="I6" s="1"/>
    </row>
    <row r="7" spans="1:9" x14ac:dyDescent="0.45">
      <c r="A7" s="5"/>
      <c r="B7" s="4"/>
      <c r="C7" s="4"/>
      <c r="D7" s="4"/>
      <c r="E7" s="4"/>
      <c r="F7" s="4"/>
      <c r="G7" s="4"/>
      <c r="H7" s="1"/>
      <c r="I7" s="1"/>
    </row>
    <row r="8" spans="1:9" x14ac:dyDescent="0.45">
      <c r="A8" s="5"/>
      <c r="B8" s="4"/>
      <c r="C8" s="4"/>
      <c r="D8" s="4"/>
      <c r="E8" s="4"/>
      <c r="F8" s="4"/>
      <c r="G8" s="4"/>
      <c r="H8" s="1"/>
      <c r="I8" s="1"/>
    </row>
    <row r="9" spans="1:9" x14ac:dyDescent="0.45">
      <c r="A9" s="5"/>
      <c r="B9" s="4"/>
      <c r="C9" s="4"/>
      <c r="D9" s="4"/>
      <c r="E9" s="4"/>
      <c r="F9" s="4"/>
      <c r="G9" s="4"/>
      <c r="H9" s="1"/>
      <c r="I9" s="1"/>
    </row>
    <row r="10" spans="1:9" x14ac:dyDescent="0.45">
      <c r="A10" s="5"/>
      <c r="B10" s="4"/>
      <c r="C10" s="4"/>
      <c r="D10" s="4"/>
      <c r="E10" s="4"/>
      <c r="F10" s="4"/>
      <c r="G10" s="4"/>
      <c r="H10" s="1"/>
      <c r="I10" s="1"/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4"/>
  <sheetViews>
    <sheetView tabSelected="1" workbookViewId="0">
      <selection activeCell="J9" sqref="J9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:A3">IFERROR(TRANSPOSE(_xlfn._xlws.FILTER(MONTHLY_RETURNS!B64:AI64, MONTHLY_RETURNS!$B$74:$AI$74=1)),"")</f>
        <v>GREK</v>
      </c>
      <c r="B2" s="4" t="str" cm="1">
        <f t="array" ref="B2:B3">IFERROR(TRANSPOSE(_xlfn._xlws.FILTER(MONTHLY_RETURNS!B65:AI65, MONTHLY_RETURNS!$B$74:$AI$74=1)),"")</f>
        <v>Greece</v>
      </c>
      <c r="C2" s="4" t="str" cm="1">
        <f t="array" ref="C2:C3">IFERROR(TRANSPOSE(_xlfn._xlws.FILTER(MONTHLY_RETURNS!B66:AI66, MONTHLY_RETURNS!$B$74:$AI$74=1)),"")</f>
        <v>EMERGING</v>
      </c>
      <c r="D2" s="4" cm="1">
        <f t="array" ref="D2:D3">IFERROR(TRANSPOSE(_xlfn._xlws.FILTER(MONTHLY_RETURNS!B67:AI67, MONTHLY_RETURNS!$B$74:$AI$74=1)),"")</f>
        <v>-0.12808037</v>
      </c>
      <c r="E2" s="4" cm="1">
        <f t="array" ref="E2:E3">IFERROR(TRANSPOSE(_xlfn._xlws.FILTER(MONTHLY_RETURNS!B68:AI68, MONTHLY_RETURNS!$B$74:$AI$74=1)),"")</f>
        <v>2.1749477355737706E-2</v>
      </c>
      <c r="F2" s="4" cm="1">
        <f t="array" ref="F2:F3">IFERROR(TRANSPOSE(_xlfn._xlws.FILTER(MONTHLY_RETURNS!B69:AI69, MONTHLY_RETURNS!$B$74:$AI$74=1)),"")</f>
        <v>6.3601037602388111E-2</v>
      </c>
      <c r="G2" s="4" cm="1">
        <f t="array" ref="G2:G3">IFERROR(TRANSPOSE(_xlfn._xlws.FILTER(MONTHLY_RETURNS!B70:AI70, MONTHLY_RETURNS!$B$74:$AI$74=1)),"")</f>
        <v>0.12720207520477622</v>
      </c>
      <c r="H2" cm="1">
        <f t="array" ref="H2:H3">IFERROR(TRANSPOSE(_xlfn._xlws.FILTER(MONTHLY_RETURNS!B71:AI71, MONTHLY_RETURNS!$B$74:$AI$74=1)),"")</f>
        <v>65.542199999999994</v>
      </c>
      <c r="I2" cm="1">
        <f t="array" ref="I2:I3">IFERROR(TRANSPOSE(_xlfn._xlws.FILTER(MONTHLY_RETURNS!B72:AI72, MONTHLY_RETURNS!$B$74:$AI$74=1)),"")</f>
        <v>64.48343781094529</v>
      </c>
    </row>
    <row r="3" spans="1:9" x14ac:dyDescent="0.45">
      <c r="A3" s="5" t="str">
        <v>UAE</v>
      </c>
      <c r="B3" s="4" t="str">
        <v>United Arab Emirates</v>
      </c>
      <c r="C3" s="4" t="str">
        <v>EMERGING</v>
      </c>
      <c r="D3" s="6">
        <v>-0.12103080999999999</v>
      </c>
      <c r="E3" s="6">
        <v>1.0758024040983603E-2</v>
      </c>
      <c r="F3" s="6">
        <v>6.4627512257666497E-2</v>
      </c>
      <c r="G3" s="6">
        <v>0.12925502451533299</v>
      </c>
      <c r="H3">
        <v>19.100000000000001</v>
      </c>
      <c r="I3">
        <v>19.533789054726373</v>
      </c>
    </row>
    <row r="4" spans="1:9" x14ac:dyDescent="0.45">
      <c r="A4" s="5"/>
      <c r="B4" s="4"/>
      <c r="C4" s="4"/>
      <c r="D4" s="6"/>
      <c r="E4" s="6"/>
      <c r="F4" s="6"/>
      <c r="G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62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44260</v>
      </c>
      <c r="B2" s="3" cm="1">
        <f t="array" ref="B2:B62">_xll.FDS(B1,"FG_TOTAL_RETURNC(-5AY,0,AM)")/100</f>
        <v>-5.9095916999999998E-2</v>
      </c>
      <c r="C2" s="3" cm="1">
        <f t="array" ref="C2:C62">_xll.FDS(C1,"FG_TOTAL_RETURNC(-5AY,0,AM)")/100</f>
        <v>3.9871335000000001E-2</v>
      </c>
      <c r="D2" s="3" cm="1">
        <f t="array" ref="D2:D62">_xll.FDS(D1,"FG_TOTAL_RETURNC(-5AY,0,AM)")/100</f>
        <v>-3.9815605000000004E-2</v>
      </c>
      <c r="E2" s="3" cm="1">
        <f t="array" ref="E2:E62">_xll.FDS(E1,"FG_TOTAL_RETURNC(-5AY,0,AM)")/100</f>
        <v>-2.4644493999999999E-2</v>
      </c>
      <c r="F2" s="3" cm="1">
        <f t="array" ref="F2:F62">_xll.FDS(F1,"FG_TOTAL_RETURNC(-5AY,0,AM)")/100</f>
        <v>-3.3402919999999996E-2</v>
      </c>
      <c r="G2" s="3" cm="1">
        <f t="array" ref="G2:G62">_xll.FDS(G1,"FG_TOTAL_RETURNC(-5AY,0,AM)")/100</f>
        <v>-1.0714352E-2</v>
      </c>
      <c r="H2" s="3" cm="1">
        <f t="array" ref="H2:H62">_xll.FDS(H1,"FG_TOTAL_RETURNC(-5AY,0,AM)")/100</f>
        <v>-3.2680035E-3</v>
      </c>
      <c r="I2" s="3" cm="1">
        <f t="array" ref="I2:I62">_xll.FDS(I1,"FG_TOTAL_RETURNC(-5AY,0,AM)")/100</f>
        <v>1.03485584E-3</v>
      </c>
      <c r="J2" s="3" cm="1">
        <f t="array" ref="J2:J62">_xll.FDS(J1,"FG_TOTAL_RETURNC(-5AY,0,AM)")/100</f>
        <v>-1.1876464E-2</v>
      </c>
      <c r="K2" s="3" cm="1">
        <f t="array" ref="K2:K62">_xll.FDS(K1,"FG_TOTAL_RETURNC(-5AY,0,AM)")/100</f>
        <v>-4.2491380000000002E-2</v>
      </c>
      <c r="L2" s="3" cm="1">
        <f t="array" ref="L2:L62">_xll.FDS(L1,"FG_TOTAL_RETURNC(-5AY,0,AM)")/100</f>
        <v>-8.9428610000000006E-2</v>
      </c>
      <c r="M2" s="3" cm="1">
        <f t="array" ref="M2:M62">_xll.FDS(M1,"FG_TOTAL_RETURNC(-5AY,0,AM)")/100</f>
        <v>9.8947286999999991E-3</v>
      </c>
      <c r="N2" s="3" cm="1">
        <f t="array" ref="N2:N62">_xll.FDS(N1,"FG_TOTAL_RETURNC(-5AY,0,AM)")/100</f>
        <v>7.7824235000000005E-2</v>
      </c>
      <c r="O2" s="3" cm="1">
        <f t="array" ref="O2:O62">_xll.FDS(O1,"FG_TOTAL_RETURNC(-5AY,0,AM)")/100</f>
        <v>9.0026854999999996E-3</v>
      </c>
      <c r="P2" s="3" cm="1">
        <f t="array" ref="P2:P62">_xll.FDS(P1,"FG_TOTAL_RETURNC(-5AY,0,AM)")/100</f>
        <v>-7.8030290000000002E-2</v>
      </c>
      <c r="Q2" s="3" cm="1">
        <f t="array" ref="Q2:Q62">_xll.FDS(Q1,"FG_TOTAL_RETURNC(-5AY,0,AM)")/100</f>
        <v>-2.4193585E-2</v>
      </c>
      <c r="R2" s="3" cm="1">
        <f t="array" ref="R2:R62">_xll.FDS(R1,"FG_TOTAL_RETURNC(-5AY,0,AM)")/100</f>
        <v>3.17384E-2</v>
      </c>
      <c r="S2" s="3" cm="1">
        <f t="array" ref="S2:S62">_xll.FDS(S1,"FG_TOTAL_RETURNC(-5AY,0,AM)")/100</f>
        <v>-4.6961308E-2</v>
      </c>
      <c r="T2" s="3" cm="1">
        <f t="array" ref="T2:T62">_xll.FDS(T1,"FG_TOTAL_RETURNC(-5AY,0,AM)")/100</f>
        <v>-5.2909850000000007E-3</v>
      </c>
      <c r="U2" s="3" cm="1">
        <f t="array" ref="U2:U62">_xll.FDS(U1,"FG_TOTAL_RETURNC(-5AY,0,AM)")/100</f>
        <v>-1.2276769E-2</v>
      </c>
      <c r="V2" s="3" cm="1">
        <f t="array" ref="V2:V62">_xll.FDS(V1,"FG_TOTAL_RETURNC(-5AY,0,AM)")/100</f>
        <v>6.6538689999999998E-2</v>
      </c>
      <c r="W2" s="3" cm="1">
        <f t="array" ref="W2:W62">_xll.FDS(W1,"FG_TOTAL_RETURNC(-5AY,0,AM)")/100</f>
        <v>-7.2735309999999997E-2</v>
      </c>
      <c r="X2" s="3" cm="1">
        <f t="array" ref="X2:X62">_xll.FDS(X1,"FG_TOTAL_RETURNC(-5AY,0,AM)")/100</f>
        <v>1.3704180999999999E-2</v>
      </c>
      <c r="Y2" s="3" cm="1">
        <f t="array" ref="Y2:Y62">_xll.FDS(Y1,"FG_TOTAL_RETURNC(-5AY,0,AM)")/100</f>
        <v>3.3083557999999999E-2</v>
      </c>
      <c r="Z2" s="3" cm="1">
        <f t="array" ref="Z2:Z62">_xll.FDS(Z1,"FG_TOTAL_RETURNC(-5AY,0,AM)")/100</f>
        <v>-1.715678E-2</v>
      </c>
      <c r="AA2" s="3" cm="1">
        <f t="array" ref="AA2:AA62">_xll.FDS(AA1,"FG_TOTAL_RETURNC(-5AY,0,AM)")/100</f>
        <v>-1.5740036999999998E-2</v>
      </c>
      <c r="AB2" s="3" cm="1">
        <f t="array" ref="AB2:AB62">_xll.FDS(AB1,"FG_TOTAL_RETURNC(-5AY,0,AM)")/100</f>
        <v>-2.6534736E-2</v>
      </c>
      <c r="AC2" s="3" cm="1">
        <f t="array" ref="AC2:AC62">_xll.FDS(AC1,"FG_TOTAL_RETURNC(-5AY,0,AM)")/100</f>
        <v>4.9664497000000002E-2</v>
      </c>
      <c r="AD2" s="3" cm="1">
        <f t="array" ref="AD2:AD62">_xll.FDS(AD1,"FG_TOTAL_RETURNC(-5AY,0,AM)")/100</f>
        <v>-6.8445205999999995E-2</v>
      </c>
      <c r="AE2" s="3" cm="1">
        <f t="array" ref="AE2:AE62">_xll.FDS(AE1,"FG_TOTAL_RETURNC(-5AY,0,AM)")/100</f>
        <v>-1.0523319E-2</v>
      </c>
      <c r="AF2" s="3" cm="1">
        <f t="array" ref="AF2:AF62">_xll.FDS(AF1,"FG_TOTAL_RETURNC(-5AY,0,AM)")/100</f>
        <v>1.3040899999999999E-2</v>
      </c>
      <c r="AG2" s="3" cm="1">
        <f t="array" ref="AG2:AG62">_xll.FDS(AG1,"FG_TOTAL_RETURNC(-5AY,0,AM)")/100</f>
        <v>-7.9854727000000011E-3</v>
      </c>
      <c r="AH2" s="3" cm="1">
        <f t="array" ref="AH2:AH62">_xll.FDS(AH1,"FG_TOTAL_RETURNC(-5AY,0,AM)")/100</f>
        <v>2.1235943E-2</v>
      </c>
      <c r="AI2" s="3" cm="1">
        <f t="array" ref="AI2:AI62">_xll.FDS(AI1,"FG_TOTAL_RETURNC(-5AY,0,AM)")/100</f>
        <v>-5.921066E-3</v>
      </c>
      <c r="AJ2" s="3"/>
      <c r="AK2" s="3"/>
      <c r="AL2" s="3"/>
    </row>
    <row r="3" spans="1:38" x14ac:dyDescent="0.45">
      <c r="A3" s="2">
        <v>44292</v>
      </c>
      <c r="B3" s="3">
        <v>-1.6639292E-2</v>
      </c>
      <c r="C3" s="3">
        <v>6.0606002999999999E-2</v>
      </c>
      <c r="D3" s="3">
        <v>-4.3649077000000001E-2</v>
      </c>
      <c r="E3" s="3">
        <v>-3.3041775000000002E-2</v>
      </c>
      <c r="F3" s="3">
        <v>3.2937287999999995E-2</v>
      </c>
      <c r="G3" s="3">
        <v>-7.4422955999999992E-3</v>
      </c>
      <c r="H3" s="3">
        <v>-4.0072799999999993E-3</v>
      </c>
      <c r="I3" s="3">
        <v>4.3418289999999998E-2</v>
      </c>
      <c r="J3" s="3">
        <v>9.0384720000000002E-2</v>
      </c>
      <c r="K3" s="3">
        <v>3.3142327999999999E-2</v>
      </c>
      <c r="L3" s="3">
        <v>2.9099702999999998E-2</v>
      </c>
      <c r="M3" s="3">
        <v>7.0877549999999997E-2</v>
      </c>
      <c r="N3" s="3">
        <v>5.31832E-2</v>
      </c>
      <c r="O3" s="3">
        <v>-1.2444198E-2</v>
      </c>
      <c r="P3" s="3">
        <v>-1.4555752E-2</v>
      </c>
      <c r="Q3" s="3">
        <v>3.8292050000000001E-2</v>
      </c>
      <c r="R3" s="3">
        <v>2.302301E-2</v>
      </c>
      <c r="S3" s="3">
        <v>-0.13876813999999998</v>
      </c>
      <c r="T3" s="3">
        <v>1.8237114000000002E-2</v>
      </c>
      <c r="U3" s="3">
        <v>4.5197725000000001E-2</v>
      </c>
      <c r="V3" s="3">
        <v>9.5680829999999994E-2</v>
      </c>
      <c r="W3" s="3">
        <v>-1.5433550000000001E-2</v>
      </c>
      <c r="X3" s="3">
        <v>3.5785436999999998E-3</v>
      </c>
      <c r="Y3" s="3">
        <v>4.8338412999999997E-2</v>
      </c>
      <c r="Z3" s="3">
        <v>6.9825410000000004E-2</v>
      </c>
      <c r="AA3" s="3">
        <v>1.1150122E-2</v>
      </c>
      <c r="AB3" s="3">
        <v>4.7816989999999997E-2</v>
      </c>
      <c r="AC3" s="3">
        <v>1.8861889999999999E-2</v>
      </c>
      <c r="AD3" s="3">
        <v>7.3052406E-2</v>
      </c>
      <c r="AE3" s="3">
        <v>6.2097309999999996E-2</v>
      </c>
      <c r="AF3" s="3">
        <v>4.2714953E-2</v>
      </c>
      <c r="AG3" s="3">
        <v>9.2226389999999991E-2</v>
      </c>
      <c r="AH3" s="3">
        <v>7.3130845999999999E-2</v>
      </c>
      <c r="AI3" s="3">
        <v>5.6254150000000003E-2</v>
      </c>
      <c r="AJ3" s="3"/>
      <c r="AK3" s="3"/>
      <c r="AL3" s="3"/>
    </row>
    <row r="4" spans="1:38" x14ac:dyDescent="0.45">
      <c r="A4" s="2">
        <v>44322</v>
      </c>
      <c r="B4" s="3">
        <v>-4.7665833999999997E-4</v>
      </c>
      <c r="C4" s="3">
        <v>-2.915454E-2</v>
      </c>
      <c r="D4" s="3">
        <v>4.1077137000000005E-3</v>
      </c>
      <c r="E4" s="3">
        <v>-2.9815793E-2</v>
      </c>
      <c r="F4" s="3">
        <v>5.3319454000000002E-2</v>
      </c>
      <c r="G4" s="3">
        <v>-0.10749262999999999</v>
      </c>
      <c r="H4" s="3">
        <v>1.0973215E-3</v>
      </c>
      <c r="I4" s="3">
        <v>4.0455699999999997E-2</v>
      </c>
      <c r="J4" s="3">
        <v>2.5132298000000001E-2</v>
      </c>
      <c r="K4" s="3">
        <v>3.1535625000000001E-3</v>
      </c>
      <c r="L4" s="3">
        <v>9.0132475000000004E-2</v>
      </c>
      <c r="M4" s="3">
        <v>-4.8666595999999999E-3</v>
      </c>
      <c r="N4" s="3">
        <v>6.5610050000000003E-2</v>
      </c>
      <c r="O4" s="3">
        <v>3.3285618000000001E-3</v>
      </c>
      <c r="P4" s="3">
        <v>-3.6926746000000003E-2</v>
      </c>
      <c r="Q4" s="3">
        <v>3.8317918999999999E-2</v>
      </c>
      <c r="R4" s="3">
        <v>-4.9061180000000001E-3</v>
      </c>
      <c r="S4" s="3">
        <v>1.6827582999999998E-3</v>
      </c>
      <c r="T4" s="3">
        <v>2.1641731000000001E-2</v>
      </c>
      <c r="U4" s="3">
        <v>1.9459485999999998E-2</v>
      </c>
      <c r="V4" s="3">
        <v>2.6827215999999997E-2</v>
      </c>
      <c r="W4" s="3">
        <v>4.9773693000000001E-2</v>
      </c>
      <c r="X4" s="3">
        <v>4.8335910000000003E-2</v>
      </c>
      <c r="Y4" s="3">
        <v>4.8703073999999999E-2</v>
      </c>
      <c r="Z4" s="3">
        <v>1.5151501000000001E-2</v>
      </c>
      <c r="AA4" s="3">
        <v>-2.9018519999999999E-3</v>
      </c>
      <c r="AB4" s="3">
        <v>3.6375642E-2</v>
      </c>
      <c r="AC4" s="3">
        <v>4.8948883999999998E-2</v>
      </c>
      <c r="AD4" s="3">
        <v>2.0856857000000001E-3</v>
      </c>
      <c r="AE4" s="3">
        <v>3.1887173999999997E-2</v>
      </c>
      <c r="AF4" s="3">
        <v>6.1728360000000003E-2</v>
      </c>
      <c r="AG4" s="3">
        <v>2.1899343000000002E-2</v>
      </c>
      <c r="AH4" s="3">
        <v>3.5053371999999999E-2</v>
      </c>
      <c r="AI4" s="3">
        <v>1.3784528000000001E-2</v>
      </c>
      <c r="AJ4" s="3"/>
      <c r="AK4" s="3"/>
      <c r="AL4" s="3"/>
    </row>
    <row r="5" spans="1:38" x14ac:dyDescent="0.45">
      <c r="A5" s="2">
        <v>44351</v>
      </c>
      <c r="B5" s="3">
        <v>7.6061129999999991E-2</v>
      </c>
      <c r="C5" s="3">
        <v>-0.12012010999999999</v>
      </c>
      <c r="D5" s="3">
        <v>2.3181796000000001E-2</v>
      </c>
      <c r="E5" s="3">
        <v>9.0814950000000005E-2</v>
      </c>
      <c r="F5" s="3">
        <v>0.13449132999999999</v>
      </c>
      <c r="G5" s="3">
        <v>8.8401320000000005E-2</v>
      </c>
      <c r="H5" s="3">
        <v>2.1921396000000003E-3</v>
      </c>
      <c r="I5" s="3">
        <v>1.301384E-2</v>
      </c>
      <c r="J5" s="3">
        <v>4.2150496999999995E-2</v>
      </c>
      <c r="K5" s="3">
        <v>1.6802192000000001E-2</v>
      </c>
      <c r="L5" s="3">
        <v>0.12591194999999999</v>
      </c>
      <c r="M5" s="3">
        <v>7.0031284999999999E-2</v>
      </c>
      <c r="N5" s="3">
        <v>1.1414766E-2</v>
      </c>
      <c r="O5" s="3">
        <v>7.5355409999999998E-2</v>
      </c>
      <c r="P5" s="3">
        <v>2.2881866000000001E-2</v>
      </c>
      <c r="Q5" s="3">
        <v>-7.5177550000000001E-3</v>
      </c>
      <c r="R5" s="3">
        <v>2.5205015999999997E-2</v>
      </c>
      <c r="S5" s="3">
        <v>-3.8219213000000002E-2</v>
      </c>
      <c r="T5" s="3">
        <v>7.7428819999999995E-2</v>
      </c>
      <c r="U5" s="3">
        <v>6.7338229999999999E-2</v>
      </c>
      <c r="V5" s="3">
        <v>4.6121119999999995E-2</v>
      </c>
      <c r="W5" s="3">
        <v>-3.5714269E-2</v>
      </c>
      <c r="X5" s="3">
        <v>3.4769415999999997E-2</v>
      </c>
      <c r="Y5" s="3">
        <v>5.0013780000000001E-2</v>
      </c>
      <c r="Z5" s="3">
        <v>4.0183783000000001E-2</v>
      </c>
      <c r="AA5" s="3">
        <v>1.2078047000000001E-2</v>
      </c>
      <c r="AB5" s="3">
        <v>5.2542090000000007E-2</v>
      </c>
      <c r="AC5" s="3">
        <v>2.0341038999999998E-2</v>
      </c>
      <c r="AD5" s="3">
        <v>1.2337446E-2</v>
      </c>
      <c r="AE5" s="3">
        <v>8.4234475999999999E-3</v>
      </c>
      <c r="AF5" s="3">
        <v>3.6205053000000001E-2</v>
      </c>
      <c r="AG5" s="3">
        <v>2.9466271000000002E-2</v>
      </c>
      <c r="AH5" s="3">
        <v>3.7442087999999998E-2</v>
      </c>
      <c r="AI5" s="3">
        <v>5.4079056E-2</v>
      </c>
      <c r="AJ5" s="3"/>
      <c r="AK5" s="3"/>
      <c r="AL5" s="3"/>
    </row>
    <row r="6" spans="1:38" x14ac:dyDescent="0.45">
      <c r="A6" s="2">
        <v>44383</v>
      </c>
      <c r="B6" s="3">
        <v>-4.8967123000000001E-2</v>
      </c>
      <c r="C6" s="3">
        <v>-4.4789256999999999E-2</v>
      </c>
      <c r="D6" s="3">
        <v>-9.1112319999999997E-2</v>
      </c>
      <c r="E6" s="3">
        <v>-1.9334077999999998E-2</v>
      </c>
      <c r="F6" s="3">
        <v>-5.475646E-2</v>
      </c>
      <c r="G6" s="3">
        <v>-0.17425251</v>
      </c>
      <c r="H6" s="3">
        <v>-4.6344159999999995E-2</v>
      </c>
      <c r="I6" s="3">
        <v>9.2432499999999997E-3</v>
      </c>
      <c r="J6" s="3">
        <v>-9.0100765000000003E-3</v>
      </c>
      <c r="K6" s="3">
        <v>-1.5778303E-2</v>
      </c>
      <c r="L6" s="3">
        <v>-6.6069784000000006E-2</v>
      </c>
      <c r="M6" s="3">
        <v>-0.10831839</v>
      </c>
      <c r="N6" s="3">
        <v>-6.5663457000000008E-2</v>
      </c>
      <c r="O6" s="3">
        <v>-2.9735445999999999E-2</v>
      </c>
      <c r="P6" s="3">
        <v>-5.0786439999999995E-2</v>
      </c>
      <c r="Q6" s="3">
        <v>-8.8065859999999997E-4</v>
      </c>
      <c r="R6" s="3">
        <v>-1.247263E-2</v>
      </c>
      <c r="S6" s="3">
        <v>-3.7709415000000003E-2</v>
      </c>
      <c r="T6" s="3">
        <v>-1.7527819E-2</v>
      </c>
      <c r="U6" s="3">
        <v>1.1922598E-2</v>
      </c>
      <c r="V6" s="3">
        <v>1.4831065999999999E-2</v>
      </c>
      <c r="W6" s="3">
        <v>-9.3138813999999997E-3</v>
      </c>
      <c r="X6" s="3">
        <v>-4.4572710000000001E-2</v>
      </c>
      <c r="Y6" s="3">
        <v>-1.6753792999999999E-2</v>
      </c>
      <c r="Z6" s="3">
        <v>-3.4363567999999997E-2</v>
      </c>
      <c r="AA6" s="3">
        <v>-2.0034014999999999E-2</v>
      </c>
      <c r="AB6" s="3">
        <v>3.8309096999999998E-3</v>
      </c>
      <c r="AC6" s="3">
        <v>-2.1262883999999999E-2</v>
      </c>
      <c r="AD6" s="3">
        <v>7.450843E-2</v>
      </c>
      <c r="AE6" s="3">
        <v>2.7840972000000002E-2</v>
      </c>
      <c r="AF6" s="3">
        <v>-3.0349254999999999E-2</v>
      </c>
      <c r="AG6" s="3">
        <v>-3.2465636999999999E-2</v>
      </c>
      <c r="AH6" s="3">
        <v>-3.0450045999999998E-2</v>
      </c>
      <c r="AI6" s="3">
        <v>-4.0627659999999996E-2</v>
      </c>
      <c r="AJ6" s="3"/>
      <c r="AK6" s="3"/>
      <c r="AL6" s="3"/>
    </row>
    <row r="7" spans="1:38" x14ac:dyDescent="0.45">
      <c r="A7" s="2">
        <v>44414</v>
      </c>
      <c r="B7" s="3">
        <v>-1.1435211000000001E-2</v>
      </c>
      <c r="C7" s="3">
        <v>-3.5247147E-2</v>
      </c>
      <c r="D7" s="3">
        <v>5.4107903999999997E-3</v>
      </c>
      <c r="E7" s="3">
        <v>-7.6373099999999999E-2</v>
      </c>
      <c r="F7" s="3">
        <v>9.7448825999999992E-3</v>
      </c>
      <c r="G7" s="3">
        <v>-7.2177290000000005E-2</v>
      </c>
      <c r="H7" s="3">
        <v>-3.3517359999999996E-2</v>
      </c>
      <c r="I7" s="3">
        <v>4.1912794000000001E-3</v>
      </c>
      <c r="J7" s="3">
        <v>2.4973749999999999E-2</v>
      </c>
      <c r="K7" s="3">
        <v>-2.0905554E-2</v>
      </c>
      <c r="L7" s="3">
        <v>-1.9827843000000001E-2</v>
      </c>
      <c r="M7" s="3">
        <v>-2.8968453E-3</v>
      </c>
      <c r="N7" s="3">
        <v>1.1713028E-2</v>
      </c>
      <c r="O7" s="3">
        <v>3.8190365000000004E-2</v>
      </c>
      <c r="P7" s="3">
        <v>-9.7663765E-2</v>
      </c>
      <c r="Q7" s="3">
        <v>5.7955979999999999E-3</v>
      </c>
      <c r="R7" s="3">
        <v>-4.3803396000000001E-2</v>
      </c>
      <c r="S7" s="3">
        <v>4.6261669999999998E-2</v>
      </c>
      <c r="T7" s="3">
        <v>2.285707E-2</v>
      </c>
      <c r="U7" s="3">
        <v>-2.7491450000000001E-2</v>
      </c>
      <c r="V7" s="3">
        <v>2.6869416E-2</v>
      </c>
      <c r="W7" s="3">
        <v>5.0406456000000001E-3</v>
      </c>
      <c r="X7" s="3">
        <v>2.0930290000000001E-2</v>
      </c>
      <c r="Y7" s="3">
        <v>4.0172338000000005E-3</v>
      </c>
      <c r="Z7" s="3">
        <v>9.590267999999999E-3</v>
      </c>
      <c r="AA7" s="3">
        <v>2.3647547E-3</v>
      </c>
      <c r="AB7" s="3">
        <v>2.7680874000000001E-2</v>
      </c>
      <c r="AC7" s="3">
        <v>1.2488604E-2</v>
      </c>
      <c r="AD7" s="3">
        <v>2.1821736999999997E-2</v>
      </c>
      <c r="AE7" s="3">
        <v>2.2082090000000002E-2</v>
      </c>
      <c r="AF7" s="3">
        <v>3.9627671000000003E-2</v>
      </c>
      <c r="AG7" s="3">
        <v>5.0603866999999997E-2</v>
      </c>
      <c r="AH7" s="3">
        <v>3.3169270000000001E-2</v>
      </c>
      <c r="AI7" s="3">
        <v>2.1032929999999998E-2</v>
      </c>
      <c r="AJ7" s="3"/>
      <c r="AK7" s="3"/>
      <c r="AL7" s="3"/>
    </row>
    <row r="8" spans="1:38" x14ac:dyDescent="0.45">
      <c r="A8" s="2">
        <v>44442</v>
      </c>
      <c r="B8" s="3">
        <v>3.7771463E-3</v>
      </c>
      <c r="C8" s="3">
        <v>7.6836230000000005E-2</v>
      </c>
      <c r="D8" s="3">
        <v>5.4794429999999998E-2</v>
      </c>
      <c r="E8" s="3">
        <v>7.1780442999999999E-2</v>
      </c>
      <c r="F8" s="3">
        <v>7.6746344999999994E-2</v>
      </c>
      <c r="G8" s="3">
        <v>1.4860868000000001E-2</v>
      </c>
      <c r="H8" s="3">
        <v>7.8743339999999995E-2</v>
      </c>
      <c r="I8" s="3">
        <v>1.4067054000000001E-2</v>
      </c>
      <c r="J8" s="3">
        <v>3.0303001E-2</v>
      </c>
      <c r="K8" s="3">
        <v>-2.9759943000000001E-2</v>
      </c>
      <c r="L8" s="3">
        <v>-4.5781254999999993E-2</v>
      </c>
      <c r="M8" s="3">
        <v>2.0958781000000003E-2</v>
      </c>
      <c r="N8" s="3">
        <v>5.1012993E-2</v>
      </c>
      <c r="O8" s="3">
        <v>8.8241819999999999E-2</v>
      </c>
      <c r="P8" s="3">
        <v>1.9241691000000002E-2</v>
      </c>
      <c r="Q8" s="3">
        <v>3.0906199999999998E-2</v>
      </c>
      <c r="R8" s="3">
        <v>8.322823E-2</v>
      </c>
      <c r="S8" s="3">
        <v>6.878078E-2</v>
      </c>
      <c r="T8" s="3">
        <v>3.9804459E-2</v>
      </c>
      <c r="U8" s="3">
        <v>1.9687056999999997E-2</v>
      </c>
      <c r="V8" s="3">
        <v>2.6660084999999997E-2</v>
      </c>
      <c r="W8" s="3">
        <v>4.7888637000000005E-2</v>
      </c>
      <c r="X8" s="3">
        <v>7.5930357000000004E-3</v>
      </c>
      <c r="Y8" s="3">
        <v>1.6270876E-2</v>
      </c>
      <c r="Z8" s="3">
        <v>1.0938287E-2</v>
      </c>
      <c r="AA8" s="3">
        <v>5.8832170000000003E-2</v>
      </c>
      <c r="AB8" s="3">
        <v>1.2370348E-2</v>
      </c>
      <c r="AC8" s="3">
        <v>6.9193839999999998E-3</v>
      </c>
      <c r="AD8" s="3">
        <v>3.6734222999999996E-2</v>
      </c>
      <c r="AE8" s="3">
        <v>2.3932695E-2</v>
      </c>
      <c r="AF8" s="3">
        <v>-1.5349388000000001E-3</v>
      </c>
      <c r="AG8" s="3">
        <v>6.3825489999999999E-2</v>
      </c>
      <c r="AH8" s="3">
        <v>8.2850455999999989E-3</v>
      </c>
      <c r="AI8" s="3">
        <v>3.0294657000000001E-3</v>
      </c>
      <c r="AJ8" s="3"/>
      <c r="AK8" s="3"/>
      <c r="AL8" s="3"/>
    </row>
    <row r="9" spans="1:38" x14ac:dyDescent="0.45">
      <c r="A9" s="2">
        <v>44475</v>
      </c>
      <c r="B9" s="3">
        <v>-1.7874002E-2</v>
      </c>
      <c r="C9" s="3">
        <v>-0.13116472999999998</v>
      </c>
      <c r="D9" s="3">
        <v>6.7254186000000007E-2</v>
      </c>
      <c r="E9" s="3">
        <v>1.5430093000000001E-2</v>
      </c>
      <c r="F9" s="3">
        <v>-2.646184E-2</v>
      </c>
      <c r="G9" s="3">
        <v>-1.0833084999999999E-2</v>
      </c>
      <c r="H9" s="3">
        <v>-2.0801842000000001E-2</v>
      </c>
      <c r="I9" s="3">
        <v>-7.6676789999999995E-2</v>
      </c>
      <c r="J9" s="3">
        <v>-4.5508740000000006E-2</v>
      </c>
      <c r="K9" s="3">
        <v>-0.11995435</v>
      </c>
      <c r="L9" s="3">
        <v>-0.107113</v>
      </c>
      <c r="M9" s="3">
        <v>-3.6382139000000001E-2</v>
      </c>
      <c r="N9" s="3">
        <v>-4.5438885999999998E-2</v>
      </c>
      <c r="O9" s="3">
        <v>-1.3883352E-2</v>
      </c>
      <c r="P9" s="3">
        <v>-8.4536440000000004E-2</v>
      </c>
      <c r="Q9" s="3">
        <v>5.0304890000000005E-2</v>
      </c>
      <c r="R9" s="3">
        <v>-1.7526388E-2</v>
      </c>
      <c r="S9" s="3">
        <v>-0.12411206999999999</v>
      </c>
      <c r="T9" s="3">
        <v>-2.3841559999999998E-2</v>
      </c>
      <c r="U9" s="3">
        <v>-4.9009980000000002E-2</v>
      </c>
      <c r="V9" s="3">
        <v>2.2120714E-2</v>
      </c>
      <c r="W9" s="3">
        <v>-3.7980497000000002E-2</v>
      </c>
      <c r="X9" s="3">
        <v>-5.312741E-2</v>
      </c>
      <c r="Y9" s="3">
        <v>-3.2283425000000004E-2</v>
      </c>
      <c r="Z9" s="3">
        <v>-7.8018190000000001E-2</v>
      </c>
      <c r="AA9" s="3">
        <v>-5.6120276000000004E-2</v>
      </c>
      <c r="AB9" s="3">
        <v>-7.4103299999999997E-2</v>
      </c>
      <c r="AC9" s="3">
        <v>-3.0176341999999998E-2</v>
      </c>
      <c r="AD9" s="3">
        <v>-5.6327524000000004E-2</v>
      </c>
      <c r="AE9" s="3">
        <v>-3.7019730000000001E-2</v>
      </c>
      <c r="AF9" s="3">
        <v>-4.1762649999999998E-2</v>
      </c>
      <c r="AG9" s="3">
        <v>-8.6640540000000002E-2</v>
      </c>
      <c r="AH9" s="3">
        <v>-8.6483120000000011E-2</v>
      </c>
      <c r="AI9" s="3">
        <v>-3.8659036000000001E-2</v>
      </c>
      <c r="AJ9" s="3"/>
      <c r="AK9" s="3"/>
      <c r="AL9" s="3"/>
    </row>
    <row r="10" spans="1:38" x14ac:dyDescent="0.45">
      <c r="A10" s="2">
        <v>44505</v>
      </c>
      <c r="B10" s="3">
        <v>2.5383233999999998E-2</v>
      </c>
      <c r="C10" s="3">
        <v>6.5217375999999994E-2</v>
      </c>
      <c r="D10" s="3">
        <v>2.3468018E-2</v>
      </c>
      <c r="E10" s="3">
        <v>6.6925287E-2</v>
      </c>
      <c r="F10" s="3">
        <v>3.3757090000000003E-2</v>
      </c>
      <c r="G10" s="3">
        <v>0.10838376999999999</v>
      </c>
      <c r="H10" s="3">
        <v>-1.0428667000000001E-2</v>
      </c>
      <c r="I10" s="3">
        <v>5.7619214000000002E-2</v>
      </c>
      <c r="J10" s="3">
        <v>3.4145355000000002E-2</v>
      </c>
      <c r="K10" s="3">
        <v>2.9670953999999999E-2</v>
      </c>
      <c r="L10" s="3">
        <v>-6.4354839999999996E-2</v>
      </c>
      <c r="M10" s="3">
        <v>2.1092653000000003E-2</v>
      </c>
      <c r="N10" s="3">
        <v>1.1539817000000001E-2</v>
      </c>
      <c r="O10" s="3">
        <v>1.9996046999999999E-2</v>
      </c>
      <c r="P10" s="3">
        <v>2.577722E-2</v>
      </c>
      <c r="Q10" s="3">
        <v>2.0319343E-2</v>
      </c>
      <c r="R10" s="3">
        <v>4.1618347000000003E-3</v>
      </c>
      <c r="S10" s="3">
        <v>6.0114503E-2</v>
      </c>
      <c r="T10" s="3">
        <v>8.7031360000000002E-2</v>
      </c>
      <c r="U10" s="3">
        <v>6.2988042999999994E-2</v>
      </c>
      <c r="V10" s="3">
        <v>1.7172455999999999E-2</v>
      </c>
      <c r="W10" s="3">
        <v>1.7653584E-2</v>
      </c>
      <c r="X10" s="3">
        <v>5.1730989999999998E-2</v>
      </c>
      <c r="Y10" s="3">
        <v>7.5671315000000003E-2</v>
      </c>
      <c r="Z10" s="3">
        <v>6.6398979999999996E-2</v>
      </c>
      <c r="AA10" s="3">
        <v>3.8064359999999998E-2</v>
      </c>
      <c r="AB10" s="3">
        <v>8.3652610000000002E-2</v>
      </c>
      <c r="AC10" s="3">
        <v>3.2963633999999999E-2</v>
      </c>
      <c r="AD10" s="3">
        <v>0.10823811</v>
      </c>
      <c r="AE10" s="3">
        <v>7.7328086000000004E-2</v>
      </c>
      <c r="AF10" s="3">
        <v>8.0213909999999999E-2</v>
      </c>
      <c r="AG10" s="3">
        <v>8.3639259999999993E-2</v>
      </c>
      <c r="AH10" s="3">
        <v>9.9167939999999996E-2</v>
      </c>
      <c r="AI10" s="3">
        <v>8.0113169999999997E-2</v>
      </c>
      <c r="AJ10" s="3"/>
      <c r="AK10" s="3"/>
      <c r="AL10" s="3"/>
    </row>
    <row r="11" spans="1:38" x14ac:dyDescent="0.45">
      <c r="A11" s="2">
        <v>44536</v>
      </c>
      <c r="B11" s="3">
        <v>2.6389599999999999E-2</v>
      </c>
      <c r="C11" s="3">
        <v>-5.2154182999999993E-2</v>
      </c>
      <c r="D11" s="3">
        <v>-8.9171530000000006E-3</v>
      </c>
      <c r="E11" s="3">
        <v>-3.3030330000000004E-2</v>
      </c>
      <c r="F11" s="3">
        <v>-0.11577606</v>
      </c>
      <c r="G11" s="3">
        <v>-3.5775185000000001E-2</v>
      </c>
      <c r="H11" s="3">
        <v>-4.6057759999999996E-2</v>
      </c>
      <c r="I11" s="3">
        <v>3.3562303000000002E-2</v>
      </c>
      <c r="J11" s="3">
        <v>-6.1807930000000004E-2</v>
      </c>
      <c r="K11" s="3">
        <v>3.9007663999999997E-3</v>
      </c>
      <c r="L11" s="3">
        <v>8.3472729999999988E-3</v>
      </c>
      <c r="M11" s="3">
        <v>-4.4825435000000004E-2</v>
      </c>
      <c r="N11" s="3">
        <v>-4.9197854999999999E-2</v>
      </c>
      <c r="O11" s="3">
        <v>-5.7011422999999999E-2</v>
      </c>
      <c r="P11" s="3">
        <v>-5.2180346999999995E-2</v>
      </c>
      <c r="Q11" s="3">
        <v>-2.4182081000000001E-2</v>
      </c>
      <c r="R11" s="3">
        <v>-2.3385525000000001E-2</v>
      </c>
      <c r="S11" s="3">
        <v>-0.15571552</v>
      </c>
      <c r="T11" s="3">
        <v>0.11392403</v>
      </c>
      <c r="U11" s="3">
        <v>-2.0078360000000003E-2</v>
      </c>
      <c r="V11" s="3">
        <v>-5.8048130000000003E-2</v>
      </c>
      <c r="W11" s="3">
        <v>-8.2531160000000006E-2</v>
      </c>
      <c r="X11" s="3">
        <v>-6.6969395000000001E-2</v>
      </c>
      <c r="Y11" s="3">
        <v>-4.5385780000000001E-2</v>
      </c>
      <c r="Z11" s="3">
        <v>-6.9215180000000001E-2</v>
      </c>
      <c r="AA11" s="3">
        <v>-4.2069315999999995E-2</v>
      </c>
      <c r="AB11" s="3">
        <v>-1.6892552000000002E-2</v>
      </c>
      <c r="AC11" s="3">
        <v>-2.3859202999999999E-2</v>
      </c>
      <c r="AD11" s="3">
        <v>-3.1108856000000001E-2</v>
      </c>
      <c r="AE11" s="3">
        <v>-2.078843E-2</v>
      </c>
      <c r="AF11" s="3">
        <v>-5.2970349999999999E-2</v>
      </c>
      <c r="AG11" s="3">
        <v>-8.6972889999999997E-2</v>
      </c>
      <c r="AH11" s="3">
        <v>-7.2217703000000008E-2</v>
      </c>
      <c r="AI11" s="3">
        <v>-6.1372940000000001E-2</v>
      </c>
      <c r="AJ11" s="3"/>
      <c r="AK11" s="3"/>
      <c r="AL11" s="3"/>
    </row>
    <row r="12" spans="1:38" x14ac:dyDescent="0.45">
      <c r="A12" s="2">
        <v>44567</v>
      </c>
      <c r="B12" s="3">
        <v>-3.0514836E-2</v>
      </c>
      <c r="C12" s="3">
        <v>-2.6428759999999999E-2</v>
      </c>
      <c r="D12" s="3">
        <v>-5.4467319999999993E-3</v>
      </c>
      <c r="E12" s="3">
        <v>-2.2114395999999998E-2</v>
      </c>
      <c r="F12" s="3">
        <v>3.6920904999999997E-2</v>
      </c>
      <c r="G12" s="3">
        <v>0.11887884</v>
      </c>
      <c r="H12" s="3">
        <v>3.8785934000000001E-2</v>
      </c>
      <c r="I12" s="3">
        <v>3.9324522000000001E-2</v>
      </c>
      <c r="J12" s="3">
        <v>9.7953430000000008E-2</v>
      </c>
      <c r="K12" s="3">
        <v>-3.2137989999999998E-2</v>
      </c>
      <c r="L12" s="3">
        <v>-4.6203612999999998E-2</v>
      </c>
      <c r="M12" s="3">
        <v>3.0864835E-2</v>
      </c>
      <c r="N12" s="3">
        <v>6.1438084000000007E-3</v>
      </c>
      <c r="O12" s="3">
        <v>5.6189656000000004E-2</v>
      </c>
      <c r="P12" s="3">
        <v>-4.1285515000000002E-2</v>
      </c>
      <c r="Q12" s="3">
        <v>1.2882709999999999E-2</v>
      </c>
      <c r="R12" s="3">
        <v>4.0826439999999999E-2</v>
      </c>
      <c r="S12" s="3">
        <v>4.0339229999999997E-2</v>
      </c>
      <c r="T12" s="3">
        <v>-6.4938490000000001E-2</v>
      </c>
      <c r="U12" s="3">
        <v>7.4315550000000008E-2</v>
      </c>
      <c r="V12" s="3">
        <v>3.3068776000000001E-2</v>
      </c>
      <c r="W12" s="3">
        <v>1.4829396999999999E-2</v>
      </c>
      <c r="X12" s="3">
        <v>2.9719948999999999E-2</v>
      </c>
      <c r="Y12" s="3">
        <v>1.6957164E-2</v>
      </c>
      <c r="Z12" s="3">
        <v>3.6582707999999999E-2</v>
      </c>
      <c r="AA12" s="3">
        <v>8.7673663999999988E-3</v>
      </c>
      <c r="AB12" s="3">
        <v>3.4765244000000001E-2</v>
      </c>
      <c r="AC12" s="3">
        <v>5.4214120000000005E-2</v>
      </c>
      <c r="AD12" s="3">
        <v>-4.3612720000000002E-3</v>
      </c>
      <c r="AE12" s="3">
        <v>2.3573159999999999E-2</v>
      </c>
      <c r="AF12" s="3">
        <v>4.9957513999999995E-2</v>
      </c>
      <c r="AG12" s="3">
        <v>1.4484406E-2</v>
      </c>
      <c r="AH12" s="3">
        <v>4.395056E-2</v>
      </c>
      <c r="AI12" s="3">
        <v>4.4411659999999999E-2</v>
      </c>
      <c r="AJ12" s="3"/>
      <c r="AK12" s="3"/>
      <c r="AL12" s="3"/>
    </row>
    <row r="13" spans="1:38" x14ac:dyDescent="0.45">
      <c r="A13" s="2">
        <v>44596</v>
      </c>
      <c r="B13" s="3">
        <v>-4.8318329999999993E-2</v>
      </c>
      <c r="C13" s="3">
        <v>3.9340137999999997E-2</v>
      </c>
      <c r="D13" s="3">
        <v>5.2061080000000001E-3</v>
      </c>
      <c r="E13" s="3">
        <v>3.3129572999999995E-2</v>
      </c>
      <c r="F13" s="3">
        <v>-2.6647924999999999E-2</v>
      </c>
      <c r="G13" s="3">
        <v>1.9721985000000001E-2</v>
      </c>
      <c r="H13" s="3">
        <v>-6.1025022999999998E-3</v>
      </c>
      <c r="I13" s="3">
        <v>-3.7180781000000003E-2</v>
      </c>
      <c r="J13" s="3">
        <v>-4.3211101999999994E-2</v>
      </c>
      <c r="K13" s="3">
        <v>-3.7967920000000002E-2</v>
      </c>
      <c r="L13" s="3">
        <v>0.18341422999999998</v>
      </c>
      <c r="M13" s="3">
        <v>5.7863474000000005E-2</v>
      </c>
      <c r="N13" s="3">
        <v>0.10814929</v>
      </c>
      <c r="O13" s="3">
        <v>-2.9304801999999998E-2</v>
      </c>
      <c r="P13" s="3">
        <v>2.2615552000000001E-2</v>
      </c>
      <c r="Q13" s="3">
        <v>8.0827599999999999E-2</v>
      </c>
      <c r="R13" s="3">
        <v>1.2818813E-2</v>
      </c>
      <c r="S13" s="3">
        <v>-1.904279E-2</v>
      </c>
      <c r="T13" s="3">
        <v>2.0389318E-2</v>
      </c>
      <c r="U13" s="3">
        <v>-7.8073859999999995E-2</v>
      </c>
      <c r="V13" s="3">
        <v>7.0368648000000006E-2</v>
      </c>
      <c r="W13" s="3">
        <v>-7.5303373000000007E-2</v>
      </c>
      <c r="X13" s="3">
        <v>-5.6734679999999996E-2</v>
      </c>
      <c r="Y13" s="3">
        <v>9.9973679999999995E-3</v>
      </c>
      <c r="Z13" s="3">
        <v>-3.1789242999999995E-2</v>
      </c>
      <c r="AA13" s="3">
        <v>-4.2920947000000001E-2</v>
      </c>
      <c r="AB13" s="3">
        <v>-5.6381582999999999E-2</v>
      </c>
      <c r="AC13" s="3">
        <v>1.6974329999999999E-2</v>
      </c>
      <c r="AD13" s="3">
        <v>-6.7730784000000002E-2</v>
      </c>
      <c r="AE13" s="3">
        <v>-4.1116356999999999E-2</v>
      </c>
      <c r="AF13" s="3">
        <v>-2.2256314999999999E-2</v>
      </c>
      <c r="AG13" s="3">
        <v>-5.8343530000000005E-2</v>
      </c>
      <c r="AH13" s="3">
        <v>-7.8431424999999999E-2</v>
      </c>
      <c r="AI13" s="3">
        <v>-1.5949428000000002E-2</v>
      </c>
      <c r="AJ13" s="3"/>
      <c r="AK13" s="3"/>
      <c r="AL13" s="3"/>
    </row>
    <row r="14" spans="1:38" x14ac:dyDescent="0.45">
      <c r="A14" s="2">
        <v>44624</v>
      </c>
      <c r="B14" s="3">
        <v>-9.7063184000000004E-3</v>
      </c>
      <c r="C14" s="3">
        <v>9.7273109999999996E-2</v>
      </c>
      <c r="D14" s="3">
        <v>3.8843274000000004E-2</v>
      </c>
      <c r="E14" s="3">
        <v>-2.4905801000000001E-3</v>
      </c>
      <c r="F14" s="3">
        <v>-0.22430354999999999</v>
      </c>
      <c r="G14" s="3">
        <v>0.14806592999999998</v>
      </c>
      <c r="H14" s="3">
        <v>5.1985264000000003E-2</v>
      </c>
      <c r="I14" s="3">
        <v>-3.1172513999999998E-2</v>
      </c>
      <c r="J14" s="3">
        <v>1.6573429000000001E-2</v>
      </c>
      <c r="K14" s="3">
        <v>-3.7541270000000002E-2</v>
      </c>
      <c r="L14" s="3">
        <v>8.2386379999999995E-2</v>
      </c>
      <c r="M14" s="3">
        <v>4.3678639999999998E-2</v>
      </c>
      <c r="N14" s="3">
        <v>-0.16254293</v>
      </c>
      <c r="O14" s="3">
        <v>-8.5500240000000005E-2</v>
      </c>
      <c r="P14" s="3">
        <v>-0.1110577</v>
      </c>
      <c r="Q14" s="3">
        <v>6.7883369999999998E-2</v>
      </c>
      <c r="R14" s="3">
        <v>-1.4932156E-3</v>
      </c>
      <c r="S14" s="3">
        <v>-1.7313719000000002E-2</v>
      </c>
      <c r="T14" s="3">
        <v>0.10351086000000001</v>
      </c>
      <c r="U14" s="3">
        <v>-4.0568113000000001E-3</v>
      </c>
      <c r="V14" s="3">
        <v>4.4499040000000004E-2</v>
      </c>
      <c r="W14" s="3">
        <v>4.0729046000000005E-2</v>
      </c>
      <c r="X14" s="3">
        <v>7.1830389999999994E-2</v>
      </c>
      <c r="Y14" s="3">
        <v>3.9073229999999999E-3</v>
      </c>
      <c r="Z14" s="3">
        <v>-0.19043154000000001</v>
      </c>
      <c r="AA14" s="3">
        <v>-4.7337293999999995E-2</v>
      </c>
      <c r="AB14" s="3">
        <v>-6.0159564000000006E-2</v>
      </c>
      <c r="AC14" s="3">
        <v>-8.023429E-2</v>
      </c>
      <c r="AD14" s="3">
        <v>-5.7847619999999995E-2</v>
      </c>
      <c r="AE14" s="3">
        <v>-3.6839783000000001E-2</v>
      </c>
      <c r="AF14" s="3">
        <v>-0.16457354999999999</v>
      </c>
      <c r="AG14" s="3">
        <v>-0.16269493000000002</v>
      </c>
      <c r="AH14" s="3">
        <v>-0.18723397999999999</v>
      </c>
      <c r="AI14" s="3">
        <v>-0.18715595000000002</v>
      </c>
      <c r="AJ14" s="3"/>
      <c r="AK14" s="3"/>
      <c r="AL14" s="3"/>
    </row>
    <row r="15" spans="1:38" x14ac:dyDescent="0.45">
      <c r="A15" s="2">
        <v>44657</v>
      </c>
      <c r="B15" s="3">
        <v>-6.8610190000000001E-2</v>
      </c>
      <c r="C15" s="3">
        <v>6.6765666000000001E-2</v>
      </c>
      <c r="D15" s="3">
        <v>1.6202688E-2</v>
      </c>
      <c r="E15" s="3">
        <v>-2.9962599999999999E-2</v>
      </c>
      <c r="F15" s="3">
        <v>0.14241493</v>
      </c>
      <c r="G15" s="3">
        <v>1.7122387999999999E-2</v>
      </c>
      <c r="H15" s="3">
        <v>6.2257050000000006E-3</v>
      </c>
      <c r="I15" s="3">
        <v>-2.6092529999999999E-2</v>
      </c>
      <c r="J15" s="3">
        <v>9.2520950000000005E-2</v>
      </c>
      <c r="K15" s="3">
        <v>0</v>
      </c>
      <c r="L15" s="3">
        <v>9.8570939999999996E-2</v>
      </c>
      <c r="M15" s="3">
        <v>4.9337625999999996E-2</v>
      </c>
      <c r="N15" s="3">
        <v>9.7661020000000001E-2</v>
      </c>
      <c r="O15" s="3">
        <v>9.8313330000000004E-2</v>
      </c>
      <c r="P15" s="3">
        <v>-2.6140273000000002E-2</v>
      </c>
      <c r="Q15" s="3">
        <v>1.7507315000000002E-2</v>
      </c>
      <c r="R15" s="3">
        <v>1.762259E-2</v>
      </c>
      <c r="S15" s="3">
        <v>0.14308595999999998</v>
      </c>
      <c r="T15" s="3">
        <v>4.8815129999999998E-2</v>
      </c>
      <c r="U15" s="3">
        <v>-2.9531538E-2</v>
      </c>
      <c r="V15" s="3">
        <v>3.4682154999999999E-2</v>
      </c>
      <c r="W15" s="3">
        <v>-1.2687624E-2</v>
      </c>
      <c r="X15" s="3">
        <v>7.2264790000000009E-2</v>
      </c>
      <c r="Y15" s="3">
        <v>3.5287975999999999E-2</v>
      </c>
      <c r="Z15" s="3">
        <v>6.5662502999999997E-2</v>
      </c>
      <c r="AA15" s="3">
        <v>-2.1085322E-2</v>
      </c>
      <c r="AB15" s="3">
        <v>7.0542096999999998E-2</v>
      </c>
      <c r="AC15" s="3">
        <v>8.2139489999999996E-2</v>
      </c>
      <c r="AD15" s="3">
        <v>4.8614499999999998E-2</v>
      </c>
      <c r="AE15" s="3">
        <v>3.6379456999999997E-2</v>
      </c>
      <c r="AF15" s="3">
        <v>6.7647934000000007E-2</v>
      </c>
      <c r="AG15" s="3">
        <v>6.7011595000000007E-2</v>
      </c>
      <c r="AH15" s="3">
        <v>0.12798129999999999</v>
      </c>
      <c r="AI15" s="3">
        <v>8.577883E-2</v>
      </c>
      <c r="AJ15" s="3"/>
      <c r="AK15" s="3"/>
      <c r="AL15" s="3"/>
    </row>
    <row r="16" spans="1:38" x14ac:dyDescent="0.45">
      <c r="A16" s="2">
        <v>44687</v>
      </c>
      <c r="B16" s="3">
        <v>-0.12844043999999999</v>
      </c>
      <c r="C16" s="3">
        <v>-9.8748260000000004E-2</v>
      </c>
      <c r="D16" s="3">
        <v>2.3712277E-2</v>
      </c>
      <c r="E16" s="3">
        <v>-6.949806E-2</v>
      </c>
      <c r="F16" s="3">
        <v>-0.18102984999999999</v>
      </c>
      <c r="G16" s="3">
        <v>-0.18951946</v>
      </c>
      <c r="H16" s="3">
        <v>-6.5738619999999998E-2</v>
      </c>
      <c r="I16" s="3">
        <v>-9.3359650000000002E-2</v>
      </c>
      <c r="J16" s="3">
        <v>-9.6623780000000006E-2</v>
      </c>
      <c r="K16" s="3">
        <v>-5.5150747000000007E-2</v>
      </c>
      <c r="L16" s="3">
        <v>-0.16803820000000003</v>
      </c>
      <c r="M16" s="3">
        <v>-0.17983896000000002</v>
      </c>
      <c r="N16" s="3">
        <v>-4.7850489999999996E-2</v>
      </c>
      <c r="O16" s="3">
        <v>-7.6349316E-2</v>
      </c>
      <c r="P16" s="3">
        <v>-0.1203258</v>
      </c>
      <c r="Q16" s="3">
        <v>-3.1954169999999997E-2</v>
      </c>
      <c r="R16" s="3">
        <v>-4.2088510000000003E-2</v>
      </c>
      <c r="S16" s="3">
        <v>3.9701104000000001E-2</v>
      </c>
      <c r="T16" s="3">
        <v>-1.8823266000000002E-2</v>
      </c>
      <c r="U16" s="3">
        <v>-0.12801671000000001</v>
      </c>
      <c r="V16" s="3">
        <v>3.5588622E-2</v>
      </c>
      <c r="W16" s="3">
        <v>-0.12144793</v>
      </c>
      <c r="X16" s="3">
        <v>-9.2996960000000004E-2</v>
      </c>
      <c r="Y16" s="3">
        <v>-7.7193020000000001E-2</v>
      </c>
      <c r="Z16" s="3">
        <v>-7.8651666999999995E-2</v>
      </c>
      <c r="AA16" s="3">
        <v>-5.3431329999999999E-2</v>
      </c>
      <c r="AB16" s="3">
        <v>-9.3349509999999997E-2</v>
      </c>
      <c r="AC16" s="3">
        <v>-7.0609035000000001E-2</v>
      </c>
      <c r="AD16" s="3">
        <v>-0.12458247</v>
      </c>
      <c r="AE16" s="3">
        <v>-7.8787029999999994E-2</v>
      </c>
      <c r="AF16" s="3">
        <v>-5.280137E-2</v>
      </c>
      <c r="AG16" s="3">
        <v>-9.9660510000000008E-2</v>
      </c>
      <c r="AH16" s="3">
        <v>-0.12429088999999999</v>
      </c>
      <c r="AI16" s="3">
        <v>-6.4449069999999997E-2</v>
      </c>
      <c r="AJ16" s="3"/>
      <c r="AK16" s="3"/>
      <c r="AL16" s="3"/>
    </row>
    <row r="17" spans="1:38" x14ac:dyDescent="0.45">
      <c r="A17" s="2">
        <v>44718</v>
      </c>
      <c r="B17" s="3">
        <v>9.0402489999999988E-2</v>
      </c>
      <c r="C17" s="3">
        <v>0.17091047000000001</v>
      </c>
      <c r="D17" s="3">
        <v>-2.1166146E-2</v>
      </c>
      <c r="E17" s="3">
        <v>-1.8326461000000002E-2</v>
      </c>
      <c r="F17" s="3">
        <v>8.2064869999999998E-2</v>
      </c>
      <c r="G17" s="3">
        <v>3.8190960000000003E-2</v>
      </c>
      <c r="H17" s="3">
        <v>-1.7798007000000001E-2</v>
      </c>
      <c r="I17" s="3">
        <v>2.1211028E-2</v>
      </c>
      <c r="J17" s="3">
        <v>4.2535663000000001E-2</v>
      </c>
      <c r="K17" s="3">
        <v>1.1492491000000001E-2</v>
      </c>
      <c r="L17" s="3">
        <v>0.11263561</v>
      </c>
      <c r="M17" s="3">
        <v>6.3573480000000002E-2</v>
      </c>
      <c r="N17" s="3">
        <v>4.9862623000000002E-2</v>
      </c>
      <c r="O17" s="3">
        <v>-1.6627013999999999E-2</v>
      </c>
      <c r="P17" s="3">
        <v>0.11826599</v>
      </c>
      <c r="Q17" s="3">
        <v>-4.9090147000000001E-2</v>
      </c>
      <c r="R17" s="3">
        <v>1.012528E-2</v>
      </c>
      <c r="S17" s="3">
        <v>-3.1446575999999997E-2</v>
      </c>
      <c r="T17" s="3">
        <v>-9.488278E-2</v>
      </c>
      <c r="U17" s="3">
        <v>-4.9338159999999999E-2</v>
      </c>
      <c r="V17" s="3">
        <v>-7.9920052999999991E-2</v>
      </c>
      <c r="W17" s="3">
        <v>1.6480684000000001E-3</v>
      </c>
      <c r="X17" s="3">
        <v>3.52844E-2</v>
      </c>
      <c r="Y17" s="3">
        <v>3.6393284999999997E-2</v>
      </c>
      <c r="Z17" s="3">
        <v>8.3005540000000003E-2</v>
      </c>
      <c r="AA17" s="3">
        <v>1.1113048E-2</v>
      </c>
      <c r="AB17" s="3">
        <v>4.0376186E-3</v>
      </c>
      <c r="AC17" s="3">
        <v>4.6850203999999999E-2</v>
      </c>
      <c r="AD17" s="3">
        <v>-6.5642595E-3</v>
      </c>
      <c r="AE17" s="3">
        <v>1.09398365E-3</v>
      </c>
      <c r="AF17" s="3">
        <v>6.875181000000001E-2</v>
      </c>
      <c r="AG17" s="3">
        <v>6.1675069999999999E-2</v>
      </c>
      <c r="AH17" s="3">
        <v>8.8339210000000001E-2</v>
      </c>
      <c r="AI17" s="3">
        <v>6.296301E-2</v>
      </c>
      <c r="AJ17" s="3"/>
      <c r="AK17" s="3"/>
      <c r="AL17" s="3"/>
    </row>
    <row r="18" spans="1:38" x14ac:dyDescent="0.45">
      <c r="A18" s="2">
        <v>44748</v>
      </c>
      <c r="B18" s="3">
        <v>6.161022E-2</v>
      </c>
      <c r="C18" s="3">
        <v>-0.20320553</v>
      </c>
      <c r="D18" s="3">
        <v>-0.10629696</v>
      </c>
      <c r="E18" s="3">
        <v>-7.3398294000000003E-2</v>
      </c>
      <c r="F18" s="3">
        <v>-0.16124344000000002</v>
      </c>
      <c r="G18" s="3">
        <v>-0.17790721999999998</v>
      </c>
      <c r="H18" s="3">
        <v>-7.5018700000000008E-2</v>
      </c>
      <c r="I18" s="3">
        <v>-0.14770108000000001</v>
      </c>
      <c r="J18" s="3">
        <v>-8.1790740000000001E-2</v>
      </c>
      <c r="K18" s="3">
        <v>-0.15503061000000001</v>
      </c>
      <c r="L18" s="3">
        <v>-0.20774947999999999</v>
      </c>
      <c r="M18" s="3">
        <v>-0.11141114999999999</v>
      </c>
      <c r="N18" s="3">
        <v>-0.18341087</v>
      </c>
      <c r="O18" s="3">
        <v>-3.0193210000000002E-2</v>
      </c>
      <c r="P18" s="3">
        <v>3.7083149999999995E-2</v>
      </c>
      <c r="Q18" s="3">
        <v>-5.2913785000000005E-2</v>
      </c>
      <c r="R18" s="3">
        <v>-6.335652E-2</v>
      </c>
      <c r="S18" s="3">
        <v>-0.11423873999999999</v>
      </c>
      <c r="T18" s="3">
        <v>-9.1158149999999993E-2</v>
      </c>
      <c r="U18" s="3">
        <v>-0.12658226</v>
      </c>
      <c r="V18" s="3">
        <v>-0.10594034000000001</v>
      </c>
      <c r="W18" s="3">
        <v>-6.1514434999999999E-2</v>
      </c>
      <c r="X18" s="3">
        <v>-0.13201784999999999</v>
      </c>
      <c r="Y18" s="3">
        <v>-0.12824577000000001</v>
      </c>
      <c r="Z18" s="3">
        <v>-0.17541355</v>
      </c>
      <c r="AA18" s="3">
        <v>-7.1605500000000002E-2</v>
      </c>
      <c r="AB18" s="3">
        <v>-6.0299276999999998E-2</v>
      </c>
      <c r="AC18" s="3">
        <v>-0.10266107999999999</v>
      </c>
      <c r="AD18" s="3">
        <v>-5.8193263999999995E-2</v>
      </c>
      <c r="AE18" s="3">
        <v>-6.5295934999999999E-2</v>
      </c>
      <c r="AF18" s="3">
        <v>-0.12771731</v>
      </c>
      <c r="AG18" s="3">
        <v>-0.13057107000000001</v>
      </c>
      <c r="AH18" s="3">
        <v>-0.15563000000000002</v>
      </c>
      <c r="AI18" s="3">
        <v>-0.17005746999999999</v>
      </c>
      <c r="AJ18" s="3"/>
      <c r="AK18" s="3"/>
      <c r="AL18" s="3"/>
    </row>
    <row r="19" spans="1:38" x14ac:dyDescent="0.45">
      <c r="A19" s="2">
        <v>44778</v>
      </c>
      <c r="B19" s="3">
        <v>-5.8949649999999999E-2</v>
      </c>
      <c r="C19" s="3">
        <v>0.105806465</v>
      </c>
      <c r="D19" s="3">
        <v>8.6111070000000012E-2</v>
      </c>
      <c r="E19" s="3">
        <v>8.8461640000000001E-3</v>
      </c>
      <c r="F19" s="3">
        <v>2.7225852000000002E-2</v>
      </c>
      <c r="G19" s="3">
        <v>4.5177099999999998E-2</v>
      </c>
      <c r="H19" s="3">
        <v>5.0209165E-2</v>
      </c>
      <c r="I19" s="3">
        <v>7.1651816000000007E-2</v>
      </c>
      <c r="J19" s="3">
        <v>-7.0083139999999999E-3</v>
      </c>
      <c r="K19" s="3">
        <v>7.4486850000000007E-2</v>
      </c>
      <c r="L19" s="3">
        <v>0.12817597</v>
      </c>
      <c r="M19" s="3">
        <v>2.4131298000000002E-2</v>
      </c>
      <c r="N19" s="3">
        <v>9.7337010000000002E-2</v>
      </c>
      <c r="O19" s="3">
        <v>6.6251515999999996E-2</v>
      </c>
      <c r="P19" s="3">
        <v>-9.454280000000001E-2</v>
      </c>
      <c r="Q19" s="3">
        <v>9.9659809999999988E-2</v>
      </c>
      <c r="R19" s="3">
        <v>3.8461685000000002E-2</v>
      </c>
      <c r="S19" s="3">
        <v>8.8853000000000015E-2</v>
      </c>
      <c r="T19" s="3">
        <v>8.7475190000000008E-2</v>
      </c>
      <c r="U19" s="3">
        <v>0.10797095000000001</v>
      </c>
      <c r="V19" s="3">
        <v>7.8052400000000008E-2</v>
      </c>
      <c r="W19" s="3">
        <v>7.8270555000000006E-2</v>
      </c>
      <c r="X19" s="3">
        <v>6.7238927000000004E-2</v>
      </c>
      <c r="Y19" s="3">
        <v>5.2695274E-2</v>
      </c>
      <c r="Z19" s="3">
        <v>7.2207093E-2</v>
      </c>
      <c r="AA19" s="3">
        <v>4.9525620000000006E-2</v>
      </c>
      <c r="AB19" s="3">
        <v>4.0029050000000004E-2</v>
      </c>
      <c r="AC19" s="3">
        <v>5.1475644000000001E-2</v>
      </c>
      <c r="AD19" s="3">
        <v>0.11409283000000001</v>
      </c>
      <c r="AE19" s="3">
        <v>7.8851940000000009E-2</v>
      </c>
      <c r="AF19" s="3">
        <v>8.8235259999999996E-2</v>
      </c>
      <c r="AG19" s="3">
        <v>0.11291754</v>
      </c>
      <c r="AH19" s="3">
        <v>9.2977290000000004E-2</v>
      </c>
      <c r="AI19" s="3">
        <v>6.5339683999999995E-2</v>
      </c>
      <c r="AJ19" s="3"/>
      <c r="AK19" s="3"/>
      <c r="AL19" s="3"/>
    </row>
    <row r="20" spans="1:38" x14ac:dyDescent="0.45">
      <c r="A20" s="2">
        <v>44810</v>
      </c>
      <c r="B20" s="3">
        <v>-5.1252839999999994E-2</v>
      </c>
      <c r="C20" s="3">
        <v>0.11435245999999999</v>
      </c>
      <c r="D20" s="3">
        <v>2.8559207999999999E-2</v>
      </c>
      <c r="E20" s="3">
        <v>-1.5249252E-3</v>
      </c>
      <c r="F20" s="3">
        <v>-0.15472775</v>
      </c>
      <c r="G20" s="3">
        <v>-2.4532735E-2</v>
      </c>
      <c r="H20" s="3">
        <v>-2.3461759999999998E-2</v>
      </c>
      <c r="I20" s="3">
        <v>-5.6754170000000007E-2</v>
      </c>
      <c r="J20" s="3">
        <v>-7.4989200000000001E-3</v>
      </c>
      <c r="K20" s="3">
        <v>-9.5010700000000003E-2</v>
      </c>
      <c r="L20" s="3">
        <v>1.6806722E-2</v>
      </c>
      <c r="M20" s="3">
        <v>-5.7492913999999999E-2</v>
      </c>
      <c r="N20" s="3">
        <v>-5.2301225999999999E-2</v>
      </c>
      <c r="O20" s="3">
        <v>2.335906E-3</v>
      </c>
      <c r="P20" s="3">
        <v>-4.4749080000000004E-2</v>
      </c>
      <c r="Q20" s="3">
        <v>-4.3766679999999995E-2</v>
      </c>
      <c r="R20" s="3">
        <v>2.0473599999999998E-2</v>
      </c>
      <c r="S20" s="3">
        <v>0.18644905000000001</v>
      </c>
      <c r="T20" s="3">
        <v>-5.276662E-2</v>
      </c>
      <c r="U20" s="3">
        <v>-1.5696525999999999E-2</v>
      </c>
      <c r="V20" s="3">
        <v>-1.1348187999999999E-2</v>
      </c>
      <c r="W20" s="3">
        <v>-5.3876280000000006E-2</v>
      </c>
      <c r="X20" s="3">
        <v>-4.0661280000000001E-2</v>
      </c>
      <c r="Y20" s="3">
        <v>-4.2577686000000003E-2</v>
      </c>
      <c r="Z20" s="3">
        <v>-8.9792489999999989E-2</v>
      </c>
      <c r="AA20" s="3">
        <v>-6.7980529999999997E-2</v>
      </c>
      <c r="AB20" s="3">
        <v>-6.6480040000000004E-2</v>
      </c>
      <c r="AC20" s="3">
        <v>-6.4621390000000001E-2</v>
      </c>
      <c r="AD20" s="3">
        <v>-8.9199719999999996E-2</v>
      </c>
      <c r="AE20" s="3">
        <v>-5.4925385E-2</v>
      </c>
      <c r="AF20" s="3">
        <v>-8.7366399999999997E-2</v>
      </c>
      <c r="AG20" s="3">
        <v>-0.11792832</v>
      </c>
      <c r="AH20" s="3">
        <v>-0.11342387999999999</v>
      </c>
      <c r="AI20" s="3">
        <v>-7.6360703000000002E-2</v>
      </c>
      <c r="AJ20" s="3"/>
      <c r="AK20" s="3"/>
      <c r="AL20" s="3"/>
    </row>
    <row r="21" spans="1:38" x14ac:dyDescent="0.45">
      <c r="A21" s="2">
        <v>44840</v>
      </c>
      <c r="B21" s="3">
        <v>-4.6818733000000001E-2</v>
      </c>
      <c r="C21" s="3">
        <v>-0.12949383</v>
      </c>
      <c r="D21" s="3">
        <v>-2.3207604999999999E-2</v>
      </c>
      <c r="E21" s="3">
        <v>-0.12943875999999999</v>
      </c>
      <c r="F21" s="3">
        <v>-6.3559294000000002E-2</v>
      </c>
      <c r="G21" s="3">
        <v>3.4331322000000004E-2</v>
      </c>
      <c r="H21" s="3">
        <v>-6.5276439999999991E-2</v>
      </c>
      <c r="I21" s="3">
        <v>-7.3562740000000001E-2</v>
      </c>
      <c r="J21" s="3">
        <v>1.6888857E-2</v>
      </c>
      <c r="K21" s="3">
        <v>-8.6426500000000003E-2</v>
      </c>
      <c r="L21" s="3">
        <v>8.6281060000000007E-2</v>
      </c>
      <c r="M21" s="3">
        <v>-5.2499950000000004E-2</v>
      </c>
      <c r="N21" s="3">
        <v>-2.6048599999999998E-2</v>
      </c>
      <c r="O21" s="3">
        <v>-4.2647360000000002E-2</v>
      </c>
      <c r="P21" s="3">
        <v>-6.583667E-2</v>
      </c>
      <c r="Q21" s="3">
        <v>1.8428205999999999E-2</v>
      </c>
      <c r="R21" s="3">
        <v>-2.7352214E-2</v>
      </c>
      <c r="S21" s="3">
        <v>2.8345107999999997E-2</v>
      </c>
      <c r="T21" s="3">
        <v>-6.0537459999999996E-3</v>
      </c>
      <c r="U21" s="3">
        <v>-0.15813952000000001</v>
      </c>
      <c r="V21" s="3">
        <v>-9.6419454000000009E-3</v>
      </c>
      <c r="W21" s="3">
        <v>-9.6500760000000005E-2</v>
      </c>
      <c r="X21" s="3">
        <v>-4.704237E-2</v>
      </c>
      <c r="Y21" s="3">
        <v>-4.507208E-2</v>
      </c>
      <c r="Z21" s="3">
        <v>-4.7929287000000001E-2</v>
      </c>
      <c r="AA21" s="3">
        <v>-2.3860335E-2</v>
      </c>
      <c r="AB21" s="3">
        <v>-5.0724625999999995E-2</v>
      </c>
      <c r="AC21" s="3">
        <v>-6.5247716999999997E-2</v>
      </c>
      <c r="AD21" s="3">
        <v>-4.3649673E-2</v>
      </c>
      <c r="AE21" s="3">
        <v>-4.0983676999999996E-2</v>
      </c>
      <c r="AF21" s="3">
        <v>-3.9944947000000001E-2</v>
      </c>
      <c r="AG21" s="3">
        <v>-2.9810249999999996E-2</v>
      </c>
      <c r="AH21" s="3">
        <v>-4.5933960000000003E-2</v>
      </c>
      <c r="AI21" s="3">
        <v>-2.6825009999999996E-2</v>
      </c>
      <c r="AJ21" s="3"/>
      <c r="AK21" s="3"/>
      <c r="AL21" s="3"/>
    </row>
    <row r="22" spans="1:38" x14ac:dyDescent="0.45">
      <c r="A22" s="2">
        <v>44869</v>
      </c>
      <c r="B22" s="3">
        <v>-2.8022646999999998E-2</v>
      </c>
      <c r="C22" s="3">
        <v>3.4081817E-2</v>
      </c>
      <c r="D22" s="3">
        <v>5.5155754000000001E-3</v>
      </c>
      <c r="E22" s="3">
        <v>4.6052693999999998E-2</v>
      </c>
      <c r="F22" s="3">
        <v>0.20180988</v>
      </c>
      <c r="G22" s="3">
        <v>8.5295314999999997E-2</v>
      </c>
      <c r="H22" s="3">
        <v>5.8195589999999993E-3</v>
      </c>
      <c r="I22" s="3">
        <v>-4.3371915999999996E-2</v>
      </c>
      <c r="J22" s="3">
        <v>0.15428328499999999</v>
      </c>
      <c r="K22" s="3">
        <v>7.4088810000000005E-2</v>
      </c>
      <c r="L22" s="3">
        <v>3.0736446000000001E-2</v>
      </c>
      <c r="M22" s="3">
        <v>7.4670076000000002E-2</v>
      </c>
      <c r="N22" s="3">
        <v>0.11378061</v>
      </c>
      <c r="O22" s="3">
        <v>4.8198579999999998E-2</v>
      </c>
      <c r="P22" s="3">
        <v>-8.0867470000000011E-2</v>
      </c>
      <c r="Q22" s="3">
        <v>-2.0818411999999998E-2</v>
      </c>
      <c r="R22" s="3">
        <v>2.3370504E-2</v>
      </c>
      <c r="S22" s="3">
        <v>0.16092418999999999</v>
      </c>
      <c r="T22" s="3">
        <v>7.1197750000000001E-3</v>
      </c>
      <c r="U22" s="3">
        <v>-0.10497235999999999</v>
      </c>
      <c r="V22" s="3">
        <v>-1.1821926E-2</v>
      </c>
      <c r="W22" s="3">
        <v>7.3129654000000002E-2</v>
      </c>
      <c r="X22" s="3">
        <v>4.2522073000000001E-2</v>
      </c>
      <c r="Y22" s="3">
        <v>4.9402120000000001E-2</v>
      </c>
      <c r="Z22" s="3">
        <v>9.0420359999999991E-2</v>
      </c>
      <c r="AA22" s="3">
        <v>1.0930061E-2</v>
      </c>
      <c r="AB22" s="3">
        <v>3.6588549999999997E-2</v>
      </c>
      <c r="AC22" s="3">
        <v>7.5401186999999995E-2</v>
      </c>
      <c r="AD22" s="3">
        <v>-5.3903400000000004E-2</v>
      </c>
      <c r="AE22" s="3">
        <v>8.4404944999999995E-3</v>
      </c>
      <c r="AF22" s="3">
        <v>0.10186518</v>
      </c>
      <c r="AG22" s="3">
        <v>3.3985018999999998E-2</v>
      </c>
      <c r="AH22" s="3">
        <v>8.6305259999999995E-2</v>
      </c>
      <c r="AI22" s="3">
        <v>0.12968826</v>
      </c>
      <c r="AJ22" s="3"/>
      <c r="AK22" s="3"/>
      <c r="AL22" s="3"/>
    </row>
    <row r="23" spans="1:38" x14ac:dyDescent="0.45">
      <c r="A23" s="2">
        <v>44901</v>
      </c>
      <c r="B23" s="3">
        <v>6.3168049999999989E-2</v>
      </c>
      <c r="C23" s="3">
        <v>4.0713429999999995E-2</v>
      </c>
      <c r="D23" s="3">
        <v>-3.5021067000000003E-2</v>
      </c>
      <c r="E23" s="3">
        <v>0.10859537</v>
      </c>
      <c r="F23" s="3">
        <v>0.12048196999999999</v>
      </c>
      <c r="G23" s="3">
        <v>4.694164E-2</v>
      </c>
      <c r="H23" s="3">
        <v>9.8360649999999994E-2</v>
      </c>
      <c r="I23" s="3">
        <v>0.14694262</v>
      </c>
      <c r="J23" s="3">
        <v>-1.4388442E-2</v>
      </c>
      <c r="K23" s="3">
        <v>5.8409095000000001E-2</v>
      </c>
      <c r="L23" s="3">
        <v>-9.2707399999999995E-2</v>
      </c>
      <c r="M23" s="3">
        <v>6.6781281999999997E-2</v>
      </c>
      <c r="N23" s="3">
        <v>5.7794093999999997E-2</v>
      </c>
      <c r="O23" s="3">
        <v>1.8578768000000001E-3</v>
      </c>
      <c r="P23" s="3">
        <v>0.18874417999999998</v>
      </c>
      <c r="Q23" s="3">
        <v>-8.1594829999999993E-2</v>
      </c>
      <c r="R23" s="3">
        <v>4.0889977999999999E-3</v>
      </c>
      <c r="S23" s="3">
        <v>0.17597770000000001</v>
      </c>
      <c r="T23" s="3">
        <v>-3.8560630000000003E-3</v>
      </c>
      <c r="U23" s="3">
        <v>0.10317456999999999</v>
      </c>
      <c r="V23" s="3">
        <v>-0.11681914</v>
      </c>
      <c r="W23" s="3">
        <v>9.8632570000000003E-2</v>
      </c>
      <c r="X23" s="3">
        <v>8.1106419999999999E-2</v>
      </c>
      <c r="Y23" s="3">
        <v>1.6191958999999999E-2</v>
      </c>
      <c r="Z23" s="3">
        <v>0.12415957000000001</v>
      </c>
      <c r="AA23" s="3">
        <v>7.3127627000000001E-2</v>
      </c>
      <c r="AB23" s="3">
        <v>8.1005569999999999E-2</v>
      </c>
      <c r="AC23" s="3">
        <v>9.649431E-2</v>
      </c>
      <c r="AD23" s="3">
        <v>6.4228535000000003E-2</v>
      </c>
      <c r="AE23" s="3">
        <v>4.6446085000000005E-2</v>
      </c>
      <c r="AF23" s="3">
        <v>9.5052129999999999E-2</v>
      </c>
      <c r="AG23" s="3">
        <v>0.15563560000000001</v>
      </c>
      <c r="AH23" s="3">
        <v>0.10374259999999999</v>
      </c>
      <c r="AI23" s="3">
        <v>9.4400040000000005E-2</v>
      </c>
      <c r="AJ23" s="3"/>
      <c r="AK23" s="3"/>
      <c r="AL23" s="3"/>
    </row>
    <row r="24" spans="1:38" x14ac:dyDescent="0.45">
      <c r="A24" s="2">
        <v>44932</v>
      </c>
      <c r="B24" s="3">
        <v>2.8449178000000002E-2</v>
      </c>
      <c r="C24" s="3">
        <v>2.2294282999999998E-2</v>
      </c>
      <c r="D24" s="3">
        <v>-2.9212475000000002E-2</v>
      </c>
      <c r="E24" s="3">
        <v>4.7207117E-2</v>
      </c>
      <c r="F24" s="3">
        <v>0.122854595</v>
      </c>
      <c r="G24" s="3">
        <v>5.5258870000000002E-2</v>
      </c>
      <c r="H24" s="3">
        <v>1.9431352999999998E-2</v>
      </c>
      <c r="I24" s="3">
        <v>4.1159389999999999E-3</v>
      </c>
      <c r="J24" s="3">
        <v>5.2628399999999999E-2</v>
      </c>
      <c r="K24" s="3">
        <v>6.17913E-2</v>
      </c>
      <c r="L24" s="3">
        <v>-8.8173149999999992E-3</v>
      </c>
      <c r="M24" s="3">
        <v>5.6170224999999997E-2</v>
      </c>
      <c r="N24" s="3">
        <v>9.9012375E-2</v>
      </c>
      <c r="O24" s="3">
        <v>-2.4571119999999998E-2</v>
      </c>
      <c r="P24" s="3">
        <v>9.6430539999999995E-2</v>
      </c>
      <c r="Q24" s="3">
        <v>-1.0904549999999999E-2</v>
      </c>
      <c r="R24" s="3">
        <v>2.5040269999999996E-2</v>
      </c>
      <c r="S24" s="3">
        <v>7.958722E-2</v>
      </c>
      <c r="T24" s="3">
        <v>-3.7905276000000002E-2</v>
      </c>
      <c r="U24" s="3">
        <v>2.9375552999999998E-3</v>
      </c>
      <c r="V24" s="3">
        <v>3.2212377E-2</v>
      </c>
      <c r="W24" s="3">
        <v>2.0430923E-2</v>
      </c>
      <c r="X24" s="3">
        <v>1.6854524999999999E-2</v>
      </c>
      <c r="Y24" s="3">
        <v>1.0080934E-2</v>
      </c>
      <c r="Z24" s="3">
        <v>5.1389812999999999E-2</v>
      </c>
      <c r="AA24" s="3">
        <v>5.5271389999999995E-3</v>
      </c>
      <c r="AB24" s="3">
        <v>2.9128550999999999E-2</v>
      </c>
      <c r="AC24" s="3">
        <v>1.8175720999999999E-2</v>
      </c>
      <c r="AD24" s="3">
        <v>-4.3407020000000004E-2</v>
      </c>
      <c r="AE24" s="3">
        <v>-1.0020137E-2</v>
      </c>
      <c r="AF24" s="3">
        <v>4.2689204000000001E-2</v>
      </c>
      <c r="AG24" s="3">
        <v>3.8879155999999998E-2</v>
      </c>
      <c r="AH24" s="3">
        <v>1.1999010999999999E-2</v>
      </c>
      <c r="AI24" s="3">
        <v>5.5104135999999998E-2</v>
      </c>
      <c r="AJ24" s="3"/>
      <c r="AK24" s="3"/>
      <c r="AL24" s="3"/>
    </row>
    <row r="25" spans="1:38" x14ac:dyDescent="0.45">
      <c r="A25" s="2">
        <v>44963</v>
      </c>
      <c r="B25" s="3">
        <v>1.8512964E-2</v>
      </c>
      <c r="C25" s="3">
        <v>7.1401833999999997E-2</v>
      </c>
      <c r="D25" s="3">
        <v>5.3685190000000001E-2</v>
      </c>
      <c r="E25" s="3">
        <v>3.1204700000000002E-2</v>
      </c>
      <c r="F25" s="3">
        <v>-3.1668723000000003E-2</v>
      </c>
      <c r="G25" s="3">
        <v>6.5505505000000011E-4</v>
      </c>
      <c r="H25" s="3">
        <v>2.2173881999999999E-2</v>
      </c>
      <c r="I25" s="3">
        <v>5.6945442999999998E-2</v>
      </c>
      <c r="J25" s="3">
        <v>5.1210402999999995E-2</v>
      </c>
      <c r="K25" s="3">
        <v>2.8385400000000002E-2</v>
      </c>
      <c r="L25" s="3">
        <v>7.4205399999999998E-3</v>
      </c>
      <c r="M25" s="3">
        <v>-1.747787E-2</v>
      </c>
      <c r="N25" s="3">
        <v>8.5919490000000001E-2</v>
      </c>
      <c r="O25" s="3">
        <v>-4.9192070000000004E-2</v>
      </c>
      <c r="P25" s="3">
        <v>-7.8454019999999996E-3</v>
      </c>
      <c r="Q25" s="3">
        <v>-5.1438092999999997E-2</v>
      </c>
      <c r="R25" s="3">
        <v>4.9287080000000004E-3</v>
      </c>
      <c r="S25" s="3">
        <v>-8.4300700000000006E-2</v>
      </c>
      <c r="T25" s="3">
        <v>6.0484409999999999E-3</v>
      </c>
      <c r="U25" s="3">
        <v>-5.6315660000000002E-3</v>
      </c>
      <c r="V25" s="3">
        <v>-1.1443495999999999E-2</v>
      </c>
      <c r="W25" s="3">
        <v>3.6668658E-2</v>
      </c>
      <c r="X25" s="3">
        <v>5.5603743000000004E-2</v>
      </c>
      <c r="Y25" s="3">
        <v>4.1197419999999998E-2</v>
      </c>
      <c r="Z25" s="3">
        <v>6.5250397000000002E-2</v>
      </c>
      <c r="AA25" s="3">
        <v>5.0392510000000001E-2</v>
      </c>
      <c r="AB25" s="3">
        <v>2.2825837000000002E-2</v>
      </c>
      <c r="AC25" s="3">
        <v>7.5733660000000006E-3</v>
      </c>
      <c r="AD25" s="3">
        <v>0.12942707000000001</v>
      </c>
      <c r="AE25" s="3">
        <v>5.6045175000000003E-2</v>
      </c>
      <c r="AF25" s="3">
        <v>4.7210216999999999E-2</v>
      </c>
      <c r="AG25" s="3">
        <v>5.7232738000000005E-2</v>
      </c>
      <c r="AH25" s="3">
        <v>4.6704054000000002E-2</v>
      </c>
      <c r="AI25" s="3">
        <v>5.6610345999999999E-2</v>
      </c>
      <c r="AJ25" s="3"/>
      <c r="AK25" s="3"/>
      <c r="AL25" s="3"/>
    </row>
    <row r="26" spans="1:38" x14ac:dyDescent="0.45">
      <c r="A26" s="2">
        <v>44991</v>
      </c>
      <c r="B26" s="3">
        <v>-2.1752060000000004E-2</v>
      </c>
      <c r="C26" s="3">
        <v>2.3377538000000003E-2</v>
      </c>
      <c r="D26" s="3">
        <v>-3.1951606E-2</v>
      </c>
      <c r="E26" s="3">
        <v>-5.2779730000000004E-2</v>
      </c>
      <c r="F26" s="3">
        <v>1.8867970000000001E-2</v>
      </c>
      <c r="G26" s="3">
        <v>-1.3093292999999999E-2</v>
      </c>
      <c r="H26" s="3">
        <v>-6.7630825000000006E-2</v>
      </c>
      <c r="I26" s="3">
        <v>8.1154109999999995E-3</v>
      </c>
      <c r="J26" s="3">
        <v>5.9344530000000006E-2</v>
      </c>
      <c r="K26" s="3">
        <v>-1.3963342E-2</v>
      </c>
      <c r="L26" s="3">
        <v>-2.9112577000000001E-2</v>
      </c>
      <c r="M26" s="3">
        <v>-5.6518792999999998E-2</v>
      </c>
      <c r="N26" s="3">
        <v>3.4665227E-2</v>
      </c>
      <c r="O26" s="3">
        <v>4.4988393999999994E-3</v>
      </c>
      <c r="P26" s="3">
        <v>-3.8765609999999999E-2</v>
      </c>
      <c r="Q26" s="3">
        <v>4.4128895000000003E-3</v>
      </c>
      <c r="R26" s="3">
        <v>-4.4723569999999997E-2</v>
      </c>
      <c r="S26" s="3">
        <v>0.11077571000000001</v>
      </c>
      <c r="T26" s="3">
        <v>-3.340006E-3</v>
      </c>
      <c r="U26" s="3">
        <v>-7.1197452999999994E-2</v>
      </c>
      <c r="V26" s="3">
        <v>-5.7879089999999999E-3</v>
      </c>
      <c r="W26" s="3">
        <v>-4.8163594999999997E-2</v>
      </c>
      <c r="X26" s="3">
        <v>-4.3209850000000001E-2</v>
      </c>
      <c r="Y26" s="3">
        <v>-1.3378918E-2</v>
      </c>
      <c r="Z26" s="3">
        <v>3.5607815000000001E-4</v>
      </c>
      <c r="AA26" s="3">
        <v>-2.6072859999999999E-3</v>
      </c>
      <c r="AB26" s="3">
        <v>-1.852268E-2</v>
      </c>
      <c r="AC26" s="3">
        <v>1.8164634999999998E-2</v>
      </c>
      <c r="AD26" s="3">
        <v>-1.1759281E-2</v>
      </c>
      <c r="AE26" s="3">
        <v>-1.3078570000000001E-2</v>
      </c>
      <c r="AF26" s="3">
        <v>2.0491838000000002E-2</v>
      </c>
      <c r="AG26" s="3">
        <v>-1.3206422000000001E-2</v>
      </c>
      <c r="AH26" s="3">
        <v>1.412034E-2</v>
      </c>
      <c r="AI26" s="3">
        <v>2.6622295000000001E-2</v>
      </c>
      <c r="AJ26" s="3"/>
      <c r="AK26" s="3"/>
      <c r="AL26" s="3"/>
    </row>
    <row r="27" spans="1:38" x14ac:dyDescent="0.45">
      <c r="A27" s="2">
        <v>45022</v>
      </c>
      <c r="B27" s="3">
        <v>9.4424486000000002E-3</v>
      </c>
      <c r="C27" s="3">
        <v>-6.2393427000000001E-2</v>
      </c>
      <c r="D27" s="3">
        <v>5.3523660000000001E-2</v>
      </c>
      <c r="E27" s="3">
        <v>-9.2867609999999993E-3</v>
      </c>
      <c r="F27" s="3">
        <v>-3.6419809999999997E-2</v>
      </c>
      <c r="G27" s="3">
        <v>1.1608601000000001E-2</v>
      </c>
      <c r="H27" s="3">
        <v>1.5510916999999999E-2</v>
      </c>
      <c r="I27" s="3">
        <v>3.8013458000000001E-3</v>
      </c>
      <c r="J27" s="3">
        <v>-1.9565164999999999E-2</v>
      </c>
      <c r="K27" s="3">
        <v>-1.26791E-2</v>
      </c>
      <c r="L27" s="3">
        <v>-2.1315037999999998E-2</v>
      </c>
      <c r="M27" s="3">
        <v>1.3842463000000001E-2</v>
      </c>
      <c r="N27" s="3">
        <v>-1.2468099999999999E-2</v>
      </c>
      <c r="O27" s="3">
        <v>-5.9716104999999993E-3</v>
      </c>
      <c r="P27" s="3">
        <v>-2.2071004000000002E-3</v>
      </c>
      <c r="Q27" s="3">
        <v>-1.2398899000000001E-2</v>
      </c>
      <c r="R27" s="3">
        <v>-2.2248090000000002E-2</v>
      </c>
      <c r="S27" s="3">
        <v>-9.8369540000000005E-2</v>
      </c>
      <c r="T27" s="3">
        <v>-4.7587156000000005E-2</v>
      </c>
      <c r="U27" s="3">
        <v>7.0557474999999995E-2</v>
      </c>
      <c r="V27" s="3">
        <v>5.9010266999999998E-2</v>
      </c>
      <c r="W27" s="3">
        <v>1.5679121000000001E-2</v>
      </c>
      <c r="X27" s="3">
        <v>-6.8817139999999997E-3</v>
      </c>
      <c r="Y27" s="3">
        <v>-4.6162605000000002E-3</v>
      </c>
      <c r="Z27" s="3">
        <v>1.7443895000000001E-2</v>
      </c>
      <c r="AA27" s="3">
        <v>7.4938536000000002E-3</v>
      </c>
      <c r="AB27" s="3">
        <v>5.0250053000000003E-2</v>
      </c>
      <c r="AC27" s="3">
        <v>1.6917944000000001E-2</v>
      </c>
      <c r="AD27" s="3">
        <v>6.1732053999999995E-2</v>
      </c>
      <c r="AE27" s="3">
        <v>1.5576719999999999E-2</v>
      </c>
      <c r="AF27" s="3">
        <v>2.2489905000000001E-2</v>
      </c>
      <c r="AG27" s="3">
        <v>1.3262629999999999E-2</v>
      </c>
      <c r="AH27" s="3">
        <v>-2.2834837E-2</v>
      </c>
      <c r="AI27" s="3">
        <v>9.7239019999999991E-4</v>
      </c>
      <c r="AJ27" s="3"/>
      <c r="AK27" s="3"/>
      <c r="AL27" s="3"/>
    </row>
    <row r="28" spans="1:38" x14ac:dyDescent="0.45">
      <c r="A28" s="2">
        <v>45051</v>
      </c>
      <c r="B28" s="3">
        <v>-3.1834662E-2</v>
      </c>
      <c r="C28" s="3">
        <v>6.0727240000000002E-2</v>
      </c>
      <c r="D28" s="3">
        <v>2.8365849999999998E-2</v>
      </c>
      <c r="E28" s="3">
        <v>2.6621579999999999E-2</v>
      </c>
      <c r="F28" s="3">
        <v>0.12812304499999999</v>
      </c>
      <c r="G28" s="3">
        <v>2.9508233000000002E-2</v>
      </c>
      <c r="H28" s="3">
        <v>-4.4924019999999995E-3</v>
      </c>
      <c r="I28" s="3">
        <v>-1.0915517999999999E-2</v>
      </c>
      <c r="J28" s="3">
        <v>4.4687032999999994E-2</v>
      </c>
      <c r="K28" s="3">
        <v>2.7184844E-2</v>
      </c>
      <c r="L28" s="3">
        <v>6.1646340000000001E-2</v>
      </c>
      <c r="M28" s="3">
        <v>-1.6478300000000001E-3</v>
      </c>
      <c r="N28" s="3">
        <v>4.2408585999999998E-2</v>
      </c>
      <c r="O28" s="3">
        <v>3.6295413999999998E-2</v>
      </c>
      <c r="P28" s="3">
        <v>-3.7200867999999998E-2</v>
      </c>
      <c r="Q28" s="3">
        <v>5.7860254999999999E-2</v>
      </c>
      <c r="R28" s="3">
        <v>-2.4078189999999999E-2</v>
      </c>
      <c r="S28" s="3">
        <v>-0.1103074</v>
      </c>
      <c r="T28" s="3">
        <v>7.7410339999999994E-2</v>
      </c>
      <c r="U28" s="3">
        <v>-2.3596406E-2</v>
      </c>
      <c r="V28" s="3">
        <v>2.3738146000000002E-2</v>
      </c>
      <c r="W28" s="3">
        <v>1.2630224000000001E-2</v>
      </c>
      <c r="X28" s="3">
        <v>9.0948343000000001E-3</v>
      </c>
      <c r="Y28" s="3">
        <v>2.7536273000000003E-2</v>
      </c>
      <c r="Z28" s="3">
        <v>3.2190323E-2</v>
      </c>
      <c r="AA28" s="3">
        <v>2.9752611999999998E-2</v>
      </c>
      <c r="AB28" s="3">
        <v>5.4557323000000005E-2</v>
      </c>
      <c r="AC28" s="3">
        <v>2.48034E-2</v>
      </c>
      <c r="AD28" s="3">
        <v>1.5217781E-2</v>
      </c>
      <c r="AE28" s="3">
        <v>8.4068774999999998E-3</v>
      </c>
      <c r="AF28" s="3">
        <v>3.1683802999999996E-2</v>
      </c>
      <c r="AG28" s="3">
        <v>5.9494970000000006E-3</v>
      </c>
      <c r="AH28" s="3">
        <v>5.8991193999999997E-2</v>
      </c>
      <c r="AI28" s="3">
        <v>3.6269426E-2</v>
      </c>
      <c r="AJ28" s="3"/>
      <c r="AK28" s="3"/>
      <c r="AL28" s="3"/>
    </row>
    <row r="29" spans="1:38" x14ac:dyDescent="0.45">
      <c r="A29" s="2">
        <v>45083</v>
      </c>
      <c r="B29" s="3">
        <v>-7.6515493000000004E-2</v>
      </c>
      <c r="C29" s="3">
        <v>3.2910465999999999E-2</v>
      </c>
      <c r="D29" s="3">
        <v>-2.0996331999999999E-2</v>
      </c>
      <c r="E29" s="3">
        <v>-5.8436750000000003E-2</v>
      </c>
      <c r="F29" s="3">
        <v>5.7353734999999996E-2</v>
      </c>
      <c r="G29" s="3">
        <v>-1.0621011E-2</v>
      </c>
      <c r="H29" s="3">
        <v>-7.3555945999999997E-2</v>
      </c>
      <c r="I29" s="3">
        <v>6.4414379999999993E-2</v>
      </c>
      <c r="J29" s="3">
        <v>1.8612265999999999E-2</v>
      </c>
      <c r="K29" s="3">
        <v>6.6731570000000004E-2</v>
      </c>
      <c r="L29" s="3">
        <v>9.005558000000001E-2</v>
      </c>
      <c r="M29" s="3">
        <v>-7.0973816000000009E-2</v>
      </c>
      <c r="N29" s="3">
        <v>9.1614959999999995E-2</v>
      </c>
      <c r="O29" s="3">
        <v>2.0772814999999997E-2</v>
      </c>
      <c r="P29" s="3">
        <v>-3.9473652999999997E-2</v>
      </c>
      <c r="Q29" s="3">
        <v>-3.1475663000000001E-2</v>
      </c>
      <c r="R29" s="3">
        <v>-3.1044483000000002E-3</v>
      </c>
      <c r="S29" s="3">
        <v>0.10365856000000001</v>
      </c>
      <c r="T29" s="3">
        <v>-4.2129335000000004E-2</v>
      </c>
      <c r="U29" s="3">
        <v>9.1666700000000004E-2</v>
      </c>
      <c r="V29" s="3">
        <v>1.0007261999999999E-2</v>
      </c>
      <c r="W29" s="3">
        <v>-4.0190039999999996E-2</v>
      </c>
      <c r="X29" s="3">
        <v>-2.5750994999999999E-2</v>
      </c>
      <c r="Y29" s="3">
        <v>-2.5952099999999999E-2</v>
      </c>
      <c r="Z29" s="3">
        <v>-3.3559321999999996E-2</v>
      </c>
      <c r="AA29" s="3">
        <v>5.896187E-2</v>
      </c>
      <c r="AB29" s="3">
        <v>-3.1410336000000004E-2</v>
      </c>
      <c r="AC29" s="3">
        <v>-3.6009489999999998E-2</v>
      </c>
      <c r="AD29" s="3">
        <v>9.895002E-2</v>
      </c>
      <c r="AE29" s="3">
        <v>3.7321567999999999E-2</v>
      </c>
      <c r="AF29" s="3">
        <v>-4.6700535000000001E-2</v>
      </c>
      <c r="AG29" s="3">
        <v>4.0217637999999997E-3</v>
      </c>
      <c r="AH29" s="3">
        <v>-5.7588815999999994E-2</v>
      </c>
      <c r="AI29" s="3">
        <v>-3.8749992999999996E-2</v>
      </c>
      <c r="AJ29" s="3"/>
      <c r="AK29" s="3"/>
      <c r="AL29" s="3"/>
    </row>
    <row r="30" spans="1:38" x14ac:dyDescent="0.45">
      <c r="A30" s="2">
        <v>45113</v>
      </c>
      <c r="B30" s="3">
        <v>-1.5853643000000001E-2</v>
      </c>
      <c r="C30" s="3">
        <v>1.5017032999999999E-2</v>
      </c>
      <c r="D30" s="3">
        <v>-2.0473539999999998E-2</v>
      </c>
      <c r="E30" s="3">
        <v>5.0237179999999999E-3</v>
      </c>
      <c r="F30" s="3">
        <v>-3.7595034000000001E-3</v>
      </c>
      <c r="G30" s="3">
        <v>-3.0269622999999999E-3</v>
      </c>
      <c r="H30" s="3">
        <v>-1.5135765000000001E-2</v>
      </c>
      <c r="I30" s="3">
        <v>-2.7084172E-2</v>
      </c>
      <c r="J30" s="3">
        <v>-4.2237639999999996E-3</v>
      </c>
      <c r="K30" s="3">
        <v>-4.3987749999999999E-2</v>
      </c>
      <c r="L30" s="3">
        <v>2.1603346000000002E-2</v>
      </c>
      <c r="M30" s="3">
        <v>-1.8022537000000002E-2</v>
      </c>
      <c r="N30" s="3">
        <v>5.4807425E-2</v>
      </c>
      <c r="O30" s="3">
        <v>3.3186078000000001E-2</v>
      </c>
      <c r="P30" s="3">
        <v>-3.4369051000000005E-2</v>
      </c>
      <c r="Q30" s="3">
        <v>-9.4569919999999991E-3</v>
      </c>
      <c r="R30" s="3">
        <v>-2.4912714999999998E-2</v>
      </c>
      <c r="S30" s="3">
        <v>-5.3061904999999993E-2</v>
      </c>
      <c r="T30" s="3">
        <v>3.2468915000000001E-2</v>
      </c>
      <c r="U30" s="3">
        <v>9.1602799999999998E-3</v>
      </c>
      <c r="V30" s="3">
        <v>9.4288590000000012E-3</v>
      </c>
      <c r="W30" s="3">
        <v>1.3760327999999999E-2</v>
      </c>
      <c r="X30" s="3">
        <v>-1.6109049E-2</v>
      </c>
      <c r="Y30" s="3">
        <v>-3.0321480000000001E-3</v>
      </c>
      <c r="Z30" s="3">
        <v>-1.2904286000000001E-2</v>
      </c>
      <c r="AA30" s="3">
        <v>-2.9203355E-2</v>
      </c>
      <c r="AB30" s="3">
        <v>-2.5010525999999998E-2</v>
      </c>
      <c r="AC30" s="3">
        <v>-2.2712469999999998E-2</v>
      </c>
      <c r="AD30" s="3">
        <v>3.6987662000000004E-2</v>
      </c>
      <c r="AE30" s="3">
        <v>3.1000494999999999E-2</v>
      </c>
      <c r="AF30" s="3">
        <v>2.7585029999999998E-3</v>
      </c>
      <c r="AG30" s="3">
        <v>4.2939186000000001E-3</v>
      </c>
      <c r="AH30" s="3">
        <v>-3.2267332000000003E-2</v>
      </c>
      <c r="AI30" s="3">
        <v>3.1198739999999999E-2</v>
      </c>
      <c r="AJ30" s="3"/>
      <c r="AK30" s="3"/>
      <c r="AL30" s="3"/>
    </row>
    <row r="31" spans="1:38" x14ac:dyDescent="0.45">
      <c r="A31" s="2">
        <v>45142</v>
      </c>
      <c r="B31" s="3">
        <v>6.4261079999999998E-2</v>
      </c>
      <c r="C31" s="3">
        <v>1.2580751999999999E-2</v>
      </c>
      <c r="D31" s="3">
        <v>1.0955334000000001E-2</v>
      </c>
      <c r="E31" s="3">
        <v>1.9042969E-2</v>
      </c>
      <c r="F31" s="3">
        <v>0.10026956000000001</v>
      </c>
      <c r="G31" s="3">
        <v>8.9870569999999997E-2</v>
      </c>
      <c r="H31" s="3">
        <v>7.7039239999999995E-2</v>
      </c>
      <c r="I31" s="3">
        <v>1.6528964E-2</v>
      </c>
      <c r="J31" s="3">
        <v>1.7674685000000002E-2</v>
      </c>
      <c r="K31" s="3">
        <v>3.2160519999999998E-2</v>
      </c>
      <c r="L31" s="3">
        <v>2.5591849999999999E-2</v>
      </c>
      <c r="M31" s="3">
        <v>9.0454939999999998E-2</v>
      </c>
      <c r="N31" s="3">
        <v>4.5577883999999999E-2</v>
      </c>
      <c r="O31" s="3">
        <v>1.032579E-2</v>
      </c>
      <c r="P31" s="3">
        <v>9.002041999999999E-2</v>
      </c>
      <c r="Q31" s="3">
        <v>4.7512650000000003E-2</v>
      </c>
      <c r="R31" s="3">
        <v>2.6837349999999999E-2</v>
      </c>
      <c r="S31" s="3">
        <v>0.16151773</v>
      </c>
      <c r="T31" s="3">
        <v>4.0705560000000002E-2</v>
      </c>
      <c r="U31" s="3">
        <v>0.14069593</v>
      </c>
      <c r="V31" s="3">
        <v>-1.1627913E-2</v>
      </c>
      <c r="W31" s="3">
        <v>-6.9872736999999994E-3</v>
      </c>
      <c r="X31" s="3">
        <v>2.5091171000000002E-2</v>
      </c>
      <c r="Y31" s="3">
        <v>2.1713494999999999E-2</v>
      </c>
      <c r="Z31" s="3">
        <v>3.066814E-2</v>
      </c>
      <c r="AA31" s="3">
        <v>1.6620039999999999E-2</v>
      </c>
      <c r="AB31" s="3">
        <v>3.4007550000000004E-2</v>
      </c>
      <c r="AC31" s="3">
        <v>3.3216237999999995E-2</v>
      </c>
      <c r="AD31" s="3">
        <v>1.2464045999999999E-2</v>
      </c>
      <c r="AE31" s="3">
        <v>1.6262531E-2</v>
      </c>
      <c r="AF31" s="3">
        <v>3.338766E-2</v>
      </c>
      <c r="AG31" s="3">
        <v>2.7995229E-2</v>
      </c>
      <c r="AH31" s="3">
        <v>2.4195910000000001E-2</v>
      </c>
      <c r="AI31" s="3">
        <v>3.7790774999999999E-2</v>
      </c>
      <c r="AJ31" s="3"/>
      <c r="AK31" s="3"/>
      <c r="AL31" s="3"/>
    </row>
    <row r="32" spans="1:38" x14ac:dyDescent="0.45">
      <c r="A32" s="2">
        <v>45175</v>
      </c>
      <c r="B32" s="3">
        <v>-7.2973847000000008E-2</v>
      </c>
      <c r="C32" s="3">
        <v>-8.0591019999999999E-2</v>
      </c>
      <c r="D32" s="3">
        <v>8.6688995000000003E-4</v>
      </c>
      <c r="E32" s="3">
        <v>-5.8552980000000004E-2</v>
      </c>
      <c r="F32" s="3">
        <v>-0.11366975999999999</v>
      </c>
      <c r="G32" s="3">
        <v>-4.7619103999999995E-2</v>
      </c>
      <c r="H32" s="3">
        <v>-2.0570278000000001E-2</v>
      </c>
      <c r="I32" s="3">
        <v>-2.5460064000000001E-2</v>
      </c>
      <c r="J32" s="3">
        <v>-4.8916519999999998E-2</v>
      </c>
      <c r="K32" s="3">
        <v>-4.3344139999999996E-2</v>
      </c>
      <c r="L32" s="3">
        <v>-4.0548982999999997E-2</v>
      </c>
      <c r="M32" s="3">
        <v>-7.2582664000000005E-2</v>
      </c>
      <c r="N32" s="3">
        <v>-7.0576070000000005E-2</v>
      </c>
      <c r="O32" s="3">
        <v>3.1796693999999997E-3</v>
      </c>
      <c r="P32" s="3">
        <v>-5.4431734000000002E-2</v>
      </c>
      <c r="Q32" s="3">
        <v>-6.1366023999999998E-2</v>
      </c>
      <c r="R32" s="3">
        <v>1.1970282E-2</v>
      </c>
      <c r="S32" s="3">
        <v>0.11419487</v>
      </c>
      <c r="T32" s="3">
        <v>-4.0417193999999997E-2</v>
      </c>
      <c r="U32" s="3">
        <v>2.7188300000000002E-2</v>
      </c>
      <c r="V32" s="3">
        <v>-1.3970554E-2</v>
      </c>
      <c r="W32" s="3">
        <v>-7.6365889999999992E-2</v>
      </c>
      <c r="X32" s="3">
        <v>-2.7147233000000003E-2</v>
      </c>
      <c r="Y32" s="3">
        <v>-1.5508354E-2</v>
      </c>
      <c r="Z32" s="3">
        <v>-3.5423337999999999E-2</v>
      </c>
      <c r="AA32" s="3">
        <v>7.2839259999999996E-3</v>
      </c>
      <c r="AB32" s="3">
        <v>-3.1169414999999999E-2</v>
      </c>
      <c r="AC32" s="3">
        <v>-2.3802102000000002E-2</v>
      </c>
      <c r="AD32" s="3">
        <v>7.2572230000000001E-3</v>
      </c>
      <c r="AE32" s="3">
        <v>-1.3204813000000002E-3</v>
      </c>
      <c r="AF32" s="3">
        <v>-3.8350403000000005E-2</v>
      </c>
      <c r="AG32" s="3">
        <v>-6.2081757000000001E-2</v>
      </c>
      <c r="AH32" s="3">
        <v>-4.2350826000000001E-2</v>
      </c>
      <c r="AI32" s="3">
        <v>-3.0189872000000003E-2</v>
      </c>
      <c r="AJ32" s="3"/>
      <c r="AK32" s="3"/>
      <c r="AL32" s="3"/>
    </row>
    <row r="33" spans="1:38" x14ac:dyDescent="0.45">
      <c r="A33" s="2">
        <v>45205</v>
      </c>
      <c r="B33" s="3">
        <v>-2.4555921999999997E-2</v>
      </c>
      <c r="C33" s="3">
        <v>-9.8612069999999996E-2</v>
      </c>
      <c r="D33" s="3">
        <v>-4.7639665999999997E-2</v>
      </c>
      <c r="E33" s="3">
        <v>2.4430751999999999E-3</v>
      </c>
      <c r="F33" s="3">
        <v>-5.5279136E-2</v>
      </c>
      <c r="G33" s="3">
        <v>-7.1337579999999998E-2</v>
      </c>
      <c r="H33" s="3">
        <v>-1.8615842000000001E-2</v>
      </c>
      <c r="I33" s="3">
        <v>4.3904779999999997E-4</v>
      </c>
      <c r="J33" s="3">
        <v>-8.3431060000000001E-2</v>
      </c>
      <c r="K33" s="3">
        <v>-5.4982243000000007E-2</v>
      </c>
      <c r="L33" s="3">
        <v>-4.5838775999999998E-2</v>
      </c>
      <c r="M33" s="3">
        <v>-3.874147E-2</v>
      </c>
      <c r="N33" s="3">
        <v>-0.11111111</v>
      </c>
      <c r="O33" s="3">
        <v>9.2823504999999997E-3</v>
      </c>
      <c r="P33" s="3">
        <v>-4.8963428000000003E-2</v>
      </c>
      <c r="Q33" s="3">
        <v>-2.1034717999999997E-2</v>
      </c>
      <c r="R33" s="3">
        <v>-7.1236789999999994E-2</v>
      </c>
      <c r="S33" s="3">
        <v>2.4649740000000003E-2</v>
      </c>
      <c r="T33" s="3">
        <v>5.5706499999999999E-2</v>
      </c>
      <c r="U33" s="3">
        <v>-0.13686246000000002</v>
      </c>
      <c r="V33" s="3">
        <v>-4.5488414999999997E-2</v>
      </c>
      <c r="W33" s="3">
        <v>8.9625120000000006E-3</v>
      </c>
      <c r="X33" s="3">
        <v>-2.0128130000000001E-2</v>
      </c>
      <c r="Y33" s="3">
        <v>-4.4048967000000001E-2</v>
      </c>
      <c r="Z33" s="3">
        <v>-4.1865587000000003E-2</v>
      </c>
      <c r="AA33" s="3">
        <v>-4.5797825E-2</v>
      </c>
      <c r="AB33" s="3">
        <v>-3.4169077999999999E-2</v>
      </c>
      <c r="AC33" s="3">
        <v>-3.1665564000000002E-3</v>
      </c>
      <c r="AD33" s="3">
        <v>-2.5385737000000002E-2</v>
      </c>
      <c r="AE33" s="3">
        <v>-3.3943355000000001E-2</v>
      </c>
      <c r="AF33" s="3">
        <v>-3.1685352E-2</v>
      </c>
      <c r="AG33" s="3">
        <v>-6.2746049999999998E-2</v>
      </c>
      <c r="AH33" s="3">
        <v>-3.9109588000000002E-3</v>
      </c>
      <c r="AI33" s="3">
        <v>-3.3697009999999999E-2</v>
      </c>
      <c r="AJ33" s="3"/>
      <c r="AK33" s="3"/>
      <c r="AL33" s="3"/>
    </row>
    <row r="34" spans="1:38" x14ac:dyDescent="0.45">
      <c r="A34" s="2">
        <v>45236</v>
      </c>
      <c r="B34" s="3">
        <v>-1.4461637000000001E-2</v>
      </c>
      <c r="C34" s="3">
        <v>2.7552724000000001E-2</v>
      </c>
      <c r="D34" s="3">
        <v>-2.1373332000000002E-2</v>
      </c>
      <c r="E34" s="3">
        <v>-1.4216125E-2</v>
      </c>
      <c r="F34" s="3">
        <v>0.19660627000000003</v>
      </c>
      <c r="G34" s="3">
        <v>1.8175601999999999E-2</v>
      </c>
      <c r="H34" s="3">
        <v>4.9610972000000003E-2</v>
      </c>
      <c r="I34" s="3">
        <v>5.9249400000000001E-3</v>
      </c>
      <c r="J34" s="3">
        <v>9.1025349999999991E-2</v>
      </c>
      <c r="K34" s="3">
        <v>6.9442034E-2</v>
      </c>
      <c r="L34" s="3">
        <v>9.0970990000000002E-2</v>
      </c>
      <c r="M34" s="3">
        <v>8.8179590000000002E-2</v>
      </c>
      <c r="N34" s="3">
        <v>0.11714828499999999</v>
      </c>
      <c r="O34" s="3">
        <v>-8.7484120000000005E-3</v>
      </c>
      <c r="P34" s="3">
        <v>9.0445279999999996E-3</v>
      </c>
      <c r="Q34" s="3">
        <v>1.4518023E-2</v>
      </c>
      <c r="R34" s="3">
        <v>-1.4765858999999999E-2</v>
      </c>
      <c r="S34" s="3">
        <v>-0.1023044</v>
      </c>
      <c r="T34" s="3">
        <v>-5.2767039999999994E-2</v>
      </c>
      <c r="U34" s="3">
        <v>-4.6372470000000006E-2</v>
      </c>
      <c r="V34" s="3">
        <v>2.1354198000000001E-2</v>
      </c>
      <c r="W34" s="3">
        <v>-1.1769890999999999E-2</v>
      </c>
      <c r="X34" s="3">
        <v>1.4005541999999999E-2</v>
      </c>
      <c r="Y34" s="3">
        <v>2.6243566999999999E-2</v>
      </c>
      <c r="Z34" s="3">
        <v>-1.1498928000000001E-3</v>
      </c>
      <c r="AA34" s="3">
        <v>3.0650019999999997E-2</v>
      </c>
      <c r="AB34" s="3">
        <v>-9.6485019999999998E-3</v>
      </c>
      <c r="AC34" s="3">
        <v>-3.1766295E-3</v>
      </c>
      <c r="AD34" s="3">
        <v>1.2366295000000001E-2</v>
      </c>
      <c r="AE34" s="3">
        <v>1.4317632E-2</v>
      </c>
      <c r="AF34" s="3">
        <v>-2.8216839000000003E-4</v>
      </c>
      <c r="AG34" s="3">
        <v>2.9404043999999997E-2</v>
      </c>
      <c r="AH34" s="3">
        <v>-9.060681000000001E-3</v>
      </c>
      <c r="AI34" s="3">
        <v>3.6200643000000005E-2</v>
      </c>
      <c r="AJ34" s="3"/>
      <c r="AK34" s="3"/>
      <c r="AL34" s="3"/>
    </row>
    <row r="35" spans="1:38" x14ac:dyDescent="0.45">
      <c r="A35" s="2">
        <v>45266</v>
      </c>
      <c r="B35" s="3">
        <v>-4.1304407000000001E-2</v>
      </c>
      <c r="C35" s="3">
        <v>6.3485739999999999E-2</v>
      </c>
      <c r="D35" s="3">
        <v>7.4349639999999996E-3</v>
      </c>
      <c r="E35" s="3">
        <v>4.4087290000000001E-2</v>
      </c>
      <c r="F35" s="3">
        <v>9.5354439999999999E-2</v>
      </c>
      <c r="G35" s="3">
        <v>2.4930954000000002E-2</v>
      </c>
      <c r="H35" s="3">
        <v>-2.2706209999999998E-2</v>
      </c>
      <c r="I35" s="3">
        <v>4.9520134999999993E-2</v>
      </c>
      <c r="J35" s="3">
        <v>6.8688273000000008E-2</v>
      </c>
      <c r="K35" s="3">
        <v>-2.4569272999999999E-2</v>
      </c>
      <c r="L35" s="3">
        <v>5.0593376000000002E-2</v>
      </c>
      <c r="M35" s="3">
        <v>-1.2925684E-2</v>
      </c>
      <c r="N35" s="3">
        <v>2.4177669999999998E-2</v>
      </c>
      <c r="O35" s="3">
        <v>7.1283100000000002E-2</v>
      </c>
      <c r="P35" s="3">
        <v>-6.0445786000000001E-2</v>
      </c>
      <c r="Q35" s="3">
        <v>-2.8048098E-2</v>
      </c>
      <c r="R35" s="3">
        <v>-1.9517183E-2</v>
      </c>
      <c r="S35" s="3">
        <v>-1.9181967000000001E-2</v>
      </c>
      <c r="T35" s="3">
        <v>-1.4945686E-2</v>
      </c>
      <c r="U35" s="3">
        <v>7.2941184000000006E-2</v>
      </c>
      <c r="V35" s="3">
        <v>8.9240073999999996E-3</v>
      </c>
      <c r="W35" s="3">
        <v>4.2471886E-2</v>
      </c>
      <c r="X35" s="3">
        <v>3.7753344000000001E-2</v>
      </c>
      <c r="Y35" s="3">
        <v>3.8953185000000001E-2</v>
      </c>
      <c r="Z35" s="3">
        <v>0.10360706</v>
      </c>
      <c r="AA35" s="3">
        <v>2.4019599999999999E-2</v>
      </c>
      <c r="AB35" s="3">
        <v>6.1238647000000007E-2</v>
      </c>
      <c r="AC35" s="3">
        <v>2.9955387E-2</v>
      </c>
      <c r="AD35" s="3">
        <v>4.2902349999999999E-2</v>
      </c>
      <c r="AE35" s="3">
        <v>4.3769717000000007E-2</v>
      </c>
      <c r="AF35" s="3">
        <v>6.2076806999999998E-2</v>
      </c>
      <c r="AG35" s="3">
        <v>7.7531219999999998E-2</v>
      </c>
      <c r="AH35" s="3">
        <v>0.12618100999999998</v>
      </c>
      <c r="AI35" s="3">
        <v>5.9294819999999998E-2</v>
      </c>
      <c r="AJ35" s="3"/>
      <c r="AK35" s="3"/>
      <c r="AL35" s="3"/>
    </row>
    <row r="36" spans="1:38" x14ac:dyDescent="0.45">
      <c r="A36" s="2">
        <v>45296</v>
      </c>
      <c r="B36" s="3">
        <v>-1.8953024999999998E-2</v>
      </c>
      <c r="C36" s="3">
        <v>9.0456010000000003E-3</v>
      </c>
      <c r="D36" s="3">
        <v>5.0397753999999996E-2</v>
      </c>
      <c r="E36" s="3">
        <v>5.8741689999999999E-2</v>
      </c>
      <c r="F36" s="3">
        <v>-1.0937452E-3</v>
      </c>
      <c r="G36" s="3">
        <v>0.13166130000000001</v>
      </c>
      <c r="H36" s="3">
        <v>3.5529017000000003E-2</v>
      </c>
      <c r="I36" s="3">
        <v>4.0098549999999997E-2</v>
      </c>
      <c r="J36" s="3">
        <v>6.4621209999999998E-2</v>
      </c>
      <c r="K36" s="3">
        <v>5.5360555999999998E-2</v>
      </c>
      <c r="L36" s="3">
        <v>6.1401605999999997E-2</v>
      </c>
      <c r="M36" s="3">
        <v>1.1461019999999999E-2</v>
      </c>
      <c r="N36" s="3">
        <v>4.4627904999999995E-2</v>
      </c>
      <c r="O36" s="3">
        <v>3.6966681000000001E-2</v>
      </c>
      <c r="P36" s="3">
        <v>-1.1058569000000001E-2</v>
      </c>
      <c r="Q36" s="3">
        <v>5.4770349999999995E-2</v>
      </c>
      <c r="R36" s="3">
        <v>2.7642012000000001E-2</v>
      </c>
      <c r="S36" s="3">
        <v>-5.189067E-2</v>
      </c>
      <c r="T36" s="3">
        <v>3.0132412999999997E-2</v>
      </c>
      <c r="U36" s="3">
        <v>1.0852813999999999E-2</v>
      </c>
      <c r="V36" s="3">
        <v>0.1008507</v>
      </c>
      <c r="W36" s="3">
        <v>5.0296782999999998E-2</v>
      </c>
      <c r="X36" s="3">
        <v>7.7655672999999995E-2</v>
      </c>
      <c r="Y36" s="3">
        <v>5.5110096999999997E-2</v>
      </c>
      <c r="Z36" s="3">
        <v>9.4408990000000009E-3</v>
      </c>
      <c r="AA36" s="3">
        <v>2.8011083999999999E-2</v>
      </c>
      <c r="AB36" s="3">
        <v>4.2622924E-2</v>
      </c>
      <c r="AC36" s="3">
        <v>3.8848041999999999E-2</v>
      </c>
      <c r="AD36" s="3">
        <v>3.2973050000000004E-2</v>
      </c>
      <c r="AE36" s="3">
        <v>3.3117055999999999E-2</v>
      </c>
      <c r="AF36" s="3">
        <v>1.8278837000000003E-2</v>
      </c>
      <c r="AG36" s="3">
        <v>2.2806883E-2</v>
      </c>
      <c r="AH36" s="3">
        <v>4.4383882999999999E-2</v>
      </c>
      <c r="AI36" s="3">
        <v>2.9773831000000001E-2</v>
      </c>
      <c r="AJ36" s="3"/>
      <c r="AK36" s="3"/>
      <c r="AL36" s="3"/>
    </row>
    <row r="37" spans="1:38" x14ac:dyDescent="0.45">
      <c r="A37" s="2">
        <v>45328</v>
      </c>
      <c r="B37" s="3">
        <v>-1.8459082000000002E-2</v>
      </c>
      <c r="C37" s="3">
        <v>-7.2855053000000003E-2</v>
      </c>
      <c r="D37" s="3">
        <v>-2.0363033000000003E-2</v>
      </c>
      <c r="E37" s="3">
        <v>8.6433889999999996E-3</v>
      </c>
      <c r="F37" s="3">
        <v>2.2079110000000002E-2</v>
      </c>
      <c r="G37" s="3">
        <v>3.0994414999999997E-6</v>
      </c>
      <c r="H37" s="3">
        <v>-1.5377462E-2</v>
      </c>
      <c r="I37" s="3">
        <v>2.9285907999999999E-2</v>
      </c>
      <c r="J37" s="3">
        <v>3.0502438999999999E-2</v>
      </c>
      <c r="K37" s="3">
        <v>-1.1132299999999999E-2</v>
      </c>
      <c r="L37" s="3">
        <v>-2.6117146000000001E-2</v>
      </c>
      <c r="M37" s="3">
        <v>-2.016604E-3</v>
      </c>
      <c r="N37" s="3">
        <v>7.7748059999999994E-2</v>
      </c>
      <c r="O37" s="3">
        <v>3.4426570000000004E-2</v>
      </c>
      <c r="P37" s="3">
        <v>-2.3332536000000001E-2</v>
      </c>
      <c r="Q37" s="3">
        <v>-5.1926317E-2</v>
      </c>
      <c r="R37" s="3">
        <v>-2.1709262999999999E-2</v>
      </c>
      <c r="S37" s="3">
        <v>0.13825882</v>
      </c>
      <c r="T37" s="3">
        <v>-1.8194079000000002E-2</v>
      </c>
      <c r="U37" s="3">
        <v>-1.2580991E-2</v>
      </c>
      <c r="V37" s="3">
        <v>-2.093494E-3</v>
      </c>
      <c r="W37" s="3">
        <v>-2.1160662E-2</v>
      </c>
      <c r="X37" s="3">
        <v>-7.1428419999999999E-3</v>
      </c>
      <c r="Y37" s="3">
        <v>-7.1486830000000003E-3</v>
      </c>
      <c r="Z37" s="3">
        <v>8.6117980000000004E-3</v>
      </c>
      <c r="AA37" s="3">
        <v>4.1712639999999995E-2</v>
      </c>
      <c r="AB37" s="3">
        <v>-1.0482192E-2</v>
      </c>
      <c r="AC37" s="3">
        <v>-5.1797029999999999E-3</v>
      </c>
      <c r="AD37" s="3">
        <v>7.7731610000000007E-2</v>
      </c>
      <c r="AE37" s="3">
        <v>5.5693270000000003E-2</v>
      </c>
      <c r="AF37" s="3">
        <v>1.5493631000000001E-2</v>
      </c>
      <c r="AG37" s="3">
        <v>7.5308920000000001E-2</v>
      </c>
      <c r="AH37" s="3">
        <v>-9.8246930000000007E-3</v>
      </c>
      <c r="AI37" s="3">
        <v>7.7357290000000002E-3</v>
      </c>
      <c r="AJ37" s="3"/>
      <c r="AK37" s="3"/>
      <c r="AL37" s="3"/>
    </row>
    <row r="38" spans="1:38" x14ac:dyDescent="0.45">
      <c r="A38" s="2">
        <v>45357</v>
      </c>
      <c r="B38" s="3">
        <v>7.5633764000000006E-2</v>
      </c>
      <c r="C38" s="3">
        <v>1.2365341E-2</v>
      </c>
      <c r="D38" s="3">
        <v>1.8075108999999999E-2</v>
      </c>
      <c r="E38" s="3">
        <v>2.3472428E-2</v>
      </c>
      <c r="F38" s="3">
        <v>4.4104457000000007E-2</v>
      </c>
      <c r="G38" s="3">
        <v>6.6030619999999998E-2</v>
      </c>
      <c r="H38" s="3">
        <v>2.0823478999999999E-2</v>
      </c>
      <c r="I38" s="3">
        <v>5.1871419999999994E-2</v>
      </c>
      <c r="J38" s="3">
        <v>-4.6865883000000004E-2</v>
      </c>
      <c r="K38" s="3">
        <v>4.6638846000000005E-2</v>
      </c>
      <c r="L38" s="3">
        <v>-1.2216925999999999E-2</v>
      </c>
      <c r="M38" s="3">
        <v>-1.4397561999999999E-2</v>
      </c>
      <c r="N38" s="3">
        <v>1.8656730999999999E-2</v>
      </c>
      <c r="O38" s="3">
        <v>2.6191473E-2</v>
      </c>
      <c r="P38" s="3">
        <v>1.4801383E-2</v>
      </c>
      <c r="Q38" s="3">
        <v>4.8881054E-2</v>
      </c>
      <c r="R38" s="3">
        <v>-1.8905282000000002E-2</v>
      </c>
      <c r="S38" s="3">
        <v>-4.9825010000000003E-2</v>
      </c>
      <c r="T38" s="3">
        <v>-1.3040483E-2</v>
      </c>
      <c r="U38" s="3">
        <v>4.4015526999999999E-2</v>
      </c>
      <c r="V38" s="3">
        <v>3.0769229999999998E-2</v>
      </c>
      <c r="W38" s="3">
        <v>-2.5256872E-2</v>
      </c>
      <c r="X38" s="3">
        <v>3.1316160000000003E-2</v>
      </c>
      <c r="Y38" s="3">
        <v>3.2124043000000005E-2</v>
      </c>
      <c r="Z38" s="3">
        <v>5.2254080000000001E-2</v>
      </c>
      <c r="AA38" s="3">
        <v>7.842254600000001E-2</v>
      </c>
      <c r="AB38" s="3">
        <v>3.8136244000000004E-3</v>
      </c>
      <c r="AC38" s="3">
        <v>1.2557387E-2</v>
      </c>
      <c r="AD38" s="3">
        <v>2.6193379999999999E-2</v>
      </c>
      <c r="AE38" s="3">
        <v>3.1924367000000002E-2</v>
      </c>
      <c r="AF38" s="3">
        <v>4.7582149999999997E-2</v>
      </c>
      <c r="AG38" s="3">
        <v>5.5941105000000005E-2</v>
      </c>
      <c r="AH38" s="3">
        <v>7.3478103000000003E-2</v>
      </c>
      <c r="AI38" s="3">
        <v>8.0011840000000001E-2</v>
      </c>
      <c r="AJ38" s="3"/>
      <c r="AK38" s="3"/>
      <c r="AL38" s="3"/>
    </row>
    <row r="39" spans="1:38" x14ac:dyDescent="0.45">
      <c r="A39" s="2">
        <v>45387</v>
      </c>
      <c r="B39" s="3">
        <v>3.2687187000000001E-3</v>
      </c>
      <c r="C39" s="3">
        <v>7.446813599999999E-2</v>
      </c>
      <c r="D39" s="3">
        <v>-2.3080349999999999E-2</v>
      </c>
      <c r="E39" s="3">
        <v>-3.7495434000000001E-2</v>
      </c>
      <c r="F39" s="3">
        <v>4.2672396000000001E-2</v>
      </c>
      <c r="G39" s="3">
        <v>0.10910249</v>
      </c>
      <c r="H39" s="3">
        <v>2.5034785E-2</v>
      </c>
      <c r="I39" s="3">
        <v>1.1651993000000001E-2</v>
      </c>
      <c r="J39" s="3">
        <v>7.0482491999999994E-2</v>
      </c>
      <c r="K39" s="3">
        <v>1.5672921999999999E-2</v>
      </c>
      <c r="L39" s="3">
        <v>-4.0422380000000001E-2</v>
      </c>
      <c r="M39" s="3">
        <v>3.1778574000000004E-2</v>
      </c>
      <c r="N39" s="3">
        <v>-4.0048839999999995E-2</v>
      </c>
      <c r="O39" s="3">
        <v>-1.7271042E-3</v>
      </c>
      <c r="P39" s="3">
        <v>2.2261977000000002E-2</v>
      </c>
      <c r="Q39" s="3">
        <v>-2.6389657999999996E-2</v>
      </c>
      <c r="R39" s="3">
        <v>3.6699772000000001E-3</v>
      </c>
      <c r="S39" s="3">
        <v>9.9773289999999987E-2</v>
      </c>
      <c r="T39" s="3">
        <v>4.0333750000000002E-2</v>
      </c>
      <c r="U39" s="3">
        <v>-1.1094689E-2</v>
      </c>
      <c r="V39" s="3">
        <v>1.1985539999999999E-2</v>
      </c>
      <c r="W39" s="3">
        <v>3.2937526999999999E-3</v>
      </c>
      <c r="X39" s="3">
        <v>7.796407E-3</v>
      </c>
      <c r="Y39" s="3">
        <v>2.7367829999999999E-2</v>
      </c>
      <c r="Z39" s="3">
        <v>1.7526864999999999E-2</v>
      </c>
      <c r="AA39" s="3">
        <v>-2.1017253E-2</v>
      </c>
      <c r="AB39" s="3">
        <v>-1.6462684000000002E-2</v>
      </c>
      <c r="AC39" s="3">
        <v>3.3272743E-2</v>
      </c>
      <c r="AD39" s="3">
        <v>5.1445960000000004E-3</v>
      </c>
      <c r="AE39" s="3">
        <v>2.020955E-2</v>
      </c>
      <c r="AF39" s="3">
        <v>7.6525209999999998E-3</v>
      </c>
      <c r="AG39" s="3">
        <v>2.1355270999999999E-2</v>
      </c>
      <c r="AH39" s="3">
        <v>-9.9915266000000008E-4</v>
      </c>
      <c r="AI39" s="3">
        <v>1.339519E-2</v>
      </c>
      <c r="AJ39" s="3"/>
      <c r="AK39" s="3"/>
      <c r="AL39" s="3"/>
    </row>
    <row r="40" spans="1:38" x14ac:dyDescent="0.45">
      <c r="A40" s="2">
        <v>45418</v>
      </c>
      <c r="B40" s="3">
        <v>3.1595707000000001E-2</v>
      </c>
      <c r="C40" s="3">
        <v>1.2467861E-2</v>
      </c>
      <c r="D40" s="3">
        <v>-4.6342610000000006E-2</v>
      </c>
      <c r="E40" s="3">
        <v>-1.5506804000000001E-2</v>
      </c>
      <c r="F40" s="3">
        <v>2.6250482000000002E-2</v>
      </c>
      <c r="G40" s="3">
        <v>4.438317E-2</v>
      </c>
      <c r="H40" s="3">
        <v>3.0755281000000002E-2</v>
      </c>
      <c r="I40" s="3">
        <v>7.6100826E-3</v>
      </c>
      <c r="J40" s="3">
        <v>-4.1524409999999998E-2</v>
      </c>
      <c r="K40" s="3">
        <v>-5.2949785999999999E-3</v>
      </c>
      <c r="L40" s="3">
        <v>1.6347170000000001E-2</v>
      </c>
      <c r="M40" s="3">
        <v>3.7009477999999998E-2</v>
      </c>
      <c r="N40" s="3">
        <v>5.4947853000000005E-2</v>
      </c>
      <c r="O40" s="3">
        <v>6.7281723000000007E-3</v>
      </c>
      <c r="P40" s="3">
        <v>0.11964952000000001</v>
      </c>
      <c r="Q40" s="3">
        <v>-4.0369033999999998E-3</v>
      </c>
      <c r="R40" s="3">
        <v>-4.1145681999999999E-3</v>
      </c>
      <c r="S40" s="3">
        <v>7.1907280000000004E-2</v>
      </c>
      <c r="T40" s="3">
        <v>-2.807486E-2</v>
      </c>
      <c r="U40" s="3">
        <v>-5.3851899999999994E-2</v>
      </c>
      <c r="V40" s="3">
        <v>-3.1061410000000001E-2</v>
      </c>
      <c r="W40" s="3">
        <v>-4.5961738000000005E-3</v>
      </c>
      <c r="X40" s="3">
        <v>-5.7002900000000002E-3</v>
      </c>
      <c r="Y40" s="3">
        <v>-4.4398307999999999E-3</v>
      </c>
      <c r="Z40" s="3">
        <v>-2.2328496000000001E-3</v>
      </c>
      <c r="AA40" s="3">
        <v>-2.8625129999999997E-3</v>
      </c>
      <c r="AB40" s="3">
        <v>-4.9356221999999998E-3</v>
      </c>
      <c r="AC40" s="3">
        <v>4.0983676999999996E-2</v>
      </c>
      <c r="AD40" s="3">
        <v>-4.9948692000000006E-4</v>
      </c>
      <c r="AE40" s="3">
        <v>-3.5877228000000001E-3</v>
      </c>
      <c r="AF40" s="3">
        <v>1.95992E-3</v>
      </c>
      <c r="AG40" s="3">
        <v>-2.0105243000000002E-3</v>
      </c>
      <c r="AH40" s="3">
        <v>-2.7506948E-3</v>
      </c>
      <c r="AI40" s="3">
        <v>8.3626510000000005E-3</v>
      </c>
      <c r="AJ40" s="3"/>
      <c r="AK40" s="3"/>
      <c r="AL40" s="3"/>
    </row>
    <row r="41" spans="1:38" x14ac:dyDescent="0.45">
      <c r="A41" s="2">
        <v>45449</v>
      </c>
      <c r="B41" s="3">
        <v>-2.7620255999999999E-2</v>
      </c>
      <c r="C41" s="3">
        <v>3.4045577E-2</v>
      </c>
      <c r="D41" s="3">
        <v>-4.1924715000000001E-2</v>
      </c>
      <c r="E41" s="3">
        <v>-4.8021500000000002E-2</v>
      </c>
      <c r="F41" s="3">
        <v>-1.8126965000000001E-3</v>
      </c>
      <c r="G41" s="3">
        <v>3.1803129999999999E-2</v>
      </c>
      <c r="H41" s="3">
        <v>2.1061897E-2</v>
      </c>
      <c r="I41" s="3">
        <v>5.327606E-2</v>
      </c>
      <c r="J41" s="3">
        <v>-0.10059351</v>
      </c>
      <c r="K41" s="3">
        <v>-1.6121626E-2</v>
      </c>
      <c r="L41" s="3">
        <v>-7.9183459999999997E-2</v>
      </c>
      <c r="M41" s="3">
        <v>-3.3293426000000001E-2</v>
      </c>
      <c r="N41" s="3">
        <v>6.269574E-3</v>
      </c>
      <c r="O41" s="3">
        <v>1.8903970999999999E-2</v>
      </c>
      <c r="P41" s="3">
        <v>-3.576994E-3</v>
      </c>
      <c r="Q41" s="3">
        <v>-1.3885438000000002E-2</v>
      </c>
      <c r="R41" s="3">
        <v>-3.0301033999999998E-2</v>
      </c>
      <c r="S41" s="3">
        <v>4.3280125000000006E-3</v>
      </c>
      <c r="T41" s="3">
        <v>-5.0206304E-2</v>
      </c>
      <c r="U41" s="3">
        <v>1.2253046E-2</v>
      </c>
      <c r="V41" s="3">
        <v>-6.5498169999999994E-2</v>
      </c>
      <c r="W41" s="3">
        <v>4.0017604999999998E-2</v>
      </c>
      <c r="X41" s="3">
        <v>2.7846098E-2</v>
      </c>
      <c r="Y41" s="3">
        <v>-3.4102199999999998E-3</v>
      </c>
      <c r="Z41" s="3">
        <v>3.3887505999999998E-2</v>
      </c>
      <c r="AA41" s="3">
        <v>-6.1719420000000006E-3</v>
      </c>
      <c r="AB41" s="3">
        <v>9.186983E-2</v>
      </c>
      <c r="AC41" s="3">
        <v>2.3622035999999999E-2</v>
      </c>
      <c r="AD41" s="3">
        <v>5.2515625999999996E-2</v>
      </c>
      <c r="AE41" s="3">
        <v>3.5019398E-2</v>
      </c>
      <c r="AF41" s="3">
        <v>3.0806779999999999E-2</v>
      </c>
      <c r="AG41" s="3">
        <v>6.0435176000000007E-2</v>
      </c>
      <c r="AH41" s="3">
        <v>6.8455340000000003E-2</v>
      </c>
      <c r="AI41" s="3">
        <v>4.3338656000000003E-2</v>
      </c>
      <c r="AJ41" s="3"/>
      <c r="AK41" s="3"/>
      <c r="AL41" s="3"/>
    </row>
    <row r="42" spans="1:38" x14ac:dyDescent="0.45">
      <c r="A42" s="2">
        <v>45478</v>
      </c>
      <c r="B42" s="3">
        <v>-4.9600124000000002E-2</v>
      </c>
      <c r="C42" s="3">
        <v>-6.1033369999999997E-2</v>
      </c>
      <c r="D42" s="3">
        <v>2.1776914999999997E-2</v>
      </c>
      <c r="E42" s="3">
        <v>1.3881087E-2</v>
      </c>
      <c r="F42" s="3">
        <v>2.2060989999999999E-2</v>
      </c>
      <c r="G42" s="3">
        <v>-5.6415795999999999E-4</v>
      </c>
      <c r="H42" s="3">
        <v>1.1721849400000001E-3</v>
      </c>
      <c r="I42" s="3">
        <v>7.5193762999999997E-2</v>
      </c>
      <c r="J42" s="3">
        <v>-4.7160863999999997E-2</v>
      </c>
      <c r="K42" s="3">
        <v>6.600702E-2</v>
      </c>
      <c r="L42" s="3">
        <v>-1.5045762000000001E-2</v>
      </c>
      <c r="M42" s="3">
        <v>0.11535667999999999</v>
      </c>
      <c r="N42" s="3">
        <v>-3.1707287000000001E-3</v>
      </c>
      <c r="O42" s="3">
        <v>6.1844110000000001E-2</v>
      </c>
      <c r="P42" s="3">
        <v>-3.7740469999999998E-2</v>
      </c>
      <c r="Q42" s="3">
        <v>5.4973599999999997E-2</v>
      </c>
      <c r="R42" s="3">
        <v>-1.2360692E-2</v>
      </c>
      <c r="S42" s="3">
        <v>4.6066760000000005E-2</v>
      </c>
      <c r="T42" s="3">
        <v>3.8618684E-2</v>
      </c>
      <c r="U42" s="3">
        <v>-2.7723609999999999E-2</v>
      </c>
      <c r="V42" s="3">
        <v>1.1733769999999999E-2</v>
      </c>
      <c r="W42" s="3">
        <v>-2.9831766999999999E-2</v>
      </c>
      <c r="X42" s="3">
        <v>1.3393402E-2</v>
      </c>
      <c r="Y42" s="3">
        <v>-3.6340952000000001E-4</v>
      </c>
      <c r="Z42" s="3">
        <v>-7.9687834000000003E-3</v>
      </c>
      <c r="AA42" s="3">
        <v>1.7949938999999998E-2</v>
      </c>
      <c r="AB42" s="3">
        <v>-1.9152044999999999E-2</v>
      </c>
      <c r="AC42" s="3">
        <v>-6.4664482999999993E-3</v>
      </c>
      <c r="AD42" s="3">
        <v>7.2484612000000004E-2</v>
      </c>
      <c r="AE42" s="3">
        <v>4.0720819999999998E-2</v>
      </c>
      <c r="AF42" s="3">
        <v>-4.9094199999999998E-2</v>
      </c>
      <c r="AG42" s="3">
        <v>-6.0088633999999998E-3</v>
      </c>
      <c r="AH42" s="3">
        <v>-2.8003274999999998E-2</v>
      </c>
      <c r="AI42" s="3">
        <v>-2.8312324999999999E-2</v>
      </c>
      <c r="AJ42" s="3"/>
      <c r="AK42" s="3"/>
      <c r="AL42" s="3"/>
    </row>
    <row r="43" spans="1:38" x14ac:dyDescent="0.45">
      <c r="A43" s="2">
        <v>45510</v>
      </c>
      <c r="B43" s="3">
        <v>-3.9856433999999998E-3</v>
      </c>
      <c r="C43" s="3">
        <v>-5.7787895000000006E-2</v>
      </c>
      <c r="D43" s="3">
        <v>1.0075569E-3</v>
      </c>
      <c r="E43" s="3">
        <v>-1.61618E-3</v>
      </c>
      <c r="F43" s="3">
        <v>-0.11061949</v>
      </c>
      <c r="G43" s="3">
        <v>-7.5381699999999996E-2</v>
      </c>
      <c r="H43" s="3">
        <v>1.7444372E-2</v>
      </c>
      <c r="I43" s="3">
        <v>-0.12959623000000001</v>
      </c>
      <c r="J43" s="3">
        <v>-7.9434339999999992E-2</v>
      </c>
      <c r="K43" s="3">
        <v>-0.13805103000000002</v>
      </c>
      <c r="L43" s="3">
        <v>-3.2405794000000002E-2</v>
      </c>
      <c r="M43" s="3">
        <v>-3.9034306999999997E-2</v>
      </c>
      <c r="N43" s="3">
        <v>-3.7376462999999999E-2</v>
      </c>
      <c r="O43" s="3">
        <v>-2.8062105E-2</v>
      </c>
      <c r="P43" s="3">
        <v>-5.0117073000000005E-2</v>
      </c>
      <c r="Q43" s="3">
        <v>5.8281420000000003E-4</v>
      </c>
      <c r="R43" s="3">
        <v>-2.8948366999999999E-2</v>
      </c>
      <c r="S43" s="3">
        <v>-0.12256722999999999</v>
      </c>
      <c r="T43" s="3">
        <v>1.3768077E-2</v>
      </c>
      <c r="U43" s="3">
        <v>-6.3453793999999994E-2</v>
      </c>
      <c r="V43" s="3">
        <v>-3.2186508000000003E-3</v>
      </c>
      <c r="W43" s="3">
        <v>-2.1958947000000001E-3</v>
      </c>
      <c r="X43" s="3">
        <v>-5.3707419999999999E-2</v>
      </c>
      <c r="Y43" s="3">
        <v>-1.5417278000000001E-2</v>
      </c>
      <c r="Z43" s="3">
        <v>-5.8128356999999999E-2</v>
      </c>
      <c r="AA43" s="3">
        <v>-9.7770159999999995E-2</v>
      </c>
      <c r="AB43" s="3">
        <v>6.3734055000000001E-3</v>
      </c>
      <c r="AC43" s="3">
        <v>-2.4809717999999998E-2</v>
      </c>
      <c r="AD43" s="3">
        <v>-0.11413658</v>
      </c>
      <c r="AE43" s="3">
        <v>-5.8578489999999997E-2</v>
      </c>
      <c r="AF43" s="3">
        <v>-5.6916770000000005E-2</v>
      </c>
      <c r="AG43" s="3">
        <v>-9.9149589999999996E-2</v>
      </c>
      <c r="AH43" s="3">
        <v>-7.1148157000000004E-2</v>
      </c>
      <c r="AI43" s="3">
        <v>-5.4624140000000002E-2</v>
      </c>
      <c r="AJ43" s="3"/>
      <c r="AK43" s="3"/>
      <c r="AL43" s="3"/>
    </row>
    <row r="44" spans="1:38" x14ac:dyDescent="0.45">
      <c r="A44" s="2">
        <v>45541</v>
      </c>
      <c r="B44" s="3">
        <v>-2.6010393999999999E-2</v>
      </c>
      <c r="C44" s="3">
        <v>1.5434623000000001E-2</v>
      </c>
      <c r="D44" s="3">
        <v>0.10468042000000001</v>
      </c>
      <c r="E44" s="3">
        <v>0.1161474</v>
      </c>
      <c r="F44" s="3">
        <v>6.9199442999999999E-2</v>
      </c>
      <c r="G44" s="3">
        <v>-6.0448647000000003E-3</v>
      </c>
      <c r="H44" s="3">
        <v>8.3583355000000012E-2</v>
      </c>
      <c r="I44" s="3">
        <v>3.706777E-2</v>
      </c>
      <c r="J44" s="3">
        <v>-2.4843574E-2</v>
      </c>
      <c r="K44" s="3">
        <v>1.7833114000000001E-2</v>
      </c>
      <c r="L44" s="3">
        <v>6.8802356999999995E-2</v>
      </c>
      <c r="M44" s="3">
        <v>6.5508365999999998E-2</v>
      </c>
      <c r="N44" s="3">
        <v>5.0100207000000001E-2</v>
      </c>
      <c r="O44" s="3">
        <v>2.6148557999999999E-2</v>
      </c>
      <c r="P44" s="3">
        <v>3.6981106000000003E-3</v>
      </c>
      <c r="Q44" s="3">
        <v>3.2032609999999996E-2</v>
      </c>
      <c r="R44" s="3">
        <v>0.12058771</v>
      </c>
      <c r="S44" s="3">
        <v>-2.8254568999999997E-2</v>
      </c>
      <c r="T44" s="3">
        <v>7.8627585999999999E-2</v>
      </c>
      <c r="U44" s="3">
        <v>7.8044533999999999E-2</v>
      </c>
      <c r="V44" s="3">
        <v>3.7257789999999999E-2</v>
      </c>
      <c r="W44" s="3">
        <v>7.3283433999999995E-2</v>
      </c>
      <c r="X44" s="3">
        <v>6.3955903000000008E-2</v>
      </c>
      <c r="Y44" s="3">
        <v>6.1285140000000002E-2</v>
      </c>
      <c r="Z44" s="3">
        <v>7.4262499999999995E-2</v>
      </c>
      <c r="AA44" s="3">
        <v>7.8738929999999999E-2</v>
      </c>
      <c r="AB44" s="3">
        <v>4.2288065E-2</v>
      </c>
      <c r="AC44" s="3">
        <v>5.4929256000000003E-2</v>
      </c>
      <c r="AD44" s="3">
        <v>2.0840405999999999E-2</v>
      </c>
      <c r="AE44" s="3">
        <v>3.4874915999999999E-2</v>
      </c>
      <c r="AF44" s="3">
        <v>4.1407227999999997E-2</v>
      </c>
      <c r="AG44" s="3">
        <v>2.6389122000000001E-2</v>
      </c>
      <c r="AH44" s="3">
        <v>5.5467485999999996E-2</v>
      </c>
      <c r="AI44" s="3">
        <v>7.9519510000000002E-2</v>
      </c>
      <c r="AJ44" s="3"/>
      <c r="AK44" s="3"/>
      <c r="AL44" s="3"/>
    </row>
    <row r="45" spans="1:38" x14ac:dyDescent="0.45">
      <c r="A45" s="2">
        <v>45569</v>
      </c>
      <c r="B45" s="3">
        <v>0.42933439999999995</v>
      </c>
      <c r="C45" s="3">
        <v>6.0800076000000002E-2</v>
      </c>
      <c r="D45" s="3">
        <v>-1.6856551000000001E-2</v>
      </c>
      <c r="E45" s="3">
        <v>6.2726616999999998E-2</v>
      </c>
      <c r="F45" s="3">
        <v>-1.2690306E-2</v>
      </c>
      <c r="G45" s="3">
        <v>0.13492810999999999</v>
      </c>
      <c r="H45" s="3">
        <v>3.1645536000000002E-2</v>
      </c>
      <c r="I45" s="3">
        <v>7.3881744999999999E-2</v>
      </c>
      <c r="J45" s="3">
        <v>7.8763246999999995E-2</v>
      </c>
      <c r="K45" s="3">
        <v>3.6363602000000002E-2</v>
      </c>
      <c r="L45" s="3">
        <v>1.7030239E-3</v>
      </c>
      <c r="M45" s="3">
        <v>9.739971E-2</v>
      </c>
      <c r="N45" s="3">
        <v>6.7820550000000004E-3</v>
      </c>
      <c r="O45" s="3">
        <v>1.0440587999999999E-2</v>
      </c>
      <c r="P45" s="3">
        <v>0.40014744000000002</v>
      </c>
      <c r="Q45" s="3">
        <v>2.9909729999999999E-2</v>
      </c>
      <c r="R45" s="3">
        <v>1.1634588E-2</v>
      </c>
      <c r="S45" s="3">
        <v>-6.5217313999999998E-2</v>
      </c>
      <c r="T45" s="3">
        <v>-3.3134520000000001E-2</v>
      </c>
      <c r="U45" s="3">
        <v>-7.159889E-3</v>
      </c>
      <c r="V45" s="3">
        <v>-8.8601110000000004E-3</v>
      </c>
      <c r="W45" s="3">
        <v>2.0503998E-4</v>
      </c>
      <c r="X45" s="3">
        <v>5.3343889999999998E-2</v>
      </c>
      <c r="Y45" s="3">
        <v>6.0035586000000002E-2</v>
      </c>
      <c r="Z45" s="3">
        <v>4.4191957000000004E-2</v>
      </c>
      <c r="AA45" s="3">
        <v>5.5661680000000005E-2</v>
      </c>
      <c r="AB45" s="3">
        <v>-1.9600390999999998E-3</v>
      </c>
      <c r="AC45" s="3">
        <v>1.3154268E-2</v>
      </c>
      <c r="AD45" s="3">
        <v>8.7617034999999996E-2</v>
      </c>
      <c r="AE45" s="3">
        <v>6.3624379999999994E-2</v>
      </c>
      <c r="AF45" s="3">
        <v>2.5987505999999997E-2</v>
      </c>
      <c r="AG45" s="3">
        <v>5.2188515999999997E-2</v>
      </c>
      <c r="AH45" s="3">
        <v>5.6806802999999996E-2</v>
      </c>
      <c r="AI45" s="3">
        <v>2.1196603999999999E-3</v>
      </c>
      <c r="AJ45" s="3"/>
      <c r="AK45" s="3"/>
      <c r="AL45" s="3"/>
    </row>
    <row r="46" spans="1:38" x14ac:dyDescent="0.45">
      <c r="A46" s="2">
        <v>45602</v>
      </c>
      <c r="B46" s="3">
        <v>-0.13768327999999999</v>
      </c>
      <c r="C46" s="3">
        <v>-3.0543029999999999E-2</v>
      </c>
      <c r="D46" s="3">
        <v>-3.5217822000000003E-2</v>
      </c>
      <c r="E46" s="3">
        <v>-6.9600762999999996E-2</v>
      </c>
      <c r="F46" s="3">
        <v>-4.4558764000000001E-2</v>
      </c>
      <c r="G46" s="3">
        <v>-6.7217349999999995E-3</v>
      </c>
      <c r="H46" s="3">
        <v>-3.7960112000000004E-2</v>
      </c>
      <c r="I46" s="3">
        <v>2.7147649999999999E-2</v>
      </c>
      <c r="J46" s="3">
        <v>-5.6607190000000002E-2</v>
      </c>
      <c r="K46" s="3">
        <v>-5.3110065000000005E-2</v>
      </c>
      <c r="L46" s="3">
        <v>-3.6722182999999999E-2</v>
      </c>
      <c r="M46" s="3">
        <v>-7.831335E-3</v>
      </c>
      <c r="N46" s="3">
        <v>-5.3887843999999997E-2</v>
      </c>
      <c r="O46" s="3">
        <v>-3.4325719999999997E-2</v>
      </c>
      <c r="P46" s="3">
        <v>-0.12894731500000001</v>
      </c>
      <c r="Q46" s="3">
        <v>2.1917819999999998E-2</v>
      </c>
      <c r="R46" s="3">
        <v>1.6042947999999998E-2</v>
      </c>
      <c r="S46" s="3">
        <v>-2.5581420000000001E-2</v>
      </c>
      <c r="T46" s="3">
        <v>4.9348830000000003E-2</v>
      </c>
      <c r="U46" s="3">
        <v>-3.8461505999999999E-2</v>
      </c>
      <c r="V46" s="3">
        <v>1.6187549000000002E-2</v>
      </c>
      <c r="W46" s="3">
        <v>-2.6035249999999999E-2</v>
      </c>
      <c r="X46" s="3">
        <v>-2.8344689999999999E-2</v>
      </c>
      <c r="Y46" s="3">
        <v>-2.1597146999999999E-3</v>
      </c>
      <c r="Z46" s="3">
        <v>-3.5066544999999998E-2</v>
      </c>
      <c r="AA46" s="3">
        <v>-3.4780204000000002E-2</v>
      </c>
      <c r="AB46" s="3">
        <v>-3.9669990000000002E-2</v>
      </c>
      <c r="AC46" s="3">
        <v>-3.5704612999999996E-2</v>
      </c>
      <c r="AD46" s="3">
        <v>3.7470221999999997E-2</v>
      </c>
      <c r="AE46" s="3">
        <v>3.1519412999999996E-2</v>
      </c>
      <c r="AF46" s="3">
        <v>-5.1671742999999999E-2</v>
      </c>
      <c r="AG46" s="3">
        <v>-8.6948509999999993E-2</v>
      </c>
      <c r="AH46" s="3">
        <v>-6.4882755E-2</v>
      </c>
      <c r="AI46" s="3">
        <v>-1.6657888999999999E-2</v>
      </c>
      <c r="AJ46" s="3"/>
      <c r="AK46" s="3"/>
      <c r="AL46" s="3"/>
    </row>
    <row r="47" spans="1:38" x14ac:dyDescent="0.45">
      <c r="A47" s="2">
        <v>45632</v>
      </c>
      <c r="B47" s="3">
        <v>-2.8666675000000003E-2</v>
      </c>
      <c r="C47" s="3">
        <v>-2.7226805999999997E-3</v>
      </c>
      <c r="D47" s="3">
        <v>-2.0172894E-2</v>
      </c>
      <c r="E47" s="3">
        <v>-3.9237259999999996E-2</v>
      </c>
      <c r="F47" s="3">
        <v>3.4977555E-2</v>
      </c>
      <c r="G47" s="3">
        <v>-1.266402E-2</v>
      </c>
      <c r="H47" s="3">
        <v>-3.5870669999999998E-3</v>
      </c>
      <c r="I47" s="3">
        <v>-7.0601700000000002E-3</v>
      </c>
      <c r="J47" s="3">
        <v>-1.2039006000000001E-2</v>
      </c>
      <c r="K47" s="3">
        <v>-7.4279966000000003E-2</v>
      </c>
      <c r="L47" s="3">
        <v>-0.10801268</v>
      </c>
      <c r="M47" s="3">
        <v>-2.1453202000000001E-2</v>
      </c>
      <c r="N47" s="3">
        <v>2.251947E-2</v>
      </c>
      <c r="O47" s="3">
        <v>9.6118450000000008E-3</v>
      </c>
      <c r="P47" s="3">
        <v>-3.7059425999999999E-2</v>
      </c>
      <c r="Q47" s="3">
        <v>-3.3780098000000001E-2</v>
      </c>
      <c r="R47" s="3">
        <v>-1.0535538000000001E-2</v>
      </c>
      <c r="S47" s="3">
        <v>0.12828159</v>
      </c>
      <c r="T47" s="3">
        <v>1.1103749000000001E-2</v>
      </c>
      <c r="U47" s="3">
        <v>-2.4999975999999997E-3</v>
      </c>
      <c r="V47" s="3">
        <v>-1.0223507999999999E-2</v>
      </c>
      <c r="W47" s="3">
        <v>-1.6417563E-2</v>
      </c>
      <c r="X47" s="3">
        <v>-3.8886070000000001E-4</v>
      </c>
      <c r="Y47" s="3">
        <v>3.1265019999999998E-2</v>
      </c>
      <c r="Z47" s="3">
        <v>4.6052574999999998E-2</v>
      </c>
      <c r="AA47" s="3">
        <v>2.4502754000000002E-2</v>
      </c>
      <c r="AB47" s="3">
        <v>-1.3292491E-2</v>
      </c>
      <c r="AC47" s="3">
        <v>7.0126056999999997E-3</v>
      </c>
      <c r="AD47" s="3">
        <v>4.1338679999999996E-2</v>
      </c>
      <c r="AE47" s="3">
        <v>2.8373718000000003E-2</v>
      </c>
      <c r="AF47" s="3">
        <v>-5.8760047000000004E-3</v>
      </c>
      <c r="AG47" s="3">
        <v>1.2619734000000001E-2</v>
      </c>
      <c r="AH47" s="3">
        <v>1.4687179999999999E-2</v>
      </c>
      <c r="AI47" s="3">
        <v>1.5326737999999999E-2</v>
      </c>
      <c r="AJ47" s="3"/>
      <c r="AK47" s="3"/>
      <c r="AL47" s="3"/>
    </row>
    <row r="48" spans="1:38" x14ac:dyDescent="0.45">
      <c r="A48" s="2">
        <v>45663</v>
      </c>
      <c r="B48" s="3">
        <v>-6.0431840000000001E-2</v>
      </c>
      <c r="C48" s="3">
        <v>-2.5244892000000001E-2</v>
      </c>
      <c r="D48" s="3">
        <v>-7.0948719999999993E-2</v>
      </c>
      <c r="E48" s="3">
        <v>-7.0831180000000002E-3</v>
      </c>
      <c r="F48" s="3">
        <v>-2.5857985E-2</v>
      </c>
      <c r="G48" s="3">
        <v>-3.1083821999999997E-2</v>
      </c>
      <c r="H48" s="3">
        <v>-1.2203871999999999E-2</v>
      </c>
      <c r="I48" s="3">
        <v>1.3290763000000001E-2</v>
      </c>
      <c r="J48" s="3">
        <v>-4.1797875999999998E-2</v>
      </c>
      <c r="K48" s="3">
        <v>1.3796448999999999E-2</v>
      </c>
      <c r="L48" s="3">
        <v>-5.5037975000000003E-2</v>
      </c>
      <c r="M48" s="3">
        <v>-7.5628460000000008E-2</v>
      </c>
      <c r="N48" s="3">
        <v>2.5883316999999999E-2</v>
      </c>
      <c r="O48" s="3">
        <v>-4.7507706000000004E-2</v>
      </c>
      <c r="P48" s="3">
        <v>-2.7800083E-2</v>
      </c>
      <c r="Q48" s="3">
        <v>-4.0304659999999999E-4</v>
      </c>
      <c r="R48" s="3">
        <v>-5.4622650000000002E-2</v>
      </c>
      <c r="S48" s="3">
        <v>-2.1538973000000003E-2</v>
      </c>
      <c r="T48" s="3">
        <v>5.8059095999999998E-2</v>
      </c>
      <c r="U48" s="3">
        <v>-4.2606535000000001E-2</v>
      </c>
      <c r="V48" s="3">
        <v>7.1711539999999999E-3</v>
      </c>
      <c r="W48" s="3">
        <v>-1.1127651000000001E-2</v>
      </c>
      <c r="X48" s="3">
        <v>-3.7409960999999999E-2</v>
      </c>
      <c r="Y48" s="3">
        <v>-3.5264551999999998E-2</v>
      </c>
      <c r="Z48" s="3">
        <v>-3.3542929999999999E-2</v>
      </c>
      <c r="AA48" s="3">
        <v>-3.6474465999999997E-2</v>
      </c>
      <c r="AB48" s="3">
        <v>-3.5854935999999997E-2</v>
      </c>
      <c r="AC48" s="3">
        <v>-2.9347718000000002E-2</v>
      </c>
      <c r="AD48" s="3">
        <v>-2.0945071999999999E-3</v>
      </c>
      <c r="AE48" s="3">
        <v>-1.7226517E-2</v>
      </c>
      <c r="AF48" s="3">
        <v>-1.9046605000000001E-2</v>
      </c>
      <c r="AG48" s="3">
        <v>-8.9886189999999998E-3</v>
      </c>
      <c r="AH48" s="3">
        <v>-3.9181410999999999E-2</v>
      </c>
      <c r="AI48" s="3">
        <v>-2.3128152000000003E-2</v>
      </c>
      <c r="AJ48" s="3"/>
      <c r="AK48" s="3"/>
      <c r="AL48" s="3"/>
    </row>
    <row r="49" spans="1:38" x14ac:dyDescent="0.45">
      <c r="A49" s="2">
        <v>45694</v>
      </c>
      <c r="B49" s="3">
        <v>2.5755881999999997E-2</v>
      </c>
      <c r="C49" s="3">
        <v>0.1332798</v>
      </c>
      <c r="D49" s="3">
        <v>-5.7877836000000002E-2</v>
      </c>
      <c r="E49" s="3">
        <v>-4.1101273999999993E-2</v>
      </c>
      <c r="F49" s="3">
        <v>0.11829948</v>
      </c>
      <c r="G49" s="3">
        <v>4.4356584999999997E-2</v>
      </c>
      <c r="H49" s="3">
        <v>-8.2507729999999994E-3</v>
      </c>
      <c r="I49" s="3">
        <v>-2.898556E-2</v>
      </c>
      <c r="J49" s="3">
        <v>5.6238294000000001E-2</v>
      </c>
      <c r="K49" s="3">
        <v>1.5073537999999999E-2</v>
      </c>
      <c r="L49" s="3">
        <v>0.12828374000000001</v>
      </c>
      <c r="M49" s="3">
        <v>7.4947E-2</v>
      </c>
      <c r="N49" s="3">
        <v>2.3578166999999997E-2</v>
      </c>
      <c r="O49" s="3">
        <v>-3.4004569999999998E-2</v>
      </c>
      <c r="P49" s="3">
        <v>7.6720715000000009E-2</v>
      </c>
      <c r="Q49" s="3">
        <v>1.4664412E-2</v>
      </c>
      <c r="R49" s="3">
        <v>-8.0559550000000008E-2</v>
      </c>
      <c r="S49" s="3">
        <v>-3.6082506E-2</v>
      </c>
      <c r="T49" s="3">
        <v>4.2787194000000001E-2</v>
      </c>
      <c r="U49" s="3">
        <v>1.1343837000000001E-2</v>
      </c>
      <c r="V49" s="3">
        <v>2.6744484999999998E-2</v>
      </c>
      <c r="W49" s="3">
        <v>-1.4912307E-2</v>
      </c>
      <c r="X49" s="3">
        <v>3.2881140000000003E-2</v>
      </c>
      <c r="Y49" s="3">
        <v>2.4007797000000001E-2</v>
      </c>
      <c r="Z49" s="3">
        <v>8.8007449999999987E-2</v>
      </c>
      <c r="AA49" s="3">
        <v>2.9215455000000001E-2</v>
      </c>
      <c r="AB49" s="3">
        <v>7.416165000000001E-2</v>
      </c>
      <c r="AC49" s="3">
        <v>5.6548476E-2</v>
      </c>
      <c r="AD49" s="3">
        <v>9.6465350000000012E-3</v>
      </c>
      <c r="AE49" s="3">
        <v>1.8409013999999998E-2</v>
      </c>
      <c r="AF49" s="3">
        <v>7.7538609999999994E-2</v>
      </c>
      <c r="AG49" s="3">
        <v>1.8042684E-2</v>
      </c>
      <c r="AH49" s="3">
        <v>9.6883060000000007E-2</v>
      </c>
      <c r="AI49" s="3">
        <v>8.1200010000000003E-2</v>
      </c>
      <c r="AJ49" s="3"/>
      <c r="AK49" s="3"/>
      <c r="AL49" s="3"/>
    </row>
    <row r="50" spans="1:38" x14ac:dyDescent="0.45">
      <c r="A50" s="2">
        <v>45722</v>
      </c>
      <c r="B50" s="3">
        <v>4.1666626999999998E-2</v>
      </c>
      <c r="C50" s="3">
        <v>5.1718116000000001E-2</v>
      </c>
      <c r="D50" s="3">
        <v>-2.6166022000000001E-2</v>
      </c>
      <c r="E50" s="3">
        <v>1.6579032E-2</v>
      </c>
      <c r="F50" s="3">
        <v>0.1099174</v>
      </c>
      <c r="G50" s="3">
        <v>-1.4265418E-2</v>
      </c>
      <c r="H50" s="3">
        <v>-2.5790392999999998E-2</v>
      </c>
      <c r="I50" s="3">
        <v>-2.8128563999999998E-2</v>
      </c>
      <c r="J50" s="3">
        <v>1.4592767E-2</v>
      </c>
      <c r="K50" s="3">
        <v>-5.0706863000000001E-3</v>
      </c>
      <c r="L50" s="3">
        <v>-4.6565830000000002E-2</v>
      </c>
      <c r="M50" s="3">
        <v>2.1047950000000003E-2</v>
      </c>
      <c r="N50" s="3">
        <v>9.1057659999999985E-2</v>
      </c>
      <c r="O50" s="3">
        <v>-3.7561475999999996E-2</v>
      </c>
      <c r="P50" s="3">
        <v>0.15085506000000001</v>
      </c>
      <c r="Q50" s="3">
        <v>8.3379745000000012E-3</v>
      </c>
      <c r="R50" s="3">
        <v>-5.7461080000000005E-2</v>
      </c>
      <c r="S50" s="3">
        <v>4.9254179999999995E-2</v>
      </c>
      <c r="T50" s="3">
        <v>1.7585754E-3</v>
      </c>
      <c r="U50" s="3">
        <v>5.2631496999999999E-2</v>
      </c>
      <c r="V50" s="3">
        <v>-4.6412469999999997E-2</v>
      </c>
      <c r="W50" s="3">
        <v>-4.8975887000000003E-2</v>
      </c>
      <c r="X50" s="3">
        <v>-4.4170259999999996E-2</v>
      </c>
      <c r="Y50" s="3">
        <v>-3.4210562999999999E-2</v>
      </c>
      <c r="Z50" s="3">
        <v>9.9117040000000003E-2</v>
      </c>
      <c r="AA50" s="3">
        <v>3.0258893999999996E-3</v>
      </c>
      <c r="AB50" s="3">
        <v>5.2431463999999997E-2</v>
      </c>
      <c r="AC50" s="3">
        <v>3.3000470000000004E-2</v>
      </c>
      <c r="AD50" s="3">
        <v>-7.8172149999999996E-2</v>
      </c>
      <c r="AE50" s="3">
        <v>-5.5432740000000001E-2</v>
      </c>
      <c r="AF50" s="3">
        <v>6.0947537000000003E-2</v>
      </c>
      <c r="AG50" s="3">
        <v>4.1460752000000003E-2</v>
      </c>
      <c r="AH50" s="3">
        <v>4.9254179999999995E-2</v>
      </c>
      <c r="AI50" s="3">
        <v>7.6120256999999997E-2</v>
      </c>
      <c r="AJ50" s="3"/>
      <c r="AK50" s="3"/>
      <c r="AL50" s="3"/>
    </row>
    <row r="51" spans="1:38" x14ac:dyDescent="0.45">
      <c r="A51" s="2">
        <v>45751</v>
      </c>
      <c r="B51" s="3">
        <v>-7.2139740000000008E-2</v>
      </c>
      <c r="C51" s="3">
        <v>-5.0522090000000006E-2</v>
      </c>
      <c r="D51" s="3">
        <v>-0.11857480000000001</v>
      </c>
      <c r="E51" s="3">
        <v>-5.2108169999999995E-2</v>
      </c>
      <c r="F51" s="3">
        <v>-6.4035773000000004E-2</v>
      </c>
      <c r="G51" s="3">
        <v>-3.4008681999999998E-2</v>
      </c>
      <c r="H51" s="3">
        <v>-6.4474820000000002E-2</v>
      </c>
      <c r="I51" s="3">
        <v>-0.13723177</v>
      </c>
      <c r="J51" s="3">
        <v>-2.9737651E-2</v>
      </c>
      <c r="K51" s="3">
        <v>-6.7164183000000002E-2</v>
      </c>
      <c r="L51" s="3">
        <v>-2.8489828000000002E-3</v>
      </c>
      <c r="M51" s="3">
        <v>-0.11337769</v>
      </c>
      <c r="N51" s="3">
        <v>-2.8093636000000002E-2</v>
      </c>
      <c r="O51" s="3">
        <v>5.1082369999999998E-3</v>
      </c>
      <c r="P51" s="3">
        <v>-0.11551386000000001</v>
      </c>
      <c r="Q51" s="3">
        <v>-7.2216089999999997E-2</v>
      </c>
      <c r="R51" s="3">
        <v>-5.4087759999999999E-2</v>
      </c>
      <c r="S51" s="3">
        <v>-0.15048277000000002</v>
      </c>
      <c r="T51" s="3">
        <v>-8.7185499999999999E-2</v>
      </c>
      <c r="U51" s="3">
        <v>-4.5901594000000004E-2</v>
      </c>
      <c r="V51" s="3">
        <v>-3.2033800000000001E-2</v>
      </c>
      <c r="W51" s="3">
        <v>-6.0627340000000002E-2</v>
      </c>
      <c r="X51" s="3">
        <v>-0.11948377</v>
      </c>
      <c r="Y51" s="3">
        <v>-4.8550899999999994E-2</v>
      </c>
      <c r="Z51" s="3">
        <v>-0.11065042500000001</v>
      </c>
      <c r="AA51" s="3">
        <v>-0.11636262999999999</v>
      </c>
      <c r="AB51" s="3">
        <v>-8.0433550000000006E-2</v>
      </c>
      <c r="AC51" s="3">
        <v>-7.0604029999999998E-2</v>
      </c>
      <c r="AD51" s="3">
        <v>-0.13296497000000002</v>
      </c>
      <c r="AE51" s="3">
        <v>-0.11508614</v>
      </c>
      <c r="AF51" s="3">
        <v>-0.10185855999999999</v>
      </c>
      <c r="AG51" s="3">
        <v>-0.11014849</v>
      </c>
      <c r="AH51" s="3">
        <v>-0.13856923999999998</v>
      </c>
      <c r="AI51" s="3">
        <v>-8.9425089999999999E-2</v>
      </c>
      <c r="AJ51" s="3"/>
      <c r="AK51" s="3"/>
      <c r="AL51" s="3"/>
    </row>
    <row r="52" spans="1:38" x14ac:dyDescent="0.45">
      <c r="A52" s="2">
        <v>45783</v>
      </c>
      <c r="B52" s="3">
        <v>4.7439813999999997E-2</v>
      </c>
      <c r="C52" s="3">
        <v>0.12167441999999999</v>
      </c>
      <c r="D52" s="3">
        <v>0.17561293</v>
      </c>
      <c r="E52" s="3">
        <v>0.14771295000000001</v>
      </c>
      <c r="F52" s="3">
        <v>0.17263328999999999</v>
      </c>
      <c r="G52" s="3">
        <v>0.13483154</v>
      </c>
      <c r="H52" s="3">
        <v>0.12460065000000001</v>
      </c>
      <c r="I52" s="3">
        <v>0.1766317</v>
      </c>
      <c r="J52" s="3">
        <v>0.16967154000000001</v>
      </c>
      <c r="K52" s="3">
        <v>0.14146338999999999</v>
      </c>
      <c r="L52" s="3">
        <v>8.6122509999999999E-2</v>
      </c>
      <c r="M52" s="3">
        <v>0.22814238000000001</v>
      </c>
      <c r="N52" s="3">
        <v>0.15003443</v>
      </c>
      <c r="O52" s="3">
        <v>9.1278789999999999E-2</v>
      </c>
      <c r="P52" s="3">
        <v>7.8999996000000003E-2</v>
      </c>
      <c r="Q52" s="3">
        <v>0.10219836</v>
      </c>
      <c r="R52" s="3">
        <v>5.5678486999999999E-2</v>
      </c>
      <c r="S52" s="3">
        <v>-2.8733789999999999E-2</v>
      </c>
      <c r="T52" s="3">
        <v>0.17371786</v>
      </c>
      <c r="U52" s="3">
        <v>4.9828169999999998E-2</v>
      </c>
      <c r="V52" s="3">
        <v>1.8984079000000001E-2</v>
      </c>
      <c r="W52" s="3">
        <v>0.116870165</v>
      </c>
      <c r="X52" s="3">
        <v>0.18439710000000001</v>
      </c>
      <c r="Y52" s="3">
        <v>0.11351214999999999</v>
      </c>
      <c r="Z52" s="3">
        <v>0.1850233</v>
      </c>
      <c r="AA52" s="3">
        <v>0.1775322</v>
      </c>
      <c r="AB52" s="3">
        <v>0.12365591000000001</v>
      </c>
      <c r="AC52" s="3">
        <v>0.11409593</v>
      </c>
      <c r="AD52" s="3">
        <v>0.1389736</v>
      </c>
      <c r="AE52" s="3">
        <v>0.10592151</v>
      </c>
      <c r="AF52" s="3">
        <v>0.11851656000000001</v>
      </c>
      <c r="AG52" s="3">
        <v>0.15855359999999999</v>
      </c>
      <c r="AH52" s="3">
        <v>0.15745354</v>
      </c>
      <c r="AI52" s="3">
        <v>0.17485057999999998</v>
      </c>
      <c r="AJ52" s="3"/>
      <c r="AK52" s="3"/>
      <c r="AL52" s="3"/>
    </row>
    <row r="53" spans="1:38" x14ac:dyDescent="0.45">
      <c r="A53" s="2">
        <v>45814</v>
      </c>
      <c r="B53" s="3">
        <v>1.4378189999999999E-2</v>
      </c>
      <c r="C53" s="3">
        <v>6.9576499999999993E-3</v>
      </c>
      <c r="D53" s="3">
        <v>4.3404817999999998E-2</v>
      </c>
      <c r="E53" s="3">
        <v>2.1937847E-2</v>
      </c>
      <c r="F53" s="3">
        <v>-6.7842009999999993E-4</v>
      </c>
      <c r="G53" s="3">
        <v>6.9122076000000005E-2</v>
      </c>
      <c r="H53" s="3">
        <v>-1.5827893999999999E-2</v>
      </c>
      <c r="I53" s="3">
        <v>4.9456953999999997E-2</v>
      </c>
      <c r="J53" s="3">
        <v>4.8809766999999997E-2</v>
      </c>
      <c r="K53" s="3">
        <v>0.12085474</v>
      </c>
      <c r="L53" s="3">
        <v>4.1713595000000006E-2</v>
      </c>
      <c r="M53" s="3">
        <v>6.3695550000000004E-2</v>
      </c>
      <c r="N53" s="3">
        <v>0.10632348</v>
      </c>
      <c r="O53" s="3">
        <v>2.2913575000000002E-2</v>
      </c>
      <c r="P53" s="3">
        <v>1.7979622000000001E-2</v>
      </c>
      <c r="Q53" s="3">
        <v>1.5094399999999999E-2</v>
      </c>
      <c r="R53" s="3">
        <v>-4.3296279999999993E-2</v>
      </c>
      <c r="S53" s="3">
        <v>2.7633310000000001E-2</v>
      </c>
      <c r="T53" s="3">
        <v>1.9661426999999999E-2</v>
      </c>
      <c r="U53" s="3">
        <v>0.11620295</v>
      </c>
      <c r="V53" s="3">
        <v>-3.0463338000000003E-2</v>
      </c>
      <c r="W53" s="3">
        <v>1.0932684E-2</v>
      </c>
      <c r="X53" s="3">
        <v>5.2694680000000001E-2</v>
      </c>
      <c r="Y53" s="3">
        <v>6.1257840000000001E-2</v>
      </c>
      <c r="Z53" s="3">
        <v>4.548812E-2</v>
      </c>
      <c r="AA53" s="3">
        <v>1.9190907E-2</v>
      </c>
      <c r="AB53" s="3">
        <v>2.3923396999999999E-2</v>
      </c>
      <c r="AC53" s="3">
        <v>4.6149849999999999E-2</v>
      </c>
      <c r="AD53" s="3">
        <v>0.10076642</v>
      </c>
      <c r="AE53" s="3">
        <v>7.2190404E-2</v>
      </c>
      <c r="AF53" s="3">
        <v>3.4118295E-2</v>
      </c>
      <c r="AG53" s="3">
        <v>7.3029280000000002E-2</v>
      </c>
      <c r="AH53" s="3">
        <v>4.4363975999999999E-2</v>
      </c>
      <c r="AI53" s="3">
        <v>6.8111420000000006E-2</v>
      </c>
      <c r="AJ53" s="3"/>
      <c r="AK53" s="3"/>
      <c r="AL53" s="3"/>
    </row>
    <row r="54" spans="1:38" x14ac:dyDescent="0.45">
      <c r="A54" s="2">
        <v>45841</v>
      </c>
      <c r="B54" s="3">
        <v>2.8533935999999999E-2</v>
      </c>
      <c r="C54" s="3">
        <v>2.0970464000000001E-2</v>
      </c>
      <c r="D54" s="3">
        <v>-3.0785800000000002E-2</v>
      </c>
      <c r="E54" s="3">
        <v>-1.9579648999999998E-2</v>
      </c>
      <c r="F54" s="3">
        <v>0.13349188000000001</v>
      </c>
      <c r="G54" s="3">
        <v>4.9566270000000003E-2</v>
      </c>
      <c r="H54" s="3">
        <v>2.7964354E-2</v>
      </c>
      <c r="I54" s="3">
        <v>9.8503000000000007E-2</v>
      </c>
      <c r="J54" s="3">
        <v>2.5756359999999999E-2</v>
      </c>
      <c r="K54" s="3">
        <v>0.10873866</v>
      </c>
      <c r="L54" s="3">
        <v>7.6601267000000001E-2</v>
      </c>
      <c r="M54" s="3">
        <v>2.7741194E-2</v>
      </c>
      <c r="N54" s="3">
        <v>9.314907E-2</v>
      </c>
      <c r="O54" s="3">
        <v>1.6026258000000002E-2</v>
      </c>
      <c r="P54" s="3">
        <v>6.0586930000000004E-3</v>
      </c>
      <c r="Q54" s="3">
        <v>1.3167739000000001E-2</v>
      </c>
      <c r="R54" s="3">
        <v>-1.4510453000000001E-2</v>
      </c>
      <c r="S54" s="3">
        <v>6.1147569999999998E-2</v>
      </c>
      <c r="T54" s="3">
        <v>4.3354272999999999E-2</v>
      </c>
      <c r="U54" s="3">
        <v>2.3460388000000002E-2</v>
      </c>
      <c r="V54" s="3">
        <v>2.6933074000000001E-2</v>
      </c>
      <c r="W54" s="3">
        <v>2.3949861999999999E-2</v>
      </c>
      <c r="X54" s="3">
        <v>1.9464492999999999E-2</v>
      </c>
      <c r="Y54" s="3">
        <v>3.5074114999999996E-2</v>
      </c>
      <c r="Z54" s="3">
        <v>9.1050863000000006E-3</v>
      </c>
      <c r="AA54" s="3">
        <v>1.8733263E-2</v>
      </c>
      <c r="AB54" s="3">
        <v>5.4781437000000002E-3</v>
      </c>
      <c r="AC54" s="3">
        <v>7.0663690000000003E-3</v>
      </c>
      <c r="AD54" s="3">
        <v>5.0796986000000002E-2</v>
      </c>
      <c r="AE54" s="3">
        <v>4.6822429999999998E-2</v>
      </c>
      <c r="AF54" s="3">
        <v>2.3559809000000001E-2</v>
      </c>
      <c r="AG54" s="3">
        <v>2.5820255E-2</v>
      </c>
      <c r="AH54" s="3">
        <v>1.0976076E-2</v>
      </c>
      <c r="AI54" s="3">
        <v>1.5507340000000001E-2</v>
      </c>
      <c r="AJ54" s="3"/>
      <c r="AK54" s="3"/>
      <c r="AL54" s="3"/>
    </row>
    <row r="55" spans="1:38" x14ac:dyDescent="0.45">
      <c r="A55" s="2">
        <v>45875</v>
      </c>
      <c r="B55" s="3">
        <v>4.9117923000000001E-2</v>
      </c>
      <c r="C55" s="3">
        <v>-5.4368315E-2</v>
      </c>
      <c r="D55" s="3">
        <v>1.0875821000000001E-2</v>
      </c>
      <c r="E55" s="3">
        <v>-2.4741529999999998E-2</v>
      </c>
      <c r="F55" s="3">
        <v>6.093979E-4</v>
      </c>
      <c r="G55" s="3">
        <v>2.4629830999999998E-3</v>
      </c>
      <c r="H55" s="3">
        <v>-4.0966271999999998E-4</v>
      </c>
      <c r="I55" s="3">
        <v>-5.047083E-3</v>
      </c>
      <c r="J55" s="3">
        <v>-1.5235065999999998E-2</v>
      </c>
      <c r="K55" s="3">
        <v>6.6025260000000001E-3</v>
      </c>
      <c r="L55" s="3">
        <v>-6.3459516000000007E-2</v>
      </c>
      <c r="M55" s="3">
        <v>2.5187016E-2</v>
      </c>
      <c r="N55" s="3">
        <v>7.5016619999999992E-2</v>
      </c>
      <c r="O55" s="3">
        <v>-6.3362600000000005E-2</v>
      </c>
      <c r="P55" s="3">
        <v>6.6520451999999994E-2</v>
      </c>
      <c r="Q55" s="3">
        <v>6.5485835000000006E-2</v>
      </c>
      <c r="R55" s="3">
        <v>0.12905157</v>
      </c>
      <c r="S55" s="3">
        <v>4.2978167999999997E-2</v>
      </c>
      <c r="T55" s="3">
        <v>7.4840783999999994E-2</v>
      </c>
      <c r="U55" s="3">
        <v>0.22421206000000002</v>
      </c>
      <c r="V55" s="3">
        <v>-2.1856487000000001E-2</v>
      </c>
      <c r="W55" s="3">
        <v>-7.1800950000000001E-3</v>
      </c>
      <c r="X55" s="3">
        <v>6.7975520000000001E-3</v>
      </c>
      <c r="Y55" s="3">
        <v>2.2712707999999998E-2</v>
      </c>
      <c r="Z55" s="3">
        <v>-8.7656975000000008E-3</v>
      </c>
      <c r="AA55" s="3">
        <v>1.9168853999999999E-2</v>
      </c>
      <c r="AB55" s="3">
        <v>-3.4972727000000002E-2</v>
      </c>
      <c r="AC55" s="3">
        <v>1.4063358E-2</v>
      </c>
      <c r="AD55" s="3">
        <v>1.9956231000000001E-2</v>
      </c>
      <c r="AE55" s="3">
        <v>1.1897564000000001E-2</v>
      </c>
      <c r="AF55" s="3">
        <v>-2.4605393000000003E-2</v>
      </c>
      <c r="AG55" s="3">
        <v>-5.2680073000000001E-2</v>
      </c>
      <c r="AH55" s="3">
        <v>-1.7536163E-2</v>
      </c>
      <c r="AI55" s="3">
        <v>2.7172803999999998E-2</v>
      </c>
      <c r="AJ55" s="3"/>
      <c r="AK55" s="3"/>
      <c r="AL55" s="3"/>
    </row>
    <row r="56" spans="1:38" x14ac:dyDescent="0.45">
      <c r="A56" s="2">
        <v>45905</v>
      </c>
      <c r="B56" s="3">
        <v>8.8691119999999998E-2</v>
      </c>
      <c r="C56" s="3">
        <v>0.1242938</v>
      </c>
      <c r="D56" s="3">
        <v>1.528883E-2</v>
      </c>
      <c r="E56" s="3">
        <v>-1.3252556E-2</v>
      </c>
      <c r="F56" s="3">
        <v>-2.1315515E-2</v>
      </c>
      <c r="G56" s="3">
        <v>0.1258725</v>
      </c>
      <c r="H56" s="3">
        <v>2.5819660000000001E-2</v>
      </c>
      <c r="I56" s="3">
        <v>1.8092632000000001E-2</v>
      </c>
      <c r="J56" s="3">
        <v>5.0526739999999994E-2</v>
      </c>
      <c r="K56" s="3">
        <v>6.149173E-3</v>
      </c>
      <c r="L56" s="3">
        <v>7.9417109999999999E-2</v>
      </c>
      <c r="M56" s="3">
        <v>3.1155466999999999E-2</v>
      </c>
      <c r="N56" s="3">
        <v>-1.2461007E-2</v>
      </c>
      <c r="O56" s="3">
        <v>4.3057202999999995E-3</v>
      </c>
      <c r="P56" s="3">
        <v>5.1233649999999999E-2</v>
      </c>
      <c r="Q56" s="3">
        <v>-8.0604552999999999E-3</v>
      </c>
      <c r="R56" s="3">
        <v>2.6106833999999998E-4</v>
      </c>
      <c r="S56" s="3">
        <v>-3.2791555E-2</v>
      </c>
      <c r="T56" s="3">
        <v>-5.3827166999999995E-2</v>
      </c>
      <c r="U56" s="3">
        <v>5.1492095000000002E-2</v>
      </c>
      <c r="V56" s="3">
        <v>-2.2082030000000002E-2</v>
      </c>
      <c r="W56" s="3">
        <v>1.0957718E-2</v>
      </c>
      <c r="X56" s="3">
        <v>1.0127543999999999E-2</v>
      </c>
      <c r="Y56" s="3">
        <v>3.0169725000000001E-2</v>
      </c>
      <c r="Z56" s="3">
        <v>-1.1950314E-2</v>
      </c>
      <c r="AA56" s="3">
        <v>4.1431069999999993E-2</v>
      </c>
      <c r="AB56" s="3">
        <v>6.1721443999999993E-2</v>
      </c>
      <c r="AC56" s="3">
        <v>2.8974652E-2</v>
      </c>
      <c r="AD56" s="3">
        <v>1.5405774000000001E-2</v>
      </c>
      <c r="AE56" s="3">
        <v>2.2851467E-2</v>
      </c>
      <c r="AF56" s="3">
        <v>1.2851E-2</v>
      </c>
      <c r="AG56" s="3">
        <v>3.9665579999999999E-2</v>
      </c>
      <c r="AH56" s="3">
        <v>4.8862099999999999E-2</v>
      </c>
      <c r="AI56" s="3">
        <v>1.8982171999999999E-2</v>
      </c>
      <c r="AJ56" s="3"/>
      <c r="AK56" s="3"/>
      <c r="AL56" s="3"/>
    </row>
    <row r="57" spans="1:38" x14ac:dyDescent="0.45">
      <c r="A57" s="2">
        <v>45936</v>
      </c>
      <c r="B57" s="3">
        <v>4.0884256000000001E-2</v>
      </c>
      <c r="C57" s="3">
        <v>-5.2616120000000002E-2</v>
      </c>
      <c r="D57" s="3">
        <v>-2.8443933000000001E-2</v>
      </c>
      <c r="E57" s="3">
        <v>-3.6838055000000001E-2</v>
      </c>
      <c r="F57" s="3">
        <v>1.151216E-2</v>
      </c>
      <c r="G57" s="3">
        <v>0.10991144</v>
      </c>
      <c r="H57" s="3">
        <v>4.2349100000000001E-2</v>
      </c>
      <c r="I57" s="3">
        <v>8.0053090000000007E-2</v>
      </c>
      <c r="J57" s="3">
        <v>2.5223255E-2</v>
      </c>
      <c r="K57" s="3">
        <v>0.15143287999999999</v>
      </c>
      <c r="L57" s="3">
        <v>2.2949695999999999E-2</v>
      </c>
      <c r="M57" s="3">
        <v>0.12776242999999998</v>
      </c>
      <c r="N57" s="3">
        <v>3.1230210999999997E-2</v>
      </c>
      <c r="O57" s="3">
        <v>5.3353309999999996E-3</v>
      </c>
      <c r="P57" s="3">
        <v>8.6226579999999997E-2</v>
      </c>
      <c r="Q57" s="3">
        <v>-2.4123967E-2</v>
      </c>
      <c r="R57" s="3">
        <v>1.6476869999999998E-2</v>
      </c>
      <c r="S57" s="3">
        <v>4.2004585000000004E-3</v>
      </c>
      <c r="T57" s="3">
        <v>-6.2630176999999999E-3</v>
      </c>
      <c r="U57" s="3">
        <v>2.5876521999999999E-2</v>
      </c>
      <c r="V57" s="3">
        <v>9.5967769999999994E-2</v>
      </c>
      <c r="W57" s="3">
        <v>2.1786213000000002E-2</v>
      </c>
      <c r="X57" s="3">
        <v>1.5967368999999999E-2</v>
      </c>
      <c r="Y57" s="3">
        <v>4.3319105999999996E-2</v>
      </c>
      <c r="Z57" s="3">
        <v>2.6124716000000003E-2</v>
      </c>
      <c r="AA57" s="3">
        <v>5.1654459999999999E-2</v>
      </c>
      <c r="AB57" s="3">
        <v>8.3556175000000007E-3</v>
      </c>
      <c r="AC57" s="3">
        <v>2.4789452999999999E-2</v>
      </c>
      <c r="AD57" s="3">
        <v>5.6157947000000007E-2</v>
      </c>
      <c r="AE57" s="3">
        <v>4.0514945999999996E-2</v>
      </c>
      <c r="AF57" s="3">
        <v>3.8298844999999998E-2</v>
      </c>
      <c r="AG57" s="3">
        <v>0.11613989</v>
      </c>
      <c r="AH57" s="3">
        <v>2.659011E-2</v>
      </c>
      <c r="AI57" s="3">
        <v>3.5671830000000002E-2</v>
      </c>
      <c r="AJ57" s="3"/>
      <c r="AK57" s="3"/>
      <c r="AL57" s="3"/>
    </row>
    <row r="58" spans="1:38" x14ac:dyDescent="0.45">
      <c r="A58" s="2">
        <v>45967</v>
      </c>
      <c r="B58" s="3">
        <v>6.4009430000000001E-3</v>
      </c>
      <c r="C58" s="3">
        <v>9.9843979999999999E-2</v>
      </c>
      <c r="D58" s="3">
        <v>5.8553457000000003E-2</v>
      </c>
      <c r="E58" s="3">
        <v>-3.9442240000000003E-2</v>
      </c>
      <c r="F58" s="3">
        <v>4.4294119999999999E-2</v>
      </c>
      <c r="G58" s="3">
        <v>-1.5308558999999999E-2</v>
      </c>
      <c r="H58" s="3">
        <v>-3.0663013000000001E-3</v>
      </c>
      <c r="I58" s="3">
        <v>-1.3839006000000002E-3</v>
      </c>
      <c r="J58" s="3">
        <v>2.3380160000000001E-2</v>
      </c>
      <c r="K58" s="3">
        <v>0.10297239</v>
      </c>
      <c r="L58" s="3">
        <v>5.7076929999999998E-2</v>
      </c>
      <c r="M58" s="3">
        <v>-2.4800955999999999E-2</v>
      </c>
      <c r="N58" s="3">
        <v>-4.4508989999999998E-2</v>
      </c>
      <c r="O58" s="3">
        <v>1.6300201E-2</v>
      </c>
      <c r="P58" s="3">
        <v>-4.0066004000000002E-2</v>
      </c>
      <c r="Q58" s="3">
        <v>1.2750387E-2</v>
      </c>
      <c r="R58" s="3">
        <v>2.1522402999999999E-2</v>
      </c>
      <c r="S58" s="3">
        <v>2.3304461999999998E-2</v>
      </c>
      <c r="T58" s="3">
        <v>1.4180541E-2</v>
      </c>
      <c r="U58" s="3">
        <v>-6.048274E-2</v>
      </c>
      <c r="V58" s="3">
        <v>-3.6055982E-2</v>
      </c>
      <c r="W58" s="3">
        <v>-3.8228452000000003E-2</v>
      </c>
      <c r="X58" s="3">
        <v>-3.289479E-2</v>
      </c>
      <c r="Y58" s="3">
        <v>-3.021443E-2</v>
      </c>
      <c r="Z58" s="3">
        <v>-4.7854780000000006E-2</v>
      </c>
      <c r="AA58" s="3">
        <v>-3.722787E-3</v>
      </c>
      <c r="AB58" s="3">
        <v>-2.6445687000000002E-2</v>
      </c>
      <c r="AC58" s="3">
        <v>9.3936919999999997E-4</v>
      </c>
      <c r="AD58" s="3">
        <v>6.5162180000000007E-3</v>
      </c>
      <c r="AE58" s="3">
        <v>-1.9356012E-3</v>
      </c>
      <c r="AF58" s="3">
        <v>-1.7424762E-2</v>
      </c>
      <c r="AG58" s="3">
        <v>-2.8820394999999999E-2</v>
      </c>
      <c r="AH58" s="3">
        <v>-2.6522994000000001E-2</v>
      </c>
      <c r="AI58" s="3">
        <v>-9.7588897000000004E-3</v>
      </c>
      <c r="AJ58" s="3"/>
      <c r="AK58" s="3"/>
      <c r="AL58" s="3"/>
    </row>
    <row r="59" spans="1:38" x14ac:dyDescent="0.45">
      <c r="A59" s="2">
        <v>45996</v>
      </c>
      <c r="B59" s="3">
        <v>-1.0985851E-2</v>
      </c>
      <c r="C59" s="3">
        <v>8.3120579999999999E-2</v>
      </c>
      <c r="D59" s="3">
        <v>2.0607351999999999E-2</v>
      </c>
      <c r="E59" s="3">
        <v>2.5715469999999997E-2</v>
      </c>
      <c r="F59" s="3">
        <v>-1.5022159E-2</v>
      </c>
      <c r="G59" s="3">
        <v>8.5506079999999998E-2</v>
      </c>
      <c r="H59" s="3">
        <v>2.422142E-2</v>
      </c>
      <c r="I59" s="3">
        <v>6.3134429999999993E-3</v>
      </c>
      <c r="J59" s="3">
        <v>2.5533795000000001E-2</v>
      </c>
      <c r="K59" s="3">
        <v>8.4483623999999993E-3</v>
      </c>
      <c r="L59" s="3">
        <v>1.5293360000000001E-2</v>
      </c>
      <c r="M59" s="3">
        <v>6.5620065000000005E-2</v>
      </c>
      <c r="N59" s="3">
        <v>6.3710570000000008E-2</v>
      </c>
      <c r="O59" s="3">
        <v>6.5274239999999996E-3</v>
      </c>
      <c r="P59" s="3">
        <v>-2.0478367999999997E-2</v>
      </c>
      <c r="Q59" s="3">
        <v>-2.7214705999999998E-2</v>
      </c>
      <c r="R59" s="3">
        <v>-3.0107140000000001E-2</v>
      </c>
      <c r="S59" s="3">
        <v>-1.1970818000000001E-2</v>
      </c>
      <c r="T59" s="3">
        <v>-4.6607851999999998E-3</v>
      </c>
      <c r="U59" s="3">
        <v>7.6789856000000004E-2</v>
      </c>
      <c r="V59" s="3">
        <v>-5.3435086999999999E-2</v>
      </c>
      <c r="W59" s="3">
        <v>1.4600754000000001E-2</v>
      </c>
      <c r="X59" s="3">
        <v>-4.535079E-3</v>
      </c>
      <c r="Y59" s="3">
        <v>7.1155786999999998E-2</v>
      </c>
      <c r="Z59" s="3">
        <v>2.5253773E-2</v>
      </c>
      <c r="AA59" s="3">
        <v>8.9199542999999996E-3</v>
      </c>
      <c r="AB59" s="3">
        <v>5.0887346000000007E-2</v>
      </c>
      <c r="AC59" s="3">
        <v>1.4077902E-2</v>
      </c>
      <c r="AD59" s="3">
        <v>2.2577524000000002E-2</v>
      </c>
      <c r="AE59" s="3">
        <v>2.2944570000000001E-2</v>
      </c>
      <c r="AF59" s="3">
        <v>2.7637005000000003E-2</v>
      </c>
      <c r="AG59" s="3">
        <v>1.01794E-2</v>
      </c>
      <c r="AH59" s="3">
        <v>2.958703E-2</v>
      </c>
      <c r="AI59" s="3">
        <v>2.3768067E-2</v>
      </c>
      <c r="AJ59" s="3"/>
      <c r="AK59" s="3"/>
      <c r="AL59" s="3"/>
    </row>
    <row r="60" spans="1:38" x14ac:dyDescent="0.45">
      <c r="A60" s="2">
        <v>46028</v>
      </c>
      <c r="B60" s="3">
        <v>5.9074399999999999E-2</v>
      </c>
      <c r="C60" s="3">
        <v>0.11841046999999999</v>
      </c>
      <c r="D60" s="3">
        <v>2.3643732000000001E-2</v>
      </c>
      <c r="E60" s="3">
        <v>5.8863044000000003E-2</v>
      </c>
      <c r="F60" s="3">
        <v>0.12118052999999999</v>
      </c>
      <c r="G60" s="3">
        <v>0.14910995500000002</v>
      </c>
      <c r="H60" s="3">
        <v>5.36325E-2</v>
      </c>
      <c r="I60" s="3">
        <v>5.3759216999999998E-2</v>
      </c>
      <c r="J60" s="3">
        <v>3.962338E-2</v>
      </c>
      <c r="K60" s="3">
        <v>0.16711258000000001</v>
      </c>
      <c r="L60" s="3">
        <v>5.4390429999999997E-2</v>
      </c>
      <c r="M60" s="3">
        <v>0.13050127</v>
      </c>
      <c r="N60" s="3">
        <v>3.5514355000000004E-2</v>
      </c>
      <c r="O60" s="3">
        <v>2.0381212E-3</v>
      </c>
      <c r="P60" s="3">
        <v>1.3119459E-2</v>
      </c>
      <c r="Q60" s="3">
        <v>3.4829378000000001E-2</v>
      </c>
      <c r="R60" s="3">
        <v>7.6937674999999993E-4</v>
      </c>
      <c r="S60" s="3">
        <v>9.7831360000000006E-2</v>
      </c>
      <c r="T60" s="3">
        <v>2.0559192E-2</v>
      </c>
      <c r="U60" s="3">
        <v>4.3950319999999994E-2</v>
      </c>
      <c r="V60" s="3">
        <v>7.552624E-3</v>
      </c>
      <c r="W60" s="3">
        <v>1.6107202000000001E-2</v>
      </c>
      <c r="X60" s="3">
        <v>2.2974133000000001E-2</v>
      </c>
      <c r="Y60" s="3">
        <v>3.4713506999999998E-2</v>
      </c>
      <c r="Z60" s="3">
        <v>4.1535853999999997E-2</v>
      </c>
      <c r="AA60" s="3">
        <v>3.005302E-2</v>
      </c>
      <c r="AB60" s="3">
        <v>4.3425800000000001E-2</v>
      </c>
      <c r="AC60" s="3">
        <v>6.256652E-2</v>
      </c>
      <c r="AD60" s="3">
        <v>-2.0153521999999998E-3</v>
      </c>
      <c r="AE60" s="3">
        <v>1.1880398E-2</v>
      </c>
      <c r="AF60" s="3">
        <v>2.7149916E-2</v>
      </c>
      <c r="AG60" s="3">
        <v>7.1823597000000003E-2</v>
      </c>
      <c r="AH60" s="3">
        <v>4.888642E-2</v>
      </c>
      <c r="AI60" s="3">
        <v>5.7277202999999999E-2</v>
      </c>
      <c r="AJ60" s="3"/>
      <c r="AK60" s="3"/>
      <c r="AL60" s="3"/>
    </row>
    <row r="61" spans="1:38" x14ac:dyDescent="0.45">
      <c r="A61" s="2">
        <v>46059</v>
      </c>
      <c r="B61" s="3">
        <v>-6.4533949999999998E-3</v>
      </c>
      <c r="C61" s="3">
        <v>6.3219786E-2</v>
      </c>
      <c r="D61" s="3">
        <v>-7.7568109999999996E-2</v>
      </c>
      <c r="E61" s="3">
        <v>2.8868318E-2</v>
      </c>
      <c r="F61" s="3">
        <v>4.5780420000000002E-2</v>
      </c>
      <c r="G61" s="3">
        <v>0.14913309</v>
      </c>
      <c r="H61" s="3">
        <v>7.0213555999999996E-2</v>
      </c>
      <c r="I61" s="3">
        <v>6.4104557000000006E-2</v>
      </c>
      <c r="J61" s="3">
        <v>0.14034843</v>
      </c>
      <c r="K61" s="3">
        <v>0.15890717499999998</v>
      </c>
      <c r="L61" s="3">
        <v>0.13440048000000002</v>
      </c>
      <c r="M61" s="3">
        <v>2.7907609999999999E-2</v>
      </c>
      <c r="N61" s="3">
        <v>0.11544741</v>
      </c>
      <c r="O61" s="3">
        <v>-1.4792979E-2</v>
      </c>
      <c r="P61" s="3">
        <v>-1.6584277000000001E-2</v>
      </c>
      <c r="Q61" s="3">
        <v>3.0219436000000002E-2</v>
      </c>
      <c r="R61" s="3">
        <v>6.2176942999999998E-2</v>
      </c>
      <c r="S61" s="3">
        <v>0.110688095</v>
      </c>
      <c r="T61" s="3">
        <v>0.11866151999999999</v>
      </c>
      <c r="U61" s="3">
        <v>-7.2053489999999998E-2</v>
      </c>
      <c r="V61" s="3">
        <v>7.3454021999999994E-2</v>
      </c>
      <c r="W61" s="3">
        <v>3.1472921000000001E-2</v>
      </c>
      <c r="X61" s="3">
        <v>6.5685152999999996E-2</v>
      </c>
      <c r="Y61" s="3">
        <v>6.5872669999999999E-3</v>
      </c>
      <c r="Z61" s="3">
        <v>9.2742442999999997E-3</v>
      </c>
      <c r="AA61" s="3">
        <v>7.6200843000000004E-2</v>
      </c>
      <c r="AB61" s="3">
        <v>4.1948794999999997E-2</v>
      </c>
      <c r="AC61" s="3">
        <v>4.1065574000000001E-2</v>
      </c>
      <c r="AD61" s="3">
        <v>-2.2087753000000002E-2</v>
      </c>
      <c r="AE61" s="3">
        <v>-1.7201304E-3</v>
      </c>
      <c r="AF61" s="3">
        <v>1.7543911999999998E-2</v>
      </c>
      <c r="AG61" s="3">
        <v>2.6307106E-2</v>
      </c>
      <c r="AH61" s="3">
        <v>5.6276200000000005E-2</v>
      </c>
      <c r="AI61" s="3">
        <v>1.7905593000000001E-2</v>
      </c>
      <c r="AJ61" s="3"/>
      <c r="AK61" s="3"/>
      <c r="AL61" s="3"/>
    </row>
    <row r="62" spans="1:38" x14ac:dyDescent="0.45">
      <c r="A62" s="2">
        <v>46087</v>
      </c>
      <c r="B62" s="3">
        <v>-1.0448991999999999E-2</v>
      </c>
      <c r="C62" s="3">
        <v>-0.13063658</v>
      </c>
      <c r="D62" s="3">
        <v>-7.3295535999999994E-2</v>
      </c>
      <c r="E62" s="3">
        <v>-4.6389820000000005E-2</v>
      </c>
      <c r="F62" s="3">
        <v>-6.5137090000000009E-2</v>
      </c>
      <c r="G62" s="3">
        <v>-4.8213242999999996E-2</v>
      </c>
      <c r="H62" s="3">
        <v>-3.4832537000000004E-2</v>
      </c>
      <c r="I62" s="3">
        <v>2.9978751999999997E-3</v>
      </c>
      <c r="J62" s="3">
        <v>-6.9487930000000003E-2</v>
      </c>
      <c r="K62" s="3">
        <v>2.2371888000000003E-2</v>
      </c>
      <c r="L62" s="3">
        <v>-3.7140607999999999E-2</v>
      </c>
      <c r="M62" s="3">
        <v>-5.413258E-2</v>
      </c>
      <c r="N62" s="3">
        <v>-0.12808037</v>
      </c>
      <c r="O62" s="3">
        <v>-6.1561526999999998E-2</v>
      </c>
      <c r="P62" s="3">
        <v>-7.7671409999999996E-2</v>
      </c>
      <c r="Q62" s="3">
        <v>-5.9428333999999999E-2</v>
      </c>
      <c r="R62" s="3">
        <v>4.1624546000000005E-2</v>
      </c>
      <c r="S62" s="3">
        <v>-7.6395693000000001E-2</v>
      </c>
      <c r="T62" s="3">
        <v>-0.12103080999999999</v>
      </c>
      <c r="U62" s="3">
        <v>-2.6899636000000001E-2</v>
      </c>
      <c r="V62" s="3">
        <v>-6.6666719999999999E-2</v>
      </c>
      <c r="W62" s="3">
        <v>-4.3067216999999998E-2</v>
      </c>
      <c r="X62" s="3">
        <v>8.1473589999999999E-3</v>
      </c>
      <c r="Y62" s="3">
        <v>2.7631401999999999E-2</v>
      </c>
      <c r="Z62" s="3">
        <v>-6.0418070000000004E-2</v>
      </c>
      <c r="AA62" s="3">
        <v>-4.8993349999999998E-2</v>
      </c>
      <c r="AB62" s="3">
        <v>-2.9957174999999999E-2</v>
      </c>
      <c r="AC62" s="3">
        <v>-1.8345416E-2</v>
      </c>
      <c r="AD62" s="3">
        <v>-7.6602099999999998E-3</v>
      </c>
      <c r="AE62" s="3">
        <v>-2.1676123000000002E-2</v>
      </c>
      <c r="AF62" s="3">
        <v>-4.9245653E-2</v>
      </c>
      <c r="AG62" s="3">
        <v>-5.5940630000000005E-2</v>
      </c>
      <c r="AH62" s="3">
        <v>-2.0782113000000001E-2</v>
      </c>
      <c r="AI62" s="3">
        <v>-5.7391585999999994E-2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-1.0448991999999999E-2</v>
      </c>
      <c r="C67" s="3">
        <f t="shared" ref="C67:AI67" si="2">C62</f>
        <v>-0.13063658</v>
      </c>
      <c r="D67" s="3">
        <f t="shared" si="2"/>
        <v>-7.3295535999999994E-2</v>
      </c>
      <c r="E67" s="3">
        <f t="shared" si="2"/>
        <v>-4.6389820000000005E-2</v>
      </c>
      <c r="F67" s="3">
        <f t="shared" si="2"/>
        <v>-6.5137090000000009E-2</v>
      </c>
      <c r="G67" s="3">
        <f t="shared" si="2"/>
        <v>-4.8213242999999996E-2</v>
      </c>
      <c r="H67" s="3">
        <f t="shared" si="2"/>
        <v>-3.4832537000000004E-2</v>
      </c>
      <c r="I67" s="3">
        <f t="shared" si="2"/>
        <v>2.9978751999999997E-3</v>
      </c>
      <c r="J67" s="3">
        <f t="shared" si="2"/>
        <v>-6.9487930000000003E-2</v>
      </c>
      <c r="K67" s="3">
        <f t="shared" si="2"/>
        <v>2.2371888000000003E-2</v>
      </c>
      <c r="L67" s="3">
        <f t="shared" si="2"/>
        <v>-3.7140607999999999E-2</v>
      </c>
      <c r="M67" s="3">
        <f t="shared" si="2"/>
        <v>-5.413258E-2</v>
      </c>
      <c r="N67" s="3">
        <f t="shared" si="2"/>
        <v>-0.12808037</v>
      </c>
      <c r="O67" s="3">
        <f t="shared" si="2"/>
        <v>-6.1561526999999998E-2</v>
      </c>
      <c r="P67" s="3">
        <f t="shared" si="2"/>
        <v>-7.7671409999999996E-2</v>
      </c>
      <c r="Q67" s="3">
        <f t="shared" si="2"/>
        <v>-5.9428333999999999E-2</v>
      </c>
      <c r="R67" s="3">
        <f t="shared" si="2"/>
        <v>4.1624546000000005E-2</v>
      </c>
      <c r="S67" s="3">
        <f t="shared" si="2"/>
        <v>-7.6395693000000001E-2</v>
      </c>
      <c r="T67" s="3">
        <f t="shared" si="2"/>
        <v>-0.12103080999999999</v>
      </c>
      <c r="U67" s="3">
        <f t="shared" si="2"/>
        <v>-2.6899636000000001E-2</v>
      </c>
      <c r="V67" s="3">
        <f t="shared" si="2"/>
        <v>-6.6666719999999999E-2</v>
      </c>
      <c r="W67" s="3">
        <f t="shared" si="2"/>
        <v>-4.3067216999999998E-2</v>
      </c>
      <c r="X67" s="3">
        <f t="shared" si="2"/>
        <v>8.1473589999999999E-3</v>
      </c>
      <c r="Y67" s="3">
        <f t="shared" si="2"/>
        <v>2.7631401999999999E-2</v>
      </c>
      <c r="Z67" s="3">
        <f t="shared" si="2"/>
        <v>-6.0418070000000004E-2</v>
      </c>
      <c r="AA67" s="3">
        <f t="shared" si="2"/>
        <v>-4.8993349999999998E-2</v>
      </c>
      <c r="AB67" s="3">
        <f t="shared" si="2"/>
        <v>-2.9957174999999999E-2</v>
      </c>
      <c r="AC67" s="3">
        <f t="shared" si="2"/>
        <v>-1.8345416E-2</v>
      </c>
      <c r="AD67" s="3">
        <f t="shared" si="2"/>
        <v>-7.6602099999999998E-3</v>
      </c>
      <c r="AE67" s="3">
        <f t="shared" si="2"/>
        <v>-2.1676123000000002E-2</v>
      </c>
      <c r="AF67" s="3">
        <f t="shared" si="2"/>
        <v>-4.9245653E-2</v>
      </c>
      <c r="AG67" s="3">
        <f t="shared" si="2"/>
        <v>-5.5940630000000005E-2</v>
      </c>
      <c r="AH67" s="3">
        <f t="shared" si="2"/>
        <v>-2.0782113000000001E-2</v>
      </c>
      <c r="AI67" s="3">
        <f t="shared" si="2"/>
        <v>-5.7391585999999994E-2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2.2001746655737325E-4</v>
      </c>
      <c r="C68" s="4">
        <f t="shared" si="3"/>
        <v>1.0373860678688522E-2</v>
      </c>
      <c r="D68" s="4">
        <f t="shared" si="3"/>
        <v>-2.5045021418032792E-3</v>
      </c>
      <c r="E68" s="4">
        <f t="shared" si="3"/>
        <v>-7.833778704918027E-4</v>
      </c>
      <c r="F68" s="4">
        <f t="shared" si="3"/>
        <v>1.7129173070491801E-2</v>
      </c>
      <c r="G68" s="4">
        <f t="shared" si="3"/>
        <v>2.0205948311991805E-2</v>
      </c>
      <c r="H68" s="4">
        <f t="shared" si="3"/>
        <v>4.7660217249180323E-3</v>
      </c>
      <c r="I68" s="4">
        <f t="shared" si="3"/>
        <v>1.1296136853114751E-2</v>
      </c>
      <c r="J68" s="4">
        <f t="shared" si="3"/>
        <v>1.3698389073770493E-2</v>
      </c>
      <c r="K68" s="4">
        <f t="shared" si="3"/>
        <v>9.1924029245901619E-3</v>
      </c>
      <c r="L68" s="4">
        <f t="shared" si="3"/>
        <v>9.455706542622953E-3</v>
      </c>
      <c r="M68" s="4">
        <f t="shared" si="3"/>
        <v>1.24792698E-2</v>
      </c>
      <c r="N68" s="4">
        <f t="shared" si="3"/>
        <v>2.1749477355737706E-2</v>
      </c>
      <c r="O68" s="4">
        <f t="shared" si="3"/>
        <v>4.7884602540983626E-3</v>
      </c>
      <c r="P68" s="4">
        <f t="shared" si="3"/>
        <v>-2.8648575540983637E-3</v>
      </c>
      <c r="Q68" s="4">
        <f t="shared" si="3"/>
        <v>4.2745012180327863E-3</v>
      </c>
      <c r="R68" s="4">
        <f t="shared" si="3"/>
        <v>-1.8740179196721261E-4</v>
      </c>
      <c r="S68" s="4">
        <f t="shared" si="3"/>
        <v>1.062568062786886E-2</v>
      </c>
      <c r="T68" s="4">
        <f t="shared" si="3"/>
        <v>1.0758024040983603E-2</v>
      </c>
      <c r="U68" s="4">
        <f t="shared" si="3"/>
        <v>3.2206593180327857E-3</v>
      </c>
      <c r="V68" s="4">
        <f t="shared" si="3"/>
        <v>5.8611290196721325E-3</v>
      </c>
      <c r="W68" s="4">
        <f t="shared" si="3"/>
        <v>-3.5435287691803277E-3</v>
      </c>
      <c r="X68" s="4">
        <f t="shared" si="3"/>
        <v>6.9889990491803283E-3</v>
      </c>
      <c r="Y68" s="4">
        <f t="shared" si="3"/>
        <v>1.1881259512786886E-2</v>
      </c>
      <c r="Z68" s="4">
        <f t="shared" si="3"/>
        <v>7.9663409909836048E-3</v>
      </c>
      <c r="AA68" s="4">
        <f t="shared" si="3"/>
        <v>6.4906509901639349E-3</v>
      </c>
      <c r="AB68" s="4">
        <f t="shared" si="3"/>
        <v>7.9955427393442659E-3</v>
      </c>
      <c r="AC68" s="4">
        <f t="shared" si="3"/>
        <v>1.1348606732786889E-2</v>
      </c>
      <c r="AD68" s="4">
        <f t="shared" si="3"/>
        <v>1.2229963276721312E-2</v>
      </c>
      <c r="AE68" s="4">
        <f t="shared" si="3"/>
        <v>1.1142641763114752E-2</v>
      </c>
      <c r="AF68" s="4">
        <f t="shared" si="3"/>
        <v>8.5430071985245926E-3</v>
      </c>
      <c r="AG68" s="4">
        <f t="shared" si="3"/>
        <v>9.0525220491803251E-3</v>
      </c>
      <c r="AH68" s="4">
        <f t="shared" si="3"/>
        <v>8.738928317049182E-3</v>
      </c>
      <c r="AI68" s="4">
        <f t="shared" si="3"/>
        <v>1.4061904206557372E-2</v>
      </c>
    </row>
    <row r="69" spans="1:38" x14ac:dyDescent="0.45">
      <c r="A69" t="s">
        <v>21</v>
      </c>
      <c r="B69" s="4">
        <f t="shared" ref="B69:AI69" si="4">STDEV(B40:B62)</f>
        <v>0.10253685311837832</v>
      </c>
      <c r="C69" s="4">
        <f t="shared" si="4"/>
        <v>7.2381800811798944E-2</v>
      </c>
      <c r="D69" s="4">
        <f t="shared" si="4"/>
        <v>6.3887118561465492E-2</v>
      </c>
      <c r="E69" s="4">
        <f t="shared" si="4"/>
        <v>5.4235767259736056E-2</v>
      </c>
      <c r="F69" s="4">
        <f t="shared" si="4"/>
        <v>7.0955053283218855E-2</v>
      </c>
      <c r="G69" s="4">
        <f t="shared" si="4"/>
        <v>6.905473887655289E-2</v>
      </c>
      <c r="H69" s="4">
        <f t="shared" si="4"/>
        <v>4.2395568665408265E-2</v>
      </c>
      <c r="I69" s="4">
        <f t="shared" si="4"/>
        <v>6.738537111782332E-2</v>
      </c>
      <c r="J69" s="4">
        <f t="shared" si="4"/>
        <v>6.6638818128211569E-2</v>
      </c>
      <c r="K69" s="4">
        <f t="shared" si="4"/>
        <v>8.1366027240476715E-2</v>
      </c>
      <c r="L69" s="4">
        <f t="shared" si="4"/>
        <v>6.5684332863768624E-2</v>
      </c>
      <c r="M69" s="4">
        <f t="shared" si="4"/>
        <v>7.715612448395183E-2</v>
      </c>
      <c r="N69" s="4">
        <f t="shared" si="4"/>
        <v>6.3601037602388111E-2</v>
      </c>
      <c r="O69" s="4">
        <f t="shared" si="4"/>
        <v>3.6563460036641751E-2</v>
      </c>
      <c r="P69" s="4">
        <f t="shared" si="4"/>
        <v>0.10812169517660462</v>
      </c>
      <c r="Q69" s="4">
        <f t="shared" si="4"/>
        <v>3.8727557549667301E-2</v>
      </c>
      <c r="R69" s="4">
        <f t="shared" si="4"/>
        <v>5.2923830102634156E-2</v>
      </c>
      <c r="S69" s="4">
        <f t="shared" si="4"/>
        <v>6.9982509352328554E-2</v>
      </c>
      <c r="T69" s="4">
        <f t="shared" si="4"/>
        <v>6.4627512257666497E-2</v>
      </c>
      <c r="U69" s="4">
        <f t="shared" si="4"/>
        <v>6.9161212495121721E-2</v>
      </c>
      <c r="V69" s="4">
        <f t="shared" si="4"/>
        <v>4.0974977928559406E-2</v>
      </c>
      <c r="W69" s="4">
        <f t="shared" si="4"/>
        <v>3.9824537862105706E-2</v>
      </c>
      <c r="X69" s="4">
        <f t="shared" si="4"/>
        <v>5.6869965587857792E-2</v>
      </c>
      <c r="Y69" s="4">
        <f t="shared" si="4"/>
        <v>3.95220898458402E-2</v>
      </c>
      <c r="Z69" s="4">
        <f t="shared" si="4"/>
        <v>6.2769676379108685E-2</v>
      </c>
      <c r="AA69" s="4">
        <f t="shared" si="4"/>
        <v>5.9894289220513042E-2</v>
      </c>
      <c r="AB69" s="4">
        <f t="shared" si="4"/>
        <v>4.8722010128614227E-2</v>
      </c>
      <c r="AC69" s="4">
        <f t="shared" si="4"/>
        <v>3.9109035239032065E-2</v>
      </c>
      <c r="AD69" s="4">
        <f t="shared" si="4"/>
        <v>6.2895350735375541E-2</v>
      </c>
      <c r="AE69" s="4">
        <f t="shared" si="4"/>
        <v>4.6795695232148195E-2</v>
      </c>
      <c r="AF69" s="4">
        <f t="shared" si="4"/>
        <v>4.9337754001961338E-2</v>
      </c>
      <c r="AG69" s="4">
        <f t="shared" si="4"/>
        <v>6.5489241370926876E-2</v>
      </c>
      <c r="AH69" s="4">
        <f t="shared" si="4"/>
        <v>6.2589311572619544E-2</v>
      </c>
      <c r="AI69" s="4">
        <f t="shared" si="4"/>
        <v>5.6178721582944617E-2</v>
      </c>
    </row>
    <row r="70" spans="1:38" x14ac:dyDescent="0.45">
      <c r="A70" t="s">
        <v>36</v>
      </c>
      <c r="B70" s="3">
        <f>B69*2</f>
        <v>0.20507370623675664</v>
      </c>
      <c r="C70" s="3">
        <f t="shared" ref="C70:AI70" si="5">C69*2</f>
        <v>0.14476360162359789</v>
      </c>
      <c r="D70" s="3">
        <f t="shared" si="5"/>
        <v>0.12777423712293098</v>
      </c>
      <c r="E70" s="3">
        <f t="shared" si="5"/>
        <v>0.10847153451947211</v>
      </c>
      <c r="F70" s="3">
        <f t="shared" si="5"/>
        <v>0.14191010656643771</v>
      </c>
      <c r="G70" s="3">
        <f t="shared" si="5"/>
        <v>0.13810947775310578</v>
      </c>
      <c r="H70" s="3">
        <f t="shared" si="5"/>
        <v>8.4791137330816529E-2</v>
      </c>
      <c r="I70" s="3">
        <f t="shared" si="5"/>
        <v>0.13477074223564664</v>
      </c>
      <c r="J70" s="3">
        <f t="shared" si="5"/>
        <v>0.13327763625642314</v>
      </c>
      <c r="K70" s="3">
        <f t="shared" si="5"/>
        <v>0.16273205448095343</v>
      </c>
      <c r="L70" s="3">
        <f t="shared" si="5"/>
        <v>0.13136866572753725</v>
      </c>
      <c r="M70" s="3">
        <f t="shared" si="5"/>
        <v>0.15431224896790366</v>
      </c>
      <c r="N70" s="3">
        <f t="shared" si="5"/>
        <v>0.12720207520477622</v>
      </c>
      <c r="O70" s="3">
        <f t="shared" si="5"/>
        <v>7.3126920073283502E-2</v>
      </c>
      <c r="P70" s="3">
        <f t="shared" si="5"/>
        <v>0.21624339035320925</v>
      </c>
      <c r="Q70" s="3">
        <f t="shared" si="5"/>
        <v>7.7455115099334601E-2</v>
      </c>
      <c r="R70" s="3">
        <f t="shared" si="5"/>
        <v>0.10584766020526831</v>
      </c>
      <c r="S70" s="3">
        <f t="shared" si="5"/>
        <v>0.13996501870465711</v>
      </c>
      <c r="T70" s="3">
        <f t="shared" si="5"/>
        <v>0.12925502451533299</v>
      </c>
      <c r="U70" s="3">
        <f t="shared" si="5"/>
        <v>0.13832242499024344</v>
      </c>
      <c r="V70" s="3">
        <f t="shared" si="5"/>
        <v>8.1949955857118811E-2</v>
      </c>
      <c r="W70" s="3">
        <f t="shared" si="5"/>
        <v>7.9649075724211413E-2</v>
      </c>
      <c r="X70" s="3">
        <f t="shared" si="5"/>
        <v>0.11373993117571558</v>
      </c>
      <c r="Y70" s="3">
        <f t="shared" si="5"/>
        <v>7.90441796916804E-2</v>
      </c>
      <c r="Z70" s="3">
        <f t="shared" si="5"/>
        <v>0.12553935275821737</v>
      </c>
      <c r="AA70" s="3">
        <f t="shared" si="5"/>
        <v>0.11978857844102608</v>
      </c>
      <c r="AB70" s="3">
        <f t="shared" si="5"/>
        <v>9.7444020257228453E-2</v>
      </c>
      <c r="AC70" s="3">
        <f t="shared" si="5"/>
        <v>7.8218070478064131E-2</v>
      </c>
      <c r="AD70" s="3">
        <f t="shared" si="5"/>
        <v>0.12579070147075108</v>
      </c>
      <c r="AE70" s="3">
        <f t="shared" si="5"/>
        <v>9.359139046429639E-2</v>
      </c>
      <c r="AF70" s="3">
        <f t="shared" si="5"/>
        <v>9.8675508003922677E-2</v>
      </c>
      <c r="AG70" s="3">
        <f t="shared" si="5"/>
        <v>0.13097848274185375</v>
      </c>
      <c r="AH70" s="3">
        <f t="shared" si="5"/>
        <v>0.12517862314523909</v>
      </c>
      <c r="AI70" s="3">
        <f t="shared" si="5"/>
        <v>0.11235744316588923</v>
      </c>
    </row>
    <row r="71" spans="1:38" x14ac:dyDescent="0.45">
      <c r="A71" t="s">
        <v>79</v>
      </c>
      <c r="B71">
        <f>PRICE_DATA!B2</f>
        <v>35.04</v>
      </c>
      <c r="C71">
        <f>PRICE_DATA!C2</f>
        <v>39.33</v>
      </c>
      <c r="D71">
        <f>PRICE_DATA!D2</f>
        <v>16.309999999999999</v>
      </c>
      <c r="E71">
        <f>PRICE_DATA!E2</f>
        <v>25.49</v>
      </c>
      <c r="F71">
        <f>PRICE_DATA!F2</f>
        <v>35.450000000000003</v>
      </c>
      <c r="G71">
        <f>PRICE_DATA!G2</f>
        <v>83.9</v>
      </c>
      <c r="H71">
        <f>PRICE_DATA!H2</f>
        <v>28.54</v>
      </c>
      <c r="I71">
        <f>PRICE_DATA!I2</f>
        <v>70.260000000000005</v>
      </c>
      <c r="J71">
        <f>PRICE_DATA!J2</f>
        <v>74.319999999999993</v>
      </c>
      <c r="K71">
        <f>PRICE_DATA!K2</f>
        <v>127.5</v>
      </c>
      <c r="L71">
        <f>PRICE_DATA!L2</f>
        <v>36.164999999999999</v>
      </c>
      <c r="M71">
        <f>PRICE_DATA!M2</f>
        <v>70.722499999999997</v>
      </c>
      <c r="N71">
        <f>PRICE_DATA!N2</f>
        <v>65.542199999999994</v>
      </c>
      <c r="O71">
        <f>PRICE_DATA!O2</f>
        <v>50</v>
      </c>
      <c r="P71">
        <f>PRICE_DATA!P2</f>
        <v>56.88</v>
      </c>
      <c r="Q71">
        <f>PRICE_DATA!Q2</f>
        <v>18.754999999999999</v>
      </c>
      <c r="R71">
        <f>PRICE_DATA!R2</f>
        <v>1410.37</v>
      </c>
      <c r="S71">
        <f>PRICE_DATA!S2</f>
        <v>37.72</v>
      </c>
      <c r="T71">
        <f>PRICE_DATA!T2</f>
        <v>19.100000000000001</v>
      </c>
      <c r="U71">
        <f>PRICE_DATA!U2</f>
        <v>17.545000000000002</v>
      </c>
      <c r="V71">
        <f>PRICE_DATA!V2</f>
        <v>37.1</v>
      </c>
      <c r="W71">
        <f>PRICE_DATA!W2</f>
        <v>45.55</v>
      </c>
      <c r="X71">
        <f>PRICE_DATA!X2</f>
        <v>28.46</v>
      </c>
      <c r="Y71">
        <f>PRICE_DATA!Y2</f>
        <v>56.53</v>
      </c>
      <c r="Z71">
        <f>PRICE_DATA!Z2</f>
        <v>40.9</v>
      </c>
      <c r="AA71">
        <f>PRICE_DATA!AA2</f>
        <v>85.02</v>
      </c>
      <c r="AB71">
        <f>PRICE_DATA!AB2</f>
        <v>61.2</v>
      </c>
      <c r="AC71">
        <f>PRICE_DATA!AC2</f>
        <v>46.0396</v>
      </c>
      <c r="AD71">
        <f>PRICE_DATA!AD2</f>
        <v>604.98</v>
      </c>
      <c r="AE71">
        <f>PRICE_DATA!AE2</f>
        <v>675.65</v>
      </c>
      <c r="AF71">
        <f>PRICE_DATA!AF2</f>
        <v>44.115000000000002</v>
      </c>
      <c r="AG71">
        <f>PRICE_DATA!AG2</f>
        <v>58.56</v>
      </c>
      <c r="AH71">
        <f>PRICE_DATA!AH2</f>
        <v>51.83</v>
      </c>
      <c r="AI71">
        <f>PRICE_DATA!AI2</f>
        <v>53.05</v>
      </c>
    </row>
    <row r="72" spans="1:38" x14ac:dyDescent="0.45">
      <c r="A72" t="s">
        <v>80</v>
      </c>
      <c r="B72" s="7">
        <f>PRICE_DATA!B204</f>
        <v>32.727849751243781</v>
      </c>
      <c r="C72" s="7">
        <f>PRICE_DATA!C204</f>
        <v>35.910870646766185</v>
      </c>
      <c r="D72" s="7">
        <f>PRICE_DATA!D204</f>
        <v>18.12194029850745</v>
      </c>
      <c r="E72" s="7">
        <f>PRICE_DATA!E204</f>
        <v>26.023568159203982</v>
      </c>
      <c r="F72" s="7">
        <f>PRICE_DATA!F204</f>
        <v>33.64626865671643</v>
      </c>
      <c r="G72" s="7">
        <f>PRICE_DATA!G204</f>
        <v>63.15918706467663</v>
      </c>
      <c r="H72" s="7">
        <f>PRICE_DATA!H204</f>
        <v>26.109054726368147</v>
      </c>
      <c r="I72" s="7">
        <f>PRICE_DATA!I204</f>
        <v>62.935174129353214</v>
      </c>
      <c r="J72" s="7">
        <f>PRICE_DATA!J204</f>
        <v>66.855920398009943</v>
      </c>
      <c r="K72" s="7">
        <f>PRICE_DATA!K204</f>
        <v>89.370646766169131</v>
      </c>
      <c r="L72" s="7">
        <f>PRICE_DATA!L204</f>
        <v>31.190920398009954</v>
      </c>
      <c r="M72" s="7">
        <f>PRICE_DATA!M204</f>
        <v>63.351803482587066</v>
      </c>
      <c r="N72" s="7">
        <f>PRICE_DATA!N204</f>
        <v>64.48343781094529</v>
      </c>
      <c r="O72" s="7">
        <f>PRICE_DATA!O204</f>
        <v>53.570323383084585</v>
      </c>
      <c r="P72" s="7">
        <f>PRICE_DATA!P204</f>
        <v>60.422363184079664</v>
      </c>
      <c r="Q72" s="7">
        <f>PRICE_DATA!Q204</f>
        <v>19.312090547263683</v>
      </c>
      <c r="R72" s="7">
        <f>PRICE_DATA!R204</f>
        <v>1261.6531840796019</v>
      </c>
      <c r="S72" s="7">
        <f>PRICE_DATA!S204</f>
        <v>34.773804975124364</v>
      </c>
      <c r="T72" s="7">
        <f>PRICE_DATA!T204</f>
        <v>19.533789054726373</v>
      </c>
      <c r="U72" s="7">
        <f>PRICE_DATA!U204</f>
        <v>17.222736318407968</v>
      </c>
      <c r="V72" s="7">
        <f>PRICE_DATA!V204</f>
        <v>38.335522388059708</v>
      </c>
      <c r="W72" s="7">
        <f>PRICE_DATA!W204</f>
        <v>45.791445771144254</v>
      </c>
      <c r="X72" s="7">
        <f>PRICE_DATA!X204</f>
        <v>26.831542288557198</v>
      </c>
      <c r="Y72" s="7">
        <f>PRICE_DATA!Y204</f>
        <v>50.464626865671647</v>
      </c>
      <c r="Z72" s="7">
        <f>PRICE_DATA!Z204</f>
        <v>42.039104477611964</v>
      </c>
      <c r="AA72" s="7">
        <f>PRICE_DATA!AA204</f>
        <v>80.558059701492567</v>
      </c>
      <c r="AB72" s="7">
        <f>PRICE_DATA!AB204</f>
        <v>57.238208955223904</v>
      </c>
      <c r="AC72" s="7">
        <f>PRICE_DATA!AC204</f>
        <v>42.565122388059713</v>
      </c>
      <c r="AD72" s="7">
        <f>PRICE_DATA!AD204</f>
        <v>588.5141293532339</v>
      </c>
      <c r="AE72" s="7">
        <f>PRICE_DATA!AE204</f>
        <v>656.15049751243782</v>
      </c>
      <c r="AF72" s="7">
        <f>PRICE_DATA!AF204</f>
        <v>44.130771144278604</v>
      </c>
      <c r="AG72" s="7">
        <f>PRICE_DATA!AG204</f>
        <v>56.86234378109458</v>
      </c>
      <c r="AH72" s="7">
        <f>PRICE_DATA!AH204</f>
        <v>48.009203980099514</v>
      </c>
      <c r="AI72" s="7">
        <f>PRICE_DATA!AI204</f>
        <v>51.738805970149251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1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1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46087</v>
      </c>
      <c r="B2" cm="1">
        <f t="array" ref="B2:B202">_xll.FDS(B1,"FG_PRICE(0,-200D)")</f>
        <v>35.04</v>
      </c>
      <c r="C2" cm="1">
        <f t="array" ref="C2:C202">_xll.FDS(C1,"FG_PRICE(0,-200D)")</f>
        <v>39.33</v>
      </c>
      <c r="D2" cm="1">
        <f t="array" ref="D2:D202">_xll.FDS(D1,"FG_PRICE(0,-200D)")</f>
        <v>16.309999999999999</v>
      </c>
      <c r="E2" cm="1">
        <f t="array" ref="E2:E202">_xll.FDS(E1,"FG_PRICE(0,-200D)")</f>
        <v>25.49</v>
      </c>
      <c r="F2" cm="1">
        <f t="array" ref="F2:F202">_xll.FDS(F1,"FG_PRICE(0,-200D)")</f>
        <v>35.450000000000003</v>
      </c>
      <c r="G2" cm="1">
        <f t="array" ref="G2:G202">_xll.FDS(G1,"FG_PRICE(0,-200D)")</f>
        <v>83.9</v>
      </c>
      <c r="H2" cm="1">
        <f t="array" ref="H2:H202">_xll.FDS(H1,"FG_PRICE(0,-200D)")</f>
        <v>28.54</v>
      </c>
      <c r="I2" cm="1">
        <f t="array" ref="I2:I202">_xll.FDS(I1,"FG_PRICE(0,-200D)")</f>
        <v>70.260000000000005</v>
      </c>
      <c r="J2" cm="1">
        <f t="array" ref="J2:J202">_xll.FDS(J1,"FG_PRICE(0,-200D)")</f>
        <v>74.319999999999993</v>
      </c>
      <c r="K2" cm="1">
        <f t="array" ref="K2:K202">_xll.FDS(K1,"FG_PRICE(0,-200D)")</f>
        <v>127.5</v>
      </c>
      <c r="L2" cm="1">
        <f t="array" ref="L2:L202">_xll.FDS(L1,"FG_PRICE(0,-200D)")</f>
        <v>36.164999999999999</v>
      </c>
      <c r="M2" cm="1">
        <f t="array" ref="M2:M202">_xll.FDS(M1,"FG_PRICE(0,-200D)")</f>
        <v>70.722499999999997</v>
      </c>
      <c r="N2" cm="1">
        <f t="array" ref="N2:N202">_xll.FDS(N1,"FG_PRICE(0,-200D)")</f>
        <v>65.542199999999994</v>
      </c>
      <c r="O2" cm="1">
        <f t="array" ref="O2:O202">_xll.FDS(O1,"FG_PRICE(0,-200D)")</f>
        <v>50</v>
      </c>
      <c r="P2" cm="1">
        <f t="array" ref="P2:P202">_xll.FDS(P1,"FG_PRICE(0,-200D)")</f>
        <v>56.88</v>
      </c>
      <c r="Q2" cm="1">
        <f t="array" ref="Q2:Q202">_xll.FDS(Q1,"FG_PRICE(0,-200D)")</f>
        <v>18.754999999999999</v>
      </c>
      <c r="R2" cm="1">
        <f t="array" ref="R2:R202">_xll.FDS(R1,"FG_PRICE(0,-200D)")</f>
        <v>1410.37</v>
      </c>
      <c r="S2" cm="1">
        <f t="array" ref="S2:S202">_xll.FDS(S1,"FG_PRICE(0,-200D)")</f>
        <v>37.72</v>
      </c>
      <c r="T2" cm="1">
        <f t="array" ref="T2:T202">_xll.FDS(T1,"FG_PRICE(0,-200D)")</f>
        <v>19.100000000000001</v>
      </c>
      <c r="U2" cm="1">
        <f t="array" ref="U2:U202">_xll.FDS(U1,"FG_PRICE(0,-200D)")</f>
        <v>17.545000000000002</v>
      </c>
      <c r="V2" cm="1">
        <f t="array" ref="V2:V202">_xll.FDS(V1,"FG_PRICE(0,-200D)")</f>
        <v>37.1</v>
      </c>
      <c r="W2" cm="1">
        <f t="array" ref="W2:W202">_xll.FDS(W1,"FG_PRICE(0,-200D)")</f>
        <v>45.55</v>
      </c>
      <c r="X2" cm="1">
        <f t="array" ref="X2:X202">_xll.FDS(X1,"FG_PRICE(0,-200D)")</f>
        <v>28.46</v>
      </c>
      <c r="Y2" cm="1">
        <f t="array" ref="Y2:Y202">_xll.FDS(Y1,"FG_PRICE(0,-200D)")</f>
        <v>56.53</v>
      </c>
      <c r="Z2" cm="1">
        <f t="array" ref="Z2:Z202">_xll.FDS(Z1,"FG_PRICE(0,-200D)")</f>
        <v>40.9</v>
      </c>
      <c r="AA2" cm="1">
        <f t="array" ref="AA2:AA202">_xll.FDS(AA1,"FG_PRICE(0,-200D)")</f>
        <v>85.02</v>
      </c>
      <c r="AB2" cm="1">
        <f t="array" ref="AB2:AB202">_xll.FDS(AB1,"FG_PRICE(0,-200D)")</f>
        <v>61.2</v>
      </c>
      <c r="AC2" cm="1">
        <f t="array" ref="AC2:AC202">_xll.FDS(AC1,"FG_PRICE(0,-200D)")</f>
        <v>46.0396</v>
      </c>
      <c r="AD2" cm="1">
        <f t="array" ref="AD2:AD202">_xll.FDS(AD1,"FG_PRICE(0,-200D)")</f>
        <v>604.98</v>
      </c>
      <c r="AE2" cm="1">
        <f t="array" ref="AE2:AE202">_xll.FDS(AE1,"FG_PRICE(0,-200D)")</f>
        <v>675.65</v>
      </c>
      <c r="AF2" cm="1">
        <f t="array" ref="AF2:AF202">_xll.FDS(AF1,"FG_PRICE(0,-200D)")</f>
        <v>44.115000000000002</v>
      </c>
      <c r="AG2" cm="1">
        <f t="array" ref="AG2:AG202">_xll.FDS(AG1,"FG_PRICE(0,-200D)")</f>
        <v>58.56</v>
      </c>
      <c r="AH2" cm="1">
        <f t="array" ref="AH2:AH202">_xll.FDS(AH1,"FG_PRICE(0,-200D)")</f>
        <v>51.83</v>
      </c>
      <c r="AI2" cm="1">
        <f t="array" ref="AI2:AI202">_xll.FDS(AI1,"FG_PRICE(0,-200D)")</f>
        <v>53.05</v>
      </c>
    </row>
    <row r="3" spans="1:35" x14ac:dyDescent="0.45">
      <c r="A3" s="2">
        <v>46086</v>
      </c>
      <c r="B3">
        <v>35.090000000000003</v>
      </c>
      <c r="C3">
        <v>38.97</v>
      </c>
      <c r="D3">
        <v>16.66</v>
      </c>
      <c r="E3">
        <v>26.13</v>
      </c>
      <c r="F3">
        <v>35.799999999999997</v>
      </c>
      <c r="G3">
        <v>84.72</v>
      </c>
      <c r="H3">
        <v>28.54</v>
      </c>
      <c r="I3">
        <v>70.400000000000006</v>
      </c>
      <c r="J3">
        <v>75.25</v>
      </c>
      <c r="K3">
        <v>125.74</v>
      </c>
      <c r="L3">
        <v>36.36</v>
      </c>
      <c r="M3">
        <v>71.42</v>
      </c>
      <c r="N3">
        <v>65.87</v>
      </c>
      <c r="O3">
        <v>50.37</v>
      </c>
      <c r="P3">
        <v>56.18</v>
      </c>
      <c r="Q3">
        <v>18.86</v>
      </c>
      <c r="R3">
        <v>1417.29</v>
      </c>
      <c r="S3">
        <v>38.729999999999997</v>
      </c>
      <c r="T3">
        <v>19.399999999999999</v>
      </c>
      <c r="U3">
        <v>18.02</v>
      </c>
      <c r="V3">
        <v>37.25</v>
      </c>
      <c r="W3">
        <v>46.06</v>
      </c>
      <c r="X3">
        <v>28.61</v>
      </c>
      <c r="Y3">
        <v>56.91</v>
      </c>
      <c r="Z3">
        <v>41.18</v>
      </c>
      <c r="AA3">
        <v>85.89</v>
      </c>
      <c r="AB3">
        <v>61.05</v>
      </c>
      <c r="AC3">
        <v>46.24</v>
      </c>
      <c r="AD3">
        <v>608.91</v>
      </c>
      <c r="AE3">
        <v>681.31</v>
      </c>
      <c r="AF3">
        <v>44.28</v>
      </c>
      <c r="AG3">
        <v>59.54</v>
      </c>
      <c r="AH3">
        <v>52.04</v>
      </c>
      <c r="AI3">
        <v>53.43</v>
      </c>
    </row>
    <row r="4" spans="1:35" x14ac:dyDescent="0.45">
      <c r="A4" s="2">
        <v>46085</v>
      </c>
      <c r="B4">
        <v>35.29</v>
      </c>
      <c r="C4">
        <v>40.31</v>
      </c>
      <c r="D4">
        <v>16.87</v>
      </c>
      <c r="E4">
        <v>26.39</v>
      </c>
      <c r="F4">
        <v>36.21</v>
      </c>
      <c r="G4">
        <v>88.67</v>
      </c>
      <c r="H4">
        <v>28.82</v>
      </c>
      <c r="I4">
        <v>71.62</v>
      </c>
      <c r="J4">
        <v>77.91</v>
      </c>
      <c r="K4">
        <v>134.37</v>
      </c>
      <c r="L4">
        <v>37.49</v>
      </c>
      <c r="M4">
        <v>74.34</v>
      </c>
      <c r="N4">
        <v>66.739999999999995</v>
      </c>
      <c r="O4">
        <v>50.27</v>
      </c>
      <c r="P4">
        <v>57.13</v>
      </c>
      <c r="Q4">
        <v>18.89</v>
      </c>
      <c r="R4">
        <v>1384.61</v>
      </c>
      <c r="S4">
        <v>38.96</v>
      </c>
      <c r="T4">
        <v>19.835000000000001</v>
      </c>
      <c r="U4">
        <v>18.3</v>
      </c>
      <c r="V4">
        <v>37.46</v>
      </c>
      <c r="W4">
        <v>46.58</v>
      </c>
      <c r="X4">
        <v>29.35</v>
      </c>
      <c r="Y4">
        <v>57.47</v>
      </c>
      <c r="Z4">
        <v>42.1</v>
      </c>
      <c r="AA4">
        <v>88.59</v>
      </c>
      <c r="AB4">
        <v>62.56</v>
      </c>
      <c r="AC4">
        <v>47.24</v>
      </c>
      <c r="AD4">
        <v>610.75</v>
      </c>
      <c r="AE4">
        <v>685.13</v>
      </c>
      <c r="AF4">
        <v>45.23</v>
      </c>
      <c r="AG4">
        <v>60.74</v>
      </c>
      <c r="AH4">
        <v>52.91</v>
      </c>
      <c r="AI4">
        <v>54.57</v>
      </c>
    </row>
    <row r="5" spans="1:35" x14ac:dyDescent="0.45">
      <c r="A5" s="2">
        <v>46084</v>
      </c>
      <c r="B5">
        <v>34.9</v>
      </c>
      <c r="C5">
        <v>39.57</v>
      </c>
      <c r="D5">
        <v>17.149999999999999</v>
      </c>
      <c r="E5">
        <v>26.64</v>
      </c>
      <c r="F5">
        <v>35.53</v>
      </c>
      <c r="G5">
        <v>87.55</v>
      </c>
      <c r="H5">
        <v>28.36</v>
      </c>
      <c r="I5">
        <v>71.290000000000006</v>
      </c>
      <c r="J5">
        <v>75.37</v>
      </c>
      <c r="K5">
        <v>132.34</v>
      </c>
      <c r="L5">
        <v>36.82</v>
      </c>
      <c r="M5">
        <v>73.56</v>
      </c>
      <c r="N5">
        <v>63.86</v>
      </c>
      <c r="O5">
        <v>50.22</v>
      </c>
      <c r="P5">
        <v>56.9</v>
      </c>
      <c r="Q5">
        <v>19.010000000000002</v>
      </c>
      <c r="R5">
        <v>1466.51</v>
      </c>
      <c r="S5">
        <v>38.78</v>
      </c>
      <c r="T5">
        <v>19.690000000000001</v>
      </c>
      <c r="U5">
        <v>18.12</v>
      </c>
      <c r="V5">
        <v>36.68</v>
      </c>
      <c r="W5">
        <v>46.05</v>
      </c>
      <c r="X5">
        <v>29.09</v>
      </c>
      <c r="Y5">
        <v>57.07</v>
      </c>
      <c r="Z5">
        <v>41.57</v>
      </c>
      <c r="AA5">
        <v>86.83</v>
      </c>
      <c r="AB5">
        <v>62.21</v>
      </c>
      <c r="AC5">
        <v>46.76</v>
      </c>
      <c r="AD5">
        <v>601.58000000000004</v>
      </c>
      <c r="AE5">
        <v>680.33</v>
      </c>
      <c r="AF5">
        <v>45.07</v>
      </c>
      <c r="AG5">
        <v>59.67</v>
      </c>
      <c r="AH5">
        <v>51.87</v>
      </c>
      <c r="AI5">
        <v>53.89</v>
      </c>
    </row>
    <row r="6" spans="1:35" x14ac:dyDescent="0.45">
      <c r="A6" s="2">
        <v>46083</v>
      </c>
      <c r="B6">
        <v>36.130000000000003</v>
      </c>
      <c r="C6">
        <v>41.56</v>
      </c>
      <c r="D6">
        <v>17.52</v>
      </c>
      <c r="E6">
        <v>26.91</v>
      </c>
      <c r="F6">
        <v>37.31</v>
      </c>
      <c r="G6">
        <v>93.38</v>
      </c>
      <c r="H6">
        <v>28.69</v>
      </c>
      <c r="I6">
        <v>75.069999999999993</v>
      </c>
      <c r="J6">
        <v>79.459999999999994</v>
      </c>
      <c r="K6">
        <v>147.54</v>
      </c>
      <c r="L6">
        <v>38.64</v>
      </c>
      <c r="M6">
        <v>79.900000000000006</v>
      </c>
      <c r="N6">
        <v>67.67</v>
      </c>
      <c r="O6">
        <v>50.95</v>
      </c>
      <c r="P6">
        <v>58.51</v>
      </c>
      <c r="Q6">
        <v>18.87</v>
      </c>
      <c r="R6">
        <v>1528.26</v>
      </c>
      <c r="S6">
        <v>39.590000000000003</v>
      </c>
      <c r="T6">
        <v>20.309999999999999</v>
      </c>
      <c r="U6">
        <v>18.63</v>
      </c>
      <c r="V6">
        <v>36.58</v>
      </c>
      <c r="W6">
        <v>47.115299999999998</v>
      </c>
      <c r="X6">
        <v>29.93</v>
      </c>
      <c r="Y6">
        <v>58.16</v>
      </c>
      <c r="Z6">
        <v>42.91</v>
      </c>
      <c r="AA6">
        <v>90.2</v>
      </c>
      <c r="AB6">
        <v>63.59</v>
      </c>
      <c r="AC6">
        <v>48.12</v>
      </c>
      <c r="AD6">
        <v>608.09</v>
      </c>
      <c r="AE6">
        <v>686.38</v>
      </c>
      <c r="AF6">
        <v>46.57</v>
      </c>
      <c r="AG6">
        <v>61.33</v>
      </c>
      <c r="AH6">
        <v>53.17</v>
      </c>
      <c r="AI6">
        <v>55.95</v>
      </c>
    </row>
    <row r="7" spans="1:35" x14ac:dyDescent="0.45">
      <c r="A7" s="2">
        <v>46080</v>
      </c>
      <c r="B7">
        <v>36.15</v>
      </c>
      <c r="C7">
        <v>43.5</v>
      </c>
      <c r="D7">
        <v>17.82</v>
      </c>
      <c r="E7">
        <v>27.91</v>
      </c>
      <c r="F7">
        <v>38.130000000000003</v>
      </c>
      <c r="G7">
        <v>93.84</v>
      </c>
      <c r="H7">
        <v>29.22</v>
      </c>
      <c r="I7">
        <v>75.67</v>
      </c>
      <c r="J7">
        <v>80.94</v>
      </c>
      <c r="K7">
        <v>151.37</v>
      </c>
      <c r="L7">
        <v>38.729999999999997</v>
      </c>
      <c r="M7">
        <v>81.599999999999994</v>
      </c>
      <c r="N7">
        <v>70.680000000000007</v>
      </c>
      <c r="O7">
        <v>52.27</v>
      </c>
      <c r="P7">
        <v>59.06</v>
      </c>
      <c r="Q7">
        <v>19.46</v>
      </c>
      <c r="R7">
        <v>1533.64</v>
      </c>
      <c r="S7">
        <v>40.630000000000003</v>
      </c>
      <c r="T7">
        <v>21.35</v>
      </c>
      <c r="U7">
        <v>19.079999999999998</v>
      </c>
      <c r="V7">
        <v>37.17</v>
      </c>
      <c r="W7">
        <v>47.477600000000002</v>
      </c>
      <c r="X7">
        <v>30.09</v>
      </c>
      <c r="Y7">
        <v>57.98</v>
      </c>
      <c r="Z7">
        <v>44.34</v>
      </c>
      <c r="AA7">
        <v>92.37</v>
      </c>
      <c r="AB7">
        <v>65.08</v>
      </c>
      <c r="AC7">
        <v>48.68</v>
      </c>
      <c r="AD7">
        <v>607.29</v>
      </c>
      <c r="AE7">
        <v>685.99</v>
      </c>
      <c r="AF7">
        <v>47.87</v>
      </c>
      <c r="AG7">
        <v>62.8</v>
      </c>
      <c r="AH7">
        <v>54.72</v>
      </c>
      <c r="AI7">
        <v>57.33</v>
      </c>
    </row>
    <row r="8" spans="1:35" x14ac:dyDescent="0.45">
      <c r="A8" s="2">
        <v>46079</v>
      </c>
      <c r="B8">
        <v>35.96</v>
      </c>
      <c r="C8">
        <v>44.34</v>
      </c>
      <c r="D8">
        <v>17.89</v>
      </c>
      <c r="E8">
        <v>28.15</v>
      </c>
      <c r="F8">
        <v>38.19</v>
      </c>
      <c r="G8">
        <v>93.46</v>
      </c>
      <c r="H8">
        <v>29.65</v>
      </c>
      <c r="I8">
        <v>76.14</v>
      </c>
      <c r="J8">
        <v>80.66</v>
      </c>
      <c r="K8">
        <v>150.41</v>
      </c>
      <c r="L8">
        <v>39.1</v>
      </c>
      <c r="M8">
        <v>80.760000000000005</v>
      </c>
      <c r="N8">
        <v>72.03</v>
      </c>
      <c r="O8">
        <v>52.58</v>
      </c>
      <c r="P8">
        <v>59.23</v>
      </c>
      <c r="Q8">
        <v>19.52</v>
      </c>
      <c r="R8">
        <v>1516.01</v>
      </c>
      <c r="S8">
        <v>41.23</v>
      </c>
      <c r="T8">
        <v>21.54</v>
      </c>
      <c r="U8">
        <v>19.16</v>
      </c>
      <c r="V8">
        <v>37.130000000000003</v>
      </c>
      <c r="W8">
        <v>47.225000000000001</v>
      </c>
      <c r="X8">
        <v>30.14</v>
      </c>
      <c r="Y8">
        <v>58.15</v>
      </c>
      <c r="Z8">
        <v>44.56</v>
      </c>
      <c r="AA8">
        <v>92.48</v>
      </c>
      <c r="AB8">
        <v>64.63</v>
      </c>
      <c r="AC8">
        <v>48.61</v>
      </c>
      <c r="AD8">
        <v>609.24</v>
      </c>
      <c r="AE8">
        <v>689.3</v>
      </c>
      <c r="AF8">
        <v>48.35</v>
      </c>
      <c r="AG8">
        <v>63.05</v>
      </c>
      <c r="AH8">
        <v>54.56</v>
      </c>
      <c r="AI8">
        <v>57.93</v>
      </c>
    </row>
    <row r="9" spans="1:35" x14ac:dyDescent="0.45">
      <c r="A9" s="2">
        <v>46078</v>
      </c>
      <c r="B9">
        <v>36.36</v>
      </c>
      <c r="C9">
        <v>44.73</v>
      </c>
      <c r="D9">
        <v>18.22</v>
      </c>
      <c r="E9">
        <v>28.37</v>
      </c>
      <c r="F9">
        <v>38.71</v>
      </c>
      <c r="G9">
        <v>93.37</v>
      </c>
      <c r="H9">
        <v>30.01</v>
      </c>
      <c r="I9">
        <v>77.06</v>
      </c>
      <c r="J9">
        <v>80.45</v>
      </c>
      <c r="K9">
        <v>148.88999999999999</v>
      </c>
      <c r="L9">
        <v>39.590000000000003</v>
      </c>
      <c r="M9">
        <v>80.27</v>
      </c>
      <c r="N9">
        <v>71.510000000000005</v>
      </c>
      <c r="O9">
        <v>52.74</v>
      </c>
      <c r="P9">
        <v>60.67</v>
      </c>
      <c r="Q9">
        <v>19.89</v>
      </c>
      <c r="R9">
        <v>1490.4</v>
      </c>
      <c r="S9">
        <v>41.19</v>
      </c>
      <c r="T9">
        <v>22</v>
      </c>
      <c r="U9">
        <v>19.085000000000001</v>
      </c>
      <c r="V9">
        <v>37.92</v>
      </c>
      <c r="W9">
        <v>47.164499999999997</v>
      </c>
      <c r="X9">
        <v>30.16</v>
      </c>
      <c r="Y9">
        <v>57.59</v>
      </c>
      <c r="Z9">
        <v>44.35</v>
      </c>
      <c r="AA9">
        <v>92.44</v>
      </c>
      <c r="AB9">
        <v>64.849999999999994</v>
      </c>
      <c r="AC9">
        <v>48.66</v>
      </c>
      <c r="AD9">
        <v>616.67999999999995</v>
      </c>
      <c r="AE9">
        <v>693.15</v>
      </c>
      <c r="AF9">
        <v>48.02</v>
      </c>
      <c r="AG9">
        <v>63.77</v>
      </c>
      <c r="AH9">
        <v>54.13</v>
      </c>
      <c r="AI9">
        <v>57.61</v>
      </c>
    </row>
    <row r="10" spans="1:35" x14ac:dyDescent="0.45">
      <c r="A10" s="2">
        <v>46077</v>
      </c>
      <c r="B10">
        <v>35.94</v>
      </c>
      <c r="C10">
        <v>44.54</v>
      </c>
      <c r="D10">
        <v>17.95</v>
      </c>
      <c r="E10">
        <v>27.73</v>
      </c>
      <c r="F10">
        <v>37.950000000000003</v>
      </c>
      <c r="G10">
        <v>92.18</v>
      </c>
      <c r="H10">
        <v>30.02</v>
      </c>
      <c r="I10">
        <v>75.73</v>
      </c>
      <c r="J10">
        <v>80.37</v>
      </c>
      <c r="K10">
        <v>144.55000000000001</v>
      </c>
      <c r="L10">
        <v>39.47</v>
      </c>
      <c r="M10">
        <v>79.25</v>
      </c>
      <c r="N10">
        <v>70.34</v>
      </c>
      <c r="O10">
        <v>52.67</v>
      </c>
      <c r="P10">
        <v>60.43</v>
      </c>
      <c r="Q10">
        <v>19.989999999999998</v>
      </c>
      <c r="R10">
        <v>1480.24</v>
      </c>
      <c r="S10">
        <v>41.93</v>
      </c>
      <c r="T10">
        <v>22</v>
      </c>
      <c r="U10">
        <v>19.25</v>
      </c>
      <c r="V10">
        <v>38.18</v>
      </c>
      <c r="W10">
        <v>46.72</v>
      </c>
      <c r="X10">
        <v>29.58</v>
      </c>
      <c r="Y10">
        <v>57.15</v>
      </c>
      <c r="Z10">
        <v>43.95</v>
      </c>
      <c r="AA10">
        <v>91.23</v>
      </c>
      <c r="AB10">
        <v>64.819999999999993</v>
      </c>
      <c r="AC10">
        <v>47.98</v>
      </c>
      <c r="AD10">
        <v>607.87</v>
      </c>
      <c r="AE10">
        <v>687.35</v>
      </c>
      <c r="AF10">
        <v>47.62</v>
      </c>
      <c r="AG10">
        <v>63</v>
      </c>
      <c r="AH10">
        <v>54.01</v>
      </c>
      <c r="AI10">
        <v>56.94</v>
      </c>
    </row>
    <row r="11" spans="1:35" x14ac:dyDescent="0.45">
      <c r="A11" s="2">
        <v>46076</v>
      </c>
      <c r="B11">
        <v>35.85</v>
      </c>
      <c r="C11">
        <v>43.51</v>
      </c>
      <c r="D11">
        <v>18.11</v>
      </c>
      <c r="E11">
        <v>27.53</v>
      </c>
      <c r="F11">
        <v>38.1</v>
      </c>
      <c r="G11">
        <v>90.66</v>
      </c>
      <c r="H11">
        <v>30.01</v>
      </c>
      <c r="I11">
        <v>73.180000000000007</v>
      </c>
      <c r="J11">
        <v>79.540000000000006</v>
      </c>
      <c r="K11">
        <v>139.30000000000001</v>
      </c>
      <c r="L11">
        <v>38.770000000000003</v>
      </c>
      <c r="M11">
        <v>77.89</v>
      </c>
      <c r="N11">
        <v>71.040000000000006</v>
      </c>
      <c r="O11">
        <v>52.61</v>
      </c>
      <c r="P11">
        <v>60.76</v>
      </c>
      <c r="Q11">
        <v>19.920000000000002</v>
      </c>
      <c r="R11">
        <v>1479.71</v>
      </c>
      <c r="S11">
        <v>41.76</v>
      </c>
      <c r="T11">
        <v>21.96</v>
      </c>
      <c r="U11">
        <v>19.23</v>
      </c>
      <c r="V11">
        <v>38.299999999999997</v>
      </c>
      <c r="W11">
        <v>45.933500000000002</v>
      </c>
      <c r="X11">
        <v>29.45</v>
      </c>
      <c r="Y11">
        <v>56.95</v>
      </c>
      <c r="Z11">
        <v>43.9</v>
      </c>
      <c r="AA11">
        <v>91.39</v>
      </c>
      <c r="AB11">
        <v>64.31</v>
      </c>
      <c r="AC11">
        <v>47.89</v>
      </c>
      <c r="AD11">
        <v>601.41</v>
      </c>
      <c r="AE11">
        <v>682.39</v>
      </c>
      <c r="AF11">
        <v>47.49</v>
      </c>
      <c r="AG11">
        <v>62.95</v>
      </c>
      <c r="AH11">
        <v>53.49</v>
      </c>
      <c r="AI11">
        <v>56.94</v>
      </c>
    </row>
    <row r="12" spans="1:35" x14ac:dyDescent="0.45">
      <c r="A12" s="2">
        <v>46073</v>
      </c>
      <c r="B12">
        <v>35.79</v>
      </c>
      <c r="C12">
        <v>43.58</v>
      </c>
      <c r="D12">
        <v>18.059999999999999</v>
      </c>
      <c r="E12">
        <v>27.16</v>
      </c>
      <c r="F12">
        <v>37.81</v>
      </c>
      <c r="G12">
        <v>89.66</v>
      </c>
      <c r="H12">
        <v>30.13</v>
      </c>
      <c r="I12">
        <v>74.38</v>
      </c>
      <c r="J12">
        <v>81.23</v>
      </c>
      <c r="K12">
        <v>141.88</v>
      </c>
      <c r="L12">
        <v>39.369999999999997</v>
      </c>
      <c r="M12">
        <v>77.25</v>
      </c>
      <c r="N12">
        <v>70.900000000000006</v>
      </c>
      <c r="O12">
        <v>53.42</v>
      </c>
      <c r="P12">
        <v>61.01</v>
      </c>
      <c r="Q12">
        <v>19.844999999999999</v>
      </c>
      <c r="R12">
        <v>1493.91</v>
      </c>
      <c r="S12">
        <v>41.65</v>
      </c>
      <c r="T12">
        <v>21.63</v>
      </c>
      <c r="U12">
        <v>19.285</v>
      </c>
      <c r="V12">
        <v>38.630000000000003</v>
      </c>
      <c r="W12">
        <v>45.835500000000003</v>
      </c>
      <c r="X12">
        <v>29.7</v>
      </c>
      <c r="Y12">
        <v>57.16</v>
      </c>
      <c r="Z12">
        <v>44.32</v>
      </c>
      <c r="AA12">
        <v>91.47</v>
      </c>
      <c r="AB12">
        <v>64.38</v>
      </c>
      <c r="AC12">
        <v>48.04</v>
      </c>
      <c r="AD12">
        <v>608.80999999999995</v>
      </c>
      <c r="AE12">
        <v>689.43</v>
      </c>
      <c r="AF12">
        <v>47.68</v>
      </c>
      <c r="AG12">
        <v>63.18</v>
      </c>
      <c r="AH12">
        <v>54</v>
      </c>
      <c r="AI12">
        <v>56.81</v>
      </c>
    </row>
    <row r="13" spans="1:35" x14ac:dyDescent="0.45">
      <c r="A13" s="2">
        <v>46072</v>
      </c>
      <c r="B13">
        <v>35.622</v>
      </c>
      <c r="C13">
        <v>43.52</v>
      </c>
      <c r="D13">
        <v>17.829999999999998</v>
      </c>
      <c r="E13">
        <v>26.83</v>
      </c>
      <c r="F13">
        <v>37.65</v>
      </c>
      <c r="G13">
        <v>88.13</v>
      </c>
      <c r="H13">
        <v>29.82</v>
      </c>
      <c r="I13">
        <v>72.67</v>
      </c>
      <c r="J13">
        <v>79.94</v>
      </c>
      <c r="K13">
        <v>135.21</v>
      </c>
      <c r="L13">
        <v>38.61</v>
      </c>
      <c r="M13">
        <v>75.010000000000005</v>
      </c>
      <c r="N13">
        <v>71.040000000000006</v>
      </c>
      <c r="O13">
        <v>52.3</v>
      </c>
      <c r="P13">
        <v>60.72</v>
      </c>
      <c r="Q13">
        <v>19.855599999999999</v>
      </c>
      <c r="R13">
        <v>1466.67</v>
      </c>
      <c r="S13">
        <v>41.26</v>
      </c>
      <c r="T13">
        <v>21.69</v>
      </c>
      <c r="U13">
        <v>18.760000000000002</v>
      </c>
      <c r="V13">
        <v>38.130000000000003</v>
      </c>
      <c r="W13">
        <v>46.017200000000003</v>
      </c>
      <c r="X13">
        <v>29.37</v>
      </c>
      <c r="Y13">
        <v>56.75</v>
      </c>
      <c r="Z13">
        <v>43.88</v>
      </c>
      <c r="AA13">
        <v>91.2</v>
      </c>
      <c r="AB13">
        <v>64.16</v>
      </c>
      <c r="AC13">
        <v>47.68</v>
      </c>
      <c r="AD13">
        <v>603.47</v>
      </c>
      <c r="AE13">
        <v>684.48</v>
      </c>
      <c r="AF13">
        <v>46.91</v>
      </c>
      <c r="AG13">
        <v>62.66</v>
      </c>
      <c r="AH13">
        <v>53.4</v>
      </c>
      <c r="AI13">
        <v>55.89</v>
      </c>
    </row>
    <row r="14" spans="1:35" x14ac:dyDescent="0.45">
      <c r="A14" s="2">
        <v>46071</v>
      </c>
      <c r="B14">
        <v>35.799999999999997</v>
      </c>
      <c r="C14">
        <v>43.69</v>
      </c>
      <c r="D14">
        <v>17.87</v>
      </c>
      <c r="E14">
        <v>26.78</v>
      </c>
      <c r="F14">
        <v>37.729999999999997</v>
      </c>
      <c r="G14">
        <v>86.570999999999998</v>
      </c>
      <c r="H14">
        <v>29.67</v>
      </c>
      <c r="I14">
        <v>72.98</v>
      </c>
      <c r="J14">
        <v>80.150000000000006</v>
      </c>
      <c r="K14">
        <v>132.93</v>
      </c>
      <c r="L14">
        <v>38.03</v>
      </c>
      <c r="M14">
        <v>75.569999999999993</v>
      </c>
      <c r="N14">
        <v>72.89</v>
      </c>
      <c r="O14">
        <v>53.32</v>
      </c>
      <c r="P14">
        <v>60.95</v>
      </c>
      <c r="Q14">
        <v>20.114999999999998</v>
      </c>
      <c r="R14">
        <v>1459.68</v>
      </c>
      <c r="S14">
        <v>42.41</v>
      </c>
      <c r="T14">
        <v>22.23</v>
      </c>
      <c r="U14">
        <v>18.77</v>
      </c>
      <c r="V14">
        <v>39.119999999999997</v>
      </c>
      <c r="W14">
        <v>45.25</v>
      </c>
      <c r="X14">
        <v>29.31</v>
      </c>
      <c r="Y14">
        <v>56.46</v>
      </c>
      <c r="Z14">
        <v>44.12</v>
      </c>
      <c r="AA14">
        <v>91.38</v>
      </c>
      <c r="AB14">
        <v>64.260000000000005</v>
      </c>
      <c r="AC14">
        <v>47.88</v>
      </c>
      <c r="AD14">
        <v>605.79</v>
      </c>
      <c r="AE14">
        <v>686.29</v>
      </c>
      <c r="AF14">
        <v>47.03</v>
      </c>
      <c r="AG14">
        <v>62.94</v>
      </c>
      <c r="AH14">
        <v>53.5</v>
      </c>
      <c r="AI14">
        <v>56.32</v>
      </c>
    </row>
    <row r="15" spans="1:35" x14ac:dyDescent="0.45">
      <c r="A15" s="2">
        <v>46070</v>
      </c>
      <c r="B15">
        <v>35.65</v>
      </c>
      <c r="C15">
        <v>43.8</v>
      </c>
      <c r="D15">
        <v>17.82</v>
      </c>
      <c r="E15">
        <v>26.68</v>
      </c>
      <c r="F15">
        <v>37.5</v>
      </c>
      <c r="G15">
        <v>84.91</v>
      </c>
      <c r="H15">
        <v>29.65</v>
      </c>
      <c r="I15">
        <v>72.89</v>
      </c>
      <c r="J15">
        <v>80.760000000000005</v>
      </c>
      <c r="K15">
        <v>130.68</v>
      </c>
      <c r="L15">
        <v>37.74</v>
      </c>
      <c r="M15">
        <v>74.709999999999994</v>
      </c>
      <c r="N15">
        <v>70.66</v>
      </c>
      <c r="O15">
        <v>53.27</v>
      </c>
      <c r="P15">
        <v>60.61</v>
      </c>
      <c r="Q15">
        <v>19.98</v>
      </c>
      <c r="R15">
        <v>1438.09</v>
      </c>
      <c r="S15">
        <v>42.34</v>
      </c>
      <c r="T15">
        <v>21.85</v>
      </c>
      <c r="U15">
        <v>18.73</v>
      </c>
      <c r="V15">
        <v>38.94</v>
      </c>
      <c r="W15">
        <v>44.905000000000001</v>
      </c>
      <c r="X15">
        <v>29.32</v>
      </c>
      <c r="Y15">
        <v>55.86</v>
      </c>
      <c r="Z15">
        <v>44.04</v>
      </c>
      <c r="AA15">
        <v>91.87</v>
      </c>
      <c r="AB15">
        <v>64.44</v>
      </c>
      <c r="AC15">
        <v>47.42</v>
      </c>
      <c r="AD15">
        <v>601.29999999999995</v>
      </c>
      <c r="AE15">
        <v>682.85</v>
      </c>
      <c r="AF15">
        <v>47.05</v>
      </c>
      <c r="AG15">
        <v>62.23</v>
      </c>
      <c r="AH15">
        <v>53.26</v>
      </c>
      <c r="AI15">
        <v>56.02</v>
      </c>
    </row>
    <row r="16" spans="1:35" x14ac:dyDescent="0.45">
      <c r="A16" s="2">
        <v>46066</v>
      </c>
      <c r="B16">
        <v>35.368400000000001</v>
      </c>
      <c r="C16">
        <v>43.81</v>
      </c>
      <c r="D16">
        <v>17.77</v>
      </c>
      <c r="E16">
        <v>26.97</v>
      </c>
      <c r="F16">
        <v>37.67</v>
      </c>
      <c r="G16">
        <v>86.67</v>
      </c>
      <c r="H16">
        <v>29.72</v>
      </c>
      <c r="I16">
        <v>73.05</v>
      </c>
      <c r="J16">
        <v>81.03</v>
      </c>
      <c r="K16">
        <v>133.97</v>
      </c>
      <c r="L16">
        <v>38.06</v>
      </c>
      <c r="M16">
        <v>75.319999999999993</v>
      </c>
      <c r="N16">
        <v>71.900000000000006</v>
      </c>
      <c r="O16">
        <v>52.89</v>
      </c>
      <c r="P16">
        <v>60.35</v>
      </c>
      <c r="Q16">
        <v>20.096699999999998</v>
      </c>
      <c r="R16">
        <v>1430.41</v>
      </c>
      <c r="S16">
        <v>42.22</v>
      </c>
      <c r="T16">
        <v>21.94</v>
      </c>
      <c r="U16">
        <v>18.89</v>
      </c>
      <c r="V16">
        <v>39.159999999999997</v>
      </c>
      <c r="W16">
        <v>46.772100000000002</v>
      </c>
      <c r="X16">
        <v>29.16</v>
      </c>
      <c r="Y16">
        <v>56.17</v>
      </c>
      <c r="Z16">
        <v>43.97</v>
      </c>
      <c r="AA16">
        <v>93.85</v>
      </c>
      <c r="AB16">
        <v>63.79</v>
      </c>
      <c r="AC16">
        <v>47.25</v>
      </c>
      <c r="AD16">
        <v>601.91999999999996</v>
      </c>
      <c r="AE16">
        <v>681.75</v>
      </c>
      <c r="AF16">
        <v>46.7</v>
      </c>
      <c r="AG16">
        <v>61.65</v>
      </c>
      <c r="AH16">
        <v>53.47</v>
      </c>
      <c r="AI16">
        <v>55.54</v>
      </c>
    </row>
    <row r="17" spans="1:35" x14ac:dyDescent="0.45">
      <c r="A17" s="2">
        <v>46065</v>
      </c>
      <c r="B17">
        <v>35.56</v>
      </c>
      <c r="C17">
        <v>44.25</v>
      </c>
      <c r="D17">
        <v>17.89</v>
      </c>
      <c r="E17">
        <v>26.94</v>
      </c>
      <c r="F17">
        <v>37.909999999999997</v>
      </c>
      <c r="G17">
        <v>87.03</v>
      </c>
      <c r="H17">
        <v>29.71</v>
      </c>
      <c r="I17">
        <v>72.56</v>
      </c>
      <c r="J17">
        <v>79.92</v>
      </c>
      <c r="K17">
        <v>130.80000000000001</v>
      </c>
      <c r="L17">
        <v>38.49</v>
      </c>
      <c r="M17">
        <v>74.150000000000006</v>
      </c>
      <c r="N17">
        <v>73.56</v>
      </c>
      <c r="O17">
        <v>53.11</v>
      </c>
      <c r="P17">
        <v>60.58</v>
      </c>
      <c r="Q17">
        <v>20.074999999999999</v>
      </c>
      <c r="R17">
        <v>1441.53</v>
      </c>
      <c r="S17">
        <v>41.91</v>
      </c>
      <c r="T17">
        <v>21.89</v>
      </c>
      <c r="U17">
        <v>18.510000000000002</v>
      </c>
      <c r="V17">
        <v>38.94</v>
      </c>
      <c r="W17">
        <v>47.456800000000001</v>
      </c>
      <c r="X17">
        <v>29.1</v>
      </c>
      <c r="Y17">
        <v>55.26</v>
      </c>
      <c r="Z17">
        <v>43.96</v>
      </c>
      <c r="AA17">
        <v>93.37</v>
      </c>
      <c r="AB17">
        <v>63.46</v>
      </c>
      <c r="AC17">
        <v>47.01</v>
      </c>
      <c r="AD17">
        <v>600.64</v>
      </c>
      <c r="AE17">
        <v>681.27</v>
      </c>
      <c r="AF17">
        <v>46.68</v>
      </c>
      <c r="AG17">
        <v>61.53</v>
      </c>
      <c r="AH17">
        <v>53.42</v>
      </c>
      <c r="AI17">
        <v>56.52</v>
      </c>
    </row>
    <row r="18" spans="1:35" x14ac:dyDescent="0.45">
      <c r="A18" s="2">
        <v>46064</v>
      </c>
      <c r="B18">
        <v>35.76</v>
      </c>
      <c r="C18">
        <v>45.35</v>
      </c>
      <c r="D18">
        <v>18.09</v>
      </c>
      <c r="E18">
        <v>27.25</v>
      </c>
      <c r="F18">
        <v>38.39</v>
      </c>
      <c r="G18">
        <v>90.05</v>
      </c>
      <c r="H18">
        <v>29.98</v>
      </c>
      <c r="I18">
        <v>73.349999999999994</v>
      </c>
      <c r="J18">
        <v>80.7</v>
      </c>
      <c r="K18">
        <v>130.6</v>
      </c>
      <c r="L18">
        <v>39.159999999999997</v>
      </c>
      <c r="M18">
        <v>76.53</v>
      </c>
      <c r="N18">
        <v>73.84</v>
      </c>
      <c r="O18">
        <v>53.53</v>
      </c>
      <c r="P18">
        <v>61.93</v>
      </c>
      <c r="Q18">
        <v>20.125</v>
      </c>
      <c r="R18">
        <v>1411.7</v>
      </c>
      <c r="S18">
        <v>41.21</v>
      </c>
      <c r="T18">
        <v>21.83</v>
      </c>
      <c r="U18">
        <v>18.71</v>
      </c>
      <c r="V18">
        <v>39.19</v>
      </c>
      <c r="W18">
        <v>47.898000000000003</v>
      </c>
      <c r="X18">
        <v>29.3</v>
      </c>
      <c r="Y18">
        <v>56.58</v>
      </c>
      <c r="Z18">
        <v>44.05</v>
      </c>
      <c r="AA18">
        <v>93.97</v>
      </c>
      <c r="AB18">
        <v>63.24</v>
      </c>
      <c r="AC18">
        <v>47.43</v>
      </c>
      <c r="AD18">
        <v>613.11</v>
      </c>
      <c r="AE18">
        <v>691.96</v>
      </c>
      <c r="AF18">
        <v>47.08</v>
      </c>
      <c r="AG18">
        <v>63.06</v>
      </c>
      <c r="AH18">
        <v>54.56</v>
      </c>
      <c r="AI18">
        <v>56.98</v>
      </c>
    </row>
    <row r="19" spans="1:35" x14ac:dyDescent="0.45">
      <c r="A19" s="2">
        <v>46063</v>
      </c>
      <c r="B19">
        <v>35.715000000000003</v>
      </c>
      <c r="C19">
        <v>44.54</v>
      </c>
      <c r="D19">
        <v>17.75</v>
      </c>
      <c r="E19">
        <v>26.93</v>
      </c>
      <c r="F19">
        <v>38.11</v>
      </c>
      <c r="G19">
        <v>89.43</v>
      </c>
      <c r="H19">
        <v>29.69</v>
      </c>
      <c r="I19">
        <v>71.44</v>
      </c>
      <c r="J19">
        <v>80.48</v>
      </c>
      <c r="K19">
        <v>124.45</v>
      </c>
      <c r="L19">
        <v>38.32</v>
      </c>
      <c r="M19">
        <v>75.41</v>
      </c>
      <c r="N19">
        <v>74.540000000000006</v>
      </c>
      <c r="O19">
        <v>53.74</v>
      </c>
      <c r="P19">
        <v>61.99</v>
      </c>
      <c r="Q19">
        <v>20.094999999999999</v>
      </c>
      <c r="R19">
        <v>1410.44</v>
      </c>
      <c r="S19">
        <v>40.97</v>
      </c>
      <c r="T19">
        <v>21.9</v>
      </c>
      <c r="U19">
        <v>18.079999999999998</v>
      </c>
      <c r="V19">
        <v>39.229999999999997</v>
      </c>
      <c r="W19">
        <v>47.994999999999997</v>
      </c>
      <c r="X19">
        <v>28.64</v>
      </c>
      <c r="Y19">
        <v>56.72</v>
      </c>
      <c r="Z19">
        <v>44.22</v>
      </c>
      <c r="AA19">
        <v>93.1</v>
      </c>
      <c r="AB19">
        <v>63.43</v>
      </c>
      <c r="AC19">
        <v>46.74</v>
      </c>
      <c r="AD19">
        <v>611.47</v>
      </c>
      <c r="AE19">
        <v>692.12</v>
      </c>
      <c r="AF19">
        <v>46.83</v>
      </c>
      <c r="AG19">
        <v>63.07</v>
      </c>
      <c r="AH19">
        <v>54.17</v>
      </c>
      <c r="AI19">
        <v>57.32</v>
      </c>
    </row>
    <row r="20" spans="1:35" x14ac:dyDescent="0.45">
      <c r="A20" s="2">
        <v>46062</v>
      </c>
      <c r="B20">
        <v>35.82</v>
      </c>
      <c r="C20">
        <v>46.17</v>
      </c>
      <c r="D20">
        <v>17.600000000000001</v>
      </c>
      <c r="E20">
        <v>26.42</v>
      </c>
      <c r="F20">
        <v>38.76</v>
      </c>
      <c r="G20">
        <v>91.08</v>
      </c>
      <c r="H20">
        <v>29.83</v>
      </c>
      <c r="I20">
        <v>70.760000000000005</v>
      </c>
      <c r="J20">
        <v>80.67</v>
      </c>
      <c r="K20">
        <v>126.05</v>
      </c>
      <c r="L20">
        <v>38.42</v>
      </c>
      <c r="M20">
        <v>75.72</v>
      </c>
      <c r="N20">
        <v>74.77</v>
      </c>
      <c r="O20">
        <v>53.44</v>
      </c>
      <c r="P20">
        <v>61.97</v>
      </c>
      <c r="Q20">
        <v>20.100000000000001</v>
      </c>
      <c r="R20">
        <v>1400.89</v>
      </c>
      <c r="S20">
        <v>41.54</v>
      </c>
      <c r="T20">
        <v>21.89</v>
      </c>
      <c r="U20">
        <v>18.045000000000002</v>
      </c>
      <c r="V20">
        <v>39.46</v>
      </c>
      <c r="W20">
        <v>47.975000000000001</v>
      </c>
      <c r="X20">
        <v>28.83</v>
      </c>
      <c r="Y20">
        <v>56.27</v>
      </c>
      <c r="Z20">
        <v>44.32</v>
      </c>
      <c r="AA20">
        <v>91.29</v>
      </c>
      <c r="AB20">
        <v>63.45</v>
      </c>
      <c r="AC20">
        <v>47.02</v>
      </c>
      <c r="AD20">
        <v>614.32000000000005</v>
      </c>
      <c r="AE20">
        <v>693.95</v>
      </c>
      <c r="AF20">
        <v>46.99</v>
      </c>
      <c r="AG20">
        <v>62.99</v>
      </c>
      <c r="AH20">
        <v>53.38</v>
      </c>
      <c r="AI20">
        <v>57.61</v>
      </c>
    </row>
    <row r="21" spans="1:35" x14ac:dyDescent="0.45">
      <c r="A21" s="2">
        <v>46059</v>
      </c>
      <c r="B21">
        <v>35.409999999999997</v>
      </c>
      <c r="C21">
        <v>45.24</v>
      </c>
      <c r="D21">
        <v>17.600000000000001</v>
      </c>
      <c r="E21">
        <v>26.73</v>
      </c>
      <c r="F21">
        <v>37.92</v>
      </c>
      <c r="G21">
        <v>88.15</v>
      </c>
      <c r="H21">
        <v>29.57</v>
      </c>
      <c r="I21">
        <v>70.05</v>
      </c>
      <c r="J21">
        <v>79.87</v>
      </c>
      <c r="K21">
        <v>124.71</v>
      </c>
      <c r="L21">
        <v>37.56</v>
      </c>
      <c r="M21">
        <v>74.77</v>
      </c>
      <c r="N21">
        <v>75.17</v>
      </c>
      <c r="O21">
        <v>53.28</v>
      </c>
      <c r="P21">
        <v>61.67</v>
      </c>
      <c r="Q21">
        <v>19.940000000000001</v>
      </c>
      <c r="R21">
        <v>1354.01</v>
      </c>
      <c r="S21">
        <v>40.840000000000003</v>
      </c>
      <c r="T21">
        <v>21.73</v>
      </c>
      <c r="U21">
        <v>18.03</v>
      </c>
      <c r="V21">
        <v>39.75</v>
      </c>
      <c r="W21">
        <v>47.6</v>
      </c>
      <c r="X21">
        <v>28.23</v>
      </c>
      <c r="Y21">
        <v>55.01</v>
      </c>
      <c r="Z21">
        <v>43.53</v>
      </c>
      <c r="AA21">
        <v>89.4</v>
      </c>
      <c r="AB21">
        <v>63.09</v>
      </c>
      <c r="AC21">
        <v>46.9</v>
      </c>
      <c r="AD21">
        <v>609.65</v>
      </c>
      <c r="AE21">
        <v>690.62</v>
      </c>
      <c r="AF21">
        <v>46.4</v>
      </c>
      <c r="AG21">
        <v>62.03</v>
      </c>
      <c r="AH21">
        <v>52.93</v>
      </c>
      <c r="AI21">
        <v>56.28</v>
      </c>
    </row>
    <row r="22" spans="1:35" x14ac:dyDescent="0.45">
      <c r="A22" s="2">
        <v>46058</v>
      </c>
      <c r="B22">
        <v>34.840000000000003</v>
      </c>
      <c r="C22">
        <v>45.19</v>
      </c>
      <c r="D22">
        <v>17.510000000000002</v>
      </c>
      <c r="E22">
        <v>26.45</v>
      </c>
      <c r="F22">
        <v>37.369999999999997</v>
      </c>
      <c r="G22">
        <v>85.17</v>
      </c>
      <c r="H22">
        <v>29.18</v>
      </c>
      <c r="I22">
        <v>67.86</v>
      </c>
      <c r="J22">
        <v>76.83</v>
      </c>
      <c r="K22">
        <v>120.21</v>
      </c>
      <c r="L22">
        <v>36.909999999999997</v>
      </c>
      <c r="M22">
        <v>71.599999999999994</v>
      </c>
      <c r="N22">
        <v>74.650000000000006</v>
      </c>
      <c r="O22">
        <v>52.95</v>
      </c>
      <c r="P22">
        <v>60.1</v>
      </c>
      <c r="Q22">
        <v>19.82</v>
      </c>
      <c r="R22">
        <v>1346.23</v>
      </c>
      <c r="S22">
        <v>40.659999999999997</v>
      </c>
      <c r="T22">
        <v>21.39</v>
      </c>
      <c r="U22">
        <v>18.12</v>
      </c>
      <c r="V22">
        <v>39.22</v>
      </c>
      <c r="W22">
        <v>47.11</v>
      </c>
      <c r="X22">
        <v>27.84</v>
      </c>
      <c r="Y22">
        <v>54.14</v>
      </c>
      <c r="Z22">
        <v>42.84</v>
      </c>
      <c r="AA22">
        <v>86.1</v>
      </c>
      <c r="AB22">
        <v>62.24</v>
      </c>
      <c r="AC22">
        <v>45.94</v>
      </c>
      <c r="AD22">
        <v>597.03</v>
      </c>
      <c r="AE22">
        <v>677.62</v>
      </c>
      <c r="AF22">
        <v>45.73</v>
      </c>
      <c r="AG22">
        <v>60.56</v>
      </c>
      <c r="AH22">
        <v>51.86</v>
      </c>
      <c r="AI22">
        <v>55.7</v>
      </c>
    </row>
    <row r="23" spans="1:35" x14ac:dyDescent="0.45">
      <c r="A23" s="2">
        <v>46057</v>
      </c>
      <c r="B23">
        <v>35.14</v>
      </c>
      <c r="C23">
        <v>45.66</v>
      </c>
      <c r="D23">
        <v>17.79</v>
      </c>
      <c r="E23">
        <v>26.33</v>
      </c>
      <c r="F23">
        <v>38.28</v>
      </c>
      <c r="G23">
        <v>88.38</v>
      </c>
      <c r="H23">
        <v>29.49</v>
      </c>
      <c r="I23">
        <v>68.150000000000006</v>
      </c>
      <c r="J23">
        <v>77.22</v>
      </c>
      <c r="K23">
        <v>120.26</v>
      </c>
      <c r="L23">
        <v>36.979999999999997</v>
      </c>
      <c r="M23">
        <v>73.98</v>
      </c>
      <c r="N23">
        <v>76.09</v>
      </c>
      <c r="O23">
        <v>53.44</v>
      </c>
      <c r="P23">
        <v>60.31</v>
      </c>
      <c r="Q23">
        <v>19.96</v>
      </c>
      <c r="R23">
        <v>1346.54</v>
      </c>
      <c r="S23">
        <v>41.37</v>
      </c>
      <c r="T23">
        <v>21.29</v>
      </c>
      <c r="U23">
        <v>18.61</v>
      </c>
      <c r="V23">
        <v>39.630000000000003</v>
      </c>
      <c r="W23">
        <v>46.72</v>
      </c>
      <c r="X23">
        <v>28.35</v>
      </c>
      <c r="Y23">
        <v>55.01</v>
      </c>
      <c r="Z23">
        <v>43.25</v>
      </c>
      <c r="AA23">
        <v>87.49</v>
      </c>
      <c r="AB23">
        <v>62.47</v>
      </c>
      <c r="AC23">
        <v>47.05</v>
      </c>
      <c r="AD23">
        <v>605.75</v>
      </c>
      <c r="AE23">
        <v>686.19</v>
      </c>
      <c r="AF23">
        <v>46.03</v>
      </c>
      <c r="AG23">
        <v>61.07</v>
      </c>
      <c r="AH23">
        <v>52.92</v>
      </c>
      <c r="AI23">
        <v>56.95</v>
      </c>
    </row>
    <row r="24" spans="1:35" x14ac:dyDescent="0.45">
      <c r="A24" s="2">
        <v>46056</v>
      </c>
      <c r="B24">
        <v>35</v>
      </c>
      <c r="C24">
        <v>47.19</v>
      </c>
      <c r="D24">
        <v>17.59</v>
      </c>
      <c r="E24">
        <v>26.45</v>
      </c>
      <c r="F24">
        <v>38.35</v>
      </c>
      <c r="G24">
        <v>91.33</v>
      </c>
      <c r="H24">
        <v>29.42</v>
      </c>
      <c r="I24">
        <v>68.83</v>
      </c>
      <c r="J24">
        <v>78.760000000000005</v>
      </c>
      <c r="K24">
        <v>124.32</v>
      </c>
      <c r="L24">
        <v>38.04</v>
      </c>
      <c r="M24">
        <v>74.56</v>
      </c>
      <c r="N24">
        <v>76.02</v>
      </c>
      <c r="O24">
        <v>53.15</v>
      </c>
      <c r="P24">
        <v>61.07</v>
      </c>
      <c r="Q24">
        <v>19.916899999999998</v>
      </c>
      <c r="R24">
        <v>1336.11</v>
      </c>
      <c r="S24">
        <v>41.54</v>
      </c>
      <c r="T24">
        <v>21.11</v>
      </c>
      <c r="U24">
        <v>18.45</v>
      </c>
      <c r="V24">
        <v>39.57</v>
      </c>
      <c r="W24">
        <v>47.241999999999997</v>
      </c>
      <c r="X24">
        <v>28.12</v>
      </c>
      <c r="Y24">
        <v>54.84</v>
      </c>
      <c r="Z24">
        <v>43.51</v>
      </c>
      <c r="AA24">
        <v>86.68</v>
      </c>
      <c r="AB24">
        <v>61.89</v>
      </c>
      <c r="AC24">
        <v>46.47</v>
      </c>
      <c r="AD24">
        <v>616.52</v>
      </c>
      <c r="AE24">
        <v>689.53</v>
      </c>
      <c r="AF24">
        <v>45.69</v>
      </c>
      <c r="AG24">
        <v>61.9</v>
      </c>
      <c r="AH24">
        <v>53.23</v>
      </c>
      <c r="AI24">
        <v>56.93</v>
      </c>
    </row>
    <row r="25" spans="1:35" x14ac:dyDescent="0.45">
      <c r="A25" s="2">
        <v>46055</v>
      </c>
      <c r="B25">
        <v>34.72</v>
      </c>
      <c r="C25">
        <v>46.05</v>
      </c>
      <c r="D25">
        <v>17.41</v>
      </c>
      <c r="E25">
        <v>26.24</v>
      </c>
      <c r="F25">
        <v>37.659999999999997</v>
      </c>
      <c r="G25">
        <v>87.4</v>
      </c>
      <c r="H25">
        <v>29.32</v>
      </c>
      <c r="I25">
        <v>68.94</v>
      </c>
      <c r="J25">
        <v>75.430000000000007</v>
      </c>
      <c r="K25">
        <v>120.93</v>
      </c>
      <c r="L25">
        <v>37.450000000000003</v>
      </c>
      <c r="M25">
        <v>73.25</v>
      </c>
      <c r="N25">
        <v>74.66</v>
      </c>
      <c r="O25">
        <v>53.28</v>
      </c>
      <c r="P25">
        <v>61.61</v>
      </c>
      <c r="Q25">
        <v>19.97</v>
      </c>
      <c r="R25">
        <v>1321.42</v>
      </c>
      <c r="S25">
        <v>41.14</v>
      </c>
      <c r="T25">
        <v>20.94</v>
      </c>
      <c r="U25">
        <v>18.77</v>
      </c>
      <c r="V25">
        <v>39.79</v>
      </c>
      <c r="W25">
        <v>47.117699999999999</v>
      </c>
      <c r="X25">
        <v>27.95</v>
      </c>
      <c r="Y25">
        <v>54.55</v>
      </c>
      <c r="Z25">
        <v>43.48</v>
      </c>
      <c r="AA25">
        <v>85.89</v>
      </c>
      <c r="AB25">
        <v>62.25</v>
      </c>
      <c r="AC25">
        <v>46.54</v>
      </c>
      <c r="AD25">
        <v>626.14</v>
      </c>
      <c r="AE25">
        <v>695.41</v>
      </c>
      <c r="AF25">
        <v>45.68</v>
      </c>
      <c r="AG25">
        <v>62.77</v>
      </c>
      <c r="AH25">
        <v>52.88</v>
      </c>
      <c r="AI25">
        <v>56.37</v>
      </c>
    </row>
    <row r="26" spans="1:35" x14ac:dyDescent="0.45">
      <c r="A26" s="2">
        <v>46052</v>
      </c>
      <c r="B26">
        <v>35.11</v>
      </c>
      <c r="C26">
        <v>45.24</v>
      </c>
      <c r="D26">
        <v>17.649999999999999</v>
      </c>
      <c r="E26">
        <v>25.97</v>
      </c>
      <c r="F26">
        <v>37.590000000000003</v>
      </c>
      <c r="G26">
        <v>86.6</v>
      </c>
      <c r="H26">
        <v>29.18</v>
      </c>
      <c r="I26">
        <v>68.06</v>
      </c>
      <c r="J26">
        <v>75.12</v>
      </c>
      <c r="K26">
        <v>122.41</v>
      </c>
      <c r="L26">
        <v>37.04</v>
      </c>
      <c r="M26">
        <v>73.2</v>
      </c>
      <c r="N26">
        <v>73.75</v>
      </c>
      <c r="O26">
        <v>51.74</v>
      </c>
      <c r="P26">
        <v>62.4</v>
      </c>
      <c r="Q26">
        <v>19.71</v>
      </c>
      <c r="R26">
        <v>1325.62</v>
      </c>
      <c r="S26">
        <v>41.25</v>
      </c>
      <c r="T26">
        <v>20.49</v>
      </c>
      <c r="U26">
        <v>19.07</v>
      </c>
      <c r="V26">
        <v>39.86</v>
      </c>
      <c r="W26">
        <v>46.940800000000003</v>
      </c>
      <c r="X26">
        <v>27.75</v>
      </c>
      <c r="Y26">
        <v>54.26</v>
      </c>
      <c r="Z26">
        <v>43.11</v>
      </c>
      <c r="AA26">
        <v>85.72</v>
      </c>
      <c r="AB26">
        <v>61.54</v>
      </c>
      <c r="AC26">
        <v>46.16</v>
      </c>
      <c r="AD26">
        <v>621.87</v>
      </c>
      <c r="AE26">
        <v>691.97</v>
      </c>
      <c r="AF26">
        <v>45.35</v>
      </c>
      <c r="AG26">
        <v>62.27</v>
      </c>
      <c r="AH26">
        <v>52.27</v>
      </c>
      <c r="AI26">
        <v>55.88</v>
      </c>
    </row>
    <row r="27" spans="1:35" x14ac:dyDescent="0.45">
      <c r="A27" s="2">
        <v>46051</v>
      </c>
      <c r="B27">
        <v>35.89</v>
      </c>
      <c r="C27">
        <v>46.875</v>
      </c>
      <c r="D27">
        <v>17.579999999999998</v>
      </c>
      <c r="E27">
        <v>25.65</v>
      </c>
      <c r="F27">
        <v>38.380000000000003</v>
      </c>
      <c r="G27">
        <v>92.57</v>
      </c>
      <c r="H27">
        <v>29.27</v>
      </c>
      <c r="I27">
        <v>69.83</v>
      </c>
      <c r="J27">
        <v>78.45</v>
      </c>
      <c r="K27">
        <v>124.5</v>
      </c>
      <c r="L27">
        <v>38.119999999999997</v>
      </c>
      <c r="M27">
        <v>79.58</v>
      </c>
      <c r="N27">
        <v>75.62</v>
      </c>
      <c r="O27">
        <v>51.61</v>
      </c>
      <c r="P27">
        <v>64.23</v>
      </c>
      <c r="Q27">
        <v>19.82</v>
      </c>
      <c r="R27">
        <v>1331.07</v>
      </c>
      <c r="S27">
        <v>41.58</v>
      </c>
      <c r="T27">
        <v>20.66</v>
      </c>
      <c r="U27">
        <v>18.809999999999999</v>
      </c>
      <c r="V27">
        <v>39.869999999999997</v>
      </c>
      <c r="W27">
        <v>47.234000000000002</v>
      </c>
      <c r="X27">
        <v>28.42</v>
      </c>
      <c r="Y27">
        <v>56.53</v>
      </c>
      <c r="Z27">
        <v>43.44</v>
      </c>
      <c r="AA27">
        <v>86.09</v>
      </c>
      <c r="AB27">
        <v>62.22</v>
      </c>
      <c r="AC27">
        <v>46.44</v>
      </c>
      <c r="AD27">
        <v>629.42999999999995</v>
      </c>
      <c r="AE27">
        <v>694.04</v>
      </c>
      <c r="AF27">
        <v>45.82</v>
      </c>
      <c r="AG27">
        <v>63.48</v>
      </c>
      <c r="AH27">
        <v>53.45</v>
      </c>
      <c r="AI27">
        <v>56.17</v>
      </c>
    </row>
    <row r="28" spans="1:35" x14ac:dyDescent="0.45">
      <c r="A28" s="2">
        <v>46050</v>
      </c>
      <c r="B28">
        <v>35.520000000000003</v>
      </c>
      <c r="C28">
        <v>47.06</v>
      </c>
      <c r="D28">
        <v>17.260000000000002</v>
      </c>
      <c r="E28">
        <v>26.33</v>
      </c>
      <c r="F28">
        <v>38.25</v>
      </c>
      <c r="G28">
        <v>92.07</v>
      </c>
      <c r="H28">
        <v>29.84</v>
      </c>
      <c r="I28">
        <v>71.19</v>
      </c>
      <c r="J28">
        <v>78.73</v>
      </c>
      <c r="K28">
        <v>125.56</v>
      </c>
      <c r="L28">
        <v>38.33</v>
      </c>
      <c r="M28">
        <v>80.14</v>
      </c>
      <c r="N28">
        <v>77.2</v>
      </c>
      <c r="O28">
        <v>51.49</v>
      </c>
      <c r="P28">
        <v>63.91</v>
      </c>
      <c r="Q28">
        <v>20</v>
      </c>
      <c r="R28">
        <v>1338.9</v>
      </c>
      <c r="S28">
        <v>40.39</v>
      </c>
      <c r="T28">
        <v>20.75</v>
      </c>
      <c r="U28">
        <v>18.5</v>
      </c>
      <c r="V28">
        <v>40.14</v>
      </c>
      <c r="W28">
        <v>47.11</v>
      </c>
      <c r="X28">
        <v>28.17</v>
      </c>
      <c r="Y28">
        <v>56.35</v>
      </c>
      <c r="Z28">
        <v>44.01</v>
      </c>
      <c r="AA28">
        <v>85.21</v>
      </c>
      <c r="AB28">
        <v>61.05</v>
      </c>
      <c r="AC28">
        <v>46.24</v>
      </c>
      <c r="AD28">
        <v>633.22</v>
      </c>
      <c r="AE28">
        <v>695.42</v>
      </c>
      <c r="AF28">
        <v>45.53</v>
      </c>
      <c r="AG28">
        <v>63.05</v>
      </c>
      <c r="AH28">
        <v>52.93</v>
      </c>
      <c r="AI28">
        <v>55.83</v>
      </c>
    </row>
    <row r="29" spans="1:35" x14ac:dyDescent="0.45">
      <c r="A29" s="2">
        <v>46049</v>
      </c>
      <c r="B29">
        <v>35.64</v>
      </c>
      <c r="C29">
        <v>47.37</v>
      </c>
      <c r="D29">
        <v>19.18</v>
      </c>
      <c r="E29">
        <v>26.23</v>
      </c>
      <c r="F29">
        <v>38.44</v>
      </c>
      <c r="G29">
        <v>91.61</v>
      </c>
      <c r="H29">
        <v>30.06</v>
      </c>
      <c r="I29">
        <v>71.319999999999993</v>
      </c>
      <c r="J29">
        <v>77.86</v>
      </c>
      <c r="K29">
        <v>122.7</v>
      </c>
      <c r="L29">
        <v>37.89</v>
      </c>
      <c r="M29">
        <v>79.02</v>
      </c>
      <c r="N29">
        <v>75.349999999999994</v>
      </c>
      <c r="O29">
        <v>51.69</v>
      </c>
      <c r="P29">
        <v>63.29</v>
      </c>
      <c r="Q29">
        <v>19.940000000000001</v>
      </c>
      <c r="R29">
        <v>1334.45</v>
      </c>
      <c r="S29">
        <v>39.56</v>
      </c>
      <c r="T29">
        <v>20.71</v>
      </c>
      <c r="U29">
        <v>18.760000000000002</v>
      </c>
      <c r="V29">
        <v>40.119999999999997</v>
      </c>
      <c r="W29">
        <v>47.52</v>
      </c>
      <c r="X29">
        <v>28.24</v>
      </c>
      <c r="Y29">
        <v>56.18</v>
      </c>
      <c r="Z29">
        <v>44.3</v>
      </c>
      <c r="AA29">
        <v>85.84</v>
      </c>
      <c r="AB29">
        <v>62.57</v>
      </c>
      <c r="AC29">
        <v>46.5</v>
      </c>
      <c r="AD29">
        <v>631.13</v>
      </c>
      <c r="AE29">
        <v>695.49</v>
      </c>
      <c r="AF29">
        <v>46.15</v>
      </c>
      <c r="AG29">
        <v>63.7</v>
      </c>
      <c r="AH29">
        <v>53.64</v>
      </c>
      <c r="AI29">
        <v>56.63</v>
      </c>
    </row>
    <row r="30" spans="1:35" x14ac:dyDescent="0.45">
      <c r="A30" s="2">
        <v>46048</v>
      </c>
      <c r="B30">
        <v>35.58</v>
      </c>
      <c r="C30">
        <v>46.78</v>
      </c>
      <c r="D30">
        <v>19.2</v>
      </c>
      <c r="E30">
        <v>26.03</v>
      </c>
      <c r="F30">
        <v>37.74</v>
      </c>
      <c r="G30">
        <v>90.43</v>
      </c>
      <c r="H30">
        <v>29.5</v>
      </c>
      <c r="I30">
        <v>69.94</v>
      </c>
      <c r="J30">
        <v>76.7</v>
      </c>
      <c r="K30">
        <v>117.32</v>
      </c>
      <c r="L30">
        <v>36.61</v>
      </c>
      <c r="M30">
        <v>77.38</v>
      </c>
      <c r="N30">
        <v>73.06</v>
      </c>
      <c r="O30">
        <v>51.44</v>
      </c>
      <c r="P30">
        <v>62.66</v>
      </c>
      <c r="Q30">
        <v>19.937000000000001</v>
      </c>
      <c r="R30">
        <v>1307.07</v>
      </c>
      <c r="S30">
        <v>39.86</v>
      </c>
      <c r="T30">
        <v>20.41</v>
      </c>
      <c r="U30">
        <v>18.91</v>
      </c>
      <c r="V30">
        <v>39.61</v>
      </c>
      <c r="W30">
        <v>46.87</v>
      </c>
      <c r="X30">
        <v>27.62</v>
      </c>
      <c r="Y30">
        <v>55.69</v>
      </c>
      <c r="Z30">
        <v>43.84</v>
      </c>
      <c r="AA30">
        <v>84.63</v>
      </c>
      <c r="AB30">
        <v>61.19</v>
      </c>
      <c r="AC30">
        <v>45.83</v>
      </c>
      <c r="AD30">
        <v>625.46</v>
      </c>
      <c r="AE30">
        <v>692.73</v>
      </c>
      <c r="AF30">
        <v>45.65</v>
      </c>
      <c r="AG30">
        <v>62.81</v>
      </c>
      <c r="AH30">
        <v>52.72</v>
      </c>
      <c r="AI30">
        <v>55.39</v>
      </c>
    </row>
    <row r="31" spans="1:35" x14ac:dyDescent="0.45">
      <c r="A31" s="2">
        <v>46045</v>
      </c>
      <c r="B31">
        <v>35.549999999999997</v>
      </c>
      <c r="C31">
        <v>46.4</v>
      </c>
      <c r="D31">
        <v>19.010000000000002</v>
      </c>
      <c r="E31">
        <v>26.21</v>
      </c>
      <c r="F31">
        <v>36.89</v>
      </c>
      <c r="G31">
        <v>88.38</v>
      </c>
      <c r="H31">
        <v>28.78</v>
      </c>
      <c r="I31">
        <v>69.709999999999994</v>
      </c>
      <c r="J31">
        <v>76.08</v>
      </c>
      <c r="K31">
        <v>117.97</v>
      </c>
      <c r="L31">
        <v>36.590000000000003</v>
      </c>
      <c r="M31">
        <v>76.34</v>
      </c>
      <c r="N31">
        <v>72.25</v>
      </c>
      <c r="O31">
        <v>51.24</v>
      </c>
      <c r="P31">
        <v>62.74</v>
      </c>
      <c r="Q31">
        <v>19.82</v>
      </c>
      <c r="R31">
        <v>1314.39</v>
      </c>
      <c r="S31">
        <v>39.43</v>
      </c>
      <c r="T31">
        <v>20.46</v>
      </c>
      <c r="U31">
        <v>19.420000000000002</v>
      </c>
      <c r="V31">
        <v>39.01</v>
      </c>
      <c r="W31">
        <v>46.624000000000002</v>
      </c>
      <c r="X31">
        <v>27.38</v>
      </c>
      <c r="Y31">
        <v>55.77</v>
      </c>
      <c r="Z31">
        <v>43.48</v>
      </c>
      <c r="AA31">
        <v>84.56</v>
      </c>
      <c r="AB31">
        <v>60.87</v>
      </c>
      <c r="AC31">
        <v>45.57</v>
      </c>
      <c r="AD31">
        <v>622.72</v>
      </c>
      <c r="AE31">
        <v>689.23</v>
      </c>
      <c r="AF31">
        <v>45.51</v>
      </c>
      <c r="AG31">
        <v>62.33</v>
      </c>
      <c r="AH31">
        <v>52.38</v>
      </c>
      <c r="AI31">
        <v>54.91</v>
      </c>
    </row>
    <row r="32" spans="1:35" x14ac:dyDescent="0.45">
      <c r="A32" s="2">
        <v>46044</v>
      </c>
      <c r="B32">
        <v>35.78</v>
      </c>
      <c r="C32">
        <v>46.174999999999997</v>
      </c>
      <c r="D32">
        <v>19.05</v>
      </c>
      <c r="E32">
        <v>26.35</v>
      </c>
      <c r="F32">
        <v>37.26</v>
      </c>
      <c r="G32">
        <v>86.2</v>
      </c>
      <c r="H32">
        <v>28.43</v>
      </c>
      <c r="I32">
        <v>68.25</v>
      </c>
      <c r="J32">
        <v>75.75</v>
      </c>
      <c r="K32">
        <v>115.99</v>
      </c>
      <c r="L32">
        <v>35.950000000000003</v>
      </c>
      <c r="M32">
        <v>75.56</v>
      </c>
      <c r="N32">
        <v>72.2</v>
      </c>
      <c r="O32">
        <v>51.795000000000002</v>
      </c>
      <c r="P32">
        <v>62.78</v>
      </c>
      <c r="Q32">
        <v>19.899999999999999</v>
      </c>
      <c r="R32">
        <v>1311.64</v>
      </c>
      <c r="S32">
        <v>39.08</v>
      </c>
      <c r="T32">
        <v>20.62</v>
      </c>
      <c r="U32">
        <v>19.625</v>
      </c>
      <c r="V32">
        <v>38.93</v>
      </c>
      <c r="W32">
        <v>46.755000000000003</v>
      </c>
      <c r="X32">
        <v>27.07</v>
      </c>
      <c r="Y32">
        <v>55.2</v>
      </c>
      <c r="Z32">
        <v>43.1</v>
      </c>
      <c r="AA32">
        <v>84.86</v>
      </c>
      <c r="AB32">
        <v>60.59</v>
      </c>
      <c r="AC32">
        <v>45.07</v>
      </c>
      <c r="AD32">
        <v>620.76</v>
      </c>
      <c r="AE32">
        <v>688.98</v>
      </c>
      <c r="AF32">
        <v>45.16</v>
      </c>
      <c r="AG32">
        <v>62.14</v>
      </c>
      <c r="AH32">
        <v>51.74</v>
      </c>
      <c r="AI32">
        <v>54.77</v>
      </c>
    </row>
    <row r="33" spans="1:35" x14ac:dyDescent="0.45">
      <c r="A33" s="2">
        <v>46043</v>
      </c>
      <c r="B33">
        <v>35.805</v>
      </c>
      <c r="C33">
        <v>45.2</v>
      </c>
      <c r="D33">
        <v>18.940000000000001</v>
      </c>
      <c r="E33">
        <v>26.27</v>
      </c>
      <c r="F33">
        <v>36.15</v>
      </c>
      <c r="G33">
        <v>85.04</v>
      </c>
      <c r="H33">
        <v>28.26</v>
      </c>
      <c r="I33">
        <v>67.45</v>
      </c>
      <c r="J33">
        <v>75.36</v>
      </c>
      <c r="K33">
        <v>115.66</v>
      </c>
      <c r="L33">
        <v>35.020000000000003</v>
      </c>
      <c r="M33">
        <v>73.52</v>
      </c>
      <c r="N33">
        <v>70.739999999999995</v>
      </c>
      <c r="O33">
        <v>51.55</v>
      </c>
      <c r="P33">
        <v>62.49</v>
      </c>
      <c r="Q33">
        <v>19.71</v>
      </c>
      <c r="R33">
        <v>1317.56</v>
      </c>
      <c r="S33">
        <v>38.64</v>
      </c>
      <c r="T33">
        <v>20.3</v>
      </c>
      <c r="U33">
        <v>19.39</v>
      </c>
      <c r="V33">
        <v>38.299999999999997</v>
      </c>
      <c r="W33">
        <v>46.11</v>
      </c>
      <c r="X33">
        <v>26.7</v>
      </c>
      <c r="Y33">
        <v>55.02</v>
      </c>
      <c r="Z33">
        <v>42.82</v>
      </c>
      <c r="AA33">
        <v>84.78</v>
      </c>
      <c r="AB33">
        <v>60.49</v>
      </c>
      <c r="AC33">
        <v>45.16</v>
      </c>
      <c r="AD33">
        <v>616.28</v>
      </c>
      <c r="AE33">
        <v>685.4</v>
      </c>
      <c r="AF33">
        <v>45.05</v>
      </c>
      <c r="AG33">
        <v>61.539000000000001</v>
      </c>
      <c r="AH33">
        <v>51.52</v>
      </c>
      <c r="AI33">
        <v>54.44</v>
      </c>
    </row>
    <row r="34" spans="1:35" x14ac:dyDescent="0.45">
      <c r="A34" s="2">
        <v>46042</v>
      </c>
      <c r="B34">
        <v>35.5</v>
      </c>
      <c r="C34">
        <v>43.89</v>
      </c>
      <c r="D34">
        <v>19.13</v>
      </c>
      <c r="E34">
        <v>26</v>
      </c>
      <c r="F34">
        <v>35.840000000000003</v>
      </c>
      <c r="G34">
        <v>84.78</v>
      </c>
      <c r="H34">
        <v>27.88</v>
      </c>
      <c r="I34">
        <v>66.540000000000006</v>
      </c>
      <c r="J34">
        <v>74.61</v>
      </c>
      <c r="K34">
        <v>110.97</v>
      </c>
      <c r="L34">
        <v>33.619999999999997</v>
      </c>
      <c r="M34">
        <v>73.44</v>
      </c>
      <c r="N34">
        <v>69.88</v>
      </c>
      <c r="O34">
        <v>51.73</v>
      </c>
      <c r="P34">
        <v>61.65</v>
      </c>
      <c r="Q34">
        <v>19.71</v>
      </c>
      <c r="R34">
        <v>1296.3699999999999</v>
      </c>
      <c r="S34">
        <v>38.869999999999997</v>
      </c>
      <c r="T34">
        <v>20.09</v>
      </c>
      <c r="U34">
        <v>19.510000000000002</v>
      </c>
      <c r="V34">
        <v>37.94</v>
      </c>
      <c r="W34">
        <v>46.09</v>
      </c>
      <c r="X34">
        <v>26.46</v>
      </c>
      <c r="Y34">
        <v>54.75</v>
      </c>
      <c r="Z34">
        <v>42.54</v>
      </c>
      <c r="AA34">
        <v>83.72</v>
      </c>
      <c r="AB34">
        <v>60.16</v>
      </c>
      <c r="AC34">
        <v>44.7</v>
      </c>
      <c r="AD34">
        <v>608.05999999999995</v>
      </c>
      <c r="AE34">
        <v>677.58</v>
      </c>
      <c r="AF34">
        <v>44.55</v>
      </c>
      <c r="AG34">
        <v>60.64</v>
      </c>
      <c r="AH34">
        <v>50.46</v>
      </c>
      <c r="AI34">
        <v>54.02</v>
      </c>
    </row>
    <row r="35" spans="1:35" x14ac:dyDescent="0.45">
      <c r="A35" s="2">
        <v>46038</v>
      </c>
      <c r="B35">
        <v>35.515000000000001</v>
      </c>
      <c r="C35">
        <v>44.09</v>
      </c>
      <c r="D35">
        <v>19.14</v>
      </c>
      <c r="E35">
        <v>26.42</v>
      </c>
      <c r="F35">
        <v>35.92</v>
      </c>
      <c r="G35">
        <v>82.63</v>
      </c>
      <c r="H35">
        <v>28.17</v>
      </c>
      <c r="I35">
        <v>67.34</v>
      </c>
      <c r="J35">
        <v>74</v>
      </c>
      <c r="K35">
        <v>112.22</v>
      </c>
      <c r="L35">
        <v>33.17</v>
      </c>
      <c r="M35">
        <v>72.78</v>
      </c>
      <c r="N35">
        <v>70.03</v>
      </c>
      <c r="O35">
        <v>52.85</v>
      </c>
      <c r="P35">
        <v>62.52</v>
      </c>
      <c r="Q35">
        <v>19.46</v>
      </c>
      <c r="R35">
        <v>1283.2</v>
      </c>
      <c r="S35">
        <v>38.409999999999997</v>
      </c>
      <c r="T35">
        <v>19.87</v>
      </c>
      <c r="U35">
        <v>19.73</v>
      </c>
      <c r="V35">
        <v>37.83</v>
      </c>
      <c r="W35">
        <v>45.755000000000003</v>
      </c>
      <c r="X35">
        <v>26.74</v>
      </c>
      <c r="Y35">
        <v>55.13</v>
      </c>
      <c r="Z35">
        <v>43.34</v>
      </c>
      <c r="AA35">
        <v>85.48</v>
      </c>
      <c r="AB35">
        <v>60.51</v>
      </c>
      <c r="AC35">
        <v>45.18</v>
      </c>
      <c r="AD35">
        <v>621.26</v>
      </c>
      <c r="AE35">
        <v>691.66</v>
      </c>
      <c r="AF35">
        <v>45.29</v>
      </c>
      <c r="AG35">
        <v>61.91</v>
      </c>
      <c r="AH35">
        <v>51.31</v>
      </c>
      <c r="AI35">
        <v>54.92</v>
      </c>
    </row>
    <row r="36" spans="1:35" x14ac:dyDescent="0.45">
      <c r="A36" s="2">
        <v>46037</v>
      </c>
      <c r="B36">
        <v>35.869999999999997</v>
      </c>
      <c r="C36">
        <v>44.15</v>
      </c>
      <c r="D36">
        <v>19.22</v>
      </c>
      <c r="E36">
        <v>26.38</v>
      </c>
      <c r="F36">
        <v>36.15</v>
      </c>
      <c r="G36">
        <v>83.01</v>
      </c>
      <c r="H36">
        <v>28.28</v>
      </c>
      <c r="I36">
        <v>67.290000000000006</v>
      </c>
      <c r="J36">
        <v>73.25</v>
      </c>
      <c r="K36">
        <v>111.05</v>
      </c>
      <c r="L36">
        <v>33.36</v>
      </c>
      <c r="M36">
        <v>73.739999999999995</v>
      </c>
      <c r="N36">
        <v>69.84</v>
      </c>
      <c r="O36">
        <v>53.22</v>
      </c>
      <c r="P36">
        <v>63.59</v>
      </c>
      <c r="Q36">
        <v>19.425000000000001</v>
      </c>
      <c r="R36">
        <v>1275.5999999999999</v>
      </c>
      <c r="S36">
        <v>37.94</v>
      </c>
      <c r="T36">
        <v>19.73</v>
      </c>
      <c r="U36">
        <v>19.53</v>
      </c>
      <c r="V36">
        <v>37.99</v>
      </c>
      <c r="W36">
        <v>45.630099999999999</v>
      </c>
      <c r="X36">
        <v>26.65</v>
      </c>
      <c r="Y36">
        <v>55.22</v>
      </c>
      <c r="Z36">
        <v>43.24</v>
      </c>
      <c r="AA36">
        <v>85.42</v>
      </c>
      <c r="AB36">
        <v>60.52</v>
      </c>
      <c r="AC36">
        <v>45.09</v>
      </c>
      <c r="AD36">
        <v>621.78</v>
      </c>
      <c r="AE36">
        <v>692.24</v>
      </c>
      <c r="AF36">
        <v>45.4</v>
      </c>
      <c r="AG36">
        <v>61.6</v>
      </c>
      <c r="AH36">
        <v>51.05</v>
      </c>
      <c r="AI36">
        <v>54.8</v>
      </c>
    </row>
    <row r="37" spans="1:35" x14ac:dyDescent="0.45">
      <c r="A37" s="2">
        <v>46036</v>
      </c>
      <c r="B37">
        <v>35.6</v>
      </c>
      <c r="C37">
        <v>44.51</v>
      </c>
      <c r="D37">
        <v>19.14</v>
      </c>
      <c r="E37">
        <v>26.04</v>
      </c>
      <c r="F37">
        <v>36.03</v>
      </c>
      <c r="G37">
        <v>82.26</v>
      </c>
      <c r="H37">
        <v>28.2</v>
      </c>
      <c r="I37">
        <v>66.510000000000005</v>
      </c>
      <c r="J37">
        <v>73.38</v>
      </c>
      <c r="K37">
        <v>109.64</v>
      </c>
      <c r="L37">
        <v>33.159999999999997</v>
      </c>
      <c r="M37">
        <v>73.39</v>
      </c>
      <c r="N37">
        <v>69.150000000000006</v>
      </c>
      <c r="O37">
        <v>53.25</v>
      </c>
      <c r="P37">
        <v>63.55</v>
      </c>
      <c r="Q37">
        <v>19.659600000000001</v>
      </c>
      <c r="R37">
        <v>1261.3900000000001</v>
      </c>
      <c r="S37">
        <v>37.590000000000003</v>
      </c>
      <c r="T37">
        <v>19.59</v>
      </c>
      <c r="U37">
        <v>19.690000000000001</v>
      </c>
      <c r="V37">
        <v>38.21</v>
      </c>
      <c r="W37">
        <v>45.89</v>
      </c>
      <c r="X37">
        <v>26.54</v>
      </c>
      <c r="Y37">
        <v>55.18</v>
      </c>
      <c r="Z37">
        <v>43.49</v>
      </c>
      <c r="AA37">
        <v>85.04</v>
      </c>
      <c r="AB37">
        <v>60.87</v>
      </c>
      <c r="AC37">
        <v>45.28</v>
      </c>
      <c r="AD37">
        <v>619.54999999999995</v>
      </c>
      <c r="AE37">
        <v>690.36</v>
      </c>
      <c r="AF37">
        <v>45.87</v>
      </c>
      <c r="AG37">
        <v>60.67</v>
      </c>
      <c r="AH37">
        <v>50.61</v>
      </c>
      <c r="AI37">
        <v>55.04</v>
      </c>
    </row>
    <row r="38" spans="1:35" x14ac:dyDescent="0.45">
      <c r="A38" s="2">
        <v>46035</v>
      </c>
      <c r="B38">
        <v>35.590000000000003</v>
      </c>
      <c r="C38">
        <v>44.34</v>
      </c>
      <c r="D38">
        <v>19.03</v>
      </c>
      <c r="E38">
        <v>26.24</v>
      </c>
      <c r="F38">
        <v>36.090000000000003</v>
      </c>
      <c r="G38">
        <v>80.989999999999995</v>
      </c>
      <c r="H38">
        <v>28.05</v>
      </c>
      <c r="I38">
        <v>66.099999999999994</v>
      </c>
      <c r="J38">
        <v>71.97</v>
      </c>
      <c r="K38">
        <v>107.54</v>
      </c>
      <c r="L38">
        <v>32.630000000000003</v>
      </c>
      <c r="M38">
        <v>73.09</v>
      </c>
      <c r="N38">
        <v>69</v>
      </c>
      <c r="O38">
        <v>53.04</v>
      </c>
      <c r="P38">
        <v>63.52</v>
      </c>
      <c r="Q38">
        <v>19.71</v>
      </c>
      <c r="R38">
        <v>1244.3</v>
      </c>
      <c r="S38">
        <v>37.729999999999997</v>
      </c>
      <c r="T38">
        <v>19.760000000000002</v>
      </c>
      <c r="U38">
        <v>19.8</v>
      </c>
      <c r="V38">
        <v>38.21</v>
      </c>
      <c r="W38">
        <v>45.52</v>
      </c>
      <c r="X38">
        <v>26.41</v>
      </c>
      <c r="Y38">
        <v>55.12</v>
      </c>
      <c r="Z38">
        <v>43.57</v>
      </c>
      <c r="AA38">
        <v>84.45</v>
      </c>
      <c r="AB38">
        <v>60.17</v>
      </c>
      <c r="AC38">
        <v>44.98</v>
      </c>
      <c r="AD38">
        <v>626.24</v>
      </c>
      <c r="AE38">
        <v>693.77</v>
      </c>
      <c r="AF38">
        <v>45.96</v>
      </c>
      <c r="AG38">
        <v>60.78</v>
      </c>
      <c r="AH38">
        <v>50.7</v>
      </c>
      <c r="AI38">
        <v>54.81</v>
      </c>
    </row>
    <row r="39" spans="1:35" x14ac:dyDescent="0.45">
      <c r="A39" s="2">
        <v>46034</v>
      </c>
      <c r="B39">
        <v>36.229999999999997</v>
      </c>
      <c r="C39">
        <v>43.87</v>
      </c>
      <c r="D39">
        <v>18.989999999999998</v>
      </c>
      <c r="E39">
        <v>26.41</v>
      </c>
      <c r="F39">
        <v>36.380000000000003</v>
      </c>
      <c r="G39">
        <v>80.55</v>
      </c>
      <c r="H39">
        <v>27.97</v>
      </c>
      <c r="I39">
        <v>66.62</v>
      </c>
      <c r="J39">
        <v>72.06</v>
      </c>
      <c r="K39">
        <v>108.93</v>
      </c>
      <c r="L39">
        <v>32.93</v>
      </c>
      <c r="M39">
        <v>72.78</v>
      </c>
      <c r="N39">
        <v>69.489999999999995</v>
      </c>
      <c r="O39">
        <v>53.4</v>
      </c>
      <c r="P39">
        <v>64.260000000000005</v>
      </c>
      <c r="Q39">
        <v>19.6099</v>
      </c>
      <c r="R39">
        <v>1235.3</v>
      </c>
      <c r="S39">
        <v>37.54</v>
      </c>
      <c r="T39">
        <v>19.55</v>
      </c>
      <c r="U39">
        <v>19.670000000000002</v>
      </c>
      <c r="V39">
        <v>37.82</v>
      </c>
      <c r="W39">
        <v>46.1</v>
      </c>
      <c r="X39">
        <v>26.45</v>
      </c>
      <c r="Y39">
        <v>55.09</v>
      </c>
      <c r="Z39">
        <v>43.83</v>
      </c>
      <c r="AA39">
        <v>85.29</v>
      </c>
      <c r="AB39">
        <v>60.63</v>
      </c>
      <c r="AC39">
        <v>45.09</v>
      </c>
      <c r="AD39">
        <v>627.16999999999996</v>
      </c>
      <c r="AE39">
        <v>695.16</v>
      </c>
      <c r="AF39">
        <v>46.1</v>
      </c>
      <c r="AG39">
        <v>61.04</v>
      </c>
      <c r="AH39">
        <v>50.91</v>
      </c>
      <c r="AI39">
        <v>55.32</v>
      </c>
    </row>
    <row r="40" spans="1:35" x14ac:dyDescent="0.45">
      <c r="A40" s="2">
        <v>46031</v>
      </c>
      <c r="B40">
        <v>35.83</v>
      </c>
      <c r="C40">
        <v>42.85</v>
      </c>
      <c r="D40">
        <v>19.010000000000002</v>
      </c>
      <c r="E40">
        <v>26.13</v>
      </c>
      <c r="F40">
        <v>36.200000000000003</v>
      </c>
      <c r="G40">
        <v>78.19</v>
      </c>
      <c r="H40">
        <v>27.59</v>
      </c>
      <c r="I40">
        <v>65.92</v>
      </c>
      <c r="J40">
        <v>71.06</v>
      </c>
      <c r="K40">
        <v>108.89</v>
      </c>
      <c r="L40">
        <v>33.06</v>
      </c>
      <c r="M40">
        <v>70.69</v>
      </c>
      <c r="N40">
        <v>68.98</v>
      </c>
      <c r="O40">
        <v>53.174999999999997</v>
      </c>
      <c r="P40">
        <v>62.22</v>
      </c>
      <c r="Q40">
        <v>19.36</v>
      </c>
      <c r="R40">
        <v>1242.2</v>
      </c>
      <c r="S40">
        <v>37.159999999999997</v>
      </c>
      <c r="T40">
        <v>19.43</v>
      </c>
      <c r="U40">
        <v>19.28</v>
      </c>
      <c r="V40">
        <v>36.869999999999997</v>
      </c>
      <c r="W40">
        <v>45.98</v>
      </c>
      <c r="X40">
        <v>26.26</v>
      </c>
      <c r="Y40">
        <v>54.63</v>
      </c>
      <c r="Z40">
        <v>43.41</v>
      </c>
      <c r="AA40">
        <v>84.61</v>
      </c>
      <c r="AB40">
        <v>60.58</v>
      </c>
      <c r="AC40">
        <v>44.79</v>
      </c>
      <c r="AD40">
        <v>626.65</v>
      </c>
      <c r="AE40">
        <v>694.07</v>
      </c>
      <c r="AF40">
        <v>45.88</v>
      </c>
      <c r="AG40">
        <v>60.4</v>
      </c>
      <c r="AH40">
        <v>50.78</v>
      </c>
      <c r="AI40">
        <v>55.03</v>
      </c>
    </row>
    <row r="41" spans="1:35" x14ac:dyDescent="0.45">
      <c r="A41" s="2">
        <v>46030</v>
      </c>
      <c r="B41">
        <v>35.49</v>
      </c>
      <c r="C41">
        <v>42.75</v>
      </c>
      <c r="D41">
        <v>18.989999999999998</v>
      </c>
      <c r="E41">
        <v>26.08</v>
      </c>
      <c r="F41">
        <v>35.82</v>
      </c>
      <c r="G41">
        <v>76.55</v>
      </c>
      <c r="H41">
        <v>27.36</v>
      </c>
      <c r="I41">
        <v>65.44</v>
      </c>
      <c r="J41">
        <v>70.48</v>
      </c>
      <c r="K41">
        <v>106.59</v>
      </c>
      <c r="L41">
        <v>32.880000000000003</v>
      </c>
      <c r="M41">
        <v>70.34</v>
      </c>
      <c r="N41">
        <v>69.19</v>
      </c>
      <c r="O41">
        <v>53.72</v>
      </c>
      <c r="P41">
        <v>62.28</v>
      </c>
      <c r="Q41">
        <v>19.28</v>
      </c>
      <c r="R41">
        <v>1254.0899999999999</v>
      </c>
      <c r="S41">
        <v>36.729999999999997</v>
      </c>
      <c r="T41">
        <v>19.649999999999999</v>
      </c>
      <c r="U41">
        <v>19.309999999999999</v>
      </c>
      <c r="V41">
        <v>36.82</v>
      </c>
      <c r="W41">
        <v>46.115000000000002</v>
      </c>
      <c r="X41">
        <v>26.37</v>
      </c>
      <c r="Y41">
        <v>54.46</v>
      </c>
      <c r="Z41">
        <v>43.31</v>
      </c>
      <c r="AA41">
        <v>82.86</v>
      </c>
      <c r="AB41">
        <v>60.21</v>
      </c>
      <c r="AC41">
        <v>44.6</v>
      </c>
      <c r="AD41">
        <v>620.47</v>
      </c>
      <c r="AE41">
        <v>689.51</v>
      </c>
      <c r="AF41">
        <v>45.46</v>
      </c>
      <c r="AG41">
        <v>59.21</v>
      </c>
      <c r="AH41">
        <v>50.28</v>
      </c>
      <c r="AI41">
        <v>55.24</v>
      </c>
    </row>
    <row r="42" spans="1:35" x14ac:dyDescent="0.45">
      <c r="A42" s="2">
        <v>46029</v>
      </c>
      <c r="B42">
        <v>35.5</v>
      </c>
      <c r="C42">
        <v>42.39</v>
      </c>
      <c r="D42">
        <v>19.03</v>
      </c>
      <c r="E42">
        <v>25.92</v>
      </c>
      <c r="F42">
        <v>36.6</v>
      </c>
      <c r="G42">
        <v>75.42</v>
      </c>
      <c r="H42">
        <v>27.43</v>
      </c>
      <c r="I42">
        <v>65.59</v>
      </c>
      <c r="J42">
        <v>69.92</v>
      </c>
      <c r="K42">
        <v>107.03</v>
      </c>
      <c r="L42">
        <v>32.700000000000003</v>
      </c>
      <c r="M42">
        <v>71.45</v>
      </c>
      <c r="N42">
        <v>67.98</v>
      </c>
      <c r="O42">
        <v>54.2</v>
      </c>
      <c r="P42">
        <v>61.88</v>
      </c>
      <c r="Q42">
        <v>19.405000000000001</v>
      </c>
      <c r="R42">
        <v>1253.5999999999999</v>
      </c>
      <c r="S42">
        <v>36.630000000000003</v>
      </c>
      <c r="T42">
        <v>19.649999999999999</v>
      </c>
      <c r="U42">
        <v>19.440000000000001</v>
      </c>
      <c r="V42">
        <v>36.32</v>
      </c>
      <c r="W42">
        <v>46.295000000000002</v>
      </c>
      <c r="X42">
        <v>26.27</v>
      </c>
      <c r="Y42">
        <v>54.01</v>
      </c>
      <c r="Z42">
        <v>43.26</v>
      </c>
      <c r="AA42">
        <v>82.92</v>
      </c>
      <c r="AB42">
        <v>60.31</v>
      </c>
      <c r="AC42">
        <v>44.49</v>
      </c>
      <c r="AD42">
        <v>624.02</v>
      </c>
      <c r="AE42">
        <v>689.58</v>
      </c>
      <c r="AF42">
        <v>45.4</v>
      </c>
      <c r="AG42">
        <v>59.8</v>
      </c>
      <c r="AH42">
        <v>50.87</v>
      </c>
      <c r="AI42">
        <v>54.97</v>
      </c>
    </row>
    <row r="43" spans="1:35" x14ac:dyDescent="0.45">
      <c r="A43" s="2">
        <v>46028</v>
      </c>
      <c r="B43">
        <v>35.64</v>
      </c>
      <c r="C43">
        <v>42.55</v>
      </c>
      <c r="D43">
        <v>19.079999999999998</v>
      </c>
      <c r="E43">
        <v>25.98</v>
      </c>
      <c r="F43">
        <v>36.26</v>
      </c>
      <c r="G43">
        <v>76.709999999999994</v>
      </c>
      <c r="H43">
        <v>27.63</v>
      </c>
      <c r="I43">
        <v>65.83</v>
      </c>
      <c r="J43">
        <v>70.040000000000006</v>
      </c>
      <c r="K43">
        <v>107.61</v>
      </c>
      <c r="L43">
        <v>33.11</v>
      </c>
      <c r="M43">
        <v>72.739999999999995</v>
      </c>
      <c r="N43">
        <v>67.39</v>
      </c>
      <c r="O43">
        <v>54.08</v>
      </c>
      <c r="P43">
        <v>62.71</v>
      </c>
      <c r="Q43">
        <v>19.3551</v>
      </c>
      <c r="R43">
        <v>1280.82</v>
      </c>
      <c r="S43">
        <v>36.770000000000003</v>
      </c>
      <c r="T43">
        <v>19.425000000000001</v>
      </c>
      <c r="U43">
        <v>19.43</v>
      </c>
      <c r="V43">
        <v>37.03</v>
      </c>
      <c r="W43">
        <v>46.147599999999997</v>
      </c>
      <c r="X43">
        <v>26.49</v>
      </c>
      <c r="Y43">
        <v>54.65</v>
      </c>
      <c r="Z43">
        <v>43.13</v>
      </c>
      <c r="AA43">
        <v>83.07</v>
      </c>
      <c r="AB43">
        <v>60.55</v>
      </c>
      <c r="AC43">
        <v>45.05</v>
      </c>
      <c r="AD43">
        <v>623.41999999999996</v>
      </c>
      <c r="AE43">
        <v>691.81</v>
      </c>
      <c r="AF43">
        <v>45.6</v>
      </c>
      <c r="AG43">
        <v>60.44</v>
      </c>
      <c r="AH43">
        <v>50.11</v>
      </c>
      <c r="AI43">
        <v>55.29</v>
      </c>
    </row>
    <row r="44" spans="1:35" x14ac:dyDescent="0.45">
      <c r="A44" s="2">
        <v>46027</v>
      </c>
      <c r="B44">
        <v>35.21</v>
      </c>
      <c r="C44">
        <v>41.6</v>
      </c>
      <c r="D44">
        <v>19.04</v>
      </c>
      <c r="E44">
        <v>25.46</v>
      </c>
      <c r="F44">
        <v>36.17</v>
      </c>
      <c r="G44">
        <v>74.87</v>
      </c>
      <c r="H44">
        <v>27.61</v>
      </c>
      <c r="I44">
        <v>65.3</v>
      </c>
      <c r="J44">
        <v>70.58</v>
      </c>
      <c r="K44">
        <v>104.83</v>
      </c>
      <c r="L44">
        <v>32.79</v>
      </c>
      <c r="M44">
        <v>70.239999999999995</v>
      </c>
      <c r="N44">
        <v>67.61</v>
      </c>
      <c r="O44">
        <v>54.29</v>
      </c>
      <c r="P44">
        <v>62.67</v>
      </c>
      <c r="Q44">
        <v>19.190000000000001</v>
      </c>
      <c r="R44">
        <v>1274.75</v>
      </c>
      <c r="S44">
        <v>35.81</v>
      </c>
      <c r="T44">
        <v>19.22</v>
      </c>
      <c r="U44">
        <v>19.02</v>
      </c>
      <c r="V44">
        <v>36</v>
      </c>
      <c r="W44">
        <v>45.858400000000003</v>
      </c>
      <c r="X44">
        <v>26.61</v>
      </c>
      <c r="Y44">
        <v>54.59</v>
      </c>
      <c r="Z44">
        <v>43.05</v>
      </c>
      <c r="AA44">
        <v>83.13</v>
      </c>
      <c r="AB44">
        <v>60.43</v>
      </c>
      <c r="AC44">
        <v>44.81</v>
      </c>
      <c r="AD44">
        <v>617.99</v>
      </c>
      <c r="AE44">
        <v>687.72</v>
      </c>
      <c r="AF44">
        <v>45.42</v>
      </c>
      <c r="AG44">
        <v>60.14</v>
      </c>
      <c r="AH44">
        <v>50.39</v>
      </c>
      <c r="AI44">
        <v>55.67</v>
      </c>
    </row>
    <row r="45" spans="1:35" x14ac:dyDescent="0.45">
      <c r="A45" s="2">
        <v>46024</v>
      </c>
      <c r="B45">
        <v>34.909999999999997</v>
      </c>
      <c r="C45">
        <v>40.369999999999997</v>
      </c>
      <c r="D45">
        <v>18.809999999999999</v>
      </c>
      <c r="E45">
        <v>25.3</v>
      </c>
      <c r="F45">
        <v>36.25</v>
      </c>
      <c r="G45">
        <v>72.709999999999994</v>
      </c>
      <c r="H45">
        <v>27.42</v>
      </c>
      <c r="I45">
        <v>64.77</v>
      </c>
      <c r="J45">
        <v>69.66</v>
      </c>
      <c r="K45">
        <v>102.22</v>
      </c>
      <c r="L45">
        <v>32.200000000000003</v>
      </c>
      <c r="M45">
        <v>69.400000000000006</v>
      </c>
      <c r="N45">
        <v>67.444599999999994</v>
      </c>
      <c r="O45">
        <v>54.56</v>
      </c>
      <c r="P45">
        <v>62.24</v>
      </c>
      <c r="Q45">
        <v>18.824999999999999</v>
      </c>
      <c r="R45">
        <v>1280.05</v>
      </c>
      <c r="S45">
        <v>34.92</v>
      </c>
      <c r="T45">
        <v>19.2151</v>
      </c>
      <c r="U45">
        <v>19.11</v>
      </c>
      <c r="V45">
        <v>36.770000000000003</v>
      </c>
      <c r="W45">
        <v>45.471899999999998</v>
      </c>
      <c r="X45">
        <v>26.47</v>
      </c>
      <c r="Y45">
        <v>54.19</v>
      </c>
      <c r="Z45">
        <v>42.56</v>
      </c>
      <c r="AA45">
        <v>81.33</v>
      </c>
      <c r="AB45">
        <v>60.34</v>
      </c>
      <c r="AC45">
        <v>44.46</v>
      </c>
      <c r="AD45">
        <v>613.12</v>
      </c>
      <c r="AE45">
        <v>683.17</v>
      </c>
      <c r="AF45">
        <v>45.31</v>
      </c>
      <c r="AG45">
        <v>58.64</v>
      </c>
      <c r="AH45">
        <v>49.6</v>
      </c>
      <c r="AI45">
        <v>55.16</v>
      </c>
    </row>
    <row r="46" spans="1:35" x14ac:dyDescent="0.45">
      <c r="A46" s="2">
        <v>46022</v>
      </c>
      <c r="B46">
        <v>34.58</v>
      </c>
      <c r="C46">
        <v>40.4</v>
      </c>
      <c r="D46">
        <v>18.7</v>
      </c>
      <c r="E46">
        <v>24.92</v>
      </c>
      <c r="F46">
        <v>35.19</v>
      </c>
      <c r="G46">
        <v>72.349999999999994</v>
      </c>
      <c r="H46">
        <v>27.36</v>
      </c>
      <c r="I46">
        <v>63.53</v>
      </c>
      <c r="J46">
        <v>69.33</v>
      </c>
      <c r="K46">
        <v>97.22</v>
      </c>
      <c r="L46">
        <v>31.77</v>
      </c>
      <c r="M46">
        <v>68.8</v>
      </c>
      <c r="N46">
        <v>65.91</v>
      </c>
      <c r="O46">
        <v>54.05</v>
      </c>
      <c r="P46">
        <v>60.07</v>
      </c>
      <c r="Q46">
        <v>18.818300000000001</v>
      </c>
      <c r="R46">
        <v>1259.67</v>
      </c>
      <c r="S46">
        <v>34.42</v>
      </c>
      <c r="T46">
        <v>19.12</v>
      </c>
      <c r="U46">
        <v>19.079999999999998</v>
      </c>
      <c r="V46">
        <v>36.409999999999997</v>
      </c>
      <c r="W46">
        <v>45.271500000000003</v>
      </c>
      <c r="X46">
        <v>26.19</v>
      </c>
      <c r="Y46">
        <v>53.93</v>
      </c>
      <c r="Z46">
        <v>42.5</v>
      </c>
      <c r="AA46">
        <v>80.739999999999995</v>
      </c>
      <c r="AB46">
        <v>59.96</v>
      </c>
      <c r="AC46">
        <v>43.98</v>
      </c>
      <c r="AD46">
        <v>614.30999999999995</v>
      </c>
      <c r="AE46">
        <v>681.92</v>
      </c>
      <c r="AF46">
        <v>44.99</v>
      </c>
      <c r="AG46">
        <v>57.03</v>
      </c>
      <c r="AH46">
        <v>49.23</v>
      </c>
      <c r="AI46">
        <v>54.33</v>
      </c>
    </row>
    <row r="47" spans="1:35" x14ac:dyDescent="0.45">
      <c r="A47" s="2">
        <v>46021</v>
      </c>
      <c r="B47">
        <v>34.590000000000003</v>
      </c>
      <c r="C47">
        <v>40.54</v>
      </c>
      <c r="D47">
        <v>18.670000000000002</v>
      </c>
      <c r="E47">
        <v>25.06</v>
      </c>
      <c r="F47">
        <v>35.159999999999997</v>
      </c>
      <c r="G47">
        <v>72.91</v>
      </c>
      <c r="H47">
        <v>27.57</v>
      </c>
      <c r="I47">
        <v>63.71</v>
      </c>
      <c r="J47">
        <v>69.489999999999995</v>
      </c>
      <c r="K47">
        <v>98.62</v>
      </c>
      <c r="L47">
        <v>31.99</v>
      </c>
      <c r="M47">
        <v>69.23</v>
      </c>
      <c r="N47">
        <v>66.5</v>
      </c>
      <c r="O47">
        <v>53.64</v>
      </c>
      <c r="P47">
        <v>60.58</v>
      </c>
      <c r="Q47">
        <v>18.95</v>
      </c>
      <c r="R47">
        <v>1254.03</v>
      </c>
      <c r="S47">
        <v>34.42</v>
      </c>
      <c r="T47">
        <v>19.05</v>
      </c>
      <c r="U47">
        <v>19.010000000000002</v>
      </c>
      <c r="V47">
        <v>36.049999999999997</v>
      </c>
      <c r="W47">
        <v>45.41</v>
      </c>
      <c r="X47">
        <v>26.41</v>
      </c>
      <c r="Y47">
        <v>54.3</v>
      </c>
      <c r="Z47">
        <v>42.75</v>
      </c>
      <c r="AA47">
        <v>80.98</v>
      </c>
      <c r="AB47">
        <v>60.17</v>
      </c>
      <c r="AC47">
        <v>44.22</v>
      </c>
      <c r="AD47">
        <v>619.42999999999995</v>
      </c>
      <c r="AE47">
        <v>687.01</v>
      </c>
      <c r="AF47">
        <v>45.14</v>
      </c>
      <c r="AG47">
        <v>57.226999999999997</v>
      </c>
      <c r="AH47">
        <v>49.55</v>
      </c>
      <c r="AI47">
        <v>54.59</v>
      </c>
    </row>
    <row r="48" spans="1:35" x14ac:dyDescent="0.45">
      <c r="A48" s="2">
        <v>46020</v>
      </c>
      <c r="B48">
        <v>34.369999999999997</v>
      </c>
      <c r="C48">
        <v>40.15</v>
      </c>
      <c r="D48">
        <v>18.670000000000002</v>
      </c>
      <c r="E48">
        <v>25.09</v>
      </c>
      <c r="F48">
        <v>34.96</v>
      </c>
      <c r="G48">
        <v>71.95</v>
      </c>
      <c r="H48">
        <v>27.53</v>
      </c>
      <c r="I48">
        <v>63.33</v>
      </c>
      <c r="J48">
        <v>70.510000000000005</v>
      </c>
      <c r="K48">
        <v>98.72</v>
      </c>
      <c r="L48">
        <v>31.42</v>
      </c>
      <c r="M48">
        <v>68.430000000000007</v>
      </c>
      <c r="N48">
        <v>68</v>
      </c>
      <c r="O48">
        <v>53.47</v>
      </c>
      <c r="P48">
        <v>60.37</v>
      </c>
      <c r="Q48">
        <v>18.8751</v>
      </c>
      <c r="R48">
        <v>1259.25</v>
      </c>
      <c r="S48">
        <v>34.409999999999997</v>
      </c>
      <c r="T48">
        <v>19.600000000000001</v>
      </c>
      <c r="U48">
        <v>18.920000000000002</v>
      </c>
      <c r="V48">
        <v>36.39</v>
      </c>
      <c r="W48">
        <v>45.41</v>
      </c>
      <c r="X48">
        <v>26.48</v>
      </c>
      <c r="Y48">
        <v>54.33</v>
      </c>
      <c r="Z48">
        <v>42.51</v>
      </c>
      <c r="AA48">
        <v>81.09</v>
      </c>
      <c r="AB48">
        <v>60.35</v>
      </c>
      <c r="AC48">
        <v>44.02</v>
      </c>
      <c r="AD48">
        <v>620.87</v>
      </c>
      <c r="AE48">
        <v>687.85</v>
      </c>
      <c r="AF48">
        <v>44.99</v>
      </c>
      <c r="AG48">
        <v>57</v>
      </c>
      <c r="AH48">
        <v>49.32</v>
      </c>
      <c r="AI48">
        <v>54.16</v>
      </c>
    </row>
    <row r="49" spans="1:35" x14ac:dyDescent="0.45">
      <c r="A49" s="2">
        <v>46017</v>
      </c>
      <c r="B49">
        <v>34.71</v>
      </c>
      <c r="C49">
        <v>40.29</v>
      </c>
      <c r="D49">
        <v>18.47</v>
      </c>
      <c r="E49">
        <v>25.08</v>
      </c>
      <c r="F49">
        <v>35.200000000000003</v>
      </c>
      <c r="G49">
        <v>73.77</v>
      </c>
      <c r="H49">
        <v>27.64</v>
      </c>
      <c r="I49">
        <v>63.02</v>
      </c>
      <c r="J49">
        <v>71.150000000000006</v>
      </c>
      <c r="K49">
        <v>95.84</v>
      </c>
      <c r="L49">
        <v>31.73</v>
      </c>
      <c r="M49">
        <v>70.31</v>
      </c>
      <c r="N49">
        <v>68.61</v>
      </c>
      <c r="O49">
        <v>53.84</v>
      </c>
      <c r="P49">
        <v>61.27</v>
      </c>
      <c r="Q49">
        <v>18.864999999999998</v>
      </c>
      <c r="R49">
        <v>1264.77</v>
      </c>
      <c r="S49">
        <v>34.76</v>
      </c>
      <c r="T49">
        <v>19.54</v>
      </c>
      <c r="U49">
        <v>18.399999999999999</v>
      </c>
      <c r="V49">
        <v>36.57</v>
      </c>
      <c r="W49">
        <v>45.73</v>
      </c>
      <c r="X49">
        <v>26.68</v>
      </c>
      <c r="Y49">
        <v>54.8</v>
      </c>
      <c r="Z49">
        <v>42.65</v>
      </c>
      <c r="AA49">
        <v>80.97</v>
      </c>
      <c r="AB49">
        <v>60.54</v>
      </c>
      <c r="AC49">
        <v>44.24</v>
      </c>
      <c r="AD49">
        <v>623.89</v>
      </c>
      <c r="AE49">
        <v>690.31</v>
      </c>
      <c r="AF49">
        <v>45.18</v>
      </c>
      <c r="AG49">
        <v>57.16</v>
      </c>
      <c r="AH49">
        <v>49.65</v>
      </c>
      <c r="AI49">
        <v>54.62</v>
      </c>
    </row>
    <row r="50" spans="1:35" x14ac:dyDescent="0.45">
      <c r="A50" s="2">
        <v>46015</v>
      </c>
      <c r="B50">
        <v>34.44</v>
      </c>
      <c r="C50">
        <v>40.03</v>
      </c>
      <c r="D50">
        <v>18.45</v>
      </c>
      <c r="E50">
        <v>24.94</v>
      </c>
      <c r="F50">
        <v>35.15</v>
      </c>
      <c r="G50">
        <v>72.739999999999995</v>
      </c>
      <c r="H50">
        <v>27.69</v>
      </c>
      <c r="I50">
        <v>62.53</v>
      </c>
      <c r="J50">
        <v>70.95</v>
      </c>
      <c r="K50">
        <v>94.6</v>
      </c>
      <c r="L50">
        <v>31.55</v>
      </c>
      <c r="M50">
        <v>69.92</v>
      </c>
      <c r="N50">
        <v>68.16</v>
      </c>
      <c r="O50">
        <v>54.01</v>
      </c>
      <c r="P50">
        <v>60.61</v>
      </c>
      <c r="Q50">
        <v>18.96</v>
      </c>
      <c r="R50">
        <v>1275.33</v>
      </c>
      <c r="S50">
        <v>34.869999999999997</v>
      </c>
      <c r="T50">
        <v>19.52</v>
      </c>
      <c r="U50">
        <v>19.010000000000002</v>
      </c>
      <c r="V50">
        <v>36.6</v>
      </c>
      <c r="W50">
        <v>45.74</v>
      </c>
      <c r="X50">
        <v>26.6</v>
      </c>
      <c r="Y50">
        <v>54.6</v>
      </c>
      <c r="Z50">
        <v>42.57</v>
      </c>
      <c r="AA50">
        <v>81</v>
      </c>
      <c r="AB50">
        <v>60.53</v>
      </c>
      <c r="AC50">
        <v>44.08</v>
      </c>
      <c r="AD50">
        <v>623.92999999999995</v>
      </c>
      <c r="AE50">
        <v>690.38</v>
      </c>
      <c r="AF50">
        <v>44.98</v>
      </c>
      <c r="AG50">
        <v>57.1</v>
      </c>
      <c r="AH50">
        <v>49.31</v>
      </c>
      <c r="AI50">
        <v>54.56</v>
      </c>
    </row>
    <row r="51" spans="1:35" x14ac:dyDescent="0.45">
      <c r="A51" s="2">
        <v>46014</v>
      </c>
      <c r="B51">
        <v>34.31</v>
      </c>
      <c r="C51">
        <v>39.92</v>
      </c>
      <c r="D51">
        <v>18.559999999999999</v>
      </c>
      <c r="E51">
        <v>24.93</v>
      </c>
      <c r="F51">
        <v>34.99</v>
      </c>
      <c r="G51">
        <v>72.78</v>
      </c>
      <c r="H51">
        <v>27.53</v>
      </c>
      <c r="I51">
        <v>62.5</v>
      </c>
      <c r="J51">
        <v>71.040000000000006</v>
      </c>
      <c r="K51">
        <v>92.7</v>
      </c>
      <c r="L51">
        <v>31.65</v>
      </c>
      <c r="M51">
        <v>69.540000000000006</v>
      </c>
      <c r="N51">
        <v>68.209999999999994</v>
      </c>
      <c r="O51">
        <v>54.47</v>
      </c>
      <c r="P51">
        <v>60.67</v>
      </c>
      <c r="Q51">
        <v>18.930199999999999</v>
      </c>
      <c r="R51">
        <v>1271.1099999999999</v>
      </c>
      <c r="S51">
        <v>34.814999999999998</v>
      </c>
      <c r="T51">
        <v>19.559999999999999</v>
      </c>
      <c r="U51">
        <v>19.079999999999998</v>
      </c>
      <c r="V51">
        <v>36.76</v>
      </c>
      <c r="W51">
        <v>45.54</v>
      </c>
      <c r="X51">
        <v>26.61</v>
      </c>
      <c r="Y51">
        <v>54.54</v>
      </c>
      <c r="Z51">
        <v>42.44</v>
      </c>
      <c r="AA51">
        <v>81.14</v>
      </c>
      <c r="AB51">
        <v>60.4</v>
      </c>
      <c r="AC51">
        <v>43.98</v>
      </c>
      <c r="AD51">
        <v>622.11</v>
      </c>
      <c r="AE51">
        <v>687.96</v>
      </c>
      <c r="AF51">
        <v>44.9</v>
      </c>
      <c r="AG51">
        <v>56.84</v>
      </c>
      <c r="AH51">
        <v>49.21</v>
      </c>
      <c r="AI51">
        <v>54.4</v>
      </c>
    </row>
    <row r="52" spans="1:35" x14ac:dyDescent="0.45">
      <c r="A52" s="2">
        <v>46013</v>
      </c>
      <c r="B52">
        <v>34.24</v>
      </c>
      <c r="C52">
        <v>39.79</v>
      </c>
      <c r="D52">
        <v>18.68</v>
      </c>
      <c r="E52">
        <v>24.96</v>
      </c>
      <c r="F52">
        <v>35.200000000000003</v>
      </c>
      <c r="G52">
        <v>72.08</v>
      </c>
      <c r="H52">
        <v>27.41</v>
      </c>
      <c r="I52">
        <v>61.98</v>
      </c>
      <c r="J52">
        <v>69.95</v>
      </c>
      <c r="K52">
        <v>91.75</v>
      </c>
      <c r="L52">
        <v>30.97</v>
      </c>
      <c r="M52">
        <v>68.790000000000006</v>
      </c>
      <c r="N52">
        <v>68.39</v>
      </c>
      <c r="O52">
        <v>54.19</v>
      </c>
      <c r="P52">
        <v>60.89</v>
      </c>
      <c r="Q52">
        <v>18.839600000000001</v>
      </c>
      <c r="R52">
        <v>1269.68</v>
      </c>
      <c r="S52">
        <v>34.61</v>
      </c>
      <c r="T52">
        <v>19.45</v>
      </c>
      <c r="U52">
        <v>18.61</v>
      </c>
      <c r="V52">
        <v>36.549999999999997</v>
      </c>
      <c r="W52">
        <v>45.18</v>
      </c>
      <c r="X52">
        <v>26.15</v>
      </c>
      <c r="Y52">
        <v>54.17</v>
      </c>
      <c r="Z52">
        <v>42.34</v>
      </c>
      <c r="AA52">
        <v>80.459999999999994</v>
      </c>
      <c r="AB52">
        <v>59.93</v>
      </c>
      <c r="AC52">
        <v>43.79</v>
      </c>
      <c r="AD52">
        <v>619.21</v>
      </c>
      <c r="AE52">
        <v>684.83</v>
      </c>
      <c r="AF52">
        <v>44.96</v>
      </c>
      <c r="AG52">
        <v>57.01</v>
      </c>
      <c r="AH52">
        <v>48.8</v>
      </c>
      <c r="AI52">
        <v>54.24</v>
      </c>
    </row>
    <row r="53" spans="1:35" x14ac:dyDescent="0.45">
      <c r="A53" s="2">
        <v>46010</v>
      </c>
      <c r="B53">
        <v>33.89</v>
      </c>
      <c r="C53">
        <v>39.31</v>
      </c>
      <c r="D53">
        <v>18.579999999999998</v>
      </c>
      <c r="E53">
        <v>24.66</v>
      </c>
      <c r="F53">
        <v>34.78</v>
      </c>
      <c r="G53">
        <v>71.2</v>
      </c>
      <c r="H53">
        <v>27.2</v>
      </c>
      <c r="I53">
        <v>61.64</v>
      </c>
      <c r="J53">
        <v>68.849999999999994</v>
      </c>
      <c r="K53">
        <v>91.34</v>
      </c>
      <c r="L53">
        <v>31.17</v>
      </c>
      <c r="M53">
        <v>67.599999999999994</v>
      </c>
      <c r="N53">
        <v>67.25</v>
      </c>
      <c r="O53">
        <v>54.15</v>
      </c>
      <c r="P53">
        <v>60.63</v>
      </c>
      <c r="Q53">
        <v>18.774999999999999</v>
      </c>
      <c r="R53">
        <v>1252.19</v>
      </c>
      <c r="S53">
        <v>34.86</v>
      </c>
      <c r="T53">
        <v>19.25</v>
      </c>
      <c r="U53">
        <v>18.39</v>
      </c>
      <c r="V53">
        <v>36.36</v>
      </c>
      <c r="W53">
        <v>44.82</v>
      </c>
      <c r="X53">
        <v>25.88</v>
      </c>
      <c r="Y53">
        <v>53.68</v>
      </c>
      <c r="Z53">
        <v>42.1</v>
      </c>
      <c r="AA53">
        <v>80.58</v>
      </c>
      <c r="AB53">
        <v>59.57</v>
      </c>
      <c r="AC53">
        <v>43.54</v>
      </c>
      <c r="AD53">
        <v>617.04999999999995</v>
      </c>
      <c r="AE53">
        <v>680.59</v>
      </c>
      <c r="AF53">
        <v>44.91</v>
      </c>
      <c r="AG53">
        <v>56.61</v>
      </c>
      <c r="AH53">
        <v>48.55</v>
      </c>
      <c r="AI53">
        <v>54.21</v>
      </c>
    </row>
    <row r="54" spans="1:35" x14ac:dyDescent="0.45">
      <c r="A54" s="2">
        <v>46009</v>
      </c>
      <c r="B54">
        <v>33.58</v>
      </c>
      <c r="C54">
        <v>38.69</v>
      </c>
      <c r="D54">
        <v>18.63</v>
      </c>
      <c r="E54">
        <v>25.01</v>
      </c>
      <c r="F54">
        <v>34.409999999999997</v>
      </c>
      <c r="G54">
        <v>69.98</v>
      </c>
      <c r="H54">
        <v>26.88</v>
      </c>
      <c r="I54">
        <v>60.87</v>
      </c>
      <c r="J54">
        <v>68.75</v>
      </c>
      <c r="K54">
        <v>90.07</v>
      </c>
      <c r="L54">
        <v>31.17</v>
      </c>
      <c r="M54">
        <v>67.510000000000005</v>
      </c>
      <c r="N54">
        <v>66.94</v>
      </c>
      <c r="O54">
        <v>53.28</v>
      </c>
      <c r="P54">
        <v>59.99</v>
      </c>
      <c r="Q54">
        <v>18.739999999999998</v>
      </c>
      <c r="R54">
        <v>1250.07</v>
      </c>
      <c r="S54">
        <v>34.82</v>
      </c>
      <c r="T54">
        <v>19.309999999999999</v>
      </c>
      <c r="U54">
        <v>17.88</v>
      </c>
      <c r="V54">
        <v>36.299999999999997</v>
      </c>
      <c r="W54">
        <v>44.6999</v>
      </c>
      <c r="X54">
        <v>25.81</v>
      </c>
      <c r="Y54">
        <v>53.22</v>
      </c>
      <c r="Z54">
        <v>41.94</v>
      </c>
      <c r="AA54">
        <v>79.97</v>
      </c>
      <c r="AB54">
        <v>59.47</v>
      </c>
      <c r="AC54">
        <v>43.13</v>
      </c>
      <c r="AD54">
        <v>609.11</v>
      </c>
      <c r="AE54">
        <v>676.47</v>
      </c>
      <c r="AF54">
        <v>44.8</v>
      </c>
      <c r="AG54">
        <v>56.02</v>
      </c>
      <c r="AH54">
        <v>48.18</v>
      </c>
      <c r="AI54">
        <v>53.81</v>
      </c>
    </row>
    <row r="55" spans="1:35" x14ac:dyDescent="0.45">
      <c r="A55" s="2">
        <v>46008</v>
      </c>
      <c r="B55">
        <v>33.630000000000003</v>
      </c>
      <c r="C55">
        <v>38.28</v>
      </c>
      <c r="D55">
        <v>18.600000000000001</v>
      </c>
      <c r="E55">
        <v>25.1</v>
      </c>
      <c r="F55">
        <v>34.270000000000003</v>
      </c>
      <c r="G55">
        <v>69.180000000000007</v>
      </c>
      <c r="H55">
        <v>26.6</v>
      </c>
      <c r="I55">
        <v>60.03</v>
      </c>
      <c r="J55">
        <v>67.45</v>
      </c>
      <c r="K55">
        <v>88.58</v>
      </c>
      <c r="L55">
        <v>31</v>
      </c>
      <c r="M55">
        <v>66.64</v>
      </c>
      <c r="N55">
        <v>66.25</v>
      </c>
      <c r="O55">
        <v>52.97</v>
      </c>
      <c r="P55">
        <v>59.47</v>
      </c>
      <c r="Q55">
        <v>18.6081</v>
      </c>
      <c r="R55">
        <v>1256.8499999999999</v>
      </c>
      <c r="S55">
        <v>34.734999999999999</v>
      </c>
      <c r="T55">
        <v>19.1129</v>
      </c>
      <c r="U55">
        <v>17.54</v>
      </c>
      <c r="V55">
        <v>35.83</v>
      </c>
      <c r="W55">
        <v>44.634999999999998</v>
      </c>
      <c r="X55">
        <v>25.58</v>
      </c>
      <c r="Y55">
        <v>52.81</v>
      </c>
      <c r="Z55">
        <v>41.61</v>
      </c>
      <c r="AA55">
        <v>79.739999999999995</v>
      </c>
      <c r="AB55">
        <v>58.84</v>
      </c>
      <c r="AC55">
        <v>42.94</v>
      </c>
      <c r="AD55">
        <v>600.41</v>
      </c>
      <c r="AE55">
        <v>671.4</v>
      </c>
      <c r="AF55">
        <v>44.62</v>
      </c>
      <c r="AG55">
        <v>55.57</v>
      </c>
      <c r="AH55">
        <v>47.62</v>
      </c>
      <c r="AI55">
        <v>53.51</v>
      </c>
    </row>
    <row r="56" spans="1:35" x14ac:dyDescent="0.45">
      <c r="A56" s="2">
        <v>46007</v>
      </c>
      <c r="B56">
        <v>33.197000000000003</v>
      </c>
      <c r="C56">
        <v>38.840000000000003</v>
      </c>
      <c r="D56">
        <v>18.670000000000002</v>
      </c>
      <c r="E56">
        <v>25.19</v>
      </c>
      <c r="F56">
        <v>34.409999999999997</v>
      </c>
      <c r="G56">
        <v>69.3</v>
      </c>
      <c r="H56">
        <v>26.79</v>
      </c>
      <c r="I56">
        <v>61.12</v>
      </c>
      <c r="J56">
        <v>68.28</v>
      </c>
      <c r="K56">
        <v>89.52</v>
      </c>
      <c r="L56">
        <v>31.6</v>
      </c>
      <c r="M56">
        <v>65.7</v>
      </c>
      <c r="N56">
        <v>66.81</v>
      </c>
      <c r="O56">
        <v>52.95</v>
      </c>
      <c r="P56">
        <v>59.7</v>
      </c>
      <c r="Q56">
        <v>18.696899999999999</v>
      </c>
      <c r="R56">
        <v>1260.68</v>
      </c>
      <c r="S56">
        <v>34.71</v>
      </c>
      <c r="T56">
        <v>19.239999999999998</v>
      </c>
      <c r="U56">
        <v>17.850000000000001</v>
      </c>
      <c r="V56">
        <v>36.090000000000003</v>
      </c>
      <c r="W56">
        <v>45.1265</v>
      </c>
      <c r="X56">
        <v>25.82</v>
      </c>
      <c r="Y56">
        <v>52.98</v>
      </c>
      <c r="Z56">
        <v>42.03</v>
      </c>
      <c r="AA56">
        <v>80.849999999999994</v>
      </c>
      <c r="AB56">
        <v>59.02</v>
      </c>
      <c r="AC56">
        <v>42.73</v>
      </c>
      <c r="AD56">
        <v>611.75</v>
      </c>
      <c r="AE56">
        <v>678.87</v>
      </c>
      <c r="AF56">
        <v>44.94</v>
      </c>
      <c r="AG56">
        <v>56.41</v>
      </c>
      <c r="AH56">
        <v>48.23</v>
      </c>
      <c r="AI56">
        <v>53.58</v>
      </c>
    </row>
    <row r="57" spans="1:35" x14ac:dyDescent="0.45">
      <c r="A57" s="2">
        <v>46006</v>
      </c>
      <c r="B57">
        <v>34.049999999999997</v>
      </c>
      <c r="C57">
        <v>38.994999999999997</v>
      </c>
      <c r="D57">
        <v>18.86</v>
      </c>
      <c r="E57">
        <v>24.95</v>
      </c>
      <c r="F57">
        <v>35.9</v>
      </c>
      <c r="G57">
        <v>69.25</v>
      </c>
      <c r="H57">
        <v>27.09</v>
      </c>
      <c r="I57">
        <v>64.11</v>
      </c>
      <c r="J57">
        <v>70.48</v>
      </c>
      <c r="K57">
        <v>92.73</v>
      </c>
      <c r="L57">
        <v>33.58</v>
      </c>
      <c r="M57">
        <v>69.61</v>
      </c>
      <c r="N57">
        <v>67.45</v>
      </c>
      <c r="O57">
        <v>53.1</v>
      </c>
      <c r="P57">
        <v>60.87</v>
      </c>
      <c r="Q57">
        <v>19.010000000000002</v>
      </c>
      <c r="R57">
        <v>1273.4000000000001</v>
      </c>
      <c r="S57">
        <v>35.29</v>
      </c>
      <c r="T57">
        <v>19.38</v>
      </c>
      <c r="U57">
        <v>17.420000000000002</v>
      </c>
      <c r="V57">
        <v>36.81</v>
      </c>
      <c r="W57">
        <v>45.75</v>
      </c>
      <c r="X57">
        <v>26.42</v>
      </c>
      <c r="Y57">
        <v>53.8</v>
      </c>
      <c r="Z57">
        <v>42.1</v>
      </c>
      <c r="AA57">
        <v>84.87</v>
      </c>
      <c r="AB57">
        <v>59.06</v>
      </c>
      <c r="AC57">
        <v>43.75</v>
      </c>
      <c r="AD57">
        <v>610.54</v>
      </c>
      <c r="AE57">
        <v>680.73</v>
      </c>
      <c r="AF57">
        <v>45.18</v>
      </c>
      <c r="AG57">
        <v>58.76</v>
      </c>
      <c r="AH57">
        <v>49.11</v>
      </c>
      <c r="AI57">
        <v>54.35</v>
      </c>
    </row>
    <row r="58" spans="1:35" x14ac:dyDescent="0.45">
      <c r="A58" s="2">
        <v>46003</v>
      </c>
      <c r="B58">
        <v>34.08</v>
      </c>
      <c r="C58">
        <v>39.78</v>
      </c>
      <c r="D58">
        <v>18.760000000000002</v>
      </c>
      <c r="E58">
        <v>24.9</v>
      </c>
      <c r="F58">
        <v>35.200000000000003</v>
      </c>
      <c r="G58">
        <v>69.3</v>
      </c>
      <c r="H58">
        <v>26.98</v>
      </c>
      <c r="I58">
        <v>64.099999999999994</v>
      </c>
      <c r="J58">
        <v>70.69</v>
      </c>
      <c r="K58">
        <v>92.67</v>
      </c>
      <c r="L58">
        <v>33.32</v>
      </c>
      <c r="M58">
        <v>68.63</v>
      </c>
      <c r="N58">
        <v>67.239999999999995</v>
      </c>
      <c r="O58">
        <v>53.14</v>
      </c>
      <c r="P58">
        <v>61.52</v>
      </c>
      <c r="Q58">
        <v>19.32</v>
      </c>
      <c r="R58">
        <v>1254.0999999999999</v>
      </c>
      <c r="S58">
        <v>34.82</v>
      </c>
      <c r="T58">
        <v>19.350000000000001</v>
      </c>
      <c r="U58">
        <v>17.489999999999998</v>
      </c>
      <c r="V58">
        <v>37.4</v>
      </c>
      <c r="W58">
        <v>45.71</v>
      </c>
      <c r="X58">
        <v>26.52</v>
      </c>
      <c r="Y58">
        <v>53.89</v>
      </c>
      <c r="Z58">
        <v>42.18</v>
      </c>
      <c r="AA58">
        <v>84</v>
      </c>
      <c r="AB58">
        <v>58.37</v>
      </c>
      <c r="AC58">
        <v>43.28</v>
      </c>
      <c r="AD58">
        <v>613.62</v>
      </c>
      <c r="AE58">
        <v>681.76</v>
      </c>
      <c r="AF58">
        <v>44.88</v>
      </c>
      <c r="AG58">
        <v>58.6</v>
      </c>
      <c r="AH58">
        <v>49.38</v>
      </c>
      <c r="AI58">
        <v>53.66</v>
      </c>
    </row>
    <row r="59" spans="1:35" x14ac:dyDescent="0.45">
      <c r="A59" s="2">
        <v>46002</v>
      </c>
      <c r="B59">
        <v>34.090000000000003</v>
      </c>
      <c r="C59">
        <v>39.28</v>
      </c>
      <c r="D59">
        <v>18.68</v>
      </c>
      <c r="E59">
        <v>25.02</v>
      </c>
      <c r="F59">
        <v>35.270000000000003</v>
      </c>
      <c r="G59">
        <v>69.680000000000007</v>
      </c>
      <c r="H59">
        <v>26.87</v>
      </c>
      <c r="I59">
        <v>65.92</v>
      </c>
      <c r="J59">
        <v>71.06</v>
      </c>
      <c r="K59">
        <v>94.96</v>
      </c>
      <c r="L59">
        <v>33.159999999999997</v>
      </c>
      <c r="M59">
        <v>69.5</v>
      </c>
      <c r="N59">
        <v>67.67</v>
      </c>
      <c r="O59">
        <v>53.57</v>
      </c>
      <c r="P59">
        <v>61.69</v>
      </c>
      <c r="Q59">
        <v>19.315000000000001</v>
      </c>
      <c r="R59">
        <v>1253.54</v>
      </c>
      <c r="S59">
        <v>34.82</v>
      </c>
      <c r="T59">
        <v>19.510000000000002</v>
      </c>
      <c r="U59">
        <v>18.27</v>
      </c>
      <c r="V59">
        <v>37.619999999999997</v>
      </c>
      <c r="W59">
        <v>46.35</v>
      </c>
      <c r="X59">
        <v>26.64</v>
      </c>
      <c r="Y59">
        <v>54.08</v>
      </c>
      <c r="Z59">
        <v>42.39</v>
      </c>
      <c r="AA59">
        <v>84.22</v>
      </c>
      <c r="AB59">
        <v>58.49</v>
      </c>
      <c r="AC59">
        <v>43.65</v>
      </c>
      <c r="AD59">
        <v>625.58000000000004</v>
      </c>
      <c r="AE59">
        <v>689.17</v>
      </c>
      <c r="AF59">
        <v>45</v>
      </c>
      <c r="AG59">
        <v>59.5</v>
      </c>
      <c r="AH59">
        <v>49.67</v>
      </c>
      <c r="AI59">
        <v>53.95</v>
      </c>
    </row>
    <row r="60" spans="1:35" x14ac:dyDescent="0.45">
      <c r="A60" s="2">
        <v>46001</v>
      </c>
      <c r="B60">
        <v>34.340000000000003</v>
      </c>
      <c r="C60">
        <v>38.75</v>
      </c>
      <c r="D60">
        <v>18.86</v>
      </c>
      <c r="E60">
        <v>24.73</v>
      </c>
      <c r="F60">
        <v>34.880000000000003</v>
      </c>
      <c r="G60">
        <v>68.290000000000006</v>
      </c>
      <c r="H60">
        <v>26.52</v>
      </c>
      <c r="I60">
        <v>66.8</v>
      </c>
      <c r="J60">
        <v>69.040000000000006</v>
      </c>
      <c r="K60">
        <v>96.75</v>
      </c>
      <c r="L60">
        <v>32.770000000000003</v>
      </c>
      <c r="M60">
        <v>68.180000000000007</v>
      </c>
      <c r="N60">
        <v>66.77</v>
      </c>
      <c r="O60">
        <v>53.36</v>
      </c>
      <c r="P60">
        <v>61.81</v>
      </c>
      <c r="Q60">
        <v>19.168500000000002</v>
      </c>
      <c r="R60">
        <v>1269.8699999999999</v>
      </c>
      <c r="S60">
        <v>34.729999999999997</v>
      </c>
      <c r="T60">
        <v>19.440100000000001</v>
      </c>
      <c r="U60">
        <v>18.28</v>
      </c>
      <c r="V60">
        <v>37.659999999999997</v>
      </c>
      <c r="W60">
        <v>46.2943</v>
      </c>
      <c r="X60">
        <v>26.65</v>
      </c>
      <c r="Y60">
        <v>53.72</v>
      </c>
      <c r="Z60">
        <v>41.94</v>
      </c>
      <c r="AA60">
        <v>83.91</v>
      </c>
      <c r="AB60">
        <v>58.38</v>
      </c>
      <c r="AC60">
        <v>43.46</v>
      </c>
      <c r="AD60">
        <v>627.61</v>
      </c>
      <c r="AE60">
        <v>687.57</v>
      </c>
      <c r="AF60">
        <v>44.58</v>
      </c>
      <c r="AG60">
        <v>58.8</v>
      </c>
      <c r="AH60">
        <v>49.36</v>
      </c>
      <c r="AI60">
        <v>53.55</v>
      </c>
    </row>
    <row r="61" spans="1:35" x14ac:dyDescent="0.45">
      <c r="A61" s="2">
        <v>46000</v>
      </c>
      <c r="B61">
        <v>34.225000000000001</v>
      </c>
      <c r="C61">
        <v>38.340000000000003</v>
      </c>
      <c r="D61">
        <v>18.68</v>
      </c>
      <c r="E61">
        <v>24.67</v>
      </c>
      <c r="F61">
        <v>34.25</v>
      </c>
      <c r="G61">
        <v>67.48</v>
      </c>
      <c r="H61">
        <v>26.37</v>
      </c>
      <c r="I61">
        <v>65.72</v>
      </c>
      <c r="J61">
        <v>69.27</v>
      </c>
      <c r="K61">
        <v>95.57</v>
      </c>
      <c r="L61">
        <v>32.74</v>
      </c>
      <c r="M61">
        <v>66.91</v>
      </c>
      <c r="N61">
        <v>65.8</v>
      </c>
      <c r="O61">
        <v>53.27</v>
      </c>
      <c r="P61">
        <v>61.35</v>
      </c>
      <c r="Q61">
        <v>19.041399999999999</v>
      </c>
      <c r="R61">
        <v>1261.3900000000001</v>
      </c>
      <c r="S61">
        <v>34.659999999999997</v>
      </c>
      <c r="T61">
        <v>19.38</v>
      </c>
      <c r="U61">
        <v>18.649999999999999</v>
      </c>
      <c r="V61">
        <v>37.43</v>
      </c>
      <c r="W61">
        <v>45.950400000000002</v>
      </c>
      <c r="X61">
        <v>26.35</v>
      </c>
      <c r="Y61">
        <v>53.07</v>
      </c>
      <c r="Z61">
        <v>41.53</v>
      </c>
      <c r="AA61">
        <v>83.31</v>
      </c>
      <c r="AB61">
        <v>57.69</v>
      </c>
      <c r="AC61">
        <v>42.88</v>
      </c>
      <c r="AD61">
        <v>625.04999999999995</v>
      </c>
      <c r="AE61">
        <v>683.04</v>
      </c>
      <c r="AF61">
        <v>44.21</v>
      </c>
      <c r="AG61">
        <v>58.55</v>
      </c>
      <c r="AH61">
        <v>48.55</v>
      </c>
      <c r="AI61">
        <v>53.02</v>
      </c>
    </row>
    <row r="62" spans="1:35" x14ac:dyDescent="0.45">
      <c r="A62" s="2">
        <v>45999</v>
      </c>
      <c r="B62">
        <v>34.36</v>
      </c>
      <c r="C62">
        <v>38.24</v>
      </c>
      <c r="D62">
        <v>18.87</v>
      </c>
      <c r="E62">
        <v>24.58</v>
      </c>
      <c r="F62">
        <v>33.51</v>
      </c>
      <c r="G62">
        <v>66.53</v>
      </c>
      <c r="H62">
        <v>26.32</v>
      </c>
      <c r="I62">
        <v>65.569999999999993</v>
      </c>
      <c r="J62">
        <v>68.64</v>
      </c>
      <c r="K62">
        <v>95.07</v>
      </c>
      <c r="L62">
        <v>32.75</v>
      </c>
      <c r="M62">
        <v>66.39</v>
      </c>
      <c r="N62">
        <v>66.97</v>
      </c>
      <c r="O62">
        <v>53.08</v>
      </c>
      <c r="P62">
        <v>62.22</v>
      </c>
      <c r="Q62">
        <v>18.955400000000001</v>
      </c>
      <c r="R62">
        <v>1273.77</v>
      </c>
      <c r="S62">
        <v>34.42</v>
      </c>
      <c r="T62">
        <v>19.079999999999998</v>
      </c>
      <c r="U62">
        <v>18.72</v>
      </c>
      <c r="V62">
        <v>37.19</v>
      </c>
      <c r="W62">
        <v>46.026699999999998</v>
      </c>
      <c r="X62">
        <v>26.24</v>
      </c>
      <c r="Y62">
        <v>52.95</v>
      </c>
      <c r="Z62">
        <v>41.34</v>
      </c>
      <c r="AA62">
        <v>83.19</v>
      </c>
      <c r="AB62">
        <v>57.76</v>
      </c>
      <c r="AC62">
        <v>43.08</v>
      </c>
      <c r="AD62">
        <v>624.28</v>
      </c>
      <c r="AE62">
        <v>683.63</v>
      </c>
      <c r="AF62">
        <v>44.65</v>
      </c>
      <c r="AG62">
        <v>58.7224</v>
      </c>
      <c r="AH62">
        <v>48.4</v>
      </c>
      <c r="AI62">
        <v>52.98</v>
      </c>
    </row>
    <row r="63" spans="1:35" x14ac:dyDescent="0.45">
      <c r="A63" s="2">
        <v>45996</v>
      </c>
      <c r="B63">
        <v>34.21</v>
      </c>
      <c r="C63">
        <v>38.18</v>
      </c>
      <c r="D63">
        <v>18.82</v>
      </c>
      <c r="E63">
        <v>24.73</v>
      </c>
      <c r="F63">
        <v>33.44</v>
      </c>
      <c r="G63">
        <v>67.03</v>
      </c>
      <c r="H63">
        <v>26.64</v>
      </c>
      <c r="I63">
        <v>65.349999999999994</v>
      </c>
      <c r="J63">
        <v>68.680000000000007</v>
      </c>
      <c r="K63">
        <v>94.3</v>
      </c>
      <c r="L63">
        <v>32.53</v>
      </c>
      <c r="M63">
        <v>67.88</v>
      </c>
      <c r="N63">
        <v>66.45</v>
      </c>
      <c r="O63">
        <v>53.97</v>
      </c>
      <c r="P63">
        <v>62.66</v>
      </c>
      <c r="Q63">
        <v>18.930399999999999</v>
      </c>
      <c r="R63">
        <v>1274.82</v>
      </c>
      <c r="S63">
        <v>33.840000000000003</v>
      </c>
      <c r="T63">
        <v>19.22</v>
      </c>
      <c r="U63">
        <v>18.649999999999999</v>
      </c>
      <c r="V63">
        <v>37.200000000000003</v>
      </c>
      <c r="W63">
        <v>45.994999999999997</v>
      </c>
      <c r="X63">
        <v>26.34</v>
      </c>
      <c r="Y63">
        <v>53.29</v>
      </c>
      <c r="Z63">
        <v>41.41</v>
      </c>
      <c r="AA63">
        <v>83.7</v>
      </c>
      <c r="AB63">
        <v>58.03</v>
      </c>
      <c r="AC63">
        <v>43.22</v>
      </c>
      <c r="AD63">
        <v>625.48</v>
      </c>
      <c r="AE63">
        <v>685.69</v>
      </c>
      <c r="AF63">
        <v>44.62</v>
      </c>
      <c r="AG63">
        <v>58.55</v>
      </c>
      <c r="AH63">
        <v>48.37</v>
      </c>
      <c r="AI63">
        <v>52.98</v>
      </c>
    </row>
    <row r="64" spans="1:35" x14ac:dyDescent="0.45">
      <c r="A64" s="2">
        <v>45995</v>
      </c>
      <c r="B64">
        <v>33.74</v>
      </c>
      <c r="C64">
        <v>38.51</v>
      </c>
      <c r="D64">
        <v>18.79</v>
      </c>
      <c r="E64">
        <v>24.2</v>
      </c>
      <c r="F64">
        <v>33.53</v>
      </c>
      <c r="G64">
        <v>67</v>
      </c>
      <c r="H64">
        <v>26.59</v>
      </c>
      <c r="I64">
        <v>64.510000000000005</v>
      </c>
      <c r="J64">
        <v>68.819999999999993</v>
      </c>
      <c r="K64">
        <v>91.87</v>
      </c>
      <c r="L64">
        <v>34.72</v>
      </c>
      <c r="M64">
        <v>67.05</v>
      </c>
      <c r="N64">
        <v>66.3</v>
      </c>
      <c r="O64">
        <v>53.76</v>
      </c>
      <c r="P64">
        <v>61.98</v>
      </c>
      <c r="Q64">
        <v>18.940200000000001</v>
      </c>
      <c r="R64">
        <v>1277.58</v>
      </c>
      <c r="S64">
        <v>33.549999999999997</v>
      </c>
      <c r="T64">
        <v>19.05</v>
      </c>
      <c r="U64">
        <v>18.59</v>
      </c>
      <c r="V64">
        <v>37.17</v>
      </c>
      <c r="W64">
        <v>46.005000000000003</v>
      </c>
      <c r="X64">
        <v>26.29</v>
      </c>
      <c r="Y64">
        <v>53.07</v>
      </c>
      <c r="Z64">
        <v>41.14</v>
      </c>
      <c r="AA64">
        <v>83.62</v>
      </c>
      <c r="AB64">
        <v>57.91</v>
      </c>
      <c r="AC64">
        <v>43.42</v>
      </c>
      <c r="AD64">
        <v>622.94000000000005</v>
      </c>
      <c r="AE64">
        <v>684.39</v>
      </c>
      <c r="AF64">
        <v>44.75</v>
      </c>
      <c r="AG64">
        <v>58.78</v>
      </c>
      <c r="AH64">
        <v>48.09</v>
      </c>
      <c r="AI64">
        <v>53.15</v>
      </c>
    </row>
    <row r="65" spans="1:35" x14ac:dyDescent="0.45">
      <c r="A65" s="2">
        <v>45994</v>
      </c>
      <c r="B65">
        <v>33.76</v>
      </c>
      <c r="C65">
        <v>38.619999999999997</v>
      </c>
      <c r="D65">
        <v>18.829999999999998</v>
      </c>
      <c r="E65">
        <v>24.68</v>
      </c>
      <c r="F65">
        <v>33.61</v>
      </c>
      <c r="G65">
        <v>66.03</v>
      </c>
      <c r="H65">
        <v>26.73</v>
      </c>
      <c r="I65">
        <v>64.849999999999994</v>
      </c>
      <c r="J65">
        <v>68.430000000000007</v>
      </c>
      <c r="K65">
        <v>93</v>
      </c>
      <c r="L65">
        <v>34.200000000000003</v>
      </c>
      <c r="M65">
        <v>66.92</v>
      </c>
      <c r="N65">
        <v>66.37</v>
      </c>
      <c r="O65">
        <v>53.41</v>
      </c>
      <c r="P65">
        <v>61.88</v>
      </c>
      <c r="Q65">
        <v>18.930199999999999</v>
      </c>
      <c r="R65">
        <v>1276.57</v>
      </c>
      <c r="S65">
        <v>33.869999999999997</v>
      </c>
      <c r="T65">
        <v>18.850000000000001</v>
      </c>
      <c r="U65">
        <v>18.690000000000001</v>
      </c>
      <c r="V65">
        <v>37.04</v>
      </c>
      <c r="W65">
        <v>46.165599999999998</v>
      </c>
      <c r="X65">
        <v>26.13</v>
      </c>
      <c r="Y65">
        <v>52.47</v>
      </c>
      <c r="Z65">
        <v>40.950000000000003</v>
      </c>
      <c r="AA65">
        <v>82.61</v>
      </c>
      <c r="AB65">
        <v>58.07</v>
      </c>
      <c r="AC65">
        <v>43.46</v>
      </c>
      <c r="AD65">
        <v>623.52</v>
      </c>
      <c r="AE65">
        <v>683.89</v>
      </c>
      <c r="AF65">
        <v>44.79</v>
      </c>
      <c r="AG65">
        <v>59.18</v>
      </c>
      <c r="AH65">
        <v>47.77</v>
      </c>
      <c r="AI65">
        <v>53.29</v>
      </c>
    </row>
    <row r="66" spans="1:35" x14ac:dyDescent="0.45">
      <c r="A66" s="2">
        <v>45993</v>
      </c>
      <c r="B66">
        <v>33.81</v>
      </c>
      <c r="C66">
        <v>38.29</v>
      </c>
      <c r="D66">
        <v>18.920000000000002</v>
      </c>
      <c r="E66">
        <v>25.06</v>
      </c>
      <c r="F66">
        <v>33.65</v>
      </c>
      <c r="G66">
        <v>64.67</v>
      </c>
      <c r="H66">
        <v>26.67</v>
      </c>
      <c r="I66">
        <v>64.63</v>
      </c>
      <c r="J66">
        <v>68.709999999999994</v>
      </c>
      <c r="K66">
        <v>92.07</v>
      </c>
      <c r="L66">
        <v>34.03</v>
      </c>
      <c r="M66">
        <v>66.5</v>
      </c>
      <c r="N66">
        <v>66.64</v>
      </c>
      <c r="O66">
        <v>53.88</v>
      </c>
      <c r="P66">
        <v>62.24</v>
      </c>
      <c r="Q66">
        <v>18.774999999999999</v>
      </c>
      <c r="R66">
        <v>1256.69</v>
      </c>
      <c r="S66">
        <v>34.1</v>
      </c>
      <c r="T66">
        <v>18.53</v>
      </c>
      <c r="U66">
        <v>18.649999999999999</v>
      </c>
      <c r="V66">
        <v>36.979999999999997</v>
      </c>
      <c r="W66">
        <v>45.818399999999997</v>
      </c>
      <c r="X66">
        <v>25.93</v>
      </c>
      <c r="Y66">
        <v>52.14</v>
      </c>
      <c r="Z66">
        <v>40.89</v>
      </c>
      <c r="AA66">
        <v>82.47</v>
      </c>
      <c r="AB66">
        <v>57.94</v>
      </c>
      <c r="AC66">
        <v>43.01</v>
      </c>
      <c r="AD66">
        <v>622</v>
      </c>
      <c r="AE66">
        <v>681.53</v>
      </c>
      <c r="AF66">
        <v>44.44</v>
      </c>
      <c r="AG66">
        <v>58.57</v>
      </c>
      <c r="AH66">
        <v>47.61</v>
      </c>
      <c r="AI66">
        <v>53</v>
      </c>
    </row>
    <row r="67" spans="1:35" x14ac:dyDescent="0.45">
      <c r="A67" s="2">
        <v>45992</v>
      </c>
      <c r="B67">
        <v>34.25</v>
      </c>
      <c r="C67">
        <v>37.69</v>
      </c>
      <c r="D67">
        <v>18.79</v>
      </c>
      <c r="E67">
        <v>25.24</v>
      </c>
      <c r="F67">
        <v>33.9</v>
      </c>
      <c r="G67">
        <v>64.569999999999993</v>
      </c>
      <c r="H67">
        <v>26.6</v>
      </c>
      <c r="I67">
        <v>64.13</v>
      </c>
      <c r="J67">
        <v>68.459999999999994</v>
      </c>
      <c r="K67">
        <v>90.62</v>
      </c>
      <c r="L67">
        <v>33.4</v>
      </c>
      <c r="M67">
        <v>67.45</v>
      </c>
      <c r="N67">
        <v>66.28</v>
      </c>
      <c r="O67">
        <v>54.33</v>
      </c>
      <c r="P67">
        <v>62.66</v>
      </c>
      <c r="Q67">
        <v>18.71</v>
      </c>
      <c r="R67">
        <v>1252.71</v>
      </c>
      <c r="S67">
        <v>34.03</v>
      </c>
      <c r="T67">
        <v>18.4941</v>
      </c>
      <c r="U67">
        <v>18.38</v>
      </c>
      <c r="V67">
        <v>37.06</v>
      </c>
      <c r="W67">
        <v>45.48</v>
      </c>
      <c r="X67">
        <v>25.73</v>
      </c>
      <c r="Y67">
        <v>52.18</v>
      </c>
      <c r="Z67">
        <v>40.520000000000003</v>
      </c>
      <c r="AA67">
        <v>82.53</v>
      </c>
      <c r="AB67">
        <v>57.42</v>
      </c>
      <c r="AC67">
        <v>42.93</v>
      </c>
      <c r="AD67">
        <v>617.16999999999996</v>
      </c>
      <c r="AE67">
        <v>680.27</v>
      </c>
      <c r="AF67">
        <v>44.41</v>
      </c>
      <c r="AG67">
        <v>58.32</v>
      </c>
      <c r="AH67">
        <v>47.58</v>
      </c>
      <c r="AI67">
        <v>52.66</v>
      </c>
    </row>
    <row r="68" spans="1:35" x14ac:dyDescent="0.45">
      <c r="A68" s="2">
        <v>45989</v>
      </c>
      <c r="B68">
        <v>33.950000000000003</v>
      </c>
      <c r="C68">
        <v>37.86</v>
      </c>
      <c r="D68">
        <v>18.670000000000002</v>
      </c>
      <c r="E68">
        <v>25.21</v>
      </c>
      <c r="F68">
        <v>34.07</v>
      </c>
      <c r="G68">
        <v>64.47</v>
      </c>
      <c r="H68">
        <v>26.43</v>
      </c>
      <c r="I68">
        <v>64.510000000000005</v>
      </c>
      <c r="J68">
        <v>68.42</v>
      </c>
      <c r="K68">
        <v>90.87</v>
      </c>
      <c r="L68">
        <v>33.61</v>
      </c>
      <c r="M68">
        <v>66.739999999999995</v>
      </c>
      <c r="N68">
        <v>65.319999999999993</v>
      </c>
      <c r="O68">
        <v>54.71</v>
      </c>
      <c r="P68">
        <v>62.2</v>
      </c>
      <c r="Q68">
        <v>18.88</v>
      </c>
      <c r="R68">
        <v>1261.18</v>
      </c>
      <c r="S68">
        <v>33.5</v>
      </c>
      <c r="T68">
        <v>18.579999999999998</v>
      </c>
      <c r="U68">
        <v>18.34</v>
      </c>
      <c r="V68">
        <v>37.44</v>
      </c>
      <c r="W68">
        <v>45.625700000000002</v>
      </c>
      <c r="X68">
        <v>25.85</v>
      </c>
      <c r="Y68">
        <v>52.7</v>
      </c>
      <c r="Z68">
        <v>40.92</v>
      </c>
      <c r="AA68">
        <v>83.01</v>
      </c>
      <c r="AB68">
        <v>57.82</v>
      </c>
      <c r="AC68">
        <v>43.15</v>
      </c>
      <c r="AD68">
        <v>619.25</v>
      </c>
      <c r="AE68">
        <v>683.39</v>
      </c>
      <c r="AF68">
        <v>44.57</v>
      </c>
      <c r="AG68">
        <v>58.17</v>
      </c>
      <c r="AH68">
        <v>47.91</v>
      </c>
      <c r="AI68">
        <v>52.93</v>
      </c>
    </row>
    <row r="69" spans="1:35" x14ac:dyDescent="0.45">
      <c r="A69" s="2">
        <v>45987</v>
      </c>
      <c r="B69">
        <v>33.590000000000003</v>
      </c>
      <c r="C69">
        <v>37.61</v>
      </c>
      <c r="D69">
        <v>18.87</v>
      </c>
      <c r="E69">
        <v>25.02</v>
      </c>
      <c r="F69">
        <v>34.07</v>
      </c>
      <c r="G69">
        <v>63.1</v>
      </c>
      <c r="H69">
        <v>26.64</v>
      </c>
      <c r="I69">
        <v>63.66</v>
      </c>
      <c r="J69">
        <v>67.88</v>
      </c>
      <c r="K69">
        <v>91.55</v>
      </c>
      <c r="L69">
        <v>33.47</v>
      </c>
      <c r="M69">
        <v>67.83</v>
      </c>
      <c r="N69">
        <v>66.150000000000006</v>
      </c>
      <c r="O69">
        <v>54.67</v>
      </c>
      <c r="P69">
        <v>61.91</v>
      </c>
      <c r="Q69">
        <v>18.885000000000002</v>
      </c>
      <c r="R69">
        <v>1268.78</v>
      </c>
      <c r="S69">
        <v>33.590000000000003</v>
      </c>
      <c r="T69">
        <v>18.53</v>
      </c>
      <c r="U69">
        <v>18.239999999999998</v>
      </c>
      <c r="V69">
        <v>37.380000000000003</v>
      </c>
      <c r="W69">
        <v>45.47</v>
      </c>
      <c r="X69">
        <v>25.82</v>
      </c>
      <c r="Y69">
        <v>52.25</v>
      </c>
      <c r="Z69">
        <v>40.6</v>
      </c>
      <c r="AA69">
        <v>83.26</v>
      </c>
      <c r="AB69">
        <v>57.55</v>
      </c>
      <c r="AC69">
        <v>42.99</v>
      </c>
      <c r="AD69">
        <v>614.27</v>
      </c>
      <c r="AE69">
        <v>679.68</v>
      </c>
      <c r="AF69">
        <v>44.43</v>
      </c>
      <c r="AG69">
        <v>57.79</v>
      </c>
      <c r="AH69">
        <v>47.43</v>
      </c>
      <c r="AI69">
        <v>52.54</v>
      </c>
    </row>
    <row r="70" spans="1:35" x14ac:dyDescent="0.45">
      <c r="A70" s="2">
        <v>45986</v>
      </c>
      <c r="B70">
        <v>33.51</v>
      </c>
      <c r="C70">
        <v>37.270000000000003</v>
      </c>
      <c r="D70">
        <v>18.73</v>
      </c>
      <c r="E70">
        <v>25</v>
      </c>
      <c r="F70">
        <v>33.729999999999997</v>
      </c>
      <c r="G70">
        <v>61.56</v>
      </c>
      <c r="H70">
        <v>26.49</v>
      </c>
      <c r="I70">
        <v>62.8</v>
      </c>
      <c r="J70">
        <v>67.75</v>
      </c>
      <c r="K70">
        <v>89.79</v>
      </c>
      <c r="L70">
        <v>32.549999999999997</v>
      </c>
      <c r="M70">
        <v>66.3</v>
      </c>
      <c r="N70">
        <v>65.48</v>
      </c>
      <c r="O70">
        <v>54.28</v>
      </c>
      <c r="P70">
        <v>62.2</v>
      </c>
      <c r="Q70">
        <v>18.77</v>
      </c>
      <c r="R70">
        <v>1252.73</v>
      </c>
      <c r="S70">
        <v>33.54</v>
      </c>
      <c r="T70">
        <v>18.71</v>
      </c>
      <c r="U70">
        <v>17.75</v>
      </c>
      <c r="V70">
        <v>37.590000000000003</v>
      </c>
      <c r="W70">
        <v>44.699399999999997</v>
      </c>
      <c r="X70">
        <v>25.62</v>
      </c>
      <c r="Y70">
        <v>51.56</v>
      </c>
      <c r="Z70">
        <v>40.19</v>
      </c>
      <c r="AA70">
        <v>81.92</v>
      </c>
      <c r="AB70">
        <v>57.26</v>
      </c>
      <c r="AC70">
        <v>42.52</v>
      </c>
      <c r="AD70">
        <v>608.89</v>
      </c>
      <c r="AE70">
        <v>675.02</v>
      </c>
      <c r="AF70">
        <v>44.06</v>
      </c>
      <c r="AG70">
        <v>56.872</v>
      </c>
      <c r="AH70">
        <v>47.06</v>
      </c>
      <c r="AI70">
        <v>52.16</v>
      </c>
    </row>
    <row r="71" spans="1:35" x14ac:dyDescent="0.45">
      <c r="A71" s="2">
        <v>45985</v>
      </c>
      <c r="B71">
        <v>33.11</v>
      </c>
      <c r="C71">
        <v>36.61</v>
      </c>
      <c r="D71">
        <v>18.78</v>
      </c>
      <c r="E71">
        <v>24.97</v>
      </c>
      <c r="F71">
        <v>32.94</v>
      </c>
      <c r="G71">
        <v>61.02</v>
      </c>
      <c r="H71">
        <v>26.47</v>
      </c>
      <c r="I71">
        <v>62.51</v>
      </c>
      <c r="J71">
        <v>66.55</v>
      </c>
      <c r="K71">
        <v>90.3</v>
      </c>
      <c r="L71">
        <v>32.200000000000003</v>
      </c>
      <c r="M71">
        <v>65.89</v>
      </c>
      <c r="N71">
        <v>63.99</v>
      </c>
      <c r="O71">
        <v>54.22</v>
      </c>
      <c r="P71">
        <v>61.96</v>
      </c>
      <c r="Q71">
        <v>18.850000000000001</v>
      </c>
      <c r="R71">
        <v>1254.4000000000001</v>
      </c>
      <c r="S71">
        <v>33.76</v>
      </c>
      <c r="T71">
        <v>18.75</v>
      </c>
      <c r="U71">
        <v>17.91</v>
      </c>
      <c r="V71">
        <v>38.159999999999997</v>
      </c>
      <c r="W71">
        <v>44.47</v>
      </c>
      <c r="X71">
        <v>25.44</v>
      </c>
      <c r="Y71">
        <v>51.05</v>
      </c>
      <c r="Z71">
        <v>39.47</v>
      </c>
      <c r="AA71">
        <v>81.739999999999995</v>
      </c>
      <c r="AB71">
        <v>56.39</v>
      </c>
      <c r="AC71">
        <v>41.92</v>
      </c>
      <c r="AD71">
        <v>605.16</v>
      </c>
      <c r="AE71">
        <v>668.73</v>
      </c>
      <c r="AF71">
        <v>43.33</v>
      </c>
      <c r="AG71">
        <v>55.95</v>
      </c>
      <c r="AH71">
        <v>46.26</v>
      </c>
      <c r="AI71">
        <v>51.19</v>
      </c>
    </row>
    <row r="72" spans="1:35" x14ac:dyDescent="0.45">
      <c r="A72" s="2">
        <v>45982</v>
      </c>
      <c r="B72">
        <v>33.06</v>
      </c>
      <c r="C72">
        <v>36.340000000000003</v>
      </c>
      <c r="D72">
        <v>18.37</v>
      </c>
      <c r="E72">
        <v>25.06</v>
      </c>
      <c r="F72">
        <v>33.04</v>
      </c>
      <c r="G72">
        <v>59.64</v>
      </c>
      <c r="H72">
        <v>26.29</v>
      </c>
      <c r="I72">
        <v>61.8</v>
      </c>
      <c r="J72">
        <v>66.040000000000006</v>
      </c>
      <c r="K72">
        <v>89.22</v>
      </c>
      <c r="L72">
        <v>32.03</v>
      </c>
      <c r="M72">
        <v>64.86</v>
      </c>
      <c r="N72">
        <v>64.64</v>
      </c>
      <c r="O72">
        <v>54.21</v>
      </c>
      <c r="P72">
        <v>60.92</v>
      </c>
      <c r="Q72">
        <v>18.68</v>
      </c>
      <c r="R72">
        <v>1281.81</v>
      </c>
      <c r="S72">
        <v>33.78</v>
      </c>
      <c r="T72">
        <v>18.68</v>
      </c>
      <c r="U72">
        <v>17.72</v>
      </c>
      <c r="V72">
        <v>38.28</v>
      </c>
      <c r="W72">
        <v>44.33</v>
      </c>
      <c r="X72">
        <v>25.33</v>
      </c>
      <c r="Y72">
        <v>50.43</v>
      </c>
      <c r="Z72">
        <v>39.4</v>
      </c>
      <c r="AA72">
        <v>81.19</v>
      </c>
      <c r="AB72">
        <v>56.69</v>
      </c>
      <c r="AC72">
        <v>42.06</v>
      </c>
      <c r="AD72">
        <v>590.07000000000005</v>
      </c>
      <c r="AE72">
        <v>659.03</v>
      </c>
      <c r="AF72">
        <v>43.69</v>
      </c>
      <c r="AG72">
        <v>55.92</v>
      </c>
      <c r="AH72">
        <v>46.06</v>
      </c>
      <c r="AI72">
        <v>51.47</v>
      </c>
    </row>
    <row r="73" spans="1:35" x14ac:dyDescent="0.45">
      <c r="A73" s="2">
        <v>45981</v>
      </c>
      <c r="B73">
        <v>33.46</v>
      </c>
      <c r="C73">
        <v>36.590000000000003</v>
      </c>
      <c r="D73">
        <v>18.329999999999998</v>
      </c>
      <c r="E73">
        <v>24.37</v>
      </c>
      <c r="F73">
        <v>32.56</v>
      </c>
      <c r="G73">
        <v>59.5</v>
      </c>
      <c r="H73">
        <v>26.05</v>
      </c>
      <c r="I73">
        <v>61.68</v>
      </c>
      <c r="J73">
        <v>66.02</v>
      </c>
      <c r="K73">
        <v>88.53</v>
      </c>
      <c r="L73">
        <v>31.9</v>
      </c>
      <c r="M73">
        <v>64.930000000000007</v>
      </c>
      <c r="N73">
        <v>62.76</v>
      </c>
      <c r="O73">
        <v>54.72</v>
      </c>
      <c r="P73">
        <v>60.88</v>
      </c>
      <c r="Q73">
        <v>18.614999999999998</v>
      </c>
      <c r="R73">
        <v>1272.17</v>
      </c>
      <c r="S73">
        <v>33.58</v>
      </c>
      <c r="T73">
        <v>18.758199999999999</v>
      </c>
      <c r="U73">
        <v>17.45</v>
      </c>
      <c r="V73">
        <v>38.19</v>
      </c>
      <c r="W73">
        <v>43.75</v>
      </c>
      <c r="X73">
        <v>24.95</v>
      </c>
      <c r="Y73">
        <v>49.91</v>
      </c>
      <c r="Z73">
        <v>38.89</v>
      </c>
      <c r="AA73">
        <v>79.489999999999995</v>
      </c>
      <c r="AB73">
        <v>55.69</v>
      </c>
      <c r="AC73">
        <v>41.34</v>
      </c>
      <c r="AD73">
        <v>585.66999999999996</v>
      </c>
      <c r="AE73">
        <v>652.53</v>
      </c>
      <c r="AF73">
        <v>42.99</v>
      </c>
      <c r="AG73">
        <v>55.52</v>
      </c>
      <c r="AH73">
        <v>45.38</v>
      </c>
      <c r="AI73">
        <v>50.81</v>
      </c>
    </row>
    <row r="74" spans="1:35" x14ac:dyDescent="0.45">
      <c r="A74" s="2">
        <v>45980</v>
      </c>
      <c r="B74">
        <v>33.880000000000003</v>
      </c>
      <c r="C74">
        <v>37.11</v>
      </c>
      <c r="D74">
        <v>18.48</v>
      </c>
      <c r="E74">
        <v>24.23</v>
      </c>
      <c r="F74">
        <v>33.29</v>
      </c>
      <c r="G74">
        <v>61.25</v>
      </c>
      <c r="H74">
        <v>26.33</v>
      </c>
      <c r="I74">
        <v>62.5</v>
      </c>
      <c r="J74">
        <v>66.77</v>
      </c>
      <c r="K74">
        <v>90.56</v>
      </c>
      <c r="L74">
        <v>32.49</v>
      </c>
      <c r="M74">
        <v>66.569999999999993</v>
      </c>
      <c r="N74">
        <v>63.34</v>
      </c>
      <c r="O74">
        <v>54.83</v>
      </c>
      <c r="P74">
        <v>61.91</v>
      </c>
      <c r="Q74">
        <v>18.954999999999998</v>
      </c>
      <c r="R74">
        <v>1270.04</v>
      </c>
      <c r="S74">
        <v>33.659999999999997</v>
      </c>
      <c r="T74">
        <v>18.87</v>
      </c>
      <c r="U74">
        <v>17.61</v>
      </c>
      <c r="V74">
        <v>38.43</v>
      </c>
      <c r="W74">
        <v>43.6663</v>
      </c>
      <c r="X74">
        <v>25.3</v>
      </c>
      <c r="Y74">
        <v>50.62</v>
      </c>
      <c r="Z74">
        <v>39.51</v>
      </c>
      <c r="AA74">
        <v>80.680000000000007</v>
      </c>
      <c r="AB74">
        <v>56.36</v>
      </c>
      <c r="AC74">
        <v>41.73</v>
      </c>
      <c r="AD74">
        <v>599.87</v>
      </c>
      <c r="AE74">
        <v>662.63</v>
      </c>
      <c r="AF74">
        <v>43.44</v>
      </c>
      <c r="AG74">
        <v>57.05</v>
      </c>
      <c r="AH74">
        <v>46.17</v>
      </c>
      <c r="AI74">
        <v>51.34</v>
      </c>
    </row>
    <row r="75" spans="1:35" x14ac:dyDescent="0.45">
      <c r="A75" s="2">
        <v>45979</v>
      </c>
      <c r="B75">
        <v>33.93</v>
      </c>
      <c r="C75">
        <v>36.83</v>
      </c>
      <c r="D75">
        <v>18.260000000000002</v>
      </c>
      <c r="E75">
        <v>24.02</v>
      </c>
      <c r="F75">
        <v>32.869999999999997</v>
      </c>
      <c r="G75">
        <v>60.32</v>
      </c>
      <c r="H75">
        <v>26.16</v>
      </c>
      <c r="I75">
        <v>62.67</v>
      </c>
      <c r="J75">
        <v>66.67</v>
      </c>
      <c r="K75">
        <v>91.59</v>
      </c>
      <c r="L75">
        <v>32.71</v>
      </c>
      <c r="M75">
        <v>66.16</v>
      </c>
      <c r="N75">
        <v>63.2</v>
      </c>
      <c r="O75">
        <v>54.61</v>
      </c>
      <c r="P75">
        <v>62.42</v>
      </c>
      <c r="Q75">
        <v>18.815000000000001</v>
      </c>
      <c r="R75">
        <v>1280.07</v>
      </c>
      <c r="S75">
        <v>33.299999999999997</v>
      </c>
      <c r="T75">
        <v>18.850000000000001</v>
      </c>
      <c r="U75">
        <v>17.73</v>
      </c>
      <c r="V75">
        <v>38.79</v>
      </c>
      <c r="W75">
        <v>44.235900000000001</v>
      </c>
      <c r="X75">
        <v>25.4</v>
      </c>
      <c r="Y75">
        <v>50.53</v>
      </c>
      <c r="Z75">
        <v>39.53</v>
      </c>
      <c r="AA75">
        <v>80.78</v>
      </c>
      <c r="AB75">
        <v>56.58</v>
      </c>
      <c r="AC75">
        <v>42.19</v>
      </c>
      <c r="AD75">
        <v>596.30999999999995</v>
      </c>
      <c r="AE75">
        <v>660.08</v>
      </c>
      <c r="AF75">
        <v>43.63</v>
      </c>
      <c r="AG75">
        <v>56.63</v>
      </c>
      <c r="AH75">
        <v>46.49</v>
      </c>
      <c r="AI75">
        <v>51.81</v>
      </c>
    </row>
    <row r="76" spans="1:35" x14ac:dyDescent="0.45">
      <c r="A76" s="2">
        <v>45978</v>
      </c>
      <c r="B76">
        <v>33.89</v>
      </c>
      <c r="C76">
        <v>37.31</v>
      </c>
      <c r="D76">
        <v>18.38</v>
      </c>
      <c r="E76">
        <v>23.95</v>
      </c>
      <c r="F76">
        <v>33.39</v>
      </c>
      <c r="G76">
        <v>61.163600000000002</v>
      </c>
      <c r="H76">
        <v>26.23</v>
      </c>
      <c r="I76">
        <v>63.16</v>
      </c>
      <c r="J76">
        <v>65.87</v>
      </c>
      <c r="K76">
        <v>93.02</v>
      </c>
      <c r="L76">
        <v>32.78</v>
      </c>
      <c r="M76">
        <v>66.13</v>
      </c>
      <c r="N76">
        <v>64.5</v>
      </c>
      <c r="O76">
        <v>54.65</v>
      </c>
      <c r="P76">
        <v>62.78</v>
      </c>
      <c r="Q76">
        <v>18.89</v>
      </c>
      <c r="R76">
        <v>1269.26</v>
      </c>
      <c r="S76">
        <v>33.08</v>
      </c>
      <c r="T76">
        <v>18.93</v>
      </c>
      <c r="U76">
        <v>17.66</v>
      </c>
      <c r="V76">
        <v>38.450000000000003</v>
      </c>
      <c r="W76">
        <v>44.493200000000002</v>
      </c>
      <c r="X76">
        <v>25.64</v>
      </c>
      <c r="Y76">
        <v>50.34</v>
      </c>
      <c r="Z76">
        <v>40.01</v>
      </c>
      <c r="AA76">
        <v>82.47</v>
      </c>
      <c r="AB76">
        <v>56.81</v>
      </c>
      <c r="AC76">
        <v>42.44</v>
      </c>
      <c r="AD76">
        <v>603.66</v>
      </c>
      <c r="AE76">
        <v>665.67</v>
      </c>
      <c r="AF76">
        <v>44.2</v>
      </c>
      <c r="AG76">
        <v>57.36</v>
      </c>
      <c r="AH76">
        <v>47.22</v>
      </c>
      <c r="AI76">
        <v>52.56</v>
      </c>
    </row>
    <row r="77" spans="1:35" x14ac:dyDescent="0.45">
      <c r="A77" s="2">
        <v>45975</v>
      </c>
      <c r="B77">
        <v>34.19</v>
      </c>
      <c r="C77">
        <v>36.369999999999997</v>
      </c>
      <c r="D77">
        <v>18.38</v>
      </c>
      <c r="E77">
        <v>23.28</v>
      </c>
      <c r="F77">
        <v>34.159999999999997</v>
      </c>
      <c r="G77">
        <v>62.34</v>
      </c>
      <c r="H77">
        <v>26.45</v>
      </c>
      <c r="I77">
        <v>65.17</v>
      </c>
      <c r="J77">
        <v>67.22</v>
      </c>
      <c r="K77">
        <v>94.13</v>
      </c>
      <c r="L77">
        <v>33.18</v>
      </c>
      <c r="M77">
        <v>66.989999999999995</v>
      </c>
      <c r="N77">
        <v>65</v>
      </c>
      <c r="O77">
        <v>54.62</v>
      </c>
      <c r="P77">
        <v>63.5</v>
      </c>
      <c r="Q77">
        <v>19.285</v>
      </c>
      <c r="R77">
        <v>1287.44</v>
      </c>
      <c r="S77">
        <v>32.85</v>
      </c>
      <c r="T77">
        <v>19.170000000000002</v>
      </c>
      <c r="U77">
        <v>17.59</v>
      </c>
      <c r="V77">
        <v>38.83</v>
      </c>
      <c r="W77">
        <v>44.844999999999999</v>
      </c>
      <c r="X77">
        <v>25.95</v>
      </c>
      <c r="Y77">
        <v>50.89</v>
      </c>
      <c r="Z77">
        <v>40.86</v>
      </c>
      <c r="AA77">
        <v>83.98</v>
      </c>
      <c r="AB77">
        <v>57.55</v>
      </c>
      <c r="AC77">
        <v>42.77</v>
      </c>
      <c r="AD77">
        <v>608.86</v>
      </c>
      <c r="AE77">
        <v>671.93</v>
      </c>
      <c r="AF77">
        <v>44.84</v>
      </c>
      <c r="AG77">
        <v>58.13</v>
      </c>
      <c r="AH77">
        <v>47.65</v>
      </c>
      <c r="AI77">
        <v>53.2</v>
      </c>
    </row>
    <row r="78" spans="1:35" x14ac:dyDescent="0.45">
      <c r="A78" s="2">
        <v>45974</v>
      </c>
      <c r="B78">
        <v>34.64</v>
      </c>
      <c r="C78">
        <v>36.71</v>
      </c>
      <c r="D78">
        <v>18.28</v>
      </c>
      <c r="E78">
        <v>23.69</v>
      </c>
      <c r="F78">
        <v>34.130000000000003</v>
      </c>
      <c r="G78">
        <v>62.52</v>
      </c>
      <c r="H78">
        <v>26.5</v>
      </c>
      <c r="I78">
        <v>63.99</v>
      </c>
      <c r="J78">
        <v>67.38</v>
      </c>
      <c r="K78">
        <v>94.07</v>
      </c>
      <c r="L78">
        <v>32.979999999999997</v>
      </c>
      <c r="M78">
        <v>67.83</v>
      </c>
      <c r="N78">
        <v>64.67</v>
      </c>
      <c r="O78">
        <v>54.2</v>
      </c>
      <c r="P78">
        <v>64.459999999999994</v>
      </c>
      <c r="Q78">
        <v>19.25</v>
      </c>
      <c r="R78">
        <v>1284.81</v>
      </c>
      <c r="S78">
        <v>32.78</v>
      </c>
      <c r="T78">
        <v>19.190000000000001</v>
      </c>
      <c r="U78">
        <v>17.420000000000002</v>
      </c>
      <c r="V78">
        <v>38.729999999999997</v>
      </c>
      <c r="W78">
        <v>44.943399999999997</v>
      </c>
      <c r="X78">
        <v>25.94</v>
      </c>
      <c r="Y78">
        <v>50.64</v>
      </c>
      <c r="Z78">
        <v>41.25</v>
      </c>
      <c r="AA78">
        <v>83.01</v>
      </c>
      <c r="AB78">
        <v>57.85</v>
      </c>
      <c r="AC78">
        <v>43.04</v>
      </c>
      <c r="AD78">
        <v>608.4</v>
      </c>
      <c r="AE78">
        <v>672.04</v>
      </c>
      <c r="AF78">
        <v>45.04</v>
      </c>
      <c r="AG78">
        <v>58.61</v>
      </c>
      <c r="AH78">
        <v>48.27</v>
      </c>
      <c r="AI78">
        <v>53.98</v>
      </c>
    </row>
    <row r="79" spans="1:35" x14ac:dyDescent="0.45">
      <c r="A79" s="2">
        <v>45973</v>
      </c>
      <c r="B79">
        <v>34.43</v>
      </c>
      <c r="C79">
        <v>37.26</v>
      </c>
      <c r="D79">
        <v>18.440000000000001</v>
      </c>
      <c r="E79">
        <v>23.6</v>
      </c>
      <c r="F79">
        <v>34.42</v>
      </c>
      <c r="G79">
        <v>64.38</v>
      </c>
      <c r="H79">
        <v>26.53</v>
      </c>
      <c r="I79">
        <v>65.41</v>
      </c>
      <c r="J79">
        <v>68.16</v>
      </c>
      <c r="K79">
        <v>95.92</v>
      </c>
      <c r="L79">
        <v>33.22</v>
      </c>
      <c r="M79">
        <v>68.08</v>
      </c>
      <c r="N79">
        <v>64.319999999999993</v>
      </c>
      <c r="O79">
        <v>54.56</v>
      </c>
      <c r="P79">
        <v>64.58</v>
      </c>
      <c r="Q79">
        <v>19.555</v>
      </c>
      <c r="R79">
        <v>1300.47</v>
      </c>
      <c r="S79">
        <v>33.03</v>
      </c>
      <c r="T79">
        <v>19.48</v>
      </c>
      <c r="U79">
        <v>17.53</v>
      </c>
      <c r="V79">
        <v>39.17</v>
      </c>
      <c r="W79">
        <v>45.657200000000003</v>
      </c>
      <c r="X79">
        <v>26.58</v>
      </c>
      <c r="Y79">
        <v>51.75</v>
      </c>
      <c r="Z79">
        <v>41.68</v>
      </c>
      <c r="AA79">
        <v>84.34</v>
      </c>
      <c r="AB79">
        <v>58.06</v>
      </c>
      <c r="AC79">
        <v>43.51</v>
      </c>
      <c r="AD79">
        <v>621.08000000000004</v>
      </c>
      <c r="AE79">
        <v>683.38</v>
      </c>
      <c r="AF79">
        <v>45.14</v>
      </c>
      <c r="AG79">
        <v>59.03</v>
      </c>
      <c r="AH79">
        <v>48.82</v>
      </c>
      <c r="AI79">
        <v>54.12</v>
      </c>
    </row>
    <row r="80" spans="1:35" x14ac:dyDescent="0.45">
      <c r="A80" s="2">
        <v>45972</v>
      </c>
      <c r="B80">
        <v>34.47</v>
      </c>
      <c r="C80">
        <v>36.5</v>
      </c>
      <c r="D80">
        <v>18.45</v>
      </c>
      <c r="E80">
        <v>23.41</v>
      </c>
      <c r="F80">
        <v>34.56</v>
      </c>
      <c r="G80">
        <v>63.04</v>
      </c>
      <c r="H80">
        <v>26.78</v>
      </c>
      <c r="I80">
        <v>65.39</v>
      </c>
      <c r="J80">
        <v>69.34</v>
      </c>
      <c r="K80">
        <v>95.29</v>
      </c>
      <c r="L80">
        <v>33.49</v>
      </c>
      <c r="M80">
        <v>66.53</v>
      </c>
      <c r="N80">
        <v>63.63</v>
      </c>
      <c r="O80">
        <v>54.74</v>
      </c>
      <c r="P80">
        <v>64.53</v>
      </c>
      <c r="Q80">
        <v>19.6479</v>
      </c>
      <c r="R80">
        <v>1306.26</v>
      </c>
      <c r="S80">
        <v>32.85</v>
      </c>
      <c r="T80">
        <v>19.690000000000001</v>
      </c>
      <c r="U80">
        <v>16.93</v>
      </c>
      <c r="V80">
        <v>39.39</v>
      </c>
      <c r="W80">
        <v>45.674999999999997</v>
      </c>
      <c r="X80">
        <v>26.63</v>
      </c>
      <c r="Y80">
        <v>51.04</v>
      </c>
      <c r="Z80">
        <v>41.23</v>
      </c>
      <c r="AA80">
        <v>83.75</v>
      </c>
      <c r="AB80">
        <v>57.67</v>
      </c>
      <c r="AC80">
        <v>43.65</v>
      </c>
      <c r="AD80">
        <v>621.57000000000005</v>
      </c>
      <c r="AE80">
        <v>683</v>
      </c>
      <c r="AF80">
        <v>44.71</v>
      </c>
      <c r="AG80">
        <v>58.73</v>
      </c>
      <c r="AH80">
        <v>48.48</v>
      </c>
      <c r="AI80">
        <v>53.75</v>
      </c>
    </row>
    <row r="81" spans="1:35" x14ac:dyDescent="0.45">
      <c r="A81" s="2">
        <v>45971</v>
      </c>
      <c r="B81">
        <v>34.770000000000003</v>
      </c>
      <c r="C81">
        <v>36.299999999999997</v>
      </c>
      <c r="D81">
        <v>18.55</v>
      </c>
      <c r="E81">
        <v>23.7</v>
      </c>
      <c r="F81">
        <v>34.44</v>
      </c>
      <c r="G81">
        <v>63.13</v>
      </c>
      <c r="H81">
        <v>26.47</v>
      </c>
      <c r="I81">
        <v>65.75</v>
      </c>
      <c r="J81">
        <v>67.91</v>
      </c>
      <c r="K81">
        <v>95.67</v>
      </c>
      <c r="L81">
        <v>32.72</v>
      </c>
      <c r="M81">
        <v>66.62</v>
      </c>
      <c r="N81">
        <v>63.69</v>
      </c>
      <c r="O81">
        <v>54.15</v>
      </c>
      <c r="P81">
        <v>64.7</v>
      </c>
      <c r="Q81">
        <v>19.48</v>
      </c>
      <c r="R81">
        <v>1302.9100000000001</v>
      </c>
      <c r="S81">
        <v>33.549999999999997</v>
      </c>
      <c r="T81">
        <v>19.53</v>
      </c>
      <c r="U81">
        <v>16.71</v>
      </c>
      <c r="V81">
        <v>39.32</v>
      </c>
      <c r="W81">
        <v>45.684100000000001</v>
      </c>
      <c r="X81">
        <v>26.81</v>
      </c>
      <c r="Y81">
        <v>50.89</v>
      </c>
      <c r="Z81">
        <v>40.96</v>
      </c>
      <c r="AA81">
        <v>83.68</v>
      </c>
      <c r="AB81">
        <v>56.36</v>
      </c>
      <c r="AC81">
        <v>43.44</v>
      </c>
      <c r="AD81">
        <v>623.23</v>
      </c>
      <c r="AE81">
        <v>681.44</v>
      </c>
      <c r="AF81">
        <v>44.19</v>
      </c>
      <c r="AG81">
        <v>58.56</v>
      </c>
      <c r="AH81">
        <v>47.74</v>
      </c>
      <c r="AI81">
        <v>53.15</v>
      </c>
    </row>
    <row r="82" spans="1:35" x14ac:dyDescent="0.45">
      <c r="A82" s="2">
        <v>45968</v>
      </c>
      <c r="B82">
        <v>34.6</v>
      </c>
      <c r="C82">
        <v>35.799999999999997</v>
      </c>
      <c r="D82">
        <v>18.53</v>
      </c>
      <c r="E82">
        <v>23.79</v>
      </c>
      <c r="F82">
        <v>33.840000000000003</v>
      </c>
      <c r="G82">
        <v>61.77</v>
      </c>
      <c r="H82">
        <v>26.23</v>
      </c>
      <c r="I82">
        <v>64.61</v>
      </c>
      <c r="J82">
        <v>67.819999999999993</v>
      </c>
      <c r="K82">
        <v>91.8</v>
      </c>
      <c r="L82">
        <v>32.299999999999997</v>
      </c>
      <c r="M82">
        <v>64.239999999999995</v>
      </c>
      <c r="N82">
        <v>62.35</v>
      </c>
      <c r="O82">
        <v>53.75</v>
      </c>
      <c r="P82">
        <v>63.61</v>
      </c>
      <c r="Q82">
        <v>19.420000000000002</v>
      </c>
      <c r="R82">
        <v>1313.31</v>
      </c>
      <c r="S82">
        <v>33.86</v>
      </c>
      <c r="T82">
        <v>19.43</v>
      </c>
      <c r="U82">
        <v>16.88</v>
      </c>
      <c r="V82">
        <v>39.28</v>
      </c>
      <c r="W82">
        <v>45.580800000000004</v>
      </c>
      <c r="X82">
        <v>26.44</v>
      </c>
      <c r="Y82">
        <v>50.1</v>
      </c>
      <c r="Z82">
        <v>40.479999999999997</v>
      </c>
      <c r="AA82">
        <v>83.29</v>
      </c>
      <c r="AB82">
        <v>55.74</v>
      </c>
      <c r="AC82">
        <v>42.87</v>
      </c>
      <c r="AD82">
        <v>609.74</v>
      </c>
      <c r="AE82">
        <v>670.97</v>
      </c>
      <c r="AF82">
        <v>43.78</v>
      </c>
      <c r="AG82">
        <v>57.74</v>
      </c>
      <c r="AH82">
        <v>47.24</v>
      </c>
      <c r="AI82">
        <v>52.19</v>
      </c>
    </row>
    <row r="83" spans="1:35" x14ac:dyDescent="0.45">
      <c r="A83" s="2">
        <v>45967</v>
      </c>
      <c r="B83">
        <v>34.590000000000003</v>
      </c>
      <c r="C83">
        <v>35.25</v>
      </c>
      <c r="D83">
        <v>18.440000000000001</v>
      </c>
      <c r="E83">
        <v>24.11</v>
      </c>
      <c r="F83">
        <v>33.950000000000003</v>
      </c>
      <c r="G83">
        <v>61.75</v>
      </c>
      <c r="H83">
        <v>26.01</v>
      </c>
      <c r="I83">
        <v>64.94</v>
      </c>
      <c r="J83">
        <v>66.97</v>
      </c>
      <c r="K83">
        <v>93.51</v>
      </c>
      <c r="L83">
        <v>32.04</v>
      </c>
      <c r="M83">
        <v>63.7</v>
      </c>
      <c r="N83">
        <v>62.47</v>
      </c>
      <c r="O83">
        <v>53.62</v>
      </c>
      <c r="P83">
        <v>63.97</v>
      </c>
      <c r="Q83">
        <v>19.46</v>
      </c>
      <c r="R83">
        <v>1295.29</v>
      </c>
      <c r="S83">
        <v>34.25</v>
      </c>
      <c r="T83">
        <v>19.309999999999999</v>
      </c>
      <c r="U83">
        <v>17.32</v>
      </c>
      <c r="V83">
        <v>39.299999999999997</v>
      </c>
      <c r="W83">
        <v>45.333100000000002</v>
      </c>
      <c r="X83">
        <v>26.46</v>
      </c>
      <c r="Y83">
        <v>49.75</v>
      </c>
      <c r="Z83">
        <v>40.39</v>
      </c>
      <c r="AA83">
        <v>82.96</v>
      </c>
      <c r="AB83">
        <v>55.22</v>
      </c>
      <c r="AC83">
        <v>42.62</v>
      </c>
      <c r="AD83">
        <v>611.66999999999996</v>
      </c>
      <c r="AE83">
        <v>670.31</v>
      </c>
      <c r="AF83">
        <v>43.42</v>
      </c>
      <c r="AG83">
        <v>57.96</v>
      </c>
      <c r="AH83">
        <v>46.98</v>
      </c>
      <c r="AI83">
        <v>51.75</v>
      </c>
    </row>
    <row r="84" spans="1:35" x14ac:dyDescent="0.45">
      <c r="A84" s="2">
        <v>45966</v>
      </c>
      <c r="B84">
        <v>34.380000000000003</v>
      </c>
      <c r="C84">
        <v>35.299999999999997</v>
      </c>
      <c r="D84">
        <v>18.54</v>
      </c>
      <c r="E84">
        <v>24.19</v>
      </c>
      <c r="F84">
        <v>33.51</v>
      </c>
      <c r="G84">
        <v>61.39</v>
      </c>
      <c r="H84">
        <v>26.2</v>
      </c>
      <c r="I84">
        <v>66.03</v>
      </c>
      <c r="J84">
        <v>67.180000000000007</v>
      </c>
      <c r="K84">
        <v>96.62</v>
      </c>
      <c r="L84">
        <v>32.1</v>
      </c>
      <c r="M84">
        <v>63.4</v>
      </c>
      <c r="N84">
        <v>62.68</v>
      </c>
      <c r="O84">
        <v>54.3</v>
      </c>
      <c r="P84">
        <v>63.36</v>
      </c>
      <c r="Q84">
        <v>19.414999999999999</v>
      </c>
      <c r="R84">
        <v>1298.5999999999999</v>
      </c>
      <c r="S84">
        <v>34.130000000000003</v>
      </c>
      <c r="T84">
        <v>19.350000000000001</v>
      </c>
      <c r="U84">
        <v>17.57</v>
      </c>
      <c r="V84">
        <v>39.35</v>
      </c>
      <c r="W84">
        <v>45.91</v>
      </c>
      <c r="X84">
        <v>26.67</v>
      </c>
      <c r="Y84">
        <v>50.26</v>
      </c>
      <c r="Z84">
        <v>40.729999999999997</v>
      </c>
      <c r="AA84">
        <v>82.8</v>
      </c>
      <c r="AB84">
        <v>55.4</v>
      </c>
      <c r="AC84">
        <v>42.61</v>
      </c>
      <c r="AD84">
        <v>623.28</v>
      </c>
      <c r="AE84">
        <v>677.58</v>
      </c>
      <c r="AF84">
        <v>43.88</v>
      </c>
      <c r="AG84">
        <v>58.26</v>
      </c>
      <c r="AH84">
        <v>47.29</v>
      </c>
      <c r="AI84">
        <v>52</v>
      </c>
    </row>
    <row r="85" spans="1:35" x14ac:dyDescent="0.45">
      <c r="A85" s="2">
        <v>45965</v>
      </c>
      <c r="B85">
        <v>33.97</v>
      </c>
      <c r="C85">
        <v>34.5</v>
      </c>
      <c r="D85">
        <v>18.36</v>
      </c>
      <c r="E85">
        <v>24.38</v>
      </c>
      <c r="F85">
        <v>33.31</v>
      </c>
      <c r="G85">
        <v>60.31</v>
      </c>
      <c r="H85">
        <v>25.98</v>
      </c>
      <c r="I85">
        <v>65.430000000000007</v>
      </c>
      <c r="J85">
        <v>65.650000000000006</v>
      </c>
      <c r="K85">
        <v>95.76</v>
      </c>
      <c r="L85">
        <v>31.18</v>
      </c>
      <c r="M85">
        <v>61.44</v>
      </c>
      <c r="N85">
        <v>62.17</v>
      </c>
      <c r="O85">
        <v>54.02</v>
      </c>
      <c r="P85">
        <v>62.73</v>
      </c>
      <c r="Q85">
        <v>19.434999999999999</v>
      </c>
      <c r="R85">
        <v>1308.8599999999999</v>
      </c>
      <c r="S85">
        <v>33.909999999999997</v>
      </c>
      <c r="T85">
        <v>19.36</v>
      </c>
      <c r="U85">
        <v>17.53</v>
      </c>
      <c r="V85">
        <v>39.68</v>
      </c>
      <c r="W85">
        <v>45.38</v>
      </c>
      <c r="X85">
        <v>26.41</v>
      </c>
      <c r="Y85">
        <v>49.72</v>
      </c>
      <c r="Z85">
        <v>40.340000000000003</v>
      </c>
      <c r="AA85">
        <v>82.83</v>
      </c>
      <c r="AB85">
        <v>55.06</v>
      </c>
      <c r="AC85">
        <v>42.18</v>
      </c>
      <c r="AD85">
        <v>619.25</v>
      </c>
      <c r="AE85">
        <v>675.24</v>
      </c>
      <c r="AF85">
        <v>43.63</v>
      </c>
      <c r="AG85">
        <v>57.82</v>
      </c>
      <c r="AH85">
        <v>46.87</v>
      </c>
      <c r="AI85">
        <v>51.38</v>
      </c>
    </row>
    <row r="86" spans="1:35" x14ac:dyDescent="0.45">
      <c r="A86" s="2">
        <v>45964</v>
      </c>
      <c r="B86">
        <v>34.377099999999999</v>
      </c>
      <c r="C86">
        <v>35.93</v>
      </c>
      <c r="D86">
        <v>18.45</v>
      </c>
      <c r="E86">
        <v>24.15</v>
      </c>
      <c r="F86">
        <v>33.78</v>
      </c>
      <c r="G86">
        <v>62.16</v>
      </c>
      <c r="H86">
        <v>26.06</v>
      </c>
      <c r="I86">
        <v>66.900000000000006</v>
      </c>
      <c r="J86">
        <v>66.23</v>
      </c>
      <c r="K86">
        <v>100.78</v>
      </c>
      <c r="L86">
        <v>31.52</v>
      </c>
      <c r="M86">
        <v>63.76</v>
      </c>
      <c r="N86">
        <v>63.18</v>
      </c>
      <c r="O86">
        <v>54.24</v>
      </c>
      <c r="P86">
        <v>63.55</v>
      </c>
      <c r="Q86">
        <v>19.315000000000001</v>
      </c>
      <c r="R86">
        <v>1309.5</v>
      </c>
      <c r="S86">
        <v>34.450000000000003</v>
      </c>
      <c r="T86">
        <v>19.579999999999998</v>
      </c>
      <c r="U86">
        <v>17.09</v>
      </c>
      <c r="V86">
        <v>40</v>
      </c>
      <c r="W86">
        <v>45.705599999999997</v>
      </c>
      <c r="X86">
        <v>26.84</v>
      </c>
      <c r="Y86">
        <v>50.67</v>
      </c>
      <c r="Z86">
        <v>40.909999999999997</v>
      </c>
      <c r="AA86">
        <v>83.64</v>
      </c>
      <c r="AB86">
        <v>55.12</v>
      </c>
      <c r="AC86">
        <v>42.53</v>
      </c>
      <c r="AD86">
        <v>632.08000000000004</v>
      </c>
      <c r="AE86">
        <v>683.34</v>
      </c>
      <c r="AF86">
        <v>44.07</v>
      </c>
      <c r="AG86">
        <v>58.68</v>
      </c>
      <c r="AH86">
        <v>47.7</v>
      </c>
      <c r="AI86">
        <v>51.79</v>
      </c>
    </row>
    <row r="87" spans="1:35" x14ac:dyDescent="0.45">
      <c r="A87" s="2">
        <v>45961</v>
      </c>
      <c r="B87">
        <v>34.299999999999997</v>
      </c>
      <c r="C87">
        <v>35.32</v>
      </c>
      <c r="D87">
        <v>18.28</v>
      </c>
      <c r="E87">
        <v>24.55</v>
      </c>
      <c r="F87">
        <v>33.71</v>
      </c>
      <c r="G87">
        <v>62.78</v>
      </c>
      <c r="H87">
        <v>25.85</v>
      </c>
      <c r="I87">
        <v>66.650000000000006</v>
      </c>
      <c r="J87">
        <v>66.53</v>
      </c>
      <c r="K87">
        <v>97</v>
      </c>
      <c r="L87">
        <v>31.17</v>
      </c>
      <c r="M87">
        <v>63.77</v>
      </c>
      <c r="N87">
        <v>62.22</v>
      </c>
      <c r="O87">
        <v>53.97</v>
      </c>
      <c r="P87">
        <v>63.57</v>
      </c>
      <c r="Q87">
        <v>19.3</v>
      </c>
      <c r="R87">
        <v>1314.65</v>
      </c>
      <c r="S87">
        <v>34.15</v>
      </c>
      <c r="T87">
        <v>19.68</v>
      </c>
      <c r="U87">
        <v>17.43</v>
      </c>
      <c r="V87">
        <v>40.28</v>
      </c>
      <c r="W87">
        <v>45.89</v>
      </c>
      <c r="X87">
        <v>26.77</v>
      </c>
      <c r="Y87">
        <v>50.74</v>
      </c>
      <c r="Z87">
        <v>40.729999999999997</v>
      </c>
      <c r="AA87">
        <v>83.45</v>
      </c>
      <c r="AB87">
        <v>55.36</v>
      </c>
      <c r="AC87">
        <v>42.67</v>
      </c>
      <c r="AD87">
        <v>629.07000000000005</v>
      </c>
      <c r="AE87">
        <v>682.06</v>
      </c>
      <c r="AF87">
        <v>44.28</v>
      </c>
      <c r="AG87">
        <v>58.8</v>
      </c>
      <c r="AH87">
        <v>47.99</v>
      </c>
      <c r="AI87">
        <v>51.81</v>
      </c>
    </row>
    <row r="88" spans="1:35" x14ac:dyDescent="0.45">
      <c r="A88" s="2">
        <v>45960</v>
      </c>
      <c r="B88">
        <v>34.9</v>
      </c>
      <c r="C88">
        <v>35.340000000000003</v>
      </c>
      <c r="D88">
        <v>18.27</v>
      </c>
      <c r="E88">
        <v>24.4</v>
      </c>
      <c r="F88">
        <v>34.22</v>
      </c>
      <c r="G88">
        <v>63.11</v>
      </c>
      <c r="H88">
        <v>25.88</v>
      </c>
      <c r="I88">
        <v>66.540000000000006</v>
      </c>
      <c r="J88">
        <v>66.73</v>
      </c>
      <c r="K88">
        <v>95.26</v>
      </c>
      <c r="L88">
        <v>31.05</v>
      </c>
      <c r="M88">
        <v>64.37</v>
      </c>
      <c r="N88">
        <v>62.69</v>
      </c>
      <c r="O88">
        <v>54.27</v>
      </c>
      <c r="P88">
        <v>64.38</v>
      </c>
      <c r="Q88">
        <v>19.289100000000001</v>
      </c>
      <c r="R88">
        <v>1315.64</v>
      </c>
      <c r="S88">
        <v>33.64</v>
      </c>
      <c r="T88">
        <v>20.149999999999999</v>
      </c>
      <c r="U88">
        <v>17.71</v>
      </c>
      <c r="V88">
        <v>40.229999999999997</v>
      </c>
      <c r="W88">
        <v>45.755000000000003</v>
      </c>
      <c r="X88">
        <v>26.89</v>
      </c>
      <c r="Y88">
        <v>50.67</v>
      </c>
      <c r="Z88">
        <v>41</v>
      </c>
      <c r="AA88">
        <v>83.21</v>
      </c>
      <c r="AB88">
        <v>55.6</v>
      </c>
      <c r="AC88">
        <v>42.75</v>
      </c>
      <c r="AD88">
        <v>626.04999999999995</v>
      </c>
      <c r="AE88">
        <v>679.83</v>
      </c>
      <c r="AF88">
        <v>44.44</v>
      </c>
      <c r="AG88">
        <v>59.48</v>
      </c>
      <c r="AH88">
        <v>48.49</v>
      </c>
      <c r="AI88">
        <v>51.82</v>
      </c>
    </row>
    <row r="89" spans="1:35" x14ac:dyDescent="0.45">
      <c r="A89" s="2">
        <v>45959</v>
      </c>
      <c r="B89">
        <v>35.270000000000003</v>
      </c>
      <c r="C89">
        <v>34.97</v>
      </c>
      <c r="D89">
        <v>18.32</v>
      </c>
      <c r="E89">
        <v>24.74</v>
      </c>
      <c r="F89">
        <v>34.53</v>
      </c>
      <c r="G89">
        <v>63.12</v>
      </c>
      <c r="H89">
        <v>25.91</v>
      </c>
      <c r="I89">
        <v>67.13</v>
      </c>
      <c r="J89">
        <v>67.430000000000007</v>
      </c>
      <c r="K89">
        <v>96.9</v>
      </c>
      <c r="L89">
        <v>31.18</v>
      </c>
      <c r="M89">
        <v>64.75</v>
      </c>
      <c r="N89">
        <v>63.76</v>
      </c>
      <c r="O89">
        <v>54.61</v>
      </c>
      <c r="P89">
        <v>65.489999999999995</v>
      </c>
      <c r="Q89">
        <v>19.25</v>
      </c>
      <c r="R89">
        <v>1314.28</v>
      </c>
      <c r="S89">
        <v>33.909999999999997</v>
      </c>
      <c r="T89">
        <v>20</v>
      </c>
      <c r="U89">
        <v>18.149999999999999</v>
      </c>
      <c r="V89">
        <v>41.03</v>
      </c>
      <c r="W89">
        <v>45.674999999999997</v>
      </c>
      <c r="X89">
        <v>27</v>
      </c>
      <c r="Y89">
        <v>50.75</v>
      </c>
      <c r="Z89">
        <v>41.27</v>
      </c>
      <c r="AA89">
        <v>83.23</v>
      </c>
      <c r="AB89">
        <v>55.66</v>
      </c>
      <c r="AC89">
        <v>42.83</v>
      </c>
      <c r="AD89">
        <v>635.77</v>
      </c>
      <c r="AE89">
        <v>687.39</v>
      </c>
      <c r="AF89">
        <v>44.86</v>
      </c>
      <c r="AG89">
        <v>59.366</v>
      </c>
      <c r="AH89">
        <v>48.74</v>
      </c>
      <c r="AI89">
        <v>52.11</v>
      </c>
    </row>
    <row r="90" spans="1:35" x14ac:dyDescent="0.45">
      <c r="A90" s="2">
        <v>45958</v>
      </c>
      <c r="B90">
        <v>34.950000000000003</v>
      </c>
      <c r="C90">
        <v>34.630000000000003</v>
      </c>
      <c r="D90">
        <v>18.05</v>
      </c>
      <c r="E90">
        <v>24.44</v>
      </c>
      <c r="F90">
        <v>34.85</v>
      </c>
      <c r="G90">
        <v>62.53</v>
      </c>
      <c r="H90">
        <v>26.01</v>
      </c>
      <c r="I90">
        <v>67.09</v>
      </c>
      <c r="J90">
        <v>67.099999999999994</v>
      </c>
      <c r="K90">
        <v>94.45</v>
      </c>
      <c r="L90">
        <v>30.92</v>
      </c>
      <c r="M90">
        <v>65.23</v>
      </c>
      <c r="N90">
        <v>62.89</v>
      </c>
      <c r="O90">
        <v>54.54</v>
      </c>
      <c r="P90">
        <v>65.12</v>
      </c>
      <c r="Q90">
        <v>19.195</v>
      </c>
      <c r="R90">
        <v>1323.52</v>
      </c>
      <c r="S90">
        <v>33.979999999999997</v>
      </c>
      <c r="T90">
        <v>20.010000000000002</v>
      </c>
      <c r="U90">
        <v>18.18</v>
      </c>
      <c r="V90">
        <v>40.89</v>
      </c>
      <c r="W90">
        <v>45.844999999999999</v>
      </c>
      <c r="X90">
        <v>27.52</v>
      </c>
      <c r="Y90">
        <v>51.41</v>
      </c>
      <c r="Z90">
        <v>41.72</v>
      </c>
      <c r="AA90">
        <v>83.93</v>
      </c>
      <c r="AB90">
        <v>56.17</v>
      </c>
      <c r="AC90">
        <v>42.92</v>
      </c>
      <c r="AD90">
        <v>632.91999999999996</v>
      </c>
      <c r="AE90">
        <v>687.06</v>
      </c>
      <c r="AF90">
        <v>45.14</v>
      </c>
      <c r="AG90">
        <v>59.01</v>
      </c>
      <c r="AH90">
        <v>49.07</v>
      </c>
      <c r="AI90">
        <v>52.18</v>
      </c>
    </row>
    <row r="91" spans="1:35" x14ac:dyDescent="0.45">
      <c r="A91" s="2">
        <v>45957</v>
      </c>
      <c r="B91">
        <v>34.950000000000003</v>
      </c>
      <c r="C91">
        <v>34.590000000000003</v>
      </c>
      <c r="D91">
        <v>18.09</v>
      </c>
      <c r="E91">
        <v>24.4</v>
      </c>
      <c r="F91">
        <v>34.200000000000003</v>
      </c>
      <c r="G91">
        <v>61.55</v>
      </c>
      <c r="H91">
        <v>25.96</v>
      </c>
      <c r="I91">
        <v>66.98</v>
      </c>
      <c r="J91">
        <v>66.33</v>
      </c>
      <c r="K91">
        <v>94.31</v>
      </c>
      <c r="L91">
        <v>30.77</v>
      </c>
      <c r="M91">
        <v>64.2</v>
      </c>
      <c r="N91">
        <v>63.03</v>
      </c>
      <c r="O91">
        <v>54.72</v>
      </c>
      <c r="P91">
        <v>65.59</v>
      </c>
      <c r="Q91">
        <v>19.195</v>
      </c>
      <c r="R91">
        <v>1313.91</v>
      </c>
      <c r="S91">
        <v>33.89</v>
      </c>
      <c r="T91">
        <v>19.97</v>
      </c>
      <c r="U91">
        <v>17.739999999999998</v>
      </c>
      <c r="V91">
        <v>40.61</v>
      </c>
      <c r="W91">
        <v>45.99</v>
      </c>
      <c r="X91">
        <v>27.37</v>
      </c>
      <c r="Y91">
        <v>50.79</v>
      </c>
      <c r="Z91">
        <v>41.78</v>
      </c>
      <c r="AA91">
        <v>83.53</v>
      </c>
      <c r="AB91">
        <v>56.94</v>
      </c>
      <c r="AC91">
        <v>42.98</v>
      </c>
      <c r="AD91">
        <v>628.09</v>
      </c>
      <c r="AE91">
        <v>685.24</v>
      </c>
      <c r="AF91">
        <v>45.33</v>
      </c>
      <c r="AG91">
        <v>59.564999999999998</v>
      </c>
      <c r="AH91">
        <v>49.23</v>
      </c>
      <c r="AI91">
        <v>51.93</v>
      </c>
    </row>
    <row r="92" spans="1:35" x14ac:dyDescent="0.45">
      <c r="A92" s="2">
        <v>45954</v>
      </c>
      <c r="B92">
        <v>34.479999999999997</v>
      </c>
      <c r="C92">
        <v>34.369999999999997</v>
      </c>
      <c r="D92">
        <v>18.3</v>
      </c>
      <c r="E92">
        <v>24.7</v>
      </c>
      <c r="F92">
        <v>33.909999999999997</v>
      </c>
      <c r="G92">
        <v>61.62</v>
      </c>
      <c r="H92">
        <v>25.69</v>
      </c>
      <c r="I92">
        <v>66.48</v>
      </c>
      <c r="J92">
        <v>65.37</v>
      </c>
      <c r="K92">
        <v>92.05</v>
      </c>
      <c r="L92">
        <v>30.48</v>
      </c>
      <c r="M92">
        <v>65.180000000000007</v>
      </c>
      <c r="N92">
        <v>63.27</v>
      </c>
      <c r="O92">
        <v>54.51</v>
      </c>
      <c r="P92">
        <v>64.510000000000005</v>
      </c>
      <c r="Q92">
        <v>19.29</v>
      </c>
      <c r="R92">
        <v>1302.3499999999999</v>
      </c>
      <c r="S92">
        <v>34.04</v>
      </c>
      <c r="T92">
        <v>19.98</v>
      </c>
      <c r="U92">
        <v>18.21</v>
      </c>
      <c r="V92">
        <v>40.729999999999997</v>
      </c>
      <c r="W92">
        <v>45.615000000000002</v>
      </c>
      <c r="X92">
        <v>27.18</v>
      </c>
      <c r="Y92">
        <v>50.84</v>
      </c>
      <c r="Z92">
        <v>41.59</v>
      </c>
      <c r="AA92">
        <v>82.5</v>
      </c>
      <c r="AB92">
        <v>57.12</v>
      </c>
      <c r="AC92">
        <v>42.78</v>
      </c>
      <c r="AD92">
        <v>617.1</v>
      </c>
      <c r="AE92">
        <v>677.25</v>
      </c>
      <c r="AF92">
        <v>45.11</v>
      </c>
      <c r="AG92">
        <v>58.91</v>
      </c>
      <c r="AH92">
        <v>48.86</v>
      </c>
      <c r="AI92">
        <v>51.27</v>
      </c>
    </row>
    <row r="93" spans="1:35" x14ac:dyDescent="0.45">
      <c r="A93" s="2">
        <v>45953</v>
      </c>
      <c r="B93">
        <v>34.06</v>
      </c>
      <c r="C93">
        <v>34.200000000000003</v>
      </c>
      <c r="D93">
        <v>18.3</v>
      </c>
      <c r="E93">
        <v>24.99</v>
      </c>
      <c r="F93">
        <v>34.17</v>
      </c>
      <c r="G93">
        <v>61.61</v>
      </c>
      <c r="H93">
        <v>25.65</v>
      </c>
      <c r="I93">
        <v>65.709999999999994</v>
      </c>
      <c r="J93">
        <v>66.02</v>
      </c>
      <c r="K93">
        <v>90.07</v>
      </c>
      <c r="L93">
        <v>30.47</v>
      </c>
      <c r="M93">
        <v>64.930000000000007</v>
      </c>
      <c r="N93">
        <v>64.06</v>
      </c>
      <c r="O93">
        <v>54.76</v>
      </c>
      <c r="P93">
        <v>64.11</v>
      </c>
      <c r="Q93">
        <v>19.260000000000002</v>
      </c>
      <c r="R93">
        <v>1290.72</v>
      </c>
      <c r="S93">
        <v>33.11</v>
      </c>
      <c r="T93">
        <v>19.920000000000002</v>
      </c>
      <c r="U93">
        <v>18.29</v>
      </c>
      <c r="V93">
        <v>40.67</v>
      </c>
      <c r="W93">
        <v>45.52</v>
      </c>
      <c r="X93">
        <v>27.19</v>
      </c>
      <c r="Y93">
        <v>50.58</v>
      </c>
      <c r="Z93">
        <v>41.55</v>
      </c>
      <c r="AA93">
        <v>82.22</v>
      </c>
      <c r="AB93">
        <v>57.17</v>
      </c>
      <c r="AC93">
        <v>42.6</v>
      </c>
      <c r="AD93">
        <v>610.58000000000004</v>
      </c>
      <c r="AE93">
        <v>671.76</v>
      </c>
      <c r="AF93">
        <v>45.27</v>
      </c>
      <c r="AG93">
        <v>58.87</v>
      </c>
      <c r="AH93">
        <v>48.65</v>
      </c>
      <c r="AI93">
        <v>51.17</v>
      </c>
    </row>
    <row r="94" spans="1:35" x14ac:dyDescent="0.45">
      <c r="A94" s="2">
        <v>45952</v>
      </c>
      <c r="B94">
        <v>33.86</v>
      </c>
      <c r="C94">
        <v>33.47</v>
      </c>
      <c r="D94">
        <v>17.89</v>
      </c>
      <c r="E94">
        <v>24.82</v>
      </c>
      <c r="F94">
        <v>33.83</v>
      </c>
      <c r="G94">
        <v>60.71</v>
      </c>
      <c r="H94">
        <v>25.47</v>
      </c>
      <c r="I94">
        <v>65.03</v>
      </c>
      <c r="J94">
        <v>65.510000000000005</v>
      </c>
      <c r="K94">
        <v>89.45</v>
      </c>
      <c r="L94">
        <v>30.03</v>
      </c>
      <c r="M94">
        <v>63.58</v>
      </c>
      <c r="N94">
        <v>63.56</v>
      </c>
      <c r="O94">
        <v>55.29</v>
      </c>
      <c r="P94">
        <v>63.03</v>
      </c>
      <c r="Q94">
        <v>19.14</v>
      </c>
      <c r="R94">
        <v>1284.47</v>
      </c>
      <c r="S94">
        <v>32.96</v>
      </c>
      <c r="T94">
        <v>19.690000000000001</v>
      </c>
      <c r="U94">
        <v>18.170000000000002</v>
      </c>
      <c r="V94">
        <v>40.51</v>
      </c>
      <c r="W94">
        <v>45.230899999999998</v>
      </c>
      <c r="X94">
        <v>27.07</v>
      </c>
      <c r="Y94">
        <v>50.2</v>
      </c>
      <c r="Z94">
        <v>41.44</v>
      </c>
      <c r="AA94">
        <v>82.18</v>
      </c>
      <c r="AB94">
        <v>57.14</v>
      </c>
      <c r="AC94">
        <v>42.41</v>
      </c>
      <c r="AD94">
        <v>605.49</v>
      </c>
      <c r="AE94">
        <v>667.8</v>
      </c>
      <c r="AF94">
        <v>44.91</v>
      </c>
      <c r="AG94">
        <v>58.12</v>
      </c>
      <c r="AH94">
        <v>48.36</v>
      </c>
      <c r="AI94">
        <v>50.66</v>
      </c>
    </row>
    <row r="95" spans="1:35" x14ac:dyDescent="0.45">
      <c r="A95" s="2">
        <v>45951</v>
      </c>
      <c r="B95">
        <v>33.880000000000003</v>
      </c>
      <c r="C95">
        <v>33.5</v>
      </c>
      <c r="D95">
        <v>18.170000000000002</v>
      </c>
      <c r="E95">
        <v>25.11</v>
      </c>
      <c r="F95">
        <v>33.1</v>
      </c>
      <c r="G95">
        <v>61.35</v>
      </c>
      <c r="H95">
        <v>25.74</v>
      </c>
      <c r="I95">
        <v>65.78</v>
      </c>
      <c r="J95">
        <v>65.069999999999993</v>
      </c>
      <c r="K95">
        <v>88.64</v>
      </c>
      <c r="L95">
        <v>29.94</v>
      </c>
      <c r="M95">
        <v>63.27</v>
      </c>
      <c r="N95">
        <v>63.28</v>
      </c>
      <c r="O95">
        <v>54.48</v>
      </c>
      <c r="P95">
        <v>63.44</v>
      </c>
      <c r="Q95">
        <v>19.09</v>
      </c>
      <c r="R95">
        <v>1274.6099999999999</v>
      </c>
      <c r="S95">
        <v>32.72</v>
      </c>
      <c r="T95">
        <v>19.579999999999998</v>
      </c>
      <c r="U95">
        <v>18.045000000000002</v>
      </c>
      <c r="V95">
        <v>40.47</v>
      </c>
      <c r="W95">
        <v>45.325000000000003</v>
      </c>
      <c r="X95">
        <v>27.11</v>
      </c>
      <c r="Y95">
        <v>49.99</v>
      </c>
      <c r="Z95">
        <v>41.69</v>
      </c>
      <c r="AA95">
        <v>82.57</v>
      </c>
      <c r="AB95">
        <v>57.11</v>
      </c>
      <c r="AC95">
        <v>41.96</v>
      </c>
      <c r="AD95">
        <v>611.38</v>
      </c>
      <c r="AE95">
        <v>671.29</v>
      </c>
      <c r="AF95">
        <v>44.98</v>
      </c>
      <c r="AG95">
        <v>58.35</v>
      </c>
      <c r="AH95">
        <v>48.54</v>
      </c>
      <c r="AI95">
        <v>51.1</v>
      </c>
    </row>
    <row r="96" spans="1:35" x14ac:dyDescent="0.45">
      <c r="A96" s="2">
        <v>45950</v>
      </c>
      <c r="B96">
        <v>33.64</v>
      </c>
      <c r="C96">
        <v>33.85</v>
      </c>
      <c r="D96">
        <v>17.82</v>
      </c>
      <c r="E96">
        <v>25.33</v>
      </c>
      <c r="F96">
        <v>33.49</v>
      </c>
      <c r="G96">
        <v>64</v>
      </c>
      <c r="H96">
        <v>25.82</v>
      </c>
      <c r="I96">
        <v>66.17</v>
      </c>
      <c r="J96">
        <v>65.94</v>
      </c>
      <c r="K96">
        <v>90.43</v>
      </c>
      <c r="L96">
        <v>30.22</v>
      </c>
      <c r="M96">
        <v>66.209999999999994</v>
      </c>
      <c r="N96">
        <v>62.99</v>
      </c>
      <c r="O96">
        <v>54.74</v>
      </c>
      <c r="P96">
        <v>64.12</v>
      </c>
      <c r="Q96">
        <v>19.135000000000002</v>
      </c>
      <c r="R96">
        <v>1291.46</v>
      </c>
      <c r="S96">
        <v>32.76</v>
      </c>
      <c r="T96">
        <v>19.57</v>
      </c>
      <c r="U96">
        <v>18.2</v>
      </c>
      <c r="V96">
        <v>40.89</v>
      </c>
      <c r="W96">
        <v>45.56</v>
      </c>
      <c r="X96">
        <v>27.26</v>
      </c>
      <c r="Y96">
        <v>50.72</v>
      </c>
      <c r="Z96">
        <v>41.88</v>
      </c>
      <c r="AA96">
        <v>83.54</v>
      </c>
      <c r="AB96">
        <v>57.68</v>
      </c>
      <c r="AC96">
        <v>42.16</v>
      </c>
      <c r="AD96">
        <v>611.54</v>
      </c>
      <c r="AE96">
        <v>671.3</v>
      </c>
      <c r="AF96">
        <v>45.2</v>
      </c>
      <c r="AG96">
        <v>58.85</v>
      </c>
      <c r="AH96">
        <v>48.09</v>
      </c>
      <c r="AI96">
        <v>51.24</v>
      </c>
    </row>
    <row r="97" spans="1:35" x14ac:dyDescent="0.45">
      <c r="A97" s="2">
        <v>45947</v>
      </c>
      <c r="B97">
        <v>33.61</v>
      </c>
      <c r="C97">
        <v>33.36</v>
      </c>
      <c r="D97">
        <v>17.3</v>
      </c>
      <c r="E97">
        <v>25.41</v>
      </c>
      <c r="F97">
        <v>32.92</v>
      </c>
      <c r="G97">
        <v>62.97</v>
      </c>
      <c r="H97">
        <v>25.7</v>
      </c>
      <c r="I97">
        <v>65.09</v>
      </c>
      <c r="J97">
        <v>66.13</v>
      </c>
      <c r="K97">
        <v>88.52</v>
      </c>
      <c r="L97">
        <v>29.71</v>
      </c>
      <c r="M97">
        <v>65.41</v>
      </c>
      <c r="N97">
        <v>62.75</v>
      </c>
      <c r="O97">
        <v>54.45</v>
      </c>
      <c r="P97">
        <v>63.31</v>
      </c>
      <c r="Q97">
        <v>19.085000000000001</v>
      </c>
      <c r="R97">
        <v>1286.69</v>
      </c>
      <c r="S97">
        <v>31.9</v>
      </c>
      <c r="T97">
        <v>19.63</v>
      </c>
      <c r="U97">
        <v>19.2</v>
      </c>
      <c r="V97">
        <v>40.78</v>
      </c>
      <c r="W97">
        <v>45.174999999999997</v>
      </c>
      <c r="X97">
        <v>26.92</v>
      </c>
      <c r="Y97">
        <v>50.28</v>
      </c>
      <c r="Z97">
        <v>41.38</v>
      </c>
      <c r="AA97">
        <v>82</v>
      </c>
      <c r="AB97">
        <v>57.78</v>
      </c>
      <c r="AC97">
        <v>42.07</v>
      </c>
      <c r="AD97">
        <v>603.92999999999995</v>
      </c>
      <c r="AE97">
        <v>664.39</v>
      </c>
      <c r="AF97">
        <v>45.23</v>
      </c>
      <c r="AG97">
        <v>58.65</v>
      </c>
      <c r="AH97">
        <v>47.79</v>
      </c>
      <c r="AI97">
        <v>50.77</v>
      </c>
    </row>
    <row r="98" spans="1:35" x14ac:dyDescent="0.45">
      <c r="A98" s="2">
        <v>45946</v>
      </c>
      <c r="B98">
        <v>34.020000000000003</v>
      </c>
      <c r="C98">
        <v>33.4</v>
      </c>
      <c r="D98">
        <v>17.36</v>
      </c>
      <c r="E98">
        <v>25.42</v>
      </c>
      <c r="F98">
        <v>32.83</v>
      </c>
      <c r="G98">
        <v>64.55</v>
      </c>
      <c r="H98">
        <v>25.58</v>
      </c>
      <c r="I98">
        <v>65.17</v>
      </c>
      <c r="J98">
        <v>67.05</v>
      </c>
      <c r="K98">
        <v>87.88</v>
      </c>
      <c r="L98">
        <v>29.24</v>
      </c>
      <c r="M98">
        <v>67.33</v>
      </c>
      <c r="N98">
        <v>63.87</v>
      </c>
      <c r="O98">
        <v>54.064999999999998</v>
      </c>
      <c r="P98">
        <v>63.4</v>
      </c>
      <c r="Q98">
        <v>19.1356</v>
      </c>
      <c r="R98">
        <v>1266.3800000000001</v>
      </c>
      <c r="S98">
        <v>32.340000000000003</v>
      </c>
      <c r="T98">
        <v>19.47</v>
      </c>
      <c r="U98">
        <v>19.64</v>
      </c>
      <c r="V98">
        <v>40.78</v>
      </c>
      <c r="W98">
        <v>45.42</v>
      </c>
      <c r="X98">
        <v>26.97</v>
      </c>
      <c r="Y98">
        <v>50.62</v>
      </c>
      <c r="Z98">
        <v>41.59</v>
      </c>
      <c r="AA98">
        <v>81.55</v>
      </c>
      <c r="AB98">
        <v>57.47</v>
      </c>
      <c r="AC98">
        <v>41.99</v>
      </c>
      <c r="AD98">
        <v>599.99</v>
      </c>
      <c r="AE98">
        <v>660.64</v>
      </c>
      <c r="AF98">
        <v>45.15</v>
      </c>
      <c r="AG98">
        <v>58.49</v>
      </c>
      <c r="AH98">
        <v>47.8</v>
      </c>
      <c r="AI98">
        <v>50.88</v>
      </c>
    </row>
    <row r="99" spans="1:35" x14ac:dyDescent="0.45">
      <c r="A99" s="2">
        <v>45945</v>
      </c>
      <c r="B99">
        <v>33.99</v>
      </c>
      <c r="C99">
        <v>33.409999999999997</v>
      </c>
      <c r="D99">
        <v>17.21</v>
      </c>
      <c r="E99">
        <v>25.44</v>
      </c>
      <c r="F99">
        <v>32.9</v>
      </c>
      <c r="G99">
        <v>64.099999999999994</v>
      </c>
      <c r="H99">
        <v>25.66</v>
      </c>
      <c r="I99">
        <v>64.989999999999995</v>
      </c>
      <c r="J99">
        <v>65.87</v>
      </c>
      <c r="K99">
        <v>85.17</v>
      </c>
      <c r="L99">
        <v>29.32</v>
      </c>
      <c r="M99">
        <v>66.03</v>
      </c>
      <c r="N99">
        <v>64.67</v>
      </c>
      <c r="O99">
        <v>53.76</v>
      </c>
      <c r="P99">
        <v>63.25</v>
      </c>
      <c r="Q99">
        <v>19.070699999999999</v>
      </c>
      <c r="R99">
        <v>1286.98</v>
      </c>
      <c r="S99">
        <v>32.56</v>
      </c>
      <c r="T99">
        <v>19.47</v>
      </c>
      <c r="U99">
        <v>19.420000000000002</v>
      </c>
      <c r="V99">
        <v>40.89</v>
      </c>
      <c r="W99">
        <v>45.14</v>
      </c>
      <c r="X99">
        <v>26.89</v>
      </c>
      <c r="Y99">
        <v>50.96</v>
      </c>
      <c r="Z99">
        <v>41.53</v>
      </c>
      <c r="AA99">
        <v>81.290000000000006</v>
      </c>
      <c r="AB99">
        <v>56.64</v>
      </c>
      <c r="AC99">
        <v>42.02</v>
      </c>
      <c r="AD99">
        <v>602.22</v>
      </c>
      <c r="AE99">
        <v>665.17</v>
      </c>
      <c r="AF99">
        <v>44.42</v>
      </c>
      <c r="AG99">
        <v>58.27</v>
      </c>
      <c r="AH99">
        <v>47.58</v>
      </c>
      <c r="AI99">
        <v>50.47</v>
      </c>
    </row>
    <row r="100" spans="1:35" x14ac:dyDescent="0.45">
      <c r="A100" s="2">
        <v>45944</v>
      </c>
      <c r="B100">
        <v>33.549999999999997</v>
      </c>
      <c r="C100">
        <v>32.799999999999997</v>
      </c>
      <c r="D100">
        <v>17.22</v>
      </c>
      <c r="E100">
        <v>25.45</v>
      </c>
      <c r="F100">
        <v>32.22</v>
      </c>
      <c r="G100">
        <v>63.3</v>
      </c>
      <c r="H100">
        <v>25.72</v>
      </c>
      <c r="I100">
        <v>63.7</v>
      </c>
      <c r="J100">
        <v>64.84</v>
      </c>
      <c r="K100">
        <v>82.69</v>
      </c>
      <c r="L100">
        <v>29.1</v>
      </c>
      <c r="M100">
        <v>65.31</v>
      </c>
      <c r="N100">
        <v>64.83</v>
      </c>
      <c r="O100">
        <v>52.78</v>
      </c>
      <c r="P100">
        <v>62.58</v>
      </c>
      <c r="Q100">
        <v>19.204999999999998</v>
      </c>
      <c r="R100">
        <v>1313.99</v>
      </c>
      <c r="S100">
        <v>32.35</v>
      </c>
      <c r="T100">
        <v>19.57</v>
      </c>
      <c r="U100">
        <v>19.690000000000001</v>
      </c>
      <c r="V100">
        <v>40.75</v>
      </c>
      <c r="W100">
        <v>45.066499999999998</v>
      </c>
      <c r="X100">
        <v>26.7</v>
      </c>
      <c r="Y100">
        <v>50.53</v>
      </c>
      <c r="Z100">
        <v>41.67</v>
      </c>
      <c r="AA100">
        <v>80.040000000000006</v>
      </c>
      <c r="AB100">
        <v>56.33</v>
      </c>
      <c r="AC100">
        <v>42.06</v>
      </c>
      <c r="AD100">
        <v>598</v>
      </c>
      <c r="AE100">
        <v>662.23</v>
      </c>
      <c r="AF100">
        <v>44.13</v>
      </c>
      <c r="AG100">
        <v>57.76</v>
      </c>
      <c r="AH100">
        <v>47.45</v>
      </c>
      <c r="AI100">
        <v>50.79</v>
      </c>
    </row>
    <row r="101" spans="1:35" x14ac:dyDescent="0.45">
      <c r="A101" s="2">
        <v>45943</v>
      </c>
      <c r="B101">
        <v>33.94</v>
      </c>
      <c r="C101">
        <v>32.119999999999997</v>
      </c>
      <c r="D101">
        <v>17.57</v>
      </c>
      <c r="E101">
        <v>25.3</v>
      </c>
      <c r="F101">
        <v>32.409999999999997</v>
      </c>
      <c r="G101">
        <v>63.41</v>
      </c>
      <c r="H101">
        <v>25.71</v>
      </c>
      <c r="I101">
        <v>64.56</v>
      </c>
      <c r="J101">
        <v>65.47</v>
      </c>
      <c r="K101">
        <v>83.62</v>
      </c>
      <c r="L101">
        <v>29.18</v>
      </c>
      <c r="M101">
        <v>66.010000000000005</v>
      </c>
      <c r="N101">
        <v>65.61</v>
      </c>
      <c r="O101">
        <v>52.97</v>
      </c>
      <c r="P101">
        <v>63.3</v>
      </c>
      <c r="Q101">
        <v>19.254999999999999</v>
      </c>
      <c r="R101">
        <v>1304.92</v>
      </c>
      <c r="S101">
        <v>33.04</v>
      </c>
      <c r="T101">
        <v>19.16</v>
      </c>
      <c r="U101">
        <v>19.59</v>
      </c>
      <c r="V101">
        <v>40.69</v>
      </c>
      <c r="W101">
        <v>45.45</v>
      </c>
      <c r="X101">
        <v>26.66</v>
      </c>
      <c r="Y101">
        <v>50.59</v>
      </c>
      <c r="Z101">
        <v>41.78</v>
      </c>
      <c r="AA101">
        <v>79.290000000000006</v>
      </c>
      <c r="AB101">
        <v>56.08</v>
      </c>
      <c r="AC101">
        <v>41.99</v>
      </c>
      <c r="AD101">
        <v>602.01</v>
      </c>
      <c r="AE101">
        <v>663.04</v>
      </c>
      <c r="AF101">
        <v>43.35</v>
      </c>
      <c r="AG101">
        <v>57.75</v>
      </c>
      <c r="AH101">
        <v>47.32</v>
      </c>
      <c r="AI101">
        <v>50.5</v>
      </c>
    </row>
    <row r="102" spans="1:35" x14ac:dyDescent="0.45">
      <c r="A102" s="2">
        <v>45940</v>
      </c>
      <c r="B102">
        <v>32.92</v>
      </c>
      <c r="C102">
        <v>31.5</v>
      </c>
      <c r="D102">
        <v>17.309999999999999</v>
      </c>
      <c r="E102">
        <v>24.87</v>
      </c>
      <c r="F102">
        <v>31.78</v>
      </c>
      <c r="G102">
        <v>60.91</v>
      </c>
      <c r="H102">
        <v>25.33</v>
      </c>
      <c r="I102">
        <v>61.62</v>
      </c>
      <c r="J102">
        <v>64.39</v>
      </c>
      <c r="K102">
        <v>80.72</v>
      </c>
      <c r="L102">
        <v>28.79</v>
      </c>
      <c r="M102">
        <v>63.32</v>
      </c>
      <c r="N102">
        <v>65.45</v>
      </c>
      <c r="O102">
        <v>52.77</v>
      </c>
      <c r="P102">
        <v>61.39</v>
      </c>
      <c r="Q102">
        <v>19.23</v>
      </c>
      <c r="R102">
        <v>1305.24</v>
      </c>
      <c r="S102">
        <v>32.840000000000003</v>
      </c>
      <c r="T102">
        <v>19</v>
      </c>
      <c r="U102">
        <v>18.98</v>
      </c>
      <c r="V102">
        <v>39.81</v>
      </c>
      <c r="W102">
        <v>45.805</v>
      </c>
      <c r="X102">
        <v>26.44</v>
      </c>
      <c r="Y102">
        <v>49.86</v>
      </c>
      <c r="Z102">
        <v>41.52</v>
      </c>
      <c r="AA102">
        <v>78.36</v>
      </c>
      <c r="AB102">
        <v>56.1</v>
      </c>
      <c r="AC102">
        <v>41.73</v>
      </c>
      <c r="AD102">
        <v>589.5</v>
      </c>
      <c r="AE102">
        <v>653.02</v>
      </c>
      <c r="AF102">
        <v>43.29</v>
      </c>
      <c r="AG102">
        <v>56.64</v>
      </c>
      <c r="AH102">
        <v>46.92</v>
      </c>
      <c r="AI102">
        <v>50.31</v>
      </c>
    </row>
    <row r="103" spans="1:35" x14ac:dyDescent="0.45">
      <c r="A103" s="2">
        <v>45939</v>
      </c>
      <c r="B103">
        <v>34.44</v>
      </c>
      <c r="C103">
        <v>32.520000000000003</v>
      </c>
      <c r="D103">
        <v>17.649999999999999</v>
      </c>
      <c r="E103">
        <v>25.2</v>
      </c>
      <c r="F103">
        <v>32.28</v>
      </c>
      <c r="G103">
        <v>62.65</v>
      </c>
      <c r="H103">
        <v>25.98</v>
      </c>
      <c r="I103">
        <v>64.83</v>
      </c>
      <c r="J103">
        <v>65.42</v>
      </c>
      <c r="K103">
        <v>83.43</v>
      </c>
      <c r="L103">
        <v>29.67</v>
      </c>
      <c r="M103">
        <v>65.06</v>
      </c>
      <c r="N103">
        <v>65.7</v>
      </c>
      <c r="O103">
        <v>52.81</v>
      </c>
      <c r="P103">
        <v>65.12</v>
      </c>
      <c r="Q103">
        <v>19.329999999999998</v>
      </c>
      <c r="R103">
        <v>1285.6400000000001</v>
      </c>
      <c r="S103">
        <v>33.369999999999997</v>
      </c>
      <c r="T103">
        <v>19.25</v>
      </c>
      <c r="U103">
        <v>18.75</v>
      </c>
      <c r="V103">
        <v>40.68</v>
      </c>
      <c r="W103">
        <v>46.575000000000003</v>
      </c>
      <c r="X103">
        <v>26.92</v>
      </c>
      <c r="Y103">
        <v>50.53</v>
      </c>
      <c r="Z103">
        <v>42.09</v>
      </c>
      <c r="AA103">
        <v>81.55</v>
      </c>
      <c r="AB103">
        <v>56.36</v>
      </c>
      <c r="AC103">
        <v>42.07</v>
      </c>
      <c r="AD103">
        <v>610.70000000000005</v>
      </c>
      <c r="AE103">
        <v>671.16</v>
      </c>
      <c r="AF103">
        <v>43.89</v>
      </c>
      <c r="AG103">
        <v>57.89</v>
      </c>
      <c r="AH103">
        <v>47.2</v>
      </c>
      <c r="AI103">
        <v>51.13</v>
      </c>
    </row>
    <row r="104" spans="1:35" x14ac:dyDescent="0.45">
      <c r="A104" s="2">
        <v>45938</v>
      </c>
      <c r="B104">
        <v>34.21</v>
      </c>
      <c r="C104">
        <v>32.79</v>
      </c>
      <c r="D104">
        <v>17.45</v>
      </c>
      <c r="E104">
        <v>25.67</v>
      </c>
      <c r="F104">
        <v>32.619999999999997</v>
      </c>
      <c r="G104">
        <v>63.53</v>
      </c>
      <c r="H104">
        <v>26.02</v>
      </c>
      <c r="I104">
        <v>65.650000000000006</v>
      </c>
      <c r="J104">
        <v>65.73</v>
      </c>
      <c r="K104">
        <v>84.19</v>
      </c>
      <c r="L104">
        <v>29.87</v>
      </c>
      <c r="M104">
        <v>66.8</v>
      </c>
      <c r="N104">
        <v>65.62</v>
      </c>
      <c r="O104">
        <v>52.63</v>
      </c>
      <c r="P104">
        <v>66.13</v>
      </c>
      <c r="Q104">
        <v>19.309999999999999</v>
      </c>
      <c r="R104">
        <v>1293.6099999999999</v>
      </c>
      <c r="S104">
        <v>33.615000000000002</v>
      </c>
      <c r="T104">
        <v>19.29</v>
      </c>
      <c r="U104">
        <v>18.43</v>
      </c>
      <c r="V104">
        <v>40.549999999999997</v>
      </c>
      <c r="W104">
        <v>47.094999999999999</v>
      </c>
      <c r="X104">
        <v>27.23</v>
      </c>
      <c r="Y104">
        <v>51.14</v>
      </c>
      <c r="Z104">
        <v>42.34</v>
      </c>
      <c r="AA104">
        <v>81.75</v>
      </c>
      <c r="AB104">
        <v>56.83</v>
      </c>
      <c r="AC104">
        <v>42.68</v>
      </c>
      <c r="AD104">
        <v>611.44000000000005</v>
      </c>
      <c r="AE104">
        <v>673.11</v>
      </c>
      <c r="AF104">
        <v>44.3</v>
      </c>
      <c r="AG104">
        <v>58.41</v>
      </c>
      <c r="AH104">
        <v>47.88</v>
      </c>
      <c r="AI104">
        <v>52.29</v>
      </c>
    </row>
    <row r="105" spans="1:35" x14ac:dyDescent="0.45">
      <c r="A105" s="2">
        <v>45937</v>
      </c>
      <c r="B105">
        <v>34.26</v>
      </c>
      <c r="C105">
        <v>32.270000000000003</v>
      </c>
      <c r="D105">
        <v>17.43</v>
      </c>
      <c r="E105">
        <v>25.36</v>
      </c>
      <c r="F105">
        <v>32.58</v>
      </c>
      <c r="G105">
        <v>61.87</v>
      </c>
      <c r="H105">
        <v>25.99</v>
      </c>
      <c r="I105">
        <v>64.81</v>
      </c>
      <c r="J105">
        <v>65.040000000000006</v>
      </c>
      <c r="K105">
        <v>83.35</v>
      </c>
      <c r="L105">
        <v>29.68</v>
      </c>
      <c r="M105">
        <v>64.790000000000006</v>
      </c>
      <c r="N105">
        <v>65.33</v>
      </c>
      <c r="O105">
        <v>52.88</v>
      </c>
      <c r="P105">
        <v>65.81</v>
      </c>
      <c r="Q105">
        <v>19.260000000000002</v>
      </c>
      <c r="R105">
        <v>1288.29</v>
      </c>
      <c r="S105">
        <v>33.69</v>
      </c>
      <c r="T105">
        <v>19.13</v>
      </c>
      <c r="U105">
        <v>18.23</v>
      </c>
      <c r="V105">
        <v>40.590000000000003</v>
      </c>
      <c r="W105">
        <v>47.05</v>
      </c>
      <c r="X105">
        <v>27.14</v>
      </c>
      <c r="Y105">
        <v>50.94</v>
      </c>
      <c r="Z105">
        <v>42.07</v>
      </c>
      <c r="AA105">
        <v>81.96</v>
      </c>
      <c r="AB105">
        <v>56.55</v>
      </c>
      <c r="AC105">
        <v>42.45</v>
      </c>
      <c r="AD105">
        <v>604.51</v>
      </c>
      <c r="AE105">
        <v>669.12</v>
      </c>
      <c r="AF105">
        <v>43.79</v>
      </c>
      <c r="AG105">
        <v>58.56</v>
      </c>
      <c r="AH105">
        <v>47.82</v>
      </c>
      <c r="AI105">
        <v>51.94</v>
      </c>
    </row>
    <row r="106" spans="1:35" x14ac:dyDescent="0.45">
      <c r="A106" s="2">
        <v>45936</v>
      </c>
      <c r="B106">
        <v>34.369999999999997</v>
      </c>
      <c r="C106">
        <v>32.049999999999997</v>
      </c>
      <c r="D106">
        <v>17.420000000000002</v>
      </c>
      <c r="E106">
        <v>25.1</v>
      </c>
      <c r="F106">
        <v>32.51</v>
      </c>
      <c r="G106">
        <v>62.71</v>
      </c>
      <c r="H106">
        <v>26.09</v>
      </c>
      <c r="I106">
        <v>65.03</v>
      </c>
      <c r="J106">
        <v>65.44</v>
      </c>
      <c r="K106">
        <v>84.78</v>
      </c>
      <c r="L106">
        <v>30.31</v>
      </c>
      <c r="M106">
        <v>65.319999999999993</v>
      </c>
      <c r="N106">
        <v>65.38</v>
      </c>
      <c r="O106">
        <v>52.76</v>
      </c>
      <c r="P106">
        <v>66.64</v>
      </c>
      <c r="Q106">
        <v>19.215</v>
      </c>
      <c r="R106">
        <v>1275.03</v>
      </c>
      <c r="S106">
        <v>33.47</v>
      </c>
      <c r="T106">
        <v>19.04</v>
      </c>
      <c r="U106">
        <v>18.434999999999999</v>
      </c>
      <c r="V106">
        <v>40.770000000000003</v>
      </c>
      <c r="W106">
        <v>47.134999999999998</v>
      </c>
      <c r="X106">
        <v>27.36</v>
      </c>
      <c r="Y106">
        <v>51.3</v>
      </c>
      <c r="Z106">
        <v>42.42</v>
      </c>
      <c r="AA106">
        <v>83.27</v>
      </c>
      <c r="AB106">
        <v>56.72</v>
      </c>
      <c r="AC106">
        <v>42.58</v>
      </c>
      <c r="AD106">
        <v>607.71</v>
      </c>
      <c r="AE106">
        <v>671.61</v>
      </c>
      <c r="AF106">
        <v>44.19</v>
      </c>
      <c r="AG106">
        <v>59.68</v>
      </c>
      <c r="AH106">
        <v>48.26</v>
      </c>
      <c r="AI106">
        <v>52.26</v>
      </c>
    </row>
    <row r="107" spans="1:35" x14ac:dyDescent="0.45">
      <c r="A107" s="2">
        <v>45933</v>
      </c>
      <c r="B107">
        <v>34.39</v>
      </c>
      <c r="C107">
        <v>32.32</v>
      </c>
      <c r="D107">
        <v>17.43</v>
      </c>
      <c r="E107">
        <v>25.59</v>
      </c>
      <c r="F107">
        <v>32.92</v>
      </c>
      <c r="G107">
        <v>62.31</v>
      </c>
      <c r="H107">
        <v>26.2</v>
      </c>
      <c r="I107">
        <v>64.64</v>
      </c>
      <c r="J107">
        <v>66.81</v>
      </c>
      <c r="K107">
        <v>83.85</v>
      </c>
      <c r="L107">
        <v>30.33</v>
      </c>
      <c r="M107">
        <v>65.06</v>
      </c>
      <c r="N107">
        <v>66.17</v>
      </c>
      <c r="O107">
        <v>52.45</v>
      </c>
      <c r="P107">
        <v>66.55</v>
      </c>
      <c r="Q107">
        <v>19.295000000000002</v>
      </c>
      <c r="R107">
        <v>1274.17</v>
      </c>
      <c r="S107">
        <v>33.74</v>
      </c>
      <c r="T107">
        <v>19.11</v>
      </c>
      <c r="U107">
        <v>17.53</v>
      </c>
      <c r="V107">
        <v>40.49</v>
      </c>
      <c r="W107">
        <v>47.188299999999998</v>
      </c>
      <c r="X107">
        <v>27.43</v>
      </c>
      <c r="Y107">
        <v>51.24</v>
      </c>
      <c r="Z107">
        <v>42.43</v>
      </c>
      <c r="AA107">
        <v>81.78</v>
      </c>
      <c r="AB107">
        <v>56.66</v>
      </c>
      <c r="AC107">
        <v>42.64</v>
      </c>
      <c r="AD107">
        <v>603.17999999999995</v>
      </c>
      <c r="AE107">
        <v>669.21</v>
      </c>
      <c r="AF107">
        <v>44.91</v>
      </c>
      <c r="AG107">
        <v>59.62</v>
      </c>
      <c r="AH107">
        <v>48.2</v>
      </c>
      <c r="AI107">
        <v>52.61</v>
      </c>
    </row>
    <row r="108" spans="1:35" x14ac:dyDescent="0.45">
      <c r="A108" s="2">
        <v>45932</v>
      </c>
      <c r="B108">
        <v>34.5182</v>
      </c>
      <c r="C108">
        <v>32.4</v>
      </c>
      <c r="D108">
        <v>17.440000000000001</v>
      </c>
      <c r="E108">
        <v>25.22</v>
      </c>
      <c r="F108">
        <v>32.81</v>
      </c>
      <c r="G108">
        <v>61.33</v>
      </c>
      <c r="H108">
        <v>26.27</v>
      </c>
      <c r="I108">
        <v>64</v>
      </c>
      <c r="J108">
        <v>66.900000000000006</v>
      </c>
      <c r="K108">
        <v>83.53</v>
      </c>
      <c r="L108">
        <v>30.24</v>
      </c>
      <c r="M108">
        <v>64.209999999999994</v>
      </c>
      <c r="N108">
        <v>65.25</v>
      </c>
      <c r="O108">
        <v>52.3</v>
      </c>
      <c r="P108">
        <v>66.989999999999995</v>
      </c>
      <c r="Q108">
        <v>19.274999999999999</v>
      </c>
      <c r="R108">
        <v>1288.07</v>
      </c>
      <c r="S108">
        <v>34.450000000000003</v>
      </c>
      <c r="T108">
        <v>19.079999999999998</v>
      </c>
      <c r="U108">
        <v>17.515000000000001</v>
      </c>
      <c r="V108">
        <v>40.479999999999997</v>
      </c>
      <c r="W108">
        <v>46.68</v>
      </c>
      <c r="X108">
        <v>27.18</v>
      </c>
      <c r="Y108">
        <v>50.59</v>
      </c>
      <c r="Z108">
        <v>42.47</v>
      </c>
      <c r="AA108">
        <v>80.150000000000006</v>
      </c>
      <c r="AB108">
        <v>56.25</v>
      </c>
      <c r="AC108">
        <v>42.26</v>
      </c>
      <c r="AD108">
        <v>605.73</v>
      </c>
      <c r="AE108">
        <v>669.22</v>
      </c>
      <c r="AF108">
        <v>44.77</v>
      </c>
      <c r="AG108">
        <v>59.51</v>
      </c>
      <c r="AH108">
        <v>47.94</v>
      </c>
      <c r="AI108">
        <v>52.33</v>
      </c>
    </row>
    <row r="109" spans="1:35" x14ac:dyDescent="0.45">
      <c r="A109" s="2">
        <v>45931</v>
      </c>
      <c r="B109">
        <v>34.369500000000002</v>
      </c>
      <c r="C109">
        <v>32.71</v>
      </c>
      <c r="D109">
        <v>17.46</v>
      </c>
      <c r="E109">
        <v>25.2</v>
      </c>
      <c r="F109">
        <v>32.6</v>
      </c>
      <c r="G109">
        <v>61.05</v>
      </c>
      <c r="H109">
        <v>26.21</v>
      </c>
      <c r="I109">
        <v>64.14</v>
      </c>
      <c r="J109">
        <v>66.78</v>
      </c>
      <c r="K109">
        <v>81.89</v>
      </c>
      <c r="L109">
        <v>30.58</v>
      </c>
      <c r="M109">
        <v>64.75</v>
      </c>
      <c r="N109">
        <v>65.56</v>
      </c>
      <c r="O109">
        <v>52.39</v>
      </c>
      <c r="P109">
        <v>66.25</v>
      </c>
      <c r="Q109">
        <v>19.39</v>
      </c>
      <c r="R109">
        <v>1278.74</v>
      </c>
      <c r="S109">
        <v>34.96</v>
      </c>
      <c r="T109">
        <v>18.989999999999998</v>
      </c>
      <c r="U109">
        <v>18.04</v>
      </c>
      <c r="V109">
        <v>40.25</v>
      </c>
      <c r="W109">
        <v>46.711599999999997</v>
      </c>
      <c r="X109">
        <v>27.15</v>
      </c>
      <c r="Y109">
        <v>50.57</v>
      </c>
      <c r="Z109">
        <v>42.13</v>
      </c>
      <c r="AA109">
        <v>80.209999999999994</v>
      </c>
      <c r="AB109">
        <v>55.94</v>
      </c>
      <c r="AC109">
        <v>42.5</v>
      </c>
      <c r="AD109">
        <v>603.25</v>
      </c>
      <c r="AE109">
        <v>668.45</v>
      </c>
      <c r="AF109">
        <v>44.49</v>
      </c>
      <c r="AG109">
        <v>58.84</v>
      </c>
      <c r="AH109">
        <v>47.61</v>
      </c>
      <c r="AI109">
        <v>52.41</v>
      </c>
    </row>
    <row r="110" spans="1:35" x14ac:dyDescent="0.45">
      <c r="A110" s="2">
        <v>45930</v>
      </c>
      <c r="B110">
        <v>34.340000000000003</v>
      </c>
      <c r="C110">
        <v>32.96</v>
      </c>
      <c r="D110">
        <v>17.55</v>
      </c>
      <c r="E110">
        <v>24.84</v>
      </c>
      <c r="F110">
        <v>32.200000000000003</v>
      </c>
      <c r="G110">
        <v>61.5</v>
      </c>
      <c r="H110">
        <v>25.92</v>
      </c>
      <c r="I110">
        <v>63.62</v>
      </c>
      <c r="J110">
        <v>68.209999999999994</v>
      </c>
      <c r="K110">
        <v>80.099999999999994</v>
      </c>
      <c r="L110">
        <v>31</v>
      </c>
      <c r="M110">
        <v>64.099999999999994</v>
      </c>
      <c r="N110">
        <v>64.400000000000006</v>
      </c>
      <c r="O110">
        <v>52.06</v>
      </c>
      <c r="P110">
        <v>65.849999999999994</v>
      </c>
      <c r="Q110">
        <v>19.53</v>
      </c>
      <c r="R110">
        <v>1288.26</v>
      </c>
      <c r="S110">
        <v>34.229999999999997</v>
      </c>
      <c r="T110">
        <v>18.89</v>
      </c>
      <c r="U110">
        <v>17.84</v>
      </c>
      <c r="V110">
        <v>40.58</v>
      </c>
      <c r="W110">
        <v>45.933399999999999</v>
      </c>
      <c r="X110">
        <v>27</v>
      </c>
      <c r="Y110">
        <v>50.55</v>
      </c>
      <c r="Z110">
        <v>41.61</v>
      </c>
      <c r="AA110">
        <v>80.209999999999994</v>
      </c>
      <c r="AB110">
        <v>55.24</v>
      </c>
      <c r="AC110">
        <v>41.97</v>
      </c>
      <c r="AD110">
        <v>600.37</v>
      </c>
      <c r="AE110">
        <v>666.18</v>
      </c>
      <c r="AF110">
        <v>43.93</v>
      </c>
      <c r="AG110">
        <v>58.01</v>
      </c>
      <c r="AH110">
        <v>47.2</v>
      </c>
      <c r="AI110">
        <v>51.95</v>
      </c>
    </row>
    <row r="111" spans="1:35" x14ac:dyDescent="0.45">
      <c r="A111" s="2">
        <v>45929</v>
      </c>
      <c r="B111">
        <v>34.200000000000003</v>
      </c>
      <c r="C111">
        <v>32.85</v>
      </c>
      <c r="D111">
        <v>17.690000000000001</v>
      </c>
      <c r="E111">
        <v>25.04</v>
      </c>
      <c r="F111">
        <v>32.11</v>
      </c>
      <c r="G111">
        <v>60.803600000000003</v>
      </c>
      <c r="H111">
        <v>25.78</v>
      </c>
      <c r="I111">
        <v>63.08</v>
      </c>
      <c r="J111">
        <v>67.459999999999994</v>
      </c>
      <c r="K111">
        <v>80.239999999999995</v>
      </c>
      <c r="L111">
        <v>30.99</v>
      </c>
      <c r="M111">
        <v>63.42</v>
      </c>
      <c r="N111">
        <v>64.27</v>
      </c>
      <c r="O111">
        <v>52.16</v>
      </c>
      <c r="P111">
        <v>65.53</v>
      </c>
      <c r="Q111">
        <v>19.425000000000001</v>
      </c>
      <c r="R111">
        <v>1278.4100000000001</v>
      </c>
      <c r="S111">
        <v>34.57</v>
      </c>
      <c r="T111">
        <v>18.82</v>
      </c>
      <c r="U111">
        <v>17.690000000000001</v>
      </c>
      <c r="V111">
        <v>40.15</v>
      </c>
      <c r="W111">
        <v>45.484999999999999</v>
      </c>
      <c r="X111">
        <v>26.98</v>
      </c>
      <c r="Y111">
        <v>50.46</v>
      </c>
      <c r="Z111">
        <v>41.31</v>
      </c>
      <c r="AA111">
        <v>80.510000000000005</v>
      </c>
      <c r="AB111">
        <v>54.57</v>
      </c>
      <c r="AC111">
        <v>41.63</v>
      </c>
      <c r="AD111">
        <v>598.73</v>
      </c>
      <c r="AE111">
        <v>663.68</v>
      </c>
      <c r="AF111">
        <v>43.78</v>
      </c>
      <c r="AG111">
        <v>57.67</v>
      </c>
      <c r="AH111">
        <v>47.22</v>
      </c>
      <c r="AI111">
        <v>51.5</v>
      </c>
    </row>
    <row r="112" spans="1:35" x14ac:dyDescent="0.45">
      <c r="A112" s="2">
        <v>45926</v>
      </c>
      <c r="B112">
        <v>33.54</v>
      </c>
      <c r="C112">
        <v>33.17</v>
      </c>
      <c r="D112">
        <v>17.600000000000001</v>
      </c>
      <c r="E112">
        <v>25.12</v>
      </c>
      <c r="F112">
        <v>32.17</v>
      </c>
      <c r="G112">
        <v>59.3</v>
      </c>
      <c r="H112">
        <v>25.73</v>
      </c>
      <c r="I112">
        <v>62.74</v>
      </c>
      <c r="J112">
        <v>67.14</v>
      </c>
      <c r="K112">
        <v>78.87</v>
      </c>
      <c r="L112">
        <v>30.73</v>
      </c>
      <c r="M112">
        <v>63.3</v>
      </c>
      <c r="N112">
        <v>63.82</v>
      </c>
      <c r="O112">
        <v>52.25</v>
      </c>
      <c r="P112">
        <v>64.319999999999993</v>
      </c>
      <c r="Q112">
        <v>19.420000000000002</v>
      </c>
      <c r="R112">
        <v>1273.2</v>
      </c>
      <c r="S112">
        <v>34.770000000000003</v>
      </c>
      <c r="T112">
        <v>18.98</v>
      </c>
      <c r="U112">
        <v>17.55</v>
      </c>
      <c r="V112">
        <v>39.950000000000003</v>
      </c>
      <c r="W112">
        <v>45.365000000000002</v>
      </c>
      <c r="X112">
        <v>26.67</v>
      </c>
      <c r="Y112">
        <v>50.02</v>
      </c>
      <c r="Z112">
        <v>41.2</v>
      </c>
      <c r="AA112">
        <v>80.44</v>
      </c>
      <c r="AB112">
        <v>54.26</v>
      </c>
      <c r="AC112">
        <v>41.58</v>
      </c>
      <c r="AD112">
        <v>595.97</v>
      </c>
      <c r="AE112">
        <v>661.82</v>
      </c>
      <c r="AF112">
        <v>43.59</v>
      </c>
      <c r="AG112">
        <v>57.12</v>
      </c>
      <c r="AH112">
        <v>47.2</v>
      </c>
      <c r="AI112">
        <v>51.54</v>
      </c>
    </row>
    <row r="113" spans="1:35" x14ac:dyDescent="0.45">
      <c r="A113" s="2">
        <v>45925</v>
      </c>
      <c r="B113">
        <v>33.880000000000003</v>
      </c>
      <c r="C113">
        <v>33.21</v>
      </c>
      <c r="D113">
        <v>17.41</v>
      </c>
      <c r="E113">
        <v>25.09</v>
      </c>
      <c r="F113">
        <v>31.57</v>
      </c>
      <c r="G113">
        <v>59.78</v>
      </c>
      <c r="H113">
        <v>25.27</v>
      </c>
      <c r="I113">
        <v>63.06</v>
      </c>
      <c r="J113">
        <v>66.180000000000007</v>
      </c>
      <c r="K113">
        <v>79.89</v>
      </c>
      <c r="L113">
        <v>30.58</v>
      </c>
      <c r="M113">
        <v>61.67</v>
      </c>
      <c r="N113">
        <v>63.96</v>
      </c>
      <c r="O113">
        <v>52.49</v>
      </c>
      <c r="P113">
        <v>64.760000000000005</v>
      </c>
      <c r="Q113">
        <v>19.37</v>
      </c>
      <c r="R113">
        <v>1282.54</v>
      </c>
      <c r="S113">
        <v>35.19</v>
      </c>
      <c r="T113">
        <v>18.84</v>
      </c>
      <c r="U113">
        <v>17.670000000000002</v>
      </c>
      <c r="V113">
        <v>39.840000000000003</v>
      </c>
      <c r="W113">
        <v>45.196899999999999</v>
      </c>
      <c r="X113">
        <v>26.47</v>
      </c>
      <c r="Y113">
        <v>50.05</v>
      </c>
      <c r="Z113">
        <v>40.75</v>
      </c>
      <c r="AA113">
        <v>80.459999999999994</v>
      </c>
      <c r="AB113">
        <v>53.86</v>
      </c>
      <c r="AC113">
        <v>41.04</v>
      </c>
      <c r="AD113">
        <v>593.53</v>
      </c>
      <c r="AE113">
        <v>658.05</v>
      </c>
      <c r="AF113">
        <v>43.05</v>
      </c>
      <c r="AG113">
        <v>57.02</v>
      </c>
      <c r="AH113">
        <v>46.62</v>
      </c>
      <c r="AI113">
        <v>50.94</v>
      </c>
    </row>
    <row r="114" spans="1:35" x14ac:dyDescent="0.45">
      <c r="A114" s="2">
        <v>45924</v>
      </c>
      <c r="B114">
        <v>33.680599999999998</v>
      </c>
      <c r="C114">
        <v>33.630000000000003</v>
      </c>
      <c r="D114">
        <v>17.68</v>
      </c>
      <c r="E114">
        <v>25.69</v>
      </c>
      <c r="F114">
        <v>32.090000000000003</v>
      </c>
      <c r="G114">
        <v>59.89</v>
      </c>
      <c r="H114">
        <v>25.33</v>
      </c>
      <c r="I114">
        <v>63.57</v>
      </c>
      <c r="J114">
        <v>66.47</v>
      </c>
      <c r="K114">
        <v>80.040000000000006</v>
      </c>
      <c r="L114">
        <v>31.05</v>
      </c>
      <c r="M114">
        <v>61.97</v>
      </c>
      <c r="N114">
        <v>65</v>
      </c>
      <c r="O114">
        <v>52.74</v>
      </c>
      <c r="P114">
        <v>64.58</v>
      </c>
      <c r="Q114">
        <v>19.565000000000001</v>
      </c>
      <c r="R114">
        <v>1292.72</v>
      </c>
      <c r="S114">
        <v>35.299999999999997</v>
      </c>
      <c r="T114">
        <v>18.68</v>
      </c>
      <c r="U114">
        <v>17.579999999999998</v>
      </c>
      <c r="V114">
        <v>40.54</v>
      </c>
      <c r="W114">
        <v>45.596299999999999</v>
      </c>
      <c r="X114">
        <v>26.47</v>
      </c>
      <c r="Y114">
        <v>50.24</v>
      </c>
      <c r="Z114">
        <v>41.24</v>
      </c>
      <c r="AA114">
        <v>80.849999999999994</v>
      </c>
      <c r="AB114">
        <v>54.51</v>
      </c>
      <c r="AC114">
        <v>41.35</v>
      </c>
      <c r="AD114">
        <v>596.1</v>
      </c>
      <c r="AE114">
        <v>661.1</v>
      </c>
      <c r="AF114">
        <v>43.41</v>
      </c>
      <c r="AG114">
        <v>57.27</v>
      </c>
      <c r="AH114">
        <v>47.01</v>
      </c>
      <c r="AI114">
        <v>51.29</v>
      </c>
    </row>
    <row r="115" spans="1:35" x14ac:dyDescent="0.45">
      <c r="A115" s="2">
        <v>45923</v>
      </c>
      <c r="B115">
        <v>33.47</v>
      </c>
      <c r="C115">
        <v>33.68</v>
      </c>
      <c r="D115">
        <v>17.760000000000002</v>
      </c>
      <c r="E115">
        <v>26.16</v>
      </c>
      <c r="F115">
        <v>32.04</v>
      </c>
      <c r="G115">
        <v>58.88</v>
      </c>
      <c r="H115">
        <v>25.74</v>
      </c>
      <c r="I115">
        <v>64.290000000000006</v>
      </c>
      <c r="J115">
        <v>67.430000000000007</v>
      </c>
      <c r="K115">
        <v>81.45</v>
      </c>
      <c r="L115">
        <v>31.32</v>
      </c>
      <c r="M115">
        <v>62.87</v>
      </c>
      <c r="N115">
        <v>65.23</v>
      </c>
      <c r="O115">
        <v>53.06</v>
      </c>
      <c r="P115">
        <v>63.66</v>
      </c>
      <c r="Q115">
        <v>19.785</v>
      </c>
      <c r="R115">
        <v>1297.01</v>
      </c>
      <c r="S115">
        <v>35.06</v>
      </c>
      <c r="T115">
        <v>19.14</v>
      </c>
      <c r="U115">
        <v>17.29</v>
      </c>
      <c r="V115">
        <v>40.78</v>
      </c>
      <c r="W115">
        <v>45.865900000000003</v>
      </c>
      <c r="X115">
        <v>26.87</v>
      </c>
      <c r="Y115">
        <v>50.53</v>
      </c>
      <c r="Z115">
        <v>41.27</v>
      </c>
      <c r="AA115">
        <v>81.09</v>
      </c>
      <c r="AB115">
        <v>55.24</v>
      </c>
      <c r="AC115">
        <v>41.47</v>
      </c>
      <c r="AD115">
        <v>598.20000000000005</v>
      </c>
      <c r="AE115">
        <v>663.21</v>
      </c>
      <c r="AF115">
        <v>43.89</v>
      </c>
      <c r="AG115">
        <v>57.62</v>
      </c>
      <c r="AH115">
        <v>47.85</v>
      </c>
      <c r="AI115">
        <v>51.51</v>
      </c>
    </row>
    <row r="116" spans="1:35" x14ac:dyDescent="0.45">
      <c r="A116" s="2">
        <v>45922</v>
      </c>
      <c r="B116">
        <v>33.67</v>
      </c>
      <c r="C116">
        <v>33.5</v>
      </c>
      <c r="D116">
        <v>17.73</v>
      </c>
      <c r="E116">
        <v>26.6</v>
      </c>
      <c r="F116">
        <v>32</v>
      </c>
      <c r="G116">
        <v>58.59</v>
      </c>
      <c r="H116">
        <v>25.79</v>
      </c>
      <c r="I116">
        <v>64.02</v>
      </c>
      <c r="J116">
        <v>66.900000000000006</v>
      </c>
      <c r="K116">
        <v>81.56</v>
      </c>
      <c r="L116">
        <v>30.79</v>
      </c>
      <c r="M116">
        <v>62.46</v>
      </c>
      <c r="N116">
        <v>64.760000000000005</v>
      </c>
      <c r="O116">
        <v>53.5</v>
      </c>
      <c r="P116">
        <v>64.430000000000007</v>
      </c>
      <c r="Q116">
        <v>19.940000000000001</v>
      </c>
      <c r="R116">
        <v>1306.69</v>
      </c>
      <c r="S116">
        <v>35.58</v>
      </c>
      <c r="T116">
        <v>19.55</v>
      </c>
      <c r="U116">
        <v>17.53</v>
      </c>
      <c r="V116">
        <v>38.18</v>
      </c>
      <c r="W116">
        <v>46.287199999999999</v>
      </c>
      <c r="X116">
        <v>26.92</v>
      </c>
      <c r="Y116">
        <v>50.88</v>
      </c>
      <c r="Z116">
        <v>41.24</v>
      </c>
      <c r="AA116">
        <v>81.25</v>
      </c>
      <c r="AB116">
        <v>55.57</v>
      </c>
      <c r="AC116">
        <v>41.61</v>
      </c>
      <c r="AD116">
        <v>602.20000000000005</v>
      </c>
      <c r="AE116">
        <v>666.84</v>
      </c>
      <c r="AF116">
        <v>43.78</v>
      </c>
      <c r="AG116">
        <v>57.36</v>
      </c>
      <c r="AH116">
        <v>47.63</v>
      </c>
      <c r="AI116">
        <v>51.74</v>
      </c>
    </row>
    <row r="117" spans="1:35" x14ac:dyDescent="0.45">
      <c r="A117" s="2">
        <v>45919</v>
      </c>
      <c r="B117">
        <v>33.450000000000003</v>
      </c>
      <c r="C117">
        <v>33.590000000000003</v>
      </c>
      <c r="D117">
        <v>17.79</v>
      </c>
      <c r="E117">
        <v>26.8</v>
      </c>
      <c r="F117">
        <v>31.76</v>
      </c>
      <c r="G117">
        <v>57.811199999999999</v>
      </c>
      <c r="H117">
        <v>25.59</v>
      </c>
      <c r="I117">
        <v>63.38</v>
      </c>
      <c r="J117">
        <v>66.099999999999994</v>
      </c>
      <c r="K117">
        <v>80.05</v>
      </c>
      <c r="L117">
        <v>30.93</v>
      </c>
      <c r="M117">
        <v>62.54</v>
      </c>
      <c r="N117">
        <v>64.14</v>
      </c>
      <c r="O117">
        <v>53.94</v>
      </c>
      <c r="P117">
        <v>64.44</v>
      </c>
      <c r="Q117">
        <v>19.940000000000001</v>
      </c>
      <c r="R117">
        <v>1308.19</v>
      </c>
      <c r="S117">
        <v>35.380000000000003</v>
      </c>
      <c r="T117">
        <v>19.47</v>
      </c>
      <c r="U117">
        <v>17.68</v>
      </c>
      <c r="V117">
        <v>37.83</v>
      </c>
      <c r="W117">
        <v>46.41</v>
      </c>
      <c r="X117">
        <v>26.89</v>
      </c>
      <c r="Y117">
        <v>50.73</v>
      </c>
      <c r="Z117">
        <v>41.22</v>
      </c>
      <c r="AA117">
        <v>80.790000000000006</v>
      </c>
      <c r="AB117">
        <v>55.26</v>
      </c>
      <c r="AC117">
        <v>41.36</v>
      </c>
      <c r="AD117">
        <v>599.35</v>
      </c>
      <c r="AE117">
        <v>663.7</v>
      </c>
      <c r="AF117">
        <v>43.68</v>
      </c>
      <c r="AG117">
        <v>56.84</v>
      </c>
      <c r="AH117">
        <v>47.43</v>
      </c>
      <c r="AI117">
        <v>51.37</v>
      </c>
    </row>
    <row r="118" spans="1:35" x14ac:dyDescent="0.45">
      <c r="A118" s="2">
        <v>45918</v>
      </c>
      <c r="B118">
        <v>33.479999999999997</v>
      </c>
      <c r="C118">
        <v>33.6</v>
      </c>
      <c r="D118">
        <v>17.72</v>
      </c>
      <c r="E118">
        <v>26.46</v>
      </c>
      <c r="F118">
        <v>32.07</v>
      </c>
      <c r="G118">
        <v>57.14</v>
      </c>
      <c r="H118">
        <v>25.6</v>
      </c>
      <c r="I118">
        <v>63.77</v>
      </c>
      <c r="J118">
        <v>65.95</v>
      </c>
      <c r="K118">
        <v>80.75</v>
      </c>
      <c r="L118">
        <v>30.82</v>
      </c>
      <c r="M118">
        <v>61.48</v>
      </c>
      <c r="N118">
        <v>64.3</v>
      </c>
      <c r="O118">
        <v>53.74</v>
      </c>
      <c r="P118">
        <v>64.75</v>
      </c>
      <c r="Q118">
        <v>19.940000000000001</v>
      </c>
      <c r="R118">
        <v>1299.78</v>
      </c>
      <c r="S118">
        <v>34.35</v>
      </c>
      <c r="T118">
        <v>19.36</v>
      </c>
      <c r="U118">
        <v>17.8</v>
      </c>
      <c r="V118">
        <v>37.770000000000003</v>
      </c>
      <c r="W118">
        <v>46.255000000000003</v>
      </c>
      <c r="X118">
        <v>26.89</v>
      </c>
      <c r="Y118">
        <v>50.18</v>
      </c>
      <c r="Z118">
        <v>41.45</v>
      </c>
      <c r="AA118">
        <v>81.489999999999995</v>
      </c>
      <c r="AB118">
        <v>55.21</v>
      </c>
      <c r="AC118">
        <v>41.66</v>
      </c>
      <c r="AD118">
        <v>595.32000000000005</v>
      </c>
      <c r="AE118">
        <v>662.26</v>
      </c>
      <c r="AF118">
        <v>43.84</v>
      </c>
      <c r="AG118">
        <v>56.97</v>
      </c>
      <c r="AH118">
        <v>47.56</v>
      </c>
      <c r="AI118">
        <v>51.44</v>
      </c>
    </row>
    <row r="119" spans="1:35" x14ac:dyDescent="0.45">
      <c r="A119" s="2">
        <v>45917</v>
      </c>
      <c r="B119">
        <v>33.96</v>
      </c>
      <c r="C119">
        <v>33.4</v>
      </c>
      <c r="D119">
        <v>17.98</v>
      </c>
      <c r="E119">
        <v>26.55</v>
      </c>
      <c r="F119">
        <v>32.32</v>
      </c>
      <c r="G119">
        <v>57.874499999999998</v>
      </c>
      <c r="H119">
        <v>25.95</v>
      </c>
      <c r="I119">
        <v>63.21</v>
      </c>
      <c r="J119">
        <v>66.53</v>
      </c>
      <c r="K119">
        <v>79.83</v>
      </c>
      <c r="L119">
        <v>30.94</v>
      </c>
      <c r="M119">
        <v>60.86</v>
      </c>
      <c r="N119">
        <v>64.099999999999994</v>
      </c>
      <c r="O119">
        <v>54.02</v>
      </c>
      <c r="P119">
        <v>65.8</v>
      </c>
      <c r="Q119">
        <v>19.850000000000001</v>
      </c>
      <c r="R119">
        <v>1293.6199999999999</v>
      </c>
      <c r="S119">
        <v>34.75</v>
      </c>
      <c r="T119">
        <v>19.16</v>
      </c>
      <c r="U119">
        <v>17.88</v>
      </c>
      <c r="V119">
        <v>37.43</v>
      </c>
      <c r="W119">
        <v>47.045000000000002</v>
      </c>
      <c r="X119">
        <v>27.14</v>
      </c>
      <c r="Y119">
        <v>49.98</v>
      </c>
      <c r="Z119">
        <v>41.06</v>
      </c>
      <c r="AA119">
        <v>81.17</v>
      </c>
      <c r="AB119">
        <v>55.29</v>
      </c>
      <c r="AC119">
        <v>41.79</v>
      </c>
      <c r="AD119">
        <v>590</v>
      </c>
      <c r="AE119">
        <v>659.18</v>
      </c>
      <c r="AF119">
        <v>43.53</v>
      </c>
      <c r="AG119">
        <v>55.8782</v>
      </c>
      <c r="AH119">
        <v>47.17</v>
      </c>
      <c r="AI119">
        <v>51.33</v>
      </c>
    </row>
    <row r="120" spans="1:35" x14ac:dyDescent="0.45">
      <c r="A120" s="2">
        <v>45916</v>
      </c>
      <c r="B120">
        <v>33.770000000000003</v>
      </c>
      <c r="C120">
        <v>33.76</v>
      </c>
      <c r="D120">
        <v>17.850000000000001</v>
      </c>
      <c r="E120">
        <v>26.22</v>
      </c>
      <c r="F120">
        <v>32.51</v>
      </c>
      <c r="G120">
        <v>57.915399999999998</v>
      </c>
      <c r="H120">
        <v>25.54</v>
      </c>
      <c r="I120">
        <v>63.32</v>
      </c>
      <c r="J120">
        <v>66.8</v>
      </c>
      <c r="K120">
        <v>80.69</v>
      </c>
      <c r="L120">
        <v>30.69</v>
      </c>
      <c r="M120">
        <v>61</v>
      </c>
      <c r="N120">
        <v>64.77</v>
      </c>
      <c r="O120">
        <v>53.87</v>
      </c>
      <c r="P120">
        <v>64.86</v>
      </c>
      <c r="Q120">
        <v>19.77</v>
      </c>
      <c r="R120">
        <v>1288.03</v>
      </c>
      <c r="S120">
        <v>34.82</v>
      </c>
      <c r="T120">
        <v>19.32</v>
      </c>
      <c r="U120">
        <v>18.059999999999999</v>
      </c>
      <c r="V120">
        <v>36.9</v>
      </c>
      <c r="W120">
        <v>47.020400000000002</v>
      </c>
      <c r="X120">
        <v>27.38</v>
      </c>
      <c r="Y120">
        <v>50.08</v>
      </c>
      <c r="Z120">
        <v>41.15</v>
      </c>
      <c r="AA120">
        <v>81.349999999999994</v>
      </c>
      <c r="AB120">
        <v>55.48</v>
      </c>
      <c r="AC120">
        <v>41.89</v>
      </c>
      <c r="AD120">
        <v>591.17999999999995</v>
      </c>
      <c r="AE120">
        <v>660</v>
      </c>
      <c r="AF120">
        <v>43.82</v>
      </c>
      <c r="AG120">
        <v>55.71</v>
      </c>
      <c r="AH120">
        <v>47.46</v>
      </c>
      <c r="AI120">
        <v>52.15</v>
      </c>
    </row>
    <row r="121" spans="1:35" x14ac:dyDescent="0.45">
      <c r="A121" s="2">
        <v>45915</v>
      </c>
      <c r="B121">
        <v>33.81</v>
      </c>
      <c r="C121">
        <v>33.799999999999997</v>
      </c>
      <c r="D121">
        <v>17.96</v>
      </c>
      <c r="E121">
        <v>25.71</v>
      </c>
      <c r="F121">
        <v>32.81</v>
      </c>
      <c r="G121">
        <v>58.435400000000001</v>
      </c>
      <c r="H121">
        <v>25.55</v>
      </c>
      <c r="I121">
        <v>63.02</v>
      </c>
      <c r="J121">
        <v>66.77</v>
      </c>
      <c r="K121">
        <v>79.19</v>
      </c>
      <c r="L121">
        <v>30.51</v>
      </c>
      <c r="M121">
        <v>60.93</v>
      </c>
      <c r="N121">
        <v>65.23</v>
      </c>
      <c r="O121">
        <v>53.43</v>
      </c>
      <c r="P121">
        <v>64.430000000000007</v>
      </c>
      <c r="Q121">
        <v>19.55</v>
      </c>
      <c r="R121">
        <v>1278.05</v>
      </c>
      <c r="S121">
        <v>34.24</v>
      </c>
      <c r="T121">
        <v>19.2</v>
      </c>
      <c r="U121">
        <v>18.399999999999999</v>
      </c>
      <c r="V121">
        <v>36.71</v>
      </c>
      <c r="W121">
        <v>47.107199999999999</v>
      </c>
      <c r="X121">
        <v>27.57</v>
      </c>
      <c r="Y121">
        <v>50.13</v>
      </c>
      <c r="Z121">
        <v>41.42</v>
      </c>
      <c r="AA121">
        <v>81.349999999999994</v>
      </c>
      <c r="AB121">
        <v>55.56</v>
      </c>
      <c r="AC121">
        <v>42.09</v>
      </c>
      <c r="AD121">
        <v>591.67999999999995</v>
      </c>
      <c r="AE121">
        <v>660.91</v>
      </c>
      <c r="AF121">
        <v>43.89</v>
      </c>
      <c r="AG121">
        <v>55.75</v>
      </c>
      <c r="AH121">
        <v>47.61</v>
      </c>
      <c r="AI121">
        <v>52.39</v>
      </c>
    </row>
    <row r="122" spans="1:35" x14ac:dyDescent="0.45">
      <c r="A122" s="2">
        <v>45912</v>
      </c>
      <c r="B122">
        <v>33.6</v>
      </c>
      <c r="C122">
        <v>33.22</v>
      </c>
      <c r="D122">
        <v>17.829999999999998</v>
      </c>
      <c r="E122">
        <v>25.8</v>
      </c>
      <c r="F122">
        <v>32.28</v>
      </c>
      <c r="G122">
        <v>57.768000000000001</v>
      </c>
      <c r="H122">
        <v>25.47</v>
      </c>
      <c r="I122">
        <v>62.83</v>
      </c>
      <c r="J122">
        <v>66.12</v>
      </c>
      <c r="K122">
        <v>78.66</v>
      </c>
      <c r="L122">
        <v>30.03</v>
      </c>
      <c r="M122">
        <v>60.57</v>
      </c>
      <c r="N122">
        <v>65.17</v>
      </c>
      <c r="O122">
        <v>53.15</v>
      </c>
      <c r="P122">
        <v>63.95</v>
      </c>
      <c r="Q122">
        <v>19.54</v>
      </c>
      <c r="R122">
        <v>1276.08</v>
      </c>
      <c r="S122">
        <v>32.270000000000003</v>
      </c>
      <c r="T122">
        <v>19.170000000000002</v>
      </c>
      <c r="U122">
        <v>17.97</v>
      </c>
      <c r="V122">
        <v>36.72</v>
      </c>
      <c r="W122">
        <v>46.74</v>
      </c>
      <c r="X122">
        <v>27.24</v>
      </c>
      <c r="Y122">
        <v>49.6</v>
      </c>
      <c r="Z122">
        <v>41.31</v>
      </c>
      <c r="AA122">
        <v>80.760000000000005</v>
      </c>
      <c r="AB122">
        <v>55.65</v>
      </c>
      <c r="AC122">
        <v>41.94</v>
      </c>
      <c r="AD122">
        <v>586.66</v>
      </c>
      <c r="AE122">
        <v>657.41</v>
      </c>
      <c r="AF122">
        <v>43.49</v>
      </c>
      <c r="AG122">
        <v>54.66</v>
      </c>
      <c r="AH122">
        <v>47.24</v>
      </c>
      <c r="AI122">
        <v>51.72</v>
      </c>
    </row>
    <row r="123" spans="1:35" x14ac:dyDescent="0.45">
      <c r="A123" s="2">
        <v>45911</v>
      </c>
      <c r="B123">
        <v>33.94</v>
      </c>
      <c r="C123">
        <v>34.020000000000003</v>
      </c>
      <c r="D123">
        <v>17.64</v>
      </c>
      <c r="E123">
        <v>26</v>
      </c>
      <c r="F123">
        <v>32.6</v>
      </c>
      <c r="G123">
        <v>57.547199999999997</v>
      </c>
      <c r="H123">
        <v>25.33</v>
      </c>
      <c r="I123">
        <v>62.74</v>
      </c>
      <c r="J123">
        <v>65.709999999999994</v>
      </c>
      <c r="K123">
        <v>77.86</v>
      </c>
      <c r="L123">
        <v>30.05</v>
      </c>
      <c r="M123">
        <v>60.56</v>
      </c>
      <c r="N123">
        <v>64.22</v>
      </c>
      <c r="O123">
        <v>53.24</v>
      </c>
      <c r="P123">
        <v>64.209999999999994</v>
      </c>
      <c r="Q123">
        <v>19.579999999999998</v>
      </c>
      <c r="R123">
        <v>1266.1099999999999</v>
      </c>
      <c r="S123">
        <v>32.32</v>
      </c>
      <c r="T123">
        <v>19.010000000000002</v>
      </c>
      <c r="U123">
        <v>18.03</v>
      </c>
      <c r="V123">
        <v>36.799999999999997</v>
      </c>
      <c r="W123">
        <v>47.225000000000001</v>
      </c>
      <c r="X123">
        <v>27.41</v>
      </c>
      <c r="Y123">
        <v>49.92</v>
      </c>
      <c r="Z123">
        <v>41.39</v>
      </c>
      <c r="AA123">
        <v>81.319999999999993</v>
      </c>
      <c r="AB123">
        <v>56.12</v>
      </c>
      <c r="AC123">
        <v>42.19</v>
      </c>
      <c r="AD123">
        <v>584.08000000000004</v>
      </c>
      <c r="AE123">
        <v>657.63</v>
      </c>
      <c r="AF123">
        <v>43.53</v>
      </c>
      <c r="AG123">
        <v>54.46</v>
      </c>
      <c r="AH123">
        <v>47.33</v>
      </c>
      <c r="AI123">
        <v>51.6</v>
      </c>
    </row>
    <row r="124" spans="1:35" x14ac:dyDescent="0.45">
      <c r="A124" s="2">
        <v>45910</v>
      </c>
      <c r="B124">
        <v>32.840000000000003</v>
      </c>
      <c r="C124">
        <v>32.89</v>
      </c>
      <c r="D124">
        <v>17.329999999999998</v>
      </c>
      <c r="E124">
        <v>25.92</v>
      </c>
      <c r="F124">
        <v>31.83</v>
      </c>
      <c r="G124">
        <v>56.45</v>
      </c>
      <c r="H124">
        <v>25.17</v>
      </c>
      <c r="I124">
        <v>62.56</v>
      </c>
      <c r="J124">
        <v>64.28</v>
      </c>
      <c r="K124">
        <v>76.650000000000006</v>
      </c>
      <c r="L124">
        <v>29.79</v>
      </c>
      <c r="M124">
        <v>59.73</v>
      </c>
      <c r="N124">
        <v>63.64</v>
      </c>
      <c r="O124">
        <v>53.16</v>
      </c>
      <c r="P124">
        <v>62.54</v>
      </c>
      <c r="Q124">
        <v>19.53</v>
      </c>
      <c r="R124">
        <v>1264.8</v>
      </c>
      <c r="S124">
        <v>32.92</v>
      </c>
      <c r="T124">
        <v>18.850000000000001</v>
      </c>
      <c r="U124">
        <v>17.75</v>
      </c>
      <c r="V124">
        <v>36.799999999999997</v>
      </c>
      <c r="W124">
        <v>46.85</v>
      </c>
      <c r="X124">
        <v>27.11</v>
      </c>
      <c r="Y124">
        <v>49.42</v>
      </c>
      <c r="Z124">
        <v>41.07</v>
      </c>
      <c r="AA124">
        <v>80.36</v>
      </c>
      <c r="AB124">
        <v>55.62</v>
      </c>
      <c r="AC124">
        <v>41.74</v>
      </c>
      <c r="AD124">
        <v>580.70000000000005</v>
      </c>
      <c r="AE124">
        <v>652.21</v>
      </c>
      <c r="AF124">
        <v>42.9</v>
      </c>
      <c r="AG124">
        <v>53.79</v>
      </c>
      <c r="AH124">
        <v>47.1</v>
      </c>
      <c r="AI124">
        <v>50.93</v>
      </c>
    </row>
    <row r="125" spans="1:35" x14ac:dyDescent="0.45">
      <c r="A125" s="2">
        <v>45909</v>
      </c>
      <c r="B125">
        <v>32.94</v>
      </c>
      <c r="C125">
        <v>32.695</v>
      </c>
      <c r="D125">
        <v>17.059999999999999</v>
      </c>
      <c r="E125">
        <v>26.09</v>
      </c>
      <c r="F125">
        <v>32.380000000000003</v>
      </c>
      <c r="G125">
        <v>56</v>
      </c>
      <c r="H125">
        <v>25.17</v>
      </c>
      <c r="I125">
        <v>61.62</v>
      </c>
      <c r="J125">
        <v>64.260000000000005</v>
      </c>
      <c r="K125">
        <v>74.92</v>
      </c>
      <c r="L125">
        <v>29.54</v>
      </c>
      <c r="M125">
        <v>59.03</v>
      </c>
      <c r="N125">
        <v>63.6</v>
      </c>
      <c r="O125">
        <v>52.71</v>
      </c>
      <c r="P125">
        <v>62.97</v>
      </c>
      <c r="Q125">
        <v>19.37</v>
      </c>
      <c r="R125">
        <v>1252.55</v>
      </c>
      <c r="S125">
        <v>32.68</v>
      </c>
      <c r="T125">
        <v>18.91</v>
      </c>
      <c r="U125">
        <v>17.670000000000002</v>
      </c>
      <c r="V125">
        <v>36.76</v>
      </c>
      <c r="W125">
        <v>46.655000000000001</v>
      </c>
      <c r="X125">
        <v>26.89</v>
      </c>
      <c r="Y125">
        <v>49.27</v>
      </c>
      <c r="Z125">
        <v>41.48</v>
      </c>
      <c r="AA125">
        <v>80.06</v>
      </c>
      <c r="AB125">
        <v>56.02</v>
      </c>
      <c r="AC125">
        <v>41.75</v>
      </c>
      <c r="AD125">
        <v>580.51</v>
      </c>
      <c r="AE125">
        <v>650.33000000000004</v>
      </c>
      <c r="AF125">
        <v>43.06</v>
      </c>
      <c r="AG125">
        <v>54.12</v>
      </c>
      <c r="AH125">
        <v>47.3</v>
      </c>
      <c r="AI125">
        <v>50.86</v>
      </c>
    </row>
    <row r="126" spans="1:35" x14ac:dyDescent="0.45">
      <c r="A126" s="2">
        <v>45908</v>
      </c>
      <c r="B126">
        <v>33.14</v>
      </c>
      <c r="C126">
        <v>33.229999999999997</v>
      </c>
      <c r="D126">
        <v>17.5</v>
      </c>
      <c r="E126">
        <v>26.09</v>
      </c>
      <c r="F126">
        <v>32.880000000000003</v>
      </c>
      <c r="G126">
        <v>56.647500000000001</v>
      </c>
      <c r="H126">
        <v>25.12</v>
      </c>
      <c r="I126">
        <v>60.98</v>
      </c>
      <c r="J126">
        <v>64.150000000000006</v>
      </c>
      <c r="K126">
        <v>74.19</v>
      </c>
      <c r="L126">
        <v>29.58</v>
      </c>
      <c r="M126">
        <v>59.34</v>
      </c>
      <c r="N126">
        <v>63.86</v>
      </c>
      <c r="O126">
        <v>52.89</v>
      </c>
      <c r="P126">
        <v>62.3</v>
      </c>
      <c r="Q126">
        <v>19.63</v>
      </c>
      <c r="R126">
        <v>1259.31</v>
      </c>
      <c r="S126">
        <v>32.54</v>
      </c>
      <c r="T126">
        <v>18.940000000000001</v>
      </c>
      <c r="U126">
        <v>17.37</v>
      </c>
      <c r="V126">
        <v>36.69</v>
      </c>
      <c r="W126">
        <v>46.74</v>
      </c>
      <c r="X126">
        <v>27</v>
      </c>
      <c r="Y126">
        <v>49.3</v>
      </c>
      <c r="Z126">
        <v>41.69</v>
      </c>
      <c r="AA126">
        <v>80.959999999999994</v>
      </c>
      <c r="AB126">
        <v>56.33</v>
      </c>
      <c r="AC126">
        <v>41.71</v>
      </c>
      <c r="AD126">
        <v>578.87</v>
      </c>
      <c r="AE126">
        <v>648.83000000000004</v>
      </c>
      <c r="AF126">
        <v>42.99</v>
      </c>
      <c r="AG126">
        <v>54.17</v>
      </c>
      <c r="AH126">
        <v>47.42</v>
      </c>
      <c r="AI126">
        <v>50.64</v>
      </c>
    </row>
    <row r="127" spans="1:35" x14ac:dyDescent="0.45">
      <c r="A127" s="2">
        <v>45905</v>
      </c>
      <c r="B127">
        <v>33.020000000000003</v>
      </c>
      <c r="C127">
        <v>33.83</v>
      </c>
      <c r="D127">
        <v>17.93</v>
      </c>
      <c r="E127">
        <v>26.06</v>
      </c>
      <c r="F127">
        <v>32.14</v>
      </c>
      <c r="G127">
        <v>56.5</v>
      </c>
      <c r="H127">
        <v>25.03</v>
      </c>
      <c r="I127">
        <v>60.21</v>
      </c>
      <c r="J127">
        <v>63.83</v>
      </c>
      <c r="K127">
        <v>73.63</v>
      </c>
      <c r="L127">
        <v>29.63</v>
      </c>
      <c r="M127">
        <v>57.92</v>
      </c>
      <c r="N127">
        <v>63.4</v>
      </c>
      <c r="O127">
        <v>52.48</v>
      </c>
      <c r="P127">
        <v>61.35</v>
      </c>
      <c r="Q127">
        <v>19.690000000000001</v>
      </c>
      <c r="R127">
        <v>1248.78</v>
      </c>
      <c r="S127">
        <v>33.33</v>
      </c>
      <c r="T127">
        <v>19.16</v>
      </c>
      <c r="U127">
        <v>17.97</v>
      </c>
      <c r="V127">
        <v>37.200000000000003</v>
      </c>
      <c r="W127">
        <v>46.13</v>
      </c>
      <c r="X127">
        <v>26.93</v>
      </c>
      <c r="Y127">
        <v>49.17</v>
      </c>
      <c r="Z127">
        <v>41.34</v>
      </c>
      <c r="AA127">
        <v>79.180000000000007</v>
      </c>
      <c r="AB127">
        <v>56.25</v>
      </c>
      <c r="AC127">
        <v>41.55</v>
      </c>
      <c r="AD127">
        <v>576.05999999999995</v>
      </c>
      <c r="AE127">
        <v>647.24</v>
      </c>
      <c r="AF127">
        <v>42.56</v>
      </c>
      <c r="AG127">
        <v>53.47</v>
      </c>
      <c r="AH127">
        <v>47.01</v>
      </c>
      <c r="AI127">
        <v>50.46</v>
      </c>
    </row>
    <row r="128" spans="1:35" x14ac:dyDescent="0.45">
      <c r="A128" s="2">
        <v>45904</v>
      </c>
      <c r="B128">
        <v>32.229999999999997</v>
      </c>
      <c r="C128">
        <v>33.4</v>
      </c>
      <c r="D128">
        <v>17.77</v>
      </c>
      <c r="E128">
        <v>25.78</v>
      </c>
      <c r="F128">
        <v>32.130000000000003</v>
      </c>
      <c r="G128">
        <v>55.73</v>
      </c>
      <c r="H128">
        <v>24.97</v>
      </c>
      <c r="I128">
        <v>59.3</v>
      </c>
      <c r="J128">
        <v>63.07</v>
      </c>
      <c r="K128">
        <v>73.069999999999993</v>
      </c>
      <c r="L128">
        <v>29.17</v>
      </c>
      <c r="M128">
        <v>56.57</v>
      </c>
      <c r="N128">
        <v>63.26</v>
      </c>
      <c r="O128">
        <v>52.59</v>
      </c>
      <c r="P128">
        <v>60.3</v>
      </c>
      <c r="Q128">
        <v>19.7</v>
      </c>
      <c r="R128">
        <v>1244.48</v>
      </c>
      <c r="S128">
        <v>33.729999999999997</v>
      </c>
      <c r="T128">
        <v>19.2</v>
      </c>
      <c r="U128">
        <v>18.43</v>
      </c>
      <c r="V128">
        <v>37.35</v>
      </c>
      <c r="W128">
        <v>45.37</v>
      </c>
      <c r="X128">
        <v>26.9</v>
      </c>
      <c r="Y128">
        <v>49.12</v>
      </c>
      <c r="Z128">
        <v>41.34</v>
      </c>
      <c r="AA128">
        <v>78.73</v>
      </c>
      <c r="AB128">
        <v>55.71</v>
      </c>
      <c r="AC128">
        <v>41.39</v>
      </c>
      <c r="AD128">
        <v>575.23</v>
      </c>
      <c r="AE128">
        <v>649.12</v>
      </c>
      <c r="AF128">
        <v>42.56</v>
      </c>
      <c r="AG128">
        <v>52.87</v>
      </c>
      <c r="AH128">
        <v>46.26</v>
      </c>
      <c r="AI128">
        <v>50.65</v>
      </c>
    </row>
    <row r="129" spans="1:35" x14ac:dyDescent="0.45">
      <c r="A129" s="2">
        <v>45903</v>
      </c>
      <c r="B129">
        <v>32.94</v>
      </c>
      <c r="C129">
        <v>33.049999999999997</v>
      </c>
      <c r="D129">
        <v>17.809999999999999</v>
      </c>
      <c r="E129">
        <v>25.58</v>
      </c>
      <c r="F129">
        <v>31.52</v>
      </c>
      <c r="G129">
        <v>56.01</v>
      </c>
      <c r="H129">
        <v>24.87</v>
      </c>
      <c r="I129">
        <v>58.73</v>
      </c>
      <c r="J129">
        <v>62.8</v>
      </c>
      <c r="K129">
        <v>72.91</v>
      </c>
      <c r="L129">
        <v>28.99</v>
      </c>
      <c r="M129">
        <v>57.7</v>
      </c>
      <c r="N129">
        <v>63.4</v>
      </c>
      <c r="O129">
        <v>52.62</v>
      </c>
      <c r="P129">
        <v>61.33</v>
      </c>
      <c r="Q129">
        <v>19.86</v>
      </c>
      <c r="R129">
        <v>1236.6099999999999</v>
      </c>
      <c r="S129">
        <v>33.51</v>
      </c>
      <c r="T129">
        <v>19.03</v>
      </c>
      <c r="U129">
        <v>18.25</v>
      </c>
      <c r="V129">
        <v>37.11</v>
      </c>
      <c r="W129">
        <v>45.494999999999997</v>
      </c>
      <c r="X129">
        <v>26.6</v>
      </c>
      <c r="Y129">
        <v>48.87</v>
      </c>
      <c r="Z129">
        <v>41.05</v>
      </c>
      <c r="AA129">
        <v>77.930000000000007</v>
      </c>
      <c r="AB129">
        <v>55.08</v>
      </c>
      <c r="AC129">
        <v>41.18</v>
      </c>
      <c r="AD129">
        <v>570.07000000000005</v>
      </c>
      <c r="AE129">
        <v>643.74</v>
      </c>
      <c r="AF129">
        <v>42.54</v>
      </c>
      <c r="AG129">
        <v>52.22</v>
      </c>
      <c r="AH129">
        <v>46.18</v>
      </c>
      <c r="AI129">
        <v>50.38</v>
      </c>
    </row>
    <row r="130" spans="1:35" x14ac:dyDescent="0.45">
      <c r="A130" s="2">
        <v>45902</v>
      </c>
      <c r="B130">
        <v>33.200000000000003</v>
      </c>
      <c r="C130">
        <v>32.729999999999997</v>
      </c>
      <c r="D130">
        <v>17.739999999999998</v>
      </c>
      <c r="E130">
        <v>25.68</v>
      </c>
      <c r="F130">
        <v>31.29</v>
      </c>
      <c r="G130">
        <v>54.91</v>
      </c>
      <c r="H130">
        <v>24.73</v>
      </c>
      <c r="I130">
        <v>58.05</v>
      </c>
      <c r="J130">
        <v>62.91</v>
      </c>
      <c r="K130">
        <v>71.92</v>
      </c>
      <c r="L130">
        <v>29</v>
      </c>
      <c r="M130">
        <v>57.25</v>
      </c>
      <c r="N130">
        <v>62.28</v>
      </c>
      <c r="O130">
        <v>52.35</v>
      </c>
      <c r="P130">
        <v>61.64</v>
      </c>
      <c r="Q130">
        <v>19.73</v>
      </c>
      <c r="R130">
        <v>1250.0899999999999</v>
      </c>
      <c r="S130">
        <v>33.97</v>
      </c>
      <c r="T130">
        <v>19.14</v>
      </c>
      <c r="U130">
        <v>18.14</v>
      </c>
      <c r="V130">
        <v>37.21</v>
      </c>
      <c r="W130">
        <v>45.380099999999999</v>
      </c>
      <c r="X130">
        <v>26.77</v>
      </c>
      <c r="Y130">
        <v>48.59</v>
      </c>
      <c r="Z130">
        <v>41.04</v>
      </c>
      <c r="AA130">
        <v>78.150000000000006</v>
      </c>
      <c r="AB130">
        <v>54.67</v>
      </c>
      <c r="AC130">
        <v>40.9</v>
      </c>
      <c r="AD130">
        <v>565.62</v>
      </c>
      <c r="AE130">
        <v>640.27</v>
      </c>
      <c r="AF130">
        <v>42.29</v>
      </c>
      <c r="AG130">
        <v>51.94</v>
      </c>
      <c r="AH130">
        <v>45.89</v>
      </c>
      <c r="AI130">
        <v>50.4</v>
      </c>
    </row>
    <row r="131" spans="1:35" x14ac:dyDescent="0.45">
      <c r="A131" s="2">
        <v>45898</v>
      </c>
      <c r="B131">
        <v>33.47</v>
      </c>
      <c r="C131">
        <v>32.81</v>
      </c>
      <c r="D131">
        <v>17.670000000000002</v>
      </c>
      <c r="E131">
        <v>26.15</v>
      </c>
      <c r="F131">
        <v>31.7</v>
      </c>
      <c r="G131">
        <v>53.8</v>
      </c>
      <c r="H131">
        <v>24.87</v>
      </c>
      <c r="I131">
        <v>58.82</v>
      </c>
      <c r="J131">
        <v>61.94</v>
      </c>
      <c r="K131">
        <v>72.239999999999995</v>
      </c>
      <c r="L131">
        <v>29.5</v>
      </c>
      <c r="M131">
        <v>57.67</v>
      </c>
      <c r="N131">
        <v>63.09</v>
      </c>
      <c r="O131">
        <v>51.98</v>
      </c>
      <c r="P131">
        <v>61.31</v>
      </c>
      <c r="Q131">
        <v>20</v>
      </c>
      <c r="R131">
        <v>1248.03</v>
      </c>
      <c r="S131">
        <v>35.29</v>
      </c>
      <c r="T131">
        <v>19.38</v>
      </c>
      <c r="U131">
        <v>18.29</v>
      </c>
      <c r="V131">
        <v>37.36</v>
      </c>
      <c r="W131">
        <v>44.86</v>
      </c>
      <c r="X131">
        <v>27.08</v>
      </c>
      <c r="Y131">
        <v>48.79</v>
      </c>
      <c r="Z131">
        <v>41.88</v>
      </c>
      <c r="AA131">
        <v>78.28</v>
      </c>
      <c r="AB131">
        <v>55.33</v>
      </c>
      <c r="AC131">
        <v>41.46</v>
      </c>
      <c r="AD131">
        <v>570.4</v>
      </c>
      <c r="AE131">
        <v>645.04999999999995</v>
      </c>
      <c r="AF131">
        <v>42.59</v>
      </c>
      <c r="AG131">
        <v>53</v>
      </c>
      <c r="AH131">
        <v>46.39</v>
      </c>
      <c r="AI131">
        <v>51.05</v>
      </c>
    </row>
    <row r="132" spans="1:35" x14ac:dyDescent="0.45">
      <c r="A132" s="2">
        <v>45897</v>
      </c>
      <c r="B132">
        <v>33.159999999999997</v>
      </c>
      <c r="C132">
        <v>32.58</v>
      </c>
      <c r="D132">
        <v>18.190000000000001</v>
      </c>
      <c r="E132">
        <v>26.39</v>
      </c>
      <c r="F132">
        <v>32.07</v>
      </c>
      <c r="G132">
        <v>53.418799999999997</v>
      </c>
      <c r="H132">
        <v>25.13</v>
      </c>
      <c r="I132">
        <v>59.9</v>
      </c>
      <c r="J132">
        <v>62.52</v>
      </c>
      <c r="K132">
        <v>73.64</v>
      </c>
      <c r="L132">
        <v>29.49</v>
      </c>
      <c r="M132">
        <v>57.15</v>
      </c>
      <c r="N132">
        <v>63.94</v>
      </c>
      <c r="O132">
        <v>52.54</v>
      </c>
      <c r="P132">
        <v>60.45</v>
      </c>
      <c r="Q132">
        <v>19.96</v>
      </c>
      <c r="R132">
        <v>1251.26</v>
      </c>
      <c r="S132">
        <v>35.54</v>
      </c>
      <c r="T132">
        <v>19.53</v>
      </c>
      <c r="U132">
        <v>18.315000000000001</v>
      </c>
      <c r="V132">
        <v>37.47</v>
      </c>
      <c r="W132">
        <v>44.87</v>
      </c>
      <c r="X132">
        <v>27.09</v>
      </c>
      <c r="Y132">
        <v>48.46</v>
      </c>
      <c r="Z132">
        <v>42.02</v>
      </c>
      <c r="AA132">
        <v>79.290000000000006</v>
      </c>
      <c r="AB132">
        <v>55.33</v>
      </c>
      <c r="AC132">
        <v>41.57</v>
      </c>
      <c r="AD132">
        <v>577.08000000000004</v>
      </c>
      <c r="AE132">
        <v>648.91999999999996</v>
      </c>
      <c r="AF132">
        <v>42.9</v>
      </c>
      <c r="AG132">
        <v>53.5</v>
      </c>
      <c r="AH132">
        <v>46.63</v>
      </c>
      <c r="AI132">
        <v>51.19</v>
      </c>
    </row>
    <row r="133" spans="1:35" x14ac:dyDescent="0.45">
      <c r="A133" s="2">
        <v>45896</v>
      </c>
      <c r="B133">
        <v>32.26</v>
      </c>
      <c r="C133">
        <v>32.549999999999997</v>
      </c>
      <c r="D133">
        <v>18.16</v>
      </c>
      <c r="E133">
        <v>26.56</v>
      </c>
      <c r="F133">
        <v>32.340000000000003</v>
      </c>
      <c r="G133">
        <v>52.967199999999998</v>
      </c>
      <c r="H133">
        <v>25.05</v>
      </c>
      <c r="I133">
        <v>59.77</v>
      </c>
      <c r="J133">
        <v>61.94</v>
      </c>
      <c r="K133">
        <v>72.47</v>
      </c>
      <c r="L133">
        <v>29.02</v>
      </c>
      <c r="M133">
        <v>57.38</v>
      </c>
      <c r="N133">
        <v>64.489999999999995</v>
      </c>
      <c r="O133">
        <v>52.68</v>
      </c>
      <c r="P133">
        <v>60.02</v>
      </c>
      <c r="Q133">
        <v>20.13</v>
      </c>
      <c r="R133">
        <v>1262.67</v>
      </c>
      <c r="S133">
        <v>35.51</v>
      </c>
      <c r="T133">
        <v>19.68</v>
      </c>
      <c r="U133">
        <v>18.02</v>
      </c>
      <c r="V133">
        <v>37.68</v>
      </c>
      <c r="W133">
        <v>44.67</v>
      </c>
      <c r="X133">
        <v>27</v>
      </c>
      <c r="Y133">
        <v>48.37</v>
      </c>
      <c r="Z133">
        <v>41.89</v>
      </c>
      <c r="AA133">
        <v>78.63</v>
      </c>
      <c r="AB133">
        <v>55.24</v>
      </c>
      <c r="AC133">
        <v>41.66</v>
      </c>
      <c r="AD133">
        <v>573.49</v>
      </c>
      <c r="AE133">
        <v>646.63</v>
      </c>
      <c r="AF133">
        <v>42.56</v>
      </c>
      <c r="AG133">
        <v>53.59</v>
      </c>
      <c r="AH133">
        <v>46.46</v>
      </c>
      <c r="AI133">
        <v>50.91</v>
      </c>
    </row>
    <row r="134" spans="1:35" x14ac:dyDescent="0.45">
      <c r="A134" s="2">
        <v>45895</v>
      </c>
      <c r="B134">
        <v>32.909999999999997</v>
      </c>
      <c r="C134">
        <v>32.44</v>
      </c>
      <c r="D134">
        <v>18.38</v>
      </c>
      <c r="E134">
        <v>26.12</v>
      </c>
      <c r="F134">
        <v>32.86</v>
      </c>
      <c r="G134">
        <v>53.39</v>
      </c>
      <c r="H134">
        <v>25.13</v>
      </c>
      <c r="I134">
        <v>59.5</v>
      </c>
      <c r="J134">
        <v>61.44</v>
      </c>
      <c r="K134">
        <v>72.39</v>
      </c>
      <c r="L134">
        <v>28.61</v>
      </c>
      <c r="M134">
        <v>58.1</v>
      </c>
      <c r="N134">
        <v>64.98</v>
      </c>
      <c r="O134">
        <v>52.55</v>
      </c>
      <c r="P134">
        <v>61.62</v>
      </c>
      <c r="Q134">
        <v>20.14</v>
      </c>
      <c r="R134">
        <v>1253.3900000000001</v>
      </c>
      <c r="S134">
        <v>35.97</v>
      </c>
      <c r="T134">
        <v>19.75</v>
      </c>
      <c r="U134">
        <v>17.96</v>
      </c>
      <c r="V134">
        <v>38.020000000000003</v>
      </c>
      <c r="W134">
        <v>45.19</v>
      </c>
      <c r="X134">
        <v>26.97</v>
      </c>
      <c r="Y134">
        <v>48.02</v>
      </c>
      <c r="Z134">
        <v>42.13</v>
      </c>
      <c r="AA134">
        <v>78.92</v>
      </c>
      <c r="AB134">
        <v>55.11</v>
      </c>
      <c r="AC134">
        <v>41.74</v>
      </c>
      <c r="AD134">
        <v>572.61</v>
      </c>
      <c r="AE134">
        <v>645.16</v>
      </c>
      <c r="AF134">
        <v>42.58</v>
      </c>
      <c r="AG134">
        <v>53.77</v>
      </c>
      <c r="AH134">
        <v>46.64</v>
      </c>
      <c r="AI134">
        <v>51.42</v>
      </c>
    </row>
    <row r="135" spans="1:35" x14ac:dyDescent="0.45">
      <c r="A135" s="2">
        <v>45894</v>
      </c>
      <c r="B135">
        <v>32.909999999999997</v>
      </c>
      <c r="C135">
        <v>32.71</v>
      </c>
      <c r="D135">
        <v>18.61</v>
      </c>
      <c r="E135">
        <v>26.69</v>
      </c>
      <c r="F135">
        <v>32.590000000000003</v>
      </c>
      <c r="G135">
        <v>52.93</v>
      </c>
      <c r="H135">
        <v>25.5</v>
      </c>
      <c r="I135">
        <v>59.26</v>
      </c>
      <c r="J135">
        <v>61.71</v>
      </c>
      <c r="K135">
        <v>72.73</v>
      </c>
      <c r="L135">
        <v>28.74</v>
      </c>
      <c r="M135">
        <v>58.35</v>
      </c>
      <c r="N135">
        <v>65.62</v>
      </c>
      <c r="O135">
        <v>53.23</v>
      </c>
      <c r="P135">
        <v>61.54</v>
      </c>
      <c r="Q135">
        <v>20.002600000000001</v>
      </c>
      <c r="R135">
        <v>1244.79</v>
      </c>
      <c r="S135">
        <v>35.93</v>
      </c>
      <c r="T135">
        <v>19.829999999999998</v>
      </c>
      <c r="U135">
        <v>17.22</v>
      </c>
      <c r="V135">
        <v>38.08</v>
      </c>
      <c r="W135">
        <v>45.62</v>
      </c>
      <c r="X135">
        <v>26.83</v>
      </c>
      <c r="Y135">
        <v>47.55</v>
      </c>
      <c r="Z135">
        <v>42.12</v>
      </c>
      <c r="AA135">
        <v>79.05</v>
      </c>
      <c r="AB135">
        <v>54.97</v>
      </c>
      <c r="AC135">
        <v>41.79</v>
      </c>
      <c r="AD135">
        <v>570.32000000000005</v>
      </c>
      <c r="AE135">
        <v>642.47</v>
      </c>
      <c r="AF135">
        <v>42.96</v>
      </c>
      <c r="AG135">
        <v>53.84</v>
      </c>
      <c r="AH135">
        <v>46.57</v>
      </c>
      <c r="AI135">
        <v>51.76</v>
      </c>
    </row>
    <row r="136" spans="1:35" x14ac:dyDescent="0.45">
      <c r="A136" s="2">
        <v>45891</v>
      </c>
      <c r="B136">
        <v>32.71</v>
      </c>
      <c r="C136">
        <v>32.799999999999997</v>
      </c>
      <c r="D136">
        <v>18.649999999999999</v>
      </c>
      <c r="E136">
        <v>26.63</v>
      </c>
      <c r="F136">
        <v>32.700000000000003</v>
      </c>
      <c r="G136">
        <v>53.23</v>
      </c>
      <c r="H136">
        <v>25.72</v>
      </c>
      <c r="I136">
        <v>59.66</v>
      </c>
      <c r="J136">
        <v>62.8</v>
      </c>
      <c r="K136">
        <v>73.510000000000005</v>
      </c>
      <c r="L136">
        <v>28.61</v>
      </c>
      <c r="M136">
        <v>58.8</v>
      </c>
      <c r="N136">
        <v>65.995000000000005</v>
      </c>
      <c r="O136">
        <v>53.58</v>
      </c>
      <c r="P136">
        <v>61.57</v>
      </c>
      <c r="Q136">
        <v>20.189599999999999</v>
      </c>
      <c r="R136">
        <v>1248.1300000000001</v>
      </c>
      <c r="S136">
        <v>35.69</v>
      </c>
      <c r="T136">
        <v>19.96</v>
      </c>
      <c r="U136">
        <v>17.36</v>
      </c>
      <c r="V136">
        <v>38.130000000000003</v>
      </c>
      <c r="W136">
        <v>45.782899999999998</v>
      </c>
      <c r="X136">
        <v>27.26</v>
      </c>
      <c r="Y136">
        <v>48.03</v>
      </c>
      <c r="Z136">
        <v>42.66</v>
      </c>
      <c r="AA136">
        <v>80.02</v>
      </c>
      <c r="AB136">
        <v>55.64</v>
      </c>
      <c r="AC136">
        <v>42.08</v>
      </c>
      <c r="AD136">
        <v>571.97</v>
      </c>
      <c r="AE136">
        <v>645.30999999999995</v>
      </c>
      <c r="AF136">
        <v>44.18</v>
      </c>
      <c r="AG136">
        <v>54.188000000000002</v>
      </c>
      <c r="AH136">
        <v>47.24</v>
      </c>
      <c r="AI136">
        <v>52.34</v>
      </c>
    </row>
    <row r="137" spans="1:35" x14ac:dyDescent="0.45">
      <c r="A137" s="2">
        <v>45890</v>
      </c>
      <c r="B137">
        <v>31.62</v>
      </c>
      <c r="C137">
        <v>31.9</v>
      </c>
      <c r="D137">
        <v>18.440000000000001</v>
      </c>
      <c r="E137">
        <v>26.15</v>
      </c>
      <c r="F137">
        <v>33.380000000000003</v>
      </c>
      <c r="G137">
        <v>52.009</v>
      </c>
      <c r="H137">
        <v>25.19</v>
      </c>
      <c r="I137">
        <v>58.57</v>
      </c>
      <c r="J137">
        <v>61.55</v>
      </c>
      <c r="K137">
        <v>71.22</v>
      </c>
      <c r="L137">
        <v>27.66</v>
      </c>
      <c r="M137">
        <v>56.91</v>
      </c>
      <c r="N137">
        <v>65.2</v>
      </c>
      <c r="O137">
        <v>53.57</v>
      </c>
      <c r="P137">
        <v>60</v>
      </c>
      <c r="Q137">
        <v>20.065000000000001</v>
      </c>
      <c r="R137">
        <v>1235.76</v>
      </c>
      <c r="S137">
        <v>35.51</v>
      </c>
      <c r="T137">
        <v>19.753</v>
      </c>
      <c r="U137">
        <v>17.600000000000001</v>
      </c>
      <c r="V137">
        <v>37.94</v>
      </c>
      <c r="W137">
        <v>45.58</v>
      </c>
      <c r="X137">
        <v>26.86</v>
      </c>
      <c r="Y137">
        <v>47.28</v>
      </c>
      <c r="Z137">
        <v>42.08</v>
      </c>
      <c r="AA137">
        <v>78.7</v>
      </c>
      <c r="AB137">
        <v>54.94</v>
      </c>
      <c r="AC137">
        <v>41.66</v>
      </c>
      <c r="AD137">
        <v>563.28</v>
      </c>
      <c r="AE137">
        <v>635.54999999999995</v>
      </c>
      <c r="AF137">
        <v>43.55</v>
      </c>
      <c r="AG137">
        <v>53.08</v>
      </c>
      <c r="AH137">
        <v>46.08</v>
      </c>
      <c r="AI137">
        <v>51.53</v>
      </c>
    </row>
    <row r="138" spans="1:35" x14ac:dyDescent="0.45">
      <c r="A138" s="2">
        <v>45889</v>
      </c>
      <c r="B138">
        <v>31.74</v>
      </c>
      <c r="C138">
        <v>32.04</v>
      </c>
      <c r="D138">
        <v>18.600000000000001</v>
      </c>
      <c r="E138">
        <v>26.35</v>
      </c>
      <c r="F138">
        <v>33.78</v>
      </c>
      <c r="G138">
        <v>51.75</v>
      </c>
      <c r="H138">
        <v>25.19</v>
      </c>
      <c r="I138">
        <v>58.78</v>
      </c>
      <c r="J138">
        <v>61.17</v>
      </c>
      <c r="K138">
        <v>71.36</v>
      </c>
      <c r="L138">
        <v>27.69</v>
      </c>
      <c r="M138">
        <v>57.11</v>
      </c>
      <c r="N138">
        <v>65.400000000000006</v>
      </c>
      <c r="O138">
        <v>53.8</v>
      </c>
      <c r="P138">
        <v>59.92</v>
      </c>
      <c r="Q138">
        <v>20.079999999999998</v>
      </c>
      <c r="R138">
        <v>1242.31</v>
      </c>
      <c r="S138">
        <v>35.04</v>
      </c>
      <c r="T138">
        <v>19.8</v>
      </c>
      <c r="U138">
        <v>17.690000000000001</v>
      </c>
      <c r="V138">
        <v>37.89</v>
      </c>
      <c r="W138">
        <v>45.674999999999997</v>
      </c>
      <c r="X138">
        <v>26.7</v>
      </c>
      <c r="Y138">
        <v>47.11</v>
      </c>
      <c r="Z138">
        <v>42.39</v>
      </c>
      <c r="AA138">
        <v>79.64</v>
      </c>
      <c r="AB138">
        <v>55.52</v>
      </c>
      <c r="AC138">
        <v>41.72</v>
      </c>
      <c r="AD138">
        <v>565.9</v>
      </c>
      <c r="AE138">
        <v>638.11</v>
      </c>
      <c r="AF138">
        <v>43.97</v>
      </c>
      <c r="AG138">
        <v>53.58</v>
      </c>
      <c r="AH138">
        <v>46.45</v>
      </c>
      <c r="AI138">
        <v>51.69</v>
      </c>
    </row>
    <row r="139" spans="1:35" x14ac:dyDescent="0.45">
      <c r="A139" s="2">
        <v>45888</v>
      </c>
      <c r="B139">
        <v>31.02</v>
      </c>
      <c r="C139">
        <v>32.19</v>
      </c>
      <c r="D139">
        <v>18.309999999999999</v>
      </c>
      <c r="E139">
        <v>26.25</v>
      </c>
      <c r="F139">
        <v>33.79</v>
      </c>
      <c r="G139">
        <v>51.68</v>
      </c>
      <c r="H139">
        <v>25.18</v>
      </c>
      <c r="I139">
        <v>60.09</v>
      </c>
      <c r="J139">
        <v>61.25</v>
      </c>
      <c r="K139">
        <v>71.44</v>
      </c>
      <c r="L139">
        <v>27.36</v>
      </c>
      <c r="M139">
        <v>56.67</v>
      </c>
      <c r="N139">
        <v>65.150000000000006</v>
      </c>
      <c r="O139">
        <v>53.65</v>
      </c>
      <c r="P139">
        <v>59.59</v>
      </c>
      <c r="Q139">
        <v>20.239999999999998</v>
      </c>
      <c r="R139">
        <v>1259.42</v>
      </c>
      <c r="S139">
        <v>34.5</v>
      </c>
      <c r="T139">
        <v>19.8383</v>
      </c>
      <c r="U139">
        <v>17.899999999999999</v>
      </c>
      <c r="V139">
        <v>37.840000000000003</v>
      </c>
      <c r="W139">
        <v>45.604999999999997</v>
      </c>
      <c r="X139">
        <v>26.61</v>
      </c>
      <c r="Y139">
        <v>47</v>
      </c>
      <c r="Z139">
        <v>42.39</v>
      </c>
      <c r="AA139">
        <v>80.02</v>
      </c>
      <c r="AB139">
        <v>54.9</v>
      </c>
      <c r="AC139">
        <v>41.29</v>
      </c>
      <c r="AD139">
        <v>569.28</v>
      </c>
      <c r="AE139">
        <v>639.80999999999995</v>
      </c>
      <c r="AF139">
        <v>43.82</v>
      </c>
      <c r="AG139">
        <v>53.215000000000003</v>
      </c>
      <c r="AH139">
        <v>46.56</v>
      </c>
      <c r="AI139">
        <v>51.62</v>
      </c>
    </row>
    <row r="140" spans="1:35" x14ac:dyDescent="0.45">
      <c r="A140" s="2">
        <v>45887</v>
      </c>
      <c r="B140">
        <v>31.32</v>
      </c>
      <c r="C140">
        <v>32.549999999999997</v>
      </c>
      <c r="D140">
        <v>18.43</v>
      </c>
      <c r="E140">
        <v>26.34</v>
      </c>
      <c r="F140">
        <v>33.64</v>
      </c>
      <c r="G140">
        <v>52.382100000000001</v>
      </c>
      <c r="H140">
        <v>25.13</v>
      </c>
      <c r="I140">
        <v>61.04</v>
      </c>
      <c r="J140">
        <v>61.19</v>
      </c>
      <c r="K140">
        <v>72.8</v>
      </c>
      <c r="L140">
        <v>28.29</v>
      </c>
      <c r="M140">
        <v>57.11</v>
      </c>
      <c r="N140">
        <v>65.58</v>
      </c>
      <c r="O140">
        <v>53.5</v>
      </c>
      <c r="P140">
        <v>60.04</v>
      </c>
      <c r="Q140">
        <v>20.38</v>
      </c>
      <c r="R140">
        <v>1266.67</v>
      </c>
      <c r="S140">
        <v>34.47</v>
      </c>
      <c r="T140">
        <v>19.965</v>
      </c>
      <c r="U140">
        <v>17.84</v>
      </c>
      <c r="V140">
        <v>37.83</v>
      </c>
      <c r="W140">
        <v>45.844999999999999</v>
      </c>
      <c r="X140">
        <v>26.84</v>
      </c>
      <c r="Y140">
        <v>47.35</v>
      </c>
      <c r="Z140">
        <v>42.45</v>
      </c>
      <c r="AA140">
        <v>80.3</v>
      </c>
      <c r="AB140">
        <v>54.35</v>
      </c>
      <c r="AC140">
        <v>41.29</v>
      </c>
      <c r="AD140">
        <v>577.11</v>
      </c>
      <c r="AE140">
        <v>643.29999999999995</v>
      </c>
      <c r="AF140">
        <v>43.55</v>
      </c>
      <c r="AG140">
        <v>53.13</v>
      </c>
      <c r="AH140">
        <v>46.28</v>
      </c>
      <c r="AI140">
        <v>51.54</v>
      </c>
    </row>
    <row r="141" spans="1:35" x14ac:dyDescent="0.45">
      <c r="A141" s="2">
        <v>45884</v>
      </c>
      <c r="B141">
        <v>30.97</v>
      </c>
      <c r="C141">
        <v>32.4</v>
      </c>
      <c r="D141">
        <v>18.5</v>
      </c>
      <c r="E141">
        <v>26.39</v>
      </c>
      <c r="F141">
        <v>33.450000000000003</v>
      </c>
      <c r="G141">
        <v>52.191600000000001</v>
      </c>
      <c r="H141">
        <v>24.98</v>
      </c>
      <c r="I141">
        <v>60.42</v>
      </c>
      <c r="J141">
        <v>61.34</v>
      </c>
      <c r="K141">
        <v>73.39</v>
      </c>
      <c r="L141">
        <v>28.2</v>
      </c>
      <c r="M141">
        <v>57.62</v>
      </c>
      <c r="N141">
        <v>66.89</v>
      </c>
      <c r="O141">
        <v>52.71</v>
      </c>
      <c r="P141">
        <v>59.68</v>
      </c>
      <c r="Q141">
        <v>20.54</v>
      </c>
      <c r="R141">
        <v>1277.43</v>
      </c>
      <c r="S141">
        <v>34.24</v>
      </c>
      <c r="T141">
        <v>19.905000000000001</v>
      </c>
      <c r="U141">
        <v>17.71</v>
      </c>
      <c r="V141">
        <v>37.549999999999997</v>
      </c>
      <c r="W141">
        <v>45.683999999999997</v>
      </c>
      <c r="X141">
        <v>26.83</v>
      </c>
      <c r="Y141">
        <v>47.27</v>
      </c>
      <c r="Z141">
        <v>42.58</v>
      </c>
      <c r="AA141">
        <v>80.150000000000006</v>
      </c>
      <c r="AB141">
        <v>54.5</v>
      </c>
      <c r="AC141">
        <v>41.27</v>
      </c>
      <c r="AD141">
        <v>577.34</v>
      </c>
      <c r="AE141">
        <v>643.44000000000005</v>
      </c>
      <c r="AF141">
        <v>43.89</v>
      </c>
      <c r="AG141">
        <v>53.16</v>
      </c>
      <c r="AH141">
        <v>46.61</v>
      </c>
      <c r="AI141">
        <v>51.79</v>
      </c>
    </row>
    <row r="142" spans="1:35" x14ac:dyDescent="0.45">
      <c r="A142" s="2">
        <v>45883</v>
      </c>
      <c r="B142">
        <v>30.72</v>
      </c>
      <c r="C142">
        <v>32.270000000000003</v>
      </c>
      <c r="D142">
        <v>18.63</v>
      </c>
      <c r="E142">
        <v>26.28</v>
      </c>
      <c r="F142">
        <v>33.270000000000003</v>
      </c>
      <c r="G142">
        <v>51.95</v>
      </c>
      <c r="H142">
        <v>25.03</v>
      </c>
      <c r="I142">
        <v>60.65</v>
      </c>
      <c r="J142">
        <v>60.99</v>
      </c>
      <c r="K142">
        <v>73.66</v>
      </c>
      <c r="L142">
        <v>27.89</v>
      </c>
      <c r="M142">
        <v>57.64</v>
      </c>
      <c r="N142">
        <v>66.53</v>
      </c>
      <c r="O142">
        <v>52.41</v>
      </c>
      <c r="P142">
        <v>59.3</v>
      </c>
      <c r="Q142">
        <v>20.52</v>
      </c>
      <c r="R142">
        <v>1259.07</v>
      </c>
      <c r="S142">
        <v>34.11</v>
      </c>
      <c r="T142">
        <v>19.98</v>
      </c>
      <c r="U142">
        <v>17.760000000000002</v>
      </c>
      <c r="V142">
        <v>37.590000000000003</v>
      </c>
      <c r="W142">
        <v>45.57</v>
      </c>
      <c r="X142">
        <v>26.74</v>
      </c>
      <c r="Y142">
        <v>47.33</v>
      </c>
      <c r="Z142">
        <v>42.5</v>
      </c>
      <c r="AA142">
        <v>78.8</v>
      </c>
      <c r="AB142">
        <v>54.1</v>
      </c>
      <c r="AC142">
        <v>41.5</v>
      </c>
      <c r="AD142">
        <v>579.89</v>
      </c>
      <c r="AE142">
        <v>644.95000000000005</v>
      </c>
      <c r="AF142">
        <v>43.5</v>
      </c>
      <c r="AG142">
        <v>53.3</v>
      </c>
      <c r="AH142">
        <v>46.06</v>
      </c>
      <c r="AI142">
        <v>51.56</v>
      </c>
    </row>
    <row r="143" spans="1:35" x14ac:dyDescent="0.45">
      <c r="A143" s="2">
        <v>45882</v>
      </c>
      <c r="B143">
        <v>31.01</v>
      </c>
      <c r="C143">
        <v>32.54</v>
      </c>
      <c r="D143">
        <v>18.829999999999998</v>
      </c>
      <c r="E143">
        <v>26.72</v>
      </c>
      <c r="F143">
        <v>34.07</v>
      </c>
      <c r="G143">
        <v>52.16</v>
      </c>
      <c r="H143">
        <v>25.27</v>
      </c>
      <c r="I143">
        <v>61.03</v>
      </c>
      <c r="J143">
        <v>61.99</v>
      </c>
      <c r="K143">
        <v>74.72</v>
      </c>
      <c r="L143">
        <v>28.18</v>
      </c>
      <c r="M143">
        <v>58.36</v>
      </c>
      <c r="N143">
        <v>66.81</v>
      </c>
      <c r="O143">
        <v>52.71</v>
      </c>
      <c r="P143">
        <v>60.56</v>
      </c>
      <c r="Q143">
        <v>20.56</v>
      </c>
      <c r="R143">
        <v>1265.1500000000001</v>
      </c>
      <c r="S143">
        <v>34.47</v>
      </c>
      <c r="T143">
        <v>19.93</v>
      </c>
      <c r="U143">
        <v>17.46</v>
      </c>
      <c r="V143">
        <v>37.44</v>
      </c>
      <c r="W143">
        <v>45.82</v>
      </c>
      <c r="X143">
        <v>26.91</v>
      </c>
      <c r="Y143">
        <v>47.64</v>
      </c>
      <c r="Z143">
        <v>42.38</v>
      </c>
      <c r="AA143">
        <v>79.27</v>
      </c>
      <c r="AB143">
        <v>54.2</v>
      </c>
      <c r="AC143">
        <v>41.36</v>
      </c>
      <c r="AD143">
        <v>580.34</v>
      </c>
      <c r="AE143">
        <v>644.89</v>
      </c>
      <c r="AF143">
        <v>43.31</v>
      </c>
      <c r="AG143">
        <v>53.36</v>
      </c>
      <c r="AH143">
        <v>46.02</v>
      </c>
      <c r="AI143">
        <v>51.1</v>
      </c>
    </row>
    <row r="144" spans="1:35" x14ac:dyDescent="0.45">
      <c r="A144" s="2">
        <v>45881</v>
      </c>
      <c r="B144">
        <v>30.73</v>
      </c>
      <c r="C144">
        <v>31.97</v>
      </c>
      <c r="D144">
        <v>18.61</v>
      </c>
      <c r="E144">
        <v>26.55</v>
      </c>
      <c r="F144">
        <v>33.99</v>
      </c>
      <c r="G144">
        <v>51.75</v>
      </c>
      <c r="H144">
        <v>24.94</v>
      </c>
      <c r="I144">
        <v>61.09</v>
      </c>
      <c r="J144">
        <v>62.33</v>
      </c>
      <c r="K144">
        <v>74.099999999999994</v>
      </c>
      <c r="L144">
        <v>28.39</v>
      </c>
      <c r="M144">
        <v>57.5</v>
      </c>
      <c r="N144">
        <v>66.349999999999994</v>
      </c>
      <c r="O144">
        <v>52.465000000000003</v>
      </c>
      <c r="P144">
        <v>58.73</v>
      </c>
      <c r="Q144">
        <v>20.27</v>
      </c>
      <c r="R144">
        <v>1264.47</v>
      </c>
      <c r="S144">
        <v>34.54</v>
      </c>
      <c r="T144">
        <v>20.149999999999999</v>
      </c>
      <c r="U144">
        <v>17.440000000000001</v>
      </c>
      <c r="V144">
        <v>37.49</v>
      </c>
      <c r="W144">
        <v>45.658999999999999</v>
      </c>
      <c r="X144">
        <v>26.96</v>
      </c>
      <c r="Y144">
        <v>47.51</v>
      </c>
      <c r="Z144">
        <v>42.15</v>
      </c>
      <c r="AA144">
        <v>79.23</v>
      </c>
      <c r="AB144">
        <v>53.81</v>
      </c>
      <c r="AC144">
        <v>41.03</v>
      </c>
      <c r="AD144">
        <v>580.04999999999995</v>
      </c>
      <c r="AE144">
        <v>642.69000000000005</v>
      </c>
      <c r="AF144">
        <v>42.89</v>
      </c>
      <c r="AG144">
        <v>52.967399999999998</v>
      </c>
      <c r="AH144">
        <v>45.99</v>
      </c>
      <c r="AI144">
        <v>50.64</v>
      </c>
    </row>
    <row r="145" spans="1:35" x14ac:dyDescent="0.45">
      <c r="A145" s="2">
        <v>45880</v>
      </c>
      <c r="B145">
        <v>30.295000000000002</v>
      </c>
      <c r="C145">
        <v>31.47</v>
      </c>
      <c r="D145">
        <v>17.98</v>
      </c>
      <c r="E145">
        <v>26.19</v>
      </c>
      <c r="F145">
        <v>33.44</v>
      </c>
      <c r="G145">
        <v>51.130899999999997</v>
      </c>
      <c r="H145">
        <v>24.6</v>
      </c>
      <c r="I145">
        <v>60.28</v>
      </c>
      <c r="J145">
        <v>61.54</v>
      </c>
      <c r="K145">
        <v>73.03</v>
      </c>
      <c r="L145">
        <v>27.64</v>
      </c>
      <c r="M145">
        <v>56.36</v>
      </c>
      <c r="N145">
        <v>65.680000000000007</v>
      </c>
      <c r="O145">
        <v>52.27</v>
      </c>
      <c r="P145">
        <v>57.82</v>
      </c>
      <c r="Q145">
        <v>20.034600000000001</v>
      </c>
      <c r="R145">
        <v>1246.96</v>
      </c>
      <c r="S145">
        <v>34.844799999999999</v>
      </c>
      <c r="T145">
        <v>20.079999999999998</v>
      </c>
      <c r="U145">
        <v>17.27</v>
      </c>
      <c r="V145">
        <v>37.43</v>
      </c>
      <c r="W145">
        <v>45.79</v>
      </c>
      <c r="X145">
        <v>26.65</v>
      </c>
      <c r="Y145">
        <v>47.28</v>
      </c>
      <c r="Z145">
        <v>41.94</v>
      </c>
      <c r="AA145">
        <v>77.790000000000006</v>
      </c>
      <c r="AB145">
        <v>53.2</v>
      </c>
      <c r="AC145">
        <v>40.64</v>
      </c>
      <c r="AD145">
        <v>572.85</v>
      </c>
      <c r="AE145">
        <v>635.91999999999996</v>
      </c>
      <c r="AF145">
        <v>42.35</v>
      </c>
      <c r="AG145">
        <v>52.37</v>
      </c>
      <c r="AH145">
        <v>45.23</v>
      </c>
      <c r="AI145">
        <v>49.99</v>
      </c>
    </row>
    <row r="146" spans="1:35" x14ac:dyDescent="0.45">
      <c r="A146" s="2">
        <v>45877</v>
      </c>
      <c r="B146">
        <v>30.27</v>
      </c>
      <c r="C146">
        <v>31.41</v>
      </c>
      <c r="D146">
        <v>17.829999999999998</v>
      </c>
      <c r="E146">
        <v>26.63</v>
      </c>
      <c r="F146">
        <v>33.97</v>
      </c>
      <c r="G146">
        <v>51.72</v>
      </c>
      <c r="H146">
        <v>24.51</v>
      </c>
      <c r="I146">
        <v>60.29</v>
      </c>
      <c r="J146">
        <v>61.64</v>
      </c>
      <c r="K146">
        <v>73.5</v>
      </c>
      <c r="L146">
        <v>27.81</v>
      </c>
      <c r="M146">
        <v>56.45</v>
      </c>
      <c r="N146">
        <v>65.069199999999995</v>
      </c>
      <c r="O146">
        <v>52.12</v>
      </c>
      <c r="P146">
        <v>58.19</v>
      </c>
      <c r="Q146">
        <v>19.93</v>
      </c>
      <c r="R146">
        <v>1229.4000000000001</v>
      </c>
      <c r="S146">
        <v>34.68</v>
      </c>
      <c r="T146">
        <v>20.14</v>
      </c>
      <c r="U146">
        <v>17.18</v>
      </c>
      <c r="V146">
        <v>37.83</v>
      </c>
      <c r="W146">
        <v>45.744999999999997</v>
      </c>
      <c r="X146">
        <v>26.63</v>
      </c>
      <c r="Y146">
        <v>47.34</v>
      </c>
      <c r="Z146">
        <v>42.34</v>
      </c>
      <c r="AA146">
        <v>77.930000000000007</v>
      </c>
      <c r="AB146">
        <v>53.6</v>
      </c>
      <c r="AC146">
        <v>40.53</v>
      </c>
      <c r="AD146">
        <v>574.54999999999995</v>
      </c>
      <c r="AE146">
        <v>637.17999999999995</v>
      </c>
      <c r="AF146">
        <v>42.68</v>
      </c>
      <c r="AG146">
        <v>52.52</v>
      </c>
      <c r="AH146">
        <v>45.88</v>
      </c>
      <c r="AI146">
        <v>50.16</v>
      </c>
    </row>
    <row r="147" spans="1:35" x14ac:dyDescent="0.45">
      <c r="A147" s="2">
        <v>45876</v>
      </c>
      <c r="B147">
        <v>30.3</v>
      </c>
      <c r="C147">
        <v>30.74</v>
      </c>
      <c r="D147">
        <v>17.72</v>
      </c>
      <c r="E147">
        <v>26.49</v>
      </c>
      <c r="F147">
        <v>33.53</v>
      </c>
      <c r="G147">
        <v>50.705500000000001</v>
      </c>
      <c r="H147">
        <v>24.38</v>
      </c>
      <c r="I147">
        <v>60.36</v>
      </c>
      <c r="J147">
        <v>61.65</v>
      </c>
      <c r="K147">
        <v>73.44</v>
      </c>
      <c r="L147">
        <v>28.05</v>
      </c>
      <c r="M147">
        <v>56.66</v>
      </c>
      <c r="N147">
        <v>64.58</v>
      </c>
      <c r="O147">
        <v>52.53</v>
      </c>
      <c r="P147">
        <v>58.2</v>
      </c>
      <c r="Q147">
        <v>19.946000000000002</v>
      </c>
      <c r="R147">
        <v>1218.33</v>
      </c>
      <c r="S147">
        <v>34.61</v>
      </c>
      <c r="T147">
        <v>20.100000000000001</v>
      </c>
      <c r="U147">
        <v>16.8</v>
      </c>
      <c r="V147">
        <v>37.83</v>
      </c>
      <c r="W147">
        <v>45.795000000000002</v>
      </c>
      <c r="X147">
        <v>26.6</v>
      </c>
      <c r="Y147">
        <v>47.34</v>
      </c>
      <c r="Z147">
        <v>42.33</v>
      </c>
      <c r="AA147">
        <v>76.62</v>
      </c>
      <c r="AB147">
        <v>53.68</v>
      </c>
      <c r="AC147">
        <v>40.49</v>
      </c>
      <c r="AD147">
        <v>569.24</v>
      </c>
      <c r="AE147">
        <v>632.25</v>
      </c>
      <c r="AF147">
        <v>42.49</v>
      </c>
      <c r="AG147">
        <v>52.2</v>
      </c>
      <c r="AH147">
        <v>45.6</v>
      </c>
      <c r="AI147">
        <v>49.95</v>
      </c>
    </row>
    <row r="148" spans="1:35" x14ac:dyDescent="0.45">
      <c r="A148" s="2">
        <v>45875</v>
      </c>
      <c r="B148">
        <v>30.33</v>
      </c>
      <c r="C148">
        <v>30.09</v>
      </c>
      <c r="D148">
        <v>17.66</v>
      </c>
      <c r="E148">
        <v>26.41</v>
      </c>
      <c r="F148">
        <v>32.840000000000003</v>
      </c>
      <c r="G148">
        <v>50.183300000000003</v>
      </c>
      <c r="H148">
        <v>24.4</v>
      </c>
      <c r="I148">
        <v>59.14</v>
      </c>
      <c r="J148">
        <v>60.76</v>
      </c>
      <c r="K148">
        <v>73.180000000000007</v>
      </c>
      <c r="L148">
        <v>27.45</v>
      </c>
      <c r="M148">
        <v>56.17</v>
      </c>
      <c r="N148">
        <v>64.2</v>
      </c>
      <c r="O148">
        <v>52.255000000000003</v>
      </c>
      <c r="P148">
        <v>58.36</v>
      </c>
      <c r="Q148">
        <v>19.850000000000001</v>
      </c>
      <c r="R148">
        <v>1242.3499999999999</v>
      </c>
      <c r="S148">
        <v>34.46</v>
      </c>
      <c r="T148">
        <v>20.25</v>
      </c>
      <c r="U148">
        <v>17.09</v>
      </c>
      <c r="V148">
        <v>38.04</v>
      </c>
      <c r="W148">
        <v>45.63</v>
      </c>
      <c r="X148">
        <v>26.66</v>
      </c>
      <c r="Y148">
        <v>47.73</v>
      </c>
      <c r="Z148">
        <v>41.84</v>
      </c>
      <c r="AA148">
        <v>76.03</v>
      </c>
      <c r="AB148">
        <v>52.98</v>
      </c>
      <c r="AC148">
        <v>40.380000000000003</v>
      </c>
      <c r="AD148">
        <v>567.32000000000005</v>
      </c>
      <c r="AE148">
        <v>632.78</v>
      </c>
      <c r="AF148">
        <v>42.02</v>
      </c>
      <c r="AG148">
        <v>51.43</v>
      </c>
      <c r="AH148">
        <v>44.82</v>
      </c>
      <c r="AI148">
        <v>49.52</v>
      </c>
    </row>
    <row r="149" spans="1:35" x14ac:dyDescent="0.45">
      <c r="A149" s="2">
        <v>45874</v>
      </c>
      <c r="B149">
        <v>30.17</v>
      </c>
      <c r="C149">
        <v>30.26</v>
      </c>
      <c r="D149">
        <v>17.62</v>
      </c>
      <c r="E149">
        <v>26.16</v>
      </c>
      <c r="F149">
        <v>31.79</v>
      </c>
      <c r="G149">
        <v>49.7</v>
      </c>
      <c r="H149">
        <v>24.24</v>
      </c>
      <c r="I149">
        <v>58.92</v>
      </c>
      <c r="J149">
        <v>60.19</v>
      </c>
      <c r="K149">
        <v>72.89</v>
      </c>
      <c r="L149">
        <v>27.02</v>
      </c>
      <c r="M149">
        <v>55.4</v>
      </c>
      <c r="N149">
        <v>62.98</v>
      </c>
      <c r="O149">
        <v>52.41</v>
      </c>
      <c r="P149">
        <v>57.86</v>
      </c>
      <c r="Q149">
        <v>19.785</v>
      </c>
      <c r="R149">
        <v>1244.1400000000001</v>
      </c>
      <c r="S149">
        <v>34.29</v>
      </c>
      <c r="T149">
        <v>20.010000000000002</v>
      </c>
      <c r="U149">
        <v>16.670000000000002</v>
      </c>
      <c r="V149">
        <v>37.78</v>
      </c>
      <c r="W149">
        <v>45.255000000000003</v>
      </c>
      <c r="X149">
        <v>26.41</v>
      </c>
      <c r="Y149">
        <v>46.93</v>
      </c>
      <c r="Z149">
        <v>41.49</v>
      </c>
      <c r="AA149">
        <v>75.03</v>
      </c>
      <c r="AB149">
        <v>53.48</v>
      </c>
      <c r="AC149">
        <v>40.229999999999997</v>
      </c>
      <c r="AD149">
        <v>560.27</v>
      </c>
      <c r="AE149">
        <v>627.97</v>
      </c>
      <c r="AF149">
        <v>41.83</v>
      </c>
      <c r="AG149">
        <v>51.33</v>
      </c>
      <c r="AH149">
        <v>44.45</v>
      </c>
      <c r="AI149">
        <v>48.74</v>
      </c>
    </row>
    <row r="150" spans="1:35" x14ac:dyDescent="0.45">
      <c r="A150" s="2">
        <v>45873</v>
      </c>
      <c r="B150">
        <v>29.9</v>
      </c>
      <c r="C150">
        <v>30.24</v>
      </c>
      <c r="D150">
        <v>17.59</v>
      </c>
      <c r="E150">
        <v>26.35</v>
      </c>
      <c r="F150">
        <v>31.94</v>
      </c>
      <c r="G150">
        <v>49.27</v>
      </c>
      <c r="H150">
        <v>24.13</v>
      </c>
      <c r="I150">
        <v>58.84</v>
      </c>
      <c r="J150">
        <v>59.23</v>
      </c>
      <c r="K150">
        <v>72.33</v>
      </c>
      <c r="L150">
        <v>26.93</v>
      </c>
      <c r="M150">
        <v>55.05</v>
      </c>
      <c r="N150">
        <v>62.02</v>
      </c>
      <c r="O150">
        <v>52.48</v>
      </c>
      <c r="P150">
        <v>57.47</v>
      </c>
      <c r="Q150">
        <v>19.71</v>
      </c>
      <c r="R150">
        <v>1233.68</v>
      </c>
      <c r="S150">
        <v>34.32</v>
      </c>
      <c r="T150">
        <v>20.21</v>
      </c>
      <c r="U150">
        <v>16.579999999999998</v>
      </c>
      <c r="V150">
        <v>37.630000000000003</v>
      </c>
      <c r="W150">
        <v>44.93</v>
      </c>
      <c r="X150">
        <v>26.28</v>
      </c>
      <c r="Y150">
        <v>46.58</v>
      </c>
      <c r="Z150">
        <v>41.3</v>
      </c>
      <c r="AA150">
        <v>75.290000000000006</v>
      </c>
      <c r="AB150">
        <v>53.31</v>
      </c>
      <c r="AC150">
        <v>40.21</v>
      </c>
      <c r="AD150">
        <v>564.1</v>
      </c>
      <c r="AE150">
        <v>631.16999999999996</v>
      </c>
      <c r="AF150">
        <v>41.86</v>
      </c>
      <c r="AG150">
        <v>51.35</v>
      </c>
      <c r="AH150">
        <v>44.3</v>
      </c>
      <c r="AI150">
        <v>48.57</v>
      </c>
    </row>
    <row r="151" spans="1:35" x14ac:dyDescent="0.45">
      <c r="A151" s="2">
        <v>45870</v>
      </c>
      <c r="B151">
        <v>29.6</v>
      </c>
      <c r="C151">
        <v>29.98</v>
      </c>
      <c r="D151">
        <v>17.61</v>
      </c>
      <c r="E151">
        <v>25.78</v>
      </c>
      <c r="F151">
        <v>31.7</v>
      </c>
      <c r="G151">
        <v>48.35</v>
      </c>
      <c r="H151">
        <v>23.98</v>
      </c>
      <c r="I151">
        <v>58.39</v>
      </c>
      <c r="J151">
        <v>59.6</v>
      </c>
      <c r="K151">
        <v>70.650000000000006</v>
      </c>
      <c r="L151">
        <v>26.65</v>
      </c>
      <c r="M151">
        <v>53.43</v>
      </c>
      <c r="N151">
        <v>60.34</v>
      </c>
      <c r="O151">
        <v>52.72</v>
      </c>
      <c r="P151">
        <v>56.52</v>
      </c>
      <c r="Q151">
        <v>19.664999999999999</v>
      </c>
      <c r="R151">
        <v>1217.1500000000001</v>
      </c>
      <c r="S151">
        <v>33.92</v>
      </c>
      <c r="T151">
        <v>19.95</v>
      </c>
      <c r="U151">
        <v>15.95</v>
      </c>
      <c r="V151">
        <v>37.32</v>
      </c>
      <c r="W151">
        <v>44.69</v>
      </c>
      <c r="X151">
        <v>25.91</v>
      </c>
      <c r="Y151">
        <v>45.86</v>
      </c>
      <c r="Z151">
        <v>40.75</v>
      </c>
      <c r="AA151">
        <v>74.069999999999993</v>
      </c>
      <c r="AB151">
        <v>52.43</v>
      </c>
      <c r="AC151">
        <v>39.94</v>
      </c>
      <c r="AD151">
        <v>553.88</v>
      </c>
      <c r="AE151">
        <v>621.72</v>
      </c>
      <c r="AF151">
        <v>41.43</v>
      </c>
      <c r="AG151">
        <v>50.85</v>
      </c>
      <c r="AH151">
        <v>43.68</v>
      </c>
      <c r="AI151">
        <v>47.83</v>
      </c>
    </row>
    <row r="152" spans="1:35" x14ac:dyDescent="0.45">
      <c r="A152" s="2">
        <v>45869</v>
      </c>
      <c r="B152">
        <v>29.68</v>
      </c>
      <c r="C152">
        <v>29.83</v>
      </c>
      <c r="D152">
        <v>17.27</v>
      </c>
      <c r="E152">
        <v>25.42</v>
      </c>
      <c r="F152">
        <v>31.75</v>
      </c>
      <c r="G152">
        <v>48.65</v>
      </c>
      <c r="H152">
        <v>23.49</v>
      </c>
      <c r="I152">
        <v>58.36</v>
      </c>
      <c r="J152">
        <v>60.14</v>
      </c>
      <c r="K152">
        <v>72.81</v>
      </c>
      <c r="L152">
        <v>26.55</v>
      </c>
      <c r="M152">
        <v>53.05</v>
      </c>
      <c r="N152">
        <v>60.51</v>
      </c>
      <c r="O152">
        <v>52.64</v>
      </c>
      <c r="P152">
        <v>57.43</v>
      </c>
      <c r="Q152">
        <v>19.655000000000001</v>
      </c>
      <c r="R152">
        <v>1212.49</v>
      </c>
      <c r="S152">
        <v>33.85</v>
      </c>
      <c r="T152">
        <v>20.039899999999999</v>
      </c>
      <c r="U152">
        <v>16.010000000000002</v>
      </c>
      <c r="V152">
        <v>37.56</v>
      </c>
      <c r="W152">
        <v>45.05</v>
      </c>
      <c r="X152">
        <v>26.02</v>
      </c>
      <c r="Y152">
        <v>46.18</v>
      </c>
      <c r="Z152">
        <v>41.15</v>
      </c>
      <c r="AA152">
        <v>73.62</v>
      </c>
      <c r="AB152">
        <v>52.72</v>
      </c>
      <c r="AC152">
        <v>39.81</v>
      </c>
      <c r="AD152">
        <v>565.01</v>
      </c>
      <c r="AE152">
        <v>632.08000000000004</v>
      </c>
      <c r="AF152">
        <v>41.94</v>
      </c>
      <c r="AG152">
        <v>51.26</v>
      </c>
      <c r="AH152">
        <v>43.86</v>
      </c>
      <c r="AI152">
        <v>48.25</v>
      </c>
    </row>
    <row r="153" spans="1:35" x14ac:dyDescent="0.45">
      <c r="A153" s="2">
        <v>45868</v>
      </c>
      <c r="B153">
        <v>30.24</v>
      </c>
      <c r="C153">
        <v>29.48</v>
      </c>
      <c r="D153">
        <v>17.579999999999998</v>
      </c>
      <c r="E153">
        <v>26.175000000000001</v>
      </c>
      <c r="F153">
        <v>32.21</v>
      </c>
      <c r="G153">
        <v>47.99</v>
      </c>
      <c r="H153">
        <v>23.84</v>
      </c>
      <c r="I153">
        <v>58.35</v>
      </c>
      <c r="J153">
        <v>60.17</v>
      </c>
      <c r="K153">
        <v>73.680000000000007</v>
      </c>
      <c r="L153">
        <v>26.88</v>
      </c>
      <c r="M153">
        <v>53.99</v>
      </c>
      <c r="N153">
        <v>60.44</v>
      </c>
      <c r="O153">
        <v>52.7</v>
      </c>
      <c r="P153">
        <v>57.89</v>
      </c>
      <c r="Q153">
        <v>19.66</v>
      </c>
      <c r="R153">
        <v>1219.6199999999999</v>
      </c>
      <c r="S153">
        <v>33.659999999999997</v>
      </c>
      <c r="T153">
        <v>20.260000000000002</v>
      </c>
      <c r="U153">
        <v>16.03</v>
      </c>
      <c r="V153">
        <v>37.619999999999997</v>
      </c>
      <c r="W153">
        <v>45.19</v>
      </c>
      <c r="X153">
        <v>26.15</v>
      </c>
      <c r="Y153">
        <v>46.38</v>
      </c>
      <c r="Z153">
        <v>41.63</v>
      </c>
      <c r="AA153">
        <v>73.98</v>
      </c>
      <c r="AB153">
        <v>53.48</v>
      </c>
      <c r="AC153">
        <v>40.04</v>
      </c>
      <c r="AD153">
        <v>568.02</v>
      </c>
      <c r="AE153">
        <v>634.46</v>
      </c>
      <c r="AF153">
        <v>42.47</v>
      </c>
      <c r="AG153">
        <v>52.2</v>
      </c>
      <c r="AH153">
        <v>44.54</v>
      </c>
      <c r="AI153">
        <v>49.13</v>
      </c>
    </row>
    <row r="154" spans="1:35" x14ac:dyDescent="0.45">
      <c r="A154" s="2">
        <v>45867</v>
      </c>
      <c r="B154">
        <v>30.44</v>
      </c>
      <c r="C154">
        <v>29.83</v>
      </c>
      <c r="D154">
        <v>17.8</v>
      </c>
      <c r="E154">
        <v>26.37</v>
      </c>
      <c r="F154">
        <v>32.25</v>
      </c>
      <c r="G154">
        <v>49.44</v>
      </c>
      <c r="H154">
        <v>24.04</v>
      </c>
      <c r="I154">
        <v>58.62</v>
      </c>
      <c r="J154">
        <v>60.93</v>
      </c>
      <c r="K154">
        <v>73.489999999999995</v>
      </c>
      <c r="L154">
        <v>26.76</v>
      </c>
      <c r="M154">
        <v>54.54</v>
      </c>
      <c r="N154">
        <v>60.98</v>
      </c>
      <c r="O154">
        <v>53.49</v>
      </c>
      <c r="P154">
        <v>58.56</v>
      </c>
      <c r="Q154">
        <v>19.600000000000001</v>
      </c>
      <c r="R154">
        <v>1191.75</v>
      </c>
      <c r="S154">
        <v>33.28</v>
      </c>
      <c r="T154">
        <v>20.145</v>
      </c>
      <c r="U154">
        <v>15.9</v>
      </c>
      <c r="V154">
        <v>37.39</v>
      </c>
      <c r="W154">
        <v>45.834299999999999</v>
      </c>
      <c r="X154">
        <v>26.37</v>
      </c>
      <c r="Y154">
        <v>46.79</v>
      </c>
      <c r="Z154">
        <v>41.89</v>
      </c>
      <c r="AA154">
        <v>73.88</v>
      </c>
      <c r="AB154">
        <v>54.12</v>
      </c>
      <c r="AC154">
        <v>40.39</v>
      </c>
      <c r="AD154">
        <v>567.26</v>
      </c>
      <c r="AE154">
        <v>635.26</v>
      </c>
      <c r="AF154">
        <v>42.91</v>
      </c>
      <c r="AG154">
        <v>52.69</v>
      </c>
      <c r="AH154">
        <v>44.96</v>
      </c>
      <c r="AI154">
        <v>49.06</v>
      </c>
    </row>
    <row r="155" spans="1:35" x14ac:dyDescent="0.45">
      <c r="A155" s="2">
        <v>45866</v>
      </c>
      <c r="B155">
        <v>30.29</v>
      </c>
      <c r="C155">
        <v>29.78</v>
      </c>
      <c r="D155">
        <v>17.75</v>
      </c>
      <c r="E155">
        <v>26.55</v>
      </c>
      <c r="F155">
        <v>32.130000000000003</v>
      </c>
      <c r="G155">
        <v>49.15</v>
      </c>
      <c r="H155">
        <v>24.05</v>
      </c>
      <c r="I155">
        <v>59.06</v>
      </c>
      <c r="J155">
        <v>60.06</v>
      </c>
      <c r="K155">
        <v>72.709999999999994</v>
      </c>
      <c r="L155">
        <v>26.52</v>
      </c>
      <c r="M155">
        <v>54.22</v>
      </c>
      <c r="N155">
        <v>60.45</v>
      </c>
      <c r="O155">
        <v>53.23</v>
      </c>
      <c r="P155">
        <v>58.7</v>
      </c>
      <c r="Q155">
        <v>19.600000000000001</v>
      </c>
      <c r="R155">
        <v>1208.1300000000001</v>
      </c>
      <c r="S155">
        <v>33.43</v>
      </c>
      <c r="T155">
        <v>20.32</v>
      </c>
      <c r="U155">
        <v>16.78</v>
      </c>
      <c r="V155">
        <v>37.61</v>
      </c>
      <c r="W155">
        <v>45.64</v>
      </c>
      <c r="X155">
        <v>26.22</v>
      </c>
      <c r="Y155">
        <v>46.72</v>
      </c>
      <c r="Z155">
        <v>41.67</v>
      </c>
      <c r="AA155">
        <v>74.27</v>
      </c>
      <c r="AB155">
        <v>54.16</v>
      </c>
      <c r="AC155">
        <v>40.119999999999997</v>
      </c>
      <c r="AD155">
        <v>568.14</v>
      </c>
      <c r="AE155">
        <v>636.94000000000005</v>
      </c>
      <c r="AF155">
        <v>42.8</v>
      </c>
      <c r="AG155">
        <v>52.91</v>
      </c>
      <c r="AH155">
        <v>45.78</v>
      </c>
      <c r="AI155">
        <v>48.78</v>
      </c>
    </row>
    <row r="156" spans="1:35" x14ac:dyDescent="0.45">
      <c r="A156" s="2">
        <v>45863</v>
      </c>
      <c r="B156">
        <v>30.31</v>
      </c>
      <c r="C156">
        <v>30.34</v>
      </c>
      <c r="D156">
        <v>17.600000000000001</v>
      </c>
      <c r="E156">
        <v>26.752199999999998</v>
      </c>
      <c r="F156">
        <v>33.35</v>
      </c>
      <c r="G156">
        <v>49.61</v>
      </c>
      <c r="H156">
        <v>24.19</v>
      </c>
      <c r="I156">
        <v>59.43</v>
      </c>
      <c r="J156">
        <v>61.05</v>
      </c>
      <c r="K156">
        <v>73.209999999999994</v>
      </c>
      <c r="L156">
        <v>26.94</v>
      </c>
      <c r="M156">
        <v>54.74</v>
      </c>
      <c r="N156">
        <v>62.15</v>
      </c>
      <c r="O156">
        <v>53.8</v>
      </c>
      <c r="P156">
        <v>58.93</v>
      </c>
      <c r="Q156">
        <v>19.63</v>
      </c>
      <c r="R156">
        <v>1206.58</v>
      </c>
      <c r="S156">
        <v>33.79</v>
      </c>
      <c r="T156">
        <v>20.350000000000001</v>
      </c>
      <c r="U156">
        <v>16.47</v>
      </c>
      <c r="V156">
        <v>37.72</v>
      </c>
      <c r="W156">
        <v>46.051099999999998</v>
      </c>
      <c r="X156">
        <v>26.48</v>
      </c>
      <c r="Y156">
        <v>47.01</v>
      </c>
      <c r="Z156">
        <v>42.81</v>
      </c>
      <c r="AA156">
        <v>75.680000000000007</v>
      </c>
      <c r="AB156">
        <v>55.16</v>
      </c>
      <c r="AC156">
        <v>40.64</v>
      </c>
      <c r="AD156">
        <v>566.37</v>
      </c>
      <c r="AE156">
        <v>637.1</v>
      </c>
      <c r="AF156">
        <v>43.72</v>
      </c>
      <c r="AG156">
        <v>53.5</v>
      </c>
      <c r="AH156">
        <v>46.38</v>
      </c>
      <c r="AI156">
        <v>49.56</v>
      </c>
    </row>
    <row r="157" spans="1:35" x14ac:dyDescent="0.45">
      <c r="A157" s="2">
        <v>45862</v>
      </c>
      <c r="B157">
        <v>30.45</v>
      </c>
      <c r="C157">
        <v>30.49</v>
      </c>
      <c r="D157">
        <v>17.809999999999999</v>
      </c>
      <c r="E157">
        <v>27</v>
      </c>
      <c r="F157">
        <v>33.29</v>
      </c>
      <c r="G157">
        <v>49.98</v>
      </c>
      <c r="H157">
        <v>24.3</v>
      </c>
      <c r="I157">
        <v>59.39</v>
      </c>
      <c r="J157">
        <v>60.85</v>
      </c>
      <c r="K157">
        <v>73.31</v>
      </c>
      <c r="L157">
        <v>27.13</v>
      </c>
      <c r="M157">
        <v>55.44</v>
      </c>
      <c r="N157">
        <v>62</v>
      </c>
      <c r="O157">
        <v>54.06</v>
      </c>
      <c r="P157">
        <v>59.18</v>
      </c>
      <c r="Q157">
        <v>19.61</v>
      </c>
      <c r="R157">
        <v>1198.1099999999999</v>
      </c>
      <c r="S157">
        <v>33.950000000000003</v>
      </c>
      <c r="T157">
        <v>20.11</v>
      </c>
      <c r="U157">
        <v>15.994999999999999</v>
      </c>
      <c r="V157">
        <v>37.68</v>
      </c>
      <c r="W157">
        <v>45.98</v>
      </c>
      <c r="X157">
        <v>26.58</v>
      </c>
      <c r="Y157">
        <v>46.97</v>
      </c>
      <c r="Z157">
        <v>42.7</v>
      </c>
      <c r="AA157">
        <v>76.55</v>
      </c>
      <c r="AB157">
        <v>55.12</v>
      </c>
      <c r="AC157">
        <v>40.770000000000003</v>
      </c>
      <c r="AD157">
        <v>565.01</v>
      </c>
      <c r="AE157">
        <v>634.41999999999996</v>
      </c>
      <c r="AF157">
        <v>43.4</v>
      </c>
      <c r="AG157">
        <v>53.93</v>
      </c>
      <c r="AH157">
        <v>45.9</v>
      </c>
      <c r="AI157">
        <v>49.12</v>
      </c>
    </row>
    <row r="158" spans="1:35" x14ac:dyDescent="0.45">
      <c r="A158" s="2">
        <v>45861</v>
      </c>
      <c r="B158">
        <v>30.35</v>
      </c>
      <c r="C158">
        <v>30.41</v>
      </c>
      <c r="D158">
        <v>17.809999999999999</v>
      </c>
      <c r="E158">
        <v>27.09</v>
      </c>
      <c r="F158">
        <v>33.450000000000003</v>
      </c>
      <c r="G158">
        <v>50.3</v>
      </c>
      <c r="H158">
        <v>24.21</v>
      </c>
      <c r="I158">
        <v>59.8</v>
      </c>
      <c r="J158">
        <v>60.47</v>
      </c>
      <c r="K158">
        <v>73.849999999999994</v>
      </c>
      <c r="L158">
        <v>27.48</v>
      </c>
      <c r="M158">
        <v>56.27</v>
      </c>
      <c r="N158">
        <v>62.58</v>
      </c>
      <c r="O158">
        <v>54.73</v>
      </c>
      <c r="P158">
        <v>59.25</v>
      </c>
      <c r="Q158">
        <v>19.54</v>
      </c>
      <c r="R158">
        <v>1157.6300000000001</v>
      </c>
      <c r="S158">
        <v>33.86</v>
      </c>
      <c r="T158">
        <v>20.105</v>
      </c>
      <c r="U158">
        <v>16</v>
      </c>
      <c r="V158">
        <v>37.97</v>
      </c>
      <c r="W158">
        <v>46.134999999999998</v>
      </c>
      <c r="X158">
        <v>26.82</v>
      </c>
      <c r="Y158">
        <v>47.17</v>
      </c>
      <c r="Z158">
        <v>43.21</v>
      </c>
      <c r="AA158">
        <v>76.489999999999995</v>
      </c>
      <c r="AB158">
        <v>56.2</v>
      </c>
      <c r="AC158">
        <v>40.9</v>
      </c>
      <c r="AD158">
        <v>563.80999999999995</v>
      </c>
      <c r="AE158">
        <v>634.21</v>
      </c>
      <c r="AF158">
        <v>44.4</v>
      </c>
      <c r="AG158">
        <v>54.25</v>
      </c>
      <c r="AH158">
        <v>46.3</v>
      </c>
      <c r="AI158">
        <v>49.84</v>
      </c>
    </row>
    <row r="159" spans="1:35" x14ac:dyDescent="0.45">
      <c r="A159" s="2">
        <v>45860</v>
      </c>
      <c r="B159">
        <v>30.364999999999998</v>
      </c>
      <c r="C159">
        <v>30.39</v>
      </c>
      <c r="D159">
        <v>17.559999999999999</v>
      </c>
      <c r="E159">
        <v>26.52</v>
      </c>
      <c r="F159">
        <v>32.93</v>
      </c>
      <c r="G159">
        <v>49.55</v>
      </c>
      <c r="H159">
        <v>23.99</v>
      </c>
      <c r="I159">
        <v>58.72</v>
      </c>
      <c r="J159">
        <v>59.03</v>
      </c>
      <c r="K159">
        <v>72.89</v>
      </c>
      <c r="L159">
        <v>27</v>
      </c>
      <c r="M159">
        <v>55.74</v>
      </c>
      <c r="N159">
        <v>61.43</v>
      </c>
      <c r="O159">
        <v>54.61</v>
      </c>
      <c r="P159">
        <v>58.664999999999999</v>
      </c>
      <c r="Q159">
        <v>19.34</v>
      </c>
      <c r="R159">
        <v>1161.01</v>
      </c>
      <c r="S159">
        <v>33.869999999999997</v>
      </c>
      <c r="T159">
        <v>19.795000000000002</v>
      </c>
      <c r="U159">
        <v>15.82</v>
      </c>
      <c r="V159">
        <v>37.5</v>
      </c>
      <c r="W159">
        <v>46.155000000000001</v>
      </c>
      <c r="X159">
        <v>26.55</v>
      </c>
      <c r="Y159">
        <v>47.09</v>
      </c>
      <c r="Z159">
        <v>42.42</v>
      </c>
      <c r="AA159">
        <v>72.98</v>
      </c>
      <c r="AB159">
        <v>54.96</v>
      </c>
      <c r="AC159">
        <v>40.43</v>
      </c>
      <c r="AD159">
        <v>561.25</v>
      </c>
      <c r="AE159">
        <v>628.86</v>
      </c>
      <c r="AF159">
        <v>43.16</v>
      </c>
      <c r="AG159">
        <v>53.37</v>
      </c>
      <c r="AH159">
        <v>45.21</v>
      </c>
      <c r="AI159">
        <v>48.55</v>
      </c>
    </row>
    <row r="160" spans="1:35" x14ac:dyDescent="0.45">
      <c r="A160" s="2">
        <v>45859</v>
      </c>
      <c r="B160">
        <v>29.98</v>
      </c>
      <c r="C160">
        <v>30.3</v>
      </c>
      <c r="D160">
        <v>17.73</v>
      </c>
      <c r="E160">
        <v>26.34</v>
      </c>
      <c r="F160">
        <v>32.9</v>
      </c>
      <c r="G160">
        <v>48.93</v>
      </c>
      <c r="H160">
        <v>24.03</v>
      </c>
      <c r="I160">
        <v>59.36</v>
      </c>
      <c r="J160">
        <v>59.24</v>
      </c>
      <c r="K160">
        <v>73.87</v>
      </c>
      <c r="L160">
        <v>27.08</v>
      </c>
      <c r="M160">
        <v>55.7</v>
      </c>
      <c r="N160">
        <v>61.53</v>
      </c>
      <c r="O160">
        <v>54.75</v>
      </c>
      <c r="P160">
        <v>57.81</v>
      </c>
      <c r="Q160">
        <v>19.12</v>
      </c>
      <c r="R160">
        <v>1143.31</v>
      </c>
      <c r="S160">
        <v>33.93</v>
      </c>
      <c r="T160">
        <v>19.899999999999999</v>
      </c>
      <c r="U160">
        <v>15.35</v>
      </c>
      <c r="V160">
        <v>37.82</v>
      </c>
      <c r="W160">
        <v>46.367600000000003</v>
      </c>
      <c r="X160">
        <v>26.37</v>
      </c>
      <c r="Y160">
        <v>46.71</v>
      </c>
      <c r="Z160">
        <v>42.42</v>
      </c>
      <c r="AA160">
        <v>72.61</v>
      </c>
      <c r="AB160">
        <v>54.51</v>
      </c>
      <c r="AC160">
        <v>40.01</v>
      </c>
      <c r="AD160">
        <v>564.16999999999996</v>
      </c>
      <c r="AE160">
        <v>628.77</v>
      </c>
      <c r="AF160">
        <v>43.03</v>
      </c>
      <c r="AG160">
        <v>53.41</v>
      </c>
      <c r="AH160">
        <v>45.25</v>
      </c>
      <c r="AI160">
        <v>48.03</v>
      </c>
    </row>
    <row r="161" spans="1:35" x14ac:dyDescent="0.45">
      <c r="A161" s="2">
        <v>45856</v>
      </c>
      <c r="B161">
        <v>29.73</v>
      </c>
      <c r="C161">
        <v>30.16</v>
      </c>
      <c r="D161">
        <v>17.690000000000001</v>
      </c>
      <c r="E161">
        <v>26.11</v>
      </c>
      <c r="F161">
        <v>32.86</v>
      </c>
      <c r="G161">
        <v>48.32</v>
      </c>
      <c r="H161">
        <v>23.93</v>
      </c>
      <c r="I161">
        <v>59.24</v>
      </c>
      <c r="J161">
        <v>59.46</v>
      </c>
      <c r="K161">
        <v>72.39</v>
      </c>
      <c r="L161">
        <v>26.85</v>
      </c>
      <c r="M161">
        <v>54.81</v>
      </c>
      <c r="N161">
        <v>61.2</v>
      </c>
      <c r="O161">
        <v>54.5</v>
      </c>
      <c r="P161">
        <v>57.45</v>
      </c>
      <c r="Q161">
        <v>18.91</v>
      </c>
      <c r="R161">
        <v>1121.1300000000001</v>
      </c>
      <c r="S161">
        <v>32.994999999999997</v>
      </c>
      <c r="T161">
        <v>19.98</v>
      </c>
      <c r="U161">
        <v>15.574999999999999</v>
      </c>
      <c r="V161">
        <v>38.130000000000003</v>
      </c>
      <c r="W161">
        <v>45.695</v>
      </c>
      <c r="X161">
        <v>26.45</v>
      </c>
      <c r="Y161">
        <v>46.59</v>
      </c>
      <c r="Z161">
        <v>42.13</v>
      </c>
      <c r="AA161">
        <v>71.81</v>
      </c>
      <c r="AB161">
        <v>54.48</v>
      </c>
      <c r="AC161">
        <v>39.799999999999997</v>
      </c>
      <c r="AD161">
        <v>561.26</v>
      </c>
      <c r="AE161">
        <v>627.58000000000004</v>
      </c>
      <c r="AF161">
        <v>42.92</v>
      </c>
      <c r="AG161">
        <v>53.46</v>
      </c>
      <c r="AH161">
        <v>44.65</v>
      </c>
      <c r="AI161">
        <v>47.79</v>
      </c>
    </row>
    <row r="162" spans="1:35" x14ac:dyDescent="0.45">
      <c r="A162" s="2">
        <v>45855</v>
      </c>
      <c r="B162">
        <v>29.6</v>
      </c>
      <c r="C162">
        <v>30.23</v>
      </c>
      <c r="D162">
        <v>17.760000000000002</v>
      </c>
      <c r="E162">
        <v>26.08</v>
      </c>
      <c r="F162">
        <v>32.340000000000003</v>
      </c>
      <c r="G162">
        <v>48.2014</v>
      </c>
      <c r="H162">
        <v>23.93</v>
      </c>
      <c r="I162">
        <v>59.48</v>
      </c>
      <c r="J162">
        <v>59.79</v>
      </c>
      <c r="K162">
        <v>73.06</v>
      </c>
      <c r="L162">
        <v>27.69</v>
      </c>
      <c r="M162">
        <v>53.57</v>
      </c>
      <c r="N162">
        <v>61.52</v>
      </c>
      <c r="O162">
        <v>55.01</v>
      </c>
      <c r="P162">
        <v>56.92</v>
      </c>
      <c r="Q162">
        <v>18.96</v>
      </c>
      <c r="R162">
        <v>1110.4000000000001</v>
      </c>
      <c r="S162">
        <v>33.15</v>
      </c>
      <c r="T162">
        <v>20.05</v>
      </c>
      <c r="U162">
        <v>15.67</v>
      </c>
      <c r="V162">
        <v>38.17</v>
      </c>
      <c r="W162">
        <v>45.872</v>
      </c>
      <c r="X162">
        <v>26.28</v>
      </c>
      <c r="Y162">
        <v>46.71</v>
      </c>
      <c r="Z162">
        <v>42.35</v>
      </c>
      <c r="AA162">
        <v>72.39</v>
      </c>
      <c r="AB162">
        <v>54.36</v>
      </c>
      <c r="AC162">
        <v>39.83</v>
      </c>
      <c r="AD162">
        <v>561.79999999999995</v>
      </c>
      <c r="AE162">
        <v>628.04</v>
      </c>
      <c r="AF162">
        <v>42.98</v>
      </c>
      <c r="AG162">
        <v>53.51</v>
      </c>
      <c r="AH162">
        <v>44.98</v>
      </c>
      <c r="AI162">
        <v>47.75</v>
      </c>
    </row>
    <row r="163" spans="1:35" x14ac:dyDescent="0.45">
      <c r="A163" s="2">
        <v>45854</v>
      </c>
      <c r="B163">
        <v>29.26</v>
      </c>
      <c r="C163">
        <v>29.77</v>
      </c>
      <c r="D163">
        <v>17.7</v>
      </c>
      <c r="E163">
        <v>26.35</v>
      </c>
      <c r="F163">
        <v>31.97</v>
      </c>
      <c r="G163">
        <v>48.003799999999998</v>
      </c>
      <c r="H163">
        <v>23.71</v>
      </c>
      <c r="I163">
        <v>58.98</v>
      </c>
      <c r="J163">
        <v>59.77</v>
      </c>
      <c r="K163">
        <v>73.08</v>
      </c>
      <c r="L163">
        <v>27.57</v>
      </c>
      <c r="M163">
        <v>53.43</v>
      </c>
      <c r="N163">
        <v>60.8</v>
      </c>
      <c r="O163">
        <v>55.27</v>
      </c>
      <c r="P163">
        <v>56.51</v>
      </c>
      <c r="Q163">
        <v>18.779</v>
      </c>
      <c r="R163">
        <v>1115.6500000000001</v>
      </c>
      <c r="S163">
        <v>32.5</v>
      </c>
      <c r="T163">
        <v>19.86</v>
      </c>
      <c r="U163">
        <v>15.41</v>
      </c>
      <c r="V163">
        <v>38.1</v>
      </c>
      <c r="W163">
        <v>45.56</v>
      </c>
      <c r="X163">
        <v>26.19</v>
      </c>
      <c r="Y163">
        <v>46.47</v>
      </c>
      <c r="Z163">
        <v>42.18</v>
      </c>
      <c r="AA163">
        <v>72.02</v>
      </c>
      <c r="AB163">
        <v>54.55</v>
      </c>
      <c r="AC163">
        <v>39.85</v>
      </c>
      <c r="AD163">
        <v>557.29</v>
      </c>
      <c r="AE163">
        <v>624.22</v>
      </c>
      <c r="AF163">
        <v>42.74</v>
      </c>
      <c r="AG163">
        <v>53.47</v>
      </c>
      <c r="AH163">
        <v>44.63</v>
      </c>
      <c r="AI163">
        <v>47.76</v>
      </c>
    </row>
    <row r="164" spans="1:35" x14ac:dyDescent="0.45">
      <c r="A164" s="2">
        <v>45853</v>
      </c>
      <c r="B164">
        <v>29.29</v>
      </c>
      <c r="C164">
        <v>29.89</v>
      </c>
      <c r="D164">
        <v>17.72</v>
      </c>
      <c r="E164">
        <v>26.96</v>
      </c>
      <c r="F164">
        <v>31.66</v>
      </c>
      <c r="G164">
        <v>48.12</v>
      </c>
      <c r="H164">
        <v>23.8</v>
      </c>
      <c r="I164">
        <v>58.27</v>
      </c>
      <c r="J164">
        <v>59.38</v>
      </c>
      <c r="K164">
        <v>73.069999999999993</v>
      </c>
      <c r="L164">
        <v>27.47</v>
      </c>
      <c r="M164">
        <v>52.86</v>
      </c>
      <c r="N164">
        <v>60.25</v>
      </c>
      <c r="O164">
        <v>54.875</v>
      </c>
      <c r="P164">
        <v>56.68</v>
      </c>
      <c r="Q164">
        <v>18.690000000000001</v>
      </c>
      <c r="R164">
        <v>1123</v>
      </c>
      <c r="S164">
        <v>32.840000000000003</v>
      </c>
      <c r="T164">
        <v>19.41</v>
      </c>
      <c r="U164">
        <v>15.04</v>
      </c>
      <c r="V164">
        <v>38.090000000000003</v>
      </c>
      <c r="W164">
        <v>44.89</v>
      </c>
      <c r="X164">
        <v>26.07</v>
      </c>
      <c r="Y164">
        <v>46.04</v>
      </c>
      <c r="Z164">
        <v>41.82</v>
      </c>
      <c r="AA164">
        <v>71.69</v>
      </c>
      <c r="AB164">
        <v>54.18</v>
      </c>
      <c r="AC164">
        <v>39.590000000000003</v>
      </c>
      <c r="AD164">
        <v>556.72</v>
      </c>
      <c r="AE164">
        <v>622.14</v>
      </c>
      <c r="AF164">
        <v>42.56</v>
      </c>
      <c r="AG164">
        <v>54.45</v>
      </c>
      <c r="AH164">
        <v>44.69</v>
      </c>
      <c r="AI164">
        <v>47.32</v>
      </c>
    </row>
    <row r="165" spans="1:35" x14ac:dyDescent="0.45">
      <c r="A165" s="2">
        <v>45852</v>
      </c>
      <c r="B165">
        <v>29.395</v>
      </c>
      <c r="C165">
        <v>30.21</v>
      </c>
      <c r="D165">
        <v>17.63</v>
      </c>
      <c r="E165">
        <v>27.36</v>
      </c>
      <c r="F165">
        <v>32.14</v>
      </c>
      <c r="G165">
        <v>48.69</v>
      </c>
      <c r="H165">
        <v>24.09</v>
      </c>
      <c r="I165">
        <v>57.81</v>
      </c>
      <c r="J165">
        <v>59.61</v>
      </c>
      <c r="K165">
        <v>73.2</v>
      </c>
      <c r="L165">
        <v>27.31</v>
      </c>
      <c r="M165">
        <v>52.99</v>
      </c>
      <c r="N165">
        <v>60.82</v>
      </c>
      <c r="O165">
        <v>54.92</v>
      </c>
      <c r="P165">
        <v>55.55</v>
      </c>
      <c r="Q165">
        <v>18.71</v>
      </c>
      <c r="R165">
        <v>1119.94</v>
      </c>
      <c r="S165">
        <v>32.97</v>
      </c>
      <c r="T165">
        <v>19.37</v>
      </c>
      <c r="U165">
        <v>15.24</v>
      </c>
      <c r="V165">
        <v>38.65</v>
      </c>
      <c r="W165">
        <v>45.49</v>
      </c>
      <c r="X165">
        <v>26.39</v>
      </c>
      <c r="Y165">
        <v>46.44</v>
      </c>
      <c r="Z165">
        <v>42.35</v>
      </c>
      <c r="AA165">
        <v>72.41</v>
      </c>
      <c r="AB165">
        <v>54.71</v>
      </c>
      <c r="AC165">
        <v>40.03</v>
      </c>
      <c r="AD165">
        <v>556.21</v>
      </c>
      <c r="AE165">
        <v>624.80999999999995</v>
      </c>
      <c r="AF165">
        <v>43.12</v>
      </c>
      <c r="AG165">
        <v>54.4</v>
      </c>
      <c r="AH165">
        <v>45.3</v>
      </c>
      <c r="AI165">
        <v>48.16</v>
      </c>
    </row>
    <row r="166" spans="1:35" x14ac:dyDescent="0.45">
      <c r="A166" s="2">
        <v>45849</v>
      </c>
      <c r="B166">
        <v>29.2</v>
      </c>
      <c r="C166">
        <v>30.51</v>
      </c>
      <c r="D166">
        <v>17.87</v>
      </c>
      <c r="E166">
        <v>27.13</v>
      </c>
      <c r="F166">
        <v>31.95</v>
      </c>
      <c r="G166">
        <v>48.83</v>
      </c>
      <c r="H166">
        <v>24.08</v>
      </c>
      <c r="I166">
        <v>58.3</v>
      </c>
      <c r="J166">
        <v>60.13</v>
      </c>
      <c r="K166">
        <v>72.56</v>
      </c>
      <c r="L166">
        <v>27.53</v>
      </c>
      <c r="M166">
        <v>52.98</v>
      </c>
      <c r="N166">
        <v>60.99</v>
      </c>
      <c r="O166">
        <v>54.88</v>
      </c>
      <c r="P166">
        <v>54.95</v>
      </c>
      <c r="Q166">
        <v>18.73</v>
      </c>
      <c r="R166">
        <v>1127.21</v>
      </c>
      <c r="S166">
        <v>33.17</v>
      </c>
      <c r="T166">
        <v>19.21</v>
      </c>
      <c r="U166">
        <v>15.22</v>
      </c>
      <c r="V166">
        <v>38.89</v>
      </c>
      <c r="W166">
        <v>45.76</v>
      </c>
      <c r="X166">
        <v>26.36</v>
      </c>
      <c r="Y166">
        <v>46.13</v>
      </c>
      <c r="Z166">
        <v>42.45</v>
      </c>
      <c r="AA166">
        <v>72.36</v>
      </c>
      <c r="AB166">
        <v>54.7</v>
      </c>
      <c r="AC166">
        <v>39.92</v>
      </c>
      <c r="AD166">
        <v>554.20000000000005</v>
      </c>
      <c r="AE166">
        <v>623.62</v>
      </c>
      <c r="AF166">
        <v>43.28</v>
      </c>
      <c r="AG166">
        <v>54.41</v>
      </c>
      <c r="AH166">
        <v>45.57</v>
      </c>
      <c r="AI166">
        <v>47.99</v>
      </c>
    </row>
    <row r="167" spans="1:35" x14ac:dyDescent="0.45">
      <c r="A167" s="2">
        <v>45848</v>
      </c>
      <c r="B167">
        <v>29.32</v>
      </c>
      <c r="C167">
        <v>31.1</v>
      </c>
      <c r="D167">
        <v>17.760000000000002</v>
      </c>
      <c r="E167">
        <v>27.19</v>
      </c>
      <c r="F167">
        <v>32.049999999999997</v>
      </c>
      <c r="G167">
        <v>49.12</v>
      </c>
      <c r="H167">
        <v>24.11</v>
      </c>
      <c r="I167">
        <v>58.38</v>
      </c>
      <c r="J167">
        <v>60.29</v>
      </c>
      <c r="K167">
        <v>73.14</v>
      </c>
      <c r="L167">
        <v>27.72</v>
      </c>
      <c r="M167">
        <v>53.95</v>
      </c>
      <c r="N167">
        <v>61.32</v>
      </c>
      <c r="O167">
        <v>55.27</v>
      </c>
      <c r="P167">
        <v>55.01</v>
      </c>
      <c r="Q167">
        <v>18.75</v>
      </c>
      <c r="R167">
        <v>1115.69</v>
      </c>
      <c r="S167">
        <v>33.25</v>
      </c>
      <c r="T167">
        <v>19.079999999999998</v>
      </c>
      <c r="U167">
        <v>15.12</v>
      </c>
      <c r="V167">
        <v>39</v>
      </c>
      <c r="W167">
        <v>46.01</v>
      </c>
      <c r="X167">
        <v>26.58</v>
      </c>
      <c r="Y167">
        <v>46.41</v>
      </c>
      <c r="Z167">
        <v>42.86</v>
      </c>
      <c r="AA167">
        <v>72.94</v>
      </c>
      <c r="AB167">
        <v>55.45</v>
      </c>
      <c r="AC167">
        <v>40.270000000000003</v>
      </c>
      <c r="AD167">
        <v>555.45000000000005</v>
      </c>
      <c r="AE167">
        <v>625.82000000000005</v>
      </c>
      <c r="AF167">
        <v>43.75</v>
      </c>
      <c r="AG167">
        <v>54.63</v>
      </c>
      <c r="AH167">
        <v>46.39</v>
      </c>
      <c r="AI167">
        <v>48.53</v>
      </c>
    </row>
    <row r="168" spans="1:35" x14ac:dyDescent="0.45">
      <c r="A168" s="2">
        <v>45847</v>
      </c>
      <c r="B168">
        <v>29.07</v>
      </c>
      <c r="C168">
        <v>31.04</v>
      </c>
      <c r="D168">
        <v>17.47</v>
      </c>
      <c r="E168">
        <v>27.15</v>
      </c>
      <c r="F168">
        <v>32.72</v>
      </c>
      <c r="G168">
        <v>48.81</v>
      </c>
      <c r="H168">
        <v>23.98</v>
      </c>
      <c r="I168">
        <v>58.03</v>
      </c>
      <c r="J168">
        <v>60.28</v>
      </c>
      <c r="K168">
        <v>72.08</v>
      </c>
      <c r="L168">
        <v>28.16</v>
      </c>
      <c r="M168">
        <v>54</v>
      </c>
      <c r="N168">
        <v>61.08</v>
      </c>
      <c r="O168">
        <v>55.66</v>
      </c>
      <c r="P168">
        <v>54.58</v>
      </c>
      <c r="Q168">
        <v>18.75</v>
      </c>
      <c r="R168">
        <v>1110.01</v>
      </c>
      <c r="S168">
        <v>32.79</v>
      </c>
      <c r="T168">
        <v>19.13</v>
      </c>
      <c r="U168">
        <v>14.89</v>
      </c>
      <c r="V168">
        <v>38.89</v>
      </c>
      <c r="W168">
        <v>46.07</v>
      </c>
      <c r="X168">
        <v>26.24</v>
      </c>
      <c r="Y168">
        <v>46.13</v>
      </c>
      <c r="Z168">
        <v>43.26</v>
      </c>
      <c r="AA168">
        <v>73.3</v>
      </c>
      <c r="AB168">
        <v>55.28</v>
      </c>
      <c r="AC168">
        <v>40.01</v>
      </c>
      <c r="AD168">
        <v>556.25</v>
      </c>
      <c r="AE168">
        <v>624.05999999999995</v>
      </c>
      <c r="AF168">
        <v>43.84</v>
      </c>
      <c r="AG168">
        <v>54.58</v>
      </c>
      <c r="AH168">
        <v>46.05</v>
      </c>
      <c r="AI168">
        <v>49.17</v>
      </c>
    </row>
    <row r="169" spans="1:35" x14ac:dyDescent="0.45">
      <c r="A169" s="2">
        <v>45846</v>
      </c>
      <c r="B169">
        <v>29.12</v>
      </c>
      <c r="C169">
        <v>31.41</v>
      </c>
      <c r="D169">
        <v>17.309999999999999</v>
      </c>
      <c r="E169">
        <v>26.78</v>
      </c>
      <c r="F169">
        <v>32.619999999999997</v>
      </c>
      <c r="G169">
        <v>49.3</v>
      </c>
      <c r="H169">
        <v>23.95</v>
      </c>
      <c r="I169">
        <v>57.66</v>
      </c>
      <c r="J169">
        <v>60.89</v>
      </c>
      <c r="K169">
        <v>72.08</v>
      </c>
      <c r="L169">
        <v>28.71</v>
      </c>
      <c r="M169">
        <v>53.81</v>
      </c>
      <c r="N169">
        <v>60.9</v>
      </c>
      <c r="O169">
        <v>55.69</v>
      </c>
      <c r="P169">
        <v>55.13</v>
      </c>
      <c r="Q169">
        <v>18.73</v>
      </c>
      <c r="R169">
        <v>1089.56</v>
      </c>
      <c r="S169">
        <v>32.119999999999997</v>
      </c>
      <c r="T169">
        <v>18.84</v>
      </c>
      <c r="U169">
        <v>14.51</v>
      </c>
      <c r="V169">
        <v>38.9</v>
      </c>
      <c r="W169">
        <v>45.98</v>
      </c>
      <c r="X169">
        <v>26.14</v>
      </c>
      <c r="Y169">
        <v>46</v>
      </c>
      <c r="Z169">
        <v>42.59</v>
      </c>
      <c r="AA169">
        <v>73.19</v>
      </c>
      <c r="AB169">
        <v>54.82</v>
      </c>
      <c r="AC169">
        <v>39.79</v>
      </c>
      <c r="AD169">
        <v>552.34</v>
      </c>
      <c r="AE169">
        <v>620.34</v>
      </c>
      <c r="AF169">
        <v>43.27</v>
      </c>
      <c r="AG169">
        <v>54.33</v>
      </c>
      <c r="AH169">
        <v>45.55</v>
      </c>
      <c r="AI169">
        <v>48.34</v>
      </c>
    </row>
    <row r="170" spans="1:35" x14ac:dyDescent="0.45">
      <c r="A170" s="2">
        <v>45845</v>
      </c>
      <c r="B170">
        <v>28.86</v>
      </c>
      <c r="C170">
        <v>31.02</v>
      </c>
      <c r="D170">
        <v>17.34</v>
      </c>
      <c r="E170">
        <v>26.72</v>
      </c>
      <c r="F170">
        <v>32.25</v>
      </c>
      <c r="G170">
        <v>49.62</v>
      </c>
      <c r="H170">
        <v>23.93</v>
      </c>
      <c r="I170">
        <v>57.63</v>
      </c>
      <c r="J170">
        <v>61.11</v>
      </c>
      <c r="K170">
        <v>70.069999999999993</v>
      </c>
      <c r="L170">
        <v>28.6</v>
      </c>
      <c r="M170">
        <v>53.84</v>
      </c>
      <c r="N170">
        <v>59.12</v>
      </c>
      <c r="O170">
        <v>55.36</v>
      </c>
      <c r="P170">
        <v>54.62</v>
      </c>
      <c r="Q170">
        <v>18.68</v>
      </c>
      <c r="R170">
        <v>1082.42</v>
      </c>
      <c r="S170">
        <v>32.44</v>
      </c>
      <c r="T170">
        <v>18.86</v>
      </c>
      <c r="U170">
        <v>14.18</v>
      </c>
      <c r="V170">
        <v>39.08</v>
      </c>
      <c r="W170">
        <v>45.5</v>
      </c>
      <c r="X170">
        <v>25.98</v>
      </c>
      <c r="Y170">
        <v>46.18</v>
      </c>
      <c r="Z170">
        <v>42.23</v>
      </c>
      <c r="AA170">
        <v>72.819999999999993</v>
      </c>
      <c r="AB170">
        <v>54.53</v>
      </c>
      <c r="AC170">
        <v>39.42</v>
      </c>
      <c r="AD170">
        <v>552.03</v>
      </c>
      <c r="AE170">
        <v>620.67999999999995</v>
      </c>
      <c r="AF170">
        <v>42.68</v>
      </c>
      <c r="AG170">
        <v>53.98</v>
      </c>
      <c r="AH170">
        <v>45.52</v>
      </c>
      <c r="AI170">
        <v>47.87</v>
      </c>
    </row>
    <row r="171" spans="1:35" x14ac:dyDescent="0.45">
      <c r="A171" s="2">
        <v>45841</v>
      </c>
      <c r="B171">
        <v>28.91</v>
      </c>
      <c r="C171">
        <v>31.82</v>
      </c>
      <c r="D171">
        <v>17.47</v>
      </c>
      <c r="E171">
        <v>27.08</v>
      </c>
      <c r="F171">
        <v>32.82</v>
      </c>
      <c r="G171">
        <v>50.06</v>
      </c>
      <c r="H171">
        <v>24.41</v>
      </c>
      <c r="I171">
        <v>59.44</v>
      </c>
      <c r="J171">
        <v>61.7</v>
      </c>
      <c r="K171">
        <v>72.7</v>
      </c>
      <c r="L171">
        <v>29.31</v>
      </c>
      <c r="M171">
        <v>54.79</v>
      </c>
      <c r="N171">
        <v>59.72</v>
      </c>
      <c r="O171">
        <v>55.79</v>
      </c>
      <c r="P171">
        <v>54.72</v>
      </c>
      <c r="Q171">
        <v>18.63</v>
      </c>
      <c r="R171">
        <v>1106.73</v>
      </c>
      <c r="S171">
        <v>33.04</v>
      </c>
      <c r="T171">
        <v>18.84</v>
      </c>
      <c r="U171">
        <v>13.96</v>
      </c>
      <c r="V171">
        <v>38.89</v>
      </c>
      <c r="W171">
        <v>45.96</v>
      </c>
      <c r="X171">
        <v>26.48</v>
      </c>
      <c r="Y171">
        <v>46.67</v>
      </c>
      <c r="Z171">
        <v>42.21</v>
      </c>
      <c r="AA171">
        <v>74.599999999999994</v>
      </c>
      <c r="AB171">
        <v>54.9</v>
      </c>
      <c r="AC171">
        <v>39.82</v>
      </c>
      <c r="AD171">
        <v>556.22</v>
      </c>
      <c r="AE171">
        <v>625.34</v>
      </c>
      <c r="AF171">
        <v>43.08</v>
      </c>
      <c r="AG171">
        <v>54.29</v>
      </c>
      <c r="AH171">
        <v>45.62</v>
      </c>
      <c r="AI171">
        <v>48.21</v>
      </c>
    </row>
    <row r="172" spans="1:35" x14ac:dyDescent="0.45">
      <c r="A172" s="2">
        <v>45840</v>
      </c>
      <c r="B172">
        <v>28.7</v>
      </c>
      <c r="C172">
        <v>31.85</v>
      </c>
      <c r="D172">
        <v>17.48</v>
      </c>
      <c r="E172">
        <v>27</v>
      </c>
      <c r="F172">
        <v>32.19</v>
      </c>
      <c r="G172">
        <v>49.75</v>
      </c>
      <c r="H172">
        <v>24.41</v>
      </c>
      <c r="I172">
        <v>58.75</v>
      </c>
      <c r="J172">
        <v>61.59</v>
      </c>
      <c r="K172">
        <v>71.95</v>
      </c>
      <c r="L172">
        <v>28.91</v>
      </c>
      <c r="M172">
        <v>54.31</v>
      </c>
      <c r="N172">
        <v>59.34</v>
      </c>
      <c r="O172">
        <v>55.6</v>
      </c>
      <c r="P172">
        <v>55</v>
      </c>
      <c r="Q172">
        <v>18.559999999999999</v>
      </c>
      <c r="R172">
        <v>1107.69</v>
      </c>
      <c r="S172">
        <v>33.07</v>
      </c>
      <c r="T172">
        <v>18.600000000000001</v>
      </c>
      <c r="U172">
        <v>13.76</v>
      </c>
      <c r="V172">
        <v>38.44</v>
      </c>
      <c r="W172">
        <v>46.265000000000001</v>
      </c>
      <c r="X172">
        <v>26.54</v>
      </c>
      <c r="Y172">
        <v>46.33</v>
      </c>
      <c r="Z172">
        <v>42.17</v>
      </c>
      <c r="AA172">
        <v>74.459999999999994</v>
      </c>
      <c r="AB172">
        <v>55.27</v>
      </c>
      <c r="AC172">
        <v>39.61</v>
      </c>
      <c r="AD172">
        <v>550.79999999999995</v>
      </c>
      <c r="AE172">
        <v>620.45000000000005</v>
      </c>
      <c r="AF172">
        <v>43.27</v>
      </c>
      <c r="AG172">
        <v>54.3</v>
      </c>
      <c r="AH172">
        <v>45.51</v>
      </c>
      <c r="AI172">
        <v>48.29</v>
      </c>
    </row>
    <row r="173" spans="1:35" x14ac:dyDescent="0.45">
      <c r="A173" s="2">
        <v>45839</v>
      </c>
      <c r="B173">
        <v>28.71</v>
      </c>
      <c r="C173">
        <v>31.51</v>
      </c>
      <c r="D173">
        <v>17.489999999999998</v>
      </c>
      <c r="E173">
        <v>27.14</v>
      </c>
      <c r="F173">
        <v>32.06</v>
      </c>
      <c r="G173">
        <v>48.857199999999999</v>
      </c>
      <c r="H173">
        <v>24.38</v>
      </c>
      <c r="I173">
        <v>57.58</v>
      </c>
      <c r="J173">
        <v>61.12</v>
      </c>
      <c r="K173">
        <v>71.64</v>
      </c>
      <c r="L173">
        <v>28.79</v>
      </c>
      <c r="M173">
        <v>54.21</v>
      </c>
      <c r="N173">
        <v>58.63</v>
      </c>
      <c r="O173">
        <v>55.84</v>
      </c>
      <c r="P173">
        <v>55.27</v>
      </c>
      <c r="Q173">
        <v>18.579999999999998</v>
      </c>
      <c r="R173">
        <v>1100.01</v>
      </c>
      <c r="S173">
        <v>32.479999999999997</v>
      </c>
      <c r="T173">
        <v>18.66</v>
      </c>
      <c r="U173">
        <v>13.72</v>
      </c>
      <c r="V173">
        <v>38.25</v>
      </c>
      <c r="W173">
        <v>45.96</v>
      </c>
      <c r="X173">
        <v>26.35</v>
      </c>
      <c r="Y173">
        <v>46.19</v>
      </c>
      <c r="Z173">
        <v>42.01</v>
      </c>
      <c r="AA173">
        <v>74.42</v>
      </c>
      <c r="AB173">
        <v>54.98</v>
      </c>
      <c r="AC173">
        <v>39.85</v>
      </c>
      <c r="AD173">
        <v>546.99</v>
      </c>
      <c r="AE173">
        <v>617.65</v>
      </c>
      <c r="AF173">
        <v>42.87</v>
      </c>
      <c r="AG173">
        <v>54.07</v>
      </c>
      <c r="AH173">
        <v>45.19</v>
      </c>
      <c r="AI173">
        <v>48.05</v>
      </c>
    </row>
    <row r="174" spans="1:35" x14ac:dyDescent="0.45">
      <c r="A174" s="2">
        <v>45838</v>
      </c>
      <c r="B174">
        <v>28.71</v>
      </c>
      <c r="C174">
        <v>31.45</v>
      </c>
      <c r="D174">
        <v>17.63</v>
      </c>
      <c r="E174">
        <v>27.12</v>
      </c>
      <c r="F174">
        <v>32.26</v>
      </c>
      <c r="G174">
        <v>48.59</v>
      </c>
      <c r="H174">
        <v>24.34</v>
      </c>
      <c r="I174">
        <v>57.4</v>
      </c>
      <c r="J174">
        <v>60.56</v>
      </c>
      <c r="K174">
        <v>71.78</v>
      </c>
      <c r="L174">
        <v>28.85</v>
      </c>
      <c r="M174">
        <v>53.75</v>
      </c>
      <c r="N174">
        <v>58.04</v>
      </c>
      <c r="O174">
        <v>55.68</v>
      </c>
      <c r="P174">
        <v>55.1</v>
      </c>
      <c r="Q174">
        <v>18.62</v>
      </c>
      <c r="R174">
        <v>1062.78</v>
      </c>
      <c r="S174">
        <v>32.26</v>
      </c>
      <c r="T174">
        <v>18.72</v>
      </c>
      <c r="U174">
        <v>13.75</v>
      </c>
      <c r="V174">
        <v>38.54</v>
      </c>
      <c r="W174">
        <v>45.61</v>
      </c>
      <c r="X174">
        <v>26.32</v>
      </c>
      <c r="Y174">
        <v>46.2</v>
      </c>
      <c r="Z174">
        <v>42.31</v>
      </c>
      <c r="AA174">
        <v>74.97</v>
      </c>
      <c r="AB174">
        <v>54.81</v>
      </c>
      <c r="AC174">
        <v>39.72</v>
      </c>
      <c r="AD174">
        <v>551.64</v>
      </c>
      <c r="AE174">
        <v>617.85</v>
      </c>
      <c r="AF174">
        <v>42.8</v>
      </c>
      <c r="AG174">
        <v>54.5</v>
      </c>
      <c r="AH174">
        <v>45.74</v>
      </c>
      <c r="AI174">
        <v>48.14</v>
      </c>
    </row>
    <row r="175" spans="1:35" x14ac:dyDescent="0.45">
      <c r="A175" s="2">
        <v>45835</v>
      </c>
      <c r="B175">
        <v>28.46</v>
      </c>
      <c r="C175">
        <v>31.05</v>
      </c>
      <c r="D175">
        <v>17.489999999999998</v>
      </c>
      <c r="E175">
        <v>27.23</v>
      </c>
      <c r="F175">
        <v>31.69</v>
      </c>
      <c r="G175">
        <v>48.49</v>
      </c>
      <c r="H175">
        <v>24.07</v>
      </c>
      <c r="I175">
        <v>57.85</v>
      </c>
      <c r="J175">
        <v>60.32</v>
      </c>
      <c r="K175">
        <v>70.739999999999995</v>
      </c>
      <c r="L175">
        <v>28.14</v>
      </c>
      <c r="M175">
        <v>52.64</v>
      </c>
      <c r="N175">
        <v>58.17</v>
      </c>
      <c r="O175">
        <v>55.86</v>
      </c>
      <c r="P175">
        <v>55.18</v>
      </c>
      <c r="Q175">
        <v>18.57</v>
      </c>
      <c r="R175">
        <v>1067.6300000000001</v>
      </c>
      <c r="S175">
        <v>30.49</v>
      </c>
      <c r="T175">
        <v>18.57</v>
      </c>
      <c r="U175">
        <v>13.73</v>
      </c>
      <c r="V175">
        <v>38.26</v>
      </c>
      <c r="W175">
        <v>45.37</v>
      </c>
      <c r="X175">
        <v>26.09</v>
      </c>
      <c r="Y175">
        <v>45.58</v>
      </c>
      <c r="Z175">
        <v>42.3</v>
      </c>
      <c r="AA175">
        <v>75.28</v>
      </c>
      <c r="AB175">
        <v>54.63</v>
      </c>
      <c r="AC175">
        <v>39.72</v>
      </c>
      <c r="AD175">
        <v>548.09</v>
      </c>
      <c r="AE175">
        <v>614.91</v>
      </c>
      <c r="AF175">
        <v>42.61</v>
      </c>
      <c r="AG175">
        <v>54.36</v>
      </c>
      <c r="AH175">
        <v>46.02</v>
      </c>
      <c r="AI175">
        <v>47.86</v>
      </c>
    </row>
    <row r="176" spans="1:35" x14ac:dyDescent="0.45">
      <c r="A176" s="2">
        <v>45834</v>
      </c>
      <c r="B176">
        <v>28.79</v>
      </c>
      <c r="C176">
        <v>31.26</v>
      </c>
      <c r="D176">
        <v>17.510000000000002</v>
      </c>
      <c r="E176">
        <v>26.85</v>
      </c>
      <c r="F176">
        <v>31.65</v>
      </c>
      <c r="G176">
        <v>49.107799999999997</v>
      </c>
      <c r="H176">
        <v>24.07</v>
      </c>
      <c r="I176">
        <v>57.85</v>
      </c>
      <c r="J176">
        <v>60.31</v>
      </c>
      <c r="K176">
        <v>71.94</v>
      </c>
      <c r="L176">
        <v>28.13</v>
      </c>
      <c r="M176">
        <v>52.98</v>
      </c>
      <c r="N176">
        <v>59.31</v>
      </c>
      <c r="O176">
        <v>55.71</v>
      </c>
      <c r="P176">
        <v>55.54</v>
      </c>
      <c r="Q176">
        <v>18.53</v>
      </c>
      <c r="R176">
        <v>1068.73</v>
      </c>
      <c r="S176">
        <v>30.19</v>
      </c>
      <c r="T176">
        <v>18.5</v>
      </c>
      <c r="U176">
        <v>13.61</v>
      </c>
      <c r="V176">
        <v>38.159999999999997</v>
      </c>
      <c r="W176">
        <v>45.32</v>
      </c>
      <c r="X176">
        <v>26.43</v>
      </c>
      <c r="Y176">
        <v>45.92</v>
      </c>
      <c r="Z176">
        <v>41.64</v>
      </c>
      <c r="AA176">
        <v>73.97</v>
      </c>
      <c r="AB176">
        <v>54.26</v>
      </c>
      <c r="AC176">
        <v>39.69</v>
      </c>
      <c r="AD176">
        <v>546.22</v>
      </c>
      <c r="AE176">
        <v>611.87</v>
      </c>
      <c r="AF176">
        <v>42.14</v>
      </c>
      <c r="AG176">
        <v>53.97</v>
      </c>
      <c r="AH176">
        <v>45.33</v>
      </c>
      <c r="AI176">
        <v>47.5</v>
      </c>
    </row>
    <row r="177" spans="1:35" x14ac:dyDescent="0.45">
      <c r="A177" s="2">
        <v>45833</v>
      </c>
      <c r="B177">
        <v>28.805</v>
      </c>
      <c r="C177">
        <v>30.86</v>
      </c>
      <c r="D177">
        <v>17.18</v>
      </c>
      <c r="E177">
        <v>26.81</v>
      </c>
      <c r="F177">
        <v>30.57</v>
      </c>
      <c r="G177">
        <v>47.315899999999999</v>
      </c>
      <c r="H177">
        <v>23.82</v>
      </c>
      <c r="I177">
        <v>57.31</v>
      </c>
      <c r="J177">
        <v>59.68</v>
      </c>
      <c r="K177">
        <v>72.37</v>
      </c>
      <c r="L177">
        <v>27.57</v>
      </c>
      <c r="M177">
        <v>52.89</v>
      </c>
      <c r="N177">
        <v>58.42</v>
      </c>
      <c r="O177">
        <v>55</v>
      </c>
      <c r="P177">
        <v>55.53</v>
      </c>
      <c r="Q177">
        <v>18.36</v>
      </c>
      <c r="R177">
        <v>1094.58</v>
      </c>
      <c r="S177">
        <v>30.68</v>
      </c>
      <c r="T177">
        <v>18.22</v>
      </c>
      <c r="U177">
        <v>13.54</v>
      </c>
      <c r="V177">
        <v>37.82</v>
      </c>
      <c r="W177">
        <v>44.6</v>
      </c>
      <c r="X177">
        <v>26.03</v>
      </c>
      <c r="Y177">
        <v>45.32</v>
      </c>
      <c r="Z177">
        <v>41.15</v>
      </c>
      <c r="AA177">
        <v>72.44</v>
      </c>
      <c r="AB177">
        <v>53.75</v>
      </c>
      <c r="AC177">
        <v>39.28</v>
      </c>
      <c r="AD177">
        <v>541.16</v>
      </c>
      <c r="AE177">
        <v>607.12</v>
      </c>
      <c r="AF177">
        <v>41.89</v>
      </c>
      <c r="AG177">
        <v>53.8</v>
      </c>
      <c r="AH177">
        <v>44.67</v>
      </c>
      <c r="AI177">
        <v>47.17</v>
      </c>
    </row>
    <row r="178" spans="1:35" x14ac:dyDescent="0.45">
      <c r="A178" s="2">
        <v>45832</v>
      </c>
      <c r="B178">
        <v>28.55</v>
      </c>
      <c r="C178">
        <v>30.96</v>
      </c>
      <c r="D178">
        <v>17.38</v>
      </c>
      <c r="E178">
        <v>26.61</v>
      </c>
      <c r="F178">
        <v>30.56</v>
      </c>
      <c r="G178">
        <v>47.313000000000002</v>
      </c>
      <c r="H178">
        <v>23.77</v>
      </c>
      <c r="I178">
        <v>56.82</v>
      </c>
      <c r="J178">
        <v>59.21</v>
      </c>
      <c r="K178">
        <v>72.650000000000006</v>
      </c>
      <c r="L178">
        <v>27.98</v>
      </c>
      <c r="M178">
        <v>53.46</v>
      </c>
      <c r="N178">
        <v>57.86</v>
      </c>
      <c r="O178">
        <v>54.8</v>
      </c>
      <c r="P178">
        <v>55.57</v>
      </c>
      <c r="Q178">
        <v>18.25</v>
      </c>
      <c r="R178">
        <v>1113.58</v>
      </c>
      <c r="S178">
        <v>30.86</v>
      </c>
      <c r="T178">
        <v>18.3</v>
      </c>
      <c r="U178">
        <v>13.62</v>
      </c>
      <c r="V178">
        <v>37.72</v>
      </c>
      <c r="W178">
        <v>44.79</v>
      </c>
      <c r="X178">
        <v>26.05</v>
      </c>
      <c r="Y178">
        <v>45.62</v>
      </c>
      <c r="Z178">
        <v>41.39</v>
      </c>
      <c r="AA178">
        <v>72.739999999999995</v>
      </c>
      <c r="AB178">
        <v>54.32</v>
      </c>
      <c r="AC178">
        <v>39.409999999999997</v>
      </c>
      <c r="AD178">
        <v>539.78</v>
      </c>
      <c r="AE178">
        <v>606.78</v>
      </c>
      <c r="AF178">
        <v>42.04</v>
      </c>
      <c r="AG178">
        <v>54.16</v>
      </c>
      <c r="AH178">
        <v>44.95</v>
      </c>
      <c r="AI178">
        <v>47.2</v>
      </c>
    </row>
    <row r="179" spans="1:35" x14ac:dyDescent="0.45">
      <c r="A179" s="2">
        <v>45831</v>
      </c>
      <c r="B179">
        <v>28.03</v>
      </c>
      <c r="C179">
        <v>30.03</v>
      </c>
      <c r="D179">
        <v>16.89</v>
      </c>
      <c r="E179">
        <v>25.96</v>
      </c>
      <c r="F179">
        <v>29.51</v>
      </c>
      <c r="G179">
        <v>46.97</v>
      </c>
      <c r="H179">
        <v>23.53</v>
      </c>
      <c r="I179">
        <v>55.18</v>
      </c>
      <c r="J179">
        <v>57.94</v>
      </c>
      <c r="K179">
        <v>69.42</v>
      </c>
      <c r="L179">
        <v>27.66</v>
      </c>
      <c r="M179">
        <v>52.35</v>
      </c>
      <c r="N179">
        <v>56.55</v>
      </c>
      <c r="O179">
        <v>54.31</v>
      </c>
      <c r="P179">
        <v>54.13</v>
      </c>
      <c r="Q179">
        <v>17.96</v>
      </c>
      <c r="R179">
        <v>1114.49</v>
      </c>
      <c r="S179">
        <v>30.08</v>
      </c>
      <c r="T179">
        <v>17.66</v>
      </c>
      <c r="U179">
        <v>13.4</v>
      </c>
      <c r="V179">
        <v>37.1</v>
      </c>
      <c r="W179">
        <v>44.86</v>
      </c>
      <c r="X179">
        <v>25.79</v>
      </c>
      <c r="Y179">
        <v>45.33</v>
      </c>
      <c r="Z179">
        <v>40.75</v>
      </c>
      <c r="AA179">
        <v>72.02</v>
      </c>
      <c r="AB179">
        <v>53.46</v>
      </c>
      <c r="AC179">
        <v>39.17</v>
      </c>
      <c r="AD179">
        <v>531.65</v>
      </c>
      <c r="AE179">
        <v>600.15</v>
      </c>
      <c r="AF179">
        <v>41.57</v>
      </c>
      <c r="AG179">
        <v>53.03</v>
      </c>
      <c r="AH179">
        <v>43.96</v>
      </c>
      <c r="AI179">
        <v>46.45</v>
      </c>
    </row>
    <row r="180" spans="1:35" x14ac:dyDescent="0.45">
      <c r="A180" s="2">
        <v>45828</v>
      </c>
      <c r="B180">
        <v>27.925000000000001</v>
      </c>
      <c r="C180">
        <v>30.1</v>
      </c>
      <c r="D180">
        <v>17.18</v>
      </c>
      <c r="E180">
        <v>26.5</v>
      </c>
      <c r="F180">
        <v>29.72</v>
      </c>
      <c r="G180">
        <v>47.08</v>
      </c>
      <c r="H180">
        <v>23.41</v>
      </c>
      <c r="I180">
        <v>54.84</v>
      </c>
      <c r="J180">
        <v>58.11</v>
      </c>
      <c r="K180">
        <v>68.53</v>
      </c>
      <c r="L180">
        <v>27.67</v>
      </c>
      <c r="M180">
        <v>51.73</v>
      </c>
      <c r="N180">
        <v>54.71</v>
      </c>
      <c r="O180">
        <v>53.9</v>
      </c>
      <c r="P180">
        <v>53.5</v>
      </c>
      <c r="Q180">
        <v>17.72</v>
      </c>
      <c r="R180">
        <v>1122.7</v>
      </c>
      <c r="S180">
        <v>29.96</v>
      </c>
      <c r="T180">
        <v>17.260000000000002</v>
      </c>
      <c r="U180">
        <v>13.345000000000001</v>
      </c>
      <c r="V180">
        <v>36.56</v>
      </c>
      <c r="W180">
        <v>44.6</v>
      </c>
      <c r="X180">
        <v>25.55</v>
      </c>
      <c r="Y180">
        <v>45.1</v>
      </c>
      <c r="Z180">
        <v>40.340000000000003</v>
      </c>
      <c r="AA180">
        <v>71.760000000000005</v>
      </c>
      <c r="AB180">
        <v>52.68</v>
      </c>
      <c r="AC180">
        <v>38.9</v>
      </c>
      <c r="AD180">
        <v>526.83000000000004</v>
      </c>
      <c r="AE180">
        <v>594.28</v>
      </c>
      <c r="AF180">
        <v>41.29</v>
      </c>
      <c r="AG180">
        <v>51.892699999999998</v>
      </c>
      <c r="AH180">
        <v>43.81</v>
      </c>
      <c r="AI180">
        <v>46.36</v>
      </c>
    </row>
    <row r="181" spans="1:35" x14ac:dyDescent="0.45">
      <c r="A181" s="2">
        <v>45826</v>
      </c>
      <c r="B181">
        <v>27.96</v>
      </c>
      <c r="C181">
        <v>30.34</v>
      </c>
      <c r="D181">
        <v>17.87</v>
      </c>
      <c r="E181">
        <v>26.7</v>
      </c>
      <c r="F181">
        <v>29.36</v>
      </c>
      <c r="G181">
        <v>47.413699999999999</v>
      </c>
      <c r="H181">
        <v>23.59</v>
      </c>
      <c r="I181">
        <v>56.03</v>
      </c>
      <c r="J181">
        <v>58.97</v>
      </c>
      <c r="K181">
        <v>67.87</v>
      </c>
      <c r="L181">
        <v>28.08</v>
      </c>
      <c r="M181">
        <v>51.8</v>
      </c>
      <c r="N181">
        <v>54.58</v>
      </c>
      <c r="O181">
        <v>53.79</v>
      </c>
      <c r="P181">
        <v>53.93</v>
      </c>
      <c r="Q181">
        <v>17.82</v>
      </c>
      <c r="R181">
        <v>1128.6199999999999</v>
      </c>
      <c r="S181">
        <v>30.11</v>
      </c>
      <c r="T181">
        <v>16.989999999999998</v>
      </c>
      <c r="U181">
        <v>13.36</v>
      </c>
      <c r="V181">
        <v>36.36</v>
      </c>
      <c r="W181">
        <v>45.08</v>
      </c>
      <c r="X181">
        <v>25.86</v>
      </c>
      <c r="Y181">
        <v>45.32</v>
      </c>
      <c r="Z181">
        <v>40.28</v>
      </c>
      <c r="AA181">
        <v>73.05</v>
      </c>
      <c r="AB181">
        <v>53.25</v>
      </c>
      <c r="AC181">
        <v>39.22</v>
      </c>
      <c r="AD181">
        <v>528.99</v>
      </c>
      <c r="AE181">
        <v>597.44000000000005</v>
      </c>
      <c r="AF181">
        <v>41.67</v>
      </c>
      <c r="AG181">
        <v>52.247599999999998</v>
      </c>
      <c r="AH181">
        <v>43.98</v>
      </c>
      <c r="AI181">
        <v>46.46</v>
      </c>
    </row>
    <row r="182" spans="1:35" x14ac:dyDescent="0.45">
      <c r="A182" s="2">
        <v>45825</v>
      </c>
      <c r="B182">
        <v>28</v>
      </c>
      <c r="C182">
        <v>30.45</v>
      </c>
      <c r="D182">
        <v>18.02</v>
      </c>
      <c r="E182">
        <v>26.98</v>
      </c>
      <c r="F182">
        <v>29.39</v>
      </c>
      <c r="G182">
        <v>47.62</v>
      </c>
      <c r="H182">
        <v>23.53</v>
      </c>
      <c r="I182">
        <v>55.65</v>
      </c>
      <c r="J182">
        <v>58.91</v>
      </c>
      <c r="K182">
        <v>66.63</v>
      </c>
      <c r="L182">
        <v>28.11</v>
      </c>
      <c r="M182">
        <v>51.56</v>
      </c>
      <c r="N182">
        <v>54.88</v>
      </c>
      <c r="O182">
        <v>53.83</v>
      </c>
      <c r="P182">
        <v>54.44</v>
      </c>
      <c r="Q182">
        <v>17.895</v>
      </c>
      <c r="R182">
        <v>1141.58</v>
      </c>
      <c r="S182">
        <v>30.21</v>
      </c>
      <c r="T182">
        <v>17.239999999999998</v>
      </c>
      <c r="U182">
        <v>13.31</v>
      </c>
      <c r="V182">
        <v>36.83</v>
      </c>
      <c r="W182">
        <v>45.09</v>
      </c>
      <c r="X182">
        <v>25.77</v>
      </c>
      <c r="Y182">
        <v>45.45</v>
      </c>
      <c r="Z182">
        <v>40.4</v>
      </c>
      <c r="AA182">
        <v>72.28</v>
      </c>
      <c r="AB182">
        <v>53.42</v>
      </c>
      <c r="AC182">
        <v>39.200000000000003</v>
      </c>
      <c r="AD182">
        <v>529.08000000000004</v>
      </c>
      <c r="AE182">
        <v>597.53</v>
      </c>
      <c r="AF182">
        <v>41.74</v>
      </c>
      <c r="AG182">
        <v>52.33</v>
      </c>
      <c r="AH182">
        <v>44.43</v>
      </c>
      <c r="AI182">
        <v>46.26</v>
      </c>
    </row>
    <row r="183" spans="1:35" x14ac:dyDescent="0.45">
      <c r="A183" s="2">
        <v>45824</v>
      </c>
      <c r="B183">
        <v>28.12</v>
      </c>
      <c r="C183">
        <v>31.11</v>
      </c>
      <c r="D183">
        <v>18.010000000000002</v>
      </c>
      <c r="E183">
        <v>27.35</v>
      </c>
      <c r="F183">
        <v>29.38</v>
      </c>
      <c r="G183">
        <v>47.7117</v>
      </c>
      <c r="H183">
        <v>23.93</v>
      </c>
      <c r="I183">
        <v>56.46</v>
      </c>
      <c r="J183">
        <v>59.82</v>
      </c>
      <c r="K183">
        <v>68.19</v>
      </c>
      <c r="L183">
        <v>28.31</v>
      </c>
      <c r="M183">
        <v>53.04</v>
      </c>
      <c r="N183">
        <v>55.79</v>
      </c>
      <c r="O183">
        <v>54.56</v>
      </c>
      <c r="P183">
        <v>55.01</v>
      </c>
      <c r="Q183">
        <v>18.045000000000002</v>
      </c>
      <c r="R183">
        <v>1139.1600000000001</v>
      </c>
      <c r="S183">
        <v>30.63</v>
      </c>
      <c r="T183">
        <v>17.559999999999999</v>
      </c>
      <c r="U183">
        <v>13.26</v>
      </c>
      <c r="V183">
        <v>37.479999999999997</v>
      </c>
      <c r="W183">
        <v>45.97</v>
      </c>
      <c r="X183">
        <v>26.09</v>
      </c>
      <c r="Y183">
        <v>45.76</v>
      </c>
      <c r="Z183">
        <v>41.13</v>
      </c>
      <c r="AA183">
        <v>73.150000000000006</v>
      </c>
      <c r="AB183">
        <v>53.77</v>
      </c>
      <c r="AC183">
        <v>39.619999999999997</v>
      </c>
      <c r="AD183">
        <v>534.29</v>
      </c>
      <c r="AE183">
        <v>602.67999999999995</v>
      </c>
      <c r="AF183">
        <v>42.21</v>
      </c>
      <c r="AG183">
        <v>53.08</v>
      </c>
      <c r="AH183">
        <v>44.91</v>
      </c>
      <c r="AI183">
        <v>47.21</v>
      </c>
    </row>
    <row r="184" spans="1:35" x14ac:dyDescent="0.45">
      <c r="A184" s="2">
        <v>45821</v>
      </c>
      <c r="B184">
        <v>28.15</v>
      </c>
      <c r="C184">
        <v>31.83</v>
      </c>
      <c r="D184">
        <v>18.62</v>
      </c>
      <c r="E184">
        <v>27.66</v>
      </c>
      <c r="F184">
        <v>29.86</v>
      </c>
      <c r="G184">
        <v>48.2913</v>
      </c>
      <c r="H184">
        <v>24.26</v>
      </c>
      <c r="I184">
        <v>55.85</v>
      </c>
      <c r="J184">
        <v>61.06</v>
      </c>
      <c r="K184">
        <v>66.42</v>
      </c>
      <c r="L184">
        <v>28.14</v>
      </c>
      <c r="M184">
        <v>53.3</v>
      </c>
      <c r="N184">
        <v>56</v>
      </c>
      <c r="O184">
        <v>54.04</v>
      </c>
      <c r="P184">
        <v>54.77</v>
      </c>
      <c r="Q184">
        <v>18.2</v>
      </c>
      <c r="R184">
        <v>1135.24</v>
      </c>
      <c r="S184">
        <v>30.75</v>
      </c>
      <c r="T184">
        <v>17.88</v>
      </c>
      <c r="U184">
        <v>13.02</v>
      </c>
      <c r="V184">
        <v>37.130000000000003</v>
      </c>
      <c r="W184">
        <v>45.19</v>
      </c>
      <c r="X184">
        <v>26.32</v>
      </c>
      <c r="Y184">
        <v>45.88</v>
      </c>
      <c r="Z184">
        <v>41.51</v>
      </c>
      <c r="AA184">
        <v>73.599999999999994</v>
      </c>
      <c r="AB184">
        <v>55.22</v>
      </c>
      <c r="AC184">
        <v>40.42</v>
      </c>
      <c r="AD184">
        <v>526.96</v>
      </c>
      <c r="AE184">
        <v>597</v>
      </c>
      <c r="AF184">
        <v>42.83</v>
      </c>
      <c r="AG184">
        <v>53.54</v>
      </c>
      <c r="AH184">
        <v>45.49</v>
      </c>
      <c r="AI184">
        <v>47.43</v>
      </c>
    </row>
    <row r="185" spans="1:35" x14ac:dyDescent="0.45">
      <c r="A185" s="2">
        <v>45820</v>
      </c>
      <c r="B185">
        <v>28.42</v>
      </c>
      <c r="C185">
        <v>32.51</v>
      </c>
      <c r="D185">
        <v>18.899999999999999</v>
      </c>
      <c r="E185">
        <v>28.08</v>
      </c>
      <c r="F185">
        <v>30.63</v>
      </c>
      <c r="G185">
        <v>48.584800000000001</v>
      </c>
      <c r="H185">
        <v>24.54</v>
      </c>
      <c r="I185">
        <v>56.74</v>
      </c>
      <c r="J185">
        <v>61.57</v>
      </c>
      <c r="K185">
        <v>67.69</v>
      </c>
      <c r="L185">
        <v>28.15</v>
      </c>
      <c r="M185">
        <v>54.77</v>
      </c>
      <c r="N185">
        <v>56.89</v>
      </c>
      <c r="O185">
        <v>54.8</v>
      </c>
      <c r="P185">
        <v>55.79</v>
      </c>
      <c r="Q185">
        <v>18.899999999999999</v>
      </c>
      <c r="R185">
        <v>1136.43</v>
      </c>
      <c r="S185">
        <v>31.57</v>
      </c>
      <c r="T185">
        <v>18.395</v>
      </c>
      <c r="U185">
        <v>13.36</v>
      </c>
      <c r="V185">
        <v>38.07</v>
      </c>
      <c r="W185">
        <v>46.07</v>
      </c>
      <c r="X185">
        <v>26.64</v>
      </c>
      <c r="Y185">
        <v>46</v>
      </c>
      <c r="Z185">
        <v>42.22</v>
      </c>
      <c r="AA185">
        <v>74.209999999999994</v>
      </c>
      <c r="AB185">
        <v>56.27</v>
      </c>
      <c r="AC185">
        <v>40.78</v>
      </c>
      <c r="AD185">
        <v>533.66</v>
      </c>
      <c r="AE185">
        <v>603.75</v>
      </c>
      <c r="AF185">
        <v>43.57</v>
      </c>
      <c r="AG185">
        <v>54.73</v>
      </c>
      <c r="AH185">
        <v>46.02</v>
      </c>
      <c r="AI185">
        <v>48.25</v>
      </c>
    </row>
    <row r="186" spans="1:35" x14ac:dyDescent="0.45">
      <c r="A186" s="2">
        <v>45819</v>
      </c>
      <c r="B186">
        <v>28.29</v>
      </c>
      <c r="C186">
        <v>32.54</v>
      </c>
      <c r="D186">
        <v>18.91</v>
      </c>
      <c r="E186">
        <v>27.93</v>
      </c>
      <c r="F186">
        <v>30.62</v>
      </c>
      <c r="G186">
        <v>48.44</v>
      </c>
      <c r="H186">
        <v>24.45</v>
      </c>
      <c r="I186">
        <v>55.83</v>
      </c>
      <c r="J186">
        <v>61.56</v>
      </c>
      <c r="K186">
        <v>66.989999999999995</v>
      </c>
      <c r="L186">
        <v>28.22</v>
      </c>
      <c r="M186">
        <v>54.08</v>
      </c>
      <c r="N186">
        <v>56.52</v>
      </c>
      <c r="O186">
        <v>55.33</v>
      </c>
      <c r="P186">
        <v>55.86</v>
      </c>
      <c r="Q186">
        <v>18.96</v>
      </c>
      <c r="R186">
        <v>1140.6300000000001</v>
      </c>
      <c r="S186">
        <v>32.11</v>
      </c>
      <c r="T186">
        <v>18.72</v>
      </c>
      <c r="U186">
        <v>13.32</v>
      </c>
      <c r="V186">
        <v>38.46</v>
      </c>
      <c r="W186">
        <v>45.76</v>
      </c>
      <c r="X186">
        <v>26.6</v>
      </c>
      <c r="Y186">
        <v>45.66</v>
      </c>
      <c r="Z186">
        <v>42.11</v>
      </c>
      <c r="AA186">
        <v>73.67</v>
      </c>
      <c r="AB186">
        <v>55.43</v>
      </c>
      <c r="AC186">
        <v>40.409999999999997</v>
      </c>
      <c r="AD186">
        <v>532.41</v>
      </c>
      <c r="AE186">
        <v>601.36</v>
      </c>
      <c r="AF186">
        <v>43.11</v>
      </c>
      <c r="AG186">
        <v>54.37</v>
      </c>
      <c r="AH186">
        <v>45.9</v>
      </c>
      <c r="AI186">
        <v>47.93</v>
      </c>
    </row>
    <row r="187" spans="1:35" x14ac:dyDescent="0.45">
      <c r="A187" s="2">
        <v>45818</v>
      </c>
      <c r="B187">
        <v>28.1</v>
      </c>
      <c r="C187">
        <v>31.82</v>
      </c>
      <c r="D187">
        <v>18.84</v>
      </c>
      <c r="E187">
        <v>27.82</v>
      </c>
      <c r="F187">
        <v>30.83</v>
      </c>
      <c r="G187">
        <v>48.231099999999998</v>
      </c>
      <c r="H187">
        <v>24.28</v>
      </c>
      <c r="I187">
        <v>55.8</v>
      </c>
      <c r="J187">
        <v>61.36</v>
      </c>
      <c r="K187">
        <v>66.16</v>
      </c>
      <c r="L187">
        <v>27.72</v>
      </c>
      <c r="M187">
        <v>54.66</v>
      </c>
      <c r="N187">
        <v>56.48</v>
      </c>
      <c r="O187">
        <v>55.26</v>
      </c>
      <c r="P187">
        <v>55.69</v>
      </c>
      <c r="Q187">
        <v>18.920000000000002</v>
      </c>
      <c r="R187">
        <v>1132.02</v>
      </c>
      <c r="S187">
        <v>32.17</v>
      </c>
      <c r="T187">
        <v>18.78</v>
      </c>
      <c r="U187">
        <v>13.4</v>
      </c>
      <c r="V187">
        <v>38.72</v>
      </c>
      <c r="W187">
        <v>45.65</v>
      </c>
      <c r="X187">
        <v>26.71</v>
      </c>
      <c r="Y187">
        <v>45.43</v>
      </c>
      <c r="Z187">
        <v>42.12</v>
      </c>
      <c r="AA187">
        <v>73.88</v>
      </c>
      <c r="AB187">
        <v>55.67</v>
      </c>
      <c r="AC187">
        <v>40.31</v>
      </c>
      <c r="AD187">
        <v>534.21</v>
      </c>
      <c r="AE187">
        <v>603.08000000000004</v>
      </c>
      <c r="AF187">
        <v>43.21</v>
      </c>
      <c r="AG187">
        <v>54.57</v>
      </c>
      <c r="AH187">
        <v>45.94</v>
      </c>
      <c r="AI187">
        <v>47.93</v>
      </c>
    </row>
    <row r="188" spans="1:35" x14ac:dyDescent="0.45">
      <c r="A188" s="2">
        <v>45817</v>
      </c>
      <c r="B188">
        <v>28.3</v>
      </c>
      <c r="C188">
        <v>31.75</v>
      </c>
      <c r="D188">
        <v>18.59</v>
      </c>
      <c r="E188">
        <v>28.12</v>
      </c>
      <c r="F188">
        <v>30</v>
      </c>
      <c r="G188">
        <v>48.53</v>
      </c>
      <c r="H188">
        <v>24.32</v>
      </c>
      <c r="I188">
        <v>54.71</v>
      </c>
      <c r="J188">
        <v>61.09</v>
      </c>
      <c r="K188">
        <v>66.48</v>
      </c>
      <c r="L188">
        <v>27.62</v>
      </c>
      <c r="M188">
        <v>54.44</v>
      </c>
      <c r="N188">
        <v>55.85</v>
      </c>
      <c r="O188">
        <v>55.24</v>
      </c>
      <c r="P188">
        <v>55.52</v>
      </c>
      <c r="Q188">
        <v>18.829999999999998</v>
      </c>
      <c r="R188">
        <v>1149.18</v>
      </c>
      <c r="S188">
        <v>31.66</v>
      </c>
      <c r="T188">
        <v>18.71</v>
      </c>
      <c r="U188">
        <v>13.26</v>
      </c>
      <c r="V188">
        <v>38.57</v>
      </c>
      <c r="W188">
        <v>45.32</v>
      </c>
      <c r="X188">
        <v>26.44</v>
      </c>
      <c r="Y188">
        <v>45.3</v>
      </c>
      <c r="Z188">
        <v>42.31</v>
      </c>
      <c r="AA188">
        <v>73.930000000000007</v>
      </c>
      <c r="AB188">
        <v>55.62</v>
      </c>
      <c r="AC188">
        <v>40.340000000000003</v>
      </c>
      <c r="AD188">
        <v>530.70000000000005</v>
      </c>
      <c r="AE188">
        <v>599.67999999999995</v>
      </c>
      <c r="AF188">
        <v>43.08</v>
      </c>
      <c r="AG188">
        <v>54.02</v>
      </c>
      <c r="AH188">
        <v>45.91</v>
      </c>
      <c r="AI188">
        <v>48.18</v>
      </c>
    </row>
    <row r="189" spans="1:35" x14ac:dyDescent="0.45">
      <c r="A189" s="2">
        <v>45814</v>
      </c>
      <c r="B189">
        <v>28.22</v>
      </c>
      <c r="C189">
        <v>31.84</v>
      </c>
      <c r="D189">
        <v>18.510000000000002</v>
      </c>
      <c r="E189">
        <v>27.95</v>
      </c>
      <c r="F189">
        <v>29.46</v>
      </c>
      <c r="G189">
        <v>48.5916</v>
      </c>
      <c r="H189">
        <v>24.25</v>
      </c>
      <c r="I189">
        <v>54.11</v>
      </c>
      <c r="J189">
        <v>61.24</v>
      </c>
      <c r="K189">
        <v>65.569999999999993</v>
      </c>
      <c r="L189">
        <v>27.72</v>
      </c>
      <c r="M189">
        <v>53.94</v>
      </c>
      <c r="N189">
        <v>55.46</v>
      </c>
      <c r="O189">
        <v>54.91</v>
      </c>
      <c r="P189">
        <v>54.92</v>
      </c>
      <c r="Q189">
        <v>18.829999999999998</v>
      </c>
      <c r="R189">
        <v>1164.01</v>
      </c>
      <c r="S189">
        <v>31.61</v>
      </c>
      <c r="T189">
        <v>18.670000000000002</v>
      </c>
      <c r="U189">
        <v>13.64</v>
      </c>
      <c r="V189">
        <v>38.51</v>
      </c>
      <c r="W189">
        <v>45.31</v>
      </c>
      <c r="X189">
        <v>26.37</v>
      </c>
      <c r="Y189">
        <v>45.39</v>
      </c>
      <c r="Z189">
        <v>42.52</v>
      </c>
      <c r="AA189">
        <v>73.819999999999993</v>
      </c>
      <c r="AB189">
        <v>55.64</v>
      </c>
      <c r="AC189">
        <v>40.35</v>
      </c>
      <c r="AD189">
        <v>529.91999999999996</v>
      </c>
      <c r="AE189">
        <v>599.14</v>
      </c>
      <c r="AF189">
        <v>43.04</v>
      </c>
      <c r="AG189">
        <v>53.63</v>
      </c>
      <c r="AH189">
        <v>46.14</v>
      </c>
      <c r="AI189">
        <v>48.3</v>
      </c>
    </row>
    <row r="190" spans="1:35" x14ac:dyDescent="0.45">
      <c r="A190" s="2">
        <v>45813</v>
      </c>
      <c r="B190">
        <v>28.29</v>
      </c>
      <c r="C190">
        <v>32.17</v>
      </c>
      <c r="D190">
        <v>18.559999999999999</v>
      </c>
      <c r="E190">
        <v>27.96</v>
      </c>
      <c r="F190">
        <v>29.75</v>
      </c>
      <c r="G190">
        <v>48.796100000000003</v>
      </c>
      <c r="H190">
        <v>24.31</v>
      </c>
      <c r="I190">
        <v>53.74</v>
      </c>
      <c r="J190">
        <v>60.72</v>
      </c>
      <c r="K190">
        <v>65.36</v>
      </c>
      <c r="L190">
        <v>27.6</v>
      </c>
      <c r="M190">
        <v>54.03</v>
      </c>
      <c r="N190">
        <v>55.77</v>
      </c>
      <c r="O190">
        <v>54.18</v>
      </c>
      <c r="P190">
        <v>54.99</v>
      </c>
      <c r="Q190">
        <v>18.78</v>
      </c>
      <c r="R190">
        <v>1160.74</v>
      </c>
      <c r="S190">
        <v>31.44</v>
      </c>
      <c r="T190">
        <v>18.61</v>
      </c>
      <c r="U190">
        <v>13.74</v>
      </c>
      <c r="V190">
        <v>38.479999999999997</v>
      </c>
      <c r="W190">
        <v>45.53</v>
      </c>
      <c r="X190">
        <v>26.36</v>
      </c>
      <c r="Y190">
        <v>45.32</v>
      </c>
      <c r="Z190">
        <v>42.57</v>
      </c>
      <c r="AA190">
        <v>73.39</v>
      </c>
      <c r="AB190">
        <v>55.47</v>
      </c>
      <c r="AC190">
        <v>40.22</v>
      </c>
      <c r="AD190">
        <v>524.79</v>
      </c>
      <c r="AE190">
        <v>593.04999999999995</v>
      </c>
      <c r="AF190">
        <v>43.04</v>
      </c>
      <c r="AG190">
        <v>53.36</v>
      </c>
      <c r="AH190">
        <v>46.17</v>
      </c>
      <c r="AI190">
        <v>47.98</v>
      </c>
    </row>
    <row r="191" spans="1:35" x14ac:dyDescent="0.45">
      <c r="A191" s="2">
        <v>45812</v>
      </c>
      <c r="B191">
        <v>28.18</v>
      </c>
      <c r="C191">
        <v>31.88</v>
      </c>
      <c r="D191">
        <v>18.45</v>
      </c>
      <c r="E191">
        <v>27.66</v>
      </c>
      <c r="F191">
        <v>30.22</v>
      </c>
      <c r="G191">
        <v>48.064999999999998</v>
      </c>
      <c r="H191">
        <v>24.14</v>
      </c>
      <c r="I191">
        <v>53.96</v>
      </c>
      <c r="J191">
        <v>60.25</v>
      </c>
      <c r="K191">
        <v>63.98</v>
      </c>
      <c r="L191">
        <v>27.44</v>
      </c>
      <c r="M191">
        <v>53.46</v>
      </c>
      <c r="N191">
        <v>55.24</v>
      </c>
      <c r="O191">
        <v>53.92</v>
      </c>
      <c r="P191">
        <v>54.79</v>
      </c>
      <c r="Q191">
        <v>18.91</v>
      </c>
      <c r="R191">
        <v>1163.42</v>
      </c>
      <c r="S191">
        <v>31.36</v>
      </c>
      <c r="T191">
        <v>18.59</v>
      </c>
      <c r="U191">
        <v>13.86</v>
      </c>
      <c r="V191">
        <v>38.380000000000003</v>
      </c>
      <c r="W191">
        <v>45.25</v>
      </c>
      <c r="X191">
        <v>26.33</v>
      </c>
      <c r="Y191">
        <v>45.25</v>
      </c>
      <c r="Z191">
        <v>42.46</v>
      </c>
      <c r="AA191">
        <v>74.08</v>
      </c>
      <c r="AB191">
        <v>55.56</v>
      </c>
      <c r="AC191">
        <v>40.19</v>
      </c>
      <c r="AD191">
        <v>528.77</v>
      </c>
      <c r="AE191">
        <v>595.92999999999995</v>
      </c>
      <c r="AF191">
        <v>43.08</v>
      </c>
      <c r="AG191">
        <v>53.23</v>
      </c>
      <c r="AH191">
        <v>45.93</v>
      </c>
      <c r="AI191">
        <v>47.74</v>
      </c>
    </row>
    <row r="192" spans="1:35" x14ac:dyDescent="0.45">
      <c r="A192" s="2">
        <v>45811</v>
      </c>
      <c r="B192">
        <v>27.96</v>
      </c>
      <c r="C192">
        <v>31.58</v>
      </c>
      <c r="D192">
        <v>18.420000000000002</v>
      </c>
      <c r="E192">
        <v>27.78</v>
      </c>
      <c r="F192">
        <v>29.92</v>
      </c>
      <c r="G192">
        <v>47.95</v>
      </c>
      <c r="H192">
        <v>24.09</v>
      </c>
      <c r="I192">
        <v>53.15</v>
      </c>
      <c r="J192">
        <v>60.39</v>
      </c>
      <c r="K192">
        <v>61.89</v>
      </c>
      <c r="L192">
        <v>27.58</v>
      </c>
      <c r="M192">
        <v>53.13</v>
      </c>
      <c r="N192">
        <v>55.29</v>
      </c>
      <c r="O192">
        <v>53.96</v>
      </c>
      <c r="P192">
        <v>53.76</v>
      </c>
      <c r="Q192">
        <v>19.079999999999998</v>
      </c>
      <c r="R192">
        <v>1178.43</v>
      </c>
      <c r="S192">
        <v>30.84</v>
      </c>
      <c r="T192">
        <v>18.59</v>
      </c>
      <c r="U192">
        <v>13.96</v>
      </c>
      <c r="V192">
        <v>38</v>
      </c>
      <c r="W192">
        <v>44.61</v>
      </c>
      <c r="X192">
        <v>26.07</v>
      </c>
      <c r="Y192">
        <v>45.34</v>
      </c>
      <c r="Z192">
        <v>42.12</v>
      </c>
      <c r="AA192">
        <v>74.13</v>
      </c>
      <c r="AB192">
        <v>55.03</v>
      </c>
      <c r="AC192">
        <v>40.06</v>
      </c>
      <c r="AD192">
        <v>527.29999999999995</v>
      </c>
      <c r="AE192">
        <v>596.09</v>
      </c>
      <c r="AF192">
        <v>42.84</v>
      </c>
      <c r="AG192">
        <v>52.95</v>
      </c>
      <c r="AH192">
        <v>45.2</v>
      </c>
      <c r="AI192">
        <v>47.87</v>
      </c>
    </row>
    <row r="193" spans="1:35" x14ac:dyDescent="0.45">
      <c r="A193" s="2">
        <v>45810</v>
      </c>
      <c r="B193">
        <v>27.72</v>
      </c>
      <c r="C193">
        <v>31.53</v>
      </c>
      <c r="D193">
        <v>18.559999999999999</v>
      </c>
      <c r="E193">
        <v>27.6</v>
      </c>
      <c r="F193">
        <v>30.49</v>
      </c>
      <c r="G193">
        <v>47.72</v>
      </c>
      <c r="H193">
        <v>24.15</v>
      </c>
      <c r="I193">
        <v>52.84</v>
      </c>
      <c r="J193">
        <v>60.64</v>
      </c>
      <c r="K193">
        <v>61.74</v>
      </c>
      <c r="L193">
        <v>27.27</v>
      </c>
      <c r="M193">
        <v>53.27</v>
      </c>
      <c r="N193">
        <v>55.7</v>
      </c>
      <c r="O193">
        <v>54.54</v>
      </c>
      <c r="P193">
        <v>53.26</v>
      </c>
      <c r="Q193">
        <v>18.8</v>
      </c>
      <c r="R193">
        <v>1176.3599999999999</v>
      </c>
      <c r="S193">
        <v>30.05</v>
      </c>
      <c r="T193">
        <v>18.45</v>
      </c>
      <c r="U193">
        <v>13.81</v>
      </c>
      <c r="V193">
        <v>38.159999999999997</v>
      </c>
      <c r="W193">
        <v>45.04</v>
      </c>
      <c r="X193">
        <v>26.15</v>
      </c>
      <c r="Y193">
        <v>45.39</v>
      </c>
      <c r="Z193">
        <v>42.34</v>
      </c>
      <c r="AA193">
        <v>75.040000000000006</v>
      </c>
      <c r="AB193">
        <v>55.54</v>
      </c>
      <c r="AC193">
        <v>40.29</v>
      </c>
      <c r="AD193">
        <v>523.21</v>
      </c>
      <c r="AE193">
        <v>592.71</v>
      </c>
      <c r="AF193">
        <v>43.14</v>
      </c>
      <c r="AG193">
        <v>53.285800000000002</v>
      </c>
      <c r="AH193">
        <v>45.62</v>
      </c>
      <c r="AI193">
        <v>48.32</v>
      </c>
    </row>
    <row r="194" spans="1:35" x14ac:dyDescent="0.45">
      <c r="A194" s="2">
        <v>45807</v>
      </c>
      <c r="B194">
        <v>27.67</v>
      </c>
      <c r="C194">
        <v>31.5</v>
      </c>
      <c r="D194">
        <v>18.88</v>
      </c>
      <c r="E194">
        <v>27.24</v>
      </c>
      <c r="F194">
        <v>30.37</v>
      </c>
      <c r="G194">
        <v>46.64</v>
      </c>
      <c r="H194">
        <v>23.96</v>
      </c>
      <c r="I194">
        <v>52.38</v>
      </c>
      <c r="J194">
        <v>60.17</v>
      </c>
      <c r="K194">
        <v>60.63</v>
      </c>
      <c r="L194">
        <v>27.21</v>
      </c>
      <c r="M194">
        <v>52.21</v>
      </c>
      <c r="N194">
        <v>55</v>
      </c>
      <c r="O194">
        <v>54.31</v>
      </c>
      <c r="P194">
        <v>52.82</v>
      </c>
      <c r="Q194">
        <v>18.75</v>
      </c>
      <c r="R194">
        <v>1173.3699999999999</v>
      </c>
      <c r="S194">
        <v>29.99</v>
      </c>
      <c r="T194">
        <v>18.57</v>
      </c>
      <c r="U194">
        <v>13.59</v>
      </c>
      <c r="V194">
        <v>38.33</v>
      </c>
      <c r="W194">
        <v>44.39</v>
      </c>
      <c r="X194">
        <v>25.81</v>
      </c>
      <c r="Y194">
        <v>44.96</v>
      </c>
      <c r="Z194">
        <v>41.97</v>
      </c>
      <c r="AA194">
        <v>74.12</v>
      </c>
      <c r="AB194">
        <v>55.18</v>
      </c>
      <c r="AC194">
        <v>39.92</v>
      </c>
      <c r="AD194">
        <v>519.11</v>
      </c>
      <c r="AE194">
        <v>589.39</v>
      </c>
      <c r="AF194">
        <v>42.49</v>
      </c>
      <c r="AG194">
        <v>52.85</v>
      </c>
      <c r="AH194">
        <v>45.45</v>
      </c>
      <c r="AI194">
        <v>47.77</v>
      </c>
    </row>
    <row r="195" spans="1:35" x14ac:dyDescent="0.45">
      <c r="A195" s="2">
        <v>45806</v>
      </c>
      <c r="B195">
        <v>28.02</v>
      </c>
      <c r="C195">
        <v>32.08</v>
      </c>
      <c r="D195">
        <v>18.95</v>
      </c>
      <c r="E195">
        <v>27.84</v>
      </c>
      <c r="F195">
        <v>30.72</v>
      </c>
      <c r="G195">
        <v>46.613599999999998</v>
      </c>
      <c r="H195">
        <v>24.3</v>
      </c>
      <c r="I195">
        <v>52.87</v>
      </c>
      <c r="J195">
        <v>61.23</v>
      </c>
      <c r="K195">
        <v>61.8</v>
      </c>
      <c r="L195">
        <v>27.7</v>
      </c>
      <c r="M195">
        <v>53.05</v>
      </c>
      <c r="N195">
        <v>55.71</v>
      </c>
      <c r="O195">
        <v>54.59</v>
      </c>
      <c r="P195">
        <v>53.86</v>
      </c>
      <c r="Q195">
        <v>18.829999999999998</v>
      </c>
      <c r="R195">
        <v>1179.81</v>
      </c>
      <c r="S195">
        <v>30.54</v>
      </c>
      <c r="T195">
        <v>18.59</v>
      </c>
      <c r="U195">
        <v>13.51</v>
      </c>
      <c r="V195">
        <v>38.39</v>
      </c>
      <c r="W195">
        <v>43.97</v>
      </c>
      <c r="X195">
        <v>25.64</v>
      </c>
      <c r="Y195">
        <v>44.78</v>
      </c>
      <c r="Z195">
        <v>41.85</v>
      </c>
      <c r="AA195">
        <v>74.03</v>
      </c>
      <c r="AB195">
        <v>54.9</v>
      </c>
      <c r="AC195">
        <v>39.79</v>
      </c>
      <c r="AD195">
        <v>519.92999999999995</v>
      </c>
      <c r="AE195">
        <v>590.04999999999995</v>
      </c>
      <c r="AF195">
        <v>42.76</v>
      </c>
      <c r="AG195">
        <v>52.94</v>
      </c>
      <c r="AH195">
        <v>45.36</v>
      </c>
      <c r="AI195">
        <v>47.58</v>
      </c>
    </row>
    <row r="196" spans="1:35" x14ac:dyDescent="0.45">
      <c r="A196" s="2">
        <v>45805</v>
      </c>
      <c r="B196">
        <v>27.83</v>
      </c>
      <c r="C196">
        <v>32.17</v>
      </c>
      <c r="D196">
        <v>18.91</v>
      </c>
      <c r="E196">
        <v>27.93</v>
      </c>
      <c r="F196">
        <v>31.25</v>
      </c>
      <c r="G196">
        <v>46.5428</v>
      </c>
      <c r="H196">
        <v>24.47</v>
      </c>
      <c r="I196">
        <v>53.26</v>
      </c>
      <c r="J196">
        <v>60.9</v>
      </c>
      <c r="K196">
        <v>60.75</v>
      </c>
      <c r="L196">
        <v>27.69</v>
      </c>
      <c r="M196">
        <v>52.03</v>
      </c>
      <c r="N196">
        <v>55.85</v>
      </c>
      <c r="O196">
        <v>54.284999999999997</v>
      </c>
      <c r="P196">
        <v>53.33</v>
      </c>
      <c r="Q196">
        <v>18.940000000000001</v>
      </c>
      <c r="R196">
        <v>1189.1400000000001</v>
      </c>
      <c r="S196">
        <v>30.56</v>
      </c>
      <c r="T196">
        <v>18.66</v>
      </c>
      <c r="U196">
        <v>13.71</v>
      </c>
      <c r="V196">
        <v>38.6</v>
      </c>
      <c r="W196">
        <v>44.23</v>
      </c>
      <c r="X196">
        <v>25.56</v>
      </c>
      <c r="Y196">
        <v>44.76</v>
      </c>
      <c r="Z196">
        <v>41.77</v>
      </c>
      <c r="AA196">
        <v>73.61</v>
      </c>
      <c r="AB196">
        <v>54.62</v>
      </c>
      <c r="AC196">
        <v>39.67</v>
      </c>
      <c r="AD196">
        <v>518.91</v>
      </c>
      <c r="AE196">
        <v>587.73</v>
      </c>
      <c r="AF196">
        <v>42.47</v>
      </c>
      <c r="AG196">
        <v>52.59</v>
      </c>
      <c r="AH196">
        <v>45.24</v>
      </c>
      <c r="AI196">
        <v>47.55</v>
      </c>
    </row>
    <row r="197" spans="1:35" x14ac:dyDescent="0.45">
      <c r="A197" s="2">
        <v>45804</v>
      </c>
      <c r="B197">
        <v>27.9</v>
      </c>
      <c r="C197">
        <v>32.75</v>
      </c>
      <c r="D197">
        <v>19.04</v>
      </c>
      <c r="E197">
        <v>27.78</v>
      </c>
      <c r="F197">
        <v>30.82</v>
      </c>
      <c r="G197">
        <v>46.83</v>
      </c>
      <c r="H197">
        <v>24.52</v>
      </c>
      <c r="I197">
        <v>53.58</v>
      </c>
      <c r="J197">
        <v>61.13</v>
      </c>
      <c r="K197">
        <v>59.98</v>
      </c>
      <c r="L197">
        <v>27.99</v>
      </c>
      <c r="M197">
        <v>51.91</v>
      </c>
      <c r="N197">
        <v>55.02</v>
      </c>
      <c r="O197">
        <v>54.53</v>
      </c>
      <c r="P197">
        <v>54.04</v>
      </c>
      <c r="Q197">
        <v>18.91</v>
      </c>
      <c r="R197">
        <v>1187.06</v>
      </c>
      <c r="S197">
        <v>30.86</v>
      </c>
      <c r="T197">
        <v>18.62</v>
      </c>
      <c r="U197">
        <v>13.585000000000001</v>
      </c>
      <c r="V197">
        <v>38.21</v>
      </c>
      <c r="W197">
        <v>45.38</v>
      </c>
      <c r="X197">
        <v>25.87</v>
      </c>
      <c r="Y197">
        <v>44.82</v>
      </c>
      <c r="Z197">
        <v>42.31</v>
      </c>
      <c r="AA197">
        <v>74.95</v>
      </c>
      <c r="AB197">
        <v>55.2</v>
      </c>
      <c r="AC197">
        <v>40.07</v>
      </c>
      <c r="AD197">
        <v>521.22</v>
      </c>
      <c r="AE197">
        <v>591.15</v>
      </c>
      <c r="AF197">
        <v>42.92</v>
      </c>
      <c r="AG197">
        <v>53</v>
      </c>
      <c r="AH197">
        <v>45.55</v>
      </c>
      <c r="AI197">
        <v>47.66</v>
      </c>
    </row>
    <row r="198" spans="1:35" x14ac:dyDescent="0.45">
      <c r="A198" s="2">
        <v>45800</v>
      </c>
      <c r="B198">
        <v>28.2</v>
      </c>
      <c r="C198">
        <v>32.85</v>
      </c>
      <c r="D198">
        <v>19.16</v>
      </c>
      <c r="E198">
        <v>27.81</v>
      </c>
      <c r="F198">
        <v>29.85</v>
      </c>
      <c r="G198">
        <v>46.76</v>
      </c>
      <c r="H198">
        <v>24.58</v>
      </c>
      <c r="I198">
        <v>53.52</v>
      </c>
      <c r="J198">
        <v>60.67</v>
      </c>
      <c r="K198">
        <v>58.96</v>
      </c>
      <c r="L198">
        <v>27.65</v>
      </c>
      <c r="M198">
        <v>52.52</v>
      </c>
      <c r="N198">
        <v>53.23</v>
      </c>
      <c r="O198">
        <v>54.58</v>
      </c>
      <c r="P198">
        <v>54.78</v>
      </c>
      <c r="Q198">
        <v>19.149999999999999</v>
      </c>
      <c r="R198">
        <v>1195.77</v>
      </c>
      <c r="S198">
        <v>31.24</v>
      </c>
      <c r="T198">
        <v>18.45</v>
      </c>
      <c r="U198">
        <v>13.14</v>
      </c>
      <c r="V198">
        <v>39.17</v>
      </c>
      <c r="W198">
        <v>45.36</v>
      </c>
      <c r="X198">
        <v>25.65</v>
      </c>
      <c r="Y198">
        <v>44.44</v>
      </c>
      <c r="Z198">
        <v>41.26</v>
      </c>
      <c r="AA198">
        <v>73.03</v>
      </c>
      <c r="AB198">
        <v>55.03</v>
      </c>
      <c r="AC198">
        <v>39.880000000000003</v>
      </c>
      <c r="AD198">
        <v>509.24</v>
      </c>
      <c r="AE198">
        <v>579.11</v>
      </c>
      <c r="AF198">
        <v>42.4</v>
      </c>
      <c r="AG198">
        <v>52.26</v>
      </c>
      <c r="AH198">
        <v>45.32</v>
      </c>
      <c r="AI198">
        <v>46.96</v>
      </c>
    </row>
    <row r="199" spans="1:35" x14ac:dyDescent="0.45">
      <c r="A199" s="2">
        <v>45799</v>
      </c>
      <c r="B199">
        <v>28.3</v>
      </c>
      <c r="C199">
        <v>32.634999999999998</v>
      </c>
      <c r="D199">
        <v>18.91</v>
      </c>
      <c r="E199">
        <v>27.27</v>
      </c>
      <c r="F199">
        <v>29.99</v>
      </c>
      <c r="G199">
        <v>45.76</v>
      </c>
      <c r="H199">
        <v>24.24</v>
      </c>
      <c r="I199">
        <v>53.7</v>
      </c>
      <c r="J199">
        <v>59.83</v>
      </c>
      <c r="K199">
        <v>58.29</v>
      </c>
      <c r="L199">
        <v>27.52</v>
      </c>
      <c r="M199">
        <v>51.43</v>
      </c>
      <c r="N199">
        <v>53.88</v>
      </c>
      <c r="O199">
        <v>53.79</v>
      </c>
      <c r="P199">
        <v>54.75</v>
      </c>
      <c r="Q199">
        <v>19.11</v>
      </c>
      <c r="R199">
        <v>1194.49</v>
      </c>
      <c r="S199">
        <v>31.7</v>
      </c>
      <c r="T199">
        <v>18.53</v>
      </c>
      <c r="U199">
        <v>13.17</v>
      </c>
      <c r="V199">
        <v>39.28</v>
      </c>
      <c r="W199">
        <v>45.08</v>
      </c>
      <c r="X199">
        <v>25.41</v>
      </c>
      <c r="Y199">
        <v>44</v>
      </c>
      <c r="Z199">
        <v>41.64</v>
      </c>
      <c r="AA199">
        <v>72.37</v>
      </c>
      <c r="AB199">
        <v>54.77</v>
      </c>
      <c r="AC199">
        <v>39.53</v>
      </c>
      <c r="AD199">
        <v>514</v>
      </c>
      <c r="AE199">
        <v>583.09</v>
      </c>
      <c r="AF199">
        <v>42.65</v>
      </c>
      <c r="AG199">
        <v>52.54</v>
      </c>
      <c r="AH199">
        <v>45.09</v>
      </c>
      <c r="AI199">
        <v>47.54</v>
      </c>
    </row>
    <row r="200" spans="1:35" x14ac:dyDescent="0.45">
      <c r="A200" s="2">
        <v>45798</v>
      </c>
      <c r="B200">
        <v>28.4</v>
      </c>
      <c r="C200">
        <v>32.69</v>
      </c>
      <c r="D200">
        <v>18.79</v>
      </c>
      <c r="E200">
        <v>27.46</v>
      </c>
      <c r="F200">
        <v>30.09</v>
      </c>
      <c r="G200">
        <v>45.66</v>
      </c>
      <c r="H200">
        <v>24.49</v>
      </c>
      <c r="I200">
        <v>53.72</v>
      </c>
      <c r="J200">
        <v>60.32</v>
      </c>
      <c r="K200">
        <v>59.1</v>
      </c>
      <c r="L200">
        <v>27.67</v>
      </c>
      <c r="M200">
        <v>51.45</v>
      </c>
      <c r="N200">
        <v>54.14</v>
      </c>
      <c r="O200">
        <v>54.03</v>
      </c>
      <c r="P200">
        <v>54.99</v>
      </c>
      <c r="Q200">
        <v>19.18</v>
      </c>
      <c r="R200">
        <v>1216.71</v>
      </c>
      <c r="S200">
        <v>31.42</v>
      </c>
      <c r="T200">
        <v>18.57</v>
      </c>
      <c r="U200">
        <v>13.21</v>
      </c>
      <c r="V200">
        <v>39.299999999999997</v>
      </c>
      <c r="W200">
        <v>45.22</v>
      </c>
      <c r="X200">
        <v>25.41</v>
      </c>
      <c r="Y200">
        <v>43.94</v>
      </c>
      <c r="Z200">
        <v>41.68</v>
      </c>
      <c r="AA200">
        <v>72.31</v>
      </c>
      <c r="AB200">
        <v>55.04</v>
      </c>
      <c r="AC200">
        <v>39.43</v>
      </c>
      <c r="AD200">
        <v>513.04</v>
      </c>
      <c r="AE200">
        <v>582.86</v>
      </c>
      <c r="AF200">
        <v>42.71</v>
      </c>
      <c r="AG200">
        <v>52.48</v>
      </c>
      <c r="AH200">
        <v>45.94</v>
      </c>
      <c r="AI200">
        <v>47.65</v>
      </c>
    </row>
    <row r="201" spans="1:35" x14ac:dyDescent="0.45">
      <c r="A201" s="2">
        <v>45797</v>
      </c>
      <c r="B201">
        <v>28.28</v>
      </c>
      <c r="C201">
        <v>32.75</v>
      </c>
      <c r="D201">
        <v>18.53</v>
      </c>
      <c r="E201">
        <v>27.36</v>
      </c>
      <c r="F201">
        <v>30.77</v>
      </c>
      <c r="G201">
        <v>45.57</v>
      </c>
      <c r="H201">
        <v>24.5</v>
      </c>
      <c r="I201">
        <v>53.48</v>
      </c>
      <c r="J201">
        <v>60.53</v>
      </c>
      <c r="K201">
        <v>58.4</v>
      </c>
      <c r="L201">
        <v>28.16</v>
      </c>
      <c r="M201">
        <v>51.61</v>
      </c>
      <c r="N201">
        <v>53.89</v>
      </c>
      <c r="O201">
        <v>54.07</v>
      </c>
      <c r="P201">
        <v>55.2</v>
      </c>
      <c r="Q201">
        <v>19.059999999999999</v>
      </c>
      <c r="R201">
        <v>1214.3900000000001</v>
      </c>
      <c r="S201">
        <v>31.86</v>
      </c>
      <c r="T201">
        <v>18.71</v>
      </c>
      <c r="U201">
        <v>13.09</v>
      </c>
      <c r="V201">
        <v>39.89</v>
      </c>
      <c r="W201">
        <v>45.2</v>
      </c>
      <c r="X201">
        <v>25.63</v>
      </c>
      <c r="Y201">
        <v>44.19</v>
      </c>
      <c r="Z201">
        <v>41.77</v>
      </c>
      <c r="AA201">
        <v>72.989999999999995</v>
      </c>
      <c r="AB201">
        <v>55.17</v>
      </c>
      <c r="AC201">
        <v>39.61</v>
      </c>
      <c r="AD201">
        <v>520.27</v>
      </c>
      <c r="AE201">
        <v>592.85</v>
      </c>
      <c r="AF201">
        <v>43.1</v>
      </c>
      <c r="AG201">
        <v>52.8</v>
      </c>
      <c r="AH201">
        <v>46.35</v>
      </c>
      <c r="AI201">
        <v>47.84</v>
      </c>
    </row>
    <row r="202" spans="1:35" x14ac:dyDescent="0.45">
      <c r="A202" s="2">
        <v>45796</v>
      </c>
      <c r="B202">
        <v>28.14</v>
      </c>
      <c r="C202">
        <v>32.96</v>
      </c>
      <c r="D202">
        <v>18.739999999999998</v>
      </c>
      <c r="E202">
        <v>27.9</v>
      </c>
      <c r="F202">
        <v>30.53</v>
      </c>
      <c r="G202">
        <v>45.16</v>
      </c>
      <c r="H202">
        <v>24.69</v>
      </c>
      <c r="I202">
        <v>53.82</v>
      </c>
      <c r="J202">
        <v>60.57</v>
      </c>
      <c r="K202">
        <v>58.82</v>
      </c>
      <c r="L202">
        <v>28.18</v>
      </c>
      <c r="M202">
        <v>51.08</v>
      </c>
      <c r="N202">
        <v>52.9</v>
      </c>
      <c r="O202">
        <v>54.78</v>
      </c>
      <c r="P202">
        <v>54.7</v>
      </c>
      <c r="Q202">
        <v>19.05</v>
      </c>
      <c r="R202">
        <v>1210.94</v>
      </c>
      <c r="S202">
        <v>32.49</v>
      </c>
      <c r="T202">
        <v>18.649999999999999</v>
      </c>
      <c r="U202">
        <v>12.865</v>
      </c>
      <c r="V202">
        <v>39.909999999999997</v>
      </c>
      <c r="W202">
        <v>45.15</v>
      </c>
      <c r="X202">
        <v>25.63</v>
      </c>
      <c r="Y202">
        <v>44.05</v>
      </c>
      <c r="Z202">
        <v>41.56</v>
      </c>
      <c r="AA202">
        <v>72.569999999999993</v>
      </c>
      <c r="AB202">
        <v>55.02</v>
      </c>
      <c r="AC202">
        <v>39.33</v>
      </c>
      <c r="AD202">
        <v>522.01</v>
      </c>
      <c r="AE202">
        <v>594.85</v>
      </c>
      <c r="AF202">
        <v>42.73</v>
      </c>
      <c r="AG202">
        <v>52.645000000000003</v>
      </c>
      <c r="AH202">
        <v>46.19</v>
      </c>
      <c r="AI202">
        <v>47.3</v>
      </c>
    </row>
    <row r="204" spans="1:35" x14ac:dyDescent="0.45">
      <c r="A204" t="s">
        <v>78</v>
      </c>
      <c r="B204">
        <f>AVERAGE(_xlfn.ANCHORARRAY(B2))</f>
        <v>32.727849751243781</v>
      </c>
      <c r="C204">
        <f t="shared" ref="C204:AI204" si="0">AVERAGE(_xlfn.ANCHORARRAY(C2))</f>
        <v>35.910870646766185</v>
      </c>
      <c r="D204">
        <f t="shared" si="0"/>
        <v>18.12194029850745</v>
      </c>
      <c r="E204">
        <f t="shared" si="0"/>
        <v>26.023568159203982</v>
      </c>
      <c r="F204">
        <f t="shared" si="0"/>
        <v>33.64626865671643</v>
      </c>
      <c r="G204">
        <f t="shared" si="0"/>
        <v>63.15918706467663</v>
      </c>
      <c r="H204">
        <f t="shared" si="0"/>
        <v>26.109054726368147</v>
      </c>
      <c r="I204">
        <f t="shared" si="0"/>
        <v>62.935174129353214</v>
      </c>
      <c r="J204">
        <f t="shared" si="0"/>
        <v>66.855920398009943</v>
      </c>
      <c r="K204">
        <f t="shared" si="0"/>
        <v>89.370646766169131</v>
      </c>
      <c r="L204">
        <f t="shared" si="0"/>
        <v>31.190920398009954</v>
      </c>
      <c r="M204">
        <f t="shared" si="0"/>
        <v>63.351803482587066</v>
      </c>
      <c r="N204">
        <f t="shared" si="0"/>
        <v>64.48343781094529</v>
      </c>
      <c r="O204">
        <f t="shared" si="0"/>
        <v>53.570323383084585</v>
      </c>
      <c r="P204">
        <f t="shared" si="0"/>
        <v>60.422363184079664</v>
      </c>
      <c r="Q204">
        <f t="shared" si="0"/>
        <v>19.312090547263683</v>
      </c>
      <c r="R204">
        <f t="shared" si="0"/>
        <v>1261.6531840796019</v>
      </c>
      <c r="S204">
        <f t="shared" si="0"/>
        <v>34.773804975124364</v>
      </c>
      <c r="T204">
        <f t="shared" si="0"/>
        <v>19.533789054726373</v>
      </c>
      <c r="U204">
        <f t="shared" si="0"/>
        <v>17.222736318407968</v>
      </c>
      <c r="V204">
        <f t="shared" si="0"/>
        <v>38.335522388059708</v>
      </c>
      <c r="W204">
        <f t="shared" si="0"/>
        <v>45.791445771144254</v>
      </c>
      <c r="X204">
        <f t="shared" si="0"/>
        <v>26.831542288557198</v>
      </c>
      <c r="Y204">
        <f t="shared" si="0"/>
        <v>50.464626865671647</v>
      </c>
      <c r="Z204">
        <f t="shared" si="0"/>
        <v>42.039104477611964</v>
      </c>
      <c r="AA204">
        <f t="shared" si="0"/>
        <v>80.558059701492567</v>
      </c>
      <c r="AB204">
        <f t="shared" si="0"/>
        <v>57.238208955223904</v>
      </c>
      <c r="AC204">
        <f t="shared" si="0"/>
        <v>42.565122388059713</v>
      </c>
      <c r="AD204">
        <f t="shared" si="0"/>
        <v>588.5141293532339</v>
      </c>
      <c r="AE204">
        <f t="shared" si="0"/>
        <v>656.15049751243782</v>
      </c>
      <c r="AF204">
        <f t="shared" si="0"/>
        <v>44.130771144278604</v>
      </c>
      <c r="AG204">
        <f t="shared" si="0"/>
        <v>56.86234378109458</v>
      </c>
      <c r="AH204">
        <f t="shared" si="0"/>
        <v>48.009203980099514</v>
      </c>
      <c r="AI204">
        <f t="shared" si="0"/>
        <v>51.738805970149251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2821729"><![CDATA[{"EWJ^FG_PRICE(0,-200D)":[85.02,85.89,88.59,86.83,90.2,92.37,92.48,92.44,91.23,91.39,91.47,91.2,91.38,91.87,93.85,93.37,93.97,93.1,91.29,89.4,86.1,87.49,86.68,85.89,85.72,86.09,85.21,85.84,84.63,84.56,84.86,84.78,83.72,85.48,85.42,85.04,84.45,85.29,84.61,82.86,82.92,83.07,83.13,81.33,80.74,80.98,81.09,80.97,81.0,81.14,80.46,80.58,79.97,79.74,80.85,84.87,84.0,84.22,83.91,83.31,83.19,83.7,83.62,82.61,82.47,82.53,83.01,83.26,81.92,81.74,81.19,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9.29,78.63,78.92,79.05,80.02,78.7,79.64,80.02,80.3,80.15,78.8,79.27,79.23,77.79,77.93,76.62,76.03,75.03,75.29,74.07,73.62,73.98,73.88,74.27,75.68,76.55,76.49,72.98,72.61,71.81,72.39,72.02,71.69,72.41,72.36,72.94,73.3,73.19,72.82,74.6,74.46,74.42,74.97,75.28,73.97,72.44,72.74,72.02,71.76,73.05,72.28,73.15,73.6,74.21,73.67,73.88,73.93,73.82,73.39,74.08,74.13,75.04,74.12,74.03,73.61,74.95,73.03,72.37,72.31,72.99,72.57],"TUR^FG_PRICE(0,-200D)":[37.72,38.73,38.96,38.78,39.59,40.63,41.23,41.19,41.93,41.76,41.65,41.26,42.41,42.34,42.22,41.91,41.21,40.97,41.54,40.84,40.66,41.37,41.54,41.14,41.25,41.58,40.39,39.56,39.86,39.43,39.08,38.64,38.87,38.41,37.94,37.59,37.73,37.54,37.16,36.73,36.63,36.77,35.81,34.92,34.42,34.42,34.41,34.76,34.87,34.815,34.61,34.86,34.82,34.735,34.71,35.29,34.82,34.82,34.73,34.66,34.42,33.84,33.55,33.87,34.1,34.03,33.5,33.59,33.54,33.76,33.78,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54,35.51,35.97,35.93,35.69,35.51,35.04,34.5,34.47,34.24,34.11,34.47,34.54,34.8448,34.68,34.61,34.46,34.29,34.32,33.92,33.85,33.66,33.28,33.43,33.79,33.95,33.86,33.87,33.93,32.995,33.15,32.5,32.84,32.97,33.17,33.25,32.79,32.12,32.44,33.04,33.07,32.48,32.26,30.49,30.19,30.68,30.86,30.08,29.96,30.11,30.21,30.63,30.75,31.57,32.11,32.17,31.66,31.61,31.44,31.36,30.84,30.05,29.99,30.54,30.56,30.86,31.24,31.7,31.42,31.86,32.49],"ECH^FG_PRICE(0,-200D)":[39.33,38.97,40.31,39.57,41.56,43.5,44.34,44.73,44.54,43.51,43.58,43.52,43.69,43.8,43.81,44.25,45.35,44.54,46.17,45.24,45.19,45.66,47.19,46.05,45.24,46.875,47.06,47.37,46.78,46.4,46.175,45.2,43.89,44.09,44.15,44.51,44.34,43.87,42.85,42.75,42.39,42.55,41.6,40.37,40.4,40.54,40.15,40.29,40.03,39.92,39.79,39.31,38.69,38.28,38.84,38.995,39.78,39.28,38.75,38.34,38.24,38.18,38.51,38.62,38.29,37.69,37.86,37.61,37.27,36.61,36.34,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58,32.55,32.44,32.71,32.8,31.9,32.04,32.19,32.55,32.4,32.27,32.54,31.97,31.47,31.41,30.74,30.09,30.26,30.24,29.98,29.83,29.48,29.83,29.78,30.34,30.49,30.41,30.39,30.3,30.16,30.23,29.77,29.89,30.21,30.51,31.1,31.04,31.41,31.02,31.82,31.85,31.51,31.45,31.05,31.26,30.86,30.96,30.03,30.1,30.34,30.45,31.11,31.83,32.51,32.54,31.82,31.75,31.84,32.17,31.88,31.58,31.53,31.5,32.08,32.17,32.75,32.85,32.635,32.69,32.75,32.96],"QQQ^FG_TOTAL_RETURNC(-5AY,0,AM)":[-6.8445206,7.3052406,0.20856857,1.2337446,7.450843,2.1821737,3.6734223,-5.6327524,10.823811,-3.1108856,-0.4361272,-6.7730784,-5.784762,4.86145,-12.458247,-0.65642595,-5.8193264,11.409283,-8.919972,-4.3649673,-5.39034,6.4228535,-4.340702,12.942707,-1.1759281,6.1732054,1.5217781,9.895002,3.6987662,1.2464046,0.7257223,-2.5385737,1.2366295,4.290235,3.297305,7.773161,2.619338,0.5144596,-0.049948692,5.2515626,7.2484612,-11.413658,2.0840406,8.7617035,3.7470222,4.133868,-0.20945072,0.9646535,-7.817215,-13.296497,13.89736,10.076642,5.0796986,1.9956231,1.5405774,5.6157947,0.6516218,2.2577524,-0.20153522,-2.2087753,-0.766021],"EPOL^FG_TOTAL_RETURNC(-5AY,0,AM)":[-3.340292,3.2937288,5.3319454,13.449133,-5.475646,0.97448826,7.6746345,-2.646184,3.375709,-11.577606,3.6920905,-2.6647925,-22.430355,14.241493,-18.102985,8.206487,-16.124344,2.7225852,-15.472775,-6.3559294,20.180988,12.048197,12.2854595,-3.1668723,1.886797,-3.641981,12.8123045,5.7353735,-0.37595034,10.026956,-11.366976,-5.5279136,19.660627,9.535444,-0.10937452,2.207911,4.4104457,4.2672396,2.6250482,-0.18126965,2.206099,-11.061949,6.9199443,-1.2690306,-4.4558764,3.4977555,-2.5857985,11.829948,10.99174,-6.4035773,17.263329,-0.06784201,13.349188,0.06093979,-2.1315515,1.151216,4.429412,-1.5022159,12.118053,4.578042,-6.513709],"EWN^FG_PRICE(0,-200D)":[58.56,59.54,60.74,59.67,61.33,62.8,63.05,63.77,63.0,62.95,63.18,62.66,62.94,62.23,61.65,61.53,63.06,63.07,62.99,62.03,60.56,61.07,61.9,62.77,62.27,63.48,63.05,63.7,62.81,62.33,62.14,61.539,60.64,61.91,61.6,60.67,60.78,61.04,60.4,59.21,59.8,60.44,60.14,58.64,57.03,57.227,57.0,57.16,57.1,56.84,57.01,56.61,56.02,55.57,56.41,58.76,58.6,59.5,58.8,58.55,58.7224,58.55,58.78,59.18,58.57,58.32,58.17,57.79,56.872,55.95,55.92,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5,53.59,53.77,53.84,54.188,53.08,53.58,53.215,53.13,53.16,53.3,53.36,52.9674,52.37,52.52,52.2,51.43,51.33,51.35,50.85,51.26,52.2,52.69,52.91,53.5,53.93,54.25,53.37,53.41,53.46,53.51,53.47,54.45,54.4,54.41,54.63,54.58,54.33,53.98,54.29,54.3,54.07,54.5,54.36,53.97,53.8,54.16,53.03,51.8927,52.2476,52.33,53.08,53.54,54.73,54.37,54.57,54.02,53.63,53.36,53.23,52.95,53.2858,52.85,52.94,52.59,53.0,52.26,52.54,52.48,52.8,52.645],"EWT^FG_PRICE(0,-200D)":[70.26,70.4,71.62,71.29,75.07,75.67,76.14,77.06,75.73,73.18,74.38,72.67,72.98,72.89,73.05,72.56,73.35,71.44,70.76,70.05,67.86,68.15,68.83,68.94,68.06,69.83,71.19,71.32,69.94,69.71,68.25,67.45,66.54,67.34,67.29,66.51,66.1,66.62,65.92,65.44,65.59,65.83,65.3,64.77,63.53,63.71,63.33,63.02,62.53,62.5,61.98,61.64,60.87,60.03,61.12,64.11,64.1,65.92,66.8,65.72,65.57,65.35,64.51,64.85,64.63,64.13,64.51,63.66,62.8,62.51,61.8,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9.9,59.77,59.5,59.26,59.66,58.57,58.78,60.09,61.04,60.42,60.65,61.03,61.09,60.28,60.29,60.36,59.14,58.92,58.84,58.39,58.36,58.35,58.62,59.06,59.43,59.39,59.8,58.72,59.36,59.24,59.48,58.98,58.27,57.81,58.3,58.38,58.03,57.66,57.63,59.44,58.75,57.58,57.4,57.85,57.85,57.31,56.82,55.18,54.84,56.03,55.65,56.46,55.85,56.74,55.83,55.8,54.71,54.11,53.74,53.96,53.15,52.84,52.38,52.87,53.26,53.58,53.52,53.7,53.72,53.48,53.82],"EWL^FG_TOTAL_RETURNC(-5AY,0,AM)":[-2.6534736,4.781699,3.6375642,5.254209,0.38309097,2.7680874,1.2370348,-7.41033,8.365261,-1.6892552,3.4765244,-5.6381583,-6.0159564,7.0542097,-9.334951,0.40376186,-6.0299277,4.002905,-6.648004,-5.0724626,3.658855,8.100557,2.9128551,2.2825837,-1.852268,5.0250053,5.4557323,-3.1410336,-2.5010526,3.400755,-3.1169415,-3.4169078,-0.9648502,6.1238647,4.2622924,-1.0482192,0.38136244,-1.6462684,-0.49356222,9.186983,-1.9152045,0.63734055,4.2288065,-0.19600391,-3.966999,-1.3292491,-3.5854936,7.416165,5.2431464,-8.043355,12.365591,2.3923397,0.54781437,-3.4972727,6.1721444,0.83556175,-2.6445687,5.0887346,4.34258,4.1948795,-2.9957175],"UAE^FG_TOTAL_RETURNC(-5AY,0,AM)":[-0.5290985,1.8237114,2.1641731,7.742882,-1.7527819,2.285707,3.9804459,-2.384156,8.703136,11.392403,-6.493849,2.0389318,10.351086,4.881513,-1.8823266,-9.488278,-9.115815,8.747519,-5.276662,-0.6053746,0.7119775,-0.3856063,-3.7905276,0.6048441,-0.3340006,-4.7587156,7.741034,-4.2129335,3.2468915,4.070556,-4.0417194,5.57065,-5.276704,-1.4945686,3.0132413,-1.8194079,-1.3040483,4.033375,-2.807486,-5.0206304,3.8618684,1.3768077,7.8627586,-3.313452,4.934883,1.1103749,5.8059096,4.2787194,0.17585754,-8.71855,17.371786,1.9661427,4.3354273,7.4840784,-5.3827167,-0.62630177,1.4180541,-0.46607852,2.0559192,11.866152,-12.103081],"EIDO^FG_TOTAL_RETURNC(-5AY,0,AM)":[-3.9815605,-4.3649077,0.41077137,2.3181796,-9.111232,0.54107904,5.479443,6.7254186,2.3468018,-0.8917153,-0.5446732,0.5206108,3.8843274,1.6202688,2.3712277,-2.1166146,-10.629696,8.611107,2.8559208,-2.3207605,0.55155754,-3.5021067,-2.9212475,5.368519,-3.1951606,5.352366,2.836585,-2.0996332,-2.047354,1.0955334,0.086688995,-4.7639666,-2.1373332,0.7434964,5.0397754,-2.0363033,1.8075109,-2.308035,-4.634261,-4.1924715,2.1776915,0.10075569,10.468042,-1.6856551,-3.5217822,-2.0172894,-7.094872,-5.7877836,-2.6166022,-11.85748,17.561293,4.3404818,-3.07858,1.0875821,1.528883,-2.8443933,5.8553457,2.0607352,2.3643732,-7.756811,-7.3295536],"EWQ^FG_PRICE(0,-200D)":[44.115,44.28,45.23,45.07,46.57,47.87,48.35,48.02,47.62,47.49,47.68,46.91,47.03,47.05,46.7,46.68,47.08,46.83,46.99,46.4,45.73,46.03,45.69,45.68,45.35,45.82,45.53,46.15,45.65,45.51,45.16,45.05,44.55,45.29,45.4,45.87,45.96,46.1,45.88,45.46,45.4,45.6,45.42,45.31,44.99,45.14,44.99,45.18,44.98,44.9,44.96,44.91,44.8,44.62,44.94,45.18,44.88,45.0,44.58,44.21,44.65,44.62,44.75,44.79,44.44,44.41,44.57,44.43,44.06,43.33,43.69,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9,42.56,42.58,42.96,44.18,43.55,43.97,43.82,43.55,43.89,43.5,43.31,42.89,42.35,42.68,42.49,42.02,41.83,41.86,41.43,41.94,42.47,42.91,42.8,43.72,43.4,44.4,43.16,43.03,42.92,42.98,42.74,42.56,43.12,43.28,43.75,43.84,43.27,42.68,43.08,43.27,42.87,42.8,42.61,42.14,41.89,42.04,41.57,41.29,41.67,41.74,42.21,42.83,43.57,43.11,43.21,43.08,43.04,43.04,43.08,42.84,43.14,42.49,42.76,42.47,42.92,42.4,42.65,42.71,43.1,42.73],"MCHI^FG_PRICE(0,-200D)":[56.88,56.18,57.13,56.9,58.51,59.06,59.23,60.67,60.43,60.76,61.01,60.72,60.95,60.61,60.35,60.58,61.93,61.99,61.97,61.67,60.1,60.31,61.07,61.61,62.4,64.23,63.91,63.29,62.66,62.74,62.78,62.49,61.65,62.52,63.59,63.55,63.52,64.26,62.22,62.28,61.88,62.71,62.67,62.24,60.07,60.58,60.37,61.27,60.61,60.67,60.89,60.63,59.99,59.47,59.7,60.87,61.52,61.69,61.81,61.35,62.22,62.66,61.98,61.88,62.24,62.66,62.2,61.91,62.2,61.96,60.92,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0.45,60.02,61.62,61.54,61.57,60.0,59.92,59.59,60.04,59.68,59.3,60.56,58.73,57.82,58.19,58.2,58.36,57.86,57.47,56.52,57.43,57.89,58.56,58.7,58.93,59.18,59.25,58.665,57.81,57.45,56.92,56.51,56.68,55.55,54.95,55.01,54.58,55.13,54.62,54.72,55.0,55.27,55.1,55.18,55.54,55.53,55.57,54.13,53.5,53.93,54.44,55.01,54.77,55.79,55.86,55.69,55.52,54.92,54.99,54.79,53.76,53.26,52.82,53.86,53.33,54.04,54.78,54.75,54.99,55.2,54.7],"EWM^FG_PRICE(0,-200D)":[28.54,28.54,28.82,28.36,28.69,29.22,29.65,30.01,30.02,30.01,30.13,29.82,29.67,29.65,29.72,29.71,29.98,29.69,29.83,29.57,29.18,29.49,29.42,29.32,29.18,29.27,29.84,30.06,29.5,28.78,28.43,28.26,27.88,28.17,28.28,28.2,28.05,27.97,27.59,27.36,27.43,27.63,27.61,27.42,27.36,27.57,27.53,27.64,27.69,27.53,27.41,27.2,26.88,26.6,26.79,27.09,26.98,26.87,26.52,26.37,26.32,26.64,26.59,26.73,26.67,26.6,26.43,26.64,26.49,26.47,26.29,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5.13,25.05,25.13,25.5,25.72,25.19,25.19,25.18,25.13,24.98,25.03,25.27,24.94,24.6,24.51,24.38,24.4,24.24,24.13,23.98,23.49,23.84,24.04,24.05,24.19,24.3,24.21,23.99,24.03,23.93,23.93,23.71,23.8,24.09,24.08,24.11,23.98,23.95,23.93,24.41,24.41,24.38,24.34,24.07,24.07,23.82,23.77,23.53,23.41,23.59,23.53,23.93,24.26,24.54,24.45,24.28,24.32,24.25,24.31,24.14,24.09,24.15,23.96,24.3,24.47,24.52,24.58,24.24,24.49,24.5,24.69],"EWI^FG_TOTAL_RETURNC(-5AY,0,AM)":[-0.5921066,5.625415,1.3784528,5.4079056,-4.062766,2.103293,0.30294657,-3.8659036,8.011317,-6.137294,4.441166,-1.5949428,-18.715595,8.577883,-6.444907,6.296301,-17.005747,6.5339684,-7.6360703,-2.682501,12.968826,9.440004,5.5104136,5.6610346,2.6622295,0.09723902,3.6269426,-3.8749993,3.119874,3.7790775,-3.0189872,-3.369701,3.6200643,5.929482,2.9773831,0.7735729,8.001184,1.339519,0.8362651,4.3338656,-2.8312325,-5.462414,7.951951,0.21196604,-1.6657889,1.5326738,-2.3128152,8.120001,7.6120257,-8.942509,17.485058,6.811142,1.550734,2.7172804,1.8982172,3.567183,-0.97588897,2.3768067,5.7277203,1.7905593,-5.7391586],"EWJ^FG_TOTAL_RETURNC(-5AY,0,AM)":[-1.5740037,1.1150122,-0.2901852,1.2078047,-2.0034015,0.23647547,5.883217,-5.6120276,3.806436,-4.2069316,0.87673664,-4.2920947,-4.7337294,-2.1085322,-5.343133,1.1113048,-7.16055,4.952562,-6.798053,-2.3860335,1.0930061,7.3127627,0.5527139,5.039251,-0.2607286,0.74938536,2.9752612,5.896187,-2.9203355,1.662004,0.7283926,-4.5797825,3.065002,2.40196,2.8011084,4.171264,7.8422546,-2.1017253,-0.2862513,-0.6171942,1.7949939,-9.777016,7.873893,5.566168,-3.4780204,2.4502754,-3.6474466,2.9215455,0.30258894,-11.636263,17.75322,1.9190907,1.8733263,1.9168854,4.143107,5.165446,-0.3722787,0.89199543,3.005302,7.6200843,-4.899335],"TUR^FG_TOTAL_RETURNC(-5AY,0,AM)":[-4.6961308,-13.876814,0.16827583,-3.8219213,-3.7709415,4.626167,6.878078,-12.411207,6.0114503,-15.571552,4.033923,-1.904279,-1.7313719,14.308596,3.9701104,-3.1446576,-11.423874,8.8853,18.644905,2.8345108,16.092419,17.59777,7.958722,-8.43007,11.077571,-9.836954,-11.03074,10.365856,-5.3061905,16.151773,11.419487,2.464974,-10.23044,-1.9181967,-5.189067,13.825882,-4.982501,9.977329,7.190728,0.43280125,4.606676,-12.256723,-2.8254569,-6.5217314,-2.558142,12.828159,-2.1538973,-3.6082506,4.925418,-15.048277,-2.873379,2.763331,6.114757,4.2978168,-3.2791555,0.42004585,2.3304462,-1.1970818,9.783136,11.0688095,-7.6395693],"EWY^FG_TOTAL_RETURNC(-5AY,0,AM)":[-4.249138,3.3142328,0.31535625,1.6802192,-1.5778303,-2.0905554,-2.9759943,-11.995435,2.9670954,0.39007664,-3.213799,-3.796792,-3.754127,0.0,-5.5150747,1.1492491,-15.503061,7.448685,-9.50107,-8.64265,7.408881,5.8409095,6.17913,2.83854,-1.3963342,-1.26791,2.7184844,6.673157,-4.398775,3.216052,-4.334414,-5.4982243,6.9442034,-2.4569273,5.5360556,-1.11323,4.6638846,1.5672922,-0.52949786,-1.6121626,6.600702,-13.805103,1.7833114,3.6363602,-5.3110065,-7.4279966,1.3796449,1.5073538,-0.50706863,-6.7164183,14.146339,12.085474,10.873866,0.6602526,0.6149173,15.143288,10.297239,0.84483624,16.711258,15.8907175,2.2371888],"ECH^FG_TOTAL_RETURNC(-5AY,0,AM)":[3.9871335,6.0606003,-2.915454,-12.012011,-4.4789257,-3.5247147,7.683623,-13.116473,6.5217376,-5.2154183,-2.642876,3.9340138,9.727311,6.6765666,-9.874826,17.091047,-20.320553,10.5806465,11.435246,-12.949383,3.4081817,4.071343,2.2294283,7.1401834,2.3377538,-6.2393427,6.072724,3.2910466,1.5017033,1.2580752,-8.059102,-9.861207,2.7552724,6.348574,0.9045601,-7.2855053,1.2365341,7.4468136,1.2467861,3.4045577,-6.103337,-5.7787895,1.5434623,6.0800076,-3.054303,-0.27226806,-2.5244892,13.32798,5.1718116,-5.052209,12.167442,0.695765,2.0970464,-5.4368315,12.42938,-5.261612,9.984398,8.312058,11.841047,6.3219786,-13.063658],"INDA^FG_PRICE(0,-200D)":[50.0,50.37,50.27,50.22,50.95,52.27,52.58,52.74,52.67,52.61,53.42,52.3,53.32,53.27,52.89,53.11,53.53,53.74,53.44,53.28,52.95,53.44,53.15,53.28,51.74,51.61,51.49,51.69,51.44,51.24,51.795,51.55,51.73,52.85,53.22,53.25,53.04,53.4,53.175,53.72,54.2,54.08,54.29,54.56,54.05,53.64,53.47,53.84,54.01,54.47,54.19,54.15,53.28,52.97,52.95,53.1,53.14,53.57,53.36,53.27,53.08,53.97,53.76,53.41,53.88,54.33,54.71,54.67,54.28,54.22,54.21,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2.54,52.68,52.55,53.23,53.58,53.57,53.8,53.65,53.5,52.71,52.41,52.71,52.465,52.27,52.12,52.53,52.255,52.41,52.48,52.72,52.64,52.7,53.49,53.23,53.8,54.06,54.73,54.61,54.75,54.5,55.01,55.27,54.875,54.92,54.88,55.27,55.66,55.69,55.36,55.79,55.6,55.84,55.68,55.86,55.71,55.0,54.8,54.31,53.9,53.79,53.83,54.56,54.04,54.8,55.33,55.26,55.24,54.91,54.18,53.92,53.96,54.54,54.31,54.59,54.285,54.53,54.58,53.79,54.03,54.07,54.78],"SET-BKK^FG_TOTAL_RETURNC(-5AY,0,AM)":[3.17384,2.302301,-0.4906118,2.5205016,-1.247263,-4.3803396,8.322823,-1.7526388,0.41618347,-2.3385525,4.082644,1.2818813,-0.14932156,1.762259,-4.208851,1.012528,-6.335652,3.8461685,2.04736,-2.7352214,2.3370504,0.40889978,2.504027,0.4928708,-4.472357,-2.224809,-2.407819,-0.31044483,-2.4912715,2.683735,1.1970282,-7.123679,-1.4765859,-1.9517183,2.7642012,-2.1709263,-1.8905282,0.36699772,-0.41145682,-3.0301034,-1.2360692,-2.8948367,12.058771,1.1634588,1.6042948,-1.0535538,-5.462265,-8.055955,-5.746108,-5.408776,5.5678487,-4.329628,-1.4510453,12.905157,0.026106834,1.647687,2.1522403,-3.010714,0.076937675,6.2176943,4.1624546],"EWW^FG_TOTAL_RETURNC(-5AY,0,AM)":[-1.1876464,9.038472,2.5132298,4.2150497,-0.90100765,2.497375,3.0303001,-4.550874,3.4145355,-6.180793,9.795343,-4.3211102,1.6573429,9.252095,-9.662378,4.2535663,-8.179074,-0.7008314,-0.749892,1.6888857,15.4283285,-1.4388442,5.26284,5.1210403,5.934453,-1.9565165,4.4687033,1.8612266,-0.4223764,1.7674685,-4.891652,-8.343106,9.102535,6.8688273,6.462121,3.0502439,-4.6865883,7.0482492,-4.152441,-10.059351,-4.7160864,-7.943434,-2.4843574,7.8763247,-5.660719,-1.2039006,-4.1797876,5.6238294,1.4592767,-2.9737651,16.967154,4.8809767,2.575636,-1.5235066,5.052674,2.5223255,2.338016,2.5533795,3.962338,14.034843,-6.948793],"EPOL^FG_PRICE(0,-200D)":[35.45,35.8,36.21,35.53,37.31,38.13,38.19,38.71,37.95,38.1,37.81,37.65,37.73,37.5,37.67,37.91,38.39,38.11,38.76,37.92,37.37,38.28,38.35,37.66,37.59,38.38,38.25,38.44,37.74,36.89,37.26,36.15,35.84,35.92,36.15,36.03,36.09,36.38,36.2,35.82,36.6,36.26,36.17,36.25,35.19,35.16,34.96,35.2,35.15,34.99,35.2,34.78,34.41,34.27,34.41,35.9,35.2,35.27,34.88,34.25,33.51,33.44,33.53,33.61,33.65,33.9,34.07,34.07,33.73,32.94,33.04,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2.07,32.34,32.86,32.59,32.7,33.38,33.78,33.79,33.64,33.45,33.27,34.07,33.99,33.44,33.97,33.53,32.84,31.79,31.94,31.7,31.75,32.21,32.25,32.13,33.35,33.29,33.45,32.93,32.9,32.86,32.34,31.97,31.66,32.14,31.95,32.05,32.72,32.62,32.25,32.82,32.19,32.06,32.26,31.69,31.65,30.57,30.56,29.51,29.72,29.36,29.39,29.38,29.86,30.63,30.62,30.83,30.0,29.46,29.75,30.22,29.92,30.49,30.37,30.72,31.25,30.82,29.85,29.99,30.09,30.77,30.53],"EWC^FG_TOTAL_RETURNC(-5AY,0,AM)":[3.3083558,4.8338413,4.8703074,5.001378,-1.6753793,0.40172338,1.6270876,-3.2283425,7.5671315,-4.538578,1.6957164,0.9997368,0.3907323,3.5287976,-7.719302,3.6393285,-12.824577,5.2695274,-4.2577686,-4.507208,4.940212,1.6191959,1.0080934,4.119742,-1.3378918,-0.46162605,2.7536273,-2.59521,-0.3032148,2.1713495,-1.5508354,-4.4048967,2.6243567,3.8953185,5.5110097,-0.7148683,3.2124043,2.736783,-0.44398308,-0.341022,-0.036340952,-1.5417278,6.128514,6.0035586,-0.21597147,3.126502,-3.5264552,2.4007797,-3.4210563,-4.85509,11.351215,6.125784,3.5074115,2.2712708,3.0169725,4.3319106,-3.021443,7.1155787,3.4713507,0.6587267,2.7631402],"QAT^FG_TOTAL_RETURNC(-5AY,0,AM)":[-2.4193585,3.829205,3.8317919,-0.7517755,-0.08806586,0.5795598,3.09062,5.030489,2.0319343,-2.4182081,1.288271,8.08276,6.788337,1.7507315,-3.195417,-4.9090147,-5.2913785,9.965981,-4.376668,1.8428206,-2.0818412,-8.159483,-1.090455,-5.1438093,0.44128895,-1.2398899,5.7860255,-3.1475663,-0.9456992,4.751265,-6.1366024,-2.1034718,1.4518023,-2.8048098,5.477035,-5.1926317,4.8881054,-2.6389658,-0.40369034,-1.3885438,5.49736,0.05828142,3.203261,2.990973,2.191782,-3.3780098,-0.04030466,1.4664412,0.83379745,-7.221609,10.219836,1.50944,1.3167739,6.5485835,-0.80604553,-2.4123967,1.2750387,-2.7214706,3.4829378,3.0219436,-5.9428334],"ECH^JULIAN(FG_TOTAL_RETURNC(-5AY,0,AM).DATES)":[44260,44292,44322,44351,44383,44414,44442,44475,44505,44536,44567,44596,44624,44657,44687,44718,44748,44778,44810,44840,44869,44901,44932,44963,44991,45022,45051,45083,45113,45142,45175,45205,45236,45266,45296,45328,45357,45387,45418,45449,45478,45510,45541,45569,45602,45632,45663,45694,45722,45751,45783,45814,45841,45875,45905,45936,45967,45996,46028,46059,46087],"EWU^FG_PRICE(0,-200D)":[46.0396,46.24,47.24,46.76,48.12,48.68,48.61,48.66,47.98,47.89,48.04,47.68,47.88,47.42,47.25,47.01,47.43,46.74,47.02,46.9,45.94,47.05,46.47,46.54,46.16,46.44,46.24,46.5,45.83,45.57,45.07,45.16,44.7,45.18,45.09,45.28,44.98,45.09,44.79,44.6,44.49,45.05,44.81,44.46,43.98,44.22,44.02,44.24,44.08,43.98,43.79,43.54,43.13,42.94,42.73,43.75,43.28,43.65,43.46,42.88,43.08,43.22,43.42,43.46,43.01,42.93,43.15,42.99,42.52,41.92,42.06,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57,41.66,41.74,41.79,42.08,41.66,41.72,41.29,41.29,41.27,41.5,41.36,41.03,40.64,40.53,40.49,40.38,40.23,40.21,39.94,39.81,40.04,40.39,40.12,40.64,40.77,40.9,40.43,40.01,39.8,39.83,39.85,39.59,40.03,39.92,40.27,40.01,39.79,39.42,39.82,39.61,39.85,39.72,39.72,39.69,39.28,39.41,39.17,38.9,39.22,39.2,39.62,40.42,40.78,40.41,40.31,40.34,40.35,40.22,40.19,40.06,40.29,39.92,39.79,39.67,40.07,39.88,39.53,39.43,39.61,39.33],"EPHE^FG_PRICE(0,-200D)":[25.49,26.13,26.39,26.64,26.91,27.91,28.15,28.37,27.73,27.53,27.16,26.83,26.78,26.68,26.97,26.94,27.25,26.93,26.42,26.73,26.45,26.33,26.45,26.24,25.97,25.65,26.33,26.23,26.03,26.21,26.35,26.27,26.0,26.42,26.38,26.04,26.24,26.41,26.13,26.08,25.92,25.98,25.46,25.3,24.92,25.06,25.09,25.08,24.94,24.93,24.96,24.66,25.01,25.1,25.19,24.95,24.9,25.02,24.73,24.67,24.58,24.73,24.2,24.68,25.06,25.24,25.21,25.02,25.0,24.97,25.06,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39,26.56,26.12,26.69,26.63,26.15,26.35,26.25,26.34,26.39,26.28,26.72,26.55,26.19,26.63,26.49,26.41,26.16,26.35,25.78,25.42,26.175,26.37,26.55,26.7522,27.0,27.09,26.52,26.34,26.11,26.08,26.35,26.96,27.36,27.13,27.19,27.15,26.78,26.72,27.08,27.0,27.14,27.12,27.23,26.85,26.81,26.61,25.96,26.5,26.7,26.98,27.35,27.66,28.08,27.93,27.82,28.12,27.95,27.96,27.66,27.78,27.6,27.24,27.84,27.93,27.78,27.81,27.27,27.46,27.36,27.9],"EWQ^FG_TOTAL_RETURNC(-5AY,0,AM)":[1.30409,4.2714953,6.172836,3.6205053,-3.0349255,3.9627671,-0.15349388,-4.176265,8.021391,-5.297035,4.9957514,-2.2256315,-16.457355,6.7647934,-5.280137,6.875181,-12.771731,8.823526,-8.73664,-3.9944947,10.186518,9.505213,4.2689204,4.7210217,2.0491838,2.2489905,3.1683803,-4.6700535,0.2758503,3.338766,-3.8350403,-3.1685352,-0.028216839,6.2076807,1.8278837,1.5493631,4.758215,0.7652521,0.195992,3.080678,-4.90942,-5.691677,4.1407228,2.5987506,-5.1671743,-0.58760047,-1.9046605,7.753861,6.0947537,-10.185856,11.851656,3.4118295,2.3559809,-2.4605393,1.2851,3.8298845,-1.7424762,2.7637005,2.7149916,1.7543912,-4.9245653],"EWZ^FG_PRICE(0,-200D)":[36.165,36.36,37.49,36.82,38.64,38.73,39.1,39.59,39.47,38.77,39.37,38.61,38.03,37.74,38.06,38.49,39.16,38.32,38.42,37.56,36.91,36.98,38.04,37.45,37.04,38.12,38.33,37.89,36.61,36.59,35.95,35.02,33.62,33.17,33.36,33.16,32.63,32.93,33.06,32.88,32.7,33.11,32.79,32.2,31.77,31.99,31.42,31.73,31.55,31.65,30.97,31.17,31.17,31.0,31.6,33.58,33.32,33.16,32.77,32.74,32.75,32.53,34.72,34.2,34.03,33.4,33.61,33.47,32.55,32.2,32.03,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49,29.02,28.61,28.74,28.61,27.66,27.69,27.36,28.29,28.2,27.89,28.18,28.39,27.64,27.81,28.05,27.45,27.02,26.93,26.65,26.55,26.88,26.76,26.52,26.94,27.13,27.48,27.0,27.08,26.85,27.69,27.57,27.47,27.31,27.53,27.72,28.16,28.71,28.6,29.31,28.91,28.79,28.85,28.14,28.13,27.57,27.98,27.66,27.67,28.08,28.11,28.31,28.14,28.15,28.22,27.72,27.62,27.72,27.6,27.44,27.58,27.27,27.21,27.7,27.69,27.99,27.65,27.52,27.67,28.16,28.18],"EIDO^FG_PRICE(0,-200D)":[16.31,16.66,16.87,17.15,17.52,17.82,17.89,18.22,17.95,18.11,18.06,17.83,17.87,17.82,17.77,17.89,18.09,17.75,17.6,17.6,17.51,17.79,17.59,17.41,17.65,17.58,17.26,19.18,19.2,19.01,19.05,18.94,19.13,19.14,19.22,19.14,19.03,18.99,19.01,18.99,19.03,19.08,19.04,18.81,18.7,18.67,18.67,18.47,18.45,18.56,18.68,18.58,18.63,18.6,18.67,18.86,18.76,18.68,18.86,18.68,18.87,18.82,18.79,18.83,18.92,18.79,18.67,18.87,18.73,18.78,18.37,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8.19,18.16,18.38,18.61,18.65,18.44,18.6,18.31,18.43,18.5,18.63,18.83,18.61,17.98,17.83,17.72,17.66,17.62,17.59,17.61,17.27,17.58,17.8,17.75,17.6,17.81,17.81,17.56,17.73,17.69,17.76,17.7,17.72,17.63,17.87,17.76,17.47,17.31,17.34,17.47,17.48,17.49,17.63,17.49,17.51,17.18,17.38,16.89,17.18,17.87,18.02,18.01,18.62,18.9,18.91,18.84,18.59,18.51,18.56,18.45,18.42,18.56,18.88,18.95,18.91,19.04,19.16,18.91,18.79,18.53,18.74],"SPY^FG_TOTAL_RETURNC(-5AY,0,AM)":[-1.0523319,6.209731,3.1887174,0.84234476,2.7840972,2.208209,2.3932695,-3.701973,7.7328086,-2.078843,2.357316,-4.1116357,-3.6839783,3.6379457,-7.878703,0.109398365,-6.5295935,7.885194,-5.4925385,-4.0983677,0.84404945,4.6446085,-1.0020137,5.6045175,-1.307857,1.557672,0.84068775,3.7321568,3.1000495,1.6262531,-0.13204813,-3.3943355,1.4317632,4.3769717,3.3117056,5.569327,3.1924367,2.020955,-0.35877228,3.5019398,4.072082,-5.857849,3.4874916,6.362438,3.1519413,2.8373718,-1.7226517,1.8409014,-5.543274,-11.508614,10.592151,7.2190404,4.682243,1.1897564,2.2851467,4.0514946,-0.19356012,2.294457,1.1880398,-0.17201304,-2.1676123],"EWI^FG_PRICE(0,-200D)":[53.05,53.43,54.57,53.89,55.95,57.33,57.93,57.61,56.94,56.94,56.81,55.89,56.32,56.02,55.54,56.52,56.98,57.32,57.61,56.28,55.7,56.95,56.93,56.37,55.88,56.17,55.83,56.63,55.39,54.91,54.77,54.44,54.02,54.92,54.8,55.04,54.81,55.32,55.03,55.24,54.97,55.29,55.67,55.16,54.33,54.59,54.16,54.62,54.56,54.4,54.24,54.21,53.81,53.51,53.58,54.35,53.66,53.95,53.55,53.02,52.98,52.98,53.15,53.29,53.0,52.66,52.93,52.54,52.16,51.19,51.47,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19,50.91,51.42,51.76,52.34,51.53,51.69,51.62,51.54,51.79,51.56,51.1,50.64,49.99,50.16,49.95,49.52,48.74,48.57,47.83,48.25,49.13,49.06,48.78,49.56,49.12,49.84,48.55,48.03,47.79,47.75,47.76,47.32,48.16,47.99,48.53,49.17,48.34,47.87,48.21,48.29,48.05,48.14,47.86,47.5,47.17,47.2,46.45,46.36,46.46,46.26,47.21,47.43,48.25,47.93,47.93,48.18,48.3,47.98,47.74,47.87,48.32,47.77,47.58,47.55,47.66,46.96,47.54,47.65,47.84,47.3],"EWY^FG_PRICE(0,-200D)":[127.5,125.74,134.37,132.34,147.54,151.37,150.41,148.89,144.55,139.3,141.88,135.21,132.93,130.68,133.97,130.8,130.6,124.45,126.05,124.71,120.21,120.26,124.32,120.93,122.41,124.5,125.56,122.7,117.32,117.97,115.99,115.66,110.97,112.22,111.05,109.64,107.54,108.93,108.89,106.59,107.03,107.61,104.83,102.22,97.22,98.62,98.72,95.84,94.6,92.7,91.75,91.34,90.07,88.58,89.52,92.73,92.67,94.96,96.75,95.57,95.07,94.3,91.87,93.0,92.07,90.62,90.87,91.55,89.79,90.3,89.22,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3.64,72.47,72.39,72.73,73.51,71.22,71.36,71.44,72.8,73.39,73.66,74.72,74.1,73.03,73.5,73.44,73.18,72.89,72.33,70.65,72.81,73.68,73.49,72.71,73.21,73.31,73.85,72.89,73.87,72.39,73.06,73.08,73.07,73.2,72.56,73.14,72.08,72.08,70.07,72.7,71.95,71.64,71.78,70.74,71.94,72.37,72.65,69.42,68.53,67.87,66.63,68.19,66.42,67.69,66.99,66.16,66.48,65.57,65.36,63.98,61.89,61.74,60.63,61.8,60.75,59.98,58.96,58.29,59.1,58.4,58.82],"KSA^FG_TOTAL_RETURNC(-5AY,0,AM)":[6.653869,9.568083,2.6827216,4.612112,1.4831066,2.6869416,2.6660085,2.2120714,1.7172456,-5.804813,3.3068776,7.0368648,4.449904,3.4682155,3.5588622,-7.9920053,-10.594034,7.80524,-1.1348188,-0.96419454,-1.1821926,-11.681914,3.2212377,-1.1443496,-0.5787909,5.9010267,2.3738146,1.0007262,0.9428859,-1.1627913,-1.3970554,-4.5488415,2.1354198,0.89240074,10.08507,-0.2093494,3.076923,1.198554,-3.106141,-6.549817,1.173377,-0.32186508,3.725779,-0.8860111,1.6187549,-1.0223508,0.7171154,2.6744485,-4.641247,-3.20338,1.8984079,-3.0463338,2.6933074,-2.1856487,-2.208203,9.596777,-3.6055982,-5.3435087,0.7552624,7.3454022,-6.666672],"GREK^FG_TOTAL_RETURNC(-5AY,0,AM)":[7.7824235,5.31832,6.561005,1.1414766,-6.5663457,1.1713028,5.1012993,-4.5438886,1.1539817,-4.9197855,0.61438084,10.814929,-16.254293,9.766102,-4.785049,4.9862623,-18.341087,9.733701,-5.2301226,-2.60486,11.378061,5.7794094,9.9012375,8.591949,3.4665227,-1.24681,4.2408586,9.161496,5.4807425,4.5577884,-7.057607,-11.111111,11.7148285,2.417767,4.4627905,7.774806,1.8656731,-4.004884,5.4947853,0.6269574,-0.31707287,-3.7376463,5.0100207,0.6782055,-5.3887844,2.251947,2.5883317,2.3578167,9.105766,-2.8093636,15.003443,10.632348,9.314907,7.501662,-1.2461007,3.1230211,-4.450899,6.371057,3.5514355,11.544741,-12.808037],"EWC^FG_PRICE(0,-200D)":[56.53,56.91,57.47,57.07,58.16,57.98,58.15,57.59,57.15,56.95,57.16,56.75,56.46,55.86,56.17,55.26,56.58,56.72,56.27,55.01,54.14,55.01,54.84,54.55,54.26,56.53,56.35,56.18,55.69,55.77,55.2,55.02,54.75,55.13,55.22,55.18,55.12,55.09,54.63,54.46,54.01,54.65,54.59,54.19,53.93,54.3,54.33,54.8,54.6,54.54,54.17,53.68,53.22,52.81,52.98,53.8,53.89,54.08,53.72,53.07,52.95,53.29,53.07,52.47,52.14,52.18,52.7,52.25,51.56,51.05,50.43,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46,48.37,48.02,47.55,48.03,47.28,47.11,47.0,47.35,47.27,47.33,47.64,47.51,47.28,47.34,47.34,47.73,46.93,46.58,45.86,46.18,46.38,46.79,46.72,47.01,46.97,47.17,47.09,46.71,46.59,46.71,46.47,46.04,46.44,46.13,46.41,46.13,46.0,46.18,46.67,46.33,46.19,46.2,45.58,45.92,45.32,45.62,45.33,45.1,45.32,45.45,45.76,45.88,46.0,45.66,45.43,45.3,45.39,45.32,45.25,45.34,45.39,44.96,44.78,44.76,44.82,44.44,44.0,43.94,44.19,44.05],"SPY^FG_PRICE(0,-200D)":[675.65,681.31,685.13,680.33,686.38,685.99,689.3,693.15,687.35,682.39,689.43,684.48,686.29,682.85,681.75,681.27,691.96,692.12,693.95,690.62,677.62,686.19,689.53,695.41,691.97,694.04,695.42,695.49,692.73,689.23,688.98,685.4,677.58,691.66,692.24,690.36,693.77,695.16,694.07,689.51,689.58,691.81,687.72,683.17,681.92,687.01,687.85,690.31,690.38,687.96,684.83,680.59,676.47,671.4,678.87,680.73,681.76,689.17,687.57,683.04,683.63,685.69,684.39,683.89,681.53,680.27,683.39,679.68,675.02,668.73,659.03,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0.45,617.65,617.85,614.91,611.87,607.12,606.78,600.15,594.28,597.44,597.53,602.68,597.0,603.75,601.36,603.08,599.68,599.14,593.05,595.93,596.09,592.71,589.39,590.05,587.73,591.15,579.11,583.09,582.86,592.85,594.85],"EPU^FG_PRICE(0,-200D)":[83.9,84.72,88.67,87.55,93.38,93.84,93.46,93.37,92.18,90.66,89.66,88.13,86.571,84.91,86.67,87.03,90.05,89.43,91.08,88.15,85.17,88.38,91.33,87.4,86.6,92.57,92.07,91.61,90.43,88.38,86.2,85.04,84.78,82.63,83.01,82.26,80.99,80.55,78.19,76.55,75.42,76.71,74.87,72.71,72.35,72.91,71.95,73.77,72.74,72.78,72.08,71.2,69.98,69.18,69.3,69.25,69.3,69.68,68.29,67.48,66.53,67.03,67.0,66.03,64.67,64.57,64.47,63.1,61.56,61.02,59.64,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4188,52.9672,53.39,52.93,53.23,52.009,51.75,51.68,52.3821,52.1916,51.95,52.16,51.75,51.1309,51.72,50.7055,50.1833,49.7,49.27,48.35,48.65,47.99,49.44,49.15,49.61,49.98,50.3,49.55,48.93,48.32,48.2014,48.0038,48.12,48.69,48.83,49.12,48.81,49.3,49.62,50.06,49.75,48.8572,48.59,48.49,49.1078,47.3159,47.313,46.97,47.08,47.4137,47.62,47.7117,48.2913,48.5848,48.44,48.2311,48.53,48.5916,48.7961,48.065,47.95,47.72,46.64,46.6136,46.5428,46.83,46.76,45.76,45.66,45.57,45.16],"EWD^FG_TOTAL_RETURNC(-5AY,0,AM)":[2.1235943,7.3130846,3.5053372,3.7442088,-3.0450046,3.316927,0.82850456,-8.648312,9.916794,-7.2217703,4.395056,-7.8431425,-18.723398,12.79813,-12.429089,8.833921,-15.563,9.297729,-11.342388,-4.593396,8.630526,10.37426,1.1999011,4.6704054,1.412034,-2.2834837,5.8991194,-5.7588816,-3.2267332,2.419591,-4.2350826,-0.39109588,-0.9060681,12.618101,4.4383883,-0.9824693,7.3478103,-0.099915266,-0.27506948,6.845534,-2.8003275,-7.1148157,5.5467486,5.6806803,-6.4882755,1.468718,-3.9181411,9.688306,4.925418,-13.856924,15.745354,4.4363976,1.0976076,-1.7536163,4.88621,2.659011,-2.6522994,2.958703,4.888642,5.62762,-2.0782113],"CNYA^FG_TOTAL_RETURNC(-5AY,0,AM)":[-5.9095917,-1.6639292,-0.047665834,7.606113,-4.8967123,-1.1435211,0.37771463,-1.7874002,2.5383234,2.63896,-3.0514836,-4.831833,-0.97063184,-6.861019,-12.844044,9.040249,6.161022,-5.894965,-5.125284,-4.6818733,-2.8022647,6.316805,2.8449178,1.8512964,-2.175206,0.94424486,-3.1834662,-7.6515493,-1.5853643,6.426108,-7.2973847,-2.4555922,-1.4461637,-4.1304407,-1.8953025,-1.8459082,7.5633764,0.32687187,3.1595707,-2.7620256,-4.9600124,-0.39856434,-2.6010394,42.93344,-13.768328,-2.8666675,-6.043184,2.5755882,4.1666627,-7.213974,4.7439814,1.437819,2.8533936,4.9117923,8.869112,4.0884256,0.6400943,-1.0985851,5.90744,-0.6453395,-1.0448992],"KSA^FG_PRICE(0,-200D)":[37.1,37.25,37.46,36.68,36.58,37.17,37.13,37.92,38.18,38.3,38.63,38.13,39.12,38.94,39.16,38.94,39.19,39.23,39.46,39.75,39.22,39.63,39.57,39.79,39.86,39.87,40.14,40.12,39.61,39.01,38.93,38.3,37.94,37.83,37.99,38.21,38.21,37.82,36.87,36.82,36.32,37.03,36.0,36.77,36.41,36.05,36.39,36.57,36.6,36.76,36.55,36.36,36.3,35.83,36.09,36.81,37.4,37.62,37.66,37.43,37.19,37.2,37.17,37.04,36.98,37.06,37.44,37.38,37.59,38.16,38.28,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47,37.68,38.02,38.08,38.13,37.94,37.89,37.84,37.83,37.55,37.59,37.44,37.49,37.43,37.83,37.83,38.04,37.78,37.63,37.32,37.56,37.62,37.39,37.61,37.72,37.68,37.97,37.5,37.82,38.13,38.17,38.1,38.09,38.65,38.89,39.0,38.89,38.9,39.08,38.89,38.44,38.25,38.54,38.26,38.16,37.82,37.72,37.1,36.56,36.36,36.83,37.48,37.13,38.07,38.46,38.72,38.57,38.51,38.48,38.38,38.0,38.16,38.33,38.39,38.6,38.21,39.17,39.28,39.3,39.89,39.91],"EWT^FG_TOTAL_RETURNC(-5AY,0,AM)":[0.103485584,4.341829,4.04557,1.301384,0.924325,0.41912794,1.4067054,-7.667679,5.7619214,3.3562303,3.9324522,-3.7180781,-3.1172514,-2.609253,-9.335965,2.1211028,-14.770108,7.1651816,-5.675417,-7.356274,-4.3371916,14.694262,0.4115939,5.6945443,0.8115411,0.38013458,-1.0915518,6.441438,-2.7084172,1.6528964,-2.5460064,0.04390478,0.592494,4.9520135,4.009855,2.9285908,5.187142,1.1651993,0.76100826,5.327606,7.5193763,-12.959623,3.706777,7.3881745,2.714765,-0.706017,1.3290763,-2.898556,-2.8128564,-13.723177,17.66317,4.9456954,9.8503,-0.5047083,1.8092632,8.005309,-0.13839006,0.6313443,5.3759217,6.4104557,0.29978752],"EZA^FG_PRICE(0,-200D)":[70.7225,71.42,74.34,73.56,79.9,81.6,80.76,80.27,79.25,77.89,77.25,75.01,75.57,74.71,75.32,74.15,76.53,75.41,75.72,74.77,71.6,73.98,74.56,73.25,73.2,79.58,80.14,79.02,77.38,76.34,75.56,73.52,73.44,72.78,73.74,73.39,73.09,72.78,70.69,70.34,71.45,72.74,70.24,69.4,68.8,69.23,68.43,70.31,69.92,69.54,68.79,67.6,67.51,66.64,65.7,69.61,68.63,69.5,68.18,66.91,66.39,67.88,67.05,66.92,66.5,67.45,66.74,67.83,66.3,65.89,64.86,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15,57.38,58.1,58.35,58.8,56.91,57.11,56.67,57.11,57.62,57.64,58.36,57.5,56.36,56.45,56.66,56.17,55.4,55.05,53.43,53.05,53.99,54.54,54.22,54.74,55.44,56.27,55.74,55.7,54.81,53.57,53.43,52.86,52.99,52.98,53.95,54.0,53.81,53.84,54.79,54.31,54.21,53.75,52.64,52.98,52.89,53.46,52.35,51.73,51.8,51.56,53.04,53.3,54.77,54.08,54.66,54.44,53.94,54.03,53.46,53.13,53.27,52.21,53.05,52.03,51.91,52.52,51.43,51.45,51.61,51.08],"EWA^FG_TOTAL_RETURNC(-5AY,0,AM)":[1.3704181,0.35785437,4.833591,3.4769416,-4.457271,2.093029,0.75930357,-5.312741,5.173099,-6.6969395,2.9719949,-5.673468,7.183039,7.226479,-9.299696,3.52844,-13.201785,6.7238927,-4.066128,-4.704237,4.2522073,8.110642,1.6854525,5.5603743,-4.320985,-0.6881714,0.90948343,-2.5750995,-1.6109049,2.5091171,-2.7147233,-2.012813,1.4005542,3.7753344,7.7655673,-0.7142842,3.131616,0.7796407,-0.570029,2.7846098,1.3393402,-5.370742,6.3955903,5.334389,-2.834469,-0.03888607,-3.7409961,3.288114,-4.417026,-11.948377,18.43971,5.269468,1.9464493,0.6797552,1.0127544,1.5967369,-3.289479,-0.4535079,2.2974133,6.5685153,0.8147359],"EWM^FG_TOTAL_RETURNC(-5AY,0,AM)":[-0.32680035,-0.400728,0.10973215,0.21921396,-4.634416,-3.351736,7.874334,-2.0801842,-1.0428667,-4.605776,3.8785934,-0.61025023,5.1985264,0.6225705,-6.573862,-1.7798007,-7.50187,5.0209165,-2.346176,-6.527644,0.5819559,9.836065,1.9431353,2.2173882,-6.7630825,1.5510917,-0.4492402,-7.3555946,-1.5135765,7.703924,-2.0570278,-1.8615842,4.9610972,-2.2706209999999998,3.5529017,-1.5377462,2.0823479,2.5034785,3.0755281,2.1061897,0.117218494,1.7444372,8.3583355,3.1645536,-3.7960112,-0.3587067,-1.2203872,-0.8250773,-2.5790393,-6.447482,12.460065,-1.5827894,2.7964354,-0.040966272,2.581966,4.23491,-0.30663013,2.422142,5.36325,7.0213556,-3.4832537],"UAE^FG_PRICE(0,-200D)":[19.1,19.4,19.835,19.69,20.31,21.35,21.54,22.0,22.0,21.96,21.63,21.69,22.23,21.85,21.94,21.89,21.83,21.9,21.89,21.73,21.39,21.29,21.11,20.94,20.49,20.66,20.75,20.71,20.41,20.46,20.62,20.3,20.09,19.87,19.73,19.59,19.76,19.55,19.43,19.65,19.65,19.425,19.22,19.2151,19.12,19.05,19.6,19.54,19.52,19.56,19.45,19.25,19.31,19.1129,19.24,19.38,19.35,19.51,19.4401,19.38,19.08,19.22,19.05,18.85,18.53,18.4941,18.58,18.53,18.71,18.75,18.68,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53,19.68,19.75,19.83,19.96,19.753,19.8,19.8383,19.965,19.905,19.98,19.93,20.15,20.08,20.14,20.1,20.25,20.01,20.21,19.95,20.0399,20.26,20.145,20.32,20.35,20.11,20.105,19.795,19.9,19.98,20.05,19.86,19.41,19.37,19.21,19.08,19.13,18.84,18.86,18.84,18.6,18.66,18.72,18.57,18.5,18.22,18.3,17.66,17.26,16.99,17.24,17.56,17.88,18.395,18.72,18.78,18.71,18.67,18.61,18.59,18.59,18.45,18.57,18.59,18.66,18.62,18.45,18.53,18.57,18.71,18.65],"ENZL^FG_TOTAL_RETURNC(-5AY,0,AM)":[-7.273531,-1.543355,4.9773693,-3.5714269,-0.93138814,0.50406456,4.7888637,-3.7980497,1.7653584,-8.253116,1.4829397,-7.5303373,4.0729046,-1.2687624,-12.144793,0.16480684,-6.1514435,7.8270555,-5.387628,-9.650076,7.3129654,9.863257,2.0430923,3.6668658,-4.8163595,1.5679121,1.2630224,-4.019004,1.3760328,-0.69872737,-7.636589,0.8962512,-1.1769891,4.2471886,5.0296783,-2.1160662,-2.5256872,0.32937527,-0.45961738,4.0017605,-2.9831767,-0.21958947,7.3283434,0.020503998,-2.603525,-1.6417563,-1.1127651,-1.4912307,-4.8975887,-6.062734,11.6870165,1.0932684,2.3949862,-0.7180095,1.0957718,2.1786213,-3.8228452,1.4600754,1.6107202,3.1472921,-4.3067217],"INDA^FG_TOTAL_RETURNC(-5AY,0,AM)":[0.90026855,-1.2444198,0.33285618,7.535541,-2.9735446,3.8190365,8.824182,-1.3883352,1.9996047,-5.7011423,5.6189656,-2.9304802,-8.550024,9.831333,-7.6349316,-1.6627014,-3.019321,6.6251516,0.2335906,-4.264736,4.819858,0.18578768,-2.457112,-4.919207,0.44988394,-0.59716105,3.6295414,2.0772815,3.3186078,1.032579,0.31796694,0.92823505,-0.8748412,7.12831,3.6966681,3.442657,2.6191473,-0.17271042,0.67281723,1.8903971,6.184411,-2.8062105,2.6148558,1.0440588,-3.432572,0.9611845,-4.7507706,-3.400457,-3.7561476,0.5108237,9.127879,2.2913575,1.6026258,-6.33626,0.43057203,0.5335331,1.6300201,0.6527424,0.20381212,-1.4792979,-6.1561527],"EPU^FG_TOTAL_RETURNC(-5AY,0,AM)":[-1.0714352,-0.74422956,-10.749263,8.840132,-17.425251,-7.217729,1.4860868,-1.0833085,10.838377,-3.5775185,11.887884,1.9721985,14.806593,1.7122388,-18.951946,3.819096,-17.790722,4.51771,-2.4532735,3.4331322,8.5295315,4.694164,5.525887,0.065505505,-1.3093293,1.1608601,2.9508233,-1.0621011,-0.30269623,8.987057,-4.7619104,-7.133758,1.8175602,2.4930954,13.16613,0.00030994415,6.603062,10.910249,4.438317,3.180313,-0.056415796,-7.53817,-0.60448647,13.492811,-0.6721735,-1.266402,-3.1083822,4.4356585,-1.4265418,-3.4008682,13.483154,6.9122076,4.956627,0.24629831,12.58725,10.991144,-1.5308559,8.550608,14.9109955,14.913309,-4.8213243],"EWD^FG_PRICE(0,-200D)":[51.83,52.04,52.91,51.87,53.17,54.72,54.56,54.13,54.01,53.49,54.0,53.4,53.5,53.26,53.47,53.42,54.56,54.17,53.38,52.93,51.86,52.92,53.23,52.88,52.27,53.45,52.93,53.64,52.72,52.38,51.74,51.52,50.46,51.31,51.05,50.61,50.7,50.91,50.78,50.28,50.87,50.11,50.39,49.6,49.23,49.55,49.32,49.65,49.31,49.21,48.8,48.55,48.18,47.62,48.23,49.11,49.38,49.67,49.36,48.55,48.4,48.37,48.09,47.77,47.61,47.58,47.91,47.43,47.06,46.26,46.06,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63,46.46,46.64,46.57,47.24,46.08,46.45,46.56,46.28,46.61,46.06,46.02,45.99,45.23,45.88,45.6,44.82,44.45,44.3,43.68,43.86,44.54,44.96,45.78,46.38,45.9,46.3,45.21,45.25,44.65,44.98,44.63,44.69,45.3,45.57,46.39,46.05,45.55,45.52,45.62,45.51,45.19,45.74,46.02,45.33,44.67,44.95,43.96,43.81,43.98,44.43,44.91,45.49,46.02,45.9,45.94,45.91,46.14,46.17,45.93,45.2,45.62,45.45,45.36,45.24,45.55,45.32,45.09,45.94,46.35,46.19],"EWG^FG_PRICE(0,-200D)":[40.9,41.18,42.1,41.57,42.91,44.34,44.56,44.35,43.95,43.9,44.32,43.88,44.12,44.04,43.97,43.96,44.05,44.22,44.32,43.53,42.84,43.25,43.51,43.48,43.11,43.44,44.01,44.3,43.84,43.48,43.1,42.82,42.54,43.34,43.24,43.49,43.57,43.83,43.41,43.31,43.26,43.13,43.05,42.56,42.5,42.75,42.51,42.65,42.57,42.44,42.34,42.1,41.94,41.61,42.03,42.1,42.18,42.39,41.94,41.53,41.34,41.41,41.14,40.95,40.89,40.52,40.92,40.6,40.19,39.47,39.4,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2.02,41.89,42.13,42.12,42.66,42.08,42.39,42.39,42.45,42.58,42.5,42.38,42.15,41.94,42.34,42.33,41.84,41.49,41.3,40.75,41.15,41.63,41.89,41.67,42.81,42.7,43.21,42.42,42.42,42.13,42.35,42.18,41.82,42.35,42.45,42.86,43.26,42.59,42.23,42.21,42.17,42.01,42.31,42.3,41.64,41.15,41.39,40.75,40.34,40.28,40.4,41.13,41.51,42.22,42.11,42.12,42.31,42.52,42.57,42.46,42.12,42.34,41.97,41.85,41.77,42.31,41.26,41.64,41.68,41.77,41.56],"SET-BKK^FG_PRICE(0,-200D)":[1410.37,1417.29,1384.61,1466.51,1528.26,1533.64,1516.01,1490.4,1480.24,1479.71,1493.91,1466.67,1459.68,1438.09,1430.41,1441.53,1411.7,1410.44,1400.89,1354.01,1346.23,1346.54,1336.11,1321.42,1325.62,1331.07,1338.9,1334.45,1307.07,1314.39,1311.64,1317.56,1296.37,1283.2,1275.6,1261.39,1244.3,1235.3,1242.2,1254.09,1253.6,1280.82,1274.75,1280.05,1259.67,1254.03,1259.25,1264.77,1275.33,1271.11,1269.68,1252.19,1250.07,1256.85,1260.68,1273.4,1254.1,1253.54,1269.87,1261.39,1273.77,1274.82,1277.58,1276.57,1256.69,1252.71,1261.18,1268.78,1252.73,1254.4,1281.81,1272.17,1270.04,1280.07,1269.26,1287.44,1284.81,1300.47,1306.26,1302.91,1313.31,1295.29,1298.6,1308.86,1309.5,1314.65,1315.64,1314.28,1323.52,1313.91,1302.35,1290.72,1284.47,1274.61,1291.46,1286.69,1266.3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65.15,1264.47,1246.96,1229.4,1218.33,1242.35,1244.14,1233.68,1217.15,1212.49,1219.62,1191.75,1208.13,1206.58,1198.11,1157.63,1161.01,1143.31,1121.13,1110.4,1115.65,1123.0,1119.94,1127.21,1115.69,1110.01,1089.56,1082.42,1106.73,1107.69,1100.01,1062.78,1067.63,1068.73,1094.58,1113.58,1114.49,1122.7,1128.62,1141.58,1139.16,1135.24,1136.43,1140.63,1132.02,1149.18,1164.01,1160.74,1163.42,1178.43,1176.36,1173.37,1179.81,1189.14,1187.06,1195.77,1194.49,1216.71,1214.39,1210.94],"EWW^FG_PRICE(0,-200D)":[74.32,75.25,77.91,75.37,79.46,80.94,80.66,80.45,80.37,79.54,81.23,79.94,80.15,80.76,81.03,79.92,80.7,80.48,80.67,79.87,76.83,77.22,78.76,75.43,75.12,78.45,78.73,77.86,76.7,76.08,75.75,75.36,74.61,74.0,73.25,73.38,71.97,72.06,71.06,70.48,69.92,70.04,70.58,69.66,69.33,69.49,70.51,71.15,70.95,71.04,69.95,68.85,68.75,67.45,68.28,70.48,70.69,71.06,69.04,69.27,68.64,68.68,68.82,68.43,68.71,68.46,68.42,67.88,67.75,66.55,66.04,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2.52,61.94,61.44,61.71,62.8,61.55,61.17,61.25,61.19,61.34,60.99,61.99,62.33,61.54,61.64,61.65,60.76,60.19,59.23,59.6,60.14,60.17,60.93,60.06,61.05,60.85,60.47,59.03,59.24,59.46,59.79,59.77,59.38,59.61,60.13,60.29,60.28,60.89,61.11,61.7,61.59,61.12,60.56,60.32,60.31,59.68,59.21,57.94,58.11,58.97,58.91,59.82,61.06,61.57,61.56,61.36,61.09,61.24,60.72,60.25,60.39,60.64,60.17,61.23,60.9,61.13,60.67,59.83,60.32,60.53,60.57],"CNYA^FG_PRICE(0,-200D)":[35.04,35.09,35.29,34.9,36.13,36.15,35.96,36.36,35.94,35.85,35.79,35.622,35.8,35.65,35.3684,35.56,35.76,35.715,35.82,35.41,34.84,35.14,35.0,34.72,35.11,35.89,35.52,35.64,35.58,35.55,35.78,35.805,35.5,35.515,35.87,35.6,35.59,36.23,35.83,35.49,35.5,35.64,35.21,34.91,34.58,34.59,34.37,34.71,34.44,34.31,34.24,33.89,33.58,33.63,33.197,34.05,34.08,34.09,34.34,34.225,34.36,34.21,33.74,33.76,33.81,34.25,33.95,33.59,33.51,33.11,33.06,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16,32.26,32.91,32.91,32.71,31.62,31.74,31.02,31.32,30.97,30.72,31.01,30.73,30.295,30.27,30.3,30.33,30.17,29.9,29.6,29.68,30.24,30.44,30.29,30.31,30.45,30.35,30.365,29.98,29.73,29.6,29.26,29.29,29.395,29.2,29.32,29.07,29.12,28.86,28.91,28.7,28.71,28.71,28.46,28.79,28.805,28.55,28.03,27.925,27.96,28.0,28.12,28.15,28.42,28.29,28.1,28.3,28.22,28.29,28.18,27.96,27.72,27.67,28.02,27.83,27.9,28.2,28.3,28.4,28.28,28.14],"EWU^FG_TOTAL_RETURNC(-5AY,0,AM)":[4.9664497,1.886189,4.8948884,2.0341039,-2.1262884,1.2488604,0.6919384,-3.0176342,3.2963634,-2.3859203,5.421412,1.697433,-8.023429,8.213949,-7.0609035,4.6850204,-10.266108,5.1475644,-6.462139,-6.5247717,7.5401187,9.649431,1.8175721,0.7573366,1.8164635,1.6917944,2.48034,-3.600949,-2.271247,3.3216238,-2.3802102,-0.31665564,-0.31766295,2.9955387,3.8848042,-0.5179703,1.2557387,3.3272743,4.0983677,2.3622036,-0.64664483,-2.4809718,5.4929256,1.3154268,-3.5704613,0.70126057,-2.9347718,5.6548476,3.300047,-7.060403,11.409593,4.614985,0.7066369,1.4063358,2.8974652,2.4789453,0.09393692,1.4077902,6.256652,4.1065574,-1.8345416],"VNM^FG_TOTAL_RETURNC(-5AY,0,AM)":[-1.2276769,4.5197725,1.9459486,6.733823,1.1922598,-2.749145,1.9687057,-4.900998,6.2988043,-2.007836,7.431555,-7.807386,-0.40568113,-2.9531538,-12.801671,-4.933816,-12.658226,10.797095,-1.5696526,-15.813952,-10.497236,10.317457,0.29375553,-0.5631566,-7.1197453,7.0557475,-2.3596406,9.16667,0.916028,14.069593,2.71883,-13.686246,-4.637247,7.2941184,1.0852814,-1.2580991,4.4015527,-1.1094689,-5.38519,1.2253046,-2.772361,-6.3453794,7.8044534,-0.7159889,-3.8461506,-0.24999976,-4.2606535,1.1343837,5.2631497,-4.5901594,4.982817,11.620295,2.3460388,22.421206,5.1492095,2.5876522,-6.048274,7.6789856,4.395032,-7.205349,-2.6899636],"EZA^FG_TOTAL_RETURNC(-5AY,0,AM)":[0.98947287,7.087755,-0.48666596,7.0031285,-10.831839,-0.28968453,2.0958781,-3.6382138999999998,2.1092653,-4.4825435,3.0864835,5.7863474,4.367864,4.9337626,-17.983896,6.357348,-11.141115,2.4131298,-5.7492914,-5.249995,7.4670076,6.6781282,5.6170225,-1.747787,-5.6518793,1.3842463,-0.164783,-7.0973816,-1.8022537,9.045494,-7.2582664,-3.874147,8.817959,-1.2925684,1.146102,-0.2016604,-1.4397562,3.1778574,3.7009478,-3.3293426,11.535668,-3.9034307,6.5508366,9.739971,-0.7831335,-2.1453202,-7.562846,7.4947,2.104795,-11.337769,22.814238,6.369555,2.7741194,2.5187016,3.1155467,12.776243,-2.4800956,6.5620065,13.050127,2.790761,-5.413258],"EPHE^FG_TOTAL_RETURNC(-5AY,0,AM)":[-2.4644494,-3.3041775,-2.9815793,9.081495,-1.9334078,-7.63731,7.1780443,1.5430093,6.6925287,-3.303033,-2.2114396,3.3129573,-0.24905801,-2.99626,-6.949806,-1.8326461,-7.3398294,0.8846164,-0.15249252,-12.943876,4.6052694,10.859537,4.7207117,3.12047,-5.277973,-0.9286761,2.662158,-5.843675,0.5023718,1.9042969,-5.855298,0.24430752,-1.4216125,4.408729,5.874169,0.8643389,2.3472428,-3.7495434,-1.5506804,-4.80215,1.3881087,-0.161618,11.61474,6.2726617,-6.9600763,-3.923726,-0.7083118,-4.1101274,1.6579032,-5.210817,14.771295,2.1937847,-1.9579649,-2.474153,-1.3252556,-3.6838055,-3.944224,2.571547,5.8863044,2.8868318,-4.638982],"QAT^FG_PRICE(0,-200D)":[18.755,18.86,18.89,19.01,18.87,19.46,19.52,19.89,19.99,19.92,19.845,19.8556,20.115,19.98,20.0967,20.075,20.125,20.095,20.1,19.94,19.82,19.96,19.9169,19.97,19.71,19.82,20.0,19.94,19.937,19.82,19.9,19.71,19.71,19.46,19.425,19.6596,19.71,19.6099,19.36,19.28,19.405,19.3551,19.19,18.825,18.8183,18.95,18.8751,18.865,18.96,18.9302,18.8396,18.775,18.74,18.6081,18.6969,19.01,19.32,19.315,19.1685,19.0414,18.9554,18.9304,18.9402,18.9302,18.775,18.71,18.88,18.885,18.77,18.85,18.68,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19.96,20.13,20.14,20.0026,20.1896,20.065,20.08,20.24,20.38,20.54,20.52,20.56,20.27,20.0346,19.93,19.946,19.85,19.785,19.71,19.665,19.655,19.66,19.6,19.6,19.63,19.61,19.54,19.34,19.12,18.91,18.96,18.779,18.69,18.71,18.73,18.75,18.75,18.73,18.68,18.63,18.56,18.58,18.62,18.57,18.53,18.36,18.25,17.96,17.72,17.82,17.895,18.045,18.2,18.9,18.96,18.92,18.83,18.83,18.78,18.91,19.08,18.8,18.75,18.83,18.94,18.91,19.15,19.11,19.18,19.06,19.05],"CNYA^JULIAN(FG_PRICE(0,-200D).DATES)":[46087,46086,46085,46084,46083,46080,46079,46078,46077,46076,46073,46072,46071,46070,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],"EWZ^FG_TOTAL_RETURNC(-5AY,0,AM)":[-8.942861,2.9099703,9.0132475,12.591195,-6.6069784,-1.9827843,-4.5781255,-10.7113,-6.435484,0.8347273,-4.6203613,18.341423,8.238638,9.857094,-16.80382,11.263561,-20.774948,12.817597,1.6806722,8.628106,3.0736446,-9.27074,-0.8817315,0.742054,-2.9112577,-2.1315038,6.164634,9.005558,2.1603346,2.559185,-4.0548983,-4.5838776,9.097099,5.0593376,6.1401606,-2.6117146,-1.2216926,-4.042238,1.634717,-7.918346,-1.5045762,-3.2405794,6.8802357,0.17030239,-3.6722183,-10.801268,-5.5037975,12.828374,-4.656583,-0.28489828,8.612251,4.1713595,7.6601267,-6.3459516,7.941711,2.2949696,5.707693,1.529336,5.439043,13.440048,-3.7140608],"EWA^FG_PRICE(0,-200D)":[28.46,28.61,29.35,29.09,29.93,30.09,30.14,30.16,29.58,29.45,29.7,29.37,29.31,29.32,29.16,29.1,29.3,28.64,28.83,28.23,27.84,28.35,28.12,27.95,27.75,28.42,28.17,28.24,27.62,27.38,27.07,26.7,26.46,26.74,26.65,26.54,26.41,26.45,26.26,26.37,26.27,26.49,26.61,26.47,26.19,26.41,26.48,26.68,26.6,26.61,26.15,25.88,25.81,25.58,25.82,26.42,26.52,26.64,26.65,26.35,26.24,26.34,26.29,26.13,25.93,25.73,25.85,25.82,25.62,25.44,25.33,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9,27.0,26.97,26.83,27.26,26.86,26.7,26.61,26.84,26.83,26.74,26.91,26.96,26.65,26.63,26.6,26.66,26.41,26.28,25.91,26.02,26.15,26.37,26.22,26.48,26.58,26.82,26.55,26.37,26.45,26.28,26.19,26.07,26.39,26.36,26.58,26.24,26.14,25.98,26.48,26.54,26.35,26.32,26.09,26.43,26.03,26.05,25.79,25.55,25.86,25.77,26.09,26.32,26.64,26.6,26.71,26.44,26.37,26.36,26.33,26.07,26.15,25.81,25.64,25.56,25.87,25.65,25.41,25.41,25.63,25.63],"ENZL^FG_PRICE(0,-200D)":[45.55,46.06,46.58,46.05,47.1153,47.4776,47.225,47.1645,46.72,45.9335,45.8355,46.0172,45.25,44.905,46.7721,47.4568,47.898,47.995,47.975,47.6,47.11,46.72,47.242,47.1177,46.9408,47.234,47.11,47.52,46.87,46.624,46.755,46.11,46.09,45.755,45.6301,45.89,45.52,46.1,45.98,46.115,46.295,46.1476,45.8584,45.4719,45.2715,45.41,45.41,45.73,45.74,45.54,45.18,44.82,44.6999,44.635,45.1265,45.75,45.71,46.35,46.2943,45.9504,46.0267,45.995,46.005,46.1656,45.8184,45.48,45.6257,45.47,44.6994,44.47,44.33,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7,44.67,45.19,45.62,45.7829,45.58,45.675,45.605,45.845,45.684,45.57,45.82,45.659,45.79,45.745,45.795,45.63,45.255,44.93,44.69,45.05,45.19,45.8343,45.64,46.0511,45.98,46.135,46.155,46.3676,45.695,45.872,45.56,44.89,45.49,45.76,46.01,46.07,45.98,45.5,45.96,46.265,45.96,45.61,45.37,45.32,44.6,44.79,44.86,44.6,45.08,45.09,45.97,45.19,46.07,45.76,45.65,45.32,45.31,45.53,45.25,44.61,45.04,44.39,43.97,44.23,45.38,45.36,45.08,45.22,45.2,45.15],"EWG^FG_TOTAL_RETURNC(-5AY,0,AM)":[-1.715678,6.982541,1.5151501,4.0183783,-3.4363568,0.9590268,1.0938287,-7.801819,6.639898,-6.921518,3.6582708,-3.1789243,-19.043154,6.5662503,-7.8651667,8.300554,-17.541355,7.2207093,-8.979249,-4.7929287,9.042036,12.415957,5.1389813,6.5250397,0.035607815,1.7443895,3.2190323,-3.3559322,-1.2904286,3.066814,-3.5423338,-4.1865587,-0.11498928,10.360706,0.9440899,0.8611798,5.225408,1.7526865,-0.22328496,3.3887506,-0.79687834,-5.8128357,7.42625,4.4191957,-3.5066545,4.6052575,-3.354293,8.800745,9.911704,-11.0650425,18.50233,4.548812,0.91050863,-0.87656975,-1.1950314,2.6124716,-4.785478,2.5253773,4.1535854,0.92742443,-6.041807],"QQQ^FG_PRICE(0,-200D)":[604.98,608.91,610.75,601.58,608.09,607.29,609.24,616.68,607.87,601.41,608.81,603.47,605.79,601.3,601.92,600.64,613.11,611.47,614.32,609.65,597.03,605.75,616.52,626.14,621.87,629.43,633.22,631.13,625.46,622.72,620.76,616.28,608.06,621.26,621.78,619.55,626.24,627.17,626.65,620.47,624.02,623.42,617.99,613.12,614.31,619.43,620.87,623.89,623.93,622.11,619.21,617.05,609.11,600.41,611.75,610.54,613.62,625.58,627.61,625.05,624.28,625.48,622.94,623.52,622.0,617.17,619.25,614.27,608.89,605.16,590.07,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0.8,546.99,551.64,548.09,546.22,541.16,539.78,531.65,526.83,528.99,529.08,534.29,526.96,533.66,532.41,534.21,530.7,529.92,524.79,528.77,527.3,523.21,519.11,519.93,518.91,521.22,509.24,514.0,513.04,520.27,522.01],"GREK^FG_PRICE(0,-200D)":[65.5422,65.87,66.74,63.86,67.67,70.68,72.03,71.51,70.34,71.04,70.9,71.04,72.89,70.66,71.9,73.56,73.84,74.54,74.77,75.17,74.65,76.09,76.02,74.66,73.75,75.62,77.2,75.35,73.06,72.25,72.2,70.74,69.88,70.03,69.84,69.15,69.0,69.49,68.98,69.19,67.98,67.39,67.61,67.4446,65.91,66.5,68.0,68.61,68.16,68.21,68.39,67.25,66.94,66.25,66.81,67.45,67.24,67.67,66.77,65.8,66.97,66.45,66.3,66.37,66.64,66.28,65.32,66.15,65.48,63.99,64.64,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94,64.49,64.98,65.62,65.995,65.2,65.4,65.15,65.58,66.89,66.53,66.81,66.35,65.68,65.0692,64.58,64.2,62.98,62.02,60.34,60.51,60.44,60.98,60.45,62.15,62.0,62.58,61.43,61.53,61.2,61.52,60.8,60.25,60.82,60.99,61.32,61.08,60.9,59.12,59.72,59.34,58.63,58.04,58.17,59.31,58.42,57.86,56.55,54.71,54.58,54.88,55.79,56.0,56.89,56.52,56.48,55.85,55.46,55.77,55.24,55.29,55.7,55.0,55.71,55.85,55.02,53.23,53.88,54.14,53.89,52.9],"EWN^FG_TOTAL_RETURNC(-5AY,0,AM)":[-0.79854727,9.222639,2.1899343,2.9466271,-3.2465637,5.0603867,6.382549,-8.664054,8.363926,-8.697289,1.4484406,-5.834353,-16.269493,6.7011595,-9.966051,6.167507,-13.057107,11.291754,-11.792832,-2.981025,3.3985019,15.56356,3.8879156,5.7232738,-1.3206422,1.326263,0.5949497,0.40217638,0.42939186,2.7995229,-6.2081757,-6.274605,2.9404044,7.753122,2.2806883,7.530892,5.5941105,2.1355271,-0.20105243,6.0435176,-0.60088634,-9.914959,2.6389122,5.2188516,-8.694851,1.2619734,-0.8988619,1.8042684,4.1460752,-11.014849,15.85536,7.302928,2.5820255,-5.2680073,3.966558,11.613989,-2.8820395,1.01794,7.1823597,2.6307106,-5.594063],"VNM^FG_PRICE(0,-200D)":[17.545,18.02,18.3,18.12,18.63,19.08,19.16,19.085,19.25,19.23,19.285,18.76,18.77,18.73,18.89,18.51,18.71,18.08,18.045,18.03,18.12,18.61,18.45,18.77,19.07,18.81,18.5,18.76,18.91,19.42,19.625,19.39,19.51,19.73,19.53,19.69,19.8,19.67,19.28,19.31,19.44,19.43,19.02,19.11,19.08,19.01,18.92,18.4,19.01,19.08,18.61,18.39,17.88,17.54,17.85,17.42,17.49,18.27,18.28,18.65,18.72,18.65,18.59,18.69,18.65,18.38,18.34,18.24,17.75,17.91,17.72,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315,18.02,17.96,17.22,17.36,17.6,17.69,17.9,17.84,17.71,17.76,17.46,17.44,17.27,17.18,16.8,17.09,16.67,16.58,15.95,16.01,16.03,15.9,16.78,16.47,15.995,16.0,15.82,15.35,15.575,15.67,15.41,15.04,15.24,15.22,15.12,14.89,14.51,14.18,13.96,13.76,13.72,13.75,13.73,13.61,13.54,13.62,13.4,13.345,13.36,13.31,13.26,13.02,13.36,13.32,13.4,13.26,13.64,13.74,13.86,13.96,13.81,13.59,13.51,13.71,13.585,13.14,13.17,13.21,13.09,12.865],"MCHI^FG_TOTAL_RETURNC(-5AY,0,AM)":[-7.803029,-1.4555752,-3.6926746,2.2881866,-5.078644,-9.7663765,1.9241691,-8.453644,2.577722,-5.2180347,-4.1285515,2.2615552,-11.10577,-2.6140273,-12.03258,11.826599,3.708315,-9.45428,-4.474908,-6.583667,-8.086747,18.874418,9.643054,-0.7845402,-3.876561,-0.22071004,-3.7200868,-3.9473653,-3.4369051,9.002042,-5.4431734,-4.8963428,0.9044528,-6.0445786,-1.1058569,-2.3332536,1.4801383,2.2261977,11.964952,-0.3576994,-3.774047,-5.0117073,0.36981106,40.014744,-12.8947315,-3.7059426,-2.7800083,7.6720715,15.085506,-11.551386,7.8999996,1.7979622,0.6058693,6.6520452,5.123365,8.622658,-4.0066004,-2.0478368,1.3119459,-1.6584277,-7.767141],"EWL^FG_PRICE(0,-200D)":[61.2,61.05,62.56,62.21,63.59,65.08,64.63,64.85,64.82,64.31,64.38,64.16,64.26,64.44,63.79,63.46,63.24,63.43,63.45,63.09,62.24,62.47,61.89,62.25,61.54,62.22,61.05,62.57,61.19,60.87,60.59,60.49,60.16,60.51,60.52,60.87,60.17,60.63,60.58,60.21,60.31,60.55,60.43,60.34,59.96,60.17,60.35,60.54,60.53,60.4,59.93,59.57,59.47,58.84,59.02,59.06,58.37,58.49,58.38,57.69,57.76,58.03,57.91,58.07,57.94,57.42,57.82,57.55,57.26,56.39,56.69,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24,55.11,54.97,55.64,54.94,55.52,54.9,54.35,54.5,54.1,54.2,53.81,53.2,53.6,53.68,52.98,53.48,53.31,52.43,52.72,53.48,54.12,54.16,55.16,55.12,56.2,54.96,54.51,54.48,54.36,54.55,54.18,54.71,54.7,55.45,55.28,54.82,54.53,54.9,55.27,54.98,54.81,54.63,54.26,53.75,54.32,53.46,52.68,53.25,53.42,53.77,55.22,56.27,55.43,55.67,55.62,55.64,55.47,55.56,55.03,55.54,55.18,54.9,54.62,55.2,55.03,54.77,55.04,55.17,55.02]}]]></FdsFormulaCache>
</file>

<file path=customXml/itemProps1.xml><?xml version="1.0" encoding="utf-8"?>
<ds:datastoreItem xmlns:ds="http://schemas.openxmlformats.org/officeDocument/2006/customXml" ds:itemID="{9A71E9E0-40D5-4BD1-B0A9-50E48BCA5960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2026-03-06T18:28:52Z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