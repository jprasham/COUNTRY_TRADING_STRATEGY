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DA80983F-75E5-4036-B2BE-2304C4809E08}" xr6:coauthVersionLast="47" xr6:coauthVersionMax="47" xr10:uidLastSave="{00000000-0000-0000-0000-000000000000}"/>
  <bookViews>
    <workbookView xWindow="25620" yWindow="-98" windowWidth="22140" windowHeight="11821" firstSheet="1" activeTab="1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V2" i="1" a="1"/>
  <c r="Z2" i="6" a="1"/>
  <c r="J2" i="6" a="1"/>
  <c r="B2" i="6" a="1"/>
  <c r="AC2" i="1" a="1"/>
  <c r="AB2" i="1" a="1"/>
  <c r="L2" i="1" a="1"/>
  <c r="X2" i="6" a="1"/>
  <c r="S2" i="1" a="1"/>
  <c r="C2" i="1" a="1"/>
  <c r="AE2" i="6" a="1"/>
  <c r="O2" i="6" a="1"/>
  <c r="AH2" i="1" a="1"/>
  <c r="Z2" i="1" a="1"/>
  <c r="J2" i="1" a="1"/>
  <c r="V2" i="6" a="1"/>
  <c r="F2" i="6" a="1"/>
  <c r="AG2" i="1" a="1"/>
  <c r="Q2" i="1" a="1"/>
  <c r="A2" i="1" a="1"/>
  <c r="AC2" i="6" a="1"/>
  <c r="M2" i="6" a="1"/>
  <c r="AF2" i="1" a="1"/>
  <c r="H2" i="1" a="1"/>
  <c r="AB2" i="6" a="1"/>
  <c r="AE2" i="1" a="1"/>
  <c r="O2" i="1" a="1"/>
  <c r="AI2" i="6" a="1"/>
  <c r="AA2" i="6" a="1"/>
  <c r="S2" i="6" a="1"/>
  <c r="K2" i="6" a="1"/>
  <c r="C2" i="6" a="1"/>
  <c r="AD2" i="1" a="1"/>
  <c r="N2" i="1" a="1"/>
  <c r="F2" i="1" a="1"/>
  <c r="R2" i="6" a="1"/>
  <c r="M2" i="1" a="1"/>
  <c r="E2" i="1" a="1"/>
  <c r="T2" i="1" a="1"/>
  <c r="D2" i="1" a="1"/>
  <c r="P2" i="6" a="1"/>
  <c r="AA2" i="1" a="1"/>
  <c r="Y2" i="1" a="1"/>
  <c r="E2" i="6" a="1"/>
  <c r="L2" i="6" a="1"/>
  <c r="AH2" i="6" a="1"/>
  <c r="U2" i="1" a="1"/>
  <c r="X2" i="1" a="1"/>
  <c r="G2" i="1" a="1"/>
  <c r="AG2" i="6" a="1"/>
  <c r="Y2" i="6" a="1"/>
  <c r="Q2" i="6" a="1"/>
  <c r="I2" i="6" a="1"/>
  <c r="A2" i="6" a="1"/>
  <c r="AF2" i="6" a="1"/>
  <c r="H2" i="6" a="1"/>
  <c r="AI2" i="1" a="1"/>
  <c r="K2" i="1" a="1"/>
  <c r="W2" i="6" a="1"/>
  <c r="G2" i="6" a="1"/>
  <c r="R2" i="1" a="1"/>
  <c r="B2" i="1" a="1"/>
  <c r="AD2" i="6" a="1"/>
  <c r="N2" i="6" a="1"/>
  <c r="I2" i="1" a="1"/>
  <c r="U2" i="6" a="1"/>
  <c r="P2" i="1" a="1"/>
  <c r="T2" i="6" a="1"/>
  <c r="D2" i="6" a="1"/>
  <c r="W2" i="1" a="1"/>
  <c r="W2" i="1" l="1"/>
  <c r="D2" i="6"/>
  <c r="T2" i="6"/>
  <c r="P2" i="1"/>
  <c r="U2" i="6"/>
  <c r="I2" i="1"/>
  <c r="N2" i="6"/>
  <c r="AD2" i="6"/>
  <c r="B2" i="1"/>
  <c r="R2" i="1"/>
  <c r="G2" i="6"/>
  <c r="W2" i="6"/>
  <c r="K2" i="1"/>
  <c r="AI2" i="1"/>
  <c r="H2" i="6"/>
  <c r="AF2" i="6"/>
  <c r="A2" i="6"/>
  <c r="I2" i="6"/>
  <c r="Q2" i="6"/>
  <c r="Y2" i="6"/>
  <c r="AG2" i="6"/>
  <c r="G2" i="1"/>
  <c r="X2" i="1"/>
  <c r="X68" i="1" s="1"/>
  <c r="U2" i="1"/>
  <c r="AH2" i="6"/>
  <c r="L2" i="6"/>
  <c r="E2" i="6"/>
  <c r="Y2" i="1"/>
  <c r="AA2" i="1"/>
  <c r="AA68" i="1" s="1"/>
  <c r="P2" i="6"/>
  <c r="D2" i="1"/>
  <c r="T2" i="1"/>
  <c r="E2" i="1"/>
  <c r="M2" i="1"/>
  <c r="R2" i="6"/>
  <c r="F2" i="1"/>
  <c r="N2" i="1"/>
  <c r="AD2" i="1"/>
  <c r="C2" i="6"/>
  <c r="K2" i="6"/>
  <c r="S2" i="6"/>
  <c r="AA2" i="6"/>
  <c r="AI2" i="6"/>
  <c r="O2" i="1"/>
  <c r="AE2" i="1"/>
  <c r="AE68" i="1" s="1"/>
  <c r="AB2" i="6"/>
  <c r="H2" i="1"/>
  <c r="AF2" i="1"/>
  <c r="AF68" i="1" s="1"/>
  <c r="M2" i="6"/>
  <c r="AC2" i="6"/>
  <c r="A2" i="1"/>
  <c r="Q2" i="1"/>
  <c r="AG2" i="1"/>
  <c r="F2" i="6"/>
  <c r="V2" i="6"/>
  <c r="J2" i="1"/>
  <c r="Z2" i="1"/>
  <c r="AH2" i="1"/>
  <c r="O2" i="6"/>
  <c r="AE2" i="6"/>
  <c r="C2" i="1"/>
  <c r="S2" i="1"/>
  <c r="X2" i="6"/>
  <c r="L2" i="1"/>
  <c r="AB2" i="1"/>
  <c r="AC2" i="1"/>
  <c r="B2" i="6"/>
  <c r="J2" i="6"/>
  <c r="Z2" i="6"/>
  <c r="V2" i="1"/>
  <c r="AC68" i="1"/>
  <c r="AG68" i="1"/>
  <c r="W68" i="1"/>
  <c r="Z68" i="1"/>
  <c r="Y68" i="1"/>
  <c r="AB68" i="1"/>
  <c r="AI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D68" i="1"/>
  <c r="AF69" i="1"/>
  <c r="AF70" i="1" s="1"/>
  <c r="AH69" i="1"/>
  <c r="AH70" i="1" s="1"/>
  <c r="AH68" i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B84187B1-2751-465F-B7F8-4F9D1ED76AA3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Timestamp="1769163950"&gt;&lt;FQL&gt;&lt;Q&gt;KSA^FG_TOTAL_RETURNC(-5AY,0,AM)&lt;/Q&gt;&lt;R&gt;61&lt;/R&gt;&lt;C&gt;1&lt;/C&gt;&lt;D xsi:type="xsd:double"&gt;2.1900177&lt;/D&gt;&lt;D xsi:type="xsd:double"&gt;2.3006558&lt;/D&gt;&lt;D xsi:type="xsd:double"&gt;5.298829&lt;/D&gt;&lt;D xsi:type="xsd:double"&gt;7.811582&lt;/D&gt;&lt;D xsi:type="xsd:double"&gt;1.953876&lt;/D&gt;&lt;D xsi:type="xsd:double"&gt;4.811871&lt;/D&gt;&lt;D xsi:type="xsd:double"&gt;-0.94847083&lt;/D&gt;&lt;D xsi:type="xsd:double"&gt;5.6185365&lt;/D&gt;&lt;D xsi:type="xsd:double"&gt;0.9286642&lt;/D&gt;&lt;D xsi:type="xsd:double"&gt;6.676376&lt;/D&gt;&lt;D xsi:type="xsd:double"&gt;-6.3495636&lt;/D&gt;&lt;D xsi:type="xsd:double"&gt;0.25155544&lt;/D&gt;&lt;D xsi:type="xsd:double"&gt;9.075546&lt;/D&gt;&lt;D xsi:type="xsd:double"&gt;2.3500443&lt;/D&gt;&lt;D xsi:type="xsd:double"&gt;3.9580226&lt;/D&gt;&lt;D xsi:type="xsd:double"&gt;4.017663&lt;/D&gt;&lt;D xsi:type="xsd:double"&gt;-8.877653&lt;/D&gt;&lt;D xsi:type="xsd:double"&gt;-8.965069&lt;/D&gt;&lt;D xsi:type="xsd:double"&gt;5.3536296&lt;/D&gt;&lt;D xsi:type="xsd:double"&gt;6.340325&lt;/D&gt;&lt;D xsi:type="xsd:double"&gt;-9.754497&lt;/D&gt;&lt;D xsi:type="xsd:double"&gt;7.7240705&lt;/D&gt;&lt;D xsi:type="xsd:double"&gt;-9.627951&lt;/D&gt;&lt;D xsi:type="xsd:double"&gt;-7.6013985&lt;/D&gt;&lt;D xsi:type="xsd:double"&gt;6.441045&lt;/D&gt;&lt;D xsi:type="xsd:double"&gt;-5.8717966&lt;/D&gt;&lt;D xsi:type="xsd:double"&gt;1.6889215&lt;/D&gt;&lt;D xsi:type="xsd:double"&gt;8.089995&lt;/D&gt;&lt;D xsi:type="xsd:double"&gt;2.7261496&lt;/D&gt;&lt;D xsi:type="xsd:double"&gt;-0.20405054&lt;/D&gt;&lt;D xsi:type="xsd:double"&gt;3.082192&lt;/D&gt;&lt;D xsi:type="xsd:double"&gt;-4.2714715&lt;/D&gt;&lt;D xsi:type="xsd:double"&gt;-3.7927568&lt;/D&gt;&lt;D xsi:type="xsd:double"&gt;-4.199952&lt;/D&gt;&lt;D xsi:type="xsd:double"&gt;6.4550877&lt;/D&gt;&lt;D xsi:type="xsd:double"&gt;5.3467274&lt;/D&gt;&lt;D xsi:type="xsd:double"&gt;4.106927&lt;/D&gt;&lt;D xsi:type="xsd:double"&gt;4.3183923&lt;/D&gt;&lt;D xsi:type="xsd:double"&gt;0.40277243&lt;/D&gt;&lt;D xsi:type="xsd:double"&gt;-3.3207&lt;/D&gt;&lt;D xsi:type="xsd:double"&gt;-2.9967725&lt;/D&gt;&lt;D xsi:type="xsd:double"&gt;-1.106&lt;/D&gt;&lt;D xsi:type="xsd:double"&gt;3.0487776&lt;/D&gt;&lt;D xsi:type="xsd:double"&gt;0.18935204&lt;/D&gt;&lt;D xsi:type="xsd:double"&gt;-0.023627281&lt;/D&gt;&lt;D xsi:type="xsd:double"&gt;-1.2759924&lt;/D&gt;&lt;D xsi:type="xsd:double"&gt;-0.4547596&lt;/D&gt;&lt;D xsi:type="xsd:double"&gt;-0.5475998&lt;/D&gt;&lt;D xsi:type="xsd:double"&gt;3.537929&lt;/D&gt;&lt;D xsi:type="xsd:double"&gt;0.04761219&lt;/D&gt;&lt;D xsi:type="xsd:double"&gt;-4.020935&lt;/D&gt;&lt;D xsi:type="xsd:double"&gt;0.17352104&lt;/D&gt;&lt;D xsi:type="xsd:double"&gt;-2.79634&lt;/D&gt;&lt;D xsi:type="xsd:double"&gt;-5.351776&lt;/D&gt;&lt;D xsi:type="xsd:double"&gt;2.5711179&lt;/D&gt;&lt;D xsi:type="xsd:double"&gt;1.6800046&lt;/D&gt;&lt;D xsi:type="xsd:double"&gt;0.13113022&lt;/D&gt;&lt;D xsi:type="xsd:double"&gt;6.1026692&lt;/D&gt;&lt;D xsi:type="xsd:double"&gt;-5.504811&lt;/D&gt;&lt;D xsi:type="xsd:double"&gt;-3.3565402&lt;/D&gt;&lt;D xsi:type="xsd:double"&gt;6.5116286&lt;/D&gt;&lt;/FQL&gt;&lt;FQL&gt;&lt;Q&gt;EWG^FG_PRICE(0,-200D)&lt;/Q&gt;&lt;R&gt;201&lt;/R&gt;&lt;C&gt;1&lt;/C&gt;&lt;D xsi:type="xsd:double"&gt;43.1&lt;/D&gt;&lt;D xsi:type="xsd:double"&gt;42.82&lt;/D&gt;&lt;D xsi:type="xsd:double"&gt;42.54&lt;/D&gt;&lt;D xsi:type="xsd:double"&gt;43.34&lt;/D&gt;&lt;D xsi:type="xsd:double"&gt;43.34&lt;/D&gt;&lt;D xsi:type="xsd:double"&gt;43.24&lt;/D&gt;&lt;D xsi:type="xsd:double"&gt;43.49&lt;/D&gt;&lt;D xsi:type="xsd:double"&gt;43.57&lt;/D&gt;&lt;D xsi:type="xsd:double"&gt;43.83&lt;/D&gt;&lt;D xsi:type="xsd:double"&gt;43.41&lt;/D&gt;&lt;D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xsi:type="xsd:double"&gt;42.5&lt;/D&gt;&lt;D xsi:type="xsd:double"&gt;42.75&lt;/D&gt;&lt;D xsi:type="xsd:double"&gt;42.51&lt;/D&gt;&lt;D xsi:type="xsd:double"&gt;42.65&lt;/D&gt;&lt;D xsi:type="xsd:double"&gt;42.57&lt;/D&gt;&lt;D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xsi:type="xsd:double"&gt;41.26&lt;/D&gt;&lt;D xsi:type="xsd:double"&gt;41.64&lt;/D&gt;&lt;D xsi:type="xsd:double"&gt;41.68&lt;/D&gt;&lt;D xsi:type="xsd:double"&gt;41.77&lt;/D&gt;&lt;D xsi:type="xsd:double"&gt;41.56&lt;/D&gt;&lt;D xsi:type="xsd:double"&gt;40.85&lt;/D&gt;&lt;D xsi:type="xsd:double"&gt;40.86&lt;/D&gt;&lt;D xsi:type="xsd:double"&gt;40.34&lt;/D&gt;&lt;D xsi:type="xsd:double"&gt;40.59&lt;/D&gt;&lt;D xsi:type="xsd:double"&gt;40.38&lt;/D&gt;&lt;D xsi:type="xsd:double"&gt;40.77&lt;/D&gt;&lt;D xsi:type="xsd:double"&gt;40.46&lt;/D&gt;&lt;D xsi:type="xsd:double"&gt;40.44&lt;/D&gt;&lt;D xsi:type="xsd:double"&gt;40.67&lt;/D&gt;&lt;D xsi:type="xsd:double"&gt;40.72&lt;/D&gt;&lt;D xsi:type="xsd:double"&gt;40.34&lt;/D&gt;&lt;D xsi:type="xsd:double"&gt;39.46&lt;/D&gt;&lt;D xsi:type="xsd:double"&gt;39.49&lt;/D&gt;&lt;D xsi:type="xsd:double"&gt;39.67&lt;/D&gt;&lt;D xsi:type="xsd:double"&gt;39.47&lt;/D&gt;&lt;D xsi:type="xsd:double"&gt;39.36&lt;/D&gt;&lt;D xsi:type="xsd:double"&gt;39.03&lt;/D&gt;&lt;D xsi:type="xsd:double"&gt;38.44&lt;/D&gt;&lt;D xsi:type="xsd:double"&gt;38.03&lt;/D&gt;&lt;D xsi:type="xsd:double"&gt;37.03&lt;/D&gt;&lt;D xsi:type="xsd:double"&gt;37.4&lt;/D&gt;&lt;D xsi:type="xsd:double"&gt;37.4&lt;/D&gt;&lt;/FQL&gt;&lt;FQL&gt;&lt;Q&gt;EWW^FG_PRICE(0,-200D)&lt;/Q&gt;&lt;R&gt;201&lt;/R&gt;&lt;C&gt;1&lt;/C&gt;&lt;D xsi:type="xsd:double"&gt;75.75&lt;/D&gt;&lt;D xsi:type="xsd:double"&gt;75.36&lt;/D&gt;&lt;D xsi:type="xsd:double"&gt;74.61&lt;/D&gt;&lt;D xsi:type="xsd:double"&gt;74&lt;/D&gt;&lt;D xsi:type="xsd:double"&gt;74&lt;/D&gt;&lt;D xsi:type="xsd:double"&gt;73.25&lt;/D&gt;&lt;D xsi:type="xsd:double"&gt;73.38&lt;/D&gt;&lt;D xsi:type="xsd:double"&gt;71.97&lt;/D&gt;&lt;D xsi:type="xsd:double"&gt;72.06&lt;/D&gt;&lt;D xsi:type="xsd:double"&gt;71.06&lt;/D&gt;&lt;D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xsi:type="xsd:double"&gt;69.33&lt;/D&gt;&lt;D xsi:type="xsd:double"&gt;69.49&lt;/D&gt;&lt;D xsi:type="xsd:double"&gt;70.51&lt;/D&gt;&lt;D xsi:type="xsd:double"&gt;71.15&lt;/D&gt;&lt;D xsi:type="xsd:double"&gt;70.95&lt;/D&gt;&lt;D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xsi:type="xsd:double"&gt;58.12&lt;/D&gt;&lt;D xsi:type="xsd:double"&gt;58.11&lt;/D&gt;&lt;D xsi:type="xsd:double"&gt;59.09&lt;/D&gt;&lt;D xsi:type="xsd:double"&gt;58.39&lt;/D&gt;&lt;D xsi:type="xsd:double"&gt;56.68&lt;/D&gt;&lt;D xsi:type="xsd:double"&gt;56.94&lt;/D&gt;&lt;D xsi:type="xsd:double"&gt;56.67&lt;/D&gt;&lt;D xsi:type="xsd:double"&gt;56.97&lt;/D&gt;&lt;D xsi:type="xsd:double"&gt;56.42&lt;/D&gt;&lt;D xsi:type="xsd:double"&gt;58.12&lt;/D&gt;&lt;D xsi:type="xsd:double"&gt;57.94&lt;/D&gt;&lt;D xsi:type="xsd:double"&gt;57.34&lt;/D&gt;&lt;D xsi:type="xsd:double"&gt;56.51&lt;/D&gt;&lt;D xsi:type="xsd:double"&gt;55.51&lt;/D&gt;&lt;D xsi:type="xsd:double"&gt;54.34&lt;/D&gt;&lt;D xsi:type="xsd:double"&gt;54.93&lt;/D&gt;&lt;D xsi:type="xsd:double"&gt;54.93&lt;/D&gt;&lt;/FQL&gt;&lt;FQL&gt;&lt;Q&gt;CNYA^FG_PRICE(0,-200D)&lt;/Q&gt;&lt;R&gt;201&lt;/R&gt;&lt;C&gt;1&lt;/C&gt;&lt;D xsi:type="xsd:double"&gt;35.78&lt;/D&gt;&lt;D xsi:type="xsd:double"&gt;35.805&lt;/D&gt;&lt;D xsi:type="xsd:double"&gt;35.5&lt;/D&gt;&lt;D xsi:type="xsd:double"&gt;35.515&lt;/D&gt;&lt;D xsi:type="xsd:double"&gt;35.515&lt;/D&gt;&lt;D xsi:type="xsd:double"&gt;35.87&lt;/D&gt;&lt;D xsi:type="xsd:double"&gt;35.6&lt;/D&gt;&lt;D xsi:type="xsd:double"&gt;35.59&lt;/D&gt;&lt;D xsi:type="xsd:double"&gt;36.23&lt;/D&gt;&lt;D xsi:type="xsd:double"&gt;35.83&lt;/D&gt;&lt;D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xsi:type="xsd:double"&gt;34.58&lt;/D&gt;&lt;D xsi:type="xsd:double"&gt;34.59&lt;/D&gt;&lt;D xsi:type="xsd:double"&gt;34.37&lt;/D&gt;&lt;D xsi:type="xsd:double"&gt;34.71&lt;/D&gt;&lt;D xsi:type="xsd:double"&gt;34.44&lt;/D&gt;&lt;D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xsi:type="xsd:double"&gt;27.78&lt;/D&gt;&lt;D xsi:type="xsd:double"&gt;27.85&lt;/D&gt;&lt;D xsi:type="xsd:double"&gt;27.58&lt;/D&gt;&lt;D xsi:type="xsd:double"&gt;27.82&lt;/D&gt;&lt;D xsi:type="xsd:double"&gt;27.7&lt;/D&gt;&lt;D xsi:type="xsd:double"&gt;27.66&lt;/D&gt;&lt;D xsi:type="xsd:double"&gt;26.92&lt;/D&gt;&lt;D xsi:type="xsd:double"&gt;27.06&lt;/D&gt;&lt;D xsi:type="xsd:double"&gt;27.14&lt;/D&gt;&lt;D xsi:type="xsd:double"&gt;27.14&lt;/D&gt;&lt;D xsi:type="xsd:double"&gt;27.25&lt;/D&gt;&lt;D xsi:type="xsd:double"&gt;27.29&lt;/D&gt;&lt;D xsi:type="xsd:double"&gt;27.2&lt;/D&gt;&lt;D xsi:type="xsd:double"&gt;27.16&lt;/D&gt;&lt;D xsi:type="xsd:double"&gt;27.04&lt;/D&gt;&lt;D xsi:type="xsd:double"&gt;26.82&lt;/D&gt;&lt;D xsi:type="xsd:double"&gt;26.82&lt;/D&gt;&lt;/FQL&gt;&lt;FQL&gt;&lt;Q&gt;EWU^FG_TOTAL_RETURNC(-5AY,0,AM)&lt;/Q&gt;&lt;R&gt;61&lt;/R&gt;&lt;C&gt;1&lt;/C&gt;&lt;D xsi:type="xsd:double"&gt;6.2456727&lt;/D&gt;&lt;D xsi:type="xsd:double"&gt;1.3063312&lt;/D&gt;&lt;D xsi:type="xsd:double"&gt;1.0315895&lt;/D&gt;&lt;D xsi:type="xsd:double"&gt;2.9355407&lt;/D&gt;&lt;D xsi:type="xsd:double"&gt;4.773712&lt;/D&gt;&lt;D xsi:type="xsd:double"&gt;-0.68709254&lt;/D&gt;&lt;D xsi:type="xsd:double"&gt;-2.5749743&lt;/D&gt;&lt;D xsi:type="xsd:double"&gt;1.6791105&lt;/D&gt;&lt;D xsi:type="xsd:double"&gt;-0.6727874&lt;/D&gt;&lt;D xsi:type="xsd:double"&gt;3.8793206&lt;/D&gt;&lt;D xsi:type="xsd:double"&gt;-2.252525&lt;/D&gt;&lt;D xsi:type="xsd:double"&gt;1.8805385&lt;/D&gt;&lt;D xsi:type="xsd:double"&gt;3.0580997&lt;/D&gt;&lt;D xsi:type="xsd:double"&gt;1.1572719&lt;/D&gt;&lt;D xsi:type="xsd:double"&gt;-0.9386897&lt;/D&gt;&lt;D xsi:type="xsd:double"&gt;-2.3393571&lt;/D&gt;&lt;D xsi:type="xsd:double"&gt;-2.7289212&lt;/D&gt;&lt;D xsi:type="xsd:double"&gt;-5.973154&lt;/D&gt;&lt;D xsi:type="xsd:double"&gt;0.06752014&lt;/D&gt;&lt;D xsi:type="xsd:double"&gt;2.2267222&lt;/D&gt;&lt;D xsi:type="xsd:double"&gt;-8.448845&lt;/D&gt;&lt;D xsi:type="xsd:double"&gt;-1.9826949&lt;/D&gt;&lt;D xsi:type="xsd:double"&gt;12.5046015&lt;/D&gt;&lt;D xsi:type="xsd:double"&gt;1.595819&lt;/D&gt;&lt;D xsi:type="xsd:double"&gt;6.988883&lt;/D&gt;&lt;D xsi:type="xsd:double"&gt;-0.9157479&lt;/D&gt;&lt;D xsi:type="xsd:double"&gt;-3.049904&lt;/D&gt;&lt;D xsi:type="xsd:double"&gt;7.372105&lt;/D&gt;&lt;D xsi:type="xsd:double"&gt;-1.6573012&lt;/D&gt;&lt;D xsi:type="xsd:double"&gt;-0.91049075&lt;/D&gt;&lt;D xsi:type="xsd:double"&gt;3.0340552&lt;/D&gt;&lt;D xsi:type="xsd:double"&gt;-5.588937&lt;/D&gt;&lt;D xsi:type="xsd:double"&gt;1.8777847&lt;/D&gt;&lt;D xsi:type="xsd:double"&gt;-3.7488222&lt;/D&gt;&lt;D xsi:type="xsd:double"&gt;4.1220427&lt;/D&gt;&lt;D xsi:type="xsd:double"&gt;4.980874&lt;/D&gt;&lt;D xsi:type="xsd:double"&gt;-2.7642787&lt;/D&gt;&lt;D xsi:type="xsd:double"&gt;2.749145&lt;/D&gt;&lt;D xsi:type="xsd:double"&gt;3.0708432&lt;/D&gt;&lt;D xsi:type="xsd:double"&gt;0.058984756&lt;/D&gt;&lt;D xsi:type="xsd:double"&gt;7.5176954&lt;/D&gt;&lt;D xsi:type="xsd:double"&gt;-1.8437743&lt;/D&gt;&lt;D xsi:type="xsd:double"&gt;1.8798113&lt;/D&gt;&lt;D xsi:type="xsd:double"&gt;2.8235912&lt;/D&gt;&lt;D xsi:type="xsd:double"&gt;0.7069111&lt;/D&gt;&lt;D xsi:type="xsd:double"&gt;-1.2958944&lt;/D&gt;&lt;D xsi:type="xsd:double"&gt;-3.8019776&lt;/D&gt;&lt;D xsi:type="xsd:double"&gt;-2.1973789&lt;/D&gt;&lt;D xsi:type="xsd:double"&gt;3.5915732&lt;/D&gt;&lt;D xsi:type="xsd:double"&gt;4.183376&lt;/D&gt;&lt;D xsi:type="xsd:double"&gt;3.2178164&lt;/D&gt;&lt;D xsi:type="xsd:double"&gt;0.13324022&lt;/D&gt;&lt;D xsi:type="xsd:double"&gt;5.188918&lt;/D&gt;&lt;D xsi:type="xsd:double"&gt;0.42068958&lt;/D&gt;&lt;D xsi:type="xsd:double"&gt;3.9331555&lt;/D&gt;&lt;D xsi:type="xsd:double"&gt;4.08113&lt;/D&gt;&lt;D xsi:type="xsd:double"&gt;-1.1169255&lt;/D&gt;&lt;D xsi:type="xsd:double"&gt;1.9226074&lt;/D&gt;&lt;D xsi:type="xsd:double"&gt;-0.825274&lt;/D&gt;&lt;D xsi:type="xsd:double"&gt;6.13333&lt;/D&gt;&lt;D xsi:type="xsd:double"&gt;2.9230356&lt;/D&gt;&lt;/FQL&gt;&lt;FQL&gt;&lt;Q&gt;EWL^FG_TOTAL_RETURNC(-5AY,0,AM)&lt;/Q&gt;&lt;R&gt;61&lt;/R&gt;&lt;C&gt;1&lt;/C&gt;&lt;D xsi:type="xsd:double"&gt;4.817617&lt;/D&gt;&lt;D xsi:type="xsd:double"&gt;-2.7139366&lt;/D&gt;&lt;D xsi:type="xsd:double"&gt;1.1023521&lt;/D&gt;&lt;D xsi:type="xsd:double"&gt;3.8940787&lt;/D&gt;&lt;D xsi:type="xsd:double"&gt;2.8485775&lt;/D&gt;&lt;D xsi:type="xsd:double"&gt;4.0077806&lt;/D&gt;&lt;D xsi:type="xsd:double"&gt;0.081562996&lt;/D&gt;&lt;D xsi:type="xsd:double"&gt;3.5452247&lt;/D&gt;&lt;D xsi:type="xsd:double"&gt;-4.860294&lt;/D&gt;&lt;D xsi:type="xsd:double"&gt;2.440536&lt;/D&gt;&lt;D xsi:type="xsd:double"&gt;1.2113929&lt;/D&gt;&lt;D xsi:type="xsd:double"&gt;3.5707116&lt;/D&gt;&lt;D xsi:type="xsd:double"&gt;-4.0061593&lt;/D&gt;&lt;D xsi:type="xsd:double"&gt;-3.9125204&lt;/D&gt;&lt;D xsi:type="xsd:double"&gt;2.276051&lt;/D&gt;&lt;D xsi:type="xsd:double"&gt;-2.6541412&lt;/D&gt;&lt;D xsi:type="xsd:double"&gt;-8.410239&lt;/D&gt;&lt;D xsi:type="xsd:double"&gt;-6.1379013&lt;/D&gt;&lt;D xsi:type="xsd:double"&gt;5.302465&lt;/D&gt;&lt;D xsi:type="xsd:double"&gt;-0.44916868&lt;/D&gt;&lt;D xsi:type="xsd:double"&gt;-8.762771&lt;/D&gt;&lt;D xsi:type="xsd:double"&gt;-0.6246686&lt;/D&gt;&lt;D xsi:type="xsd:double"&gt;11.000526&lt;/D&gt;&lt;D xsi:type="xsd:double"&gt;-1.1798024&lt;/D&gt;&lt;D xsi:type="xsd:double"&gt;7.28271&lt;/D&gt;&lt;D xsi:type="xsd:double"&gt;-0.91252923&lt;/D&gt;&lt;D xsi:type="xsd:double"&gt;-2.6280344&lt;/D&gt;&lt;D xsi:type="xsd:double"&gt;10.957325&lt;/D&gt;&lt;D xsi:type="xsd:double"&gt;0.1455307&lt;/D&gt;&lt;D xsi:type="xsd:double"&gt;-3.0402899&lt;/D&gt;&lt;D xsi:type="xsd:double"&gt;3.8091063&lt;/D&gt;&lt;D xsi:type="xsd:double"&gt;-4.618299&lt;/D&gt;&lt;D xsi:type="xsd:double"&gt;-1.9898236&lt;/D&gt;&lt;D xsi:type="xsd:double"&gt;-4.489064&lt;/D&gt;&lt;D xsi:type="xsd:double"&gt;5.9281945&lt;/D&gt;&lt;D xsi:type="xsd:double"&gt;5.797112&lt;/D&gt;&lt;D xsi:type="xsd:double"&gt;-0.88514686&lt;/D&gt;&lt;D xsi:type="xsd:double"&gt;0.19136667&lt;/D&gt;&lt;D xsi:type="xsd:double"&gt;0.59423447&lt;/D&gt;&lt;D xsi:type="xsd:double"&gt;-2.8481066&lt;/D&gt;&lt;D xsi:type="xsd:double"&gt;4.9077153&lt;/D&gt;&lt;D xsi:type="xsd:double"&gt;2.6894689&lt;/D&gt;&lt;D xsi:type="xsd:double"&gt;2.8400898&lt;/D&gt;&lt;D xsi:type="xsd:double"&gt;3.301978&lt;/D&gt;&lt;D xsi:type="xsd:double"&gt;-1.8597424&lt;/D&gt;&lt;D xsi:type="xsd:double"&gt;0.039482117&lt;/D&gt;&lt;D xsi:type="xsd:double"&gt;-6.708765&lt;/D&gt;&lt;D xsi:type="xsd:double"&gt;-2.8764844&lt;/D&gt;&lt;D xsi:type="xsd:double"&gt;5.4878116&lt;/D&gt;&lt;D xsi:type="xsd:double"&gt;6.56482&lt;/D&gt;&lt;D xsi:type="xsd:double"&gt;2.7896166&lt;/D&gt;&lt;D xsi:type="xsd:double"&gt;-1.1496425&lt;/D&gt;&lt;D xsi:type="xsd:double"&gt;4.4232607&lt;/D&gt;&lt;D xsi:type="xsd:double"&gt;-1.9854784&lt;/D&gt;&lt;D xsi:type="xsd:double"&gt;4.3280125&lt;/D&gt;&lt;D xsi:type="xsd:double"&gt;1.2372613&lt;/D&gt;&lt;D xsi:type="xsd:double"&gt;-0.12580752&lt;/D&gt;&lt;D xsi:type="xsd:double"&gt;2.8252602&lt;/D&gt;&lt;D xsi:type="xsd:double"&gt;-0.7875383&lt;/D&gt;&lt;D xsi:type="xsd:double"&gt;5.7152987&lt;/D&gt;&lt;D xsi:type="xsd:double"&gt;1.1012793&lt;/D&gt;&lt;/FQL&gt;&lt;FQL&gt;&lt;Q&gt;EWZ^FG_TOTAL_RETURNC(-5AY,0,AM)&lt;/Q&gt;&lt;R&gt;61&lt;/R&gt;&lt;C&gt;1&lt;/C&gt;&lt;D xsi:type="xsd:double"&gt;-4.262286&lt;/D&gt;&lt;D xsi:type="xsd:double"&gt;-4.4805946&lt;/D&gt;&lt;D xsi:type="xsd:double"&gt;0.7768154&lt;/D&gt;&lt;D xsi:type="xsd:double"&gt;4.9510837&lt;/D&gt;&lt;D xsi:type="xsd:double"&gt;4.576266&lt;/D&gt;&lt;D xsi:type="xsd:double"&gt;12.967741&lt;/D&gt;&lt;D xsi:type="xsd:double"&gt;-6.1422644&lt;/D&gt;&lt;D xsi:type="xsd:double"&gt;-9.829277&lt;/D&gt;&lt;D xsi:type="xsd:double"&gt;-4.0447474&lt;/D&gt;&lt;D xsi:type="xsd:double"&gt;-10.07474&lt;/D&gt;&lt;D xsi:type="xsd:double"&gt;-3.058511&lt;/D&gt;&lt;D xsi:type="xsd:double"&gt;2.361858&lt;/D&gt;&lt;D xsi:type="xsd:double"&gt;7.857454&lt;/D&gt;&lt;D xsi:type="xsd:double"&gt;11.798132&lt;/D&gt;&lt;D xsi:type="xsd:double"&gt;7.4738383&lt;/D&gt;&lt;D xsi:type="xsd:double"&gt;-3.3379734&lt;/D&gt;&lt;D xsi:type="xsd:double"&gt;-3.251803&lt;/D&gt;&lt;D xsi:type="xsd:double"&gt;-13.560331&lt;/D&gt;&lt;D xsi:type="xsd:double"&gt;-6.092286&lt;/D&gt;&lt;D xsi:type="xsd:double"&gt;18.886757&lt;/D&gt;&lt;D xsi:type="xsd:double"&gt;3.9715886&lt;/D&gt;&lt;D xsi:type="xsd:double"&gt;5.8695674&lt;/D&gt;&lt;D xsi:type="xsd:double"&gt;-13.5523615&lt;/D&gt;&lt;D xsi:type="xsd:double"&gt;3.0274034&lt;/D&gt;&lt;D xsi:type="xsd:double"&gt;3.4384966&lt;/D&gt;&lt;D xsi:type="xsd:double"&gt;-3.3584654&lt;/D&gt;&lt;D xsi:type="xsd:double"&gt;-7.446808&lt;/D&gt;&lt;D xsi:type="xsd:double"&gt;6.130266&lt;/D&gt;&lt;D xsi:type="xsd:double"&gt;7.833934&lt;/D&gt;&lt;D xsi:type="xsd:double"&gt;12.435806&lt;/D&gt;&lt;D xsi:type="xsd:double"&gt;0.7321596&lt;/D&gt;&lt;D xsi:type="xsd:double"&gt;-6.450641&lt;/D&gt;&lt;D xsi:type="xsd:double"&gt;0.9064436&lt;/D&gt;&lt;D xsi:type="xsd:double"&gt;-3.9461017&lt;/D&gt;&lt;D xsi:type="xsd:double"&gt;12.758839&lt;/D&gt;&lt;D xsi:type="xsd:double"&gt;6.2539577&lt;/D&gt;&lt;D xsi:type="xsd:double"&gt;-6.585783&lt;/D&gt;&lt;D xsi:type="xsd:double"&gt;3.5559773&lt;/D&gt;&lt;D xsi:type="xsd:double"&gt;-4.060918&lt;/D&gt;&lt;D xsi:type="xsd:double"&gt;-3.4858406&lt;/D&gt;&lt;D xsi:type="xsd:double"&gt;-0.45146346&lt;/D&gt;&lt;D xsi:type="xsd:double"&gt;-8.125841&lt;/D&gt;&lt;D xsi:type="xsd:double"&gt;2.8769135&lt;/D&gt;&lt;D xsi:type="xsd:double"&gt;5.34513&lt;/D&gt;&lt;D xsi:type="xsd:double"&gt;-1.9153237&lt;/D&gt;&lt;D xsi:type="xsd:double"&gt;-3.7341535&lt;/D&gt;&lt;D xsi:type="xsd:double"&gt;-2.0996451&lt;/D&gt;&lt;D xsi:type="xsd:double"&gt;-12.248034&lt;/D&gt;&lt;D xsi:type="xsd:double"&gt;4.720664&lt;/D&gt;&lt;D xsi:type="xsd:double"&gt;5.3349853&lt;/D&gt;&lt;D xsi:type="xsd:double"&gt;4.3188095&lt;/D&gt;&lt;D xsi:type="xsd:double"&gt;-2.6721835&lt;/D&gt;&lt;D xsi:type="xsd:double"&gt;6.419182&lt;/D&gt;&lt;D xsi:type="xsd:double"&gt;2.3747802&lt;/D&gt;&lt;D xsi:type="xsd:double"&gt;-2.421397&lt;/D&gt;&lt;D xsi:type="xsd:double"&gt;5.962968&lt;/D&gt;&lt;D xsi:type="xsd:double"&gt;7.6197147&lt;/D&gt;&lt;D xsi:type="xsd:double"&gt;-2.4683356&lt;/D&gt;&lt;D xsi:type="xsd:double"&gt;6.6599965&lt;/D&gt;&lt;D xsi:type="xsd:double"&gt;-0.16760826&lt;/D&gt;&lt;D xsi:type="xsd:double"&gt;16.46539&lt;/D&gt;&lt;/FQL&gt;&lt;FQL&gt;&lt;Q&gt;EWA^FG_PRICE(0,-200D)&lt;/Q&gt;&lt;R&gt;201&lt;/R&gt;&lt;C&gt;1&lt;/C&gt;&lt;D xsi:type="xsd:double"&gt;27.07&lt;/D&gt;&lt;D xsi:type="xsd:double"&gt;26.7&lt;/D&gt;&lt;D xsi:type="xsd:double"&gt;26.46&lt;/D&gt;&lt;D xsi:type="xsd:double"&gt;26.74&lt;/D&gt;&lt;D xsi:type="xsd:double"&gt;26.74&lt;/D&gt;&lt;D xsi:type="xsd:double"&gt;26.65&lt;/D&gt;&lt;D xsi:type="xsd:double"&gt;26.54&lt;/D&gt;&lt;D xsi:type="xsd:double"&gt;26.41&lt;/D&gt;&lt;D xsi:type="xsd:double"&gt;26.45&lt;/D&gt;&lt;D xsi:type="xsd:double"&gt;26.26&lt;/D&gt;&lt;D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xsi:type="xsd:double"&gt;26.19&lt;/D&gt;&lt;D xsi:type="xsd:double"&gt;26.41&lt;/D&gt;&lt;D xsi:type="xsd:double"&gt;26.48&lt;/D&gt;&lt;D xsi:type="xsd:double"&gt;26.68&lt;/D&gt;&lt;D xsi:type="xsd:double"&gt;26.6&lt;/D&gt;&lt;D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</t>
        </r>
      </text>
    </comment>
    <comment ref="A2" authorId="0" shapeId="0" xr:uid="{F8F65A23-3756-4B95-8BEF-FDD10A4EC7C3}">
      <text>
        <r>
          <rPr>
            <b/>
            <sz val="9"/>
            <color indexed="81"/>
            <rFont val="Tahoma"/>
            <charset val="1"/>
          </rPr>
          <t>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xsi:type="xsd:double"&gt;25.01&lt;/D&gt;&lt;D xsi:type="xsd:double"&gt;24.83&lt;/D&gt;&lt;D xsi:type="xsd:double"&gt;24.89&lt;/D&gt;&lt;D xsi:type="xsd:double"&gt;25.05&lt;/D&gt;&lt;D xsi:type="xsd:double"&gt;24.99&lt;/D&gt;&lt;D xsi:type="xsd:double"&gt;25.31&lt;/D&gt;&lt;D xsi:type="xsd:double"&gt;24.65&lt;/D&gt;&lt;D xsi:type="xsd:double"&gt;24.67&lt;/D&gt;&lt;D xsi:type="xsd:double"&gt;24.55&lt;/D&gt;&lt;D xsi:type="xsd:double"&gt;24.52&lt;/D&gt;&lt;D xsi:type="xsd:double"&gt;24.51&lt;/D&gt;&lt;D xsi:type="xsd:double"&gt;24.51&lt;/D&gt;&lt;D xsi:type="xsd:double"&gt;24&lt;/D&gt;&lt;D xsi:type="xsd:double"&gt;23.96&lt;/D&gt;&lt;D xsi:type="xsd:double"&gt;23.48&lt;/D&gt;&lt;D xsi:type="xsd:double"&gt;23.61&lt;/D&gt;&lt;D xsi:type="xsd:double"&gt;23.61&lt;/D&gt;&lt;/FQL&gt;&lt;FQL&gt;&lt;Q&gt;TUR^FG_TOTAL_RETURNC(-5AY,0,AM)&lt;/Q&gt;&lt;R&gt;61&lt;/R&gt;&lt;C&gt;1&lt;/C&gt;&lt;D xsi:type="xsd:double"&gt;13.919413&lt;/D&gt;&lt;D xsi:type="xsd:double"&gt;4.573059&lt;/D&gt;&lt;D xsi:type="xsd:double"&gt;-20.925861&lt;/D&gt;&lt;D xsi:type="xsd:double"&gt;-3.6076963&lt;/D&gt;&lt;D xsi:type="xsd:double"&gt;5.826986&lt;/D&gt;&lt;D xsi:type="xsd:double"&gt;-4.135096&lt;/D&gt;&lt;D xsi:type="xsd:double"&gt;-3.0482233&lt;/D&gt;&lt;D xsi:type="xsd:double"&gt;8.118259&lt;/D&gt;&lt;D xsi:type="xsd:double"&gt;-4.9479246&lt;/D&gt;&lt;D xsi:type="xsd:double"&gt;-5.11415&lt;/D&gt;&lt;D xsi:type="xsd:double"&gt;-0.14437437&lt;/D&gt;&lt;D xsi:type="xsd:double"&gt;-8.121657&lt;/D&gt;&lt;D xsi:type="xsd:double"&gt;5.374086&lt;/D&gt;&lt;D xsi:type="xsd:double"&gt;-1.4000058&lt;/D&gt;&lt;D xsi:type="xsd:double"&gt;2.5354981&lt;/D&gt;&lt;D xsi:type="xsd:double"&gt;12.611282&lt;/D&gt;&lt;D xsi:type="xsd:double"&gt;-11.067194&lt;/D&gt;&lt;D xsi:type="xsd:double"&gt;-1.478678&lt;/D&gt;&lt;D xsi:type="xsd:double"&gt;-3.5567045&lt;/D&gt;&lt;D xsi:type="xsd:double"&gt;18.118656&lt;/D&gt;&lt;D xsi:type="xsd:double"&gt;5.8823466&lt;/D&gt;&lt;D xsi:type="xsd:double"&gt;16.23932&lt;/D&gt;&lt;D xsi:type="xsd:double"&gt;19.338226&lt;/D&gt;&lt;D xsi:type="xsd:double"&gt;13.781107&lt;/D&gt;&lt;D xsi:type="xsd:double"&gt;0.51699877&lt;/D&gt;&lt;D xsi:type="xsd:double"&gt;-7.0384383&lt;/D&gt;&lt;D xsi:type="xsd:double"&gt;-1.4851451&lt;/D&gt;&lt;D xsi:type="xsd:double"&gt;-0.8867979&lt;/D&gt;&lt;D xsi:type="xsd:double"&gt;-12.854158&lt;/D&gt;&lt;D xsi:type="xsd:double"&gt;-1.3663948&lt;/D&gt;&lt;D xsi:type="xsd:double"&gt;12.437105&lt;/D&gt;&lt;D xsi:type="xsd:double"&gt;15.569056&lt;/D&gt;&lt;D xsi:type="xsd:double"&gt;3.9834023&lt;/D&gt;&lt;D xsi:type="xsd:double"&gt;-8.832132&lt;/D&gt;&lt;D xsi:type="xsd:double"&gt;3.501606&lt;/D&gt;&lt;D xsi:type="xsd:double"&gt;-5.6925535&lt;/D&gt;&lt;D xsi:type="xsd:double"&gt;1.9939542&lt;/D&gt;&lt;D xsi:type="xsd:double"&gt;14.069902&lt;/D&gt;&lt;D xsi:type="xsd:double"&gt;-5.842638&lt;/D&gt;&lt;D xsi:type="xsd:double"&gt;5.557096&lt;/D&gt;&lt;D xsi:type="xsd:double"&gt;15.035915&lt;/D&gt;&lt;D xsi:type="xsd:double"&gt;-2.854991&lt;/D&gt;&lt;D xsi:type="xsd:double"&gt;4.236686&lt;/D&gt;&lt;D xsi:type="xsd:double"&gt;-14.691192&lt;/D&gt;&lt;D xsi:type="xsd:double"&gt;-0.74527264&lt;/D&gt;&lt;D xsi:type="xsd:double"&gt;-10.404939&lt;/D&gt;&lt;D xsi:type="xsd:double"&gt;8.051479&lt;/D&gt;&lt;D xsi:type="xsd:double"&gt;-0.32860637&lt;/D&gt;&lt;D xsi:type="xsd:double"&gt;2.3995519&lt;/D&gt;&lt;D xsi:type="xsd:double"&gt;-8.283382&lt;/D&gt;&lt;D xsi:type="xsd:double"&gt;-8.585858&lt;/D&gt;&lt;D xsi:type="xsd:double"&gt;2.8924227&lt;/D&gt;&lt;D xsi:type="xsd:double"&gt;0.12634993&lt;/D&gt;&lt;D xsi:type="xsd:double"&gt;-4.050499&lt;/D&gt;&lt;D xsi:type="xsd:double"&gt;13.050735&lt;/D&gt;&lt;D xsi:type="xsd:double"&gt;5.37349&lt;/D&gt;&lt;D xsi:type="xsd:double"&gt;-0.30819774&lt;/D&gt;&lt;D xsi:type="xsd:double"&gt;-7.363695&lt;/D&gt;&lt;D xsi:type="xsd:double"&gt;2.487862&lt;/D&gt;&lt;D xsi:type="xsd:double"&gt;3.5176396&lt;/D&gt;&lt;D xsi:type="xsd:double"&gt;12.915349&lt;/D&gt;&lt;/FQL&gt;&lt;FQL&gt;&lt;Q&gt;ECH^FG_TOTAL_RETURNC(-5AY,0,AM)&lt;/Q&gt;&lt;R&gt;61&lt;/R&gt;&lt;C&gt;1&lt;/C&gt;&lt;D xsi:type="xsd:double"&gt;7.5535893&lt;/D&gt;&lt;D xsi:type="xsd:double"&gt;2.7522922&lt;/D&gt;&lt;D xsi:type="xsd:double"&gt;4.833746&lt;/D&gt;&lt;D xsi:type="xsd:double"&gt;1.1453748&lt;/D&gt;&lt;D xsi:type="xsd:double"&gt;-17.595816&lt;/D&gt;&lt;D xsi:type="xsd:double"&gt;3.1686306&lt;/D&gt;&lt;D xsi:type="xsd:double"&gt;-3.716576&lt;/D&gt;&lt;D xsi:type="xsd:double"&gt;-2.3448765&lt;/D&gt;&lt;D xsi:type="xsd:double"&gt;0.48023462&lt;/D&gt;&lt;D xsi:type="xsd:double"&gt;-10.882354&lt;/D&gt;&lt;D xsi:type="xsd:double"&gt;17.574263&lt;/D&gt;&lt;D xsi:type="xsd:double"&gt;-20.64665&lt;/D&gt;&lt;D xsi:type="xsd:double"&gt;21.986437&lt;/D&gt;&lt;D xsi:type="xsd:double"&gt;-4.155743&lt;/D&gt;&lt;D xsi:type="xsd:double"&gt;12.109375&lt;/D&gt;&lt;D xsi:type="xsd:double"&gt;-6.5156817&lt;/D&gt;&lt;D xsi:type="xsd:double"&gt;4.5844197&lt;/D&gt;&lt;D xsi:type="xsd:double"&gt;-5.8483067&lt;/D&gt;&lt;D xsi:type="xsd:double"&gt;-2.7558982&lt;/D&gt;&lt;D xsi:type="xsd:double"&gt;4.7368407&lt;/D&gt;&lt;D xsi:type="xsd:double"&gt;-1.2756109&lt;/D&gt;&lt;D xsi:type="xsd:double"&gt;-4.815978&lt;/D&gt;&lt;D xsi:type="xsd:double"&gt;5.3064585&lt;/D&gt;&lt;D xsi:type="xsd:double"&gt;4.5367002&lt;/D&gt;&lt;D xsi:type="xsd:double"&gt;7.7807665&lt;/D&gt;&lt;D xsi:type="xsd:double"&gt;1.4224768&lt;/D&gt;&lt;D xsi:type="xsd:double"&gt;-2.629733&lt;/D&gt;&lt;D xsi:type="xsd:double"&gt;-0.75621605&lt;/D&gt;&lt;D xsi:type="xsd:double"&gt;8.454287&lt;/D&gt;&lt;D xsi:type="xsd:double"&gt;0.9251237&lt;/D&gt;&lt;D xsi:type="xsd:double"&gt;7.0320487&lt;/D&gt;&lt;D xsi:type="xsd:double"&gt;-8.18035&lt;/D&gt;&lt;D xsi:type="xsd:double"&gt;-8.312875&lt;/D&gt;&lt;D xsi:type="xsd:double"&gt;-8.263201&lt;/D&gt;&lt;D xsi:type="xsd:double"&gt;11.00918&lt;/D&gt;&lt;D xsi:type="xsd:double"&gt;4.083812&lt;/D&gt;&lt;D xsi:type="xsd:double"&gt;-5.9208155&lt;/D&gt;&lt;D xsi:type="xsd:double"&gt;-2.6640952&lt;/D&gt;&lt;D xsi:type="xsd:double"&gt;3.9666772&lt;/D&gt;&lt;D xsi:type="xsd:double"&gt;0.11446476&lt;/D&gt;&lt;D xsi:type="xsd:double"&gt;9.7561&lt;/D&gt;&lt;D xsi:type="xsd:double"&gt;-7.1677628&lt;/D&gt;&lt;D xsi:type="xsd:double"&gt;1.381433&lt;/D&gt;&lt;D xsi:type="xsd:double"&gt;0.60560703&lt;/D&gt;&lt;D xsi:type="xsd:double"&gt;-2.9345393&lt;/D&gt;&lt;D xsi:type="xsd:double"&gt;3.0232549&lt;/D&gt;&lt;D xsi:type="xsd:double"&gt;-5.417609&lt;/D&gt;&lt;D xsi:type="xsd:double"&gt;0.49171448&lt;/D&gt;&lt;D xsi:type="xsd:double"&gt;4.8451066&lt;/D&gt;&lt;D xsi:type="xsd:double"&gt;8.598482&lt;/D&gt;&lt;D xsi:type="xsd:double"&gt;5.685377&lt;/D&gt;&lt;D xsi:type="xsd:double"&gt;2.0132065&lt;/D&gt;&lt;D xsi:type="xsd:double"&gt;5.5807114&lt;/D&gt;&lt;D xsi:type="xsd:double"&gt;-5.7743907&lt;/D&gt;&lt;D xsi:type="xsd:double"&gt;0.9634495&lt;/D&gt;&lt;D xsi:type="xsd:double"&gt;7.930243&lt;/D&gt;&lt;D xsi:type="xsd:double"&gt;2.1341443&lt;/D&gt;&lt;D xsi:type="xsd:double"&gt;-0.08955002&lt;/D&gt;&lt;D xsi:type="xsd:double"&gt;8.574843&lt;/D&gt;&lt;D xsi:type="xsd:double"&gt;9.670591&lt;/D&gt;&lt;D xsi:type="xsd:double"&gt;16.270483&lt;/D&gt;&lt;/FQL&gt;&lt;FQL&gt;&lt;Q&gt;SPY^FG_PRICE(0,-200D)&lt;/Q&gt;&lt;R&gt;201&lt;/R&gt;&lt;C&gt;1&lt;/C&gt;&lt;D xsi:type="xsd:double"&gt;688.98&lt;/D&gt;&lt;D xsi:type="xsd:double"&gt;685.4&lt;/D&gt;&lt;D xsi:type="xsd:double"&gt;677.58&lt;/D&gt;&lt;D xsi:type="xsd:double"&gt;691.66&lt;/D&gt;&lt;D xsi:type="xsd:double"&gt;691.66&lt;/D&gt;&lt;D xsi:type="xsd:double"&gt;692.24&lt;/D&gt;&lt;D xsi:type="xsd:double"&gt;690.36&lt;/D&gt;&lt;D xsi:type="xsd:double"&gt;693.77&lt;/D&gt;&lt;D xsi:type="xsd:double"&gt;695.16&lt;/D&gt;&lt;D xsi:type="xsd:double"&gt;694.07&lt;/D&gt;&lt;D xsi:type="xsd:double"&gt;689.51&lt;/D&gt;&lt;D xsi:type="xsd:double"&gt;689.58&lt;/D&gt;&lt;D xsi:type="xsd:double"&gt;691.81&lt;/D&gt;&lt;D xsi:type="xsd:double"&gt;687.72&lt;/D&gt;&lt;D xsi:type="xsd:double"&gt;683.17&lt;/D&gt;&lt;D xsi:type="xsd:double"&gt;681.92&lt;/D&gt;&lt;D xsi:type="xsd:double"&gt;681.92&lt;/D&gt;&lt;D xsi:type="xsd:double"&gt;687.01&lt;/D&gt;&lt;D xsi:type="xsd:double"&gt;687.85&lt;/D&gt;&lt;D xsi:type="xsd:double"&gt;690.31&lt;/D&gt;&lt;D xsi:type="xsd:double"&gt;690.38&lt;/D&gt;&lt;D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xsi:type="xsd:double"&gt;564.34&lt;/D&gt;&lt;D xsi:type="xsd:double"&gt;565.06&lt;/D&gt;&lt;D xsi:type="xsd:double"&gt;561.15&lt;/D&gt;&lt;D xsi:type="xsd:double"&gt;558.8&lt;/D&gt;&lt;D xsi:type="xsd:double"&gt;563.51&lt;/D&gt;&lt;D xsi:type="xsd:double"&gt;566.76&lt;/D&gt;&lt;D xsi:type="xsd:double"&gt;558.47&lt;/D&gt;&lt;D xsi:type="xsd:double"&gt;554.54&lt;/D&gt;&lt;D xsi:type="xsd:double"&gt;554.32&lt;/D&gt;&lt;D xsi:type="xsd:double"&gt;550.85&lt;/D&gt;&lt;D xsi:type="xsd:double"&gt;550.64&lt;/D&gt;&lt;D xsi:type="xsd:double"&gt;546.69&lt;/D&gt;&lt;D xsi:type="xsd:double"&gt;535.42&lt;/D&gt;&lt;D xsi:type="xsd:double"&gt;527.25&lt;/D&gt;&lt;D xsi:type="xsd:double"&gt;513.88&lt;/D&gt;&lt;D xsi:type="xsd:double"&gt;526.41&lt;/D&gt;&lt;D xsi:type="xsd:double"&gt;526.41&lt;/D&gt;&lt;/FQL&gt;&lt;FQL&gt;&lt;Q&gt;INDA^FG_PRICE(0,-200D)&lt;/Q&gt;&lt;R&gt;201&lt;/R&gt;&lt;C&gt;1&lt;/C&gt;&lt;D xsi:type="xsd:double"&gt;51.795&lt;/D&gt;&lt;D xsi:type="xsd:double"&gt;51.55&lt;/D&gt;&lt;D xsi:type="xsd:double"&gt;51.73&lt;/D&gt;&lt;D xsi:type="xsd:double"&gt;52.85&lt;/D&gt;&lt;D xsi:type="xsd:double"&gt;52.85&lt;/D&gt;&lt;D xsi:type="xsd:double"&gt;53.22&lt;/D&gt;&lt;D xsi:type="xsd:double"&gt;53.25&lt;/D&gt;&lt;D xsi:type="xsd:double"&gt;53.04&lt;/D&gt;&lt;D xsi:type="xsd:double"&gt;53.4&lt;/D&gt;&lt;D xsi:type="xsd:double"&gt;53.175&lt;/D&gt;&lt;D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xsi:type="xsd:double"&gt;54.05&lt;/D&gt;&lt;D xsi:type="xsd:double"&gt;53.64&lt;/D&gt;&lt;D xsi:type="xsd:double"&gt;53.47&lt;/D&gt;&lt;D xsi:type="xsd:double"&gt;53.84&lt;/D&gt;&lt;D xsi:type="xsd:double"&gt;54.01&lt;/D&gt;&lt;D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xsi:type="xsd:double"&gt;52.39&lt;/D&gt;&lt;D xsi:type="xsd:double"&gt;51.54&lt;/D&gt;&lt;D xsi:type="xsd:double"&gt;53.22&lt;/D&gt;&lt;D xsi:type="xsd:double"&gt;53.68&lt;/D&gt;&lt;D xsi:type="xsd:double"&gt;54.32&lt;/D&gt;&lt;D xsi:type="xsd:double"&gt;53.91&lt;/D&gt;&lt;D xsi:type="xsd:double"&gt;53.54&lt;/D&gt;&lt;D xsi:type="xsd:double"&gt;53.57&lt;/D&gt;&lt;D xsi:type="xsd:double"&gt;53.54&lt;/D&gt;&lt;D xsi:type="xsd:double"&gt;53.29&lt;/D&gt;&lt;D xsi:type="xsd:double"&gt;52.85&lt;/D&gt;&lt;D xsi:type="xsd:double"&gt;53.74&lt;/D&gt;&lt;D xsi:type="xsd:double"&gt;53.18&lt;/D&gt;&lt;D xsi:type="xsd:double"&gt;53.5&lt;/D&gt;&lt;D xsi:type="xsd:double"&gt;53&lt;/D&gt;&lt;D xsi:type="xsd:double"&gt;52.26&lt;/D&gt;&lt;D xsi:type="xsd:double"&gt;52.26&lt;/D&gt;&lt;/FQL&gt;&lt;FQL&gt;&lt;Q&gt;EWD^FG_TOTAL_RETURNC(-5AY,0,AM)&lt;/Q&gt;&lt;R&gt;61&lt;/R&gt;&lt;C&gt;1&lt;/C&gt;&lt;D xsi:type="xsd:double"&gt;7.19918&lt;/D&gt;&lt;D xsi:type="xsd:double"&gt;1.945889&lt;/D&gt;&lt;D xsi:type="xsd:double"&gt;4.445994&lt;/D&gt;&lt;D xsi:type="xsd:double"&gt;4.7024727&lt;/D&gt;&lt;D xsi:type="xsd:double"&gt;2.3414254&lt;/D&gt;&lt;D xsi:type="xsd:double"&gt;-0.7360518&lt;/D&gt;&lt;D xsi:type="xsd:double"&gt;2.1226406&lt;/D&gt;&lt;D xsi:type="xsd:double"&gt;-0.9447813&lt;/D&gt;&lt;D xsi:type="xsd:double"&gt;-2.0771503&lt;/D&gt;&lt;D xsi:type="xsd:double"&gt;5.5194736&lt;/D&gt;&lt;D xsi:type="xsd:double"&gt;-2.9128194&lt;/D&gt;&lt;D xsi:type="xsd:double"&gt;-2.1442294&lt;/D&gt;&lt;D xsi:type="xsd:double"&gt;-5.6194425&lt;/D&gt;&lt;D xsi:type="xsd:double"&gt;-7.975465&lt;/D&gt;&lt;D xsi:type="xsd:double"&gt;2.307701&lt;/D&gt;&lt;D xsi:type="xsd:double"&gt;-4.8621597&lt;/D&gt;&lt;D xsi:type="xsd:double"&gt;-8.113802&lt;/D&gt;&lt;D xsi:type="xsd:double"&gt;-7.9023066&lt;/D&gt;&lt;D xsi:type="xsd:double"&gt;3.7155747&lt;/D&gt;&lt;D xsi:type="xsd:double"&gt;-3.9839447&lt;/D&gt;&lt;D xsi:type="xsd:double"&gt;-10.678673&lt;/D&gt;&lt;D xsi:type="xsd:double"&gt;1.980555&lt;/D&gt;&lt;D xsi:type="xsd:double"&gt;15.889835&lt;/D&gt;&lt;D xsi:type="xsd:double"&gt;-1.0217547&lt;/D&gt;&lt;D xsi:type="xsd:double"&gt;9.845198&lt;/D&gt;&lt;D xsi:type="xsd:double"&gt;-0.33821464&lt;/D&gt;&lt;D xsi:type="xsd:double"&gt;-4.1006804&lt;/D&gt;&lt;D xsi:type="xsd:double"&gt;7.7263355&lt;/D&gt;&lt;D xsi:type="xsd:double"&gt;-1.1771142&lt;/D&gt;&lt;D xsi:type="xsd:double"&gt;-4.099721&lt;/D&gt;&lt;D xsi:type="xsd:double"&gt;3.3795595&lt;/D&gt;&lt;D xsi:type="xsd:double"&gt;-8.2984085&lt;/D&gt;&lt;D xsi:type="xsd:double"&gt;-1.0054767&lt;/D&gt;&lt;D xsi:type="xsd:double"&gt;-2.2468507&lt;/D&gt;&lt;D xsi:type="xsd:double"&gt;12.59445&lt;/D&gt;&lt;D xsi:type="xsd:double"&gt;12.98573&lt;/D&gt;&lt;D xsi:type="xsd:double"&gt;-6.974387&lt;/D&gt;&lt;D xsi:type="xsd:double"&gt;7.19738&lt;/D&gt;&lt;D xsi:type="xsd:double"&gt;3.458798&lt;/D&gt;&lt;D xsi:type="xsd:double"&gt;-4.7689257&lt;/D&gt;&lt;D xsi:type="xsd:double"&gt;6.917906&lt;/D&gt;&lt;D xsi:type="xsd:double"&gt;-1.185298&lt;/D&gt;&lt;D xsi:type="xsd:double"&gt;0.49653053&lt;/D&gt;&lt;D xsi:type="xsd:double"&gt;1.5069127&lt;/D&gt;&lt;D xsi:type="xsd:double"&gt;2.798736&lt;/D&gt;&lt;D xsi:type="xsd:double"&gt;-3.858906&lt;/D&gt;&lt;D xsi:type="xsd:double"&gt;-6.0822487&lt;/D&gt;&lt;D xsi:type="xsd:double"&gt;-2.0188808&lt;/D&gt;&lt;D xsi:type="xsd:double"&gt;7.198298&lt;/D&gt;&lt;D xsi:type="xsd:double"&gt;8.986521&lt;/D&gt;&lt;D xsi:type="xsd:double"&gt;0.84745884&lt;/D&gt;&lt;D xsi:type="xsd:double"&gt;-3.0660868&lt;/D&gt;&lt;D xsi:type="xsd:double"&gt;5.64667&lt;/D&gt;&lt;D xsi:type="xsd:double"&gt;-0.65267086&lt;/D&gt;&lt;D xsi:type="xsd:double"&gt;3.1956077&lt;/D&gt;&lt;D xsi:type="xsd:double"&gt;4.490161&lt;/D&gt;&lt;D xsi:type="xsd:double"&gt;0.825572&lt;/D&gt;&lt;D xsi:type="xsd:double"&gt;1.53265&lt;/D&gt;&lt;D xsi:type="xsd:double"&gt;-4.7559977&lt;/D&gt;&lt;D xsi:type="xsd:double"&gt;7.269454&lt;/D&gt;&lt;D xsi:type="xsd:double"&gt;6.024599&lt;/D&gt;&lt;/FQL&gt;&lt;FQL&gt;&lt;Q&gt;EWG^FG_TOTAL_RETURNC(-5AY,0,AM)&lt;/Q&gt;&lt;R&gt;61&lt;/R&gt;&lt;C&gt;1&lt;/C&gt;&lt;D xsi:type="xsd:double"&gt;4.026842&lt;/D&gt;&lt;D xsi:type="xsd:double"&gt;0.27649403&lt;/D&gt;&lt;D xsi:type="xsd:double"&gt;2.542901&lt;/D&gt;&lt;D xsi:type="xsd:double"&gt;4.063344&lt;/D&gt;&lt;D xsi:type="xsd:double"&gt;2.1245956&lt;/D&gt;&lt;D xsi:type="xsd:double"&gt;-0.15932322&lt;/D&gt;&lt;D xsi:type="xsd:double"&gt;-1.7468393&lt;/D&gt;&lt;D xsi:type="xsd:double"&gt;0.8743763&lt;/D&gt;&lt;D xsi:type="xsd:double"&gt;-2.1670043&lt;/D&gt;&lt;D xsi:type="xsd:double"&gt;-0.23627281&lt;/D&gt;&lt;D xsi:type="xsd:double"&gt;-0.97690225&lt;/D&gt;&lt;D xsi:type="xsd:double"&gt;-2.3441017&lt;/D&gt;&lt;D xsi:type="xsd:double"&gt;-0.85131526&lt;/D&gt;&lt;D xsi:type="xsd:double"&gt;-5.2631617&lt;/D&gt;&lt;D xsi:type="xsd:double"&gt;-5.128205&lt;/D&gt;&lt;D xsi:type="xsd:double"&gt;-6.1330557&lt;/D&gt;&lt;D xsi:type="xsd:double"&gt;-3.691399&lt;/D&gt;&lt;D xsi:type="xsd:double"&gt;-6.114727&lt;/D&gt;&lt;D xsi:type="xsd:double"&gt;-3.5353541&lt;/D&gt;&lt;D xsi:type="xsd:double"&gt;-3.3595145&lt;/D&gt;&lt;D xsi:type="xsd:double"&gt;-5.643344&lt;/D&gt;&lt;D xsi:type="xsd:double"&gt;1.3875604&lt;/D&gt;&lt;D xsi:type="xsd:double"&gt;17.461061&lt;/D&gt;&lt;D xsi:type="xsd:double"&gt;-0.8907676&lt;/D&gt;&lt;D xsi:type="xsd:double"&gt;12.611521&lt;/D&gt;&lt;D xsi:type="xsd:double"&gt;-0.7922292&lt;/D&gt;&lt;D xsi:type="xsd:double"&gt;-0.4355669&lt;/D&gt;&lt;D xsi:type="xsd:double"&gt;6.671524&lt;/D&gt;&lt;D xsi:type="xsd:double"&gt;-0.17088652&lt;/D&gt;&lt;D xsi:type="xsd:double"&gt;-0.2791524&lt;/D&gt;&lt;D xsi:type="xsd:double"&gt;2.6455045&lt;/D&gt;&lt;D xsi:type="xsd:double"&gt;-5.3608236&lt;/D&gt;&lt;D xsi:type="xsd:double"&gt;-3.0138075&lt;/D&gt;&lt;D xsi:type="xsd:double"&gt;-5.6907473&lt;/D&gt;&lt;D xsi:type="xsd:double"&gt;10.956728&lt;/D&gt;&lt;D xsi:type="xsd:double"&gt;5.622709&lt;/D&gt;&lt;D xsi:type="xsd:double"&gt;-2.0325243&lt;/D&gt;&lt;D xsi:type="xsd:double"&gt;4.4260025&lt;/D&gt;&lt;D xsi:type="xsd:double"&gt;3.6092758&lt;/D&gt;&lt;D xsi:type="xsd:double"&gt;-2.9082835&lt;/D&gt;&lt;D xsi:type="xsd:double"&gt;5.5957913&lt;/D&gt;&lt;D xsi:type="xsd:double"&gt;-3.6021948&lt;/D&gt;&lt;D xsi:type="xsd:double"&gt;3.9430141&lt;/D&gt;&lt;D xsi:type="xsd:double"&gt;1.5301228&lt;/D&gt;&lt;D xsi:type="xsd:double"&gt;2.6373625&lt;/D&gt;&lt;D xsi:type="xsd:double"&gt;0.27531385&lt;/D&gt;&lt;D xsi:type="xsd:double"&gt;-4.1793766&lt;/D&gt;&lt;D xsi:type="xsd:double"&gt;1.8783808&lt;/D&gt;&lt;D xsi:type="xsd:double"&gt;6.5000057&lt;/D&gt;&lt;D xsi:type="xsd:double"&gt;5.369711&lt;/D&gt;&lt;D xsi:type="xsd:double"&gt;6.070733&lt;/D&gt;&lt;D xsi:type="xsd:double"&gt;-0.15752316&lt;/D&gt;&lt;D xsi:type="xsd:double"&gt;9.492504&lt;/D&gt;&lt;D xsi:type="xsd:double"&gt;-1.5219331&lt;/D&gt;&lt;D xsi:type="xsd:double"&gt;5.1561713&lt;/D&gt;&lt;D xsi:type="xsd:double"&gt;0.5657792&lt;/D&gt;&lt;D xsi:type="xsd:double"&gt;-3.3286393&lt;/D&gt;&lt;D xsi:type="xsd:double"&gt;0.4849553&lt;/D&gt;&lt;D xsi:type="xsd:double"&gt;-4.9227715&lt;/D&gt;&lt;D xsi:type="xsd:double"&gt;7.4619293&lt;/D&gt;&lt;D xsi:type="xsd:double"&gt;1.7949939&lt;/D&gt;&lt;/FQL&gt;&lt;FQL&gt;&lt;Q&gt;EWW^FG_TOTAL_RETURNC(-5AY,0,AM)&lt;/Q&gt;&lt;R&gt;61&lt;/R&gt;&lt;C&gt;1&lt;/C&gt;&lt;D xsi:type="xsd:double"&gt;5.177939&lt;/D&gt;&lt;D xsi:type="xsd:double"&gt;-4.5856533&lt;/D&gt;&lt;D xsi:type="xsd:double"&gt;6.9041133&lt;/D&gt;&lt;D xsi:type="xsd:double"&gt;7.1428537&lt;/D&gt;&lt;D xsi:type="xsd:double"&gt;1.767838&lt;/D&gt;&lt;D xsi:type="xsd:double"&gt;-0.5874872&lt;/D&gt;&lt;D xsi:type="xsd:double"&gt;1.4428139&lt;/D&gt;&lt;D xsi:type="xsd:double"&gt;1.5477896&lt;/D&gt;&lt;D xsi:type="xsd:double"&gt;2.1009326&lt;/D&gt;&lt;D xsi:type="xsd:double"&gt;-0.08069873&lt;/D&gt;&lt;D xsi:type="xsd:double"&gt;-5.7944655&lt;/D&gt;&lt;D xsi:type="xsd:double"&gt;7.241559&lt;/D&gt;&lt;D xsi:type="xsd:double"&gt;-0.50668716&lt;/D&gt;&lt;D xsi:type="xsd:double"&gt;2.7907848&lt;/D&gt;&lt;D xsi:type="xsd:double"&gt;5.2120566&lt;/D&gt;&lt;D xsi:type="xsd:double"&gt;-3.032589&lt;/D&gt;&lt;D xsi:type="xsd:double"&gt;-0.7187247&lt;/D&gt;&lt;D xsi:type="xsd:double"&gt;-8.716822&lt;/D&gt;&lt;D xsi:type="xsd:double"&gt;-0.8705139&lt;/D&gt;&lt;D xsi:type="xsd:double"&gt;3.3369899&lt;/D&gt;&lt;D xsi:type="xsd:double"&gt;-1.6358614&lt;/D&gt;&lt;D xsi:type="xsd:double"&gt;2.4406075&lt;/D&gt;&lt;D xsi:type="xsd:double"&gt;13.219488&lt;/D&gt;&lt;D xsi:type="xsd:double"&gt;-3.481871&lt;/D&gt;&lt;D xsi:type="xsd:double"&gt;11.970854&lt;/D&gt;&lt;D xsi:type="xsd:double"&gt;1.7408133&lt;/D&gt;&lt;D xsi:type="xsd:double"&gt;-2.6615977&lt;/D&gt;&lt;D xsi:type="xsd:double"&gt;6.4453125&lt;/D&gt;&lt;D xsi:type="xsd:double"&gt;-0.58382154&lt;/D&gt;&lt;D xsi:type="xsd:double"&gt;4.8137546&lt;/D&gt;&lt;D xsi:type="xsd:double"&gt;1.435256&lt;/D&gt;&lt;D xsi:type="xsd:double"&gt;-1.3672531&lt;/D&gt;&lt;D xsi:type="xsd:double"&gt;-3.3204377&lt;/D&gt;&lt;D xsi:type="xsd:double"&gt;-11.187058&lt;/D&gt;&lt;D xsi:type="xsd:double"&gt;16.895067&lt;/D&gt;&lt;D xsi:type="xsd:double"&gt;10.577381&lt;/D&gt;&lt;D xsi:type="xsd:double"&gt;-5.559647&lt;/D&gt;&lt;D xsi:type="xsd:double"&gt;4.9344063&lt;/D&gt;&lt;D xsi:type="xsd:double"&gt;0.41667223&lt;/D&gt;&lt;D xsi:type="xsd:double"&gt;-2.7860165&lt;/D&gt;&lt;D xsi:type="xsd:double"&gt;2.7591586&lt;/D&gt;&lt;D xsi:type="xsd:double"&gt;-14.3287&lt;/D&gt;&lt;D xsi:type="xsd:double"&gt;4.155755&lt;/D&gt;&lt;D xsi:type="xsd:double"&gt;-9.304279&lt;/D&gt;&lt;D xsi:type="xsd:double"&gt;-0.22180676&lt;/D&gt;&lt;D xsi:type="xsd:double"&gt;-1.3894022&lt;/D&gt;&lt;D xsi:type="xsd:double"&gt;-5.823779&lt;/D&gt;&lt;D xsi:type="xsd:double"&gt;0.5913377&lt;/D&gt;&lt;D xsi:type="xsd:double"&gt;0.77757835&lt;/D&gt;&lt;D xsi:type="xsd:double"&gt;5.56345&lt;/D&gt;&lt;D xsi:type="xsd:double"&gt;-0.5578041&lt;/D&gt;&lt;D xsi:type="xsd:double"&gt;7.369435&lt;/D&gt;&lt;D xsi:type="xsd:double"&gt;7.7823877&lt;/D&gt;&lt;D xsi:type="xsd:double"&gt;-1.1159778&lt;/D&gt;&lt;D xsi:type="xsd:double"&gt;1.5832067&lt;/D&gt;&lt;D xsi:type="xsd:double"&gt;6.386578&lt;/D&gt;&lt;D xsi:type="xsd:double"&gt;6.5286636&lt;/D&gt;&lt;D xsi:type="xsd:double"&gt;-2.0777285&lt;/D&gt;&lt;D xsi:type="xsd:double"&gt;0.8090377&lt;/D&gt;&lt;D xsi:type="xsd:double"&gt;7.979381&lt;/D&gt;&lt;D xsi:type="xsd:double"&gt;8.291637&lt;/D&gt;&lt;/FQL&gt;&lt;FQL&gt;&lt;Q&gt;KSA^FG_PRICE(0,-200D)&lt;/Q&gt;&lt;R&gt;201&lt;/R&gt;&lt;C&gt;1&lt;/C&gt;&lt;D xsi:type="xsd:double"&gt;38.93&lt;/D&gt;&lt;D xsi:type="xsd:double"&gt;38.3&lt;/D&gt;&lt;D xsi:type="xsd:double"&gt;37.94&lt;/D&gt;&lt;D xsi:type="xsd:double"&gt;37.83&lt;/D&gt;&lt;D xsi:type="xsd:double"&gt;37.83&lt;/D&gt;&lt;D xsi:type="xsd:double"&gt;37.99&lt;/D&gt;&lt;D xsi:type="xsd:double"&gt;38.21&lt;/D&gt;&lt;D xsi:type="xsd:double"&gt;38.21&lt;/D&gt;&lt;D xsi:type="xsd:double"&gt;37.82&lt;/D&gt;&lt;D xsi:type="xsd:double"&gt;36.87&lt;/D&gt;&lt;D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xsi:type="xsd:double"&gt;36.41&lt;/D&gt;&lt;D xsi:type="xsd:double"&gt;36.05&lt;/D&gt;&lt;D xsi:type="xsd:double"&gt;36.39&lt;/D&gt;&lt;D xsi:type="xsd:double"&gt;36.57&lt;/D&gt;&lt;D xsi:type="xsd:double"&gt;36.6&lt;/D&gt;&lt;D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</t>
        </r>
      </text>
    </comment>
    <comment ref="A3" authorId="0" shapeId="0" xr:uid="{0A672E6F-5D27-4628-B06B-BFE604A858BC}">
      <text>
        <r>
          <rPr>
            <b/>
            <sz val="9"/>
            <color indexed="81"/>
            <rFont val="Tahoma"/>
            <charset val="1"/>
          </rPr>
          <t>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xsi:type="xsd:double"&gt;39.54&lt;/D&gt;&lt;D xsi:type="xsd:double"&gt;39.44&lt;/D&gt;&lt;D xsi:type="xsd:double"&gt;39.53&lt;/D&gt;&lt;D xsi:type="xsd:double"&gt;39.72&lt;/D&gt;&lt;D xsi:type="xsd:double"&gt;39.71&lt;/D&gt;&lt;D xsi:type="xsd:double"&gt;40.33&lt;/D&gt;&lt;D xsi:type="xsd:double"&gt;40.01&lt;/D&gt;&lt;D xsi:type="xsd:double"&gt;40.43&lt;/D&gt;&lt;D xsi:type="xsd:double"&gt;40.74&lt;/D&gt;&lt;D xsi:type="xsd:double"&gt;40.85&lt;/D&gt;&lt;D xsi:type="xsd:double"&gt;41.16&lt;/D&gt;&lt;D xsi:type="xsd:double"&gt;41.05&lt;/D&gt;&lt;D xsi:type="xsd:double"&gt;40.37&lt;/D&gt;&lt;D xsi:type="xsd:double"&gt;40.41&lt;/D&gt;&lt;D xsi:type="xsd:double"&gt;39.9&lt;/D&gt;&lt;D xsi:type="xsd:double"&gt;40.19&lt;/D&gt;&lt;D xsi:type="xsd:double"&gt;40.19&lt;/D&gt;&lt;/FQL&gt;&lt;FQL&gt;&lt;Q&gt;EPOL^FG_PRICE(0,-200D)&lt;/Q&gt;&lt;R&gt;201&lt;/R&gt;&lt;C&gt;1&lt;/C&gt;&lt;D xsi:type="xsd:double"&gt;37.26&lt;/D&gt;&lt;D xsi:type="xsd:double"&gt;36.15&lt;/D&gt;&lt;D xsi:type="xsd:double"&gt;35.84&lt;/D&gt;&lt;D xsi:type="xsd:double"&gt;35.92&lt;/D&gt;&lt;D xsi:type="xsd:double"&gt;35.92&lt;/D&gt;&lt;D xsi:type="xsd:double"&gt;36.15&lt;/D&gt;&lt;D xsi:type="xsd:double"&gt;36.03&lt;/D&gt;&lt;D xsi:type="xsd:double"&gt;36.09&lt;/D&gt;&lt;D xsi:type="xsd:double"&gt;36.38&lt;/D&gt;&lt;D xsi:type="xsd:double"&gt;36.2&lt;/D&gt;&lt;D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xsi:type="xsd:double"&gt;35.19&lt;/D&gt;&lt;D xsi:type="xsd:double"&gt;35.16&lt;/D&gt;&lt;D xsi:type="xsd:double"&gt;34.96&lt;/D&gt;&lt;D xsi:type="xsd:double"&gt;35.2&lt;/D&gt;&lt;D xsi:type="xsd:double"&gt;35.15&lt;/D&gt;&lt;D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xsi:type="xsd:double"&gt;30.88&lt;/D&gt;&lt;D xsi:type="xsd:double"&gt;29.94&lt;/D&gt;&lt;D xsi:type="xsd:double"&gt;29.66&lt;/D&gt;&lt;D xsi:type="xsd:double"&gt;29.48&lt;/D&gt;&lt;D xsi:type="xsd:double"&gt;29.83&lt;/D&gt;&lt;D xsi:type="xsd:double"&gt;30.09&lt;/D&gt;&lt;D xsi:type="xsd:double"&gt;29.45&lt;/D&gt;&lt;D xsi:type="xsd:double"&gt;29.48&lt;/D&gt;&lt;D xsi:type="xsd:double"&gt;30.3&lt;/D&gt;&lt;D xsi:type="xsd:double"&gt;30.3&lt;/D&gt;&lt;D xsi:type="xsd:double"&gt;30.04&lt;/D&gt;&lt;D xsi:type="xsd:double"&gt;30.19&lt;/D&gt;&lt;D xsi:type="xsd:double"&gt;29.43&lt;/D&gt;&lt;D xsi:type="xsd:double"&gt;29.25&lt;/D&gt;&lt;D xsi:type="xsd:double"&gt;28.63&lt;/D&gt;&lt;D xsi:type="xsd:double"&gt;28.29&lt;/D&gt;&lt;D xsi:type="xsd:double"&gt;28.29&lt;/D&gt;&lt;/FQL&gt;&lt;FQL&gt;&lt;Q&gt;EWN^FG_TOTAL_RETURNC(-5AY,0,AM)&lt;/Q&gt;&lt;R&gt;61&lt;/R&gt;&lt;C&gt;1&lt;/C&gt;&lt;D xsi:type="xsd:double"&gt;8.500743&lt;/D&gt;&lt;D xsi:type="xsd:double"&gt;2.3933053&lt;/D&gt;&lt;D xsi:type="xsd:double"&gt;0.08820295&lt;/D&gt;&lt;D xsi:type="xsd:double"&gt;6.146729&lt;/D&gt;&lt;D xsi:type="xsd:double"&gt;0.9962678&lt;/D&gt;&lt;D xsi:type="xsd:double"&gt;0.1450777&lt;/D&gt;&lt;D xsi:type="xsd:double"&gt;0.9708762&lt;/D&gt;&lt;D xsi:type="xsd:double"&gt;3.9075255&lt;/D&gt;&lt;D xsi:type="xsd:double"&gt;2.8155208&lt;/D&gt;&lt;D xsi:type="xsd:double"&gt;0.49788952&lt;/D&gt;&lt;D xsi:type="xsd:double"&gt;-2.3627996&lt;/D&gt;&lt;D xsi:type="xsd:double"&gt;-3.7217498&lt;/D&gt;&lt;D xsi:type="xsd:double"&gt;-4.537135&lt;/D&gt;&lt;D xsi:type="xsd:double"&gt;-6.777489&lt;/D&gt;&lt;D xsi:type="xsd:double"&gt;-1.3488829&lt;/D&gt;&lt;D xsi:type="xsd:double"&gt;-6.674391&lt;/D&gt;&lt;D xsi:type="xsd:double"&gt;-7.797366&lt;/D&gt;&lt;D xsi:type="xsd:double"&gt;-5.5666685&lt;/D&gt;&lt;D xsi:type="xsd:double"&gt;6.1253905&lt;/D&gt;&lt;D xsi:type="xsd:double"&gt;-3.6482453&lt;/D&gt;&lt;D xsi:type="xsd:double"&gt;-9.522462&lt;/D&gt;&lt;D xsi:type="xsd:double"&gt;0.4372239&lt;/D&gt;&lt;D xsi:type="xsd:double"&gt;18.06593&lt;/D&gt;&lt;D xsi:type="xsd:double"&gt;-0.49200654&lt;/D&gt;&lt;D xsi:type="xsd:double"&gt;11.291611&lt;/D&gt;&lt;D xsi:type="xsd:double"&gt;-1.6750455&lt;/D&gt;&lt;D xsi:type="xsd:double"&gt;-1.2168407&lt;/D&gt;&lt;D xsi:type="xsd:double"&gt;3.9418578&lt;/D&gt;&lt;D xsi:type="xsd:double"&gt;2.0621061&lt;/D&gt;&lt;D xsi:type="xsd:double"&gt;-0.28865933&lt;/D&gt;&lt;D xsi:type="xsd:double"&gt;3.9331198&lt;/D&gt;&lt;D xsi:type="xsd:double"&gt;-7.2286487&lt;/D&gt;&lt;D xsi:type="xsd:double"&gt;-6.2774777&lt;/D&gt;&lt;D xsi:type="xsd:double"&gt;-4.691166&lt;/D&gt;&lt;D xsi:type="xsd:double"&gt;14.438057&lt;/D&gt;&lt;D xsi:type="xsd:double"&gt;6.532502&lt;/D&gt;&lt;D xsi:type="xsd:double"&gt;-0.6327629&lt;/D&gt;&lt;D xsi:type="xsd:double"&gt;9.028875&lt;/D&gt;&lt;D xsi:type="xsd:double"&gt;2.3362637&lt;/D&gt;&lt;D xsi:type="xsd:double"&gt;-3.2001615&lt;/D&gt;&lt;D xsi:type="xsd:double"&gt;7.8227043&lt;/D&gt;&lt;D xsi:type="xsd:double"&gt;0.012254715&lt;/D&gt;&lt;D xsi:type="xsd:double"&gt;0.13823509&lt;/D&gt;&lt;D xsi:type="xsd:double"&gt;-1.0845959&lt;/D&gt;&lt;D xsi:type="xsd:double"&gt;-1.5550196&lt;/D&gt;&lt;D xsi:type="xsd:double"&gt;-2.8554082&lt;/D&gt;&lt;D xsi:type="xsd:double"&gt;-6.712532&lt;/D&gt;&lt;D xsi:type="xsd:double"&gt;0.8224368&lt;/D&gt;&lt;D xsi:type="xsd:double"&gt;4.2029977&lt;/D&gt;&lt;D xsi:type="xsd:double"&gt;3.34692&lt;/D&gt;&lt;D xsi:type="xsd:double"&gt;0.16608238&lt;/D&gt;&lt;D xsi:type="xsd:double"&gt;-2.3834229&lt;/D&gt;&lt;D xsi:type="xsd:double"&gt;11.549902&lt;/D&gt;&lt;D xsi:type="xsd:double"&gt;0.08647442&lt;/D&gt;&lt;D xsi:type="xsd:double"&gt;2.846837&lt;/D&gt;&lt;D xsi:type="xsd:double"&gt;1.5326977&lt;/D&gt;&lt;D xsi:type="xsd:double"&gt;5.8537006&lt;/D&gt;&lt;D xsi:type="xsd:double"&gt;1.3249636&lt;/D&gt;&lt;D xsi:type="xsd:double"&gt;-3.7852705&lt;/D&gt;&lt;D xsi:type="xsd:double"&gt;5.854571&lt;/D&gt;&lt;D xsi:type="xsd:double"&gt;8.998418&lt;/D&gt;&lt;/FQL&gt;&lt;FQL&gt;&lt;Q&gt;QAT^FG_TOTAL_RETURNC(-5AY,0,AM)&lt;/Q&gt;&lt;R&gt;61&lt;/R&gt;&lt;C&gt;1&lt;/C&gt;&lt;D xsi:type="xsd:double"&gt;2.1574974&lt;/D&gt;&lt;D xsi:type="xsd:double"&gt;-3.9598703&lt;/D&gt;&lt;D xsi:type="xsd:double"&gt;1.3194084&lt;/D&gt;&lt;D xsi:type="xsd:double"&gt;5.914271&lt;/D&gt;&lt;D xsi:type="xsd:double"&gt;-0.102460384&lt;/D&gt;&lt;D xsi:type="xsd:double"&gt;0.96993446&lt;/D&gt;&lt;D xsi:type="xsd:double"&gt;-2.4402857&lt;/D&gt;&lt;D xsi:type="xsd:double"&gt;3.8850427&lt;/D&gt;&lt;D xsi:type="xsd:double"&gt;1.9472361&lt;/D&gt;&lt;D xsi:type="xsd:double"&gt;5.1351547&lt;/D&gt;&lt;D xsi:type="xsd:double"&gt;-0.822103&lt;/D&gt;&lt;D xsi:type="xsd:double"&gt;-1.2573481&lt;/D&gt;&lt;D xsi:type="xsd:double"&gt;6.6666603&lt;/D&gt;&lt;D xsi:type="xsd:double"&gt;3.7077904&lt;/D&gt;&lt;D xsi:type="xsd:double"&gt;4.9557447&lt;/D&gt;&lt;D xsi:type="xsd:double"&gt;3.0354142&lt;/D&gt;&lt;D xsi:type="xsd:double"&gt;-6.7103148&lt;/D&gt;&lt;D xsi:type="xsd:double"&gt;-7.978052&lt;/D&gt;&lt;D xsi:type="xsd:double"&gt;5.867839&lt;/D&gt;&lt;D xsi:type="xsd:double"&gt;8.337223&lt;/D&gt;&lt;D xsi:type="xsd:double"&gt;-8.598453&lt;/D&gt;&lt;D xsi:type="xsd:double"&gt;1.9285083&lt;/D&gt;&lt;D xsi:type="xsd:double"&gt;-6.3585577&lt;/D&gt;&lt;D xsi:type="xsd:double"&gt;-6.564772&lt;/D&gt;&lt;D xsi:type="xsd:double"&gt;0.69001913&lt;/D&gt;&lt;D xsi:type="xsd:double"&gt;-3.0047417&lt;/D&gt;&lt;D xsi:type="xsd:double"&gt;-4.5108676&lt;/D&gt;&lt;D xsi:type="xsd:double"&gt;1.9351125&lt;/D&gt;&lt;D xsi:type="xsd:double"&gt;8.65438&lt;/D&gt;&lt;D xsi:type="xsd:double"&gt;-5.793029&lt;/D&gt;&lt;D xsi:type="xsd:double"&gt;3.7131548&lt;/D&gt;&lt;D xsi:type="xsd:double"&gt;-1.0658622&lt;/D&gt;&lt;D xsi:type="xsd:double"&gt;-2.872932&lt;/D&gt;&lt;D xsi:type="xsd:double"&gt;-6.370878&lt;/D&gt;&lt;D xsi:type="xsd:double"&gt;6.4398646&lt;/D&gt;&lt;D xsi:type="xsd:double"&gt;1.255703&lt;/D&gt;&lt;D xsi:type="xsd:double"&gt;0&lt;/D&gt;&lt;D xsi:type="xsd:double"&gt;0.9582877&lt;/D&gt;&lt;D xsi:type="xsd:double"&gt;0.94919205&lt;/D&gt;&lt;D xsi:type="xsd:double"&gt;-5.1991167&lt;/D&gt;&lt;D xsi:type="xsd:double"&gt;0.5834341&lt;/D&gt;&lt;D xsi:type="xsd:double"&gt;-0.19246936&lt;/D&gt;&lt;D xsi:type="xsd:double"&gt;4.475343&lt;/D&gt;&lt;D xsi:type="xsd:double"&gt;1.9219518&lt;/D&gt;&lt;D xsi:type="xsd:double"&gt;3.7142873&lt;/D&gt;&lt;D xsi:type="xsd:double"&gt;1.8181801&lt;/D&gt;&lt;D xsi:type="xsd:double"&gt;-1.055193&lt;/D&gt;&lt;D xsi:type="xsd:double"&gt;-1.1556149&lt;/D&gt;&lt;D xsi:type="xsd:double"&gt;0.61831474&lt;/D&gt;&lt;D xsi:type="xsd:double"&gt;0.39105415&lt;/D&gt;&lt;D xsi:type="xsd:double"&gt;0.11129379&lt;/D&gt;&lt;D xsi:type="xsd:double"&gt;-0.44469237&lt;/D&gt;&lt;D xsi:type="xsd:double"&gt;6.70017&lt;/D&gt;&lt;D xsi:type="xsd:double"&gt;-5.044121&lt;/D&gt;&lt;D xsi:type="xsd:double"&gt;9.14222&lt;/D&gt;&lt;D xsi:type="xsd:double"&gt;4.3929696&lt;/D&gt;&lt;D xsi:type="xsd:double"&gt;-1.2362778&lt;/D&gt;&lt;D xsi:type="xsd:double"&gt;-4.012042&lt;/D&gt;&lt;D xsi:type="xsd:double"&gt;-2.4033368&lt;/D&gt;&lt;D xsi:type="xsd:double"&gt;2.0769954&lt;/D&gt;&lt;D xsi:type="xsd:double"&gt;5.628574&lt;/D&gt;&lt;/FQL&gt;&lt;FQL&gt;&lt;Q&gt;ECH^JULIAN(FG_TOTAL_RETURNC(-5AY,0,AM).DATES)&lt;/Q&gt;&lt;R&gt;61&lt;/R&gt;&lt;C&gt;1&lt;/C&gt;&lt;D xsi:type="xsd:long"&gt;44218&lt;/D&gt;&lt;D xsi:type="xsd:long"&gt;44249&lt;/D&gt;&lt;D xsi:type="xsd:long"&gt;44277&lt;/D&gt;&lt;D xsi:type="xsd:long"&gt;44308&lt;/D&gt;&lt;D xsi:type="xsd:long"&gt;44337&lt;/D&gt;&lt;D xsi:type="xsd:long"&gt;44369&lt;/D&gt;&lt;D xsi:type="xsd:long"&gt;44399&lt;/D&gt;&lt;D xsi:type="xsd:long"&gt;44428&lt;/D&gt;&lt;D xsi:type="xsd:long"&gt;44461&lt;/D&gt;&lt;D xsi:type="xsd:long"&gt;44491&lt;/D&gt;&lt;D xsi:type="xsd:long"&gt;44522&lt;/D&gt;&lt;D xsi:type="xsd:long"&gt;44552&lt;/D&gt;&lt;D xsi:type="xsd:long"&gt;44582&lt;/D&gt;&lt;D xsi:type="xsd:long"&gt;44614&lt;/D&gt;&lt;D xsi:type="xsd:long"&gt;44642&lt;/D&gt;&lt;D xsi:type="xsd:long"&gt;44673&lt;/D&gt;&lt;D xsi:type="xsd:long"&gt;44701&lt;/D&gt;&lt;D xsi:type="xsd:long"&gt;44734&lt;/D&gt;&lt;D xsi:type="xsd:long"&gt;44764&lt;/D&gt;&lt;D xsi:type="xsd:long"&gt;44795&lt;/D&gt;&lt;D xsi:type="xsd:long"&gt;44826&lt;/D&gt;&lt;D xsi:type="xsd:long"&gt;44855&lt;/D&gt;&lt;D xsi:type="xsd:long"&gt;44887&lt;/D&gt;&lt;D xsi:type="xsd:long"&gt;44917&lt;/D&gt;&lt;D xsi:type="xsd:long"&gt;44946&lt;/D&gt;&lt;D xsi:type="xsd:long"&gt;44979&lt;/D&gt;&lt;D xsi:type="xsd:long"&gt;45007&lt;/D&gt;&lt;D xsi:type="xsd:long"&gt;45037&lt;/D&gt;&lt;D xsi:type="xsd:long"&gt;45068&lt;/D&gt;&lt;D xsi:type="xsd:long"&gt;45099&lt;/D&gt;&lt;D xsi:type="xsd:long"&gt;45128&lt;/D&gt;&lt;D xsi:type="xsd:long"&gt;45160&lt;/D&gt;&lt;D xsi:type="xsd:long"&gt;45191&lt;/D&gt;&lt;D xsi:type="xsd:long"&gt;45219&lt;/D&gt;&lt;D xsi:type="xsd:long"&gt;45252&lt;/D&gt;&lt;D xsi:type="xsd:long"&gt;45282&lt;/D&gt;&lt;D xsi:type="xsd:long"&gt;45313&lt;/D&gt;&lt;D xsi:type="xsd:long"&gt;45344&lt;/D&gt;&lt;D xsi:type="xsd:long"&gt;45373&lt;/D&gt;&lt;D xsi:type="xsd:long"&gt;45404&lt;/D&gt;&lt;D xsi:type="xsd:long"&gt;45434&lt;/D&gt;&lt;D xsi:type="xsd:long"&gt;45464&lt;/D&gt;&lt;D xsi:type="xsd:long"&gt;45495&lt;/D&gt;&lt;D xsi:type="xsd:long"&gt;45526&lt;/D&gt;&lt;D xsi:type="xsd:long"&gt;45555&lt;/D&gt;&lt;D xsi:type="xsd:long"&gt;45587&lt;/D&gt;&lt;D xsi:type="xsd:long"&gt;45618&lt;/D&gt;&lt;D xsi:type="xsd:long"&gt;45646&lt;/D&gt;&lt;D xsi:type="xsd:long"&gt;45679&lt;/D&gt;&lt;D xsi:type="xsd:long"&gt;45709&lt;/D&gt;&lt;D xsi:type="xsd:long"&gt;45737&lt;/D&gt;&lt;D xsi:type="xsd:long"&gt;45769&lt;/D&gt;&lt;D xsi:type="xsd:long"&gt;45799&lt;/D&gt;&lt;D xsi:type="xsd:long"&gt;45828&lt;/D&gt;&lt;D xsi:type="xsd:long"&gt;45860&lt;/D&gt;&lt;D xsi:type="xsd:long"&gt;45891&lt;/D&gt;&lt;D xsi:type="xsd:long"&gt;45922&lt;/D&gt;&lt;D xsi:type="xsd:long"&gt;45952&lt;/D&gt;&lt;D xsi:type="xsd:long"&gt;45982&lt;/D&gt;&lt;D xsi:type="xsd:long"&gt;46013&lt;/D&gt;&lt;D xsi:type="xsd:long"&gt;46044&lt;/D&gt;&lt;/FQL&gt;&lt;FQL&gt;&lt;Q&gt;EWU^FG_PRICE(0,-200D)&lt;/Q&gt;&lt;R&gt;201&lt;/R&gt;&lt;C&gt;1&lt;/C&gt;&lt;D xsi:type="xsd:double"&gt;45.07&lt;/D&gt;&lt;D xsi:type="xsd:double"&gt;45.16&lt;/D&gt;&lt;D xsi:type="xsd:double"&gt;44.7&lt;/D&gt;&lt;D xsi:type="xsd:double"&gt;45.18&lt;/D&gt;&lt;D xsi:type="xsd:double"&gt;45.18&lt;/D&gt;&lt;D xsi:type="xsd:double"&gt;45.09&lt;/D&gt;&lt;D xsi:type="xsd:double"&gt;45.28&lt;/D&gt;&lt;D xsi:type="xsd:double"&gt;44.98&lt;/D&gt;&lt;D xsi:type="xsd:double"&gt;45.09&lt;/D&gt;&lt;D xsi:type="xsd:double"&gt;44.79&lt;/D&gt;&lt;D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xsi:type="xsd:double"&gt;43.98&lt;/D&gt;&lt;D xsi:type="xsd:double"&gt;44.22&lt;/D&gt;&lt;D xsi:type="xsd:double"&gt;44.02&lt;/D&gt;&lt;D xsi:type="xsd:double"&gt;44.24&lt;/D&gt;&lt;D xsi:type="xsd:double"&gt;44.08&lt;/D&gt;&lt;D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xsi:type="xsd:double"&gt;38.29&lt;/D&gt;&lt;D xsi:type="xsd:double"&gt;38.11&lt;/D&gt;&lt;D xsi:type="xsd:double"&gt;38.43&lt;/D&gt;&lt;D xsi:type="xsd:double"&gt;38.57&lt;/D&gt;&lt;D xsi:type="xsd:double"&gt;38.64&lt;/D&gt;&lt;D xsi:type="xsd:double"&gt;38.6&lt;/D&gt;&lt;D xsi:type="xsd:double"&gt;37.88&lt;/D&gt;&lt;D xsi:type="xsd:double"&gt;38.1&lt;/D&gt;&lt;D xsi:type="xsd:double"&gt;38.35&lt;/D&gt;&lt;D xsi:type="xsd:double"&gt;38.19&lt;/D&gt;&lt;D xsi:type="xsd:double"&gt;37.94&lt;/D&gt;&lt;D xsi:type="xsd:double"&gt;37.89&lt;/D&gt;&lt;D xsi:type="xsd:double"&gt;37.55&lt;/D&gt;&lt;D xsi:type="xsd:double"&gt;37.58&lt;/D&gt;&lt;D xsi:type="xsd:double"&gt;36.82&lt;/D&gt;&lt;D xsi:type="xsd:double"&gt;36.97&lt;/D&gt;&lt;D xsi:type="xsd:double"&gt;36.97&lt;/D&gt;&lt;/FQL&gt;&lt;FQL&gt;&lt;Q&gt;EZA^FG_PRICE(0,-200D)&lt;/Q&gt;&lt;R&gt;201&lt;/R&gt;&lt;C&gt;1&lt;/C&gt;&lt;D xsi:type="xsd:double"&gt;75.56&lt;/D&gt;&lt;D xsi:type="xsd:double"&gt;73.52&lt;/D&gt;&lt;D xsi:type="xsd:double"&gt;73.44&lt;/D&gt;&lt;D xsi:type="xsd:double"&gt;72.78&lt;/D&gt;&lt;D xsi:type="xsd:double"&gt;72.78&lt;/D&gt;&lt;D xsi:type="xsd:double"&gt;73.74&lt;/D&gt;&lt;D xsi:type="xsd:double"&gt;73.39&lt;/D&gt;&lt;D xsi:type="xsd:double"&gt;73.09&lt;/D&gt;&lt;D xsi:type="xsd:double"&gt;72.78&lt;/D&gt;&lt;D xsi:type="xsd:double"&gt;70.69&lt;/D&gt;&lt;D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xsi:type="xsd:double"&gt;68.8&lt;/D&gt;&lt;D xsi:type="xsd:double"&gt;69.23&lt;/D&gt;&lt;D xsi:type="xsd:double"&gt;68.43&lt;/D&gt;&lt;D xsi:type="xsd:double"&gt;70.31&lt;/D&gt;&lt;D xsi:type="xsd:double"&gt;69.92&lt;/D&gt;&lt;D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xsi:type="xsd:double"&gt;50.64&lt;/D&gt;&lt;D xsi:type="xsd:double"&gt;49.85&lt;/D&gt;&lt;D xsi:type="xsd:double"&gt;50.23&lt;/D&gt;&lt;D xsi:type="xsd:double"&gt;50.71&lt;/D&gt;&lt;D xsi:type="xsd:double"&gt;50.44&lt;/D&gt;&lt;D xsi:type="xsd:double"&gt;50.19&lt;/D&gt;&lt;D xsi:type="xsd:double"&gt;49.27&lt;/D&gt;&lt;D xsi:type="xsd:double"&gt;49.52&lt;/D&gt;&lt;D xsi:type="xsd:double"&gt;49.14&lt;/D&gt;&lt;D xsi:type="xsd:double"&gt;49.09&lt;/D&gt;&lt;D xsi:type="xsd:double"&gt;48.38&lt;/D&gt;&lt;D xsi:type="xsd:double"&gt;47.96&lt;/D&gt;&lt;D xsi:type="xsd:double"&gt;47.55&lt;/D&gt;&lt;D xsi:type="xsd:double"&gt;48.16&lt;/D&gt;&lt;D xsi:type="xsd:double"&gt;47.6&lt;/D&gt;&lt;D xsi:type="xsd:double"&gt;47.9&lt;/D&gt;&lt;D xsi:type="xsd:double"&gt;47.9&lt;/D&gt;&lt;/FQL&gt;&lt;FQL&gt;&lt;Q&gt;EWQ^FG_TOTAL_RETURNC(-5AY,0,AM)&lt;/Q&gt;&lt;R&gt;61&lt;/R&gt;&lt;C&gt;1&lt;/C&gt;&lt;D xsi:type="xsd:double"&gt;2.1042943&lt;/D&gt;&lt;D xsi:type="xsd:double"&gt;2.6881814&lt;/D&gt;&lt;D xsi:type="xsd:double"&gt;1.5125036&lt;/D&gt;&lt;D xsi:type="xsd:double"&gt;5.4441214&lt;/D&gt;&lt;D xsi:type="xsd:double"&gt;4.375005&lt;/D&gt;&lt;D xsi:type="xsd:double"&gt;1.1960149&lt;/D&gt;&lt;D xsi:type="xsd:double"&gt;-2.8095663&lt;/D&gt;&lt;D xsi:type="xsd:double"&gt;1.632762&lt;/D&gt;&lt;D xsi:type="xsd:double"&gt;0.5793929&lt;/D&gt;&lt;D xsi:type="xsd:double"&gt;2.0424247&lt;/D&gt;&lt;D xsi:type="xsd:double"&gt;0.79547167&lt;/D&gt;&lt;D xsi:type="xsd:double"&gt;0.46406984&lt;/D&gt;&lt;D xsi:type="xsd:double"&gt;-0.9375036&lt;/D&gt;&lt;D xsi:type="xsd:double"&gt;-3.6277652&lt;/D&gt;&lt;D xsi:type="xsd:double"&gt;-3.655213&lt;/D&gt;&lt;D xsi:type="xsd:double"&gt;-3.2559514&lt;/D&gt;&lt;D xsi:type="xsd:double"&gt;-4.3605447&lt;/D&gt;&lt;D xsi:type="xsd:double"&gt;-5.5874944&lt;/D&gt;&lt;D xsi:type="xsd:double"&gt;1.7017007&lt;/D&gt;&lt;D xsi:type="xsd:double"&gt;0.2296567&lt;/D&gt;&lt;D x</t>
        </r>
      </text>
    </comment>
    <comment ref="A4" authorId="0" shapeId="0" xr:uid="{07DAF482-72AC-4803-9EF4-9C4839EC7A78}">
      <text>
        <r>
          <rPr>
            <b/>
            <sz val="9"/>
            <color indexed="81"/>
            <rFont val="Tahoma"/>
            <charset val="1"/>
          </rPr>
          <t>si:type="xsd:double"&gt;-7.9541683&lt;/D&gt;&lt;D xsi:type="xsd:double"&gt;2.4893284&lt;/D&gt;&lt;D xsi:type="xsd:double"&gt;14.295626&lt;/D&gt;&lt;D xsi:type="xsd:double"&gt;0.97004175&lt;/D&gt;&lt;D xsi:type="xsd:double"&gt;10.108638&lt;/D&gt;&lt;D xsi:type="xsd:double"&gt;0.8769512&lt;/D&gt;&lt;D xsi:type="xsd:double"&gt;-0.9236634&lt;/D&gt;&lt;D xsi:type="xsd:double"&gt;8.884012&lt;/D&gt;&lt;D xsi:type="xsd:double"&gt;-1.7375946&lt;/D&gt;&lt;D xsi:type="xsd:double"&gt;-1.5896678&lt;/D&gt;&lt;D xsi:type="xsd:double"&gt;4.9786925&lt;/D&gt;&lt;D xsi:type="xsd:double"&gt;-5.604869&lt;/D&gt;&lt;D xsi:type="xsd:double"&gt;-3.197211&lt;/D&gt;&lt;D xsi:type="xsd:double"&gt;-5.467659&lt;/D&gt;&lt;D xsi:type="xsd:double"&gt;9.718132&lt;/D&gt;&lt;D xsi:type="xsd:double"&gt;5.3916335&lt;/D&gt;&lt;D xsi:type="xsd:double"&gt;-3.1433642&lt;/D&gt;&lt;D xsi:type="xsd:double"&gt;6.0158253&lt;/D&gt;&lt;D xsi:type="xsd:double"&gt;2.3145795&lt;/D&gt;&lt;D xsi:type="xsd:double"&gt;-2.1649241&lt;/D&gt;&lt;D xsi:type="xsd:double"&gt;3.9532542&lt;/D&gt;&lt;D xsi:type="xsd:double"&gt;-6.0712757&lt;/D&gt;&lt;D xsi:type="xsd:double"&gt;2.1104693&lt;/D&gt;&lt;D xsi:type="xsd:double"&gt;0.3572464&lt;/D&gt;&lt;D xsi:type="xsd:double"&gt;0.940752&lt;/D&gt;&lt;D xsi:type="xsd:double"&gt;-2.7204096&lt;/D&gt;&lt;D xsi:type="xsd:double"&gt;-7.224226&lt;/D&gt;&lt;D xsi:type="xsd:double"&gt;0.21377802&lt;/D&gt;&lt;D xsi:type="xsd:double"&gt;7.4915886&lt;/D&gt;&lt;D xsi:type="xsd:double"&gt;3.8371086&lt;/D&gt;&lt;D xsi:type="xsd:double"&gt;2.8406262&lt;/D&gt;&lt;D xsi:type="xsd:double"&gt;-2.6154995&lt;/D&gt;&lt;D xsi:type="xsd:double"&gt;7.0532203&lt;/D&gt;&lt;D xsi:type="xsd:double"&gt;-0.9999037&lt;/D&gt;&lt;D xsi:type="xsd:double"&gt;4.5289397&lt;/D&gt;&lt;D xsi:type="xsd:double"&gt;2.3633003&lt;/D&gt;&lt;D xsi:type="xsd:double"&gt;-0.9053886&lt;/D&gt;&lt;D xsi:type="xsd:double"&gt;2.5810957&lt;/D&gt;&lt;D xsi:type="xsd:double"&gt;-2.7165473&lt;/D&gt;&lt;D xsi:type="xsd:double"&gt;3.4291267&lt;/D&gt;&lt;D xsi:type="xsd:double"&gt;0.44484138&lt;/D&gt;&lt;/FQL&gt;&lt;FQL&gt;&lt;Q&gt;EWM^FG_TOTAL_RETURNC(-5AY,0,AM)&lt;/Q&gt;&lt;R&gt;61&lt;/R&gt;&lt;C&gt;1&lt;/C&gt;&lt;D xsi:type="xsd:double"&gt;-1.5130222&lt;/D&gt;&lt;D xsi:type="xsd:double"&gt;-1.8578053&lt;/D&gt;&lt;D xsi:type="xsd:double"&gt;1.7109632&lt;/D&gt;&lt;D xsi:type="xsd:double"&gt;-0.6084442&lt;/D&gt;&lt;D xsi:type="xsd:double"&gt;-3.8530767&lt;/D&gt;&lt;D xsi:type="xsd:double"&gt;1.0249496&lt;/D&gt;&lt;D xsi:type="xsd:double"&gt;-4.3212233&lt;/D&gt;&lt;D xsi:type="xsd:double"&gt;-0.759393&lt;/D&gt;&lt;D xsi:type="xsd:double"&gt;1.6109586&lt;/D&gt;&lt;D xsi:type="xsd:double"&gt;5.2715063&lt;/D&gt;&lt;D xsi:type="xsd:double"&gt;-5.8734894&lt;/D&gt;&lt;D xsi:type="xsd:double"&gt;-0.7205963&lt;/D&gt;&lt;D xsi:type="xsd:double"&gt;1.539743&lt;/D&gt;&lt;D xsi:type="xsd:double"&gt;4.13934&lt;/D&gt;&lt;D xsi:type="xsd:double"&gt;0.19676685&lt;/D&gt;&lt;D xsi:type="xsd:double"&gt;-2.0031333&lt;/D&gt;&lt;D xsi:type="xsd:double"&gt;-4.1282597&lt;/D&gt;&lt;D xsi:type="xsd:double"&gt;-7.170081&lt;/D&gt;&lt;D xsi:type="xsd:double"&gt;1.2408137&lt;/D&gt;&lt;D xsi:type="xsd:double"&gt;0.27235746&lt;/D&gt;&lt;D xsi:type="xsd:double"&gt;-4.2553186&lt;/D&gt;&lt;D xsi:type="xsd:double"&gt;-1.5602827&lt;/D&gt;&lt;D xsi:type="xsd:double"&gt;3.1700253&lt;/D&gt;&lt;D xsi:type="xsd:double"&gt;4.211414&lt;/D&gt;&lt;D xsi:type="xsd:double"&gt;8.073974&lt;/D&gt;&lt;D xsi:type="xsd:double"&gt;-7.2203636&lt;/D&gt;&lt;D xsi:type="xsd:double"&gt;-2.744031&lt;/D&gt;&lt;D xsi:type="xsd:double"&gt;1.4801145&lt;/D&gt;&lt;D xsi:type="xsd:double"&gt;-2.55242&lt;/D&gt;&lt;D xsi:type="xsd:double"&gt;-3.4766912&lt;/D&gt;&lt;D xsi:type="xsd:double"&gt;3.2560468&lt;/D&gt;&lt;D xsi:type="xsd:double"&gt;0.09555817&lt;/D&gt;&lt;D xsi:type="xsd:double"&gt;0.5727887&lt;/D&gt;&lt;D xsi:type="xsd:double"&gt;-2.6103437&lt;/D&gt;&lt;D xsi:type="xsd:double"&gt;3.4600377&lt;/D&gt;&lt;D xsi:type="xsd:double"&gt;1.4319539&lt;/D&gt;&lt;D xsi:type="xsd:double"&gt;-0.8979261&lt;/D&gt;&lt;D xsi:type="xsd:double"&gt;3.2904148&lt;/D&gt;&lt;D xsi:type="xsd:double"&gt;1.1541963&lt;/D&gt;&lt;D xsi:type="xsd:double"&gt;0.4564166&lt;/D&gt;&lt;D xsi:type="xsd:double"&gt;5.542934&lt;/D&gt;&lt;D xsi:type="xsd:double"&gt;-1.5473604&lt;/D&gt;&lt;D xsi:type="xsd:double"&gt;2.7099133&lt;/D&gt;&lt;D xsi:type="xsd:double"&gt;7.8287125&lt;/D&gt;&lt;D xsi:type="xsd:double"&gt;8.062577&lt;/D&gt;&lt;D xsi:type="xsd:double"&gt;-4.2687416&lt;/D&gt;&lt;D xsi:type="xsd:double"&gt;-5.7386637&lt;/D&gt;&lt;D xsi:type="xsd:double"&gt;-0.5120456&lt;/D&gt;&lt;D xsi:type="xsd:double"&gt;1.0951996&lt;/D&gt;&lt;D xsi:type="xsd:double"&gt;0.9583354&lt;/D&gt;&lt;D xsi:type="xsd:double"&gt;-4.457283&lt;/D&gt;&lt;D xsi:type="xsd:double"&gt;-1.0367155&lt;/D&gt;&lt;D xsi:type="xsd:double"&gt;5.8053255&lt;/D&gt;&lt;D xsi:type="xsd:double"&gt;-1.3741314&lt;/D&gt;&lt;D xsi:type="xsd:double"&gt;2.4775743&lt;/D&gt;&lt;D xsi:type="xsd:double"&gt;7.2113395&lt;/D&gt;&lt;D xsi:type="xsd:double"&gt;0.27216673&lt;/D&gt;&lt;D xsi:type="xsd:double"&gt;-1.2407959&lt;/D&gt;&lt;D xsi:type="xsd:double"&gt;3.2194853&lt;/D&gt;&lt;D xsi:type="xsd:double"&gt;5.9158444&lt;/D&gt;&lt;D xsi:type="xsd:double"&gt;3.721273&lt;/D&gt;&lt;/FQL&gt;&lt;FQL&gt;&lt;Q&gt;EWL^FG_PRICE(0,-200D)&lt;/Q&gt;&lt;R&gt;201&lt;/R&gt;&lt;C&gt;1&lt;/C&gt;&lt;D xsi:type="xsd:double"&gt;60.59&lt;/D&gt;&lt;D xsi:type="xsd:double"&gt;60.49&lt;/D&gt;&lt;D xsi:type="xsd:double"&gt;60.16&lt;/D&gt;&lt;D xsi:type="xsd:double"&gt;60.51&lt;/D&gt;&lt;D xsi:type="xsd:double"&gt;60.51&lt;/D&gt;&lt;D xsi:type="xsd:double"&gt;60.52&lt;/D&gt;&lt;D xsi:type="xsd:double"&gt;60.87&lt;/D&gt;&lt;D xsi:type="xsd:double"&gt;60.17&lt;/D&gt;&lt;D xsi:type="xsd:double"&gt;60.63&lt;/D&gt;&lt;D xsi:type="xsd:double"&gt;60.58&lt;/D&gt;&lt;D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xsi:type="xsd:double"&gt;59.96&lt;/D&gt;&lt;D xsi:type="xsd:double"&gt;60.17&lt;/D&gt;&lt;D xsi:type="xsd:double"&gt;60.35&lt;/D&gt;&lt;D xsi:type="xsd:double"&gt;60.54&lt;/D&gt;&lt;D xsi:type="xsd:double"&gt;60.53&lt;/D&gt;&lt;D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xsi:type="xsd:double"&gt;53.58&lt;/D&gt;&lt;D xsi:type="xsd:double"&gt;53.58&lt;/D&gt;&lt;D xsi:type="xsd:double"&gt;54.15&lt;/D&gt;&lt;D xsi:type="xsd:double"&gt;54.34&lt;/D&gt;&lt;D xsi:type="xsd:double"&gt;54.64&lt;/D&gt;&lt;D xsi:type="xsd:double"&gt;54.47&lt;/D&gt;&lt;D xsi:type="xsd:double"&gt;53.52&lt;/D&gt;&lt;D xsi:type="xsd:double"&gt;53.86&lt;/D&gt;&lt;D xsi:type="xsd:double"&gt;53.67&lt;/D&gt;&lt;D xsi:type="xsd:double"&gt;53.71&lt;/D&gt;&lt;D xsi:type="xsd:double"&gt;53.04&lt;/D&gt;&lt;D xsi:type="xsd:double"&gt;52.96&lt;/D&gt;&lt;D xsi:type="xsd:double"&gt;52.23&lt;/D&gt;&lt;D xsi:type="xsd:double"&gt;52.45&lt;/D&gt;&lt;D xsi:type="xsd:double"&gt;51.82&lt;/D&gt;&lt;D xsi:type="xsd:double"&gt;51.95&lt;/D&gt;&lt;D xsi:type="xsd:double"&gt;51.95&lt;/D&gt;&lt;/FQL&gt;&lt;FQL&gt;&lt;Q&gt;SPY^FG_TOTAL_RETURNC(-5AY,0,AM)&lt;/Q&gt;&lt;R&gt;61&lt;/R&gt;&lt;C&gt;1&lt;/C&gt;&lt;D xsi:type="xsd:double"&gt;4.2587996&lt;/D&gt;&lt;D xsi:type="xsd:double"&gt;1.0838866&lt;/D&gt;&lt;D xsi:type="xsd:double"&gt;1.7693639&lt;/D&gt;&lt;D xsi:type="xsd:double"&gt;5.012858&lt;/D&gt;&lt;D xsi:type="xsd:double"&gt;0.6476402&lt;/D&gt;&lt;D xsi:type="xsd:double"&gt;2.3070812&lt;/D&gt;&lt;D xsi:type="xsd:double"&gt;2.9188633&lt;/D&gt;&lt;D xsi:type="xsd:double"&gt;1.8141747&lt;/D&gt;&lt;D xsi:type="xsd:double"&gt;-0.92099905&lt;/D&gt;&lt;D xsi:type="xsd:double"&gt;3.4851313&lt;/D&gt;&lt;D xsi:type="xsd:double"&gt;3.1890035&lt;/D&gt;&lt;D xsi:type="xsd:double"&gt;0.38160086&lt;/D&gt;&lt;D xsi:type="xsd:double"&gt;-6.352496&lt;/D&gt;&lt;D xsi:type="xsd:double"&gt;-1.9201815&lt;/D&gt;&lt;D xsi:type="xsd:double"&gt;4.98209&lt;/D&gt;&lt;D xsi:type="xsd:double"&gt;-5.238104&lt;/D&gt;&lt;D xsi:type="xsd:double"&gt;-8.546144&lt;/D&gt;&lt;D xsi:type="xsd:double"&gt;-3.4972608&lt;/D&gt;&lt;D xsi:type="xsd:double"&gt;5.5289865&lt;/D&gt;&lt;D xsi:type="xsd:double"&gt;4.621732&lt;/D&gt;&lt;D xsi:type="xsd:double"&gt;-9.0917&lt;/D&gt;&lt;D xsi:type="xsd:double"&gt;0.018703938&lt;/D&gt;&lt;D xsi:type="xsd:double"&gt;6.8422794&lt;/D&gt;&lt;D xsi:type="xsd:double"&gt;-4.353696&lt;/D&gt;&lt;D xsi:type="xsd:double"&gt;3.981924&lt;/D&gt;&lt;D xsi:type="xsd:double"&gt;0.67192316&lt;/D&gt;&lt;D xsi:type="xsd:double"&gt;-1.2334049&lt;/D&gt;&lt;D xsi:type="xsd:double"&gt;5.1235676&lt;/D&gt;&lt;D xsi:type="xsd:double"&gt;1.5987396&lt;/D&gt;&lt;D xsi:type="xsd:double"&gt;4.619825&lt;/D&gt;&lt;D xsi:type="xsd:double"&gt;3.5898328&lt;/D&gt;&lt;D xsi:type="xsd:double"&gt;-3.1027436&lt;/D&gt;&lt;D xsi:type="xsd:double"&gt;-1.4134526&lt;/D&gt;&lt;D xsi:type="xsd:double"&gt;-2.1444201&lt;/D&gt;&lt;D xsi:type="xsd:double"&gt;8.032&lt;/D&gt;&lt;D xsi:type="xsd:double"&gt;4.5170903&lt;/D&gt;&lt;D xsi:type="xsd:double"&gt;2.069044&lt;/D&gt;&lt;D xsi:type="xsd:double"&gt;4.9746633&lt;/D&gt;&lt;D xsi:type="xsd:double"&gt;3.022766&lt;/D&gt;&lt;D xsi:type="xsd:double"&gt;-4.1231036&lt;/D&gt;&lt;D xsi:type="xsd:double"&gt;6.025374&lt;/D&gt;&lt;D xsi:type="xsd:double"&gt;3.102696&lt;/D&gt;&lt;D xsi:type="xsd:double"&gt;1.8622279&lt;/D&gt;&lt;D xsi:type="xsd:double"&gt;0.28305054&lt;/D&gt;&lt;D xsi:type="xsd:double"&gt;2.4766326&lt;/D&gt;&lt;D xsi:type="xsd:double"&gt;2.6520014&lt;/D&gt;&lt;D xsi:type="xsd:double"&gt;2.0897627&lt;/D&gt;&lt;D xsi:type="xsd:double"&gt;-0.402081&lt;/D&gt;&lt;D xsi:type="xsd:double"&gt;2.586484&lt;/D&gt;&lt;D xsi:type="xsd:double"&gt;-1.0718286&lt;/D&gt;&lt;D xsi:type="xsd:double"&gt;-5.711323&lt;/D&gt;&lt;D xsi:type="xsd:double"&gt;-6.512642&lt;/D&gt;&lt;D xsi:type="xsd:double"&gt;10.590803&lt;/D&gt;&lt;D xsi:type="xsd:double"&gt;2.2211194&lt;/D&gt;&lt;D xsi:type="xsd:double"&gt;5.818796&lt;/D&gt;&lt;D xsi:type="xsd:double"&gt;2.6158452&lt;/D&gt;&lt;D xsi:type="xsd:double"&gt;3.6214828&lt;/D&gt;&lt;D xsi:type="xsd:double"&gt;0.14395714&lt;/D&gt;&lt;D xsi:type="xsd:double"&gt;-1.3132632&lt;/D&gt;&lt;D xsi:type="xsd:double"&gt;4.219198&lt;/D&gt;&lt;D xsi:type="xsd:double"&gt;0.6059885&lt;/D&gt;&lt;/FQL&gt;&lt;FQL&gt;&lt;Q&gt;INDA^FG_TOTAL_RETURNC(-5AY,0,AM)&lt;/Q&gt;&lt;R&gt;61&lt;/R&gt;&lt;C&gt;1&lt;/C&gt;&lt;D xsi:type="xsd:double"&gt;7.963443&lt;/D&gt;&lt;D xsi:type="xsd:double"&gt;1.3784766&lt;/D&gt;&lt;D xsi:type="xsd:double"&gt;1.5028596&lt;/D&gt;&lt;D xsi:type="xsd:double"&gt;-6.462985&lt;/D&gt;&lt;D xsi:type="xsd:double"&gt;8.26633&lt;/D&gt;&lt;D xsi:type="xsd:double"&gt;3.2746196&lt;/D&gt;&lt;D xsi:type="xsd:double"&gt;-0.044983625&lt;/D&gt;&lt;D xsi:type="xsd:double"&gt;4.1629195&lt;/D&gt;&lt;D xsi:type="xsd:double"&gt;7.0641637&lt;/D&gt;&lt;D xsi:type="xsd:double"&gt;-0.34302473&lt;/D&gt;&lt;D xsi:type="xsd:double"&gt;-1.5590191&lt;/D&gt;&lt;D xsi:type="xsd:double"&gt;-2.0195127&lt;/D&gt;&lt;D xsi:type="xsd:double"&gt;2.7037382&lt;/D&gt;&lt;D xsi:type="xsd:double"&gt;-3.461039&lt;/D&gt;&lt;D xsi:type="xsd:double"&gt;0.13529062&lt;/D&gt;&lt;D xsi:type="xsd:double"&gt;-0.47286153&lt;/D&gt;&lt;D xsi:type="xsd:double"&gt;-7.3303223&lt;/D&gt;&lt;D xsi:type="xsd:double"&gt;-4.907221&lt;/D&gt;&lt;D xsi:type="xsd:double"&gt;5.571246&lt;/D&gt;&lt;D xsi:type="xsd:double"&gt;3.8424134&lt;/D&gt;&lt;D xsi:type="xsd:double"&gt;-0.49180388&lt;/D&gt;&lt;D xsi:type="xsd:double"&gt;-1.7886639&lt;/D&gt;&lt;D xsi:type="xsd:double"&gt;2.803743&lt;/D&gt;&lt;D xsi:type="xsd:double"&gt;-2.843827&lt;/D&gt;&lt;D xsi:type="xsd:double"&gt;2.39923&lt;/D&gt;&lt;D xsi:type="xsd:double"&gt;-7.849103&lt;/D&gt;&lt;D xsi:type="xsd:double"&gt;-2.03408&lt;/D&gt;&lt;D xsi:type="xsd:double"&gt;3.5037637&lt;/D&gt;&lt;D xsi:type="xsd:double"&gt;3.4603715&lt;/D&gt;&lt;D xsi:type="xsd:double"&gt;4.3171644&lt;/D&gt;&lt;D xsi:type="xsd:double"&gt;3.2588482&lt;/D&gt;&lt;D xsi:type="xsd:double"&gt;-1.9161463&lt;/D&gt;&lt;D xsi:type="xsd:double"&gt;2.2293806&lt;/D&gt;&lt;D xsi:type="xsd:double"&gt;-1.1241019&lt;/D&gt;&lt;D xsi:type="xsd:double"&gt;2.7967215&lt;/D&gt;&lt;D xsi:type="xsd:double"&gt;6.967485&lt;/D&gt;&lt;D xsi:type="xsd:double"&gt;2.9156327&lt;/D&gt;&lt;D xsi:type="xsd:double"&gt;3.9381146&lt;/D&gt;&lt;D xsi:type="xsd:double"&gt;-2.3970604&lt;/D&gt;&lt;D xsi:type="xsd:double"&gt;2.77282&lt;/D&gt;&lt;D xsi:type="xsd:double"&gt;2.6980162&lt;/D&gt;&lt;D xsi:type="xsd:double"&gt;2.6271343&lt;/D&gt;&lt;D xsi:type="xsd:double"&gt;3.547275&lt;/D&gt;&lt;D xsi:type="xsd:double"&gt;0.26487112&lt;/D&gt;&lt;D xsi:type="xsd:double"&gt;3.4519196&lt;/D&gt;&lt;D xsi:type="xsd:double"&gt;-5.362618&lt;/D&gt;&lt;D xsi:type="xsd:double"&gt;-2.4464846&lt;/D&gt;&lt;D xsi:type="xsd:double"&gt;-0.7727206&lt;/D&gt;&lt;D xsi:type="xsd:double"&gt;-5.2414837&lt;/D&gt;&lt;D xsi:type="xsd:double"&gt;-2.6076615&lt;/D&gt;&lt;D xsi:type="xsd:double"&gt;4.401624&lt;/D&gt;&lt;D xsi:type="xsd:double"&gt;3.9440393&lt;/D&gt;&lt;D xsi:type="xsd:double"&gt;0.54205656&lt;/D&gt;&lt;D xsi:type="xsd:double"&gt;0.20450354&lt;/D&gt;&lt;D xsi:type="xsd:double"&gt;1.3172507&lt;/D&gt;&lt;D xsi:type="xsd:double"&gt;-1.8860996&lt;/D&gt;&lt;D xsi:type="xsd:double"&gt;-0.1493156&lt;/D&gt;&lt;D xsi:type="xsd:double"&gt;3.3457994&lt;/D&gt;&lt;D xsi:type="xsd:double"&gt;-1.9533396&lt;/D&gt;&lt;D xsi:type="xsd:double"&gt;-0.036895275&lt;/D&gt;&lt;D xsi:type="xsd:double"&gt;-4.4196367&lt;/D&gt;&lt;/FQL&gt;&lt;FQL&gt;&lt;Q&gt;EWI^FG_PRICE(0,-200D)&lt;/Q&gt;&lt;R&gt;201&lt;/R&gt;&lt;C&gt;1&lt;/C&gt;&lt;D xsi:type="xsd:double"&gt;54.77&lt;/D&gt;&lt;D xsi:type="xsd:double"&gt;54.44&lt;/D&gt;&lt;D xsi:type="xsd:double"&gt;54.02&lt;/D&gt;&lt;D xsi:type="xsd:double"&gt;54.92&lt;/D&gt;&lt;D xsi:type="xsd:double"&gt;54.92&lt;/D&gt;&lt;D xsi:type="xsd:double"&gt;54.8&lt;/D&gt;&lt;D xsi:type="xsd:double"&gt;55.04&lt;/D&gt;&lt;D xsi:type="xsd:double"&gt;54.81&lt;/D&gt;&lt;D xsi:type="xsd:double"&gt;55.32&lt;/D&gt;&lt;D xsi:type="xsd:double"&gt;55.03&lt;/D&gt;&lt;D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xsi:type="xsd:double"&gt;54.33&lt;/D&gt;&lt;D xsi:type="xsd:double"&gt;54.59&lt;/D&gt;&lt;D xsi:type="xsd:double"&gt;54.16&lt;/D&gt;&lt;D xsi:type="xsd:double"&gt;54.62&lt;/D&gt;&lt;D xsi:type="xsd:double"&gt;54.56&lt;/D&gt;&lt;D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xsi:type="xsd:double"&gt;45.81&lt;/D&gt;&lt;D xsi:type="xsd:double"&gt;45.36&lt;/D&gt;&lt;D xsi:type="xsd:double"&gt;44.99&lt;/D&gt;&lt;D xsi:type="xsd:double"&gt;45.22&lt;/D&gt;&lt;D xsi:type="xsd:double"&gt;45.07&lt;/D&gt;&lt;D xsi:type="xsd:double"&gt;44.99&lt;/D&gt;&lt;D xsi:type="xsd:double"&gt;44.26&lt;/D&gt;&lt;D xsi:type="xsd:double"&gt;44.21&lt;/D&gt;&lt;D xsi:type="xsd:double"&gt;44.67&lt;/D&gt;&lt;D xsi:type="xsd:double"&gt;44.23&lt;/D&gt;&lt;D xsi:type="xsd:double"&gt;44.04&lt;/D&gt;&lt;D xsi:type="xsd:double"&gt;43.48&lt;/D&gt;&lt;D xsi:type="xsd:double"&gt;42.69&lt;/D&gt;&lt;D xsi:type="xsd:double"&gt;42.81&lt;/D&gt;&lt;D xsi:type="xsd:double"&gt;41.94&lt;/D&gt;&lt;D xsi:type="xsd:double"&gt;42.13&lt;/D&gt;&lt;D xsi:type="xsd:double"&gt;42.13&lt;/D&gt;&lt;/FQL&gt;&lt;FQL&gt;&lt;Q&gt;EWJ^FG_PRICE(0,-200D)&lt;/Q&gt;&lt;R&gt;201&lt;/R&gt;&lt;C&gt;1&lt;/C&gt;&lt;D xsi:type="xsd:double"&gt;84.86&lt;/D&gt;&lt;D xsi:type="xsd:double"&gt;84.78&lt;/D&gt;&lt;D xsi:type="xsd:double"&gt;83.72&lt;/D&gt;&lt;D xsi:type="xsd:double"&gt;85.48&lt;/D&gt;&lt;D xsi:type="xsd:double"&gt;85.48&lt;/D&gt;&lt;D xsi:type="xsd:double"&gt;85.42&lt;/D&gt;&lt;D xsi:type="xsd:double"&gt;85.04&lt;/D&gt;&lt;D xsi:type="xsd:double"&gt;84.45&lt;/D&gt;&lt;D xsi:type="xsd:double"&gt;85.29&lt;/D&gt;&lt;D xsi:type="xsd:double"&gt;84.61&lt;/D&gt;&lt;D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xsi:type="xsd:double"&gt;80.74&lt;/D&gt;&lt;D xsi:type="xsd:double"&gt;80.98&lt;/D&gt;&lt;D xsi:type="xsd:double"&gt;81.09&lt;/D&gt;&lt;D xsi:type="xsd:double"&gt;80.97&lt;/D&gt;&lt;D xsi:type="xsd:double"&gt;81&lt;/D&gt;&lt;D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xsi:type="xsd:double"&gt;72.01&lt;/D&gt;&lt;D xsi:type="xsd:double"&gt;71.83&lt;/D&gt;&lt;D xsi:type="xsd:double"&gt;71.98&lt;/D&gt;&lt;D xsi:type="xsd:double"&gt;72.43&lt;/D&gt;&lt;D xsi:type="xsd:double"&gt;72.39&lt;/D&gt;&lt;D xsi:type="xsd:double"&gt;71.89&lt;/D&gt;&lt;D xsi:type="xsd:double"&gt;71.17&lt;/D&gt;&lt;D xsi:type="xsd:double"&gt;71.43&lt;/D&gt;&lt;D xsi:type="xsd:double"&gt;72.02&lt;/D&gt;&lt;D xsi:type="xsd:double"&gt;71.74&lt;/D&gt;&lt;D xsi:type="xsd:double"&gt;70.77&lt;/D&gt;&lt;D xsi:type="xsd:double"&gt;70.28&lt;/D&gt;&lt;D xsi:type="xsd:double"&gt;69.48&lt;/D&gt;&lt;D xsi:type="xsd:double"&gt;69.27&lt;/D&gt;&lt;D xsi:type="xsd:double"&gt;67.92&lt;/D&gt;&lt;D xsi:type="xsd:double"&gt;68.07&lt;/D&gt;&lt;D xsi:type="xsd:double"&gt;68.07&lt;/D&gt;&lt;/FQL&gt;&lt;FQL&gt;&lt;Q&gt;TUR^FG_PRICE(0,-200D)&lt;/Q&gt;&lt;R&gt;201&lt;/R&gt;&lt;C&gt;1&lt;/C&gt;&lt;D xsi:type="xsd:double"&gt;39.08&lt;/D&gt;&lt;D xsi:type="xsd:double"&gt;38.64&lt;/D&gt;&lt;D xsi:type="xsd:double"&gt;38.87&lt;/D&gt;&lt;D xsi:type="xsd:double"&gt;38.41&lt;/D&gt;&lt;D xsi:type="xsd:double"&gt;38.41&lt;/D&gt;&lt;D xsi:type="xsd:double"&gt;37.94&lt;/D&gt;&lt;D xsi:type="xsd:double"&gt;37.59&lt;/D&gt;&lt;D xsi:type="xsd:double"&gt;37.73&lt;/D&gt;&lt;D xsi:type="xsd:double"&gt;37.54&lt;/D&gt;&lt;D xsi:type="xsd:double"&gt;37.16&lt;/D&gt;&lt;D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xsi:type="xsd:double"&gt;34.42&lt;/D&gt;&lt;D xsi:type="xsd:double"&gt;34.41&lt;/D&gt;&lt;D xsi:type="xsd:double"&gt;34.76&lt;/D&gt;&lt;D xsi:type="xsd:double"&gt;34.87&lt;/D&gt;&lt;D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</t>
        </r>
      </text>
    </comment>
    <comment ref="A5" authorId="0" shapeId="0" xr:uid="{B20E49DE-CF4E-4340-93A6-C8A4F378C12F}">
      <text>
        <r>
          <rPr>
            <b/>
            <sz val="9"/>
            <color indexed="81"/>
            <rFont val="Tahoma"/>
            <charset val="1"/>
          </rPr>
          <t>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xsi:type="xsd:double"&gt;31.41&lt;/D&gt;&lt;D xsi:type="xsd:double"&gt;31.19&lt;/D&gt;&lt;D xsi:type="xsd:double"&gt;30.31&lt;/D&gt;&lt;D xsi:type="xsd:double"&gt;30.76&lt;/D&gt;&lt;D xsi:type="xsd:double"&gt;30.7&lt;/D&gt;&lt;D xsi:type="xsd:double"&gt;30.94&lt;/D&gt;&lt;D xsi:type="xsd:double"&gt;30.66&lt;/D&gt;&lt;D xsi:type="xsd:double"&gt;30.67&lt;/D&gt;&lt;D xsi:type="xsd:double"&gt;31.18&lt;/D&gt;&lt;D xsi:type="xsd:double"&gt;31.48&lt;/D&gt;&lt;D xsi:type="xsd:double"&gt;31.96&lt;/D&gt;&lt;D xsi:type="xsd:double"&gt;32.18&lt;/D&gt;&lt;D xsi:type="xsd:double"&gt;31.77&lt;/D&gt;&lt;D xsi:type="xsd:double"&gt;31.66&lt;/D&gt;&lt;D xsi:type="xsd:double"&gt;31.71&lt;/D&gt;&lt;D xsi:type="xsd:double"&gt;31.91&lt;/D&gt;&lt;D xsi:type="xsd:double"&gt;31.91&lt;/D&gt;&lt;/FQL&gt;&lt;FQL&gt;&lt;Q&gt;EWY^FG_PRICE(0,-200D)&lt;/Q&gt;&lt;R&gt;201&lt;/R&gt;&lt;C&gt;1&lt;/C&gt;&lt;D xsi:type="xsd:double"&gt;115.99&lt;/D&gt;&lt;D xsi:type="xsd:double"&gt;115.66&lt;/D&gt;&lt;D xsi:type="xsd:double"&gt;110.97&lt;/D&gt;&lt;D xsi:type="xsd:double"&gt;112.22&lt;/D&gt;&lt;D xsi:type="xsd:double"&gt;112.22&lt;/D&gt;&lt;D xsi:type="xsd:double"&gt;111.05&lt;/D&gt;&lt;D xsi:type="xsd:double"&gt;109.64&lt;/D&gt;&lt;D xsi:type="xsd:double"&gt;107.54&lt;/D&gt;&lt;D xsi:type="xsd:double"&gt;108.93&lt;/D&gt;&lt;D xsi:type="xsd:double"&gt;108.89&lt;/D&gt;&lt;D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xsi:type="xsd:double"&gt;97.22&lt;/D&gt;&lt;D xsi:type="xsd:double"&gt;98.62&lt;/D&gt;&lt;D xsi:type="xsd:double"&gt;98.72&lt;/D&gt;&lt;D xsi:type="xsd:double"&gt;95.84&lt;/D&gt;&lt;D xsi:type="xsd:double"&gt;94.6&lt;/D&gt;&lt;D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xsi:type="xsd:double"&gt;57.69&lt;/D&gt;&lt;D xsi:type="xsd:double"&gt;57.2&lt;/D&gt;&lt;D xsi:type="xsd:double"&gt;57.79&lt;/D&gt;&lt;D xsi:type="xsd:double"&gt;58.5&lt;/D&gt;&lt;D xsi:type="xsd:double"&gt;58.38&lt;/D&gt;&lt;D xsi:type="xsd:double"&gt;57.71&lt;/D&gt;&lt;D xsi:type="xsd:double"&gt;55.6&lt;/D&gt;&lt;D xsi:type="xsd:double"&gt;56.19&lt;/D&gt;&lt;D xsi:type="xsd:double"&gt;56.1&lt;/D&gt;&lt;D xsi:type="xsd:double"&gt;55.65&lt;/D&gt;&lt;D xsi:type="xsd:double"&gt;55.81&lt;/D&gt;&lt;D xsi:type="xsd:double"&gt;55.95&lt;/D&gt;&lt;D xsi:type="xsd:double"&gt;55.6&lt;/D&gt;&lt;D xsi:type="xsd:double"&gt;54.81&lt;/D&gt;&lt;D xsi:type="xsd:double"&gt;54.39&lt;/D&gt;&lt;D xsi:type="xsd:double"&gt;54.31&lt;/D&gt;&lt;D xsi:type="xsd:double"&gt;54.31&lt;/D&gt;&lt;/FQL&gt;&lt;FQL&gt;&lt;Q&gt;ECH^FG_PRICE(0,-200D)&lt;/Q&gt;&lt;R&gt;201&lt;/R&gt;&lt;C&gt;1&lt;/C&gt;&lt;D xsi:type="xsd:double"&gt;46.175&lt;/D&gt;&lt;D xsi:type="xsd:double"&gt;45.2&lt;/D&gt;&lt;D xsi:type="xsd:double"&gt;43.89&lt;/D&gt;&lt;D xsi:type="xsd:double"&gt;44.09&lt;/D&gt;&lt;D xsi:type="xsd:double"&gt;44.09&lt;/D&gt;&lt;D xsi:type="xsd:double"&gt;44.15&lt;/D&gt;&lt;D xsi:type="xsd:double"&gt;44.51&lt;/D&gt;&lt;D xsi:type="xsd:double"&gt;44.34&lt;/D&gt;&lt;D xsi:type="xsd:double"&gt;43.87&lt;/D&gt;&lt;D xsi:type="xsd:double"&gt;42.85&lt;/D&gt;&lt;D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xsi:type="xsd:double"&gt;40.4&lt;/D&gt;&lt;D xsi:type="xsd:double"&gt;40.54&lt;/D&gt;&lt;D xsi:type="xsd:double"&gt;40.15&lt;/D&gt;&lt;D xsi:type="xsd:double"&gt;40.29&lt;/D&gt;&lt;D xsi:type="xsd:double"&gt;40.03&lt;/D&gt;&lt;D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xsi:type="xsd:double"&gt;32.2&lt;/D&gt;&lt;D xsi:type="xsd:double"&gt;32.15&lt;/D&gt;&lt;D xsi:type="xsd:double"&gt;31.75&lt;/D&gt;&lt;D xsi:type="xsd:double"&gt;31.62&lt;/D&gt;&lt;D xsi:type="xsd:double"&gt;31.58&lt;/D&gt;&lt;D xsi:type="xsd:double"&gt;31.35&lt;/D&gt;&lt;D xsi:type="xsd:double"&gt;31.07&lt;/D&gt;&lt;D xsi:type="xsd:double"&gt;31.13&lt;/D&gt;&lt;D xsi:type="xsd:double"&gt;31.44&lt;/D&gt;&lt;D xsi:type="xsd:double"&gt;31.24&lt;/D&gt;&lt;D xsi:type="xsd:double"&gt;31.67&lt;/D&gt;&lt;D xsi:type="xsd:double"&gt;31.7&lt;/D&gt;&lt;D xsi:type="xsd:double"&gt;31.19&lt;/D&gt;&lt;D xsi:type="xsd:double"&gt;30.91&lt;/D&gt;&lt;D xsi:type="xsd:double"&gt;30.05&lt;/D&gt;&lt;D xsi:type="xsd:double"&gt;29.95&lt;/D&gt;&lt;D xsi:type="xsd:double"&gt;29.95&lt;/D&gt;&lt;/FQL&gt;&lt;FQL&gt;&lt;Q&gt;QQQ^FG_TOTAL_RETURNC(-5AY,0,AM)&lt;/Q&gt;&lt;R&gt;61&lt;/R&gt;&lt;C&gt;1&lt;/C&gt;&lt;D xsi:type="xsd:double"&gt;5.055523&lt;/D&gt;&lt;D xsi:type="xsd:double"&gt;-0.9157419&lt;/D&gt;&lt;D xsi:type="xsd:double"&gt;-1.0654211&lt;/D&gt;&lt;D xsi:type="xsd:double"&gt;5.207002&lt;/D&gt;&lt;D xsi:type="xsd:double"&gt;-2.4433196&lt;/D&gt;&lt;D xsi:type="xsd:double"&gt;6.4097285&lt;/D&gt;&lt;D xsi:type="xsd:double"&gt;4.7127247&lt;/D&gt;&lt;D xsi:type="xsd:double"&gt;1.038599&lt;/D&gt;&lt;D xsi:type="xsd:double"&gt;0.6141186&lt;/D&gt;&lt;D xsi:type="xsd:double"&gt;1.2257457&lt;/D&gt;&lt;D xsi:type="xsd:double"&gt;6.7361593&lt;/D&gt;&lt;D xsi:type="xsd:double"&gt;-1.2124836&lt;/D&gt;&lt;D xsi:type="xsd:double"&gt;-10.727251&lt;/D&gt;&lt;D xsi:type="xsd:double"&gt;-3.8698912&lt;/D&gt;&lt;D xsi:type="xsd:double"&gt;5.7152867&lt;/D&gt;&lt;D xsi:type="xsd:double"&gt;-8.841324&lt;/D&gt;&lt;D xsi:type="xsd:double"&gt;-11.284572&lt;/D&gt;&lt;D xsi:type="xsd:double"&gt;-2.5922716&lt;/D&gt;&lt;D xsi:type="xsd:double"&gt;7.5960994&lt;/D&gt;&lt;D xsi:type="xsd:double"&gt;4.0961623&lt;/D&gt;&lt;D xsi:type="xsd:double"&gt;-10.749131&lt;/D&gt;&lt;D xsi:type="xsd:double"&gt;-1.6602993&lt;/D&gt;&lt;D xsi:type="xsd:double"&gt;3.8232565&lt;/D&gt;&lt;D xsi:type="xsd:double"&gt;-6.484306&lt;/D&gt;&lt;D xsi:type="xsd:double"&gt;5.967903&lt;/D&gt;&lt;D xsi:type="xsd:double"&gt;4.0929675&lt;/D&gt;&lt;D xsi:type="xsd:double"&gt;4.1945457&lt;/D&gt;&lt;D xsi:type="xsd:double"&gt;3.4267545&lt;/D&gt;&lt;D xsi:type="xsd:double"&gt;6.6422462&lt;/D&gt;&lt;D xsi:type="xsd:double"&gt;8.598781&lt;/D&gt;&lt;D xsi:type="xsd:double"&gt;2.5834918&lt;/D&gt;&lt;D xsi:type="xsd:double"&gt;-3.2611907&lt;/D&gt;&lt;D xsi:type="xsd:double"&gt;-1.3630033&lt;/D&gt;&lt;D xsi:type="xsd:double"&gt;-0.92481375&lt;/D&gt;&lt;D xsi:type="xsd:double"&gt;10.000002&lt;/D&gt;&lt;D xsi:type="xsd:double"&gt;4.904592&lt;/D&gt;&lt;D xsi:type="xsd:double"&gt;3.3231735&lt;/D&gt;&lt;D xsi:type="xsd:double"&gt;3.8745165&lt;/D&gt;&lt;D xsi:type="xsd:double"&gt;2.0305276&lt;/D&gt;&lt;D xsi:type="xsd:double"&gt;-6.1741114&lt;/D&gt;&lt;D xsi:type="xsd:double"&gt;8.808077&lt;/D&gt;&lt;D xsi:type="xsd:double"&gt;5.3696394&lt;/D&gt;&lt;D xsi:type="xsd:double"&gt;0.6070614&lt;/D&gt;&lt;D xsi:type="xsd:double"&gt;-1.5487671&lt;/D&gt;&lt;D xsi:type="xsd:double"&gt;1.5983939&lt;/D&gt;&lt;D xsi:type="xsd:double"&gt;2.9464722&lt;/D&gt;&lt;D xsi:type="xsd:double"&gt;1.9820213&lt;/D&gt;&lt;D xsi:type="xsd:double"&gt;2.5445223&lt;/D&gt;&lt;D xsi:type="xsd:double"&gt;2.6411295&lt;/D&gt;&lt;D xsi:type="xsd:double"&gt;-1.0216177&lt;/D&gt;&lt;D xsi:type="xsd:double"&gt;-8.599454&lt;/D&gt;&lt;D xsi:type="xsd:double"&gt;-7.4269295&lt;/D&gt;&lt;D xsi:type="xsd:double"&gt;15.640747&lt;/D&gt;&lt;D xsi:type="xsd:double"&gt;2.4961114&lt;/D&gt;&lt;D xsi:type="xsd:double"&gt;6.6518545&lt;/D&gt;&lt;D xsi:type="xsd:double"&gt;1.9100189&lt;/D&gt;&lt;D xsi:type="xsd:double"&gt;5.4065824&lt;/D&gt;&lt;D xsi:type="xsd:double"&gt;0.54632425&lt;/D&gt;&lt;D xsi:type="xsd:double"&gt;-2.5466979&lt;/D&gt;&lt;D xsi:type="xsd:double"&gt;5.072975&lt;/D&gt;&lt;D xsi:type="xsd:double"&gt;0.25031567&lt;/D&gt;&lt;/FQL&gt;&lt;FQL&gt;&lt;Q&gt;GREK^FG_TOTAL_RETURNC(-5AY,0,AM)&lt;/Q&gt;&lt;R&gt;61&lt;/R&gt;&lt;C&gt;1&lt;/C&gt;&lt;D xsi:type="xsd:double"&gt;-2.0149589&lt;/D&gt;&lt;D xsi:type="xsd:double"&gt;-0.20458698&lt;/D&gt;&lt;D xsi:type="xsd:double"&gt;6.232059&lt;/D&gt;&lt;D xsi:type="xsd:double"&gt;7.487464&lt;/D&gt;&lt;D xsi:type="xsd:double"&gt;-0.93357563&lt;/D&gt;&lt;D xsi:type="xsd:double"&gt;4.494381&lt;/D&gt;&lt;D xsi:type="xsd:double"&gt;-7.83906&lt;/D&gt;&lt;D xsi:type="xsd:double"&gt;3.76364&lt;/D&gt;&lt;D xsi:type="xsd:double"&gt;2.285099&lt;/D&gt;&lt;D xsi:type="xsd:double"&gt;1.6312003&lt;/D&gt;&lt;D xsi:type="xsd:double"&gt;-5.4431257&lt;/D&gt;&lt;D xsi:type="xsd:double"&gt;-0.40590763&lt;/D&gt;&lt;D xsi:type="xsd:double"&gt;6.6149473&lt;/D&gt;&lt;D xsi:type="xsd:double"&gt;2.2017121&lt;/D&gt;&lt;D xsi:type="xsd:double"&gt;-8.895069&lt;/D&gt;&lt;D xsi:type="xsd:double"&gt;3.6231875&lt;/D&gt;&lt;D xsi:type="xsd:double"&gt;-8.354807&lt;/D&gt;&lt;D xsi:type="xsd:double"&gt;-1.0040164&lt;/D&gt;&lt;D xsi:type="xsd:double"&gt;-6.1257067&lt;/D&gt;&lt;D xsi:type="xsd:double"&gt;6.407404&lt;/D&gt;&lt;D xsi:type="xsd:double"&gt;-9.200323&lt;/D&gt;&lt;D xsi:type="xsd:double"&gt;6.05191&lt;/D&gt;&lt;D xsi:type="xsd:double"&gt;9.429169&lt;/D&gt;&lt;D xsi:type="xsd:double"&gt;4.3276668&lt;/D&gt;&lt;D xsi:type="xsd:double"&gt;10.198032&lt;/D&gt;&lt;D xsi:type="xsd:double"&gt;9.379303&lt;/D&gt;&lt;D xsi:type="xsd:double"&gt;-5.3278627&lt;/D&gt;&lt;D xsi:type="xsd:double"&gt;7.392609&lt;/D&gt;&lt;D xsi:type="xsd:double"&gt;6.635654&lt;/D&gt;&lt;D xsi:type="xsd:double"&gt;6.6298366&lt;/D&gt;&lt;D xsi:type="xsd:double"&gt;8.926153&lt;/D&gt;&lt;D xsi:type="xsd:double"&gt;-5.6912603&lt;/D&gt;&lt;D xsi:type="xsd:double"&gt;-9.025372&lt;/D&gt;&lt;D xsi:type="xsd:double"&gt;-3.463459&lt;/D&gt;&lt;D xsi:type="xsd:double"&gt;11.888111&lt;/D&gt;&lt;D xsi:type="xsd:double"&gt;2.927184&lt;/D&gt;&lt;D xsi:type="xsd:double"&gt;4.458046&lt;/D&gt;&lt;D xsi:type="xsd:double"&gt;4.332125&lt;/D&gt;&lt;D xsi:type="xsd:double"&gt;0.12357235&lt;/D&gt;&lt;D xsi:type="xsd:double"&gt;-1.2342632&lt;/D&gt;&lt;D xsi:type="xsd:double"&gt;4.823792&lt;/D&gt;&lt;D xsi:type="xsd:double"&gt;-4.792559&lt;/D&gt;&lt;D xsi:type="xsd:double"&gt;8.572674&lt;/D&gt;&lt;D xsi:type="xsd:double"&gt;-2.2443354&lt;/D&gt;&lt;D xsi:type="xsd:double"&gt;-0.40236115&lt;/D&gt;&lt;D xsi:type="xsd:double"&gt;-3.8735747&lt;/D&gt;&lt;D xsi:type="xsd:double"&gt;-4.5631704&lt;/D&gt;&lt;D xsi:type="xsd:double"&gt;5.558467&lt;/D&gt;&lt;D xsi:type="xsd:double"&gt;4.988849&lt;/D&gt;&lt;D xsi:type="xsd:double"&gt;5.0706983&lt;/D&gt;&lt;D xsi:type="xsd:double"&gt;9.025526&lt;/D&gt;&lt;D xsi:type="xsd:double"&gt;4.3839097&lt;/D&gt;&lt;D xsi:type="xsd:double"&gt;9.847105&lt;/D&gt;&lt;D xsi:type="xsd:double"&gt;1.5404582&lt;/D&gt;&lt;D xsi:type="xsd:double"&gt;13.986456&lt;/D&gt;&lt;D xsi:type="xsd:double"&gt;7.431221&lt;/D&gt;&lt;D xsi:type="xsd:double"&gt;-1.8713534&lt;/D&gt;&lt;D xsi:type="xsd:double"&gt;-1.8529952&lt;/D&gt;&lt;D xsi:type="xsd:double"&gt;1.6991735&lt;/D&gt;&lt;D xsi:type="xsd:double"&gt;5.801356&lt;/D&gt;&lt;D xsi:type="xsd:double"&gt;7.7953935&lt;/D&gt;&lt;/FQL&gt;&lt;FQL&gt;&lt;Q&gt;EPOL^FG_TOTAL_RETURNC(-5AY,0,AM)&lt;/Q&gt;&lt;R&gt;61&lt;/R&gt;&lt;C&gt;1&lt;/C&gt;&lt;D xsi:type="xsd:double"&gt;2.7360559&lt;/D&gt;&lt;D xsi:type="xsd:double"&gt;1.409924&lt;/D&gt;&lt;D xsi:type="xsd:double"&gt;-5.278063&lt;/D&gt;&lt;D xsi:type="xsd:double"&gt;4.811096&lt;/D&gt;&lt;D xsi:type="xsd:double"&gt;10.529041&lt;/D&gt;&lt;D xsi:type="xsd:double"&gt;2.7642012&lt;/D&gt;&lt;D xsi:type="xsd:double"&gt;-1.9688666&lt;/D&gt;&lt;D xsi:type="xsd:double"&gt;0.88744164&lt;/D&gt;&lt;D xsi:type="xsd:double"&gt;3.6574006&lt;/D&gt;&lt;D xsi:type="xsd:double"&gt;4.510939&lt;/D&gt;&lt;D xsi:type="xsd:double"&gt;-12.008548&lt;/D&gt;&lt;D xsi:type="xsd:double"&gt;0.6816268&lt;/D&gt;&lt;D xsi:type="xsd:double"&gt;3.8030267&lt;/D&gt;&lt;D xsi:type="xsd:double"&gt;-8.266794&lt;/D&gt;&lt;D xsi:type="xsd:double"&gt;-3.584236&lt;/D&gt;&lt;D xsi:type="xsd:double"&gt;-7.912904&lt;/D&gt;&lt;D xsi:type="xsd:double"&gt;-10.149944&lt;/D&gt;&lt;D xsi:type="xsd:double"&gt;-6.1498046&lt;/D&gt;&lt;D xsi:type="xsd:double"&gt;-3.5886765&lt;/D&gt;&lt;D xsi:type="xsd:double"&gt;-5.7265577&lt;/D&gt;&lt;D xsi:type="xsd:double"&gt;-7.3652267&lt;/D&gt;&lt;D xsi:type="xsd:double"&gt;-5.901641&lt;/D&gt;&lt;D xsi:type="xsd:double"&gt;27.090597&lt;/D&gt;&lt;D xsi:type="xsd:double"&gt;7.891774&lt;/D&gt;&lt;D xsi:type="xsd:double"&gt;7.8215957&lt;/D&gt;&lt;D xsi:type="xsd:double"&gt;-8.60312&lt;/D&gt;&lt;D xsi:type="xsd:double"&gt;-2.9189885&lt;/D&gt;&lt;D xsi:type="xsd:double"&gt;16.351341&lt;/D&gt;&lt;D xsi:type="xsd:double"&gt;6.2717795&lt;/D&gt;&lt;D xsi:type="xsd:double"&gt;6.22952&lt;/D&gt;&lt;D xsi:type="xsd:double"&gt;6.121397&lt;/D&gt;&lt;D xsi:type="xsd:double"&gt;-7.5133266&lt;/D&gt;&lt;D xsi:type="xsd:double"&gt;-7.5995865&lt;/D&gt;&lt;D xsi:type="xsd:double"&gt;5.9557676&lt;/D&gt;&lt;D xsi:type="xsd:double"&gt;16.595291&lt;/D&gt;&lt;D xsi:type="xsd:double"&gt;7.4124813&lt;/D&gt;&lt;D xsi:type="xsd:double"&gt;-6.951165&lt;/D&gt;&lt;D xsi:type="xsd:double"&gt;11.820328&lt;/D&gt;&lt;D xsi:type="xsd:double"&gt;-2.283293&lt;/D&gt;&lt;D xsi:type="xsd:double"&gt;3.1155348&lt;/D&gt;&lt;D xsi:type="xsd:double"&gt;6.8820834&lt;/D&gt;&lt;D xsi:type="xsd:double"&gt;-5.0426064&lt;/D&gt;&lt;D xsi:type="xsd:double"&gt;3.8753152&lt;/D&gt;&lt;D xsi:type="xsd:double"&gt;-1.1759877&lt;/D&gt;&lt;D xsi:type="xsd:double"&gt;-2.0517051&lt;/D&gt;&lt;D xsi:type="xsd:double"&gt;-5.6137443&lt;/D&gt;&lt;D xsi:type="xsd:double"&gt;-4.527301&lt;/D&gt;&lt;D xsi:type="xsd:double"&gt;1.7712116&lt;/D&gt;&lt;D xsi:type="xsd:double"&gt;9.776926&lt;/D&gt;&lt;D xsi:type="xsd:double"&gt;12.364901&lt;/D&gt;&lt;D xsi:type="xsd:double"&gt;8.233929&lt;/D&gt;&lt;D xsi:type="xsd:double"&gt;3.9815187&lt;/D&gt;&lt;D xsi:type="xsd:double"&gt;2.5299191&lt;/D&gt;&lt;D xsi:type="xsd:double"&gt;0.8288622&lt;/D&gt;&lt;D xsi:type="xsd:double"&gt;10.800815&lt;/D&gt;&lt;D xsi:type="xsd:double"&gt;-0.6984472&lt;/D&gt;&lt;D xsi:type="xsd:double"&gt;-2.140677&lt;/D&gt;&lt;D xsi:type="xsd:double"&gt;5.7187557&lt;/D&gt;&lt;D xsi:type="xsd:double"&gt;-2.3352087&lt;/D&gt;&lt;D xsi:type="xsd:double"&gt;10.158157&lt;/D&gt;&lt;D xsi:type="xsd:double"&gt;5.85227&lt;/D&gt;&lt;/FQL&gt;&lt;FQL&gt;&lt;Q&gt;SET-BKK^FG_PRICE(0,-200D)&lt;/Q&gt;&lt;R&gt;201&lt;/R&gt;&lt;C&gt;1&lt;/C&gt;&lt;D xsi:type="xsd:double"&gt;1311.64&lt;/D&gt;&lt;D xsi:type="xsd:double"&gt;1317.56&lt;/D&gt;&lt;D xsi:type="xsd:double"&gt;1296.37&lt;/D&gt;&lt;D xsi:type="xsd:double"&gt;1283.2&lt;/D&gt;&lt;D xsi:type="xsd:double"&gt;1275.6&lt;/D&gt;&lt;D xsi:type="xsd:double"&gt;1261.39&lt;/D&gt;&lt;D xsi:type="xsd:double"&gt;1244.3&lt;/D&gt;&lt;D xsi:type="xsd:double"&gt;1235.3&lt;/D&gt;&lt;D xsi:type="xsd:double"&gt;1242.2&lt;/D&gt;&lt;D xsi:type="xsd:double"&gt;1254.09&lt;/D&gt;&lt;D xsi:type="xsd:double"&gt;1253.6&lt;/D&gt;&lt;D xsi:type="xsd:double"&gt;1280.82&lt;/D&gt;&lt;D xsi:type="xsd:double"&gt;1274.75&lt;/D&gt;&lt;D xsi:type="xsd:double"&gt;1280.05&lt;/D&gt;&lt;D xsi:type="xsd:double"&gt;1259.67&lt;/D&gt;&lt;D xsi:type="xsd:double"&gt;1259.67&lt;/D&gt;&lt;D xsi:type="xsd:double"&gt;1259.67&lt;/D&gt;&lt;D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xsi:type="xsd:double"&gt;1269.87&lt;/D&gt;&lt;D xsi:type="xsd:double"&gt;1261.39&lt;/D&gt;&lt;D xsi:type="xsd:double"&gt;1273.77&lt;/D&gt;&lt;D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xsi:type="xsd:double"&gt;1259.07&lt;/D&gt;&lt;D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xsi:type="xsd:double"&gt;1149.18&lt;/D&gt;&lt;D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xsi:type="xsd:double"&gt;1198.98&lt;/D&gt;&lt;D xsi:type="xsd:double"&gt;1197.26&lt;/D&gt;&lt;D xsi:type="xsd:double"&gt;1197.26&lt;/D&gt;&lt;D xsi:type="xsd:double"&gt;1171.12&lt;/D&gt;&lt;D xsi:type="xsd:double"&gt;1159.53&lt;/D&gt;&lt;D xsi:type="xsd:double"&gt;1159&lt;/D&gt;&lt;D xsi:type="xsd:double"&gt;1146.86&lt;/D&gt;&lt;D xsi:type="xsd:double"&gt;1153.77&lt;/D&gt;&lt;D xsi:type="xsd:double"&gt;1144.05&lt;/D&gt;&lt;D xsi:type="xsd:double"&gt;1134.71&lt;/D&gt;&lt;D xsi:type="xsd:double"&gt;1150.95&lt;/D&gt;&lt;D xsi:type="xsd:double"&gt;1141.28&lt;/D&gt;&lt;/FQL&gt;&lt;FQL&gt;&lt;Q&gt;EZA^FG_TOTAL_RETURNC(-5AY,0,AM)&lt;/Q&gt;&lt;R&gt;61&lt;/R&gt;&lt;C&gt;1&lt;/C&gt;&lt;D xsi:type="xsd:double"&gt;4.576981&lt;/D&gt;&lt;D xsi:type="xsd:double"&gt;7.095492&lt;/D&gt;&lt;D xsi:type="xsd:double"&gt;0.3508687&lt;/D&gt;&lt;D xsi:type="xsd:double"&gt;3.6199093&lt;/D&gt;&lt;D xsi:type="xsd:double"&gt;1.0519981&lt;/D&gt;&lt;D xsi:type="xsd:double"&gt;-4.2531786&lt;/D&gt;&lt;D xsi:type="xsd:double"&gt;-1.2422323&lt;/D&gt;&lt;D xsi:type="xsd:double"&gt;-5.555558&lt;/D&gt;&lt;D xsi:type="xsd:double"&gt;3.7069917&lt;/D&gt;&lt;D xsi:type="xsd:double"&gt;4.2594075&lt;/D&gt;&lt;D xsi:type="xsd:double"&gt;-5.8920145&lt;/D&gt;&lt;D xsi:type="xsd:double"&gt;2.2889137&lt;/D&gt;&lt;D xsi:type="xsd:double"&gt;7.7138543&lt;/D&gt;&lt;D xsi:type="xsd:double"&gt;2.9605865&lt;/D&gt;&lt;D xsi:type="xsd:double"&gt;6.9749355&lt;/D&gt;&lt;D xsi:type="xsd:double"&gt;-11.478388&lt;/D&gt;&lt;D xsi:type="xsd:double"&gt;-6.3602867&lt;/D&gt;&lt;D xsi:type="xsd:double"&gt;-4.3243704&lt;/D&gt;&lt;D xsi:type="xsd:double"&gt;-2.41161&lt;/D&gt;&lt;D xsi:type="xsd:double"&gt;0.5278349&lt;/D&gt;&lt;D xsi:type="xsd:double"&gt;-8.663487&lt;/D&gt;&lt;D xsi:type="xsd:double"&gt;-0.70551634&lt;/D&gt;&lt;D xsi:type="xsd:double"&gt;14.736843&lt;/D&gt;&lt;D xsi:type="xsd:double"&gt;-0.6377399&lt;/D&gt;&lt;D xsi:type="xsd:double"&gt;8.202481&lt;/D&gt;&lt;D xsi:type="xsd:double"&gt;-10.439682&lt;/D&gt;&lt;D xsi:type="xsd:double"&gt;-2.781129&lt;/</t>
        </r>
      </text>
    </comment>
    <comment ref="A6" authorId="0" shapeId="0" xr:uid="{182FC81F-A623-4EEF-8D03-C2CFD66C4028}">
      <text>
        <r>
          <rPr>
            <b/>
            <sz val="9"/>
            <color indexed="81"/>
            <rFont val="Tahoma"/>
            <charset val="1"/>
          </rPr>
          <t>D&gt;&lt;D xsi:type="xsd:double"&gt;7.1144342&lt;/D&gt;&lt;D xsi:type="xsd:double"&gt;-8.964234&lt;/D&gt;&lt;D xsi:type="xsd:double"&gt;3.9931417&lt;/D&gt;&lt;D xsi:type="xsd:double"&gt;6.0394406&lt;/D&gt;&lt;D xsi:type="xsd:double"&gt;-8.496118&lt;/D&gt;&lt;D xsi:type="xsd:double"&gt;-0.43724775&lt;/D&gt;&lt;D xsi:type="xsd:double"&gt;-4.055798&lt;/D&gt;&lt;D xsi:type="xsd:double"&gt;6.435108&lt;/D&gt;&lt;D xsi:type="xsd:double"&gt;4.372883&lt;/D&gt;&lt;D xsi:type="xsd:double"&gt;-8.294481&lt;/D&gt;&lt;D xsi:type="xsd:double"&gt;2.595663&lt;/D&gt;&lt;D xsi:type="xsd:double"&gt;-0.28690696&lt;/D&gt;&lt;D xsi:type="xsd:double"&gt;0.2354145&lt;/D&gt;&lt;D xsi:type="xsd:double"&gt;13.308978&lt;/D&gt;&lt;D xsi:type="xsd:double"&gt;3.5348892&lt;/D&gt;&lt;D xsi:type="xsd:double"&gt;-0.88115335&lt;/D&gt;&lt;D xsi:type="xsd:double"&gt;5.72145&lt;/D&gt;&lt;D xsi:type="xsd:double"&gt;4.4631243&lt;/D&gt;&lt;D xsi:type="xsd:double"&gt;4.3962836&lt;/D&gt;&lt;D xsi:type="xsd:double"&gt;-5.3380785&lt;/D&gt;&lt;D xsi:type="xsd:double"&gt;-3.8395166&lt;/D&gt;&lt;D xsi:type="xsd:double"&gt;-0.77785254&lt;/D&gt;&lt;D xsi:type="xsd:double"&gt;7.4014306&lt;/D&gt;&lt;D xsi:type="xsd:double"&gt;2.1897793&lt;/D&gt;&lt;D xsi:type="xsd:double"&gt;1.1764765&lt;/D&gt;&lt;D xsi:type="xsd:double"&gt;6.789863&lt;/D&gt;&lt;D xsi:type="xsd:double"&gt;1.7699003&lt;/D&gt;&lt;D xsi:type="xsd:double"&gt;7.7517867&lt;/D&gt;&lt;D xsi:type="xsd:double"&gt;5.4897666&lt;/D&gt;&lt;D xsi:type="xsd:double"&gt;6.224489&lt;/D&gt;&lt;D xsi:type="xsd:double"&gt;1.7931461&lt;/D&gt;&lt;D xsi:type="xsd:double"&gt;2.0132065&lt;/D&gt;&lt;D xsi:type="xsd:double"&gt;11.889148&lt;/D&gt;&lt;D xsi:type="xsd:double"&gt;9.841537&lt;/D&gt;&lt;/FQL&gt;&lt;FQL&gt;&lt;Q&gt;EPHE^FG_TOTAL_RETURNC(-5AY,0,AM)&lt;/Q&gt;&lt;R&gt;61&lt;/R&gt;&lt;C&gt;1&lt;/C&gt;&lt;D xsi:type="xsd:double"&gt;-0.6220877&lt;/D&gt;&lt;D xsi:type="xsd:double"&gt;-5.508608&lt;/D&gt;&lt;D xsi:type="xsd:double"&gt;-4.074204&lt;/D&gt;&lt;D xsi:type="xsd:double"&gt;-0.06905794&lt;/D&gt;&lt;D xsi:type="xsd:double"&gt;-1.7277122&lt;/D&gt;&lt;D xsi:type="xsd:double"&gt;9.353209&lt;/D&gt;&lt;D xsi:type="xsd:double"&gt;-6.7335725&lt;/D&gt;&lt;D xsi:type="xsd:double"&gt;2.0131946&lt;/D&gt;&lt;D xsi:type="xsd:double"&gt;3.5045981&lt;/D&gt;&lt;D xsi:type="xsd:double"&gt;6.865871&lt;/D&gt;&lt;D xsi:type="xsd:double"&gt;-1.7798305&lt;/D&gt;&lt;D xsi:type="xsd:double"&gt;1.1535764&lt;/D&gt;&lt;D xsi:type="xsd:double"&gt;-2.5170922&lt;/D&gt;&lt;D xsi:type="xsd:double"&gt;5.323553&lt;/D&gt;&lt;D xsi:type="xsd:double"&gt;-8.777243&lt;/D&gt;&lt;D xsi:type="xsd:double"&gt;-1.0948896&lt;/D&gt;&lt;D xsi:type="xsd:double"&gt;-2.583021&lt;/D&gt;&lt;D xsi:type="xsd:double"&gt;-10.563582&lt;/D&gt;&lt;D xsi:type="xsd:double"&gt;-2.2984028&lt;/D&gt;&lt;D xsi:type="xsd:double"&gt;8.014357&lt;/D&gt;&lt;D xsi:type="xsd:double"&gt;-11.037284&lt;/D&gt;&lt;D xsi:type="xsd:double"&gt;-3.1950235&lt;/D&gt;&lt;D xsi:type="xsd:double"&gt;9.601366&lt;/D&gt;&lt;D xsi:type="xsd:double"&gt;2.4688125&lt;/D&gt;&lt;D xsi:type="xsd:double"&gt;12.039876&lt;/D&gt;&lt;D xsi:type="xsd:double"&gt;-6.810403&lt;/D&gt;&lt;D xsi:type="xsd:double"&gt;-1.4689684&lt;/D&gt;&lt;D xsi:type="xsd:double"&gt;-3.354454&lt;/D&gt;&lt;D xsi:type="xsd:double"&gt;2.6610136&lt;/D&gt;&lt;D xsi:type="xsd:double"&gt;-2.9351413&lt;/D&gt;&lt;D xsi:type="xsd:double"&gt;6.2671304&lt;/D&gt;&lt;D xsi:type="xsd:double"&gt;-9.362328&lt;/D&gt;&lt;D xsi:type="xsd:double"&gt;-2.0740151&lt;/D&gt;&lt;D xsi:type="xsd:double"&gt;0.24917126&lt;/D&gt;&lt;D xsi:type="xsd:double"&gt;3.6868334&lt;/D&gt;&lt;D xsi:type="xsd:double"&gt;4.8089147&lt;/D&gt;&lt;D xsi:type="xsd:double"&gt;0.61490536&lt;/D&gt;&lt;D xsi:type="xsd:double"&gt;6.0733438&lt;/D&gt;&lt;D xsi:type="xsd:double"&gt;-1.9085348&lt;/D&gt;&lt;D xsi:type="xsd:double"&gt;-8.590311&lt;/D&gt;&lt;D xsi:type="xsd:double"&gt;2.409637&lt;/D&gt;&lt;D xsi:type="xsd:double"&gt;-7.8439355&lt;/D&gt;&lt;D xsi:type="xsd:double"&gt;10.237587&lt;/D&gt;&lt;D xsi:type="xsd:double"&gt;7.07289&lt;/D&gt;&lt;D xsi:type="xsd:double"&gt;7.2643995&lt;/D&gt;&lt;D xsi:type="xsd:double"&gt;-1.8764913&lt;/D&gt;&lt;D xsi:type="xsd:double"&gt;-9.700977&lt;/D&gt;&lt;D xsi:type="xsd:double"&gt;-3.7907362&lt;/D&gt;&lt;D xsi:type="xsd:double"&gt;-0.5248308&lt;/D&gt;&lt;D xsi:type="xsd:double"&gt;-0.93343854&lt;/D&gt;&lt;D xsi:type="xsd:double"&gt;5.653429&lt;/D&gt;&lt;D xsi:type="xsd:double"&gt;-0.93060136&lt;/D&gt;&lt;D xsi:type="xsd:double"&gt;6.7319036&lt;/D&gt;&lt;D xsi:type="xsd:double"&gt;-1.6654372&lt;/D&gt;&lt;D xsi:type="xsd:double"&gt;0.0754714&lt;/D&gt;&lt;D xsi:type="xsd:double"&gt;0.4147768&lt;/D&gt;&lt;D xsi:type="xsd:double"&gt;-0.11265278&lt;/D&gt;&lt;D xsi:type="xsd:double"&gt;-6.69173&lt;/D&gt;&lt;D xsi:type="xsd:double"&gt;0.96696615&lt;/D&gt;&lt;D xsi:type="xsd:double"&gt;0.38950443&lt;/D&gt;&lt;D xsi:type="xsd:double"&gt;5.5689216&lt;/D&gt;&lt;/FQL&gt;&lt;FQL&gt;&lt;Q&gt;UAE^FG_TOTAL_RETURNC(-5AY,0,AM)&lt;/Q&gt;&lt;R&gt;61&lt;/R&gt;&lt;C&gt;1&lt;/C&gt;&lt;D xsi:type="xsd:double"&gt;10.192955&lt;/D&gt;&lt;D xsi:type="xsd:double"&gt;-1.4084518&lt;/D&gt;&lt;D xsi:type="xsd:double"&gt;2.7799249&lt;/D&gt;&lt;D xsi:type="xsd:double"&gt;1.6528845&lt;/D&gt;&lt;D xsi:type="xsd:double"&gt;7.0946097&lt;/D&gt;&lt;D xsi:type="xsd:double"&gt;1.6538262&lt;/D&gt;&lt;D xsi:type="xsd:double"&gt;-2.290225&lt;/D&gt;&lt;D xsi:type="xsd:double"&gt;4.789233&lt;/D&gt;&lt;D xsi:type="xsd:double"&gt;2.0590305&lt;/D&gt;&lt;D xsi:type="xsd:double"&gt;-0.7484853&lt;/D&gt;&lt;D xsi:type="xsd:double"&gt;11.662949&lt;/D&gt;&lt;D xsi:type="xsd:double"&gt;-0.5085349&lt;/D&gt;&lt;D xsi:type="xsd:double"&gt;3.420961&lt;/D&gt;&lt;D xsi:type="xsd:double"&gt;1.2480617&lt;/D&gt;&lt;D xsi:type="xsd:double"&gt;8.644176&lt;/D&gt;&lt;D xsi:type="xsd:double"&gt;3.1062603&lt;/D&gt;&lt;D xsi:type="xsd:double"&gt;-9.72516&lt;/D&gt;&lt;D xsi:type="xsd:double"&gt;-5.6362686&lt;/D&gt;&lt;D xsi:type="xsd:double"&gt;2.6649714&lt;/D&gt;&lt;D xsi:type="xsd:double"&gt;1.6687274&lt;/D&gt;&lt;D xsi:type="xsd:double"&gt;-2.9179335&lt;/D&gt;&lt;D xsi:type="xsd:double"&gt;-2.8177798&lt;/D&gt;&lt;D xsi:type="xsd:double"&gt;0.06443262&lt;/D&gt;&lt;D xsi:type="xsd:double"&gt;-2.2340178&lt;/D&gt;&lt;D xsi:type="xsd:double"&gt;0.33003092&lt;/D&gt;&lt;D xsi:type="xsd:double"&gt;-3.486842&lt;/D&gt;&lt;D xsi:type="xsd:double"&gt;-3.4764826&lt;/D&gt;&lt;D xsi:type="xsd:double"&gt;5.8615804&lt;/D&gt;&lt;D xsi:type="xsd:double"&gt;-1.767844&lt;/D&gt;&lt;D xsi:type="xsd:double"&gt;1.3612151&lt;/D&gt;&lt;D xsi:type="xsd:double"&gt;2.8217435&lt;/D&gt;&lt;D xsi:type="xsd:double"&gt;0.40160418&lt;/D&gt;&lt;D xsi:type="xsd:double"&gt;3.6666632&lt;/D&gt;&lt;D xsi:type="xsd:double"&gt;-12.668812&lt;/D&gt;&lt;D xsi:type="xsd:double"&gt;8.026516&lt;/D&gt;&lt;D xsi:type="xsd:double"&gt;0.10420084&lt;/D&gt;&lt;D xsi:type="xsd:double"&gt;2.9472232&lt;/D&gt;&lt;D xsi:type="xsd:double"&gt;-2.2636473&lt;/D&gt;&lt;D xsi:type="xsd:double"&gt;1.9754767&lt;/D&gt;&lt;D xsi:type="xsd:double"&gt;-3.8076222&lt;/D&gt;&lt;D xsi:type="xsd:double"&gt;-0.90277195&lt;/D&gt;&lt;D xsi:type="xsd:double"&gt;-1.8169284&lt;/D&gt;&lt;D xsi:type="xsd:double"&gt;6.6765666&lt;/D&gt;&lt;D xsi:type="xsd:double"&gt;3.685677&lt;/D&gt;&lt;D xsi:type="xsd:double"&gt;3.2863855&lt;/D&gt;&lt;D xsi:type="xsd:double"&gt;-3.1168818&lt;/D&gt;&lt;D xsi:type="xsd:double"&gt;2.949059&lt;/D&gt;&lt;D xsi:type="xsd:double"&gt;6.176281&lt;/D&gt;&lt;D xsi:type="xsd:double"&gt;5.3406954&lt;/D&gt;&lt;D xsi:type="xsd:double"&gt;1.3403177&lt;/D&gt;&lt;D xsi:type="xsd:double"&gt;-3.2202363&lt;/D&gt;&lt;D xsi:type="xsd:double"&gt;1.0695219&lt;/D&gt;&lt;D xsi:type="xsd:double"&gt;8.935928&lt;/D&gt;&lt;D xsi:type="xsd:double"&gt;-3.6923945&lt;/D&gt;&lt;D xsi:type="xsd:double"&gt;14.687133&lt;/D&gt;&lt;D xsi:type="xsd:double"&gt;0.8335352&lt;/D&gt;&lt;D xsi:type="xsd:double"&gt;-2.0541072&lt;/D&gt;&lt;D xsi:type="xsd:double"&gt;0.71611404&lt;/D&gt;&lt;D xsi:type="xsd:double"&gt;-5.12951&lt;/D&gt;&lt;D xsi:type="xsd:double"&gt;5.141294&lt;/D&gt;&lt;D xsi:type="xsd:double"&gt;6.01542&lt;/D&gt;&lt;/FQL&gt;&lt;FQL&gt;&lt;Q&gt;EIDO^FG_TOTAL_RETURNC(-5AY,0,AM)&lt;/Q&gt;&lt;R&gt;61&lt;/R&gt;&lt;C&gt;1&lt;/C&gt;&lt;D xsi:type="xsd:double"&gt;7.06141&lt;/D&gt;&lt;D xsi:type="xsd:double"&gt;-4.2195854&lt;/D&gt;&lt;D xsi:type="xsd:double"&gt;-1.283145&lt;/D&gt;&lt;D xsi:type="xsd:double"&gt;-7.3656855&lt;/D&gt;&lt;D xsi:type="xsd:double"&gt;-1.7773569&lt;/D&gt;&lt;D xsi:type="xsd:double"&gt;0.3952384&lt;/D&gt;&lt;D xsi:type="xsd:double"&gt;-1.8615842&lt;/D&gt;&lt;D xsi:type="xsd:double"&gt;1.6050577&lt;/D&gt;&lt;D xsi:type="xsd:double"&gt;2.297759&lt;/D&gt;&lt;D xsi:type="xsd:double"&gt;14.085161&lt;/D&gt;&lt;D xsi:type="xsd:double"&gt;-2.543062&lt;/D&gt;&lt;D xsi:type="xsd:double"&gt;-2.3027182&lt;/D&gt;&lt;D xsi:type="xsd:double"&gt;1.8655062&lt;/D&gt;&lt;D xsi:type="xsd:double"&gt;2.1294713&lt;/D&gt;&lt;D xsi:type="xsd:double"&gt;2.418685&lt;/D&gt;&lt;D xsi:type="xsd:double"&gt;0.32572746&lt;/D&gt;&lt;D xsi:type="xsd:double"&gt;-4.4642806&lt;/D&gt;&lt;D xsi:type="xsd:double"&gt;-1.3466656&lt;/D&gt;&lt;D xsi:type="xsd:double"&gt;-1.746726&lt;/D&gt;&lt;D xsi:type="xsd:double"&gt;3.7777781&lt;/D&gt;&lt;D xsi:type="xsd:double"&gt;4.2398334&lt;/D&gt;&lt;D xsi:type="xsd:double"&gt;-2.87593&lt;/D&gt;&lt;D xsi:type="xsd:double"&gt;-1.7766476&lt;/D&gt;&lt;D xsi:type="xsd:double"&gt;-2.339971&lt;/D&gt;&lt;D xsi:type="xsd:double"&gt;3.0289412&lt;/D&gt;&lt;D xsi:type="xsd:double"&gt;-0.9943783&lt;/D&gt;&lt;D xsi:type="xsd:double"&gt;-1.9650578&lt;/D&gt;&lt;D xsi:type="xsd:double"&gt;6.0133576&lt;/D&gt;&lt;D xsi:type="xsd:double"&gt;0.2521038&lt;/D&gt;&lt;D xsi:type="xsd:double"&gt;-1.2207091&lt;/D&gt;&lt;D xsi:type="xsd:double"&gt;1.9055843&lt;/D&gt;&lt;D xsi:type="xsd:double"&gt;-2.7199388&lt;/D&gt;&lt;D xsi:type="xsd:double"&gt;0.1747489&lt;/D&gt;&lt;D xsi:type="xsd:double"&gt;-8.765811&lt;/D&gt;&lt;D xsi:type="xsd:double"&gt;1.6730428&lt;/D&gt;&lt;D xsi:type="xsd:double"&gt;4.4578314&lt;/D&gt;&lt;D xsi:type="xsd:double"&gt;0.18148422&lt;/D&gt;&lt;D xsi:type="xsd:double"&gt;3.3967376&lt;/D&gt;&lt;D xsi:type="xsd:double"&gt;-0.8760452&lt;/D&gt;&lt;D xsi:type="xsd:double"&gt;-8.484316&lt;/D&gt;&lt;D xsi:type="xsd:double"&gt;-0.8208513&lt;/D&gt;&lt;D xsi:type="xsd:double"&gt;-5.303484&lt;/D&gt;&lt;D xsi:type="xsd:double"&gt;8.249068&lt;/D&gt;&lt;D xsi:type="xsd:double"&gt;4.670608&lt;/D&gt;&lt;D xsi:type="xsd:double"&gt;8.924377&lt;/D&gt;&lt;D xsi:type="xsd:double"&gt;-3.4928918&lt;/D&gt;&lt;D xsi:type="xsd:double"&gt;-10.723859&lt;/D&gt;&lt;D xsi:type="xsd:double"&gt;-6.5558195&lt;/D&gt;&lt;D xsi:type="xsd:double"&gt;2.329135&lt;/D&gt;&lt;D xsi:type="xsd:double"&gt;-6.432742&lt;/D&gt;&lt;D xsi:type="xsd:double"&gt;-11.250001&lt;/D&gt;&lt;D xsi:type="xsd:double"&gt;4.73752&lt;/D&gt;&lt;D xsi:type="xsd:double"&gt;15.586794&lt;/D&gt;&lt;D xsi:type="xsd:double"&gt;-6.7035856&lt;/D&gt;&lt;D xsi:type="xsd:double"&gt;2.2118688&lt;/D&gt;&lt;D xsi:type="xsd:double"&gt;6.2072873&lt;/D&gt;&lt;D xsi:type="xsd:double"&gt;-4.932976&lt;/D&gt;&lt;D xsi:type="xsd:double"&gt;0.90242624&lt;/D&gt;&lt;D xsi:type="xsd:double"&gt;2.6830673&lt;/D&gt;&lt;D xsi:type="xsd:double"&gt;2.567649&lt;/D&gt;&lt;D xsi:type="xsd:double"&gt;2.0858169&lt;/D&gt;&lt;/FQL&gt;&lt;FQL&gt;&lt;Q&gt;MCHI^FG_PRICE(0,-200D)&lt;/Q&gt;&lt;R&gt;201&lt;/R&gt;&lt;C&gt;1&lt;/C&gt;&lt;D xsi:type="xsd:double"&gt;62.78&lt;/D&gt;&lt;D xsi:type="xsd:double"&gt;62.49&lt;/D&gt;&lt;D xsi:type="xsd:double"&gt;61.65&lt;/D&gt;&lt;D xsi:type="xsd:double"&gt;62.52&lt;/D&gt;&lt;D xsi:type="xsd:double"&gt;62.52&lt;/D&gt;&lt;D xsi:type="xsd:double"&gt;63.59&lt;/D&gt;&lt;D xsi:type="xsd:double"&gt;63.55&lt;/D&gt;&lt;D xsi:type="xsd:double"&gt;63.52&lt;/D&gt;&lt;D xsi:type="xsd:double"&gt;64.26&lt;/D&gt;&lt;D xsi:type="xsd:double"&gt;62.22&lt;/D&gt;&lt;D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xsi:type="xsd:double"&gt;60.07&lt;/D&gt;&lt;D xsi:type="xsd:double"&gt;60.58&lt;/D&gt;&lt;D xsi:type="xsd:double"&gt;60.37&lt;/D&gt;&lt;D xsi:type="xsd:double"&gt;61.27&lt;/D&gt;&lt;D xsi:type="xsd:double"&gt;60.61&lt;/D&gt;&lt;D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xsi:type="xsd:double"&gt;53.25&lt;/D&gt;&lt;D xsi:type="xsd:double"&gt;53.45&lt;/D&gt;&lt;D xsi:type="xsd:double"&gt;52.69&lt;/D&gt;&lt;D xsi:type="xsd:double"&gt;53.95&lt;/D&gt;&lt;D xsi:type="xsd:double"&gt;53.4&lt;/D&gt;&lt;D xsi:type="xsd:double"&gt;53.42&lt;/D&gt;&lt;D xsi:type="xsd:double"&gt;51.59&lt;/D&gt;&lt;D xsi:type="xsd:double"&gt;51.66&lt;/D&gt;&lt;D xsi:type="xsd:double"&gt;51.68&lt;/D&gt;&lt;D xsi:type="xsd:double"&gt;51.85&lt;/D&gt;&lt;D xsi:type="xsd:double"&gt;51.91&lt;/D&gt;&lt;D xsi:type="xsd:double"&gt;51.97&lt;/D&gt;&lt;D xsi:type="xsd:double"&gt;51.66&lt;/D&gt;&lt;D xsi:type="xsd:double"&gt;50.9&lt;/D&gt;&lt;D xsi:type="xsd:double"&gt;49.39&lt;/D&gt;&lt;D xsi:type="xsd:double"&gt;49.29&lt;/D&gt;&lt;D xsi:type="xsd:double"&gt;49.29&lt;/D&gt;&lt;/FQL&gt;&lt;FQL&gt;&lt;Q&gt;EWJ^FG_TOTAL_RETURNC(-5AY,0,AM)&lt;/Q&gt;&lt;R&gt;61&lt;/R&gt;&lt;C&gt;1&lt;/C&gt;&lt;D xsi:type="xsd:double"&gt;5.195987&lt;/D&gt;&lt;D xsi:type="xsd:double"&gt;2.7874112&lt;/D&gt;&lt;D xsi:type="xsd:double"&gt;-1.3348281&lt;/D&gt;&lt;D xsi:type="xsd:double"&gt;-2.4636924&lt;/D&gt;&lt;D xsi:type="xsd:double"&gt;-0.8176327&lt;/D&gt;&lt;D xsi:type="xsd:double"&gt;0.8971214&lt;/D&gt;&lt;D xsi:type="xsd:double"&gt;-0.80835223&lt;/D&gt;&lt;D xsi:type="xsd:double"&gt;-1.2298048&lt;/D&gt;&lt;D xsi:type="xsd:double"&gt;8.745861&lt;/D&gt;&lt;D xsi:type="xsd:double"&gt;-5.614567&lt;/D&gt;&lt;D xsi:type="xsd:double"&gt;1.6515732&lt;/D&gt;&lt;D xsi:type="xsd:double"&gt;-2.1833956&lt;/D&gt;&lt;D xsi:type="xsd:double"&gt;-3.4703612&lt;/D&gt;&lt;D xsi:type="xsd:double"&gt;-2.6076198&lt;/D&gt;&lt;D xsi:type="xsd:double"&gt;-1.0773122&lt;/D&gt;&lt;D xsi:type="xsd:double"&gt;-8.856499&lt;/D&gt;&lt;D xsi:type="xsd:double"&gt;0.3162861&lt;/D&gt;&lt;D xsi:type="xsd:double"&gt;-7.423276&lt;/D&gt;&lt;D xsi:type="xsd:double"&gt;4.508984&lt;/D&gt;&lt;D xsi:type="xsd:double"&gt;0.65813065&lt;/D&gt;&lt;D xsi:type="xsd:double"&gt;-7.246643&lt;/D&gt;&lt;D xsi:type="xsd:double"&gt;-3.4854114&lt;/D&gt;&lt;D xsi:type="xsd:double"&gt;11.483061&lt;/D&gt;&lt;D xsi:type="xsd:double"&gt;-0.17900467&lt;/D&gt;&lt;D xsi:type="xsd:double"&gt;5.7007074&lt;/D&gt;&lt;D xsi:type="xsd:double"&gt;-3.3707798&lt;/D&gt;&lt;D xsi:type="xsd:double"&gt;1.4490128&lt;/D&gt;&lt;D xsi:type="xsd:double"&gt;4.0557265&lt;/D&gt;&lt;D xsi:type="xsd:double"&gt;3.7620783&lt;/D&gt;&lt;D xsi:type="xsd:double"&gt;2.712524&lt;/D&gt;&lt;D xsi:type="xsd:double"&gt;-0.06405115&lt;/D&gt;&lt;D xsi:type="xsd:double"&gt;-4.406345&lt;/D&gt;&lt;D xsi:type="xsd:double"&gt;3.5869956&lt;/D&gt;&lt;D xsi:type="xsd:double"&gt;-5.938506&lt;/D&gt;&lt;D xsi:type="xsd:double"&gt;7.500434&lt;/D&gt;&lt;D xsi:type="xsd:double"&gt;2.772665&lt;/D&gt;&lt;D xsi:type="xsd:double"&gt;5.2897453&lt;/D&gt;&lt;D xsi:type="xsd:double"&gt;3.3293366&lt;/D&gt;&lt;D xsi:type="xsd:double"&gt;4.2380214&lt;/D&gt;&lt;D xsi:type="xsd:double"&gt;-6.4745245&lt;/D&gt;&lt;D xsi:type="xsd:double"&gt;1.2654424&lt;/D&gt;&lt;D xsi:type="xsd:double"&gt;-2.2297382&lt;/D&gt;&lt;D xsi:type="xsd:double"&gt;6.4990163&lt;/D&gt;&lt;D xsi:type="xsd:double"&gt;0.014221668&lt;/D&gt;&lt;D xsi:type="xsd:double"&gt;1.3653755&lt;/D&gt;&lt;D xsi:type="xsd:double"&gt;-4.503995&lt;/D&gt;&lt;D xsi:type="xsd:double"&gt;-0.16162395&lt;/D&gt;&lt;D xsi:type="xsd:double"&gt;-1.032722&lt;/D&gt;&lt;D xsi:type="xsd:double"&gt;1.5707612&lt;/D&gt;&lt;D xsi:type="xsd:double"&gt;2.7360559&lt;/D&gt;&lt;D xsi:type="xsd:double"&gt;3.242159&lt;/D&gt;&lt;D xsi:type="xsd:double"&gt;-2.887994&lt;/D&gt;&lt;D xsi:type="xsd:double"&gt;4.475248&lt;/D&gt;&lt;D xsi:type="xsd:double"&gt;-0.041532516&lt;/D&gt;&lt;D xsi:type="xsd:double"&gt;1.7001152&lt;/D&gt;&lt;D xsi:type="xsd:double"&gt;9.646463&lt;/D&gt;&lt;D xsi:type="xsd:double"&gt;1.5371203&lt;/D&gt;&lt;D xsi:type="xsd:double"&gt;1.1446118&lt;/D&gt;&lt;D xsi:type="xsd:double"&gt;-1.2046695&lt;/D&gt;&lt;D xsi:type="xsd:double"&gt;2.85331&lt;/D&gt;&lt;D xsi:type="xsd:double"&gt;5.4685593&lt;/D&gt;&lt;/FQL&gt;&lt;FQL&gt;&lt;Q&gt;EWC^FG_TOTAL_RETURNC(-5AY,0,AM)&lt;/Q&gt;&lt;R&gt;61&lt;/R&gt;&lt;C&gt;1&lt;/C&gt;&lt;D xsi:type="xsd:double"&gt;3.0283332&lt;/D&gt;&lt;D xsi:type="xsd:double"&gt;4.6776175&lt;/D&gt;&lt;D xsi:type="xsd:double"&gt;3.3816457&lt;/D&gt;&lt;D xsi:type="xsd:double"&gt;1.6939163&lt;/D&gt;&lt;D xsi:type="xsd:double"&gt;7.093632&lt;/D&gt;&lt;D xsi:type="xsd:double"&gt;1.4249802&lt;/D&gt;&lt;D xsi:type="xsd:double"&gt;-2.34105&lt;/D&gt;&lt;D xsi:type="xsd:double"&gt;-0.62652826&lt;/D&gt;&lt;D xsi:type="xsd:double"&gt;0.35636425&lt;/D&gt;&lt;D xsi:type="xsd:double"&gt;8.057904&lt;/D&gt;&lt;D xsi:type="xsd:double"&gt;-1.7947495&lt;/D&gt;&lt;D xsi:type="xsd:double"&gt;-1.9908249&lt;/D&gt;&lt;D xsi:type="xsd:double"&gt;0.026595592&lt;/D&gt;&lt;D xsi:type="xsd:double"&gt;-0.1595676&lt;/D&gt;&lt;D xsi:type="xsd:double"&gt;7.56526&lt;/D&gt;&lt;D xsi:type="xsd:double"&gt;-5.448246&lt;/D&gt;&lt;D xsi:type="xsd:double"&gt;-5.1597714&lt;/D&gt;&lt;D xsi:type="xsd:double"&gt;-6.210208&lt;/D&gt;&lt;D xsi:type="xsd:double"&gt;0.059330463&lt;/D&gt;&lt;D xsi:type="xsd:double"&gt;4.2395473&lt;/D&gt;&lt;D xsi:type="xsd:double"&gt;-7.906711&lt;/D&gt;&lt;D xsi:type="xsd:double"&gt;-1.2971044&lt;/D&gt;&lt;D xsi:type="xsd:double"&gt;9.668339&lt;/D&gt;&lt;D xsi:type="xsd:double"&gt;-6.097877&lt;/D&gt;&lt;D xsi:type="xsd:double"&gt;8.199751&lt;/D&gt;&lt;D xsi:type="xsd:double"&gt;-2.5640965&lt;/D&gt;&lt;D xsi:type="xsd:double"&gt;-4.327482&lt;/D&gt;&lt;D xsi:type="xsd:double"&gt;7.6405883&lt;/D&gt;&lt;D xsi:type="xsd:double"&gt;-1.1073232&lt;/D&gt;&lt;D xsi:type="xsd:double"&gt;-0.8429229&lt;/D&gt;&lt;D xsi:type="xsd:double"&gt;4.7089815&lt;/D&gt;&lt;D xsi:type="xsd:double"&gt;-6.4804435&lt;/D&gt;&lt;D xsi:type="xsd:double"&gt;1.4038324&lt;/D&gt;&lt;D xsi:type="xsd:double"&gt;-4.3299017&lt;/D&gt;&lt;D xsi:type="xsd:double"&gt;5.972898&lt;/D&gt;&lt;D xsi:type="xsd:double"&gt;7.2817206&lt;/D&gt;&lt;D xsi:type="xsd:double"&gt;-1.1803448&lt;/D&gt;&lt;D xsi:type="xsd:double"&gt;2.333331&lt;/D&gt;&lt;D xsi:type="xsd:double"&gt;2.6330113&lt;/D&gt;&lt;D xsi:type="xsd:double"&gt;-1.1901617&lt;/D&gt;&lt;D xsi:type="xsd:double"&gt;2.1948576&lt;/D&gt;&lt;D xsi:type="xsd:double"&gt;-3.5214782&lt;/D&gt;&lt;D xsi:type="xsd:double"&gt;5.9194326&lt;/D&gt;&lt;D xsi:type="xsd:double"&gt;2.0957232&lt;/D&gt;&lt;D xsi:type="xsd:double"&gt;4.1814566&lt;/D&gt;&lt;D xsi:type="xsd:double"&gt;1.7270684&lt;/D&gt;&lt;D xsi:type="xsd:double"&gt;2.7498841&lt;/D&gt;&lt;D xsi:type="xsd:double"&gt;-5.827528&lt;/D&gt;&lt;D xsi:type="xsd:double"&gt;2.829957&lt;/D&gt;&lt;D xsi:type="xsd:double"&gt;1.1933684&lt;/D&gt;&lt;D xsi:type="xsd:double"&gt;-1.6125083&lt;/D&gt;&lt;D xsi:type="xsd:double"&gt;1.247549&lt;/D&gt;&lt;D xsi:type="xsd:double"&gt;6.3058734&lt;/D&gt;&lt;D xsi:type="xsd:double"&gt;3.1852722&lt;/D&gt;&lt;D xsi:type="xsd:double"&gt;4.4124246&lt;/D&gt;&lt;D xsi:type="xsd:double"&gt;1.9961715&lt;/D&gt;&lt;D xsi:type="xsd:double"&gt;5.9337974&lt;/D&gt;&lt;D xsi:type="xsd:double"&gt;-1.3364792&lt;/D&gt;&lt;D xsi:type="xsd:double"&gt;0.45816898&lt;/D&gt;&lt;D xsi:type="xsd:double"&gt;8.379102&lt;/D&gt;&lt;D xsi:type="xsd:double"&gt;1.9014239&lt;/D&gt;&lt;/FQL&gt;&lt;FQL&gt;&lt;Q&gt;EPHE^FG_PRICE(0,-200D)&lt;/Q&gt;&lt;R&gt;201&lt;/R&gt;&lt;C&gt;1&lt;/C&gt;&lt;D xsi:type="xsd:double"&gt;26.35&lt;/D&gt;&lt;D xsi:type="xsd:double"&gt;26.27&lt;/D&gt;&lt;D xsi:type="xsd:double"&gt;26&lt;/D&gt;&lt;D xsi:type="xsd:double"&gt;26.42&lt;/D&gt;&lt;D xsi:type="xsd:double"&gt;26.42&lt;/D&gt;&lt;D xsi:type="xsd:double"&gt;26.38&lt;/D&gt;&lt;D xsi:type="xsd:double"&gt;26.04&lt;/D&gt;&lt;D xsi:type="xsd:double"&gt;26.24&lt;/D&gt;&lt;D xsi:type="xsd:double"&gt;26.41&lt;/D&gt;&lt;D xsi:type="xsd:double"&gt;26.13&lt;/D&gt;&lt;D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xsi:type="xsd:double"&gt;24.92&lt;/D&gt;&lt;D xsi:type="xsd:double"&gt;25.06&lt;/D&gt;&lt;D xsi:type="xsd:double"&gt;25.09&lt;/D&gt;&lt;D xsi:type="xsd:double"&gt;25.08&lt;/D&gt;&lt;D xsi:type="xsd:double"&gt;24.94&lt;/D&gt;&lt;D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xsi:type="xsd:double"&gt;27.62&lt;/D&gt;&lt;D xsi:type="xsd:double"&gt;27.16&lt;/D&gt;&lt;D xsi:type="xsd:double"&gt;27.56&lt;/D&gt;&lt;D xsi:type="xsd:double"&gt;27.35&lt;/D&gt;&lt;D xsi:type="xsd:double"&gt;27.03&lt;/D&gt;&lt;D xsi:type="xsd:double"&gt;27.27&lt;/D&gt;&lt;D xsi:type="xsd:double"&gt;26.86&lt;/D&gt;&lt;D xsi:type="xsd:double"&gt;26.89&lt;/D&gt;&lt;D xsi:type="xsd:double"&gt;26.41&lt;/D&gt;&lt;D xsi:type="xsd:double"&gt;26.18&lt;/D&gt;&lt;D xsi:type="xsd:double"&gt;26.26&lt;/D&gt;&lt;D xsi:type="xsd:double"&gt;25.96&lt;/D&gt;&lt;D xsi:type="xsd:double"&gt;25.59&lt;/D&gt;&lt;D xsi:type="xsd:double"&gt;25.55&lt;/D&gt;&lt;D xsi:type="xsd:double"&gt;25.17&lt;/D&gt;&lt;D xsi:type="xsd:double"&gt;25.3019&lt;/D&gt;&lt;D xsi:type="xsd:double"&gt;25.3019&lt;/D&gt;&lt;/FQL&gt;&lt;FQL&gt;&lt;Q&gt;EWZ^FG_PRICE(0,-200D)&lt;/Q&gt;&lt;R&gt;201&lt;/R&gt;&lt;C&gt;1&lt;/C&gt;&lt;D xsi:type="xsd:double"&gt;35.95&lt;/D&gt;&lt;D xsi:type="xsd:double"&gt;35.02&lt;/D&gt;&lt;D xsi:type="xsd:double"&gt;33.62&lt;/D&gt;&lt;D xsi:type="xsd:double"&gt;33.17&lt;/D&gt;&lt;D xsi:type="xsd:double"&gt;33.17&lt;/D&gt;&lt;D xsi:type="xsd:double"&gt;33.36&lt;/D&gt;&lt;D xsi:type="xsd:double"&gt;33.16&lt;/D&gt;&lt;D xsi:type="xsd:double"&gt;32.63&lt;/D&gt;&lt;D xsi:type="xsd:double"&gt;32.93&lt;/D&gt;&lt;D xsi:type="xsd:double"&gt;33.06&lt;/D&gt;&lt;D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xsi:type="xsd:double"&gt;31.77&lt;/D&gt;&lt;D xsi:type="xsd:double"&gt;31.99&lt;/D&gt;&lt;D xsi:type="xsd:double"&gt;31.42&lt;/D&gt;&lt;D xsi:type="xsd:double"&gt;31.73&lt;/D&gt;&lt;D xsi:type="xsd:double"&gt;31.55&lt;/D&gt;&lt;D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</t>
        </r>
      </text>
    </comment>
    <comment ref="A7" authorId="0" shapeId="0" xr:uid="{BDA67B8D-3524-4E6D-8341-89BB63CAD886}">
      <text>
        <r>
          <rPr>
            <b/>
            <sz val="9"/>
            <color indexed="81"/>
            <rFont val="Tahoma"/>
            <charset val="1"/>
          </rPr>
          <t>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xsi:type="xsd:double"&gt;27.56&lt;/D&gt;&lt;D xsi:type="xsd:double"&gt;27.48&lt;/D&gt;&lt;D xsi:type="xsd:double"&gt;26.4&lt;/D&gt;&lt;D xsi:type="xsd:double"&gt;26.61&lt;/D&gt;&lt;D xsi:type="xsd:double"&gt;26.71&lt;/D&gt;&lt;D xsi:type="xsd:double"&gt;27.12&lt;/D&gt;&lt;D xsi:type="xsd:double"&gt;26.88&lt;/D&gt;&lt;D xsi:type="xsd:double"&gt;27.04&lt;/D&gt;&lt;D xsi:type="xsd:double"&gt;27.36&lt;/D&gt;&lt;D xsi:type="xsd:double"&gt;27.21&lt;/D&gt;&lt;D xsi:type="xsd:double"&gt;26.94&lt;/D&gt;&lt;D xsi:type="xsd:double"&gt;26.74&lt;/D&gt;&lt;D xsi:type="xsd:double"&gt;26.31&lt;/D&gt;&lt;D xsi:type="xsd:double"&gt;25.86&lt;/D&gt;&lt;D xsi:type="xsd:double"&gt;25.2&lt;/D&gt;&lt;D xsi:type="xsd:double"&gt;25.22&lt;/D&gt;&lt;D xsi:type="xsd:double"&gt;25.22&lt;/D&gt;&lt;/FQL&gt;&lt;FQL&gt;&lt;Q&gt;EWD^FG_PRICE(0,-200D)&lt;/Q&gt;&lt;R&gt;201&lt;/R&gt;&lt;C&gt;1&lt;/C&gt;&lt;D xsi:type="xsd:double"&gt;51.74&lt;/D&gt;&lt;D xsi:type="xsd:double"&gt;51.52&lt;/D&gt;&lt;D xsi:type="xsd:double"&gt;50.46&lt;/D&gt;&lt;D xsi:type="xsd:double"&gt;51.31&lt;/D&gt;&lt;D xsi:type="xsd:double"&gt;51.31&lt;/D&gt;&lt;D xsi:type="xsd:double"&gt;51.05&lt;/D&gt;&lt;D xsi:type="xsd:double"&gt;50.61&lt;/D&gt;&lt;D xsi:type="xsd:double"&gt;50.7&lt;/D&gt;&lt;D xsi:type="xsd:double"&gt;50.91&lt;/D&gt;&lt;D xsi:type="xsd:double"&gt;50.78&lt;/D&gt;&lt;D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xsi:type="xsd:double"&gt;49.23&lt;/D&gt;&lt;D xsi:type="xsd:double"&gt;49.55&lt;/D&gt;&lt;D xsi:type="xsd:double"&gt;49.32&lt;/D&gt;&lt;D xsi:type="xsd:double"&gt;49.65&lt;/D&gt;&lt;D xsi:type="xsd:double"&gt;49.31&lt;/D&gt;&lt;D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xsi:type="xsd:double"&gt;44.38&lt;/D&gt;&lt;D xsi:type="xsd:double"&gt;44.26&lt;/D&gt;&lt;D xsi:type="xsd:double"&gt;44.38&lt;/D&gt;&lt;D xsi:type="xsd:double"&gt;44.18&lt;/D&gt;&lt;D xsi:type="xsd:double"&gt;44.28&lt;/D&gt;&lt;D xsi:type="xsd:double"&gt;44.55&lt;/D&gt;&lt;D xsi:type="xsd:double"&gt;43.12&lt;/D&gt;&lt;D xsi:type="xsd:double"&gt;43.64&lt;/D&gt;&lt;D xsi:type="xsd:double"&gt;43&lt;/D&gt;&lt;D xsi:type="xsd:double"&gt;43.61&lt;/D&gt;&lt;D xsi:type="xsd:double"&gt;43.62&lt;/D&gt;&lt;D xsi:type="xsd:double"&gt;43.32&lt;/D&gt;&lt;D xsi:type="xsd:double"&gt;42.43&lt;/D&gt;&lt;D xsi:type="xsd:double"&gt;42.68&lt;/D&gt;&lt;D xsi:type="xsd:double"&gt;41.77&lt;/D&gt;&lt;D xsi:type="xsd:double"&gt;41.9&lt;/D&gt;&lt;D xsi:type="xsd:double"&gt;41.9&lt;/D&gt;&lt;/FQL&gt;&lt;FQL&gt;&lt;Q&gt;VNM^FG_TOTAL_RETURNC(-5AY,0,AM)&lt;/Q&gt;&lt;R&gt;61&lt;/R&gt;&lt;C&gt;1&lt;/C&gt;&lt;D xsi:type="xsd:double"&gt;10.409141&lt;/D&gt;&lt;D xsi:type="xsd:double"&gt;-0.8719325&lt;/D&gt;&lt;D xsi:type="xsd:double"&gt;-1.3743818&lt;/D&gt;&lt;D xsi:type="xsd:double"&gt;7.413602&lt;/D&gt;&lt;D xsi:type="xsd:double"&gt;-0.8822024&lt;/D&gt;&lt;D xsi:type="xsd:double"&gt;5.497372&lt;/D&gt;&lt;D xsi:type="xsd:double"&gt;-4.168737&lt;/D&gt;&lt;D xsi:type="xsd:double"&gt;-0.77679753&lt;/D&gt;&lt;D xsi:type="xsd:double"&gt;3.601253&lt;/D&gt;&lt;D xsi:type="xsd:double"&gt;-1.0579407&lt;/D&gt;&lt;D xsi:type="xsd:double"&gt;3.2586575&lt;/D&gt;&lt;D xsi:type="xsd:double"&gt;4.018986&lt;/D&gt;&lt;D xsi:type="xsd:double"&gt;-5.4787993&lt;/D&gt;&lt;D xsi:type="xsd:double"&gt;-1.0080695&lt;/D&gt;&lt;D xsi:type="xsd:double"&gt;-1.8839061&lt;/D&gt;&lt;D xsi:type="xsd:double"&gt;-10.430723&lt;/D&gt;&lt;D xsi:type="xsd:double"&gt;-10.312867&lt;/D&gt;&lt;D xsi:type="xsd:double"&gt;-6.6537437&lt;/D&gt;&lt;D xsi:type="xsd:double"&gt;0.34601688&lt;/D&gt;&lt;D xsi:type="xsd:double"&gt;5.3793073&lt;/D&gt;&lt;D xsi:type="xsd:double"&gt;-7.068062&lt;/D&gt;&lt;D xsi:type="xsd:double"&gt;-16.40845&lt;/D&gt;&lt;D xsi:type="xsd:double"&gt;-6.0657144&lt;/D&gt;&lt;D xsi:type="xsd:double"&gt;8.150494&lt;/D&gt;&lt;D xsi:type="xsd:double"&gt;9.068942&lt;/D&gt;&lt;D xsi:type="xsd:double"&gt;-9.746737&lt;/D&gt;&lt;D xsi:type="xsd:double"&gt;-0.08503795&lt;/D&gt;&lt;D xsi:type="xsd:double"&gt;1.2765884&lt;/D&gt;&lt;D xsi:type="xsd:double"&gt;4.6638727&lt;/D&gt;&lt;D xsi:type="xsd:double"&gt;8.791649&lt;/D&gt;&lt;D xsi:type="xsd:double"&gt;5.7564497&lt;/D&gt;&lt;D xsi:type="xsd:double"&gt;0.3489256&lt;/D&gt;&lt;D xsi:type="xsd:double"&gt;-1.3908207&lt;/D&gt;&lt;D xsi:type="xsd:double"&gt;-10.014105&lt;/D&gt;&lt;D xsi:type="xsd:double"&gt;6.191218&lt;/D&gt;&lt;D xsi:type="xsd:double"&gt;-1.9382894&lt;/D&gt;&lt;D xsi:type="xsd:double"&gt;2.5249124&lt;/D&gt;&lt;D xsi:type="xsd:double"&gt;3.4829736&lt;/D&gt;&lt;D xsi:type="xsd:double"&gt;2.6925921&lt;/D&gt;&lt;D xsi:type="xsd:double"&gt;-11.36198&lt;/D&gt;&lt;D xsi:type="xsd:double"&gt;4.6014786&lt;/D&gt;&lt;D xsi:type="xsd:double"&gt;-2.1995246&lt;/D&gt;&lt;D xsi:type="xsd:double"&gt;-3.0522108&lt;/D&gt;&lt;D xsi:type="xsd:double"&gt;2.8169036&lt;/D&gt;&lt;D xsi:type="xsd:double"&gt;1.0475397&lt;/D&gt;&lt;D xsi:type="xsd:double"&gt;-3.3492804&lt;/D&gt;&lt;D xsi:type="xsd:double"&gt;-4.3729362&lt;/D&gt;&lt;D xsi:type="xsd:double"&gt;0.51767826&lt;/D&gt;&lt;D xsi:type="xsd:double"&gt;-2.4463534&lt;/D&gt;&lt;D xsi:type="xsd:double"&gt;3.3875942&lt;/D&gt;&lt;D xsi:type="xsd:double"&gt;6.723404&lt;/D&gt;&lt;D xsi:type="xsd:double"&gt;-7.177031&lt;/D&gt;&lt;D xsi:type="xsd:double"&gt;13.144326&lt;/D&gt;&lt;D xsi:type="xsd:double"&gt;1.3287783&lt;/D&gt;&lt;D xsi:type="xsd:double"&gt;18.546272&lt;/D&gt;&lt;D xsi:type="xsd:double"&gt;9.734524&lt;/D&gt;&lt;D xsi:type="xsd:double"&gt;0.97926855&lt;/D&gt;&lt;D xsi:type="xsd:double"&gt;3.6508799&lt;/D&gt;&lt;D xsi:type="xsd:double"&gt;-2.4766147&lt;/D&gt;&lt;D xsi:type="xsd:double"&gt;5.237031&lt;/D&gt;&lt;D xsi:type="xsd:double"&gt;5.4540515&lt;/D&gt;&lt;/FQL&gt;&lt;FQL&gt;&lt;Q&gt;EWA^FG_TOTAL_RETURNC(-5AY,0,AM)&lt;/Q&gt;&lt;R&gt;61&lt;/R&gt;&lt;C&gt;1&lt;/C&gt;&lt;D xsi:type="xsd:double"&gt;5.1585674&lt;/D&gt;&lt;D xsi:type="xsd:double"&gt;2.050662&lt;/D&gt;&lt;D xsi:type="xsd:double"&gt;-2.04885&lt;/D&gt;&lt;D xsi:type="xsd:double"&gt;4.263878&lt;/D&gt;&lt;D xsi:type="xsd:double"&gt;1.4660478&lt;/D&gt;&lt;D xsi:type="xsd:double"&gt;1.6251206&lt;/D&gt;&lt;D xsi:type="xsd:double"&gt;-2.465862&lt;/D&gt;&lt;D xsi:type="xsd:double"&gt;-1.4780223&lt;/D&gt;&lt;D xsi:type="xsd:double"&gt;-0.39479136&lt;/D&gt;&lt;D xsi:type="xsd:double"&gt;5.192232&lt;/D&gt;&lt;D xsi:type="xsd:double"&gt;-4.6721992&lt;/D&gt;&lt;D xsi:type="xsd:double"&gt;0.874877&lt;/D&gt;&lt;D xsi:type="xsd:double"&gt;-4.8080444&lt;/D&gt;&lt;D xsi:type="xsd:double"&gt;2.9010296&lt;/D&gt;&lt;D xsi:type="xsd:double"&gt;7.7114344&lt;/D&gt;&lt;D xsi:type="xsd:double"&gt;-2.6558816&lt;/D&gt;&lt;D xsi:type="xsd:double"&gt;-4.9426675&lt;/D&gt;&lt;D xsi:type="xsd:double"&gt;-9.522856&lt;/D&gt;&lt;D xsi:type="xsd:double"&gt;3.2273412&lt;/D&gt;&lt;D xsi:type="xsd:double"&gt;2.8505802&lt;/D&gt;&lt;D xsi:type="xsd:double"&gt;-7.331252&lt;/D&gt;&lt;D xsi:type="xsd:double"&gt;-1.591897&lt;/D&gt;&lt;D xsi:type="xsd:double"&gt;12.05883&lt;/D&gt;&lt;D xsi:type="xsd:double"&gt;-1.8362641&lt;/D&gt;&lt;D xsi:type="xsd:double"&gt;10.667265&lt;/D&gt;&lt;D xsi:type="xsd:double"&gt;-4.2247715&lt;/D&gt;&lt;D xsi:type="xsd:double"&gt;-5.182016&lt;/D&gt;&lt;D xsi:type="xsd:double"&gt;5.0135493&lt;/D&gt;&lt;D xsi:type="xsd:double"&gt;-1.0752678&lt;/D&gt;&lt;D xsi:type="xsd:double"&gt;0.64976215&lt;/D&gt;&lt;D xsi:type="xsd:double"&gt;1.8485904&lt;/D&gt;&lt;D xsi:type="xsd:double"&gt;-7.519448&lt;/D&gt;&lt;D xsi:type="xsd:double"&gt;1.1214972&lt;/D&gt;&lt;D xsi:type="xsd:double"&gt;-4.667282&lt;/D&gt;&lt;D xsi:type="xsd:double"&gt;7.8526497&lt;/D&gt;&lt;D xsi:type="xsd:double"&gt;11.188423&lt;/D&gt;&lt;D xsi:type="xsd:double"&gt;-3.9603949&lt;/D&gt;&lt;D xsi:type="xsd:double"&gt;2.4914026&lt;/D&gt;&lt;D xsi:type="xsd:double"&gt;1.6764402&lt;/D&gt;&lt;D xsi:type="xsd:double"&gt;-2.514428&lt;/D&gt;&lt;D xsi:type="xsd:double"&gt;4.186046&lt;/D&gt;&lt;D xsi:type="xsd:double"&gt;0.8314729&lt;/D&gt;&lt;D xsi:type="xsd:double"&gt;2.7082443&lt;/D&gt;&lt;D xsi:type="xsd:double"&gt;0.958848&lt;/D&gt;&lt;D xsi:type="xsd:double"&gt;4.907&lt;/D&gt;&lt;D xsi:type="xsd:double"&gt;-1.3957024&lt;/D&gt;&lt;D xsi:type="xsd:double"&gt;0.68860054&lt;/D&gt;&lt;D xsi:type="xsd:double"&gt;-8.171874&lt;/D&gt;&lt;D xsi:type="xsd:double"&gt;3.9545536&lt;/D&gt;&lt;D xsi:type="xsd:double"&gt;-0.6475091&lt;/D&gt;&lt;D xsi:type="xsd:double"&gt;-4.5621157&lt;/D&gt;&lt;D xsi:type="xsd:double"&gt;2.2620559&lt;/D&gt;&lt;D xsi:type="xsd:double"&gt;6.051755&lt;/D&gt;&lt;D xsi:type="xsd:double"&gt;2.082312&lt;/D&gt;&lt;D xsi:type="xsd:double"&gt;3.9138913&lt;/D&gt;&lt;D xsi:type="xsd:double"&gt;2.6741982&lt;/D&gt;&lt;D xsi:type="xsd:double"&gt;-1.247251&lt;/D&gt;&lt;D xsi:type="xsd:double"&gt;0.55720806&lt;/D&gt;&lt;D xsi:type="xsd:double"&gt;-6.427777&lt;/D&gt;&lt;D xsi:type="xsd:double"&gt;5.011046&lt;/D&gt;&lt;D xsi:type="xsd:double"&gt;3.5181642&lt;/D&gt;&lt;/FQL&gt;&lt;FQL&gt;&lt;Q&gt;EPU^FG_TOTAL_RETURNC(-5AY,0,AM)&lt;/Q&gt;&lt;R&gt;61&lt;/R&gt;&lt;C&gt;1&lt;/C&gt;&lt;D xsi:type="xsd:double"&gt;3.7974596&lt;/D&gt;&lt;D xsi:type="xsd:double"&gt;9.812832&lt;/D&gt;&lt;D xsi:type="xsd:double"&gt;-8.651865&lt;/D&gt;&lt;D xsi:type="xsd:double"&gt;-10.856652&lt;/D&gt;&lt;D xsi:type="xsd:double"&gt;3.330171&lt;/D&gt;&lt;D xsi:type="xsd:double"&gt;-13.2369995&lt;/D&gt;&lt;D xsi:type="xsd:double"&gt;1.2457728&lt;/D&gt;&lt;D xsi:type="xsd:double"&gt;-14.869624&lt;/D&gt;&lt;D xsi:type="xsd:double"&gt;9.147358&lt;/D&gt;&lt;D xsi:type="xsd:double"&gt;15.585888&lt;/D&gt;&lt;D xsi:type="xsd:double"&gt;-6.003934&lt;/D&gt;&lt;D xsi:type="xsd:double"&gt;0.9446621&lt;/D&gt;&lt;D xsi:type="xsd:double"&gt;17.911507&lt;/D&gt;&lt;D xsi:type="xsd:double"&gt;1.9513607&lt;/D&gt;&lt;D xsi:type="xsd:double"&gt;10.217905&lt;/D&gt;&lt;D xsi:type="xsd:double"&gt;-10.553032&lt;/D&gt;&lt;D xsi:type="xsd:double"&gt;-11.081243&lt;/D&gt;&lt;D xsi:type="xsd:double"&gt;-6.201732&lt;/D&gt;&lt;D xsi:type="xsd:double"&gt;-4.753065&lt;/D&gt;&lt;D xsi:type="xsd:double"&gt;-0.5458057&lt;/D&gt;&lt;D xsi:type="xsd:double"&gt;-0.9408057&lt;/D&gt;&lt;D xsi:type="xsd:double"&gt;1.8203378&lt;/D&gt;&lt;D xsi:type="xsd:double"&gt;14.0303135&lt;/D&gt;&lt;D xsi:type="xsd:double"&gt;-1.7099023&lt;/D&gt;&lt;D xsi:type="xsd:double"&gt;10.973894&lt;/D&gt;&lt;D xsi:type="xsd:double"&gt;-7.090622&lt;/D&gt;&lt;D xsi:type="xsd:double"&gt;-0.684458&lt;/D&gt;&lt;D xsi:type="xsd:double"&gt;7.615435&lt;/D&gt;&lt;D xsi:type="xsd:double"&gt;-2.465582&lt;/D&gt;&lt;D xsi:type="xsd:double"&gt;2.7872682&lt;/D&gt;&lt;D xsi:type="xsd:double"&gt;7.286787&lt;/D&gt;&lt;D xsi:type="xsd:double"&gt;-3.8657844&lt;/D&gt;&lt;D xsi:type="xsd:double"&gt;-3.2656968&lt;/D&gt;&lt;D xsi:type="xsd:double"&gt;-4.9432936&lt;/D&gt;&lt;D xsi:type="xsd:double"&gt;6.372702&lt;/D&gt;&lt;D xsi:type="xsd:double"&gt;14.009989&lt;/D&gt;&lt;D xsi:type="xsd:double"&gt;-3.2049298&lt;/D&gt;&lt;D xsi:type="xsd:double"&gt;5.217731&lt;/D&gt;&lt;D xsi:type="xsd:double"&gt;12.08694&lt;/D&gt;&lt;D xsi:type="xsd:double"&gt;1.230979&lt;/D&gt;&lt;D xsi:type="xsd:double"&gt;7.734859&lt;/D&gt;&lt;D xsi:type="xsd:double"&gt;-3.6814332&lt;/D&gt;&lt;D xsi:type="xsd:double"&gt;1.8353224&lt;/D&gt;&lt;D xsi:type="xsd:double"&gt;-2.5328815&lt;/D&gt;&lt;D xsi:type="xsd:double"&gt;3.3213377&lt;/D&gt;&lt;D xsi:type="xsd:double"&gt;8.635712&lt;/D&gt;&lt;D xsi:type="xsd:double"&gt;-3.5952747&lt;/D&gt;&lt;D xsi:type="xsd:double"&gt;-4.267496&lt;/D&gt;&lt;D xsi:type="xsd:double"&gt;0.6176233&lt;/D&gt;&lt;D xsi:type="xsd:double"&gt;1.6214013&lt;/D&gt;&lt;D xsi:type="xsd:double"&gt;8.688248&lt;/D&gt;&lt;D xsi:type="xsd:double"&gt;-1.8450558&lt;/D&gt;&lt;D xsi:type="xsd:double"&gt;4.3890834&lt;/D&gt;&lt;D xsi:type="xsd:double"&gt;4.816735&lt;/D&gt;&lt;D xsi:type="xsd:double"&gt;5.246389&lt;/D&gt;&lt;D xsi:type="xsd:double"&gt;7.426846&lt;/D&gt;&lt;D xsi:type="xsd:double"&gt;10.069513&lt;/D&gt;&lt;D xsi:type="xsd:double"&gt;3.6183596&lt;/D&gt;&lt;D xsi:type="xsd:double"&gt;-1.7624795&lt;/D&gt;&lt;D xsi:type="xsd:double"&gt;21.354544&lt;/D&gt;&lt;D xsi:type="xsd:double"&gt;19.58934&lt;/D&gt;&lt;/FQL&gt;&lt;FQL&gt;&lt;Q&gt;EWN^FG_PRICE(0,-200D)&lt;/Q&gt;&lt;R&gt;201&lt;/R&gt;&lt;C&gt;1&lt;/C&gt;&lt;D xsi:type="xsd:double"&gt;62.14&lt;/D&gt;&lt;D xsi:type="xsd:double"&gt;61.539&lt;/D&gt;&lt;D xsi:type="xsd:double"&gt;60.64&lt;/D&gt;&lt;D xsi:type="xsd:double"&gt;61.91&lt;/D&gt;&lt;D xsi:type="xsd:double"&gt;61.91&lt;/D&gt;&lt;D xsi:type="xsd:double"&gt;61.6&lt;/D&gt;&lt;D xsi:type="xsd:double"&gt;60.67&lt;/D&gt;&lt;D xsi:type="xsd:double"&gt;60.78&lt;/D&gt;&lt;D xsi:type="xsd:double"&gt;61.04&lt;/D&gt;&lt;D xsi:type="xsd:double"&gt;60.4&lt;/D&gt;&lt;D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xsi:type="xsd:double"&gt;57.03&lt;/D&gt;&lt;D xsi:type="xsd:double"&gt;57.227&lt;/D&gt;&lt;D xsi:type="xsd:double"&gt;57&lt;/D&gt;&lt;D xsi:type="xsd:double"&gt;57.16&lt;/D&gt;&lt;D xsi:type="xsd:double"&gt;57.1&lt;/D&gt;&lt;D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xsi:type="xsd:double"&gt;50.79&lt;/D&gt;&lt;D xsi:type="xsd:double"&gt;50.32&lt;/D&gt;&lt;D xsi:type="xsd:double"&gt;50.21&lt;/D&gt;&lt;D xsi:type="xsd:double"&gt;49.98&lt;/D&gt;&lt;D xsi:type="xsd:double"&gt;50.14&lt;/D&gt;&lt;D xsi:type="xsd:double"&gt;50.27&lt;/D&gt;&lt;D xsi:type="xsd:double"&gt;48.78&lt;/D&gt;&lt;D xsi:type="xsd:double"&gt;48.85&lt;/D&gt;&lt;D xsi:type="xsd:double"&gt;48.92&lt;/D&gt;&lt;D xsi:type="xsd:double"&gt;48.79&lt;/D&gt;&lt;D xsi:type="xsd:double"&gt;48.78&lt;/D&gt;&lt;D xsi:type="xsd:double"&gt;48.41&lt;/D&gt;&lt;D xsi:type="xsd:double"&gt;47.77&lt;/D&gt;&lt;D xsi:type="xsd:double"&gt;47.1&lt;/D&gt;&lt;D xsi:type="xsd:double"&gt;46.09&lt;/D&gt;&lt;D xsi:type="xsd:double"&gt;46.55&lt;/D&gt;&lt;D xsi:type="xsd:double"&gt;46.55&lt;/D&gt;&lt;/FQL&gt;&lt;FQL&gt;&lt;Q&gt;EWC^FG_PRICE(0,-200D)&lt;/Q&gt;&lt;R&gt;201&lt;/R&gt;&lt;C&gt;1&lt;/C&gt;&lt;D xsi:type="xsd:double"&gt;55.2&lt;/D&gt;&lt;D xsi:type="xsd:double"&gt;55.02&lt;/D&gt;&lt;D xsi:type="xsd:double"&gt;54.75&lt;/D&gt;&lt;D xsi:type="xsd:double"&gt;55.13&lt;/D&gt;&lt;D xsi:type="xsd:double"&gt;55.13&lt;/D&gt;&lt;D xsi:type="xsd:double"&gt;55.22&lt;/D&gt;&lt;D xsi:type="xsd:double"&gt;55.18&lt;/D&gt;&lt;D xsi:type="xsd:double"&gt;55.12&lt;/D&gt;&lt;D xsi:type="xsd:double"&gt;55.09&lt;/D&gt;&lt;D xsi:type="xsd:double"&gt;54.63&lt;/D&gt;&lt;D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xsi:type="xsd:double"&gt;53.93&lt;/D&gt;&lt;D xsi:type="xsd:double"&gt;54.3&lt;/D&gt;&lt;D xsi:type="xsd:double"&gt;54.33&lt;/D&gt;&lt;D xsi:type="xsd:double"&gt;54.8&lt;/D&gt;&lt;D xsi:type="xsd:double"&gt;54.6&lt;/D&gt;&lt;D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xsi:type="xsd:double"&gt;42.85&lt;/D&gt;&lt;D xsi:type="xsd:double"&gt;42.81&lt;/D&gt;&lt;D xsi:type="xsd:double"&gt;42.89&lt;/D&gt;&lt;D xsi:type="xsd:double"&gt;42.77&lt;/D&gt;&lt;D xsi:type="xsd:double"&gt;42.66&lt;/D&gt;&lt;D xsi:type="xsd:double"&gt;42.84&lt;/D&gt;&lt;D xsi:type="xsd:double"&gt;42.31&lt;/D&gt;&lt;D xsi:type="xsd:double"&gt;42.45&lt;/D&gt;&lt;D xsi:type="xsd:double"&gt;42.45&lt;/D&gt;&lt;D xsi:type="xsd:double"&gt;42.37&lt;/D&gt;&lt;D xsi:type="xsd:double"&gt;42.04&lt;/D&gt;&lt;D xsi:type="xsd:double"&gt;42.06&lt;/D&gt;&lt;D xsi:type="xsd:double"&gt;41.52&lt;/D&gt;&lt;D xsi:type="xsd:double"&gt;41.39&lt;/D&gt;&lt;D xsi:type="xsd:double"&gt;40.77&lt;/D&gt;&lt;D xsi:type="xsd:double"&gt;41.1&lt;/D&gt;&lt;D xsi:type="xsd:double"&gt;41.1&lt;/D&gt;&lt;/FQL&gt;&lt;FQL&gt;&lt;Q&gt;QAT^FG_PRICE(0,-200D)&lt;/Q&gt;&lt;R&gt;201&lt;/R&gt;&lt;C&gt;1&lt;/C&gt;&lt;D xsi:type="xsd:double"&gt;19.9&lt;/D&gt;&lt;D xsi:type="xsd:double"&gt;19.71&lt;/D&gt;&lt;D xsi:type="xsd:double"&gt;19.71&lt;/D&gt;&lt;D xsi:type="xsd:double"&gt;19.46&lt;/D&gt;&lt;D xsi:type="xsd:double"&gt;19.46&lt;/D&gt;&lt;D xsi:type="xsd:double"&gt;19.425&lt;/D&gt;&lt;D xsi:type="xsd:double"&gt;19.6596&lt;/D&gt;&lt;D xsi:type="xsd:double"&gt;19.71&lt;/D&gt;&lt;D xsi:type="xsd:double"&gt;19.6099&lt;/D&gt;&lt;D xsi:type="xsd:double"&gt;19.36&lt;/D&gt;&lt;D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</t>
        </r>
      </text>
    </comment>
    <comment ref="A8" authorId="0" shapeId="0" xr:uid="{523A5FBE-0E87-4B00-9C69-5B700560F903}">
      <text>
        <r>
          <rPr>
            <b/>
            <sz val="9"/>
            <color indexed="81"/>
            <rFont val="Tahoma"/>
            <charset val="1"/>
          </rPr>
          <t>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xsi:type="xsd:double"&gt;18.69&lt;/D&gt;&lt;D xsi:type="xsd:double"&gt;18.615&lt;/D&gt;&lt;D xsi:type="xsd:double"&gt;18.51&lt;/D&gt;&lt;D xsi:type="xsd:double"&gt;18.55&lt;/D&gt;&lt;D xsi:type="xsd:double"&gt;18.55&lt;/D&gt;&lt;D xsi:type="xsd:double"&gt;18.54&lt;/D&gt;&lt;D xsi:type="xsd:double"&gt;18.34&lt;/D&gt;&lt;D xsi:type="xsd:double"&gt;18.31&lt;/D&gt;&lt;D xsi:type="xsd:double"&gt;18.2&lt;/D&gt;&lt;D xsi:type="xsd:double"&gt;18.14&lt;/D&gt;&lt;D xsi:type="xsd:double"&gt;18.16&lt;/D&gt;&lt;D xsi:type="xsd:double"&gt;18.12&lt;/D&gt;&lt;D xsi:type="xsd:double"&gt;17.9&lt;/D&gt;&lt;D xsi:type="xsd:double"&gt;17.91&lt;/D&gt;&lt;D xsi:type="xsd:double"&gt;17.78&lt;/D&gt;&lt;D xsi:type="xsd:double"&gt;17.72&lt;/D&gt;&lt;D xsi:type="xsd:double"&gt;17.72&lt;/D&gt;&lt;/FQL&gt;&lt;FQL&gt;&lt;Q&gt;EWT^FG_PRICE(0,-200D)&lt;/Q&gt;&lt;R&gt;201&lt;/R&gt;&lt;C&gt;1&lt;/C&gt;&lt;D xsi:type="xsd:double"&gt;68.25&lt;/D&gt;&lt;D xsi:type="xsd:double"&gt;67.45&lt;/D&gt;&lt;D xsi:type="xsd:double"&gt;66.54&lt;/D&gt;&lt;D xsi:type="xsd:double"&gt;67.34&lt;/D&gt;&lt;D xsi:type="xsd:double"&gt;67.34&lt;/D&gt;&lt;D xsi:type="xsd:double"&gt;67.29&lt;/D&gt;&lt;D xsi:type="xsd:double"&gt;66.51&lt;/D&gt;&lt;D xsi:type="xsd:double"&gt;66.1&lt;/D&gt;&lt;D xsi:type="xsd:double"&gt;66.62&lt;/D&gt;&lt;D xsi:type="xsd:double"&gt;65.92&lt;/D&gt;&lt;D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xsi:type="xsd:double"&gt;63.53&lt;/D&gt;&lt;D xsi:type="xsd:double"&gt;63.71&lt;/D&gt;&lt;D xsi:type="xsd:double"&gt;63.33&lt;/D&gt;&lt;D xsi:type="xsd:double"&gt;63.02&lt;/D&gt;&lt;D xsi:type="xsd:double"&gt;62.53&lt;/D&gt;&lt;D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xsi:type="xsd:double"&gt;51.75&lt;/D&gt;&lt;D xsi:type="xsd:double"&gt;51.16&lt;/D&gt;&lt;D xsi:type="xsd:double"&gt;51&lt;/D&gt;&lt;D xsi:type="xsd:double"&gt;51.56&lt;/D&gt;&lt;D xsi:type="xsd:double"&gt;52.96&lt;/D&gt;&lt;D xsi:type="xsd:double"&gt;50.95&lt;/D&gt;&lt;D xsi:type="xsd:double"&gt;47.82&lt;/D&gt;&lt;D xsi:type="xsd:double"&gt;47.48&lt;/D&gt;&lt;D xsi:type="xsd:double"&gt;47.15&lt;/D&gt;&lt;D xsi:type="xsd:double"&gt;46.47&lt;/D&gt;&lt;D xsi:type="xsd:double"&gt;46.34&lt;/D&gt;&lt;D xsi:type="xsd:double"&gt;46.18&lt;/D&gt;&lt;D xsi:type="xsd:double"&gt;45.5&lt;/D&gt;&lt;D xsi:type="xsd:double"&gt;44.33&lt;/D&gt;&lt;D xsi:type="xsd:double"&gt;44.22&lt;/D&gt;&lt;D xsi:type="xsd:double"&gt;44.88&lt;/D&gt;&lt;D xsi:type="xsd:double"&gt;44.88&lt;/D&gt;&lt;/FQL&gt;&lt;FQL&gt;&lt;Q&gt;CNYA^JULIAN(FG_PRICE(0,-200D).DATES)&lt;/Q&gt;&lt;R&gt;201&lt;/R&gt;&lt;C&gt;1&lt;/C&gt;&lt;D xsi:type="xsd:long"&gt;46044&lt;/D&gt;&lt;D xsi:type="xsd:long"&gt;46043&lt;/D&gt;&lt;D xsi:type="xsd:long"&gt;46042&lt;/D&gt;&lt;D xsi:type="xsd:long"&gt;46041&lt;/D&gt;&lt;D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xsi:type="xsd:long"&gt;46023&lt;/D&gt;&lt;D xsi:type="xsd:long"&gt;46022&lt;/D&gt;&lt;D xsi:type="xsd:long"&gt;46021&lt;/D&gt;&lt;D xsi:type="xsd:long"&gt;46020&lt;/D&gt;&lt;D xsi:type="xsd:long"&gt;46017&lt;/D&gt;&lt;D xsi:type="xsd:long"&gt;46016&lt;/D&gt;&lt;D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xsi:type="xsd:long"&gt;45988&lt;/D&gt;&lt;D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xsi:type="xsd:long"&gt;45901&lt;/D&gt;&lt;D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xsi:type="xsd:long"&gt;45842&lt;/D&gt;&lt;D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xsi:type="xsd:long"&gt;45827&lt;/D&gt;&lt;D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xsi:type="xsd:long"&gt;45803&lt;/D&gt;&lt;D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xsi:type="xsd:long"&gt;45765&lt;/D&gt;&lt;D xsi:type="xsd:long"&gt;45764&lt;/D&gt;&lt;/FQL&gt;&lt;FQL&gt;&lt;Q&gt;EWQ^FG_PRICE(0,-200D)&lt;/Q&gt;&lt;R&gt;201&lt;/R&gt;&lt;C&gt;1&lt;/C&gt;&lt;D xsi:type="xsd:double"&gt;45.16&lt;/D&gt;&lt;D xsi:type="xsd:double"&gt;45.05&lt;/D&gt;&lt;D xsi:type="xsd:double"&gt;44.55&lt;/D&gt;&lt;D xsi:type="xsd:double"&gt;45.29&lt;/D&gt;&lt;D xsi:type="xsd:double"&gt;45.29&lt;/D&gt;&lt;D xsi:type="xsd:double"&gt;45.4&lt;/D&gt;&lt;D xsi:type="xsd:double"&gt;45.87&lt;/D&gt;&lt;D xsi:type="xsd:double"&gt;45.96&lt;/D&gt;&lt;D xsi:type="xsd:double"&gt;46.1&lt;/D&gt;&lt;D xsi:type="xsd:double"&gt;45.88&lt;/D&gt;&lt;D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xsi:type="xsd:double"&gt;44.99&lt;/D&gt;&lt;D xsi:type="xsd:double"&gt;45.14&lt;/D&gt;&lt;D xsi:type="xsd:double"&gt;44.99&lt;/D&gt;&lt;D xsi:type="xsd:double"&gt;45.18&lt;/D&gt;&lt;D xsi:type="xsd:double"&gt;44.98&lt;/D&gt;&lt;D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xsi:type="xsd:double"&gt;41.68&lt;/D&gt;&lt;D xsi:type="xsd:double"&gt;41.32&lt;/D&gt;&lt;D xsi:type="xsd:double"&gt;41.32&lt;/D&gt;&lt;D xsi:type="xsd:double"&gt;41.62&lt;/D&gt;&lt;D xsi:type="xsd:double"&gt;41.84&lt;/D&gt;&lt;D xsi:type="xsd:double"&gt;41.86&lt;/D&gt;&lt;D xsi:type="xsd:double"&gt;41.07&lt;/D&gt;&lt;D xsi:type="xsd:double"&gt;41.04&lt;/D&gt;&lt;D xsi:type="xsd:double"&gt;40.94&lt;/D&gt;&lt;D xsi:type="xsd:double"&gt;41.04&lt;/D&gt;&lt;D xsi:type="xsd:double"&gt;40.95&lt;/D&gt;&lt;D xsi:type="xsd:double"&gt;40.72&lt;/D&gt;&lt;D xsi:type="xsd:double"&gt;40.12&lt;/D&gt;&lt;D xsi:type="xsd:double"&gt;39.84&lt;/D&gt;&lt;D xsi:type="xsd:double"&gt;38.97&lt;/D&gt;&lt;D xsi:type="xsd:double"&gt;39.22&lt;/D&gt;&lt;D xsi:type="xsd:double"&gt;39.22&lt;/D&gt;&lt;/FQL&gt;&lt;FQL&gt;&lt;Q&gt;EWM^FG_PRICE(0,-200D)&lt;/Q&gt;&lt;R&gt;201&lt;/R&gt;&lt;C&gt;1&lt;/C&gt;&lt;D xsi:type="xsd:double"&gt;28.43&lt;/D&gt;&lt;D xsi:type="xsd:double"&gt;28.26&lt;/D&gt;&lt;D xsi:type="xsd:double"&gt;27.88&lt;/D&gt;&lt;D xsi:type="xsd:double"&gt;28.17&lt;/D&gt;&lt;D xsi:type="xsd:double"&gt;28.17&lt;/D&gt;&lt;D xsi:type="xsd:double"&gt;28.28&lt;/D&gt;&lt;D xsi:type="xsd:double"&gt;28.2&lt;/D&gt;&lt;D xsi:type="xsd:double"&gt;28.05&lt;/D&gt;&lt;D xsi:type="xsd:double"&gt;27.97&lt;/D&gt;&lt;D xsi:type="xsd:double"&gt;27.59&lt;/D&gt;&lt;D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xsi:type="xsd:double"&gt;27.36&lt;/D&gt;&lt;D xsi:type="xsd:double"&gt;27.57&lt;/D&gt;&lt;D xsi:type="xsd:double"&gt;27.53&lt;/D&gt;&lt;D xsi:type="xsd:double"&gt;27.64&lt;/D&gt;&lt;D xsi:type="xsd:double"&gt;27.69&lt;/D&gt;&lt;D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xsi:type="xsd:double"&gt;24.45&lt;/D&gt;&lt;D xsi:type="xsd:double"&gt;24.31&lt;/D&gt;&lt;D xsi:type="xsd:double"&gt;24.68&lt;/D&gt;&lt;D xsi:type="xsd:double"&gt;24.64&lt;/D&gt;&lt;D xsi:type="xsd:double"&gt;24.86&lt;/D&gt;&lt;D xsi:type="xsd:double"&gt;24.85&lt;/D&gt;&lt;D xsi:type="xsd:double"&gt;24.12&lt;/D&gt;&lt;D xsi:type="xsd:double"&gt;24.17&lt;/D&gt;&lt;D xsi:type="xsd:double"&gt;23.7&lt;/D&gt;&lt;D xsi:type="xsd:double"&gt;23.71&lt;/D&gt;&lt;D xsi:type="xsd:double"&gt;23.43&lt;/D&gt;&lt;D xsi:type="xsd:double"&gt;23.43&lt;/D&gt;&lt;D xsi:type="xsd:double"&gt;23.07&lt;/D&gt;&lt;D xsi:type="xsd:double"&gt;22.91&lt;/D&gt;&lt;D xsi:type="xsd:double"&gt;23.04&lt;/D&gt;&lt;D xsi:type="xsd:double"&gt;22.77&lt;/D&gt;&lt;D xsi:type="xsd:double"&gt;22.77&lt;/D&gt;&lt;/FQL&gt;&lt;FQL&gt;&lt;Q&gt;EWI^FG_TOTAL_RETURNC(-5AY,0,AM)&lt;/Q&gt;&lt;R&gt;61&lt;/R&gt;&lt;C&gt;1&lt;/C&gt;&lt;D xsi:type="xsd:double"&gt;0.8956313&lt;/D&gt;&lt;D xsi:type="xsd:double"&gt;3.1751394&lt;/D&gt;&lt;D xsi:type="xsd:double"&gt;3.8716078&lt;/D&gt;&lt;D xsi:type="xsd:double"&gt;1.2742996&lt;/D&gt;&lt;D xsi:type="xsd:double"&gt;4.215157&lt;/D&gt;&lt;D xsi:type="xsd:double"&gt;0.2721429&lt;/D&gt;&lt;D xsi:type="xsd:double"&gt;-3.4125507&lt;/D&gt;&lt;D xsi:type="xsd:double"&gt;3.1861186&lt;/D&gt;&lt;D xsi:type="xsd:double"&gt;-1.8342972&lt;/D&gt;&lt;D xsi:type="xsd:double"&gt;3.8928628&lt;/D&gt;&lt;D xsi:type="xsd:double"&gt;-1.1990428&lt;/D&gt;&lt;D xsi:type="xsd:double"&gt;-0.5454838&lt;/D&gt;&lt;D xsi:type="xsd:double"&gt;0.27846098&lt;/D&gt;&lt;D xsi:type="xsd:double"&gt;-2.7769208&lt;/D&gt;&lt;D xsi:type="xsd:double"&gt;-7.870513&lt;/D&gt;&lt;D xsi:type="xsd:double"&gt;-2.3768544&lt;/D&gt;&lt;D xsi:type="xsd:double"&gt;-2.752298&lt;/D&gt;&lt;D xsi:type="xsd:double"&gt;-8.337003&lt;/D&gt;&lt;D xsi:type="xsd:double"&gt;-5.752754&lt;/D&gt;&lt;D xsi:type="xsd:double"&gt;2.164507&lt;/D&gt;&lt;D xsi:type="xsd:double"&gt;-2.5847495&lt;/D&gt;&lt;D xsi:type="xsd:double"&gt;0.13049841&lt;/D&gt;&lt;D xsi:type="xsd:double"&gt;18.722843&lt;/D&gt;&lt;D xsi:type="xsd:double"&gt;-0.3904462&lt;/D&gt;&lt;D xsi:type="xsd:double"&gt;10.104406&lt;/D&gt;&lt;D xsi:type="xsd:double"&gt;1.151371&lt;/D&gt;&lt;D xsi:type="xsd:double"&gt;-1.4730513&lt;/D&gt;&lt;D xsi:type="xsd:double"&gt;7.679236&lt;/D&gt;&lt;D xsi:type="xsd:double"&gt;-1.1675656&lt;/D&gt;&lt;D xsi:type="xsd:double"&gt;1.4396548&lt;/D&gt;&lt;D xsi:type="xsd:double"&gt;6.28829&lt;/D&gt;&lt;D xsi:type="xsd:double"&gt;-5.0364075&lt;/D&gt;&lt;D xsi:type="xsd:double"&gt;-0.8945644&lt;/D&gt;&lt;D xsi:type="xsd:double"&gt;-4.6099305&lt;/D&gt;&lt;D xsi:type="xsd:double"&gt;9.462654&lt;/D&gt;&lt;D xsi:type="xsd:double"&gt;5.5134177&lt;/D&gt;&lt;D xsi:type="xsd:double"&gt;-1.6296268&lt;/D&gt;&lt;D xsi:type="xsd:double"&gt;6.7469835&lt;/D&gt;&lt;D xsi:type="xsd:double"&gt;5.5022597&lt;/D&gt;&lt;D xsi:type="xsd:double"&gt;-1.6314566&lt;/D&gt;&lt;D xsi:type="xsd:double"&gt;4.4861436&lt;/D&gt;&lt;D xsi:type="xsd:double"&gt;-3.9765894&lt;/D&gt;&lt;D xsi:type="xsd:double"&gt;5.887258&lt;/D&gt;&lt;D xsi:type="xsd:double"&gt;-1.1801779&lt;/D&gt;&lt;D xsi:type="xsd:double"&gt;2.388537&lt;/D&gt;&lt;D xsi:type="xsd:double"&gt;-0.57024956&lt;/D&gt;&lt;D xsi:type="xsd:double"&gt;-6.1522427&lt;/D&gt;&lt;D xsi:type="xsd:double"&gt;0.4041314&lt;/D&gt;&lt;D xsi:type="xsd:double"&gt;6.3764095&lt;/D&gt;&lt;D xsi:type="xsd:double"&gt;7.208872&lt;/D&gt;&lt;D xsi:type="xsd:double"&gt;5.788183&lt;/D&gt;&lt;D xsi:type="xsd:double"&gt;-0.32595992&lt;/D&gt;&lt;D xsi:type="xsd:double"&gt;11.048818&lt;/D&gt;&lt;D xsi:type="xsd:double"&gt;-0.7850051&lt;/D&gt;&lt;D xsi:type="xsd:double"&gt;4.7238946&lt;/D&gt;&lt;D xsi:type="xsd:double"&gt;7.8063846&lt;/D&gt;&lt;D xsi:type="xsd:double"&gt;-1.1463463&lt;/D&gt;&lt;D xsi:type="xsd:double"&gt;-2.0873606&lt;/D&gt;&lt;D xsi:type="xsd:double"&gt;1.5988946&lt;/D&gt;&lt;D xsi:type="xsd:double"&gt;6.762743&lt;/D&gt;&lt;D xsi:type="xsd:double"&gt;0.9771347&lt;/D&gt;&lt;/FQL&gt;&lt;FQL&gt;&lt;Q&gt;EWY^FG_TOTAL_RETURNC(-5AY,0,AM)&lt;/Q&gt;&lt;R&gt;61&lt;/R&gt;&lt;C&gt;1&lt;/C&gt;&lt;D xsi:type="xsd:double"&gt;18.474556&lt;/D&gt;&lt;D xsi:type="xsd:double"&gt;-3.3468366&lt;/D&gt;&lt;D xsi:type="xsd:double"&gt;-1.75342</t>
        </r>
      </text>
    </comment>
    <comment ref="A9" authorId="0" shapeId="0" xr:uid="{C68C0C5B-7E2D-49CB-9762-7EAC746511A0}">
      <text>
        <r>
          <rPr>
            <b/>
            <sz val="9"/>
            <color indexed="81"/>
            <rFont val="Tahoma"/>
            <charset val="1"/>
          </rPr>
          <t>56&lt;/D&gt;&lt;D xsi:type="xsd:double"&gt;2.6153326&lt;/D&gt;&lt;D xsi:type="xsd:double"&gt;-2.1001935&lt;/D&gt;&lt;D xsi:type="xsd:double"&gt;2.7597785&lt;/D&gt;&lt;D xsi:type="xsd:double"&gt;-1.9245446&lt;/D&gt;&lt;D xsi:type="xsd:double"&gt;-8.40354&lt;/D&gt;&lt;D xsi:type="xsd:double"&gt;-0.76253414&lt;/D&gt;&lt;D xsi:type="xsd:double"&gt;-1.9880414&lt;/D&gt;&lt;D xsi:type="xsd:double"&gt;-0.41065216&lt;/D&gt;&lt;D xsi:type="xsd:double"&gt;0.083339214&lt;/D&gt;&lt;D xsi:type="xsd:double"&gt;-4.961109&lt;/D&gt;&lt;D xsi:type="xsd:double"&gt;-2.3483634&lt;/D&gt;&lt;D xsi:type="xsd:double"&gt;-2.1299899&lt;/D&gt;&lt;D xsi:type="xsd:double"&gt;-5.2092075&lt;/D&gt;&lt;D xsi:type="xsd:double"&gt;-2.058953&lt;/D&gt;&lt;D xsi:type="xsd:double"&gt;-12.568063&lt;/D&gt;&lt;D xsi:type="xsd:double"&gt;1.1416674&lt;/D&gt;&lt;D xsi:type="xsd:double"&gt;-1.1458874&lt;/D&gt;&lt;D xsi:type="xsd:double"&gt;-9.342557&lt;/D&gt;&lt;D xsi:type="xsd:double"&gt;-3.9313018&lt;/D&gt;&lt;D xsi:type="xsd:double"&gt;12.951922&lt;/D&gt;&lt;D xsi:type="xsd:double"&gt;1.2684703&lt;/D&gt;&lt;D xsi:type="xsd:double"&gt;11.142349&lt;/D&gt;&lt;D xsi:type="xsd:double"&gt;-5.882353&lt;/D&gt;&lt;D xsi:type="xsd:double"&gt;-0.050401688&lt;/D&gt;&lt;D xsi:type="xsd:double"&gt;3.479576&lt;/D&gt;&lt;D xsi:type="xsd:double"&gt;2.517867&lt;/D&gt;&lt;D xsi:type="xsd:double"&gt;2.4243355&lt;/D&gt;&lt;D xsi:type="xsd:double"&gt;2.1503687&lt;/D&gt;&lt;D xsi:type="xsd:double"&gt;-7.9509315&lt;/D&gt;&lt;D xsi:type="xsd:double"&gt;0.032901764&lt;/D&gt;&lt;D xsi:type="xsd:double"&gt;-6.447363&lt;/D&gt;&lt;D xsi:type="xsd:double"&gt;10.601258&lt;/D&gt;&lt;D xsi:type="xsd:double"&gt;4.3447137&lt;/D&gt;&lt;D xsi:type="xsd:double"&gt;-8.503991&lt;/D&gt;&lt;D xsi:type="xsd:double"&gt;11.276269&lt;/D&gt;&lt;D xsi:type="xsd:double"&gt;2.9479623&lt;/D&gt;&lt;D xsi:type="xsd:double"&gt;-6.5175295&lt;/D&gt;&lt;D xsi:type="xsd:double"&gt;2.967453&lt;/D&gt;&lt;D xsi:type="xsd:double"&gt;0.89867115&lt;/D&gt;&lt;D xsi:type="xsd:double"&gt;1.0288715&lt;/D&gt;&lt;D xsi:type="xsd:double"&gt;-1.0031998&lt;/D&gt;&lt;D xsi:type="xsd:double"&gt;-2.7790546&lt;/D&gt;&lt;D xsi:type="xsd:double"&gt;-3.8534403&lt;/D&gt;&lt;D xsi:type="xsd:double"&gt;-4.517084&lt;/D&gt;&lt;D xsi:type="xsd:double"&gt;-7.778549&lt;/D&gt;&lt;D xsi:type="xsd:double"&gt;7.2028995&lt;/D&gt;&lt;D xsi:type="xsd:double"&gt;2.6376724&lt;/D&gt;&lt;D xsi:type="xsd:double"&gt;-1.2675822&lt;/D&gt;&lt;D xsi:type="xsd:double"&gt;-3.6053479&lt;/D&gt;&lt;D xsi:type="xsd:double"&gt;6.349206&lt;/D&gt;&lt;D xsi:type="xsd:double"&gt;17.567337&lt;/D&gt;&lt;D xsi:type="xsd:double"&gt;6.362176&lt;/D&gt;&lt;D xsi:type="xsd:double"&gt;0.85060596&lt;/D&gt;&lt;D xsi:type="xsd:double"&gt;10.950888&lt;/D&gt;&lt;D xsi:type="xsd:double"&gt;9.673858&lt;/D&gt;&lt;D xsi:type="xsd:double"&gt;-0.25712252&lt;/D&gt;&lt;D xsi:type="xsd:double"&gt;5.1757574&lt;/D&gt;&lt;D xsi:type="xsd:double"&gt;26.419617&lt;/D&gt;&lt;/FQL&gt;&lt;FQL&gt;&lt;Q&gt;ENZL^FG_PRICE(0,-200D)&lt;/Q&gt;&lt;R&gt;201&lt;/R&gt;&lt;C&gt;1&lt;/C&gt;&lt;D xsi:type="xsd:double"&gt;46.755&lt;/D&gt;&lt;D xsi:type="xsd:double"&gt;46.11&lt;/D&gt;&lt;D xsi:type="xsd:double"&gt;46.09&lt;/D&gt;&lt;D xsi:type="xsd:double"&gt;45.755&lt;/D&gt;&lt;D xsi:type="xsd:double"&gt;45.755&lt;/D&gt;&lt;D xsi:type="xsd:double"&gt;45.6301&lt;/D&gt;&lt;D xsi:type="xsd:double"&gt;45.89&lt;/D&gt;&lt;D xsi:type="xsd:double"&gt;45.52&lt;/D&gt;&lt;D xsi:type="xsd:double"&gt;46.1&lt;/D&gt;&lt;D xsi:type="xsd:double"&gt;45.98&lt;/D&gt;&lt;D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xsi:type="xsd:double"&gt;45.2715&lt;/D&gt;&lt;D xsi:type="xsd:double"&gt;45.41&lt;/D&gt;&lt;D xsi:type="xsd:double"&gt;45.41&lt;/D&gt;&lt;D xsi:type="xsd:double"&gt;45.73&lt;/D&gt;&lt;D xsi:type="xsd:double"&gt;45.74&lt;/D&gt;&lt;D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xsi:type="xsd:double"&gt;45.17&lt;/D&gt;&lt;D xsi:type="xsd:double"&gt;44.23&lt;/D&gt;&lt;D xsi:type="xsd:double"&gt;44.56&lt;/D&gt;&lt;D xsi:type="xsd:double"&gt;44.82&lt;/D&gt;&lt;D xsi:type="xsd:double"&gt;44.49&lt;/D&gt;&lt;D xsi:type="xsd:double"&gt;44.29&lt;/D&gt;&lt;D xsi:type="xsd:double"&gt;43.06&lt;/D&gt;&lt;D xsi:type="xsd:double"&gt;42.61&lt;/D&gt;&lt;D xsi:type="xsd:double"&gt;43.35&lt;/D&gt;&lt;D xsi:type="xsd:double"&gt;43.6&lt;/D&gt;&lt;D xsi:type="xsd:double"&gt;43.76&lt;/D&gt;&lt;D xsi:type="xsd:double"&gt;43.805&lt;/D&gt;&lt;D xsi:type="xsd:double"&gt;42.8238&lt;/D&gt;&lt;D xsi:type="xsd:double"&gt;43.095&lt;/D&gt;&lt;D xsi:type="xsd:double"&gt;43.38&lt;/D&gt;&lt;D xsi:type="xsd:double"&gt;43.5&lt;/D&gt;&lt;D xsi:type="xsd:double"&gt;43.5&lt;/D&gt;&lt;/FQL&gt;&lt;FQL&gt;&lt;Q&gt;EPU^FG_PRICE(0,-200D)&lt;/Q&gt;&lt;R&gt;201&lt;/R&gt;&lt;C&gt;1&lt;/C&gt;&lt;D xsi:type="xsd:double"&gt;86.2&lt;/D&gt;&lt;D xsi:type="xsd:double"&gt;85.04&lt;/D&gt;&lt;D xsi:type="xsd:double"&gt;84.78&lt;/D&gt;&lt;D xsi:type="xsd:double"&gt;82.63&lt;/D&gt;&lt;D xsi:type="xsd:double"&gt;82.63&lt;/D&gt;&lt;D xsi:type="xsd:double"&gt;83.01&lt;/D&gt;&lt;D xsi:type="xsd:double"&gt;82.26&lt;/D&gt;&lt;D xsi:type="xsd:double"&gt;80.99&lt;/D&gt;&lt;D xsi:type="xsd:double"&gt;80.55&lt;/D&gt;&lt;D xsi:type="xsd:double"&gt;78.19&lt;/D&gt;&lt;D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xsi:type="xsd:double"&gt;72.35&lt;/D&gt;&lt;D xsi:type="xsd:double"&gt;72.91&lt;/D&gt;&lt;D xsi:type="xsd:double"&gt;71.95&lt;/D&gt;&lt;D xsi:type="xsd:double"&gt;73.77&lt;/D&gt;&lt;D xsi:type="xsd:double"&gt;72.74&lt;/D&gt;&lt;D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xsi:type="xsd:double"&gt;45.3303&lt;/D&gt;&lt;D xsi:type="xsd:double"&gt;45.02&lt;/D&gt;&lt;D xsi:type="xsd:double"&gt;44.79&lt;/D&gt;&lt;D xsi:type="xsd:double"&gt;45.45&lt;/D&gt;&lt;D xsi:type="xsd:double"&gt;44.7003&lt;/D&gt;&lt;D xsi:type="xsd:double"&gt;44.44&lt;/D&gt;&lt;D xsi:type="xsd:double"&gt;43.74&lt;/D&gt;&lt;D xsi:type="xsd:double"&gt;44.33&lt;/D&gt;&lt;D xsi:type="xsd:double"&gt;44.8&lt;/D&gt;&lt;D xsi:type="xsd:double"&gt;44.6021&lt;/D&gt;&lt;D xsi:type="xsd:double"&gt;44.4285&lt;/D&gt;&lt;D xsi:type="xsd:double"&gt;44.55&lt;/D&gt;&lt;D xsi:type="xsd:double"&gt;43.98&lt;/D&gt;&lt;D xsi:type="xsd:double"&gt;43.836&lt;/D&gt;&lt;D xsi:type="xsd:double"&gt;43.48&lt;/D&gt;&lt;D xsi:type="xsd:double"&gt;43.2&lt;/D&gt;&lt;D xsi:type="xsd:double"&gt;43.2&lt;/D&gt;&lt;/FQL&gt;&lt;FQL&gt;&lt;Q&gt;SET-BKK^FG_TOTAL_RETURNC(-5AY,0,AM)&lt;/Q&gt;&lt;R&gt;61&lt;/R&gt;&lt;C&gt;1&lt;/C&gt;&lt;D xsi:type="xsd:double"&gt;5.159402&lt;/D&gt;&lt;D xsi:type="xsd:double"&gt;-1.3178647&lt;/D&gt;&lt;D xsi:type="xsd:double"&gt;5.9683084&lt;/D&gt;&lt;D xsi:type="xsd:double"&gt;0.118112564&lt;/D&gt;&lt;D xsi:type="xsd:double"&gt;-1.0056078&lt;/D&gt;&lt;D xsi:type="xsd:double"&gt;3.0139685&lt;/D&gt;&lt;D xsi:type="xsd:double"&gt;-2.9307842&lt;/D&gt;&lt;D xsi:type="xsd:double"&gt;0.052821636&lt;/D&gt;&lt;D xsi:type="xsd:double"&gt;4.275739&lt;/D&gt;&lt;D xsi:type="xsd:double"&gt;1.4713645&lt;/D&gt;&lt;D xsi:type="xsd:double"&gt;0.3723979&lt;/D&gt;&lt;D xsi:type="xsd:double"&gt;-1.379174&lt;/D&gt;&lt;D xsi:type="xsd:double"&gt;1.5945435&lt;/D&gt;&lt;D xsi:type="xsd:double"&gt;2.3228288&lt;/D&gt;&lt;D xsi:type="xsd:double"&gt;-0.78350306&lt;/D&gt;&lt;D xsi:type="xsd:double"&gt;0.75809956&lt;/D&gt;&lt;D xsi:type="xsd:double"&gt;-4.0009737&lt;/D&gt;&lt;D xsi:type="xsd:double"&gt;-3.8775027&lt;/D&gt;&lt;D xsi:type="xsd:double"&gt;-0.46730638&lt;/D&gt;&lt;D xsi:type="xsd:double"&gt;4.063165&lt;/D&gt;&lt;D xsi:type="xsd:double"&gt;1.8238425&lt;/D&gt;&lt;D xsi:type="xsd:double"&gt;-3.280276&lt;/D&gt;&lt;D xsi:type="xsd:double"&gt;1.5088081&lt;/D&gt;&lt;D xsi:type="xsd:double"&gt;0.082957745&lt;/D&gt;&lt;D xsi:type="xsd:double"&gt;3.747201&lt;/D&gt;&lt;D xsi:type="xsd:double"&gt;-1.0594726&lt;/D&gt;&lt;D xsi:type="xsd:double"&gt;-4.4833364&lt;/D&gt;&lt;D xsi:type="xsd:double"&gt;-1.6857147&lt;/D&gt;&lt;D xsi:type="xsd:double"&gt;-1.8686295&lt;/D&gt;&lt;D xsi:type="xsd:double"&gt;-1.3032556&lt;/D&gt;&lt;D xsi:type="xsd:double"&gt;1.321125&lt;/D&gt;&lt;D xsi:type="xsd:double"&gt;1.0691524&lt;/D&gt;&lt;D xsi:type="xsd:double"&gt;-1.4887452&lt;/D&gt;&lt;D xsi:type="xsd:double"&gt;-8.094102&lt;/D&gt;&lt;D xsi:type="xsd:double"&gt;1.0576367&lt;/D&gt;&lt;D xsi:type="xsd:double"&gt;-0.64067245&lt;/D&gt;&lt;D xsi:type="xsd:double"&gt;-2.5030375&lt;/D&gt;&lt;D xsi:type="xsd:double"&gt;2.3760438&lt;/D&gt;&lt;D xsi:type="xsd:double"&gt;-1.5280128&lt;/D&gt;&lt;D xsi:type="xsd:double"&gt;-2.2823393&lt;/D&gt;&lt;D xsi:type="xsd:double"&gt;1.5790701&lt;/D&gt;&lt;D xsi:type="xsd:double"&gt;-4.6993375&lt;/D&gt;&lt;D xsi:type="xsd:double"&gt;0.82132816&lt;/D&gt;&lt;D xsi:type="xsd:double"&gt;1.8137813&lt;/D&gt;&lt;D xsi:type="xsd:double"&gt;8.251858&lt;/D&gt;&lt;D xsi:type="xsd:double"&gt;1.2833357&lt;/D&gt;&lt;D xsi:type="xsd:double"&gt;-1.6336501&lt;/D&gt;&lt;D xsi:type="xsd:double"&gt;-5.6164083&lt;/D&gt;&lt;D xsi:type="xsd:double"&gt;-0.24173856&lt;/D&gt;&lt;D xsi:type="xsd:double"&gt;-8.486021&lt;/D&gt;&lt;D xsi:type="xsd:double"&gt;-4.782498&lt;/D&gt;&lt;D xsi:type="xsd:double"&gt;-3.5866857&lt;/D&gt;&lt;D xsi:type="xsd:double"&gt;2.562821&lt;/D&gt;&lt;D xsi:type="xsd:double"&gt;-9.01165&lt;/D&gt;&lt;D xsi:type="xsd:double"&gt;11.625755&lt;/D&gt;&lt;D xsi:type="xsd:double"&gt;5.172229&lt;/D&gt;&lt;D xsi:type="xsd:double"&gt;2.3256898&lt;/D&gt;&lt;D xsi:type="xsd:double"&gt;1.5445828&lt;/D&gt;&lt;D xsi:type="xsd:double"&gt;-3.6818027&lt;/D&gt;&lt;D xsi:type="xsd:double"&gt;1.2181163&lt;/D&gt;&lt;D xsi:type="xsd:double"&gt;3.3047676&lt;/D&gt;&lt;/FQL&gt;&lt;FQL&gt;&lt;Q&gt;CNYA^FG_TOTAL_RETURNC(-5AY,0,AM)&lt;/Q&gt;&lt;R&gt;61&lt;/R&gt;&lt;C&gt;1&lt;/C&gt;&lt;D xsi:type="xsd:double"&gt;12.001967&lt;/D&gt;&lt;D xsi:type="xsd:double"&gt;1.5151501&lt;/D&gt;&lt;D xsi:type="xsd:double"&gt;-10.988533&lt;/D&gt;&lt;D xsi:type="xsd:double"&gt;1.7253876&lt;/D&gt;&lt;D xsi:type="xsd:double"&gt;2.2933602&lt;/D&gt;&lt;D xsi:type="xsd:double"&gt;0.8653879&lt;/D&gt;&lt;D xsi:type="xsd:double"&gt;2.3654938&lt;/D&gt;&lt;D xsi:type="xsd:double"&gt;-6.366104&lt;/D&gt;&lt;D xsi:type="xsd:double"&gt;2.8550625&lt;/D&gt;&lt;D xsi:type="xsd:double"&gt;2.5641084&lt;/D&gt;&lt;D xsi:type="xsd:double"&gt;0.11469126&lt;/D&gt;&lt;D xsi:type="xsd:double"&gt;0.48177242&lt;/D&gt;&lt;D xsi:type="xsd:double"&gt;-3.9806724&lt;/D&gt;&lt;D xsi:type="xsd:double"&gt;-3.5226464&lt;/D&gt;&lt;D xsi:type="xsd:double"&gt;-6.557375&lt;/D&gt;&lt;D xsi:type="xsd:double"&gt;-9.914941&lt;/D&gt;&lt;D xsi:type="xsd:double"&gt;0.7081747&lt;/D&gt;&lt;D xsi:type="xsd:double"&gt;5.8527827&lt;/D&gt;&lt;D xsi:type="xsd:double"&gt;-1.3033867&lt;/D&gt;&lt;D xsi:type="xsd:double"&gt;-1.7982543&lt;/D&gt;&lt;D xsi:type="xsd:double"&gt;-9.89986&lt;/D&gt;&lt;D xsi:type="xsd:double"&gt;-4.1600466&lt;/D&gt;&lt;D xsi:type="xsd:double"&gt;1.358521&lt;/D&gt;&lt;D xsi:type="xsd:double"&gt;1.5349746&lt;/D&gt;&lt;D xsi:type="xsd:double"&gt;14.083111&lt;/D&gt;&lt;D xsi:type="xsd:double"&gt;-4.0474176&lt;/D&gt;&lt;D xsi:type="xsd:double"&gt;-2.8321743&lt;/D&gt;&lt;D xsi:type="xsd:double"&gt;-0.15503764&lt;/D&gt;&lt;D xsi:type="xsd:double"&gt;-3.4161508&lt;/D&gt;&lt;D xsi:type="xsd:double"&gt;-5.2682343&lt;/D&gt;&lt;D xsi:type="xsd:double"&gt;-0.09829998&lt;/D&gt;&lt;D xsi:type="xsd:double"&gt;-3.7852585&lt;/D&gt;&lt;D xsi:type="xsd:double"&gt;0.44232607&lt;/D&gt;&lt;D xsi:type="xsd:double"&gt;-6.96671&lt;/D&gt;&lt;D xsi:type="xsd:double"&gt;4.137087&lt;/D&gt;&lt;D xsi:type="xsd:double"&gt;-4.544836&lt;/D&gt;&lt;D xsi:type="xsd:double"&gt;-5.5754004&lt;/D&gt;&lt;D xsi:type="xsd:double"&gt;8.384121&lt;/D&gt;&lt;D xsi:type="xsd:double"&gt;1.3183355&lt;/D&gt;&lt;D xsi:type="xsd:double"&gt;-0.22962093&lt;/D&gt;&lt;D xsi:type="xsd:double"&gt;3.9892673&lt;/D&gt;&lt;D xsi:type="xsd:double"&gt;-5.289161&lt;/D&gt;&lt;D xsi:type="xsd:double"&gt;0.46874285&lt;/D&gt;&lt;D xsi:type="xsd:double"&gt;-3.7713826&lt;/D&gt;&lt;D xsi:type="xsd:double"&gt;-1.49495&lt;/D&gt;&lt;D xsi:type="xsd:double"&gt;21.616077&lt;/D&gt;&lt;D xsi:type="xsd:double"&gt;-4.1483936&lt;/D&gt;&lt;D xsi:type="xsd:double"&gt;1.7311573&lt;/D&gt;&lt;D xsi:type="xsd:double"&gt;-3.1459928&lt;/D&gt;&lt;D xsi:type="xsd:double"&gt;4.8540115&lt;/D&gt;&lt;D xsi:type="xsd:double"&gt;-1.9491792&lt;/D&gt;&lt;D xsi:type="xsd:double"&gt;-3.5853744&lt;/D&gt;&lt;D xsi:type="xsd:double"&gt;4.197347&lt;/D&gt;&lt;D xsi:type="xsd:double"&gt;-0.9317875&lt;/D&gt;&lt;D xsi:type="xsd:double"&gt;8.737696&lt;/D&gt;&lt;D xsi:type="xsd:double"&gt;7.7226996&lt;/D&gt;&lt;D xsi:type="xsd:double"&gt;2.934885&lt;/D&gt;&lt;D xsi:type="xsd:double"&gt;0.56431293&lt;/D&gt;&lt;D xsi:type="xsd:double"&gt;-2.3626685&lt;/D&gt;&lt;D xsi:type="xsd:double"&gt;5.2865267&lt;/D&gt;&lt;D xsi:type="xsd:double"&gt;4.497659&lt;/D&gt;&lt;/FQL&gt;&lt;FQL&gt;&lt;Q&gt;QQQ^FG_PRICE(0,-200D)&lt;/Q&gt;&lt;R&gt;201&lt;/R&gt;&lt;C&gt;1&lt;/C&gt;&lt;D xsi:type="xsd:double"&gt;620.76&lt;/D&gt;&lt;D xsi:type="xsd:double"&gt;616.28&lt;/D&gt;&lt;D xsi:type="xsd:double"&gt;608.06&lt;/D&gt;&lt;D xsi:type="xsd:double"&gt;621.26&lt;/D&gt;&lt;D xsi:type="xsd:double"&gt;621.26&lt;/D&gt;&lt;D xsi:type="xsd:double"&gt;621.78&lt;/D&gt;&lt;D xsi:type="xsd:double"&gt;619.55&lt;/D&gt;&lt;D xsi:type="xsd:double"&gt;626.24&lt;/D&gt;&lt;D xsi:type="xsd:double"&gt;627.17&lt;/D&gt;&lt;D xsi:type="xsd:double"&gt;626.65&lt;/D&gt;&lt;D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xsi:type="xsd:double"&gt;614.31&lt;/D&gt;&lt;D xsi:type="xsd:double"&gt;619.43&lt;/D&gt;&lt;D xsi:type="xsd:double"&gt;620.87&lt;/D&gt;&lt;D xsi:type="xsd:double"&gt;623.89&lt;/D&gt;&lt;D xsi:type="xsd:double"&gt;623.93&lt;/D&gt;&lt;D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xsi:type="xsd:double"&gt;487.97&lt;/D&gt;&lt;D xsi:type="xsd:double"&gt;488.29&lt;/D&gt;&lt;D xsi:type="xsd:double"&gt;483.3&lt;/D&gt;&lt;D xsi:type="xsd:double"&gt;481.41&lt;/D&gt;&lt;D xsi:type="xsd:double"&gt;485.93&lt;/D&gt;&lt;D xsi:type="xsd:double"&gt;488.83&lt;/D&gt;&lt;D xsi:type="xsd:double"&gt;481.68&lt;/D&gt;&lt;D xsi:type="xsd:double"&gt;475.47&lt;/D&gt;&lt;D xsi:type="xsd:double"&gt;475.53&lt;/D&gt;&lt;D xsi:type="xsd:double"&gt;472.41&lt;/D&gt;&lt;D xsi:type="xsd:double"&gt;472.56&lt;/D&gt;&lt;D xsi:type="xsd:double"&gt;467.35&lt;/D&gt;&lt;D xsi:type="xsd:double"&gt;454.56&lt;/D&gt;&lt;D xsi:type="xsd:double"&gt;444.48&lt;/D&gt;&lt;D xsi:type="xsd:double"&gt;433.11&lt;/D&gt;&lt;D xsi:type="xsd:double"&gt;444.1&lt;/D&gt;&lt;D xsi:type="xsd:double"&gt;444.1&lt;/D&gt;&lt;/FQL&gt;&lt;FQL&gt;&lt;Q&gt;GREK^FG_PRICE(0,-200D)&lt;/Q&gt;&lt;R&gt;201&lt;/R&gt;&lt;C&gt;1&lt;/C&gt;&lt;D xsi:type="xsd:double"&gt;72.2&lt;/D&gt;&lt;D xsi:type="xsd:double"&gt;70.74&lt;/D&gt;&lt;D xsi:type="xsd:double"&gt;69.88&lt;/D&gt;&lt;D xsi:type="xsd:double"&gt;70.03&lt;/D&gt;&lt;D xsi:type="xsd:double"&gt;70.03&lt;/D&gt;&lt;D xsi:type="xsd:double"&gt;69.84&lt;/D&gt;&lt;D xsi:type="xsd:double"&gt;69.15&lt;/D&gt;&lt;D xsi:type="xsd:double"&gt;69&lt;/D&gt;&lt;D xsi:type="xsd:double"&gt;69.49&lt;/D&gt;&lt;D xsi:type="xsd:double"&gt;68.98&lt;/D&gt;&lt;D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xsi:type="xsd:double"&gt;65.91&lt;/D&gt;&lt;D xsi:type="xsd:double"&gt;66.5&lt;/D&gt;&lt;D xsi:type="xsd:double"&gt;68&lt;/D&gt;&lt;D xsi:type="xsd:double"&gt;68.61&lt;/D&gt;&lt;D xsi:type="xsd:double"&gt;68.16&lt;/D&gt;&lt;D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</t>
        </r>
      </text>
    </comment>
    <comment ref="A10" authorId="0" shapeId="0" xr:uid="{6DDC622A-CC92-4A32-84A9-E639E0B644F4}">
      <text>
        <r>
          <rPr>
            <b/>
            <sz val="9"/>
            <color indexed="81"/>
            <rFont val="Tahoma"/>
            <charset val="1"/>
          </rPr>
          <t>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xsi:type="xsd:double"&gt;51.0483&lt;/D&gt;&lt;D xsi:type="xsd:double"&gt;50.26&lt;/D&gt;&lt;D xsi:type="xsd:double"&gt;50.37&lt;/D&gt;&lt;D xsi:type="xsd:double"&gt;50.13&lt;/D&gt;&lt;D xsi:type="xsd:double"&gt;50.44&lt;/D&gt;&lt;D xsi:type="xsd:double"&gt;50.1&lt;/D&gt;&lt;D xsi:type="xsd:double"&gt;49.3&lt;/D&gt;&lt;D xsi:type="xsd:double"&gt;49.52&lt;/D&gt;&lt;D xsi:type="xsd:double"&gt;49.99&lt;/D&gt;&lt;D xsi:type="xsd:double"&gt;49.71&lt;/D&gt;&lt;D xsi:type="xsd:double"&gt;49.52&lt;/D&gt;&lt;D xsi:type="xsd:double"&gt;49.95&lt;/D&gt;&lt;D xsi:type="xsd:double"&gt;49.35&lt;/D&gt;&lt;D xsi:type="xsd:double"&gt;49.05&lt;/D&gt;&lt;D xsi:type="xsd:double"&gt;47.02&lt;/D&gt;&lt;D xsi:type="xsd:double"&gt;47.34&lt;/D&gt;&lt;D xsi:type="xsd:double"&gt;47.34&lt;/D&gt;&lt;/FQL&gt;&lt;FQL&gt;&lt;Q&gt;EWT^FG_TOTAL_RETURNC(-5AY,0,AM)&lt;/Q&gt;&lt;R&gt;61&lt;/R&gt;&lt;C&gt;1&lt;/C&gt;&lt;D xsi:type="xsd:double"&gt;14.531922&lt;/D&gt;&lt;D xsi:type="xsd:double"&gt;1.9151807&lt;/D&gt;&lt;D xsi:type="xsd:double"&gt;-1.3926148&lt;/D&gt;&lt;D xsi:type="xsd:double"&gt;6.602013&lt;/D&gt;&lt;D xsi:type="xsd:double"&gt;-5.5387077&lt;/D&gt;&lt;D xsi:type="xsd:double"&gt;4.8834085&lt;/D&gt;&lt;D xsi:type="xsd:double"&gt;2.706623&lt;/D&gt;&lt;D xsi:type="xsd:double"&gt;-4.8784313&lt;/D&gt;&lt;D xsi:type="xsd:double"&gt;4.386544&lt;/D&gt;&lt;D xsi:type="xsd:double"&gt;-1.9589245&lt;/D&gt;&lt;D xsi:type="xsd:double"&gt;6.3970327&lt;/D&gt;&lt;D xsi:type="xsd:double"&gt;1.9749045&lt;/D&gt;&lt;D xsi:type="xsd:double"&gt;-1.3428926&lt;/D&gt;&lt;D xsi:type="xsd:double"&gt;0.077331066&lt;/D&gt;&lt;D xsi:type="xsd:double"&gt;-3.724879&lt;/D&gt;&lt;D xsi:type="xsd:double"&gt;-8.588862&lt;/D&gt;&lt;D xsi:type="xsd:double"&gt;-4.5662045&lt;/D&gt;&lt;D xsi:type="xsd:double"&gt;-4.1405973&lt;/D&gt;&lt;D xsi:type="xsd:double"&gt;-2.399695&lt;/D&gt;&lt;D xsi:type="xsd:double"&gt;1.180172&lt;/D&gt;&lt;D xsi:type="xsd:double"&gt;-10.069984&lt;/D&gt;&lt;D xsi:type="xsd:double"&gt;-8.754862&lt;/D&gt;&lt;D xsi:type="xsd:double"&gt;15.328121&lt;/D&gt;&lt;D xsi:type="xsd:double"&gt;-1.6903280999999999&lt;/D&gt;&lt;D xsi:type="xsd:double"&gt;8.976566&lt;/D&gt;&lt;D xsi:type="xsd:double"&gt;-0.5657375&lt;/D&gt;&lt;D xsi:type="xsd:double"&gt;2.0937681&lt;/D&gt;&lt;D xsi:type="xsd:double"&gt;-2.0285308&lt;/D&gt;&lt;D xsi:type="xsd:double"&gt;3.3902168&lt;/D&gt;&lt;D xsi:type="xsd:double"&gt;5.1936626&lt;/D&gt;&lt;D xsi:type="xsd:double"&gt;-0.6903708&lt;/D&gt;&lt;D xsi:type="xsd:double"&gt;-5.1400957&lt;/D&gt;&lt;D xsi:type="xsd:double"&gt;-0.7328391&lt;/D&gt;&lt;D xsi:type="xsd:double"&gt;-1.096201&lt;/D&gt;&lt;D xsi:type="xsd:double"&gt;9.070349&lt;/D&gt;&lt;D xsi:type="xsd:double"&gt;3.959608&lt;/D&gt;&lt;D xsi:type="xsd:double"&gt;-0.427258&lt;/D&gt;&lt;D xsi:type="xsd:double"&gt;5.420053&lt;/D&gt;&lt;D xsi:type="xsd:double"&gt;4.284489&lt;/D&gt;&lt;D xsi:type="xsd:double"&gt;-5.8134794&lt;/D&gt;&lt;D xsi:type="xsd:double"&gt;11.297714&lt;/D&gt;&lt;D xsi:type="xsd:double"&gt;7.0546746&lt;/D&gt;&lt;D xsi:type="xsd:double"&gt;-3.075236&lt;/D&gt;&lt;D xsi:type="xsd:double"&gt;-0.15109181&lt;/D&gt;&lt;D xsi:type="xsd:double"&gt;0.5485177&lt;/D&gt;&lt;D xsi:type="xsd:double"&gt;6.245291&lt;/D&gt;&lt;D xsi:type="xsd:double"&gt;-3.9660037&lt;/D&gt;&lt;D xsi:type="xsd:double"&gt;-0.5776048&lt;/D&gt;&lt;D xsi:type="xsd:double"&gt;2.1639109&lt;/D&gt;&lt;D xsi:type="xsd:double"&gt;-0.74976087&lt;/D&gt;&lt;D xsi:type="xsd:double"&gt;-5.1558075&lt;/D&gt;&lt;D xsi:type="xsd:double"&gt;-11.728394&lt;/D&gt;&lt;D xsi:type="xsd:double"&gt;21.136929&lt;/D&gt;&lt;D xsi:type="xsd:double"&gt;2.1229029&lt;/D&gt;&lt;D xsi:type="xsd:double"&gt;7.075131&lt;/D&gt;&lt;D xsi:type="xsd:double"&gt;1.6008139&lt;/D&gt;&lt;D xsi:type="xsd:double"&gt;7.308078&lt;/D&gt;&lt;D xsi:type="xsd:double"&gt;1.5776396&lt;/D&gt;&lt;D xsi:type="xsd:double"&gt;-4.9669385&lt;/D&gt;&lt;D xsi:type="xsd:double"&gt;4.912257&lt;/D&gt;&lt;D xsi:type="xsd:double"&gt;10.116172&lt;/D&gt;&lt;/FQL&gt;&lt;FQL&gt;&lt;Q&gt;VNM^FG_PRICE(0,-200D)&lt;/Q&gt;&lt;R&gt;201&lt;/R&gt;&lt;C&gt;1&lt;/C&gt;&lt;D xsi:type="xsd:double"&gt;19.625&lt;/D&gt;&lt;D xsi:type="xsd:double"&gt;19.39&lt;/D&gt;&lt;D xsi:type="xsd:double"&gt;19.51&lt;/D&gt;&lt;D xsi:type="xsd:double"&gt;19.73&lt;/D&gt;&lt;D xsi:type="xsd:double"&gt;19.73&lt;/D&gt;&lt;D xsi:type="xsd:double"&gt;19.53&lt;/D&gt;&lt;D xsi:type="xsd:double"&gt;19.69&lt;/D&gt;&lt;D xsi:type="xsd:double"&gt;19.8&lt;/D&gt;&lt;D xsi:type="xsd:double"&gt;19.67&lt;/D&gt;&lt;D xsi:type="xsd:double"&gt;19.28&lt;/D&gt;&lt;D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xsi:type="xsd:double"&gt;19.08&lt;/D&gt;&lt;D xsi:type="xsd:double"&gt;19.01&lt;/D&gt;&lt;D xsi:type="xsd:double"&gt;18.92&lt;/D&gt;&lt;D xsi:type="xsd:double"&gt;18.4&lt;/D&gt;&lt;D xsi:type="xsd:double"&gt;19.01&lt;/D&gt;&lt;D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xsi:type="xsd:double"&gt;12.49&lt;/D&gt;&lt;D xsi:type="xsd:double"&gt;12.6&lt;/D&gt;&lt;D xsi:type="xsd:double"&gt;12.42&lt;/D&gt;&lt;D xsi:type="xsd:double"&gt;12.22&lt;/D&gt;&lt;D xsi:type="xsd:double"&gt;12.27&lt;/D&gt;&lt;D xsi:type="xsd:double"&gt;12.24&lt;/D&gt;&lt;D xsi:type="xsd:double"&gt;12.11&lt;/D&gt;&lt;D xsi:type="xsd:double"&gt;12.07&lt;/D&gt;&lt;D xsi:type="xsd:double"&gt;12.05&lt;/D&gt;&lt;D xsi:type="xsd:double"&gt;11.95&lt;/D&gt;&lt;D xsi:type="xsd:double"&gt;12.01&lt;/D&gt;&lt;D xsi:type="xsd:double"&gt;12&lt;/D&gt;&lt;D xsi:type="xsd:double"&gt;11.62&lt;/D&gt;&lt;D xsi:type="xsd:double"&gt;11.64&lt;/D&gt;&lt;D xsi:type="xsd:double"&gt;11.51&lt;/D&gt;&lt;D xsi:type="xsd:double"&gt;11.73&lt;/D&gt;&lt;D xsi:type="xsd:double"&gt;11.73&lt;/D&gt;&lt;/FQL&gt;&lt;FQL&gt;&lt;Q&gt;MCHI^FG_TOTAL_RETURNC(-5AY,0,AM)&lt;/Q&gt;&lt;R&gt;61&lt;/R&gt;&lt;C&gt;1&lt;/C&gt;&lt;D xsi:type="xsd:double"&gt;14.771867&lt;/D&gt;&lt;D xsi:type="xsd:double"&gt;0.7357836&lt;/D&gt;&lt;D xsi:type="xsd:double"&gt;-7.772815&lt;/D&gt;&lt;D xsi:type="xsd:double"&gt;-2.458632&lt;/D&gt;&lt;D xsi:type="xsd:double"&gt;-3.8051367&lt;/D&gt;&lt;D xsi:type="xsd:double"&gt;0.60836077&lt;/D&gt;&lt;D xsi:type="xsd:double"&gt;-2.7105093&lt;/D&gt;&lt;D xsi:type="xsd:double"&gt;-14.703989&lt;/D&gt;&lt;D xsi:type="xsd:double"&gt;3.0697227&lt;/D&gt;&lt;D xsi:type="xsd:double"&gt;6.338024&lt;/D&gt;&lt;D xsi:type="xsd:double"&gt;-6.2500057&lt;/D&gt;&lt;D xsi:type="xsd:double"&gt;-7.6049805&lt;/D&gt;&lt;D xsi:type="xsd:double"&gt;1.9255519&lt;/D&gt;&lt;D xsi:type="xsd:double"&gt;-5.6675076&lt;/D&gt;&lt;D xsi:type="xsd:double"&gt;-8.144188&lt;/D&gt;&lt;D xsi:type="xsd:double"&gt;-11.900436&lt;/D&gt;&lt;D xsi:type="xsd:double"&gt;2.5778532&lt;/D&gt;&lt;D xsi:type="xsd:double"&gt;7.905555&lt;/D&gt;&lt;D xsi:type="xsd:double"&gt;-3.7481248&lt;/D&gt;&lt;D xsi:type="xsd:double"&gt;-5.2570105&lt;/D&gt;&lt;D xsi:type="xsd:double"&gt;-8.754623&lt;/D&gt;&lt;D xsi:type="xsd:double"&gt;-10.135132&lt;/D&gt;&lt;D xsi:type="xsd:double"&gt;7.54385&lt;/D&gt;&lt;D xsi:type="xsd:double"&gt;11.249125&lt;/D&gt;&lt;D xsi:type="xsd:double"&gt;16.241491&lt;/D&gt;&lt;D xsi:type="xsd:double"&gt;-9.656179&lt;/D&gt;&lt;D xsi:type="xsd:double"&gt;-3.3805728&lt;/D&gt;&lt;D xsi:type="xsd:double"&gt;0.54473877&lt;/D&gt;&lt;D xsi:type="xsd:double"&gt;-2.2504747&lt;/D&gt;&lt;D xsi:type="xsd:double"&gt;-2.8773427&lt;/D&gt;&lt;D xsi:type="xsd:double"&gt;0.55395365&lt;/D&gt;&lt;D xsi:type="xsd:double"&gt;-4.9801707&lt;/D&gt;&lt;D xsi:type="xsd:double"&gt;2.110386&lt;/D&gt;&lt;D xsi:type="xsd:double"&gt;-7.063365&lt;/D&gt;&lt;D xsi:type="xsd:double"&gt;6.133926&lt;/D&gt;&lt;D xsi:type="xsd:double"&gt;-7.242954&lt;/D&gt;&lt;D xsi:type="xsd:double"&gt;-8.170014&lt;/D&gt;&lt;D xsi:type="xsd:double"&gt;10.2272625&lt;/D&gt;&lt;D xsi:type="xsd:double"&gt;-0.6034732&lt;/D&gt;&lt;D xsi:type="xsd:double"&gt;1.6696215&lt;/D&gt;&lt;D xsi:type="xsd:double"&gt;14.182639&lt;/D&gt;&lt;D xsi:type="xsd:double"&gt;-5.6226788&lt;/D&gt;&lt;D xsi:type="xsd:double"&gt;-0.81168413&lt;/D&gt;&lt;D xsi:type="xsd:double"&gt;-1.7068028&lt;/D&gt;&lt;D xsi:type="xsd:double"&gt;1.4747858&lt;/D&gt;&lt;D xsi:type="xsd:double"&gt;18.096579&lt;/D&gt;&lt;D xsi:type="xsd:double"&gt;-7.741171&lt;/D&gt;&lt;D xsi:type="xsd:double"&gt;3.2461405&lt;/D&gt;&lt;D xsi:type="xsd:double"&gt;-1.6772747&lt;/D&gt;&lt;D xsi:type="xsd:double"&gt;20.42755&lt;/D&gt;&lt;D xsi:type="xsd:double"&gt;-0.2151668&lt;/D&gt;&lt;D xsi:type="xsd:double"&gt;-8.535486&lt;/D&gt;&lt;D xsi:type="xsd:double"&gt;7.5638533&lt;/D&gt;&lt;D xsi:type="xsd:double"&gt;-1.3317645&lt;/D&gt;&lt;D xsi:type="xsd:double"&gt;9.654212&lt;/D&gt;&lt;D xsi:type="xsd:double"&gt;4.9518466&lt;/D&gt;&lt;D xsi:type="xsd:double"&gt;4.645121&lt;/D&gt;&lt;D xsi:type="xsd:double"&gt;-2.1729052&lt;/D&gt;&lt;D xsi:type="xsd:double"&gt;-3.3476114&lt;/D&gt;&lt;D xsi:type="xsd:double"&gt;1.1813164&lt;/D&gt;&lt;D xsi:type="xsd:double"&gt;3.1039596&lt;/D&gt;&lt;/FQL&gt;&lt;FQL&gt;&lt;Q&gt;UAE^FG_PRICE(0,-200D)&lt;/Q&gt;&lt;R&gt;201&lt;/R&gt;&lt;C&gt;1&lt;/C&gt;&lt;D xsi:type="xsd:double"&gt;20.62&lt;/D&gt;&lt;D xsi:type="xsd:double"&gt;20.3&lt;/D&gt;&lt;D xsi:type="xsd:double"&gt;20.09&lt;/D&gt;&lt;D xsi:type="xsd:double"&gt;19.87&lt;/D&gt;&lt;D xsi:type="xsd:double"&gt;19.87&lt;/D&gt;&lt;D xsi:type="xsd:double"&gt;19.73&lt;/D&gt;&lt;D xsi:type="xsd:double"&gt;19.59&lt;/D&gt;&lt;D xsi:type="xsd:double"&gt;19.76&lt;/D&gt;&lt;D xsi:type="xsd:double"&gt;19.55&lt;/D&gt;&lt;D xsi:type="xsd:double"&gt;19.43&lt;/D&gt;&lt;D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xsi:type="xsd:double"&gt;19.12&lt;/D&gt;&lt;D xsi:type="xsd:double"&gt;19.05&lt;/D&gt;&lt;D xsi:type="xsd:double"&gt;19.6&lt;/D&gt;&lt;D xsi:type="xsd:double"&gt;19.54&lt;/D&gt;&lt;D xsi:type="xsd:double"&gt;19.52&lt;/D&gt;&lt;D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xsi:type="xsd:double"&gt;18.15&lt;/D&gt;&lt;D xsi:type="xsd:double"&gt;18.14&lt;/D&gt;&lt;D xsi:type="xsd:double"&gt;18.18&lt;/D&gt;&lt;D xsi:type="xsd:double"&gt;18.31&lt;/D&gt;&lt;D xsi:type="xsd:double"&gt;18.23&lt;/D&gt;&lt;D xsi:type="xsd:double"&gt;18.14&lt;/D&gt;&lt;D xsi:type="xsd:double"&gt;17.96&lt;/D&gt;&lt;D xsi:type="xsd:double"&gt;17.88&lt;/D&gt;&lt;D xsi:type="xsd:double"&gt;17.99&lt;/D&gt;&lt;D xsi:type="xsd:double"&gt;17.64&lt;/D&gt;&lt;D xsi:type="xsd:double"&gt;17.47&lt;/D&gt;&lt;D xsi:type="xsd:double"&gt;17.57&lt;/D&gt;&lt;D xsi:type="xsd:double"&gt;17.23&lt;/D&gt;&lt;D xsi:type="xsd:double"&gt;17.01&lt;/D&gt;&lt;D xsi:type="xsd:double"&gt;16.76&lt;/D&gt;&lt;D xsi:type="xsd:double"&gt;16.76&lt;/D&gt;&lt;D xsi:type="xsd:double"&gt;16.76&lt;/D&gt;&lt;/FQL&gt;&lt;FQL&gt;&lt;Q&gt;EIDO^FG_PRICE(0,-200D)&lt;/Q&gt;&lt;R&gt;201&lt;/R&gt;&lt;C&gt;1&lt;/C&gt;&lt;D xsi:type="xsd:double"&gt;19.05&lt;/D&gt;&lt;D xsi:type="xsd:double"&gt;18.94&lt;/D&gt;&lt;D xsi:type="xsd:double"&gt;19.13&lt;/D&gt;&lt;D xsi:type="xsd:double"&gt;19.14&lt;/D&gt;&lt;D xsi:type="xsd:double"&gt;19.14&lt;/D&gt;&lt;D xsi:type="xsd:double"&gt;19.22&lt;/D&gt;&lt;D xsi:type="xsd:double"&gt;19.14&lt;/D&gt;&lt;D xsi:type="xsd:double"&gt;19.03&lt;/D&gt;&lt;D xsi:type="xsd:double"&gt;18.99&lt;/D&gt;&lt;D xsi:type="xsd:double"&gt;19.01&lt;/D&gt;&lt;D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xsi:type="xsd:double"&gt;18.7&lt;/D&gt;&lt;D xsi:type="xsd:double"&gt;18.67&lt;/D&gt;&lt;D xsi:type="xsd:double"&gt;18.67&lt;/D&gt;&lt;D xsi:type="xsd:double"&gt;18.47&lt;/D&gt;&lt;D xsi:type="xsd:double"&gt;18.45&lt;/D&gt;&lt;D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xsi:type="xsd:double"&gt;17.41&lt;/D&gt;&lt;D xsi:type="xsd:double"&gt;17.45&lt;/D&gt;&lt;D xsi:type="xsd:double"&gt;17.71&lt;/D&gt;&lt;D xsi:type="xsd:double"&gt;17.74&lt;/D&gt;&lt;D xsi:type="xsd:double"&gt;17.65&lt;/D&gt;&lt;D xsi:type="xsd:double"&gt;17.63&lt;/D&gt;&lt;D xsi:type="xsd:double"&gt;17.3&lt;/D&gt;&lt;D xsi:type="xsd:double"&gt;17.31&lt;/D&gt;&lt;D xsi:type="xsd:double"&gt;17.1&lt;/D&gt;&lt;D xsi:type="xsd:double"&gt;16.93&lt;/D&gt;&lt;D xsi:type="xsd:double"&gt;16.77&lt;/D&gt;&lt;D xsi:type="xsd:double"&gt;16.76&lt;/D&gt;&lt;D xsi:type="xsd:double"&gt;16.61&lt;/D&gt;&lt;D xsi:type="xsd:double"&gt;16.36&lt;/D&gt;&lt;D xsi:type="xsd:double"&gt;16.03&lt;/D&gt;&lt;D xsi:type="xsd:double"&gt;16.13&lt;/D&gt;&lt;D xsi:type="xsd:double"&gt;16.13&lt;/D&gt;&lt;/FQL&gt;&lt;FQL&gt;&lt;Q&gt;ENZL^FG_TOTAL_RETURNC(-5AY,0,AM)&lt;/Q&gt;&lt;R&gt;61&lt;/R&gt;&lt;C&gt;1&lt;/C&gt;&lt;D xsi:type="xsd:double"&gt;4.922271&lt;/D&gt;&lt;D xsi:type="xsd:double"&gt;-5.7952046&lt;/D&gt;&lt;D xsi:type="xsd:double"&gt;-2.6981175&lt;/D&gt;&lt;D xsi:type="xsd:double"&gt;1.2993217&lt;/D&gt;&lt;D xsi:type="xsd:double"&gt;-2.0021856&lt;/D&gt;&lt;D xsi:type="xsd:double"&gt;-2.4772942&lt;/D&gt;&lt;D xsi:type="xsd:double"&gt;1.5359163&lt;/D&gt;&lt;D xsi:type="xsd:double"&gt;-0.431031&lt;/D&gt;&lt;D xsi:type="xsd:double"&gt;3.6004186&lt;/D&gt;&lt;D xsi:type="xsd:double"&gt;0.711143&lt;/D&gt;&lt;D xsi:type="xsd:double"&gt;-7.28119&lt;/D&gt;&lt;D xsi:type="xsd:double"&gt;0.5380869&lt;/D&gt;&lt;D xsi:type="xsd:double"&gt;-6.5825405&lt;/D&gt;&lt;D xsi:type="xsd:double"&gt;-0.16429424&lt;/D&gt;&lt;D xsi:type="xsd:double"&gt;4.205525&lt;/D&gt;&lt;D xsi:type="xsd:double"&gt;-9.668368&lt;/D&gt;&lt;D xsi:type="xsd:double"&gt;-7.8671336&lt;/D&gt;&lt;D xsi:type="xsd:double"&gt;-6.5058527&lt;/D&gt;&lt;D xsi:type="xsd:double"&gt;5.521333&lt;/D&gt;&lt;D xsi:type="xsd:double"&gt;3.8918853&lt;/D&gt;&lt;D xsi:type="xsd:double"&gt;-6.878251&lt;/D&gt;&lt;D xsi:type="xsd:double"&gt;-7.197899&lt;/D&gt;&lt;D xsi:type="xsd:double"&gt;12.295699&lt;/D&gt;&lt;D xsi:type="xsd:double"&gt;3.1354308&lt;/D&gt;&lt;D xsi:type="xsd:double"&gt;8.608437&lt;/D&gt;&lt;D xsi:type="xsd:double"&gt;-4.69411&lt;/D&gt;&lt;D xsi:type="xsd:double"&gt;-2.765447&lt;/D&gt;&lt;D xsi:type="xsd:double"&gt;1.723063&lt;/D&gt;&lt;D xsi:type="xsd:double"&gt;3.346932&lt;/D&gt;&lt;D xsi:type="xsd:double"&gt;-4.1846514&lt;/D&gt;&lt;D xsi:type="xsd:double"&gt;2.2273064&lt;/D&gt;&lt;D xsi:type="xsd:double"&gt;-7.778454&lt;/D&gt;&lt;D xsi:type="xsd:double"&gt;-1.4351964&lt;/D&gt;&lt;D xsi:type="xsd:double"&gt;-6.1155915&lt;/D&gt;&lt;D xsi:type="xsd:double"&gt;5.5833936&lt;/D&gt;&lt;D xsi:type="xsd:double"&gt;10.005272&lt;/D&gt;&lt;D xsi:type="xsd:double"&gt;-3.869146&lt;/D&gt;&lt;D xsi:type="xsd:double"&gt;-0.63263774&lt;/D&gt;&lt;D xsi:type="xsd:double"&gt;-0.5707979&lt;/D&gt;&lt;D xsi:type="xsd:double"&gt;-2.1196723&lt;/D&gt;&lt;D xsi:type="xsd:double"&gt;1.1504531&lt;/D&gt;&lt;D xsi:type="xsd:double"&gt;2.5191069&lt;/D&gt;&lt;D xsi:type="xsd:double"&gt;1.9508958&lt;/D&gt;&lt;D xsi:type="xsd:double"&gt;2.9671073&lt;/D&gt;&lt;D xsi:type="xsd:double"&gt;2.8398395&lt;/D&gt;&lt;D xsi:type="xsd:double"&gt;-1.2182713&lt;/D&gt;&lt;D xsi:type="xsd:double"&gt;-1.4594078&lt;/D&gt;&lt;D xsi:type="xsd:double"&gt;-4.6655836&lt;/D&gt;&lt;D xsi:type="xsd:double"&gt;0.8869171&lt;/D&gt;&lt;D xsi:type="xsd:double"&gt;-2.8571427&lt;/D&gt;&lt;D xsi:type="xsd:double"&gt;-5.384618&lt;/D&gt;&lt;D xsi:type="xsd:double"&gt;3.0487895&lt;/D&gt;&lt;D xsi:type="xsd:double"&gt;4.606104&lt;/D&gt;&lt;D xsi:type="xsd:double"&gt;-0.12801886&lt;/D&gt;&lt;D xsi:type="xsd:double"&gt;3.4865499&lt;/D&gt;&lt;D xsi:type="xsd:double"&gt;-0.8061886&lt;/D&gt;&lt;D xsi:type="xsd:double"&gt;1.1015058&lt;/D&gt;&lt;D xsi:type="xsd:double"&gt;-2.2820592&lt;/D&gt;&lt;D xsi:type="xsd:double"&gt;-1.9917727&lt;/D&gt;&lt;D xsi:type="xsd:double"&gt;3.2165885&lt;/D&gt;&lt;D xsi:type="xsd:double"&gt;3.486061&lt;/D&gt;&lt;/FQL&gt;&lt;/Schema&gt;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<sst xmlns="http://schemas.openxmlformats.org/spreadsheetml/2006/main" count="167" uniqueCount="82">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</sst>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tabSelected="1" workbookViewId="0">
      <selection activeCell="F12" sqref="F12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5">IFERROR(TRANSPOSE(_xlfn._xlws.FILTER(MONTHLY_RETURNS!B64:AI64, MONTHLY_RETURNS!$B$73:$AI$73=1)),"")</f>
        <v>ECH</v>
      </c>
      <c r="B2" s="4" t="str" cm="1">
        <f t="array" ref="B2:B5">IFERROR(TRANSPOSE(_xlfn._xlws.FILTER(MONTHLY_RETURNS!B65:AI65, MONTHLY_RETURNS!$B$73:$AI$73=1)),"")</f>
        <v>Chile</v>
      </c>
      <c r="C2" s="4" t="str" cm="1">
        <f t="array" ref="C2:C5">IFERROR(TRANSPOSE(_xlfn._xlws.FILTER(MONTHLY_RETURNS!B66:AI66, MONTHLY_RETURNS!$B$73:$AI$73=1)),"")</f>
        <v>EMERGING</v>
      </c>
      <c r="D2" s="4" cm="1">
        <f t="array" ref="D2:D5">IFERROR(TRANSPOSE(_xlfn._xlws.FILTER(MONTHLY_RETURNS!B67:AI67, MONTHLY_RETURNS!$B$73:$AI$73=1)),"")</f>
        <v>0.16270482999999999</v>
      </c>
      <c r="E2" s="4" cm="1">
        <f t="array" ref="E2:E5">IFERROR(TRANSPOSE(_xlfn._xlws.FILTER(MONTHLY_RETURNS!B68:AI68, MONTHLY_RETURNS!$B$73:$AI$73=1)),"")</f>
        <v>1.3838904331147539E-2</v>
      </c>
      <c r="F2" s="4" cm="1">
        <f t="array" ref="F2:F5">IFERROR(TRANSPOSE(_xlfn._xlws.FILTER(MONTHLY_RETURNS!B69:AI69, MONTHLY_RETURNS!$B$73:$AI$73=1)),"")</f>
        <v>5.6244499502913117E-2</v>
      </c>
      <c r="G2" s="4" cm="1">
        <f t="array" ref="G2:G5">IFERROR(TRANSPOSE(_xlfn._xlws.FILTER(MONTHLY_RETURNS!B70:AI70, MONTHLY_RETURNS!$B$73:$AI$73=1)),"")</f>
        <v>0.11248899900582623</v>
      </c>
      <c r="H2" s="1" cm="1">
        <f t="array" ref="H2:H5">IFERROR(TRANSPOSE(_xlfn._xlws.FILTER(MONTHLY_RETURNS!B71:AI71, MONTHLY_RETURNS!$B$73:$AI$73=1)),"")</f>
        <v>46.174999999999997</v>
      </c>
      <c r="I2" s="1" cm="1">
        <f t="array" ref="I2:I5">IFERROR(TRANSPOSE(_xlfn._xlws.FILTER(MONTHLY_RETURNS!B72:AI72, MONTHLY_RETURNS!$B$73:$AI$73=1)),"")</f>
        <v>34.20243781094527</v>
      </c>
    </row>
    <row r="3" spans="1:9" x14ac:dyDescent="0.45">
      <c r="A3" s="5" t="str">
        <v>EPU</v>
      </c>
      <c r="B3" s="4" t="str">
        <v>Peru</v>
      </c>
      <c r="C3" s="4" t="str">
        <v>EMERGING</v>
      </c>
      <c r="D3" s="4">
        <v>0.1958934</v>
      </c>
      <c r="E3" s="4">
        <v>2.1923435885245899E-2</v>
      </c>
      <c r="F3" s="4">
        <v>6.8630410686038562E-2</v>
      </c>
      <c r="G3" s="4">
        <v>0.13726082137207712</v>
      </c>
      <c r="H3" s="1">
        <v>86.2</v>
      </c>
      <c r="I3" s="1">
        <v>57.138340796019911</v>
      </c>
    </row>
    <row r="4" spans="1:9" x14ac:dyDescent="0.45">
      <c r="A4" s="5" t="str">
        <v>EWY</v>
      </c>
      <c r="B4" s="4" t="str">
        <v>Korea, Rep.</v>
      </c>
      <c r="C4" s="4" t="str">
        <v>EMERGING</v>
      </c>
      <c r="D4" s="4">
        <v>0.26419617000000001</v>
      </c>
      <c r="E4" s="4">
        <v>1.0409595062295081E-2</v>
      </c>
      <c r="F4" s="4">
        <v>7.8581771519401003E-2</v>
      </c>
      <c r="G4" s="4">
        <v>0.15716354303880201</v>
      </c>
      <c r="H4" s="1">
        <v>115.99</v>
      </c>
      <c r="I4" s="1">
        <v>79.351940298507458</v>
      </c>
    </row>
    <row r="5" spans="1:9" x14ac:dyDescent="0.45">
      <c r="A5" s="5" t="str">
        <v>EWZ</v>
      </c>
      <c r="B5" s="4" t="str">
        <v>Brazil</v>
      </c>
      <c r="C5" s="4" t="str">
        <v>EMERGING</v>
      </c>
      <c r="D5" s="4">
        <v>0.16465389999999999</v>
      </c>
      <c r="E5" s="4">
        <v>8.7438033081967213E-3</v>
      </c>
      <c r="F5" s="4">
        <v>6.1149768771601207E-2</v>
      </c>
      <c r="G5" s="4">
        <v>0.12229953754320241</v>
      </c>
      <c r="H5" s="1">
        <v>35.950000000000003</v>
      </c>
      <c r="I5" s="1">
        <v>29.686119402985071</v>
      </c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workbookViewId="0">
      <selection activeCell="J9" sqref="J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MONTHLY_RETURNS!$B$74:$AI$74=1)),"")</f>
        <v/>
      </c>
      <c r="B2" s="4" t="str" cm="1">
        <f t="array" ref="B2">IFERROR(TRANSPOSE(_xlfn._xlws.FILTER(MONTHLY_RETURNS!B65:AI65, MONTHLY_RETURNS!$B$74:$AI$74=1)),"")</f>
        <v/>
      </c>
      <c r="C2" s="4" t="str" cm="1">
        <f t="array" ref="C2">IFERROR(TRANSPOSE(_xlfn._xlws.FILTER(MONTHLY_RETURNS!B66:AI66, MONTHLY_RETURNS!$B$74:$AI$74=1)),"")</f>
        <v/>
      </c>
      <c r="D2" s="4" t="str" cm="1">
        <f t="array" ref="D2">IFERROR(TRANSPOSE(_xlfn._xlws.FILTER(MONTHLY_RETURNS!B67:AI67, MONTHLY_RETURNS!$B$74:$AI$74=1)),"")</f>
        <v/>
      </c>
      <c r="E2" s="4" t="str" cm="1">
        <f t="array" ref="E2">IFERROR(TRANSPOSE(_xlfn._xlws.FILTER(MONTHLY_RETURNS!B68:AI68, MONTHLY_RETURNS!$B$74:$AI$74=1)),"")</f>
        <v/>
      </c>
      <c r="F2" s="4" t="str" cm="1">
        <f t="array" ref="F2">IFERROR(TRANSPOSE(_xlfn._xlws.FILTER(MONTHLY_RETURNS!B69:AI69, MONTHLY_RETURNS!$B$74:$AI$74=1)),"")</f>
        <v/>
      </c>
      <c r="G2" s="4" t="str" cm="1">
        <f t="array" ref="G2">IFERROR(TRANSPOSE(_xlfn._xlws.FILTER(MONTHLY_RETURNS!B70:AI70, MONTHLY_RETURNS!$B$74:$AI$74=1)),"")</f>
        <v/>
      </c>
      <c r="H2" t="str" cm="1">
        <f t="array" ref="H2">IFERROR(TRANSPOSE(_xlfn._xlws.FILTER(MONTHLY_RETURNS!B71:AI71, MONTHLY_RETURNS!$B$74:$AI$74=1)),"")</f>
        <v/>
      </c>
      <c r="I2" t="str" cm="1">
        <f t="array" ref="I2">IFERROR(TRANSPOSE(_xlfn._xlws.FILTER(MONTHLY_RETURNS!B72:AI72, MONTHLY_RETURNS!$B$74:$AI$74=1)),"")</f>
        <v/>
      </c>
    </row>
    <row r="3" spans="1:9" x14ac:dyDescent="0.45">
      <c r="A3" s="5"/>
      <c r="B3" s="4"/>
      <c r="C3" s="4"/>
      <c r="D3" s="6"/>
      <c r="E3" s="6"/>
      <c r="F3" s="6"/>
      <c r="G3" s="6"/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44218</v>
      </c>
      <c r="B2" s="3" cm="1">
        <f t="array" ref="B2:B62">_xll.FDS(B1,"FG_TOTAL_RETURNC(-5AY,0,AM)")/100</f>
        <v>0.12001967000000001</v>
      </c>
      <c r="C2" s="3" cm="1">
        <f t="array" ref="C2:C62">_xll.FDS(C1,"FG_TOTAL_RETURNC(-5AY,0,AM)")/100</f>
        <v>7.5535892999999993E-2</v>
      </c>
      <c r="D2" s="3" cm="1">
        <f t="array" ref="D2:D62">_xll.FDS(D1,"FG_TOTAL_RETURNC(-5AY,0,AM)")/100</f>
        <v>7.0614099999999999E-2</v>
      </c>
      <c r="E2" s="3" cm="1">
        <f t="array" ref="E2:E62">_xll.FDS(E1,"FG_TOTAL_RETURNC(-5AY,0,AM)")/100</f>
        <v>-6.2208770000000005E-3</v>
      </c>
      <c r="F2" s="3" cm="1">
        <f t="array" ref="F2:F62">_xll.FDS(F1,"FG_TOTAL_RETURNC(-5AY,0,AM)")/100</f>
        <v>2.7360559000000003E-2</v>
      </c>
      <c r="G2" s="3" cm="1">
        <f t="array" ref="G2:G62">_xll.FDS(G1,"FG_TOTAL_RETURNC(-5AY,0,AM)")/100</f>
        <v>3.7974595999999999E-2</v>
      </c>
      <c r="H2" s="3" cm="1">
        <f t="array" ref="H2:H62">_xll.FDS(H1,"FG_TOTAL_RETURNC(-5AY,0,AM)")/100</f>
        <v>-1.5130222E-2</v>
      </c>
      <c r="I2" s="3" cm="1">
        <f t="array" ref="I2:I62">_xll.FDS(I1,"FG_TOTAL_RETURNC(-5AY,0,AM)")/100</f>
        <v>0.14531922</v>
      </c>
      <c r="J2" s="3" cm="1">
        <f t="array" ref="J2:J62">_xll.FDS(J1,"FG_TOTAL_RETURNC(-5AY,0,AM)")/100</f>
        <v>5.1779390000000002E-2</v>
      </c>
      <c r="K2" s="3" cm="1">
        <f t="array" ref="K2:K62">_xll.FDS(K1,"FG_TOTAL_RETURNC(-5AY,0,AM)")/100</f>
        <v>0.18474556</v>
      </c>
      <c r="L2" s="3" cm="1">
        <f t="array" ref="L2:L62">_xll.FDS(L1,"FG_TOTAL_RETURNC(-5AY,0,AM)")/100</f>
        <v>-4.2622859999999999E-2</v>
      </c>
      <c r="M2" s="3" cm="1">
        <f t="array" ref="M2:M62">_xll.FDS(M1,"FG_TOTAL_RETURNC(-5AY,0,AM)")/100</f>
        <v>4.5769810000000001E-2</v>
      </c>
      <c r="N2" s="3" cm="1">
        <f t="array" ref="N2:N62">_xll.FDS(N1,"FG_TOTAL_RETURNC(-5AY,0,AM)")/100</f>
        <v>-2.0149588999999999E-2</v>
      </c>
      <c r="O2" s="3" cm="1">
        <f t="array" ref="O2:O62">_xll.FDS(O1,"FG_TOTAL_RETURNC(-5AY,0,AM)")/100</f>
        <v>7.9634429999999992E-2</v>
      </c>
      <c r="P2" s="3" cm="1">
        <f t="array" ref="P2:P62">_xll.FDS(P1,"FG_TOTAL_RETURNC(-5AY,0,AM)")/100</f>
        <v>0.14771867</v>
      </c>
      <c r="Q2" s="3" cm="1">
        <f t="array" ref="Q2:Q62">_xll.FDS(Q1,"FG_TOTAL_RETURNC(-5AY,0,AM)")/100</f>
        <v>2.1574974E-2</v>
      </c>
      <c r="R2" s="3" cm="1">
        <f t="array" ref="R2:R62">_xll.FDS(R1,"FG_TOTAL_RETURNC(-5AY,0,AM)")/100</f>
        <v>5.1594019999999997E-2</v>
      </c>
      <c r="S2" s="3" cm="1">
        <f t="array" ref="S2:S62">_xll.FDS(S1,"FG_TOTAL_RETURNC(-5AY,0,AM)")/100</f>
        <v>0.13919413</v>
      </c>
      <c r="T2" s="3" cm="1">
        <f t="array" ref="T2:T62">_xll.FDS(T1,"FG_TOTAL_RETURNC(-5AY,0,AM)")/100</f>
        <v>0.10192954999999999</v>
      </c>
      <c r="U2" s="3" cm="1">
        <f t="array" ref="U2:U62">_xll.FDS(U1,"FG_TOTAL_RETURNC(-5AY,0,AM)")/100</f>
        <v>0.10409141</v>
      </c>
      <c r="V2" s="3" cm="1">
        <f t="array" ref="V2:V62">_xll.FDS(V1,"FG_TOTAL_RETURNC(-5AY,0,AM)")/100</f>
        <v>2.1900177E-2</v>
      </c>
      <c r="W2" s="3" cm="1">
        <f t="array" ref="W2:W62">_xll.FDS(W1,"FG_TOTAL_RETURNC(-5AY,0,AM)")/100</f>
        <v>4.9222710000000003E-2</v>
      </c>
      <c r="X2" s="3" cm="1">
        <f t="array" ref="X2:X62">_xll.FDS(X1,"FG_TOTAL_RETURNC(-5AY,0,AM)")/100</f>
        <v>5.1585673999999998E-2</v>
      </c>
      <c r="Y2" s="3" cm="1">
        <f t="array" ref="Y2:Y62">_xll.FDS(Y1,"FG_TOTAL_RETURNC(-5AY,0,AM)")/100</f>
        <v>3.0283332E-2</v>
      </c>
      <c r="Z2" s="3" cm="1">
        <f t="array" ref="Z2:Z62">_xll.FDS(Z1,"FG_TOTAL_RETURNC(-5AY,0,AM)")/100</f>
        <v>4.0268419999999999E-2</v>
      </c>
      <c r="AA2" s="3" cm="1">
        <f t="array" ref="AA2:AA62">_xll.FDS(AA1,"FG_TOTAL_RETURNC(-5AY,0,AM)")/100</f>
        <v>5.1959869999999998E-2</v>
      </c>
      <c r="AB2" s="3" cm="1">
        <f t="array" ref="AB2:AB62">_xll.FDS(AB1,"FG_TOTAL_RETURNC(-5AY,0,AM)")/100</f>
        <v>4.8176170000000004E-2</v>
      </c>
      <c r="AC2" s="3" cm="1">
        <f t="array" ref="AC2:AC62">_xll.FDS(AC1,"FG_TOTAL_RETURNC(-5AY,0,AM)")/100</f>
        <v>6.2456727000000004E-2</v>
      </c>
      <c r="AD2" s="3" cm="1">
        <f t="array" ref="AD2:AD62">_xll.FDS(AD1,"FG_TOTAL_RETURNC(-5AY,0,AM)")/100</f>
        <v>5.055523E-2</v>
      </c>
      <c r="AE2" s="3" cm="1">
        <f t="array" ref="AE2:AE62">_xll.FDS(AE1,"FG_TOTAL_RETURNC(-5AY,0,AM)")/100</f>
        <v>4.2587995999999996E-2</v>
      </c>
      <c r="AF2" s="3" cm="1">
        <f t="array" ref="AF2:AF62">_xll.FDS(AF1,"FG_TOTAL_RETURNC(-5AY,0,AM)")/100</f>
        <v>2.1042942999999998E-2</v>
      </c>
      <c r="AG2" s="3" cm="1">
        <f t="array" ref="AG2:AG62">_xll.FDS(AG1,"FG_TOTAL_RETURNC(-5AY,0,AM)")/100</f>
        <v>8.5007429999999995E-2</v>
      </c>
      <c r="AH2" s="3" cm="1">
        <f t="array" ref="AH2:AH62">_xll.FDS(AH1,"FG_TOTAL_RETURNC(-5AY,0,AM)")/100</f>
        <v>7.1991799999999995E-2</v>
      </c>
      <c r="AI2" s="3" cm="1">
        <f t="array" ref="AI2:AI62">_xll.FDS(AI1,"FG_TOTAL_RETURNC(-5AY,0,AM)")/100</f>
        <v>8.9563130000000005E-3</v>
      </c>
      <c r="AJ2" s="3"/>
      <c r="AK2" s="3"/>
      <c r="AL2" s="3"/>
    </row>
    <row r="3" spans="1:38" x14ac:dyDescent="0.45">
      <c r="A3" s="2">
        <v>44249</v>
      </c>
      <c r="B3" s="3">
        <v>1.5151501000000001E-2</v>
      </c>
      <c r="C3" s="3">
        <v>2.7522921999999998E-2</v>
      </c>
      <c r="D3" s="3">
        <v>-4.2195853999999998E-2</v>
      </c>
      <c r="E3" s="3">
        <v>-5.5086079999999996E-2</v>
      </c>
      <c r="F3" s="3">
        <v>1.4099239999999999E-2</v>
      </c>
      <c r="G3" s="3">
        <v>9.8128320000000005E-2</v>
      </c>
      <c r="H3" s="3">
        <v>-1.8578053000000001E-2</v>
      </c>
      <c r="I3" s="3">
        <v>1.9151807E-2</v>
      </c>
      <c r="J3" s="3">
        <v>-4.5856532999999998E-2</v>
      </c>
      <c r="K3" s="3">
        <v>-3.3468365999999999E-2</v>
      </c>
      <c r="L3" s="3">
        <v>-4.4805945999999999E-2</v>
      </c>
      <c r="M3" s="3">
        <v>7.0954920000000005E-2</v>
      </c>
      <c r="N3" s="3">
        <v>-2.0458697999999999E-3</v>
      </c>
      <c r="O3" s="3">
        <v>1.3784765999999999E-2</v>
      </c>
      <c r="P3" s="3">
        <v>7.3578359999999995E-3</v>
      </c>
      <c r="Q3" s="3">
        <v>-3.9598702999999999E-2</v>
      </c>
      <c r="R3" s="3">
        <v>-1.3178647000000002E-2</v>
      </c>
      <c r="S3" s="3">
        <v>4.5730589999999995E-2</v>
      </c>
      <c r="T3" s="3">
        <v>-1.4084517999999999E-2</v>
      </c>
      <c r="U3" s="3">
        <v>-8.719325E-3</v>
      </c>
      <c r="V3" s="3">
        <v>2.3006558E-2</v>
      </c>
      <c r="W3" s="3">
        <v>-5.7952046E-2</v>
      </c>
      <c r="X3" s="3">
        <v>2.050662E-2</v>
      </c>
      <c r="Y3" s="3">
        <v>4.6776175000000003E-2</v>
      </c>
      <c r="Z3" s="3">
        <v>2.7649403000000001E-3</v>
      </c>
      <c r="AA3" s="3">
        <v>2.7874112000000003E-2</v>
      </c>
      <c r="AB3" s="3">
        <v>-2.7139365999999998E-2</v>
      </c>
      <c r="AC3" s="3">
        <v>1.3063312000000001E-2</v>
      </c>
      <c r="AD3" s="3">
        <v>-9.157419E-3</v>
      </c>
      <c r="AE3" s="3">
        <v>1.0838866000000001E-2</v>
      </c>
      <c r="AF3" s="3">
        <v>2.6881814E-2</v>
      </c>
      <c r="AG3" s="3">
        <v>2.3933053000000003E-2</v>
      </c>
      <c r="AH3" s="3">
        <v>1.945889E-2</v>
      </c>
      <c r="AI3" s="3">
        <v>3.1751394000000002E-2</v>
      </c>
      <c r="AJ3" s="3"/>
      <c r="AK3" s="3"/>
      <c r="AL3" s="3"/>
    </row>
    <row r="4" spans="1:38" x14ac:dyDescent="0.45">
      <c r="A4" s="2">
        <v>44277</v>
      </c>
      <c r="B4" s="3">
        <v>-0.10988533</v>
      </c>
      <c r="C4" s="3">
        <v>4.8337459999999999E-2</v>
      </c>
      <c r="D4" s="3">
        <v>-1.2831449999999999E-2</v>
      </c>
      <c r="E4" s="3">
        <v>-4.074204E-2</v>
      </c>
      <c r="F4" s="3">
        <v>-5.2780630000000002E-2</v>
      </c>
      <c r="G4" s="3">
        <v>-8.6518650000000002E-2</v>
      </c>
      <c r="H4" s="3">
        <v>1.7109632E-2</v>
      </c>
      <c r="I4" s="3">
        <v>-1.3926148000000001E-2</v>
      </c>
      <c r="J4" s="3">
        <v>6.9041132999999991E-2</v>
      </c>
      <c r="K4" s="3">
        <v>-1.7534255999999998E-2</v>
      </c>
      <c r="L4" s="3">
        <v>7.7681540000000002E-3</v>
      </c>
      <c r="M4" s="3">
        <v>3.5086869999999999E-3</v>
      </c>
      <c r="N4" s="3">
        <v>6.2320589999999995E-2</v>
      </c>
      <c r="O4" s="3">
        <v>1.5028596E-2</v>
      </c>
      <c r="P4" s="3">
        <v>-7.7728149999999996E-2</v>
      </c>
      <c r="Q4" s="3">
        <v>1.3194084E-2</v>
      </c>
      <c r="R4" s="3">
        <v>5.9683083999999997E-2</v>
      </c>
      <c r="S4" s="3">
        <v>-0.20925861000000001</v>
      </c>
      <c r="T4" s="3">
        <v>2.7799249000000002E-2</v>
      </c>
      <c r="U4" s="3">
        <v>-1.3743818000000001E-2</v>
      </c>
      <c r="V4" s="3">
        <v>5.2988289999999993E-2</v>
      </c>
      <c r="W4" s="3">
        <v>-2.6981175E-2</v>
      </c>
      <c r="X4" s="3">
        <v>-2.04885E-2</v>
      </c>
      <c r="Y4" s="3">
        <v>3.3816457000000001E-2</v>
      </c>
      <c r="Z4" s="3">
        <v>2.5429010000000002E-2</v>
      </c>
      <c r="AA4" s="3">
        <v>-1.3348281E-2</v>
      </c>
      <c r="AB4" s="3">
        <v>1.1023521000000001E-2</v>
      </c>
      <c r="AC4" s="3">
        <v>1.0315894999999999E-2</v>
      </c>
      <c r="AD4" s="3">
        <v>-1.0654211E-2</v>
      </c>
      <c r="AE4" s="3">
        <v>1.7693639000000001E-2</v>
      </c>
      <c r="AF4" s="3">
        <v>1.5125036000000001E-2</v>
      </c>
      <c r="AG4" s="3">
        <v>8.8202950000000006E-4</v>
      </c>
      <c r="AH4" s="3">
        <v>4.4459939999999996E-2</v>
      </c>
      <c r="AI4" s="3">
        <v>3.8716078000000001E-2</v>
      </c>
      <c r="AJ4" s="3"/>
      <c r="AK4" s="3"/>
      <c r="AL4" s="3"/>
    </row>
    <row r="5" spans="1:38" x14ac:dyDescent="0.45">
      <c r="A5" s="2">
        <v>44308</v>
      </c>
      <c r="B5" s="3">
        <v>1.7253875999999998E-2</v>
      </c>
      <c r="C5" s="3">
        <v>1.1453748E-2</v>
      </c>
      <c r="D5" s="3">
        <v>-7.3656854999999993E-2</v>
      </c>
      <c r="E5" s="3">
        <v>-6.905794E-4</v>
      </c>
      <c r="F5" s="3">
        <v>4.8110960000000001E-2</v>
      </c>
      <c r="G5" s="3">
        <v>-0.10856652</v>
      </c>
      <c r="H5" s="3">
        <v>-6.0844419999999998E-3</v>
      </c>
      <c r="I5" s="3">
        <v>6.602013000000001E-2</v>
      </c>
      <c r="J5" s="3">
        <v>7.1428537E-2</v>
      </c>
      <c r="K5" s="3">
        <v>2.6153325999999998E-2</v>
      </c>
      <c r="L5" s="3">
        <v>4.9510837000000002E-2</v>
      </c>
      <c r="M5" s="3">
        <v>3.6199093000000002E-2</v>
      </c>
      <c r="N5" s="3">
        <v>7.4874640000000006E-2</v>
      </c>
      <c r="O5" s="3">
        <v>-6.4629850000000003E-2</v>
      </c>
      <c r="P5" s="3">
        <v>-2.4586320000000002E-2</v>
      </c>
      <c r="Q5" s="3">
        <v>5.9142710000000001E-2</v>
      </c>
      <c r="R5" s="3">
        <v>1.1811256399999999E-3</v>
      </c>
      <c r="S5" s="3">
        <v>-3.6076963000000004E-2</v>
      </c>
      <c r="T5" s="3">
        <v>1.6528845E-2</v>
      </c>
      <c r="U5" s="3">
        <v>7.4136019999999997E-2</v>
      </c>
      <c r="V5" s="3">
        <v>7.8115820000000002E-2</v>
      </c>
      <c r="W5" s="3">
        <v>1.2993217E-2</v>
      </c>
      <c r="X5" s="3">
        <v>4.2638780000000001E-2</v>
      </c>
      <c r="Y5" s="3">
        <v>1.6939163E-2</v>
      </c>
      <c r="Z5" s="3">
        <v>4.063344E-2</v>
      </c>
      <c r="AA5" s="3">
        <v>-2.4636923999999998E-2</v>
      </c>
      <c r="AB5" s="3">
        <v>3.8940787000000004E-2</v>
      </c>
      <c r="AC5" s="3">
        <v>2.9355406999999997E-2</v>
      </c>
      <c r="AD5" s="3">
        <v>5.2070020000000002E-2</v>
      </c>
      <c r="AE5" s="3">
        <v>5.0128579999999999E-2</v>
      </c>
      <c r="AF5" s="3">
        <v>5.4441214000000002E-2</v>
      </c>
      <c r="AG5" s="3">
        <v>6.1467289999999994E-2</v>
      </c>
      <c r="AH5" s="3">
        <v>4.7024727000000002E-2</v>
      </c>
      <c r="AI5" s="3">
        <v>1.2742995999999999E-2</v>
      </c>
      <c r="AJ5" s="3"/>
      <c r="AK5" s="3"/>
      <c r="AL5" s="3"/>
    </row>
    <row r="6" spans="1:38" x14ac:dyDescent="0.45">
      <c r="A6" s="2">
        <v>44337</v>
      </c>
      <c r="B6" s="3">
        <v>2.2933602000000001E-2</v>
      </c>
      <c r="C6" s="3">
        <v>-0.17595816</v>
      </c>
      <c r="D6" s="3">
        <v>-1.7773568999999999E-2</v>
      </c>
      <c r="E6" s="3">
        <v>-1.7277121999999999E-2</v>
      </c>
      <c r="F6" s="3">
        <v>0.10529041</v>
      </c>
      <c r="G6" s="3">
        <v>3.3301709999999998E-2</v>
      </c>
      <c r="H6" s="3">
        <v>-3.8530767E-2</v>
      </c>
      <c r="I6" s="3">
        <v>-5.5387077E-2</v>
      </c>
      <c r="J6" s="3">
        <v>1.767838E-2</v>
      </c>
      <c r="K6" s="3">
        <v>-2.1001934999999999E-2</v>
      </c>
      <c r="L6" s="3">
        <v>4.5762660000000004E-2</v>
      </c>
      <c r="M6" s="3">
        <v>1.0519981000000001E-2</v>
      </c>
      <c r="N6" s="3">
        <v>-9.3357562999999994E-3</v>
      </c>
      <c r="O6" s="3">
        <v>8.2663299999999995E-2</v>
      </c>
      <c r="P6" s="3">
        <v>-3.8051366999999996E-2</v>
      </c>
      <c r="Q6" s="3">
        <v>-1.0246038399999999E-3</v>
      </c>
      <c r="R6" s="3">
        <v>-1.0056078E-2</v>
      </c>
      <c r="S6" s="3">
        <v>5.826986E-2</v>
      </c>
      <c r="T6" s="3">
        <v>7.0946097E-2</v>
      </c>
      <c r="U6" s="3">
        <v>-8.8220240000000012E-3</v>
      </c>
      <c r="V6" s="3">
        <v>1.9538759999999999E-2</v>
      </c>
      <c r="W6" s="3">
        <v>-2.0021855999999998E-2</v>
      </c>
      <c r="X6" s="3">
        <v>1.4660477999999999E-2</v>
      </c>
      <c r="Y6" s="3">
        <v>7.0936319999999997E-2</v>
      </c>
      <c r="Z6" s="3">
        <v>2.1245956E-2</v>
      </c>
      <c r="AA6" s="3">
        <v>-8.1763270000000006E-3</v>
      </c>
      <c r="AB6" s="3">
        <v>2.8485775000000001E-2</v>
      </c>
      <c r="AC6" s="3">
        <v>4.7737119999999994E-2</v>
      </c>
      <c r="AD6" s="3">
        <v>-2.4433196000000001E-2</v>
      </c>
      <c r="AE6" s="3">
        <v>6.476402E-3</v>
      </c>
      <c r="AF6" s="3">
        <v>4.3750049999999999E-2</v>
      </c>
      <c r="AG6" s="3">
        <v>9.9626780000000009E-3</v>
      </c>
      <c r="AH6" s="3">
        <v>2.3414253999999999E-2</v>
      </c>
      <c r="AI6" s="3">
        <v>4.2151569999999999E-2</v>
      </c>
      <c r="AJ6" s="3"/>
      <c r="AK6" s="3"/>
      <c r="AL6" s="3"/>
    </row>
    <row r="7" spans="1:38" x14ac:dyDescent="0.45">
      <c r="A7" s="2">
        <v>44369</v>
      </c>
      <c r="B7" s="3">
        <v>8.6538789999999997E-3</v>
      </c>
      <c r="C7" s="3">
        <v>3.1686306000000004E-2</v>
      </c>
      <c r="D7" s="3">
        <v>3.9523839999999998E-3</v>
      </c>
      <c r="E7" s="3">
        <v>9.3532089999999998E-2</v>
      </c>
      <c r="F7" s="3">
        <v>2.7642012000000001E-2</v>
      </c>
      <c r="G7" s="3">
        <v>-0.13236999499999999</v>
      </c>
      <c r="H7" s="3">
        <v>1.0249496E-2</v>
      </c>
      <c r="I7" s="3">
        <v>4.8834084999999999E-2</v>
      </c>
      <c r="J7" s="3">
        <v>-5.8748719999999997E-3</v>
      </c>
      <c r="K7" s="3">
        <v>2.7597785E-2</v>
      </c>
      <c r="L7" s="3">
        <v>0.12967740999999999</v>
      </c>
      <c r="M7" s="3">
        <v>-4.2531786000000002E-2</v>
      </c>
      <c r="N7" s="3">
        <v>4.4943810000000001E-2</v>
      </c>
      <c r="O7" s="3">
        <v>3.2746195999999998E-2</v>
      </c>
      <c r="P7" s="3">
        <v>6.0836077000000002E-3</v>
      </c>
      <c r="Q7" s="3">
        <v>9.6993445999999997E-3</v>
      </c>
      <c r="R7" s="3">
        <v>3.0139684999999999E-2</v>
      </c>
      <c r="S7" s="3">
        <v>-4.1350959999999999E-2</v>
      </c>
      <c r="T7" s="3">
        <v>1.6538261999999998E-2</v>
      </c>
      <c r="U7" s="3">
        <v>5.4973720000000004E-2</v>
      </c>
      <c r="V7" s="3">
        <v>4.8118710000000002E-2</v>
      </c>
      <c r="W7" s="3">
        <v>-2.4772941999999999E-2</v>
      </c>
      <c r="X7" s="3">
        <v>1.6251206000000001E-2</v>
      </c>
      <c r="Y7" s="3">
        <v>1.4249802000000001E-2</v>
      </c>
      <c r="Z7" s="3">
        <v>-1.5932321999999998E-3</v>
      </c>
      <c r="AA7" s="3">
        <v>8.9712139999999999E-3</v>
      </c>
      <c r="AB7" s="3">
        <v>4.0077806000000001E-2</v>
      </c>
      <c r="AC7" s="3">
        <v>-6.8709254000000001E-3</v>
      </c>
      <c r="AD7" s="3">
        <v>6.4097285000000004E-2</v>
      </c>
      <c r="AE7" s="3">
        <v>2.3070812E-2</v>
      </c>
      <c r="AF7" s="3">
        <v>1.1960149E-2</v>
      </c>
      <c r="AG7" s="3">
        <v>1.4507770000000001E-3</v>
      </c>
      <c r="AH7" s="3">
        <v>-7.3605179999999999E-3</v>
      </c>
      <c r="AI7" s="3">
        <v>2.721429E-3</v>
      </c>
      <c r="AJ7" s="3"/>
      <c r="AK7" s="3"/>
      <c r="AL7" s="3"/>
    </row>
    <row r="8" spans="1:38" x14ac:dyDescent="0.45">
      <c r="A8" s="2">
        <v>44399</v>
      </c>
      <c r="B8" s="3">
        <v>2.3654938E-2</v>
      </c>
      <c r="C8" s="3">
        <v>-3.7165759999999999E-2</v>
      </c>
      <c r="D8" s="3">
        <v>-1.8615842000000001E-2</v>
      </c>
      <c r="E8" s="3">
        <v>-6.7335724999999999E-2</v>
      </c>
      <c r="F8" s="3">
        <v>-1.9688666E-2</v>
      </c>
      <c r="G8" s="3">
        <v>1.2457728E-2</v>
      </c>
      <c r="H8" s="3">
        <v>-4.3212232999999996E-2</v>
      </c>
      <c r="I8" s="3">
        <v>2.706623E-2</v>
      </c>
      <c r="J8" s="3">
        <v>1.4428139E-2</v>
      </c>
      <c r="K8" s="3">
        <v>-1.9245445999999999E-2</v>
      </c>
      <c r="L8" s="3">
        <v>-6.1422643999999998E-2</v>
      </c>
      <c r="M8" s="3">
        <v>-1.2422322999999999E-2</v>
      </c>
      <c r="N8" s="3">
        <v>-7.8390600000000005E-2</v>
      </c>
      <c r="O8" s="3">
        <v>-4.4983624999999998E-4</v>
      </c>
      <c r="P8" s="3">
        <v>-2.7105093E-2</v>
      </c>
      <c r="Q8" s="3">
        <v>-2.4402857E-2</v>
      </c>
      <c r="R8" s="3">
        <v>-2.9307842000000001E-2</v>
      </c>
      <c r="S8" s="3">
        <v>-3.0482233000000001E-2</v>
      </c>
      <c r="T8" s="3">
        <v>-2.2902249999999999E-2</v>
      </c>
      <c r="U8" s="3">
        <v>-4.1687370000000001E-2</v>
      </c>
      <c r="V8" s="3">
        <v>-9.4847083000000002E-3</v>
      </c>
      <c r="W8" s="3">
        <v>1.5359163E-2</v>
      </c>
      <c r="X8" s="3">
        <v>-2.4658619999999999E-2</v>
      </c>
      <c r="Y8" s="3">
        <v>-2.3410500000000001E-2</v>
      </c>
      <c r="Z8" s="3">
        <v>-1.7468392999999999E-2</v>
      </c>
      <c r="AA8" s="3">
        <v>-8.0835222999999998E-3</v>
      </c>
      <c r="AB8" s="3">
        <v>8.1562995999999997E-4</v>
      </c>
      <c r="AC8" s="3">
        <v>-2.5749743000000002E-2</v>
      </c>
      <c r="AD8" s="3">
        <v>4.7127246999999997E-2</v>
      </c>
      <c r="AE8" s="3">
        <v>2.9188632999999999E-2</v>
      </c>
      <c r="AF8" s="3">
        <v>-2.8095663000000003E-2</v>
      </c>
      <c r="AG8" s="3">
        <v>9.7087619999999993E-3</v>
      </c>
      <c r="AH8" s="3">
        <v>2.1226406E-2</v>
      </c>
      <c r="AI8" s="3">
        <v>-3.4125506999999999E-2</v>
      </c>
      <c r="AJ8" s="3"/>
      <c r="AK8" s="3"/>
      <c r="AL8" s="3"/>
    </row>
    <row r="9" spans="1:38" x14ac:dyDescent="0.45">
      <c r="A9" s="2">
        <v>44428</v>
      </c>
      <c r="B9" s="3">
        <v>-6.3661040000000002E-2</v>
      </c>
      <c r="C9" s="3">
        <v>-2.3448764999999996E-2</v>
      </c>
      <c r="D9" s="3">
        <v>1.6050577E-2</v>
      </c>
      <c r="E9" s="3">
        <v>2.0131945999999998E-2</v>
      </c>
      <c r="F9" s="3">
        <v>8.8744163999999997E-3</v>
      </c>
      <c r="G9" s="3">
        <v>-0.14869624000000001</v>
      </c>
      <c r="H9" s="3">
        <v>-7.5939299999999996E-3</v>
      </c>
      <c r="I9" s="3">
        <v>-4.8784312999999996E-2</v>
      </c>
      <c r="J9" s="3">
        <v>1.5477896E-2</v>
      </c>
      <c r="K9" s="3">
        <v>-8.4035399999999996E-2</v>
      </c>
      <c r="L9" s="3">
        <v>-9.8292769999999988E-2</v>
      </c>
      <c r="M9" s="3">
        <v>-5.5555580000000007E-2</v>
      </c>
      <c r="N9" s="3">
        <v>3.76364E-2</v>
      </c>
      <c r="O9" s="3">
        <v>4.1629195000000001E-2</v>
      </c>
      <c r="P9" s="3">
        <v>-0.14703989000000001</v>
      </c>
      <c r="Q9" s="3">
        <v>3.8850427E-2</v>
      </c>
      <c r="R9" s="3">
        <v>5.2821635999999994E-4</v>
      </c>
      <c r="S9" s="3">
        <v>8.1182589999999999E-2</v>
      </c>
      <c r="T9" s="3">
        <v>4.7892330000000004E-2</v>
      </c>
      <c r="U9" s="3">
        <v>-7.7679752999999995E-3</v>
      </c>
      <c r="V9" s="3">
        <v>5.6185365000000001E-2</v>
      </c>
      <c r="W9" s="3">
        <v>-4.3103100000000004E-3</v>
      </c>
      <c r="X9" s="3">
        <v>-1.4780222999999999E-2</v>
      </c>
      <c r="Y9" s="3">
        <v>-6.2652825999999998E-3</v>
      </c>
      <c r="Z9" s="3">
        <v>8.7437629999999999E-3</v>
      </c>
      <c r="AA9" s="3">
        <v>-1.2298047999999999E-2</v>
      </c>
      <c r="AB9" s="3">
        <v>3.5452246999999999E-2</v>
      </c>
      <c r="AC9" s="3">
        <v>1.6791105000000001E-2</v>
      </c>
      <c r="AD9" s="3">
        <v>1.0385990000000001E-2</v>
      </c>
      <c r="AE9" s="3">
        <v>1.8141747E-2</v>
      </c>
      <c r="AF9" s="3">
        <v>1.6327620000000001E-2</v>
      </c>
      <c r="AG9" s="3">
        <v>3.9075255000000003E-2</v>
      </c>
      <c r="AH9" s="3">
        <v>-9.4478130000000011E-3</v>
      </c>
      <c r="AI9" s="3">
        <v>3.1861186E-2</v>
      </c>
      <c r="AJ9" s="3"/>
      <c r="AK9" s="3"/>
      <c r="AL9" s="3"/>
    </row>
    <row r="10" spans="1:38" x14ac:dyDescent="0.45">
      <c r="A10" s="2">
        <v>44461</v>
      </c>
      <c r="B10" s="3">
        <v>2.8550625E-2</v>
      </c>
      <c r="C10" s="3">
        <v>4.8023461999999999E-3</v>
      </c>
      <c r="D10" s="3">
        <v>2.2977590000000003E-2</v>
      </c>
      <c r="E10" s="3">
        <v>3.5045980999999997E-2</v>
      </c>
      <c r="F10" s="3">
        <v>3.6574005999999999E-2</v>
      </c>
      <c r="G10" s="3">
        <v>9.1473579999999999E-2</v>
      </c>
      <c r="H10" s="3">
        <v>1.6109585999999999E-2</v>
      </c>
      <c r="I10" s="3">
        <v>4.3865439999999999E-2</v>
      </c>
      <c r="J10" s="3">
        <v>2.1009326000000002E-2</v>
      </c>
      <c r="K10" s="3">
        <v>-7.6253414E-3</v>
      </c>
      <c r="L10" s="3">
        <v>-4.0447474000000004E-2</v>
      </c>
      <c r="M10" s="3">
        <v>3.7069917000000001E-2</v>
      </c>
      <c r="N10" s="3">
        <v>2.2850990000000002E-2</v>
      </c>
      <c r="O10" s="3">
        <v>7.0641636999999993E-2</v>
      </c>
      <c r="P10" s="3">
        <v>3.0697226999999997E-2</v>
      </c>
      <c r="Q10" s="3">
        <v>1.9472361000000001E-2</v>
      </c>
      <c r="R10" s="3">
        <v>4.2757389999999999E-2</v>
      </c>
      <c r="S10" s="3">
        <v>-4.9479246000000005E-2</v>
      </c>
      <c r="T10" s="3">
        <v>2.0590305E-2</v>
      </c>
      <c r="U10" s="3">
        <v>3.6012530000000001E-2</v>
      </c>
      <c r="V10" s="3">
        <v>9.2866420000000012E-3</v>
      </c>
      <c r="W10" s="3">
        <v>3.6004186000000001E-2</v>
      </c>
      <c r="X10" s="3">
        <v>-3.9479136000000001E-3</v>
      </c>
      <c r="Y10" s="3">
        <v>3.5636424999999998E-3</v>
      </c>
      <c r="Z10" s="3">
        <v>-2.1670043E-2</v>
      </c>
      <c r="AA10" s="3">
        <v>8.7458609999999992E-2</v>
      </c>
      <c r="AB10" s="3">
        <v>-4.8602939999999997E-2</v>
      </c>
      <c r="AC10" s="3">
        <v>-6.727874E-3</v>
      </c>
      <c r="AD10" s="3">
        <v>6.1411859999999999E-3</v>
      </c>
      <c r="AE10" s="3">
        <v>-9.209990500000001E-3</v>
      </c>
      <c r="AF10" s="3">
        <v>5.7939289999999997E-3</v>
      </c>
      <c r="AG10" s="3">
        <v>2.8155207999999998E-2</v>
      </c>
      <c r="AH10" s="3">
        <v>-2.0771503E-2</v>
      </c>
      <c r="AI10" s="3">
        <v>-1.8342971999999999E-2</v>
      </c>
      <c r="AJ10" s="3"/>
      <c r="AK10" s="3"/>
      <c r="AL10" s="3"/>
    </row>
    <row r="11" spans="1:38" x14ac:dyDescent="0.45">
      <c r="A11" s="2">
        <v>44491</v>
      </c>
      <c r="B11" s="3">
        <v>2.5641083999999998E-2</v>
      </c>
      <c r="C11" s="3">
        <v>-0.10882354</v>
      </c>
      <c r="D11" s="3">
        <v>0.14085160999999999</v>
      </c>
      <c r="E11" s="3">
        <v>6.8658709999999998E-2</v>
      </c>
      <c r="F11" s="3">
        <v>4.5109389999999999E-2</v>
      </c>
      <c r="G11" s="3">
        <v>0.15585888000000001</v>
      </c>
      <c r="H11" s="3">
        <v>5.2715063000000006E-2</v>
      </c>
      <c r="I11" s="3">
        <v>-1.9589244999999998E-2</v>
      </c>
      <c r="J11" s="3">
        <v>-8.069873E-4</v>
      </c>
      <c r="K11" s="3">
        <v>-1.9880413999999999E-2</v>
      </c>
      <c r="L11" s="3">
        <v>-0.1007474</v>
      </c>
      <c r="M11" s="3">
        <v>4.2594075000000002E-2</v>
      </c>
      <c r="N11" s="3">
        <v>1.6312002999999999E-2</v>
      </c>
      <c r="O11" s="3">
        <v>-3.4302473000000001E-3</v>
      </c>
      <c r="P11" s="3">
        <v>6.3380240000000004E-2</v>
      </c>
      <c r="Q11" s="3">
        <v>5.1351547000000004E-2</v>
      </c>
      <c r="R11" s="3">
        <v>1.4713644999999999E-2</v>
      </c>
      <c r="S11" s="3">
        <v>-5.1141500000000006E-2</v>
      </c>
      <c r="T11" s="3">
        <v>-7.4848530000000005E-3</v>
      </c>
      <c r="U11" s="3">
        <v>-1.0579407000000001E-2</v>
      </c>
      <c r="V11" s="3">
        <v>6.6763760000000005E-2</v>
      </c>
      <c r="W11" s="3">
        <v>7.1114299999999993E-3</v>
      </c>
      <c r="X11" s="3">
        <v>5.1922319999999994E-2</v>
      </c>
      <c r="Y11" s="3">
        <v>8.0579040000000005E-2</v>
      </c>
      <c r="Z11" s="3">
        <v>-2.3627281000000002E-3</v>
      </c>
      <c r="AA11" s="3">
        <v>-5.6145670000000002E-2</v>
      </c>
      <c r="AB11" s="3">
        <v>2.4405359999999997E-2</v>
      </c>
      <c r="AC11" s="3">
        <v>3.8793205999999997E-2</v>
      </c>
      <c r="AD11" s="3">
        <v>1.2257457000000001E-2</v>
      </c>
      <c r="AE11" s="3">
        <v>3.4851313000000002E-2</v>
      </c>
      <c r="AF11" s="3">
        <v>2.0424247000000003E-2</v>
      </c>
      <c r="AG11" s="3">
        <v>4.9788951999999997E-3</v>
      </c>
      <c r="AH11" s="3">
        <v>5.5194736000000001E-2</v>
      </c>
      <c r="AI11" s="3">
        <v>3.8928628E-2</v>
      </c>
      <c r="AJ11" s="3"/>
      <c r="AK11" s="3"/>
      <c r="AL11" s="3"/>
    </row>
    <row r="12" spans="1:38" x14ac:dyDescent="0.45">
      <c r="A12" s="2">
        <v>44522</v>
      </c>
      <c r="B12" s="3">
        <v>1.1469126000000001E-3</v>
      </c>
      <c r="C12" s="3">
        <v>0.17574262999999998</v>
      </c>
      <c r="D12" s="3">
        <v>-2.5430620000000001E-2</v>
      </c>
      <c r="E12" s="3">
        <v>-1.7798305E-2</v>
      </c>
      <c r="F12" s="3">
        <v>-0.12008547999999999</v>
      </c>
      <c r="G12" s="3">
        <v>-6.0039340000000004E-2</v>
      </c>
      <c r="H12" s="3">
        <v>-5.8734894000000003E-2</v>
      </c>
      <c r="I12" s="3">
        <v>6.3970326999999994E-2</v>
      </c>
      <c r="J12" s="3">
        <v>-5.7944655000000005E-2</v>
      </c>
      <c r="K12" s="3">
        <v>-4.1065215999999995E-3</v>
      </c>
      <c r="L12" s="3">
        <v>-3.0585110000000002E-2</v>
      </c>
      <c r="M12" s="3">
        <v>-5.8920145E-2</v>
      </c>
      <c r="N12" s="3">
        <v>-5.4431257000000004E-2</v>
      </c>
      <c r="O12" s="3">
        <v>-1.5590191E-2</v>
      </c>
      <c r="P12" s="3">
        <v>-6.2500056999999998E-2</v>
      </c>
      <c r="Q12" s="3">
        <v>-8.2210300000000007E-3</v>
      </c>
      <c r="R12" s="3">
        <v>3.7239790000000001E-3</v>
      </c>
      <c r="S12" s="3">
        <v>-1.4437437E-3</v>
      </c>
      <c r="T12" s="3">
        <v>0.11662948999999999</v>
      </c>
      <c r="U12" s="3">
        <v>3.2586575E-2</v>
      </c>
      <c r="V12" s="3">
        <v>-6.3495635999999994E-2</v>
      </c>
      <c r="W12" s="3">
        <v>-7.2811899999999999E-2</v>
      </c>
      <c r="X12" s="3">
        <v>-4.6721991999999997E-2</v>
      </c>
      <c r="Y12" s="3">
        <v>-1.7947495000000001E-2</v>
      </c>
      <c r="Z12" s="3">
        <v>-9.7690225000000002E-3</v>
      </c>
      <c r="AA12" s="3">
        <v>1.6515732000000002E-2</v>
      </c>
      <c r="AB12" s="3">
        <v>1.2113929000000001E-2</v>
      </c>
      <c r="AC12" s="3">
        <v>-2.252525E-2</v>
      </c>
      <c r="AD12" s="3">
        <v>6.7361592999999997E-2</v>
      </c>
      <c r="AE12" s="3">
        <v>3.1890035000000004E-2</v>
      </c>
      <c r="AF12" s="3">
        <v>7.9547166999999995E-3</v>
      </c>
      <c r="AG12" s="3">
        <v>-2.3627996000000002E-2</v>
      </c>
      <c r="AH12" s="3">
        <v>-2.9128194E-2</v>
      </c>
      <c r="AI12" s="3">
        <v>-1.1990427999999999E-2</v>
      </c>
      <c r="AJ12" s="3"/>
      <c r="AK12" s="3"/>
      <c r="AL12" s="3"/>
    </row>
    <row r="13" spans="1:38" x14ac:dyDescent="0.45">
      <c r="A13" s="2">
        <v>44552</v>
      </c>
      <c r="B13" s="3">
        <v>4.8177241999999999E-3</v>
      </c>
      <c r="C13" s="3">
        <v>-0.2064665</v>
      </c>
      <c r="D13" s="3">
        <v>-2.3027182E-2</v>
      </c>
      <c r="E13" s="3">
        <v>1.1535763999999999E-2</v>
      </c>
      <c r="F13" s="3">
        <v>6.8162679999999995E-3</v>
      </c>
      <c r="G13" s="3">
        <v>9.4466209999999988E-3</v>
      </c>
      <c r="H13" s="3">
        <v>-7.2059629999999993E-3</v>
      </c>
      <c r="I13" s="3">
        <v>1.9749045E-2</v>
      </c>
      <c r="J13" s="3">
        <v>7.2415590000000002E-2</v>
      </c>
      <c r="K13" s="3">
        <v>8.3339213999999995E-4</v>
      </c>
      <c r="L13" s="3">
        <v>2.3618579999999997E-2</v>
      </c>
      <c r="M13" s="3">
        <v>2.2889137E-2</v>
      </c>
      <c r="N13" s="3">
        <v>-4.0590763000000005E-3</v>
      </c>
      <c r="O13" s="3">
        <v>-2.0195127E-2</v>
      </c>
      <c r="P13" s="3">
        <v>-7.6049804999999998E-2</v>
      </c>
      <c r="Q13" s="3">
        <v>-1.2573480999999999E-2</v>
      </c>
      <c r="R13" s="3">
        <v>-1.3791739999999999E-2</v>
      </c>
      <c r="S13" s="3">
        <v>-8.1216570000000002E-2</v>
      </c>
      <c r="T13" s="3">
        <v>-5.0853490000000003E-3</v>
      </c>
      <c r="U13" s="3">
        <v>4.0189860000000001E-2</v>
      </c>
      <c r="V13" s="3">
        <v>2.5155544000000003E-3</v>
      </c>
      <c r="W13" s="3">
        <v>5.3808689999999999E-3</v>
      </c>
      <c r="X13" s="3">
        <v>8.7487699999999995E-3</v>
      </c>
      <c r="Y13" s="3">
        <v>-1.9908248999999999E-2</v>
      </c>
      <c r="Z13" s="3">
        <v>-2.3441016999999998E-2</v>
      </c>
      <c r="AA13" s="3">
        <v>-2.1833955999999998E-2</v>
      </c>
      <c r="AB13" s="3">
        <v>3.5707116000000004E-2</v>
      </c>
      <c r="AC13" s="3">
        <v>1.8805384999999997E-2</v>
      </c>
      <c r="AD13" s="3">
        <v>-1.2124836000000002E-2</v>
      </c>
      <c r="AE13" s="3">
        <v>3.8160085999999998E-3</v>
      </c>
      <c r="AF13" s="3">
        <v>4.6406984000000005E-3</v>
      </c>
      <c r="AG13" s="3">
        <v>-3.7217498000000002E-2</v>
      </c>
      <c r="AH13" s="3">
        <v>-2.1442294000000001E-2</v>
      </c>
      <c r="AI13" s="3">
        <v>-5.454838E-3</v>
      </c>
      <c r="AJ13" s="3"/>
      <c r="AK13" s="3"/>
      <c r="AL13" s="3"/>
    </row>
    <row r="14" spans="1:38" x14ac:dyDescent="0.45">
      <c r="A14" s="2">
        <v>44582</v>
      </c>
      <c r="B14" s="3">
        <v>-3.9806724000000002E-2</v>
      </c>
      <c r="C14" s="3">
        <v>0.21986436999999998</v>
      </c>
      <c r="D14" s="3">
        <v>1.8655062E-2</v>
      </c>
      <c r="E14" s="3">
        <v>-2.5170921999999998E-2</v>
      </c>
      <c r="F14" s="3">
        <v>3.8030267E-2</v>
      </c>
      <c r="G14" s="3">
        <v>0.17911507000000002</v>
      </c>
      <c r="H14" s="3">
        <v>1.539743E-2</v>
      </c>
      <c r="I14" s="3">
        <v>-1.3428926000000001E-2</v>
      </c>
      <c r="J14" s="3">
        <v>-5.0668715999999999E-3</v>
      </c>
      <c r="K14" s="3">
        <v>-4.9611090000000004E-2</v>
      </c>
      <c r="L14" s="3">
        <v>7.8574539999999998E-2</v>
      </c>
      <c r="M14" s="3">
        <v>7.7138543000000004E-2</v>
      </c>
      <c r="N14" s="3">
        <v>6.6149473E-2</v>
      </c>
      <c r="O14" s="3">
        <v>2.7037382000000002E-2</v>
      </c>
      <c r="P14" s="3">
        <v>1.9255519000000002E-2</v>
      </c>
      <c r="Q14" s="3">
        <v>6.6666603000000005E-2</v>
      </c>
      <c r="R14" s="3">
        <v>1.5945434999999997E-2</v>
      </c>
      <c r="S14" s="3">
        <v>5.3740860000000001E-2</v>
      </c>
      <c r="T14" s="3">
        <v>3.4209610000000001E-2</v>
      </c>
      <c r="U14" s="3">
        <v>-5.4787993000000007E-2</v>
      </c>
      <c r="V14" s="3">
        <v>9.0755459999999996E-2</v>
      </c>
      <c r="W14" s="3">
        <v>-6.5825405000000003E-2</v>
      </c>
      <c r="X14" s="3">
        <v>-4.8080444E-2</v>
      </c>
      <c r="Y14" s="3">
        <v>2.6595592000000002E-4</v>
      </c>
      <c r="Z14" s="3">
        <v>-8.5131526000000006E-3</v>
      </c>
      <c r="AA14" s="3">
        <v>-3.4703612000000002E-2</v>
      </c>
      <c r="AB14" s="3">
        <v>-4.0061593E-2</v>
      </c>
      <c r="AC14" s="3">
        <v>3.0580997000000002E-2</v>
      </c>
      <c r="AD14" s="3">
        <v>-0.10727251</v>
      </c>
      <c r="AE14" s="3">
        <v>-6.3524960000000005E-2</v>
      </c>
      <c r="AF14" s="3">
        <v>-9.3750359999999998E-3</v>
      </c>
      <c r="AG14" s="3">
        <v>-4.5371350000000005E-2</v>
      </c>
      <c r="AH14" s="3">
        <v>-5.6194424999999999E-2</v>
      </c>
      <c r="AI14" s="3">
        <v>2.7846098000000002E-3</v>
      </c>
      <c r="AJ14" s="3"/>
      <c r="AK14" s="3"/>
      <c r="AL14" s="3"/>
    </row>
    <row r="15" spans="1:38" x14ac:dyDescent="0.45">
      <c r="A15" s="2">
        <v>44614</v>
      </c>
      <c r="B15" s="3">
        <v>-3.5226463999999999E-2</v>
      </c>
      <c r="C15" s="3">
        <v>-4.1557429999999999E-2</v>
      </c>
      <c r="D15" s="3">
        <v>2.1294713E-2</v>
      </c>
      <c r="E15" s="3">
        <v>5.3235530000000003E-2</v>
      </c>
      <c r="F15" s="3">
        <v>-8.2667940000000009E-2</v>
      </c>
      <c r="G15" s="3">
        <v>1.9513606999999999E-2</v>
      </c>
      <c r="H15" s="3">
        <v>4.1393399999999997E-2</v>
      </c>
      <c r="I15" s="3">
        <v>7.7331066E-4</v>
      </c>
      <c r="J15" s="3">
        <v>2.7907847999999999E-2</v>
      </c>
      <c r="K15" s="3">
        <v>-2.3483634000000003E-2</v>
      </c>
      <c r="L15" s="3">
        <v>0.11798132</v>
      </c>
      <c r="M15" s="3">
        <v>2.9605864999999999E-2</v>
      </c>
      <c r="N15" s="3">
        <v>2.2017121000000001E-2</v>
      </c>
      <c r="O15" s="3">
        <v>-3.4610389999999998E-2</v>
      </c>
      <c r="P15" s="3">
        <v>-5.6675076000000005E-2</v>
      </c>
      <c r="Q15" s="3">
        <v>3.7077904000000002E-2</v>
      </c>
      <c r="R15" s="3">
        <v>2.3228288E-2</v>
      </c>
      <c r="S15" s="3">
        <v>-1.4000057999999999E-2</v>
      </c>
      <c r="T15" s="3">
        <v>1.2480617000000001E-2</v>
      </c>
      <c r="U15" s="3">
        <v>-1.0080694999999999E-2</v>
      </c>
      <c r="V15" s="3">
        <v>2.3500442999999999E-2</v>
      </c>
      <c r="W15" s="3">
        <v>-1.6429424E-3</v>
      </c>
      <c r="X15" s="3">
        <v>2.9010296000000001E-2</v>
      </c>
      <c r="Y15" s="3">
        <v>-1.5956760000000001E-3</v>
      </c>
      <c r="Z15" s="3">
        <v>-5.2631617000000006E-2</v>
      </c>
      <c r="AA15" s="3">
        <v>-2.6076198000000002E-2</v>
      </c>
      <c r="AB15" s="3">
        <v>-3.9125203999999997E-2</v>
      </c>
      <c r="AC15" s="3">
        <v>1.1572719E-2</v>
      </c>
      <c r="AD15" s="3">
        <v>-3.8698912000000002E-2</v>
      </c>
      <c r="AE15" s="3">
        <v>-1.9201815000000001E-2</v>
      </c>
      <c r="AF15" s="3">
        <v>-3.6277652000000001E-2</v>
      </c>
      <c r="AG15" s="3">
        <v>-6.7774890000000004E-2</v>
      </c>
      <c r="AH15" s="3">
        <v>-7.9754649999999996E-2</v>
      </c>
      <c r="AI15" s="3">
        <v>-2.7769208E-2</v>
      </c>
      <c r="AJ15" s="3"/>
      <c r="AK15" s="3"/>
      <c r="AL15" s="3"/>
    </row>
    <row r="16" spans="1:38" x14ac:dyDescent="0.45">
      <c r="A16" s="2">
        <v>44642</v>
      </c>
      <c r="B16" s="3">
        <v>-6.557375E-2</v>
      </c>
      <c r="C16" s="3">
        <v>0.12109375</v>
      </c>
      <c r="D16" s="3">
        <v>2.4186849999999999E-2</v>
      </c>
      <c r="E16" s="3">
        <v>-8.7772429999999999E-2</v>
      </c>
      <c r="F16" s="3">
        <v>-3.5842360000000004E-2</v>
      </c>
      <c r="G16" s="3">
        <v>0.10217904999999999</v>
      </c>
      <c r="H16" s="3">
        <v>1.9676684999999998E-3</v>
      </c>
      <c r="I16" s="3">
        <v>-3.7248790000000004E-2</v>
      </c>
      <c r="J16" s="3">
        <v>5.2120566000000007E-2</v>
      </c>
      <c r="K16" s="3">
        <v>-2.1299899000000001E-2</v>
      </c>
      <c r="L16" s="3">
        <v>7.4738382999999992E-2</v>
      </c>
      <c r="M16" s="3">
        <v>6.9749354999999999E-2</v>
      </c>
      <c r="N16" s="3">
        <v>-8.8950689999999999E-2</v>
      </c>
      <c r="O16" s="3">
        <v>1.3529061999999999E-3</v>
      </c>
      <c r="P16" s="3">
        <v>-8.1441879999999994E-2</v>
      </c>
      <c r="Q16" s="3">
        <v>4.9557447000000004E-2</v>
      </c>
      <c r="R16" s="3">
        <v>-7.8350306000000008E-3</v>
      </c>
      <c r="S16" s="3">
        <v>2.5354980999999999E-2</v>
      </c>
      <c r="T16" s="3">
        <v>8.6441759999999992E-2</v>
      </c>
      <c r="U16" s="3">
        <v>-1.8839061000000001E-2</v>
      </c>
      <c r="V16" s="3">
        <v>3.9580226000000003E-2</v>
      </c>
      <c r="W16" s="3">
        <v>4.2055249999999995E-2</v>
      </c>
      <c r="X16" s="3">
        <v>7.7114344000000001E-2</v>
      </c>
      <c r="Y16" s="3">
        <v>7.56526E-2</v>
      </c>
      <c r="Z16" s="3">
        <v>-5.1282050000000003E-2</v>
      </c>
      <c r="AA16" s="3">
        <v>-1.0773122E-2</v>
      </c>
      <c r="AB16" s="3">
        <v>2.2760509999999998E-2</v>
      </c>
      <c r="AC16" s="3">
        <v>-9.3868969999999999E-3</v>
      </c>
      <c r="AD16" s="3">
        <v>5.7152867000000003E-2</v>
      </c>
      <c r="AE16" s="3">
        <v>4.9820900000000001E-2</v>
      </c>
      <c r="AF16" s="3">
        <v>-3.6552129999999995E-2</v>
      </c>
      <c r="AG16" s="3">
        <v>-1.3488829000000001E-2</v>
      </c>
      <c r="AH16" s="3">
        <v>2.3077009999999998E-2</v>
      </c>
      <c r="AI16" s="3">
        <v>-7.8705129999999998E-2</v>
      </c>
      <c r="AJ16" s="3"/>
      <c r="AK16" s="3"/>
      <c r="AL16" s="3"/>
    </row>
    <row r="17" spans="1:38" x14ac:dyDescent="0.45">
      <c r="A17" s="2">
        <v>44673</v>
      </c>
      <c r="B17" s="3">
        <v>-9.9149410000000007E-2</v>
      </c>
      <c r="C17" s="3">
        <v>-6.5156817000000006E-2</v>
      </c>
      <c r="D17" s="3">
        <v>3.2572746000000003E-3</v>
      </c>
      <c r="E17" s="3">
        <v>-1.0948896E-2</v>
      </c>
      <c r="F17" s="3">
        <v>-7.9129039999999998E-2</v>
      </c>
      <c r="G17" s="3">
        <v>-0.10553032</v>
      </c>
      <c r="H17" s="3">
        <v>-2.0031332999999998E-2</v>
      </c>
      <c r="I17" s="3">
        <v>-8.5888620000000013E-2</v>
      </c>
      <c r="J17" s="3">
        <v>-3.0325890000000001E-2</v>
      </c>
      <c r="K17" s="3">
        <v>-5.2092074999999995E-2</v>
      </c>
      <c r="L17" s="3">
        <v>-3.3379734000000001E-2</v>
      </c>
      <c r="M17" s="3">
        <v>-0.11478388</v>
      </c>
      <c r="N17" s="3">
        <v>3.6231874999999997E-2</v>
      </c>
      <c r="O17" s="3">
        <v>-4.7286152999999999E-3</v>
      </c>
      <c r="P17" s="3">
        <v>-0.11900435999999999</v>
      </c>
      <c r="Q17" s="3">
        <v>3.0354142000000001E-2</v>
      </c>
      <c r="R17" s="3">
        <v>7.5809956000000003E-3</v>
      </c>
      <c r="S17" s="3">
        <v>0.12611281999999999</v>
      </c>
      <c r="T17" s="3">
        <v>3.1062603000000001E-2</v>
      </c>
      <c r="U17" s="3">
        <v>-0.10430723</v>
      </c>
      <c r="V17" s="3">
        <v>4.0176629999999998E-2</v>
      </c>
      <c r="W17" s="3">
        <v>-9.6683679999999994E-2</v>
      </c>
      <c r="X17" s="3">
        <v>-2.6558815999999999E-2</v>
      </c>
      <c r="Y17" s="3">
        <v>-5.4482460000000003E-2</v>
      </c>
      <c r="Z17" s="3">
        <v>-6.1330557000000001E-2</v>
      </c>
      <c r="AA17" s="3">
        <v>-8.8564989999999996E-2</v>
      </c>
      <c r="AB17" s="3">
        <v>-2.6541412E-2</v>
      </c>
      <c r="AC17" s="3">
        <v>-2.3393570999999998E-2</v>
      </c>
      <c r="AD17" s="3">
        <v>-8.8413240000000004E-2</v>
      </c>
      <c r="AE17" s="3">
        <v>-5.2381039999999997E-2</v>
      </c>
      <c r="AF17" s="3">
        <v>-3.2559513999999998E-2</v>
      </c>
      <c r="AG17" s="3">
        <v>-6.6743910000000004E-2</v>
      </c>
      <c r="AH17" s="3">
        <v>-4.8621597000000003E-2</v>
      </c>
      <c r="AI17" s="3">
        <v>-2.3768543999999999E-2</v>
      </c>
      <c r="AJ17" s="3"/>
      <c r="AK17" s="3"/>
      <c r="AL17" s="3"/>
    </row>
    <row r="18" spans="1:38" x14ac:dyDescent="0.45">
      <c r="A18" s="2">
        <v>44701</v>
      </c>
      <c r="B18" s="3">
        <v>7.0817470000000002E-3</v>
      </c>
      <c r="C18" s="3">
        <v>4.5844196999999996E-2</v>
      </c>
      <c r="D18" s="3">
        <v>-4.4642806000000007E-2</v>
      </c>
      <c r="E18" s="3">
        <v>-2.5830209999999999E-2</v>
      </c>
      <c r="F18" s="3">
        <v>-0.10149944</v>
      </c>
      <c r="G18" s="3">
        <v>-0.11081243</v>
      </c>
      <c r="H18" s="3">
        <v>-4.1282597000000004E-2</v>
      </c>
      <c r="I18" s="3">
        <v>-4.5662045000000005E-2</v>
      </c>
      <c r="J18" s="3">
        <v>-7.1872469999999999E-3</v>
      </c>
      <c r="K18" s="3">
        <v>-2.0589529999999998E-2</v>
      </c>
      <c r="L18" s="3">
        <v>-3.2518030000000003E-2</v>
      </c>
      <c r="M18" s="3">
        <v>-6.3602866999999993E-2</v>
      </c>
      <c r="N18" s="3">
        <v>-8.3548069999999988E-2</v>
      </c>
      <c r="O18" s="3">
        <v>-7.3303223000000001E-2</v>
      </c>
      <c r="P18" s="3">
        <v>2.5778532E-2</v>
      </c>
      <c r="Q18" s="3">
        <v>-6.7103148000000001E-2</v>
      </c>
      <c r="R18" s="3">
        <v>-4.0009737000000004E-2</v>
      </c>
      <c r="S18" s="3">
        <v>-0.11067194000000001</v>
      </c>
      <c r="T18" s="3">
        <v>-9.7251600000000007E-2</v>
      </c>
      <c r="U18" s="3">
        <v>-0.10312867000000001</v>
      </c>
      <c r="V18" s="3">
        <v>-8.8776530000000006E-2</v>
      </c>
      <c r="W18" s="3">
        <v>-7.8671335999999994E-2</v>
      </c>
      <c r="X18" s="3">
        <v>-4.9426674999999996E-2</v>
      </c>
      <c r="Y18" s="3">
        <v>-5.1597714000000003E-2</v>
      </c>
      <c r="Z18" s="3">
        <v>-3.6913990000000001E-2</v>
      </c>
      <c r="AA18" s="3">
        <v>3.1628610000000003E-3</v>
      </c>
      <c r="AB18" s="3">
        <v>-8.4102390000000013E-2</v>
      </c>
      <c r="AC18" s="3">
        <v>-2.7289211999999997E-2</v>
      </c>
      <c r="AD18" s="3">
        <v>-0.11284572000000001</v>
      </c>
      <c r="AE18" s="3">
        <v>-8.546144E-2</v>
      </c>
      <c r="AF18" s="3">
        <v>-4.3605446999999999E-2</v>
      </c>
      <c r="AG18" s="3">
        <v>-7.797366E-2</v>
      </c>
      <c r="AH18" s="3">
        <v>-8.1138019999999991E-2</v>
      </c>
      <c r="AI18" s="3">
        <v>-2.7522980000000002E-2</v>
      </c>
      <c r="AJ18" s="3"/>
      <c r="AK18" s="3"/>
      <c r="AL18" s="3"/>
    </row>
    <row r="19" spans="1:38" x14ac:dyDescent="0.45">
      <c r="A19" s="2">
        <v>44734</v>
      </c>
      <c r="B19" s="3">
        <v>5.8527826999999998E-2</v>
      </c>
      <c r="C19" s="3">
        <v>-5.8483067E-2</v>
      </c>
      <c r="D19" s="3">
        <v>-1.3466655999999999E-2</v>
      </c>
      <c r="E19" s="3">
        <v>-0.10563582000000001</v>
      </c>
      <c r="F19" s="3">
        <v>-6.1498046000000001E-2</v>
      </c>
      <c r="G19" s="3">
        <v>-6.2017320000000001E-2</v>
      </c>
      <c r="H19" s="3">
        <v>-7.1700810000000004E-2</v>
      </c>
      <c r="I19" s="3">
        <v>-4.1405972999999999E-2</v>
      </c>
      <c r="J19" s="3">
        <v>-8.7168220000000005E-2</v>
      </c>
      <c r="K19" s="3">
        <v>-0.12568063000000002</v>
      </c>
      <c r="L19" s="3">
        <v>-0.13560331</v>
      </c>
      <c r="M19" s="3">
        <v>-4.3243704000000001E-2</v>
      </c>
      <c r="N19" s="3">
        <v>-1.0040164000000001E-2</v>
      </c>
      <c r="O19" s="3">
        <v>-4.9072209999999998E-2</v>
      </c>
      <c r="P19" s="3">
        <v>7.9055550000000002E-2</v>
      </c>
      <c r="Q19" s="3">
        <v>-7.9780519999999994E-2</v>
      </c>
      <c r="R19" s="3">
        <v>-3.8775026999999997E-2</v>
      </c>
      <c r="S19" s="3">
        <v>-1.4786779999999999E-2</v>
      </c>
      <c r="T19" s="3">
        <v>-5.6362686000000002E-2</v>
      </c>
      <c r="U19" s="3">
        <v>-6.6537436999999991E-2</v>
      </c>
      <c r="V19" s="3">
        <v>-8.9650689999999991E-2</v>
      </c>
      <c r="W19" s="3">
        <v>-6.5058527000000005E-2</v>
      </c>
      <c r="X19" s="3">
        <v>-9.5228560000000004E-2</v>
      </c>
      <c r="Y19" s="3">
        <v>-6.2102079999999997E-2</v>
      </c>
      <c r="Z19" s="3">
        <v>-6.1147270000000004E-2</v>
      </c>
      <c r="AA19" s="3">
        <v>-7.4232760000000009E-2</v>
      </c>
      <c r="AB19" s="3">
        <v>-6.1379013000000003E-2</v>
      </c>
      <c r="AC19" s="3">
        <v>-5.973154E-2</v>
      </c>
      <c r="AD19" s="3">
        <v>-2.5922716000000002E-2</v>
      </c>
      <c r="AE19" s="3">
        <v>-3.4972607999999995E-2</v>
      </c>
      <c r="AF19" s="3">
        <v>-5.5874943999999996E-2</v>
      </c>
      <c r="AG19" s="3">
        <v>-5.5666684999999994E-2</v>
      </c>
      <c r="AH19" s="3">
        <v>-7.9023066000000003E-2</v>
      </c>
      <c r="AI19" s="3">
        <v>-8.3370029999999998E-2</v>
      </c>
      <c r="AJ19" s="3"/>
      <c r="AK19" s="3"/>
      <c r="AL19" s="3"/>
    </row>
    <row r="20" spans="1:38" x14ac:dyDescent="0.45">
      <c r="A20" s="2">
        <v>44764</v>
      </c>
      <c r="B20" s="3">
        <v>-1.3033866999999999E-2</v>
      </c>
      <c r="C20" s="3">
        <v>-2.7558981999999999E-2</v>
      </c>
      <c r="D20" s="3">
        <v>-1.7467259999999998E-2</v>
      </c>
      <c r="E20" s="3">
        <v>-2.2984028E-2</v>
      </c>
      <c r="F20" s="3">
        <v>-3.5886765000000001E-2</v>
      </c>
      <c r="G20" s="3">
        <v>-4.7530650000000001E-2</v>
      </c>
      <c r="H20" s="3">
        <v>1.2408137E-2</v>
      </c>
      <c r="I20" s="3">
        <v>-2.399695E-2</v>
      </c>
      <c r="J20" s="3">
        <v>-8.7051389999999989E-3</v>
      </c>
      <c r="K20" s="3">
        <v>1.1416674E-2</v>
      </c>
      <c r="L20" s="3">
        <v>-6.0922859999999995E-2</v>
      </c>
      <c r="M20" s="3">
        <v>-2.4116100000000001E-2</v>
      </c>
      <c r="N20" s="3">
        <v>-6.1257067000000005E-2</v>
      </c>
      <c r="O20" s="3">
        <v>5.5712460000000005E-2</v>
      </c>
      <c r="P20" s="3">
        <v>-3.7481247999999995E-2</v>
      </c>
      <c r="Q20" s="3">
        <v>5.8678389999999997E-2</v>
      </c>
      <c r="R20" s="3">
        <v>-4.6730638000000001E-3</v>
      </c>
      <c r="S20" s="3">
        <v>-3.5567044999999999E-2</v>
      </c>
      <c r="T20" s="3">
        <v>2.6649714000000001E-2</v>
      </c>
      <c r="U20" s="3">
        <v>3.4601688000000003E-3</v>
      </c>
      <c r="V20" s="3">
        <v>5.3536295999999997E-2</v>
      </c>
      <c r="W20" s="3">
        <v>5.5213330000000005E-2</v>
      </c>
      <c r="X20" s="3">
        <v>3.2273412000000001E-2</v>
      </c>
      <c r="Y20" s="3">
        <v>5.9330462999999999E-4</v>
      </c>
      <c r="Z20" s="3">
        <v>-3.5353541000000002E-2</v>
      </c>
      <c r="AA20" s="3">
        <v>4.5089839999999999E-2</v>
      </c>
      <c r="AB20" s="3">
        <v>5.302465E-2</v>
      </c>
      <c r="AC20" s="3">
        <v>6.7520140000000008E-4</v>
      </c>
      <c r="AD20" s="3">
        <v>7.5960994000000004E-2</v>
      </c>
      <c r="AE20" s="3">
        <v>5.5289865000000001E-2</v>
      </c>
      <c r="AF20" s="3">
        <v>1.7017007000000001E-2</v>
      </c>
      <c r="AG20" s="3">
        <v>6.1253904999999997E-2</v>
      </c>
      <c r="AH20" s="3">
        <v>3.7155746999999996E-2</v>
      </c>
      <c r="AI20" s="3">
        <v>-5.7527540000000002E-2</v>
      </c>
      <c r="AJ20" s="3"/>
      <c r="AK20" s="3"/>
      <c r="AL20" s="3"/>
    </row>
    <row r="21" spans="1:38" x14ac:dyDescent="0.45">
      <c r="A21" s="2">
        <v>44795</v>
      </c>
      <c r="B21" s="3">
        <v>-1.7982543E-2</v>
      </c>
      <c r="C21" s="3">
        <v>4.7368407000000001E-2</v>
      </c>
      <c r="D21" s="3">
        <v>3.7777780999999996E-2</v>
      </c>
      <c r="E21" s="3">
        <v>8.0143569999999997E-2</v>
      </c>
      <c r="F21" s="3">
        <v>-5.7265576999999998E-2</v>
      </c>
      <c r="G21" s="3">
        <v>-5.4580569999999997E-3</v>
      </c>
      <c r="H21" s="3">
        <v>2.7235746000000001E-3</v>
      </c>
      <c r="I21" s="3">
        <v>1.180172E-2</v>
      </c>
      <c r="J21" s="3">
        <v>3.3369899000000001E-2</v>
      </c>
      <c r="K21" s="3">
        <v>-1.1458873999999999E-2</v>
      </c>
      <c r="L21" s="3">
        <v>0.18886756999999998</v>
      </c>
      <c r="M21" s="3">
        <v>5.2783489999999999E-3</v>
      </c>
      <c r="N21" s="3">
        <v>6.4074039999999999E-2</v>
      </c>
      <c r="O21" s="3">
        <v>3.8424133999999999E-2</v>
      </c>
      <c r="P21" s="3">
        <v>-5.2570104999999999E-2</v>
      </c>
      <c r="Q21" s="3">
        <v>8.3372229999999992E-2</v>
      </c>
      <c r="R21" s="3">
        <v>4.0631649999999998E-2</v>
      </c>
      <c r="S21" s="3">
        <v>0.18118656000000002</v>
      </c>
      <c r="T21" s="3">
        <v>1.6687274000000002E-2</v>
      </c>
      <c r="U21" s="3">
        <v>5.3793072999999997E-2</v>
      </c>
      <c r="V21" s="3">
        <v>6.3403249999999994E-2</v>
      </c>
      <c r="W21" s="3">
        <v>3.8918853000000003E-2</v>
      </c>
      <c r="X21" s="3">
        <v>2.8505802E-2</v>
      </c>
      <c r="Y21" s="3">
        <v>4.2395472999999996E-2</v>
      </c>
      <c r="Z21" s="3">
        <v>-3.3595145E-2</v>
      </c>
      <c r="AA21" s="3">
        <v>6.5813065E-3</v>
      </c>
      <c r="AB21" s="3">
        <v>-4.4916868000000002E-3</v>
      </c>
      <c r="AC21" s="3">
        <v>2.2267222000000003E-2</v>
      </c>
      <c r="AD21" s="3">
        <v>4.0961622999999996E-2</v>
      </c>
      <c r="AE21" s="3">
        <v>4.6217319999999999E-2</v>
      </c>
      <c r="AF21" s="3">
        <v>2.2965669999999998E-3</v>
      </c>
      <c r="AG21" s="3">
        <v>-3.6482452999999998E-2</v>
      </c>
      <c r="AH21" s="3">
        <v>-3.9839447E-2</v>
      </c>
      <c r="AI21" s="3">
        <v>2.1645069999999999E-2</v>
      </c>
      <c r="AJ21" s="3"/>
      <c r="AK21" s="3"/>
      <c r="AL21" s="3"/>
    </row>
    <row r="22" spans="1:38" x14ac:dyDescent="0.45">
      <c r="A22" s="2">
        <v>44826</v>
      </c>
      <c r="B22" s="3">
        <v>-9.8998600000000006E-2</v>
      </c>
      <c r="C22" s="3">
        <v>-1.2756109E-2</v>
      </c>
      <c r="D22" s="3">
        <v>4.2398334000000003E-2</v>
      </c>
      <c r="E22" s="3">
        <v>-0.11037284</v>
      </c>
      <c r="F22" s="3">
        <v>-7.3652266999999993E-2</v>
      </c>
      <c r="G22" s="3">
        <v>-9.4080569999999992E-3</v>
      </c>
      <c r="H22" s="3">
        <v>-4.2553186E-2</v>
      </c>
      <c r="I22" s="3">
        <v>-0.10069984</v>
      </c>
      <c r="J22" s="3">
        <v>-1.6358614E-2</v>
      </c>
      <c r="K22" s="3">
        <v>-9.3425569999999999E-2</v>
      </c>
      <c r="L22" s="3">
        <v>3.9715885999999999E-2</v>
      </c>
      <c r="M22" s="3">
        <v>-8.6634870000000003E-2</v>
      </c>
      <c r="N22" s="3">
        <v>-9.2003229999999991E-2</v>
      </c>
      <c r="O22" s="3">
        <v>-4.9180387999999998E-3</v>
      </c>
      <c r="P22" s="3">
        <v>-8.7546230000000003E-2</v>
      </c>
      <c r="Q22" s="3">
        <v>-8.598452999999999E-2</v>
      </c>
      <c r="R22" s="3">
        <v>1.8238424999999999E-2</v>
      </c>
      <c r="S22" s="3">
        <v>5.8823465999999998E-2</v>
      </c>
      <c r="T22" s="3">
        <v>-2.9179335000000001E-2</v>
      </c>
      <c r="U22" s="3">
        <v>-7.068062E-2</v>
      </c>
      <c r="V22" s="3">
        <v>-9.7544970000000009E-2</v>
      </c>
      <c r="W22" s="3">
        <v>-6.8782509999999991E-2</v>
      </c>
      <c r="X22" s="3">
        <v>-7.3312520000000006E-2</v>
      </c>
      <c r="Y22" s="3">
        <v>-7.9067109999999996E-2</v>
      </c>
      <c r="Z22" s="3">
        <v>-5.6433440000000001E-2</v>
      </c>
      <c r="AA22" s="3">
        <v>-7.2466429999999998E-2</v>
      </c>
      <c r="AB22" s="3">
        <v>-8.7627710000000011E-2</v>
      </c>
      <c r="AC22" s="3">
        <v>-8.4488450000000007E-2</v>
      </c>
      <c r="AD22" s="3">
        <v>-0.10749131000000001</v>
      </c>
      <c r="AE22" s="3">
        <v>-9.0916999999999998E-2</v>
      </c>
      <c r="AF22" s="3">
        <v>-7.9541683000000002E-2</v>
      </c>
      <c r="AG22" s="3">
        <v>-9.522462000000001E-2</v>
      </c>
      <c r="AH22" s="3">
        <v>-0.10678673</v>
      </c>
      <c r="AI22" s="3">
        <v>-2.5847495000000002E-2</v>
      </c>
      <c r="AJ22" s="3"/>
      <c r="AK22" s="3"/>
      <c r="AL22" s="3"/>
    </row>
    <row r="23" spans="1:38" x14ac:dyDescent="0.45">
      <c r="A23" s="2">
        <v>44855</v>
      </c>
      <c r="B23" s="3">
        <v>-4.1600466000000003E-2</v>
      </c>
      <c r="C23" s="3">
        <v>-4.8159780000000006E-2</v>
      </c>
      <c r="D23" s="3">
        <v>-2.8759299999999998E-2</v>
      </c>
      <c r="E23" s="3">
        <v>-3.1950235E-2</v>
      </c>
      <c r="F23" s="3">
        <v>-5.9016409999999998E-2</v>
      </c>
      <c r="G23" s="3">
        <v>1.8203377999999999E-2</v>
      </c>
      <c r="H23" s="3">
        <v>-1.5602827E-2</v>
      </c>
      <c r="I23" s="3">
        <v>-8.7548619999999994E-2</v>
      </c>
      <c r="J23" s="3">
        <v>2.4406074999999999E-2</v>
      </c>
      <c r="K23" s="3">
        <v>-3.9313017999999998E-2</v>
      </c>
      <c r="L23" s="3">
        <v>5.8695674000000003E-2</v>
      </c>
      <c r="M23" s="3">
        <v>-7.0551633999999998E-3</v>
      </c>
      <c r="N23" s="3">
        <v>6.0519100000000006E-2</v>
      </c>
      <c r="O23" s="3">
        <v>-1.7886638999999999E-2</v>
      </c>
      <c r="P23" s="3">
        <v>-0.10135132000000001</v>
      </c>
      <c r="Q23" s="3">
        <v>1.9285083000000001E-2</v>
      </c>
      <c r="R23" s="3">
        <v>-3.280276E-2</v>
      </c>
      <c r="S23" s="3">
        <v>0.16239319999999999</v>
      </c>
      <c r="T23" s="3">
        <v>-2.8177797999999997E-2</v>
      </c>
      <c r="U23" s="3">
        <v>-0.16408449999999999</v>
      </c>
      <c r="V23" s="3">
        <v>7.7240704999999993E-2</v>
      </c>
      <c r="W23" s="3">
        <v>-7.1978989999999993E-2</v>
      </c>
      <c r="X23" s="3">
        <v>-1.5918969999999998E-2</v>
      </c>
      <c r="Y23" s="3">
        <v>-1.2971044000000001E-2</v>
      </c>
      <c r="Z23" s="3">
        <v>1.3875604E-2</v>
      </c>
      <c r="AA23" s="3">
        <v>-3.4854113999999999E-2</v>
      </c>
      <c r="AB23" s="3">
        <v>-6.2466860000000004E-3</v>
      </c>
      <c r="AC23" s="3">
        <v>-1.9826949E-2</v>
      </c>
      <c r="AD23" s="3">
        <v>-1.6602993E-2</v>
      </c>
      <c r="AE23" s="3">
        <v>1.8703938000000001E-4</v>
      </c>
      <c r="AF23" s="3">
        <v>2.4893284000000002E-2</v>
      </c>
      <c r="AG23" s="3">
        <v>4.372239E-3</v>
      </c>
      <c r="AH23" s="3">
        <v>1.9805550000000002E-2</v>
      </c>
      <c r="AI23" s="3">
        <v>1.3049841000000002E-3</v>
      </c>
      <c r="AJ23" s="3"/>
      <c r="AK23" s="3"/>
      <c r="AL23" s="3"/>
    </row>
    <row r="24" spans="1:38" x14ac:dyDescent="0.45">
      <c r="A24" s="2">
        <v>44887</v>
      </c>
      <c r="B24" s="3">
        <v>1.358521E-2</v>
      </c>
      <c r="C24" s="3">
        <v>5.3064584999999997E-2</v>
      </c>
      <c r="D24" s="3">
        <v>-1.7766476E-2</v>
      </c>
      <c r="E24" s="3">
        <v>9.6013660000000001E-2</v>
      </c>
      <c r="F24" s="3">
        <v>0.27090597</v>
      </c>
      <c r="G24" s="3">
        <v>0.140303135</v>
      </c>
      <c r="H24" s="3">
        <v>3.1700252999999998E-2</v>
      </c>
      <c r="I24" s="3">
        <v>0.15328121</v>
      </c>
      <c r="J24" s="3">
        <v>0.13219488000000001</v>
      </c>
      <c r="K24" s="3">
        <v>0.12951921999999999</v>
      </c>
      <c r="L24" s="3">
        <v>-0.13552361499999999</v>
      </c>
      <c r="M24" s="3">
        <v>0.14736842999999999</v>
      </c>
      <c r="N24" s="3">
        <v>9.4291689999999997E-2</v>
      </c>
      <c r="O24" s="3">
        <v>2.8037429999999999E-2</v>
      </c>
      <c r="P24" s="3">
        <v>7.5438500000000006E-2</v>
      </c>
      <c r="Q24" s="3">
        <v>-6.3585577000000004E-2</v>
      </c>
      <c r="R24" s="3">
        <v>1.5088081E-2</v>
      </c>
      <c r="S24" s="3">
        <v>0.19338226</v>
      </c>
      <c r="T24" s="3">
        <v>6.4432619999999993E-4</v>
      </c>
      <c r="U24" s="3">
        <v>-6.0657144000000003E-2</v>
      </c>
      <c r="V24" s="3">
        <v>-9.6279509999999999E-2</v>
      </c>
      <c r="W24" s="3">
        <v>0.12295699</v>
      </c>
      <c r="X24" s="3">
        <v>0.12058830000000001</v>
      </c>
      <c r="Y24" s="3">
        <v>9.6683389999999994E-2</v>
      </c>
      <c r="Z24" s="3">
        <v>0.17461061</v>
      </c>
      <c r="AA24" s="3">
        <v>0.11483061</v>
      </c>
      <c r="AB24" s="3">
        <v>0.11000526000000001</v>
      </c>
      <c r="AC24" s="3">
        <v>0.12504601500000001</v>
      </c>
      <c r="AD24" s="3">
        <v>3.8232564999999996E-2</v>
      </c>
      <c r="AE24" s="3">
        <v>6.8422793999999995E-2</v>
      </c>
      <c r="AF24" s="3">
        <v>0.14295626</v>
      </c>
      <c r="AG24" s="3">
        <v>0.18065930000000002</v>
      </c>
      <c r="AH24" s="3">
        <v>0.15889834999999999</v>
      </c>
      <c r="AI24" s="3">
        <v>0.18722843</v>
      </c>
      <c r="AJ24" s="3"/>
      <c r="AK24" s="3"/>
      <c r="AL24" s="3"/>
    </row>
    <row r="25" spans="1:38" x14ac:dyDescent="0.45">
      <c r="A25" s="2">
        <v>44917</v>
      </c>
      <c r="B25" s="3">
        <v>1.5349745999999999E-2</v>
      </c>
      <c r="C25" s="3">
        <v>4.5367002000000003E-2</v>
      </c>
      <c r="D25" s="3">
        <v>-2.3399709999999997E-2</v>
      </c>
      <c r="E25" s="3">
        <v>2.4688124999999998E-2</v>
      </c>
      <c r="F25" s="3">
        <v>7.891774E-2</v>
      </c>
      <c r="G25" s="3">
        <v>-1.7099023000000001E-2</v>
      </c>
      <c r="H25" s="3">
        <v>4.2114140000000001E-2</v>
      </c>
      <c r="I25" s="3">
        <v>-1.6903280999999999E-2</v>
      </c>
      <c r="J25" s="3">
        <v>-3.4818710000000003E-2</v>
      </c>
      <c r="K25" s="3">
        <v>1.2684702999999999E-2</v>
      </c>
      <c r="L25" s="3">
        <v>3.0274033999999998E-2</v>
      </c>
      <c r="M25" s="3">
        <v>-6.3773990000000006E-3</v>
      </c>
      <c r="N25" s="3">
        <v>4.3276668000000004E-2</v>
      </c>
      <c r="O25" s="3">
        <v>-2.8438270000000002E-2</v>
      </c>
      <c r="P25" s="3">
        <v>0.11249124999999999</v>
      </c>
      <c r="Q25" s="3">
        <v>-6.5647719999999993E-2</v>
      </c>
      <c r="R25" s="3">
        <v>8.2957745000000001E-4</v>
      </c>
      <c r="S25" s="3">
        <v>0.13781107000000001</v>
      </c>
      <c r="T25" s="3">
        <v>-2.2340178000000002E-2</v>
      </c>
      <c r="U25" s="3">
        <v>8.1504939999999998E-2</v>
      </c>
      <c r="V25" s="3">
        <v>-7.6013985000000006E-2</v>
      </c>
      <c r="W25" s="3">
        <v>3.1354307999999997E-2</v>
      </c>
      <c r="X25" s="3">
        <v>-1.8362640999999999E-2</v>
      </c>
      <c r="Y25" s="3">
        <v>-6.0978770000000002E-2</v>
      </c>
      <c r="Z25" s="3">
        <v>-8.9076759999999998E-3</v>
      </c>
      <c r="AA25" s="3">
        <v>-1.7900467E-3</v>
      </c>
      <c r="AB25" s="3">
        <v>-1.1798024000000001E-2</v>
      </c>
      <c r="AC25" s="3">
        <v>1.5958190000000001E-2</v>
      </c>
      <c r="AD25" s="3">
        <v>-6.4843060000000008E-2</v>
      </c>
      <c r="AE25" s="3">
        <v>-4.353696E-2</v>
      </c>
      <c r="AF25" s="3">
        <v>9.7004175000000008E-3</v>
      </c>
      <c r="AG25" s="3">
        <v>-4.9200653999999996E-3</v>
      </c>
      <c r="AH25" s="3">
        <v>-1.0217547E-2</v>
      </c>
      <c r="AI25" s="3">
        <v>-3.904462E-3</v>
      </c>
      <c r="AJ25" s="3"/>
      <c r="AK25" s="3"/>
      <c r="AL25" s="3"/>
    </row>
    <row r="26" spans="1:38" x14ac:dyDescent="0.45">
      <c r="A26" s="2">
        <v>44946</v>
      </c>
      <c r="B26" s="3">
        <v>0.14083111000000001</v>
      </c>
      <c r="C26" s="3">
        <v>7.7807664999999998E-2</v>
      </c>
      <c r="D26" s="3">
        <v>3.0289412000000002E-2</v>
      </c>
      <c r="E26" s="3">
        <v>0.12039875999999999</v>
      </c>
      <c r="F26" s="3">
        <v>7.8215957000000003E-2</v>
      </c>
      <c r="G26" s="3">
        <v>0.10973893999999999</v>
      </c>
      <c r="H26" s="3">
        <v>8.0739740000000004E-2</v>
      </c>
      <c r="I26" s="3">
        <v>8.9765659999999997E-2</v>
      </c>
      <c r="J26" s="3">
        <v>0.11970853999999999</v>
      </c>
      <c r="K26" s="3">
        <v>0.11142349</v>
      </c>
      <c r="L26" s="3">
        <v>3.4384966000000003E-2</v>
      </c>
      <c r="M26" s="3">
        <v>8.2024810000000004E-2</v>
      </c>
      <c r="N26" s="3">
        <v>0.10198032</v>
      </c>
      <c r="O26" s="3">
        <v>2.3992300000000001E-2</v>
      </c>
      <c r="P26" s="3">
        <v>0.16241491</v>
      </c>
      <c r="Q26" s="3">
        <v>6.9001913000000005E-3</v>
      </c>
      <c r="R26" s="3">
        <v>3.747201E-2</v>
      </c>
      <c r="S26" s="3">
        <v>5.1699877000000007E-3</v>
      </c>
      <c r="T26" s="3">
        <v>3.3003092E-3</v>
      </c>
      <c r="U26" s="3">
        <v>9.0689419999999993E-2</v>
      </c>
      <c r="V26" s="3">
        <v>6.4410449999999994E-2</v>
      </c>
      <c r="W26" s="3">
        <v>8.6084370000000007E-2</v>
      </c>
      <c r="X26" s="3">
        <v>0.10667265000000001</v>
      </c>
      <c r="Y26" s="3">
        <v>8.1997509999999996E-2</v>
      </c>
      <c r="Z26" s="3">
        <v>0.12611521000000001</v>
      </c>
      <c r="AA26" s="3">
        <v>5.7007073999999998E-2</v>
      </c>
      <c r="AB26" s="3">
        <v>7.2827099999999992E-2</v>
      </c>
      <c r="AC26" s="3">
        <v>6.9888829999999999E-2</v>
      </c>
      <c r="AD26" s="3">
        <v>5.9679029999999994E-2</v>
      </c>
      <c r="AE26" s="3">
        <v>3.9819239999999999E-2</v>
      </c>
      <c r="AF26" s="3">
        <v>0.10108637999999999</v>
      </c>
      <c r="AG26" s="3">
        <v>0.11291611</v>
      </c>
      <c r="AH26" s="3">
        <v>9.8451979999999994E-2</v>
      </c>
      <c r="AI26" s="3">
        <v>0.10104406</v>
      </c>
      <c r="AJ26" s="3"/>
      <c r="AK26" s="3"/>
      <c r="AL26" s="3"/>
    </row>
    <row r="27" spans="1:38" x14ac:dyDescent="0.45">
      <c r="A27" s="2">
        <v>44979</v>
      </c>
      <c r="B27" s="3">
        <v>-4.0474176000000001E-2</v>
      </c>
      <c r="C27" s="3">
        <v>1.4224768E-2</v>
      </c>
      <c r="D27" s="3">
        <v>-9.9437830000000012E-3</v>
      </c>
      <c r="E27" s="3">
        <v>-6.8104029999999996E-2</v>
      </c>
      <c r="F27" s="3">
        <v>-8.6031200000000002E-2</v>
      </c>
      <c r="G27" s="3">
        <v>-7.0906219999999992E-2</v>
      </c>
      <c r="H27" s="3">
        <v>-7.2203636000000002E-2</v>
      </c>
      <c r="I27" s="3">
        <v>-5.6573750000000001E-3</v>
      </c>
      <c r="J27" s="3">
        <v>1.7408132999999999E-2</v>
      </c>
      <c r="K27" s="3">
        <v>-5.8823529999999999E-2</v>
      </c>
      <c r="L27" s="3">
        <v>-3.3584653999999999E-2</v>
      </c>
      <c r="M27" s="3">
        <v>-0.10439682</v>
      </c>
      <c r="N27" s="3">
        <v>9.3793029999999999E-2</v>
      </c>
      <c r="O27" s="3">
        <v>-7.8491030000000003E-2</v>
      </c>
      <c r="P27" s="3">
        <v>-9.6561789999999995E-2</v>
      </c>
      <c r="Q27" s="3">
        <v>-3.0047417E-2</v>
      </c>
      <c r="R27" s="3">
        <v>-1.0594726E-2</v>
      </c>
      <c r="S27" s="3">
        <v>-7.0384382999999995E-2</v>
      </c>
      <c r="T27" s="3">
        <v>-3.4868420000000004E-2</v>
      </c>
      <c r="U27" s="3">
        <v>-9.7467369999999998E-2</v>
      </c>
      <c r="V27" s="3">
        <v>-5.8717965999999996E-2</v>
      </c>
      <c r="W27" s="3">
        <v>-4.6941099999999999E-2</v>
      </c>
      <c r="X27" s="3">
        <v>-4.2247714999999998E-2</v>
      </c>
      <c r="Y27" s="3">
        <v>-2.5640964999999998E-2</v>
      </c>
      <c r="Z27" s="3">
        <v>-7.9222919999999992E-3</v>
      </c>
      <c r="AA27" s="3">
        <v>-3.3707798000000004E-2</v>
      </c>
      <c r="AB27" s="3">
        <v>-9.1252922999999989E-3</v>
      </c>
      <c r="AC27" s="3">
        <v>-9.1574789999999996E-3</v>
      </c>
      <c r="AD27" s="3">
        <v>4.0929675000000006E-2</v>
      </c>
      <c r="AE27" s="3">
        <v>6.7192315999999993E-3</v>
      </c>
      <c r="AF27" s="3">
        <v>8.7695120000000001E-3</v>
      </c>
      <c r="AG27" s="3">
        <v>-1.6750455000000001E-2</v>
      </c>
      <c r="AH27" s="3">
        <v>-3.3821464000000001E-3</v>
      </c>
      <c r="AI27" s="3">
        <v>1.151371E-2</v>
      </c>
      <c r="AJ27" s="3"/>
      <c r="AK27" s="3"/>
      <c r="AL27" s="3"/>
    </row>
    <row r="28" spans="1:38" x14ac:dyDescent="0.45">
      <c r="A28" s="2">
        <v>45007</v>
      </c>
      <c r="B28" s="3">
        <v>-2.8321743E-2</v>
      </c>
      <c r="C28" s="3">
        <v>-2.6297329999999997E-2</v>
      </c>
      <c r="D28" s="3">
        <v>-1.9650578000000002E-2</v>
      </c>
      <c r="E28" s="3">
        <v>-1.4689684000000001E-2</v>
      </c>
      <c r="F28" s="3">
        <v>-2.9189885000000002E-2</v>
      </c>
      <c r="G28" s="3">
        <v>-6.8445800000000003E-3</v>
      </c>
      <c r="H28" s="3">
        <v>-2.7440310000000002E-2</v>
      </c>
      <c r="I28" s="3">
        <v>2.0937681E-2</v>
      </c>
      <c r="J28" s="3">
        <v>-2.6615977000000002E-2</v>
      </c>
      <c r="K28" s="3">
        <v>-5.0401687999999999E-4</v>
      </c>
      <c r="L28" s="3">
        <v>-7.4468079999999992E-2</v>
      </c>
      <c r="M28" s="3">
        <v>-2.7811289999999999E-2</v>
      </c>
      <c r="N28" s="3">
        <v>-5.3278626999999995E-2</v>
      </c>
      <c r="O28" s="3">
        <v>-2.0340799999999999E-2</v>
      </c>
      <c r="P28" s="3">
        <v>-3.3805728E-2</v>
      </c>
      <c r="Q28" s="3">
        <v>-4.5108676E-2</v>
      </c>
      <c r="R28" s="3">
        <v>-4.4833364000000001E-2</v>
      </c>
      <c r="S28" s="3">
        <v>-1.4851451E-2</v>
      </c>
      <c r="T28" s="3">
        <v>-3.4764825999999999E-2</v>
      </c>
      <c r="U28" s="3">
        <v>-8.5037950000000002E-4</v>
      </c>
      <c r="V28" s="3">
        <v>1.6889214999999999E-2</v>
      </c>
      <c r="W28" s="3">
        <v>-2.765447E-2</v>
      </c>
      <c r="X28" s="3">
        <v>-5.1820159999999997E-2</v>
      </c>
      <c r="Y28" s="3">
        <v>-4.3274819999999999E-2</v>
      </c>
      <c r="Z28" s="3">
        <v>-4.3556689999999995E-3</v>
      </c>
      <c r="AA28" s="3">
        <v>1.4490128E-2</v>
      </c>
      <c r="AB28" s="3">
        <v>-2.6280344000000001E-2</v>
      </c>
      <c r="AC28" s="3">
        <v>-3.0499040000000002E-2</v>
      </c>
      <c r="AD28" s="3">
        <v>4.1945456999999998E-2</v>
      </c>
      <c r="AE28" s="3">
        <v>-1.2334049E-2</v>
      </c>
      <c r="AF28" s="3">
        <v>-9.2366340000000005E-3</v>
      </c>
      <c r="AG28" s="3">
        <v>-1.2168407000000001E-2</v>
      </c>
      <c r="AH28" s="3">
        <v>-4.1006804000000001E-2</v>
      </c>
      <c r="AI28" s="3">
        <v>-1.4730513000000001E-2</v>
      </c>
      <c r="AJ28" s="3"/>
      <c r="AK28" s="3"/>
      <c r="AL28" s="3"/>
    </row>
    <row r="29" spans="1:38" x14ac:dyDescent="0.45">
      <c r="A29" s="2">
        <v>45037</v>
      </c>
      <c r="B29" s="3">
        <v>-1.5503764000000001E-3</v>
      </c>
      <c r="C29" s="3">
        <v>-7.5621605000000007E-3</v>
      </c>
      <c r="D29" s="3">
        <v>6.0133576000000001E-2</v>
      </c>
      <c r="E29" s="3">
        <v>-3.3544539999999998E-2</v>
      </c>
      <c r="F29" s="3">
        <v>0.16351341000000003</v>
      </c>
      <c r="G29" s="3">
        <v>7.6154349999999996E-2</v>
      </c>
      <c r="H29" s="3">
        <v>1.4801145E-2</v>
      </c>
      <c r="I29" s="3">
        <v>-2.0285307999999998E-2</v>
      </c>
      <c r="J29" s="3">
        <v>6.4453125E-2</v>
      </c>
      <c r="K29" s="3">
        <v>3.4795759999999995E-2</v>
      </c>
      <c r="L29" s="3">
        <v>6.1302659999999995E-2</v>
      </c>
      <c r="M29" s="3">
        <v>7.1144341999999999E-2</v>
      </c>
      <c r="N29" s="3">
        <v>7.392609E-2</v>
      </c>
      <c r="O29" s="3">
        <v>3.5037636999999996E-2</v>
      </c>
      <c r="P29" s="3">
        <v>5.4473877000000004E-3</v>
      </c>
      <c r="Q29" s="3">
        <v>1.9351125E-2</v>
      </c>
      <c r="R29" s="3">
        <v>-1.6857146999999999E-2</v>
      </c>
      <c r="S29" s="3">
        <v>-8.8679789999999998E-3</v>
      </c>
      <c r="T29" s="3">
        <v>5.8615804000000001E-2</v>
      </c>
      <c r="U29" s="3">
        <v>1.2765884E-2</v>
      </c>
      <c r="V29" s="3">
        <v>8.0899949999999998E-2</v>
      </c>
      <c r="W29" s="3">
        <v>1.723063E-2</v>
      </c>
      <c r="X29" s="3">
        <v>5.0135493000000003E-2</v>
      </c>
      <c r="Y29" s="3">
        <v>7.6405883000000008E-2</v>
      </c>
      <c r="Z29" s="3">
        <v>6.6715239999999995E-2</v>
      </c>
      <c r="AA29" s="3">
        <v>4.0557264999999995E-2</v>
      </c>
      <c r="AB29" s="3">
        <v>0.10957325000000001</v>
      </c>
      <c r="AC29" s="3">
        <v>7.372105000000001E-2</v>
      </c>
      <c r="AD29" s="3">
        <v>3.4267544999999996E-2</v>
      </c>
      <c r="AE29" s="3">
        <v>5.1235676000000001E-2</v>
      </c>
      <c r="AF29" s="3">
        <v>8.8840120000000009E-2</v>
      </c>
      <c r="AG29" s="3">
        <v>3.9418578000000003E-2</v>
      </c>
      <c r="AH29" s="3">
        <v>7.7263355000000006E-2</v>
      </c>
      <c r="AI29" s="3">
        <v>7.6792360000000004E-2</v>
      </c>
      <c r="AJ29" s="3"/>
      <c r="AK29" s="3"/>
      <c r="AL29" s="3"/>
    </row>
    <row r="30" spans="1:38" x14ac:dyDescent="0.45">
      <c r="A30" s="2">
        <v>45068</v>
      </c>
      <c r="B30" s="3">
        <v>-3.4161508E-2</v>
      </c>
      <c r="C30" s="3">
        <v>8.4542870000000006E-2</v>
      </c>
      <c r="D30" s="3">
        <v>2.5210379999999998E-3</v>
      </c>
      <c r="E30" s="3">
        <v>2.6610136E-2</v>
      </c>
      <c r="F30" s="3">
        <v>6.2717795000000007E-2</v>
      </c>
      <c r="G30" s="3">
        <v>-2.4655819999999998E-2</v>
      </c>
      <c r="H30" s="3">
        <v>-2.55242E-2</v>
      </c>
      <c r="I30" s="3">
        <v>3.3902168000000003E-2</v>
      </c>
      <c r="J30" s="3">
        <v>-5.8382154E-3</v>
      </c>
      <c r="K30" s="3">
        <v>2.517867E-2</v>
      </c>
      <c r="L30" s="3">
        <v>7.8339340000000007E-2</v>
      </c>
      <c r="M30" s="3">
        <v>-8.9642339999999987E-2</v>
      </c>
      <c r="N30" s="3">
        <v>6.6356539999999992E-2</v>
      </c>
      <c r="O30" s="3">
        <v>3.4603715E-2</v>
      </c>
      <c r="P30" s="3">
        <v>-2.2504746999999999E-2</v>
      </c>
      <c r="Q30" s="3">
        <v>8.6543800000000004E-2</v>
      </c>
      <c r="R30" s="3">
        <v>-1.8686294999999999E-2</v>
      </c>
      <c r="S30" s="3">
        <v>-0.12854157999999999</v>
      </c>
      <c r="T30" s="3">
        <v>-1.767844E-2</v>
      </c>
      <c r="U30" s="3">
        <v>4.6638726999999998E-2</v>
      </c>
      <c r="V30" s="3">
        <v>2.7261496E-2</v>
      </c>
      <c r="W30" s="3">
        <v>3.3469319999999997E-2</v>
      </c>
      <c r="X30" s="3">
        <v>-1.0752678E-2</v>
      </c>
      <c r="Y30" s="3">
        <v>-1.1073231999999999E-2</v>
      </c>
      <c r="Z30" s="3">
        <v>-1.7088651999999998E-3</v>
      </c>
      <c r="AA30" s="3">
        <v>3.7620783000000005E-2</v>
      </c>
      <c r="AB30" s="3">
        <v>1.4553070000000001E-3</v>
      </c>
      <c r="AC30" s="3">
        <v>-1.6573012000000002E-2</v>
      </c>
      <c r="AD30" s="3">
        <v>6.6422462000000002E-2</v>
      </c>
      <c r="AE30" s="3">
        <v>1.5987396000000001E-2</v>
      </c>
      <c r="AF30" s="3">
        <v>-1.7375946E-2</v>
      </c>
      <c r="AG30" s="3">
        <v>2.0621061E-2</v>
      </c>
      <c r="AH30" s="3">
        <v>-1.1771142000000002E-2</v>
      </c>
      <c r="AI30" s="3">
        <v>-1.1675656000000001E-2</v>
      </c>
      <c r="AJ30" s="3"/>
      <c r="AK30" s="3"/>
      <c r="AL30" s="3"/>
    </row>
    <row r="31" spans="1:38" x14ac:dyDescent="0.45">
      <c r="A31" s="2">
        <v>45099</v>
      </c>
      <c r="B31" s="3">
        <v>-5.2682342999999993E-2</v>
      </c>
      <c r="C31" s="3">
        <v>9.2512370000000007E-3</v>
      </c>
      <c r="D31" s="3">
        <v>-1.2207091000000002E-2</v>
      </c>
      <c r="E31" s="3">
        <v>-2.9351413000000003E-2</v>
      </c>
      <c r="F31" s="3">
        <v>6.2295200000000002E-2</v>
      </c>
      <c r="G31" s="3">
        <v>2.7872682000000003E-2</v>
      </c>
      <c r="H31" s="3">
        <v>-3.4766911999999997E-2</v>
      </c>
      <c r="I31" s="3">
        <v>5.1936626E-2</v>
      </c>
      <c r="J31" s="3">
        <v>4.8137546000000003E-2</v>
      </c>
      <c r="K31" s="3">
        <v>2.4243355000000001E-2</v>
      </c>
      <c r="L31" s="3">
        <v>0.12435805999999999</v>
      </c>
      <c r="M31" s="3">
        <v>3.9931416999999997E-2</v>
      </c>
      <c r="N31" s="3">
        <v>6.6298365999999997E-2</v>
      </c>
      <c r="O31" s="3">
        <v>4.3171644000000002E-2</v>
      </c>
      <c r="P31" s="3">
        <v>-2.8773426999999997E-2</v>
      </c>
      <c r="Q31" s="3">
        <v>-5.7930289999999995E-2</v>
      </c>
      <c r="R31" s="3">
        <v>-1.3032555999999999E-2</v>
      </c>
      <c r="S31" s="3">
        <v>-1.3663947999999999E-2</v>
      </c>
      <c r="T31" s="3">
        <v>1.3612150999999999E-2</v>
      </c>
      <c r="U31" s="3">
        <v>8.791649E-2</v>
      </c>
      <c r="V31" s="3">
        <v>-2.0405053999999999E-3</v>
      </c>
      <c r="W31" s="3">
        <v>-4.1846514000000001E-2</v>
      </c>
      <c r="X31" s="3">
        <v>6.4976215E-3</v>
      </c>
      <c r="Y31" s="3">
        <v>-8.4292289999999999E-3</v>
      </c>
      <c r="Z31" s="3">
        <v>-2.7915240000000001E-3</v>
      </c>
      <c r="AA31" s="3">
        <v>2.7125240000000002E-2</v>
      </c>
      <c r="AB31" s="3">
        <v>-3.0402898999999997E-2</v>
      </c>
      <c r="AC31" s="3">
        <v>-9.1049075000000004E-3</v>
      </c>
      <c r="AD31" s="3">
        <v>8.5987810000000012E-2</v>
      </c>
      <c r="AE31" s="3">
        <v>4.6198249999999996E-2</v>
      </c>
      <c r="AF31" s="3">
        <v>-1.5896678000000001E-2</v>
      </c>
      <c r="AG31" s="3">
        <v>-2.8865932999999999E-3</v>
      </c>
      <c r="AH31" s="3">
        <v>-4.0997209999999999E-2</v>
      </c>
      <c r="AI31" s="3">
        <v>1.4396548E-2</v>
      </c>
      <c r="AJ31" s="3"/>
      <c r="AK31" s="3"/>
      <c r="AL31" s="3"/>
    </row>
    <row r="32" spans="1:38" x14ac:dyDescent="0.45">
      <c r="A32" s="2">
        <v>45128</v>
      </c>
      <c r="B32" s="3">
        <v>-9.8299979999999986E-4</v>
      </c>
      <c r="C32" s="3">
        <v>7.0320487000000001E-2</v>
      </c>
      <c r="D32" s="3">
        <v>1.9055842999999999E-2</v>
      </c>
      <c r="E32" s="3">
        <v>6.2671303999999997E-2</v>
      </c>
      <c r="F32" s="3">
        <v>6.1213969999999999E-2</v>
      </c>
      <c r="G32" s="3">
        <v>7.2867870000000001E-2</v>
      </c>
      <c r="H32" s="3">
        <v>3.2560468000000002E-2</v>
      </c>
      <c r="I32" s="3">
        <v>-6.9037079999999997E-3</v>
      </c>
      <c r="J32" s="3">
        <v>1.435256E-2</v>
      </c>
      <c r="K32" s="3">
        <v>2.1503687E-2</v>
      </c>
      <c r="L32" s="3">
        <v>7.3215960000000005E-3</v>
      </c>
      <c r="M32" s="3">
        <v>6.0394405999999998E-2</v>
      </c>
      <c r="N32" s="3">
        <v>8.9261529999999992E-2</v>
      </c>
      <c r="O32" s="3">
        <v>3.2588482000000002E-2</v>
      </c>
      <c r="P32" s="3">
        <v>5.5395365E-3</v>
      </c>
      <c r="Q32" s="3">
        <v>3.7131548E-2</v>
      </c>
      <c r="R32" s="3">
        <v>1.3211250000000001E-2</v>
      </c>
      <c r="S32" s="3">
        <v>0.12437105000000001</v>
      </c>
      <c r="T32" s="3">
        <v>2.8217435000000003E-2</v>
      </c>
      <c r="U32" s="3">
        <v>5.7564496999999999E-2</v>
      </c>
      <c r="V32" s="3">
        <v>3.0821919999999999E-2</v>
      </c>
      <c r="W32" s="3">
        <v>2.2273063999999999E-2</v>
      </c>
      <c r="X32" s="3">
        <v>1.8485904000000001E-2</v>
      </c>
      <c r="Y32" s="3">
        <v>4.7089815E-2</v>
      </c>
      <c r="Z32" s="3">
        <v>2.6455045E-2</v>
      </c>
      <c r="AA32" s="3">
        <v>-6.4051150000000003E-4</v>
      </c>
      <c r="AB32" s="3">
        <v>3.8091063000000001E-2</v>
      </c>
      <c r="AC32" s="3">
        <v>3.0340552E-2</v>
      </c>
      <c r="AD32" s="3">
        <v>2.5834917999999998E-2</v>
      </c>
      <c r="AE32" s="3">
        <v>3.5898328E-2</v>
      </c>
      <c r="AF32" s="3">
        <v>4.9786925000000003E-2</v>
      </c>
      <c r="AG32" s="3">
        <v>3.9331197999999998E-2</v>
      </c>
      <c r="AH32" s="3">
        <v>3.3795594999999998E-2</v>
      </c>
      <c r="AI32" s="3">
        <v>6.2882900000000005E-2</v>
      </c>
      <c r="AJ32" s="3"/>
      <c r="AK32" s="3"/>
      <c r="AL32" s="3"/>
    </row>
    <row r="33" spans="1:38" x14ac:dyDescent="0.45">
      <c r="A33" s="2">
        <v>45160</v>
      </c>
      <c r="B33" s="3">
        <v>-3.7852585000000001E-2</v>
      </c>
      <c r="C33" s="3">
        <v>-8.1803500000000001E-2</v>
      </c>
      <c r="D33" s="3">
        <v>-2.7199388000000001E-2</v>
      </c>
      <c r="E33" s="3">
        <v>-9.3623280000000003E-2</v>
      </c>
      <c r="F33" s="3">
        <v>-7.5133266000000004E-2</v>
      </c>
      <c r="G33" s="3">
        <v>-3.8657843999999997E-2</v>
      </c>
      <c r="H33" s="3">
        <v>9.5558169999999997E-4</v>
      </c>
      <c r="I33" s="3">
        <v>-5.1400956999999997E-2</v>
      </c>
      <c r="J33" s="3">
        <v>-1.3672531000000002E-2</v>
      </c>
      <c r="K33" s="3">
        <v>-7.9509314999999997E-2</v>
      </c>
      <c r="L33" s="3">
        <v>-6.450641E-2</v>
      </c>
      <c r="M33" s="3">
        <v>-8.4961179999999997E-2</v>
      </c>
      <c r="N33" s="3">
        <v>-5.6912602999999999E-2</v>
      </c>
      <c r="O33" s="3">
        <v>-1.9161463E-2</v>
      </c>
      <c r="P33" s="3">
        <v>-4.9801707000000001E-2</v>
      </c>
      <c r="Q33" s="3">
        <v>-1.0658622E-2</v>
      </c>
      <c r="R33" s="3">
        <v>1.0691523999999999E-2</v>
      </c>
      <c r="S33" s="3">
        <v>0.15569056000000001</v>
      </c>
      <c r="T33" s="3">
        <v>4.0160418E-3</v>
      </c>
      <c r="U33" s="3">
        <v>3.489256E-3</v>
      </c>
      <c r="V33" s="3">
        <v>-4.2714714999999993E-2</v>
      </c>
      <c r="W33" s="3">
        <v>-7.7784539999999999E-2</v>
      </c>
      <c r="X33" s="3">
        <v>-7.5194479999999994E-2</v>
      </c>
      <c r="Y33" s="3">
        <v>-6.4804434999999994E-2</v>
      </c>
      <c r="Z33" s="3">
        <v>-5.3608235999999997E-2</v>
      </c>
      <c r="AA33" s="3">
        <v>-4.4063449999999997E-2</v>
      </c>
      <c r="AB33" s="3">
        <v>-4.6182990000000007E-2</v>
      </c>
      <c r="AC33" s="3">
        <v>-5.5889369999999994E-2</v>
      </c>
      <c r="AD33" s="3">
        <v>-3.2611907000000002E-2</v>
      </c>
      <c r="AE33" s="3">
        <v>-3.1027436000000002E-2</v>
      </c>
      <c r="AF33" s="3">
        <v>-5.6048689999999998E-2</v>
      </c>
      <c r="AG33" s="3">
        <v>-7.2286486999999996E-2</v>
      </c>
      <c r="AH33" s="3">
        <v>-8.2984085000000013E-2</v>
      </c>
      <c r="AI33" s="3">
        <v>-5.0364075000000001E-2</v>
      </c>
      <c r="AJ33" s="3"/>
      <c r="AK33" s="3"/>
      <c r="AL33" s="3"/>
    </row>
    <row r="34" spans="1:38" x14ac:dyDescent="0.45">
      <c r="A34" s="2">
        <v>45191</v>
      </c>
      <c r="B34" s="3">
        <v>4.4232606999999998E-3</v>
      </c>
      <c r="C34" s="3">
        <v>-8.3128750000000001E-2</v>
      </c>
      <c r="D34" s="3">
        <v>1.7474890000000001E-3</v>
      </c>
      <c r="E34" s="3">
        <v>-2.0740150999999998E-2</v>
      </c>
      <c r="F34" s="3">
        <v>-7.5995864999999996E-2</v>
      </c>
      <c r="G34" s="3">
        <v>-3.2656968000000001E-2</v>
      </c>
      <c r="H34" s="3">
        <v>5.7278870000000001E-3</v>
      </c>
      <c r="I34" s="3">
        <v>-7.3283910000000001E-3</v>
      </c>
      <c r="J34" s="3">
        <v>-3.3204377E-2</v>
      </c>
      <c r="K34" s="3">
        <v>3.2901764000000002E-4</v>
      </c>
      <c r="L34" s="3">
        <v>9.0644360000000004E-3</v>
      </c>
      <c r="M34" s="3">
        <v>-4.3724775000000002E-3</v>
      </c>
      <c r="N34" s="3">
        <v>-9.0253720000000009E-2</v>
      </c>
      <c r="O34" s="3">
        <v>2.2293805999999999E-2</v>
      </c>
      <c r="P34" s="3">
        <v>2.1103860000000002E-2</v>
      </c>
      <c r="Q34" s="3">
        <v>-2.8729319999999999E-2</v>
      </c>
      <c r="R34" s="3">
        <v>-1.4887452000000001E-2</v>
      </c>
      <c r="S34" s="3">
        <v>3.9834022999999996E-2</v>
      </c>
      <c r="T34" s="3">
        <v>3.6666631999999998E-2</v>
      </c>
      <c r="U34" s="3">
        <v>-1.3908206999999999E-2</v>
      </c>
      <c r="V34" s="3">
        <v>-3.7927567999999995E-2</v>
      </c>
      <c r="W34" s="3">
        <v>-1.4351964E-2</v>
      </c>
      <c r="X34" s="3">
        <v>1.1214972E-2</v>
      </c>
      <c r="Y34" s="3">
        <v>1.4038324E-2</v>
      </c>
      <c r="Z34" s="3">
        <v>-3.0138075E-2</v>
      </c>
      <c r="AA34" s="3">
        <v>3.5869956000000001E-2</v>
      </c>
      <c r="AB34" s="3">
        <v>-1.9898236E-2</v>
      </c>
      <c r="AC34" s="3">
        <v>1.8777847E-2</v>
      </c>
      <c r="AD34" s="3">
        <v>-1.3630033E-2</v>
      </c>
      <c r="AE34" s="3">
        <v>-1.4134526000000001E-2</v>
      </c>
      <c r="AF34" s="3">
        <v>-3.1972109999999998E-2</v>
      </c>
      <c r="AG34" s="3">
        <v>-6.2774777000000004E-2</v>
      </c>
      <c r="AH34" s="3">
        <v>-1.0054766999999999E-2</v>
      </c>
      <c r="AI34" s="3">
        <v>-8.9456440000000009E-3</v>
      </c>
      <c r="AJ34" s="3"/>
      <c r="AK34" s="3"/>
      <c r="AL34" s="3"/>
    </row>
    <row r="35" spans="1:38" x14ac:dyDescent="0.45">
      <c r="A35" s="2">
        <v>45219</v>
      </c>
      <c r="B35" s="3">
        <v>-6.9667099999999996E-2</v>
      </c>
      <c r="C35" s="3">
        <v>-8.2632010000000006E-2</v>
      </c>
      <c r="D35" s="3">
        <v>-8.7658109999999997E-2</v>
      </c>
      <c r="E35" s="3">
        <v>2.4917125999999999E-3</v>
      </c>
      <c r="F35" s="3">
        <v>5.9557675999999997E-2</v>
      </c>
      <c r="G35" s="3">
        <v>-4.9432935999999997E-2</v>
      </c>
      <c r="H35" s="3">
        <v>-2.6103437E-2</v>
      </c>
      <c r="I35" s="3">
        <v>-1.0962009999999999E-2</v>
      </c>
      <c r="J35" s="3">
        <v>-0.11187058</v>
      </c>
      <c r="K35" s="3">
        <v>-6.4473630000000004E-2</v>
      </c>
      <c r="L35" s="3">
        <v>-3.9461017000000001E-2</v>
      </c>
      <c r="M35" s="3">
        <v>-4.055798E-2</v>
      </c>
      <c r="N35" s="3">
        <v>-3.463459E-2</v>
      </c>
      <c r="O35" s="3">
        <v>-1.1241019000000001E-2</v>
      </c>
      <c r="P35" s="3">
        <v>-7.0633650000000006E-2</v>
      </c>
      <c r="Q35" s="3">
        <v>-6.3708780000000007E-2</v>
      </c>
      <c r="R35" s="3">
        <v>-8.0941019999999989E-2</v>
      </c>
      <c r="S35" s="3">
        <v>-8.8321319999999995E-2</v>
      </c>
      <c r="T35" s="3">
        <v>-0.12668812000000002</v>
      </c>
      <c r="U35" s="3">
        <v>-0.10014105000000001</v>
      </c>
      <c r="V35" s="3">
        <v>-4.1999519999999999E-2</v>
      </c>
      <c r="W35" s="3">
        <v>-6.1155914999999998E-2</v>
      </c>
      <c r="X35" s="3">
        <v>-4.6672820000000004E-2</v>
      </c>
      <c r="Y35" s="3">
        <v>-4.3299016999999995E-2</v>
      </c>
      <c r="Z35" s="3">
        <v>-5.6907473E-2</v>
      </c>
      <c r="AA35" s="3">
        <v>-5.9385060000000003E-2</v>
      </c>
      <c r="AB35" s="3">
        <v>-4.4890640000000002E-2</v>
      </c>
      <c r="AC35" s="3">
        <v>-3.7488222000000002E-2</v>
      </c>
      <c r="AD35" s="3">
        <v>-9.2481374999999998E-3</v>
      </c>
      <c r="AE35" s="3">
        <v>-2.1444201E-2</v>
      </c>
      <c r="AF35" s="3">
        <v>-5.4676590000000004E-2</v>
      </c>
      <c r="AG35" s="3">
        <v>-4.6911660000000001E-2</v>
      </c>
      <c r="AH35" s="3">
        <v>-2.2468506999999999E-2</v>
      </c>
      <c r="AI35" s="3">
        <v>-4.6099305E-2</v>
      </c>
      <c r="AJ35" s="3"/>
      <c r="AK35" s="3"/>
      <c r="AL35" s="3"/>
    </row>
    <row r="36" spans="1:38" x14ac:dyDescent="0.45">
      <c r="A36" s="2">
        <v>45252</v>
      </c>
      <c r="B36" s="3">
        <v>4.1370870000000004E-2</v>
      </c>
      <c r="C36" s="3">
        <v>0.1100918</v>
      </c>
      <c r="D36" s="3">
        <v>1.6730427999999999E-2</v>
      </c>
      <c r="E36" s="3">
        <v>3.6868333999999996E-2</v>
      </c>
      <c r="F36" s="3">
        <v>0.16595291000000001</v>
      </c>
      <c r="G36" s="3">
        <v>6.3727020000000009E-2</v>
      </c>
      <c r="H36" s="3">
        <v>3.4600377000000002E-2</v>
      </c>
      <c r="I36" s="3">
        <v>9.0703489999999998E-2</v>
      </c>
      <c r="J36" s="3">
        <v>0.16895067</v>
      </c>
      <c r="K36" s="3">
        <v>0.10601258</v>
      </c>
      <c r="L36" s="3">
        <v>0.12758839</v>
      </c>
      <c r="M36" s="3">
        <v>6.4351079999999991E-2</v>
      </c>
      <c r="N36" s="3">
        <v>0.11888111</v>
      </c>
      <c r="O36" s="3">
        <v>2.7967215E-2</v>
      </c>
      <c r="P36" s="3">
        <v>6.133926E-2</v>
      </c>
      <c r="Q36" s="3">
        <v>6.4398646000000004E-2</v>
      </c>
      <c r="R36" s="3">
        <v>1.0576367E-2</v>
      </c>
      <c r="S36" s="3">
        <v>3.5016060000000002E-2</v>
      </c>
      <c r="T36" s="3">
        <v>8.0265160000000002E-2</v>
      </c>
      <c r="U36" s="3">
        <v>6.1912180000000004E-2</v>
      </c>
      <c r="V36" s="3">
        <v>6.4550877000000007E-2</v>
      </c>
      <c r="W36" s="3">
        <v>5.5833936000000001E-2</v>
      </c>
      <c r="X36" s="3">
        <v>7.8526497000000001E-2</v>
      </c>
      <c r="Y36" s="3">
        <v>5.9728980000000001E-2</v>
      </c>
      <c r="Z36" s="3">
        <v>0.10956728</v>
      </c>
      <c r="AA36" s="3">
        <v>7.5004340000000003E-2</v>
      </c>
      <c r="AB36" s="3">
        <v>5.9281945000000003E-2</v>
      </c>
      <c r="AC36" s="3">
        <v>4.1220426999999997E-2</v>
      </c>
      <c r="AD36" s="3">
        <v>0.10000002000000001</v>
      </c>
      <c r="AE36" s="3">
        <v>8.0320000000000003E-2</v>
      </c>
      <c r="AF36" s="3">
        <v>9.7181320000000002E-2</v>
      </c>
      <c r="AG36" s="3">
        <v>0.14438057000000001</v>
      </c>
      <c r="AH36" s="3">
        <v>0.12594450000000001</v>
      </c>
      <c r="AI36" s="3">
        <v>9.4626540000000009E-2</v>
      </c>
      <c r="AJ36" s="3"/>
      <c r="AK36" s="3"/>
      <c r="AL36" s="3"/>
    </row>
    <row r="37" spans="1:38" x14ac:dyDescent="0.45">
      <c r="A37" s="2">
        <v>45282</v>
      </c>
      <c r="B37" s="3">
        <v>-4.544836E-2</v>
      </c>
      <c r="C37" s="3">
        <v>4.0838119999999999E-2</v>
      </c>
      <c r="D37" s="3">
        <v>4.4578314000000001E-2</v>
      </c>
      <c r="E37" s="3">
        <v>4.8089146999999999E-2</v>
      </c>
      <c r="F37" s="3">
        <v>7.4124812999999998E-2</v>
      </c>
      <c r="G37" s="3">
        <v>0.14009989</v>
      </c>
      <c r="H37" s="3">
        <v>1.4319538999999999E-2</v>
      </c>
      <c r="I37" s="3">
        <v>3.9596079999999999E-2</v>
      </c>
      <c r="J37" s="3">
        <v>0.10577381000000001</v>
      </c>
      <c r="K37" s="3">
        <v>4.3447136999999997E-2</v>
      </c>
      <c r="L37" s="3">
        <v>6.2539576999999999E-2</v>
      </c>
      <c r="M37" s="3">
        <v>4.3728829999999996E-2</v>
      </c>
      <c r="N37" s="3">
        <v>2.927184E-2</v>
      </c>
      <c r="O37" s="3">
        <v>6.9674849999999997E-2</v>
      </c>
      <c r="P37" s="3">
        <v>-7.2429540000000001E-2</v>
      </c>
      <c r="Q37" s="3">
        <v>1.255703E-2</v>
      </c>
      <c r="R37" s="3">
        <v>-6.4067244999999997E-3</v>
      </c>
      <c r="S37" s="3">
        <v>-5.6925534999999999E-2</v>
      </c>
      <c r="T37" s="3">
        <v>1.0420084E-3</v>
      </c>
      <c r="U37" s="3">
        <v>-1.9382893999999998E-2</v>
      </c>
      <c r="V37" s="3">
        <v>5.3467273999999995E-2</v>
      </c>
      <c r="W37" s="3">
        <v>0.10005272</v>
      </c>
      <c r="X37" s="3">
        <v>0.11188423</v>
      </c>
      <c r="Y37" s="3">
        <v>7.2817205999999995E-2</v>
      </c>
      <c r="Z37" s="3">
        <v>5.6227090000000007E-2</v>
      </c>
      <c r="AA37" s="3">
        <v>2.7726649999999999E-2</v>
      </c>
      <c r="AB37" s="3">
        <v>5.7971120000000001E-2</v>
      </c>
      <c r="AC37" s="3">
        <v>4.9808739999999997E-2</v>
      </c>
      <c r="AD37" s="3">
        <v>4.904592E-2</v>
      </c>
      <c r="AE37" s="3">
        <v>4.5170902999999998E-2</v>
      </c>
      <c r="AF37" s="3">
        <v>5.3916335000000003E-2</v>
      </c>
      <c r="AG37" s="3">
        <v>6.5325019999999998E-2</v>
      </c>
      <c r="AH37" s="3">
        <v>0.12985730000000001</v>
      </c>
      <c r="AI37" s="3">
        <v>5.5134176999999999E-2</v>
      </c>
      <c r="AJ37" s="3"/>
      <c r="AK37" s="3"/>
      <c r="AL37" s="3"/>
    </row>
    <row r="38" spans="1:38" x14ac:dyDescent="0.45">
      <c r="A38" s="2">
        <v>45313</v>
      </c>
      <c r="B38" s="3">
        <v>-5.5754004000000003E-2</v>
      </c>
      <c r="C38" s="3">
        <v>-5.9208154999999998E-2</v>
      </c>
      <c r="D38" s="3">
        <v>1.8148422E-3</v>
      </c>
      <c r="E38" s="3">
        <v>6.1490535999999991E-3</v>
      </c>
      <c r="F38" s="3">
        <v>-6.9511649999999994E-2</v>
      </c>
      <c r="G38" s="3">
        <v>-3.2049297999999997E-2</v>
      </c>
      <c r="H38" s="3">
        <v>-8.9792609999999988E-3</v>
      </c>
      <c r="I38" s="3">
        <v>-4.2725800000000006E-3</v>
      </c>
      <c r="J38" s="3">
        <v>-5.5596470000000002E-2</v>
      </c>
      <c r="K38" s="3">
        <v>-8.5039909999999996E-2</v>
      </c>
      <c r="L38" s="3">
        <v>-6.5857830000000006E-2</v>
      </c>
      <c r="M38" s="3">
        <v>-8.2944809999999994E-2</v>
      </c>
      <c r="N38" s="3">
        <v>4.4580460000000002E-2</v>
      </c>
      <c r="O38" s="3">
        <v>2.9156327000000003E-2</v>
      </c>
      <c r="P38" s="3">
        <v>-8.1700140000000004E-2</v>
      </c>
      <c r="Q38" s="3">
        <v>0</v>
      </c>
      <c r="R38" s="3">
        <v>-2.5030375000000001E-2</v>
      </c>
      <c r="S38" s="3">
        <v>1.9939541999999998E-2</v>
      </c>
      <c r="T38" s="3">
        <v>2.9472231999999998E-2</v>
      </c>
      <c r="U38" s="3">
        <v>2.5249123999999998E-2</v>
      </c>
      <c r="V38" s="3">
        <v>4.1069269999999998E-2</v>
      </c>
      <c r="W38" s="3">
        <v>-3.8691460000000004E-2</v>
      </c>
      <c r="X38" s="3">
        <v>-3.9603948999999999E-2</v>
      </c>
      <c r="Y38" s="3">
        <v>-1.1803448000000001E-2</v>
      </c>
      <c r="Z38" s="3">
        <v>-2.0325243E-2</v>
      </c>
      <c r="AA38" s="3">
        <v>5.2897452999999997E-2</v>
      </c>
      <c r="AB38" s="3">
        <v>-8.8514686000000006E-3</v>
      </c>
      <c r="AC38" s="3">
        <v>-2.7642787000000002E-2</v>
      </c>
      <c r="AD38" s="3">
        <v>3.3231734999999998E-2</v>
      </c>
      <c r="AE38" s="3">
        <v>2.0690439999999997E-2</v>
      </c>
      <c r="AF38" s="3">
        <v>-3.1433642000000005E-2</v>
      </c>
      <c r="AG38" s="3">
        <v>-6.3276290000000004E-3</v>
      </c>
      <c r="AH38" s="3">
        <v>-6.9743869999999999E-2</v>
      </c>
      <c r="AI38" s="3">
        <v>-1.6296267999999999E-2</v>
      </c>
      <c r="AJ38" s="3"/>
      <c r="AK38" s="3"/>
      <c r="AL38" s="3"/>
    </row>
    <row r="39" spans="1:38" x14ac:dyDescent="0.45">
      <c r="A39" s="2">
        <v>45344</v>
      </c>
      <c r="B39" s="3">
        <v>8.3841209999999999E-2</v>
      </c>
      <c r="C39" s="3">
        <v>-2.6640952000000002E-2</v>
      </c>
      <c r="D39" s="3">
        <v>3.3967376000000001E-2</v>
      </c>
      <c r="E39" s="3">
        <v>6.0733438000000001E-2</v>
      </c>
      <c r="F39" s="3">
        <v>0.11820327999999999</v>
      </c>
      <c r="G39" s="3">
        <v>5.2177309999999998E-2</v>
      </c>
      <c r="H39" s="3">
        <v>3.2904148000000001E-2</v>
      </c>
      <c r="I39" s="3">
        <v>5.4200530000000004E-2</v>
      </c>
      <c r="J39" s="3">
        <v>4.9344063000000001E-2</v>
      </c>
      <c r="K39" s="3">
        <v>0.11276269</v>
      </c>
      <c r="L39" s="3">
        <v>3.5559772999999996E-2</v>
      </c>
      <c r="M39" s="3">
        <v>2.5956630000000001E-2</v>
      </c>
      <c r="N39" s="3">
        <v>4.3321249999999999E-2</v>
      </c>
      <c r="O39" s="3">
        <v>3.9381145999999999E-2</v>
      </c>
      <c r="P39" s="3">
        <v>0.10227262500000001</v>
      </c>
      <c r="Q39" s="3">
        <v>9.5828770000000001E-3</v>
      </c>
      <c r="R39" s="3">
        <v>2.3760438000000002E-2</v>
      </c>
      <c r="S39" s="3">
        <v>0.14069902000000001</v>
      </c>
      <c r="T39" s="3">
        <v>-2.2636473000000001E-2</v>
      </c>
      <c r="U39" s="3">
        <v>3.4829736E-2</v>
      </c>
      <c r="V39" s="3">
        <v>4.3183922999999999E-2</v>
      </c>
      <c r="W39" s="3">
        <v>-6.3263773999999995E-3</v>
      </c>
      <c r="X39" s="3">
        <v>2.4914025999999999E-2</v>
      </c>
      <c r="Y39" s="3">
        <v>2.3333309999999999E-2</v>
      </c>
      <c r="Z39" s="3">
        <v>4.4260025000000001E-2</v>
      </c>
      <c r="AA39" s="3">
        <v>3.3293365999999998E-2</v>
      </c>
      <c r="AB39" s="3">
        <v>1.9136666999999999E-3</v>
      </c>
      <c r="AC39" s="3">
        <v>2.7491450000000001E-2</v>
      </c>
      <c r="AD39" s="3">
        <v>3.8745164999999998E-2</v>
      </c>
      <c r="AE39" s="3">
        <v>4.9746632999999998E-2</v>
      </c>
      <c r="AF39" s="3">
        <v>6.0158253000000002E-2</v>
      </c>
      <c r="AG39" s="3">
        <v>9.0288749999999987E-2</v>
      </c>
      <c r="AH39" s="3">
        <v>7.1973800000000004E-2</v>
      </c>
      <c r="AI39" s="3">
        <v>6.7469834999999992E-2</v>
      </c>
      <c r="AJ39" s="3"/>
      <c r="AK39" s="3"/>
      <c r="AL39" s="3"/>
    </row>
    <row r="40" spans="1:38" x14ac:dyDescent="0.45">
      <c r="A40" s="2">
        <v>45373</v>
      </c>
      <c r="B40" s="3">
        <v>1.3183355000000001E-2</v>
      </c>
      <c r="C40" s="3">
        <v>3.9666771999999996E-2</v>
      </c>
      <c r="D40" s="3">
        <v>-8.7604520000000002E-3</v>
      </c>
      <c r="E40" s="3">
        <v>-1.9085347999999999E-2</v>
      </c>
      <c r="F40" s="3">
        <v>-2.2832930000000001E-2</v>
      </c>
      <c r="G40" s="3">
        <v>0.1208694</v>
      </c>
      <c r="H40" s="3">
        <v>1.1541962999999999E-2</v>
      </c>
      <c r="I40" s="3">
        <v>4.2844889999999997E-2</v>
      </c>
      <c r="J40" s="3">
        <v>4.1667223E-3</v>
      </c>
      <c r="K40" s="3">
        <v>2.9479623E-2</v>
      </c>
      <c r="L40" s="3">
        <v>-4.0609180000000002E-2</v>
      </c>
      <c r="M40" s="3">
        <v>-2.8690695999999999E-3</v>
      </c>
      <c r="N40" s="3">
        <v>1.2357234999999999E-3</v>
      </c>
      <c r="O40" s="3">
        <v>-2.3970604E-2</v>
      </c>
      <c r="P40" s="3">
        <v>-6.0347320000000001E-3</v>
      </c>
      <c r="Q40" s="3">
        <v>9.4919204999999989E-3</v>
      </c>
      <c r="R40" s="3">
        <v>-1.5280127999999999E-2</v>
      </c>
      <c r="S40" s="3">
        <v>-5.842638E-2</v>
      </c>
      <c r="T40" s="3">
        <v>1.9754766999999999E-2</v>
      </c>
      <c r="U40" s="3">
        <v>2.6925921000000002E-2</v>
      </c>
      <c r="V40" s="3">
        <v>4.0277243000000004E-3</v>
      </c>
      <c r="W40" s="3">
        <v>-5.7079789999999993E-3</v>
      </c>
      <c r="X40" s="3">
        <v>1.6764402000000001E-2</v>
      </c>
      <c r="Y40" s="3">
        <v>2.6330113000000002E-2</v>
      </c>
      <c r="Z40" s="3">
        <v>3.6092757999999996E-2</v>
      </c>
      <c r="AA40" s="3">
        <v>4.2380213999999999E-2</v>
      </c>
      <c r="AB40" s="3">
        <v>5.9423446999999994E-3</v>
      </c>
      <c r="AC40" s="3">
        <v>3.0708432000000001E-2</v>
      </c>
      <c r="AD40" s="3">
        <v>2.0305276000000001E-2</v>
      </c>
      <c r="AE40" s="3">
        <v>3.022766E-2</v>
      </c>
      <c r="AF40" s="3">
        <v>2.3145794999999997E-2</v>
      </c>
      <c r="AG40" s="3">
        <v>2.3362636999999999E-2</v>
      </c>
      <c r="AH40" s="3">
        <v>3.4587979999999997E-2</v>
      </c>
      <c r="AI40" s="3">
        <v>5.5022596999999999E-2</v>
      </c>
      <c r="AJ40" s="3"/>
      <c r="AK40" s="3"/>
      <c r="AL40" s="3"/>
    </row>
    <row r="41" spans="1:38" x14ac:dyDescent="0.45">
      <c r="A41" s="2">
        <v>45404</v>
      </c>
      <c r="B41" s="3">
        <v>-2.2962093000000001E-3</v>
      </c>
      <c r="C41" s="3">
        <v>1.1446475999999999E-3</v>
      </c>
      <c r="D41" s="3">
        <v>-8.4843160000000001E-2</v>
      </c>
      <c r="E41" s="3">
        <v>-8.5903110000000005E-2</v>
      </c>
      <c r="F41" s="3">
        <v>3.1155347999999999E-2</v>
      </c>
      <c r="G41" s="3">
        <v>1.2309790000000001E-2</v>
      </c>
      <c r="H41" s="3">
        <v>4.5641659999999997E-3</v>
      </c>
      <c r="I41" s="3">
        <v>-5.8134794000000004E-2</v>
      </c>
      <c r="J41" s="3">
        <v>-2.7860165000000003E-2</v>
      </c>
      <c r="K41" s="3">
        <v>-6.5175295000000008E-2</v>
      </c>
      <c r="L41" s="3">
        <v>-3.4858406000000002E-2</v>
      </c>
      <c r="M41" s="3">
        <v>2.3541450000000002E-3</v>
      </c>
      <c r="N41" s="3">
        <v>-1.2342631999999999E-2</v>
      </c>
      <c r="O41" s="3">
        <v>2.7728199999999998E-2</v>
      </c>
      <c r="P41" s="3">
        <v>1.6696215E-2</v>
      </c>
      <c r="Q41" s="3">
        <v>-5.1991167000000005E-2</v>
      </c>
      <c r="R41" s="3">
        <v>-2.2823392999999997E-2</v>
      </c>
      <c r="S41" s="3">
        <v>5.5570959999999996E-2</v>
      </c>
      <c r="T41" s="3">
        <v>-3.8076222E-2</v>
      </c>
      <c r="U41" s="3">
        <v>-0.11361980000000001</v>
      </c>
      <c r="V41" s="3">
        <v>-3.3207E-2</v>
      </c>
      <c r="W41" s="3">
        <v>-2.1196723000000001E-2</v>
      </c>
      <c r="X41" s="3">
        <v>-2.5144280000000001E-2</v>
      </c>
      <c r="Y41" s="3">
        <v>-1.1901617E-2</v>
      </c>
      <c r="Z41" s="3">
        <v>-2.9082835000000001E-2</v>
      </c>
      <c r="AA41" s="3">
        <v>-6.4745245000000007E-2</v>
      </c>
      <c r="AB41" s="3">
        <v>-2.8481065999999999E-2</v>
      </c>
      <c r="AC41" s="3">
        <v>5.8984756000000005E-4</v>
      </c>
      <c r="AD41" s="3">
        <v>-6.1741114E-2</v>
      </c>
      <c r="AE41" s="3">
        <v>-4.1231036000000006E-2</v>
      </c>
      <c r="AF41" s="3">
        <v>-2.1649241E-2</v>
      </c>
      <c r="AG41" s="3">
        <v>-3.2001615000000004E-2</v>
      </c>
      <c r="AH41" s="3">
        <v>-4.7689256999999999E-2</v>
      </c>
      <c r="AI41" s="3">
        <v>-1.6314565999999999E-2</v>
      </c>
      <c r="AJ41" s="3"/>
      <c r="AK41" s="3"/>
      <c r="AL41" s="3"/>
    </row>
    <row r="42" spans="1:38" x14ac:dyDescent="0.45">
      <c r="A42" s="2">
        <v>45434</v>
      </c>
      <c r="B42" s="3">
        <v>3.9892672999999997E-2</v>
      </c>
      <c r="C42" s="3">
        <v>9.7560999999999995E-2</v>
      </c>
      <c r="D42" s="3">
        <v>-8.2085129999999989E-3</v>
      </c>
      <c r="E42" s="3">
        <v>2.4096369999999999E-2</v>
      </c>
      <c r="F42" s="3">
        <v>6.8820833999999997E-2</v>
      </c>
      <c r="G42" s="3">
        <v>7.7348589999999995E-2</v>
      </c>
      <c r="H42" s="3">
        <v>5.5429340000000001E-2</v>
      </c>
      <c r="I42" s="3">
        <v>0.11297713999999999</v>
      </c>
      <c r="J42" s="3">
        <v>2.7591586000000001E-2</v>
      </c>
      <c r="K42" s="3">
        <v>2.9674529999999998E-2</v>
      </c>
      <c r="L42" s="3">
        <v>-4.5146346000000002E-3</v>
      </c>
      <c r="M42" s="3">
        <v>0.13308977999999999</v>
      </c>
      <c r="N42" s="3">
        <v>4.8237920000000004E-2</v>
      </c>
      <c r="O42" s="3">
        <v>2.6980162000000002E-2</v>
      </c>
      <c r="P42" s="3">
        <v>0.14182639</v>
      </c>
      <c r="Q42" s="3">
        <v>5.8343409999999998E-3</v>
      </c>
      <c r="R42" s="3">
        <v>1.5790701000000001E-2</v>
      </c>
      <c r="S42" s="3">
        <v>0.15035915</v>
      </c>
      <c r="T42" s="3">
        <v>-9.0277194999999998E-3</v>
      </c>
      <c r="U42" s="3">
        <v>4.6014786000000002E-2</v>
      </c>
      <c r="V42" s="3">
        <v>-2.9967725000000001E-2</v>
      </c>
      <c r="W42" s="3">
        <v>1.1504531E-2</v>
      </c>
      <c r="X42" s="3">
        <v>4.1860460000000002E-2</v>
      </c>
      <c r="Y42" s="3">
        <v>2.1948576000000001E-2</v>
      </c>
      <c r="Z42" s="3">
        <v>5.5957912999999998E-2</v>
      </c>
      <c r="AA42" s="3">
        <v>1.2654423999999999E-2</v>
      </c>
      <c r="AB42" s="3">
        <v>4.9077152999999998E-2</v>
      </c>
      <c r="AC42" s="3">
        <v>7.5176954000000004E-2</v>
      </c>
      <c r="AD42" s="3">
        <v>8.8080770000000003E-2</v>
      </c>
      <c r="AE42" s="3">
        <v>6.025374E-2</v>
      </c>
      <c r="AF42" s="3">
        <v>3.9532541999999997E-2</v>
      </c>
      <c r="AG42" s="3">
        <v>7.8227042999999996E-2</v>
      </c>
      <c r="AH42" s="3">
        <v>6.9179060000000001E-2</v>
      </c>
      <c r="AI42" s="3">
        <v>4.4861436000000005E-2</v>
      </c>
      <c r="AJ42" s="3"/>
      <c r="AK42" s="3"/>
      <c r="AL42" s="3"/>
    </row>
    <row r="43" spans="1:38" x14ac:dyDescent="0.45">
      <c r="A43" s="2">
        <v>45464</v>
      </c>
      <c r="B43" s="3">
        <v>-5.2891609999999999E-2</v>
      </c>
      <c r="C43" s="3">
        <v>-7.1677628000000007E-2</v>
      </c>
      <c r="D43" s="3">
        <v>-5.303484E-2</v>
      </c>
      <c r="E43" s="3">
        <v>-7.8439355000000002E-2</v>
      </c>
      <c r="F43" s="3">
        <v>-5.0426064000000007E-2</v>
      </c>
      <c r="G43" s="3">
        <v>-3.6814331999999998E-2</v>
      </c>
      <c r="H43" s="3">
        <v>-1.5473604E-2</v>
      </c>
      <c r="I43" s="3">
        <v>7.0546746000000007E-2</v>
      </c>
      <c r="J43" s="3">
        <v>-0.143287</v>
      </c>
      <c r="K43" s="3">
        <v>8.9867114999999994E-3</v>
      </c>
      <c r="L43" s="3">
        <v>-8.1258409999999989E-2</v>
      </c>
      <c r="M43" s="3">
        <v>3.5348892E-2</v>
      </c>
      <c r="N43" s="3">
        <v>-4.7925589999999997E-2</v>
      </c>
      <c r="O43" s="3">
        <v>2.6271342999999999E-2</v>
      </c>
      <c r="P43" s="3">
        <v>-5.6226788E-2</v>
      </c>
      <c r="Q43" s="3">
        <v>-1.9246936000000001E-3</v>
      </c>
      <c r="R43" s="3">
        <v>-4.6993375000000004E-2</v>
      </c>
      <c r="S43" s="3">
        <v>-2.8549910000000001E-2</v>
      </c>
      <c r="T43" s="3">
        <v>-1.8169284000000001E-2</v>
      </c>
      <c r="U43" s="3">
        <v>-2.1995246000000003E-2</v>
      </c>
      <c r="V43" s="3">
        <v>-1.106E-2</v>
      </c>
      <c r="W43" s="3">
        <v>2.5191069E-2</v>
      </c>
      <c r="X43" s="3">
        <v>8.3147289999999999E-3</v>
      </c>
      <c r="Y43" s="3">
        <v>-3.5214782E-2</v>
      </c>
      <c r="Z43" s="3">
        <v>-3.6021947999999998E-2</v>
      </c>
      <c r="AA43" s="3">
        <v>-2.2297381999999998E-2</v>
      </c>
      <c r="AB43" s="3">
        <v>2.6894688999999999E-2</v>
      </c>
      <c r="AC43" s="3">
        <v>-1.8437742999999999E-2</v>
      </c>
      <c r="AD43" s="3">
        <v>5.3696393999999995E-2</v>
      </c>
      <c r="AE43" s="3">
        <v>3.1026959999999999E-2</v>
      </c>
      <c r="AF43" s="3">
        <v>-6.0712756999999999E-2</v>
      </c>
      <c r="AG43" s="3">
        <v>1.2254715E-4</v>
      </c>
      <c r="AH43" s="3">
        <v>-1.1852979999999999E-2</v>
      </c>
      <c r="AI43" s="3">
        <v>-3.9765893999999996E-2</v>
      </c>
      <c r="AJ43" s="3"/>
      <c r="AK43" s="3"/>
      <c r="AL43" s="3"/>
    </row>
    <row r="44" spans="1:38" x14ac:dyDescent="0.45">
      <c r="A44" s="2">
        <v>45495</v>
      </c>
      <c r="B44" s="3">
        <v>4.6874285000000002E-3</v>
      </c>
      <c r="C44" s="3">
        <v>1.381433E-2</v>
      </c>
      <c r="D44" s="3">
        <v>8.2490679999999997E-2</v>
      </c>
      <c r="E44" s="3">
        <v>0.10237586999999999</v>
      </c>
      <c r="F44" s="3">
        <v>3.8753151999999999E-2</v>
      </c>
      <c r="G44" s="3">
        <v>1.8353223999999998E-2</v>
      </c>
      <c r="H44" s="3">
        <v>2.7099133000000001E-2</v>
      </c>
      <c r="I44" s="3">
        <v>-3.0752359999999999E-2</v>
      </c>
      <c r="J44" s="3">
        <v>4.1557549999999999E-2</v>
      </c>
      <c r="K44" s="3">
        <v>1.0288714999999999E-2</v>
      </c>
      <c r="L44" s="3">
        <v>2.8769135000000001E-2</v>
      </c>
      <c r="M44" s="3">
        <v>-8.8115334999999996E-3</v>
      </c>
      <c r="N44" s="3">
        <v>8.5726739999999996E-2</v>
      </c>
      <c r="O44" s="3">
        <v>3.5472749999999997E-2</v>
      </c>
      <c r="P44" s="3">
        <v>-8.1168413000000002E-3</v>
      </c>
      <c r="Q44" s="3">
        <v>4.4753429999999997E-2</v>
      </c>
      <c r="R44" s="3">
        <v>8.2132816000000004E-3</v>
      </c>
      <c r="S44" s="3">
        <v>4.2366859999999999E-2</v>
      </c>
      <c r="T44" s="3">
        <v>6.6765666000000001E-2</v>
      </c>
      <c r="U44" s="3">
        <v>-3.0522108000000003E-2</v>
      </c>
      <c r="V44" s="3">
        <v>3.0487776000000001E-2</v>
      </c>
      <c r="W44" s="3">
        <v>1.9508958E-2</v>
      </c>
      <c r="X44" s="3">
        <v>2.7082443000000001E-2</v>
      </c>
      <c r="Y44" s="3">
        <v>5.9194326000000005E-2</v>
      </c>
      <c r="Z44" s="3">
        <v>3.9430141000000002E-2</v>
      </c>
      <c r="AA44" s="3">
        <v>6.4990163000000004E-2</v>
      </c>
      <c r="AB44" s="3">
        <v>2.8400897999999997E-2</v>
      </c>
      <c r="AC44" s="3">
        <v>1.8798113000000002E-2</v>
      </c>
      <c r="AD44" s="3">
        <v>6.0706139999999994E-3</v>
      </c>
      <c r="AE44" s="3">
        <v>1.8622278999999999E-2</v>
      </c>
      <c r="AF44" s="3">
        <v>2.1104693000000001E-2</v>
      </c>
      <c r="AG44" s="3">
        <v>1.3823508999999999E-3</v>
      </c>
      <c r="AH44" s="3">
        <v>4.9653053000000003E-3</v>
      </c>
      <c r="AI44" s="3">
        <v>5.8872580000000001E-2</v>
      </c>
      <c r="AJ44" s="3"/>
      <c r="AK44" s="3"/>
      <c r="AL44" s="3"/>
    </row>
    <row r="45" spans="1:38" x14ac:dyDescent="0.45">
      <c r="A45" s="2">
        <v>45526</v>
      </c>
      <c r="B45" s="3">
        <v>-3.7713825999999999E-2</v>
      </c>
      <c r="C45" s="3">
        <v>6.0560703000000007E-3</v>
      </c>
      <c r="D45" s="3">
        <v>4.6706079999999997E-2</v>
      </c>
      <c r="E45" s="3">
        <v>7.0728899999999997E-2</v>
      </c>
      <c r="F45" s="3">
        <v>-1.1759877E-2</v>
      </c>
      <c r="G45" s="3">
        <v>-2.5328814999999998E-2</v>
      </c>
      <c r="H45" s="3">
        <v>7.8287124999999999E-2</v>
      </c>
      <c r="I45" s="3">
        <v>-1.5109181E-3</v>
      </c>
      <c r="J45" s="3">
        <v>-9.3042789999999986E-2</v>
      </c>
      <c r="K45" s="3">
        <v>-1.0031998E-2</v>
      </c>
      <c r="L45" s="3">
        <v>5.34513E-2</v>
      </c>
      <c r="M45" s="3">
        <v>5.7214500000000001E-2</v>
      </c>
      <c r="N45" s="3">
        <v>-2.2443354000000002E-2</v>
      </c>
      <c r="O45" s="3">
        <v>2.6487112000000003E-3</v>
      </c>
      <c r="P45" s="3">
        <v>-1.7068027999999999E-2</v>
      </c>
      <c r="Q45" s="3">
        <v>1.9219518000000001E-2</v>
      </c>
      <c r="R45" s="3">
        <v>1.8137812999999999E-2</v>
      </c>
      <c r="S45" s="3">
        <v>-0.14691192</v>
      </c>
      <c r="T45" s="3">
        <v>3.6856770000000004E-2</v>
      </c>
      <c r="U45" s="3">
        <v>2.8169035999999998E-2</v>
      </c>
      <c r="V45" s="3">
        <v>1.8935204E-3</v>
      </c>
      <c r="W45" s="3">
        <v>2.9671072999999999E-2</v>
      </c>
      <c r="X45" s="3">
        <v>9.5884799999999999E-3</v>
      </c>
      <c r="Y45" s="3">
        <v>2.0957232000000003E-2</v>
      </c>
      <c r="Z45" s="3">
        <v>1.5301228E-2</v>
      </c>
      <c r="AA45" s="3">
        <v>1.4221667999999999E-4</v>
      </c>
      <c r="AB45" s="3">
        <v>3.3019779999999999E-2</v>
      </c>
      <c r="AC45" s="3">
        <v>2.8235912000000002E-2</v>
      </c>
      <c r="AD45" s="3">
        <v>-1.5487671000000001E-2</v>
      </c>
      <c r="AE45" s="3">
        <v>2.8305054000000002E-3</v>
      </c>
      <c r="AF45" s="3">
        <v>3.572464E-3</v>
      </c>
      <c r="AG45" s="3">
        <v>-1.0845959000000001E-2</v>
      </c>
      <c r="AH45" s="3">
        <v>1.5069127E-2</v>
      </c>
      <c r="AI45" s="3">
        <v>-1.1801778999999998E-2</v>
      </c>
      <c r="AJ45" s="3"/>
      <c r="AK45" s="3"/>
      <c r="AL45" s="3"/>
    </row>
    <row r="46" spans="1:38" x14ac:dyDescent="0.45">
      <c r="A46" s="2">
        <v>45555</v>
      </c>
      <c r="B46" s="3">
        <v>-1.4949499999999999E-2</v>
      </c>
      <c r="C46" s="3">
        <v>-2.9345393000000001E-2</v>
      </c>
      <c r="D46" s="3">
        <v>8.924377E-2</v>
      </c>
      <c r="E46" s="3">
        <v>7.2643995000000003E-2</v>
      </c>
      <c r="F46" s="3">
        <v>-2.0517050999999998E-2</v>
      </c>
      <c r="G46" s="3">
        <v>3.3213377000000002E-2</v>
      </c>
      <c r="H46" s="3">
        <v>8.0625769999999986E-2</v>
      </c>
      <c r="I46" s="3">
        <v>5.4851769999999999E-3</v>
      </c>
      <c r="J46" s="3">
        <v>-2.2180676E-3</v>
      </c>
      <c r="K46" s="3">
        <v>-2.7790545999999999E-2</v>
      </c>
      <c r="L46" s="3">
        <v>-1.9153237E-2</v>
      </c>
      <c r="M46" s="3">
        <v>4.4631242999999994E-2</v>
      </c>
      <c r="N46" s="3">
        <v>-4.0236114999999996E-3</v>
      </c>
      <c r="O46" s="3">
        <v>3.4519196000000002E-2</v>
      </c>
      <c r="P46" s="3">
        <v>1.4747858000000001E-2</v>
      </c>
      <c r="Q46" s="3">
        <v>3.7142873E-2</v>
      </c>
      <c r="R46" s="3">
        <v>8.2518580000000008E-2</v>
      </c>
      <c r="S46" s="3">
        <v>-7.4527264000000008E-3</v>
      </c>
      <c r="T46" s="3">
        <v>3.2863855000000004E-2</v>
      </c>
      <c r="U46" s="3">
        <v>1.0475396999999999E-2</v>
      </c>
      <c r="V46" s="3">
        <v>-2.3627281000000001E-4</v>
      </c>
      <c r="W46" s="3">
        <v>2.8398395E-2</v>
      </c>
      <c r="X46" s="3">
        <v>4.9070000000000003E-2</v>
      </c>
      <c r="Y46" s="3">
        <v>4.1814565999999997E-2</v>
      </c>
      <c r="Z46" s="3">
        <v>2.6373625000000001E-2</v>
      </c>
      <c r="AA46" s="3">
        <v>1.3653755E-2</v>
      </c>
      <c r="AB46" s="3">
        <v>-1.8597424000000001E-2</v>
      </c>
      <c r="AC46" s="3">
        <v>7.0691110000000003E-3</v>
      </c>
      <c r="AD46" s="3">
        <v>1.5983938999999999E-2</v>
      </c>
      <c r="AE46" s="3">
        <v>2.4766325999999998E-2</v>
      </c>
      <c r="AF46" s="3">
        <v>9.4075200000000008E-3</v>
      </c>
      <c r="AG46" s="3">
        <v>-1.5550196000000001E-2</v>
      </c>
      <c r="AH46" s="3">
        <v>2.7987359999999999E-2</v>
      </c>
      <c r="AI46" s="3">
        <v>2.388537E-2</v>
      </c>
      <c r="AJ46" s="3"/>
      <c r="AK46" s="3"/>
      <c r="AL46" s="3"/>
    </row>
    <row r="47" spans="1:38" x14ac:dyDescent="0.45">
      <c r="A47" s="2">
        <v>45587</v>
      </c>
      <c r="B47" s="3">
        <v>0.21616077</v>
      </c>
      <c r="C47" s="3">
        <v>3.0232549000000001E-2</v>
      </c>
      <c r="D47" s="3">
        <v>-3.4928918000000003E-2</v>
      </c>
      <c r="E47" s="3">
        <v>-1.8764913000000001E-2</v>
      </c>
      <c r="F47" s="3">
        <v>-5.6137442999999995E-2</v>
      </c>
      <c r="G47" s="3">
        <v>8.6357119999999996E-2</v>
      </c>
      <c r="H47" s="3">
        <v>-4.2687416000000006E-2</v>
      </c>
      <c r="I47" s="3">
        <v>6.245291E-2</v>
      </c>
      <c r="J47" s="3">
        <v>-1.3894021999999999E-2</v>
      </c>
      <c r="K47" s="3">
        <v>-3.8534403000000002E-2</v>
      </c>
      <c r="L47" s="3">
        <v>-3.7341535000000002E-2</v>
      </c>
      <c r="M47" s="3">
        <v>4.3962836000000005E-2</v>
      </c>
      <c r="N47" s="3">
        <v>-3.8735747000000001E-2</v>
      </c>
      <c r="O47" s="3">
        <v>-5.3626180000000002E-2</v>
      </c>
      <c r="P47" s="3">
        <v>0.18096578999999999</v>
      </c>
      <c r="Q47" s="3">
        <v>1.8181801000000001E-2</v>
      </c>
      <c r="R47" s="3">
        <v>1.2833357E-2</v>
      </c>
      <c r="S47" s="3">
        <v>-0.10404939000000001</v>
      </c>
      <c r="T47" s="3">
        <v>-3.1168817999999997E-2</v>
      </c>
      <c r="U47" s="3">
        <v>-3.3492804000000001E-2</v>
      </c>
      <c r="V47" s="3">
        <v>-1.2759924000000001E-2</v>
      </c>
      <c r="W47" s="3">
        <v>-1.2182713000000001E-2</v>
      </c>
      <c r="X47" s="3">
        <v>-1.3957024E-2</v>
      </c>
      <c r="Y47" s="3">
        <v>1.7270684000000001E-2</v>
      </c>
      <c r="Z47" s="3">
        <v>2.7531385000000002E-3</v>
      </c>
      <c r="AA47" s="3">
        <v>-4.5039949999999995E-2</v>
      </c>
      <c r="AB47" s="3">
        <v>3.9482116999999998E-4</v>
      </c>
      <c r="AC47" s="3">
        <v>-1.2958943999999998E-2</v>
      </c>
      <c r="AD47" s="3">
        <v>2.9464722000000002E-2</v>
      </c>
      <c r="AE47" s="3">
        <v>2.6520014000000001E-2</v>
      </c>
      <c r="AF47" s="3">
        <v>-2.7204096000000001E-2</v>
      </c>
      <c r="AG47" s="3">
        <v>-2.8554081999999998E-2</v>
      </c>
      <c r="AH47" s="3">
        <v>-3.8589060000000001E-2</v>
      </c>
      <c r="AI47" s="3">
        <v>-5.7024956000000003E-3</v>
      </c>
      <c r="AJ47" s="3"/>
      <c r="AK47" s="3"/>
      <c r="AL47" s="3"/>
    </row>
    <row r="48" spans="1:38" x14ac:dyDescent="0.45">
      <c r="A48" s="2">
        <v>45618</v>
      </c>
      <c r="B48" s="3">
        <v>-4.1483936000000006E-2</v>
      </c>
      <c r="C48" s="3">
        <v>-5.4176089999999996E-2</v>
      </c>
      <c r="D48" s="3">
        <v>-0.10723858999999999</v>
      </c>
      <c r="E48" s="3">
        <v>-9.7009769999999995E-2</v>
      </c>
      <c r="F48" s="3">
        <v>-4.5273009999999995E-2</v>
      </c>
      <c r="G48" s="3">
        <v>-3.5952747E-2</v>
      </c>
      <c r="H48" s="3">
        <v>-5.7386636999999997E-2</v>
      </c>
      <c r="I48" s="3">
        <v>-3.9660037000000002E-2</v>
      </c>
      <c r="J48" s="3">
        <v>-5.8237789999999998E-2</v>
      </c>
      <c r="K48" s="3">
        <v>-4.5170839999999997E-2</v>
      </c>
      <c r="L48" s="3">
        <v>-2.0996450999999999E-2</v>
      </c>
      <c r="M48" s="3">
        <v>-5.3380785E-2</v>
      </c>
      <c r="N48" s="3">
        <v>-4.5631703999999995E-2</v>
      </c>
      <c r="O48" s="3">
        <v>-2.4464845999999998E-2</v>
      </c>
      <c r="P48" s="3">
        <v>-7.7411709999999995E-2</v>
      </c>
      <c r="Q48" s="3">
        <v>-1.0551930000000001E-2</v>
      </c>
      <c r="R48" s="3">
        <v>-1.6336501E-2</v>
      </c>
      <c r="S48" s="3">
        <v>8.0514790000000003E-2</v>
      </c>
      <c r="T48" s="3">
        <v>2.9490590000000001E-2</v>
      </c>
      <c r="U48" s="3">
        <v>-4.3729362000000001E-2</v>
      </c>
      <c r="V48" s="3">
        <v>-4.5475960000000001E-3</v>
      </c>
      <c r="W48" s="3">
        <v>-1.4594078E-2</v>
      </c>
      <c r="X48" s="3">
        <v>6.8860054000000007E-3</v>
      </c>
      <c r="Y48" s="3">
        <v>2.7498841E-2</v>
      </c>
      <c r="Z48" s="3">
        <v>-4.1793766000000003E-2</v>
      </c>
      <c r="AA48" s="3">
        <v>-1.6162395E-3</v>
      </c>
      <c r="AB48" s="3">
        <v>-6.7087649999999999E-2</v>
      </c>
      <c r="AC48" s="3">
        <v>-3.8019775999999998E-2</v>
      </c>
      <c r="AD48" s="3">
        <v>1.9820213E-2</v>
      </c>
      <c r="AE48" s="3">
        <v>2.0897627000000002E-2</v>
      </c>
      <c r="AF48" s="3">
        <v>-7.2242260000000003E-2</v>
      </c>
      <c r="AG48" s="3">
        <v>-6.7125320000000002E-2</v>
      </c>
      <c r="AH48" s="3">
        <v>-6.0822487000000001E-2</v>
      </c>
      <c r="AI48" s="3">
        <v>-6.1522427000000005E-2</v>
      </c>
      <c r="AJ48" s="3"/>
      <c r="AK48" s="3"/>
      <c r="AL48" s="3"/>
    </row>
    <row r="49" spans="1:38" x14ac:dyDescent="0.45">
      <c r="A49" s="2">
        <v>45646</v>
      </c>
      <c r="B49" s="3">
        <v>1.7311573E-2</v>
      </c>
      <c r="C49" s="3">
        <v>4.9171448000000003E-3</v>
      </c>
      <c r="D49" s="3">
        <v>-6.5558195E-2</v>
      </c>
      <c r="E49" s="3">
        <v>-3.7907362E-2</v>
      </c>
      <c r="F49" s="3">
        <v>1.7712116E-2</v>
      </c>
      <c r="G49" s="3">
        <v>-4.2674960000000005E-2</v>
      </c>
      <c r="H49" s="3">
        <v>-5.1204559999999998E-3</v>
      </c>
      <c r="I49" s="3">
        <v>-5.7760480000000006E-3</v>
      </c>
      <c r="J49" s="3">
        <v>5.913377E-3</v>
      </c>
      <c r="K49" s="3">
        <v>-7.7785489999999999E-2</v>
      </c>
      <c r="L49" s="3">
        <v>-0.12248034000000001</v>
      </c>
      <c r="M49" s="3">
        <v>-3.8395166000000001E-2</v>
      </c>
      <c r="N49" s="3">
        <v>5.5584670000000003E-2</v>
      </c>
      <c r="O49" s="3">
        <v>-7.7272059999999995E-3</v>
      </c>
      <c r="P49" s="3">
        <v>3.2461404999999999E-2</v>
      </c>
      <c r="Q49" s="3">
        <v>-1.1556149E-2</v>
      </c>
      <c r="R49" s="3">
        <v>-5.6164082999999997E-2</v>
      </c>
      <c r="S49" s="3">
        <v>-3.2860636999999999E-3</v>
      </c>
      <c r="T49" s="3">
        <v>6.1762810000000001E-2</v>
      </c>
      <c r="U49" s="3">
        <v>5.1767825999999998E-3</v>
      </c>
      <c r="V49" s="3">
        <v>-5.4759979999999993E-3</v>
      </c>
      <c r="W49" s="3">
        <v>-4.6655835999999999E-2</v>
      </c>
      <c r="X49" s="3">
        <v>-8.1718740000000012E-2</v>
      </c>
      <c r="Y49" s="3">
        <v>-5.8275279999999999E-2</v>
      </c>
      <c r="Z49" s="3">
        <v>1.8783807999999999E-2</v>
      </c>
      <c r="AA49" s="3">
        <v>-1.032722E-2</v>
      </c>
      <c r="AB49" s="3">
        <v>-2.8764843999999998E-2</v>
      </c>
      <c r="AC49" s="3">
        <v>-2.1973789000000001E-2</v>
      </c>
      <c r="AD49" s="3">
        <v>2.5445223000000003E-2</v>
      </c>
      <c r="AE49" s="3">
        <v>-4.0208100000000005E-3</v>
      </c>
      <c r="AF49" s="3">
        <v>2.1377802000000002E-3</v>
      </c>
      <c r="AG49" s="3">
        <v>8.2243679999999993E-3</v>
      </c>
      <c r="AH49" s="3">
        <v>-2.0188807999999999E-2</v>
      </c>
      <c r="AI49" s="3">
        <v>4.0413139999999998E-3</v>
      </c>
      <c r="AJ49" s="3"/>
      <c r="AK49" s="3"/>
      <c r="AL49" s="3"/>
    </row>
    <row r="50" spans="1:38" x14ac:dyDescent="0.45">
      <c r="A50" s="2">
        <v>45679</v>
      </c>
      <c r="B50" s="3">
        <v>-3.1459927999999998E-2</v>
      </c>
      <c r="C50" s="3">
        <v>4.8451066000000001E-2</v>
      </c>
      <c r="D50" s="3">
        <v>2.3291349999999999E-2</v>
      </c>
      <c r="E50" s="3">
        <v>-5.2483080000000001E-3</v>
      </c>
      <c r="F50" s="3">
        <v>9.7769259999999997E-2</v>
      </c>
      <c r="G50" s="3">
        <v>6.1762329999999997E-3</v>
      </c>
      <c r="H50" s="3">
        <v>1.0951995999999999E-2</v>
      </c>
      <c r="I50" s="3">
        <v>2.1639109E-2</v>
      </c>
      <c r="J50" s="3">
        <v>7.7757834999999994E-3</v>
      </c>
      <c r="K50" s="3">
        <v>7.2028994999999998E-2</v>
      </c>
      <c r="L50" s="3">
        <v>4.7206640000000001E-2</v>
      </c>
      <c r="M50" s="3">
        <v>-7.7785254000000007E-3</v>
      </c>
      <c r="N50" s="3">
        <v>4.9888490000000001E-2</v>
      </c>
      <c r="O50" s="3">
        <v>-5.2414836999999999E-2</v>
      </c>
      <c r="P50" s="3">
        <v>-1.6772746999999998E-2</v>
      </c>
      <c r="Q50" s="3">
        <v>6.1831474000000001E-3</v>
      </c>
      <c r="R50" s="3">
        <v>-2.4173856E-3</v>
      </c>
      <c r="S50" s="3">
        <v>2.3995519E-2</v>
      </c>
      <c r="T50" s="3">
        <v>5.3406954000000006E-2</v>
      </c>
      <c r="U50" s="3">
        <v>-2.4463533999999999E-2</v>
      </c>
      <c r="V50" s="3">
        <v>3.5379290000000001E-2</v>
      </c>
      <c r="W50" s="3">
        <v>8.8691710000000003E-3</v>
      </c>
      <c r="X50" s="3">
        <v>3.9545535999999999E-2</v>
      </c>
      <c r="Y50" s="3">
        <v>2.829957E-2</v>
      </c>
      <c r="Z50" s="3">
        <v>6.5000057E-2</v>
      </c>
      <c r="AA50" s="3">
        <v>1.5707611999999999E-2</v>
      </c>
      <c r="AB50" s="3">
        <v>5.4878115999999998E-2</v>
      </c>
      <c r="AC50" s="3">
        <v>3.5915731999999999E-2</v>
      </c>
      <c r="AD50" s="3">
        <v>2.6411294999999998E-2</v>
      </c>
      <c r="AE50" s="3">
        <v>2.586484E-2</v>
      </c>
      <c r="AF50" s="3">
        <v>7.4915886000000001E-2</v>
      </c>
      <c r="AG50" s="3">
        <v>4.2029977000000003E-2</v>
      </c>
      <c r="AH50" s="3">
        <v>7.1982980000000002E-2</v>
      </c>
      <c r="AI50" s="3">
        <v>6.3764095000000007E-2</v>
      </c>
      <c r="AJ50" s="3"/>
      <c r="AK50" s="3"/>
      <c r="AL50" s="3"/>
    </row>
    <row r="51" spans="1:38" x14ac:dyDescent="0.45">
      <c r="A51" s="2">
        <v>45709</v>
      </c>
      <c r="B51" s="3">
        <v>4.8540115000000002E-2</v>
      </c>
      <c r="C51" s="3">
        <v>8.5984820000000003E-2</v>
      </c>
      <c r="D51" s="3">
        <v>-6.4327419999999996E-2</v>
      </c>
      <c r="E51" s="3">
        <v>-9.3343854000000007E-3</v>
      </c>
      <c r="F51" s="3">
        <v>0.12364901</v>
      </c>
      <c r="G51" s="3">
        <v>1.6214012999999999E-2</v>
      </c>
      <c r="H51" s="3">
        <v>9.5833539999999988E-3</v>
      </c>
      <c r="I51" s="3">
        <v>-7.4976087E-3</v>
      </c>
      <c r="J51" s="3">
        <v>5.5634499999999996E-2</v>
      </c>
      <c r="K51" s="3">
        <v>2.6376724000000001E-2</v>
      </c>
      <c r="L51" s="3">
        <v>5.3349852999999996E-2</v>
      </c>
      <c r="M51" s="3">
        <v>7.4014306000000002E-2</v>
      </c>
      <c r="N51" s="3">
        <v>5.0706983000000004E-2</v>
      </c>
      <c r="O51" s="3">
        <v>-2.6076614999999997E-2</v>
      </c>
      <c r="P51" s="3">
        <v>0.2042755</v>
      </c>
      <c r="Q51" s="3">
        <v>3.9105414999999998E-3</v>
      </c>
      <c r="R51" s="3">
        <v>-8.4860209999999991E-2</v>
      </c>
      <c r="S51" s="3">
        <v>-8.2833820000000002E-2</v>
      </c>
      <c r="T51" s="3">
        <v>1.3403176999999999E-2</v>
      </c>
      <c r="U51" s="3">
        <v>3.3875941999999999E-2</v>
      </c>
      <c r="V51" s="3">
        <v>4.7612190000000001E-4</v>
      </c>
      <c r="W51" s="3">
        <v>-2.8571426999999996E-2</v>
      </c>
      <c r="X51" s="3">
        <v>-6.4750909999999997E-3</v>
      </c>
      <c r="Y51" s="3">
        <v>1.1933684E-2</v>
      </c>
      <c r="Z51" s="3">
        <v>5.3697109999999999E-2</v>
      </c>
      <c r="AA51" s="3">
        <v>2.7360559000000003E-2</v>
      </c>
      <c r="AB51" s="3">
        <v>6.5648200000000004E-2</v>
      </c>
      <c r="AC51" s="3">
        <v>4.1833759999999998E-2</v>
      </c>
      <c r="AD51" s="3">
        <v>-1.0216177E-2</v>
      </c>
      <c r="AE51" s="3">
        <v>-1.0718285999999999E-2</v>
      </c>
      <c r="AF51" s="3">
        <v>3.8371085999999999E-2</v>
      </c>
      <c r="AG51" s="3">
        <v>3.3469199999999998E-2</v>
      </c>
      <c r="AH51" s="3">
        <v>8.9865210000000001E-2</v>
      </c>
      <c r="AI51" s="3">
        <v>7.2088720000000009E-2</v>
      </c>
      <c r="AJ51" s="3"/>
      <c r="AK51" s="3"/>
      <c r="AL51" s="3"/>
    </row>
    <row r="52" spans="1:38" x14ac:dyDescent="0.45">
      <c r="A52" s="2">
        <v>45737</v>
      </c>
      <c r="B52" s="3">
        <v>-1.9491791999999997E-2</v>
      </c>
      <c r="C52" s="3">
        <v>5.6853769999999998E-2</v>
      </c>
      <c r="D52" s="3">
        <v>-0.11250001</v>
      </c>
      <c r="E52" s="3">
        <v>5.6534290000000001E-2</v>
      </c>
      <c r="F52" s="3">
        <v>8.2339289999999996E-2</v>
      </c>
      <c r="G52" s="3">
        <v>8.6882479999999998E-2</v>
      </c>
      <c r="H52" s="3">
        <v>-4.4572830000000001E-2</v>
      </c>
      <c r="I52" s="3">
        <v>-5.1558075000000002E-2</v>
      </c>
      <c r="J52" s="3">
        <v>-5.5780410000000006E-3</v>
      </c>
      <c r="K52" s="3">
        <v>-1.2675822000000002E-2</v>
      </c>
      <c r="L52" s="3">
        <v>4.3188095000000003E-2</v>
      </c>
      <c r="M52" s="3">
        <v>2.1897793000000002E-2</v>
      </c>
      <c r="N52" s="3">
        <v>9.025525999999999E-2</v>
      </c>
      <c r="O52" s="3">
        <v>4.4016239999999998E-2</v>
      </c>
      <c r="P52" s="3">
        <v>-2.1516679999999998E-3</v>
      </c>
      <c r="Q52" s="3">
        <v>1.1129379000000001E-3</v>
      </c>
      <c r="R52" s="3">
        <v>-4.7824980000000003E-2</v>
      </c>
      <c r="S52" s="3">
        <v>-8.5858580000000004E-2</v>
      </c>
      <c r="T52" s="3">
        <v>-3.2202362999999998E-2</v>
      </c>
      <c r="U52" s="3">
        <v>6.7234040000000009E-2</v>
      </c>
      <c r="V52" s="3">
        <v>-4.0209349999999998E-2</v>
      </c>
      <c r="W52" s="3">
        <v>-5.3846179999999993E-2</v>
      </c>
      <c r="X52" s="3">
        <v>-4.5621156999999996E-2</v>
      </c>
      <c r="Y52" s="3">
        <v>-1.6125082999999998E-2</v>
      </c>
      <c r="Z52" s="3">
        <v>6.0707329999999997E-2</v>
      </c>
      <c r="AA52" s="3">
        <v>3.242159E-2</v>
      </c>
      <c r="AB52" s="3">
        <v>2.7896166E-2</v>
      </c>
      <c r="AC52" s="3">
        <v>3.2178163999999995E-2</v>
      </c>
      <c r="AD52" s="3">
        <v>-8.5994539999999994E-2</v>
      </c>
      <c r="AE52" s="3">
        <v>-5.7113230000000001E-2</v>
      </c>
      <c r="AF52" s="3">
        <v>2.8406262000000002E-2</v>
      </c>
      <c r="AG52" s="3">
        <v>1.6608237999999999E-3</v>
      </c>
      <c r="AH52" s="3">
        <v>8.4745884E-3</v>
      </c>
      <c r="AI52" s="3">
        <v>5.7881830000000002E-2</v>
      </c>
      <c r="AJ52" s="3"/>
      <c r="AK52" s="3"/>
      <c r="AL52" s="3"/>
    </row>
    <row r="53" spans="1:38" x14ac:dyDescent="0.45">
      <c r="A53" s="2">
        <v>45769</v>
      </c>
      <c r="B53" s="3">
        <v>-3.5853744E-2</v>
      </c>
      <c r="C53" s="3">
        <v>2.0132064999999998E-2</v>
      </c>
      <c r="D53" s="3">
        <v>4.7375199999999999E-2</v>
      </c>
      <c r="E53" s="3">
        <v>-9.3060136000000012E-3</v>
      </c>
      <c r="F53" s="3">
        <v>3.9815187000000002E-2</v>
      </c>
      <c r="G53" s="3">
        <v>-1.8450557999999999E-2</v>
      </c>
      <c r="H53" s="3">
        <v>-1.0367154999999999E-2</v>
      </c>
      <c r="I53" s="3">
        <v>-0.11728394</v>
      </c>
      <c r="J53" s="3">
        <v>7.3694350000000006E-2</v>
      </c>
      <c r="K53" s="3">
        <v>-3.6053478999999999E-2</v>
      </c>
      <c r="L53" s="3">
        <v>-2.6721834999999999E-2</v>
      </c>
      <c r="M53" s="3">
        <v>1.1764765E-2</v>
      </c>
      <c r="N53" s="3">
        <v>4.3839097E-2</v>
      </c>
      <c r="O53" s="3">
        <v>3.9440392999999997E-2</v>
      </c>
      <c r="P53" s="3">
        <v>-8.5354860000000005E-2</v>
      </c>
      <c r="Q53" s="3">
        <v>-4.4469237E-3</v>
      </c>
      <c r="R53" s="3">
        <v>-3.5866857000000002E-2</v>
      </c>
      <c r="S53" s="3">
        <v>2.8924227E-2</v>
      </c>
      <c r="T53" s="3">
        <v>1.0695219000000001E-2</v>
      </c>
      <c r="U53" s="3">
        <v>-7.1770310000000004E-2</v>
      </c>
      <c r="V53" s="3">
        <v>1.7352104E-3</v>
      </c>
      <c r="W53" s="3">
        <v>3.0487894999999997E-2</v>
      </c>
      <c r="X53" s="3">
        <v>2.2620558999999998E-2</v>
      </c>
      <c r="Y53" s="3">
        <v>1.2475490000000001E-2</v>
      </c>
      <c r="Z53" s="3">
        <v>-1.5752316000000001E-3</v>
      </c>
      <c r="AA53" s="3">
        <v>-2.887994E-2</v>
      </c>
      <c r="AB53" s="3">
        <v>-1.1496424999999999E-2</v>
      </c>
      <c r="AC53" s="3">
        <v>1.3324022E-3</v>
      </c>
      <c r="AD53" s="3">
        <v>-7.4269294999999999E-2</v>
      </c>
      <c r="AE53" s="3">
        <v>-6.512641999999999E-2</v>
      </c>
      <c r="AF53" s="3">
        <v>-2.6154995E-2</v>
      </c>
      <c r="AG53" s="3">
        <v>-2.3834228999999998E-2</v>
      </c>
      <c r="AH53" s="3">
        <v>-3.0660867999999997E-2</v>
      </c>
      <c r="AI53" s="3">
        <v>-3.2595992000000002E-3</v>
      </c>
      <c r="AJ53" s="3"/>
      <c r="AK53" s="3"/>
      <c r="AL53" s="3"/>
    </row>
    <row r="54" spans="1:38" x14ac:dyDescent="0.45">
      <c r="A54" s="2">
        <v>45799</v>
      </c>
      <c r="B54" s="3">
        <v>4.1973469999999999E-2</v>
      </c>
      <c r="C54" s="3">
        <v>5.5807114000000005E-2</v>
      </c>
      <c r="D54" s="3">
        <v>0.15586793999999998</v>
      </c>
      <c r="E54" s="3">
        <v>6.7319035999999999E-2</v>
      </c>
      <c r="F54" s="3">
        <v>2.5299190999999999E-2</v>
      </c>
      <c r="G54" s="3">
        <v>4.3890833999999997E-2</v>
      </c>
      <c r="H54" s="3">
        <v>5.8053255000000005E-2</v>
      </c>
      <c r="I54" s="3">
        <v>0.21136928999999999</v>
      </c>
      <c r="J54" s="3">
        <v>7.7823877E-2</v>
      </c>
      <c r="K54" s="3">
        <v>6.3492060000000003E-2</v>
      </c>
      <c r="L54" s="3">
        <v>6.4191819999999997E-2</v>
      </c>
      <c r="M54" s="3">
        <v>6.7898630000000001E-2</v>
      </c>
      <c r="N54" s="3">
        <v>9.8471050000000004E-2</v>
      </c>
      <c r="O54" s="3">
        <v>5.4205655999999998E-3</v>
      </c>
      <c r="P54" s="3">
        <v>7.5638532999999994E-2</v>
      </c>
      <c r="Q54" s="3">
        <v>6.7001699999999997E-2</v>
      </c>
      <c r="R54" s="3">
        <v>2.5628209999999998E-2</v>
      </c>
      <c r="S54" s="3">
        <v>1.2634993000000001E-3</v>
      </c>
      <c r="T54" s="3">
        <v>8.9359279999999999E-2</v>
      </c>
      <c r="U54" s="3">
        <v>0.13144326000000001</v>
      </c>
      <c r="V54" s="3">
        <v>-2.7963399999999999E-2</v>
      </c>
      <c r="W54" s="3">
        <v>4.6061040000000004E-2</v>
      </c>
      <c r="X54" s="3">
        <v>6.0517550000000003E-2</v>
      </c>
      <c r="Y54" s="3">
        <v>6.3058734000000005E-2</v>
      </c>
      <c r="Z54" s="3">
        <v>9.4925040000000002E-2</v>
      </c>
      <c r="AA54" s="3">
        <v>4.4752479999999997E-2</v>
      </c>
      <c r="AB54" s="3">
        <v>4.4232607E-2</v>
      </c>
      <c r="AC54" s="3">
        <v>5.188918E-2</v>
      </c>
      <c r="AD54" s="3">
        <v>0.15640746999999999</v>
      </c>
      <c r="AE54" s="3">
        <v>0.10590802999999999</v>
      </c>
      <c r="AF54" s="3">
        <v>7.0532203000000002E-2</v>
      </c>
      <c r="AG54" s="3">
        <v>0.11549901999999999</v>
      </c>
      <c r="AH54" s="3">
        <v>5.6466700000000002E-2</v>
      </c>
      <c r="AI54" s="3">
        <v>0.11048818000000001</v>
      </c>
      <c r="AJ54" s="3"/>
      <c r="AK54" s="3"/>
      <c r="AL54" s="3"/>
    </row>
    <row r="55" spans="1:38" x14ac:dyDescent="0.45">
      <c r="A55" s="2">
        <v>45828</v>
      </c>
      <c r="B55" s="3">
        <v>-9.3178749999999998E-3</v>
      </c>
      <c r="C55" s="3">
        <v>-5.7743906999999997E-2</v>
      </c>
      <c r="D55" s="3">
        <v>-6.7035856000000005E-2</v>
      </c>
      <c r="E55" s="3">
        <v>-1.6654372000000001E-2</v>
      </c>
      <c r="F55" s="3">
        <v>8.2886220000000007E-3</v>
      </c>
      <c r="G55" s="3">
        <v>4.8167350000000005E-2</v>
      </c>
      <c r="H55" s="3">
        <v>-1.3741313999999999E-2</v>
      </c>
      <c r="I55" s="3">
        <v>2.1229029E-2</v>
      </c>
      <c r="J55" s="3">
        <v>-1.1159778E-2</v>
      </c>
      <c r="K55" s="3">
        <v>0.17567337</v>
      </c>
      <c r="L55" s="3">
        <v>2.3747801999999998E-2</v>
      </c>
      <c r="M55" s="3">
        <v>1.7699003000000001E-2</v>
      </c>
      <c r="N55" s="3">
        <v>1.5404582E-2</v>
      </c>
      <c r="O55" s="3">
        <v>2.0450354000000003E-3</v>
      </c>
      <c r="P55" s="3">
        <v>-1.3317644999999999E-2</v>
      </c>
      <c r="Q55" s="3">
        <v>-5.0441209999999993E-2</v>
      </c>
      <c r="R55" s="3">
        <v>-9.0116499999999988E-2</v>
      </c>
      <c r="S55" s="3">
        <v>-4.0504990000000005E-2</v>
      </c>
      <c r="T55" s="3">
        <v>-3.6923945E-2</v>
      </c>
      <c r="U55" s="3">
        <v>1.3287782999999999E-2</v>
      </c>
      <c r="V55" s="3">
        <v>-5.3517759999999998E-2</v>
      </c>
      <c r="W55" s="3">
        <v>-1.2801886E-3</v>
      </c>
      <c r="X55" s="3">
        <v>2.0823120000000001E-2</v>
      </c>
      <c r="Y55" s="3">
        <v>3.1852722E-2</v>
      </c>
      <c r="Z55" s="3">
        <v>-1.5219331000000001E-2</v>
      </c>
      <c r="AA55" s="3">
        <v>-4.1532515999999998E-4</v>
      </c>
      <c r="AB55" s="3">
        <v>-1.9854784E-2</v>
      </c>
      <c r="AC55" s="3">
        <v>4.2068957999999998E-3</v>
      </c>
      <c r="AD55" s="3">
        <v>2.4961114000000003E-2</v>
      </c>
      <c r="AE55" s="3">
        <v>2.2211194E-2</v>
      </c>
      <c r="AF55" s="3">
        <v>-9.9990369999999988E-3</v>
      </c>
      <c r="AG55" s="3">
        <v>8.6474419999999993E-4</v>
      </c>
      <c r="AH55" s="3">
        <v>-6.5267085999999993E-3</v>
      </c>
      <c r="AI55" s="3">
        <v>-7.8500510000000003E-3</v>
      </c>
      <c r="AJ55" s="3"/>
      <c r="AK55" s="3"/>
      <c r="AL55" s="3"/>
    </row>
    <row r="56" spans="1:38" x14ac:dyDescent="0.45">
      <c r="A56" s="2">
        <v>45860</v>
      </c>
      <c r="B56" s="3">
        <v>8.7376960000000004E-2</v>
      </c>
      <c r="C56" s="3">
        <v>9.6344949999999999E-3</v>
      </c>
      <c r="D56" s="3">
        <v>2.2118688000000001E-2</v>
      </c>
      <c r="E56" s="3">
        <v>7.5471399999999997E-4</v>
      </c>
      <c r="F56" s="3">
        <v>0.10800815</v>
      </c>
      <c r="G56" s="3">
        <v>5.2463889999999999E-2</v>
      </c>
      <c r="H56" s="3">
        <v>2.4775743000000003E-2</v>
      </c>
      <c r="I56" s="3">
        <v>7.0751309999999998E-2</v>
      </c>
      <c r="J56" s="3">
        <v>1.5832067000000002E-2</v>
      </c>
      <c r="K56" s="3">
        <v>6.3621759999999999E-2</v>
      </c>
      <c r="L56" s="3">
        <v>-2.4213969999999998E-2</v>
      </c>
      <c r="M56" s="3">
        <v>7.7517867000000004E-2</v>
      </c>
      <c r="N56" s="3">
        <v>0.13986456</v>
      </c>
      <c r="O56" s="3">
        <v>1.3172507E-2</v>
      </c>
      <c r="P56" s="3">
        <v>9.6542119999999995E-2</v>
      </c>
      <c r="Q56" s="3">
        <v>9.1422199999999995E-2</v>
      </c>
      <c r="R56" s="3">
        <v>0.11625755</v>
      </c>
      <c r="S56" s="3">
        <v>0.13050734999999999</v>
      </c>
      <c r="T56" s="3">
        <v>0.14687132999999999</v>
      </c>
      <c r="U56" s="3">
        <v>0.18546271999999997</v>
      </c>
      <c r="V56" s="3">
        <v>2.5711179000000001E-2</v>
      </c>
      <c r="W56" s="3">
        <v>3.4865499000000001E-2</v>
      </c>
      <c r="X56" s="3">
        <v>3.9138912999999997E-2</v>
      </c>
      <c r="Y56" s="3">
        <v>4.4124245999999999E-2</v>
      </c>
      <c r="Z56" s="3">
        <v>5.1561712999999995E-2</v>
      </c>
      <c r="AA56" s="3">
        <v>1.7001151999999999E-2</v>
      </c>
      <c r="AB56" s="3">
        <v>4.3280124999999996E-2</v>
      </c>
      <c r="AC56" s="3">
        <v>3.9331554999999997E-2</v>
      </c>
      <c r="AD56" s="3">
        <v>6.6518544999999998E-2</v>
      </c>
      <c r="AE56" s="3">
        <v>5.8187959999999997E-2</v>
      </c>
      <c r="AF56" s="3">
        <v>4.5289396999999995E-2</v>
      </c>
      <c r="AG56" s="3">
        <v>2.846837E-2</v>
      </c>
      <c r="AH56" s="3">
        <v>3.1956076999999999E-2</v>
      </c>
      <c r="AI56" s="3">
        <v>4.7238946000000004E-2</v>
      </c>
      <c r="AJ56" s="3"/>
      <c r="AK56" s="3"/>
      <c r="AL56" s="3"/>
    </row>
    <row r="57" spans="1:38" x14ac:dyDescent="0.45">
      <c r="A57" s="2">
        <v>45891</v>
      </c>
      <c r="B57" s="3">
        <v>7.7226996000000006E-2</v>
      </c>
      <c r="C57" s="3">
        <v>7.9302429999999993E-2</v>
      </c>
      <c r="D57" s="3">
        <v>6.2072873000000001E-2</v>
      </c>
      <c r="E57" s="3">
        <v>4.1477679999999996E-3</v>
      </c>
      <c r="F57" s="3">
        <v>-6.9844720000000002E-3</v>
      </c>
      <c r="G57" s="3">
        <v>7.4268460000000008E-2</v>
      </c>
      <c r="H57" s="3">
        <v>7.2113394999999997E-2</v>
      </c>
      <c r="I57" s="3">
        <v>1.6008138999999998E-2</v>
      </c>
      <c r="J57" s="3">
        <v>6.3865779999999997E-2</v>
      </c>
      <c r="K57" s="3">
        <v>8.5060595999999992E-3</v>
      </c>
      <c r="L57" s="3">
        <v>5.9629679999999997E-2</v>
      </c>
      <c r="M57" s="3">
        <v>5.4897666000000005E-2</v>
      </c>
      <c r="N57" s="3">
        <v>7.4312210000000004E-2</v>
      </c>
      <c r="O57" s="3">
        <v>-1.8860996000000001E-2</v>
      </c>
      <c r="P57" s="3">
        <v>4.9518465999999997E-2</v>
      </c>
      <c r="Q57" s="3">
        <v>4.3929695999999997E-2</v>
      </c>
      <c r="R57" s="3">
        <v>5.1722289999999997E-2</v>
      </c>
      <c r="S57" s="3">
        <v>5.3734900000000002E-2</v>
      </c>
      <c r="T57" s="3">
        <v>8.3353520000000007E-3</v>
      </c>
      <c r="U57" s="3">
        <v>9.734524E-2</v>
      </c>
      <c r="V57" s="3">
        <v>1.6800045999999999E-2</v>
      </c>
      <c r="W57" s="3">
        <v>-8.0618860000000007E-3</v>
      </c>
      <c r="X57" s="3">
        <v>2.6741982000000001E-2</v>
      </c>
      <c r="Y57" s="3">
        <v>1.9961715000000001E-2</v>
      </c>
      <c r="Z57" s="3">
        <v>5.657792E-3</v>
      </c>
      <c r="AA57" s="3">
        <v>9.646463000000001E-2</v>
      </c>
      <c r="AB57" s="3">
        <v>1.2372612999999999E-2</v>
      </c>
      <c r="AC57" s="3">
        <v>4.0811300000000002E-2</v>
      </c>
      <c r="AD57" s="3">
        <v>1.9100189E-2</v>
      </c>
      <c r="AE57" s="3">
        <v>2.6158451999999999E-2</v>
      </c>
      <c r="AF57" s="3">
        <v>2.3633003E-2</v>
      </c>
      <c r="AG57" s="3">
        <v>1.5326976999999999E-2</v>
      </c>
      <c r="AH57" s="3">
        <v>4.4901609999999995E-2</v>
      </c>
      <c r="AI57" s="3">
        <v>7.8063846000000006E-2</v>
      </c>
      <c r="AJ57" s="3"/>
      <c r="AK57" s="3"/>
      <c r="AL57" s="3"/>
    </row>
    <row r="58" spans="1:38" x14ac:dyDescent="0.45">
      <c r="A58" s="2">
        <v>45922</v>
      </c>
      <c r="B58" s="3">
        <v>2.9348849999999999E-2</v>
      </c>
      <c r="C58" s="3">
        <v>2.1341443000000002E-2</v>
      </c>
      <c r="D58" s="3">
        <v>-4.932976E-2</v>
      </c>
      <c r="E58" s="3">
        <v>-1.1265277999999998E-3</v>
      </c>
      <c r="F58" s="3">
        <v>-2.1406770000000002E-2</v>
      </c>
      <c r="G58" s="3">
        <v>0.10069513000000001</v>
      </c>
      <c r="H58" s="3">
        <v>2.7216673000000002E-3</v>
      </c>
      <c r="I58" s="3">
        <v>7.3080779999999998E-2</v>
      </c>
      <c r="J58" s="3">
        <v>6.5286635999999995E-2</v>
      </c>
      <c r="K58" s="3">
        <v>0.10950888</v>
      </c>
      <c r="L58" s="3">
        <v>7.6197147000000007E-2</v>
      </c>
      <c r="M58" s="3">
        <v>6.2244890000000004E-2</v>
      </c>
      <c r="N58" s="3">
        <v>-1.8713534E-2</v>
      </c>
      <c r="O58" s="3">
        <v>-1.4931559999999998E-3</v>
      </c>
      <c r="P58" s="3">
        <v>4.6451209999999993E-2</v>
      </c>
      <c r="Q58" s="3">
        <v>-1.2362778000000001E-2</v>
      </c>
      <c r="R58" s="3">
        <v>2.3256898000000002E-2</v>
      </c>
      <c r="S58" s="3">
        <v>-3.0819773999999998E-3</v>
      </c>
      <c r="T58" s="3">
        <v>-2.0541071999999997E-2</v>
      </c>
      <c r="U58" s="3">
        <v>9.7926855000000004E-3</v>
      </c>
      <c r="V58" s="3">
        <v>1.3113021999999999E-3</v>
      </c>
      <c r="W58" s="3">
        <v>1.1015057999999999E-2</v>
      </c>
      <c r="X58" s="3">
        <v>-1.2472510000000001E-2</v>
      </c>
      <c r="Y58" s="3">
        <v>5.9337974000000002E-2</v>
      </c>
      <c r="Z58" s="3">
        <v>-3.3286392999999997E-2</v>
      </c>
      <c r="AA58" s="3">
        <v>1.5371203E-2</v>
      </c>
      <c r="AB58" s="3">
        <v>-1.2580752000000001E-3</v>
      </c>
      <c r="AC58" s="3">
        <v>-1.1169254999999999E-2</v>
      </c>
      <c r="AD58" s="3">
        <v>5.4065823999999998E-2</v>
      </c>
      <c r="AE58" s="3">
        <v>3.6214827999999998E-2</v>
      </c>
      <c r="AF58" s="3">
        <v>-9.0538860000000006E-3</v>
      </c>
      <c r="AG58" s="3">
        <v>5.8537005999999996E-2</v>
      </c>
      <c r="AH58" s="3">
        <v>8.2557199999999994E-3</v>
      </c>
      <c r="AI58" s="3">
        <v>-1.1463463E-2</v>
      </c>
      <c r="AJ58" s="3"/>
      <c r="AK58" s="3"/>
      <c r="AL58" s="3"/>
    </row>
    <row r="59" spans="1:38" x14ac:dyDescent="0.45">
      <c r="A59" s="2">
        <v>45952</v>
      </c>
      <c r="B59" s="3">
        <v>5.6431293000000007E-3</v>
      </c>
      <c r="C59" s="3">
        <v>-8.9550019999999999E-4</v>
      </c>
      <c r="D59" s="3">
        <v>9.0242624E-3</v>
      </c>
      <c r="E59" s="3">
        <v>-6.6917299999999999E-2</v>
      </c>
      <c r="F59" s="3">
        <v>5.7187557E-2</v>
      </c>
      <c r="G59" s="3">
        <v>3.6183595999999998E-2</v>
      </c>
      <c r="H59" s="3">
        <v>-1.2407959E-2</v>
      </c>
      <c r="I59" s="3">
        <v>1.5776395999999998E-2</v>
      </c>
      <c r="J59" s="3">
        <v>-2.0777285E-2</v>
      </c>
      <c r="K59" s="3">
        <v>9.6738579999999991E-2</v>
      </c>
      <c r="L59" s="3">
        <v>-2.4683356E-2</v>
      </c>
      <c r="M59" s="3">
        <v>1.7931460999999999E-2</v>
      </c>
      <c r="N59" s="3">
        <v>-1.8529952000000002E-2</v>
      </c>
      <c r="O59" s="3">
        <v>3.3457994000000005E-2</v>
      </c>
      <c r="P59" s="3">
        <v>-2.1729052000000002E-2</v>
      </c>
      <c r="Q59" s="3">
        <v>-4.0120420000000004E-2</v>
      </c>
      <c r="R59" s="3">
        <v>1.5445828E-2</v>
      </c>
      <c r="S59" s="3">
        <v>-7.3636949999999993E-2</v>
      </c>
      <c r="T59" s="3">
        <v>7.1611404E-3</v>
      </c>
      <c r="U59" s="3">
        <v>3.6508799000000002E-2</v>
      </c>
      <c r="V59" s="3">
        <v>6.1026692E-2</v>
      </c>
      <c r="W59" s="3">
        <v>-2.2820592000000001E-2</v>
      </c>
      <c r="X59" s="3">
        <v>5.5720806000000003E-3</v>
      </c>
      <c r="Y59" s="3">
        <v>-1.3364792E-2</v>
      </c>
      <c r="Z59" s="3">
        <v>4.8495529999999995E-3</v>
      </c>
      <c r="AA59" s="3">
        <v>1.1446118E-2</v>
      </c>
      <c r="AB59" s="3">
        <v>2.8252602000000002E-2</v>
      </c>
      <c r="AC59" s="3">
        <v>1.9226073999999999E-2</v>
      </c>
      <c r="AD59" s="3">
        <v>5.4632424999999998E-3</v>
      </c>
      <c r="AE59" s="3">
        <v>1.4395714000000001E-3</v>
      </c>
      <c r="AF59" s="3">
        <v>2.5810957000000002E-2</v>
      </c>
      <c r="AG59" s="3">
        <v>1.3249636E-2</v>
      </c>
      <c r="AH59" s="3">
        <v>1.53265E-2</v>
      </c>
      <c r="AI59" s="3">
        <v>-2.0873605999999999E-2</v>
      </c>
      <c r="AJ59" s="3"/>
      <c r="AK59" s="3"/>
      <c r="AL59" s="3"/>
    </row>
    <row r="60" spans="1:38" x14ac:dyDescent="0.45">
      <c r="A60" s="2">
        <v>45982</v>
      </c>
      <c r="B60" s="3">
        <v>-2.3626684999999998E-2</v>
      </c>
      <c r="C60" s="3">
        <v>8.574843E-2</v>
      </c>
      <c r="D60" s="3">
        <v>2.6830672999999999E-2</v>
      </c>
      <c r="E60" s="3">
        <v>9.6696614999999993E-3</v>
      </c>
      <c r="F60" s="3">
        <v>-2.3352087000000001E-2</v>
      </c>
      <c r="G60" s="3">
        <v>-1.7624794999999999E-2</v>
      </c>
      <c r="H60" s="3">
        <v>3.2194853000000002E-2</v>
      </c>
      <c r="I60" s="3">
        <v>-4.9669385000000003E-2</v>
      </c>
      <c r="J60" s="3">
        <v>8.0903769999999993E-3</v>
      </c>
      <c r="K60" s="3">
        <v>-2.5712252000000004E-3</v>
      </c>
      <c r="L60" s="3">
        <v>6.6599964999999997E-2</v>
      </c>
      <c r="M60" s="3">
        <v>2.0132064999999998E-2</v>
      </c>
      <c r="N60" s="3">
        <v>1.6991734999999997E-2</v>
      </c>
      <c r="O60" s="3">
        <v>-1.9533396000000001E-2</v>
      </c>
      <c r="P60" s="3">
        <v>-3.3476114000000001E-2</v>
      </c>
      <c r="Q60" s="3">
        <v>-2.4033367999999999E-2</v>
      </c>
      <c r="R60" s="3">
        <v>-3.6818027000000003E-2</v>
      </c>
      <c r="S60" s="3">
        <v>2.4878619999999997E-2</v>
      </c>
      <c r="T60" s="3">
        <v>-5.1295099999999996E-2</v>
      </c>
      <c r="U60" s="3">
        <v>-2.4766146999999999E-2</v>
      </c>
      <c r="V60" s="3">
        <v>-5.5048110000000004E-2</v>
      </c>
      <c r="W60" s="3">
        <v>-1.9917727E-2</v>
      </c>
      <c r="X60" s="3">
        <v>-6.4277769999999998E-2</v>
      </c>
      <c r="Y60" s="3">
        <v>4.5816898000000002E-3</v>
      </c>
      <c r="Z60" s="3">
        <v>-4.9227714999999998E-2</v>
      </c>
      <c r="AA60" s="3">
        <v>-1.2046695000000001E-2</v>
      </c>
      <c r="AB60" s="3">
        <v>-7.8753829999999997E-3</v>
      </c>
      <c r="AC60" s="3">
        <v>-8.2527399999999997E-3</v>
      </c>
      <c r="AD60" s="3">
        <v>-2.5466978999999997E-2</v>
      </c>
      <c r="AE60" s="3">
        <v>-1.3132632E-2</v>
      </c>
      <c r="AF60" s="3">
        <v>-2.7165473000000002E-2</v>
      </c>
      <c r="AG60" s="3">
        <v>-3.7852705E-2</v>
      </c>
      <c r="AH60" s="3">
        <v>-4.7559977000000003E-2</v>
      </c>
      <c r="AI60" s="3">
        <v>1.5988946E-2</v>
      </c>
      <c r="AJ60" s="3"/>
      <c r="AK60" s="3"/>
      <c r="AL60" s="3"/>
    </row>
    <row r="61" spans="1:38" x14ac:dyDescent="0.45">
      <c r="A61" s="2">
        <v>46013</v>
      </c>
      <c r="B61" s="3">
        <v>5.2865266999999994E-2</v>
      </c>
      <c r="C61" s="3">
        <v>9.6705910000000006E-2</v>
      </c>
      <c r="D61" s="3">
        <v>2.567649E-2</v>
      </c>
      <c r="E61" s="3">
        <v>3.8950443E-3</v>
      </c>
      <c r="F61" s="3">
        <v>0.10158157</v>
      </c>
      <c r="G61" s="3">
        <v>0.21354544</v>
      </c>
      <c r="H61" s="3">
        <v>5.9158444000000004E-2</v>
      </c>
      <c r="I61" s="3">
        <v>4.9122570000000004E-2</v>
      </c>
      <c r="J61" s="3">
        <v>7.9793810000000007E-2</v>
      </c>
      <c r="K61" s="3">
        <v>5.1757574000000001E-2</v>
      </c>
      <c r="L61" s="3">
        <v>-1.6760826000000002E-3</v>
      </c>
      <c r="M61" s="3">
        <v>0.11889148000000001</v>
      </c>
      <c r="N61" s="3">
        <v>5.8013559999999999E-2</v>
      </c>
      <c r="O61" s="3">
        <v>-3.6895274999999996E-4</v>
      </c>
      <c r="P61" s="3">
        <v>1.1813164000000001E-2</v>
      </c>
      <c r="Q61" s="3">
        <v>2.0769954E-2</v>
      </c>
      <c r="R61" s="3">
        <v>1.2181163E-2</v>
      </c>
      <c r="S61" s="3">
        <v>3.5176395999999999E-2</v>
      </c>
      <c r="T61" s="3">
        <v>5.1412940000000004E-2</v>
      </c>
      <c r="U61" s="3">
        <v>5.2370310000000003E-2</v>
      </c>
      <c r="V61" s="3">
        <v>-3.3565402000000001E-2</v>
      </c>
      <c r="W61" s="3">
        <v>3.2165884999999998E-2</v>
      </c>
      <c r="X61" s="3">
        <v>5.0110460000000003E-2</v>
      </c>
      <c r="Y61" s="3">
        <v>8.3791019999999994E-2</v>
      </c>
      <c r="Z61" s="3">
        <v>7.4619293000000003E-2</v>
      </c>
      <c r="AA61" s="3">
        <v>2.8533099999999999E-2</v>
      </c>
      <c r="AB61" s="3">
        <v>5.7152987000000002E-2</v>
      </c>
      <c r="AC61" s="3">
        <v>6.13333E-2</v>
      </c>
      <c r="AD61" s="3">
        <v>5.0729749999999997E-2</v>
      </c>
      <c r="AE61" s="3">
        <v>4.2191979999999997E-2</v>
      </c>
      <c r="AF61" s="3">
        <v>3.4291267E-2</v>
      </c>
      <c r="AG61" s="3">
        <v>5.8545710000000001E-2</v>
      </c>
      <c r="AH61" s="3">
        <v>7.2694540000000002E-2</v>
      </c>
      <c r="AI61" s="3">
        <v>6.7627430000000002E-2</v>
      </c>
      <c r="AJ61" s="3"/>
      <c r="AK61" s="3"/>
      <c r="AL61" s="3"/>
    </row>
    <row r="62" spans="1:38" x14ac:dyDescent="0.45">
      <c r="A62" s="2">
        <v>46044</v>
      </c>
      <c r="B62" s="3">
        <v>4.4976589999999997E-2</v>
      </c>
      <c r="C62" s="3">
        <v>0.16270482999999999</v>
      </c>
      <c r="D62" s="3">
        <v>2.0858169000000003E-2</v>
      </c>
      <c r="E62" s="3">
        <v>5.5689216000000007E-2</v>
      </c>
      <c r="F62" s="3">
        <v>5.8522699999999997E-2</v>
      </c>
      <c r="G62" s="3">
        <v>0.1958934</v>
      </c>
      <c r="H62" s="3">
        <v>3.7212729999999999E-2</v>
      </c>
      <c r="I62" s="3">
        <v>0.10116172000000001</v>
      </c>
      <c r="J62" s="3">
        <v>8.2916370000000003E-2</v>
      </c>
      <c r="K62" s="3">
        <v>0.26419617000000001</v>
      </c>
      <c r="L62" s="3">
        <v>0.16465389999999999</v>
      </c>
      <c r="M62" s="3">
        <v>9.8415370000000002E-2</v>
      </c>
      <c r="N62" s="3">
        <v>7.7953935000000002E-2</v>
      </c>
      <c r="O62" s="3">
        <v>-4.4196367E-2</v>
      </c>
      <c r="P62" s="3">
        <v>3.1039595999999999E-2</v>
      </c>
      <c r="Q62" s="3">
        <v>5.6285740000000001E-2</v>
      </c>
      <c r="R62" s="3">
        <v>3.3047675999999998E-2</v>
      </c>
      <c r="S62" s="3">
        <v>0.12915349000000001</v>
      </c>
      <c r="T62" s="3">
        <v>6.0154199999999998E-2</v>
      </c>
      <c r="U62" s="3">
        <v>5.4540515000000005E-2</v>
      </c>
      <c r="V62" s="3">
        <v>6.5116285999999995E-2</v>
      </c>
      <c r="W62" s="3">
        <v>3.486061E-2</v>
      </c>
      <c r="X62" s="3">
        <v>3.5181641999999999E-2</v>
      </c>
      <c r="Y62" s="3">
        <v>1.9014238999999999E-2</v>
      </c>
      <c r="Z62" s="3">
        <v>1.7949938999999998E-2</v>
      </c>
      <c r="AA62" s="3">
        <v>5.4685592999999998E-2</v>
      </c>
      <c r="AB62" s="3">
        <v>1.1012793E-2</v>
      </c>
      <c r="AC62" s="3">
        <v>2.9230355999999999E-2</v>
      </c>
      <c r="AD62" s="3">
        <v>2.5031567000000001E-3</v>
      </c>
      <c r="AE62" s="3">
        <v>6.0598850000000001E-3</v>
      </c>
      <c r="AF62" s="3">
        <v>4.4484138000000003E-3</v>
      </c>
      <c r="AG62" s="3">
        <v>8.9984179999999997E-2</v>
      </c>
      <c r="AH62" s="3">
        <v>6.0245989999999999E-2</v>
      </c>
      <c r="AI62" s="3">
        <v>9.7713469999999997E-3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4.4976589999999997E-2</v>
      </c>
      <c r="C67" s="3">
        <f t="shared" ref="C67:AI67" si="2">C62</f>
        <v>0.16270482999999999</v>
      </c>
      <c r="D67" s="3">
        <f t="shared" si="2"/>
        <v>2.0858169000000003E-2</v>
      </c>
      <c r="E67" s="3">
        <f t="shared" si="2"/>
        <v>5.5689216000000007E-2</v>
      </c>
      <c r="F67" s="3">
        <f t="shared" si="2"/>
        <v>5.8522699999999997E-2</v>
      </c>
      <c r="G67" s="3">
        <f t="shared" si="2"/>
        <v>0.1958934</v>
      </c>
      <c r="H67" s="3">
        <f t="shared" si="2"/>
        <v>3.7212729999999999E-2</v>
      </c>
      <c r="I67" s="3">
        <f t="shared" si="2"/>
        <v>0.10116172000000001</v>
      </c>
      <c r="J67" s="3">
        <f t="shared" si="2"/>
        <v>8.2916370000000003E-2</v>
      </c>
      <c r="K67" s="3">
        <f t="shared" si="2"/>
        <v>0.26419617000000001</v>
      </c>
      <c r="L67" s="3">
        <f t="shared" si="2"/>
        <v>0.16465389999999999</v>
      </c>
      <c r="M67" s="3">
        <f t="shared" si="2"/>
        <v>9.8415370000000002E-2</v>
      </c>
      <c r="N67" s="3">
        <f t="shared" si="2"/>
        <v>7.7953935000000002E-2</v>
      </c>
      <c r="O67" s="3">
        <f t="shared" si="2"/>
        <v>-4.4196367E-2</v>
      </c>
      <c r="P67" s="3">
        <f t="shared" si="2"/>
        <v>3.1039595999999999E-2</v>
      </c>
      <c r="Q67" s="3">
        <f t="shared" si="2"/>
        <v>5.6285740000000001E-2</v>
      </c>
      <c r="R67" s="3">
        <f t="shared" si="2"/>
        <v>3.3047675999999998E-2</v>
      </c>
      <c r="S67" s="3">
        <f t="shared" si="2"/>
        <v>0.12915349000000001</v>
      </c>
      <c r="T67" s="3">
        <f t="shared" si="2"/>
        <v>6.0154199999999998E-2</v>
      </c>
      <c r="U67" s="3">
        <f t="shared" si="2"/>
        <v>5.4540515000000005E-2</v>
      </c>
      <c r="V67" s="3">
        <f t="shared" si="2"/>
        <v>6.5116285999999995E-2</v>
      </c>
      <c r="W67" s="3">
        <f t="shared" si="2"/>
        <v>3.486061E-2</v>
      </c>
      <c r="X67" s="3">
        <f t="shared" si="2"/>
        <v>3.5181641999999999E-2</v>
      </c>
      <c r="Y67" s="3">
        <f t="shared" si="2"/>
        <v>1.9014238999999999E-2</v>
      </c>
      <c r="Z67" s="3">
        <f t="shared" si="2"/>
        <v>1.7949938999999998E-2</v>
      </c>
      <c r="AA67" s="3">
        <f t="shared" si="2"/>
        <v>5.4685592999999998E-2</v>
      </c>
      <c r="AB67" s="3">
        <f t="shared" si="2"/>
        <v>1.1012793E-2</v>
      </c>
      <c r="AC67" s="3">
        <f t="shared" si="2"/>
        <v>2.9230355999999999E-2</v>
      </c>
      <c r="AD67" s="3">
        <f t="shared" si="2"/>
        <v>2.5031567000000001E-3</v>
      </c>
      <c r="AE67" s="3">
        <f t="shared" si="2"/>
        <v>6.0598850000000001E-3</v>
      </c>
      <c r="AF67" s="3">
        <f t="shared" si="2"/>
        <v>4.4484138000000003E-3</v>
      </c>
      <c r="AG67" s="3">
        <f t="shared" si="2"/>
        <v>8.9984179999999997E-2</v>
      </c>
      <c r="AH67" s="3">
        <f t="shared" si="2"/>
        <v>6.0245989999999999E-2</v>
      </c>
      <c r="AI67" s="3">
        <f t="shared" si="2"/>
        <v>9.7713469999999997E-3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1.493827455737702E-3</v>
      </c>
      <c r="C68" s="4">
        <f t="shared" si="3"/>
        <v>1.3838904331147539E-2</v>
      </c>
      <c r="D68" s="4">
        <f t="shared" si="3"/>
        <v>8.6807418360655697E-4</v>
      </c>
      <c r="E68" s="4">
        <f t="shared" si="3"/>
        <v>-2.7399747868852437E-4</v>
      </c>
      <c r="F68" s="4">
        <f t="shared" si="3"/>
        <v>1.7030558121311476E-2</v>
      </c>
      <c r="G68" s="4">
        <f t="shared" si="3"/>
        <v>2.1923435885245899E-2</v>
      </c>
      <c r="H68" s="4">
        <f t="shared" si="3"/>
        <v>3.9638330508196722E-3</v>
      </c>
      <c r="I68" s="4">
        <f t="shared" si="3"/>
        <v>1.3052403981311475E-2</v>
      </c>
      <c r="J68" s="4">
        <f t="shared" si="3"/>
        <v>1.4399378096721309E-2</v>
      </c>
      <c r="K68" s="4">
        <f t="shared" si="3"/>
        <v>1.0409595062295081E-2</v>
      </c>
      <c r="L68" s="4">
        <f t="shared" si="3"/>
        <v>8.7438033081967213E-3</v>
      </c>
      <c r="M68" s="4">
        <f t="shared" si="3"/>
        <v>1.4506861878688524E-2</v>
      </c>
      <c r="N68" s="4">
        <f t="shared" si="3"/>
        <v>2.1836367501639344E-2</v>
      </c>
      <c r="O68" s="4">
        <f t="shared" si="3"/>
        <v>6.8280745245901629E-3</v>
      </c>
      <c r="P68" s="4">
        <f t="shared" si="3"/>
        <v>7.2703184590163677E-4</v>
      </c>
      <c r="Q68" s="4">
        <f t="shared" si="3"/>
        <v>5.384399181311476E-3</v>
      </c>
      <c r="R68" s="4">
        <f t="shared" si="3"/>
        <v>-6.6545066967213062E-4</v>
      </c>
      <c r="S68" s="4">
        <f t="shared" si="3"/>
        <v>1.3913505554098359E-2</v>
      </c>
      <c r="T68" s="4">
        <f t="shared" si="3"/>
        <v>1.333807354918033E-2</v>
      </c>
      <c r="U68" s="4">
        <f t="shared" si="3"/>
        <v>5.8999073295081953E-3</v>
      </c>
      <c r="V68" s="4">
        <f t="shared" si="3"/>
        <v>6.9004480014754118E-3</v>
      </c>
      <c r="W68" s="4">
        <f t="shared" si="3"/>
        <v>-2.6388157278688529E-3</v>
      </c>
      <c r="X68" s="4">
        <f t="shared" si="3"/>
        <v>6.6969099819672142E-3</v>
      </c>
      <c r="Y68" s="4">
        <f t="shared" si="3"/>
        <v>1.2263246299180328E-2</v>
      </c>
      <c r="Z68" s="4">
        <f t="shared" si="3"/>
        <v>8.4294196819672124E-3</v>
      </c>
      <c r="AA68" s="4">
        <f t="shared" si="3"/>
        <v>7.0565967708196712E-3</v>
      </c>
      <c r="AB68" s="4">
        <f t="shared" si="3"/>
        <v>7.9408944529508179E-3</v>
      </c>
      <c r="AC68" s="4">
        <f t="shared" si="3"/>
        <v>1.1301262460000003E-2</v>
      </c>
      <c r="AD68" s="4">
        <f t="shared" si="3"/>
        <v>1.3381894339344261E-2</v>
      </c>
      <c r="AE68" s="4">
        <f t="shared" si="3"/>
        <v>1.230002393245901E-2</v>
      </c>
      <c r="AF68" s="4">
        <f t="shared" si="3"/>
        <v>8.8006551245901656E-3</v>
      </c>
      <c r="AG68" s="4">
        <f t="shared" si="3"/>
        <v>1.0357059476229509E-2</v>
      </c>
      <c r="AH68" s="4">
        <f t="shared" si="3"/>
        <v>8.769314863934426E-3</v>
      </c>
      <c r="AI68" s="4">
        <f t="shared" si="3"/>
        <v>1.4577950477049186E-2</v>
      </c>
    </row>
    <row r="69" spans="1:38" x14ac:dyDescent="0.45">
      <c r="A69" t="s">
        <v>21</v>
      </c>
      <c r="B69" s="4">
        <f t="shared" ref="B69:AI69" si="4">STDEV(B40:B62)</f>
        <v>5.8152324367855418E-2</v>
      </c>
      <c r="C69" s="4">
        <f t="shared" si="4"/>
        <v>5.6244499502913117E-2</v>
      </c>
      <c r="D69" s="4">
        <f t="shared" si="4"/>
        <v>6.7783077512747328E-2</v>
      </c>
      <c r="E69" s="4">
        <f t="shared" si="4"/>
        <v>5.3227513846987706E-2</v>
      </c>
      <c r="F69" s="4">
        <f t="shared" si="4"/>
        <v>5.407805193245549E-2</v>
      </c>
      <c r="G69" s="4">
        <f t="shared" si="4"/>
        <v>6.8630410686038562E-2</v>
      </c>
      <c r="H69" s="4">
        <f t="shared" si="4"/>
        <v>3.9322562221844763E-2</v>
      </c>
      <c r="I69" s="4">
        <f t="shared" si="4"/>
        <v>6.942874028085165E-2</v>
      </c>
      <c r="J69" s="4">
        <f t="shared" si="4"/>
        <v>5.6747467231380716E-2</v>
      </c>
      <c r="K69" s="4">
        <f t="shared" si="4"/>
        <v>7.8581771519401003E-2</v>
      </c>
      <c r="L69" s="4">
        <f t="shared" si="4"/>
        <v>6.1149768771601207E-2</v>
      </c>
      <c r="M69" s="4">
        <f t="shared" si="4"/>
        <v>4.6605511261503856E-2</v>
      </c>
      <c r="N69" s="4">
        <f t="shared" si="4"/>
        <v>5.1653788830368232E-2</v>
      </c>
      <c r="O69" s="4">
        <f t="shared" si="4"/>
        <v>2.9907018712676293E-2</v>
      </c>
      <c r="P69" s="4">
        <f t="shared" si="4"/>
        <v>7.4449385702697365E-2</v>
      </c>
      <c r="Q69" s="4">
        <f t="shared" si="4"/>
        <v>3.5948852405883171E-2</v>
      </c>
      <c r="R69" s="4">
        <f t="shared" si="4"/>
        <v>4.9109228798829022E-2</v>
      </c>
      <c r="S69" s="4">
        <f t="shared" si="4"/>
        <v>7.7227151118404683E-2</v>
      </c>
      <c r="T69" s="4">
        <f t="shared" si="4"/>
        <v>4.7912373068454722E-2</v>
      </c>
      <c r="U69" s="4">
        <f t="shared" si="4"/>
        <v>6.5169440386734279E-2</v>
      </c>
      <c r="V69" s="4">
        <f t="shared" si="4"/>
        <v>3.2117881678854598E-2</v>
      </c>
      <c r="W69" s="4">
        <f t="shared" si="4"/>
        <v>2.7804526402675438E-2</v>
      </c>
      <c r="X69" s="4">
        <f t="shared" si="4"/>
        <v>3.6666028947969061E-2</v>
      </c>
      <c r="Y69" s="4">
        <f t="shared" si="4"/>
        <v>3.2581811170733124E-2</v>
      </c>
      <c r="Z69" s="4">
        <f t="shared" si="4"/>
        <v>4.0320570170559115E-2</v>
      </c>
      <c r="AA69" s="4">
        <f t="shared" si="4"/>
        <v>3.5850863919289169E-2</v>
      </c>
      <c r="AB69" s="4">
        <f t="shared" si="4"/>
        <v>3.3277108585651208E-2</v>
      </c>
      <c r="AC69" s="4">
        <f t="shared" si="4"/>
        <v>2.8767344678142473E-2</v>
      </c>
      <c r="AD69" s="4">
        <f t="shared" si="4"/>
        <v>5.2397335587719349E-2</v>
      </c>
      <c r="AE69" s="4">
        <f t="shared" si="4"/>
        <v>3.7800194339872875E-2</v>
      </c>
      <c r="AF69" s="4">
        <f t="shared" si="4"/>
        <v>3.7006772918402382E-2</v>
      </c>
      <c r="AG69" s="4">
        <f t="shared" si="4"/>
        <v>4.3910701639970018E-2</v>
      </c>
      <c r="AH69" s="4">
        <f t="shared" si="4"/>
        <v>4.3577097311432895E-2</v>
      </c>
      <c r="AI69" s="4">
        <f t="shared" si="4"/>
        <v>4.3351649994998603E-2</v>
      </c>
    </row>
    <row r="70" spans="1:38" x14ac:dyDescent="0.45">
      <c r="A70" t="s">
        <v>36</v>
      </c>
      <c r="B70" s="3">
        <f>B69*2</f>
        <v>0.11630464873571084</v>
      </c>
      <c r="C70" s="3">
        <f t="shared" ref="C70:AI70" si="5">C69*2</f>
        <v>0.11248899900582623</v>
      </c>
      <c r="D70" s="3">
        <f t="shared" si="5"/>
        <v>0.13556615502549466</v>
      </c>
      <c r="E70" s="3">
        <f t="shared" si="5"/>
        <v>0.10645502769397541</v>
      </c>
      <c r="F70" s="3">
        <f t="shared" si="5"/>
        <v>0.10815610386491098</v>
      </c>
      <c r="G70" s="3">
        <f t="shared" si="5"/>
        <v>0.13726082137207712</v>
      </c>
      <c r="H70" s="3">
        <f t="shared" si="5"/>
        <v>7.8645124443689526E-2</v>
      </c>
      <c r="I70" s="3">
        <f t="shared" si="5"/>
        <v>0.1388574805617033</v>
      </c>
      <c r="J70" s="3">
        <f t="shared" si="5"/>
        <v>0.11349493446276143</v>
      </c>
      <c r="K70" s="3">
        <f t="shared" si="5"/>
        <v>0.15716354303880201</v>
      </c>
      <c r="L70" s="3">
        <f t="shared" si="5"/>
        <v>0.12229953754320241</v>
      </c>
      <c r="M70" s="3">
        <f t="shared" si="5"/>
        <v>9.3211022523007711E-2</v>
      </c>
      <c r="N70" s="3">
        <f t="shared" si="5"/>
        <v>0.10330757766073646</v>
      </c>
      <c r="O70" s="3">
        <f t="shared" si="5"/>
        <v>5.9814037425352587E-2</v>
      </c>
      <c r="P70" s="3">
        <f t="shared" si="5"/>
        <v>0.14889877140539473</v>
      </c>
      <c r="Q70" s="3">
        <f t="shared" si="5"/>
        <v>7.1897704811766341E-2</v>
      </c>
      <c r="R70" s="3">
        <f t="shared" si="5"/>
        <v>9.8218457597658043E-2</v>
      </c>
      <c r="S70" s="3">
        <f t="shared" si="5"/>
        <v>0.15445430223680937</v>
      </c>
      <c r="T70" s="3">
        <f t="shared" si="5"/>
        <v>9.5824746136909444E-2</v>
      </c>
      <c r="U70" s="3">
        <f t="shared" si="5"/>
        <v>0.13033888077346856</v>
      </c>
      <c r="V70" s="3">
        <f t="shared" si="5"/>
        <v>6.4235763357709197E-2</v>
      </c>
      <c r="W70" s="3">
        <f t="shared" si="5"/>
        <v>5.5609052805350875E-2</v>
      </c>
      <c r="X70" s="3">
        <f t="shared" si="5"/>
        <v>7.3332057895938121E-2</v>
      </c>
      <c r="Y70" s="3">
        <f t="shared" si="5"/>
        <v>6.5163622341466249E-2</v>
      </c>
      <c r="Z70" s="3">
        <f t="shared" si="5"/>
        <v>8.0641140341118231E-2</v>
      </c>
      <c r="AA70" s="3">
        <f t="shared" si="5"/>
        <v>7.1701727838578339E-2</v>
      </c>
      <c r="AB70" s="3">
        <f t="shared" si="5"/>
        <v>6.6554217171302416E-2</v>
      </c>
      <c r="AC70" s="3">
        <f t="shared" si="5"/>
        <v>5.7534689356284946E-2</v>
      </c>
      <c r="AD70" s="3">
        <f t="shared" si="5"/>
        <v>0.1047946711754387</v>
      </c>
      <c r="AE70" s="3">
        <f t="shared" si="5"/>
        <v>7.560038867974575E-2</v>
      </c>
      <c r="AF70" s="3">
        <f t="shared" si="5"/>
        <v>7.4013545836804764E-2</v>
      </c>
      <c r="AG70" s="3">
        <f t="shared" si="5"/>
        <v>8.7821403279940036E-2</v>
      </c>
      <c r="AH70" s="3">
        <f t="shared" si="5"/>
        <v>8.7154194622865791E-2</v>
      </c>
      <c r="AI70" s="3">
        <f t="shared" si="5"/>
        <v>8.6703299989997207E-2</v>
      </c>
    </row>
    <row r="71" spans="1:38" x14ac:dyDescent="0.45">
      <c r="A71" t="s">
        <v>79</v>
      </c>
      <c r="B71">
        <f>PRICE_DATA!B2</f>
        <v>35.78</v>
      </c>
      <c r="C71">
        <f>PRICE_DATA!C2</f>
        <v>46.174999999999997</v>
      </c>
      <c r="D71">
        <f>PRICE_DATA!D2</f>
        <v>19.05</v>
      </c>
      <c r="E71">
        <f>PRICE_DATA!E2</f>
        <v>26.35</v>
      </c>
      <c r="F71">
        <f>PRICE_DATA!F2</f>
        <v>37.26</v>
      </c>
      <c r="G71">
        <f>PRICE_DATA!G2</f>
        <v>86.2</v>
      </c>
      <c r="H71">
        <f>PRICE_DATA!H2</f>
        <v>28.43</v>
      </c>
      <c r="I71">
        <f>PRICE_DATA!I2</f>
        <v>68.25</v>
      </c>
      <c r="J71">
        <f>PRICE_DATA!J2</f>
        <v>75.75</v>
      </c>
      <c r="K71">
        <f>PRICE_DATA!K2</f>
        <v>115.99</v>
      </c>
      <c r="L71">
        <f>PRICE_DATA!L2</f>
        <v>35.950000000000003</v>
      </c>
      <c r="M71">
        <f>PRICE_DATA!M2</f>
        <v>75.56</v>
      </c>
      <c r="N71">
        <f>PRICE_DATA!N2</f>
        <v>72.2</v>
      </c>
      <c r="O71">
        <f>PRICE_DATA!O2</f>
        <v>51.795000000000002</v>
      </c>
      <c r="P71">
        <f>PRICE_DATA!P2</f>
        <v>62.78</v>
      </c>
      <c r="Q71">
        <f>PRICE_DATA!Q2</f>
        <v>19.899999999999999</v>
      </c>
      <c r="R71">
        <f>PRICE_DATA!R2</f>
        <v>1311.64</v>
      </c>
      <c r="S71">
        <f>PRICE_DATA!S2</f>
        <v>39.08</v>
      </c>
      <c r="T71">
        <f>PRICE_DATA!T2</f>
        <v>20.62</v>
      </c>
      <c r="U71">
        <f>PRICE_DATA!U2</f>
        <v>19.625</v>
      </c>
      <c r="V71">
        <f>PRICE_DATA!V2</f>
        <v>38.93</v>
      </c>
      <c r="W71">
        <f>PRICE_DATA!W2</f>
        <v>46.755000000000003</v>
      </c>
      <c r="X71">
        <f>PRICE_DATA!X2</f>
        <v>27.07</v>
      </c>
      <c r="Y71">
        <f>PRICE_DATA!Y2</f>
        <v>55.2</v>
      </c>
      <c r="Z71">
        <f>PRICE_DATA!Z2</f>
        <v>43.1</v>
      </c>
      <c r="AA71">
        <f>PRICE_DATA!AA2</f>
        <v>84.86</v>
      </c>
      <c r="AB71">
        <f>PRICE_DATA!AB2</f>
        <v>60.59</v>
      </c>
      <c r="AC71">
        <f>PRICE_DATA!AC2</f>
        <v>45.07</v>
      </c>
      <c r="AD71">
        <f>PRICE_DATA!AD2</f>
        <v>620.76</v>
      </c>
      <c r="AE71">
        <f>PRICE_DATA!AE2</f>
        <v>688.98</v>
      </c>
      <c r="AF71">
        <f>PRICE_DATA!AF2</f>
        <v>45.16</v>
      </c>
      <c r="AG71">
        <f>PRICE_DATA!AG2</f>
        <v>62.14</v>
      </c>
      <c r="AH71">
        <f>PRICE_DATA!AH2</f>
        <v>51.74</v>
      </c>
      <c r="AI71">
        <f>PRICE_DATA!AI2</f>
        <v>54.77</v>
      </c>
    </row>
    <row r="72" spans="1:38" x14ac:dyDescent="0.45">
      <c r="A72" t="s">
        <v>80</v>
      </c>
      <c r="B72" s="7">
        <f>PRICE_DATA!B204</f>
        <v>31.715708457711433</v>
      </c>
      <c r="C72" s="7">
        <f>PRICE_DATA!C204</f>
        <v>34.20243781094527</v>
      </c>
      <c r="D72" s="7">
        <f>PRICE_DATA!D204</f>
        <v>18.086915422885564</v>
      </c>
      <c r="E72" s="7">
        <f>PRICE_DATA!E204</f>
        <v>26.002691542288577</v>
      </c>
      <c r="F72" s="7">
        <f>PRICE_DATA!F204</f>
        <v>32.604477611940297</v>
      </c>
      <c r="G72" s="7">
        <f>PRICE_DATA!G204</f>
        <v>57.138340796019911</v>
      </c>
      <c r="H72" s="7">
        <f>PRICE_DATA!H204</f>
        <v>25.377412935323395</v>
      </c>
      <c r="I72" s="7">
        <f>PRICE_DATA!I204</f>
        <v>60.015373134328314</v>
      </c>
      <c r="J72" s="7">
        <f>PRICE_DATA!J204</f>
        <v>64.006666666666661</v>
      </c>
      <c r="K72" s="7">
        <f>PRICE_DATA!K204</f>
        <v>79.351940298507458</v>
      </c>
      <c r="L72" s="7">
        <f>PRICE_DATA!L204</f>
        <v>29.686119402985071</v>
      </c>
      <c r="M72" s="7">
        <f>PRICE_DATA!M204</f>
        <v>59.872139303482555</v>
      </c>
      <c r="N72" s="7">
        <f>PRICE_DATA!N204</f>
        <v>61.69063233830844</v>
      </c>
      <c r="O72" s="7">
        <f>PRICE_DATA!O204</f>
        <v>53.760522388059719</v>
      </c>
      <c r="P72" s="7">
        <f>PRICE_DATA!P204</f>
        <v>59.455696517413017</v>
      </c>
      <c r="Q72" s="7">
        <f>PRICE_DATA!Q204</f>
        <v>19.128993034825868</v>
      </c>
      <c r="R72" s="7">
        <f>PRICE_DATA!R204</f>
        <v>1230.4057711442786</v>
      </c>
      <c r="S72" s="7">
        <f>PRICE_DATA!S204</f>
        <v>33.488332338308417</v>
      </c>
      <c r="T72" s="7">
        <f>PRICE_DATA!T204</f>
        <v>19.077744278606978</v>
      </c>
      <c r="U72" s="7">
        <f>PRICE_DATA!U204</f>
        <v>16.444776119402992</v>
      </c>
      <c r="V72" s="7">
        <f>PRICE_DATA!V204</f>
        <v>38.451442786069663</v>
      </c>
      <c r="W72" s="7">
        <f>PRICE_DATA!W204</f>
        <v>45.444089054726348</v>
      </c>
      <c r="X72" s="7">
        <f>PRICE_DATA!X204</f>
        <v>26.272786069651737</v>
      </c>
      <c r="Y72" s="7">
        <f>PRICE_DATA!Y204</f>
        <v>48.701592039801014</v>
      </c>
      <c r="Z72" s="7">
        <f>PRICE_DATA!Z204</f>
        <v>41.54363184079606</v>
      </c>
      <c r="AA72" s="7">
        <f>PRICE_DATA!AA204</f>
        <v>78.159701492537337</v>
      </c>
      <c r="AB72" s="7">
        <f>PRICE_DATA!AB204</f>
        <v>55.948557213930364</v>
      </c>
      <c r="AC72" s="7">
        <f>PRICE_DATA!AC204</f>
        <v>41.379900497512438</v>
      </c>
      <c r="AD72" s="7">
        <f>PRICE_DATA!AD204</f>
        <v>572.82273631840803</v>
      </c>
      <c r="AE72" s="7">
        <f>PRICE_DATA!AE204</f>
        <v>640.36855721393033</v>
      </c>
      <c r="AF72" s="7">
        <f>PRICE_DATA!AF204</f>
        <v>43.440348258706493</v>
      </c>
      <c r="AG72" s="7">
        <f>PRICE_DATA!AG204</f>
        <v>55.218152736318466</v>
      </c>
      <c r="AH72" s="7">
        <f>PRICE_DATA!AH204</f>
        <v>46.74139303482589</v>
      </c>
      <c r="AI72" s="7">
        <f>PRICE_DATA!AI204</f>
        <v>50.26950248756215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1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1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1</v>
      </c>
      <c r="L73">
        <f t="shared" si="6"/>
        <v>1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46044</v>
      </c>
      <c r="B2" cm="1">
        <f t="array" ref="B2:B202">_xll.FDS(B1,"FG_PRICE(0,-200D)")</f>
        <v>35.78</v>
      </c>
      <c r="C2" cm="1">
        <f t="array" ref="C2:C202">_xll.FDS(C1,"FG_PRICE(0,-200D)")</f>
        <v>46.174999999999997</v>
      </c>
      <c r="D2" cm="1">
        <f t="array" ref="D2:D202">_xll.FDS(D1,"FG_PRICE(0,-200D)")</f>
        <v>19.05</v>
      </c>
      <c r="E2" cm="1">
        <f t="array" ref="E2:E202">_xll.FDS(E1,"FG_PRICE(0,-200D)")</f>
        <v>26.35</v>
      </c>
      <c r="F2" cm="1">
        <f t="array" ref="F2:F202">_xll.FDS(F1,"FG_PRICE(0,-200D)")</f>
        <v>37.26</v>
      </c>
      <c r="G2" cm="1">
        <f t="array" ref="G2:G202">_xll.FDS(G1,"FG_PRICE(0,-200D)")</f>
        <v>86.2</v>
      </c>
      <c r="H2" cm="1">
        <f t="array" ref="H2:H202">_xll.FDS(H1,"FG_PRICE(0,-200D)")</f>
        <v>28.43</v>
      </c>
      <c r="I2" cm="1">
        <f t="array" ref="I2:I202">_xll.FDS(I1,"FG_PRICE(0,-200D)")</f>
        <v>68.25</v>
      </c>
      <c r="J2" cm="1">
        <f t="array" ref="J2:J202">_xll.FDS(J1,"FG_PRICE(0,-200D)")</f>
        <v>75.75</v>
      </c>
      <c r="K2" cm="1">
        <f t="array" ref="K2:K202">_xll.FDS(K1,"FG_PRICE(0,-200D)")</f>
        <v>115.99</v>
      </c>
      <c r="L2" cm="1">
        <f t="array" ref="L2:L202">_xll.FDS(L1,"FG_PRICE(0,-200D)")</f>
        <v>35.950000000000003</v>
      </c>
      <c r="M2" cm="1">
        <f t="array" ref="M2:M202">_xll.FDS(M1,"FG_PRICE(0,-200D)")</f>
        <v>75.56</v>
      </c>
      <c r="N2" cm="1">
        <f t="array" ref="N2:N202">_xll.FDS(N1,"FG_PRICE(0,-200D)")</f>
        <v>72.2</v>
      </c>
      <c r="O2" cm="1">
        <f t="array" ref="O2:O202">_xll.FDS(O1,"FG_PRICE(0,-200D)")</f>
        <v>51.795000000000002</v>
      </c>
      <c r="P2" cm="1">
        <f t="array" ref="P2:P202">_xll.FDS(P1,"FG_PRICE(0,-200D)")</f>
        <v>62.78</v>
      </c>
      <c r="Q2" cm="1">
        <f t="array" ref="Q2:Q202">_xll.FDS(Q1,"FG_PRICE(0,-200D)")</f>
        <v>19.899999999999999</v>
      </c>
      <c r="R2" cm="1">
        <f t="array" ref="R2:R202">_xll.FDS(R1,"FG_PRICE(0,-200D)")</f>
        <v>1311.64</v>
      </c>
      <c r="S2" cm="1">
        <f t="array" ref="S2:S202">_xll.FDS(S1,"FG_PRICE(0,-200D)")</f>
        <v>39.08</v>
      </c>
      <c r="T2" cm="1">
        <f t="array" ref="T2:T202">_xll.FDS(T1,"FG_PRICE(0,-200D)")</f>
        <v>20.62</v>
      </c>
      <c r="U2" cm="1">
        <f t="array" ref="U2:U202">_xll.FDS(U1,"FG_PRICE(0,-200D)")</f>
        <v>19.625</v>
      </c>
      <c r="V2" cm="1">
        <f t="array" ref="V2:V202">_xll.FDS(V1,"FG_PRICE(0,-200D)")</f>
        <v>38.93</v>
      </c>
      <c r="W2" cm="1">
        <f t="array" ref="W2:W202">_xll.FDS(W1,"FG_PRICE(0,-200D)")</f>
        <v>46.755000000000003</v>
      </c>
      <c r="X2" cm="1">
        <f t="array" ref="X2:X202">_xll.FDS(X1,"FG_PRICE(0,-200D)")</f>
        <v>27.07</v>
      </c>
      <c r="Y2" cm="1">
        <f t="array" ref="Y2:Y202">_xll.FDS(Y1,"FG_PRICE(0,-200D)")</f>
        <v>55.2</v>
      </c>
      <c r="Z2" cm="1">
        <f t="array" ref="Z2:Z202">_xll.FDS(Z1,"FG_PRICE(0,-200D)")</f>
        <v>43.1</v>
      </c>
      <c r="AA2" cm="1">
        <f t="array" ref="AA2:AA202">_xll.FDS(AA1,"FG_PRICE(0,-200D)")</f>
        <v>84.86</v>
      </c>
      <c r="AB2" cm="1">
        <f t="array" ref="AB2:AB202">_xll.FDS(AB1,"FG_PRICE(0,-200D)")</f>
        <v>60.59</v>
      </c>
      <c r="AC2" cm="1">
        <f t="array" ref="AC2:AC202">_xll.FDS(AC1,"FG_PRICE(0,-200D)")</f>
        <v>45.07</v>
      </c>
      <c r="AD2" cm="1">
        <f t="array" ref="AD2:AD202">_xll.FDS(AD1,"FG_PRICE(0,-200D)")</f>
        <v>620.76</v>
      </c>
      <c r="AE2" cm="1">
        <f t="array" ref="AE2:AE202">_xll.FDS(AE1,"FG_PRICE(0,-200D)")</f>
        <v>688.98</v>
      </c>
      <c r="AF2" cm="1">
        <f t="array" ref="AF2:AF202">_xll.FDS(AF1,"FG_PRICE(0,-200D)")</f>
        <v>45.16</v>
      </c>
      <c r="AG2" cm="1">
        <f t="array" ref="AG2:AG202">_xll.FDS(AG1,"FG_PRICE(0,-200D)")</f>
        <v>62.14</v>
      </c>
      <c r="AH2" cm="1">
        <f t="array" ref="AH2:AH202">_xll.FDS(AH1,"FG_PRICE(0,-200D)")</f>
        <v>51.74</v>
      </c>
      <c r="AI2" cm="1">
        <f t="array" ref="AI2:AI202">_xll.FDS(AI1,"FG_PRICE(0,-200D)")</f>
        <v>54.77</v>
      </c>
    </row>
    <row r="3" spans="1:35" x14ac:dyDescent="0.45">
      <c r="A3" s="2">
        <v>46043</v>
      </c>
      <c r="B3">
        <v>35.805</v>
      </c>
      <c r="C3">
        <v>45.2</v>
      </c>
      <c r="D3">
        <v>18.940000000000001</v>
      </c>
      <c r="E3">
        <v>26.27</v>
      </c>
      <c r="F3">
        <v>36.15</v>
      </c>
      <c r="G3">
        <v>85.04</v>
      </c>
      <c r="H3">
        <v>28.26</v>
      </c>
      <c r="I3">
        <v>67.45</v>
      </c>
      <c r="J3">
        <v>75.36</v>
      </c>
      <c r="K3">
        <v>115.66</v>
      </c>
      <c r="L3">
        <v>35.020000000000003</v>
      </c>
      <c r="M3">
        <v>73.52</v>
      </c>
      <c r="N3">
        <v>70.739999999999995</v>
      </c>
      <c r="O3">
        <v>51.55</v>
      </c>
      <c r="P3">
        <v>62.49</v>
      </c>
      <c r="Q3">
        <v>19.71</v>
      </c>
      <c r="R3">
        <v>1317.56</v>
      </c>
      <c r="S3">
        <v>38.64</v>
      </c>
      <c r="T3">
        <v>20.3</v>
      </c>
      <c r="U3">
        <v>19.39</v>
      </c>
      <c r="V3">
        <v>38.299999999999997</v>
      </c>
      <c r="W3">
        <v>46.11</v>
      </c>
      <c r="X3">
        <v>26.7</v>
      </c>
      <c r="Y3">
        <v>55.02</v>
      </c>
      <c r="Z3">
        <v>42.82</v>
      </c>
      <c r="AA3">
        <v>84.78</v>
      </c>
      <c r="AB3">
        <v>60.49</v>
      </c>
      <c r="AC3">
        <v>45.16</v>
      </c>
      <c r="AD3">
        <v>616.28</v>
      </c>
      <c r="AE3">
        <v>685.4</v>
      </c>
      <c r="AF3">
        <v>45.05</v>
      </c>
      <c r="AG3">
        <v>61.539000000000001</v>
      </c>
      <c r="AH3">
        <v>51.52</v>
      </c>
      <c r="AI3">
        <v>54.44</v>
      </c>
    </row>
    <row r="4" spans="1:35" x14ac:dyDescent="0.45">
      <c r="A4" s="2">
        <v>46042</v>
      </c>
      <c r="B4">
        <v>35.5</v>
      </c>
      <c r="C4">
        <v>43.89</v>
      </c>
      <c r="D4">
        <v>19.13</v>
      </c>
      <c r="E4">
        <v>26</v>
      </c>
      <c r="F4">
        <v>35.840000000000003</v>
      </c>
      <c r="G4">
        <v>84.78</v>
      </c>
      <c r="H4">
        <v>27.88</v>
      </c>
      <c r="I4">
        <v>66.540000000000006</v>
      </c>
      <c r="J4">
        <v>74.61</v>
      </c>
      <c r="K4">
        <v>110.97</v>
      </c>
      <c r="L4">
        <v>33.619999999999997</v>
      </c>
      <c r="M4">
        <v>73.44</v>
      </c>
      <c r="N4">
        <v>69.88</v>
      </c>
      <c r="O4">
        <v>51.73</v>
      </c>
      <c r="P4">
        <v>61.65</v>
      </c>
      <c r="Q4">
        <v>19.71</v>
      </c>
      <c r="R4">
        <v>1296.3699999999999</v>
      </c>
      <c r="S4">
        <v>38.869999999999997</v>
      </c>
      <c r="T4">
        <v>20.09</v>
      </c>
      <c r="U4">
        <v>19.510000000000002</v>
      </c>
      <c r="V4">
        <v>37.94</v>
      </c>
      <c r="W4">
        <v>46.09</v>
      </c>
      <c r="X4">
        <v>26.46</v>
      </c>
      <c r="Y4">
        <v>54.75</v>
      </c>
      <c r="Z4">
        <v>42.54</v>
      </c>
      <c r="AA4">
        <v>83.72</v>
      </c>
      <c r="AB4">
        <v>60.16</v>
      </c>
      <c r="AC4">
        <v>44.7</v>
      </c>
      <c r="AD4">
        <v>608.05999999999995</v>
      </c>
      <c r="AE4">
        <v>677.58</v>
      </c>
      <c r="AF4">
        <v>44.55</v>
      </c>
      <c r="AG4">
        <v>60.64</v>
      </c>
      <c r="AH4">
        <v>50.46</v>
      </c>
      <c r="AI4">
        <v>54.02</v>
      </c>
    </row>
    <row r="5" spans="1:35" x14ac:dyDescent="0.45">
      <c r="A5" s="2">
        <v>46041</v>
      </c>
      <c r="B5">
        <v>35.515000000000001</v>
      </c>
      <c r="C5">
        <v>44.09</v>
      </c>
      <c r="D5">
        <v>19.14</v>
      </c>
      <c r="E5">
        <v>26.42</v>
      </c>
      <c r="F5">
        <v>35.92</v>
      </c>
      <c r="G5">
        <v>82.63</v>
      </c>
      <c r="H5">
        <v>28.17</v>
      </c>
      <c r="I5">
        <v>67.34</v>
      </c>
      <c r="J5">
        <v>74</v>
      </c>
      <c r="K5">
        <v>112.22</v>
      </c>
      <c r="L5">
        <v>33.17</v>
      </c>
      <c r="M5">
        <v>72.78</v>
      </c>
      <c r="N5">
        <v>70.03</v>
      </c>
      <c r="O5">
        <v>52.85</v>
      </c>
      <c r="P5">
        <v>62.52</v>
      </c>
      <c r="Q5">
        <v>19.46</v>
      </c>
      <c r="R5">
        <v>1283.2</v>
      </c>
      <c r="S5">
        <v>38.409999999999997</v>
      </c>
      <c r="T5">
        <v>19.87</v>
      </c>
      <c r="U5">
        <v>19.73</v>
      </c>
      <c r="V5">
        <v>37.83</v>
      </c>
      <c r="W5">
        <v>45.755000000000003</v>
      </c>
      <c r="X5">
        <v>26.74</v>
      </c>
      <c r="Y5">
        <v>55.13</v>
      </c>
      <c r="Z5">
        <v>43.34</v>
      </c>
      <c r="AA5">
        <v>85.48</v>
      </c>
      <c r="AB5">
        <v>60.51</v>
      </c>
      <c r="AC5">
        <v>45.18</v>
      </c>
      <c r="AD5">
        <v>621.26</v>
      </c>
      <c r="AE5">
        <v>691.66</v>
      </c>
      <c r="AF5">
        <v>45.29</v>
      </c>
      <c r="AG5">
        <v>61.91</v>
      </c>
      <c r="AH5">
        <v>51.31</v>
      </c>
      <c r="AI5">
        <v>54.92</v>
      </c>
    </row>
    <row r="6" spans="1:35" x14ac:dyDescent="0.45">
      <c r="A6" s="2">
        <v>46038</v>
      </c>
      <c r="B6">
        <v>35.515000000000001</v>
      </c>
      <c r="C6">
        <v>44.09</v>
      </c>
      <c r="D6">
        <v>19.14</v>
      </c>
      <c r="E6">
        <v>26.42</v>
      </c>
      <c r="F6">
        <v>35.92</v>
      </c>
      <c r="G6">
        <v>82.63</v>
      </c>
      <c r="H6">
        <v>28.17</v>
      </c>
      <c r="I6">
        <v>67.34</v>
      </c>
      <c r="J6">
        <v>74</v>
      </c>
      <c r="K6">
        <v>112.22</v>
      </c>
      <c r="L6">
        <v>33.17</v>
      </c>
      <c r="M6">
        <v>72.78</v>
      </c>
      <c r="N6">
        <v>70.03</v>
      </c>
      <c r="O6">
        <v>52.85</v>
      </c>
      <c r="P6">
        <v>62.52</v>
      </c>
      <c r="Q6">
        <v>19.46</v>
      </c>
      <c r="R6">
        <v>1275.5999999999999</v>
      </c>
      <c r="S6">
        <v>38.409999999999997</v>
      </c>
      <c r="T6">
        <v>19.87</v>
      </c>
      <c r="U6">
        <v>19.73</v>
      </c>
      <c r="V6">
        <v>37.83</v>
      </c>
      <c r="W6">
        <v>45.755000000000003</v>
      </c>
      <c r="X6">
        <v>26.74</v>
      </c>
      <c r="Y6">
        <v>55.13</v>
      </c>
      <c r="Z6">
        <v>43.34</v>
      </c>
      <c r="AA6">
        <v>85.48</v>
      </c>
      <c r="AB6">
        <v>60.51</v>
      </c>
      <c r="AC6">
        <v>45.18</v>
      </c>
      <c r="AD6">
        <v>621.26</v>
      </c>
      <c r="AE6">
        <v>691.66</v>
      </c>
      <c r="AF6">
        <v>45.29</v>
      </c>
      <c r="AG6">
        <v>61.91</v>
      </c>
      <c r="AH6">
        <v>51.31</v>
      </c>
      <c r="AI6">
        <v>54.92</v>
      </c>
    </row>
    <row r="7" spans="1:35" x14ac:dyDescent="0.45">
      <c r="A7" s="2">
        <v>46037</v>
      </c>
      <c r="B7">
        <v>35.869999999999997</v>
      </c>
      <c r="C7">
        <v>44.15</v>
      </c>
      <c r="D7">
        <v>19.22</v>
      </c>
      <c r="E7">
        <v>26.38</v>
      </c>
      <c r="F7">
        <v>36.15</v>
      </c>
      <c r="G7">
        <v>83.01</v>
      </c>
      <c r="H7">
        <v>28.28</v>
      </c>
      <c r="I7">
        <v>67.290000000000006</v>
      </c>
      <c r="J7">
        <v>73.25</v>
      </c>
      <c r="K7">
        <v>111.05</v>
      </c>
      <c r="L7">
        <v>33.36</v>
      </c>
      <c r="M7">
        <v>73.739999999999995</v>
      </c>
      <c r="N7">
        <v>69.84</v>
      </c>
      <c r="O7">
        <v>53.22</v>
      </c>
      <c r="P7">
        <v>63.59</v>
      </c>
      <c r="Q7">
        <v>19.425000000000001</v>
      </c>
      <c r="R7">
        <v>1261.3900000000001</v>
      </c>
      <c r="S7">
        <v>37.94</v>
      </c>
      <c r="T7">
        <v>19.73</v>
      </c>
      <c r="U7">
        <v>19.53</v>
      </c>
      <c r="V7">
        <v>37.99</v>
      </c>
      <c r="W7">
        <v>45.630099999999999</v>
      </c>
      <c r="X7">
        <v>26.65</v>
      </c>
      <c r="Y7">
        <v>55.22</v>
      </c>
      <c r="Z7">
        <v>43.24</v>
      </c>
      <c r="AA7">
        <v>85.42</v>
      </c>
      <c r="AB7">
        <v>60.52</v>
      </c>
      <c r="AC7">
        <v>45.09</v>
      </c>
      <c r="AD7">
        <v>621.78</v>
      </c>
      <c r="AE7">
        <v>692.24</v>
      </c>
      <c r="AF7">
        <v>45.4</v>
      </c>
      <c r="AG7">
        <v>61.6</v>
      </c>
      <c r="AH7">
        <v>51.05</v>
      </c>
      <c r="AI7">
        <v>54.8</v>
      </c>
    </row>
    <row r="8" spans="1:35" x14ac:dyDescent="0.45">
      <c r="A8" s="2">
        <v>46036</v>
      </c>
      <c r="B8">
        <v>35.6</v>
      </c>
      <c r="C8">
        <v>44.51</v>
      </c>
      <c r="D8">
        <v>19.14</v>
      </c>
      <c r="E8">
        <v>26.04</v>
      </c>
      <c r="F8">
        <v>36.03</v>
      </c>
      <c r="G8">
        <v>82.26</v>
      </c>
      <c r="H8">
        <v>28.2</v>
      </c>
      <c r="I8">
        <v>66.510000000000005</v>
      </c>
      <c r="J8">
        <v>73.38</v>
      </c>
      <c r="K8">
        <v>109.64</v>
      </c>
      <c r="L8">
        <v>33.159999999999997</v>
      </c>
      <c r="M8">
        <v>73.39</v>
      </c>
      <c r="N8">
        <v>69.150000000000006</v>
      </c>
      <c r="O8">
        <v>53.25</v>
      </c>
      <c r="P8">
        <v>63.55</v>
      </c>
      <c r="Q8">
        <v>19.659600000000001</v>
      </c>
      <c r="R8">
        <v>1244.3</v>
      </c>
      <c r="S8">
        <v>37.590000000000003</v>
      </c>
      <c r="T8">
        <v>19.59</v>
      </c>
      <c r="U8">
        <v>19.690000000000001</v>
      </c>
      <c r="V8">
        <v>38.21</v>
      </c>
      <c r="W8">
        <v>45.89</v>
      </c>
      <c r="X8">
        <v>26.54</v>
      </c>
      <c r="Y8">
        <v>55.18</v>
      </c>
      <c r="Z8">
        <v>43.49</v>
      </c>
      <c r="AA8">
        <v>85.04</v>
      </c>
      <c r="AB8">
        <v>60.87</v>
      </c>
      <c r="AC8">
        <v>45.28</v>
      </c>
      <c r="AD8">
        <v>619.54999999999995</v>
      </c>
      <c r="AE8">
        <v>690.36</v>
      </c>
      <c r="AF8">
        <v>45.87</v>
      </c>
      <c r="AG8">
        <v>60.67</v>
      </c>
      <c r="AH8">
        <v>50.61</v>
      </c>
      <c r="AI8">
        <v>55.04</v>
      </c>
    </row>
    <row r="9" spans="1:35" x14ac:dyDescent="0.45">
      <c r="A9" s="2">
        <v>46035</v>
      </c>
      <c r="B9">
        <v>35.590000000000003</v>
      </c>
      <c r="C9">
        <v>44.34</v>
      </c>
      <c r="D9">
        <v>19.03</v>
      </c>
      <c r="E9">
        <v>26.24</v>
      </c>
      <c r="F9">
        <v>36.090000000000003</v>
      </c>
      <c r="G9">
        <v>80.989999999999995</v>
      </c>
      <c r="H9">
        <v>28.05</v>
      </c>
      <c r="I9">
        <v>66.099999999999994</v>
      </c>
      <c r="J9">
        <v>71.97</v>
      </c>
      <c r="K9">
        <v>107.54</v>
      </c>
      <c r="L9">
        <v>32.630000000000003</v>
      </c>
      <c r="M9">
        <v>73.09</v>
      </c>
      <c r="N9">
        <v>69</v>
      </c>
      <c r="O9">
        <v>53.04</v>
      </c>
      <c r="P9">
        <v>63.52</v>
      </c>
      <c r="Q9">
        <v>19.71</v>
      </c>
      <c r="R9">
        <v>1235.3</v>
      </c>
      <c r="S9">
        <v>37.729999999999997</v>
      </c>
      <c r="T9">
        <v>19.760000000000002</v>
      </c>
      <c r="U9">
        <v>19.8</v>
      </c>
      <c r="V9">
        <v>38.21</v>
      </c>
      <c r="W9">
        <v>45.52</v>
      </c>
      <c r="X9">
        <v>26.41</v>
      </c>
      <c r="Y9">
        <v>55.12</v>
      </c>
      <c r="Z9">
        <v>43.57</v>
      </c>
      <c r="AA9">
        <v>84.45</v>
      </c>
      <c r="AB9">
        <v>60.17</v>
      </c>
      <c r="AC9">
        <v>44.98</v>
      </c>
      <c r="AD9">
        <v>626.24</v>
      </c>
      <c r="AE9">
        <v>693.77</v>
      </c>
      <c r="AF9">
        <v>45.96</v>
      </c>
      <c r="AG9">
        <v>60.78</v>
      </c>
      <c r="AH9">
        <v>50.7</v>
      </c>
      <c r="AI9">
        <v>54.81</v>
      </c>
    </row>
    <row r="10" spans="1:35" x14ac:dyDescent="0.45">
      <c r="A10" s="2">
        <v>46034</v>
      </c>
      <c r="B10">
        <v>36.229999999999997</v>
      </c>
      <c r="C10">
        <v>43.87</v>
      </c>
      <c r="D10">
        <v>18.989999999999998</v>
      </c>
      <c r="E10">
        <v>26.41</v>
      </c>
      <c r="F10">
        <v>36.380000000000003</v>
      </c>
      <c r="G10">
        <v>80.55</v>
      </c>
      <c r="H10">
        <v>27.97</v>
      </c>
      <c r="I10">
        <v>66.62</v>
      </c>
      <c r="J10">
        <v>72.06</v>
      </c>
      <c r="K10">
        <v>108.93</v>
      </c>
      <c r="L10">
        <v>32.93</v>
      </c>
      <c r="M10">
        <v>72.78</v>
      </c>
      <c r="N10">
        <v>69.489999999999995</v>
      </c>
      <c r="O10">
        <v>53.4</v>
      </c>
      <c r="P10">
        <v>64.260000000000005</v>
      </c>
      <c r="Q10">
        <v>19.6099</v>
      </c>
      <c r="R10">
        <v>1242.2</v>
      </c>
      <c r="S10">
        <v>37.54</v>
      </c>
      <c r="T10">
        <v>19.55</v>
      </c>
      <c r="U10">
        <v>19.670000000000002</v>
      </c>
      <c r="V10">
        <v>37.82</v>
      </c>
      <c r="W10">
        <v>46.1</v>
      </c>
      <c r="X10">
        <v>26.45</v>
      </c>
      <c r="Y10">
        <v>55.09</v>
      </c>
      <c r="Z10">
        <v>43.83</v>
      </c>
      <c r="AA10">
        <v>85.29</v>
      </c>
      <c r="AB10">
        <v>60.63</v>
      </c>
      <c r="AC10">
        <v>45.09</v>
      </c>
      <c r="AD10">
        <v>627.16999999999996</v>
      </c>
      <c r="AE10">
        <v>695.16</v>
      </c>
      <c r="AF10">
        <v>46.1</v>
      </c>
      <c r="AG10">
        <v>61.04</v>
      </c>
      <c r="AH10">
        <v>50.91</v>
      </c>
      <c r="AI10">
        <v>55.32</v>
      </c>
    </row>
    <row r="11" spans="1:35" x14ac:dyDescent="0.45">
      <c r="A11" s="2">
        <v>46031</v>
      </c>
      <c r="B11">
        <v>35.83</v>
      </c>
      <c r="C11">
        <v>42.85</v>
      </c>
      <c r="D11">
        <v>19.010000000000002</v>
      </c>
      <c r="E11">
        <v>26.13</v>
      </c>
      <c r="F11">
        <v>36.200000000000003</v>
      </c>
      <c r="G11">
        <v>78.19</v>
      </c>
      <c r="H11">
        <v>27.59</v>
      </c>
      <c r="I11">
        <v>65.92</v>
      </c>
      <c r="J11">
        <v>71.06</v>
      </c>
      <c r="K11">
        <v>108.89</v>
      </c>
      <c r="L11">
        <v>33.06</v>
      </c>
      <c r="M11">
        <v>70.69</v>
      </c>
      <c r="N11">
        <v>68.98</v>
      </c>
      <c r="O11">
        <v>53.174999999999997</v>
      </c>
      <c r="P11">
        <v>62.22</v>
      </c>
      <c r="Q11">
        <v>19.36</v>
      </c>
      <c r="R11">
        <v>1254.0899999999999</v>
      </c>
      <c r="S11">
        <v>37.159999999999997</v>
      </c>
      <c r="T11">
        <v>19.43</v>
      </c>
      <c r="U11">
        <v>19.28</v>
      </c>
      <c r="V11">
        <v>36.869999999999997</v>
      </c>
      <c r="W11">
        <v>45.98</v>
      </c>
      <c r="X11">
        <v>26.26</v>
      </c>
      <c r="Y11">
        <v>54.63</v>
      </c>
      <c r="Z11">
        <v>43.41</v>
      </c>
      <c r="AA11">
        <v>84.61</v>
      </c>
      <c r="AB11">
        <v>60.58</v>
      </c>
      <c r="AC11">
        <v>44.79</v>
      </c>
      <c r="AD11">
        <v>626.65</v>
      </c>
      <c r="AE11">
        <v>694.07</v>
      </c>
      <c r="AF11">
        <v>45.88</v>
      </c>
      <c r="AG11">
        <v>60.4</v>
      </c>
      <c r="AH11">
        <v>50.78</v>
      </c>
      <c r="AI11">
        <v>55.03</v>
      </c>
    </row>
    <row r="12" spans="1:35" x14ac:dyDescent="0.45">
      <c r="A12" s="2">
        <v>46030</v>
      </c>
      <c r="B12">
        <v>35.49</v>
      </c>
      <c r="C12">
        <v>42.75</v>
      </c>
      <c r="D12">
        <v>18.989999999999998</v>
      </c>
      <c r="E12">
        <v>26.08</v>
      </c>
      <c r="F12">
        <v>35.82</v>
      </c>
      <c r="G12">
        <v>76.55</v>
      </c>
      <c r="H12">
        <v>27.36</v>
      </c>
      <c r="I12">
        <v>65.44</v>
      </c>
      <c r="J12">
        <v>70.48</v>
      </c>
      <c r="K12">
        <v>106.59</v>
      </c>
      <c r="L12">
        <v>32.880000000000003</v>
      </c>
      <c r="M12">
        <v>70.34</v>
      </c>
      <c r="N12">
        <v>69.19</v>
      </c>
      <c r="O12">
        <v>53.72</v>
      </c>
      <c r="P12">
        <v>62.28</v>
      </c>
      <c r="Q12">
        <v>19.28</v>
      </c>
      <c r="R12">
        <v>1253.5999999999999</v>
      </c>
      <c r="S12">
        <v>36.729999999999997</v>
      </c>
      <c r="T12">
        <v>19.649999999999999</v>
      </c>
      <c r="U12">
        <v>19.309999999999999</v>
      </c>
      <c r="V12">
        <v>36.82</v>
      </c>
      <c r="W12">
        <v>46.115000000000002</v>
      </c>
      <c r="X12">
        <v>26.37</v>
      </c>
      <c r="Y12">
        <v>54.46</v>
      </c>
      <c r="Z12">
        <v>43.31</v>
      </c>
      <c r="AA12">
        <v>82.86</v>
      </c>
      <c r="AB12">
        <v>60.21</v>
      </c>
      <c r="AC12">
        <v>44.6</v>
      </c>
      <c r="AD12">
        <v>620.47</v>
      </c>
      <c r="AE12">
        <v>689.51</v>
      </c>
      <c r="AF12">
        <v>45.46</v>
      </c>
      <c r="AG12">
        <v>59.21</v>
      </c>
      <c r="AH12">
        <v>50.28</v>
      </c>
      <c r="AI12">
        <v>55.24</v>
      </c>
    </row>
    <row r="13" spans="1:35" x14ac:dyDescent="0.45">
      <c r="A13" s="2">
        <v>46029</v>
      </c>
      <c r="B13">
        <v>35.5</v>
      </c>
      <c r="C13">
        <v>42.39</v>
      </c>
      <c r="D13">
        <v>19.03</v>
      </c>
      <c r="E13">
        <v>25.92</v>
      </c>
      <c r="F13">
        <v>36.6</v>
      </c>
      <c r="G13">
        <v>75.42</v>
      </c>
      <c r="H13">
        <v>27.43</v>
      </c>
      <c r="I13">
        <v>65.59</v>
      </c>
      <c r="J13">
        <v>69.92</v>
      </c>
      <c r="K13">
        <v>107.03</v>
      </c>
      <c r="L13">
        <v>32.700000000000003</v>
      </c>
      <c r="M13">
        <v>71.45</v>
      </c>
      <c r="N13">
        <v>67.98</v>
      </c>
      <c r="O13">
        <v>54.2</v>
      </c>
      <c r="P13">
        <v>61.88</v>
      </c>
      <c r="Q13">
        <v>19.405000000000001</v>
      </c>
      <c r="R13">
        <v>1280.82</v>
      </c>
      <c r="S13">
        <v>36.630000000000003</v>
      </c>
      <c r="T13">
        <v>19.649999999999999</v>
      </c>
      <c r="U13">
        <v>19.440000000000001</v>
      </c>
      <c r="V13">
        <v>36.32</v>
      </c>
      <c r="W13">
        <v>46.295000000000002</v>
      </c>
      <c r="X13">
        <v>26.27</v>
      </c>
      <c r="Y13">
        <v>54.01</v>
      </c>
      <c r="Z13">
        <v>43.26</v>
      </c>
      <c r="AA13">
        <v>82.92</v>
      </c>
      <c r="AB13">
        <v>60.31</v>
      </c>
      <c r="AC13">
        <v>44.49</v>
      </c>
      <c r="AD13">
        <v>624.02</v>
      </c>
      <c r="AE13">
        <v>689.58</v>
      </c>
      <c r="AF13">
        <v>45.4</v>
      </c>
      <c r="AG13">
        <v>59.8</v>
      </c>
      <c r="AH13">
        <v>50.87</v>
      </c>
      <c r="AI13">
        <v>54.97</v>
      </c>
    </row>
    <row r="14" spans="1:35" x14ac:dyDescent="0.45">
      <c r="A14" s="2">
        <v>46028</v>
      </c>
      <c r="B14">
        <v>35.64</v>
      </c>
      <c r="C14">
        <v>42.55</v>
      </c>
      <c r="D14">
        <v>19.079999999999998</v>
      </c>
      <c r="E14">
        <v>25.98</v>
      </c>
      <c r="F14">
        <v>36.26</v>
      </c>
      <c r="G14">
        <v>76.709999999999994</v>
      </c>
      <c r="H14">
        <v>27.63</v>
      </c>
      <c r="I14">
        <v>65.83</v>
      </c>
      <c r="J14">
        <v>70.040000000000006</v>
      </c>
      <c r="K14">
        <v>107.61</v>
      </c>
      <c r="L14">
        <v>33.11</v>
      </c>
      <c r="M14">
        <v>72.739999999999995</v>
      </c>
      <c r="N14">
        <v>67.39</v>
      </c>
      <c r="O14">
        <v>54.08</v>
      </c>
      <c r="P14">
        <v>62.71</v>
      </c>
      <c r="Q14">
        <v>19.3551</v>
      </c>
      <c r="R14">
        <v>1274.75</v>
      </c>
      <c r="S14">
        <v>36.770000000000003</v>
      </c>
      <c r="T14">
        <v>19.425000000000001</v>
      </c>
      <c r="U14">
        <v>19.43</v>
      </c>
      <c r="V14">
        <v>37.03</v>
      </c>
      <c r="W14">
        <v>46.147599999999997</v>
      </c>
      <c r="X14">
        <v>26.49</v>
      </c>
      <c r="Y14">
        <v>54.65</v>
      </c>
      <c r="Z14">
        <v>43.13</v>
      </c>
      <c r="AA14">
        <v>83.07</v>
      </c>
      <c r="AB14">
        <v>60.55</v>
      </c>
      <c r="AC14">
        <v>45.05</v>
      </c>
      <c r="AD14">
        <v>623.41999999999996</v>
      </c>
      <c r="AE14">
        <v>691.81</v>
      </c>
      <c r="AF14">
        <v>45.6</v>
      </c>
      <c r="AG14">
        <v>60.44</v>
      </c>
      <c r="AH14">
        <v>50.11</v>
      </c>
      <c r="AI14">
        <v>55.29</v>
      </c>
    </row>
    <row r="15" spans="1:35" x14ac:dyDescent="0.45">
      <c r="A15" s="2">
        <v>46027</v>
      </c>
      <c r="B15">
        <v>35.21</v>
      </c>
      <c r="C15">
        <v>41.6</v>
      </c>
      <c r="D15">
        <v>19.04</v>
      </c>
      <c r="E15">
        <v>25.46</v>
      </c>
      <c r="F15">
        <v>36.17</v>
      </c>
      <c r="G15">
        <v>74.87</v>
      </c>
      <c r="H15">
        <v>27.61</v>
      </c>
      <c r="I15">
        <v>65.3</v>
      </c>
      <c r="J15">
        <v>70.58</v>
      </c>
      <c r="K15">
        <v>104.83</v>
      </c>
      <c r="L15">
        <v>32.79</v>
      </c>
      <c r="M15">
        <v>70.239999999999995</v>
      </c>
      <c r="N15">
        <v>67.61</v>
      </c>
      <c r="O15">
        <v>54.29</v>
      </c>
      <c r="P15">
        <v>62.67</v>
      </c>
      <c r="Q15">
        <v>19.190000000000001</v>
      </c>
      <c r="R15">
        <v>1280.05</v>
      </c>
      <c r="S15">
        <v>35.81</v>
      </c>
      <c r="T15">
        <v>19.22</v>
      </c>
      <c r="U15">
        <v>19.02</v>
      </c>
      <c r="V15">
        <v>36</v>
      </c>
      <c r="W15">
        <v>45.858400000000003</v>
      </c>
      <c r="X15">
        <v>26.61</v>
      </c>
      <c r="Y15">
        <v>54.59</v>
      </c>
      <c r="Z15">
        <v>43.05</v>
      </c>
      <c r="AA15">
        <v>83.13</v>
      </c>
      <c r="AB15">
        <v>60.43</v>
      </c>
      <c r="AC15">
        <v>44.81</v>
      </c>
      <c r="AD15">
        <v>617.99</v>
      </c>
      <c r="AE15">
        <v>687.72</v>
      </c>
      <c r="AF15">
        <v>45.42</v>
      </c>
      <c r="AG15">
        <v>60.14</v>
      </c>
      <c r="AH15">
        <v>50.39</v>
      </c>
      <c r="AI15">
        <v>55.67</v>
      </c>
    </row>
    <row r="16" spans="1:35" x14ac:dyDescent="0.45">
      <c r="A16" s="2">
        <v>46024</v>
      </c>
      <c r="B16">
        <v>34.909999999999997</v>
      </c>
      <c r="C16">
        <v>40.369999999999997</v>
      </c>
      <c r="D16">
        <v>18.809999999999999</v>
      </c>
      <c r="E16">
        <v>25.3</v>
      </c>
      <c r="F16">
        <v>36.25</v>
      </c>
      <c r="G16">
        <v>72.709999999999994</v>
      </c>
      <c r="H16">
        <v>27.42</v>
      </c>
      <c r="I16">
        <v>64.77</v>
      </c>
      <c r="J16">
        <v>69.66</v>
      </c>
      <c r="K16">
        <v>102.22</v>
      </c>
      <c r="L16">
        <v>32.200000000000003</v>
      </c>
      <c r="M16">
        <v>69.400000000000006</v>
      </c>
      <c r="N16">
        <v>67.444599999999994</v>
      </c>
      <c r="O16">
        <v>54.56</v>
      </c>
      <c r="P16">
        <v>62.24</v>
      </c>
      <c r="Q16">
        <v>18.824999999999999</v>
      </c>
      <c r="R16">
        <v>1259.67</v>
      </c>
      <c r="S16">
        <v>34.92</v>
      </c>
      <c r="T16">
        <v>19.2151</v>
      </c>
      <c r="U16">
        <v>19.11</v>
      </c>
      <c r="V16">
        <v>36.770000000000003</v>
      </c>
      <c r="W16">
        <v>45.471899999999998</v>
      </c>
      <c r="X16">
        <v>26.47</v>
      </c>
      <c r="Y16">
        <v>54.19</v>
      </c>
      <c r="Z16">
        <v>42.56</v>
      </c>
      <c r="AA16">
        <v>81.33</v>
      </c>
      <c r="AB16">
        <v>60.34</v>
      </c>
      <c r="AC16">
        <v>44.46</v>
      </c>
      <c r="AD16">
        <v>613.12</v>
      </c>
      <c r="AE16">
        <v>683.17</v>
      </c>
      <c r="AF16">
        <v>45.31</v>
      </c>
      <c r="AG16">
        <v>58.64</v>
      </c>
      <c r="AH16">
        <v>49.6</v>
      </c>
      <c r="AI16">
        <v>55.16</v>
      </c>
    </row>
    <row r="17" spans="1:35" x14ac:dyDescent="0.45">
      <c r="A17" s="2">
        <v>46023</v>
      </c>
      <c r="B17">
        <v>34.58</v>
      </c>
      <c r="C17">
        <v>40.4</v>
      </c>
      <c r="D17">
        <v>18.7</v>
      </c>
      <c r="E17">
        <v>24.92</v>
      </c>
      <c r="F17">
        <v>35.19</v>
      </c>
      <c r="G17">
        <v>72.349999999999994</v>
      </c>
      <c r="H17">
        <v>27.36</v>
      </c>
      <c r="I17">
        <v>63.53</v>
      </c>
      <c r="J17">
        <v>69.33</v>
      </c>
      <c r="K17">
        <v>97.22</v>
      </c>
      <c r="L17">
        <v>31.77</v>
      </c>
      <c r="M17">
        <v>68.8</v>
      </c>
      <c r="N17">
        <v>65.91</v>
      </c>
      <c r="O17">
        <v>54.05</v>
      </c>
      <c r="P17">
        <v>60.07</v>
      </c>
      <c r="Q17">
        <v>18.818300000000001</v>
      </c>
      <c r="R17">
        <v>1259.67</v>
      </c>
      <c r="S17">
        <v>34.42</v>
      </c>
      <c r="T17">
        <v>19.12</v>
      </c>
      <c r="U17">
        <v>19.079999999999998</v>
      </c>
      <c r="V17">
        <v>36.409999999999997</v>
      </c>
      <c r="W17">
        <v>45.271500000000003</v>
      </c>
      <c r="X17">
        <v>26.19</v>
      </c>
      <c r="Y17">
        <v>53.93</v>
      </c>
      <c r="Z17">
        <v>42.5</v>
      </c>
      <c r="AA17">
        <v>80.739999999999995</v>
      </c>
      <c r="AB17">
        <v>59.96</v>
      </c>
      <c r="AC17">
        <v>43.98</v>
      </c>
      <c r="AD17">
        <v>614.30999999999995</v>
      </c>
      <c r="AE17">
        <v>681.92</v>
      </c>
      <c r="AF17">
        <v>44.99</v>
      </c>
      <c r="AG17">
        <v>57.03</v>
      </c>
      <c r="AH17">
        <v>49.23</v>
      </c>
      <c r="AI17">
        <v>54.33</v>
      </c>
    </row>
    <row r="18" spans="1:35" x14ac:dyDescent="0.45">
      <c r="A18" s="2">
        <v>46022</v>
      </c>
      <c r="B18">
        <v>34.58</v>
      </c>
      <c r="C18">
        <v>40.4</v>
      </c>
      <c r="D18">
        <v>18.7</v>
      </c>
      <c r="E18">
        <v>24.92</v>
      </c>
      <c r="F18">
        <v>35.19</v>
      </c>
      <c r="G18">
        <v>72.349999999999994</v>
      </c>
      <c r="H18">
        <v>27.36</v>
      </c>
      <c r="I18">
        <v>63.53</v>
      </c>
      <c r="J18">
        <v>69.33</v>
      </c>
      <c r="K18">
        <v>97.22</v>
      </c>
      <c r="L18">
        <v>31.77</v>
      </c>
      <c r="M18">
        <v>68.8</v>
      </c>
      <c r="N18">
        <v>65.91</v>
      </c>
      <c r="O18">
        <v>54.05</v>
      </c>
      <c r="P18">
        <v>60.07</v>
      </c>
      <c r="Q18">
        <v>18.818300000000001</v>
      </c>
      <c r="R18">
        <v>1259.67</v>
      </c>
      <c r="S18">
        <v>34.42</v>
      </c>
      <c r="T18">
        <v>19.12</v>
      </c>
      <c r="U18">
        <v>19.079999999999998</v>
      </c>
      <c r="V18">
        <v>36.409999999999997</v>
      </c>
      <c r="W18">
        <v>45.271500000000003</v>
      </c>
      <c r="X18">
        <v>26.19</v>
      </c>
      <c r="Y18">
        <v>53.93</v>
      </c>
      <c r="Z18">
        <v>42.5</v>
      </c>
      <c r="AA18">
        <v>80.739999999999995</v>
      </c>
      <c r="AB18">
        <v>59.96</v>
      </c>
      <c r="AC18">
        <v>43.98</v>
      </c>
      <c r="AD18">
        <v>614.30999999999995</v>
      </c>
      <c r="AE18">
        <v>681.92</v>
      </c>
      <c r="AF18">
        <v>44.99</v>
      </c>
      <c r="AG18">
        <v>57.03</v>
      </c>
      <c r="AH18">
        <v>49.23</v>
      </c>
      <c r="AI18">
        <v>54.33</v>
      </c>
    </row>
    <row r="19" spans="1:35" x14ac:dyDescent="0.45">
      <c r="A19" s="2">
        <v>46021</v>
      </c>
      <c r="B19">
        <v>34.590000000000003</v>
      </c>
      <c r="C19">
        <v>40.54</v>
      </c>
      <c r="D19">
        <v>18.670000000000002</v>
      </c>
      <c r="E19">
        <v>25.06</v>
      </c>
      <c r="F19">
        <v>35.159999999999997</v>
      </c>
      <c r="G19">
        <v>72.91</v>
      </c>
      <c r="H19">
        <v>27.57</v>
      </c>
      <c r="I19">
        <v>63.71</v>
      </c>
      <c r="J19">
        <v>69.489999999999995</v>
      </c>
      <c r="K19">
        <v>98.62</v>
      </c>
      <c r="L19">
        <v>31.99</v>
      </c>
      <c r="M19">
        <v>69.23</v>
      </c>
      <c r="N19">
        <v>66.5</v>
      </c>
      <c r="O19">
        <v>53.64</v>
      </c>
      <c r="P19">
        <v>60.58</v>
      </c>
      <c r="Q19">
        <v>18.95</v>
      </c>
      <c r="R19">
        <v>1259.67</v>
      </c>
      <c r="S19">
        <v>34.42</v>
      </c>
      <c r="T19">
        <v>19.05</v>
      </c>
      <c r="U19">
        <v>19.010000000000002</v>
      </c>
      <c r="V19">
        <v>36.049999999999997</v>
      </c>
      <c r="W19">
        <v>45.41</v>
      </c>
      <c r="X19">
        <v>26.41</v>
      </c>
      <c r="Y19">
        <v>54.3</v>
      </c>
      <c r="Z19">
        <v>42.75</v>
      </c>
      <c r="AA19">
        <v>80.98</v>
      </c>
      <c r="AB19">
        <v>60.17</v>
      </c>
      <c r="AC19">
        <v>44.22</v>
      </c>
      <c r="AD19">
        <v>619.42999999999995</v>
      </c>
      <c r="AE19">
        <v>687.01</v>
      </c>
      <c r="AF19">
        <v>45.14</v>
      </c>
      <c r="AG19">
        <v>57.226999999999997</v>
      </c>
      <c r="AH19">
        <v>49.55</v>
      </c>
      <c r="AI19">
        <v>54.59</v>
      </c>
    </row>
    <row r="20" spans="1:35" x14ac:dyDescent="0.45">
      <c r="A20" s="2">
        <v>46020</v>
      </c>
      <c r="B20">
        <v>34.369999999999997</v>
      </c>
      <c r="C20">
        <v>40.15</v>
      </c>
      <c r="D20">
        <v>18.670000000000002</v>
      </c>
      <c r="E20">
        <v>25.09</v>
      </c>
      <c r="F20">
        <v>34.96</v>
      </c>
      <c r="G20">
        <v>71.95</v>
      </c>
      <c r="H20">
        <v>27.53</v>
      </c>
      <c r="I20">
        <v>63.33</v>
      </c>
      <c r="J20">
        <v>70.510000000000005</v>
      </c>
      <c r="K20">
        <v>98.72</v>
      </c>
      <c r="L20">
        <v>31.42</v>
      </c>
      <c r="M20">
        <v>68.430000000000007</v>
      </c>
      <c r="N20">
        <v>68</v>
      </c>
      <c r="O20">
        <v>53.47</v>
      </c>
      <c r="P20">
        <v>60.37</v>
      </c>
      <c r="Q20">
        <v>18.8751</v>
      </c>
      <c r="R20">
        <v>1254.03</v>
      </c>
      <c r="S20">
        <v>34.409999999999997</v>
      </c>
      <c r="T20">
        <v>19.600000000000001</v>
      </c>
      <c r="U20">
        <v>18.920000000000002</v>
      </c>
      <c r="V20">
        <v>36.39</v>
      </c>
      <c r="W20">
        <v>45.41</v>
      </c>
      <c r="X20">
        <v>26.48</v>
      </c>
      <c r="Y20">
        <v>54.33</v>
      </c>
      <c r="Z20">
        <v>42.51</v>
      </c>
      <c r="AA20">
        <v>81.09</v>
      </c>
      <c r="AB20">
        <v>60.35</v>
      </c>
      <c r="AC20">
        <v>44.02</v>
      </c>
      <c r="AD20">
        <v>620.87</v>
      </c>
      <c r="AE20">
        <v>687.85</v>
      </c>
      <c r="AF20">
        <v>44.99</v>
      </c>
      <c r="AG20">
        <v>57</v>
      </c>
      <c r="AH20">
        <v>49.32</v>
      </c>
      <c r="AI20">
        <v>54.16</v>
      </c>
    </row>
    <row r="21" spans="1:35" x14ac:dyDescent="0.45">
      <c r="A21" s="2">
        <v>46017</v>
      </c>
      <c r="B21">
        <v>34.71</v>
      </c>
      <c r="C21">
        <v>40.29</v>
      </c>
      <c r="D21">
        <v>18.47</v>
      </c>
      <c r="E21">
        <v>25.08</v>
      </c>
      <c r="F21">
        <v>35.200000000000003</v>
      </c>
      <c r="G21">
        <v>73.77</v>
      </c>
      <c r="H21">
        <v>27.64</v>
      </c>
      <c r="I21">
        <v>63.02</v>
      </c>
      <c r="J21">
        <v>71.150000000000006</v>
      </c>
      <c r="K21">
        <v>95.84</v>
      </c>
      <c r="L21">
        <v>31.73</v>
      </c>
      <c r="M21">
        <v>70.31</v>
      </c>
      <c r="N21">
        <v>68.61</v>
      </c>
      <c r="O21">
        <v>53.84</v>
      </c>
      <c r="P21">
        <v>61.27</v>
      </c>
      <c r="Q21">
        <v>18.864999999999998</v>
      </c>
      <c r="R21">
        <v>1259.25</v>
      </c>
      <c r="S21">
        <v>34.76</v>
      </c>
      <c r="T21">
        <v>19.54</v>
      </c>
      <c r="U21">
        <v>18.399999999999999</v>
      </c>
      <c r="V21">
        <v>36.57</v>
      </c>
      <c r="W21">
        <v>45.73</v>
      </c>
      <c r="X21">
        <v>26.68</v>
      </c>
      <c r="Y21">
        <v>54.8</v>
      </c>
      <c r="Z21">
        <v>42.65</v>
      </c>
      <c r="AA21">
        <v>80.97</v>
      </c>
      <c r="AB21">
        <v>60.54</v>
      </c>
      <c r="AC21">
        <v>44.24</v>
      </c>
      <c r="AD21">
        <v>623.89</v>
      </c>
      <c r="AE21">
        <v>690.31</v>
      </c>
      <c r="AF21">
        <v>45.18</v>
      </c>
      <c r="AG21">
        <v>57.16</v>
      </c>
      <c r="AH21">
        <v>49.65</v>
      </c>
      <c r="AI21">
        <v>54.62</v>
      </c>
    </row>
    <row r="22" spans="1:35" x14ac:dyDescent="0.45">
      <c r="A22" s="2">
        <v>46016</v>
      </c>
      <c r="B22">
        <v>34.44</v>
      </c>
      <c r="C22">
        <v>40.03</v>
      </c>
      <c r="D22">
        <v>18.45</v>
      </c>
      <c r="E22">
        <v>24.94</v>
      </c>
      <c r="F22">
        <v>35.15</v>
      </c>
      <c r="G22">
        <v>72.739999999999995</v>
      </c>
      <c r="H22">
        <v>27.69</v>
      </c>
      <c r="I22">
        <v>62.53</v>
      </c>
      <c r="J22">
        <v>70.95</v>
      </c>
      <c r="K22">
        <v>94.6</v>
      </c>
      <c r="L22">
        <v>31.55</v>
      </c>
      <c r="M22">
        <v>69.92</v>
      </c>
      <c r="N22">
        <v>68.16</v>
      </c>
      <c r="O22">
        <v>54.01</v>
      </c>
      <c r="P22">
        <v>60.61</v>
      </c>
      <c r="Q22">
        <v>18.96</v>
      </c>
      <c r="R22">
        <v>1264.77</v>
      </c>
      <c r="S22">
        <v>34.869999999999997</v>
      </c>
      <c r="T22">
        <v>19.52</v>
      </c>
      <c r="U22">
        <v>19.010000000000002</v>
      </c>
      <c r="V22">
        <v>36.6</v>
      </c>
      <c r="W22">
        <v>45.74</v>
      </c>
      <c r="X22">
        <v>26.6</v>
      </c>
      <c r="Y22">
        <v>54.6</v>
      </c>
      <c r="Z22">
        <v>42.57</v>
      </c>
      <c r="AA22">
        <v>81</v>
      </c>
      <c r="AB22">
        <v>60.53</v>
      </c>
      <c r="AC22">
        <v>44.08</v>
      </c>
      <c r="AD22">
        <v>623.92999999999995</v>
      </c>
      <c r="AE22">
        <v>690.38</v>
      </c>
      <c r="AF22">
        <v>44.98</v>
      </c>
      <c r="AG22">
        <v>57.1</v>
      </c>
      <c r="AH22">
        <v>49.31</v>
      </c>
      <c r="AI22">
        <v>54.56</v>
      </c>
    </row>
    <row r="23" spans="1:35" x14ac:dyDescent="0.45">
      <c r="A23" s="2">
        <v>46015</v>
      </c>
      <c r="B23">
        <v>34.44</v>
      </c>
      <c r="C23">
        <v>40.03</v>
      </c>
      <c r="D23">
        <v>18.45</v>
      </c>
      <c r="E23">
        <v>24.94</v>
      </c>
      <c r="F23">
        <v>35.15</v>
      </c>
      <c r="G23">
        <v>72.739999999999995</v>
      </c>
      <c r="H23">
        <v>27.69</v>
      </c>
      <c r="I23">
        <v>62.53</v>
      </c>
      <c r="J23">
        <v>70.95</v>
      </c>
      <c r="K23">
        <v>94.6</v>
      </c>
      <c r="L23">
        <v>31.55</v>
      </c>
      <c r="M23">
        <v>69.92</v>
      </c>
      <c r="N23">
        <v>68.16</v>
      </c>
      <c r="O23">
        <v>54.01</v>
      </c>
      <c r="P23">
        <v>60.61</v>
      </c>
      <c r="Q23">
        <v>18.96</v>
      </c>
      <c r="R23">
        <v>1275.33</v>
      </c>
      <c r="S23">
        <v>34.869999999999997</v>
      </c>
      <c r="T23">
        <v>19.52</v>
      </c>
      <c r="U23">
        <v>19.010000000000002</v>
      </c>
      <c r="V23">
        <v>36.6</v>
      </c>
      <c r="W23">
        <v>45.74</v>
      </c>
      <c r="X23">
        <v>26.6</v>
      </c>
      <c r="Y23">
        <v>54.6</v>
      </c>
      <c r="Z23">
        <v>42.57</v>
      </c>
      <c r="AA23">
        <v>81</v>
      </c>
      <c r="AB23">
        <v>60.53</v>
      </c>
      <c r="AC23">
        <v>44.08</v>
      </c>
      <c r="AD23">
        <v>623.92999999999995</v>
      </c>
      <c r="AE23">
        <v>690.38</v>
      </c>
      <c r="AF23">
        <v>44.98</v>
      </c>
      <c r="AG23">
        <v>57.1</v>
      </c>
      <c r="AH23">
        <v>49.31</v>
      </c>
      <c r="AI23">
        <v>54.56</v>
      </c>
    </row>
    <row r="24" spans="1:35" x14ac:dyDescent="0.45">
      <c r="A24" s="2">
        <v>46014</v>
      </c>
      <c r="B24">
        <v>34.31</v>
      </c>
      <c r="C24">
        <v>39.92</v>
      </c>
      <c r="D24">
        <v>18.559999999999999</v>
      </c>
      <c r="E24">
        <v>24.93</v>
      </c>
      <c r="F24">
        <v>34.99</v>
      </c>
      <c r="G24">
        <v>72.78</v>
      </c>
      <c r="H24">
        <v>27.53</v>
      </c>
      <c r="I24">
        <v>62.5</v>
      </c>
      <c r="J24">
        <v>71.040000000000006</v>
      </c>
      <c r="K24">
        <v>92.7</v>
      </c>
      <c r="L24">
        <v>31.65</v>
      </c>
      <c r="M24">
        <v>69.540000000000006</v>
      </c>
      <c r="N24">
        <v>68.209999999999994</v>
      </c>
      <c r="O24">
        <v>54.47</v>
      </c>
      <c r="P24">
        <v>60.67</v>
      </c>
      <c r="Q24">
        <v>18.930199999999999</v>
      </c>
      <c r="R24">
        <v>1271.1099999999999</v>
      </c>
      <c r="S24">
        <v>34.814999999999998</v>
      </c>
      <c r="T24">
        <v>19.559999999999999</v>
      </c>
      <c r="U24">
        <v>19.079999999999998</v>
      </c>
      <c r="V24">
        <v>36.76</v>
      </c>
      <c r="W24">
        <v>45.54</v>
      </c>
      <c r="X24">
        <v>26.61</v>
      </c>
      <c r="Y24">
        <v>54.54</v>
      </c>
      <c r="Z24">
        <v>42.44</v>
      </c>
      <c r="AA24">
        <v>81.14</v>
      </c>
      <c r="AB24">
        <v>60.4</v>
      </c>
      <c r="AC24">
        <v>43.98</v>
      </c>
      <c r="AD24">
        <v>622.11</v>
      </c>
      <c r="AE24">
        <v>687.96</v>
      </c>
      <c r="AF24">
        <v>44.9</v>
      </c>
      <c r="AG24">
        <v>56.84</v>
      </c>
      <c r="AH24">
        <v>49.21</v>
      </c>
      <c r="AI24">
        <v>54.4</v>
      </c>
    </row>
    <row r="25" spans="1:35" x14ac:dyDescent="0.45">
      <c r="A25" s="2">
        <v>46013</v>
      </c>
      <c r="B25">
        <v>34.24</v>
      </c>
      <c r="C25">
        <v>39.79</v>
      </c>
      <c r="D25">
        <v>18.68</v>
      </c>
      <c r="E25">
        <v>24.96</v>
      </c>
      <c r="F25">
        <v>35.200000000000003</v>
      </c>
      <c r="G25">
        <v>72.08</v>
      </c>
      <c r="H25">
        <v>27.41</v>
      </c>
      <c r="I25">
        <v>61.98</v>
      </c>
      <c r="J25">
        <v>69.95</v>
      </c>
      <c r="K25">
        <v>91.75</v>
      </c>
      <c r="L25">
        <v>30.97</v>
      </c>
      <c r="M25">
        <v>68.790000000000006</v>
      </c>
      <c r="N25">
        <v>68.39</v>
      </c>
      <c r="O25">
        <v>54.19</v>
      </c>
      <c r="P25">
        <v>60.89</v>
      </c>
      <c r="Q25">
        <v>18.839600000000001</v>
      </c>
      <c r="R25">
        <v>1269.68</v>
      </c>
      <c r="S25">
        <v>34.61</v>
      </c>
      <c r="T25">
        <v>19.45</v>
      </c>
      <c r="U25">
        <v>18.61</v>
      </c>
      <c r="V25">
        <v>36.549999999999997</v>
      </c>
      <c r="W25">
        <v>45.18</v>
      </c>
      <c r="X25">
        <v>26.15</v>
      </c>
      <c r="Y25">
        <v>54.17</v>
      </c>
      <c r="Z25">
        <v>42.34</v>
      </c>
      <c r="AA25">
        <v>80.459999999999994</v>
      </c>
      <c r="AB25">
        <v>59.93</v>
      </c>
      <c r="AC25">
        <v>43.79</v>
      </c>
      <c r="AD25">
        <v>619.21</v>
      </c>
      <c r="AE25">
        <v>684.83</v>
      </c>
      <c r="AF25">
        <v>44.96</v>
      </c>
      <c r="AG25">
        <v>57.01</v>
      </c>
      <c r="AH25">
        <v>48.8</v>
      </c>
      <c r="AI25">
        <v>54.24</v>
      </c>
    </row>
    <row r="26" spans="1:35" x14ac:dyDescent="0.45">
      <c r="A26" s="2">
        <v>46010</v>
      </c>
      <c r="B26">
        <v>33.89</v>
      </c>
      <c r="C26">
        <v>39.31</v>
      </c>
      <c r="D26">
        <v>18.579999999999998</v>
      </c>
      <c r="E26">
        <v>24.66</v>
      </c>
      <c r="F26">
        <v>34.78</v>
      </c>
      <c r="G26">
        <v>71.2</v>
      </c>
      <c r="H26">
        <v>27.2</v>
      </c>
      <c r="I26">
        <v>61.64</v>
      </c>
      <c r="J26">
        <v>68.849999999999994</v>
      </c>
      <c r="K26">
        <v>91.34</v>
      </c>
      <c r="L26">
        <v>31.17</v>
      </c>
      <c r="M26">
        <v>67.599999999999994</v>
      </c>
      <c r="N26">
        <v>67.25</v>
      </c>
      <c r="O26">
        <v>54.15</v>
      </c>
      <c r="P26">
        <v>60.63</v>
      </c>
      <c r="Q26">
        <v>18.774999999999999</v>
      </c>
      <c r="R26">
        <v>1252.19</v>
      </c>
      <c r="S26">
        <v>34.86</v>
      </c>
      <c r="T26">
        <v>19.25</v>
      </c>
      <c r="U26">
        <v>18.39</v>
      </c>
      <c r="V26">
        <v>36.36</v>
      </c>
      <c r="W26">
        <v>44.82</v>
      </c>
      <c r="X26">
        <v>25.88</v>
      </c>
      <c r="Y26">
        <v>53.68</v>
      </c>
      <c r="Z26">
        <v>42.1</v>
      </c>
      <c r="AA26">
        <v>80.58</v>
      </c>
      <c r="AB26">
        <v>59.57</v>
      </c>
      <c r="AC26">
        <v>43.54</v>
      </c>
      <c r="AD26">
        <v>617.04999999999995</v>
      </c>
      <c r="AE26">
        <v>680.59</v>
      </c>
      <c r="AF26">
        <v>44.91</v>
      </c>
      <c r="AG26">
        <v>56.61</v>
      </c>
      <c r="AH26">
        <v>48.55</v>
      </c>
      <c r="AI26">
        <v>54.21</v>
      </c>
    </row>
    <row r="27" spans="1:35" x14ac:dyDescent="0.45">
      <c r="A27" s="2">
        <v>46009</v>
      </c>
      <c r="B27">
        <v>33.58</v>
      </c>
      <c r="C27">
        <v>38.69</v>
      </c>
      <c r="D27">
        <v>18.63</v>
      </c>
      <c r="E27">
        <v>25.01</v>
      </c>
      <c r="F27">
        <v>34.409999999999997</v>
      </c>
      <c r="G27">
        <v>69.98</v>
      </c>
      <c r="H27">
        <v>26.88</v>
      </c>
      <c r="I27">
        <v>60.87</v>
      </c>
      <c r="J27">
        <v>68.75</v>
      </c>
      <c r="K27">
        <v>90.07</v>
      </c>
      <c r="L27">
        <v>31.17</v>
      </c>
      <c r="M27">
        <v>67.510000000000005</v>
      </c>
      <c r="N27">
        <v>66.94</v>
      </c>
      <c r="O27">
        <v>53.28</v>
      </c>
      <c r="P27">
        <v>59.99</v>
      </c>
      <c r="Q27">
        <v>18.739999999999998</v>
      </c>
      <c r="R27">
        <v>1250.07</v>
      </c>
      <c r="S27">
        <v>34.82</v>
      </c>
      <c r="T27">
        <v>19.309999999999999</v>
      </c>
      <c r="U27">
        <v>17.88</v>
      </c>
      <c r="V27">
        <v>36.299999999999997</v>
      </c>
      <c r="W27">
        <v>44.6999</v>
      </c>
      <c r="X27">
        <v>25.81</v>
      </c>
      <c r="Y27">
        <v>53.22</v>
      </c>
      <c r="Z27">
        <v>41.94</v>
      </c>
      <c r="AA27">
        <v>79.97</v>
      </c>
      <c r="AB27">
        <v>59.47</v>
      </c>
      <c r="AC27">
        <v>43.13</v>
      </c>
      <c r="AD27">
        <v>609.11</v>
      </c>
      <c r="AE27">
        <v>676.47</v>
      </c>
      <c r="AF27">
        <v>44.8</v>
      </c>
      <c r="AG27">
        <v>56.02</v>
      </c>
      <c r="AH27">
        <v>48.18</v>
      </c>
      <c r="AI27">
        <v>53.81</v>
      </c>
    </row>
    <row r="28" spans="1:35" x14ac:dyDescent="0.45">
      <c r="A28" s="2">
        <v>46008</v>
      </c>
      <c r="B28">
        <v>33.630000000000003</v>
      </c>
      <c r="C28">
        <v>38.28</v>
      </c>
      <c r="D28">
        <v>18.600000000000001</v>
      </c>
      <c r="E28">
        <v>25.1</v>
      </c>
      <c r="F28">
        <v>34.270000000000003</v>
      </c>
      <c r="G28">
        <v>69.180000000000007</v>
      </c>
      <c r="H28">
        <v>26.6</v>
      </c>
      <c r="I28">
        <v>60.03</v>
      </c>
      <c r="J28">
        <v>67.45</v>
      </c>
      <c r="K28">
        <v>88.58</v>
      </c>
      <c r="L28">
        <v>31</v>
      </c>
      <c r="M28">
        <v>66.64</v>
      </c>
      <c r="N28">
        <v>66.25</v>
      </c>
      <c r="O28">
        <v>52.97</v>
      </c>
      <c r="P28">
        <v>59.47</v>
      </c>
      <c r="Q28">
        <v>18.6081</v>
      </c>
      <c r="R28">
        <v>1256.8499999999999</v>
      </c>
      <c r="S28">
        <v>34.734999999999999</v>
      </c>
      <c r="T28">
        <v>19.1129</v>
      </c>
      <c r="U28">
        <v>17.54</v>
      </c>
      <c r="V28">
        <v>35.83</v>
      </c>
      <c r="W28">
        <v>44.634999999999998</v>
      </c>
      <c r="X28">
        <v>25.58</v>
      </c>
      <c r="Y28">
        <v>52.81</v>
      </c>
      <c r="Z28">
        <v>41.61</v>
      </c>
      <c r="AA28">
        <v>79.739999999999995</v>
      </c>
      <c r="AB28">
        <v>58.84</v>
      </c>
      <c r="AC28">
        <v>42.94</v>
      </c>
      <c r="AD28">
        <v>600.41</v>
      </c>
      <c r="AE28">
        <v>671.4</v>
      </c>
      <c r="AF28">
        <v>44.62</v>
      </c>
      <c r="AG28">
        <v>55.57</v>
      </c>
      <c r="AH28">
        <v>47.62</v>
      </c>
      <c r="AI28">
        <v>53.51</v>
      </c>
    </row>
    <row r="29" spans="1:35" x14ac:dyDescent="0.45">
      <c r="A29" s="2">
        <v>46007</v>
      </c>
      <c r="B29">
        <v>33.197000000000003</v>
      </c>
      <c r="C29">
        <v>38.840000000000003</v>
      </c>
      <c r="D29">
        <v>18.670000000000002</v>
      </c>
      <c r="E29">
        <v>25.19</v>
      </c>
      <c r="F29">
        <v>34.409999999999997</v>
      </c>
      <c r="G29">
        <v>69.3</v>
      </c>
      <c r="H29">
        <v>26.79</v>
      </c>
      <c r="I29">
        <v>61.12</v>
      </c>
      <c r="J29">
        <v>68.28</v>
      </c>
      <c r="K29">
        <v>89.52</v>
      </c>
      <c r="L29">
        <v>31.6</v>
      </c>
      <c r="M29">
        <v>65.7</v>
      </c>
      <c r="N29">
        <v>66.81</v>
      </c>
      <c r="O29">
        <v>52.95</v>
      </c>
      <c r="P29">
        <v>59.7</v>
      </c>
      <c r="Q29">
        <v>18.696899999999999</v>
      </c>
      <c r="R29">
        <v>1260.68</v>
      </c>
      <c r="S29">
        <v>34.71</v>
      </c>
      <c r="T29">
        <v>19.239999999999998</v>
      </c>
      <c r="U29">
        <v>17.850000000000001</v>
      </c>
      <c r="V29">
        <v>36.090000000000003</v>
      </c>
      <c r="W29">
        <v>45.1265</v>
      </c>
      <c r="X29">
        <v>25.82</v>
      </c>
      <c r="Y29">
        <v>52.98</v>
      </c>
      <c r="Z29">
        <v>42.03</v>
      </c>
      <c r="AA29">
        <v>80.849999999999994</v>
      </c>
      <c r="AB29">
        <v>59.02</v>
      </c>
      <c r="AC29">
        <v>42.73</v>
      </c>
      <c r="AD29">
        <v>611.75</v>
      </c>
      <c r="AE29">
        <v>678.87</v>
      </c>
      <c r="AF29">
        <v>44.94</v>
      </c>
      <c r="AG29">
        <v>56.41</v>
      </c>
      <c r="AH29">
        <v>48.23</v>
      </c>
      <c r="AI29">
        <v>53.58</v>
      </c>
    </row>
    <row r="30" spans="1:35" x14ac:dyDescent="0.45">
      <c r="A30" s="2">
        <v>46006</v>
      </c>
      <c r="B30">
        <v>34.049999999999997</v>
      </c>
      <c r="C30">
        <v>38.994999999999997</v>
      </c>
      <c r="D30">
        <v>18.86</v>
      </c>
      <c r="E30">
        <v>24.95</v>
      </c>
      <c r="F30">
        <v>35.9</v>
      </c>
      <c r="G30">
        <v>69.25</v>
      </c>
      <c r="H30">
        <v>27.09</v>
      </c>
      <c r="I30">
        <v>64.11</v>
      </c>
      <c r="J30">
        <v>70.48</v>
      </c>
      <c r="K30">
        <v>92.73</v>
      </c>
      <c r="L30">
        <v>33.58</v>
      </c>
      <c r="M30">
        <v>69.61</v>
      </c>
      <c r="N30">
        <v>67.45</v>
      </c>
      <c r="O30">
        <v>53.1</v>
      </c>
      <c r="P30">
        <v>60.87</v>
      </c>
      <c r="Q30">
        <v>19.010000000000002</v>
      </c>
      <c r="R30">
        <v>1273.4000000000001</v>
      </c>
      <c r="S30">
        <v>35.29</v>
      </c>
      <c r="T30">
        <v>19.38</v>
      </c>
      <c r="U30">
        <v>17.420000000000002</v>
      </c>
      <c r="V30">
        <v>36.81</v>
      </c>
      <c r="W30">
        <v>45.75</v>
      </c>
      <c r="X30">
        <v>26.42</v>
      </c>
      <c r="Y30">
        <v>53.8</v>
      </c>
      <c r="Z30">
        <v>42.1</v>
      </c>
      <c r="AA30">
        <v>84.87</v>
      </c>
      <c r="AB30">
        <v>59.06</v>
      </c>
      <c r="AC30">
        <v>43.75</v>
      </c>
      <c r="AD30">
        <v>610.54</v>
      </c>
      <c r="AE30">
        <v>680.73</v>
      </c>
      <c r="AF30">
        <v>45.18</v>
      </c>
      <c r="AG30">
        <v>58.76</v>
      </c>
      <c r="AH30">
        <v>49.11</v>
      </c>
      <c r="AI30">
        <v>54.35</v>
      </c>
    </row>
    <row r="31" spans="1:35" x14ac:dyDescent="0.45">
      <c r="A31" s="2">
        <v>46003</v>
      </c>
      <c r="B31">
        <v>34.08</v>
      </c>
      <c r="C31">
        <v>39.78</v>
      </c>
      <c r="D31">
        <v>18.760000000000002</v>
      </c>
      <c r="E31">
        <v>24.9</v>
      </c>
      <c r="F31">
        <v>35.200000000000003</v>
      </c>
      <c r="G31">
        <v>69.3</v>
      </c>
      <c r="H31">
        <v>26.98</v>
      </c>
      <c r="I31">
        <v>64.099999999999994</v>
      </c>
      <c r="J31">
        <v>70.69</v>
      </c>
      <c r="K31">
        <v>92.67</v>
      </c>
      <c r="L31">
        <v>33.32</v>
      </c>
      <c r="M31">
        <v>68.63</v>
      </c>
      <c r="N31">
        <v>67.239999999999995</v>
      </c>
      <c r="O31">
        <v>53.14</v>
      </c>
      <c r="P31">
        <v>61.52</v>
      </c>
      <c r="Q31">
        <v>19.32</v>
      </c>
      <c r="R31">
        <v>1254.0999999999999</v>
      </c>
      <c r="S31">
        <v>34.82</v>
      </c>
      <c r="T31">
        <v>19.350000000000001</v>
      </c>
      <c r="U31">
        <v>17.489999999999998</v>
      </c>
      <c r="V31">
        <v>37.4</v>
      </c>
      <c r="W31">
        <v>45.71</v>
      </c>
      <c r="X31">
        <v>26.52</v>
      </c>
      <c r="Y31">
        <v>53.89</v>
      </c>
      <c r="Z31">
        <v>42.18</v>
      </c>
      <c r="AA31">
        <v>84</v>
      </c>
      <c r="AB31">
        <v>58.37</v>
      </c>
      <c r="AC31">
        <v>43.28</v>
      </c>
      <c r="AD31">
        <v>613.62</v>
      </c>
      <c r="AE31">
        <v>681.76</v>
      </c>
      <c r="AF31">
        <v>44.88</v>
      </c>
      <c r="AG31">
        <v>58.6</v>
      </c>
      <c r="AH31">
        <v>49.38</v>
      </c>
      <c r="AI31">
        <v>53.66</v>
      </c>
    </row>
    <row r="32" spans="1:35" x14ac:dyDescent="0.45">
      <c r="A32" s="2">
        <v>46002</v>
      </c>
      <c r="B32">
        <v>34.090000000000003</v>
      </c>
      <c r="C32">
        <v>39.28</v>
      </c>
      <c r="D32">
        <v>18.68</v>
      </c>
      <c r="E32">
        <v>25.02</v>
      </c>
      <c r="F32">
        <v>35.270000000000003</v>
      </c>
      <c r="G32">
        <v>69.680000000000007</v>
      </c>
      <c r="H32">
        <v>26.87</v>
      </c>
      <c r="I32">
        <v>65.92</v>
      </c>
      <c r="J32">
        <v>71.06</v>
      </c>
      <c r="K32">
        <v>94.96</v>
      </c>
      <c r="L32">
        <v>33.159999999999997</v>
      </c>
      <c r="M32">
        <v>69.5</v>
      </c>
      <c r="N32">
        <v>67.67</v>
      </c>
      <c r="O32">
        <v>53.57</v>
      </c>
      <c r="P32">
        <v>61.69</v>
      </c>
      <c r="Q32">
        <v>19.315000000000001</v>
      </c>
      <c r="R32">
        <v>1253.54</v>
      </c>
      <c r="S32">
        <v>34.82</v>
      </c>
      <c r="T32">
        <v>19.510000000000002</v>
      </c>
      <c r="U32">
        <v>18.27</v>
      </c>
      <c r="V32">
        <v>37.619999999999997</v>
      </c>
      <c r="W32">
        <v>46.35</v>
      </c>
      <c r="X32">
        <v>26.64</v>
      </c>
      <c r="Y32">
        <v>54.08</v>
      </c>
      <c r="Z32">
        <v>42.39</v>
      </c>
      <c r="AA32">
        <v>84.22</v>
      </c>
      <c r="AB32">
        <v>58.49</v>
      </c>
      <c r="AC32">
        <v>43.65</v>
      </c>
      <c r="AD32">
        <v>625.58000000000004</v>
      </c>
      <c r="AE32">
        <v>689.17</v>
      </c>
      <c r="AF32">
        <v>45</v>
      </c>
      <c r="AG32">
        <v>59.5</v>
      </c>
      <c r="AH32">
        <v>49.67</v>
      </c>
      <c r="AI32">
        <v>53.95</v>
      </c>
    </row>
    <row r="33" spans="1:35" x14ac:dyDescent="0.45">
      <c r="A33" s="2">
        <v>46001</v>
      </c>
      <c r="B33">
        <v>34.340000000000003</v>
      </c>
      <c r="C33">
        <v>38.75</v>
      </c>
      <c r="D33">
        <v>18.86</v>
      </c>
      <c r="E33">
        <v>24.73</v>
      </c>
      <c r="F33">
        <v>34.880000000000003</v>
      </c>
      <c r="G33">
        <v>68.290000000000006</v>
      </c>
      <c r="H33">
        <v>26.52</v>
      </c>
      <c r="I33">
        <v>66.8</v>
      </c>
      <c r="J33">
        <v>69.040000000000006</v>
      </c>
      <c r="K33">
        <v>96.75</v>
      </c>
      <c r="L33">
        <v>32.770000000000003</v>
      </c>
      <c r="M33">
        <v>68.180000000000007</v>
      </c>
      <c r="N33">
        <v>66.77</v>
      </c>
      <c r="O33">
        <v>53.36</v>
      </c>
      <c r="P33">
        <v>61.81</v>
      </c>
      <c r="Q33">
        <v>19.168500000000002</v>
      </c>
      <c r="R33">
        <v>1269.8699999999999</v>
      </c>
      <c r="S33">
        <v>34.729999999999997</v>
      </c>
      <c r="T33">
        <v>19.440100000000001</v>
      </c>
      <c r="U33">
        <v>18.28</v>
      </c>
      <c r="V33">
        <v>37.659999999999997</v>
      </c>
      <c r="W33">
        <v>46.2943</v>
      </c>
      <c r="X33">
        <v>26.65</v>
      </c>
      <c r="Y33">
        <v>53.72</v>
      </c>
      <c r="Z33">
        <v>41.94</v>
      </c>
      <c r="AA33">
        <v>83.91</v>
      </c>
      <c r="AB33">
        <v>58.38</v>
      </c>
      <c r="AC33">
        <v>43.46</v>
      </c>
      <c r="AD33">
        <v>627.61</v>
      </c>
      <c r="AE33">
        <v>687.57</v>
      </c>
      <c r="AF33">
        <v>44.58</v>
      </c>
      <c r="AG33">
        <v>58.8</v>
      </c>
      <c r="AH33">
        <v>49.36</v>
      </c>
      <c r="AI33">
        <v>53.55</v>
      </c>
    </row>
    <row r="34" spans="1:35" x14ac:dyDescent="0.45">
      <c r="A34" s="2">
        <v>46000</v>
      </c>
      <c r="B34">
        <v>34.225000000000001</v>
      </c>
      <c r="C34">
        <v>38.340000000000003</v>
      </c>
      <c r="D34">
        <v>18.68</v>
      </c>
      <c r="E34">
        <v>24.67</v>
      </c>
      <c r="F34">
        <v>34.25</v>
      </c>
      <c r="G34">
        <v>67.48</v>
      </c>
      <c r="H34">
        <v>26.37</v>
      </c>
      <c r="I34">
        <v>65.72</v>
      </c>
      <c r="J34">
        <v>69.27</v>
      </c>
      <c r="K34">
        <v>95.57</v>
      </c>
      <c r="L34">
        <v>32.74</v>
      </c>
      <c r="M34">
        <v>66.91</v>
      </c>
      <c r="N34">
        <v>65.8</v>
      </c>
      <c r="O34">
        <v>53.27</v>
      </c>
      <c r="P34">
        <v>61.35</v>
      </c>
      <c r="Q34">
        <v>19.041399999999999</v>
      </c>
      <c r="R34">
        <v>1269.8699999999999</v>
      </c>
      <c r="S34">
        <v>34.659999999999997</v>
      </c>
      <c r="T34">
        <v>19.38</v>
      </c>
      <c r="U34">
        <v>18.649999999999999</v>
      </c>
      <c r="V34">
        <v>37.43</v>
      </c>
      <c r="W34">
        <v>45.950400000000002</v>
      </c>
      <c r="X34">
        <v>26.35</v>
      </c>
      <c r="Y34">
        <v>53.07</v>
      </c>
      <c r="Z34">
        <v>41.53</v>
      </c>
      <c r="AA34">
        <v>83.31</v>
      </c>
      <c r="AB34">
        <v>57.69</v>
      </c>
      <c r="AC34">
        <v>42.88</v>
      </c>
      <c r="AD34">
        <v>625.04999999999995</v>
      </c>
      <c r="AE34">
        <v>683.04</v>
      </c>
      <c r="AF34">
        <v>44.21</v>
      </c>
      <c r="AG34">
        <v>58.55</v>
      </c>
      <c r="AH34">
        <v>48.55</v>
      </c>
      <c r="AI34">
        <v>53.02</v>
      </c>
    </row>
    <row r="35" spans="1:35" x14ac:dyDescent="0.45">
      <c r="A35" s="2">
        <v>45999</v>
      </c>
      <c r="B35">
        <v>34.36</v>
      </c>
      <c r="C35">
        <v>38.24</v>
      </c>
      <c r="D35">
        <v>18.87</v>
      </c>
      <c r="E35">
        <v>24.58</v>
      </c>
      <c r="F35">
        <v>33.51</v>
      </c>
      <c r="G35">
        <v>66.53</v>
      </c>
      <c r="H35">
        <v>26.32</v>
      </c>
      <c r="I35">
        <v>65.569999999999993</v>
      </c>
      <c r="J35">
        <v>68.64</v>
      </c>
      <c r="K35">
        <v>95.07</v>
      </c>
      <c r="L35">
        <v>32.75</v>
      </c>
      <c r="M35">
        <v>66.39</v>
      </c>
      <c r="N35">
        <v>66.97</v>
      </c>
      <c r="O35">
        <v>53.08</v>
      </c>
      <c r="P35">
        <v>62.22</v>
      </c>
      <c r="Q35">
        <v>18.955400000000001</v>
      </c>
      <c r="R35">
        <v>1261.3900000000001</v>
      </c>
      <c r="S35">
        <v>34.42</v>
      </c>
      <c r="T35">
        <v>19.079999999999998</v>
      </c>
      <c r="U35">
        <v>18.72</v>
      </c>
      <c r="V35">
        <v>37.19</v>
      </c>
      <c r="W35">
        <v>46.026699999999998</v>
      </c>
      <c r="X35">
        <v>26.24</v>
      </c>
      <c r="Y35">
        <v>52.95</v>
      </c>
      <c r="Z35">
        <v>41.34</v>
      </c>
      <c r="AA35">
        <v>83.19</v>
      </c>
      <c r="AB35">
        <v>57.76</v>
      </c>
      <c r="AC35">
        <v>43.08</v>
      </c>
      <c r="AD35">
        <v>624.28</v>
      </c>
      <c r="AE35">
        <v>683.63</v>
      </c>
      <c r="AF35">
        <v>44.65</v>
      </c>
      <c r="AG35">
        <v>58.7224</v>
      </c>
      <c r="AH35">
        <v>48.4</v>
      </c>
      <c r="AI35">
        <v>52.98</v>
      </c>
    </row>
    <row r="36" spans="1:35" x14ac:dyDescent="0.45">
      <c r="A36" s="2">
        <v>45996</v>
      </c>
      <c r="B36">
        <v>34.21</v>
      </c>
      <c r="C36">
        <v>38.18</v>
      </c>
      <c r="D36">
        <v>18.82</v>
      </c>
      <c r="E36">
        <v>24.73</v>
      </c>
      <c r="F36">
        <v>33.44</v>
      </c>
      <c r="G36">
        <v>67.03</v>
      </c>
      <c r="H36">
        <v>26.64</v>
      </c>
      <c r="I36">
        <v>65.349999999999994</v>
      </c>
      <c r="J36">
        <v>68.680000000000007</v>
      </c>
      <c r="K36">
        <v>94.3</v>
      </c>
      <c r="L36">
        <v>32.53</v>
      </c>
      <c r="M36">
        <v>67.88</v>
      </c>
      <c r="N36">
        <v>66.45</v>
      </c>
      <c r="O36">
        <v>53.97</v>
      </c>
      <c r="P36">
        <v>62.66</v>
      </c>
      <c r="Q36">
        <v>18.930399999999999</v>
      </c>
      <c r="R36">
        <v>1273.77</v>
      </c>
      <c r="S36">
        <v>33.840000000000003</v>
      </c>
      <c r="T36">
        <v>19.22</v>
      </c>
      <c r="U36">
        <v>18.649999999999999</v>
      </c>
      <c r="V36">
        <v>37.200000000000003</v>
      </c>
      <c r="W36">
        <v>45.994999999999997</v>
      </c>
      <c r="X36">
        <v>26.34</v>
      </c>
      <c r="Y36">
        <v>53.29</v>
      </c>
      <c r="Z36">
        <v>41.41</v>
      </c>
      <c r="AA36">
        <v>83.7</v>
      </c>
      <c r="AB36">
        <v>58.03</v>
      </c>
      <c r="AC36">
        <v>43.22</v>
      </c>
      <c r="AD36">
        <v>625.48</v>
      </c>
      <c r="AE36">
        <v>685.69</v>
      </c>
      <c r="AF36">
        <v>44.62</v>
      </c>
      <c r="AG36">
        <v>58.55</v>
      </c>
      <c r="AH36">
        <v>48.37</v>
      </c>
      <c r="AI36">
        <v>52.98</v>
      </c>
    </row>
    <row r="37" spans="1:35" x14ac:dyDescent="0.45">
      <c r="A37" s="2">
        <v>45995</v>
      </c>
      <c r="B37">
        <v>33.74</v>
      </c>
      <c r="C37">
        <v>38.51</v>
      </c>
      <c r="D37">
        <v>18.79</v>
      </c>
      <c r="E37">
        <v>24.2</v>
      </c>
      <c r="F37">
        <v>33.53</v>
      </c>
      <c r="G37">
        <v>67</v>
      </c>
      <c r="H37">
        <v>26.59</v>
      </c>
      <c r="I37">
        <v>64.510000000000005</v>
      </c>
      <c r="J37">
        <v>68.819999999999993</v>
      </c>
      <c r="K37">
        <v>91.87</v>
      </c>
      <c r="L37">
        <v>34.72</v>
      </c>
      <c r="M37">
        <v>67.05</v>
      </c>
      <c r="N37">
        <v>66.3</v>
      </c>
      <c r="O37">
        <v>53.76</v>
      </c>
      <c r="P37">
        <v>61.98</v>
      </c>
      <c r="Q37">
        <v>18.940200000000001</v>
      </c>
      <c r="R37">
        <v>1273.77</v>
      </c>
      <c r="S37">
        <v>33.549999999999997</v>
      </c>
      <c r="T37">
        <v>19.05</v>
      </c>
      <c r="U37">
        <v>18.59</v>
      </c>
      <c r="V37">
        <v>37.17</v>
      </c>
      <c r="W37">
        <v>46.005000000000003</v>
      </c>
      <c r="X37">
        <v>26.29</v>
      </c>
      <c r="Y37">
        <v>53.07</v>
      </c>
      <c r="Z37">
        <v>41.14</v>
      </c>
      <c r="AA37">
        <v>83.62</v>
      </c>
      <c r="AB37">
        <v>57.91</v>
      </c>
      <c r="AC37">
        <v>43.42</v>
      </c>
      <c r="AD37">
        <v>622.94000000000005</v>
      </c>
      <c r="AE37">
        <v>684.39</v>
      </c>
      <c r="AF37">
        <v>44.75</v>
      </c>
      <c r="AG37">
        <v>58.78</v>
      </c>
      <c r="AH37">
        <v>48.09</v>
      </c>
      <c r="AI37">
        <v>53.15</v>
      </c>
    </row>
    <row r="38" spans="1:35" x14ac:dyDescent="0.45">
      <c r="A38" s="2">
        <v>45994</v>
      </c>
      <c r="B38">
        <v>33.76</v>
      </c>
      <c r="C38">
        <v>38.619999999999997</v>
      </c>
      <c r="D38">
        <v>18.829999999999998</v>
      </c>
      <c r="E38">
        <v>24.68</v>
      </c>
      <c r="F38">
        <v>33.61</v>
      </c>
      <c r="G38">
        <v>66.03</v>
      </c>
      <c r="H38">
        <v>26.73</v>
      </c>
      <c r="I38">
        <v>64.849999999999994</v>
      </c>
      <c r="J38">
        <v>68.430000000000007</v>
      </c>
      <c r="K38">
        <v>93</v>
      </c>
      <c r="L38">
        <v>34.200000000000003</v>
      </c>
      <c r="M38">
        <v>66.92</v>
      </c>
      <c r="N38">
        <v>66.37</v>
      </c>
      <c r="O38">
        <v>53.41</v>
      </c>
      <c r="P38">
        <v>61.88</v>
      </c>
      <c r="Q38">
        <v>18.930199999999999</v>
      </c>
      <c r="R38">
        <v>1274.82</v>
      </c>
      <c r="S38">
        <v>33.869999999999997</v>
      </c>
      <c r="T38">
        <v>18.850000000000001</v>
      </c>
      <c r="U38">
        <v>18.690000000000001</v>
      </c>
      <c r="V38">
        <v>37.04</v>
      </c>
      <c r="W38">
        <v>46.165599999999998</v>
      </c>
      <c r="X38">
        <v>26.13</v>
      </c>
      <c r="Y38">
        <v>52.47</v>
      </c>
      <c r="Z38">
        <v>40.950000000000003</v>
      </c>
      <c r="AA38">
        <v>82.61</v>
      </c>
      <c r="AB38">
        <v>58.07</v>
      </c>
      <c r="AC38">
        <v>43.46</v>
      </c>
      <c r="AD38">
        <v>623.52</v>
      </c>
      <c r="AE38">
        <v>683.89</v>
      </c>
      <c r="AF38">
        <v>44.79</v>
      </c>
      <c r="AG38">
        <v>59.18</v>
      </c>
      <c r="AH38">
        <v>47.77</v>
      </c>
      <c r="AI38">
        <v>53.29</v>
      </c>
    </row>
    <row r="39" spans="1:35" x14ac:dyDescent="0.45">
      <c r="A39" s="2">
        <v>45993</v>
      </c>
      <c r="B39">
        <v>33.81</v>
      </c>
      <c r="C39">
        <v>38.29</v>
      </c>
      <c r="D39">
        <v>18.920000000000002</v>
      </c>
      <c r="E39">
        <v>25.06</v>
      </c>
      <c r="F39">
        <v>33.65</v>
      </c>
      <c r="G39">
        <v>64.67</v>
      </c>
      <c r="H39">
        <v>26.67</v>
      </c>
      <c r="I39">
        <v>64.63</v>
      </c>
      <c r="J39">
        <v>68.709999999999994</v>
      </c>
      <c r="K39">
        <v>92.07</v>
      </c>
      <c r="L39">
        <v>34.03</v>
      </c>
      <c r="M39">
        <v>66.5</v>
      </c>
      <c r="N39">
        <v>66.64</v>
      </c>
      <c r="O39">
        <v>53.88</v>
      </c>
      <c r="P39">
        <v>62.24</v>
      </c>
      <c r="Q39">
        <v>18.774999999999999</v>
      </c>
      <c r="R39">
        <v>1277.58</v>
      </c>
      <c r="S39">
        <v>34.1</v>
      </c>
      <c r="T39">
        <v>18.53</v>
      </c>
      <c r="U39">
        <v>18.649999999999999</v>
      </c>
      <c r="V39">
        <v>36.979999999999997</v>
      </c>
      <c r="W39">
        <v>45.818399999999997</v>
      </c>
      <c r="X39">
        <v>25.93</v>
      </c>
      <c r="Y39">
        <v>52.14</v>
      </c>
      <c r="Z39">
        <v>40.89</v>
      </c>
      <c r="AA39">
        <v>82.47</v>
      </c>
      <c r="AB39">
        <v>57.94</v>
      </c>
      <c r="AC39">
        <v>43.01</v>
      </c>
      <c r="AD39">
        <v>622</v>
      </c>
      <c r="AE39">
        <v>681.53</v>
      </c>
      <c r="AF39">
        <v>44.44</v>
      </c>
      <c r="AG39">
        <v>58.57</v>
      </c>
      <c r="AH39">
        <v>47.61</v>
      </c>
      <c r="AI39">
        <v>53</v>
      </c>
    </row>
    <row r="40" spans="1:35" x14ac:dyDescent="0.45">
      <c r="A40" s="2">
        <v>45992</v>
      </c>
      <c r="B40">
        <v>34.25</v>
      </c>
      <c r="C40">
        <v>37.69</v>
      </c>
      <c r="D40">
        <v>18.79</v>
      </c>
      <c r="E40">
        <v>25.24</v>
      </c>
      <c r="F40">
        <v>33.9</v>
      </c>
      <c r="G40">
        <v>64.569999999999993</v>
      </c>
      <c r="H40">
        <v>26.6</v>
      </c>
      <c r="I40">
        <v>64.13</v>
      </c>
      <c r="J40">
        <v>68.459999999999994</v>
      </c>
      <c r="K40">
        <v>90.62</v>
      </c>
      <c r="L40">
        <v>33.4</v>
      </c>
      <c r="M40">
        <v>67.45</v>
      </c>
      <c r="N40">
        <v>66.28</v>
      </c>
      <c r="O40">
        <v>54.33</v>
      </c>
      <c r="P40">
        <v>62.66</v>
      </c>
      <c r="Q40">
        <v>18.71</v>
      </c>
      <c r="R40">
        <v>1276.57</v>
      </c>
      <c r="S40">
        <v>34.03</v>
      </c>
      <c r="T40">
        <v>18.4941</v>
      </c>
      <c r="U40">
        <v>18.38</v>
      </c>
      <c r="V40">
        <v>37.06</v>
      </c>
      <c r="W40">
        <v>45.48</v>
      </c>
      <c r="X40">
        <v>25.73</v>
      </c>
      <c r="Y40">
        <v>52.18</v>
      </c>
      <c r="Z40">
        <v>40.520000000000003</v>
      </c>
      <c r="AA40">
        <v>82.53</v>
      </c>
      <c r="AB40">
        <v>57.42</v>
      </c>
      <c r="AC40">
        <v>42.93</v>
      </c>
      <c r="AD40">
        <v>617.16999999999996</v>
      </c>
      <c r="AE40">
        <v>680.27</v>
      </c>
      <c r="AF40">
        <v>44.41</v>
      </c>
      <c r="AG40">
        <v>58.32</v>
      </c>
      <c r="AH40">
        <v>47.58</v>
      </c>
      <c r="AI40">
        <v>52.66</v>
      </c>
    </row>
    <row r="41" spans="1:35" x14ac:dyDescent="0.45">
      <c r="A41" s="2">
        <v>45989</v>
      </c>
      <c r="B41">
        <v>33.950000000000003</v>
      </c>
      <c r="C41">
        <v>37.86</v>
      </c>
      <c r="D41">
        <v>18.670000000000002</v>
      </c>
      <c r="E41">
        <v>25.21</v>
      </c>
      <c r="F41">
        <v>34.07</v>
      </c>
      <c r="G41">
        <v>64.47</v>
      </c>
      <c r="H41">
        <v>26.43</v>
      </c>
      <c r="I41">
        <v>64.510000000000005</v>
      </c>
      <c r="J41">
        <v>68.42</v>
      </c>
      <c r="K41">
        <v>90.87</v>
      </c>
      <c r="L41">
        <v>33.61</v>
      </c>
      <c r="M41">
        <v>66.739999999999995</v>
      </c>
      <c r="N41">
        <v>65.319999999999993</v>
      </c>
      <c r="O41">
        <v>54.71</v>
      </c>
      <c r="P41">
        <v>62.2</v>
      </c>
      <c r="Q41">
        <v>18.88</v>
      </c>
      <c r="R41">
        <v>1256.69</v>
      </c>
      <c r="S41">
        <v>33.5</v>
      </c>
      <c r="T41">
        <v>18.579999999999998</v>
      </c>
      <c r="U41">
        <v>18.34</v>
      </c>
      <c r="V41">
        <v>37.44</v>
      </c>
      <c r="W41">
        <v>45.625700000000002</v>
      </c>
      <c r="X41">
        <v>25.85</v>
      </c>
      <c r="Y41">
        <v>52.7</v>
      </c>
      <c r="Z41">
        <v>40.92</v>
      </c>
      <c r="AA41">
        <v>83.01</v>
      </c>
      <c r="AB41">
        <v>57.82</v>
      </c>
      <c r="AC41">
        <v>43.15</v>
      </c>
      <c r="AD41">
        <v>619.25</v>
      </c>
      <c r="AE41">
        <v>683.39</v>
      </c>
      <c r="AF41">
        <v>44.57</v>
      </c>
      <c r="AG41">
        <v>58.17</v>
      </c>
      <c r="AH41">
        <v>47.91</v>
      </c>
      <c r="AI41">
        <v>52.93</v>
      </c>
    </row>
    <row r="42" spans="1:35" x14ac:dyDescent="0.45">
      <c r="A42" s="2">
        <v>45988</v>
      </c>
      <c r="B42">
        <v>33.590000000000003</v>
      </c>
      <c r="C42">
        <v>37.61</v>
      </c>
      <c r="D42">
        <v>18.87</v>
      </c>
      <c r="E42">
        <v>25.02</v>
      </c>
      <c r="F42">
        <v>34.07</v>
      </c>
      <c r="G42">
        <v>63.1</v>
      </c>
      <c r="H42">
        <v>26.64</v>
      </c>
      <c r="I42">
        <v>63.66</v>
      </c>
      <c r="J42">
        <v>67.88</v>
      </c>
      <c r="K42">
        <v>91.55</v>
      </c>
      <c r="L42">
        <v>33.47</v>
      </c>
      <c r="M42">
        <v>67.83</v>
      </c>
      <c r="N42">
        <v>66.150000000000006</v>
      </c>
      <c r="O42">
        <v>54.67</v>
      </c>
      <c r="P42">
        <v>61.91</v>
      </c>
      <c r="Q42">
        <v>18.885000000000002</v>
      </c>
      <c r="R42">
        <v>1252.71</v>
      </c>
      <c r="S42">
        <v>33.590000000000003</v>
      </c>
      <c r="T42">
        <v>18.53</v>
      </c>
      <c r="U42">
        <v>18.239999999999998</v>
      </c>
      <c r="V42">
        <v>37.380000000000003</v>
      </c>
      <c r="W42">
        <v>45.47</v>
      </c>
      <c r="X42">
        <v>25.82</v>
      </c>
      <c r="Y42">
        <v>52.25</v>
      </c>
      <c r="Z42">
        <v>40.6</v>
      </c>
      <c r="AA42">
        <v>83.26</v>
      </c>
      <c r="AB42">
        <v>57.55</v>
      </c>
      <c r="AC42">
        <v>42.99</v>
      </c>
      <c r="AD42">
        <v>614.27</v>
      </c>
      <c r="AE42">
        <v>679.68</v>
      </c>
      <c r="AF42">
        <v>44.43</v>
      </c>
      <c r="AG42">
        <v>57.79</v>
      </c>
      <c r="AH42">
        <v>47.43</v>
      </c>
      <c r="AI42">
        <v>52.54</v>
      </c>
    </row>
    <row r="43" spans="1:35" x14ac:dyDescent="0.45">
      <c r="A43" s="2">
        <v>45987</v>
      </c>
      <c r="B43">
        <v>33.590000000000003</v>
      </c>
      <c r="C43">
        <v>37.61</v>
      </c>
      <c r="D43">
        <v>18.87</v>
      </c>
      <c r="E43">
        <v>25.02</v>
      </c>
      <c r="F43">
        <v>34.07</v>
      </c>
      <c r="G43">
        <v>63.1</v>
      </c>
      <c r="H43">
        <v>26.64</v>
      </c>
      <c r="I43">
        <v>63.66</v>
      </c>
      <c r="J43">
        <v>67.88</v>
      </c>
      <c r="K43">
        <v>91.55</v>
      </c>
      <c r="L43">
        <v>33.47</v>
      </c>
      <c r="M43">
        <v>67.83</v>
      </c>
      <c r="N43">
        <v>66.150000000000006</v>
      </c>
      <c r="O43">
        <v>54.67</v>
      </c>
      <c r="P43">
        <v>61.91</v>
      </c>
      <c r="Q43">
        <v>18.885000000000002</v>
      </c>
      <c r="R43">
        <v>1261.18</v>
      </c>
      <c r="S43">
        <v>33.590000000000003</v>
      </c>
      <c r="T43">
        <v>18.53</v>
      </c>
      <c r="U43">
        <v>18.239999999999998</v>
      </c>
      <c r="V43">
        <v>37.380000000000003</v>
      </c>
      <c r="W43">
        <v>45.47</v>
      </c>
      <c r="X43">
        <v>25.82</v>
      </c>
      <c r="Y43">
        <v>52.25</v>
      </c>
      <c r="Z43">
        <v>40.6</v>
      </c>
      <c r="AA43">
        <v>83.26</v>
      </c>
      <c r="AB43">
        <v>57.55</v>
      </c>
      <c r="AC43">
        <v>42.99</v>
      </c>
      <c r="AD43">
        <v>614.27</v>
      </c>
      <c r="AE43">
        <v>679.68</v>
      </c>
      <c r="AF43">
        <v>44.43</v>
      </c>
      <c r="AG43">
        <v>57.79</v>
      </c>
      <c r="AH43">
        <v>47.43</v>
      </c>
      <c r="AI43">
        <v>52.54</v>
      </c>
    </row>
    <row r="44" spans="1:35" x14ac:dyDescent="0.45">
      <c r="A44" s="2">
        <v>45986</v>
      </c>
      <c r="B44">
        <v>33.51</v>
      </c>
      <c r="C44">
        <v>37.270000000000003</v>
      </c>
      <c r="D44">
        <v>18.73</v>
      </c>
      <c r="E44">
        <v>25</v>
      </c>
      <c r="F44">
        <v>33.729999999999997</v>
      </c>
      <c r="G44">
        <v>61.56</v>
      </c>
      <c r="H44">
        <v>26.49</v>
      </c>
      <c r="I44">
        <v>62.8</v>
      </c>
      <c r="J44">
        <v>67.75</v>
      </c>
      <c r="K44">
        <v>89.79</v>
      </c>
      <c r="L44">
        <v>32.549999999999997</v>
      </c>
      <c r="M44">
        <v>66.3</v>
      </c>
      <c r="N44">
        <v>65.48</v>
      </c>
      <c r="O44">
        <v>54.28</v>
      </c>
      <c r="P44">
        <v>62.2</v>
      </c>
      <c r="Q44">
        <v>18.77</v>
      </c>
      <c r="R44">
        <v>1268.78</v>
      </c>
      <c r="S44">
        <v>33.54</v>
      </c>
      <c r="T44">
        <v>18.71</v>
      </c>
      <c r="U44">
        <v>17.75</v>
      </c>
      <c r="V44">
        <v>37.590000000000003</v>
      </c>
      <c r="W44">
        <v>44.699399999999997</v>
      </c>
      <c r="X44">
        <v>25.62</v>
      </c>
      <c r="Y44">
        <v>51.56</v>
      </c>
      <c r="Z44">
        <v>40.19</v>
      </c>
      <c r="AA44">
        <v>81.92</v>
      </c>
      <c r="AB44">
        <v>57.26</v>
      </c>
      <c r="AC44">
        <v>42.52</v>
      </c>
      <c r="AD44">
        <v>608.89</v>
      </c>
      <c r="AE44">
        <v>675.02</v>
      </c>
      <c r="AF44">
        <v>44.06</v>
      </c>
      <c r="AG44">
        <v>56.872</v>
      </c>
      <c r="AH44">
        <v>47.06</v>
      </c>
      <c r="AI44">
        <v>52.16</v>
      </c>
    </row>
    <row r="45" spans="1:35" x14ac:dyDescent="0.45">
      <c r="A45" s="2">
        <v>45985</v>
      </c>
      <c r="B45">
        <v>33.11</v>
      </c>
      <c r="C45">
        <v>36.61</v>
      </c>
      <c r="D45">
        <v>18.78</v>
      </c>
      <c r="E45">
        <v>24.97</v>
      </c>
      <c r="F45">
        <v>32.94</v>
      </c>
      <c r="G45">
        <v>61.02</v>
      </c>
      <c r="H45">
        <v>26.47</v>
      </c>
      <c r="I45">
        <v>62.51</v>
      </c>
      <c r="J45">
        <v>66.55</v>
      </c>
      <c r="K45">
        <v>90.3</v>
      </c>
      <c r="L45">
        <v>32.200000000000003</v>
      </c>
      <c r="M45">
        <v>65.89</v>
      </c>
      <c r="N45">
        <v>63.99</v>
      </c>
      <c r="O45">
        <v>54.22</v>
      </c>
      <c r="P45">
        <v>61.96</v>
      </c>
      <c r="Q45">
        <v>18.850000000000001</v>
      </c>
      <c r="R45">
        <v>1252.73</v>
      </c>
      <c r="S45">
        <v>33.76</v>
      </c>
      <c r="T45">
        <v>18.75</v>
      </c>
      <c r="U45">
        <v>17.91</v>
      </c>
      <c r="V45">
        <v>38.159999999999997</v>
      </c>
      <c r="W45">
        <v>44.47</v>
      </c>
      <c r="X45">
        <v>25.44</v>
      </c>
      <c r="Y45">
        <v>51.05</v>
      </c>
      <c r="Z45">
        <v>39.47</v>
      </c>
      <c r="AA45">
        <v>81.739999999999995</v>
      </c>
      <c r="AB45">
        <v>56.39</v>
      </c>
      <c r="AC45">
        <v>41.92</v>
      </c>
      <c r="AD45">
        <v>605.16</v>
      </c>
      <c r="AE45">
        <v>668.73</v>
      </c>
      <c r="AF45">
        <v>43.33</v>
      </c>
      <c r="AG45">
        <v>55.95</v>
      </c>
      <c r="AH45">
        <v>46.26</v>
      </c>
      <c r="AI45">
        <v>51.19</v>
      </c>
    </row>
    <row r="46" spans="1:35" x14ac:dyDescent="0.45">
      <c r="A46" s="2">
        <v>45982</v>
      </c>
      <c r="B46">
        <v>33.06</v>
      </c>
      <c r="C46">
        <v>36.340000000000003</v>
      </c>
      <c r="D46">
        <v>18.37</v>
      </c>
      <c r="E46">
        <v>25.06</v>
      </c>
      <c r="F46">
        <v>33.04</v>
      </c>
      <c r="G46">
        <v>59.64</v>
      </c>
      <c r="H46">
        <v>26.29</v>
      </c>
      <c r="I46">
        <v>61.8</v>
      </c>
      <c r="J46">
        <v>66.040000000000006</v>
      </c>
      <c r="K46">
        <v>89.22</v>
      </c>
      <c r="L46">
        <v>32.03</v>
      </c>
      <c r="M46">
        <v>64.86</v>
      </c>
      <c r="N46">
        <v>64.64</v>
      </c>
      <c r="O46">
        <v>54.21</v>
      </c>
      <c r="P46">
        <v>60.92</v>
      </c>
      <c r="Q46">
        <v>18.68</v>
      </c>
      <c r="R46">
        <v>1254.4000000000001</v>
      </c>
      <c r="S46">
        <v>33.78</v>
      </c>
      <c r="T46">
        <v>18.68</v>
      </c>
      <c r="U46">
        <v>17.72</v>
      </c>
      <c r="V46">
        <v>38.28</v>
      </c>
      <c r="W46">
        <v>44.33</v>
      </c>
      <c r="X46">
        <v>25.33</v>
      </c>
      <c r="Y46">
        <v>50.43</v>
      </c>
      <c r="Z46">
        <v>39.4</v>
      </c>
      <c r="AA46">
        <v>81.19</v>
      </c>
      <c r="AB46">
        <v>56.69</v>
      </c>
      <c r="AC46">
        <v>42.06</v>
      </c>
      <c r="AD46">
        <v>590.07000000000005</v>
      </c>
      <c r="AE46">
        <v>659.03</v>
      </c>
      <c r="AF46">
        <v>43.69</v>
      </c>
      <c r="AG46">
        <v>55.92</v>
      </c>
      <c r="AH46">
        <v>46.06</v>
      </c>
      <c r="AI46">
        <v>51.47</v>
      </c>
    </row>
    <row r="47" spans="1:35" x14ac:dyDescent="0.45">
      <c r="A47" s="2">
        <v>45981</v>
      </c>
      <c r="B47">
        <v>33.46</v>
      </c>
      <c r="C47">
        <v>36.590000000000003</v>
      </c>
      <c r="D47">
        <v>18.329999999999998</v>
      </c>
      <c r="E47">
        <v>24.37</v>
      </c>
      <c r="F47">
        <v>32.56</v>
      </c>
      <c r="G47">
        <v>59.5</v>
      </c>
      <c r="H47">
        <v>26.05</v>
      </c>
      <c r="I47">
        <v>61.68</v>
      </c>
      <c r="J47">
        <v>66.02</v>
      </c>
      <c r="K47">
        <v>88.53</v>
      </c>
      <c r="L47">
        <v>31.9</v>
      </c>
      <c r="M47">
        <v>64.930000000000007</v>
      </c>
      <c r="N47">
        <v>62.76</v>
      </c>
      <c r="O47">
        <v>54.72</v>
      </c>
      <c r="P47">
        <v>60.88</v>
      </c>
      <c r="Q47">
        <v>18.614999999999998</v>
      </c>
      <c r="R47">
        <v>1281.81</v>
      </c>
      <c r="S47">
        <v>33.58</v>
      </c>
      <c r="T47">
        <v>18.758199999999999</v>
      </c>
      <c r="U47">
        <v>17.45</v>
      </c>
      <c r="V47">
        <v>38.19</v>
      </c>
      <c r="W47">
        <v>43.75</v>
      </c>
      <c r="X47">
        <v>24.95</v>
      </c>
      <c r="Y47">
        <v>49.91</v>
      </c>
      <c r="Z47">
        <v>38.89</v>
      </c>
      <c r="AA47">
        <v>79.489999999999995</v>
      </c>
      <c r="AB47">
        <v>55.69</v>
      </c>
      <c r="AC47">
        <v>41.34</v>
      </c>
      <c r="AD47">
        <v>585.66999999999996</v>
      </c>
      <c r="AE47">
        <v>652.53</v>
      </c>
      <c r="AF47">
        <v>42.99</v>
      </c>
      <c r="AG47">
        <v>55.52</v>
      </c>
      <c r="AH47">
        <v>45.38</v>
      </c>
      <c r="AI47">
        <v>50.81</v>
      </c>
    </row>
    <row r="48" spans="1:35" x14ac:dyDescent="0.45">
      <c r="A48" s="2">
        <v>45980</v>
      </c>
      <c r="B48">
        <v>33.880000000000003</v>
      </c>
      <c r="C48">
        <v>37.11</v>
      </c>
      <c r="D48">
        <v>18.48</v>
      </c>
      <c r="E48">
        <v>24.23</v>
      </c>
      <c r="F48">
        <v>33.29</v>
      </c>
      <c r="G48">
        <v>61.25</v>
      </c>
      <c r="H48">
        <v>26.33</v>
      </c>
      <c r="I48">
        <v>62.5</v>
      </c>
      <c r="J48">
        <v>66.77</v>
      </c>
      <c r="K48">
        <v>90.56</v>
      </c>
      <c r="L48">
        <v>32.49</v>
      </c>
      <c r="M48">
        <v>66.569999999999993</v>
      </c>
      <c r="N48">
        <v>63.34</v>
      </c>
      <c r="O48">
        <v>54.83</v>
      </c>
      <c r="P48">
        <v>61.91</v>
      </c>
      <c r="Q48">
        <v>18.954999999999998</v>
      </c>
      <c r="R48">
        <v>1272.17</v>
      </c>
      <c r="S48">
        <v>33.659999999999997</v>
      </c>
      <c r="T48">
        <v>18.87</v>
      </c>
      <c r="U48">
        <v>17.61</v>
      </c>
      <c r="V48">
        <v>38.43</v>
      </c>
      <c r="W48">
        <v>43.6663</v>
      </c>
      <c r="X48">
        <v>25.3</v>
      </c>
      <c r="Y48">
        <v>50.62</v>
      </c>
      <c r="Z48">
        <v>39.51</v>
      </c>
      <c r="AA48">
        <v>80.680000000000007</v>
      </c>
      <c r="AB48">
        <v>56.36</v>
      </c>
      <c r="AC48">
        <v>41.73</v>
      </c>
      <c r="AD48">
        <v>599.87</v>
      </c>
      <c r="AE48">
        <v>662.63</v>
      </c>
      <c r="AF48">
        <v>43.44</v>
      </c>
      <c r="AG48">
        <v>57.05</v>
      </c>
      <c r="AH48">
        <v>46.17</v>
      </c>
      <c r="AI48">
        <v>51.34</v>
      </c>
    </row>
    <row r="49" spans="1:35" x14ac:dyDescent="0.45">
      <c r="A49" s="2">
        <v>45979</v>
      </c>
      <c r="B49">
        <v>33.93</v>
      </c>
      <c r="C49">
        <v>36.83</v>
      </c>
      <c r="D49">
        <v>18.260000000000002</v>
      </c>
      <c r="E49">
        <v>24.02</v>
      </c>
      <c r="F49">
        <v>32.869999999999997</v>
      </c>
      <c r="G49">
        <v>60.32</v>
      </c>
      <c r="H49">
        <v>26.16</v>
      </c>
      <c r="I49">
        <v>62.67</v>
      </c>
      <c r="J49">
        <v>66.67</v>
      </c>
      <c r="K49">
        <v>91.59</v>
      </c>
      <c r="L49">
        <v>32.71</v>
      </c>
      <c r="M49">
        <v>66.16</v>
      </c>
      <c r="N49">
        <v>63.2</v>
      </c>
      <c r="O49">
        <v>54.61</v>
      </c>
      <c r="P49">
        <v>62.42</v>
      </c>
      <c r="Q49">
        <v>18.815000000000001</v>
      </c>
      <c r="R49">
        <v>1270.04</v>
      </c>
      <c r="S49">
        <v>33.299999999999997</v>
      </c>
      <c r="T49">
        <v>18.850000000000001</v>
      </c>
      <c r="U49">
        <v>17.73</v>
      </c>
      <c r="V49">
        <v>38.79</v>
      </c>
      <c r="W49">
        <v>44.235900000000001</v>
      </c>
      <c r="X49">
        <v>25.4</v>
      </c>
      <c r="Y49">
        <v>50.53</v>
      </c>
      <c r="Z49">
        <v>39.53</v>
      </c>
      <c r="AA49">
        <v>80.78</v>
      </c>
      <c r="AB49">
        <v>56.58</v>
      </c>
      <c r="AC49">
        <v>42.19</v>
      </c>
      <c r="AD49">
        <v>596.30999999999995</v>
      </c>
      <c r="AE49">
        <v>660.08</v>
      </c>
      <c r="AF49">
        <v>43.63</v>
      </c>
      <c r="AG49">
        <v>56.63</v>
      </c>
      <c r="AH49">
        <v>46.49</v>
      </c>
      <c r="AI49">
        <v>51.81</v>
      </c>
    </row>
    <row r="50" spans="1:35" x14ac:dyDescent="0.45">
      <c r="A50" s="2">
        <v>45978</v>
      </c>
      <c r="B50">
        <v>33.89</v>
      </c>
      <c r="C50">
        <v>37.31</v>
      </c>
      <c r="D50">
        <v>18.38</v>
      </c>
      <c r="E50">
        <v>23.95</v>
      </c>
      <c r="F50">
        <v>33.39</v>
      </c>
      <c r="G50">
        <v>61.163600000000002</v>
      </c>
      <c r="H50">
        <v>26.23</v>
      </c>
      <c r="I50">
        <v>63.16</v>
      </c>
      <c r="J50">
        <v>65.87</v>
      </c>
      <c r="K50">
        <v>93.02</v>
      </c>
      <c r="L50">
        <v>32.78</v>
      </c>
      <c r="M50">
        <v>66.13</v>
      </c>
      <c r="N50">
        <v>64.5</v>
      </c>
      <c r="O50">
        <v>54.65</v>
      </c>
      <c r="P50">
        <v>62.78</v>
      </c>
      <c r="Q50">
        <v>18.89</v>
      </c>
      <c r="R50">
        <v>1280.07</v>
      </c>
      <c r="S50">
        <v>33.08</v>
      </c>
      <c r="T50">
        <v>18.93</v>
      </c>
      <c r="U50">
        <v>17.66</v>
      </c>
      <c r="V50">
        <v>38.450000000000003</v>
      </c>
      <c r="W50">
        <v>44.493200000000002</v>
      </c>
      <c r="X50">
        <v>25.64</v>
      </c>
      <c r="Y50">
        <v>50.34</v>
      </c>
      <c r="Z50">
        <v>40.01</v>
      </c>
      <c r="AA50">
        <v>82.47</v>
      </c>
      <c r="AB50">
        <v>56.81</v>
      </c>
      <c r="AC50">
        <v>42.44</v>
      </c>
      <c r="AD50">
        <v>603.66</v>
      </c>
      <c r="AE50">
        <v>665.67</v>
      </c>
      <c r="AF50">
        <v>44.2</v>
      </c>
      <c r="AG50">
        <v>57.36</v>
      </c>
      <c r="AH50">
        <v>47.22</v>
      </c>
      <c r="AI50">
        <v>52.56</v>
      </c>
    </row>
    <row r="51" spans="1:35" x14ac:dyDescent="0.45">
      <c r="A51" s="2">
        <v>45975</v>
      </c>
      <c r="B51">
        <v>34.19</v>
      </c>
      <c r="C51">
        <v>36.369999999999997</v>
      </c>
      <c r="D51">
        <v>18.38</v>
      </c>
      <c r="E51">
        <v>23.28</v>
      </c>
      <c r="F51">
        <v>34.159999999999997</v>
      </c>
      <c r="G51">
        <v>62.34</v>
      </c>
      <c r="H51">
        <v>26.45</v>
      </c>
      <c r="I51">
        <v>65.17</v>
      </c>
      <c r="J51">
        <v>67.22</v>
      </c>
      <c r="K51">
        <v>94.13</v>
      </c>
      <c r="L51">
        <v>33.18</v>
      </c>
      <c r="M51">
        <v>66.989999999999995</v>
      </c>
      <c r="N51">
        <v>65</v>
      </c>
      <c r="O51">
        <v>54.62</v>
      </c>
      <c r="P51">
        <v>63.5</v>
      </c>
      <c r="Q51">
        <v>19.285</v>
      </c>
      <c r="R51">
        <v>1269.26</v>
      </c>
      <c r="S51">
        <v>32.85</v>
      </c>
      <c r="T51">
        <v>19.170000000000002</v>
      </c>
      <c r="U51">
        <v>17.59</v>
      </c>
      <c r="V51">
        <v>38.83</v>
      </c>
      <c r="W51">
        <v>44.844999999999999</v>
      </c>
      <c r="X51">
        <v>25.95</v>
      </c>
      <c r="Y51">
        <v>50.89</v>
      </c>
      <c r="Z51">
        <v>40.86</v>
      </c>
      <c r="AA51">
        <v>83.98</v>
      </c>
      <c r="AB51">
        <v>57.55</v>
      </c>
      <c r="AC51">
        <v>42.77</v>
      </c>
      <c r="AD51">
        <v>608.86</v>
      </c>
      <c r="AE51">
        <v>671.93</v>
      </c>
      <c r="AF51">
        <v>44.84</v>
      </c>
      <c r="AG51">
        <v>58.13</v>
      </c>
      <c r="AH51">
        <v>47.65</v>
      </c>
      <c r="AI51">
        <v>53.2</v>
      </c>
    </row>
    <row r="52" spans="1:35" x14ac:dyDescent="0.45">
      <c r="A52" s="2">
        <v>45974</v>
      </c>
      <c r="B52">
        <v>34.64</v>
      </c>
      <c r="C52">
        <v>36.71</v>
      </c>
      <c r="D52">
        <v>18.28</v>
      </c>
      <c r="E52">
        <v>23.69</v>
      </c>
      <c r="F52">
        <v>34.130000000000003</v>
      </c>
      <c r="G52">
        <v>62.52</v>
      </c>
      <c r="H52">
        <v>26.5</v>
      </c>
      <c r="I52">
        <v>63.99</v>
      </c>
      <c r="J52">
        <v>67.38</v>
      </c>
      <c r="K52">
        <v>94.07</v>
      </c>
      <c r="L52">
        <v>32.979999999999997</v>
      </c>
      <c r="M52">
        <v>67.83</v>
      </c>
      <c r="N52">
        <v>64.67</v>
      </c>
      <c r="O52">
        <v>54.2</v>
      </c>
      <c r="P52">
        <v>64.459999999999994</v>
      </c>
      <c r="Q52">
        <v>19.25</v>
      </c>
      <c r="R52">
        <v>1287.44</v>
      </c>
      <c r="S52">
        <v>32.78</v>
      </c>
      <c r="T52">
        <v>19.190000000000001</v>
      </c>
      <c r="U52">
        <v>17.420000000000002</v>
      </c>
      <c r="V52">
        <v>38.729999999999997</v>
      </c>
      <c r="W52">
        <v>44.943399999999997</v>
      </c>
      <c r="X52">
        <v>25.94</v>
      </c>
      <c r="Y52">
        <v>50.64</v>
      </c>
      <c r="Z52">
        <v>41.25</v>
      </c>
      <c r="AA52">
        <v>83.01</v>
      </c>
      <c r="AB52">
        <v>57.85</v>
      </c>
      <c r="AC52">
        <v>43.04</v>
      </c>
      <c r="AD52">
        <v>608.4</v>
      </c>
      <c r="AE52">
        <v>672.04</v>
      </c>
      <c r="AF52">
        <v>45.04</v>
      </c>
      <c r="AG52">
        <v>58.61</v>
      </c>
      <c r="AH52">
        <v>48.27</v>
      </c>
      <c r="AI52">
        <v>53.98</v>
      </c>
    </row>
    <row r="53" spans="1:35" x14ac:dyDescent="0.45">
      <c r="A53" s="2">
        <v>45973</v>
      </c>
      <c r="B53">
        <v>34.43</v>
      </c>
      <c r="C53">
        <v>37.26</v>
      </c>
      <c r="D53">
        <v>18.440000000000001</v>
      </c>
      <c r="E53">
        <v>23.6</v>
      </c>
      <c r="F53">
        <v>34.42</v>
      </c>
      <c r="G53">
        <v>64.38</v>
      </c>
      <c r="H53">
        <v>26.53</v>
      </c>
      <c r="I53">
        <v>65.41</v>
      </c>
      <c r="J53">
        <v>68.16</v>
      </c>
      <c r="K53">
        <v>95.92</v>
      </c>
      <c r="L53">
        <v>33.22</v>
      </c>
      <c r="M53">
        <v>68.08</v>
      </c>
      <c r="N53">
        <v>64.319999999999993</v>
      </c>
      <c r="O53">
        <v>54.56</v>
      </c>
      <c r="P53">
        <v>64.58</v>
      </c>
      <c r="Q53">
        <v>19.555</v>
      </c>
      <c r="R53">
        <v>1284.81</v>
      </c>
      <c r="S53">
        <v>33.03</v>
      </c>
      <c r="T53">
        <v>19.48</v>
      </c>
      <c r="U53">
        <v>17.53</v>
      </c>
      <c r="V53">
        <v>39.17</v>
      </c>
      <c r="W53">
        <v>45.657200000000003</v>
      </c>
      <c r="X53">
        <v>26.58</v>
      </c>
      <c r="Y53">
        <v>51.75</v>
      </c>
      <c r="Z53">
        <v>41.68</v>
      </c>
      <c r="AA53">
        <v>84.34</v>
      </c>
      <c r="AB53">
        <v>58.06</v>
      </c>
      <c r="AC53">
        <v>43.51</v>
      </c>
      <c r="AD53">
        <v>621.08000000000004</v>
      </c>
      <c r="AE53">
        <v>683.38</v>
      </c>
      <c r="AF53">
        <v>45.14</v>
      </c>
      <c r="AG53">
        <v>59.03</v>
      </c>
      <c r="AH53">
        <v>48.82</v>
      </c>
      <c r="AI53">
        <v>54.12</v>
      </c>
    </row>
    <row r="54" spans="1:35" x14ac:dyDescent="0.45">
      <c r="A54" s="2">
        <v>45972</v>
      </c>
      <c r="B54">
        <v>34.47</v>
      </c>
      <c r="C54">
        <v>36.5</v>
      </c>
      <c r="D54">
        <v>18.45</v>
      </c>
      <c r="E54">
        <v>23.41</v>
      </c>
      <c r="F54">
        <v>34.56</v>
      </c>
      <c r="G54">
        <v>63.04</v>
      </c>
      <c r="H54">
        <v>26.78</v>
      </c>
      <c r="I54">
        <v>65.39</v>
      </c>
      <c r="J54">
        <v>69.34</v>
      </c>
      <c r="K54">
        <v>95.29</v>
      </c>
      <c r="L54">
        <v>33.49</v>
      </c>
      <c r="M54">
        <v>66.53</v>
      </c>
      <c r="N54">
        <v>63.63</v>
      </c>
      <c r="O54">
        <v>54.74</v>
      </c>
      <c r="P54">
        <v>64.53</v>
      </c>
      <c r="Q54">
        <v>19.6479</v>
      </c>
      <c r="R54">
        <v>1300.47</v>
      </c>
      <c r="S54">
        <v>32.85</v>
      </c>
      <c r="T54">
        <v>19.690000000000001</v>
      </c>
      <c r="U54">
        <v>16.93</v>
      </c>
      <c r="V54">
        <v>39.39</v>
      </c>
      <c r="W54">
        <v>45.674999999999997</v>
      </c>
      <c r="X54">
        <v>26.63</v>
      </c>
      <c r="Y54">
        <v>51.04</v>
      </c>
      <c r="Z54">
        <v>41.23</v>
      </c>
      <c r="AA54">
        <v>83.75</v>
      </c>
      <c r="AB54">
        <v>57.67</v>
      </c>
      <c r="AC54">
        <v>43.65</v>
      </c>
      <c r="AD54">
        <v>621.57000000000005</v>
      </c>
      <c r="AE54">
        <v>683</v>
      </c>
      <c r="AF54">
        <v>44.71</v>
      </c>
      <c r="AG54">
        <v>58.73</v>
      </c>
      <c r="AH54">
        <v>48.48</v>
      </c>
      <c r="AI54">
        <v>53.75</v>
      </c>
    </row>
    <row r="55" spans="1:35" x14ac:dyDescent="0.45">
      <c r="A55" s="2">
        <v>45971</v>
      </c>
      <c r="B55">
        <v>34.770000000000003</v>
      </c>
      <c r="C55">
        <v>36.299999999999997</v>
      </c>
      <c r="D55">
        <v>18.55</v>
      </c>
      <c r="E55">
        <v>23.7</v>
      </c>
      <c r="F55">
        <v>34.44</v>
      </c>
      <c r="G55">
        <v>63.13</v>
      </c>
      <c r="H55">
        <v>26.47</v>
      </c>
      <c r="I55">
        <v>65.75</v>
      </c>
      <c r="J55">
        <v>67.91</v>
      </c>
      <c r="K55">
        <v>95.67</v>
      </c>
      <c r="L55">
        <v>32.72</v>
      </c>
      <c r="M55">
        <v>66.62</v>
      </c>
      <c r="N55">
        <v>63.69</v>
      </c>
      <c r="O55">
        <v>54.15</v>
      </c>
      <c r="P55">
        <v>64.7</v>
      </c>
      <c r="Q55">
        <v>19.48</v>
      </c>
      <c r="R55">
        <v>1306.26</v>
      </c>
      <c r="S55">
        <v>33.549999999999997</v>
      </c>
      <c r="T55">
        <v>19.53</v>
      </c>
      <c r="U55">
        <v>16.71</v>
      </c>
      <c r="V55">
        <v>39.32</v>
      </c>
      <c r="W55">
        <v>45.684100000000001</v>
      </c>
      <c r="X55">
        <v>26.81</v>
      </c>
      <c r="Y55">
        <v>50.89</v>
      </c>
      <c r="Z55">
        <v>40.96</v>
      </c>
      <c r="AA55">
        <v>83.68</v>
      </c>
      <c r="AB55">
        <v>56.36</v>
      </c>
      <c r="AC55">
        <v>43.44</v>
      </c>
      <c r="AD55">
        <v>623.23</v>
      </c>
      <c r="AE55">
        <v>681.44</v>
      </c>
      <c r="AF55">
        <v>44.19</v>
      </c>
      <c r="AG55">
        <v>58.56</v>
      </c>
      <c r="AH55">
        <v>47.74</v>
      </c>
      <c r="AI55">
        <v>53.15</v>
      </c>
    </row>
    <row r="56" spans="1:35" x14ac:dyDescent="0.45">
      <c r="A56" s="2">
        <v>45968</v>
      </c>
      <c r="B56">
        <v>34.6</v>
      </c>
      <c r="C56">
        <v>35.799999999999997</v>
      </c>
      <c r="D56">
        <v>18.53</v>
      </c>
      <c r="E56">
        <v>23.79</v>
      </c>
      <c r="F56">
        <v>33.840000000000003</v>
      </c>
      <c r="G56">
        <v>61.77</v>
      </c>
      <c r="H56">
        <v>26.23</v>
      </c>
      <c r="I56">
        <v>64.61</v>
      </c>
      <c r="J56">
        <v>67.819999999999993</v>
      </c>
      <c r="K56">
        <v>91.8</v>
      </c>
      <c r="L56">
        <v>32.299999999999997</v>
      </c>
      <c r="M56">
        <v>64.239999999999995</v>
      </c>
      <c r="N56">
        <v>62.35</v>
      </c>
      <c r="O56">
        <v>53.75</v>
      </c>
      <c r="P56">
        <v>63.61</v>
      </c>
      <c r="Q56">
        <v>19.420000000000002</v>
      </c>
      <c r="R56">
        <v>1302.9100000000001</v>
      </c>
      <c r="S56">
        <v>33.86</v>
      </c>
      <c r="T56">
        <v>19.43</v>
      </c>
      <c r="U56">
        <v>16.88</v>
      </c>
      <c r="V56">
        <v>39.28</v>
      </c>
      <c r="W56">
        <v>45.580800000000004</v>
      </c>
      <c r="X56">
        <v>26.44</v>
      </c>
      <c r="Y56">
        <v>50.1</v>
      </c>
      <c r="Z56">
        <v>40.479999999999997</v>
      </c>
      <c r="AA56">
        <v>83.29</v>
      </c>
      <c r="AB56">
        <v>55.74</v>
      </c>
      <c r="AC56">
        <v>42.87</v>
      </c>
      <c r="AD56">
        <v>609.74</v>
      </c>
      <c r="AE56">
        <v>670.97</v>
      </c>
      <c r="AF56">
        <v>43.78</v>
      </c>
      <c r="AG56">
        <v>57.74</v>
      </c>
      <c r="AH56">
        <v>47.24</v>
      </c>
      <c r="AI56">
        <v>52.19</v>
      </c>
    </row>
    <row r="57" spans="1:35" x14ac:dyDescent="0.45">
      <c r="A57" s="2">
        <v>45967</v>
      </c>
      <c r="B57">
        <v>34.590000000000003</v>
      </c>
      <c r="C57">
        <v>35.25</v>
      </c>
      <c r="D57">
        <v>18.440000000000001</v>
      </c>
      <c r="E57">
        <v>24.11</v>
      </c>
      <c r="F57">
        <v>33.950000000000003</v>
      </c>
      <c r="G57">
        <v>61.75</v>
      </c>
      <c r="H57">
        <v>26.01</v>
      </c>
      <c r="I57">
        <v>64.94</v>
      </c>
      <c r="J57">
        <v>66.97</v>
      </c>
      <c r="K57">
        <v>93.51</v>
      </c>
      <c r="L57">
        <v>32.04</v>
      </c>
      <c r="M57">
        <v>63.7</v>
      </c>
      <c r="N57">
        <v>62.47</v>
      </c>
      <c r="O57">
        <v>53.62</v>
      </c>
      <c r="P57">
        <v>63.97</v>
      </c>
      <c r="Q57">
        <v>19.46</v>
      </c>
      <c r="R57">
        <v>1313.31</v>
      </c>
      <c r="S57">
        <v>34.25</v>
      </c>
      <c r="T57">
        <v>19.309999999999999</v>
      </c>
      <c r="U57">
        <v>17.32</v>
      </c>
      <c r="V57">
        <v>39.299999999999997</v>
      </c>
      <c r="W57">
        <v>45.333100000000002</v>
      </c>
      <c r="X57">
        <v>26.46</v>
      </c>
      <c r="Y57">
        <v>49.75</v>
      </c>
      <c r="Z57">
        <v>40.39</v>
      </c>
      <c r="AA57">
        <v>82.96</v>
      </c>
      <c r="AB57">
        <v>55.22</v>
      </c>
      <c r="AC57">
        <v>42.62</v>
      </c>
      <c r="AD57">
        <v>611.66999999999996</v>
      </c>
      <c r="AE57">
        <v>670.31</v>
      </c>
      <c r="AF57">
        <v>43.42</v>
      </c>
      <c r="AG57">
        <v>57.96</v>
      </c>
      <c r="AH57">
        <v>46.98</v>
      </c>
      <c r="AI57">
        <v>51.75</v>
      </c>
    </row>
    <row r="58" spans="1:35" x14ac:dyDescent="0.45">
      <c r="A58" s="2">
        <v>45966</v>
      </c>
      <c r="B58">
        <v>34.380000000000003</v>
      </c>
      <c r="C58">
        <v>35.299999999999997</v>
      </c>
      <c r="D58">
        <v>18.54</v>
      </c>
      <c r="E58">
        <v>24.19</v>
      </c>
      <c r="F58">
        <v>33.51</v>
      </c>
      <c r="G58">
        <v>61.39</v>
      </c>
      <c r="H58">
        <v>26.2</v>
      </c>
      <c r="I58">
        <v>66.03</v>
      </c>
      <c r="J58">
        <v>67.180000000000007</v>
      </c>
      <c r="K58">
        <v>96.62</v>
      </c>
      <c r="L58">
        <v>32.1</v>
      </c>
      <c r="M58">
        <v>63.4</v>
      </c>
      <c r="N58">
        <v>62.68</v>
      </c>
      <c r="O58">
        <v>54.3</v>
      </c>
      <c r="P58">
        <v>63.36</v>
      </c>
      <c r="Q58">
        <v>19.414999999999999</v>
      </c>
      <c r="R58">
        <v>1295.29</v>
      </c>
      <c r="S58">
        <v>34.130000000000003</v>
      </c>
      <c r="T58">
        <v>19.350000000000001</v>
      </c>
      <c r="U58">
        <v>17.57</v>
      </c>
      <c r="V58">
        <v>39.35</v>
      </c>
      <c r="W58">
        <v>45.91</v>
      </c>
      <c r="X58">
        <v>26.67</v>
      </c>
      <c r="Y58">
        <v>50.26</v>
      </c>
      <c r="Z58">
        <v>40.729999999999997</v>
      </c>
      <c r="AA58">
        <v>82.8</v>
      </c>
      <c r="AB58">
        <v>55.4</v>
      </c>
      <c r="AC58">
        <v>42.61</v>
      </c>
      <c r="AD58">
        <v>623.28</v>
      </c>
      <c r="AE58">
        <v>677.58</v>
      </c>
      <c r="AF58">
        <v>43.88</v>
      </c>
      <c r="AG58">
        <v>58.26</v>
      </c>
      <c r="AH58">
        <v>47.29</v>
      </c>
      <c r="AI58">
        <v>52</v>
      </c>
    </row>
    <row r="59" spans="1:35" x14ac:dyDescent="0.45">
      <c r="A59" s="2">
        <v>45965</v>
      </c>
      <c r="B59">
        <v>33.97</v>
      </c>
      <c r="C59">
        <v>34.5</v>
      </c>
      <c r="D59">
        <v>18.36</v>
      </c>
      <c r="E59">
        <v>24.38</v>
      </c>
      <c r="F59">
        <v>33.31</v>
      </c>
      <c r="G59">
        <v>60.31</v>
      </c>
      <c r="H59">
        <v>25.98</v>
      </c>
      <c r="I59">
        <v>65.430000000000007</v>
      </c>
      <c r="J59">
        <v>65.650000000000006</v>
      </c>
      <c r="K59">
        <v>95.76</v>
      </c>
      <c r="L59">
        <v>31.18</v>
      </c>
      <c r="M59">
        <v>61.44</v>
      </c>
      <c r="N59">
        <v>62.17</v>
      </c>
      <c r="O59">
        <v>54.02</v>
      </c>
      <c r="P59">
        <v>62.73</v>
      </c>
      <c r="Q59">
        <v>19.434999999999999</v>
      </c>
      <c r="R59">
        <v>1298.5999999999999</v>
      </c>
      <c r="S59">
        <v>33.909999999999997</v>
      </c>
      <c r="T59">
        <v>19.36</v>
      </c>
      <c r="U59">
        <v>17.53</v>
      </c>
      <c r="V59">
        <v>39.68</v>
      </c>
      <c r="W59">
        <v>45.38</v>
      </c>
      <c r="X59">
        <v>26.41</v>
      </c>
      <c r="Y59">
        <v>49.72</v>
      </c>
      <c r="Z59">
        <v>40.340000000000003</v>
      </c>
      <c r="AA59">
        <v>82.83</v>
      </c>
      <c r="AB59">
        <v>55.06</v>
      </c>
      <c r="AC59">
        <v>42.18</v>
      </c>
      <c r="AD59">
        <v>619.25</v>
      </c>
      <c r="AE59">
        <v>675.24</v>
      </c>
      <c r="AF59">
        <v>43.63</v>
      </c>
      <c r="AG59">
        <v>57.82</v>
      </c>
      <c r="AH59">
        <v>46.87</v>
      </c>
      <c r="AI59">
        <v>51.38</v>
      </c>
    </row>
    <row r="60" spans="1:35" x14ac:dyDescent="0.45">
      <c r="A60" s="2">
        <v>45964</v>
      </c>
      <c r="B60">
        <v>34.377099999999999</v>
      </c>
      <c r="C60">
        <v>35.93</v>
      </c>
      <c r="D60">
        <v>18.45</v>
      </c>
      <c r="E60">
        <v>24.15</v>
      </c>
      <c r="F60">
        <v>33.78</v>
      </c>
      <c r="G60">
        <v>62.16</v>
      </c>
      <c r="H60">
        <v>26.06</v>
      </c>
      <c r="I60">
        <v>66.900000000000006</v>
      </c>
      <c r="J60">
        <v>66.23</v>
      </c>
      <c r="K60">
        <v>100.78</v>
      </c>
      <c r="L60">
        <v>31.52</v>
      </c>
      <c r="M60">
        <v>63.76</v>
      </c>
      <c r="N60">
        <v>63.18</v>
      </c>
      <c r="O60">
        <v>54.24</v>
      </c>
      <c r="P60">
        <v>63.55</v>
      </c>
      <c r="Q60">
        <v>19.315000000000001</v>
      </c>
      <c r="R60">
        <v>1308.8599999999999</v>
      </c>
      <c r="S60">
        <v>34.450000000000003</v>
      </c>
      <c r="T60">
        <v>19.579999999999998</v>
      </c>
      <c r="U60">
        <v>17.09</v>
      </c>
      <c r="V60">
        <v>40</v>
      </c>
      <c r="W60">
        <v>45.705599999999997</v>
      </c>
      <c r="X60">
        <v>26.84</v>
      </c>
      <c r="Y60">
        <v>50.67</v>
      </c>
      <c r="Z60">
        <v>40.909999999999997</v>
      </c>
      <c r="AA60">
        <v>83.64</v>
      </c>
      <c r="AB60">
        <v>55.12</v>
      </c>
      <c r="AC60">
        <v>42.53</v>
      </c>
      <c r="AD60">
        <v>632.08000000000004</v>
      </c>
      <c r="AE60">
        <v>683.34</v>
      </c>
      <c r="AF60">
        <v>44.07</v>
      </c>
      <c r="AG60">
        <v>58.68</v>
      </c>
      <c r="AH60">
        <v>47.7</v>
      </c>
      <c r="AI60">
        <v>51.79</v>
      </c>
    </row>
    <row r="61" spans="1:35" x14ac:dyDescent="0.45">
      <c r="A61" s="2">
        <v>45961</v>
      </c>
      <c r="B61">
        <v>34.299999999999997</v>
      </c>
      <c r="C61">
        <v>35.32</v>
      </c>
      <c r="D61">
        <v>18.28</v>
      </c>
      <c r="E61">
        <v>24.55</v>
      </c>
      <c r="F61">
        <v>33.71</v>
      </c>
      <c r="G61">
        <v>62.78</v>
      </c>
      <c r="H61">
        <v>25.85</v>
      </c>
      <c r="I61">
        <v>66.650000000000006</v>
      </c>
      <c r="J61">
        <v>66.53</v>
      </c>
      <c r="K61">
        <v>97</v>
      </c>
      <c r="L61">
        <v>31.17</v>
      </c>
      <c r="M61">
        <v>63.77</v>
      </c>
      <c r="N61">
        <v>62.22</v>
      </c>
      <c r="O61">
        <v>53.97</v>
      </c>
      <c r="P61">
        <v>63.57</v>
      </c>
      <c r="Q61">
        <v>19.3</v>
      </c>
      <c r="R61">
        <v>1309.5</v>
      </c>
      <c r="S61">
        <v>34.15</v>
      </c>
      <c r="T61">
        <v>19.68</v>
      </c>
      <c r="U61">
        <v>17.43</v>
      </c>
      <c r="V61">
        <v>40.28</v>
      </c>
      <c r="W61">
        <v>45.89</v>
      </c>
      <c r="X61">
        <v>26.77</v>
      </c>
      <c r="Y61">
        <v>50.74</v>
      </c>
      <c r="Z61">
        <v>40.729999999999997</v>
      </c>
      <c r="AA61">
        <v>83.45</v>
      </c>
      <c r="AB61">
        <v>55.36</v>
      </c>
      <c r="AC61">
        <v>42.67</v>
      </c>
      <c r="AD61">
        <v>629.07000000000005</v>
      </c>
      <c r="AE61">
        <v>682.06</v>
      </c>
      <c r="AF61">
        <v>44.28</v>
      </c>
      <c r="AG61">
        <v>58.8</v>
      </c>
      <c r="AH61">
        <v>47.99</v>
      </c>
      <c r="AI61">
        <v>51.81</v>
      </c>
    </row>
    <row r="62" spans="1:35" x14ac:dyDescent="0.45">
      <c r="A62" s="2">
        <v>45960</v>
      </c>
      <c r="B62">
        <v>34.9</v>
      </c>
      <c r="C62">
        <v>35.340000000000003</v>
      </c>
      <c r="D62">
        <v>18.27</v>
      </c>
      <c r="E62">
        <v>24.4</v>
      </c>
      <c r="F62">
        <v>34.22</v>
      </c>
      <c r="G62">
        <v>63.11</v>
      </c>
      <c r="H62">
        <v>25.88</v>
      </c>
      <c r="I62">
        <v>66.540000000000006</v>
      </c>
      <c r="J62">
        <v>66.73</v>
      </c>
      <c r="K62">
        <v>95.26</v>
      </c>
      <c r="L62">
        <v>31.05</v>
      </c>
      <c r="M62">
        <v>64.37</v>
      </c>
      <c r="N62">
        <v>62.69</v>
      </c>
      <c r="O62">
        <v>54.27</v>
      </c>
      <c r="P62">
        <v>64.38</v>
      </c>
      <c r="Q62">
        <v>19.289100000000001</v>
      </c>
      <c r="R62">
        <v>1314.65</v>
      </c>
      <c r="S62">
        <v>33.64</v>
      </c>
      <c r="T62">
        <v>20.149999999999999</v>
      </c>
      <c r="U62">
        <v>17.71</v>
      </c>
      <c r="V62">
        <v>40.229999999999997</v>
      </c>
      <c r="W62">
        <v>45.755000000000003</v>
      </c>
      <c r="X62">
        <v>26.89</v>
      </c>
      <c r="Y62">
        <v>50.67</v>
      </c>
      <c r="Z62">
        <v>41</v>
      </c>
      <c r="AA62">
        <v>83.21</v>
      </c>
      <c r="AB62">
        <v>55.6</v>
      </c>
      <c r="AC62">
        <v>42.75</v>
      </c>
      <c r="AD62">
        <v>626.04999999999995</v>
      </c>
      <c r="AE62">
        <v>679.83</v>
      </c>
      <c r="AF62">
        <v>44.44</v>
      </c>
      <c r="AG62">
        <v>59.48</v>
      </c>
      <c r="AH62">
        <v>48.49</v>
      </c>
      <c r="AI62">
        <v>51.82</v>
      </c>
    </row>
    <row r="63" spans="1:35" x14ac:dyDescent="0.45">
      <c r="A63" s="2">
        <v>45959</v>
      </c>
      <c r="B63">
        <v>35.270000000000003</v>
      </c>
      <c r="C63">
        <v>34.97</v>
      </c>
      <c r="D63">
        <v>18.32</v>
      </c>
      <c r="E63">
        <v>24.74</v>
      </c>
      <c r="F63">
        <v>34.53</v>
      </c>
      <c r="G63">
        <v>63.12</v>
      </c>
      <c r="H63">
        <v>25.91</v>
      </c>
      <c r="I63">
        <v>67.13</v>
      </c>
      <c r="J63">
        <v>67.430000000000007</v>
      </c>
      <c r="K63">
        <v>96.9</v>
      </c>
      <c r="L63">
        <v>31.18</v>
      </c>
      <c r="M63">
        <v>64.75</v>
      </c>
      <c r="N63">
        <v>63.76</v>
      </c>
      <c r="O63">
        <v>54.61</v>
      </c>
      <c r="P63">
        <v>65.489999999999995</v>
      </c>
      <c r="Q63">
        <v>19.25</v>
      </c>
      <c r="R63">
        <v>1315.64</v>
      </c>
      <c r="S63">
        <v>33.909999999999997</v>
      </c>
      <c r="T63">
        <v>20</v>
      </c>
      <c r="U63">
        <v>18.149999999999999</v>
      </c>
      <c r="V63">
        <v>41.03</v>
      </c>
      <c r="W63">
        <v>45.674999999999997</v>
      </c>
      <c r="X63">
        <v>27</v>
      </c>
      <c r="Y63">
        <v>50.75</v>
      </c>
      <c r="Z63">
        <v>41.27</v>
      </c>
      <c r="AA63">
        <v>83.23</v>
      </c>
      <c r="AB63">
        <v>55.66</v>
      </c>
      <c r="AC63">
        <v>42.83</v>
      </c>
      <c r="AD63">
        <v>635.77</v>
      </c>
      <c r="AE63">
        <v>687.39</v>
      </c>
      <c r="AF63">
        <v>44.86</v>
      </c>
      <c r="AG63">
        <v>59.366</v>
      </c>
      <c r="AH63">
        <v>48.74</v>
      </c>
      <c r="AI63">
        <v>52.11</v>
      </c>
    </row>
    <row r="64" spans="1:35" x14ac:dyDescent="0.45">
      <c r="A64" s="2">
        <v>45958</v>
      </c>
      <c r="B64">
        <v>34.950000000000003</v>
      </c>
      <c r="C64">
        <v>34.630000000000003</v>
      </c>
      <c r="D64">
        <v>18.05</v>
      </c>
      <c r="E64">
        <v>24.44</v>
      </c>
      <c r="F64">
        <v>34.85</v>
      </c>
      <c r="G64">
        <v>62.53</v>
      </c>
      <c r="H64">
        <v>26.01</v>
      </c>
      <c r="I64">
        <v>67.09</v>
      </c>
      <c r="J64">
        <v>67.099999999999994</v>
      </c>
      <c r="K64">
        <v>94.45</v>
      </c>
      <c r="L64">
        <v>30.92</v>
      </c>
      <c r="M64">
        <v>65.23</v>
      </c>
      <c r="N64">
        <v>62.89</v>
      </c>
      <c r="O64">
        <v>54.54</v>
      </c>
      <c r="P64">
        <v>65.12</v>
      </c>
      <c r="Q64">
        <v>19.195</v>
      </c>
      <c r="R64">
        <v>1314.28</v>
      </c>
      <c r="S64">
        <v>33.979999999999997</v>
      </c>
      <c r="T64">
        <v>20.010000000000002</v>
      </c>
      <c r="U64">
        <v>18.18</v>
      </c>
      <c r="V64">
        <v>40.89</v>
      </c>
      <c r="W64">
        <v>45.844999999999999</v>
      </c>
      <c r="X64">
        <v>27.52</v>
      </c>
      <c r="Y64">
        <v>51.41</v>
      </c>
      <c r="Z64">
        <v>41.72</v>
      </c>
      <c r="AA64">
        <v>83.93</v>
      </c>
      <c r="AB64">
        <v>56.17</v>
      </c>
      <c r="AC64">
        <v>42.92</v>
      </c>
      <c r="AD64">
        <v>632.91999999999996</v>
      </c>
      <c r="AE64">
        <v>687.06</v>
      </c>
      <c r="AF64">
        <v>45.14</v>
      </c>
      <c r="AG64">
        <v>59.01</v>
      </c>
      <c r="AH64">
        <v>49.07</v>
      </c>
      <c r="AI64">
        <v>52.18</v>
      </c>
    </row>
    <row r="65" spans="1:35" x14ac:dyDescent="0.45">
      <c r="A65" s="2">
        <v>45957</v>
      </c>
      <c r="B65">
        <v>34.950000000000003</v>
      </c>
      <c r="C65">
        <v>34.590000000000003</v>
      </c>
      <c r="D65">
        <v>18.09</v>
      </c>
      <c r="E65">
        <v>24.4</v>
      </c>
      <c r="F65">
        <v>34.200000000000003</v>
      </c>
      <c r="G65">
        <v>61.55</v>
      </c>
      <c r="H65">
        <v>25.96</v>
      </c>
      <c r="I65">
        <v>66.98</v>
      </c>
      <c r="J65">
        <v>66.33</v>
      </c>
      <c r="K65">
        <v>94.31</v>
      </c>
      <c r="L65">
        <v>30.77</v>
      </c>
      <c r="M65">
        <v>64.2</v>
      </c>
      <c r="N65">
        <v>63.03</v>
      </c>
      <c r="O65">
        <v>54.72</v>
      </c>
      <c r="P65">
        <v>65.59</v>
      </c>
      <c r="Q65">
        <v>19.195</v>
      </c>
      <c r="R65">
        <v>1323.52</v>
      </c>
      <c r="S65">
        <v>33.89</v>
      </c>
      <c r="T65">
        <v>19.97</v>
      </c>
      <c r="U65">
        <v>17.739999999999998</v>
      </c>
      <c r="V65">
        <v>40.61</v>
      </c>
      <c r="W65">
        <v>45.99</v>
      </c>
      <c r="X65">
        <v>27.37</v>
      </c>
      <c r="Y65">
        <v>50.79</v>
      </c>
      <c r="Z65">
        <v>41.78</v>
      </c>
      <c r="AA65">
        <v>83.53</v>
      </c>
      <c r="AB65">
        <v>56.94</v>
      </c>
      <c r="AC65">
        <v>42.98</v>
      </c>
      <c r="AD65">
        <v>628.09</v>
      </c>
      <c r="AE65">
        <v>685.24</v>
      </c>
      <c r="AF65">
        <v>45.33</v>
      </c>
      <c r="AG65">
        <v>59.564999999999998</v>
      </c>
      <c r="AH65">
        <v>49.23</v>
      </c>
      <c r="AI65">
        <v>51.93</v>
      </c>
    </row>
    <row r="66" spans="1:35" x14ac:dyDescent="0.45">
      <c r="A66" s="2">
        <v>45954</v>
      </c>
      <c r="B66">
        <v>34.479999999999997</v>
      </c>
      <c r="C66">
        <v>34.369999999999997</v>
      </c>
      <c r="D66">
        <v>18.3</v>
      </c>
      <c r="E66">
        <v>24.7</v>
      </c>
      <c r="F66">
        <v>33.909999999999997</v>
      </c>
      <c r="G66">
        <v>61.62</v>
      </c>
      <c r="H66">
        <v>25.69</v>
      </c>
      <c r="I66">
        <v>66.48</v>
      </c>
      <c r="J66">
        <v>65.37</v>
      </c>
      <c r="K66">
        <v>92.05</v>
      </c>
      <c r="L66">
        <v>30.48</v>
      </c>
      <c r="M66">
        <v>65.180000000000007</v>
      </c>
      <c r="N66">
        <v>63.27</v>
      </c>
      <c r="O66">
        <v>54.51</v>
      </c>
      <c r="P66">
        <v>64.510000000000005</v>
      </c>
      <c r="Q66">
        <v>19.29</v>
      </c>
      <c r="R66">
        <v>1313.91</v>
      </c>
      <c r="S66">
        <v>34.04</v>
      </c>
      <c r="T66">
        <v>19.98</v>
      </c>
      <c r="U66">
        <v>18.21</v>
      </c>
      <c r="V66">
        <v>40.729999999999997</v>
      </c>
      <c r="W66">
        <v>45.615000000000002</v>
      </c>
      <c r="X66">
        <v>27.18</v>
      </c>
      <c r="Y66">
        <v>50.84</v>
      </c>
      <c r="Z66">
        <v>41.59</v>
      </c>
      <c r="AA66">
        <v>82.5</v>
      </c>
      <c r="AB66">
        <v>57.12</v>
      </c>
      <c r="AC66">
        <v>42.78</v>
      </c>
      <c r="AD66">
        <v>617.1</v>
      </c>
      <c r="AE66">
        <v>677.25</v>
      </c>
      <c r="AF66">
        <v>45.11</v>
      </c>
      <c r="AG66">
        <v>58.91</v>
      </c>
      <c r="AH66">
        <v>48.86</v>
      </c>
      <c r="AI66">
        <v>51.27</v>
      </c>
    </row>
    <row r="67" spans="1:35" x14ac:dyDescent="0.45">
      <c r="A67" s="2">
        <v>45953</v>
      </c>
      <c r="B67">
        <v>34.06</v>
      </c>
      <c r="C67">
        <v>34.200000000000003</v>
      </c>
      <c r="D67">
        <v>18.3</v>
      </c>
      <c r="E67">
        <v>24.99</v>
      </c>
      <c r="F67">
        <v>34.17</v>
      </c>
      <c r="G67">
        <v>61.61</v>
      </c>
      <c r="H67">
        <v>25.65</v>
      </c>
      <c r="I67">
        <v>65.709999999999994</v>
      </c>
      <c r="J67">
        <v>66.02</v>
      </c>
      <c r="K67">
        <v>90.07</v>
      </c>
      <c r="L67">
        <v>30.47</v>
      </c>
      <c r="M67">
        <v>64.930000000000007</v>
      </c>
      <c r="N67">
        <v>64.06</v>
      </c>
      <c r="O67">
        <v>54.76</v>
      </c>
      <c r="P67">
        <v>64.11</v>
      </c>
      <c r="Q67">
        <v>19.260000000000002</v>
      </c>
      <c r="R67">
        <v>1302.3499999999999</v>
      </c>
      <c r="S67">
        <v>33.11</v>
      </c>
      <c r="T67">
        <v>19.920000000000002</v>
      </c>
      <c r="U67">
        <v>18.29</v>
      </c>
      <c r="V67">
        <v>40.67</v>
      </c>
      <c r="W67">
        <v>45.52</v>
      </c>
      <c r="X67">
        <v>27.19</v>
      </c>
      <c r="Y67">
        <v>50.58</v>
      </c>
      <c r="Z67">
        <v>41.55</v>
      </c>
      <c r="AA67">
        <v>82.22</v>
      </c>
      <c r="AB67">
        <v>57.17</v>
      </c>
      <c r="AC67">
        <v>42.6</v>
      </c>
      <c r="AD67">
        <v>610.58000000000004</v>
      </c>
      <c r="AE67">
        <v>671.76</v>
      </c>
      <c r="AF67">
        <v>45.27</v>
      </c>
      <c r="AG67">
        <v>58.87</v>
      </c>
      <c r="AH67">
        <v>48.65</v>
      </c>
      <c r="AI67">
        <v>51.17</v>
      </c>
    </row>
    <row r="68" spans="1:35" x14ac:dyDescent="0.45">
      <c r="A68" s="2">
        <v>45952</v>
      </c>
      <c r="B68">
        <v>33.86</v>
      </c>
      <c r="C68">
        <v>33.47</v>
      </c>
      <c r="D68">
        <v>17.89</v>
      </c>
      <c r="E68">
        <v>24.82</v>
      </c>
      <c r="F68">
        <v>33.83</v>
      </c>
      <c r="G68">
        <v>60.71</v>
      </c>
      <c r="H68">
        <v>25.47</v>
      </c>
      <c r="I68">
        <v>65.03</v>
      </c>
      <c r="J68">
        <v>65.510000000000005</v>
      </c>
      <c r="K68">
        <v>89.45</v>
      </c>
      <c r="L68">
        <v>30.03</v>
      </c>
      <c r="M68">
        <v>63.58</v>
      </c>
      <c r="N68">
        <v>63.56</v>
      </c>
      <c r="O68">
        <v>55.29</v>
      </c>
      <c r="P68">
        <v>63.03</v>
      </c>
      <c r="Q68">
        <v>19.14</v>
      </c>
      <c r="R68">
        <v>1302.3499999999999</v>
      </c>
      <c r="S68">
        <v>32.96</v>
      </c>
      <c r="T68">
        <v>19.690000000000001</v>
      </c>
      <c r="U68">
        <v>18.170000000000002</v>
      </c>
      <c r="V68">
        <v>40.51</v>
      </c>
      <c r="W68">
        <v>45.230899999999998</v>
      </c>
      <c r="X68">
        <v>27.07</v>
      </c>
      <c r="Y68">
        <v>50.2</v>
      </c>
      <c r="Z68">
        <v>41.44</v>
      </c>
      <c r="AA68">
        <v>82.18</v>
      </c>
      <c r="AB68">
        <v>57.14</v>
      </c>
      <c r="AC68">
        <v>42.41</v>
      </c>
      <c r="AD68">
        <v>605.49</v>
      </c>
      <c r="AE68">
        <v>667.8</v>
      </c>
      <c r="AF68">
        <v>44.91</v>
      </c>
      <c r="AG68">
        <v>58.12</v>
      </c>
      <c r="AH68">
        <v>48.36</v>
      </c>
      <c r="AI68">
        <v>50.66</v>
      </c>
    </row>
    <row r="69" spans="1:35" x14ac:dyDescent="0.45">
      <c r="A69" s="2">
        <v>45951</v>
      </c>
      <c r="B69">
        <v>33.880000000000003</v>
      </c>
      <c r="C69">
        <v>33.5</v>
      </c>
      <c r="D69">
        <v>18.170000000000002</v>
      </c>
      <c r="E69">
        <v>25.11</v>
      </c>
      <c r="F69">
        <v>33.1</v>
      </c>
      <c r="G69">
        <v>61.35</v>
      </c>
      <c r="H69">
        <v>25.74</v>
      </c>
      <c r="I69">
        <v>65.78</v>
      </c>
      <c r="J69">
        <v>65.069999999999993</v>
      </c>
      <c r="K69">
        <v>88.64</v>
      </c>
      <c r="L69">
        <v>29.94</v>
      </c>
      <c r="M69">
        <v>63.27</v>
      </c>
      <c r="N69">
        <v>63.28</v>
      </c>
      <c r="O69">
        <v>54.48</v>
      </c>
      <c r="P69">
        <v>63.44</v>
      </c>
      <c r="Q69">
        <v>19.09</v>
      </c>
      <c r="R69">
        <v>1290.72</v>
      </c>
      <c r="S69">
        <v>32.72</v>
      </c>
      <c r="T69">
        <v>19.579999999999998</v>
      </c>
      <c r="U69">
        <v>18.045000000000002</v>
      </c>
      <c r="V69">
        <v>40.47</v>
      </c>
      <c r="W69">
        <v>45.325000000000003</v>
      </c>
      <c r="X69">
        <v>27.11</v>
      </c>
      <c r="Y69">
        <v>49.99</v>
      </c>
      <c r="Z69">
        <v>41.69</v>
      </c>
      <c r="AA69">
        <v>82.57</v>
      </c>
      <c r="AB69">
        <v>57.11</v>
      </c>
      <c r="AC69">
        <v>41.96</v>
      </c>
      <c r="AD69">
        <v>611.38</v>
      </c>
      <c r="AE69">
        <v>671.29</v>
      </c>
      <c r="AF69">
        <v>44.98</v>
      </c>
      <c r="AG69">
        <v>58.35</v>
      </c>
      <c r="AH69">
        <v>48.54</v>
      </c>
      <c r="AI69">
        <v>51.1</v>
      </c>
    </row>
    <row r="70" spans="1:35" x14ac:dyDescent="0.45">
      <c r="A70" s="2">
        <v>45950</v>
      </c>
      <c r="B70">
        <v>33.64</v>
      </c>
      <c r="C70">
        <v>33.85</v>
      </c>
      <c r="D70">
        <v>17.82</v>
      </c>
      <c r="E70">
        <v>25.33</v>
      </c>
      <c r="F70">
        <v>33.49</v>
      </c>
      <c r="G70">
        <v>64</v>
      </c>
      <c r="H70">
        <v>25.82</v>
      </c>
      <c r="I70">
        <v>66.17</v>
      </c>
      <c r="J70">
        <v>65.94</v>
      </c>
      <c r="K70">
        <v>90.43</v>
      </c>
      <c r="L70">
        <v>30.22</v>
      </c>
      <c r="M70">
        <v>66.209999999999994</v>
      </c>
      <c r="N70">
        <v>62.99</v>
      </c>
      <c r="O70">
        <v>54.74</v>
      </c>
      <c r="P70">
        <v>64.12</v>
      </c>
      <c r="Q70">
        <v>19.135000000000002</v>
      </c>
      <c r="R70">
        <v>1284.47</v>
      </c>
      <c r="S70">
        <v>32.76</v>
      </c>
      <c r="T70">
        <v>19.57</v>
      </c>
      <c r="U70">
        <v>18.2</v>
      </c>
      <c r="V70">
        <v>40.89</v>
      </c>
      <c r="W70">
        <v>45.56</v>
      </c>
      <c r="X70">
        <v>27.26</v>
      </c>
      <c r="Y70">
        <v>50.72</v>
      </c>
      <c r="Z70">
        <v>41.88</v>
      </c>
      <c r="AA70">
        <v>83.54</v>
      </c>
      <c r="AB70">
        <v>57.68</v>
      </c>
      <c r="AC70">
        <v>42.16</v>
      </c>
      <c r="AD70">
        <v>611.54</v>
      </c>
      <c r="AE70">
        <v>671.3</v>
      </c>
      <c r="AF70">
        <v>45.2</v>
      </c>
      <c r="AG70">
        <v>58.85</v>
      </c>
      <c r="AH70">
        <v>48.09</v>
      </c>
      <c r="AI70">
        <v>51.24</v>
      </c>
    </row>
    <row r="71" spans="1:35" x14ac:dyDescent="0.45">
      <c r="A71" s="2">
        <v>45947</v>
      </c>
      <c r="B71">
        <v>33.61</v>
      </c>
      <c r="C71">
        <v>33.36</v>
      </c>
      <c r="D71">
        <v>17.3</v>
      </c>
      <c r="E71">
        <v>25.41</v>
      </c>
      <c r="F71">
        <v>32.92</v>
      </c>
      <c r="G71">
        <v>62.97</v>
      </c>
      <c r="H71">
        <v>25.7</v>
      </c>
      <c r="I71">
        <v>65.09</v>
      </c>
      <c r="J71">
        <v>66.13</v>
      </c>
      <c r="K71">
        <v>88.52</v>
      </c>
      <c r="L71">
        <v>29.71</v>
      </c>
      <c r="M71">
        <v>65.41</v>
      </c>
      <c r="N71">
        <v>62.75</v>
      </c>
      <c r="O71">
        <v>54.45</v>
      </c>
      <c r="P71">
        <v>63.31</v>
      </c>
      <c r="Q71">
        <v>19.085000000000001</v>
      </c>
      <c r="R71">
        <v>1274.6099999999999</v>
      </c>
      <c r="S71">
        <v>31.9</v>
      </c>
      <c r="T71">
        <v>19.63</v>
      </c>
      <c r="U71">
        <v>19.2</v>
      </c>
      <c r="V71">
        <v>40.78</v>
      </c>
      <c r="W71">
        <v>45.174999999999997</v>
      </c>
      <c r="X71">
        <v>26.92</v>
      </c>
      <c r="Y71">
        <v>50.28</v>
      </c>
      <c r="Z71">
        <v>41.38</v>
      </c>
      <c r="AA71">
        <v>82</v>
      </c>
      <c r="AB71">
        <v>57.78</v>
      </c>
      <c r="AC71">
        <v>42.07</v>
      </c>
      <c r="AD71">
        <v>603.92999999999995</v>
      </c>
      <c r="AE71">
        <v>664.39</v>
      </c>
      <c r="AF71">
        <v>45.23</v>
      </c>
      <c r="AG71">
        <v>58.65</v>
      </c>
      <c r="AH71">
        <v>47.79</v>
      </c>
      <c r="AI71">
        <v>50.77</v>
      </c>
    </row>
    <row r="72" spans="1:35" x14ac:dyDescent="0.45">
      <c r="A72" s="2">
        <v>45946</v>
      </c>
      <c r="B72">
        <v>34.020000000000003</v>
      </c>
      <c r="C72">
        <v>33.4</v>
      </c>
      <c r="D72">
        <v>17.36</v>
      </c>
      <c r="E72">
        <v>25.42</v>
      </c>
      <c r="F72">
        <v>32.83</v>
      </c>
      <c r="G72">
        <v>64.55</v>
      </c>
      <c r="H72">
        <v>25.58</v>
      </c>
      <c r="I72">
        <v>65.17</v>
      </c>
      <c r="J72">
        <v>67.05</v>
      </c>
      <c r="K72">
        <v>87.88</v>
      </c>
      <c r="L72">
        <v>29.24</v>
      </c>
      <c r="M72">
        <v>67.33</v>
      </c>
      <c r="N72">
        <v>63.87</v>
      </c>
      <c r="O72">
        <v>54.064999999999998</v>
      </c>
      <c r="P72">
        <v>63.4</v>
      </c>
      <c r="Q72">
        <v>19.1356</v>
      </c>
      <c r="R72">
        <v>1291.46</v>
      </c>
      <c r="S72">
        <v>32.340000000000003</v>
      </c>
      <c r="T72">
        <v>19.47</v>
      </c>
      <c r="U72">
        <v>19.64</v>
      </c>
      <c r="V72">
        <v>40.78</v>
      </c>
      <c r="W72">
        <v>45.42</v>
      </c>
      <c r="X72">
        <v>26.97</v>
      </c>
      <c r="Y72">
        <v>50.62</v>
      </c>
      <c r="Z72">
        <v>41.59</v>
      </c>
      <c r="AA72">
        <v>81.55</v>
      </c>
      <c r="AB72">
        <v>57.47</v>
      </c>
      <c r="AC72">
        <v>41.99</v>
      </c>
      <c r="AD72">
        <v>599.99</v>
      </c>
      <c r="AE72">
        <v>660.64</v>
      </c>
      <c r="AF72">
        <v>45.15</v>
      </c>
      <c r="AG72">
        <v>58.49</v>
      </c>
      <c r="AH72">
        <v>47.8</v>
      </c>
      <c r="AI72">
        <v>50.88</v>
      </c>
    </row>
    <row r="73" spans="1:35" x14ac:dyDescent="0.45">
      <c r="A73" s="2">
        <v>45945</v>
      </c>
      <c r="B73">
        <v>33.99</v>
      </c>
      <c r="C73">
        <v>33.409999999999997</v>
      </c>
      <c r="D73">
        <v>17.21</v>
      </c>
      <c r="E73">
        <v>25.44</v>
      </c>
      <c r="F73">
        <v>32.9</v>
      </c>
      <c r="G73">
        <v>64.099999999999994</v>
      </c>
      <c r="H73">
        <v>25.66</v>
      </c>
      <c r="I73">
        <v>64.989999999999995</v>
      </c>
      <c r="J73">
        <v>65.87</v>
      </c>
      <c r="K73">
        <v>85.17</v>
      </c>
      <c r="L73">
        <v>29.32</v>
      </c>
      <c r="M73">
        <v>66.03</v>
      </c>
      <c r="N73">
        <v>64.67</v>
      </c>
      <c r="O73">
        <v>53.76</v>
      </c>
      <c r="P73">
        <v>63.25</v>
      </c>
      <c r="Q73">
        <v>19.070699999999999</v>
      </c>
      <c r="R73">
        <v>1286.69</v>
      </c>
      <c r="S73">
        <v>32.56</v>
      </c>
      <c r="T73">
        <v>19.47</v>
      </c>
      <c r="U73">
        <v>19.420000000000002</v>
      </c>
      <c r="V73">
        <v>40.89</v>
      </c>
      <c r="W73">
        <v>45.14</v>
      </c>
      <c r="X73">
        <v>26.89</v>
      </c>
      <c r="Y73">
        <v>50.96</v>
      </c>
      <c r="Z73">
        <v>41.53</v>
      </c>
      <c r="AA73">
        <v>81.290000000000006</v>
      </c>
      <c r="AB73">
        <v>56.64</v>
      </c>
      <c r="AC73">
        <v>42.02</v>
      </c>
      <c r="AD73">
        <v>602.22</v>
      </c>
      <c r="AE73">
        <v>665.17</v>
      </c>
      <c r="AF73">
        <v>44.42</v>
      </c>
      <c r="AG73">
        <v>58.27</v>
      </c>
      <c r="AH73">
        <v>47.58</v>
      </c>
      <c r="AI73">
        <v>50.47</v>
      </c>
    </row>
    <row r="74" spans="1:35" x14ac:dyDescent="0.45">
      <c r="A74" s="2">
        <v>45944</v>
      </c>
      <c r="B74">
        <v>33.549999999999997</v>
      </c>
      <c r="C74">
        <v>32.799999999999997</v>
      </c>
      <c r="D74">
        <v>17.22</v>
      </c>
      <c r="E74">
        <v>25.45</v>
      </c>
      <c r="F74">
        <v>32.22</v>
      </c>
      <c r="G74">
        <v>63.3</v>
      </c>
      <c r="H74">
        <v>25.72</v>
      </c>
      <c r="I74">
        <v>63.7</v>
      </c>
      <c r="J74">
        <v>64.84</v>
      </c>
      <c r="K74">
        <v>82.69</v>
      </c>
      <c r="L74">
        <v>29.1</v>
      </c>
      <c r="M74">
        <v>65.31</v>
      </c>
      <c r="N74">
        <v>64.83</v>
      </c>
      <c r="O74">
        <v>52.78</v>
      </c>
      <c r="P74">
        <v>62.58</v>
      </c>
      <c r="Q74">
        <v>19.204999999999998</v>
      </c>
      <c r="R74">
        <v>1266.3800000000001</v>
      </c>
      <c r="S74">
        <v>32.35</v>
      </c>
      <c r="T74">
        <v>19.57</v>
      </c>
      <c r="U74">
        <v>19.690000000000001</v>
      </c>
      <c r="V74">
        <v>40.75</v>
      </c>
      <c r="W74">
        <v>45.066499999999998</v>
      </c>
      <c r="X74">
        <v>26.7</v>
      </c>
      <c r="Y74">
        <v>50.53</v>
      </c>
      <c r="Z74">
        <v>41.67</v>
      </c>
      <c r="AA74">
        <v>80.040000000000006</v>
      </c>
      <c r="AB74">
        <v>56.33</v>
      </c>
      <c r="AC74">
        <v>42.06</v>
      </c>
      <c r="AD74">
        <v>598</v>
      </c>
      <c r="AE74">
        <v>662.23</v>
      </c>
      <c r="AF74">
        <v>44.13</v>
      </c>
      <c r="AG74">
        <v>57.76</v>
      </c>
      <c r="AH74">
        <v>47.45</v>
      </c>
      <c r="AI74">
        <v>50.79</v>
      </c>
    </row>
    <row r="75" spans="1:35" x14ac:dyDescent="0.45">
      <c r="A75" s="2">
        <v>45943</v>
      </c>
      <c r="B75">
        <v>33.94</v>
      </c>
      <c r="C75">
        <v>32.119999999999997</v>
      </c>
      <c r="D75">
        <v>17.57</v>
      </c>
      <c r="E75">
        <v>25.3</v>
      </c>
      <c r="F75">
        <v>32.409999999999997</v>
      </c>
      <c r="G75">
        <v>63.41</v>
      </c>
      <c r="H75">
        <v>25.71</v>
      </c>
      <c r="I75">
        <v>64.56</v>
      </c>
      <c r="J75">
        <v>65.47</v>
      </c>
      <c r="K75">
        <v>83.62</v>
      </c>
      <c r="L75">
        <v>29.18</v>
      </c>
      <c r="M75">
        <v>66.010000000000005</v>
      </c>
      <c r="N75">
        <v>65.61</v>
      </c>
      <c r="O75">
        <v>52.97</v>
      </c>
      <c r="P75">
        <v>63.3</v>
      </c>
      <c r="Q75">
        <v>19.254999999999999</v>
      </c>
      <c r="R75">
        <v>1286.98</v>
      </c>
      <c r="S75">
        <v>33.04</v>
      </c>
      <c r="T75">
        <v>19.16</v>
      </c>
      <c r="U75">
        <v>19.59</v>
      </c>
      <c r="V75">
        <v>40.69</v>
      </c>
      <c r="W75">
        <v>45.45</v>
      </c>
      <c r="X75">
        <v>26.66</v>
      </c>
      <c r="Y75">
        <v>50.59</v>
      </c>
      <c r="Z75">
        <v>41.78</v>
      </c>
      <c r="AA75">
        <v>79.290000000000006</v>
      </c>
      <c r="AB75">
        <v>56.08</v>
      </c>
      <c r="AC75">
        <v>41.99</v>
      </c>
      <c r="AD75">
        <v>602.01</v>
      </c>
      <c r="AE75">
        <v>663.04</v>
      </c>
      <c r="AF75">
        <v>43.35</v>
      </c>
      <c r="AG75">
        <v>57.75</v>
      </c>
      <c r="AH75">
        <v>47.32</v>
      </c>
      <c r="AI75">
        <v>50.5</v>
      </c>
    </row>
    <row r="76" spans="1:35" x14ac:dyDescent="0.45">
      <c r="A76" s="2">
        <v>45940</v>
      </c>
      <c r="B76">
        <v>32.92</v>
      </c>
      <c r="C76">
        <v>31.5</v>
      </c>
      <c r="D76">
        <v>17.309999999999999</v>
      </c>
      <c r="E76">
        <v>24.87</v>
      </c>
      <c r="F76">
        <v>31.78</v>
      </c>
      <c r="G76">
        <v>60.91</v>
      </c>
      <c r="H76">
        <v>25.33</v>
      </c>
      <c r="I76">
        <v>61.62</v>
      </c>
      <c r="J76">
        <v>64.39</v>
      </c>
      <c r="K76">
        <v>80.72</v>
      </c>
      <c r="L76">
        <v>28.79</v>
      </c>
      <c r="M76">
        <v>63.32</v>
      </c>
      <c r="N76">
        <v>65.45</v>
      </c>
      <c r="O76">
        <v>52.77</v>
      </c>
      <c r="P76">
        <v>61.39</v>
      </c>
      <c r="Q76">
        <v>19.23</v>
      </c>
      <c r="R76">
        <v>1286.98</v>
      </c>
      <c r="S76">
        <v>32.840000000000003</v>
      </c>
      <c r="T76">
        <v>19</v>
      </c>
      <c r="U76">
        <v>18.98</v>
      </c>
      <c r="V76">
        <v>39.81</v>
      </c>
      <c r="W76">
        <v>45.805</v>
      </c>
      <c r="X76">
        <v>26.44</v>
      </c>
      <c r="Y76">
        <v>49.86</v>
      </c>
      <c r="Z76">
        <v>41.52</v>
      </c>
      <c r="AA76">
        <v>78.36</v>
      </c>
      <c r="AB76">
        <v>56.1</v>
      </c>
      <c r="AC76">
        <v>41.73</v>
      </c>
      <c r="AD76">
        <v>589.5</v>
      </c>
      <c r="AE76">
        <v>653.02</v>
      </c>
      <c r="AF76">
        <v>43.29</v>
      </c>
      <c r="AG76">
        <v>56.64</v>
      </c>
      <c r="AH76">
        <v>46.92</v>
      </c>
      <c r="AI76">
        <v>50.31</v>
      </c>
    </row>
    <row r="77" spans="1:35" x14ac:dyDescent="0.45">
      <c r="A77" s="2">
        <v>45939</v>
      </c>
      <c r="B77">
        <v>34.44</v>
      </c>
      <c r="C77">
        <v>32.520000000000003</v>
      </c>
      <c r="D77">
        <v>17.649999999999999</v>
      </c>
      <c r="E77">
        <v>25.2</v>
      </c>
      <c r="F77">
        <v>32.28</v>
      </c>
      <c r="G77">
        <v>62.65</v>
      </c>
      <c r="H77">
        <v>25.98</v>
      </c>
      <c r="I77">
        <v>64.83</v>
      </c>
      <c r="J77">
        <v>65.42</v>
      </c>
      <c r="K77">
        <v>83.43</v>
      </c>
      <c r="L77">
        <v>29.67</v>
      </c>
      <c r="M77">
        <v>65.06</v>
      </c>
      <c r="N77">
        <v>65.7</v>
      </c>
      <c r="O77">
        <v>52.81</v>
      </c>
      <c r="P77">
        <v>65.12</v>
      </c>
      <c r="Q77">
        <v>19.329999999999998</v>
      </c>
      <c r="R77">
        <v>1313.99</v>
      </c>
      <c r="S77">
        <v>33.369999999999997</v>
      </c>
      <c r="T77">
        <v>19.25</v>
      </c>
      <c r="U77">
        <v>18.75</v>
      </c>
      <c r="V77">
        <v>40.68</v>
      </c>
      <c r="W77">
        <v>46.575000000000003</v>
      </c>
      <c r="X77">
        <v>26.92</v>
      </c>
      <c r="Y77">
        <v>50.53</v>
      </c>
      <c r="Z77">
        <v>42.09</v>
      </c>
      <c r="AA77">
        <v>81.55</v>
      </c>
      <c r="AB77">
        <v>56.36</v>
      </c>
      <c r="AC77">
        <v>42.07</v>
      </c>
      <c r="AD77">
        <v>610.70000000000005</v>
      </c>
      <c r="AE77">
        <v>671.16</v>
      </c>
      <c r="AF77">
        <v>43.89</v>
      </c>
      <c r="AG77">
        <v>57.89</v>
      </c>
      <c r="AH77">
        <v>47.2</v>
      </c>
      <c r="AI77">
        <v>51.13</v>
      </c>
    </row>
    <row r="78" spans="1:35" x14ac:dyDescent="0.45">
      <c r="A78" s="2">
        <v>45938</v>
      </c>
      <c r="B78">
        <v>34.21</v>
      </c>
      <c r="C78">
        <v>32.79</v>
      </c>
      <c r="D78">
        <v>17.45</v>
      </c>
      <c r="E78">
        <v>25.67</v>
      </c>
      <c r="F78">
        <v>32.619999999999997</v>
      </c>
      <c r="G78">
        <v>63.53</v>
      </c>
      <c r="H78">
        <v>26.02</v>
      </c>
      <c r="I78">
        <v>65.650000000000006</v>
      </c>
      <c r="J78">
        <v>65.73</v>
      </c>
      <c r="K78">
        <v>84.19</v>
      </c>
      <c r="L78">
        <v>29.87</v>
      </c>
      <c r="M78">
        <v>66.8</v>
      </c>
      <c r="N78">
        <v>65.62</v>
      </c>
      <c r="O78">
        <v>52.63</v>
      </c>
      <c r="P78">
        <v>66.13</v>
      </c>
      <c r="Q78">
        <v>19.309999999999999</v>
      </c>
      <c r="R78">
        <v>1304.92</v>
      </c>
      <c r="S78">
        <v>33.615000000000002</v>
      </c>
      <c r="T78">
        <v>19.29</v>
      </c>
      <c r="U78">
        <v>18.43</v>
      </c>
      <c r="V78">
        <v>40.549999999999997</v>
      </c>
      <c r="W78">
        <v>47.094999999999999</v>
      </c>
      <c r="X78">
        <v>27.23</v>
      </c>
      <c r="Y78">
        <v>51.14</v>
      </c>
      <c r="Z78">
        <v>42.34</v>
      </c>
      <c r="AA78">
        <v>81.75</v>
      </c>
      <c r="AB78">
        <v>56.83</v>
      </c>
      <c r="AC78">
        <v>42.68</v>
      </c>
      <c r="AD78">
        <v>611.44000000000005</v>
      </c>
      <c r="AE78">
        <v>673.11</v>
      </c>
      <c r="AF78">
        <v>44.3</v>
      </c>
      <c r="AG78">
        <v>58.41</v>
      </c>
      <c r="AH78">
        <v>47.88</v>
      </c>
      <c r="AI78">
        <v>52.29</v>
      </c>
    </row>
    <row r="79" spans="1:35" x14ac:dyDescent="0.45">
      <c r="A79" s="2">
        <v>45937</v>
      </c>
      <c r="B79">
        <v>34.26</v>
      </c>
      <c r="C79">
        <v>32.270000000000003</v>
      </c>
      <c r="D79">
        <v>17.43</v>
      </c>
      <c r="E79">
        <v>25.36</v>
      </c>
      <c r="F79">
        <v>32.58</v>
      </c>
      <c r="G79">
        <v>61.87</v>
      </c>
      <c r="H79">
        <v>25.99</v>
      </c>
      <c r="I79">
        <v>64.81</v>
      </c>
      <c r="J79">
        <v>65.040000000000006</v>
      </c>
      <c r="K79">
        <v>83.35</v>
      </c>
      <c r="L79">
        <v>29.68</v>
      </c>
      <c r="M79">
        <v>64.790000000000006</v>
      </c>
      <c r="N79">
        <v>65.33</v>
      </c>
      <c r="O79">
        <v>52.88</v>
      </c>
      <c r="P79">
        <v>65.81</v>
      </c>
      <c r="Q79">
        <v>19.260000000000002</v>
      </c>
      <c r="R79">
        <v>1305.24</v>
      </c>
      <c r="S79">
        <v>33.69</v>
      </c>
      <c r="T79">
        <v>19.13</v>
      </c>
      <c r="U79">
        <v>18.23</v>
      </c>
      <c r="V79">
        <v>40.590000000000003</v>
      </c>
      <c r="W79">
        <v>47.05</v>
      </c>
      <c r="X79">
        <v>27.14</v>
      </c>
      <c r="Y79">
        <v>50.94</v>
      </c>
      <c r="Z79">
        <v>42.07</v>
      </c>
      <c r="AA79">
        <v>81.96</v>
      </c>
      <c r="AB79">
        <v>56.55</v>
      </c>
      <c r="AC79">
        <v>42.45</v>
      </c>
      <c r="AD79">
        <v>604.51</v>
      </c>
      <c r="AE79">
        <v>669.12</v>
      </c>
      <c r="AF79">
        <v>43.79</v>
      </c>
      <c r="AG79">
        <v>58.56</v>
      </c>
      <c r="AH79">
        <v>47.82</v>
      </c>
      <c r="AI79">
        <v>51.94</v>
      </c>
    </row>
    <row r="80" spans="1:35" x14ac:dyDescent="0.45">
      <c r="A80" s="2">
        <v>45936</v>
      </c>
      <c r="B80">
        <v>34.369999999999997</v>
      </c>
      <c r="C80">
        <v>32.049999999999997</v>
      </c>
      <c r="D80">
        <v>17.420000000000002</v>
      </c>
      <c r="E80">
        <v>25.1</v>
      </c>
      <c r="F80">
        <v>32.51</v>
      </c>
      <c r="G80">
        <v>62.71</v>
      </c>
      <c r="H80">
        <v>26.09</v>
      </c>
      <c r="I80">
        <v>65.03</v>
      </c>
      <c r="J80">
        <v>65.44</v>
      </c>
      <c r="K80">
        <v>84.78</v>
      </c>
      <c r="L80">
        <v>30.31</v>
      </c>
      <c r="M80">
        <v>65.319999999999993</v>
      </c>
      <c r="N80">
        <v>65.38</v>
      </c>
      <c r="O80">
        <v>52.76</v>
      </c>
      <c r="P80">
        <v>66.64</v>
      </c>
      <c r="Q80">
        <v>19.215</v>
      </c>
      <c r="R80">
        <v>1285.6400000000001</v>
      </c>
      <c r="S80">
        <v>33.47</v>
      </c>
      <c r="T80">
        <v>19.04</v>
      </c>
      <c r="U80">
        <v>18.434999999999999</v>
      </c>
      <c r="V80">
        <v>40.770000000000003</v>
      </c>
      <c r="W80">
        <v>47.134999999999998</v>
      </c>
      <c r="X80">
        <v>27.36</v>
      </c>
      <c r="Y80">
        <v>51.3</v>
      </c>
      <c r="Z80">
        <v>42.42</v>
      </c>
      <c r="AA80">
        <v>83.27</v>
      </c>
      <c r="AB80">
        <v>56.72</v>
      </c>
      <c r="AC80">
        <v>42.58</v>
      </c>
      <c r="AD80">
        <v>607.71</v>
      </c>
      <c r="AE80">
        <v>671.61</v>
      </c>
      <c r="AF80">
        <v>44.19</v>
      </c>
      <c r="AG80">
        <v>59.68</v>
      </c>
      <c r="AH80">
        <v>48.26</v>
      </c>
      <c r="AI80">
        <v>52.26</v>
      </c>
    </row>
    <row r="81" spans="1:35" x14ac:dyDescent="0.45">
      <c r="A81" s="2">
        <v>45933</v>
      </c>
      <c r="B81">
        <v>34.39</v>
      </c>
      <c r="C81">
        <v>32.32</v>
      </c>
      <c r="D81">
        <v>17.43</v>
      </c>
      <c r="E81">
        <v>25.59</v>
      </c>
      <c r="F81">
        <v>32.92</v>
      </c>
      <c r="G81">
        <v>62.31</v>
      </c>
      <c r="H81">
        <v>26.2</v>
      </c>
      <c r="I81">
        <v>64.64</v>
      </c>
      <c r="J81">
        <v>66.81</v>
      </c>
      <c r="K81">
        <v>83.85</v>
      </c>
      <c r="L81">
        <v>30.33</v>
      </c>
      <c r="M81">
        <v>65.06</v>
      </c>
      <c r="N81">
        <v>66.17</v>
      </c>
      <c r="O81">
        <v>52.45</v>
      </c>
      <c r="P81">
        <v>66.55</v>
      </c>
      <c r="Q81">
        <v>19.295000000000002</v>
      </c>
      <c r="R81">
        <v>1293.6099999999999</v>
      </c>
      <c r="S81">
        <v>33.74</v>
      </c>
      <c r="T81">
        <v>19.11</v>
      </c>
      <c r="U81">
        <v>17.53</v>
      </c>
      <c r="V81">
        <v>40.49</v>
      </c>
      <c r="W81">
        <v>47.188299999999998</v>
      </c>
      <c r="X81">
        <v>27.43</v>
      </c>
      <c r="Y81">
        <v>51.24</v>
      </c>
      <c r="Z81">
        <v>42.43</v>
      </c>
      <c r="AA81">
        <v>81.78</v>
      </c>
      <c r="AB81">
        <v>56.66</v>
      </c>
      <c r="AC81">
        <v>42.64</v>
      </c>
      <c r="AD81">
        <v>603.17999999999995</v>
      </c>
      <c r="AE81">
        <v>669.21</v>
      </c>
      <c r="AF81">
        <v>44.91</v>
      </c>
      <c r="AG81">
        <v>59.62</v>
      </c>
      <c r="AH81">
        <v>48.2</v>
      </c>
      <c r="AI81">
        <v>52.61</v>
      </c>
    </row>
    <row r="82" spans="1:35" x14ac:dyDescent="0.45">
      <c r="A82" s="2">
        <v>45932</v>
      </c>
      <c r="B82">
        <v>34.5182</v>
      </c>
      <c r="C82">
        <v>32.4</v>
      </c>
      <c r="D82">
        <v>17.440000000000001</v>
      </c>
      <c r="E82">
        <v>25.22</v>
      </c>
      <c r="F82">
        <v>32.81</v>
      </c>
      <c r="G82">
        <v>61.33</v>
      </c>
      <c r="H82">
        <v>26.27</v>
      </c>
      <c r="I82">
        <v>64</v>
      </c>
      <c r="J82">
        <v>66.900000000000006</v>
      </c>
      <c r="K82">
        <v>83.53</v>
      </c>
      <c r="L82">
        <v>30.24</v>
      </c>
      <c r="M82">
        <v>64.209999999999994</v>
      </c>
      <c r="N82">
        <v>65.25</v>
      </c>
      <c r="O82">
        <v>52.3</v>
      </c>
      <c r="P82">
        <v>66.989999999999995</v>
      </c>
      <c r="Q82">
        <v>19.274999999999999</v>
      </c>
      <c r="R82">
        <v>1288.29</v>
      </c>
      <c r="S82">
        <v>34.450000000000003</v>
      </c>
      <c r="T82">
        <v>19.079999999999998</v>
      </c>
      <c r="U82">
        <v>17.515000000000001</v>
      </c>
      <c r="V82">
        <v>40.479999999999997</v>
      </c>
      <c r="W82">
        <v>46.68</v>
      </c>
      <c r="X82">
        <v>27.18</v>
      </c>
      <c r="Y82">
        <v>50.59</v>
      </c>
      <c r="Z82">
        <v>42.47</v>
      </c>
      <c r="AA82">
        <v>80.150000000000006</v>
      </c>
      <c r="AB82">
        <v>56.25</v>
      </c>
      <c r="AC82">
        <v>42.26</v>
      </c>
      <c r="AD82">
        <v>605.73</v>
      </c>
      <c r="AE82">
        <v>669.22</v>
      </c>
      <c r="AF82">
        <v>44.77</v>
      </c>
      <c r="AG82">
        <v>59.51</v>
      </c>
      <c r="AH82">
        <v>47.94</v>
      </c>
      <c r="AI82">
        <v>52.33</v>
      </c>
    </row>
    <row r="83" spans="1:35" x14ac:dyDescent="0.45">
      <c r="A83" s="2">
        <v>45931</v>
      </c>
      <c r="B83">
        <v>34.369500000000002</v>
      </c>
      <c r="C83">
        <v>32.71</v>
      </c>
      <c r="D83">
        <v>17.46</v>
      </c>
      <c r="E83">
        <v>25.2</v>
      </c>
      <c r="F83">
        <v>32.6</v>
      </c>
      <c r="G83">
        <v>61.05</v>
      </c>
      <c r="H83">
        <v>26.21</v>
      </c>
      <c r="I83">
        <v>64.14</v>
      </c>
      <c r="J83">
        <v>66.78</v>
      </c>
      <c r="K83">
        <v>81.89</v>
      </c>
      <c r="L83">
        <v>30.58</v>
      </c>
      <c r="M83">
        <v>64.75</v>
      </c>
      <c r="N83">
        <v>65.56</v>
      </c>
      <c r="O83">
        <v>52.39</v>
      </c>
      <c r="P83">
        <v>66.25</v>
      </c>
      <c r="Q83">
        <v>19.39</v>
      </c>
      <c r="R83">
        <v>1275.03</v>
      </c>
      <c r="S83">
        <v>34.96</v>
      </c>
      <c r="T83">
        <v>18.989999999999998</v>
      </c>
      <c r="U83">
        <v>18.04</v>
      </c>
      <c r="V83">
        <v>40.25</v>
      </c>
      <c r="W83">
        <v>46.711599999999997</v>
      </c>
      <c r="X83">
        <v>27.15</v>
      </c>
      <c r="Y83">
        <v>50.57</v>
      </c>
      <c r="Z83">
        <v>42.13</v>
      </c>
      <c r="AA83">
        <v>80.209999999999994</v>
      </c>
      <c r="AB83">
        <v>55.94</v>
      </c>
      <c r="AC83">
        <v>42.5</v>
      </c>
      <c r="AD83">
        <v>603.25</v>
      </c>
      <c r="AE83">
        <v>668.45</v>
      </c>
      <c r="AF83">
        <v>44.49</v>
      </c>
      <c r="AG83">
        <v>58.84</v>
      </c>
      <c r="AH83">
        <v>47.61</v>
      </c>
      <c r="AI83">
        <v>52.41</v>
      </c>
    </row>
    <row r="84" spans="1:35" x14ac:dyDescent="0.45">
      <c r="A84" s="2">
        <v>45930</v>
      </c>
      <c r="B84">
        <v>34.340000000000003</v>
      </c>
      <c r="C84">
        <v>32.96</v>
      </c>
      <c r="D84">
        <v>17.55</v>
      </c>
      <c r="E84">
        <v>24.84</v>
      </c>
      <c r="F84">
        <v>32.200000000000003</v>
      </c>
      <c r="G84">
        <v>61.5</v>
      </c>
      <c r="H84">
        <v>25.92</v>
      </c>
      <c r="I84">
        <v>63.62</v>
      </c>
      <c r="J84">
        <v>68.209999999999994</v>
      </c>
      <c r="K84">
        <v>80.099999999999994</v>
      </c>
      <c r="L84">
        <v>31</v>
      </c>
      <c r="M84">
        <v>64.099999999999994</v>
      </c>
      <c r="N84">
        <v>64.400000000000006</v>
      </c>
      <c r="O84">
        <v>52.06</v>
      </c>
      <c r="P84">
        <v>65.849999999999994</v>
      </c>
      <c r="Q84">
        <v>19.53</v>
      </c>
      <c r="R84">
        <v>1274.17</v>
      </c>
      <c r="S84">
        <v>34.229999999999997</v>
      </c>
      <c r="T84">
        <v>18.89</v>
      </c>
      <c r="U84">
        <v>17.84</v>
      </c>
      <c r="V84">
        <v>40.58</v>
      </c>
      <c r="W84">
        <v>45.933399999999999</v>
      </c>
      <c r="X84">
        <v>27</v>
      </c>
      <c r="Y84">
        <v>50.55</v>
      </c>
      <c r="Z84">
        <v>41.61</v>
      </c>
      <c r="AA84">
        <v>80.209999999999994</v>
      </c>
      <c r="AB84">
        <v>55.24</v>
      </c>
      <c r="AC84">
        <v>41.97</v>
      </c>
      <c r="AD84">
        <v>600.37</v>
      </c>
      <c r="AE84">
        <v>666.18</v>
      </c>
      <c r="AF84">
        <v>43.93</v>
      </c>
      <c r="AG84">
        <v>58.01</v>
      </c>
      <c r="AH84">
        <v>47.2</v>
      </c>
      <c r="AI84">
        <v>51.95</v>
      </c>
    </row>
    <row r="85" spans="1:35" x14ac:dyDescent="0.45">
      <c r="A85" s="2">
        <v>45929</v>
      </c>
      <c r="B85">
        <v>34.200000000000003</v>
      </c>
      <c r="C85">
        <v>32.85</v>
      </c>
      <c r="D85">
        <v>17.690000000000001</v>
      </c>
      <c r="E85">
        <v>25.04</v>
      </c>
      <c r="F85">
        <v>32.11</v>
      </c>
      <c r="G85">
        <v>60.803600000000003</v>
      </c>
      <c r="H85">
        <v>25.78</v>
      </c>
      <c r="I85">
        <v>63.08</v>
      </c>
      <c r="J85">
        <v>67.459999999999994</v>
      </c>
      <c r="K85">
        <v>80.239999999999995</v>
      </c>
      <c r="L85">
        <v>30.99</v>
      </c>
      <c r="M85">
        <v>63.42</v>
      </c>
      <c r="N85">
        <v>64.27</v>
      </c>
      <c r="O85">
        <v>52.16</v>
      </c>
      <c r="P85">
        <v>65.53</v>
      </c>
      <c r="Q85">
        <v>19.425000000000001</v>
      </c>
      <c r="R85">
        <v>1288.07</v>
      </c>
      <c r="S85">
        <v>34.57</v>
      </c>
      <c r="T85">
        <v>18.82</v>
      </c>
      <c r="U85">
        <v>17.690000000000001</v>
      </c>
      <c r="V85">
        <v>40.15</v>
      </c>
      <c r="W85">
        <v>45.484999999999999</v>
      </c>
      <c r="X85">
        <v>26.98</v>
      </c>
      <c r="Y85">
        <v>50.46</v>
      </c>
      <c r="Z85">
        <v>41.31</v>
      </c>
      <c r="AA85">
        <v>80.510000000000005</v>
      </c>
      <c r="AB85">
        <v>54.57</v>
      </c>
      <c r="AC85">
        <v>41.63</v>
      </c>
      <c r="AD85">
        <v>598.73</v>
      </c>
      <c r="AE85">
        <v>663.68</v>
      </c>
      <c r="AF85">
        <v>43.78</v>
      </c>
      <c r="AG85">
        <v>57.67</v>
      </c>
      <c r="AH85">
        <v>47.22</v>
      </c>
      <c r="AI85">
        <v>51.5</v>
      </c>
    </row>
    <row r="86" spans="1:35" x14ac:dyDescent="0.45">
      <c r="A86" s="2">
        <v>45926</v>
      </c>
      <c r="B86">
        <v>33.54</v>
      </c>
      <c r="C86">
        <v>33.17</v>
      </c>
      <c r="D86">
        <v>17.600000000000001</v>
      </c>
      <c r="E86">
        <v>25.12</v>
      </c>
      <c r="F86">
        <v>32.17</v>
      </c>
      <c r="G86">
        <v>59.3</v>
      </c>
      <c r="H86">
        <v>25.73</v>
      </c>
      <c r="I86">
        <v>62.74</v>
      </c>
      <c r="J86">
        <v>67.14</v>
      </c>
      <c r="K86">
        <v>78.87</v>
      </c>
      <c r="L86">
        <v>30.73</v>
      </c>
      <c r="M86">
        <v>63.3</v>
      </c>
      <c r="N86">
        <v>63.82</v>
      </c>
      <c r="O86">
        <v>52.25</v>
      </c>
      <c r="P86">
        <v>64.319999999999993</v>
      </c>
      <c r="Q86">
        <v>19.420000000000002</v>
      </c>
      <c r="R86">
        <v>1278.74</v>
      </c>
      <c r="S86">
        <v>34.770000000000003</v>
      </c>
      <c r="T86">
        <v>18.98</v>
      </c>
      <c r="U86">
        <v>17.55</v>
      </c>
      <c r="V86">
        <v>39.950000000000003</v>
      </c>
      <c r="W86">
        <v>45.365000000000002</v>
      </c>
      <c r="X86">
        <v>26.67</v>
      </c>
      <c r="Y86">
        <v>50.02</v>
      </c>
      <c r="Z86">
        <v>41.2</v>
      </c>
      <c r="AA86">
        <v>80.44</v>
      </c>
      <c r="AB86">
        <v>54.26</v>
      </c>
      <c r="AC86">
        <v>41.58</v>
      </c>
      <c r="AD86">
        <v>595.97</v>
      </c>
      <c r="AE86">
        <v>661.82</v>
      </c>
      <c r="AF86">
        <v>43.59</v>
      </c>
      <c r="AG86">
        <v>57.12</v>
      </c>
      <c r="AH86">
        <v>47.2</v>
      </c>
      <c r="AI86">
        <v>51.54</v>
      </c>
    </row>
    <row r="87" spans="1:35" x14ac:dyDescent="0.45">
      <c r="A87" s="2">
        <v>45925</v>
      </c>
      <c r="B87">
        <v>33.880000000000003</v>
      </c>
      <c r="C87">
        <v>33.21</v>
      </c>
      <c r="D87">
        <v>17.41</v>
      </c>
      <c r="E87">
        <v>25.09</v>
      </c>
      <c r="F87">
        <v>31.57</v>
      </c>
      <c r="G87">
        <v>59.78</v>
      </c>
      <c r="H87">
        <v>25.27</v>
      </c>
      <c r="I87">
        <v>63.06</v>
      </c>
      <c r="J87">
        <v>66.180000000000007</v>
      </c>
      <c r="K87">
        <v>79.89</v>
      </c>
      <c r="L87">
        <v>30.58</v>
      </c>
      <c r="M87">
        <v>61.67</v>
      </c>
      <c r="N87">
        <v>63.96</v>
      </c>
      <c r="O87">
        <v>52.49</v>
      </c>
      <c r="P87">
        <v>64.760000000000005</v>
      </c>
      <c r="Q87">
        <v>19.37</v>
      </c>
      <c r="R87">
        <v>1288.26</v>
      </c>
      <c r="S87">
        <v>35.19</v>
      </c>
      <c r="T87">
        <v>18.84</v>
      </c>
      <c r="U87">
        <v>17.670000000000002</v>
      </c>
      <c r="V87">
        <v>39.840000000000003</v>
      </c>
      <c r="W87">
        <v>45.196899999999999</v>
      </c>
      <c r="X87">
        <v>26.47</v>
      </c>
      <c r="Y87">
        <v>50.05</v>
      </c>
      <c r="Z87">
        <v>40.75</v>
      </c>
      <c r="AA87">
        <v>80.459999999999994</v>
      </c>
      <c r="AB87">
        <v>53.86</v>
      </c>
      <c r="AC87">
        <v>41.04</v>
      </c>
      <c r="AD87">
        <v>593.53</v>
      </c>
      <c r="AE87">
        <v>658.05</v>
      </c>
      <c r="AF87">
        <v>43.05</v>
      </c>
      <c r="AG87">
        <v>57.02</v>
      </c>
      <c r="AH87">
        <v>46.62</v>
      </c>
      <c r="AI87">
        <v>50.94</v>
      </c>
    </row>
    <row r="88" spans="1:35" x14ac:dyDescent="0.45">
      <c r="A88" s="2">
        <v>45924</v>
      </c>
      <c r="B88">
        <v>33.680599999999998</v>
      </c>
      <c r="C88">
        <v>33.630000000000003</v>
      </c>
      <c r="D88">
        <v>17.68</v>
      </c>
      <c r="E88">
        <v>25.69</v>
      </c>
      <c r="F88">
        <v>32.090000000000003</v>
      </c>
      <c r="G88">
        <v>59.89</v>
      </c>
      <c r="H88">
        <v>25.33</v>
      </c>
      <c r="I88">
        <v>63.57</v>
      </c>
      <c r="J88">
        <v>66.47</v>
      </c>
      <c r="K88">
        <v>80.040000000000006</v>
      </c>
      <c r="L88">
        <v>31.05</v>
      </c>
      <c r="M88">
        <v>61.97</v>
      </c>
      <c r="N88">
        <v>65</v>
      </c>
      <c r="O88">
        <v>52.74</v>
      </c>
      <c r="P88">
        <v>64.58</v>
      </c>
      <c r="Q88">
        <v>19.565000000000001</v>
      </c>
      <c r="R88">
        <v>1278.4100000000001</v>
      </c>
      <c r="S88">
        <v>35.299999999999997</v>
      </c>
      <c r="T88">
        <v>18.68</v>
      </c>
      <c r="U88">
        <v>17.579999999999998</v>
      </c>
      <c r="V88">
        <v>40.54</v>
      </c>
      <c r="W88">
        <v>45.596299999999999</v>
      </c>
      <c r="X88">
        <v>26.47</v>
      </c>
      <c r="Y88">
        <v>50.24</v>
      </c>
      <c r="Z88">
        <v>41.24</v>
      </c>
      <c r="AA88">
        <v>80.849999999999994</v>
      </c>
      <c r="AB88">
        <v>54.51</v>
      </c>
      <c r="AC88">
        <v>41.35</v>
      </c>
      <c r="AD88">
        <v>596.1</v>
      </c>
      <c r="AE88">
        <v>661.1</v>
      </c>
      <c r="AF88">
        <v>43.41</v>
      </c>
      <c r="AG88">
        <v>57.27</v>
      </c>
      <c r="AH88">
        <v>47.01</v>
      </c>
      <c r="AI88">
        <v>51.29</v>
      </c>
    </row>
    <row r="89" spans="1:35" x14ac:dyDescent="0.45">
      <c r="A89" s="2">
        <v>45923</v>
      </c>
      <c r="B89">
        <v>33.47</v>
      </c>
      <c r="C89">
        <v>33.68</v>
      </c>
      <c r="D89">
        <v>17.760000000000002</v>
      </c>
      <c r="E89">
        <v>26.16</v>
      </c>
      <c r="F89">
        <v>32.04</v>
      </c>
      <c r="G89">
        <v>58.88</v>
      </c>
      <c r="H89">
        <v>25.74</v>
      </c>
      <c r="I89">
        <v>64.290000000000006</v>
      </c>
      <c r="J89">
        <v>67.430000000000007</v>
      </c>
      <c r="K89">
        <v>81.45</v>
      </c>
      <c r="L89">
        <v>31.32</v>
      </c>
      <c r="M89">
        <v>62.87</v>
      </c>
      <c r="N89">
        <v>65.23</v>
      </c>
      <c r="O89">
        <v>53.06</v>
      </c>
      <c r="P89">
        <v>63.66</v>
      </c>
      <c r="Q89">
        <v>19.785</v>
      </c>
      <c r="R89">
        <v>1273.2</v>
      </c>
      <c r="S89">
        <v>35.06</v>
      </c>
      <c r="T89">
        <v>19.14</v>
      </c>
      <c r="U89">
        <v>17.29</v>
      </c>
      <c r="V89">
        <v>40.78</v>
      </c>
      <c r="W89">
        <v>45.865900000000003</v>
      </c>
      <c r="X89">
        <v>26.87</v>
      </c>
      <c r="Y89">
        <v>50.53</v>
      </c>
      <c r="Z89">
        <v>41.27</v>
      </c>
      <c r="AA89">
        <v>81.09</v>
      </c>
      <c r="AB89">
        <v>55.24</v>
      </c>
      <c r="AC89">
        <v>41.47</v>
      </c>
      <c r="AD89">
        <v>598.20000000000005</v>
      </c>
      <c r="AE89">
        <v>663.21</v>
      </c>
      <c r="AF89">
        <v>43.89</v>
      </c>
      <c r="AG89">
        <v>57.62</v>
      </c>
      <c r="AH89">
        <v>47.85</v>
      </c>
      <c r="AI89">
        <v>51.51</v>
      </c>
    </row>
    <row r="90" spans="1:35" x14ac:dyDescent="0.45">
      <c r="A90" s="2">
        <v>45922</v>
      </c>
      <c r="B90">
        <v>33.67</v>
      </c>
      <c r="C90">
        <v>33.5</v>
      </c>
      <c r="D90">
        <v>17.73</v>
      </c>
      <c r="E90">
        <v>26.6</v>
      </c>
      <c r="F90">
        <v>32</v>
      </c>
      <c r="G90">
        <v>58.59</v>
      </c>
      <c r="H90">
        <v>25.79</v>
      </c>
      <c r="I90">
        <v>64.02</v>
      </c>
      <c r="J90">
        <v>66.900000000000006</v>
      </c>
      <c r="K90">
        <v>81.56</v>
      </c>
      <c r="L90">
        <v>30.79</v>
      </c>
      <c r="M90">
        <v>62.46</v>
      </c>
      <c r="N90">
        <v>64.760000000000005</v>
      </c>
      <c r="O90">
        <v>53.5</v>
      </c>
      <c r="P90">
        <v>64.430000000000007</v>
      </c>
      <c r="Q90">
        <v>19.940000000000001</v>
      </c>
      <c r="R90">
        <v>1282.54</v>
      </c>
      <c r="S90">
        <v>35.58</v>
      </c>
      <c r="T90">
        <v>19.55</v>
      </c>
      <c r="U90">
        <v>17.53</v>
      </c>
      <c r="V90">
        <v>38.18</v>
      </c>
      <c r="W90">
        <v>46.287199999999999</v>
      </c>
      <c r="X90">
        <v>26.92</v>
      </c>
      <c r="Y90">
        <v>50.88</v>
      </c>
      <c r="Z90">
        <v>41.24</v>
      </c>
      <c r="AA90">
        <v>81.25</v>
      </c>
      <c r="AB90">
        <v>55.57</v>
      </c>
      <c r="AC90">
        <v>41.61</v>
      </c>
      <c r="AD90">
        <v>602.20000000000005</v>
      </c>
      <c r="AE90">
        <v>666.84</v>
      </c>
      <c r="AF90">
        <v>43.78</v>
      </c>
      <c r="AG90">
        <v>57.36</v>
      </c>
      <c r="AH90">
        <v>47.63</v>
      </c>
      <c r="AI90">
        <v>51.74</v>
      </c>
    </row>
    <row r="91" spans="1:35" x14ac:dyDescent="0.45">
      <c r="A91" s="2">
        <v>45919</v>
      </c>
      <c r="B91">
        <v>33.450000000000003</v>
      </c>
      <c r="C91">
        <v>33.590000000000003</v>
      </c>
      <c r="D91">
        <v>17.79</v>
      </c>
      <c r="E91">
        <v>26.8</v>
      </c>
      <c r="F91">
        <v>31.76</v>
      </c>
      <c r="G91">
        <v>57.811199999999999</v>
      </c>
      <c r="H91">
        <v>25.59</v>
      </c>
      <c r="I91">
        <v>63.38</v>
      </c>
      <c r="J91">
        <v>66.099999999999994</v>
      </c>
      <c r="K91">
        <v>80.05</v>
      </c>
      <c r="L91">
        <v>30.93</v>
      </c>
      <c r="M91">
        <v>62.54</v>
      </c>
      <c r="N91">
        <v>64.14</v>
      </c>
      <c r="O91">
        <v>53.94</v>
      </c>
      <c r="P91">
        <v>64.44</v>
      </c>
      <c r="Q91">
        <v>19.940000000000001</v>
      </c>
      <c r="R91">
        <v>1292.72</v>
      </c>
      <c r="S91">
        <v>35.380000000000003</v>
      </c>
      <c r="T91">
        <v>19.47</v>
      </c>
      <c r="U91">
        <v>17.68</v>
      </c>
      <c r="V91">
        <v>37.83</v>
      </c>
      <c r="W91">
        <v>46.41</v>
      </c>
      <c r="X91">
        <v>26.89</v>
      </c>
      <c r="Y91">
        <v>50.73</v>
      </c>
      <c r="Z91">
        <v>41.22</v>
      </c>
      <c r="AA91">
        <v>80.790000000000006</v>
      </c>
      <c r="AB91">
        <v>55.26</v>
      </c>
      <c r="AC91">
        <v>41.36</v>
      </c>
      <c r="AD91">
        <v>599.35</v>
      </c>
      <c r="AE91">
        <v>663.7</v>
      </c>
      <c r="AF91">
        <v>43.68</v>
      </c>
      <c r="AG91">
        <v>56.84</v>
      </c>
      <c r="AH91">
        <v>47.43</v>
      </c>
      <c r="AI91">
        <v>51.37</v>
      </c>
    </row>
    <row r="92" spans="1:35" x14ac:dyDescent="0.45">
      <c r="A92" s="2">
        <v>45918</v>
      </c>
      <c r="B92">
        <v>33.479999999999997</v>
      </c>
      <c r="C92">
        <v>33.6</v>
      </c>
      <c r="D92">
        <v>17.72</v>
      </c>
      <c r="E92">
        <v>26.46</v>
      </c>
      <c r="F92">
        <v>32.07</v>
      </c>
      <c r="G92">
        <v>57.14</v>
      </c>
      <c r="H92">
        <v>25.6</v>
      </c>
      <c r="I92">
        <v>63.77</v>
      </c>
      <c r="J92">
        <v>65.95</v>
      </c>
      <c r="K92">
        <v>80.75</v>
      </c>
      <c r="L92">
        <v>30.82</v>
      </c>
      <c r="M92">
        <v>61.48</v>
      </c>
      <c r="N92">
        <v>64.3</v>
      </c>
      <c r="O92">
        <v>53.74</v>
      </c>
      <c r="P92">
        <v>64.75</v>
      </c>
      <c r="Q92">
        <v>19.940000000000001</v>
      </c>
      <c r="R92">
        <v>1297.01</v>
      </c>
      <c r="S92">
        <v>34.35</v>
      </c>
      <c r="T92">
        <v>19.36</v>
      </c>
      <c r="U92">
        <v>17.8</v>
      </c>
      <c r="V92">
        <v>37.770000000000003</v>
      </c>
      <c r="W92">
        <v>46.255000000000003</v>
      </c>
      <c r="X92">
        <v>26.89</v>
      </c>
      <c r="Y92">
        <v>50.18</v>
      </c>
      <c r="Z92">
        <v>41.45</v>
      </c>
      <c r="AA92">
        <v>81.489999999999995</v>
      </c>
      <c r="AB92">
        <v>55.21</v>
      </c>
      <c r="AC92">
        <v>41.66</v>
      </c>
      <c r="AD92">
        <v>595.32000000000005</v>
      </c>
      <c r="AE92">
        <v>662.26</v>
      </c>
      <c r="AF92">
        <v>43.84</v>
      </c>
      <c r="AG92">
        <v>56.97</v>
      </c>
      <c r="AH92">
        <v>47.56</v>
      </c>
      <c r="AI92">
        <v>51.44</v>
      </c>
    </row>
    <row r="93" spans="1:35" x14ac:dyDescent="0.45">
      <c r="A93" s="2">
        <v>45917</v>
      </c>
      <c r="B93">
        <v>33.96</v>
      </c>
      <c r="C93">
        <v>33.4</v>
      </c>
      <c r="D93">
        <v>17.98</v>
      </c>
      <c r="E93">
        <v>26.55</v>
      </c>
      <c r="F93">
        <v>32.32</v>
      </c>
      <c r="G93">
        <v>57.874499999999998</v>
      </c>
      <c r="H93">
        <v>25.95</v>
      </c>
      <c r="I93">
        <v>63.21</v>
      </c>
      <c r="J93">
        <v>66.53</v>
      </c>
      <c r="K93">
        <v>79.83</v>
      </c>
      <c r="L93">
        <v>30.94</v>
      </c>
      <c r="M93">
        <v>60.86</v>
      </c>
      <c r="N93">
        <v>64.099999999999994</v>
      </c>
      <c r="O93">
        <v>54.02</v>
      </c>
      <c r="P93">
        <v>65.8</v>
      </c>
      <c r="Q93">
        <v>19.850000000000001</v>
      </c>
      <c r="R93">
        <v>1306.69</v>
      </c>
      <c r="S93">
        <v>34.75</v>
      </c>
      <c r="T93">
        <v>19.16</v>
      </c>
      <c r="U93">
        <v>17.88</v>
      </c>
      <c r="V93">
        <v>37.43</v>
      </c>
      <c r="W93">
        <v>47.045000000000002</v>
      </c>
      <c r="X93">
        <v>27.14</v>
      </c>
      <c r="Y93">
        <v>49.98</v>
      </c>
      <c r="Z93">
        <v>41.06</v>
      </c>
      <c r="AA93">
        <v>81.17</v>
      </c>
      <c r="AB93">
        <v>55.29</v>
      </c>
      <c r="AC93">
        <v>41.79</v>
      </c>
      <c r="AD93">
        <v>590</v>
      </c>
      <c r="AE93">
        <v>659.18</v>
      </c>
      <c r="AF93">
        <v>43.53</v>
      </c>
      <c r="AG93">
        <v>55.8782</v>
      </c>
      <c r="AH93">
        <v>47.17</v>
      </c>
      <c r="AI93">
        <v>51.33</v>
      </c>
    </row>
    <row r="94" spans="1:35" x14ac:dyDescent="0.45">
      <c r="A94" s="2">
        <v>45916</v>
      </c>
      <c r="B94">
        <v>33.770000000000003</v>
      </c>
      <c r="C94">
        <v>33.76</v>
      </c>
      <c r="D94">
        <v>17.850000000000001</v>
      </c>
      <c r="E94">
        <v>26.22</v>
      </c>
      <c r="F94">
        <v>32.51</v>
      </c>
      <c r="G94">
        <v>57.915399999999998</v>
      </c>
      <c r="H94">
        <v>25.54</v>
      </c>
      <c r="I94">
        <v>63.32</v>
      </c>
      <c r="J94">
        <v>66.8</v>
      </c>
      <c r="K94">
        <v>80.69</v>
      </c>
      <c r="L94">
        <v>30.69</v>
      </c>
      <c r="M94">
        <v>61</v>
      </c>
      <c r="N94">
        <v>64.77</v>
      </c>
      <c r="O94">
        <v>53.87</v>
      </c>
      <c r="P94">
        <v>64.86</v>
      </c>
      <c r="Q94">
        <v>19.77</v>
      </c>
      <c r="R94">
        <v>1308.19</v>
      </c>
      <c r="S94">
        <v>34.82</v>
      </c>
      <c r="T94">
        <v>19.32</v>
      </c>
      <c r="U94">
        <v>18.059999999999999</v>
      </c>
      <c r="V94">
        <v>36.9</v>
      </c>
      <c r="W94">
        <v>47.020400000000002</v>
      </c>
      <c r="X94">
        <v>27.38</v>
      </c>
      <c r="Y94">
        <v>50.08</v>
      </c>
      <c r="Z94">
        <v>41.15</v>
      </c>
      <c r="AA94">
        <v>81.349999999999994</v>
      </c>
      <c r="AB94">
        <v>55.48</v>
      </c>
      <c r="AC94">
        <v>41.89</v>
      </c>
      <c r="AD94">
        <v>591.17999999999995</v>
      </c>
      <c r="AE94">
        <v>660</v>
      </c>
      <c r="AF94">
        <v>43.82</v>
      </c>
      <c r="AG94">
        <v>55.71</v>
      </c>
      <c r="AH94">
        <v>47.46</v>
      </c>
      <c r="AI94">
        <v>52.15</v>
      </c>
    </row>
    <row r="95" spans="1:35" x14ac:dyDescent="0.45">
      <c r="A95" s="2">
        <v>45915</v>
      </c>
      <c r="B95">
        <v>33.81</v>
      </c>
      <c r="C95">
        <v>33.799999999999997</v>
      </c>
      <c r="D95">
        <v>17.96</v>
      </c>
      <c r="E95">
        <v>25.71</v>
      </c>
      <c r="F95">
        <v>32.81</v>
      </c>
      <c r="G95">
        <v>58.435400000000001</v>
      </c>
      <c r="H95">
        <v>25.55</v>
      </c>
      <c r="I95">
        <v>63.02</v>
      </c>
      <c r="J95">
        <v>66.77</v>
      </c>
      <c r="K95">
        <v>79.19</v>
      </c>
      <c r="L95">
        <v>30.51</v>
      </c>
      <c r="M95">
        <v>60.93</v>
      </c>
      <c r="N95">
        <v>65.23</v>
      </c>
      <c r="O95">
        <v>53.43</v>
      </c>
      <c r="P95">
        <v>64.430000000000007</v>
      </c>
      <c r="Q95">
        <v>19.55</v>
      </c>
      <c r="R95">
        <v>1299.78</v>
      </c>
      <c r="S95">
        <v>34.24</v>
      </c>
      <c r="T95">
        <v>19.2</v>
      </c>
      <c r="U95">
        <v>18.399999999999999</v>
      </c>
      <c r="V95">
        <v>36.71</v>
      </c>
      <c r="W95">
        <v>47.107199999999999</v>
      </c>
      <c r="X95">
        <v>27.57</v>
      </c>
      <c r="Y95">
        <v>50.13</v>
      </c>
      <c r="Z95">
        <v>41.42</v>
      </c>
      <c r="AA95">
        <v>81.349999999999994</v>
      </c>
      <c r="AB95">
        <v>55.56</v>
      </c>
      <c r="AC95">
        <v>42.09</v>
      </c>
      <c r="AD95">
        <v>591.67999999999995</v>
      </c>
      <c r="AE95">
        <v>660.91</v>
      </c>
      <c r="AF95">
        <v>43.89</v>
      </c>
      <c r="AG95">
        <v>55.75</v>
      </c>
      <c r="AH95">
        <v>47.61</v>
      </c>
      <c r="AI95">
        <v>52.39</v>
      </c>
    </row>
    <row r="96" spans="1:35" x14ac:dyDescent="0.45">
      <c r="A96" s="2">
        <v>45912</v>
      </c>
      <c r="B96">
        <v>33.6</v>
      </c>
      <c r="C96">
        <v>33.22</v>
      </c>
      <c r="D96">
        <v>17.829999999999998</v>
      </c>
      <c r="E96">
        <v>25.8</v>
      </c>
      <c r="F96">
        <v>32.28</v>
      </c>
      <c r="G96">
        <v>57.768000000000001</v>
      </c>
      <c r="H96">
        <v>25.47</v>
      </c>
      <c r="I96">
        <v>62.83</v>
      </c>
      <c r="J96">
        <v>66.12</v>
      </c>
      <c r="K96">
        <v>78.66</v>
      </c>
      <c r="L96">
        <v>30.03</v>
      </c>
      <c r="M96">
        <v>60.57</v>
      </c>
      <c r="N96">
        <v>65.17</v>
      </c>
      <c r="O96">
        <v>53.15</v>
      </c>
      <c r="P96">
        <v>63.95</v>
      </c>
      <c r="Q96">
        <v>19.54</v>
      </c>
      <c r="R96">
        <v>1293.6199999999999</v>
      </c>
      <c r="S96">
        <v>32.270000000000003</v>
      </c>
      <c r="T96">
        <v>19.170000000000002</v>
      </c>
      <c r="U96">
        <v>17.97</v>
      </c>
      <c r="V96">
        <v>36.72</v>
      </c>
      <c r="W96">
        <v>46.74</v>
      </c>
      <c r="X96">
        <v>27.24</v>
      </c>
      <c r="Y96">
        <v>49.6</v>
      </c>
      <c r="Z96">
        <v>41.31</v>
      </c>
      <c r="AA96">
        <v>80.760000000000005</v>
      </c>
      <c r="AB96">
        <v>55.65</v>
      </c>
      <c r="AC96">
        <v>41.94</v>
      </c>
      <c r="AD96">
        <v>586.66</v>
      </c>
      <c r="AE96">
        <v>657.41</v>
      </c>
      <c r="AF96">
        <v>43.49</v>
      </c>
      <c r="AG96">
        <v>54.66</v>
      </c>
      <c r="AH96">
        <v>47.24</v>
      </c>
      <c r="AI96">
        <v>51.72</v>
      </c>
    </row>
    <row r="97" spans="1:35" x14ac:dyDescent="0.45">
      <c r="A97" s="2">
        <v>45911</v>
      </c>
      <c r="B97">
        <v>33.94</v>
      </c>
      <c r="C97">
        <v>34.020000000000003</v>
      </c>
      <c r="D97">
        <v>17.64</v>
      </c>
      <c r="E97">
        <v>26</v>
      </c>
      <c r="F97">
        <v>32.6</v>
      </c>
      <c r="G97">
        <v>57.547199999999997</v>
      </c>
      <c r="H97">
        <v>25.33</v>
      </c>
      <c r="I97">
        <v>62.74</v>
      </c>
      <c r="J97">
        <v>65.709999999999994</v>
      </c>
      <c r="K97">
        <v>77.86</v>
      </c>
      <c r="L97">
        <v>30.05</v>
      </c>
      <c r="M97">
        <v>60.56</v>
      </c>
      <c r="N97">
        <v>64.22</v>
      </c>
      <c r="O97">
        <v>53.24</v>
      </c>
      <c r="P97">
        <v>64.209999999999994</v>
      </c>
      <c r="Q97">
        <v>19.579999999999998</v>
      </c>
      <c r="R97">
        <v>1288.03</v>
      </c>
      <c r="S97">
        <v>32.32</v>
      </c>
      <c r="T97">
        <v>19.010000000000002</v>
      </c>
      <c r="U97">
        <v>18.03</v>
      </c>
      <c r="V97">
        <v>36.799999999999997</v>
      </c>
      <c r="W97">
        <v>47.225000000000001</v>
      </c>
      <c r="X97">
        <v>27.41</v>
      </c>
      <c r="Y97">
        <v>49.92</v>
      </c>
      <c r="Z97">
        <v>41.39</v>
      </c>
      <c r="AA97">
        <v>81.319999999999993</v>
      </c>
      <c r="AB97">
        <v>56.12</v>
      </c>
      <c r="AC97">
        <v>42.19</v>
      </c>
      <c r="AD97">
        <v>584.08000000000004</v>
      </c>
      <c r="AE97">
        <v>657.63</v>
      </c>
      <c r="AF97">
        <v>43.53</v>
      </c>
      <c r="AG97">
        <v>54.46</v>
      </c>
      <c r="AH97">
        <v>47.33</v>
      </c>
      <c r="AI97">
        <v>51.6</v>
      </c>
    </row>
    <row r="98" spans="1:35" x14ac:dyDescent="0.45">
      <c r="A98" s="2">
        <v>45910</v>
      </c>
      <c r="B98">
        <v>32.840000000000003</v>
      </c>
      <c r="C98">
        <v>32.89</v>
      </c>
      <c r="D98">
        <v>17.329999999999998</v>
      </c>
      <c r="E98">
        <v>25.92</v>
      </c>
      <c r="F98">
        <v>31.83</v>
      </c>
      <c r="G98">
        <v>56.45</v>
      </c>
      <c r="H98">
        <v>25.17</v>
      </c>
      <c r="I98">
        <v>62.56</v>
      </c>
      <c r="J98">
        <v>64.28</v>
      </c>
      <c r="K98">
        <v>76.650000000000006</v>
      </c>
      <c r="L98">
        <v>29.79</v>
      </c>
      <c r="M98">
        <v>59.73</v>
      </c>
      <c r="N98">
        <v>63.64</v>
      </c>
      <c r="O98">
        <v>53.16</v>
      </c>
      <c r="P98">
        <v>62.54</v>
      </c>
      <c r="Q98">
        <v>19.53</v>
      </c>
      <c r="R98">
        <v>1278.05</v>
      </c>
      <c r="S98">
        <v>32.92</v>
      </c>
      <c r="T98">
        <v>18.850000000000001</v>
      </c>
      <c r="U98">
        <v>17.75</v>
      </c>
      <c r="V98">
        <v>36.799999999999997</v>
      </c>
      <c r="W98">
        <v>46.85</v>
      </c>
      <c r="X98">
        <v>27.11</v>
      </c>
      <c r="Y98">
        <v>49.42</v>
      </c>
      <c r="Z98">
        <v>41.07</v>
      </c>
      <c r="AA98">
        <v>80.36</v>
      </c>
      <c r="AB98">
        <v>55.62</v>
      </c>
      <c r="AC98">
        <v>41.74</v>
      </c>
      <c r="AD98">
        <v>580.70000000000005</v>
      </c>
      <c r="AE98">
        <v>652.21</v>
      </c>
      <c r="AF98">
        <v>42.9</v>
      </c>
      <c r="AG98">
        <v>53.79</v>
      </c>
      <c r="AH98">
        <v>47.1</v>
      </c>
      <c r="AI98">
        <v>50.93</v>
      </c>
    </row>
    <row r="99" spans="1:35" x14ac:dyDescent="0.45">
      <c r="A99" s="2">
        <v>45909</v>
      </c>
      <c r="B99">
        <v>32.94</v>
      </c>
      <c r="C99">
        <v>32.695</v>
      </c>
      <c r="D99">
        <v>17.059999999999999</v>
      </c>
      <c r="E99">
        <v>26.09</v>
      </c>
      <c r="F99">
        <v>32.380000000000003</v>
      </c>
      <c r="G99">
        <v>56</v>
      </c>
      <c r="H99">
        <v>25.17</v>
      </c>
      <c r="I99">
        <v>61.62</v>
      </c>
      <c r="J99">
        <v>64.260000000000005</v>
      </c>
      <c r="K99">
        <v>74.92</v>
      </c>
      <c r="L99">
        <v>29.54</v>
      </c>
      <c r="M99">
        <v>59.03</v>
      </c>
      <c r="N99">
        <v>63.6</v>
      </c>
      <c r="O99">
        <v>52.71</v>
      </c>
      <c r="P99">
        <v>62.97</v>
      </c>
      <c r="Q99">
        <v>19.37</v>
      </c>
      <c r="R99">
        <v>1276.08</v>
      </c>
      <c r="S99">
        <v>32.68</v>
      </c>
      <c r="T99">
        <v>18.91</v>
      </c>
      <c r="U99">
        <v>17.670000000000002</v>
      </c>
      <c r="V99">
        <v>36.76</v>
      </c>
      <c r="W99">
        <v>46.655000000000001</v>
      </c>
      <c r="X99">
        <v>26.89</v>
      </c>
      <c r="Y99">
        <v>49.27</v>
      </c>
      <c r="Z99">
        <v>41.48</v>
      </c>
      <c r="AA99">
        <v>80.06</v>
      </c>
      <c r="AB99">
        <v>56.02</v>
      </c>
      <c r="AC99">
        <v>41.75</v>
      </c>
      <c r="AD99">
        <v>580.51</v>
      </c>
      <c r="AE99">
        <v>650.33000000000004</v>
      </c>
      <c r="AF99">
        <v>43.06</v>
      </c>
      <c r="AG99">
        <v>54.12</v>
      </c>
      <c r="AH99">
        <v>47.3</v>
      </c>
      <c r="AI99">
        <v>50.86</v>
      </c>
    </row>
    <row r="100" spans="1:35" x14ac:dyDescent="0.45">
      <c r="A100" s="2">
        <v>45908</v>
      </c>
      <c r="B100">
        <v>33.14</v>
      </c>
      <c r="C100">
        <v>33.229999999999997</v>
      </c>
      <c r="D100">
        <v>17.5</v>
      </c>
      <c r="E100">
        <v>26.09</v>
      </c>
      <c r="F100">
        <v>32.880000000000003</v>
      </c>
      <c r="G100">
        <v>56.647500000000001</v>
      </c>
      <c r="H100">
        <v>25.12</v>
      </c>
      <c r="I100">
        <v>60.98</v>
      </c>
      <c r="J100">
        <v>64.150000000000006</v>
      </c>
      <c r="K100">
        <v>74.19</v>
      </c>
      <c r="L100">
        <v>29.58</v>
      </c>
      <c r="M100">
        <v>59.34</v>
      </c>
      <c r="N100">
        <v>63.86</v>
      </c>
      <c r="O100">
        <v>52.89</v>
      </c>
      <c r="P100">
        <v>62.3</v>
      </c>
      <c r="Q100">
        <v>19.63</v>
      </c>
      <c r="R100">
        <v>1266.1099999999999</v>
      </c>
      <c r="S100">
        <v>32.54</v>
      </c>
      <c r="T100">
        <v>18.940000000000001</v>
      </c>
      <c r="U100">
        <v>17.37</v>
      </c>
      <c r="V100">
        <v>36.69</v>
      </c>
      <c r="W100">
        <v>46.74</v>
      </c>
      <c r="X100">
        <v>27</v>
      </c>
      <c r="Y100">
        <v>49.3</v>
      </c>
      <c r="Z100">
        <v>41.69</v>
      </c>
      <c r="AA100">
        <v>80.959999999999994</v>
      </c>
      <c r="AB100">
        <v>56.33</v>
      </c>
      <c r="AC100">
        <v>41.71</v>
      </c>
      <c r="AD100">
        <v>578.87</v>
      </c>
      <c r="AE100">
        <v>648.83000000000004</v>
      </c>
      <c r="AF100">
        <v>42.99</v>
      </c>
      <c r="AG100">
        <v>54.17</v>
      </c>
      <c r="AH100">
        <v>47.42</v>
      </c>
      <c r="AI100">
        <v>50.64</v>
      </c>
    </row>
    <row r="101" spans="1:35" x14ac:dyDescent="0.45">
      <c r="A101" s="2">
        <v>45905</v>
      </c>
      <c r="B101">
        <v>33.020000000000003</v>
      </c>
      <c r="C101">
        <v>33.83</v>
      </c>
      <c r="D101">
        <v>17.93</v>
      </c>
      <c r="E101">
        <v>26.06</v>
      </c>
      <c r="F101">
        <v>32.14</v>
      </c>
      <c r="G101">
        <v>56.5</v>
      </c>
      <c r="H101">
        <v>25.03</v>
      </c>
      <c r="I101">
        <v>60.21</v>
      </c>
      <c r="J101">
        <v>63.83</v>
      </c>
      <c r="K101">
        <v>73.63</v>
      </c>
      <c r="L101">
        <v>29.63</v>
      </c>
      <c r="M101">
        <v>57.92</v>
      </c>
      <c r="N101">
        <v>63.4</v>
      </c>
      <c r="O101">
        <v>52.48</v>
      </c>
      <c r="P101">
        <v>61.35</v>
      </c>
      <c r="Q101">
        <v>19.690000000000001</v>
      </c>
      <c r="R101">
        <v>1264.8</v>
      </c>
      <c r="S101">
        <v>33.33</v>
      </c>
      <c r="T101">
        <v>19.16</v>
      </c>
      <c r="U101">
        <v>17.97</v>
      </c>
      <c r="V101">
        <v>37.200000000000003</v>
      </c>
      <c r="W101">
        <v>46.13</v>
      </c>
      <c r="X101">
        <v>26.93</v>
      </c>
      <c r="Y101">
        <v>49.17</v>
      </c>
      <c r="Z101">
        <v>41.34</v>
      </c>
      <c r="AA101">
        <v>79.180000000000007</v>
      </c>
      <c r="AB101">
        <v>56.25</v>
      </c>
      <c r="AC101">
        <v>41.55</v>
      </c>
      <c r="AD101">
        <v>576.05999999999995</v>
      </c>
      <c r="AE101">
        <v>647.24</v>
      </c>
      <c r="AF101">
        <v>42.56</v>
      </c>
      <c r="AG101">
        <v>53.47</v>
      </c>
      <c r="AH101">
        <v>47.01</v>
      </c>
      <c r="AI101">
        <v>50.46</v>
      </c>
    </row>
    <row r="102" spans="1:35" x14ac:dyDescent="0.45">
      <c r="A102" s="2">
        <v>45904</v>
      </c>
      <c r="B102">
        <v>32.229999999999997</v>
      </c>
      <c r="C102">
        <v>33.4</v>
      </c>
      <c r="D102">
        <v>17.77</v>
      </c>
      <c r="E102">
        <v>25.78</v>
      </c>
      <c r="F102">
        <v>32.130000000000003</v>
      </c>
      <c r="G102">
        <v>55.73</v>
      </c>
      <c r="H102">
        <v>24.97</v>
      </c>
      <c r="I102">
        <v>59.3</v>
      </c>
      <c r="J102">
        <v>63.07</v>
      </c>
      <c r="K102">
        <v>73.069999999999993</v>
      </c>
      <c r="L102">
        <v>29.17</v>
      </c>
      <c r="M102">
        <v>56.57</v>
      </c>
      <c r="N102">
        <v>63.26</v>
      </c>
      <c r="O102">
        <v>52.59</v>
      </c>
      <c r="P102">
        <v>60.3</v>
      </c>
      <c r="Q102">
        <v>19.7</v>
      </c>
      <c r="R102">
        <v>1252.55</v>
      </c>
      <c r="S102">
        <v>33.729999999999997</v>
      </c>
      <c r="T102">
        <v>19.2</v>
      </c>
      <c r="U102">
        <v>18.43</v>
      </c>
      <c r="V102">
        <v>37.35</v>
      </c>
      <c r="W102">
        <v>45.37</v>
      </c>
      <c r="X102">
        <v>26.9</v>
      </c>
      <c r="Y102">
        <v>49.12</v>
      </c>
      <c r="Z102">
        <v>41.34</v>
      </c>
      <c r="AA102">
        <v>78.73</v>
      </c>
      <c r="AB102">
        <v>55.71</v>
      </c>
      <c r="AC102">
        <v>41.39</v>
      </c>
      <c r="AD102">
        <v>575.23</v>
      </c>
      <c r="AE102">
        <v>649.12</v>
      </c>
      <c r="AF102">
        <v>42.56</v>
      </c>
      <c r="AG102">
        <v>52.87</v>
      </c>
      <c r="AH102">
        <v>46.26</v>
      </c>
      <c r="AI102">
        <v>50.65</v>
      </c>
    </row>
    <row r="103" spans="1:35" x14ac:dyDescent="0.45">
      <c r="A103" s="2">
        <v>45903</v>
      </c>
      <c r="B103">
        <v>32.94</v>
      </c>
      <c r="C103">
        <v>33.049999999999997</v>
      </c>
      <c r="D103">
        <v>17.809999999999999</v>
      </c>
      <c r="E103">
        <v>25.58</v>
      </c>
      <c r="F103">
        <v>31.52</v>
      </c>
      <c r="G103">
        <v>56.01</v>
      </c>
      <c r="H103">
        <v>24.87</v>
      </c>
      <c r="I103">
        <v>58.73</v>
      </c>
      <c r="J103">
        <v>62.8</v>
      </c>
      <c r="K103">
        <v>72.91</v>
      </c>
      <c r="L103">
        <v>28.99</v>
      </c>
      <c r="M103">
        <v>57.7</v>
      </c>
      <c r="N103">
        <v>63.4</v>
      </c>
      <c r="O103">
        <v>52.62</v>
      </c>
      <c r="P103">
        <v>61.33</v>
      </c>
      <c r="Q103">
        <v>19.86</v>
      </c>
      <c r="R103">
        <v>1259.31</v>
      </c>
      <c r="S103">
        <v>33.51</v>
      </c>
      <c r="T103">
        <v>19.03</v>
      </c>
      <c r="U103">
        <v>18.25</v>
      </c>
      <c r="V103">
        <v>37.11</v>
      </c>
      <c r="W103">
        <v>45.494999999999997</v>
      </c>
      <c r="X103">
        <v>26.6</v>
      </c>
      <c r="Y103">
        <v>48.87</v>
      </c>
      <c r="Z103">
        <v>41.05</v>
      </c>
      <c r="AA103">
        <v>77.930000000000007</v>
      </c>
      <c r="AB103">
        <v>55.08</v>
      </c>
      <c r="AC103">
        <v>41.18</v>
      </c>
      <c r="AD103">
        <v>570.07000000000005</v>
      </c>
      <c r="AE103">
        <v>643.74</v>
      </c>
      <c r="AF103">
        <v>42.54</v>
      </c>
      <c r="AG103">
        <v>52.22</v>
      </c>
      <c r="AH103">
        <v>46.18</v>
      </c>
      <c r="AI103">
        <v>50.38</v>
      </c>
    </row>
    <row r="104" spans="1:35" x14ac:dyDescent="0.45">
      <c r="A104" s="2">
        <v>45902</v>
      </c>
      <c r="B104">
        <v>33.200000000000003</v>
      </c>
      <c r="C104">
        <v>32.729999999999997</v>
      </c>
      <c r="D104">
        <v>17.739999999999998</v>
      </c>
      <c r="E104">
        <v>25.68</v>
      </c>
      <c r="F104">
        <v>31.29</v>
      </c>
      <c r="G104">
        <v>54.91</v>
      </c>
      <c r="H104">
        <v>24.73</v>
      </c>
      <c r="I104">
        <v>58.05</v>
      </c>
      <c r="J104">
        <v>62.91</v>
      </c>
      <c r="K104">
        <v>71.92</v>
      </c>
      <c r="L104">
        <v>29</v>
      </c>
      <c r="M104">
        <v>57.25</v>
      </c>
      <c r="N104">
        <v>62.28</v>
      </c>
      <c r="O104">
        <v>52.35</v>
      </c>
      <c r="P104">
        <v>61.64</v>
      </c>
      <c r="Q104">
        <v>19.73</v>
      </c>
      <c r="R104">
        <v>1248.78</v>
      </c>
      <c r="S104">
        <v>33.97</v>
      </c>
      <c r="T104">
        <v>19.14</v>
      </c>
      <c r="U104">
        <v>18.14</v>
      </c>
      <c r="V104">
        <v>37.21</v>
      </c>
      <c r="W104">
        <v>45.380099999999999</v>
      </c>
      <c r="X104">
        <v>26.77</v>
      </c>
      <c r="Y104">
        <v>48.59</v>
      </c>
      <c r="Z104">
        <v>41.04</v>
      </c>
      <c r="AA104">
        <v>78.150000000000006</v>
      </c>
      <c r="AB104">
        <v>54.67</v>
      </c>
      <c r="AC104">
        <v>40.9</v>
      </c>
      <c r="AD104">
        <v>565.62</v>
      </c>
      <c r="AE104">
        <v>640.27</v>
      </c>
      <c r="AF104">
        <v>42.29</v>
      </c>
      <c r="AG104">
        <v>51.94</v>
      </c>
      <c r="AH104">
        <v>45.89</v>
      </c>
      <c r="AI104">
        <v>50.4</v>
      </c>
    </row>
    <row r="105" spans="1:35" x14ac:dyDescent="0.45">
      <c r="A105" s="2">
        <v>45901</v>
      </c>
      <c r="B105">
        <v>33.47</v>
      </c>
      <c r="C105">
        <v>32.81</v>
      </c>
      <c r="D105">
        <v>17.670000000000002</v>
      </c>
      <c r="E105">
        <v>26.15</v>
      </c>
      <c r="F105">
        <v>31.7</v>
      </c>
      <c r="G105">
        <v>53.8</v>
      </c>
      <c r="H105">
        <v>24.87</v>
      </c>
      <c r="I105">
        <v>58.82</v>
      </c>
      <c r="J105">
        <v>61.94</v>
      </c>
      <c r="K105">
        <v>72.239999999999995</v>
      </c>
      <c r="L105">
        <v>29.5</v>
      </c>
      <c r="M105">
        <v>57.67</v>
      </c>
      <c r="N105">
        <v>63.09</v>
      </c>
      <c r="O105">
        <v>51.98</v>
      </c>
      <c r="P105">
        <v>61.31</v>
      </c>
      <c r="Q105">
        <v>20</v>
      </c>
      <c r="R105">
        <v>1244.48</v>
      </c>
      <c r="S105">
        <v>35.29</v>
      </c>
      <c r="T105">
        <v>19.38</v>
      </c>
      <c r="U105">
        <v>18.29</v>
      </c>
      <c r="V105">
        <v>37.36</v>
      </c>
      <c r="W105">
        <v>44.86</v>
      </c>
      <c r="X105">
        <v>27.08</v>
      </c>
      <c r="Y105">
        <v>48.79</v>
      </c>
      <c r="Z105">
        <v>41.88</v>
      </c>
      <c r="AA105">
        <v>78.28</v>
      </c>
      <c r="AB105">
        <v>55.33</v>
      </c>
      <c r="AC105">
        <v>41.46</v>
      </c>
      <c r="AD105">
        <v>570.4</v>
      </c>
      <c r="AE105">
        <v>645.04999999999995</v>
      </c>
      <c r="AF105">
        <v>42.59</v>
      </c>
      <c r="AG105">
        <v>53</v>
      </c>
      <c r="AH105">
        <v>46.39</v>
      </c>
      <c r="AI105">
        <v>51.05</v>
      </c>
    </row>
    <row r="106" spans="1:35" x14ac:dyDescent="0.45">
      <c r="A106" s="2">
        <v>45898</v>
      </c>
      <c r="B106">
        <v>33.47</v>
      </c>
      <c r="C106">
        <v>32.81</v>
      </c>
      <c r="D106">
        <v>17.670000000000002</v>
      </c>
      <c r="E106">
        <v>26.15</v>
      </c>
      <c r="F106">
        <v>31.7</v>
      </c>
      <c r="G106">
        <v>53.8</v>
      </c>
      <c r="H106">
        <v>24.87</v>
      </c>
      <c r="I106">
        <v>58.82</v>
      </c>
      <c r="J106">
        <v>61.94</v>
      </c>
      <c r="K106">
        <v>72.239999999999995</v>
      </c>
      <c r="L106">
        <v>29.5</v>
      </c>
      <c r="M106">
        <v>57.67</v>
      </c>
      <c r="N106">
        <v>63.09</v>
      </c>
      <c r="O106">
        <v>51.98</v>
      </c>
      <c r="P106">
        <v>61.31</v>
      </c>
      <c r="Q106">
        <v>20</v>
      </c>
      <c r="R106">
        <v>1236.6099999999999</v>
      </c>
      <c r="S106">
        <v>35.29</v>
      </c>
      <c r="T106">
        <v>19.38</v>
      </c>
      <c r="U106">
        <v>18.29</v>
      </c>
      <c r="V106">
        <v>37.36</v>
      </c>
      <c r="W106">
        <v>44.86</v>
      </c>
      <c r="X106">
        <v>27.08</v>
      </c>
      <c r="Y106">
        <v>48.79</v>
      </c>
      <c r="Z106">
        <v>41.88</v>
      </c>
      <c r="AA106">
        <v>78.28</v>
      </c>
      <c r="AB106">
        <v>55.33</v>
      </c>
      <c r="AC106">
        <v>41.46</v>
      </c>
      <c r="AD106">
        <v>570.4</v>
      </c>
      <c r="AE106">
        <v>645.04999999999995</v>
      </c>
      <c r="AF106">
        <v>42.59</v>
      </c>
      <c r="AG106">
        <v>53</v>
      </c>
      <c r="AH106">
        <v>46.39</v>
      </c>
      <c r="AI106">
        <v>51.05</v>
      </c>
    </row>
    <row r="107" spans="1:35" x14ac:dyDescent="0.45">
      <c r="A107" s="2">
        <v>45897</v>
      </c>
      <c r="B107">
        <v>33.159999999999997</v>
      </c>
      <c r="C107">
        <v>32.58</v>
      </c>
      <c r="D107">
        <v>18.190000000000001</v>
      </c>
      <c r="E107">
        <v>26.39</v>
      </c>
      <c r="F107">
        <v>32.07</v>
      </c>
      <c r="G107">
        <v>53.418799999999997</v>
      </c>
      <c r="H107">
        <v>25.13</v>
      </c>
      <c r="I107">
        <v>59.9</v>
      </c>
      <c r="J107">
        <v>62.52</v>
      </c>
      <c r="K107">
        <v>73.64</v>
      </c>
      <c r="L107">
        <v>29.49</v>
      </c>
      <c r="M107">
        <v>57.15</v>
      </c>
      <c r="N107">
        <v>63.94</v>
      </c>
      <c r="O107">
        <v>52.54</v>
      </c>
      <c r="P107">
        <v>60.45</v>
      </c>
      <c r="Q107">
        <v>19.96</v>
      </c>
      <c r="R107">
        <v>1250.0899999999999</v>
      </c>
      <c r="S107">
        <v>35.54</v>
      </c>
      <c r="T107">
        <v>19.53</v>
      </c>
      <c r="U107">
        <v>18.315000000000001</v>
      </c>
      <c r="V107">
        <v>37.47</v>
      </c>
      <c r="W107">
        <v>44.87</v>
      </c>
      <c r="X107">
        <v>27.09</v>
      </c>
      <c r="Y107">
        <v>48.46</v>
      </c>
      <c r="Z107">
        <v>42.02</v>
      </c>
      <c r="AA107">
        <v>79.290000000000006</v>
      </c>
      <c r="AB107">
        <v>55.33</v>
      </c>
      <c r="AC107">
        <v>41.57</v>
      </c>
      <c r="AD107">
        <v>577.08000000000004</v>
      </c>
      <c r="AE107">
        <v>648.91999999999996</v>
      </c>
      <c r="AF107">
        <v>42.9</v>
      </c>
      <c r="AG107">
        <v>53.5</v>
      </c>
      <c r="AH107">
        <v>46.63</v>
      </c>
      <c r="AI107">
        <v>51.19</v>
      </c>
    </row>
    <row r="108" spans="1:35" x14ac:dyDescent="0.45">
      <c r="A108" s="2">
        <v>45896</v>
      </c>
      <c r="B108">
        <v>32.26</v>
      </c>
      <c r="C108">
        <v>32.549999999999997</v>
      </c>
      <c r="D108">
        <v>18.16</v>
      </c>
      <c r="E108">
        <v>26.56</v>
      </c>
      <c r="F108">
        <v>32.340000000000003</v>
      </c>
      <c r="G108">
        <v>52.967199999999998</v>
      </c>
      <c r="H108">
        <v>25.05</v>
      </c>
      <c r="I108">
        <v>59.77</v>
      </c>
      <c r="J108">
        <v>61.94</v>
      </c>
      <c r="K108">
        <v>72.47</v>
      </c>
      <c r="L108">
        <v>29.02</v>
      </c>
      <c r="M108">
        <v>57.38</v>
      </c>
      <c r="N108">
        <v>64.489999999999995</v>
      </c>
      <c r="O108">
        <v>52.68</v>
      </c>
      <c r="P108">
        <v>60.02</v>
      </c>
      <c r="Q108">
        <v>20.13</v>
      </c>
      <c r="R108">
        <v>1248.03</v>
      </c>
      <c r="S108">
        <v>35.51</v>
      </c>
      <c r="T108">
        <v>19.68</v>
      </c>
      <c r="U108">
        <v>18.02</v>
      </c>
      <c r="V108">
        <v>37.68</v>
      </c>
      <c r="W108">
        <v>44.67</v>
      </c>
      <c r="X108">
        <v>27</v>
      </c>
      <c r="Y108">
        <v>48.37</v>
      </c>
      <c r="Z108">
        <v>41.89</v>
      </c>
      <c r="AA108">
        <v>78.63</v>
      </c>
      <c r="AB108">
        <v>55.24</v>
      </c>
      <c r="AC108">
        <v>41.66</v>
      </c>
      <c r="AD108">
        <v>573.49</v>
      </c>
      <c r="AE108">
        <v>646.63</v>
      </c>
      <c r="AF108">
        <v>42.56</v>
      </c>
      <c r="AG108">
        <v>53.59</v>
      </c>
      <c r="AH108">
        <v>46.46</v>
      </c>
      <c r="AI108">
        <v>50.91</v>
      </c>
    </row>
    <row r="109" spans="1:35" x14ac:dyDescent="0.45">
      <c r="A109" s="2">
        <v>45895</v>
      </c>
      <c r="B109">
        <v>32.909999999999997</v>
      </c>
      <c r="C109">
        <v>32.44</v>
      </c>
      <c r="D109">
        <v>18.38</v>
      </c>
      <c r="E109">
        <v>26.12</v>
      </c>
      <c r="F109">
        <v>32.86</v>
      </c>
      <c r="G109">
        <v>53.39</v>
      </c>
      <c r="H109">
        <v>25.13</v>
      </c>
      <c r="I109">
        <v>59.5</v>
      </c>
      <c r="J109">
        <v>61.44</v>
      </c>
      <c r="K109">
        <v>72.39</v>
      </c>
      <c r="L109">
        <v>28.61</v>
      </c>
      <c r="M109">
        <v>58.1</v>
      </c>
      <c r="N109">
        <v>64.98</v>
      </c>
      <c r="O109">
        <v>52.55</v>
      </c>
      <c r="P109">
        <v>61.62</v>
      </c>
      <c r="Q109">
        <v>20.14</v>
      </c>
      <c r="R109">
        <v>1251.26</v>
      </c>
      <c r="S109">
        <v>35.97</v>
      </c>
      <c r="T109">
        <v>19.75</v>
      </c>
      <c r="U109">
        <v>17.96</v>
      </c>
      <c r="V109">
        <v>38.020000000000003</v>
      </c>
      <c r="W109">
        <v>45.19</v>
      </c>
      <c r="X109">
        <v>26.97</v>
      </c>
      <c r="Y109">
        <v>48.02</v>
      </c>
      <c r="Z109">
        <v>42.13</v>
      </c>
      <c r="AA109">
        <v>78.92</v>
      </c>
      <c r="AB109">
        <v>55.11</v>
      </c>
      <c r="AC109">
        <v>41.74</v>
      </c>
      <c r="AD109">
        <v>572.61</v>
      </c>
      <c r="AE109">
        <v>645.16</v>
      </c>
      <c r="AF109">
        <v>42.58</v>
      </c>
      <c r="AG109">
        <v>53.77</v>
      </c>
      <c r="AH109">
        <v>46.64</v>
      </c>
      <c r="AI109">
        <v>51.42</v>
      </c>
    </row>
    <row r="110" spans="1:35" x14ac:dyDescent="0.45">
      <c r="A110" s="2">
        <v>45894</v>
      </c>
      <c r="B110">
        <v>32.909999999999997</v>
      </c>
      <c r="C110">
        <v>32.71</v>
      </c>
      <c r="D110">
        <v>18.61</v>
      </c>
      <c r="E110">
        <v>26.69</v>
      </c>
      <c r="F110">
        <v>32.590000000000003</v>
      </c>
      <c r="G110">
        <v>52.93</v>
      </c>
      <c r="H110">
        <v>25.5</v>
      </c>
      <c r="I110">
        <v>59.26</v>
      </c>
      <c r="J110">
        <v>61.71</v>
      </c>
      <c r="K110">
        <v>72.73</v>
      </c>
      <c r="L110">
        <v>28.74</v>
      </c>
      <c r="M110">
        <v>58.35</v>
      </c>
      <c r="N110">
        <v>65.62</v>
      </c>
      <c r="O110">
        <v>53.23</v>
      </c>
      <c r="P110">
        <v>61.54</v>
      </c>
      <c r="Q110">
        <v>20.002600000000001</v>
      </c>
      <c r="R110">
        <v>1262.67</v>
      </c>
      <c r="S110">
        <v>35.93</v>
      </c>
      <c r="T110">
        <v>19.829999999999998</v>
      </c>
      <c r="U110">
        <v>17.22</v>
      </c>
      <c r="V110">
        <v>38.08</v>
      </c>
      <c r="W110">
        <v>45.62</v>
      </c>
      <c r="X110">
        <v>26.83</v>
      </c>
      <c r="Y110">
        <v>47.55</v>
      </c>
      <c r="Z110">
        <v>42.12</v>
      </c>
      <c r="AA110">
        <v>79.05</v>
      </c>
      <c r="AB110">
        <v>54.97</v>
      </c>
      <c r="AC110">
        <v>41.79</v>
      </c>
      <c r="AD110">
        <v>570.32000000000005</v>
      </c>
      <c r="AE110">
        <v>642.47</v>
      </c>
      <c r="AF110">
        <v>42.96</v>
      </c>
      <c r="AG110">
        <v>53.84</v>
      </c>
      <c r="AH110">
        <v>46.57</v>
      </c>
      <c r="AI110">
        <v>51.76</v>
      </c>
    </row>
    <row r="111" spans="1:35" x14ac:dyDescent="0.45">
      <c r="A111" s="2">
        <v>45891</v>
      </c>
      <c r="B111">
        <v>32.71</v>
      </c>
      <c r="C111">
        <v>32.799999999999997</v>
      </c>
      <c r="D111">
        <v>18.649999999999999</v>
      </c>
      <c r="E111">
        <v>26.63</v>
      </c>
      <c r="F111">
        <v>32.700000000000003</v>
      </c>
      <c r="G111">
        <v>53.23</v>
      </c>
      <c r="H111">
        <v>25.72</v>
      </c>
      <c r="I111">
        <v>59.66</v>
      </c>
      <c r="J111">
        <v>62.8</v>
      </c>
      <c r="K111">
        <v>73.510000000000005</v>
      </c>
      <c r="L111">
        <v>28.61</v>
      </c>
      <c r="M111">
        <v>58.8</v>
      </c>
      <c r="N111">
        <v>65.995000000000005</v>
      </c>
      <c r="O111">
        <v>53.58</v>
      </c>
      <c r="P111">
        <v>61.57</v>
      </c>
      <c r="Q111">
        <v>20.189599999999999</v>
      </c>
      <c r="R111">
        <v>1253.3900000000001</v>
      </c>
      <c r="S111">
        <v>35.69</v>
      </c>
      <c r="T111">
        <v>19.96</v>
      </c>
      <c r="U111">
        <v>17.36</v>
      </c>
      <c r="V111">
        <v>38.130000000000003</v>
      </c>
      <c r="W111">
        <v>45.782899999999998</v>
      </c>
      <c r="X111">
        <v>27.26</v>
      </c>
      <c r="Y111">
        <v>48.03</v>
      </c>
      <c r="Z111">
        <v>42.66</v>
      </c>
      <c r="AA111">
        <v>80.02</v>
      </c>
      <c r="AB111">
        <v>55.64</v>
      </c>
      <c r="AC111">
        <v>42.08</v>
      </c>
      <c r="AD111">
        <v>571.97</v>
      </c>
      <c r="AE111">
        <v>645.30999999999995</v>
      </c>
      <c r="AF111">
        <v>44.18</v>
      </c>
      <c r="AG111">
        <v>54.188000000000002</v>
      </c>
      <c r="AH111">
        <v>47.24</v>
      </c>
      <c r="AI111">
        <v>52.34</v>
      </c>
    </row>
    <row r="112" spans="1:35" x14ac:dyDescent="0.45">
      <c r="A112" s="2">
        <v>45890</v>
      </c>
      <c r="B112">
        <v>31.62</v>
      </c>
      <c r="C112">
        <v>31.9</v>
      </c>
      <c r="D112">
        <v>18.440000000000001</v>
      </c>
      <c r="E112">
        <v>26.15</v>
      </c>
      <c r="F112">
        <v>33.380000000000003</v>
      </c>
      <c r="G112">
        <v>52.009</v>
      </c>
      <c r="H112">
        <v>25.19</v>
      </c>
      <c r="I112">
        <v>58.57</v>
      </c>
      <c r="J112">
        <v>61.55</v>
      </c>
      <c r="K112">
        <v>71.22</v>
      </c>
      <c r="L112">
        <v>27.66</v>
      </c>
      <c r="M112">
        <v>56.91</v>
      </c>
      <c r="N112">
        <v>65.2</v>
      </c>
      <c r="O112">
        <v>53.57</v>
      </c>
      <c r="P112">
        <v>60</v>
      </c>
      <c r="Q112">
        <v>20.065000000000001</v>
      </c>
      <c r="R112">
        <v>1244.79</v>
      </c>
      <c r="S112">
        <v>35.51</v>
      </c>
      <c r="T112">
        <v>19.753</v>
      </c>
      <c r="U112">
        <v>17.600000000000001</v>
      </c>
      <c r="V112">
        <v>37.94</v>
      </c>
      <c r="W112">
        <v>45.58</v>
      </c>
      <c r="X112">
        <v>26.86</v>
      </c>
      <c r="Y112">
        <v>47.28</v>
      </c>
      <c r="Z112">
        <v>42.08</v>
      </c>
      <c r="AA112">
        <v>78.7</v>
      </c>
      <c r="AB112">
        <v>54.94</v>
      </c>
      <c r="AC112">
        <v>41.66</v>
      </c>
      <c r="AD112">
        <v>563.28</v>
      </c>
      <c r="AE112">
        <v>635.54999999999995</v>
      </c>
      <c r="AF112">
        <v>43.55</v>
      </c>
      <c r="AG112">
        <v>53.08</v>
      </c>
      <c r="AH112">
        <v>46.08</v>
      </c>
      <c r="AI112">
        <v>51.53</v>
      </c>
    </row>
    <row r="113" spans="1:35" x14ac:dyDescent="0.45">
      <c r="A113" s="2">
        <v>45889</v>
      </c>
      <c r="B113">
        <v>31.74</v>
      </c>
      <c r="C113">
        <v>32.04</v>
      </c>
      <c r="D113">
        <v>18.600000000000001</v>
      </c>
      <c r="E113">
        <v>26.35</v>
      </c>
      <c r="F113">
        <v>33.78</v>
      </c>
      <c r="G113">
        <v>51.75</v>
      </c>
      <c r="H113">
        <v>25.19</v>
      </c>
      <c r="I113">
        <v>58.78</v>
      </c>
      <c r="J113">
        <v>61.17</v>
      </c>
      <c r="K113">
        <v>71.36</v>
      </c>
      <c r="L113">
        <v>27.69</v>
      </c>
      <c r="M113">
        <v>57.11</v>
      </c>
      <c r="N113">
        <v>65.400000000000006</v>
      </c>
      <c r="O113">
        <v>53.8</v>
      </c>
      <c r="P113">
        <v>59.92</v>
      </c>
      <c r="Q113">
        <v>20.079999999999998</v>
      </c>
      <c r="R113">
        <v>1248.1300000000001</v>
      </c>
      <c r="S113">
        <v>35.04</v>
      </c>
      <c r="T113">
        <v>19.8</v>
      </c>
      <c r="U113">
        <v>17.690000000000001</v>
      </c>
      <c r="V113">
        <v>37.89</v>
      </c>
      <c r="W113">
        <v>45.674999999999997</v>
      </c>
      <c r="X113">
        <v>26.7</v>
      </c>
      <c r="Y113">
        <v>47.11</v>
      </c>
      <c r="Z113">
        <v>42.39</v>
      </c>
      <c r="AA113">
        <v>79.64</v>
      </c>
      <c r="AB113">
        <v>55.52</v>
      </c>
      <c r="AC113">
        <v>41.72</v>
      </c>
      <c r="AD113">
        <v>565.9</v>
      </c>
      <c r="AE113">
        <v>638.11</v>
      </c>
      <c r="AF113">
        <v>43.97</v>
      </c>
      <c r="AG113">
        <v>53.58</v>
      </c>
      <c r="AH113">
        <v>46.45</v>
      </c>
      <c r="AI113">
        <v>51.69</v>
      </c>
    </row>
    <row r="114" spans="1:35" x14ac:dyDescent="0.45">
      <c r="A114" s="2">
        <v>45888</v>
      </c>
      <c r="B114">
        <v>31.02</v>
      </c>
      <c r="C114">
        <v>32.19</v>
      </c>
      <c r="D114">
        <v>18.309999999999999</v>
      </c>
      <c r="E114">
        <v>26.25</v>
      </c>
      <c r="F114">
        <v>33.79</v>
      </c>
      <c r="G114">
        <v>51.68</v>
      </c>
      <c r="H114">
        <v>25.18</v>
      </c>
      <c r="I114">
        <v>60.09</v>
      </c>
      <c r="J114">
        <v>61.25</v>
      </c>
      <c r="K114">
        <v>71.44</v>
      </c>
      <c r="L114">
        <v>27.36</v>
      </c>
      <c r="M114">
        <v>56.67</v>
      </c>
      <c r="N114">
        <v>65.150000000000006</v>
      </c>
      <c r="O114">
        <v>53.65</v>
      </c>
      <c r="P114">
        <v>59.59</v>
      </c>
      <c r="Q114">
        <v>20.239999999999998</v>
      </c>
      <c r="R114">
        <v>1235.76</v>
      </c>
      <c r="S114">
        <v>34.5</v>
      </c>
      <c r="T114">
        <v>19.8383</v>
      </c>
      <c r="U114">
        <v>17.899999999999999</v>
      </c>
      <c r="V114">
        <v>37.840000000000003</v>
      </c>
      <c r="W114">
        <v>45.604999999999997</v>
      </c>
      <c r="X114">
        <v>26.61</v>
      </c>
      <c r="Y114">
        <v>47</v>
      </c>
      <c r="Z114">
        <v>42.39</v>
      </c>
      <c r="AA114">
        <v>80.02</v>
      </c>
      <c r="AB114">
        <v>54.9</v>
      </c>
      <c r="AC114">
        <v>41.29</v>
      </c>
      <c r="AD114">
        <v>569.28</v>
      </c>
      <c r="AE114">
        <v>639.80999999999995</v>
      </c>
      <c r="AF114">
        <v>43.82</v>
      </c>
      <c r="AG114">
        <v>53.215000000000003</v>
      </c>
      <c r="AH114">
        <v>46.56</v>
      </c>
      <c r="AI114">
        <v>51.62</v>
      </c>
    </row>
    <row r="115" spans="1:35" x14ac:dyDescent="0.45">
      <c r="A115" s="2">
        <v>45887</v>
      </c>
      <c r="B115">
        <v>31.32</v>
      </c>
      <c r="C115">
        <v>32.549999999999997</v>
      </c>
      <c r="D115">
        <v>18.43</v>
      </c>
      <c r="E115">
        <v>26.34</v>
      </c>
      <c r="F115">
        <v>33.64</v>
      </c>
      <c r="G115">
        <v>52.382100000000001</v>
      </c>
      <c r="H115">
        <v>25.13</v>
      </c>
      <c r="I115">
        <v>61.04</v>
      </c>
      <c r="J115">
        <v>61.19</v>
      </c>
      <c r="K115">
        <v>72.8</v>
      </c>
      <c r="L115">
        <v>28.29</v>
      </c>
      <c r="M115">
        <v>57.11</v>
      </c>
      <c r="N115">
        <v>65.58</v>
      </c>
      <c r="O115">
        <v>53.5</v>
      </c>
      <c r="P115">
        <v>60.04</v>
      </c>
      <c r="Q115">
        <v>20.38</v>
      </c>
      <c r="R115">
        <v>1242.31</v>
      </c>
      <c r="S115">
        <v>34.47</v>
      </c>
      <c r="T115">
        <v>19.965</v>
      </c>
      <c r="U115">
        <v>17.84</v>
      </c>
      <c r="V115">
        <v>37.83</v>
      </c>
      <c r="W115">
        <v>45.844999999999999</v>
      </c>
      <c r="X115">
        <v>26.84</v>
      </c>
      <c r="Y115">
        <v>47.35</v>
      </c>
      <c r="Z115">
        <v>42.45</v>
      </c>
      <c r="AA115">
        <v>80.3</v>
      </c>
      <c r="AB115">
        <v>54.35</v>
      </c>
      <c r="AC115">
        <v>41.29</v>
      </c>
      <c r="AD115">
        <v>577.11</v>
      </c>
      <c r="AE115">
        <v>643.29999999999995</v>
      </c>
      <c r="AF115">
        <v>43.55</v>
      </c>
      <c r="AG115">
        <v>53.13</v>
      </c>
      <c r="AH115">
        <v>46.28</v>
      </c>
      <c r="AI115">
        <v>51.54</v>
      </c>
    </row>
    <row r="116" spans="1:35" x14ac:dyDescent="0.45">
      <c r="A116" s="2">
        <v>45884</v>
      </c>
      <c r="B116">
        <v>30.97</v>
      </c>
      <c r="C116">
        <v>32.4</v>
      </c>
      <c r="D116">
        <v>18.5</v>
      </c>
      <c r="E116">
        <v>26.39</v>
      </c>
      <c r="F116">
        <v>33.450000000000003</v>
      </c>
      <c r="G116">
        <v>52.191600000000001</v>
      </c>
      <c r="H116">
        <v>24.98</v>
      </c>
      <c r="I116">
        <v>60.42</v>
      </c>
      <c r="J116">
        <v>61.34</v>
      </c>
      <c r="K116">
        <v>73.39</v>
      </c>
      <c r="L116">
        <v>28.2</v>
      </c>
      <c r="M116">
        <v>57.62</v>
      </c>
      <c r="N116">
        <v>66.89</v>
      </c>
      <c r="O116">
        <v>52.71</v>
      </c>
      <c r="P116">
        <v>59.68</v>
      </c>
      <c r="Q116">
        <v>20.54</v>
      </c>
      <c r="R116">
        <v>1259.42</v>
      </c>
      <c r="S116">
        <v>34.24</v>
      </c>
      <c r="T116">
        <v>19.905000000000001</v>
      </c>
      <c r="U116">
        <v>17.71</v>
      </c>
      <c r="V116">
        <v>37.549999999999997</v>
      </c>
      <c r="W116">
        <v>45.683999999999997</v>
      </c>
      <c r="X116">
        <v>26.83</v>
      </c>
      <c r="Y116">
        <v>47.27</v>
      </c>
      <c r="Z116">
        <v>42.58</v>
      </c>
      <c r="AA116">
        <v>80.150000000000006</v>
      </c>
      <c r="AB116">
        <v>54.5</v>
      </c>
      <c r="AC116">
        <v>41.27</v>
      </c>
      <c r="AD116">
        <v>577.34</v>
      </c>
      <c r="AE116">
        <v>643.44000000000005</v>
      </c>
      <c r="AF116">
        <v>43.89</v>
      </c>
      <c r="AG116">
        <v>53.16</v>
      </c>
      <c r="AH116">
        <v>46.61</v>
      </c>
      <c r="AI116">
        <v>51.79</v>
      </c>
    </row>
    <row r="117" spans="1:35" x14ac:dyDescent="0.45">
      <c r="A117" s="2">
        <v>45883</v>
      </c>
      <c r="B117">
        <v>30.72</v>
      </c>
      <c r="C117">
        <v>32.270000000000003</v>
      </c>
      <c r="D117">
        <v>18.63</v>
      </c>
      <c r="E117">
        <v>26.28</v>
      </c>
      <c r="F117">
        <v>33.270000000000003</v>
      </c>
      <c r="G117">
        <v>51.95</v>
      </c>
      <c r="H117">
        <v>25.03</v>
      </c>
      <c r="I117">
        <v>60.65</v>
      </c>
      <c r="J117">
        <v>60.99</v>
      </c>
      <c r="K117">
        <v>73.66</v>
      </c>
      <c r="L117">
        <v>27.89</v>
      </c>
      <c r="M117">
        <v>57.64</v>
      </c>
      <c r="N117">
        <v>66.53</v>
      </c>
      <c r="O117">
        <v>52.41</v>
      </c>
      <c r="P117">
        <v>59.3</v>
      </c>
      <c r="Q117">
        <v>20.52</v>
      </c>
      <c r="R117">
        <v>1266.67</v>
      </c>
      <c r="S117">
        <v>34.11</v>
      </c>
      <c r="T117">
        <v>19.98</v>
      </c>
      <c r="U117">
        <v>17.760000000000002</v>
      </c>
      <c r="V117">
        <v>37.590000000000003</v>
      </c>
      <c r="W117">
        <v>45.57</v>
      </c>
      <c r="X117">
        <v>26.74</v>
      </c>
      <c r="Y117">
        <v>47.33</v>
      </c>
      <c r="Z117">
        <v>42.5</v>
      </c>
      <c r="AA117">
        <v>78.8</v>
      </c>
      <c r="AB117">
        <v>54.1</v>
      </c>
      <c r="AC117">
        <v>41.5</v>
      </c>
      <c r="AD117">
        <v>579.89</v>
      </c>
      <c r="AE117">
        <v>644.95000000000005</v>
      </c>
      <c r="AF117">
        <v>43.5</v>
      </c>
      <c r="AG117">
        <v>53.3</v>
      </c>
      <c r="AH117">
        <v>46.06</v>
      </c>
      <c r="AI117">
        <v>51.56</v>
      </c>
    </row>
    <row r="118" spans="1:35" x14ac:dyDescent="0.45">
      <c r="A118" s="2">
        <v>45882</v>
      </c>
      <c r="B118">
        <v>31.01</v>
      </c>
      <c r="C118">
        <v>32.54</v>
      </c>
      <c r="D118">
        <v>18.829999999999998</v>
      </c>
      <c r="E118">
        <v>26.72</v>
      </c>
      <c r="F118">
        <v>34.07</v>
      </c>
      <c r="G118">
        <v>52.16</v>
      </c>
      <c r="H118">
        <v>25.27</v>
      </c>
      <c r="I118">
        <v>61.03</v>
      </c>
      <c r="J118">
        <v>61.99</v>
      </c>
      <c r="K118">
        <v>74.72</v>
      </c>
      <c r="L118">
        <v>28.18</v>
      </c>
      <c r="M118">
        <v>58.36</v>
      </c>
      <c r="N118">
        <v>66.81</v>
      </c>
      <c r="O118">
        <v>52.71</v>
      </c>
      <c r="P118">
        <v>60.56</v>
      </c>
      <c r="Q118">
        <v>20.56</v>
      </c>
      <c r="R118">
        <v>1277.43</v>
      </c>
      <c r="S118">
        <v>34.47</v>
      </c>
      <c r="T118">
        <v>19.93</v>
      </c>
      <c r="U118">
        <v>17.46</v>
      </c>
      <c r="V118">
        <v>37.44</v>
      </c>
      <c r="W118">
        <v>45.82</v>
      </c>
      <c r="X118">
        <v>26.91</v>
      </c>
      <c r="Y118">
        <v>47.64</v>
      </c>
      <c r="Z118">
        <v>42.38</v>
      </c>
      <c r="AA118">
        <v>79.27</v>
      </c>
      <c r="AB118">
        <v>54.2</v>
      </c>
      <c r="AC118">
        <v>41.36</v>
      </c>
      <c r="AD118">
        <v>580.34</v>
      </c>
      <c r="AE118">
        <v>644.89</v>
      </c>
      <c r="AF118">
        <v>43.31</v>
      </c>
      <c r="AG118">
        <v>53.36</v>
      </c>
      <c r="AH118">
        <v>46.02</v>
      </c>
      <c r="AI118">
        <v>51.1</v>
      </c>
    </row>
    <row r="119" spans="1:35" x14ac:dyDescent="0.45">
      <c r="A119" s="2">
        <v>45881</v>
      </c>
      <c r="B119">
        <v>30.73</v>
      </c>
      <c r="C119">
        <v>31.97</v>
      </c>
      <c r="D119">
        <v>18.61</v>
      </c>
      <c r="E119">
        <v>26.55</v>
      </c>
      <c r="F119">
        <v>33.99</v>
      </c>
      <c r="G119">
        <v>51.75</v>
      </c>
      <c r="H119">
        <v>24.94</v>
      </c>
      <c r="I119">
        <v>61.09</v>
      </c>
      <c r="J119">
        <v>62.33</v>
      </c>
      <c r="K119">
        <v>74.099999999999994</v>
      </c>
      <c r="L119">
        <v>28.39</v>
      </c>
      <c r="M119">
        <v>57.5</v>
      </c>
      <c r="N119">
        <v>66.349999999999994</v>
      </c>
      <c r="O119">
        <v>52.465000000000003</v>
      </c>
      <c r="P119">
        <v>58.73</v>
      </c>
      <c r="Q119">
        <v>20.27</v>
      </c>
      <c r="R119">
        <v>1259.07</v>
      </c>
      <c r="S119">
        <v>34.54</v>
      </c>
      <c r="T119">
        <v>20.149999999999999</v>
      </c>
      <c r="U119">
        <v>17.440000000000001</v>
      </c>
      <c r="V119">
        <v>37.49</v>
      </c>
      <c r="W119">
        <v>45.658999999999999</v>
      </c>
      <c r="X119">
        <v>26.96</v>
      </c>
      <c r="Y119">
        <v>47.51</v>
      </c>
      <c r="Z119">
        <v>42.15</v>
      </c>
      <c r="AA119">
        <v>79.23</v>
      </c>
      <c r="AB119">
        <v>53.81</v>
      </c>
      <c r="AC119">
        <v>41.03</v>
      </c>
      <c r="AD119">
        <v>580.04999999999995</v>
      </c>
      <c r="AE119">
        <v>642.69000000000005</v>
      </c>
      <c r="AF119">
        <v>42.89</v>
      </c>
      <c r="AG119">
        <v>52.967399999999998</v>
      </c>
      <c r="AH119">
        <v>45.99</v>
      </c>
      <c r="AI119">
        <v>50.64</v>
      </c>
    </row>
    <row r="120" spans="1:35" x14ac:dyDescent="0.45">
      <c r="A120" s="2">
        <v>45880</v>
      </c>
      <c r="B120">
        <v>30.295000000000002</v>
      </c>
      <c r="C120">
        <v>31.47</v>
      </c>
      <c r="D120">
        <v>17.98</v>
      </c>
      <c r="E120">
        <v>26.19</v>
      </c>
      <c r="F120">
        <v>33.44</v>
      </c>
      <c r="G120">
        <v>51.130899999999997</v>
      </c>
      <c r="H120">
        <v>24.6</v>
      </c>
      <c r="I120">
        <v>60.28</v>
      </c>
      <c r="J120">
        <v>61.54</v>
      </c>
      <c r="K120">
        <v>73.03</v>
      </c>
      <c r="L120">
        <v>27.64</v>
      </c>
      <c r="M120">
        <v>56.36</v>
      </c>
      <c r="N120">
        <v>65.680000000000007</v>
      </c>
      <c r="O120">
        <v>52.27</v>
      </c>
      <c r="P120">
        <v>57.82</v>
      </c>
      <c r="Q120">
        <v>20.034600000000001</v>
      </c>
      <c r="R120">
        <v>1259.07</v>
      </c>
      <c r="S120">
        <v>34.844799999999999</v>
      </c>
      <c r="T120">
        <v>20.079999999999998</v>
      </c>
      <c r="U120">
        <v>17.27</v>
      </c>
      <c r="V120">
        <v>37.43</v>
      </c>
      <c r="W120">
        <v>45.79</v>
      </c>
      <c r="X120">
        <v>26.65</v>
      </c>
      <c r="Y120">
        <v>47.28</v>
      </c>
      <c r="Z120">
        <v>41.94</v>
      </c>
      <c r="AA120">
        <v>77.790000000000006</v>
      </c>
      <c r="AB120">
        <v>53.2</v>
      </c>
      <c r="AC120">
        <v>40.64</v>
      </c>
      <c r="AD120">
        <v>572.85</v>
      </c>
      <c r="AE120">
        <v>635.91999999999996</v>
      </c>
      <c r="AF120">
        <v>42.35</v>
      </c>
      <c r="AG120">
        <v>52.37</v>
      </c>
      <c r="AH120">
        <v>45.23</v>
      </c>
      <c r="AI120">
        <v>49.99</v>
      </c>
    </row>
    <row r="121" spans="1:35" x14ac:dyDescent="0.45">
      <c r="A121" s="2">
        <v>45877</v>
      </c>
      <c r="B121">
        <v>30.27</v>
      </c>
      <c r="C121">
        <v>31.41</v>
      </c>
      <c r="D121">
        <v>17.829999999999998</v>
      </c>
      <c r="E121">
        <v>26.63</v>
      </c>
      <c r="F121">
        <v>33.97</v>
      </c>
      <c r="G121">
        <v>51.72</v>
      </c>
      <c r="H121">
        <v>24.51</v>
      </c>
      <c r="I121">
        <v>60.29</v>
      </c>
      <c r="J121">
        <v>61.64</v>
      </c>
      <c r="K121">
        <v>73.5</v>
      </c>
      <c r="L121">
        <v>27.81</v>
      </c>
      <c r="M121">
        <v>56.45</v>
      </c>
      <c r="N121">
        <v>65.069199999999995</v>
      </c>
      <c r="O121">
        <v>52.12</v>
      </c>
      <c r="P121">
        <v>58.19</v>
      </c>
      <c r="Q121">
        <v>19.93</v>
      </c>
      <c r="R121">
        <v>1259.07</v>
      </c>
      <c r="S121">
        <v>34.68</v>
      </c>
      <c r="T121">
        <v>20.14</v>
      </c>
      <c r="U121">
        <v>17.18</v>
      </c>
      <c r="V121">
        <v>37.83</v>
      </c>
      <c r="W121">
        <v>45.744999999999997</v>
      </c>
      <c r="X121">
        <v>26.63</v>
      </c>
      <c r="Y121">
        <v>47.34</v>
      </c>
      <c r="Z121">
        <v>42.34</v>
      </c>
      <c r="AA121">
        <v>77.930000000000007</v>
      </c>
      <c r="AB121">
        <v>53.6</v>
      </c>
      <c r="AC121">
        <v>40.53</v>
      </c>
      <c r="AD121">
        <v>574.54999999999995</v>
      </c>
      <c r="AE121">
        <v>637.17999999999995</v>
      </c>
      <c r="AF121">
        <v>42.68</v>
      </c>
      <c r="AG121">
        <v>52.52</v>
      </c>
      <c r="AH121">
        <v>45.88</v>
      </c>
      <c r="AI121">
        <v>50.16</v>
      </c>
    </row>
    <row r="122" spans="1:35" x14ac:dyDescent="0.45">
      <c r="A122" s="2">
        <v>45876</v>
      </c>
      <c r="B122">
        <v>30.3</v>
      </c>
      <c r="C122">
        <v>30.74</v>
      </c>
      <c r="D122">
        <v>17.72</v>
      </c>
      <c r="E122">
        <v>26.49</v>
      </c>
      <c r="F122">
        <v>33.53</v>
      </c>
      <c r="G122">
        <v>50.705500000000001</v>
      </c>
      <c r="H122">
        <v>24.38</v>
      </c>
      <c r="I122">
        <v>60.36</v>
      </c>
      <c r="J122">
        <v>61.65</v>
      </c>
      <c r="K122">
        <v>73.44</v>
      </c>
      <c r="L122">
        <v>28.05</v>
      </c>
      <c r="M122">
        <v>56.66</v>
      </c>
      <c r="N122">
        <v>64.58</v>
      </c>
      <c r="O122">
        <v>52.53</v>
      </c>
      <c r="P122">
        <v>58.2</v>
      </c>
      <c r="Q122">
        <v>19.946000000000002</v>
      </c>
      <c r="R122">
        <v>1265.1500000000001</v>
      </c>
      <c r="S122">
        <v>34.61</v>
      </c>
      <c r="T122">
        <v>20.100000000000001</v>
      </c>
      <c r="U122">
        <v>16.8</v>
      </c>
      <c r="V122">
        <v>37.83</v>
      </c>
      <c r="W122">
        <v>45.795000000000002</v>
      </c>
      <c r="X122">
        <v>26.6</v>
      </c>
      <c r="Y122">
        <v>47.34</v>
      </c>
      <c r="Z122">
        <v>42.33</v>
      </c>
      <c r="AA122">
        <v>76.62</v>
      </c>
      <c r="AB122">
        <v>53.68</v>
      </c>
      <c r="AC122">
        <v>40.49</v>
      </c>
      <c r="AD122">
        <v>569.24</v>
      </c>
      <c r="AE122">
        <v>632.25</v>
      </c>
      <c r="AF122">
        <v>42.49</v>
      </c>
      <c r="AG122">
        <v>52.2</v>
      </c>
      <c r="AH122">
        <v>45.6</v>
      </c>
      <c r="AI122">
        <v>49.95</v>
      </c>
    </row>
    <row r="123" spans="1:35" x14ac:dyDescent="0.45">
      <c r="A123" s="2">
        <v>45875</v>
      </c>
      <c r="B123">
        <v>30.33</v>
      </c>
      <c r="C123">
        <v>30.09</v>
      </c>
      <c r="D123">
        <v>17.66</v>
      </c>
      <c r="E123">
        <v>26.41</v>
      </c>
      <c r="F123">
        <v>32.840000000000003</v>
      </c>
      <c r="G123">
        <v>50.183300000000003</v>
      </c>
      <c r="H123">
        <v>24.4</v>
      </c>
      <c r="I123">
        <v>59.14</v>
      </c>
      <c r="J123">
        <v>60.76</v>
      </c>
      <c r="K123">
        <v>73.180000000000007</v>
      </c>
      <c r="L123">
        <v>27.45</v>
      </c>
      <c r="M123">
        <v>56.17</v>
      </c>
      <c r="N123">
        <v>64.2</v>
      </c>
      <c r="O123">
        <v>52.255000000000003</v>
      </c>
      <c r="P123">
        <v>58.36</v>
      </c>
      <c r="Q123">
        <v>19.850000000000001</v>
      </c>
      <c r="R123">
        <v>1264.47</v>
      </c>
      <c r="S123">
        <v>34.46</v>
      </c>
      <c r="T123">
        <v>20.25</v>
      </c>
      <c r="U123">
        <v>17.09</v>
      </c>
      <c r="V123">
        <v>38.04</v>
      </c>
      <c r="W123">
        <v>45.63</v>
      </c>
      <c r="X123">
        <v>26.66</v>
      </c>
      <c r="Y123">
        <v>47.73</v>
      </c>
      <c r="Z123">
        <v>41.84</v>
      </c>
      <c r="AA123">
        <v>76.03</v>
      </c>
      <c r="AB123">
        <v>52.98</v>
      </c>
      <c r="AC123">
        <v>40.380000000000003</v>
      </c>
      <c r="AD123">
        <v>567.32000000000005</v>
      </c>
      <c r="AE123">
        <v>632.78</v>
      </c>
      <c r="AF123">
        <v>42.02</v>
      </c>
      <c r="AG123">
        <v>51.43</v>
      </c>
      <c r="AH123">
        <v>44.82</v>
      </c>
      <c r="AI123">
        <v>49.52</v>
      </c>
    </row>
    <row r="124" spans="1:35" x14ac:dyDescent="0.45">
      <c r="A124" s="2">
        <v>45874</v>
      </c>
      <c r="B124">
        <v>30.17</v>
      </c>
      <c r="C124">
        <v>30.26</v>
      </c>
      <c r="D124">
        <v>17.62</v>
      </c>
      <c r="E124">
        <v>26.16</v>
      </c>
      <c r="F124">
        <v>31.79</v>
      </c>
      <c r="G124">
        <v>49.7</v>
      </c>
      <c r="H124">
        <v>24.24</v>
      </c>
      <c r="I124">
        <v>58.92</v>
      </c>
      <c r="J124">
        <v>60.19</v>
      </c>
      <c r="K124">
        <v>72.89</v>
      </c>
      <c r="L124">
        <v>27.02</v>
      </c>
      <c r="M124">
        <v>55.4</v>
      </c>
      <c r="N124">
        <v>62.98</v>
      </c>
      <c r="O124">
        <v>52.41</v>
      </c>
      <c r="P124">
        <v>57.86</v>
      </c>
      <c r="Q124">
        <v>19.785</v>
      </c>
      <c r="R124">
        <v>1246.96</v>
      </c>
      <c r="S124">
        <v>34.29</v>
      </c>
      <c r="T124">
        <v>20.010000000000002</v>
      </c>
      <c r="U124">
        <v>16.670000000000002</v>
      </c>
      <c r="V124">
        <v>37.78</v>
      </c>
      <c r="W124">
        <v>45.255000000000003</v>
      </c>
      <c r="X124">
        <v>26.41</v>
      </c>
      <c r="Y124">
        <v>46.93</v>
      </c>
      <c r="Z124">
        <v>41.49</v>
      </c>
      <c r="AA124">
        <v>75.03</v>
      </c>
      <c r="AB124">
        <v>53.48</v>
      </c>
      <c r="AC124">
        <v>40.229999999999997</v>
      </c>
      <c r="AD124">
        <v>560.27</v>
      </c>
      <c r="AE124">
        <v>627.97</v>
      </c>
      <c r="AF124">
        <v>41.83</v>
      </c>
      <c r="AG124">
        <v>51.33</v>
      </c>
      <c r="AH124">
        <v>44.45</v>
      </c>
      <c r="AI124">
        <v>48.74</v>
      </c>
    </row>
    <row r="125" spans="1:35" x14ac:dyDescent="0.45">
      <c r="A125" s="2">
        <v>45873</v>
      </c>
      <c r="B125">
        <v>29.9</v>
      </c>
      <c r="C125">
        <v>30.24</v>
      </c>
      <c r="D125">
        <v>17.59</v>
      </c>
      <c r="E125">
        <v>26.35</v>
      </c>
      <c r="F125">
        <v>31.94</v>
      </c>
      <c r="G125">
        <v>49.27</v>
      </c>
      <c r="H125">
        <v>24.13</v>
      </c>
      <c r="I125">
        <v>58.84</v>
      </c>
      <c r="J125">
        <v>59.23</v>
      </c>
      <c r="K125">
        <v>72.33</v>
      </c>
      <c r="L125">
        <v>26.93</v>
      </c>
      <c r="M125">
        <v>55.05</v>
      </c>
      <c r="N125">
        <v>62.02</v>
      </c>
      <c r="O125">
        <v>52.48</v>
      </c>
      <c r="P125">
        <v>57.47</v>
      </c>
      <c r="Q125">
        <v>19.71</v>
      </c>
      <c r="R125">
        <v>1229.4000000000001</v>
      </c>
      <c r="S125">
        <v>34.32</v>
      </c>
      <c r="T125">
        <v>20.21</v>
      </c>
      <c r="U125">
        <v>16.579999999999998</v>
      </c>
      <c r="V125">
        <v>37.630000000000003</v>
      </c>
      <c r="W125">
        <v>44.93</v>
      </c>
      <c r="X125">
        <v>26.28</v>
      </c>
      <c r="Y125">
        <v>46.58</v>
      </c>
      <c r="Z125">
        <v>41.3</v>
      </c>
      <c r="AA125">
        <v>75.290000000000006</v>
      </c>
      <c r="AB125">
        <v>53.31</v>
      </c>
      <c r="AC125">
        <v>40.21</v>
      </c>
      <c r="AD125">
        <v>564.1</v>
      </c>
      <c r="AE125">
        <v>631.16999999999996</v>
      </c>
      <c r="AF125">
        <v>41.86</v>
      </c>
      <c r="AG125">
        <v>51.35</v>
      </c>
      <c r="AH125">
        <v>44.3</v>
      </c>
      <c r="AI125">
        <v>48.57</v>
      </c>
    </row>
    <row r="126" spans="1:35" x14ac:dyDescent="0.45">
      <c r="A126" s="2">
        <v>45870</v>
      </c>
      <c r="B126">
        <v>29.6</v>
      </c>
      <c r="C126">
        <v>29.98</v>
      </c>
      <c r="D126">
        <v>17.61</v>
      </c>
      <c r="E126">
        <v>25.78</v>
      </c>
      <c r="F126">
        <v>31.7</v>
      </c>
      <c r="G126">
        <v>48.35</v>
      </c>
      <c r="H126">
        <v>23.98</v>
      </c>
      <c r="I126">
        <v>58.39</v>
      </c>
      <c r="J126">
        <v>59.6</v>
      </c>
      <c r="K126">
        <v>70.650000000000006</v>
      </c>
      <c r="L126">
        <v>26.65</v>
      </c>
      <c r="M126">
        <v>53.43</v>
      </c>
      <c r="N126">
        <v>60.34</v>
      </c>
      <c r="O126">
        <v>52.72</v>
      </c>
      <c r="P126">
        <v>56.52</v>
      </c>
      <c r="Q126">
        <v>19.664999999999999</v>
      </c>
      <c r="R126">
        <v>1218.33</v>
      </c>
      <c r="S126">
        <v>33.92</v>
      </c>
      <c r="T126">
        <v>19.95</v>
      </c>
      <c r="U126">
        <v>15.95</v>
      </c>
      <c r="V126">
        <v>37.32</v>
      </c>
      <c r="W126">
        <v>44.69</v>
      </c>
      <c r="X126">
        <v>25.91</v>
      </c>
      <c r="Y126">
        <v>45.86</v>
      </c>
      <c r="Z126">
        <v>40.75</v>
      </c>
      <c r="AA126">
        <v>74.069999999999993</v>
      </c>
      <c r="AB126">
        <v>52.43</v>
      </c>
      <c r="AC126">
        <v>39.94</v>
      </c>
      <c r="AD126">
        <v>553.88</v>
      </c>
      <c r="AE126">
        <v>621.72</v>
      </c>
      <c r="AF126">
        <v>41.43</v>
      </c>
      <c r="AG126">
        <v>50.85</v>
      </c>
      <c r="AH126">
        <v>43.68</v>
      </c>
      <c r="AI126">
        <v>47.83</v>
      </c>
    </row>
    <row r="127" spans="1:35" x14ac:dyDescent="0.45">
      <c r="A127" s="2">
        <v>45869</v>
      </c>
      <c r="B127">
        <v>29.68</v>
      </c>
      <c r="C127">
        <v>29.83</v>
      </c>
      <c r="D127">
        <v>17.27</v>
      </c>
      <c r="E127">
        <v>25.42</v>
      </c>
      <c r="F127">
        <v>31.75</v>
      </c>
      <c r="G127">
        <v>48.65</v>
      </c>
      <c r="H127">
        <v>23.49</v>
      </c>
      <c r="I127">
        <v>58.36</v>
      </c>
      <c r="J127">
        <v>60.14</v>
      </c>
      <c r="K127">
        <v>72.81</v>
      </c>
      <c r="L127">
        <v>26.55</v>
      </c>
      <c r="M127">
        <v>53.05</v>
      </c>
      <c r="N127">
        <v>60.51</v>
      </c>
      <c r="O127">
        <v>52.64</v>
      </c>
      <c r="P127">
        <v>57.43</v>
      </c>
      <c r="Q127">
        <v>19.655000000000001</v>
      </c>
      <c r="R127">
        <v>1242.3499999999999</v>
      </c>
      <c r="S127">
        <v>33.85</v>
      </c>
      <c r="T127">
        <v>20.039899999999999</v>
      </c>
      <c r="U127">
        <v>16.010000000000002</v>
      </c>
      <c r="V127">
        <v>37.56</v>
      </c>
      <c r="W127">
        <v>45.05</v>
      </c>
      <c r="X127">
        <v>26.02</v>
      </c>
      <c r="Y127">
        <v>46.18</v>
      </c>
      <c r="Z127">
        <v>41.15</v>
      </c>
      <c r="AA127">
        <v>73.62</v>
      </c>
      <c r="AB127">
        <v>52.72</v>
      </c>
      <c r="AC127">
        <v>39.81</v>
      </c>
      <c r="AD127">
        <v>565.01</v>
      </c>
      <c r="AE127">
        <v>632.08000000000004</v>
      </c>
      <c r="AF127">
        <v>41.94</v>
      </c>
      <c r="AG127">
        <v>51.26</v>
      </c>
      <c r="AH127">
        <v>43.86</v>
      </c>
      <c r="AI127">
        <v>48.25</v>
      </c>
    </row>
    <row r="128" spans="1:35" x14ac:dyDescent="0.45">
      <c r="A128" s="2">
        <v>45868</v>
      </c>
      <c r="B128">
        <v>30.24</v>
      </c>
      <c r="C128">
        <v>29.48</v>
      </c>
      <c r="D128">
        <v>17.579999999999998</v>
      </c>
      <c r="E128">
        <v>26.175000000000001</v>
      </c>
      <c r="F128">
        <v>32.21</v>
      </c>
      <c r="G128">
        <v>47.99</v>
      </c>
      <c r="H128">
        <v>23.84</v>
      </c>
      <c r="I128">
        <v>58.35</v>
      </c>
      <c r="J128">
        <v>60.17</v>
      </c>
      <c r="K128">
        <v>73.680000000000007</v>
      </c>
      <c r="L128">
        <v>26.88</v>
      </c>
      <c r="M128">
        <v>53.99</v>
      </c>
      <c r="N128">
        <v>60.44</v>
      </c>
      <c r="O128">
        <v>52.7</v>
      </c>
      <c r="P128">
        <v>57.89</v>
      </c>
      <c r="Q128">
        <v>19.66</v>
      </c>
      <c r="R128">
        <v>1244.1400000000001</v>
      </c>
      <c r="S128">
        <v>33.659999999999997</v>
      </c>
      <c r="T128">
        <v>20.260000000000002</v>
      </c>
      <c r="U128">
        <v>16.03</v>
      </c>
      <c r="V128">
        <v>37.619999999999997</v>
      </c>
      <c r="W128">
        <v>45.19</v>
      </c>
      <c r="X128">
        <v>26.15</v>
      </c>
      <c r="Y128">
        <v>46.38</v>
      </c>
      <c r="Z128">
        <v>41.63</v>
      </c>
      <c r="AA128">
        <v>73.98</v>
      </c>
      <c r="AB128">
        <v>53.48</v>
      </c>
      <c r="AC128">
        <v>40.04</v>
      </c>
      <c r="AD128">
        <v>568.02</v>
      </c>
      <c r="AE128">
        <v>634.46</v>
      </c>
      <c r="AF128">
        <v>42.47</v>
      </c>
      <c r="AG128">
        <v>52.2</v>
      </c>
      <c r="AH128">
        <v>44.54</v>
      </c>
      <c r="AI128">
        <v>49.13</v>
      </c>
    </row>
    <row r="129" spans="1:35" x14ac:dyDescent="0.45">
      <c r="A129" s="2">
        <v>45867</v>
      </c>
      <c r="B129">
        <v>30.44</v>
      </c>
      <c r="C129">
        <v>29.83</v>
      </c>
      <c r="D129">
        <v>17.8</v>
      </c>
      <c r="E129">
        <v>26.37</v>
      </c>
      <c r="F129">
        <v>32.25</v>
      </c>
      <c r="G129">
        <v>49.44</v>
      </c>
      <c r="H129">
        <v>24.04</v>
      </c>
      <c r="I129">
        <v>58.62</v>
      </c>
      <c r="J129">
        <v>60.93</v>
      </c>
      <c r="K129">
        <v>73.489999999999995</v>
      </c>
      <c r="L129">
        <v>26.76</v>
      </c>
      <c r="M129">
        <v>54.54</v>
      </c>
      <c r="N129">
        <v>60.98</v>
      </c>
      <c r="O129">
        <v>53.49</v>
      </c>
      <c r="P129">
        <v>58.56</v>
      </c>
      <c r="Q129">
        <v>19.600000000000001</v>
      </c>
      <c r="R129">
        <v>1233.68</v>
      </c>
      <c r="S129">
        <v>33.28</v>
      </c>
      <c r="T129">
        <v>20.145</v>
      </c>
      <c r="U129">
        <v>15.9</v>
      </c>
      <c r="V129">
        <v>37.39</v>
      </c>
      <c r="W129">
        <v>45.834299999999999</v>
      </c>
      <c r="X129">
        <v>26.37</v>
      </c>
      <c r="Y129">
        <v>46.79</v>
      </c>
      <c r="Z129">
        <v>41.89</v>
      </c>
      <c r="AA129">
        <v>73.88</v>
      </c>
      <c r="AB129">
        <v>54.12</v>
      </c>
      <c r="AC129">
        <v>40.39</v>
      </c>
      <c r="AD129">
        <v>567.26</v>
      </c>
      <c r="AE129">
        <v>635.26</v>
      </c>
      <c r="AF129">
        <v>42.91</v>
      </c>
      <c r="AG129">
        <v>52.69</v>
      </c>
      <c r="AH129">
        <v>44.96</v>
      </c>
      <c r="AI129">
        <v>49.06</v>
      </c>
    </row>
    <row r="130" spans="1:35" x14ac:dyDescent="0.45">
      <c r="A130" s="2">
        <v>45866</v>
      </c>
      <c r="B130">
        <v>30.29</v>
      </c>
      <c r="C130">
        <v>29.78</v>
      </c>
      <c r="D130">
        <v>17.75</v>
      </c>
      <c r="E130">
        <v>26.55</v>
      </c>
      <c r="F130">
        <v>32.130000000000003</v>
      </c>
      <c r="G130">
        <v>49.15</v>
      </c>
      <c r="H130">
        <v>24.05</v>
      </c>
      <c r="I130">
        <v>59.06</v>
      </c>
      <c r="J130">
        <v>60.06</v>
      </c>
      <c r="K130">
        <v>72.709999999999994</v>
      </c>
      <c r="L130">
        <v>26.52</v>
      </c>
      <c r="M130">
        <v>54.22</v>
      </c>
      <c r="N130">
        <v>60.45</v>
      </c>
      <c r="O130">
        <v>53.23</v>
      </c>
      <c r="P130">
        <v>58.7</v>
      </c>
      <c r="Q130">
        <v>19.600000000000001</v>
      </c>
      <c r="R130">
        <v>1217.1500000000001</v>
      </c>
      <c r="S130">
        <v>33.43</v>
      </c>
      <c r="T130">
        <v>20.32</v>
      </c>
      <c r="U130">
        <v>16.78</v>
      </c>
      <c r="V130">
        <v>37.61</v>
      </c>
      <c r="W130">
        <v>45.64</v>
      </c>
      <c r="X130">
        <v>26.22</v>
      </c>
      <c r="Y130">
        <v>46.72</v>
      </c>
      <c r="Z130">
        <v>41.67</v>
      </c>
      <c r="AA130">
        <v>74.27</v>
      </c>
      <c r="AB130">
        <v>54.16</v>
      </c>
      <c r="AC130">
        <v>40.119999999999997</v>
      </c>
      <c r="AD130">
        <v>568.14</v>
      </c>
      <c r="AE130">
        <v>636.94000000000005</v>
      </c>
      <c r="AF130">
        <v>42.8</v>
      </c>
      <c r="AG130">
        <v>52.91</v>
      </c>
      <c r="AH130">
        <v>45.78</v>
      </c>
      <c r="AI130">
        <v>48.78</v>
      </c>
    </row>
    <row r="131" spans="1:35" x14ac:dyDescent="0.45">
      <c r="A131" s="2">
        <v>45863</v>
      </c>
      <c r="B131">
        <v>30.31</v>
      </c>
      <c r="C131">
        <v>30.34</v>
      </c>
      <c r="D131">
        <v>17.600000000000001</v>
      </c>
      <c r="E131">
        <v>26.752199999999998</v>
      </c>
      <c r="F131">
        <v>33.35</v>
      </c>
      <c r="G131">
        <v>49.61</v>
      </c>
      <c r="H131">
        <v>24.19</v>
      </c>
      <c r="I131">
        <v>59.43</v>
      </c>
      <c r="J131">
        <v>61.05</v>
      </c>
      <c r="K131">
        <v>73.209999999999994</v>
      </c>
      <c r="L131">
        <v>26.94</v>
      </c>
      <c r="M131">
        <v>54.74</v>
      </c>
      <c r="N131">
        <v>62.15</v>
      </c>
      <c r="O131">
        <v>53.8</v>
      </c>
      <c r="P131">
        <v>58.93</v>
      </c>
      <c r="Q131">
        <v>19.63</v>
      </c>
      <c r="R131">
        <v>1217.1500000000001</v>
      </c>
      <c r="S131">
        <v>33.79</v>
      </c>
      <c r="T131">
        <v>20.350000000000001</v>
      </c>
      <c r="U131">
        <v>16.47</v>
      </c>
      <c r="V131">
        <v>37.72</v>
      </c>
      <c r="W131">
        <v>46.051099999999998</v>
      </c>
      <c r="X131">
        <v>26.48</v>
      </c>
      <c r="Y131">
        <v>47.01</v>
      </c>
      <c r="Z131">
        <v>42.81</v>
      </c>
      <c r="AA131">
        <v>75.680000000000007</v>
      </c>
      <c r="AB131">
        <v>55.16</v>
      </c>
      <c r="AC131">
        <v>40.64</v>
      </c>
      <c r="AD131">
        <v>566.37</v>
      </c>
      <c r="AE131">
        <v>637.1</v>
      </c>
      <c r="AF131">
        <v>43.72</v>
      </c>
      <c r="AG131">
        <v>53.5</v>
      </c>
      <c r="AH131">
        <v>46.38</v>
      </c>
      <c r="AI131">
        <v>49.56</v>
      </c>
    </row>
    <row r="132" spans="1:35" x14ac:dyDescent="0.45">
      <c r="A132" s="2">
        <v>45862</v>
      </c>
      <c r="B132">
        <v>30.45</v>
      </c>
      <c r="C132">
        <v>30.49</v>
      </c>
      <c r="D132">
        <v>17.809999999999999</v>
      </c>
      <c r="E132">
        <v>27</v>
      </c>
      <c r="F132">
        <v>33.29</v>
      </c>
      <c r="G132">
        <v>49.98</v>
      </c>
      <c r="H132">
        <v>24.3</v>
      </c>
      <c r="I132">
        <v>59.39</v>
      </c>
      <c r="J132">
        <v>60.85</v>
      </c>
      <c r="K132">
        <v>73.31</v>
      </c>
      <c r="L132">
        <v>27.13</v>
      </c>
      <c r="M132">
        <v>55.44</v>
      </c>
      <c r="N132">
        <v>62</v>
      </c>
      <c r="O132">
        <v>54.06</v>
      </c>
      <c r="P132">
        <v>59.18</v>
      </c>
      <c r="Q132">
        <v>19.61</v>
      </c>
      <c r="R132">
        <v>1212.49</v>
      </c>
      <c r="S132">
        <v>33.950000000000003</v>
      </c>
      <c r="T132">
        <v>20.11</v>
      </c>
      <c r="U132">
        <v>15.994999999999999</v>
      </c>
      <c r="V132">
        <v>37.68</v>
      </c>
      <c r="W132">
        <v>45.98</v>
      </c>
      <c r="X132">
        <v>26.58</v>
      </c>
      <c r="Y132">
        <v>46.97</v>
      </c>
      <c r="Z132">
        <v>42.7</v>
      </c>
      <c r="AA132">
        <v>76.55</v>
      </c>
      <c r="AB132">
        <v>55.12</v>
      </c>
      <c r="AC132">
        <v>40.770000000000003</v>
      </c>
      <c r="AD132">
        <v>565.01</v>
      </c>
      <c r="AE132">
        <v>634.41999999999996</v>
      </c>
      <c r="AF132">
        <v>43.4</v>
      </c>
      <c r="AG132">
        <v>53.93</v>
      </c>
      <c r="AH132">
        <v>45.9</v>
      </c>
      <c r="AI132">
        <v>49.12</v>
      </c>
    </row>
    <row r="133" spans="1:35" x14ac:dyDescent="0.45">
      <c r="A133" s="2">
        <v>45861</v>
      </c>
      <c r="B133">
        <v>30.35</v>
      </c>
      <c r="C133">
        <v>30.41</v>
      </c>
      <c r="D133">
        <v>17.809999999999999</v>
      </c>
      <c r="E133">
        <v>27.09</v>
      </c>
      <c r="F133">
        <v>33.450000000000003</v>
      </c>
      <c r="G133">
        <v>50.3</v>
      </c>
      <c r="H133">
        <v>24.21</v>
      </c>
      <c r="I133">
        <v>59.8</v>
      </c>
      <c r="J133">
        <v>60.47</v>
      </c>
      <c r="K133">
        <v>73.849999999999994</v>
      </c>
      <c r="L133">
        <v>27.48</v>
      </c>
      <c r="M133">
        <v>56.27</v>
      </c>
      <c r="N133">
        <v>62.58</v>
      </c>
      <c r="O133">
        <v>54.73</v>
      </c>
      <c r="P133">
        <v>59.25</v>
      </c>
      <c r="Q133">
        <v>19.54</v>
      </c>
      <c r="R133">
        <v>1219.6199999999999</v>
      </c>
      <c r="S133">
        <v>33.86</v>
      </c>
      <c r="T133">
        <v>20.105</v>
      </c>
      <c r="U133">
        <v>16</v>
      </c>
      <c r="V133">
        <v>37.97</v>
      </c>
      <c r="W133">
        <v>46.134999999999998</v>
      </c>
      <c r="X133">
        <v>26.82</v>
      </c>
      <c r="Y133">
        <v>47.17</v>
      </c>
      <c r="Z133">
        <v>43.21</v>
      </c>
      <c r="AA133">
        <v>76.489999999999995</v>
      </c>
      <c r="AB133">
        <v>56.2</v>
      </c>
      <c r="AC133">
        <v>40.9</v>
      </c>
      <c r="AD133">
        <v>563.80999999999995</v>
      </c>
      <c r="AE133">
        <v>634.21</v>
      </c>
      <c r="AF133">
        <v>44.4</v>
      </c>
      <c r="AG133">
        <v>54.25</v>
      </c>
      <c r="AH133">
        <v>46.3</v>
      </c>
      <c r="AI133">
        <v>49.84</v>
      </c>
    </row>
    <row r="134" spans="1:35" x14ac:dyDescent="0.45">
      <c r="A134" s="2">
        <v>45860</v>
      </c>
      <c r="B134">
        <v>30.364999999999998</v>
      </c>
      <c r="C134">
        <v>30.39</v>
      </c>
      <c r="D134">
        <v>17.559999999999999</v>
      </c>
      <c r="E134">
        <v>26.52</v>
      </c>
      <c r="F134">
        <v>32.93</v>
      </c>
      <c r="G134">
        <v>49.55</v>
      </c>
      <c r="H134">
        <v>23.99</v>
      </c>
      <c r="I134">
        <v>58.72</v>
      </c>
      <c r="J134">
        <v>59.03</v>
      </c>
      <c r="K134">
        <v>72.89</v>
      </c>
      <c r="L134">
        <v>27</v>
      </c>
      <c r="M134">
        <v>55.74</v>
      </c>
      <c r="N134">
        <v>61.43</v>
      </c>
      <c r="O134">
        <v>54.61</v>
      </c>
      <c r="P134">
        <v>58.664999999999999</v>
      </c>
      <c r="Q134">
        <v>19.34</v>
      </c>
      <c r="R134">
        <v>1191.75</v>
      </c>
      <c r="S134">
        <v>33.869999999999997</v>
      </c>
      <c r="T134">
        <v>19.795000000000002</v>
      </c>
      <c r="U134">
        <v>15.82</v>
      </c>
      <c r="V134">
        <v>37.5</v>
      </c>
      <c r="W134">
        <v>46.155000000000001</v>
      </c>
      <c r="X134">
        <v>26.55</v>
      </c>
      <c r="Y134">
        <v>47.09</v>
      </c>
      <c r="Z134">
        <v>42.42</v>
      </c>
      <c r="AA134">
        <v>72.98</v>
      </c>
      <c r="AB134">
        <v>54.96</v>
      </c>
      <c r="AC134">
        <v>40.43</v>
      </c>
      <c r="AD134">
        <v>561.25</v>
      </c>
      <c r="AE134">
        <v>628.86</v>
      </c>
      <c r="AF134">
        <v>43.16</v>
      </c>
      <c r="AG134">
        <v>53.37</v>
      </c>
      <c r="AH134">
        <v>45.21</v>
      </c>
      <c r="AI134">
        <v>48.55</v>
      </c>
    </row>
    <row r="135" spans="1:35" x14ac:dyDescent="0.45">
      <c r="A135" s="2">
        <v>45859</v>
      </c>
      <c r="B135">
        <v>29.98</v>
      </c>
      <c r="C135">
        <v>30.3</v>
      </c>
      <c r="D135">
        <v>17.73</v>
      </c>
      <c r="E135">
        <v>26.34</v>
      </c>
      <c r="F135">
        <v>32.9</v>
      </c>
      <c r="G135">
        <v>48.93</v>
      </c>
      <c r="H135">
        <v>24.03</v>
      </c>
      <c r="I135">
        <v>59.36</v>
      </c>
      <c r="J135">
        <v>59.24</v>
      </c>
      <c r="K135">
        <v>73.87</v>
      </c>
      <c r="L135">
        <v>27.08</v>
      </c>
      <c r="M135">
        <v>55.7</v>
      </c>
      <c r="N135">
        <v>61.53</v>
      </c>
      <c r="O135">
        <v>54.75</v>
      </c>
      <c r="P135">
        <v>57.81</v>
      </c>
      <c r="Q135">
        <v>19.12</v>
      </c>
      <c r="R135">
        <v>1208.1300000000001</v>
      </c>
      <c r="S135">
        <v>33.93</v>
      </c>
      <c r="T135">
        <v>19.899999999999999</v>
      </c>
      <c r="U135">
        <v>15.35</v>
      </c>
      <c r="V135">
        <v>37.82</v>
      </c>
      <c r="W135">
        <v>46.367600000000003</v>
      </c>
      <c r="X135">
        <v>26.37</v>
      </c>
      <c r="Y135">
        <v>46.71</v>
      </c>
      <c r="Z135">
        <v>42.42</v>
      </c>
      <c r="AA135">
        <v>72.61</v>
      </c>
      <c r="AB135">
        <v>54.51</v>
      </c>
      <c r="AC135">
        <v>40.01</v>
      </c>
      <c r="AD135">
        <v>564.16999999999996</v>
      </c>
      <c r="AE135">
        <v>628.77</v>
      </c>
      <c r="AF135">
        <v>43.03</v>
      </c>
      <c r="AG135">
        <v>53.41</v>
      </c>
      <c r="AH135">
        <v>45.25</v>
      </c>
      <c r="AI135">
        <v>48.03</v>
      </c>
    </row>
    <row r="136" spans="1:35" x14ac:dyDescent="0.45">
      <c r="A136" s="2">
        <v>45856</v>
      </c>
      <c r="B136">
        <v>29.73</v>
      </c>
      <c r="C136">
        <v>30.16</v>
      </c>
      <c r="D136">
        <v>17.690000000000001</v>
      </c>
      <c r="E136">
        <v>26.11</v>
      </c>
      <c r="F136">
        <v>32.86</v>
      </c>
      <c r="G136">
        <v>48.32</v>
      </c>
      <c r="H136">
        <v>23.93</v>
      </c>
      <c r="I136">
        <v>59.24</v>
      </c>
      <c r="J136">
        <v>59.46</v>
      </c>
      <c r="K136">
        <v>72.39</v>
      </c>
      <c r="L136">
        <v>26.85</v>
      </c>
      <c r="M136">
        <v>54.81</v>
      </c>
      <c r="N136">
        <v>61.2</v>
      </c>
      <c r="O136">
        <v>54.5</v>
      </c>
      <c r="P136">
        <v>57.45</v>
      </c>
      <c r="Q136">
        <v>18.91</v>
      </c>
      <c r="R136">
        <v>1206.58</v>
      </c>
      <c r="S136">
        <v>32.994999999999997</v>
      </c>
      <c r="T136">
        <v>19.98</v>
      </c>
      <c r="U136">
        <v>15.574999999999999</v>
      </c>
      <c r="V136">
        <v>38.130000000000003</v>
      </c>
      <c r="W136">
        <v>45.695</v>
      </c>
      <c r="X136">
        <v>26.45</v>
      </c>
      <c r="Y136">
        <v>46.59</v>
      </c>
      <c r="Z136">
        <v>42.13</v>
      </c>
      <c r="AA136">
        <v>71.81</v>
      </c>
      <c r="AB136">
        <v>54.48</v>
      </c>
      <c r="AC136">
        <v>39.799999999999997</v>
      </c>
      <c r="AD136">
        <v>561.26</v>
      </c>
      <c r="AE136">
        <v>627.58000000000004</v>
      </c>
      <c r="AF136">
        <v>42.92</v>
      </c>
      <c r="AG136">
        <v>53.46</v>
      </c>
      <c r="AH136">
        <v>44.65</v>
      </c>
      <c r="AI136">
        <v>47.79</v>
      </c>
    </row>
    <row r="137" spans="1:35" x14ac:dyDescent="0.45">
      <c r="A137" s="2">
        <v>45855</v>
      </c>
      <c r="B137">
        <v>29.6</v>
      </c>
      <c r="C137">
        <v>30.23</v>
      </c>
      <c r="D137">
        <v>17.760000000000002</v>
      </c>
      <c r="E137">
        <v>26.08</v>
      </c>
      <c r="F137">
        <v>32.340000000000003</v>
      </c>
      <c r="G137">
        <v>48.2014</v>
      </c>
      <c r="H137">
        <v>23.93</v>
      </c>
      <c r="I137">
        <v>59.48</v>
      </c>
      <c r="J137">
        <v>59.79</v>
      </c>
      <c r="K137">
        <v>73.06</v>
      </c>
      <c r="L137">
        <v>27.69</v>
      </c>
      <c r="M137">
        <v>53.57</v>
      </c>
      <c r="N137">
        <v>61.52</v>
      </c>
      <c r="O137">
        <v>55.01</v>
      </c>
      <c r="P137">
        <v>56.92</v>
      </c>
      <c r="Q137">
        <v>18.96</v>
      </c>
      <c r="R137">
        <v>1198.1099999999999</v>
      </c>
      <c r="S137">
        <v>33.15</v>
      </c>
      <c r="T137">
        <v>20.05</v>
      </c>
      <c r="U137">
        <v>15.67</v>
      </c>
      <c r="V137">
        <v>38.17</v>
      </c>
      <c r="W137">
        <v>45.872</v>
      </c>
      <c r="X137">
        <v>26.28</v>
      </c>
      <c r="Y137">
        <v>46.71</v>
      </c>
      <c r="Z137">
        <v>42.35</v>
      </c>
      <c r="AA137">
        <v>72.39</v>
      </c>
      <c r="AB137">
        <v>54.36</v>
      </c>
      <c r="AC137">
        <v>39.83</v>
      </c>
      <c r="AD137">
        <v>561.79999999999995</v>
      </c>
      <c r="AE137">
        <v>628.04</v>
      </c>
      <c r="AF137">
        <v>42.98</v>
      </c>
      <c r="AG137">
        <v>53.51</v>
      </c>
      <c r="AH137">
        <v>44.98</v>
      </c>
      <c r="AI137">
        <v>47.75</v>
      </c>
    </row>
    <row r="138" spans="1:35" x14ac:dyDescent="0.45">
      <c r="A138" s="2">
        <v>45854</v>
      </c>
      <c r="B138">
        <v>29.26</v>
      </c>
      <c r="C138">
        <v>29.77</v>
      </c>
      <c r="D138">
        <v>17.7</v>
      </c>
      <c r="E138">
        <v>26.35</v>
      </c>
      <c r="F138">
        <v>31.97</v>
      </c>
      <c r="G138">
        <v>48.003799999999998</v>
      </c>
      <c r="H138">
        <v>23.71</v>
      </c>
      <c r="I138">
        <v>58.98</v>
      </c>
      <c r="J138">
        <v>59.77</v>
      </c>
      <c r="K138">
        <v>73.08</v>
      </c>
      <c r="L138">
        <v>27.57</v>
      </c>
      <c r="M138">
        <v>53.43</v>
      </c>
      <c r="N138">
        <v>60.8</v>
      </c>
      <c r="O138">
        <v>55.27</v>
      </c>
      <c r="P138">
        <v>56.51</v>
      </c>
      <c r="Q138">
        <v>18.779</v>
      </c>
      <c r="R138">
        <v>1157.6300000000001</v>
      </c>
      <c r="S138">
        <v>32.5</v>
      </c>
      <c r="T138">
        <v>19.86</v>
      </c>
      <c r="U138">
        <v>15.41</v>
      </c>
      <c r="V138">
        <v>38.1</v>
      </c>
      <c r="W138">
        <v>45.56</v>
      </c>
      <c r="X138">
        <v>26.19</v>
      </c>
      <c r="Y138">
        <v>46.47</v>
      </c>
      <c r="Z138">
        <v>42.18</v>
      </c>
      <c r="AA138">
        <v>72.02</v>
      </c>
      <c r="AB138">
        <v>54.55</v>
      </c>
      <c r="AC138">
        <v>39.85</v>
      </c>
      <c r="AD138">
        <v>557.29</v>
      </c>
      <c r="AE138">
        <v>624.22</v>
      </c>
      <c r="AF138">
        <v>42.74</v>
      </c>
      <c r="AG138">
        <v>53.47</v>
      </c>
      <c r="AH138">
        <v>44.63</v>
      </c>
      <c r="AI138">
        <v>47.76</v>
      </c>
    </row>
    <row r="139" spans="1:35" x14ac:dyDescent="0.45">
      <c r="A139" s="2">
        <v>45853</v>
      </c>
      <c r="B139">
        <v>29.29</v>
      </c>
      <c r="C139">
        <v>29.89</v>
      </c>
      <c r="D139">
        <v>17.72</v>
      </c>
      <c r="E139">
        <v>26.96</v>
      </c>
      <c r="F139">
        <v>31.66</v>
      </c>
      <c r="G139">
        <v>48.12</v>
      </c>
      <c r="H139">
        <v>23.8</v>
      </c>
      <c r="I139">
        <v>58.27</v>
      </c>
      <c r="J139">
        <v>59.38</v>
      </c>
      <c r="K139">
        <v>73.069999999999993</v>
      </c>
      <c r="L139">
        <v>27.47</v>
      </c>
      <c r="M139">
        <v>52.86</v>
      </c>
      <c r="N139">
        <v>60.25</v>
      </c>
      <c r="O139">
        <v>54.875</v>
      </c>
      <c r="P139">
        <v>56.68</v>
      </c>
      <c r="Q139">
        <v>18.690000000000001</v>
      </c>
      <c r="R139">
        <v>1161.01</v>
      </c>
      <c r="S139">
        <v>32.840000000000003</v>
      </c>
      <c r="T139">
        <v>19.41</v>
      </c>
      <c r="U139">
        <v>15.04</v>
      </c>
      <c r="V139">
        <v>38.090000000000003</v>
      </c>
      <c r="W139">
        <v>44.89</v>
      </c>
      <c r="X139">
        <v>26.07</v>
      </c>
      <c r="Y139">
        <v>46.04</v>
      </c>
      <c r="Z139">
        <v>41.82</v>
      </c>
      <c r="AA139">
        <v>71.69</v>
      </c>
      <c r="AB139">
        <v>54.18</v>
      </c>
      <c r="AC139">
        <v>39.590000000000003</v>
      </c>
      <c r="AD139">
        <v>556.72</v>
      </c>
      <c r="AE139">
        <v>622.14</v>
      </c>
      <c r="AF139">
        <v>42.56</v>
      </c>
      <c r="AG139">
        <v>54.45</v>
      </c>
      <c r="AH139">
        <v>44.69</v>
      </c>
      <c r="AI139">
        <v>47.32</v>
      </c>
    </row>
    <row r="140" spans="1:35" x14ac:dyDescent="0.45">
      <c r="A140" s="2">
        <v>45852</v>
      </c>
      <c r="B140">
        <v>29.395</v>
      </c>
      <c r="C140">
        <v>30.21</v>
      </c>
      <c r="D140">
        <v>17.63</v>
      </c>
      <c r="E140">
        <v>27.36</v>
      </c>
      <c r="F140">
        <v>32.14</v>
      </c>
      <c r="G140">
        <v>48.69</v>
      </c>
      <c r="H140">
        <v>24.09</v>
      </c>
      <c r="I140">
        <v>57.81</v>
      </c>
      <c r="J140">
        <v>59.61</v>
      </c>
      <c r="K140">
        <v>73.2</v>
      </c>
      <c r="L140">
        <v>27.31</v>
      </c>
      <c r="M140">
        <v>52.99</v>
      </c>
      <c r="N140">
        <v>60.82</v>
      </c>
      <c r="O140">
        <v>54.92</v>
      </c>
      <c r="P140">
        <v>55.55</v>
      </c>
      <c r="Q140">
        <v>18.71</v>
      </c>
      <c r="R140">
        <v>1143.31</v>
      </c>
      <c r="S140">
        <v>32.97</v>
      </c>
      <c r="T140">
        <v>19.37</v>
      </c>
      <c r="U140">
        <v>15.24</v>
      </c>
      <c r="V140">
        <v>38.65</v>
      </c>
      <c r="W140">
        <v>45.49</v>
      </c>
      <c r="X140">
        <v>26.39</v>
      </c>
      <c r="Y140">
        <v>46.44</v>
      </c>
      <c r="Z140">
        <v>42.35</v>
      </c>
      <c r="AA140">
        <v>72.41</v>
      </c>
      <c r="AB140">
        <v>54.71</v>
      </c>
      <c r="AC140">
        <v>40.03</v>
      </c>
      <c r="AD140">
        <v>556.21</v>
      </c>
      <c r="AE140">
        <v>624.80999999999995</v>
      </c>
      <c r="AF140">
        <v>43.12</v>
      </c>
      <c r="AG140">
        <v>54.4</v>
      </c>
      <c r="AH140">
        <v>45.3</v>
      </c>
      <c r="AI140">
        <v>48.16</v>
      </c>
    </row>
    <row r="141" spans="1:35" x14ac:dyDescent="0.45">
      <c r="A141" s="2">
        <v>45849</v>
      </c>
      <c r="B141">
        <v>29.2</v>
      </c>
      <c r="C141">
        <v>30.51</v>
      </c>
      <c r="D141">
        <v>17.87</v>
      </c>
      <c r="E141">
        <v>27.13</v>
      </c>
      <c r="F141">
        <v>31.95</v>
      </c>
      <c r="G141">
        <v>48.83</v>
      </c>
      <c r="H141">
        <v>24.08</v>
      </c>
      <c r="I141">
        <v>58.3</v>
      </c>
      <c r="J141">
        <v>60.13</v>
      </c>
      <c r="K141">
        <v>72.56</v>
      </c>
      <c r="L141">
        <v>27.53</v>
      </c>
      <c r="M141">
        <v>52.98</v>
      </c>
      <c r="N141">
        <v>60.99</v>
      </c>
      <c r="O141">
        <v>54.88</v>
      </c>
      <c r="P141">
        <v>54.95</v>
      </c>
      <c r="Q141">
        <v>18.73</v>
      </c>
      <c r="R141">
        <v>1121.1300000000001</v>
      </c>
      <c r="S141">
        <v>33.17</v>
      </c>
      <c r="T141">
        <v>19.21</v>
      </c>
      <c r="U141">
        <v>15.22</v>
      </c>
      <c r="V141">
        <v>38.89</v>
      </c>
      <c r="W141">
        <v>45.76</v>
      </c>
      <c r="X141">
        <v>26.36</v>
      </c>
      <c r="Y141">
        <v>46.13</v>
      </c>
      <c r="Z141">
        <v>42.45</v>
      </c>
      <c r="AA141">
        <v>72.36</v>
      </c>
      <c r="AB141">
        <v>54.7</v>
      </c>
      <c r="AC141">
        <v>39.92</v>
      </c>
      <c r="AD141">
        <v>554.20000000000005</v>
      </c>
      <c r="AE141">
        <v>623.62</v>
      </c>
      <c r="AF141">
        <v>43.28</v>
      </c>
      <c r="AG141">
        <v>54.41</v>
      </c>
      <c r="AH141">
        <v>45.57</v>
      </c>
      <c r="AI141">
        <v>47.99</v>
      </c>
    </row>
    <row r="142" spans="1:35" x14ac:dyDescent="0.45">
      <c r="A142" s="2">
        <v>45848</v>
      </c>
      <c r="B142">
        <v>29.32</v>
      </c>
      <c r="C142">
        <v>31.1</v>
      </c>
      <c r="D142">
        <v>17.760000000000002</v>
      </c>
      <c r="E142">
        <v>27.19</v>
      </c>
      <c r="F142">
        <v>32.049999999999997</v>
      </c>
      <c r="G142">
        <v>49.12</v>
      </c>
      <c r="H142">
        <v>24.11</v>
      </c>
      <c r="I142">
        <v>58.38</v>
      </c>
      <c r="J142">
        <v>60.29</v>
      </c>
      <c r="K142">
        <v>73.14</v>
      </c>
      <c r="L142">
        <v>27.72</v>
      </c>
      <c r="M142">
        <v>53.95</v>
      </c>
      <c r="N142">
        <v>61.32</v>
      </c>
      <c r="O142">
        <v>55.27</v>
      </c>
      <c r="P142">
        <v>55.01</v>
      </c>
      <c r="Q142">
        <v>18.75</v>
      </c>
      <c r="R142">
        <v>1110.4000000000001</v>
      </c>
      <c r="S142">
        <v>33.25</v>
      </c>
      <c r="T142">
        <v>19.079999999999998</v>
      </c>
      <c r="U142">
        <v>15.12</v>
      </c>
      <c r="V142">
        <v>39</v>
      </c>
      <c r="W142">
        <v>46.01</v>
      </c>
      <c r="X142">
        <v>26.58</v>
      </c>
      <c r="Y142">
        <v>46.41</v>
      </c>
      <c r="Z142">
        <v>42.86</v>
      </c>
      <c r="AA142">
        <v>72.94</v>
      </c>
      <c r="AB142">
        <v>55.45</v>
      </c>
      <c r="AC142">
        <v>40.270000000000003</v>
      </c>
      <c r="AD142">
        <v>555.45000000000005</v>
      </c>
      <c r="AE142">
        <v>625.82000000000005</v>
      </c>
      <c r="AF142">
        <v>43.75</v>
      </c>
      <c r="AG142">
        <v>54.63</v>
      </c>
      <c r="AH142">
        <v>46.39</v>
      </c>
      <c r="AI142">
        <v>48.53</v>
      </c>
    </row>
    <row r="143" spans="1:35" x14ac:dyDescent="0.45">
      <c r="A143" s="2">
        <v>45847</v>
      </c>
      <c r="B143">
        <v>29.07</v>
      </c>
      <c r="C143">
        <v>31.04</v>
      </c>
      <c r="D143">
        <v>17.47</v>
      </c>
      <c r="E143">
        <v>27.15</v>
      </c>
      <c r="F143">
        <v>32.72</v>
      </c>
      <c r="G143">
        <v>48.81</v>
      </c>
      <c r="H143">
        <v>23.98</v>
      </c>
      <c r="I143">
        <v>58.03</v>
      </c>
      <c r="J143">
        <v>60.28</v>
      </c>
      <c r="K143">
        <v>72.08</v>
      </c>
      <c r="L143">
        <v>28.16</v>
      </c>
      <c r="M143">
        <v>54</v>
      </c>
      <c r="N143">
        <v>61.08</v>
      </c>
      <c r="O143">
        <v>55.66</v>
      </c>
      <c r="P143">
        <v>54.58</v>
      </c>
      <c r="Q143">
        <v>18.75</v>
      </c>
      <c r="R143">
        <v>1110.4000000000001</v>
      </c>
      <c r="S143">
        <v>32.79</v>
      </c>
      <c r="T143">
        <v>19.13</v>
      </c>
      <c r="U143">
        <v>14.89</v>
      </c>
      <c r="V143">
        <v>38.89</v>
      </c>
      <c r="W143">
        <v>46.07</v>
      </c>
      <c r="X143">
        <v>26.24</v>
      </c>
      <c r="Y143">
        <v>46.13</v>
      </c>
      <c r="Z143">
        <v>43.26</v>
      </c>
      <c r="AA143">
        <v>73.3</v>
      </c>
      <c r="AB143">
        <v>55.28</v>
      </c>
      <c r="AC143">
        <v>40.01</v>
      </c>
      <c r="AD143">
        <v>556.25</v>
      </c>
      <c r="AE143">
        <v>624.05999999999995</v>
      </c>
      <c r="AF143">
        <v>43.84</v>
      </c>
      <c r="AG143">
        <v>54.58</v>
      </c>
      <c r="AH143">
        <v>46.05</v>
      </c>
      <c r="AI143">
        <v>49.17</v>
      </c>
    </row>
    <row r="144" spans="1:35" x14ac:dyDescent="0.45">
      <c r="A144" s="2">
        <v>45846</v>
      </c>
      <c r="B144">
        <v>29.12</v>
      </c>
      <c r="C144">
        <v>31.41</v>
      </c>
      <c r="D144">
        <v>17.309999999999999</v>
      </c>
      <c r="E144">
        <v>26.78</v>
      </c>
      <c r="F144">
        <v>32.619999999999997</v>
      </c>
      <c r="G144">
        <v>49.3</v>
      </c>
      <c r="H144">
        <v>23.95</v>
      </c>
      <c r="I144">
        <v>57.66</v>
      </c>
      <c r="J144">
        <v>60.89</v>
      </c>
      <c r="K144">
        <v>72.08</v>
      </c>
      <c r="L144">
        <v>28.71</v>
      </c>
      <c r="M144">
        <v>53.81</v>
      </c>
      <c r="N144">
        <v>60.9</v>
      </c>
      <c r="O144">
        <v>55.69</v>
      </c>
      <c r="P144">
        <v>55.13</v>
      </c>
      <c r="Q144">
        <v>18.73</v>
      </c>
      <c r="R144">
        <v>1115.6500000000001</v>
      </c>
      <c r="S144">
        <v>32.119999999999997</v>
      </c>
      <c r="T144">
        <v>18.84</v>
      </c>
      <c r="U144">
        <v>14.51</v>
      </c>
      <c r="V144">
        <v>38.9</v>
      </c>
      <c r="W144">
        <v>45.98</v>
      </c>
      <c r="X144">
        <v>26.14</v>
      </c>
      <c r="Y144">
        <v>46</v>
      </c>
      <c r="Z144">
        <v>42.59</v>
      </c>
      <c r="AA144">
        <v>73.19</v>
      </c>
      <c r="AB144">
        <v>54.82</v>
      </c>
      <c r="AC144">
        <v>39.79</v>
      </c>
      <c r="AD144">
        <v>552.34</v>
      </c>
      <c r="AE144">
        <v>620.34</v>
      </c>
      <c r="AF144">
        <v>43.27</v>
      </c>
      <c r="AG144">
        <v>54.33</v>
      </c>
      <c r="AH144">
        <v>45.55</v>
      </c>
      <c r="AI144">
        <v>48.34</v>
      </c>
    </row>
    <row r="145" spans="1:35" x14ac:dyDescent="0.45">
      <c r="A145" s="2">
        <v>45845</v>
      </c>
      <c r="B145">
        <v>28.86</v>
      </c>
      <c r="C145">
        <v>31.02</v>
      </c>
      <c r="D145">
        <v>17.34</v>
      </c>
      <c r="E145">
        <v>26.72</v>
      </c>
      <c r="F145">
        <v>32.25</v>
      </c>
      <c r="G145">
        <v>49.62</v>
      </c>
      <c r="H145">
        <v>23.93</v>
      </c>
      <c r="I145">
        <v>57.63</v>
      </c>
      <c r="J145">
        <v>61.11</v>
      </c>
      <c r="K145">
        <v>70.069999999999993</v>
      </c>
      <c r="L145">
        <v>28.6</v>
      </c>
      <c r="M145">
        <v>53.84</v>
      </c>
      <c r="N145">
        <v>59.12</v>
      </c>
      <c r="O145">
        <v>55.36</v>
      </c>
      <c r="P145">
        <v>54.62</v>
      </c>
      <c r="Q145">
        <v>18.68</v>
      </c>
      <c r="R145">
        <v>1123</v>
      </c>
      <c r="S145">
        <v>32.44</v>
      </c>
      <c r="T145">
        <v>18.86</v>
      </c>
      <c r="U145">
        <v>14.18</v>
      </c>
      <c r="V145">
        <v>39.08</v>
      </c>
      <c r="W145">
        <v>45.5</v>
      </c>
      <c r="X145">
        <v>25.98</v>
      </c>
      <c r="Y145">
        <v>46.18</v>
      </c>
      <c r="Z145">
        <v>42.23</v>
      </c>
      <c r="AA145">
        <v>72.819999999999993</v>
      </c>
      <c r="AB145">
        <v>54.53</v>
      </c>
      <c r="AC145">
        <v>39.42</v>
      </c>
      <c r="AD145">
        <v>552.03</v>
      </c>
      <c r="AE145">
        <v>620.67999999999995</v>
      </c>
      <c r="AF145">
        <v>42.68</v>
      </c>
      <c r="AG145">
        <v>53.98</v>
      </c>
      <c r="AH145">
        <v>45.52</v>
      </c>
      <c r="AI145">
        <v>47.87</v>
      </c>
    </row>
    <row r="146" spans="1:35" x14ac:dyDescent="0.45">
      <c r="A146" s="2">
        <v>45842</v>
      </c>
      <c r="B146">
        <v>28.91</v>
      </c>
      <c r="C146">
        <v>31.82</v>
      </c>
      <c r="D146">
        <v>17.47</v>
      </c>
      <c r="E146">
        <v>27.08</v>
      </c>
      <c r="F146">
        <v>32.82</v>
      </c>
      <c r="G146">
        <v>50.06</v>
      </c>
      <c r="H146">
        <v>24.41</v>
      </c>
      <c r="I146">
        <v>59.44</v>
      </c>
      <c r="J146">
        <v>61.7</v>
      </c>
      <c r="K146">
        <v>72.7</v>
      </c>
      <c r="L146">
        <v>29.31</v>
      </c>
      <c r="M146">
        <v>54.79</v>
      </c>
      <c r="N146">
        <v>59.72</v>
      </c>
      <c r="O146">
        <v>55.79</v>
      </c>
      <c r="P146">
        <v>54.72</v>
      </c>
      <c r="Q146">
        <v>18.63</v>
      </c>
      <c r="R146">
        <v>1119.94</v>
      </c>
      <c r="S146">
        <v>33.04</v>
      </c>
      <c r="T146">
        <v>18.84</v>
      </c>
      <c r="U146">
        <v>13.96</v>
      </c>
      <c r="V146">
        <v>38.89</v>
      </c>
      <c r="W146">
        <v>45.96</v>
      </c>
      <c r="X146">
        <v>26.48</v>
      </c>
      <c r="Y146">
        <v>46.67</v>
      </c>
      <c r="Z146">
        <v>42.21</v>
      </c>
      <c r="AA146">
        <v>74.599999999999994</v>
      </c>
      <c r="AB146">
        <v>54.9</v>
      </c>
      <c r="AC146">
        <v>39.82</v>
      </c>
      <c r="AD146">
        <v>556.22</v>
      </c>
      <c r="AE146">
        <v>625.34</v>
      </c>
      <c r="AF146">
        <v>43.08</v>
      </c>
      <c r="AG146">
        <v>54.29</v>
      </c>
      <c r="AH146">
        <v>45.62</v>
      </c>
      <c r="AI146">
        <v>48.21</v>
      </c>
    </row>
    <row r="147" spans="1:35" x14ac:dyDescent="0.45">
      <c r="A147" s="2">
        <v>45841</v>
      </c>
      <c r="B147">
        <v>28.91</v>
      </c>
      <c r="C147">
        <v>31.82</v>
      </c>
      <c r="D147">
        <v>17.47</v>
      </c>
      <c r="E147">
        <v>27.08</v>
      </c>
      <c r="F147">
        <v>32.82</v>
      </c>
      <c r="G147">
        <v>50.06</v>
      </c>
      <c r="H147">
        <v>24.41</v>
      </c>
      <c r="I147">
        <v>59.44</v>
      </c>
      <c r="J147">
        <v>61.7</v>
      </c>
      <c r="K147">
        <v>72.7</v>
      </c>
      <c r="L147">
        <v>29.31</v>
      </c>
      <c r="M147">
        <v>54.79</v>
      </c>
      <c r="N147">
        <v>59.72</v>
      </c>
      <c r="O147">
        <v>55.79</v>
      </c>
      <c r="P147">
        <v>54.72</v>
      </c>
      <c r="Q147">
        <v>18.63</v>
      </c>
      <c r="R147">
        <v>1127.21</v>
      </c>
      <c r="S147">
        <v>33.04</v>
      </c>
      <c r="T147">
        <v>18.84</v>
      </c>
      <c r="U147">
        <v>13.96</v>
      </c>
      <c r="V147">
        <v>38.89</v>
      </c>
      <c r="W147">
        <v>45.96</v>
      </c>
      <c r="X147">
        <v>26.48</v>
      </c>
      <c r="Y147">
        <v>46.67</v>
      </c>
      <c r="Z147">
        <v>42.21</v>
      </c>
      <c r="AA147">
        <v>74.599999999999994</v>
      </c>
      <c r="AB147">
        <v>54.9</v>
      </c>
      <c r="AC147">
        <v>39.82</v>
      </c>
      <c r="AD147">
        <v>556.22</v>
      </c>
      <c r="AE147">
        <v>625.34</v>
      </c>
      <c r="AF147">
        <v>43.08</v>
      </c>
      <c r="AG147">
        <v>54.29</v>
      </c>
      <c r="AH147">
        <v>45.62</v>
      </c>
      <c r="AI147">
        <v>48.21</v>
      </c>
    </row>
    <row r="148" spans="1:35" x14ac:dyDescent="0.45">
      <c r="A148" s="2">
        <v>45840</v>
      </c>
      <c r="B148">
        <v>28.7</v>
      </c>
      <c r="C148">
        <v>31.85</v>
      </c>
      <c r="D148">
        <v>17.48</v>
      </c>
      <c r="E148">
        <v>27</v>
      </c>
      <c r="F148">
        <v>32.19</v>
      </c>
      <c r="G148">
        <v>49.75</v>
      </c>
      <c r="H148">
        <v>24.41</v>
      </c>
      <c r="I148">
        <v>58.75</v>
      </c>
      <c r="J148">
        <v>61.59</v>
      </c>
      <c r="K148">
        <v>71.95</v>
      </c>
      <c r="L148">
        <v>28.91</v>
      </c>
      <c r="M148">
        <v>54.31</v>
      </c>
      <c r="N148">
        <v>59.34</v>
      </c>
      <c r="O148">
        <v>55.6</v>
      </c>
      <c r="P148">
        <v>55</v>
      </c>
      <c r="Q148">
        <v>18.559999999999999</v>
      </c>
      <c r="R148">
        <v>1115.69</v>
      </c>
      <c r="S148">
        <v>33.07</v>
      </c>
      <c r="T148">
        <v>18.600000000000001</v>
      </c>
      <c r="U148">
        <v>13.76</v>
      </c>
      <c r="V148">
        <v>38.44</v>
      </c>
      <c r="W148">
        <v>46.265000000000001</v>
      </c>
      <c r="X148">
        <v>26.54</v>
      </c>
      <c r="Y148">
        <v>46.33</v>
      </c>
      <c r="Z148">
        <v>42.17</v>
      </c>
      <c r="AA148">
        <v>74.459999999999994</v>
      </c>
      <c r="AB148">
        <v>55.27</v>
      </c>
      <c r="AC148">
        <v>39.61</v>
      </c>
      <c r="AD148">
        <v>550.79999999999995</v>
      </c>
      <c r="AE148">
        <v>620.45000000000005</v>
      </c>
      <c r="AF148">
        <v>43.27</v>
      </c>
      <c r="AG148">
        <v>54.3</v>
      </c>
      <c r="AH148">
        <v>45.51</v>
      </c>
      <c r="AI148">
        <v>48.29</v>
      </c>
    </row>
    <row r="149" spans="1:35" x14ac:dyDescent="0.45">
      <c r="A149" s="2">
        <v>45839</v>
      </c>
      <c r="B149">
        <v>28.71</v>
      </c>
      <c r="C149">
        <v>31.51</v>
      </c>
      <c r="D149">
        <v>17.489999999999998</v>
      </c>
      <c r="E149">
        <v>27.14</v>
      </c>
      <c r="F149">
        <v>32.06</v>
      </c>
      <c r="G149">
        <v>48.857199999999999</v>
      </c>
      <c r="H149">
        <v>24.38</v>
      </c>
      <c r="I149">
        <v>57.58</v>
      </c>
      <c r="J149">
        <v>61.12</v>
      </c>
      <c r="K149">
        <v>71.64</v>
      </c>
      <c r="L149">
        <v>28.79</v>
      </c>
      <c r="M149">
        <v>54.21</v>
      </c>
      <c r="N149">
        <v>58.63</v>
      </c>
      <c r="O149">
        <v>55.84</v>
      </c>
      <c r="P149">
        <v>55.27</v>
      </c>
      <c r="Q149">
        <v>18.579999999999998</v>
      </c>
      <c r="R149">
        <v>1110.01</v>
      </c>
      <c r="S149">
        <v>32.479999999999997</v>
      </c>
      <c r="T149">
        <v>18.66</v>
      </c>
      <c r="U149">
        <v>13.72</v>
      </c>
      <c r="V149">
        <v>38.25</v>
      </c>
      <c r="W149">
        <v>45.96</v>
      </c>
      <c r="X149">
        <v>26.35</v>
      </c>
      <c r="Y149">
        <v>46.19</v>
      </c>
      <c r="Z149">
        <v>42.01</v>
      </c>
      <c r="AA149">
        <v>74.42</v>
      </c>
      <c r="AB149">
        <v>54.98</v>
      </c>
      <c r="AC149">
        <v>39.85</v>
      </c>
      <c r="AD149">
        <v>546.99</v>
      </c>
      <c r="AE149">
        <v>617.65</v>
      </c>
      <c r="AF149">
        <v>42.87</v>
      </c>
      <c r="AG149">
        <v>54.07</v>
      </c>
      <c r="AH149">
        <v>45.19</v>
      </c>
      <c r="AI149">
        <v>48.05</v>
      </c>
    </row>
    <row r="150" spans="1:35" x14ac:dyDescent="0.45">
      <c r="A150" s="2">
        <v>45838</v>
      </c>
      <c r="B150">
        <v>28.71</v>
      </c>
      <c r="C150">
        <v>31.45</v>
      </c>
      <c r="D150">
        <v>17.63</v>
      </c>
      <c r="E150">
        <v>27.12</v>
      </c>
      <c r="F150">
        <v>32.26</v>
      </c>
      <c r="G150">
        <v>48.59</v>
      </c>
      <c r="H150">
        <v>24.34</v>
      </c>
      <c r="I150">
        <v>57.4</v>
      </c>
      <c r="J150">
        <v>60.56</v>
      </c>
      <c r="K150">
        <v>71.78</v>
      </c>
      <c r="L150">
        <v>28.85</v>
      </c>
      <c r="M150">
        <v>53.75</v>
      </c>
      <c r="N150">
        <v>58.04</v>
      </c>
      <c r="O150">
        <v>55.68</v>
      </c>
      <c r="P150">
        <v>55.1</v>
      </c>
      <c r="Q150">
        <v>18.62</v>
      </c>
      <c r="R150">
        <v>1089.56</v>
      </c>
      <c r="S150">
        <v>32.26</v>
      </c>
      <c r="T150">
        <v>18.72</v>
      </c>
      <c r="U150">
        <v>13.75</v>
      </c>
      <c r="V150">
        <v>38.54</v>
      </c>
      <c r="W150">
        <v>45.61</v>
      </c>
      <c r="X150">
        <v>26.32</v>
      </c>
      <c r="Y150">
        <v>46.2</v>
      </c>
      <c r="Z150">
        <v>42.31</v>
      </c>
      <c r="AA150">
        <v>74.97</v>
      </c>
      <c r="AB150">
        <v>54.81</v>
      </c>
      <c r="AC150">
        <v>39.72</v>
      </c>
      <c r="AD150">
        <v>551.64</v>
      </c>
      <c r="AE150">
        <v>617.85</v>
      </c>
      <c r="AF150">
        <v>42.8</v>
      </c>
      <c r="AG150">
        <v>54.5</v>
      </c>
      <c r="AH150">
        <v>45.74</v>
      </c>
      <c r="AI150">
        <v>48.14</v>
      </c>
    </row>
    <row r="151" spans="1:35" x14ac:dyDescent="0.45">
      <c r="A151" s="2">
        <v>45835</v>
      </c>
      <c r="B151">
        <v>28.46</v>
      </c>
      <c r="C151">
        <v>31.05</v>
      </c>
      <c r="D151">
        <v>17.489999999999998</v>
      </c>
      <c r="E151">
        <v>27.23</v>
      </c>
      <c r="F151">
        <v>31.69</v>
      </c>
      <c r="G151">
        <v>48.49</v>
      </c>
      <c r="H151">
        <v>24.07</v>
      </c>
      <c r="I151">
        <v>57.85</v>
      </c>
      <c r="J151">
        <v>60.32</v>
      </c>
      <c r="K151">
        <v>70.739999999999995</v>
      </c>
      <c r="L151">
        <v>28.14</v>
      </c>
      <c r="M151">
        <v>52.64</v>
      </c>
      <c r="N151">
        <v>58.17</v>
      </c>
      <c r="O151">
        <v>55.86</v>
      </c>
      <c r="P151">
        <v>55.18</v>
      </c>
      <c r="Q151">
        <v>18.57</v>
      </c>
      <c r="R151">
        <v>1082.42</v>
      </c>
      <c r="S151">
        <v>30.49</v>
      </c>
      <c r="T151">
        <v>18.57</v>
      </c>
      <c r="U151">
        <v>13.73</v>
      </c>
      <c r="V151">
        <v>38.26</v>
      </c>
      <c r="W151">
        <v>45.37</v>
      </c>
      <c r="X151">
        <v>26.09</v>
      </c>
      <c r="Y151">
        <v>45.58</v>
      </c>
      <c r="Z151">
        <v>42.3</v>
      </c>
      <c r="AA151">
        <v>75.28</v>
      </c>
      <c r="AB151">
        <v>54.63</v>
      </c>
      <c r="AC151">
        <v>39.72</v>
      </c>
      <c r="AD151">
        <v>548.09</v>
      </c>
      <c r="AE151">
        <v>614.91</v>
      </c>
      <c r="AF151">
        <v>42.61</v>
      </c>
      <c r="AG151">
        <v>54.36</v>
      </c>
      <c r="AH151">
        <v>46.02</v>
      </c>
      <c r="AI151">
        <v>47.86</v>
      </c>
    </row>
    <row r="152" spans="1:35" x14ac:dyDescent="0.45">
      <c r="A152" s="2">
        <v>45834</v>
      </c>
      <c r="B152">
        <v>28.79</v>
      </c>
      <c r="C152">
        <v>31.26</v>
      </c>
      <c r="D152">
        <v>17.510000000000002</v>
      </c>
      <c r="E152">
        <v>26.85</v>
      </c>
      <c r="F152">
        <v>31.65</v>
      </c>
      <c r="G152">
        <v>49.107799999999997</v>
      </c>
      <c r="H152">
        <v>24.07</v>
      </c>
      <c r="I152">
        <v>57.85</v>
      </c>
      <c r="J152">
        <v>60.31</v>
      </c>
      <c r="K152">
        <v>71.94</v>
      </c>
      <c r="L152">
        <v>28.13</v>
      </c>
      <c r="M152">
        <v>52.98</v>
      </c>
      <c r="N152">
        <v>59.31</v>
      </c>
      <c r="O152">
        <v>55.71</v>
      </c>
      <c r="P152">
        <v>55.54</v>
      </c>
      <c r="Q152">
        <v>18.53</v>
      </c>
      <c r="R152">
        <v>1106.73</v>
      </c>
      <c r="S152">
        <v>30.19</v>
      </c>
      <c r="T152">
        <v>18.5</v>
      </c>
      <c r="U152">
        <v>13.61</v>
      </c>
      <c r="V152">
        <v>38.159999999999997</v>
      </c>
      <c r="W152">
        <v>45.32</v>
      </c>
      <c r="X152">
        <v>26.43</v>
      </c>
      <c r="Y152">
        <v>45.92</v>
      </c>
      <c r="Z152">
        <v>41.64</v>
      </c>
      <c r="AA152">
        <v>73.97</v>
      </c>
      <c r="AB152">
        <v>54.26</v>
      </c>
      <c r="AC152">
        <v>39.69</v>
      </c>
      <c r="AD152">
        <v>546.22</v>
      </c>
      <c r="AE152">
        <v>611.87</v>
      </c>
      <c r="AF152">
        <v>42.14</v>
      </c>
      <c r="AG152">
        <v>53.97</v>
      </c>
      <c r="AH152">
        <v>45.33</v>
      </c>
      <c r="AI152">
        <v>47.5</v>
      </c>
    </row>
    <row r="153" spans="1:35" x14ac:dyDescent="0.45">
      <c r="A153" s="2">
        <v>45833</v>
      </c>
      <c r="B153">
        <v>28.805</v>
      </c>
      <c r="C153">
        <v>30.86</v>
      </c>
      <c r="D153">
        <v>17.18</v>
      </c>
      <c r="E153">
        <v>26.81</v>
      </c>
      <c r="F153">
        <v>30.57</v>
      </c>
      <c r="G153">
        <v>47.315899999999999</v>
      </c>
      <c r="H153">
        <v>23.82</v>
      </c>
      <c r="I153">
        <v>57.31</v>
      </c>
      <c r="J153">
        <v>59.68</v>
      </c>
      <c r="K153">
        <v>72.37</v>
      </c>
      <c r="L153">
        <v>27.57</v>
      </c>
      <c r="M153">
        <v>52.89</v>
      </c>
      <c r="N153">
        <v>58.42</v>
      </c>
      <c r="O153">
        <v>55</v>
      </c>
      <c r="P153">
        <v>55.53</v>
      </c>
      <c r="Q153">
        <v>18.36</v>
      </c>
      <c r="R153">
        <v>1107.69</v>
      </c>
      <c r="S153">
        <v>30.68</v>
      </c>
      <c r="T153">
        <v>18.22</v>
      </c>
      <c r="U153">
        <v>13.54</v>
      </c>
      <c r="V153">
        <v>37.82</v>
      </c>
      <c r="W153">
        <v>44.6</v>
      </c>
      <c r="X153">
        <v>26.03</v>
      </c>
      <c r="Y153">
        <v>45.32</v>
      </c>
      <c r="Z153">
        <v>41.15</v>
      </c>
      <c r="AA153">
        <v>72.44</v>
      </c>
      <c r="AB153">
        <v>53.75</v>
      </c>
      <c r="AC153">
        <v>39.28</v>
      </c>
      <c r="AD153">
        <v>541.16</v>
      </c>
      <c r="AE153">
        <v>607.12</v>
      </c>
      <c r="AF153">
        <v>41.89</v>
      </c>
      <c r="AG153">
        <v>53.8</v>
      </c>
      <c r="AH153">
        <v>44.67</v>
      </c>
      <c r="AI153">
        <v>47.17</v>
      </c>
    </row>
    <row r="154" spans="1:35" x14ac:dyDescent="0.45">
      <c r="A154" s="2">
        <v>45832</v>
      </c>
      <c r="B154">
        <v>28.55</v>
      </c>
      <c r="C154">
        <v>30.96</v>
      </c>
      <c r="D154">
        <v>17.38</v>
      </c>
      <c r="E154">
        <v>26.61</v>
      </c>
      <c r="F154">
        <v>30.56</v>
      </c>
      <c r="G154">
        <v>47.313000000000002</v>
      </c>
      <c r="H154">
        <v>23.77</v>
      </c>
      <c r="I154">
        <v>56.82</v>
      </c>
      <c r="J154">
        <v>59.21</v>
      </c>
      <c r="K154">
        <v>72.650000000000006</v>
      </c>
      <c r="L154">
        <v>27.98</v>
      </c>
      <c r="M154">
        <v>53.46</v>
      </c>
      <c r="N154">
        <v>57.86</v>
      </c>
      <c r="O154">
        <v>54.8</v>
      </c>
      <c r="P154">
        <v>55.57</v>
      </c>
      <c r="Q154">
        <v>18.25</v>
      </c>
      <c r="R154">
        <v>1100.01</v>
      </c>
      <c r="S154">
        <v>30.86</v>
      </c>
      <c r="T154">
        <v>18.3</v>
      </c>
      <c r="U154">
        <v>13.62</v>
      </c>
      <c r="V154">
        <v>37.72</v>
      </c>
      <c r="W154">
        <v>44.79</v>
      </c>
      <c r="X154">
        <v>26.05</v>
      </c>
      <c r="Y154">
        <v>45.62</v>
      </c>
      <c r="Z154">
        <v>41.39</v>
      </c>
      <c r="AA154">
        <v>72.739999999999995</v>
      </c>
      <c r="AB154">
        <v>54.32</v>
      </c>
      <c r="AC154">
        <v>39.409999999999997</v>
      </c>
      <c r="AD154">
        <v>539.78</v>
      </c>
      <c r="AE154">
        <v>606.78</v>
      </c>
      <c r="AF154">
        <v>42.04</v>
      </c>
      <c r="AG154">
        <v>54.16</v>
      </c>
      <c r="AH154">
        <v>44.95</v>
      </c>
      <c r="AI154">
        <v>47.2</v>
      </c>
    </row>
    <row r="155" spans="1:35" x14ac:dyDescent="0.45">
      <c r="A155" s="2">
        <v>45831</v>
      </c>
      <c r="B155">
        <v>28.03</v>
      </c>
      <c r="C155">
        <v>30.03</v>
      </c>
      <c r="D155">
        <v>16.89</v>
      </c>
      <c r="E155">
        <v>25.96</v>
      </c>
      <c r="F155">
        <v>29.51</v>
      </c>
      <c r="G155">
        <v>46.97</v>
      </c>
      <c r="H155">
        <v>23.53</v>
      </c>
      <c r="I155">
        <v>55.18</v>
      </c>
      <c r="J155">
        <v>57.94</v>
      </c>
      <c r="K155">
        <v>69.42</v>
      </c>
      <c r="L155">
        <v>27.66</v>
      </c>
      <c r="M155">
        <v>52.35</v>
      </c>
      <c r="N155">
        <v>56.55</v>
      </c>
      <c r="O155">
        <v>54.31</v>
      </c>
      <c r="P155">
        <v>54.13</v>
      </c>
      <c r="Q155">
        <v>17.96</v>
      </c>
      <c r="R155">
        <v>1062.78</v>
      </c>
      <c r="S155">
        <v>30.08</v>
      </c>
      <c r="T155">
        <v>17.66</v>
      </c>
      <c r="U155">
        <v>13.4</v>
      </c>
      <c r="V155">
        <v>37.1</v>
      </c>
      <c r="W155">
        <v>44.86</v>
      </c>
      <c r="X155">
        <v>25.79</v>
      </c>
      <c r="Y155">
        <v>45.33</v>
      </c>
      <c r="Z155">
        <v>40.75</v>
      </c>
      <c r="AA155">
        <v>72.02</v>
      </c>
      <c r="AB155">
        <v>53.46</v>
      </c>
      <c r="AC155">
        <v>39.17</v>
      </c>
      <c r="AD155">
        <v>531.65</v>
      </c>
      <c r="AE155">
        <v>600.15</v>
      </c>
      <c r="AF155">
        <v>41.57</v>
      </c>
      <c r="AG155">
        <v>53.03</v>
      </c>
      <c r="AH155">
        <v>43.96</v>
      </c>
      <c r="AI155">
        <v>46.45</v>
      </c>
    </row>
    <row r="156" spans="1:35" x14ac:dyDescent="0.45">
      <c r="A156" s="2">
        <v>45828</v>
      </c>
      <c r="B156">
        <v>27.925000000000001</v>
      </c>
      <c r="C156">
        <v>30.1</v>
      </c>
      <c r="D156">
        <v>17.18</v>
      </c>
      <c r="E156">
        <v>26.5</v>
      </c>
      <c r="F156">
        <v>29.72</v>
      </c>
      <c r="G156">
        <v>47.08</v>
      </c>
      <c r="H156">
        <v>23.41</v>
      </c>
      <c r="I156">
        <v>54.84</v>
      </c>
      <c r="J156">
        <v>58.11</v>
      </c>
      <c r="K156">
        <v>68.53</v>
      </c>
      <c r="L156">
        <v>27.67</v>
      </c>
      <c r="M156">
        <v>51.73</v>
      </c>
      <c r="N156">
        <v>54.71</v>
      </c>
      <c r="O156">
        <v>53.9</v>
      </c>
      <c r="P156">
        <v>53.5</v>
      </c>
      <c r="Q156">
        <v>17.72</v>
      </c>
      <c r="R156">
        <v>1067.6300000000001</v>
      </c>
      <c r="S156">
        <v>29.96</v>
      </c>
      <c r="T156">
        <v>17.260000000000002</v>
      </c>
      <c r="U156">
        <v>13.345000000000001</v>
      </c>
      <c r="V156">
        <v>36.56</v>
      </c>
      <c r="W156">
        <v>44.6</v>
      </c>
      <c r="X156">
        <v>25.55</v>
      </c>
      <c r="Y156">
        <v>45.1</v>
      </c>
      <c r="Z156">
        <v>40.340000000000003</v>
      </c>
      <c r="AA156">
        <v>71.760000000000005</v>
      </c>
      <c r="AB156">
        <v>52.68</v>
      </c>
      <c r="AC156">
        <v>38.9</v>
      </c>
      <c r="AD156">
        <v>526.83000000000004</v>
      </c>
      <c r="AE156">
        <v>594.28</v>
      </c>
      <c r="AF156">
        <v>41.29</v>
      </c>
      <c r="AG156">
        <v>51.892699999999998</v>
      </c>
      <c r="AH156">
        <v>43.81</v>
      </c>
      <c r="AI156">
        <v>46.36</v>
      </c>
    </row>
    <row r="157" spans="1:35" x14ac:dyDescent="0.45">
      <c r="A157" s="2">
        <v>45827</v>
      </c>
      <c r="B157">
        <v>27.96</v>
      </c>
      <c r="C157">
        <v>30.34</v>
      </c>
      <c r="D157">
        <v>17.87</v>
      </c>
      <c r="E157">
        <v>26.7</v>
      </c>
      <c r="F157">
        <v>29.36</v>
      </c>
      <c r="G157">
        <v>47.413699999999999</v>
      </c>
      <c r="H157">
        <v>23.59</v>
      </c>
      <c r="I157">
        <v>56.03</v>
      </c>
      <c r="J157">
        <v>58.97</v>
      </c>
      <c r="K157">
        <v>67.87</v>
      </c>
      <c r="L157">
        <v>28.08</v>
      </c>
      <c r="M157">
        <v>51.8</v>
      </c>
      <c r="N157">
        <v>54.58</v>
      </c>
      <c r="O157">
        <v>53.79</v>
      </c>
      <c r="P157">
        <v>53.93</v>
      </c>
      <c r="Q157">
        <v>17.82</v>
      </c>
      <c r="R157">
        <v>1068.73</v>
      </c>
      <c r="S157">
        <v>30.11</v>
      </c>
      <c r="T157">
        <v>16.989999999999998</v>
      </c>
      <c r="U157">
        <v>13.36</v>
      </c>
      <c r="V157">
        <v>36.36</v>
      </c>
      <c r="W157">
        <v>45.08</v>
      </c>
      <c r="X157">
        <v>25.86</v>
      </c>
      <c r="Y157">
        <v>45.32</v>
      </c>
      <c r="Z157">
        <v>40.28</v>
      </c>
      <c r="AA157">
        <v>73.05</v>
      </c>
      <c r="AB157">
        <v>53.25</v>
      </c>
      <c r="AC157">
        <v>39.22</v>
      </c>
      <c r="AD157">
        <v>528.99</v>
      </c>
      <c r="AE157">
        <v>597.44000000000005</v>
      </c>
      <c r="AF157">
        <v>41.67</v>
      </c>
      <c r="AG157">
        <v>52.247599999999998</v>
      </c>
      <c r="AH157">
        <v>43.98</v>
      </c>
      <c r="AI157">
        <v>46.46</v>
      </c>
    </row>
    <row r="158" spans="1:35" x14ac:dyDescent="0.45">
      <c r="A158" s="2">
        <v>45826</v>
      </c>
      <c r="B158">
        <v>27.96</v>
      </c>
      <c r="C158">
        <v>30.34</v>
      </c>
      <c r="D158">
        <v>17.87</v>
      </c>
      <c r="E158">
        <v>26.7</v>
      </c>
      <c r="F158">
        <v>29.36</v>
      </c>
      <c r="G158">
        <v>47.413699999999999</v>
      </c>
      <c r="H158">
        <v>23.59</v>
      </c>
      <c r="I158">
        <v>56.03</v>
      </c>
      <c r="J158">
        <v>58.97</v>
      </c>
      <c r="K158">
        <v>67.87</v>
      </c>
      <c r="L158">
        <v>28.08</v>
      </c>
      <c r="M158">
        <v>51.8</v>
      </c>
      <c r="N158">
        <v>54.58</v>
      </c>
      <c r="O158">
        <v>53.79</v>
      </c>
      <c r="P158">
        <v>53.93</v>
      </c>
      <c r="Q158">
        <v>17.82</v>
      </c>
      <c r="R158">
        <v>1094.58</v>
      </c>
      <c r="S158">
        <v>30.11</v>
      </c>
      <c r="T158">
        <v>16.989999999999998</v>
      </c>
      <c r="U158">
        <v>13.36</v>
      </c>
      <c r="V158">
        <v>36.36</v>
      </c>
      <c r="W158">
        <v>45.08</v>
      </c>
      <c r="X158">
        <v>25.86</v>
      </c>
      <c r="Y158">
        <v>45.32</v>
      </c>
      <c r="Z158">
        <v>40.28</v>
      </c>
      <c r="AA158">
        <v>73.05</v>
      </c>
      <c r="AB158">
        <v>53.25</v>
      </c>
      <c r="AC158">
        <v>39.22</v>
      </c>
      <c r="AD158">
        <v>528.99</v>
      </c>
      <c r="AE158">
        <v>597.44000000000005</v>
      </c>
      <c r="AF158">
        <v>41.67</v>
      </c>
      <c r="AG158">
        <v>52.247599999999998</v>
      </c>
      <c r="AH158">
        <v>43.98</v>
      </c>
      <c r="AI158">
        <v>46.46</v>
      </c>
    </row>
    <row r="159" spans="1:35" x14ac:dyDescent="0.45">
      <c r="A159" s="2">
        <v>45825</v>
      </c>
      <c r="B159">
        <v>28</v>
      </c>
      <c r="C159">
        <v>30.45</v>
      </c>
      <c r="D159">
        <v>18.02</v>
      </c>
      <c r="E159">
        <v>26.98</v>
      </c>
      <c r="F159">
        <v>29.39</v>
      </c>
      <c r="G159">
        <v>47.62</v>
      </c>
      <c r="H159">
        <v>23.53</v>
      </c>
      <c r="I159">
        <v>55.65</v>
      </c>
      <c r="J159">
        <v>58.91</v>
      </c>
      <c r="K159">
        <v>66.63</v>
      </c>
      <c r="L159">
        <v>28.11</v>
      </c>
      <c r="M159">
        <v>51.56</v>
      </c>
      <c r="N159">
        <v>54.88</v>
      </c>
      <c r="O159">
        <v>53.83</v>
      </c>
      <c r="P159">
        <v>54.44</v>
      </c>
      <c r="Q159">
        <v>17.895</v>
      </c>
      <c r="R159">
        <v>1113.58</v>
      </c>
      <c r="S159">
        <v>30.21</v>
      </c>
      <c r="T159">
        <v>17.239999999999998</v>
      </c>
      <c r="U159">
        <v>13.31</v>
      </c>
      <c r="V159">
        <v>36.83</v>
      </c>
      <c r="W159">
        <v>45.09</v>
      </c>
      <c r="X159">
        <v>25.77</v>
      </c>
      <c r="Y159">
        <v>45.45</v>
      </c>
      <c r="Z159">
        <v>40.4</v>
      </c>
      <c r="AA159">
        <v>72.28</v>
      </c>
      <c r="AB159">
        <v>53.42</v>
      </c>
      <c r="AC159">
        <v>39.200000000000003</v>
      </c>
      <c r="AD159">
        <v>529.08000000000004</v>
      </c>
      <c r="AE159">
        <v>597.53</v>
      </c>
      <c r="AF159">
        <v>41.74</v>
      </c>
      <c r="AG159">
        <v>52.33</v>
      </c>
      <c r="AH159">
        <v>44.43</v>
      </c>
      <c r="AI159">
        <v>46.26</v>
      </c>
    </row>
    <row r="160" spans="1:35" x14ac:dyDescent="0.45">
      <c r="A160" s="2">
        <v>45824</v>
      </c>
      <c r="B160">
        <v>28.12</v>
      </c>
      <c r="C160">
        <v>31.11</v>
      </c>
      <c r="D160">
        <v>18.010000000000002</v>
      </c>
      <c r="E160">
        <v>27.35</v>
      </c>
      <c r="F160">
        <v>29.38</v>
      </c>
      <c r="G160">
        <v>47.7117</v>
      </c>
      <c r="H160">
        <v>23.93</v>
      </c>
      <c r="I160">
        <v>56.46</v>
      </c>
      <c r="J160">
        <v>59.82</v>
      </c>
      <c r="K160">
        <v>68.19</v>
      </c>
      <c r="L160">
        <v>28.31</v>
      </c>
      <c r="M160">
        <v>53.04</v>
      </c>
      <c r="N160">
        <v>55.79</v>
      </c>
      <c r="O160">
        <v>54.56</v>
      </c>
      <c r="P160">
        <v>55.01</v>
      </c>
      <c r="Q160">
        <v>18.045000000000002</v>
      </c>
      <c r="R160">
        <v>1114.49</v>
      </c>
      <c r="S160">
        <v>30.63</v>
      </c>
      <c r="T160">
        <v>17.559999999999999</v>
      </c>
      <c r="U160">
        <v>13.26</v>
      </c>
      <c r="V160">
        <v>37.479999999999997</v>
      </c>
      <c r="W160">
        <v>45.97</v>
      </c>
      <c r="X160">
        <v>26.09</v>
      </c>
      <c r="Y160">
        <v>45.76</v>
      </c>
      <c r="Z160">
        <v>41.13</v>
      </c>
      <c r="AA160">
        <v>73.150000000000006</v>
      </c>
      <c r="AB160">
        <v>53.77</v>
      </c>
      <c r="AC160">
        <v>39.619999999999997</v>
      </c>
      <c r="AD160">
        <v>534.29</v>
      </c>
      <c r="AE160">
        <v>602.67999999999995</v>
      </c>
      <c r="AF160">
        <v>42.21</v>
      </c>
      <c r="AG160">
        <v>53.08</v>
      </c>
      <c r="AH160">
        <v>44.91</v>
      </c>
      <c r="AI160">
        <v>47.21</v>
      </c>
    </row>
    <row r="161" spans="1:35" x14ac:dyDescent="0.45">
      <c r="A161" s="2">
        <v>45821</v>
      </c>
      <c r="B161">
        <v>28.15</v>
      </c>
      <c r="C161">
        <v>31.83</v>
      </c>
      <c r="D161">
        <v>18.62</v>
      </c>
      <c r="E161">
        <v>27.66</v>
      </c>
      <c r="F161">
        <v>29.86</v>
      </c>
      <c r="G161">
        <v>48.2913</v>
      </c>
      <c r="H161">
        <v>24.26</v>
      </c>
      <c r="I161">
        <v>55.85</v>
      </c>
      <c r="J161">
        <v>61.06</v>
      </c>
      <c r="K161">
        <v>66.42</v>
      </c>
      <c r="L161">
        <v>28.14</v>
      </c>
      <c r="M161">
        <v>53.3</v>
      </c>
      <c r="N161">
        <v>56</v>
      </c>
      <c r="O161">
        <v>54.04</v>
      </c>
      <c r="P161">
        <v>54.77</v>
      </c>
      <c r="Q161">
        <v>18.2</v>
      </c>
      <c r="R161">
        <v>1122.7</v>
      </c>
      <c r="S161">
        <v>30.75</v>
      </c>
      <c r="T161">
        <v>17.88</v>
      </c>
      <c r="U161">
        <v>13.02</v>
      </c>
      <c r="V161">
        <v>37.130000000000003</v>
      </c>
      <c r="W161">
        <v>45.19</v>
      </c>
      <c r="X161">
        <v>26.32</v>
      </c>
      <c r="Y161">
        <v>45.88</v>
      </c>
      <c r="Z161">
        <v>41.51</v>
      </c>
      <c r="AA161">
        <v>73.599999999999994</v>
      </c>
      <c r="AB161">
        <v>55.22</v>
      </c>
      <c r="AC161">
        <v>40.42</v>
      </c>
      <c r="AD161">
        <v>526.96</v>
      </c>
      <c r="AE161">
        <v>597</v>
      </c>
      <c r="AF161">
        <v>42.83</v>
      </c>
      <c r="AG161">
        <v>53.54</v>
      </c>
      <c r="AH161">
        <v>45.49</v>
      </c>
      <c r="AI161">
        <v>47.43</v>
      </c>
    </row>
    <row r="162" spans="1:35" x14ac:dyDescent="0.45">
      <c r="A162" s="2">
        <v>45820</v>
      </c>
      <c r="B162">
        <v>28.42</v>
      </c>
      <c r="C162">
        <v>32.51</v>
      </c>
      <c r="D162">
        <v>18.899999999999999</v>
      </c>
      <c r="E162">
        <v>28.08</v>
      </c>
      <c r="F162">
        <v>30.63</v>
      </c>
      <c r="G162">
        <v>48.584800000000001</v>
      </c>
      <c r="H162">
        <v>24.54</v>
      </c>
      <c r="I162">
        <v>56.74</v>
      </c>
      <c r="J162">
        <v>61.57</v>
      </c>
      <c r="K162">
        <v>67.69</v>
      </c>
      <c r="L162">
        <v>28.15</v>
      </c>
      <c r="M162">
        <v>54.77</v>
      </c>
      <c r="N162">
        <v>56.89</v>
      </c>
      <c r="O162">
        <v>54.8</v>
      </c>
      <c r="P162">
        <v>55.79</v>
      </c>
      <c r="Q162">
        <v>18.899999999999999</v>
      </c>
      <c r="R162">
        <v>1128.6199999999999</v>
      </c>
      <c r="S162">
        <v>31.57</v>
      </c>
      <c r="T162">
        <v>18.395</v>
      </c>
      <c r="U162">
        <v>13.36</v>
      </c>
      <c r="V162">
        <v>38.07</v>
      </c>
      <c r="W162">
        <v>46.07</v>
      </c>
      <c r="X162">
        <v>26.64</v>
      </c>
      <c r="Y162">
        <v>46</v>
      </c>
      <c r="Z162">
        <v>42.22</v>
      </c>
      <c r="AA162">
        <v>74.209999999999994</v>
      </c>
      <c r="AB162">
        <v>56.27</v>
      </c>
      <c r="AC162">
        <v>40.78</v>
      </c>
      <c r="AD162">
        <v>533.66</v>
      </c>
      <c r="AE162">
        <v>603.75</v>
      </c>
      <c r="AF162">
        <v>43.57</v>
      </c>
      <c r="AG162">
        <v>54.73</v>
      </c>
      <c r="AH162">
        <v>46.02</v>
      </c>
      <c r="AI162">
        <v>48.25</v>
      </c>
    </row>
    <row r="163" spans="1:35" x14ac:dyDescent="0.45">
      <c r="A163" s="2">
        <v>45819</v>
      </c>
      <c r="B163">
        <v>28.29</v>
      </c>
      <c r="C163">
        <v>32.54</v>
      </c>
      <c r="D163">
        <v>18.91</v>
      </c>
      <c r="E163">
        <v>27.93</v>
      </c>
      <c r="F163">
        <v>30.62</v>
      </c>
      <c r="G163">
        <v>48.44</v>
      </c>
      <c r="H163">
        <v>24.45</v>
      </c>
      <c r="I163">
        <v>55.83</v>
      </c>
      <c r="J163">
        <v>61.56</v>
      </c>
      <c r="K163">
        <v>66.989999999999995</v>
      </c>
      <c r="L163">
        <v>28.22</v>
      </c>
      <c r="M163">
        <v>54.08</v>
      </c>
      <c r="N163">
        <v>56.52</v>
      </c>
      <c r="O163">
        <v>55.33</v>
      </c>
      <c r="P163">
        <v>55.86</v>
      </c>
      <c r="Q163">
        <v>18.96</v>
      </c>
      <c r="R163">
        <v>1141.58</v>
      </c>
      <c r="S163">
        <v>32.11</v>
      </c>
      <c r="T163">
        <v>18.72</v>
      </c>
      <c r="U163">
        <v>13.32</v>
      </c>
      <c r="V163">
        <v>38.46</v>
      </c>
      <c r="W163">
        <v>45.76</v>
      </c>
      <c r="X163">
        <v>26.6</v>
      </c>
      <c r="Y163">
        <v>45.66</v>
      </c>
      <c r="Z163">
        <v>42.11</v>
      </c>
      <c r="AA163">
        <v>73.67</v>
      </c>
      <c r="AB163">
        <v>55.43</v>
      </c>
      <c r="AC163">
        <v>40.409999999999997</v>
      </c>
      <c r="AD163">
        <v>532.41</v>
      </c>
      <c r="AE163">
        <v>601.36</v>
      </c>
      <c r="AF163">
        <v>43.11</v>
      </c>
      <c r="AG163">
        <v>54.37</v>
      </c>
      <c r="AH163">
        <v>45.9</v>
      </c>
      <c r="AI163">
        <v>47.93</v>
      </c>
    </row>
    <row r="164" spans="1:35" x14ac:dyDescent="0.45">
      <c r="A164" s="2">
        <v>45818</v>
      </c>
      <c r="B164">
        <v>28.1</v>
      </c>
      <c r="C164">
        <v>31.82</v>
      </c>
      <c r="D164">
        <v>18.84</v>
      </c>
      <c r="E164">
        <v>27.82</v>
      </c>
      <c r="F164">
        <v>30.83</v>
      </c>
      <c r="G164">
        <v>48.231099999999998</v>
      </c>
      <c r="H164">
        <v>24.28</v>
      </c>
      <c r="I164">
        <v>55.8</v>
      </c>
      <c r="J164">
        <v>61.36</v>
      </c>
      <c r="K164">
        <v>66.16</v>
      </c>
      <c r="L164">
        <v>27.72</v>
      </c>
      <c r="M164">
        <v>54.66</v>
      </c>
      <c r="N164">
        <v>56.48</v>
      </c>
      <c r="O164">
        <v>55.26</v>
      </c>
      <c r="P164">
        <v>55.69</v>
      </c>
      <c r="Q164">
        <v>18.920000000000002</v>
      </c>
      <c r="R164">
        <v>1139.1600000000001</v>
      </c>
      <c r="S164">
        <v>32.17</v>
      </c>
      <c r="T164">
        <v>18.78</v>
      </c>
      <c r="U164">
        <v>13.4</v>
      </c>
      <c r="V164">
        <v>38.72</v>
      </c>
      <c r="W164">
        <v>45.65</v>
      </c>
      <c r="X164">
        <v>26.71</v>
      </c>
      <c r="Y164">
        <v>45.43</v>
      </c>
      <c r="Z164">
        <v>42.12</v>
      </c>
      <c r="AA164">
        <v>73.88</v>
      </c>
      <c r="AB164">
        <v>55.67</v>
      </c>
      <c r="AC164">
        <v>40.31</v>
      </c>
      <c r="AD164">
        <v>534.21</v>
      </c>
      <c r="AE164">
        <v>603.08000000000004</v>
      </c>
      <c r="AF164">
        <v>43.21</v>
      </c>
      <c r="AG164">
        <v>54.57</v>
      </c>
      <c r="AH164">
        <v>45.94</v>
      </c>
      <c r="AI164">
        <v>47.93</v>
      </c>
    </row>
    <row r="165" spans="1:35" x14ac:dyDescent="0.45">
      <c r="A165" s="2">
        <v>45817</v>
      </c>
      <c r="B165">
        <v>28.3</v>
      </c>
      <c r="C165">
        <v>31.75</v>
      </c>
      <c r="D165">
        <v>18.59</v>
      </c>
      <c r="E165">
        <v>28.12</v>
      </c>
      <c r="F165">
        <v>30</v>
      </c>
      <c r="G165">
        <v>48.53</v>
      </c>
      <c r="H165">
        <v>24.32</v>
      </c>
      <c r="I165">
        <v>54.71</v>
      </c>
      <c r="J165">
        <v>61.09</v>
      </c>
      <c r="K165">
        <v>66.48</v>
      </c>
      <c r="L165">
        <v>27.62</v>
      </c>
      <c r="M165">
        <v>54.44</v>
      </c>
      <c r="N165">
        <v>55.85</v>
      </c>
      <c r="O165">
        <v>55.24</v>
      </c>
      <c r="P165">
        <v>55.52</v>
      </c>
      <c r="Q165">
        <v>18.829999999999998</v>
      </c>
      <c r="R165">
        <v>1135.24</v>
      </c>
      <c r="S165">
        <v>31.66</v>
      </c>
      <c r="T165">
        <v>18.71</v>
      </c>
      <c r="U165">
        <v>13.26</v>
      </c>
      <c r="V165">
        <v>38.57</v>
      </c>
      <c r="W165">
        <v>45.32</v>
      </c>
      <c r="X165">
        <v>26.44</v>
      </c>
      <c r="Y165">
        <v>45.3</v>
      </c>
      <c r="Z165">
        <v>42.31</v>
      </c>
      <c r="AA165">
        <v>73.930000000000007</v>
      </c>
      <c r="AB165">
        <v>55.62</v>
      </c>
      <c r="AC165">
        <v>40.340000000000003</v>
      </c>
      <c r="AD165">
        <v>530.70000000000005</v>
      </c>
      <c r="AE165">
        <v>599.67999999999995</v>
      </c>
      <c r="AF165">
        <v>43.08</v>
      </c>
      <c r="AG165">
        <v>54.02</v>
      </c>
      <c r="AH165">
        <v>45.91</v>
      </c>
      <c r="AI165">
        <v>48.18</v>
      </c>
    </row>
    <row r="166" spans="1:35" x14ac:dyDescent="0.45">
      <c r="A166" s="2">
        <v>45814</v>
      </c>
      <c r="B166">
        <v>28.22</v>
      </c>
      <c r="C166">
        <v>31.84</v>
      </c>
      <c r="D166">
        <v>18.510000000000002</v>
      </c>
      <c r="E166">
        <v>27.95</v>
      </c>
      <c r="F166">
        <v>29.46</v>
      </c>
      <c r="G166">
        <v>48.5916</v>
      </c>
      <c r="H166">
        <v>24.25</v>
      </c>
      <c r="I166">
        <v>54.11</v>
      </c>
      <c r="J166">
        <v>61.24</v>
      </c>
      <c r="K166">
        <v>65.569999999999993</v>
      </c>
      <c r="L166">
        <v>27.72</v>
      </c>
      <c r="M166">
        <v>53.94</v>
      </c>
      <c r="N166">
        <v>55.46</v>
      </c>
      <c r="O166">
        <v>54.91</v>
      </c>
      <c r="P166">
        <v>54.92</v>
      </c>
      <c r="Q166">
        <v>18.829999999999998</v>
      </c>
      <c r="R166">
        <v>1136.43</v>
      </c>
      <c r="S166">
        <v>31.61</v>
      </c>
      <c r="T166">
        <v>18.670000000000002</v>
      </c>
      <c r="U166">
        <v>13.64</v>
      </c>
      <c r="V166">
        <v>38.51</v>
      </c>
      <c r="W166">
        <v>45.31</v>
      </c>
      <c r="X166">
        <v>26.37</v>
      </c>
      <c r="Y166">
        <v>45.39</v>
      </c>
      <c r="Z166">
        <v>42.52</v>
      </c>
      <c r="AA166">
        <v>73.819999999999993</v>
      </c>
      <c r="AB166">
        <v>55.64</v>
      </c>
      <c r="AC166">
        <v>40.35</v>
      </c>
      <c r="AD166">
        <v>529.91999999999996</v>
      </c>
      <c r="AE166">
        <v>599.14</v>
      </c>
      <c r="AF166">
        <v>43.04</v>
      </c>
      <c r="AG166">
        <v>53.63</v>
      </c>
      <c r="AH166">
        <v>46.14</v>
      </c>
      <c r="AI166">
        <v>48.3</v>
      </c>
    </row>
    <row r="167" spans="1:35" x14ac:dyDescent="0.45">
      <c r="A167" s="2">
        <v>45813</v>
      </c>
      <c r="B167">
        <v>28.29</v>
      </c>
      <c r="C167">
        <v>32.17</v>
      </c>
      <c r="D167">
        <v>18.559999999999999</v>
      </c>
      <c r="E167">
        <v>27.96</v>
      </c>
      <c r="F167">
        <v>29.75</v>
      </c>
      <c r="G167">
        <v>48.796100000000003</v>
      </c>
      <c r="H167">
        <v>24.31</v>
      </c>
      <c r="I167">
        <v>53.74</v>
      </c>
      <c r="J167">
        <v>60.72</v>
      </c>
      <c r="K167">
        <v>65.36</v>
      </c>
      <c r="L167">
        <v>27.6</v>
      </c>
      <c r="M167">
        <v>54.03</v>
      </c>
      <c r="N167">
        <v>55.77</v>
      </c>
      <c r="O167">
        <v>54.18</v>
      </c>
      <c r="P167">
        <v>54.99</v>
      </c>
      <c r="Q167">
        <v>18.78</v>
      </c>
      <c r="R167">
        <v>1140.6300000000001</v>
      </c>
      <c r="S167">
        <v>31.44</v>
      </c>
      <c r="T167">
        <v>18.61</v>
      </c>
      <c r="U167">
        <v>13.74</v>
      </c>
      <c r="V167">
        <v>38.479999999999997</v>
      </c>
      <c r="W167">
        <v>45.53</v>
      </c>
      <c r="X167">
        <v>26.36</v>
      </c>
      <c r="Y167">
        <v>45.32</v>
      </c>
      <c r="Z167">
        <v>42.57</v>
      </c>
      <c r="AA167">
        <v>73.39</v>
      </c>
      <c r="AB167">
        <v>55.47</v>
      </c>
      <c r="AC167">
        <v>40.22</v>
      </c>
      <c r="AD167">
        <v>524.79</v>
      </c>
      <c r="AE167">
        <v>593.04999999999995</v>
      </c>
      <c r="AF167">
        <v>43.04</v>
      </c>
      <c r="AG167">
        <v>53.36</v>
      </c>
      <c r="AH167">
        <v>46.17</v>
      </c>
      <c r="AI167">
        <v>47.98</v>
      </c>
    </row>
    <row r="168" spans="1:35" x14ac:dyDescent="0.45">
      <c r="A168" s="2">
        <v>45812</v>
      </c>
      <c r="B168">
        <v>28.18</v>
      </c>
      <c r="C168">
        <v>31.88</v>
      </c>
      <c r="D168">
        <v>18.45</v>
      </c>
      <c r="E168">
        <v>27.66</v>
      </c>
      <c r="F168">
        <v>30.22</v>
      </c>
      <c r="G168">
        <v>48.064999999999998</v>
      </c>
      <c r="H168">
        <v>24.14</v>
      </c>
      <c r="I168">
        <v>53.96</v>
      </c>
      <c r="J168">
        <v>60.25</v>
      </c>
      <c r="K168">
        <v>63.98</v>
      </c>
      <c r="L168">
        <v>27.44</v>
      </c>
      <c r="M168">
        <v>53.46</v>
      </c>
      <c r="N168">
        <v>55.24</v>
      </c>
      <c r="O168">
        <v>53.92</v>
      </c>
      <c r="P168">
        <v>54.79</v>
      </c>
      <c r="Q168">
        <v>18.91</v>
      </c>
      <c r="R168">
        <v>1132.02</v>
      </c>
      <c r="S168">
        <v>31.36</v>
      </c>
      <c r="T168">
        <v>18.59</v>
      </c>
      <c r="U168">
        <v>13.86</v>
      </c>
      <c r="V168">
        <v>38.380000000000003</v>
      </c>
      <c r="W168">
        <v>45.25</v>
      </c>
      <c r="X168">
        <v>26.33</v>
      </c>
      <c r="Y168">
        <v>45.25</v>
      </c>
      <c r="Z168">
        <v>42.46</v>
      </c>
      <c r="AA168">
        <v>74.08</v>
      </c>
      <c r="AB168">
        <v>55.56</v>
      </c>
      <c r="AC168">
        <v>40.19</v>
      </c>
      <c r="AD168">
        <v>528.77</v>
      </c>
      <c r="AE168">
        <v>595.92999999999995</v>
      </c>
      <c r="AF168">
        <v>43.08</v>
      </c>
      <c r="AG168">
        <v>53.23</v>
      </c>
      <c r="AH168">
        <v>45.93</v>
      </c>
      <c r="AI168">
        <v>47.74</v>
      </c>
    </row>
    <row r="169" spans="1:35" x14ac:dyDescent="0.45">
      <c r="A169" s="2">
        <v>45811</v>
      </c>
      <c r="B169">
        <v>27.96</v>
      </c>
      <c r="C169">
        <v>31.58</v>
      </c>
      <c r="D169">
        <v>18.420000000000002</v>
      </c>
      <c r="E169">
        <v>27.78</v>
      </c>
      <c r="F169">
        <v>29.92</v>
      </c>
      <c r="G169">
        <v>47.95</v>
      </c>
      <c r="H169">
        <v>24.09</v>
      </c>
      <c r="I169">
        <v>53.15</v>
      </c>
      <c r="J169">
        <v>60.39</v>
      </c>
      <c r="K169">
        <v>61.89</v>
      </c>
      <c r="L169">
        <v>27.58</v>
      </c>
      <c r="M169">
        <v>53.13</v>
      </c>
      <c r="N169">
        <v>55.29</v>
      </c>
      <c r="O169">
        <v>53.96</v>
      </c>
      <c r="P169">
        <v>53.76</v>
      </c>
      <c r="Q169">
        <v>19.079999999999998</v>
      </c>
      <c r="R169">
        <v>1149.18</v>
      </c>
      <c r="S169">
        <v>30.84</v>
      </c>
      <c r="T169">
        <v>18.59</v>
      </c>
      <c r="U169">
        <v>13.96</v>
      </c>
      <c r="V169">
        <v>38</v>
      </c>
      <c r="W169">
        <v>44.61</v>
      </c>
      <c r="X169">
        <v>26.07</v>
      </c>
      <c r="Y169">
        <v>45.34</v>
      </c>
      <c r="Z169">
        <v>42.12</v>
      </c>
      <c r="AA169">
        <v>74.13</v>
      </c>
      <c r="AB169">
        <v>55.03</v>
      </c>
      <c r="AC169">
        <v>40.06</v>
      </c>
      <c r="AD169">
        <v>527.29999999999995</v>
      </c>
      <c r="AE169">
        <v>596.09</v>
      </c>
      <c r="AF169">
        <v>42.84</v>
      </c>
      <c r="AG169">
        <v>52.95</v>
      </c>
      <c r="AH169">
        <v>45.2</v>
      </c>
      <c r="AI169">
        <v>47.87</v>
      </c>
    </row>
    <row r="170" spans="1:35" x14ac:dyDescent="0.45">
      <c r="A170" s="2">
        <v>45810</v>
      </c>
      <c r="B170">
        <v>27.72</v>
      </c>
      <c r="C170">
        <v>31.53</v>
      </c>
      <c r="D170">
        <v>18.559999999999999</v>
      </c>
      <c r="E170">
        <v>27.6</v>
      </c>
      <c r="F170">
        <v>30.49</v>
      </c>
      <c r="G170">
        <v>47.72</v>
      </c>
      <c r="H170">
        <v>24.15</v>
      </c>
      <c r="I170">
        <v>52.84</v>
      </c>
      <c r="J170">
        <v>60.64</v>
      </c>
      <c r="K170">
        <v>61.74</v>
      </c>
      <c r="L170">
        <v>27.27</v>
      </c>
      <c r="M170">
        <v>53.27</v>
      </c>
      <c r="N170">
        <v>55.7</v>
      </c>
      <c r="O170">
        <v>54.54</v>
      </c>
      <c r="P170">
        <v>53.26</v>
      </c>
      <c r="Q170">
        <v>18.8</v>
      </c>
      <c r="R170">
        <v>1149.18</v>
      </c>
      <c r="S170">
        <v>30.05</v>
      </c>
      <c r="T170">
        <v>18.45</v>
      </c>
      <c r="U170">
        <v>13.81</v>
      </c>
      <c r="V170">
        <v>38.159999999999997</v>
      </c>
      <c r="W170">
        <v>45.04</v>
      </c>
      <c r="X170">
        <v>26.15</v>
      </c>
      <c r="Y170">
        <v>45.39</v>
      </c>
      <c r="Z170">
        <v>42.34</v>
      </c>
      <c r="AA170">
        <v>75.040000000000006</v>
      </c>
      <c r="AB170">
        <v>55.54</v>
      </c>
      <c r="AC170">
        <v>40.29</v>
      </c>
      <c r="AD170">
        <v>523.21</v>
      </c>
      <c r="AE170">
        <v>592.71</v>
      </c>
      <c r="AF170">
        <v>43.14</v>
      </c>
      <c r="AG170">
        <v>53.285800000000002</v>
      </c>
      <c r="AH170">
        <v>45.62</v>
      </c>
      <c r="AI170">
        <v>48.32</v>
      </c>
    </row>
    <row r="171" spans="1:35" x14ac:dyDescent="0.45">
      <c r="A171" s="2">
        <v>45807</v>
      </c>
      <c r="B171">
        <v>27.67</v>
      </c>
      <c r="C171">
        <v>31.5</v>
      </c>
      <c r="D171">
        <v>18.88</v>
      </c>
      <c r="E171">
        <v>27.24</v>
      </c>
      <c r="F171">
        <v>30.37</v>
      </c>
      <c r="G171">
        <v>46.64</v>
      </c>
      <c r="H171">
        <v>23.96</v>
      </c>
      <c r="I171">
        <v>52.38</v>
      </c>
      <c r="J171">
        <v>60.17</v>
      </c>
      <c r="K171">
        <v>60.63</v>
      </c>
      <c r="L171">
        <v>27.21</v>
      </c>
      <c r="M171">
        <v>52.21</v>
      </c>
      <c r="N171">
        <v>55</v>
      </c>
      <c r="O171">
        <v>54.31</v>
      </c>
      <c r="P171">
        <v>52.82</v>
      </c>
      <c r="Q171">
        <v>18.75</v>
      </c>
      <c r="R171">
        <v>1149.18</v>
      </c>
      <c r="S171">
        <v>29.99</v>
      </c>
      <c r="T171">
        <v>18.57</v>
      </c>
      <c r="U171">
        <v>13.59</v>
      </c>
      <c r="V171">
        <v>38.33</v>
      </c>
      <c r="W171">
        <v>44.39</v>
      </c>
      <c r="X171">
        <v>25.81</v>
      </c>
      <c r="Y171">
        <v>44.96</v>
      </c>
      <c r="Z171">
        <v>41.97</v>
      </c>
      <c r="AA171">
        <v>74.12</v>
      </c>
      <c r="AB171">
        <v>55.18</v>
      </c>
      <c r="AC171">
        <v>39.92</v>
      </c>
      <c r="AD171">
        <v>519.11</v>
      </c>
      <c r="AE171">
        <v>589.39</v>
      </c>
      <c r="AF171">
        <v>42.49</v>
      </c>
      <c r="AG171">
        <v>52.85</v>
      </c>
      <c r="AH171">
        <v>45.45</v>
      </c>
      <c r="AI171">
        <v>47.77</v>
      </c>
    </row>
    <row r="172" spans="1:35" x14ac:dyDescent="0.45">
      <c r="A172" s="2">
        <v>45806</v>
      </c>
      <c r="B172">
        <v>28.02</v>
      </c>
      <c r="C172">
        <v>32.08</v>
      </c>
      <c r="D172">
        <v>18.95</v>
      </c>
      <c r="E172">
        <v>27.84</v>
      </c>
      <c r="F172">
        <v>30.72</v>
      </c>
      <c r="G172">
        <v>46.613599999999998</v>
      </c>
      <c r="H172">
        <v>24.3</v>
      </c>
      <c r="I172">
        <v>52.87</v>
      </c>
      <c r="J172">
        <v>61.23</v>
      </c>
      <c r="K172">
        <v>61.8</v>
      </c>
      <c r="L172">
        <v>27.7</v>
      </c>
      <c r="M172">
        <v>53.05</v>
      </c>
      <c r="N172">
        <v>55.71</v>
      </c>
      <c r="O172">
        <v>54.59</v>
      </c>
      <c r="P172">
        <v>53.86</v>
      </c>
      <c r="Q172">
        <v>18.829999999999998</v>
      </c>
      <c r="R172">
        <v>1164.01</v>
      </c>
      <c r="S172">
        <v>30.54</v>
      </c>
      <c r="T172">
        <v>18.59</v>
      </c>
      <c r="U172">
        <v>13.51</v>
      </c>
      <c r="V172">
        <v>38.39</v>
      </c>
      <c r="W172">
        <v>43.97</v>
      </c>
      <c r="X172">
        <v>25.64</v>
      </c>
      <c r="Y172">
        <v>44.78</v>
      </c>
      <c r="Z172">
        <v>41.85</v>
      </c>
      <c r="AA172">
        <v>74.03</v>
      </c>
      <c r="AB172">
        <v>54.9</v>
      </c>
      <c r="AC172">
        <v>39.79</v>
      </c>
      <c r="AD172">
        <v>519.92999999999995</v>
      </c>
      <c r="AE172">
        <v>590.04999999999995</v>
      </c>
      <c r="AF172">
        <v>42.76</v>
      </c>
      <c r="AG172">
        <v>52.94</v>
      </c>
      <c r="AH172">
        <v>45.36</v>
      </c>
      <c r="AI172">
        <v>47.58</v>
      </c>
    </row>
    <row r="173" spans="1:35" x14ac:dyDescent="0.45">
      <c r="A173" s="2">
        <v>45805</v>
      </c>
      <c r="B173">
        <v>27.83</v>
      </c>
      <c r="C173">
        <v>32.17</v>
      </c>
      <c r="D173">
        <v>18.91</v>
      </c>
      <c r="E173">
        <v>27.93</v>
      </c>
      <c r="F173">
        <v>31.25</v>
      </c>
      <c r="G173">
        <v>46.5428</v>
      </c>
      <c r="H173">
        <v>24.47</v>
      </c>
      <c r="I173">
        <v>53.26</v>
      </c>
      <c r="J173">
        <v>60.9</v>
      </c>
      <c r="K173">
        <v>60.75</v>
      </c>
      <c r="L173">
        <v>27.69</v>
      </c>
      <c r="M173">
        <v>52.03</v>
      </c>
      <c r="N173">
        <v>55.85</v>
      </c>
      <c r="O173">
        <v>54.284999999999997</v>
      </c>
      <c r="P173">
        <v>53.33</v>
      </c>
      <c r="Q173">
        <v>18.940000000000001</v>
      </c>
      <c r="R173">
        <v>1160.74</v>
      </c>
      <c r="S173">
        <v>30.56</v>
      </c>
      <c r="T173">
        <v>18.66</v>
      </c>
      <c r="U173">
        <v>13.71</v>
      </c>
      <c r="V173">
        <v>38.6</v>
      </c>
      <c r="W173">
        <v>44.23</v>
      </c>
      <c r="X173">
        <v>25.56</v>
      </c>
      <c r="Y173">
        <v>44.76</v>
      </c>
      <c r="Z173">
        <v>41.77</v>
      </c>
      <c r="AA173">
        <v>73.61</v>
      </c>
      <c r="AB173">
        <v>54.62</v>
      </c>
      <c r="AC173">
        <v>39.67</v>
      </c>
      <c r="AD173">
        <v>518.91</v>
      </c>
      <c r="AE173">
        <v>587.73</v>
      </c>
      <c r="AF173">
        <v>42.47</v>
      </c>
      <c r="AG173">
        <v>52.59</v>
      </c>
      <c r="AH173">
        <v>45.24</v>
      </c>
      <c r="AI173">
        <v>47.55</v>
      </c>
    </row>
    <row r="174" spans="1:35" x14ac:dyDescent="0.45">
      <c r="A174" s="2">
        <v>45804</v>
      </c>
      <c r="B174">
        <v>27.9</v>
      </c>
      <c r="C174">
        <v>32.75</v>
      </c>
      <c r="D174">
        <v>19.04</v>
      </c>
      <c r="E174">
        <v>27.78</v>
      </c>
      <c r="F174">
        <v>30.82</v>
      </c>
      <c r="G174">
        <v>46.83</v>
      </c>
      <c r="H174">
        <v>24.52</v>
      </c>
      <c r="I174">
        <v>53.58</v>
      </c>
      <c r="J174">
        <v>61.13</v>
      </c>
      <c r="K174">
        <v>59.98</v>
      </c>
      <c r="L174">
        <v>27.99</v>
      </c>
      <c r="M174">
        <v>51.91</v>
      </c>
      <c r="N174">
        <v>55.02</v>
      </c>
      <c r="O174">
        <v>54.53</v>
      </c>
      <c r="P174">
        <v>54.04</v>
      </c>
      <c r="Q174">
        <v>18.91</v>
      </c>
      <c r="R174">
        <v>1163.42</v>
      </c>
      <c r="S174">
        <v>30.86</v>
      </c>
      <c r="T174">
        <v>18.62</v>
      </c>
      <c r="U174">
        <v>13.585000000000001</v>
      </c>
      <c r="V174">
        <v>38.21</v>
      </c>
      <c r="W174">
        <v>45.38</v>
      </c>
      <c r="X174">
        <v>25.87</v>
      </c>
      <c r="Y174">
        <v>44.82</v>
      </c>
      <c r="Z174">
        <v>42.31</v>
      </c>
      <c r="AA174">
        <v>74.95</v>
      </c>
      <c r="AB174">
        <v>55.2</v>
      </c>
      <c r="AC174">
        <v>40.07</v>
      </c>
      <c r="AD174">
        <v>521.22</v>
      </c>
      <c r="AE174">
        <v>591.15</v>
      </c>
      <c r="AF174">
        <v>42.92</v>
      </c>
      <c r="AG174">
        <v>53</v>
      </c>
      <c r="AH174">
        <v>45.55</v>
      </c>
      <c r="AI174">
        <v>47.66</v>
      </c>
    </row>
    <row r="175" spans="1:35" x14ac:dyDescent="0.45">
      <c r="A175" s="2">
        <v>45803</v>
      </c>
      <c r="B175">
        <v>28.2</v>
      </c>
      <c r="C175">
        <v>32.85</v>
      </c>
      <c r="D175">
        <v>19.16</v>
      </c>
      <c r="E175">
        <v>27.81</v>
      </c>
      <c r="F175">
        <v>29.85</v>
      </c>
      <c r="G175">
        <v>46.76</v>
      </c>
      <c r="H175">
        <v>24.58</v>
      </c>
      <c r="I175">
        <v>53.52</v>
      </c>
      <c r="J175">
        <v>60.67</v>
      </c>
      <c r="K175">
        <v>58.96</v>
      </c>
      <c r="L175">
        <v>27.65</v>
      </c>
      <c r="M175">
        <v>52.52</v>
      </c>
      <c r="N175">
        <v>53.23</v>
      </c>
      <c r="O175">
        <v>54.58</v>
      </c>
      <c r="P175">
        <v>54.78</v>
      </c>
      <c r="Q175">
        <v>19.149999999999999</v>
      </c>
      <c r="R175">
        <v>1178.43</v>
      </c>
      <c r="S175">
        <v>31.24</v>
      </c>
      <c r="T175">
        <v>18.45</v>
      </c>
      <c r="U175">
        <v>13.14</v>
      </c>
      <c r="V175">
        <v>39.17</v>
      </c>
      <c r="W175">
        <v>45.36</v>
      </c>
      <c r="X175">
        <v>25.65</v>
      </c>
      <c r="Y175">
        <v>44.44</v>
      </c>
      <c r="Z175">
        <v>41.26</v>
      </c>
      <c r="AA175">
        <v>73.03</v>
      </c>
      <c r="AB175">
        <v>55.03</v>
      </c>
      <c r="AC175">
        <v>39.880000000000003</v>
      </c>
      <c r="AD175">
        <v>509.24</v>
      </c>
      <c r="AE175">
        <v>579.11</v>
      </c>
      <c r="AF175">
        <v>42.4</v>
      </c>
      <c r="AG175">
        <v>52.26</v>
      </c>
      <c r="AH175">
        <v>45.32</v>
      </c>
      <c r="AI175">
        <v>46.96</v>
      </c>
    </row>
    <row r="176" spans="1:35" x14ac:dyDescent="0.45">
      <c r="A176" s="2">
        <v>45800</v>
      </c>
      <c r="B176">
        <v>28.2</v>
      </c>
      <c r="C176">
        <v>32.85</v>
      </c>
      <c r="D176">
        <v>19.16</v>
      </c>
      <c r="E176">
        <v>27.81</v>
      </c>
      <c r="F176">
        <v>29.85</v>
      </c>
      <c r="G176">
        <v>46.76</v>
      </c>
      <c r="H176">
        <v>24.58</v>
      </c>
      <c r="I176">
        <v>53.52</v>
      </c>
      <c r="J176">
        <v>60.67</v>
      </c>
      <c r="K176">
        <v>58.96</v>
      </c>
      <c r="L176">
        <v>27.65</v>
      </c>
      <c r="M176">
        <v>52.52</v>
      </c>
      <c r="N176">
        <v>53.23</v>
      </c>
      <c r="O176">
        <v>54.58</v>
      </c>
      <c r="P176">
        <v>54.78</v>
      </c>
      <c r="Q176">
        <v>19.149999999999999</v>
      </c>
      <c r="R176">
        <v>1176.3599999999999</v>
      </c>
      <c r="S176">
        <v>31.24</v>
      </c>
      <c r="T176">
        <v>18.45</v>
      </c>
      <c r="U176">
        <v>13.14</v>
      </c>
      <c r="V176">
        <v>39.17</v>
      </c>
      <c r="W176">
        <v>45.36</v>
      </c>
      <c r="X176">
        <v>25.65</v>
      </c>
      <c r="Y176">
        <v>44.44</v>
      </c>
      <c r="Z176">
        <v>41.26</v>
      </c>
      <c r="AA176">
        <v>73.03</v>
      </c>
      <c r="AB176">
        <v>55.03</v>
      </c>
      <c r="AC176">
        <v>39.880000000000003</v>
      </c>
      <c r="AD176">
        <v>509.24</v>
      </c>
      <c r="AE176">
        <v>579.11</v>
      </c>
      <c r="AF176">
        <v>42.4</v>
      </c>
      <c r="AG176">
        <v>52.26</v>
      </c>
      <c r="AH176">
        <v>45.32</v>
      </c>
      <c r="AI176">
        <v>46.96</v>
      </c>
    </row>
    <row r="177" spans="1:35" x14ac:dyDescent="0.45">
      <c r="A177" s="2">
        <v>45799</v>
      </c>
      <c r="B177">
        <v>28.3</v>
      </c>
      <c r="C177">
        <v>32.634999999999998</v>
      </c>
      <c r="D177">
        <v>18.91</v>
      </c>
      <c r="E177">
        <v>27.27</v>
      </c>
      <c r="F177">
        <v>29.99</v>
      </c>
      <c r="G177">
        <v>45.76</v>
      </c>
      <c r="H177">
        <v>24.24</v>
      </c>
      <c r="I177">
        <v>53.7</v>
      </c>
      <c r="J177">
        <v>59.83</v>
      </c>
      <c r="K177">
        <v>58.29</v>
      </c>
      <c r="L177">
        <v>27.52</v>
      </c>
      <c r="M177">
        <v>51.43</v>
      </c>
      <c r="N177">
        <v>53.88</v>
      </c>
      <c r="O177">
        <v>53.79</v>
      </c>
      <c r="P177">
        <v>54.75</v>
      </c>
      <c r="Q177">
        <v>19.11</v>
      </c>
      <c r="R177">
        <v>1173.3699999999999</v>
      </c>
      <c r="S177">
        <v>31.7</v>
      </c>
      <c r="T177">
        <v>18.53</v>
      </c>
      <c r="U177">
        <v>13.17</v>
      </c>
      <c r="V177">
        <v>39.28</v>
      </c>
      <c r="W177">
        <v>45.08</v>
      </c>
      <c r="X177">
        <v>25.41</v>
      </c>
      <c r="Y177">
        <v>44</v>
      </c>
      <c r="Z177">
        <v>41.64</v>
      </c>
      <c r="AA177">
        <v>72.37</v>
      </c>
      <c r="AB177">
        <v>54.77</v>
      </c>
      <c r="AC177">
        <v>39.53</v>
      </c>
      <c r="AD177">
        <v>514</v>
      </c>
      <c r="AE177">
        <v>583.09</v>
      </c>
      <c r="AF177">
        <v>42.65</v>
      </c>
      <c r="AG177">
        <v>52.54</v>
      </c>
      <c r="AH177">
        <v>45.09</v>
      </c>
      <c r="AI177">
        <v>47.54</v>
      </c>
    </row>
    <row r="178" spans="1:35" x14ac:dyDescent="0.45">
      <c r="A178" s="2">
        <v>45798</v>
      </c>
      <c r="B178">
        <v>28.4</v>
      </c>
      <c r="C178">
        <v>32.69</v>
      </c>
      <c r="D178">
        <v>18.79</v>
      </c>
      <c r="E178">
        <v>27.46</v>
      </c>
      <c r="F178">
        <v>30.09</v>
      </c>
      <c r="G178">
        <v>45.66</v>
      </c>
      <c r="H178">
        <v>24.49</v>
      </c>
      <c r="I178">
        <v>53.72</v>
      </c>
      <c r="J178">
        <v>60.32</v>
      </c>
      <c r="K178">
        <v>59.1</v>
      </c>
      <c r="L178">
        <v>27.67</v>
      </c>
      <c r="M178">
        <v>51.45</v>
      </c>
      <c r="N178">
        <v>54.14</v>
      </c>
      <c r="O178">
        <v>54.03</v>
      </c>
      <c r="P178">
        <v>54.99</v>
      </c>
      <c r="Q178">
        <v>19.18</v>
      </c>
      <c r="R178">
        <v>1179.81</v>
      </c>
      <c r="S178">
        <v>31.42</v>
      </c>
      <c r="T178">
        <v>18.57</v>
      </c>
      <c r="U178">
        <v>13.21</v>
      </c>
      <c r="V178">
        <v>39.299999999999997</v>
      </c>
      <c r="W178">
        <v>45.22</v>
      </c>
      <c r="X178">
        <v>25.41</v>
      </c>
      <c r="Y178">
        <v>43.94</v>
      </c>
      <c r="Z178">
        <v>41.68</v>
      </c>
      <c r="AA178">
        <v>72.31</v>
      </c>
      <c r="AB178">
        <v>55.04</v>
      </c>
      <c r="AC178">
        <v>39.43</v>
      </c>
      <c r="AD178">
        <v>513.04</v>
      </c>
      <c r="AE178">
        <v>582.86</v>
      </c>
      <c r="AF178">
        <v>42.71</v>
      </c>
      <c r="AG178">
        <v>52.48</v>
      </c>
      <c r="AH178">
        <v>45.94</v>
      </c>
      <c r="AI178">
        <v>47.65</v>
      </c>
    </row>
    <row r="179" spans="1:35" x14ac:dyDescent="0.45">
      <c r="A179" s="2">
        <v>45797</v>
      </c>
      <c r="B179">
        <v>28.28</v>
      </c>
      <c r="C179">
        <v>32.75</v>
      </c>
      <c r="D179">
        <v>18.53</v>
      </c>
      <c r="E179">
        <v>27.36</v>
      </c>
      <c r="F179">
        <v>30.77</v>
      </c>
      <c r="G179">
        <v>45.57</v>
      </c>
      <c r="H179">
        <v>24.5</v>
      </c>
      <c r="I179">
        <v>53.48</v>
      </c>
      <c r="J179">
        <v>60.53</v>
      </c>
      <c r="K179">
        <v>58.4</v>
      </c>
      <c r="L179">
        <v>28.16</v>
      </c>
      <c r="M179">
        <v>51.61</v>
      </c>
      <c r="N179">
        <v>53.89</v>
      </c>
      <c r="O179">
        <v>54.07</v>
      </c>
      <c r="P179">
        <v>55.2</v>
      </c>
      <c r="Q179">
        <v>19.059999999999999</v>
      </c>
      <c r="R179">
        <v>1189.1400000000001</v>
      </c>
      <c r="S179">
        <v>31.86</v>
      </c>
      <c r="T179">
        <v>18.71</v>
      </c>
      <c r="U179">
        <v>13.09</v>
      </c>
      <c r="V179">
        <v>39.89</v>
      </c>
      <c r="W179">
        <v>45.2</v>
      </c>
      <c r="X179">
        <v>25.63</v>
      </c>
      <c r="Y179">
        <v>44.19</v>
      </c>
      <c r="Z179">
        <v>41.77</v>
      </c>
      <c r="AA179">
        <v>72.989999999999995</v>
      </c>
      <c r="AB179">
        <v>55.17</v>
      </c>
      <c r="AC179">
        <v>39.61</v>
      </c>
      <c r="AD179">
        <v>520.27</v>
      </c>
      <c r="AE179">
        <v>592.85</v>
      </c>
      <c r="AF179">
        <v>43.1</v>
      </c>
      <c r="AG179">
        <v>52.8</v>
      </c>
      <c r="AH179">
        <v>46.35</v>
      </c>
      <c r="AI179">
        <v>47.84</v>
      </c>
    </row>
    <row r="180" spans="1:35" x14ac:dyDescent="0.45">
      <c r="A180" s="2">
        <v>45796</v>
      </c>
      <c r="B180">
        <v>28.14</v>
      </c>
      <c r="C180">
        <v>32.96</v>
      </c>
      <c r="D180">
        <v>18.739999999999998</v>
      </c>
      <c r="E180">
        <v>27.9</v>
      </c>
      <c r="F180">
        <v>30.53</v>
      </c>
      <c r="G180">
        <v>45.16</v>
      </c>
      <c r="H180">
        <v>24.69</v>
      </c>
      <c r="I180">
        <v>53.82</v>
      </c>
      <c r="J180">
        <v>60.57</v>
      </c>
      <c r="K180">
        <v>58.82</v>
      </c>
      <c r="L180">
        <v>28.18</v>
      </c>
      <c r="M180">
        <v>51.08</v>
      </c>
      <c r="N180">
        <v>52.9</v>
      </c>
      <c r="O180">
        <v>54.78</v>
      </c>
      <c r="P180">
        <v>54.7</v>
      </c>
      <c r="Q180">
        <v>19.05</v>
      </c>
      <c r="R180">
        <v>1187.06</v>
      </c>
      <c r="S180">
        <v>32.49</v>
      </c>
      <c r="T180">
        <v>18.649999999999999</v>
      </c>
      <c r="U180">
        <v>12.865</v>
      </c>
      <c r="V180">
        <v>39.909999999999997</v>
      </c>
      <c r="W180">
        <v>45.15</v>
      </c>
      <c r="X180">
        <v>25.63</v>
      </c>
      <c r="Y180">
        <v>44.05</v>
      </c>
      <c r="Z180">
        <v>41.56</v>
      </c>
      <c r="AA180">
        <v>72.569999999999993</v>
      </c>
      <c r="AB180">
        <v>55.02</v>
      </c>
      <c r="AC180">
        <v>39.33</v>
      </c>
      <c r="AD180">
        <v>522.01</v>
      </c>
      <c r="AE180">
        <v>594.85</v>
      </c>
      <c r="AF180">
        <v>42.73</v>
      </c>
      <c r="AG180">
        <v>52.645000000000003</v>
      </c>
      <c r="AH180">
        <v>46.19</v>
      </c>
      <c r="AI180">
        <v>47.3</v>
      </c>
    </row>
    <row r="181" spans="1:35" x14ac:dyDescent="0.45">
      <c r="A181" s="2">
        <v>45793</v>
      </c>
      <c r="B181">
        <v>28.24</v>
      </c>
      <c r="C181">
        <v>32.61</v>
      </c>
      <c r="D181">
        <v>18.39</v>
      </c>
      <c r="E181">
        <v>27.69</v>
      </c>
      <c r="F181">
        <v>30.32</v>
      </c>
      <c r="G181">
        <v>44.57</v>
      </c>
      <c r="H181">
        <v>24.87</v>
      </c>
      <c r="I181">
        <v>54.01</v>
      </c>
      <c r="J181">
        <v>59.51</v>
      </c>
      <c r="K181">
        <v>58.79</v>
      </c>
      <c r="L181">
        <v>28</v>
      </c>
      <c r="M181">
        <v>51.24</v>
      </c>
      <c r="N181">
        <v>52.5</v>
      </c>
      <c r="O181">
        <v>54.66</v>
      </c>
      <c r="P181">
        <v>54.42</v>
      </c>
      <c r="Q181">
        <v>18.88</v>
      </c>
      <c r="R181">
        <v>1195.77</v>
      </c>
      <c r="S181">
        <v>32.43</v>
      </c>
      <c r="T181">
        <v>18.48</v>
      </c>
      <c r="U181">
        <v>12.75</v>
      </c>
      <c r="V181">
        <v>40.19</v>
      </c>
      <c r="W181">
        <v>45.41</v>
      </c>
      <c r="X181">
        <v>25.47</v>
      </c>
      <c r="Y181">
        <v>43.89</v>
      </c>
      <c r="Z181">
        <v>40.85</v>
      </c>
      <c r="AA181">
        <v>72.489999999999995</v>
      </c>
      <c r="AB181">
        <v>54.41</v>
      </c>
      <c r="AC181">
        <v>38.9</v>
      </c>
      <c r="AD181">
        <v>521.51</v>
      </c>
      <c r="AE181">
        <v>594.20000000000005</v>
      </c>
      <c r="AF181">
        <v>42.25</v>
      </c>
      <c r="AG181">
        <v>52.19</v>
      </c>
      <c r="AH181">
        <v>45.61</v>
      </c>
      <c r="AI181">
        <v>46.85</v>
      </c>
    </row>
    <row r="182" spans="1:35" x14ac:dyDescent="0.45">
      <c r="A182" s="2">
        <v>45792</v>
      </c>
      <c r="B182">
        <v>28.25</v>
      </c>
      <c r="C182">
        <v>33.07</v>
      </c>
      <c r="D182">
        <v>18.27</v>
      </c>
      <c r="E182">
        <v>27.62</v>
      </c>
      <c r="F182">
        <v>30.49</v>
      </c>
      <c r="G182">
        <v>45.06</v>
      </c>
      <c r="H182">
        <v>25.08</v>
      </c>
      <c r="I182">
        <v>53.99</v>
      </c>
      <c r="J182">
        <v>59.26</v>
      </c>
      <c r="K182">
        <v>58.8</v>
      </c>
      <c r="L182">
        <v>28.01</v>
      </c>
      <c r="M182">
        <v>51.09</v>
      </c>
      <c r="N182">
        <v>52.15</v>
      </c>
      <c r="O182">
        <v>54.77</v>
      </c>
      <c r="P182">
        <v>54.57</v>
      </c>
      <c r="Q182">
        <v>18.84</v>
      </c>
      <c r="R182">
        <v>1194.49</v>
      </c>
      <c r="S182">
        <v>31.91</v>
      </c>
      <c r="T182">
        <v>18.3</v>
      </c>
      <c r="U182">
        <v>12.81</v>
      </c>
      <c r="V182">
        <v>40.130000000000003</v>
      </c>
      <c r="W182">
        <v>45.6</v>
      </c>
      <c r="X182">
        <v>25.55</v>
      </c>
      <c r="Y182">
        <v>43.83</v>
      </c>
      <c r="Z182">
        <v>40.86</v>
      </c>
      <c r="AA182">
        <v>72.3</v>
      </c>
      <c r="AB182">
        <v>54.02</v>
      </c>
      <c r="AC182">
        <v>38.799999999999997</v>
      </c>
      <c r="AD182">
        <v>519.25</v>
      </c>
      <c r="AE182">
        <v>590.46</v>
      </c>
      <c r="AF182">
        <v>42.09</v>
      </c>
      <c r="AG182">
        <v>52.25</v>
      </c>
      <c r="AH182">
        <v>45.62</v>
      </c>
      <c r="AI182">
        <v>46.53</v>
      </c>
    </row>
    <row r="183" spans="1:35" x14ac:dyDescent="0.45">
      <c r="A183" s="2">
        <v>45791</v>
      </c>
      <c r="B183">
        <v>28.58</v>
      </c>
      <c r="C183">
        <v>33.24</v>
      </c>
      <c r="D183">
        <v>17.97</v>
      </c>
      <c r="E183">
        <v>28.01</v>
      </c>
      <c r="F183">
        <v>30.68</v>
      </c>
      <c r="G183">
        <v>44.95</v>
      </c>
      <c r="H183">
        <v>25.07</v>
      </c>
      <c r="I183">
        <v>53.77</v>
      </c>
      <c r="J183">
        <v>59.36</v>
      </c>
      <c r="K183">
        <v>58.61</v>
      </c>
      <c r="L183">
        <v>28.2</v>
      </c>
      <c r="M183">
        <v>50.22</v>
      </c>
      <c r="N183">
        <v>52.22</v>
      </c>
      <c r="O183">
        <v>53.97</v>
      </c>
      <c r="P183">
        <v>55.6</v>
      </c>
      <c r="Q183">
        <v>18.829999999999998</v>
      </c>
      <c r="R183">
        <v>1216.71</v>
      </c>
      <c r="S183">
        <v>32.479999999999997</v>
      </c>
      <c r="T183">
        <v>18.16</v>
      </c>
      <c r="U183">
        <v>12.82</v>
      </c>
      <c r="V183">
        <v>40.21</v>
      </c>
      <c r="W183">
        <v>45.33</v>
      </c>
      <c r="X183">
        <v>25.16</v>
      </c>
      <c r="Y183">
        <v>43.44</v>
      </c>
      <c r="Z183">
        <v>40.340000000000003</v>
      </c>
      <c r="AA183">
        <v>71.45</v>
      </c>
      <c r="AB183">
        <v>52.94</v>
      </c>
      <c r="AC183">
        <v>38.25</v>
      </c>
      <c r="AD183">
        <v>518.67999999999995</v>
      </c>
      <c r="AE183">
        <v>587.59</v>
      </c>
      <c r="AF183">
        <v>41.88</v>
      </c>
      <c r="AG183">
        <v>52.2</v>
      </c>
      <c r="AH183">
        <v>45.11</v>
      </c>
      <c r="AI183">
        <v>46.26</v>
      </c>
    </row>
    <row r="184" spans="1:35" x14ac:dyDescent="0.45">
      <c r="A184" s="2">
        <v>45790</v>
      </c>
      <c r="B184">
        <v>28.34</v>
      </c>
      <c r="C184">
        <v>32.56</v>
      </c>
      <c r="D184">
        <v>17.54</v>
      </c>
      <c r="E184">
        <v>28.06</v>
      </c>
      <c r="F184">
        <v>30.8</v>
      </c>
      <c r="G184">
        <v>45.11</v>
      </c>
      <c r="H184">
        <v>24.87</v>
      </c>
      <c r="I184">
        <v>53.28</v>
      </c>
      <c r="J184">
        <v>59.08</v>
      </c>
      <c r="K184">
        <v>58.12</v>
      </c>
      <c r="L184">
        <v>28.33</v>
      </c>
      <c r="M184">
        <v>50.41</v>
      </c>
      <c r="N184">
        <v>52.07</v>
      </c>
      <c r="O184">
        <v>54.01</v>
      </c>
      <c r="P184">
        <v>54.7</v>
      </c>
      <c r="Q184">
        <v>18.755299999999998</v>
      </c>
      <c r="R184">
        <v>1214.3900000000001</v>
      </c>
      <c r="S184">
        <v>32.46</v>
      </c>
      <c r="T184">
        <v>18.36</v>
      </c>
      <c r="U184">
        <v>12.74</v>
      </c>
      <c r="V184">
        <v>40.299999999999997</v>
      </c>
      <c r="W184">
        <v>45.62</v>
      </c>
      <c r="X184">
        <v>25.42</v>
      </c>
      <c r="Y184">
        <v>43.4</v>
      </c>
      <c r="Z184">
        <v>40.590000000000003</v>
      </c>
      <c r="AA184">
        <v>72.25</v>
      </c>
      <c r="AB184">
        <v>53.19</v>
      </c>
      <c r="AC184">
        <v>38.42</v>
      </c>
      <c r="AD184">
        <v>515.59</v>
      </c>
      <c r="AE184">
        <v>586.84</v>
      </c>
      <c r="AF184">
        <v>42.1</v>
      </c>
      <c r="AG184">
        <v>52.04</v>
      </c>
      <c r="AH184">
        <v>45.23</v>
      </c>
      <c r="AI184">
        <v>46</v>
      </c>
    </row>
    <row r="185" spans="1:35" x14ac:dyDescent="0.45">
      <c r="A185" s="2">
        <v>45789</v>
      </c>
      <c r="B185">
        <v>28.45</v>
      </c>
      <c r="C185">
        <v>32.35</v>
      </c>
      <c r="D185">
        <v>17.399999999999999</v>
      </c>
      <c r="E185">
        <v>27.75</v>
      </c>
      <c r="F185">
        <v>30.5</v>
      </c>
      <c r="G185">
        <v>44.74</v>
      </c>
      <c r="H185">
        <v>24.5</v>
      </c>
      <c r="I185">
        <v>52.95</v>
      </c>
      <c r="J185">
        <v>57.84</v>
      </c>
      <c r="K185">
        <v>58.04</v>
      </c>
      <c r="L185">
        <v>27.49</v>
      </c>
      <c r="M185">
        <v>50.19</v>
      </c>
      <c r="N185">
        <v>51.6</v>
      </c>
      <c r="O185">
        <v>54.32</v>
      </c>
      <c r="P185">
        <v>55.06</v>
      </c>
      <c r="Q185">
        <v>18.7</v>
      </c>
      <c r="R185">
        <v>1210.94</v>
      </c>
      <c r="S185">
        <v>32.619999999999997</v>
      </c>
      <c r="T185">
        <v>18.13</v>
      </c>
      <c r="U185">
        <v>12.69</v>
      </c>
      <c r="V185">
        <v>40.04</v>
      </c>
      <c r="W185">
        <v>44.75</v>
      </c>
      <c r="X185">
        <v>25.18</v>
      </c>
      <c r="Y185">
        <v>43.08</v>
      </c>
      <c r="Z185">
        <v>40.380000000000003</v>
      </c>
      <c r="AA185">
        <v>72.8</v>
      </c>
      <c r="AB185">
        <v>53.53</v>
      </c>
      <c r="AC185">
        <v>38.24</v>
      </c>
      <c r="AD185">
        <v>507.85</v>
      </c>
      <c r="AE185">
        <v>582.99</v>
      </c>
      <c r="AF185">
        <v>41.81</v>
      </c>
      <c r="AG185">
        <v>51.6</v>
      </c>
      <c r="AH185">
        <v>45.09</v>
      </c>
      <c r="AI185">
        <v>45.66</v>
      </c>
    </row>
    <row r="186" spans="1:35" x14ac:dyDescent="0.45">
      <c r="A186" s="2">
        <v>45786</v>
      </c>
      <c r="B186">
        <v>27.78</v>
      </c>
      <c r="C186">
        <v>32.200000000000003</v>
      </c>
      <c r="D186">
        <v>17.41</v>
      </c>
      <c r="E186">
        <v>27.62</v>
      </c>
      <c r="F186">
        <v>30.88</v>
      </c>
      <c r="G186">
        <v>45.330300000000001</v>
      </c>
      <c r="H186">
        <v>24.45</v>
      </c>
      <c r="I186">
        <v>51.75</v>
      </c>
      <c r="J186">
        <v>58.12</v>
      </c>
      <c r="K186">
        <v>57.69</v>
      </c>
      <c r="L186">
        <v>27.56</v>
      </c>
      <c r="M186">
        <v>50.64</v>
      </c>
      <c r="N186">
        <v>51.048299999999998</v>
      </c>
      <c r="O186">
        <v>52.39</v>
      </c>
      <c r="P186">
        <v>53.25</v>
      </c>
      <c r="Q186">
        <v>18.690000000000001</v>
      </c>
      <c r="R186">
        <v>1210.94</v>
      </c>
      <c r="S186">
        <v>31.41</v>
      </c>
      <c r="T186">
        <v>18.149999999999999</v>
      </c>
      <c r="U186">
        <v>12.49</v>
      </c>
      <c r="V186">
        <v>39.54</v>
      </c>
      <c r="W186">
        <v>45.17</v>
      </c>
      <c r="X186">
        <v>25.01</v>
      </c>
      <c r="Y186">
        <v>42.85</v>
      </c>
      <c r="Z186">
        <v>40.770000000000003</v>
      </c>
      <c r="AA186">
        <v>72.010000000000005</v>
      </c>
      <c r="AB186">
        <v>53.58</v>
      </c>
      <c r="AC186">
        <v>38.29</v>
      </c>
      <c r="AD186">
        <v>487.97</v>
      </c>
      <c r="AE186">
        <v>564.34</v>
      </c>
      <c r="AF186">
        <v>41.68</v>
      </c>
      <c r="AG186">
        <v>50.79</v>
      </c>
      <c r="AH186">
        <v>44.38</v>
      </c>
      <c r="AI186">
        <v>45.81</v>
      </c>
    </row>
    <row r="187" spans="1:35" x14ac:dyDescent="0.45">
      <c r="A187" s="2">
        <v>45785</v>
      </c>
      <c r="B187">
        <v>27.85</v>
      </c>
      <c r="C187">
        <v>32.15</v>
      </c>
      <c r="D187">
        <v>17.45</v>
      </c>
      <c r="E187">
        <v>27.16</v>
      </c>
      <c r="F187">
        <v>29.94</v>
      </c>
      <c r="G187">
        <v>45.02</v>
      </c>
      <c r="H187">
        <v>24.31</v>
      </c>
      <c r="I187">
        <v>51.16</v>
      </c>
      <c r="J187">
        <v>58.11</v>
      </c>
      <c r="K187">
        <v>57.2</v>
      </c>
      <c r="L187">
        <v>27.48</v>
      </c>
      <c r="M187">
        <v>49.85</v>
      </c>
      <c r="N187">
        <v>50.26</v>
      </c>
      <c r="O187">
        <v>51.54</v>
      </c>
      <c r="P187">
        <v>53.45</v>
      </c>
      <c r="Q187">
        <v>18.614999999999998</v>
      </c>
      <c r="R187">
        <v>1206.5899999999999</v>
      </c>
      <c r="S187">
        <v>31.19</v>
      </c>
      <c r="T187">
        <v>18.14</v>
      </c>
      <c r="U187">
        <v>12.6</v>
      </c>
      <c r="V187">
        <v>39.44</v>
      </c>
      <c r="W187">
        <v>44.23</v>
      </c>
      <c r="X187">
        <v>24.83</v>
      </c>
      <c r="Y187">
        <v>42.81</v>
      </c>
      <c r="Z187">
        <v>40.46</v>
      </c>
      <c r="AA187">
        <v>71.83</v>
      </c>
      <c r="AB187">
        <v>53.58</v>
      </c>
      <c r="AC187">
        <v>38.11</v>
      </c>
      <c r="AD187">
        <v>488.29</v>
      </c>
      <c r="AE187">
        <v>565.05999999999995</v>
      </c>
      <c r="AF187">
        <v>41.32</v>
      </c>
      <c r="AG187">
        <v>50.32</v>
      </c>
      <c r="AH187">
        <v>44.26</v>
      </c>
      <c r="AI187">
        <v>45.36</v>
      </c>
    </row>
    <row r="188" spans="1:35" x14ac:dyDescent="0.45">
      <c r="A188" s="2">
        <v>45784</v>
      </c>
      <c r="B188">
        <v>27.58</v>
      </c>
      <c r="C188">
        <v>31.75</v>
      </c>
      <c r="D188">
        <v>17.71</v>
      </c>
      <c r="E188">
        <v>27.56</v>
      </c>
      <c r="F188">
        <v>29.66</v>
      </c>
      <c r="G188">
        <v>44.79</v>
      </c>
      <c r="H188">
        <v>24.68</v>
      </c>
      <c r="I188">
        <v>51</v>
      </c>
      <c r="J188">
        <v>59.09</v>
      </c>
      <c r="K188">
        <v>57.79</v>
      </c>
      <c r="L188">
        <v>26.4</v>
      </c>
      <c r="M188">
        <v>50.23</v>
      </c>
      <c r="N188">
        <v>50.37</v>
      </c>
      <c r="O188">
        <v>53.22</v>
      </c>
      <c r="P188">
        <v>52.69</v>
      </c>
      <c r="Q188">
        <v>18.510000000000002</v>
      </c>
      <c r="R188">
        <v>1220.27</v>
      </c>
      <c r="S188">
        <v>30.31</v>
      </c>
      <c r="T188">
        <v>18.18</v>
      </c>
      <c r="U188">
        <v>12.42</v>
      </c>
      <c r="V188">
        <v>39.53</v>
      </c>
      <c r="W188">
        <v>44.56</v>
      </c>
      <c r="X188">
        <v>24.89</v>
      </c>
      <c r="Y188">
        <v>42.89</v>
      </c>
      <c r="Z188">
        <v>40.44</v>
      </c>
      <c r="AA188">
        <v>71.98</v>
      </c>
      <c r="AB188">
        <v>54.15</v>
      </c>
      <c r="AC188">
        <v>38.43</v>
      </c>
      <c r="AD188">
        <v>483.3</v>
      </c>
      <c r="AE188">
        <v>561.15</v>
      </c>
      <c r="AF188">
        <v>41.32</v>
      </c>
      <c r="AG188">
        <v>50.21</v>
      </c>
      <c r="AH188">
        <v>44.38</v>
      </c>
      <c r="AI188">
        <v>44.99</v>
      </c>
    </row>
    <row r="189" spans="1:35" x14ac:dyDescent="0.45">
      <c r="A189" s="2">
        <v>45783</v>
      </c>
      <c r="B189">
        <v>27.82</v>
      </c>
      <c r="C189">
        <v>31.62</v>
      </c>
      <c r="D189">
        <v>17.739999999999998</v>
      </c>
      <c r="E189">
        <v>27.35</v>
      </c>
      <c r="F189">
        <v>29.48</v>
      </c>
      <c r="G189">
        <v>45.45</v>
      </c>
      <c r="H189">
        <v>24.64</v>
      </c>
      <c r="I189">
        <v>51.56</v>
      </c>
      <c r="J189">
        <v>58.39</v>
      </c>
      <c r="K189">
        <v>58.5</v>
      </c>
      <c r="L189">
        <v>26.61</v>
      </c>
      <c r="M189">
        <v>50.71</v>
      </c>
      <c r="N189">
        <v>50.13</v>
      </c>
      <c r="O189">
        <v>53.68</v>
      </c>
      <c r="P189">
        <v>53.95</v>
      </c>
      <c r="Q189">
        <v>18.55</v>
      </c>
      <c r="R189">
        <v>1187.8599999999999</v>
      </c>
      <c r="S189">
        <v>30.76</v>
      </c>
      <c r="T189">
        <v>18.309999999999999</v>
      </c>
      <c r="U189">
        <v>12.22</v>
      </c>
      <c r="V189">
        <v>39.72</v>
      </c>
      <c r="W189">
        <v>44.82</v>
      </c>
      <c r="X189">
        <v>25.05</v>
      </c>
      <c r="Y189">
        <v>42.77</v>
      </c>
      <c r="Z189">
        <v>40.67</v>
      </c>
      <c r="AA189">
        <v>72.430000000000007</v>
      </c>
      <c r="AB189">
        <v>54.34</v>
      </c>
      <c r="AC189">
        <v>38.57</v>
      </c>
      <c r="AD189">
        <v>481.41</v>
      </c>
      <c r="AE189">
        <v>558.79999999999995</v>
      </c>
      <c r="AF189">
        <v>41.62</v>
      </c>
      <c r="AG189">
        <v>49.98</v>
      </c>
      <c r="AH189">
        <v>44.18</v>
      </c>
      <c r="AI189">
        <v>45.22</v>
      </c>
    </row>
    <row r="190" spans="1:35" x14ac:dyDescent="0.45">
      <c r="A190" s="2">
        <v>45782</v>
      </c>
      <c r="B190">
        <v>27.7</v>
      </c>
      <c r="C190">
        <v>31.58</v>
      </c>
      <c r="D190">
        <v>17.649999999999999</v>
      </c>
      <c r="E190">
        <v>27.03</v>
      </c>
      <c r="F190">
        <v>29.83</v>
      </c>
      <c r="G190">
        <v>44.700299999999999</v>
      </c>
      <c r="H190">
        <v>24.86</v>
      </c>
      <c r="I190">
        <v>52.96</v>
      </c>
      <c r="J190">
        <v>56.68</v>
      </c>
      <c r="K190">
        <v>58.38</v>
      </c>
      <c r="L190">
        <v>26.71</v>
      </c>
      <c r="M190">
        <v>50.44</v>
      </c>
      <c r="N190">
        <v>50.44</v>
      </c>
      <c r="O190">
        <v>54.32</v>
      </c>
      <c r="P190">
        <v>53.4</v>
      </c>
      <c r="Q190">
        <v>18.55</v>
      </c>
      <c r="R190">
        <v>1198.98</v>
      </c>
      <c r="S190">
        <v>30.7</v>
      </c>
      <c r="T190">
        <v>18.23</v>
      </c>
      <c r="U190">
        <v>12.27</v>
      </c>
      <c r="V190">
        <v>39.71</v>
      </c>
      <c r="W190">
        <v>44.49</v>
      </c>
      <c r="X190">
        <v>24.99</v>
      </c>
      <c r="Y190">
        <v>42.66</v>
      </c>
      <c r="Z190">
        <v>40.72</v>
      </c>
      <c r="AA190">
        <v>72.39</v>
      </c>
      <c r="AB190">
        <v>54.64</v>
      </c>
      <c r="AC190">
        <v>38.64</v>
      </c>
      <c r="AD190">
        <v>485.93</v>
      </c>
      <c r="AE190">
        <v>563.51</v>
      </c>
      <c r="AF190">
        <v>41.84</v>
      </c>
      <c r="AG190">
        <v>50.14</v>
      </c>
      <c r="AH190">
        <v>44.28</v>
      </c>
      <c r="AI190">
        <v>45.07</v>
      </c>
    </row>
    <row r="191" spans="1:35" x14ac:dyDescent="0.45">
      <c r="A191" s="2">
        <v>45779</v>
      </c>
      <c r="B191">
        <v>27.66</v>
      </c>
      <c r="C191">
        <v>31.35</v>
      </c>
      <c r="D191">
        <v>17.63</v>
      </c>
      <c r="E191">
        <v>27.27</v>
      </c>
      <c r="F191">
        <v>30.09</v>
      </c>
      <c r="G191">
        <v>44.44</v>
      </c>
      <c r="H191">
        <v>24.85</v>
      </c>
      <c r="I191">
        <v>50.95</v>
      </c>
      <c r="J191">
        <v>56.94</v>
      </c>
      <c r="K191">
        <v>57.71</v>
      </c>
      <c r="L191">
        <v>27.12</v>
      </c>
      <c r="M191">
        <v>50.19</v>
      </c>
      <c r="N191">
        <v>50.1</v>
      </c>
      <c r="O191">
        <v>53.91</v>
      </c>
      <c r="P191">
        <v>53.42</v>
      </c>
      <c r="Q191">
        <v>18.54</v>
      </c>
      <c r="R191">
        <v>1198.98</v>
      </c>
      <c r="S191">
        <v>30.94</v>
      </c>
      <c r="T191">
        <v>18.14</v>
      </c>
      <c r="U191">
        <v>12.24</v>
      </c>
      <c r="V191">
        <v>40.33</v>
      </c>
      <c r="W191">
        <v>44.29</v>
      </c>
      <c r="X191">
        <v>25.31</v>
      </c>
      <c r="Y191">
        <v>42.84</v>
      </c>
      <c r="Z191">
        <v>40.340000000000003</v>
      </c>
      <c r="AA191">
        <v>71.89</v>
      </c>
      <c r="AB191">
        <v>54.47</v>
      </c>
      <c r="AC191">
        <v>38.6</v>
      </c>
      <c r="AD191">
        <v>488.83</v>
      </c>
      <c r="AE191">
        <v>566.76</v>
      </c>
      <c r="AF191">
        <v>41.86</v>
      </c>
      <c r="AG191">
        <v>50.27</v>
      </c>
      <c r="AH191">
        <v>44.55</v>
      </c>
      <c r="AI191">
        <v>44.99</v>
      </c>
    </row>
    <row r="192" spans="1:35" x14ac:dyDescent="0.45">
      <c r="A192" s="2">
        <v>45778</v>
      </c>
      <c r="B192">
        <v>26.92</v>
      </c>
      <c r="C192">
        <v>31.07</v>
      </c>
      <c r="D192">
        <v>17.3</v>
      </c>
      <c r="E192">
        <v>26.86</v>
      </c>
      <c r="F192">
        <v>29.45</v>
      </c>
      <c r="G192">
        <v>43.74</v>
      </c>
      <c r="H192">
        <v>24.12</v>
      </c>
      <c r="I192">
        <v>47.82</v>
      </c>
      <c r="J192">
        <v>56.67</v>
      </c>
      <c r="K192">
        <v>55.6</v>
      </c>
      <c r="L192">
        <v>26.88</v>
      </c>
      <c r="M192">
        <v>49.27</v>
      </c>
      <c r="N192">
        <v>49.3</v>
      </c>
      <c r="O192">
        <v>53.54</v>
      </c>
      <c r="P192">
        <v>51.59</v>
      </c>
      <c r="Q192">
        <v>18.34</v>
      </c>
      <c r="R192">
        <v>1197.26</v>
      </c>
      <c r="S192">
        <v>30.66</v>
      </c>
      <c r="T192">
        <v>17.96</v>
      </c>
      <c r="U192">
        <v>12.11</v>
      </c>
      <c r="V192">
        <v>40.01</v>
      </c>
      <c r="W192">
        <v>43.06</v>
      </c>
      <c r="X192">
        <v>24.65</v>
      </c>
      <c r="Y192">
        <v>42.31</v>
      </c>
      <c r="Z192">
        <v>39.46</v>
      </c>
      <c r="AA192">
        <v>71.17</v>
      </c>
      <c r="AB192">
        <v>53.52</v>
      </c>
      <c r="AC192">
        <v>37.880000000000003</v>
      </c>
      <c r="AD192">
        <v>481.68</v>
      </c>
      <c r="AE192">
        <v>558.47</v>
      </c>
      <c r="AF192">
        <v>41.07</v>
      </c>
      <c r="AG192">
        <v>48.78</v>
      </c>
      <c r="AH192">
        <v>43.12</v>
      </c>
      <c r="AI192">
        <v>44.26</v>
      </c>
    </row>
    <row r="193" spans="1:35" x14ac:dyDescent="0.45">
      <c r="A193" s="2">
        <v>45777</v>
      </c>
      <c r="B193">
        <v>27.06</v>
      </c>
      <c r="C193">
        <v>31.13</v>
      </c>
      <c r="D193">
        <v>17.309999999999999</v>
      </c>
      <c r="E193">
        <v>26.89</v>
      </c>
      <c r="F193">
        <v>29.48</v>
      </c>
      <c r="G193">
        <v>44.33</v>
      </c>
      <c r="H193">
        <v>24.17</v>
      </c>
      <c r="I193">
        <v>47.48</v>
      </c>
      <c r="J193">
        <v>56.97</v>
      </c>
      <c r="K193">
        <v>56.19</v>
      </c>
      <c r="L193">
        <v>27.04</v>
      </c>
      <c r="M193">
        <v>49.52</v>
      </c>
      <c r="N193">
        <v>49.52</v>
      </c>
      <c r="O193">
        <v>53.57</v>
      </c>
      <c r="P193">
        <v>51.66</v>
      </c>
      <c r="Q193">
        <v>18.309999999999999</v>
      </c>
      <c r="R193">
        <v>1197.26</v>
      </c>
      <c r="S193">
        <v>30.67</v>
      </c>
      <c r="T193">
        <v>17.88</v>
      </c>
      <c r="U193">
        <v>12.07</v>
      </c>
      <c r="V193">
        <v>40.43</v>
      </c>
      <c r="W193">
        <v>42.61</v>
      </c>
      <c r="X193">
        <v>24.67</v>
      </c>
      <c r="Y193">
        <v>42.45</v>
      </c>
      <c r="Z193">
        <v>39.49</v>
      </c>
      <c r="AA193">
        <v>71.430000000000007</v>
      </c>
      <c r="AB193">
        <v>53.86</v>
      </c>
      <c r="AC193">
        <v>38.1</v>
      </c>
      <c r="AD193">
        <v>475.47</v>
      </c>
      <c r="AE193">
        <v>554.54</v>
      </c>
      <c r="AF193">
        <v>41.04</v>
      </c>
      <c r="AG193">
        <v>48.85</v>
      </c>
      <c r="AH193">
        <v>43.64</v>
      </c>
      <c r="AI193">
        <v>44.21</v>
      </c>
    </row>
    <row r="194" spans="1:35" x14ac:dyDescent="0.45">
      <c r="A194" s="2">
        <v>45776</v>
      </c>
      <c r="B194">
        <v>27.14</v>
      </c>
      <c r="C194">
        <v>31.44</v>
      </c>
      <c r="D194">
        <v>17.100000000000001</v>
      </c>
      <c r="E194">
        <v>26.41</v>
      </c>
      <c r="F194">
        <v>30.3</v>
      </c>
      <c r="G194">
        <v>44.8</v>
      </c>
      <c r="H194">
        <v>23.7</v>
      </c>
      <c r="I194">
        <v>47.15</v>
      </c>
      <c r="J194">
        <v>56.42</v>
      </c>
      <c r="K194">
        <v>56.1</v>
      </c>
      <c r="L194">
        <v>27.36</v>
      </c>
      <c r="M194">
        <v>49.14</v>
      </c>
      <c r="N194">
        <v>49.99</v>
      </c>
      <c r="O194">
        <v>53.54</v>
      </c>
      <c r="P194">
        <v>51.68</v>
      </c>
      <c r="Q194">
        <v>18.2</v>
      </c>
      <c r="R194">
        <v>1171.1199999999999</v>
      </c>
      <c r="S194">
        <v>31.18</v>
      </c>
      <c r="T194">
        <v>17.989999999999998</v>
      </c>
      <c r="U194">
        <v>12.05</v>
      </c>
      <c r="V194">
        <v>40.74</v>
      </c>
      <c r="W194">
        <v>43.35</v>
      </c>
      <c r="X194">
        <v>24.55</v>
      </c>
      <c r="Y194">
        <v>42.45</v>
      </c>
      <c r="Z194">
        <v>39.67</v>
      </c>
      <c r="AA194">
        <v>72.02</v>
      </c>
      <c r="AB194">
        <v>53.67</v>
      </c>
      <c r="AC194">
        <v>38.35</v>
      </c>
      <c r="AD194">
        <v>475.53</v>
      </c>
      <c r="AE194">
        <v>554.32000000000005</v>
      </c>
      <c r="AF194">
        <v>40.94</v>
      </c>
      <c r="AG194">
        <v>48.92</v>
      </c>
      <c r="AH194">
        <v>43</v>
      </c>
      <c r="AI194">
        <v>44.67</v>
      </c>
    </row>
    <row r="195" spans="1:35" x14ac:dyDescent="0.45">
      <c r="A195" s="2">
        <v>45775</v>
      </c>
      <c r="B195">
        <v>27.14</v>
      </c>
      <c r="C195">
        <v>31.24</v>
      </c>
      <c r="D195">
        <v>16.93</v>
      </c>
      <c r="E195">
        <v>26.18</v>
      </c>
      <c r="F195">
        <v>30.3</v>
      </c>
      <c r="G195">
        <v>44.6021</v>
      </c>
      <c r="H195">
        <v>23.71</v>
      </c>
      <c r="I195">
        <v>46.47</v>
      </c>
      <c r="J195">
        <v>58.12</v>
      </c>
      <c r="K195">
        <v>55.65</v>
      </c>
      <c r="L195">
        <v>27.21</v>
      </c>
      <c r="M195">
        <v>49.09</v>
      </c>
      <c r="N195">
        <v>49.71</v>
      </c>
      <c r="O195">
        <v>53.29</v>
      </c>
      <c r="P195">
        <v>51.85</v>
      </c>
      <c r="Q195">
        <v>18.14</v>
      </c>
      <c r="R195">
        <v>1159.53</v>
      </c>
      <c r="S195">
        <v>31.48</v>
      </c>
      <c r="T195">
        <v>17.64</v>
      </c>
      <c r="U195">
        <v>11.95</v>
      </c>
      <c r="V195">
        <v>40.85</v>
      </c>
      <c r="W195">
        <v>43.6</v>
      </c>
      <c r="X195">
        <v>24.52</v>
      </c>
      <c r="Y195">
        <v>42.37</v>
      </c>
      <c r="Z195">
        <v>39.47</v>
      </c>
      <c r="AA195">
        <v>71.739999999999995</v>
      </c>
      <c r="AB195">
        <v>53.71</v>
      </c>
      <c r="AC195">
        <v>38.19</v>
      </c>
      <c r="AD195">
        <v>472.41</v>
      </c>
      <c r="AE195">
        <v>550.85</v>
      </c>
      <c r="AF195">
        <v>41.04</v>
      </c>
      <c r="AG195">
        <v>48.79</v>
      </c>
      <c r="AH195">
        <v>43.61</v>
      </c>
      <c r="AI195">
        <v>44.23</v>
      </c>
    </row>
    <row r="196" spans="1:35" x14ac:dyDescent="0.45">
      <c r="A196" s="2">
        <v>45772</v>
      </c>
      <c r="B196">
        <v>27.25</v>
      </c>
      <c r="C196">
        <v>31.67</v>
      </c>
      <c r="D196">
        <v>16.77</v>
      </c>
      <c r="E196">
        <v>26.26</v>
      </c>
      <c r="F196">
        <v>30.04</v>
      </c>
      <c r="G196">
        <v>44.4285</v>
      </c>
      <c r="H196">
        <v>23.43</v>
      </c>
      <c r="I196">
        <v>46.34</v>
      </c>
      <c r="J196">
        <v>57.94</v>
      </c>
      <c r="K196">
        <v>55.81</v>
      </c>
      <c r="L196">
        <v>26.94</v>
      </c>
      <c r="M196">
        <v>48.38</v>
      </c>
      <c r="N196">
        <v>49.52</v>
      </c>
      <c r="O196">
        <v>52.85</v>
      </c>
      <c r="P196">
        <v>51.91</v>
      </c>
      <c r="Q196">
        <v>18.16</v>
      </c>
      <c r="R196">
        <v>1159</v>
      </c>
      <c r="S196">
        <v>31.96</v>
      </c>
      <c r="T196">
        <v>17.47</v>
      </c>
      <c r="U196">
        <v>12.01</v>
      </c>
      <c r="V196">
        <v>41.16</v>
      </c>
      <c r="W196">
        <v>43.76</v>
      </c>
      <c r="X196">
        <v>24.51</v>
      </c>
      <c r="Y196">
        <v>42.04</v>
      </c>
      <c r="Z196">
        <v>39.36</v>
      </c>
      <c r="AA196">
        <v>70.77</v>
      </c>
      <c r="AB196">
        <v>53.04</v>
      </c>
      <c r="AC196">
        <v>37.94</v>
      </c>
      <c r="AD196">
        <v>472.56</v>
      </c>
      <c r="AE196">
        <v>550.64</v>
      </c>
      <c r="AF196">
        <v>40.950000000000003</v>
      </c>
      <c r="AG196">
        <v>48.78</v>
      </c>
      <c r="AH196">
        <v>43.62</v>
      </c>
      <c r="AI196">
        <v>44.04</v>
      </c>
    </row>
    <row r="197" spans="1:35" x14ac:dyDescent="0.45">
      <c r="A197" s="2">
        <v>45771</v>
      </c>
      <c r="B197">
        <v>27.29</v>
      </c>
      <c r="C197">
        <v>31.7</v>
      </c>
      <c r="D197">
        <v>16.760000000000002</v>
      </c>
      <c r="E197">
        <v>25.96</v>
      </c>
      <c r="F197">
        <v>30.19</v>
      </c>
      <c r="G197">
        <v>44.55</v>
      </c>
      <c r="H197">
        <v>23.43</v>
      </c>
      <c r="I197">
        <v>46.18</v>
      </c>
      <c r="J197">
        <v>57.34</v>
      </c>
      <c r="K197">
        <v>55.95</v>
      </c>
      <c r="L197">
        <v>26.74</v>
      </c>
      <c r="M197">
        <v>47.96</v>
      </c>
      <c r="N197">
        <v>49.95</v>
      </c>
      <c r="O197">
        <v>53.74</v>
      </c>
      <c r="P197">
        <v>51.97</v>
      </c>
      <c r="Q197">
        <v>18.12</v>
      </c>
      <c r="R197">
        <v>1146.8599999999999</v>
      </c>
      <c r="S197">
        <v>32.18</v>
      </c>
      <c r="T197">
        <v>17.57</v>
      </c>
      <c r="U197">
        <v>12</v>
      </c>
      <c r="V197">
        <v>41.05</v>
      </c>
      <c r="W197">
        <v>43.805</v>
      </c>
      <c r="X197">
        <v>24.51</v>
      </c>
      <c r="Y197">
        <v>42.06</v>
      </c>
      <c r="Z197">
        <v>39.03</v>
      </c>
      <c r="AA197">
        <v>70.28</v>
      </c>
      <c r="AB197">
        <v>52.96</v>
      </c>
      <c r="AC197">
        <v>37.89</v>
      </c>
      <c r="AD197">
        <v>467.35</v>
      </c>
      <c r="AE197">
        <v>546.69000000000005</v>
      </c>
      <c r="AF197">
        <v>40.72</v>
      </c>
      <c r="AG197">
        <v>48.41</v>
      </c>
      <c r="AH197">
        <v>43.32</v>
      </c>
      <c r="AI197">
        <v>43.48</v>
      </c>
    </row>
    <row r="198" spans="1:35" x14ac:dyDescent="0.45">
      <c r="A198" s="2">
        <v>45770</v>
      </c>
      <c r="B198">
        <v>27.2</v>
      </c>
      <c r="C198">
        <v>31.19</v>
      </c>
      <c r="D198">
        <v>16.61</v>
      </c>
      <c r="E198">
        <v>25.59</v>
      </c>
      <c r="F198">
        <v>29.43</v>
      </c>
      <c r="G198">
        <v>43.98</v>
      </c>
      <c r="H198">
        <v>23.07</v>
      </c>
      <c r="I198">
        <v>45.5</v>
      </c>
      <c r="J198">
        <v>56.51</v>
      </c>
      <c r="K198">
        <v>55.6</v>
      </c>
      <c r="L198">
        <v>26.31</v>
      </c>
      <c r="M198">
        <v>47.55</v>
      </c>
      <c r="N198">
        <v>49.35</v>
      </c>
      <c r="O198">
        <v>53.18</v>
      </c>
      <c r="P198">
        <v>51.66</v>
      </c>
      <c r="Q198">
        <v>17.899999999999999</v>
      </c>
      <c r="R198">
        <v>1153.77</v>
      </c>
      <c r="S198">
        <v>31.77</v>
      </c>
      <c r="T198">
        <v>17.23</v>
      </c>
      <c r="U198">
        <v>11.62</v>
      </c>
      <c r="V198">
        <v>40.369999999999997</v>
      </c>
      <c r="W198">
        <v>42.823799999999999</v>
      </c>
      <c r="X198">
        <v>24</v>
      </c>
      <c r="Y198">
        <v>41.52</v>
      </c>
      <c r="Z198">
        <v>38.44</v>
      </c>
      <c r="AA198">
        <v>69.48</v>
      </c>
      <c r="AB198">
        <v>52.23</v>
      </c>
      <c r="AC198">
        <v>37.549999999999997</v>
      </c>
      <c r="AD198">
        <v>454.56</v>
      </c>
      <c r="AE198">
        <v>535.41999999999996</v>
      </c>
      <c r="AF198">
        <v>40.119999999999997</v>
      </c>
      <c r="AG198">
        <v>47.77</v>
      </c>
      <c r="AH198">
        <v>42.43</v>
      </c>
      <c r="AI198">
        <v>42.69</v>
      </c>
    </row>
    <row r="199" spans="1:35" x14ac:dyDescent="0.45">
      <c r="A199" s="2">
        <v>45769</v>
      </c>
      <c r="B199">
        <v>27.16</v>
      </c>
      <c r="C199">
        <v>30.91</v>
      </c>
      <c r="D199">
        <v>16.36</v>
      </c>
      <c r="E199">
        <v>25.55</v>
      </c>
      <c r="F199">
        <v>29.25</v>
      </c>
      <c r="G199">
        <v>43.835999999999999</v>
      </c>
      <c r="H199">
        <v>22.91</v>
      </c>
      <c r="I199">
        <v>44.33</v>
      </c>
      <c r="J199">
        <v>55.51</v>
      </c>
      <c r="K199">
        <v>54.81</v>
      </c>
      <c r="L199">
        <v>25.86</v>
      </c>
      <c r="M199">
        <v>48.16</v>
      </c>
      <c r="N199">
        <v>49.05</v>
      </c>
      <c r="O199">
        <v>53.5</v>
      </c>
      <c r="P199">
        <v>50.9</v>
      </c>
      <c r="Q199">
        <v>17.91</v>
      </c>
      <c r="R199">
        <v>1144.05</v>
      </c>
      <c r="S199">
        <v>31.66</v>
      </c>
      <c r="T199">
        <v>17.010000000000002</v>
      </c>
      <c r="U199">
        <v>11.64</v>
      </c>
      <c r="V199">
        <v>40.409999999999997</v>
      </c>
      <c r="W199">
        <v>43.094999999999999</v>
      </c>
      <c r="X199">
        <v>23.96</v>
      </c>
      <c r="Y199">
        <v>41.39</v>
      </c>
      <c r="Z199">
        <v>38.03</v>
      </c>
      <c r="AA199">
        <v>69.27</v>
      </c>
      <c r="AB199">
        <v>52.45</v>
      </c>
      <c r="AC199">
        <v>37.58</v>
      </c>
      <c r="AD199">
        <v>444.48</v>
      </c>
      <c r="AE199">
        <v>527.25</v>
      </c>
      <c r="AF199">
        <v>39.840000000000003</v>
      </c>
      <c r="AG199">
        <v>47.1</v>
      </c>
      <c r="AH199">
        <v>42.68</v>
      </c>
      <c r="AI199">
        <v>42.81</v>
      </c>
    </row>
    <row r="200" spans="1:35" x14ac:dyDescent="0.45">
      <c r="A200" s="2">
        <v>45768</v>
      </c>
      <c r="B200">
        <v>27.04</v>
      </c>
      <c r="C200">
        <v>30.05</v>
      </c>
      <c r="D200">
        <v>16.03</v>
      </c>
      <c r="E200">
        <v>25.17</v>
      </c>
      <c r="F200">
        <v>28.63</v>
      </c>
      <c r="G200">
        <v>43.48</v>
      </c>
      <c r="H200">
        <v>23.04</v>
      </c>
      <c r="I200">
        <v>44.22</v>
      </c>
      <c r="J200">
        <v>54.34</v>
      </c>
      <c r="K200">
        <v>54.39</v>
      </c>
      <c r="L200">
        <v>25.2</v>
      </c>
      <c r="M200">
        <v>47.6</v>
      </c>
      <c r="N200">
        <v>47.02</v>
      </c>
      <c r="O200">
        <v>53</v>
      </c>
      <c r="P200">
        <v>49.39</v>
      </c>
      <c r="Q200">
        <v>17.78</v>
      </c>
      <c r="R200">
        <v>1134.71</v>
      </c>
      <c r="S200">
        <v>31.71</v>
      </c>
      <c r="T200">
        <v>16.760000000000002</v>
      </c>
      <c r="U200">
        <v>11.51</v>
      </c>
      <c r="V200">
        <v>39.9</v>
      </c>
      <c r="W200">
        <v>43.38</v>
      </c>
      <c r="X200">
        <v>23.48</v>
      </c>
      <c r="Y200">
        <v>40.770000000000003</v>
      </c>
      <c r="Z200">
        <v>37.03</v>
      </c>
      <c r="AA200">
        <v>67.92</v>
      </c>
      <c r="AB200">
        <v>51.82</v>
      </c>
      <c r="AC200">
        <v>36.82</v>
      </c>
      <c r="AD200">
        <v>433.11</v>
      </c>
      <c r="AE200">
        <v>513.88</v>
      </c>
      <c r="AF200">
        <v>38.97</v>
      </c>
      <c r="AG200">
        <v>46.09</v>
      </c>
      <c r="AH200">
        <v>41.77</v>
      </c>
      <c r="AI200">
        <v>41.94</v>
      </c>
    </row>
    <row r="201" spans="1:35" x14ac:dyDescent="0.45">
      <c r="A201" s="2">
        <v>45765</v>
      </c>
      <c r="B201">
        <v>26.82</v>
      </c>
      <c r="C201">
        <v>29.95</v>
      </c>
      <c r="D201">
        <v>16.13</v>
      </c>
      <c r="E201">
        <v>25.3019</v>
      </c>
      <c r="F201">
        <v>28.29</v>
      </c>
      <c r="G201">
        <v>43.2</v>
      </c>
      <c r="H201">
        <v>22.77</v>
      </c>
      <c r="I201">
        <v>44.88</v>
      </c>
      <c r="J201">
        <v>54.93</v>
      </c>
      <c r="K201">
        <v>54.31</v>
      </c>
      <c r="L201">
        <v>25.22</v>
      </c>
      <c r="M201">
        <v>47.9</v>
      </c>
      <c r="N201">
        <v>47.34</v>
      </c>
      <c r="O201">
        <v>52.26</v>
      </c>
      <c r="P201">
        <v>49.29</v>
      </c>
      <c r="Q201">
        <v>17.72</v>
      </c>
      <c r="R201">
        <v>1150.95</v>
      </c>
      <c r="S201">
        <v>31.91</v>
      </c>
      <c r="T201">
        <v>16.760000000000002</v>
      </c>
      <c r="U201">
        <v>11.73</v>
      </c>
      <c r="V201">
        <v>40.19</v>
      </c>
      <c r="W201">
        <v>43.5</v>
      </c>
      <c r="X201">
        <v>23.61</v>
      </c>
      <c r="Y201">
        <v>41.1</v>
      </c>
      <c r="Z201">
        <v>37.4</v>
      </c>
      <c r="AA201">
        <v>68.069999999999993</v>
      </c>
      <c r="AB201">
        <v>51.95</v>
      </c>
      <c r="AC201">
        <v>36.97</v>
      </c>
      <c r="AD201">
        <v>444.1</v>
      </c>
      <c r="AE201">
        <v>526.41</v>
      </c>
      <c r="AF201">
        <v>39.22</v>
      </c>
      <c r="AG201">
        <v>46.55</v>
      </c>
      <c r="AH201">
        <v>41.9</v>
      </c>
      <c r="AI201">
        <v>42.13</v>
      </c>
    </row>
    <row r="202" spans="1:35" x14ac:dyDescent="0.45">
      <c r="A202" s="2">
        <v>45764</v>
      </c>
      <c r="B202">
        <v>26.82</v>
      </c>
      <c r="C202">
        <v>29.95</v>
      </c>
      <c r="D202">
        <v>16.13</v>
      </c>
      <c r="E202">
        <v>25.3019</v>
      </c>
      <c r="F202">
        <v>28.29</v>
      </c>
      <c r="G202">
        <v>43.2</v>
      </c>
      <c r="H202">
        <v>22.77</v>
      </c>
      <c r="I202">
        <v>44.88</v>
      </c>
      <c r="J202">
        <v>54.93</v>
      </c>
      <c r="K202">
        <v>54.31</v>
      </c>
      <c r="L202">
        <v>25.22</v>
      </c>
      <c r="M202">
        <v>47.9</v>
      </c>
      <c r="N202">
        <v>47.34</v>
      </c>
      <c r="O202">
        <v>52.26</v>
      </c>
      <c r="P202">
        <v>49.29</v>
      </c>
      <c r="Q202">
        <v>17.72</v>
      </c>
      <c r="R202">
        <v>1141.28</v>
      </c>
      <c r="S202">
        <v>31.91</v>
      </c>
      <c r="T202">
        <v>16.760000000000002</v>
      </c>
      <c r="U202">
        <v>11.73</v>
      </c>
      <c r="V202">
        <v>40.19</v>
      </c>
      <c r="W202">
        <v>43.5</v>
      </c>
      <c r="X202">
        <v>23.61</v>
      </c>
      <c r="Y202">
        <v>41.1</v>
      </c>
      <c r="Z202">
        <v>37.4</v>
      </c>
      <c r="AA202">
        <v>68.069999999999993</v>
      </c>
      <c r="AB202">
        <v>51.95</v>
      </c>
      <c r="AC202">
        <v>36.97</v>
      </c>
      <c r="AD202">
        <v>444.1</v>
      </c>
      <c r="AE202">
        <v>526.41</v>
      </c>
      <c r="AF202">
        <v>39.22</v>
      </c>
      <c r="AG202">
        <v>46.55</v>
      </c>
      <c r="AH202">
        <v>41.9</v>
      </c>
      <c r="AI202">
        <v>42.13</v>
      </c>
    </row>
    <row r="204" spans="1:35" x14ac:dyDescent="0.45">
      <c r="A204" t="s">
        <v>78</v>
      </c>
      <c r="B204">
        <f>AVERAGE(_xlfn.ANCHORARRAY(B2))</f>
        <v>31.715708457711433</v>
      </c>
      <c r="C204">
        <f t="shared" ref="C204:AI204" si="0">AVERAGE(_xlfn.ANCHORARRAY(C2))</f>
        <v>34.20243781094527</v>
      </c>
      <c r="D204">
        <f t="shared" si="0"/>
        <v>18.086915422885564</v>
      </c>
      <c r="E204">
        <f t="shared" si="0"/>
        <v>26.002691542288577</v>
      </c>
      <c r="F204">
        <f t="shared" si="0"/>
        <v>32.604477611940297</v>
      </c>
      <c r="G204">
        <f t="shared" si="0"/>
        <v>57.138340796019911</v>
      </c>
      <c r="H204">
        <f t="shared" si="0"/>
        <v>25.377412935323395</v>
      </c>
      <c r="I204">
        <f t="shared" si="0"/>
        <v>60.015373134328314</v>
      </c>
      <c r="J204">
        <f t="shared" si="0"/>
        <v>64.006666666666661</v>
      </c>
      <c r="K204">
        <f t="shared" si="0"/>
        <v>79.351940298507458</v>
      </c>
      <c r="L204">
        <f t="shared" si="0"/>
        <v>29.686119402985071</v>
      </c>
      <c r="M204">
        <f t="shared" si="0"/>
        <v>59.872139303482555</v>
      </c>
      <c r="N204">
        <f t="shared" si="0"/>
        <v>61.69063233830844</v>
      </c>
      <c r="O204">
        <f t="shared" si="0"/>
        <v>53.760522388059719</v>
      </c>
      <c r="P204">
        <f t="shared" si="0"/>
        <v>59.455696517413017</v>
      </c>
      <c r="Q204">
        <f t="shared" si="0"/>
        <v>19.128993034825868</v>
      </c>
      <c r="R204">
        <f t="shared" si="0"/>
        <v>1230.4057711442786</v>
      </c>
      <c r="S204">
        <f t="shared" si="0"/>
        <v>33.488332338308417</v>
      </c>
      <c r="T204">
        <f t="shared" si="0"/>
        <v>19.077744278606978</v>
      </c>
      <c r="U204">
        <f t="shared" si="0"/>
        <v>16.444776119402992</v>
      </c>
      <c r="V204">
        <f t="shared" si="0"/>
        <v>38.451442786069663</v>
      </c>
      <c r="W204">
        <f t="shared" si="0"/>
        <v>45.444089054726348</v>
      </c>
      <c r="X204">
        <f t="shared" si="0"/>
        <v>26.272786069651737</v>
      </c>
      <c r="Y204">
        <f t="shared" si="0"/>
        <v>48.701592039801014</v>
      </c>
      <c r="Z204">
        <f t="shared" si="0"/>
        <v>41.54363184079606</v>
      </c>
      <c r="AA204">
        <f t="shared" si="0"/>
        <v>78.159701492537337</v>
      </c>
      <c r="AB204">
        <f t="shared" si="0"/>
        <v>55.948557213930364</v>
      </c>
      <c r="AC204">
        <f t="shared" si="0"/>
        <v>41.379900497512438</v>
      </c>
      <c r="AD204">
        <f t="shared" si="0"/>
        <v>572.82273631840803</v>
      </c>
      <c r="AE204">
        <f t="shared" si="0"/>
        <v>640.36855721393033</v>
      </c>
      <c r="AF204">
        <f t="shared" si="0"/>
        <v>43.440348258706493</v>
      </c>
      <c r="AG204">
        <f t="shared" si="0"/>
        <v>55.218152736318466</v>
      </c>
      <c r="AH204">
        <f t="shared" si="0"/>
        <v>46.74139303482589</v>
      </c>
      <c r="AI204">
        <f t="shared" si="0"/>
        <v>50.26950248756215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9163950"><![CDATA[{"KSA^FG_TOTAL_RETURNC(-5AY,0,AM)":[2.1900177,2.3006558,5.298829,7.811582,1.953876,4.811871,-0.94847083,5.6185365,0.9286642,6.676376,-6.3495636,0.25155544,9.075546,2.3500443,3.9580226,4.017663,-8.877653,-8.965069,5.3536296,6.340325,-9.754497,7.7240705,-9.627951,-7.6013985,6.441045,-5.8717966,1.6889215,8.089995,2.7261496,-0.20405054,3.082192,-4.2714715,-3.7927568,-4.199952,6.4550877,5.3467274,4.106927,4.3183923,0.40277243,-3.3207,-2.9967725,-1.106,3.0487776,0.18935204,-0.023627281,-1.2759924,-0.4547596,-0.5475998,3.537929,0.04761219,-4.020935,0.17352104,-2.79634,-5.351776,2.5711179,1.6800046,0.13113022,6.1026692,-5.504811,-3.3565402,6.5116286],"EWG^FG_PRICE(0,-200D)":[43.1,42.82,42.54,43.34,43.34,43.24,43.49,43.57,43.83,43.41,43.31,43.26,43.13,43.05,42.56,42.5,42.5,42.75,42.51,42.65,42.57,42.57,42.44,42.34,42.1,41.94,41.61,42.03,42.1,42.18,42.39,41.94,41.53,41.34,41.41,41.14,40.95,40.89,40.52,40.92,40.6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1.88,42.02,41.89,42.13,42.12,42.66,42.08,42.39,42.39,42.45,42.58,42.5,42.38,42.15,41.94,42.34,42.33,41.84,41.49,41.3,40.75,41.15,41.63,41.89,41.67,42.81,42.7,43.21,42.42,42.42,42.13,42.35,42.18,41.82,42.35,42.45,42.86,43.26,42.59,42.23,42.21,42.21,42.17,42.01,42.31,42.3,41.64,41.15,41.39,40.75,40.34,40.28,40.28,40.4,41.13,41.51,42.22,42.11,42.12,42.31,42.52,42.57,42.46,42.12,42.34,41.97,41.85,41.77,42.31,41.26,41.26,41.64,41.68,41.77,41.56,40.85,40.86,40.34,40.59,40.38,40.77,40.46,40.44,40.67,40.72,40.34,39.46,39.49,39.67,39.47,39.36,39.03,38.44,38.03,37.03,37.4,37.4],"EWW^FG_PRICE(0,-200D)":[75.75,75.36,74.61,74.0,74.0,73.25,73.38,71.97,72.06,71.06,70.48,69.92,70.04,70.58,69.66,69.33,69.33,69.49,70.51,71.15,70.95,70.95,71.04,69.95,68.85,68.75,67.45,68.28,70.48,70.69,71.06,69.04,69.27,68.64,68.68,68.82,68.43,68.71,68.46,68.42,67.88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1.94,62.52,61.94,61.44,61.71,62.8,61.55,61.17,61.25,61.19,61.34,60.99,61.99,62.33,61.54,61.64,61.65,60.76,60.19,59.23,59.6,60.14,60.17,60.93,60.06,61.05,60.85,60.47,59.03,59.24,59.46,59.79,59.77,59.38,59.61,60.13,60.29,60.28,60.89,61.11,61.7,61.7,61.59,61.12,60.56,60.32,60.31,59.68,59.21,57.94,58.11,58.97,58.97,58.91,59.82,61.06,61.57,61.56,61.36,61.09,61.24,60.72,60.25,60.39,60.64,60.17,61.23,60.9,61.13,60.67,60.67,59.83,60.32,60.53,60.57,59.51,59.26,59.36,59.08,57.84,58.12,58.11,59.09,58.39,56.68,56.94,56.67,56.97,56.42,58.12,57.94,57.34,56.51,55.51,54.34,54.93,54.93],"CNYA^FG_PRICE(0,-200D)":[35.78,35.805,35.5,35.515,35.515,35.87,35.6,35.59,36.23,35.83,35.49,35.5,35.64,35.21,34.91,34.58,34.58,34.59,34.37,34.71,34.44,34.44,34.31,34.24,33.89,33.58,33.63,33.197,34.05,34.08,34.09,34.34,34.225,34.36,34.21,33.74,33.76,33.81,34.25,33.95,33.59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47,33.16,32.26,32.91,32.91,32.71,31.62,31.74,31.02,31.32,30.97,30.72,31.01,30.73,30.295,30.27,30.3,30.33,30.17,29.9,29.6,29.68,30.24,30.44,30.29,30.31,30.45,30.35,30.365,29.98,29.73,29.6,29.26,29.29,29.395,29.2,29.32,29.07,29.12,28.86,28.91,28.91,28.7,28.71,28.71,28.46,28.79,28.805,28.55,28.03,27.925,27.96,27.96,28.0,28.12,28.15,28.42,28.29,28.1,28.3,28.22,28.29,28.18,27.96,27.72,27.67,28.02,27.83,27.9,28.2,28.2,28.3,28.4,28.28,28.14,28.24,28.25,28.58,28.34,28.45,27.78,27.85,27.58,27.82,27.7,27.66,26.92,27.06,27.14,27.14,27.25,27.29,27.2,27.16,27.04,26.82,26.82],"EWU^FG_TOTAL_RETURNC(-5AY,0,AM)":[6.2456727,1.3063312,1.0315895,2.9355407,4.773712,-0.68709254,-2.5749743,1.6791105,-0.6727874,3.8793206,-2.252525,1.8805385,3.0580997,1.1572719,-0.9386897,-2.3393571,-2.7289212,-5.973154,0.06752014,2.2267222,-8.448845,-1.9826949,12.5046015,1.595819,6.988883,-0.9157479,-3.049904,7.372105,-1.6573012,-0.91049075,3.0340552,-5.588937,1.8777847,-3.7488222,4.1220427,4.980874,-2.7642787,2.749145,3.0708432,0.058984756,7.5176954,-1.8437743,1.8798113,2.8235912,0.7069111,-1.2958944,-3.8019776,-2.1973789,3.5915732,4.183376,3.2178164,0.13324022,5.188918,0.42068958,3.9331555,4.08113,-1.1169255,1.9226074,-0.825274,6.13333,2.9230356],"EWL^FG_TOTAL_RETURNC(-5AY,0,AM)":[4.817617,-2.7139366,1.1023521,3.8940787,2.8485775,4.0077806,0.081562996,3.5452247,-4.860294,2.440536,1.2113929,3.5707116,-4.0061593,-3.9125204,2.276051,-2.6541412,-8.410239,-6.1379013,5.302465,-0.44916868,-8.762771,-0.6246686,11.000526,-1.1798024,7.28271,-0.91252923,-2.6280344,10.957325,0.1455307,-3.0402899,3.8091063,-4.618299,-1.9898236,-4.489064,5.9281945,5.797112,-0.88514686,0.19136667,0.59423447,-2.8481066,4.9077153,2.6894689,2.8400898,3.301978,-1.8597424,0.039482117,-6.708765,-2.8764844,5.4878116,6.56482,2.7896166,-1.1496425,4.4232607,-1.9854784,4.3280125,1.2372613,-0.12580752,2.8252602,-0.7875383,5.7152987,1.1012793],"EWZ^FG_TOTAL_RETURNC(-5AY,0,AM)":[-4.262286,-4.4805946,0.7768154,4.9510837,4.576266,12.967741,-6.1422644,-9.829277,-4.0447474,-10.07474,-3.058511,2.361858,7.857454,11.798132,7.4738383,-3.3379734,-3.251803,-13.560331,-6.092286,18.886757,3.9715886,5.8695674,-13.5523615,3.0274034,3.4384966,-3.3584654,-7.446808,6.130266,7.833934,12.435806,0.7321596,-6.450641,0.9064436,-3.9461017,12.758839,6.2539577,-6.585783,3.5559773,-4.060918,-3.4858406,-0.45146346,-8.125841,2.8769135,5.34513,-1.9153237,-3.7341535,-2.0996451,-12.248034,4.720664,5.3349853,4.3188095,-2.6721835,6.419182,2.3747802,-2.421397,5.962968,7.6197147,-2.4683356,6.6599965,-0.16760826,16.46539],"EWA^FG_PRICE(0,-200D)":[27.07,26.7,26.46,26.74,26.74,26.65,26.54,26.41,26.45,26.26,26.37,26.27,26.49,26.61,26.47,26.19,26.19,26.41,26.48,26.68,26.6,26.6,26.61,26.15,25.88,25.81,25.58,25.82,26.42,26.52,26.64,26.65,26.35,26.24,26.34,26.29,26.13,25.93,25.73,25.85,25.82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8,27.09,27.0,26.97,26.83,27.26,26.86,26.7,26.61,26.84,26.83,26.74,26.91,26.96,26.65,26.63,26.6,26.66,26.41,26.28,25.91,26.02,26.15,26.37,26.22,26.48,26.58,26.82,26.55,26.37,26.45,26.28,26.19,26.07,26.39,26.36,26.58,26.24,26.14,25.98,26.48,26.48,26.54,26.35,26.32,26.09,26.43,26.03,26.05,25.79,25.55,25.86,25.86,25.77,26.09,26.32,26.64,26.6,26.71,26.44,26.37,26.36,26.33,26.07,26.15,25.81,25.64,25.56,25.87,25.65,25.65,25.41,25.41,25.63,25.63,25.47,25.55,25.16,25.42,25.18,25.01,24.83,24.89,25.05,24.99,25.31,24.65,24.67,24.55,24.52,24.51,24.51,24.0,23.96,23.48,23.61,23.61],"TUR^FG_TOTAL_RETURNC(-5AY,0,AM)":[13.919413,4.573059,-20.925861,-3.6076963,5.826986,-4.135096,-3.0482233,8.118259,-4.9479246,-5.11415,-0.14437437,-8.121657,5.374086,-1.4000058,2.5354981,12.611282,-11.067194,-1.478678,-3.5567045,18.118656,5.8823466,16.23932,19.338226,13.781107,0.51699877,-7.0384383,-1.4851451,-0.8867979,-12.854158,-1.3663948,12.437105,15.569056,3.9834023,-8.832132,3.501606,-5.6925535,1.9939542,14.069902,-5.842638,5.557096,15.035915,-2.854991,4.236686,-14.691192,-0.74527264,-10.404939,8.051479,-0.32860637,2.3995519,-8.283382,-8.585858,2.8924227,0.12634993,-4.050499,13.050735,5.37349,-0.30819774,-7.363695,2.487862,3.5176396,12.915349],"ECH^FG_TOTAL_RETURNC(-5AY,0,AM)":[7.5535893,2.7522922,4.833746,1.1453748,-17.595816,3.1686306,-3.716576,-2.3448765,0.48023462,-10.882354,17.574263,-20.64665,21.986437,-4.155743,12.109375,-6.5156817,4.5844197,-5.8483067,-2.7558982,4.7368407,-1.2756109,-4.815978,5.3064585,4.5367002,7.7807665,1.4224768,-2.629733,-0.75621605,8.454287,0.9251237,7.0320487,-8.18035,-8.312875,-8.263201,11.00918,4.083812,-5.9208155,-2.6640952,3.9666772,0.11446476,9.7561,-7.1677628,1.381433,0.60560703,-2.9345393,3.0232549,-5.417609,0.49171448,4.8451066,8.598482,5.685377,2.0132065,5.5807114,-5.7743907,0.9634495,7.930243,2.1341443,-0.08955002,8.574843,9.670591,16.270483],"SPY^FG_PRICE(0,-200D)":[688.98,685.4,677.58,691.66,691.66,692.24,690.36,693.77,695.16,694.07,689.51,689.58,691.81,687.72,683.17,681.92,681.92,687.01,687.85,690.31,690.38,690.38,687.96,684.83,680.59,676.47,671.4,678.87,680.73,681.76,689.17,687.57,683.04,683.63,685.69,684.39,683.89,681.53,680.27,683.39,679.68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5.34,620.45,617.65,617.85,614.91,611.87,607.12,606.78,600.15,594.28,597.44,597.44,597.53,602.68,597.0,603.75,601.36,603.08,599.68,599.14,593.05,595.93,596.09,592.71,589.39,590.05,587.73,591.15,579.11,579.11,583.09,582.86,592.85,594.85,594.2,590.46,587.59,586.84,582.99,564.34,565.06,561.15,558.8,563.51,566.76,558.47,554.54,554.32,550.85,550.64,546.69,535.42,527.25,513.88,526.41,526.41],"INDA^FG_PRICE(0,-200D)":[51.795,51.55,51.73,52.85,52.85,53.22,53.25,53.04,53.4,53.175,53.72,54.2,54.08,54.29,54.56,54.05,54.05,53.64,53.47,53.84,54.01,54.01,54.47,54.19,54.15,53.28,52.97,52.95,53.1,53.14,53.57,53.36,53.27,53.08,53.97,53.76,53.41,53.88,54.33,54.71,54.67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1.98,52.54,52.68,52.55,53.23,53.58,53.57,53.8,53.65,53.5,52.71,52.41,52.71,52.465,52.27,52.12,52.53,52.255,52.41,52.48,52.72,52.64,52.7,53.49,53.23,53.8,54.06,54.73,54.61,54.75,54.5,55.01,55.27,54.875,54.92,54.88,55.27,55.66,55.69,55.36,55.79,55.79,55.6,55.84,55.68,55.86,55.71,55.0,54.8,54.31,53.9,53.79,53.79,53.83,54.56,54.04,54.8,55.33,55.26,55.24,54.91,54.18,53.92,53.96,54.54,54.31,54.59,54.285,54.53,54.58,54.58,53.79,54.03,54.07,54.78,54.66,54.77,53.97,54.01,54.32,52.39,51.54,53.22,53.68,54.32,53.91,53.54,53.57,53.54,53.29,52.85,53.74,53.18,53.5,53.0,52.26,52.26],"EWD^FG_TOTAL_RETURNC(-5AY,0,AM)":[7.19918,1.945889,4.445994,4.7024727,2.3414254,-0.7360518,2.1226406,-0.9447813,-2.0771503,5.5194736,-2.9128194,-2.1442294,-5.6194425,-7.975465,2.307701,-4.8621597,-8.113802,-7.9023066,3.7155747,-3.9839447,-10.678673,1.980555,15.889835,-1.0217547,9.845198,-0.33821464,-4.1006804,7.7263355,-1.1771142,-4.099721,3.3795595,-8.2984085,-1.0054767,-2.2468507,12.59445,12.98573,-6.974387,7.19738,3.458798,-4.7689257,6.917906,-1.185298,0.49653053,1.5069127,2.798736,-3.858906,-6.0822487,-2.0188808,7.198298,8.986521,0.84745884,-3.0660868,5.64667,-0.65267086,3.1956077,4.490161,0.825572,1.53265,-4.7559977,7.269454,6.024599],"EWG^FG_TOTAL_RETURNC(-5AY,0,AM)":[4.026842,0.27649403,2.542901,4.063344,2.1245956,-0.15932322,-1.7468393,0.8743763,-2.1670043,-0.23627281,-0.97690225,-2.3441017,-0.85131526,-5.2631617,-5.128205,-6.1330557,-3.691399,-6.114727,-3.5353541,-3.3595145,-5.643344,1.3875604,17.461061,-0.8907676,12.611521,-0.7922292,-0.4355669,6.671524,-0.17088652,-0.2791524,2.6455045,-5.3608236,-3.0138075,-5.6907473,10.956728,5.622709,-2.0325243,4.4260025,3.6092758,-2.9082835,5.5957913,-3.6021948,3.9430141,1.5301228,2.6373625,0.27531385,-4.1793766,1.8783808,6.5000057,5.369711,6.070733,-0.15752316,9.492504,-1.5219331,5.1561713,0.5657792,-3.3286393,0.4849553,-4.9227715,7.4619293,1.7949939],"EWW^FG_TOTAL_RETURNC(-5AY,0,AM)":[5.177939,-4.5856533,6.9041133,7.1428537,1.767838,-0.5874872,1.4428139,1.5477896,2.1009326,-0.08069873,-5.7944655,7.241559,-0.50668716,2.7907848,5.2120566,-3.032589,-0.7187247,-8.716822,-0.8705139,3.3369899,-1.6358614,2.4406075,13.219488,-3.481871,11.970854,1.7408133,-2.6615977,6.4453125,-0.58382154,4.8137546,1.435256,-1.3672531,-3.3204377,-11.187058,16.895067,10.577381,-5.559647,4.9344063,0.41667223,-2.7860165,2.7591586,-14.3287,4.155755,-9.304279,-0.22180676,-1.3894022,-5.823779,0.5913377,0.77757835,5.56345,-0.5578041,7.369435,7.7823877,-1.1159778,1.5832067,6.386578,6.5286636,-2.0777285,0.8090377,7.979381,8.291637],"KSA^FG_PRICE(0,-200D)":[38.93,38.3,37.94,37.83,37.83,37.99,38.21,38.21,37.82,36.87,36.82,36.32,37.03,36.0,36.77,36.41,36.41,36.05,36.39,36.57,36.6,36.6,36.76,36.55,36.36,36.3,35.83,36.09,36.81,37.4,37.62,37.66,37.43,37.19,37.2,37.17,37.04,36.98,37.06,37.44,37.38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36,37.47,37.68,38.02,38.08,38.13,37.94,37.89,37.84,37.83,37.55,37.59,37.44,37.49,37.43,37.83,37.83,38.04,37.78,37.63,37.32,37.56,37.62,37.39,37.61,37.72,37.68,37.97,37.5,37.82,38.13,38.17,38.1,38.09,38.65,38.89,39.0,38.89,38.9,39.08,38.89,38.89,38.44,38.25,38.54,38.26,38.16,37.82,37.72,37.1,36.56,36.36,36.36,36.83,37.48,37.13,38.07,38.46,38.72,38.57,38.51,38.48,38.38,38.0,38.16,38.33,38.39,38.6,38.21,39.17,39.17,39.28,39.3,39.89,39.91,40.19,40.13,40.21,40.3,40.04,39.54,39.44,39.53,39.72,39.71,40.33,40.01,40.43,40.74,40.85,41.16,41.05,40.37,40.41,39.9,40.19,40.19],"EPOL^FG_PRICE(0,-200D)":[37.26,36.15,35.84,35.92,35.92,36.15,36.03,36.09,36.38,36.2,35.82,36.6,36.26,36.17,36.25,35.19,35.19,35.16,34.96,35.2,35.15,35.15,34.99,35.2,34.78,34.41,34.27,34.41,35.9,35.2,35.27,34.88,34.25,33.51,33.44,33.53,33.61,33.65,33.9,34.07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1.7,32.07,32.34,32.86,32.59,32.7,33.38,33.78,33.79,33.64,33.45,33.27,34.07,33.99,33.44,33.97,33.53,32.84,31.79,31.94,31.7,31.75,32.21,32.25,32.13,33.35,33.29,33.45,32.93,32.9,32.86,32.34,31.97,31.66,32.14,31.95,32.05,32.72,32.62,32.25,32.82,32.82,32.19,32.06,32.26,31.69,31.65,30.57,30.56,29.51,29.72,29.36,29.36,29.39,29.38,29.86,30.63,30.62,30.83,30.0,29.46,29.75,30.22,29.92,30.49,30.37,30.72,31.25,30.82,29.85,29.85,29.99,30.09,30.77,30.53,30.32,30.49,30.68,30.8,30.5,30.88,29.94,29.66,29.48,29.83,30.09,29.45,29.48,30.3,30.3,30.04,30.19,29.43,29.25,28.63,28.29,28.29],"EWN^FG_TOTAL_RETURNC(-5AY,0,AM)":[8.500743,2.3933053,0.08820295,6.146729,0.9962678,0.1450777,0.9708762,3.9075255,2.8155208,0.49788952,-2.3627996,-3.7217498,-4.537135,-6.777489,-1.3488829,-6.674391,-7.797366,-5.5666685,6.1253905,-3.6482453,-9.522462,0.4372239,18.06593,-0.49200654,11.291611,-1.6750455,-1.2168407,3.9418578,2.0621061,-0.28865933,3.9331198,-7.2286487,-6.2774777,-4.691166,14.438057,6.532502,-0.6327629,9.028875,2.3362637,-3.2001615,7.8227043,0.012254715,0.13823509,-1.0845959,-1.5550196,-2.8554082,-6.712532,0.8224368,4.2029977,3.34692,0.16608238,-2.3834229,11.549902,0.08647442,2.846837,1.5326977,5.8537006,1.3249636,-3.7852705,5.854571,8.998418],"QAT^FG_TOTAL_RETURNC(-5AY,0,AM)":[2.1574974,-3.9598703,1.3194084,5.914271,-0.102460384,0.96993446,-2.4402857,3.8850427,1.9472361,5.1351547,-0.822103,-1.2573481,6.6666603,3.7077904,4.9557447,3.0354142,-6.7103148,-7.978052,5.867839,8.337223,-8.598453,1.9285083,-6.3585577,-6.564772,0.69001913,-3.0047417,-4.5108676,1.9351125,8.65438,-5.793029,3.7131548,-1.0658622,-2.872932,-6.370878,6.4398646,1.255703,0.0,0.9582877,0.94919205,-5.1991167,0.5834341,-0.19246936,4.475343,1.9219518,3.7142873,1.8181801,-1.055193,-1.1556149,0.61831474,0.39105415,0.11129379,-0.44469237,6.70017,-5.044121,9.14222,4.3929696,-1.2362778,-4.012042,-2.4033368,2.0769954,5.628574],"ECH^JULIAN(FG_TOTAL_RETURNC(-5AY,0,AM).DATES)":[44218,44249,44277,44308,44337,44369,44399,44428,44461,44491,44522,44552,44582,44614,44642,44673,44701,44734,44764,44795,44826,44855,44887,44917,44946,44979,45007,45037,45068,45099,45128,45160,45191,45219,45252,45282,45313,45344,45373,45404,45434,45464,45495,45526,45555,45587,45618,45646,45679,45709,45737,45769,45799,45828,45860,45891,45922,45952,45982,46013,46044],"EWU^FG_PRICE(0,-200D)":[45.07,45.16,44.7,45.18,45.18,45.09,45.28,44.98,45.09,44.79,44.6,44.49,45.05,44.81,44.46,43.98,43.98,44.22,44.02,44.24,44.08,44.08,43.98,43.79,43.54,43.13,42.94,42.73,43.75,43.28,43.65,43.46,42.88,43.08,43.22,43.42,43.46,43.01,42.93,43.15,42.99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46,41.57,41.66,41.74,41.79,42.08,41.66,41.72,41.29,41.29,41.27,41.5,41.36,41.03,40.64,40.53,40.49,40.38,40.23,40.21,39.94,39.81,40.04,40.39,40.12,40.64,40.77,40.9,40.43,40.01,39.8,39.83,39.85,39.59,40.03,39.92,40.27,40.01,39.79,39.42,39.82,39.82,39.61,39.85,39.72,39.72,39.69,39.28,39.41,39.17,38.9,39.22,39.22,39.2,39.62,40.42,40.78,40.41,40.31,40.34,40.35,40.22,40.19,40.06,40.29,39.92,39.79,39.67,40.07,39.88,39.88,39.53,39.43,39.61,39.33,38.9,38.8,38.25,38.42,38.24,38.29,38.11,38.43,38.57,38.64,38.6,37.88,38.1,38.35,38.19,37.94,37.89,37.55,37.58,36.82,36.97,36.97],"EZA^FG_PRICE(0,-200D)":[75.56,73.52,73.44,72.78,72.78,73.74,73.39,73.09,72.78,70.69,70.34,71.45,72.74,70.24,69.4,68.8,68.8,69.23,68.43,70.31,69.92,69.92,69.54,68.79,67.6,67.51,66.64,65.7,69.61,68.63,69.5,68.18,66.91,66.39,67.88,67.05,66.92,66.5,67.45,66.74,67.83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67,57.15,57.38,58.1,58.35,58.8,56.91,57.11,56.67,57.11,57.62,57.64,58.36,57.5,56.36,56.45,56.66,56.17,55.4,55.05,53.43,53.05,53.99,54.54,54.22,54.74,55.44,56.27,55.74,55.7,54.81,53.57,53.43,52.86,52.99,52.98,53.95,54.0,53.81,53.84,54.79,54.79,54.31,54.21,53.75,52.64,52.98,52.89,53.46,52.35,51.73,51.8,51.8,51.56,53.04,53.3,54.77,54.08,54.66,54.44,53.94,54.03,53.46,53.13,53.27,52.21,53.05,52.03,51.91,52.52,52.52,51.43,51.45,51.61,51.08,51.24,51.09,50.22,50.41,50.19,50.64,49.85,50.23,50.71,50.44,50.19,49.27,49.52,49.14,49.09,48.38,47.96,47.55,48.16,47.6,47.9,47.9],"EWQ^FG_TOTAL_RETURNC(-5AY,0,AM)":[2.1042943,2.6881814,1.5125036,5.4441214,4.375005,1.1960149,-2.8095663,1.632762,0.5793929,2.0424247,0.79547167,0.46406984,-0.9375036,-3.6277652,-3.655213,-3.2559514,-4.3605447,-5.5874944,1.7017007,0.2296567,-7.9541683,2.4893284,14.295626,0.97004175,10.108638,0.8769512,-0.9236634,8.884012,-1.7375946,-1.5896678,4.9786925,-5.604869,-3.197211,-5.467659,9.718132,5.3916335,-3.1433642,6.0158253,2.3145795,-2.1649241,3.9532542,-6.0712757,2.1104693,0.3572464,0.940752,-2.7204096,-7.224226,0.21377802,7.4915886,3.8371086,2.8406262,-2.6154995,7.0532203,-0.9999037,4.5289397,2.3633003,-0.9053886,2.5810957,-2.7165473,3.4291267,0.44484138],"EWM^FG_TOTAL_RETURNC(-5AY,0,AM)":[-1.5130222,-1.8578053,1.7109632,-0.6084442,-3.8530767,1.0249496,-4.3212233,-0.759393,1.6109586,5.2715063,-5.8734894,-0.7205963,1.539743,4.13934,0.19676685,-2.0031333,-4.1282597,-7.170081,1.2408137,0.27235746,-4.2553186,-1.5602827,3.1700253,4.211414,8.073974,-7.2203636,-2.744031,1.4801145,-2.55242,-3.4766912,3.2560468,0.09555817,0.5727887,-2.6103437,3.4600377,1.4319539,-0.8979261,3.2904148,1.1541963,0.4564166,5.542934,-1.5473604,2.7099133,7.8287125,8.062577,-4.2687416,-5.7386637,-0.5120456,1.0951996,0.9583354,-4.457283,-1.0367155,5.8053255,-1.3741314,2.4775743,7.2113395,0.27216673,-1.2407959,3.2194853,5.9158444,3.721273],"EWL^FG_PRICE(0,-200D)":[60.59,60.49,60.16,60.51,60.51,60.52,60.87,60.17,60.63,60.58,60.21,60.31,60.55,60.43,60.34,59.96,59.96,60.17,60.35,60.54,60.53,60.53,60.4,59.93,59.57,59.47,58.84,59.02,59.06,58.37,58.49,58.38,57.69,57.76,58.03,57.91,58.07,57.94,57.42,57.82,57.55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33,55.24,55.11,54.97,55.64,54.94,55.52,54.9,54.35,54.5,54.1,54.2,53.81,53.2,53.6,53.68,52.98,53.48,53.31,52.43,52.72,53.48,54.12,54.16,55.16,55.12,56.2,54.96,54.51,54.48,54.36,54.55,54.18,54.71,54.7,55.45,55.28,54.82,54.53,54.9,54.9,55.27,54.98,54.81,54.63,54.26,53.75,54.32,53.46,52.68,53.25,53.25,53.42,53.77,55.22,56.27,55.43,55.67,55.62,55.64,55.47,55.56,55.03,55.54,55.18,54.9,54.62,55.2,55.03,55.03,54.77,55.04,55.17,55.02,54.41,54.02,52.94,53.19,53.53,53.58,53.58,54.15,54.34,54.64,54.47,53.52,53.86,53.67,53.71,53.04,52.96,52.23,52.45,51.82,51.95,51.95],"SPY^FG_TOTAL_RETURNC(-5AY,0,AM)":[4.2587996,1.0838866,1.7693639,5.012858,0.6476402,2.3070812,2.9188633,1.8141747,-0.92099905,3.4851313,3.1890035,0.38160086,-6.352496,-1.9201815,4.98209,-5.238104,-8.546144,-3.4972608,5.5289865,4.621732,-9.0917,0.018703938,6.8422794,-4.353696,3.981924,0.67192316,-1.2334049,5.1235676,1.5987396,4.619825,3.5898328,-3.1027436,-1.4134526,-2.1444201,8.032,4.5170903,2.069044,4.9746633,3.022766,-4.1231036,6.025374,3.102696,1.8622279,0.28305054,2.4766326,2.6520014,2.0897627,-0.402081,2.586484,-1.0718286,-5.711323,-6.512642,10.590803,2.2211194,5.818796,2.6158452,3.6214828,0.14395714,-1.3132632,4.219198,0.6059885],"INDA^FG_TOTAL_RETURNC(-5AY,0,AM)":[7.963443,1.3784766,1.5028596,-6.462985,8.26633,3.2746196,-0.044983625,4.1629195,7.0641637,-0.34302473,-1.5590191,-2.0195127,2.7037382,-3.461039,0.13529062,-0.47286153,-7.3303223,-4.907221,5.571246,3.8424134,-0.49180388,-1.7886639,2.803743,-2.843827,2.39923,-7.849103,-2.03408,3.5037637,3.4603715,4.3171644,3.2588482,-1.9161463,2.2293806,-1.1241019,2.7967215,6.967485,2.9156327,3.9381146,-2.3970604,2.77282,2.6980162,2.6271343,3.547275,0.26487112,3.4519196,-5.362618,-2.4464846,-0.7727206,-5.2414837,-2.6076615,4.401624,3.9440393,0.54205656,0.20450354,1.3172507,-1.8860996,-0.1493156,3.3457994,-1.9533396,-0.036895275,-4.4196367],"EWI^FG_PRICE(0,-200D)":[54.77,54.44,54.02,54.92,54.92,54.8,55.04,54.81,55.32,55.03,55.24,54.97,55.29,55.67,55.16,54.33,54.33,54.59,54.16,54.62,54.56,54.56,54.4,54.24,54.21,53.81,53.51,53.58,54.35,53.66,53.95,53.55,53.02,52.98,52.98,53.15,53.29,53.0,52.66,52.93,52.54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05,51.19,50.91,51.42,51.76,52.34,51.53,51.69,51.62,51.54,51.79,51.56,51.1,50.64,49.99,50.16,49.95,49.52,48.74,48.57,47.83,48.25,49.13,49.06,48.78,49.56,49.12,49.84,48.55,48.03,47.79,47.75,47.76,47.32,48.16,47.99,48.53,49.17,48.34,47.87,48.21,48.21,48.29,48.05,48.14,47.86,47.5,47.17,47.2,46.45,46.36,46.46,46.46,46.26,47.21,47.43,48.25,47.93,47.93,48.18,48.3,47.98,47.74,47.87,48.32,47.77,47.58,47.55,47.66,46.96,46.96,47.54,47.65,47.84,47.3,46.85,46.53,46.26,46.0,45.66,45.81,45.36,44.99,45.22,45.07,44.99,44.26,44.21,44.67,44.23,44.04,43.48,42.69,42.81,41.94,42.13,42.13],"EWJ^FG_PRICE(0,-200D)":[84.86,84.78,83.72,85.48,85.48,85.42,85.04,84.45,85.29,84.61,82.86,82.92,83.07,83.13,81.33,80.74,80.74,80.98,81.09,80.97,81.0,81.0,81.14,80.46,80.58,79.97,79.74,80.85,84.87,84.0,84.22,83.91,83.31,83.19,83.7,83.62,82.61,82.47,82.53,83.01,83.26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8.28,79.29,78.63,78.92,79.05,80.02,78.7,79.64,80.02,80.3,80.15,78.8,79.27,79.23,77.79,77.93,76.62,76.03,75.03,75.29,74.07,73.62,73.98,73.88,74.27,75.68,76.55,76.49,72.98,72.61,71.81,72.39,72.02,71.69,72.41,72.36,72.94,73.3,73.19,72.82,74.6,74.6,74.46,74.42,74.97,75.28,73.97,72.44,72.74,72.02,71.76,73.05,73.05,72.28,73.15,73.6,74.21,73.67,73.88,73.93,73.82,73.39,74.08,74.13,75.04,74.12,74.03,73.61,74.95,73.03,73.03,72.37,72.31,72.99,72.57,72.49,72.3,71.45,72.25,72.8,72.01,71.83,71.98,72.43,72.39,71.89,71.17,71.43,72.02,71.74,70.77,70.28,69.48,69.27,67.92,68.07,68.07],"TUR^FG_PRICE(0,-200D)":[39.08,38.64,38.87,38.41,38.41,37.94,37.59,37.73,37.54,37.16,36.73,36.63,36.77,35.81,34.92,34.42,34.42,34.42,34.41,34.76,34.87,34.87,34.815,34.61,34.86,34.82,34.735,34.71,35.29,34.82,34.82,34.73,34.66,34.42,33.84,33.55,33.87,34.1,34.03,33.5,33.59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29,35.54,35.51,35.97,35.93,35.69,35.51,35.04,34.5,34.47,34.24,34.11,34.47,34.54,34.8448,34.68,34.61,34.46,34.29,34.32,33.92,33.85,33.66,33.28,33.43,33.79,33.95,33.86,33.87,33.93,32.995,33.15,32.5,32.84,32.97,33.17,33.25,32.79,32.12,32.44,33.04,33.04,33.07,32.48,32.26,30.49,30.19,30.68,30.86,30.08,29.96,30.11,30.11,30.21,30.63,30.75,31.57,32.11,32.17,31.66,31.61,31.44,31.36,30.84,30.05,29.99,30.54,30.56,30.86,31.24,31.24,31.7,31.42,31.86,32.49,32.43,31.91,32.48,32.46,32.62,31.41,31.19,30.31,30.76,30.7,30.94,30.66,30.67,31.18,31.48,31.96,32.18,31.77,31.66,31.71,31.91,31.91],"EWY^FG_PRICE(0,-200D)":[115.99,115.66,110.97,112.22,112.22,111.05,109.64,107.54,108.93,108.89,106.59,107.03,107.61,104.83,102.22,97.22,97.22,98.62,98.72,95.84,94.6,94.6,92.7,91.75,91.34,90.07,88.58,89.52,92.73,92.67,94.96,96.75,95.57,95.07,94.3,91.87,93.0,92.07,90.62,90.87,91.55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2.24,73.64,72.47,72.39,72.73,73.51,71.22,71.36,71.44,72.8,73.39,73.66,74.72,74.1,73.03,73.5,73.44,73.18,72.89,72.33,70.65,72.81,73.68,73.49,72.71,73.21,73.31,73.85,72.89,73.87,72.39,73.06,73.08,73.07,73.2,72.56,73.14,72.08,72.08,70.07,72.7,72.7,71.95,71.64,71.78,70.74,71.94,72.37,72.65,69.42,68.53,67.87,67.87,66.63,68.19,66.42,67.69,66.99,66.16,66.48,65.57,65.36,63.98,61.89,61.74,60.63,61.8,60.75,59.98,58.96,58.96,58.29,59.1,58.4,58.82,58.79,58.8,58.61,58.12,58.04,57.69,57.2,57.79,58.5,58.38,57.71,55.6,56.19,56.1,55.65,55.81,55.95,55.6,54.81,54.39,54.31,54.31],"ECH^FG_PRICE(0,-200D)":[46.175,45.2,43.89,44.09,44.09,44.15,44.51,44.34,43.87,42.85,42.75,42.39,42.55,41.6,40.37,40.4,40.4,40.54,40.15,40.29,40.03,40.03,39.92,39.79,39.31,38.69,38.28,38.84,38.995,39.78,39.28,38.75,38.34,38.24,38.18,38.51,38.62,38.29,37.69,37.86,37.61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81,32.58,32.55,32.44,32.71,32.8,31.9,32.04,32.19,32.55,32.4,32.27,32.54,31.97,31.47,31.41,30.74,30.09,30.26,30.24,29.98,29.83,29.48,29.83,29.78,30.34,30.49,30.41,30.39,30.3,30.16,30.23,29.77,29.89,30.21,30.51,31.1,31.04,31.41,31.02,31.82,31.82,31.85,31.51,31.45,31.05,31.26,30.86,30.96,30.03,30.1,30.34,30.34,30.45,31.11,31.83,32.51,32.54,31.82,31.75,31.84,32.17,31.88,31.58,31.53,31.5,32.08,32.17,32.75,32.85,32.85,32.635,32.69,32.75,32.96,32.61,33.07,33.24,32.56,32.35,32.2,32.15,31.75,31.62,31.58,31.35,31.07,31.13,31.44,31.24,31.67,31.7,31.19,30.91,30.05,29.95,29.95],"QQQ^FG_TOTAL_RETURNC(-5AY,0,AM)":[5.055523,-0.9157419,-1.0654211,5.207002,-2.4433196,6.4097285,4.7127247,1.038599,0.6141186,1.2257457,6.7361593,-1.2124836,-10.727251,-3.8698912,5.7152867,-8.841324,-11.284572,-2.5922716,7.5960994,4.0961623,-10.749131,-1.6602993,3.8232565,-6.484306,5.967903,4.0929675,4.1945457,3.4267545,6.6422462,8.598781,2.5834918,-3.2611907,-1.3630033,-0.92481375,10.000002,4.904592,3.3231735,3.8745165,2.0305276,-6.1741114,8.808077,5.3696394,0.6070614,-1.5487671,1.5983939,2.9464722,1.9820213,2.5445223,2.6411295,-1.0216177,-8.599454,-7.4269295,15.640747,2.4961114,6.6518545,1.9100189,5.4065824,0.54632425,-2.5466979,5.072975,0.25031567],"GREK^FG_TOTAL_RETURNC(-5AY,0,AM)":[-2.0149589,-0.20458698,6.232059,7.487464,-0.93357563,4.494381,-7.83906,3.76364,2.285099,1.6312003,-5.4431257,-0.40590763,6.6149473,2.2017121,-8.895069,3.6231875,-8.354807,-1.0040164,-6.1257067,6.407404,-9.200323,6.05191,9.429169,4.3276668,10.198032,9.379303,-5.3278627,7.392609,6.635654,6.6298366,8.926153,-5.6912603,-9.025372,-3.463459,11.888111,2.927184,4.458046,4.332125,0.12357235,-1.2342632,4.823792,-4.792559,8.572674,-2.2443354,-0.40236115,-3.8735747,-4.5631704,5.558467,4.988849,5.0706983,9.025526,4.3839097,9.847105,1.5404582,13.986456,7.431221,-1.8713534,-1.8529952,1.6991735,5.801356,7.7953935],"EPOL^FG_TOTAL_RETURNC(-5AY,0,AM)":[2.7360559,1.409924,-5.278063,4.811096,10.529041,2.7642012,-1.9688666,0.88744164,3.6574006,4.510939,-12.008548,0.6816268,3.8030267,-8.266794,-3.584236,-7.912904,-10.149944,-6.1498046,-3.5886765,-5.7265577,-7.3652267,-5.901641,27.090597,7.891774,7.8215957,-8.60312,-2.9189885,16.351341,6.2717795,6.22952,6.121397,-7.5133266,-7.5995865,5.9557676,16.595291,7.4124813,-6.951165,11.820328,-2.283293,3.1155348,6.8820834,-5.0426064,3.8753152,-1.1759877,-2.0517051,-5.6137443,-4.527301,1.7712116,9.776926,12.364901,8.233929,3.9815187,2.5299191,0.8288622,10.800815,-0.6984472,-2.140677,5.7187557,-2.3352087,10.158157,5.85227],"SET-BKK^FG_PRICE(0,-200D)":[1311.64,1317.56,1296.37,1283.2,1275.6,1261.39,1244.3,1235.3,1242.2,1254.09,1253.6,1280.82,1274.75,1280.05,1259.67,1259.67,1259.67,1259.67,1254.03,1259.25,1264.77,1275.33,1271.11,1269.68,1252.19,1250.07,1256.85,1260.68,1273.4,1254.1,1253.54,1269.87,1269.87,1261.39,1273.77,1273.77,1274.82,1277.58,1276.57,1256.69,1252.71,1261.18,1268.78,1252.73,1254.4,1281.81,1272.17,1270.04,1280.07,1269.26,1287.44,1284.81,1300.47,1306.26,1302.91,1313.31,1295.29,1298.6,1308.86,1309.5,1314.65,1315.64,1314.28,1323.52,1313.91,1302.35,1302.35,1290.72,1284.47,1274.61,1291.46,1286.69,1266.38,1286.9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59.07,1259.07,1265.15,1264.47,1246.96,1229.4,1218.33,1242.35,1244.14,1233.68,1217.15,1217.15,1212.49,1219.62,1191.75,1208.13,1206.58,1198.11,1157.63,1161.01,1143.31,1121.13,1110.4,1110.4,1115.65,1123.0,1119.94,1127.21,1115.69,1110.01,1089.56,1082.42,1106.73,1107.69,1100.01,1062.78,1067.63,1068.73,1094.58,1113.58,1114.49,1122.7,1128.62,1141.58,1139.16,1135.24,1136.43,1140.63,1132.02,1149.18,1149.18,1149.18,1164.01,1160.74,1163.42,1178.43,1176.36,1173.37,1179.81,1189.14,1187.06,1195.77,1194.49,1216.71,1214.39,1210.94,1210.94,1206.59,1220.27,1187.86,1198.98,1198.98,1197.26,1197.26,1171.12,1159.53,1159.0,1146.86,1153.77,1144.05,1134.71,1150.95,1141.28],"EZA^FG_TOTAL_RETURNC(-5AY,0,AM)":[4.576981,7.095492,0.3508687,3.6199093,1.0519981,-4.2531786,-1.2422323,-5.555558,3.7069917,4.2594075,-5.8920145,2.2889137,7.7138543,2.9605865,6.9749355,-11.478388,-6.3602867,-4.3243704,-2.41161,0.5278349,-8.663487,-0.70551634,14.736843,-0.6377399,8.202481,-10.439682,-2.781129,7.1144342,-8.964234,3.9931417,6.0394406,-8.496118,-0.43724775,-4.055798,6.435108,4.372883,-8.294481,2.595663,-0.28690696,0.2354145,13.308978,3.5348892,-0.88115335,5.72145,4.4631243,4.3962836,-5.3380785,-3.8395166,-0.77785254,7.4014306,2.1897793,1.1764765,6.789863,1.7699003,7.7517867,5.4897666,6.224489,1.7931461,2.0132065,11.889148,9.841537],"EPHE^FG_TOTAL_RETURNC(-5AY,0,AM)":[-0.6220877,-5.508608,-4.074204,-0.06905794,-1.7277122,9.353209,-6.7335725,2.0131946,3.5045981,6.865871,-1.7798305,1.1535764,-2.5170922,5.323553,-8.777243,-1.0948896,-2.583021,-10.563582,-2.2984028,8.014357,-11.037284,-3.1950235,9.601366,2.4688125,12.039876,-6.810403,-1.4689684,-3.354454,2.6610136,-2.9351413,6.2671304,-9.362328,-2.0740151,0.24917126,3.6868334,4.8089147,0.61490536,6.0733438,-1.9085348,-8.590311,2.409637,-7.8439355,10.237587,7.07289,7.2643995,-1.8764913,-9.700977,-3.7907362,-0.5248308,-0.93343854,5.653429,-0.93060136,6.7319036,-1.6654372,0.0754714,0.4147768,-0.11265278,-6.69173,0.96696615,0.38950443,5.5689216],"UAE^FG_TOTAL_RETURNC(-5AY,0,AM)":[10.192955,-1.4084518,2.7799249,1.6528845,7.0946097,1.6538262,-2.290225,4.789233,2.0590305,-0.7484853,11.662949,-0.5085349,3.420961,1.2480617,8.644176,3.1062603,-9.72516,-5.6362686,2.6649714,1.6687274,-2.9179335,-2.8177798,0.06443262,-2.2340178,0.33003092,-3.486842,-3.4764826,5.8615804,-1.767844,1.3612151,2.8217435,0.40160418,3.6666632,-12.668812,8.026516,0.10420084,2.9472232,-2.2636473,1.9754767,-3.8076222,-0.90277195,-1.8169284,6.6765666,3.685677,3.2863855,-3.1168818,2.949059,6.176281,5.3406954,1.3403177,-3.2202363,1.0695219,8.935928,-3.6923945,14.687133,0.8335352,-2.0541072,0.71611404,-5.12951,5.141294,6.01542],"EIDO^FG_TOTAL_RETURNC(-5AY,0,AM)":[7.06141,-4.2195854,-1.283145,-7.3656855,-1.7773569,0.3952384,-1.8615842,1.6050577,2.297759,14.085161,-2.543062,-2.3027182,1.8655062,2.1294713,2.418685,0.32572746,-4.4642806,-1.3466656,-1.746726,3.7777781,4.2398334,-2.87593,-1.7766476,-2.339971,3.0289412,-0.9943783,-1.9650578,6.0133576,0.2521038,-1.2207091,1.9055843,-2.7199388,0.1747489,-8.765811,1.6730428,4.4578314,0.18148422,3.3967376,-0.8760452,-8.484316,-0.8208513,-5.303484,8.249068,4.670608,8.924377,-3.4928918,-10.723859,-6.5558195,2.329135,-6.432742,-11.250001,4.73752,15.586794,-6.7035856,2.2118688,6.2072873,-4.932976,0.90242624,2.6830673,2.567649,2.0858169],"MCHI^FG_PRICE(0,-200D)":[62.78,62.49,61.65,62.52,62.52,63.59,63.55,63.52,64.26,62.22,62.28,61.88,62.71,62.67,62.24,60.07,60.07,60.58,60.37,61.27,60.61,60.61,60.67,60.89,60.63,59.99,59.47,59.7,60.87,61.52,61.69,61.81,61.35,62.22,62.66,61.98,61.88,62.24,62.66,62.2,61.91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1.31,60.45,60.02,61.62,61.54,61.57,60.0,59.92,59.59,60.04,59.68,59.3,60.56,58.73,57.82,58.19,58.2,58.36,57.86,57.47,56.52,57.43,57.89,58.56,58.7,58.93,59.18,59.25,58.665,57.81,57.45,56.92,56.51,56.68,55.55,54.95,55.01,54.58,55.13,54.62,54.72,54.72,55.0,55.27,55.1,55.18,55.54,55.53,55.57,54.13,53.5,53.93,53.93,54.44,55.01,54.77,55.79,55.86,55.69,55.52,54.92,54.99,54.79,53.76,53.26,52.82,53.86,53.33,54.04,54.78,54.78,54.75,54.99,55.2,54.7,54.42,54.57,55.6,54.7,55.06,53.25,53.45,52.69,53.95,53.4,53.42,51.59,51.66,51.68,51.85,51.91,51.97,51.66,50.9,49.39,49.29,49.29],"EWJ^FG_TOTAL_RETURNC(-5AY,0,AM)":[5.195987,2.7874112,-1.3348281,-2.4636924,-0.8176327,0.8971214,-0.80835223,-1.2298048,8.745861,-5.614567,1.6515732,-2.1833956,-3.4703612,-2.6076198,-1.0773122,-8.856499,0.3162861,-7.423276,4.508984,0.65813065,-7.246643,-3.4854114,11.483061,-0.17900467,5.7007074,-3.3707798,1.4490128,4.0557265,3.7620783,2.712524,-0.06405115,-4.406345,3.5869956,-5.938506,7.500434,2.772665,5.2897453,3.3293366,4.2380214,-6.4745245,1.2654424,-2.2297382,6.4990163,0.014221668,1.3653755,-4.503995,-0.16162395,-1.032722,1.5707612,2.7360559,3.242159,-2.887994,4.475248,-0.041532516,1.7001152,9.646463,1.5371203,1.1446118,-1.2046695,2.85331,5.4685593],"EWC^FG_TOTAL_RETURNC(-5AY,0,AM)":[3.0283332,4.6776175,3.3816457,1.6939163,7.093632,1.4249802,-2.34105,-0.62652826,0.35636425,8.057904,-1.7947495,-1.9908249,0.026595592,-0.1595676,7.56526,-5.448246,-5.1597714,-6.210208,0.059330463,4.2395473,-7.906711,-1.2971044,9.668339,-6.097877,8.199751,-2.5640965,-4.327482,7.6405883,-1.1073232,-0.8429229,4.7089815,-6.4804435,1.4038324,-4.3299017,5.972898,7.2817206,-1.1803448,2.333331,2.6330113,-1.1901617,2.1948576,-3.5214782,5.9194326,2.0957232,4.1814566,1.7270684,2.7498841,-5.827528,2.829957,1.1933684,-1.6125083,1.247549,6.3058734,3.1852722,4.4124246,1.9961715,5.9337974,-1.3364792,0.45816898,8.379102,1.9014239],"EPHE^FG_PRICE(0,-200D)":[26.35,26.27,26.0,26.42,26.42,26.38,26.04,26.24,26.41,26.13,26.08,25.92,25.98,25.46,25.3,24.92,24.92,25.06,25.09,25.08,24.94,24.94,24.93,24.96,24.66,25.01,25.1,25.19,24.95,24.9,25.02,24.73,24.67,24.58,24.73,24.2,24.68,25.06,25.24,25.21,25.02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15,26.39,26.56,26.12,26.69,26.63,26.15,26.35,26.25,26.34,26.39,26.28,26.72,26.55,26.19,26.63,26.49,26.41,26.16,26.35,25.78,25.42,26.175,26.37,26.55,26.7522,27.0,27.09,26.52,26.34,26.11,26.08,26.35,26.96,27.36,27.13,27.19,27.15,26.78,26.72,27.08,27.08,27.0,27.14,27.12,27.23,26.85,26.81,26.61,25.96,26.5,26.7,26.7,26.98,27.35,27.66,28.08,27.93,27.82,28.12,27.95,27.96,27.66,27.78,27.6,27.24,27.84,27.93,27.78,27.81,27.81,27.27,27.46,27.36,27.9,27.69,27.62,28.01,28.06,27.75,27.62,27.16,27.56,27.35,27.03,27.27,26.86,26.89,26.41,26.18,26.26,25.96,25.59,25.55,25.17,25.3019,25.3019],"EWZ^FG_PRICE(0,-200D)":[35.95,35.02,33.62,33.17,33.17,33.36,33.16,32.63,32.93,33.06,32.88,32.7,33.11,32.79,32.2,31.77,31.77,31.99,31.42,31.73,31.55,31.55,31.65,30.97,31.17,31.17,31.0,31.6,33.58,33.32,33.16,32.77,32.74,32.75,32.53,34.72,34.2,34.03,33.4,33.61,33.47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5,29.49,29.02,28.61,28.74,28.61,27.66,27.69,27.36,28.29,28.2,27.89,28.18,28.39,27.64,27.81,28.05,27.45,27.02,26.93,26.65,26.55,26.88,26.76,26.52,26.94,27.13,27.48,27.0,27.08,26.85,27.69,27.57,27.47,27.31,27.53,27.72,28.16,28.71,28.6,29.31,29.31,28.91,28.79,28.85,28.14,28.13,27.57,27.98,27.66,27.67,28.08,28.08,28.11,28.31,28.14,28.15,28.22,27.72,27.62,27.72,27.6,27.44,27.58,27.27,27.21,27.7,27.69,27.99,27.65,27.65,27.52,27.67,28.16,28.18,28.0,28.01,28.2,28.33,27.49,27.56,27.48,26.4,26.61,26.71,27.12,26.88,27.04,27.36,27.21,26.94,26.74,26.31,25.86,25.2,25.22,25.22],"EWD^FG_PRICE(0,-200D)":[51.74,51.52,50.46,51.31,51.31,51.05,50.61,50.7,50.91,50.78,50.28,50.87,50.11,50.39,49.6,49.23,49.23,49.55,49.32,49.65,49.31,49.31,49.21,48.8,48.55,48.18,47.62,48.23,49.11,49.38,49.67,49.36,48.55,48.4,48.37,48.09,47.77,47.61,47.58,47.91,47.43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39,46.63,46.46,46.64,46.57,47.24,46.08,46.45,46.56,46.28,46.61,46.06,46.02,45.99,45.23,45.88,45.6,44.82,44.45,44.3,43.68,43.86,44.54,44.96,45.78,46.38,45.9,46.3,45.21,45.25,44.65,44.98,44.63,44.69,45.3,45.57,46.39,46.05,45.55,45.52,45.62,45.62,45.51,45.19,45.74,46.02,45.33,44.67,44.95,43.96,43.81,43.98,43.98,44.43,44.91,45.49,46.02,45.9,45.94,45.91,46.14,46.17,45.93,45.2,45.62,45.45,45.36,45.24,45.55,45.32,45.32,45.09,45.94,46.35,46.19,45.61,45.62,45.11,45.23,45.09,44.38,44.26,44.38,44.18,44.28,44.55,43.12,43.64,43.0,43.61,43.62,43.32,42.43,42.68,41.77,41.9,41.9],"VNM^FG_TOTAL_RETURNC(-5AY,0,AM)":[10.409141,-0.8719325,-1.3743818,7.413602,-0.8822024,5.497372,-4.168737,-0.77679753,3.601253,-1.0579407,3.2586575,4.018986,-5.4787993,-1.0080695,-1.8839061,-10.430723,-10.312867,-6.6537437,0.34601688,5.3793073,-7.068062,-16.40845,-6.0657144,8.150494,9.068942,-9.746737,-0.08503795,1.2765884,4.6638727,8.791649,5.7564497,0.3489256,-1.3908207,-10.014105,6.191218,-1.9382894,2.5249124,3.4829736,2.6925921,-11.36198,4.6014786,-2.1995246,-3.0522108,2.8169036,1.0475397,-3.3492804,-4.3729362,0.51767826,-2.4463534,3.3875942,6.723404,-7.177031,13.144326,1.3287783,18.546272,9.734524,0.97926855,3.6508799,-2.4766147,5.237031,5.4540515],"EWA^FG_TOTAL_RETURNC(-5AY,0,AM)":[5.1585674,2.050662,-2.04885,4.263878,1.4660478,1.6251206,-2.465862,-1.4780223,-0.39479136,5.192232,-4.6721992,0.874877,-4.8080444,2.9010296,7.7114344,-2.6558816,-4.9426675,-9.522856,3.2273412,2.8505802,-7.331252,-1.591897,12.05883,-1.8362641,10.667265,-4.2247715,-5.182016,5.0135493,-1.0752678,0.64976215,1.8485904,-7.519448,1.1214972,-4.667282,7.8526497,11.188423,-3.9603949,2.4914026,1.6764402,-2.514428,4.186046,0.8314729,2.7082443,0.958848,4.907,-1.3957024,0.68860054,-8.171874,3.9545536,-0.6475091,-4.5621157,2.2620559,6.051755,2.082312,3.9138913,2.6741982,-1.247251,0.55720806,-6.427777,5.011046,3.5181642],"EPU^FG_TOTAL_RETURNC(-5AY,0,AM)":[3.7974596,9.812832,-8.651865,-10.856652,3.330171,-13.2369995,1.2457728,-14.869624,9.147358,15.585888,-6.003934,0.9446621,17.911507,1.9513607,10.217905,-10.553032,-11.081243,-6.201732,-4.753065,-0.5458057,-0.9408057,1.8203378,14.0303135,-1.7099023,10.973894,-7.090622,-0.684458,7.615435,-2.465582,2.7872682,7.286787,-3.8657844,-3.2656968,-4.9432936,6.372702,14.009989,-3.2049298,5.217731,12.08694,1.230979,7.734859,-3.6814332,1.8353224,-2.5328815,3.3213377,8.635712,-3.5952747,-4.267496,0.6176233,1.6214013,8.688248,-1.8450558,4.3890834,4.816735,5.246389,7.426846,10.069513,3.6183596,-1.7624795,21.354544,19.58934],"EWN^FG_PRICE(0,-200D)":[62.14,61.539,60.64,61.91,61.91,61.6,60.67,60.78,61.04,60.4,59.21,59.8,60.44,60.14,58.64,57.03,57.03,57.227,57.0,57.16,57.1,57.1,56.84,57.01,56.61,56.02,55.57,56.41,58.76,58.6,59.5,58.8,58.55,58.7224,58.55,58.78,59.18,58.57,58.32,58.17,57.79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0,53.5,53.59,53.77,53.84,54.188,53.08,53.58,53.215,53.13,53.16,53.3,53.36,52.9674,52.37,52.52,52.2,51.43,51.33,51.35,50.85,51.26,52.2,52.69,52.91,53.5,53.93,54.25,53.37,53.41,53.46,53.51,53.47,54.45,54.4,54.41,54.63,54.58,54.33,53.98,54.29,54.29,54.3,54.07,54.5,54.36,53.97,53.8,54.16,53.03,51.8927,52.2476,52.2476,52.33,53.08,53.54,54.73,54.37,54.57,54.02,53.63,53.36,53.23,52.95,53.2858,52.85,52.94,52.59,53.0,52.26,52.26,52.54,52.48,52.8,52.645,52.19,52.25,52.2,52.04,51.6,50.79,50.32,50.21,49.98,50.14,50.27,48.78,48.85,48.92,48.79,48.78,48.41,47.77,47.1,46.09,46.55,46.55],"EWC^FG_PRICE(0,-200D)":[55.2,55.02,54.75,55.13,55.13,55.22,55.18,55.12,55.09,54.63,54.46,54.01,54.65,54.59,54.19,53.93,53.93,54.3,54.33,54.8,54.6,54.6,54.54,54.17,53.68,53.22,52.81,52.98,53.8,53.89,54.08,53.72,53.07,52.95,53.29,53.07,52.47,52.14,52.18,52.7,52.25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79,48.46,48.37,48.02,47.55,48.03,47.28,47.11,47.0,47.35,47.27,47.33,47.64,47.51,47.28,47.34,47.34,47.73,46.93,46.58,45.86,46.18,46.38,46.79,46.72,47.01,46.97,47.17,47.09,46.71,46.59,46.71,46.47,46.04,46.44,46.13,46.41,46.13,46.0,46.18,46.67,46.67,46.33,46.19,46.2,45.58,45.92,45.32,45.62,45.33,45.1,45.32,45.32,45.45,45.76,45.88,46.0,45.66,45.43,45.3,45.39,45.32,45.25,45.34,45.39,44.96,44.78,44.76,44.82,44.44,44.44,44.0,43.94,44.19,44.05,43.89,43.83,43.44,43.4,43.08,42.85,42.81,42.89,42.77,42.66,42.84,42.31,42.45,42.45,42.37,42.04,42.06,41.52,41.39,40.77,41.1,41.1],"QAT^FG_PRICE(0,-200D)":[19.9,19.71,19.71,19.46,19.46,19.425,19.6596,19.71,19.6099,19.36,19.28,19.405,19.3551,19.19,18.825,18.8183,18.8183,18.95,18.8751,18.865,18.96,18.96,18.9302,18.8396,18.775,18.74,18.6081,18.6969,19.01,19.32,19.315,19.1685,19.0414,18.9554,18.9304,18.9402,18.9302,18.775,18.71,18.88,18.885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20.0,19.96,20.13,20.14,20.0026,20.1896,20.065,20.08,20.24,20.38,20.54,20.52,20.56,20.27,20.0346,19.93,19.946,19.85,19.785,19.71,19.665,19.655,19.66,19.6,19.6,19.63,19.61,19.54,19.34,19.12,18.91,18.96,18.779,18.69,18.71,18.73,18.75,18.75,18.73,18.68,18.63,18.63,18.56,18.58,18.62,18.57,18.53,18.36,18.25,17.96,17.72,17.82,17.82,17.895,18.045,18.2,18.9,18.96,18.92,18.83,18.83,18.78,18.91,19.08,18.8,18.75,18.83,18.94,18.91,19.15,19.15,19.11,19.18,19.06,19.05,18.88,18.84,18.83,18.7553,18.7,18.69,18.615,18.51,18.55,18.55,18.54,18.34,18.31,18.2,18.14,18.16,18.12,17.9,17.91,17.78,17.72,17.72],"EWT^FG_PRICE(0,-200D)":[68.25,67.45,66.54,67.34,67.34,67.29,66.51,66.1,66.62,65.92,65.44,65.59,65.83,65.3,64.77,63.53,63.53,63.71,63.33,63.02,62.53,62.53,62.5,61.98,61.64,60.87,60.03,61.12,64.11,64.1,65.92,66.8,65.72,65.57,65.35,64.51,64.85,64.63,64.13,64.51,63.66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8.82,59.9,59.77,59.5,59.26,59.66,58.57,58.78,60.09,61.04,60.42,60.65,61.03,61.09,60.28,60.29,60.36,59.14,58.92,58.84,58.39,58.36,58.35,58.62,59.06,59.43,59.39,59.8,58.72,59.36,59.24,59.48,58.98,58.27,57.81,58.3,58.38,58.03,57.66,57.63,59.44,59.44,58.75,57.58,57.4,57.85,57.85,57.31,56.82,55.18,54.84,56.03,56.03,55.65,56.46,55.85,56.74,55.83,55.8,54.71,54.11,53.74,53.96,53.15,52.84,52.38,52.87,53.26,53.58,53.52,53.52,53.7,53.72,53.48,53.82,54.01,53.99,53.77,53.28,52.95,51.75,51.16,51.0,51.56,52.96,50.95,47.82,47.48,47.15,46.47,46.34,46.18,45.5,44.33,44.22,44.88,44.88],"CNYA^JULIAN(FG_PRICE(0,-200D).DATES)":[46044,46043,46042,46041,46038,46037,46036,46035,46034,46031,46030,46029,46028,46027,46024,46023,46022,46021,46020,46017,46016,46015,46014,46013,46010,46009,46008,46007,46006,46003,46002,46001,46000,45999,45996,45995,45994,45993,45992,45989,45988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901,45898,45897,45896,45895,45894,45891,45890,45889,45888,45887,45884,45883,45882,45881,45880,45877,45876,45875,45874,45873,45870,45869,45868,45867,45866,45863,45862,45861,45860,45859,45856,45855,45854,45853,45852,45849,45848,45847,45846,45845,45842,45841,45840,45839,45838,45835,45834,45833,45832,45831,45828,45827,45826,45825,45824,45821,45820,45819,45818,45817,45814,45813,45812,45811,45810,45807,45806,45805,45804,45803,45800,45799,45798,45797,45796,45793,45792,45791,45790,45789,45786,45785,45784,45783,45782,45779,45778,45777,45776,45775,45772,45771,45770,45769,45768,45765,45764],"EWQ^FG_PRICE(0,-200D)":[45.16,45.05,44.55,45.29,45.29,45.4,45.87,45.96,46.1,45.88,45.46,45.4,45.6,45.42,45.31,44.99,44.99,45.14,44.99,45.18,44.98,44.98,44.9,44.96,44.91,44.8,44.62,44.94,45.18,44.88,45.0,44.58,44.21,44.65,44.62,44.75,44.79,44.44,44.41,44.57,44.43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59,42.9,42.56,42.58,42.96,44.18,43.55,43.97,43.82,43.55,43.89,43.5,43.31,42.89,42.35,42.68,42.49,42.02,41.83,41.86,41.43,41.94,42.47,42.91,42.8,43.72,43.4,44.4,43.16,43.03,42.92,42.98,42.74,42.56,43.12,43.28,43.75,43.84,43.27,42.68,43.08,43.08,43.27,42.87,42.8,42.61,42.14,41.89,42.04,41.57,41.29,41.67,41.67,41.74,42.21,42.83,43.57,43.11,43.21,43.08,43.04,43.04,43.08,42.84,43.14,42.49,42.76,42.47,42.92,42.4,42.4,42.65,42.71,43.1,42.73,42.25,42.09,41.88,42.1,41.81,41.68,41.32,41.32,41.62,41.84,41.86,41.07,41.04,40.94,41.04,40.95,40.72,40.12,39.84,38.97,39.22,39.22],"EWM^FG_PRICE(0,-200D)":[28.43,28.26,27.88,28.17,28.17,28.28,28.2,28.05,27.97,27.59,27.36,27.43,27.63,27.61,27.42,27.36,27.36,27.57,27.53,27.64,27.69,27.69,27.53,27.41,27.2,26.88,26.6,26.79,27.09,26.98,26.87,26.52,26.37,26.32,26.64,26.59,26.73,26.67,26.6,26.43,26.64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4.87,25.13,25.05,25.13,25.5,25.72,25.19,25.19,25.18,25.13,24.98,25.03,25.27,24.94,24.6,24.51,24.38,24.4,24.24,24.13,23.98,23.49,23.84,24.04,24.05,24.19,24.3,24.21,23.99,24.03,23.93,23.93,23.71,23.8,24.09,24.08,24.11,23.98,23.95,23.93,24.41,24.41,24.41,24.38,24.34,24.07,24.07,23.82,23.77,23.53,23.41,23.59,23.59,23.53,23.93,24.26,24.54,24.45,24.28,24.32,24.25,24.31,24.14,24.09,24.15,23.96,24.3,24.47,24.52,24.58,24.58,24.24,24.49,24.5,24.69,24.87,25.08,25.07,24.87,24.5,24.45,24.31,24.68,24.64,24.86,24.85,24.12,24.17,23.7,23.71,23.43,23.43,23.07,22.91,23.04,22.77,22.77],"EWI^FG_TOTAL_RETURNC(-5AY,0,AM)":[0.8956313,3.1751394,3.8716078,1.2742996,4.215157,0.2721429,-3.4125507,3.1861186,-1.8342972,3.8928628,-1.1990428,-0.5454838,0.27846098,-2.7769208,-7.870513,-2.3768544,-2.752298,-8.337003,-5.752754,2.164507,-2.5847495,0.13049841,18.722843,-0.3904462,10.104406,1.151371,-1.4730513,7.679236,-1.1675656,1.4396548,6.28829,-5.0364075,-0.8945644,-4.6099305,9.462654,5.5134177,-1.6296268,6.7469835,5.5022597,-1.6314566,4.4861436,-3.9765894,5.887258,-1.1801779,2.388537,-0.57024956,-6.1522427,0.4041314,6.3764095,7.208872,5.788183,-0.32595992,11.048818,-0.7850051,4.7238946,7.8063846,-1.1463463,-2.0873606,1.5988946,6.762743,0.9771347],"EWY^FG_TOTAL_RETURNC(-5AY,0,AM)":[18.474556,-3.3468366,-1.7534256,2.6153326,-2.1001935,2.7597785,-1.9245446,-8.40354,-0.76253414,-1.9880414,-0.41065216,0.083339214,-4.961109,-2.3483634,-2.1299899,-5.2092075,-2.058953,-12.568063,1.1416674,-1.1458874,-9.342557,-3.9313018,12.951922,1.2684703,11.142349,-5.882353,-0.050401688,3.479576,2.517867,2.4243355,2.1503687,-7.9509315,0.032901764,-6.447363,10.601258,4.3447137,-8.503991,11.276269,2.9479623,-6.5175295,2.967453,0.89867115,1.0288715,-1.0031998,-2.7790546,-3.8534403,-4.517084,-7.778549,7.2028995,2.6376724,-1.2675822,-3.6053479,6.349206,17.567337,6.362176,0.85060596,10.950888,9.673858,-0.25712252,5.1757574,26.419617],"ENZL^FG_PRICE(0,-200D)":[46.755,46.11,46.09,45.755,45.755,45.6301,45.89,45.52,46.1,45.98,46.115,46.295,46.1476,45.8584,45.4719,45.2715,45.2715,45.41,45.41,45.73,45.74,45.74,45.54,45.18,44.82,44.6999,44.635,45.1265,45.75,45.71,46.35,46.2943,45.9504,46.0267,45.995,46.005,46.1656,45.8184,45.48,45.6257,45.4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6,44.87,44.67,45.19,45.62,45.7829,45.58,45.675,45.605,45.845,45.684,45.57,45.82,45.659,45.79,45.745,45.795,45.63,45.255,44.93,44.69,45.05,45.19,45.8343,45.64,46.0511,45.98,46.135,46.155,46.3676,45.695,45.872,45.56,44.89,45.49,45.76,46.01,46.07,45.98,45.5,45.96,45.96,46.265,45.96,45.61,45.37,45.32,44.6,44.79,44.86,44.6,45.08,45.08,45.09,45.97,45.19,46.07,45.76,45.65,45.32,45.31,45.53,45.25,44.61,45.04,44.39,43.97,44.23,45.38,45.36,45.36,45.08,45.22,45.2,45.15,45.41,45.6,45.33,45.62,44.75,45.17,44.23,44.56,44.82,44.49,44.29,43.06,42.61,43.35,43.6,43.76,43.805,42.8238,43.095,43.38,43.5,43.5],"EPU^FG_PRICE(0,-200D)":[86.2,85.04,84.78,82.63,82.63,83.01,82.26,80.99,80.55,78.19,76.55,75.42,76.71,74.87,72.71,72.35,72.35,72.91,71.95,73.77,72.74,72.74,72.78,72.08,71.2,69.98,69.18,69.3,69.25,69.3,69.68,68.29,67.48,66.53,67.03,67.0,66.03,64.67,64.57,64.47,63.1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8,53.4188,52.9672,53.39,52.93,53.23,52.009,51.75,51.68,52.3821,52.1916,51.95,52.16,51.75,51.1309,51.72,50.7055,50.1833,49.7,49.27,48.35,48.65,47.99,49.44,49.15,49.61,49.98,50.3,49.55,48.93,48.32,48.2014,48.0038,48.12,48.69,48.83,49.12,48.81,49.3,49.62,50.06,50.06,49.75,48.8572,48.59,48.49,49.1078,47.3159,47.313,46.97,47.08,47.4137,47.4137,47.62,47.7117,48.2913,48.5848,48.44,48.2311,48.53,48.5916,48.7961,48.065,47.95,47.72,46.64,46.6136,46.5428,46.83,46.76,46.76,45.76,45.66,45.57,45.16,44.57,45.06,44.95,45.11,44.74,45.3303,45.02,44.79,45.45,44.7003,44.44,43.74,44.33,44.8,44.6021,44.4285,44.55,43.98,43.836,43.48,43.2,43.2],"SET-BKK^FG_TOTAL_RETURNC(-5AY,0,AM)":[5.159402,-1.3178647,5.9683084,0.118112564,-1.0056078,3.0139685,-2.9307842,0.052821636,4.275739,1.4713645,0.3723979,-1.379174,1.5945435,2.3228288,-0.78350306,0.75809956,-4.0009737,-3.8775027,-0.46730638,4.063165,1.8238425,-3.280276,1.5088081,0.082957745,3.747201,-1.0594726,-4.4833364,-1.6857147,-1.8686295,-1.3032556,1.321125,1.0691524,-1.4887452,-8.094102,1.0576367,-0.64067245,-2.5030375,2.3760438,-1.5280128,-2.2823393,1.5790701,-4.6993375,0.82132816,1.8137813,8.251858,1.2833357,-1.6336501,-5.6164083,-0.24173856,-8.486021,-4.782498,-3.5866857,2.562821,-9.01165,11.625755,5.172229,2.3256898,1.5445828,-3.6818027,1.2181163,3.3047676],"CNYA^FG_TOTAL_RETURNC(-5AY,0,AM)":[12.001967,1.5151501,-10.988533,1.7253876,2.2933602,0.8653879,2.3654938,-6.366104,2.8550625,2.5641084,0.11469126,0.48177242,-3.9806724,-3.5226464,-6.557375,-9.914941,0.7081747,5.8527827,-1.3033867,-1.7982543,-9.89986,-4.1600466,1.358521,1.5349746,14.083111,-4.0474176,-2.8321743,-0.15503764,-3.4161508,-5.2682343,-0.09829998,-3.7852585,0.44232607,-6.96671,4.137087,-4.544836,-5.5754004,8.384121,1.3183355,-0.22962093,3.9892673,-5.289161,0.46874285,-3.7713826,-1.49495,21.616077,-4.1483936,1.7311573,-3.1459928,4.8540115,-1.9491792,-3.5853744,4.197347,-0.9317875,8.737696,7.7226996,2.934885,0.56431293,-2.3626685,5.2865267,4.497659],"QQQ^FG_PRICE(0,-200D)":[620.76,616.28,608.06,621.26,621.26,621.78,619.55,626.24,627.17,626.65,620.47,624.02,623.42,617.99,613.12,614.31,614.31,619.43,620.87,623.89,623.93,623.93,622.11,619.21,617.05,609.11,600.41,611.75,610.54,613.62,625.58,627.61,625.05,624.28,625.48,622.94,623.52,622.0,617.17,619.25,614.27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6.22,550.8,546.99,551.64,548.09,546.22,541.16,539.78,531.65,526.83,528.99,528.99,529.08,534.29,526.96,533.66,532.41,534.21,530.7,529.92,524.79,528.77,527.3,523.21,519.11,519.93,518.91,521.22,509.24,509.24,514.0,513.04,520.27,522.01,521.51,519.25,518.68,515.59,507.85,487.97,488.29,483.3,481.41,485.93,488.83,481.68,475.47,475.53,472.41,472.56,467.35,454.56,444.48,433.11,444.1,444.1],"GREK^FG_PRICE(0,-200D)":[72.2,70.74,69.88,70.03,70.03,69.84,69.15,69.0,69.49,68.98,69.19,67.98,67.39,67.61,67.4446,65.91,65.91,66.5,68.0,68.61,68.16,68.16,68.21,68.39,67.25,66.94,66.25,66.81,67.45,67.24,67.67,66.77,65.8,66.97,66.45,66.3,66.37,66.64,66.28,65.32,66.15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09,63.94,64.49,64.98,65.62,65.995,65.2,65.4,65.15,65.58,66.89,66.53,66.81,66.35,65.68,65.0692,64.58,64.2,62.98,62.02,60.34,60.51,60.44,60.98,60.45,62.15,62.0,62.58,61.43,61.53,61.2,61.52,60.8,60.25,60.82,60.99,61.32,61.08,60.9,59.12,59.72,59.72,59.34,58.63,58.04,58.17,59.31,58.42,57.86,56.55,54.71,54.58,54.58,54.88,55.79,56.0,56.89,56.52,56.48,55.85,55.46,55.77,55.24,55.29,55.7,55.0,55.71,55.85,55.02,53.23,53.23,53.88,54.14,53.89,52.9,52.5,52.15,52.22,52.07,51.6,51.0483,50.26,50.37,50.13,50.44,50.1,49.3,49.52,49.99,49.71,49.52,49.95,49.35,49.05,47.02,47.34,47.34],"EWT^FG_TOTAL_RETURNC(-5AY,0,AM)":[14.531922,1.9151807,-1.3926148,6.602013,-5.5387077,4.8834085,2.706623,-4.8784313,4.386544,-1.9589245,6.3970327,1.9749045,-1.3428926,0.077331066,-3.724879,-8.588862,-4.5662045,-4.1405973,-2.399695,1.180172,-10.069984,-8.754862,15.328121,-1.6903280999999999,8.976566,-0.5657375,2.0937681,-2.0285308,3.3902168,5.1936626,-0.6903708,-5.1400957,-0.7328391,-1.096201,9.070349,3.959608,-0.427258,5.420053,4.284489,-5.8134794,11.297714,7.0546746,-3.075236,-0.15109181,0.5485177,6.245291,-3.9660037,-0.5776048,2.1639109,-0.74976087,-5.1558075,-11.728394,21.136929,2.1229029,7.075131,1.6008139,7.308078,1.5776396,-4.9669385,4.912257,10.116172],"VNM^FG_PRICE(0,-200D)":[19.625,19.39,19.51,19.73,19.73,19.53,19.69,19.8,19.67,19.28,19.31,19.44,19.43,19.02,19.11,19.08,19.08,19.01,18.92,18.4,19.01,19.01,19.08,18.61,18.39,17.88,17.54,17.85,17.42,17.49,18.27,18.28,18.65,18.72,18.65,18.59,18.69,18.65,18.38,18.34,18.2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29,18.315,18.02,17.96,17.22,17.36,17.6,17.69,17.9,17.84,17.71,17.76,17.46,17.44,17.27,17.18,16.8,17.09,16.67,16.58,15.95,16.01,16.03,15.9,16.78,16.47,15.995,16.0,15.82,15.35,15.575,15.67,15.41,15.04,15.24,15.22,15.12,14.89,14.51,14.18,13.96,13.96,13.76,13.72,13.75,13.73,13.61,13.54,13.62,13.4,13.345,13.36,13.36,13.31,13.26,13.02,13.36,13.32,13.4,13.26,13.64,13.74,13.86,13.96,13.81,13.59,13.51,13.71,13.585,13.14,13.14,13.17,13.21,13.09,12.865,12.75,12.81,12.82,12.74,12.69,12.49,12.6,12.42,12.22,12.27,12.24,12.11,12.07,12.05,11.95,12.01,12.0,11.62,11.64,11.51,11.73,11.73],"MCHI^FG_TOTAL_RETURNC(-5AY,0,AM)":[14.771867,0.7357836,-7.772815,-2.458632,-3.8051367,0.60836077,-2.7105093,-14.703989,3.0697227,6.338024,-6.2500057,-7.6049805,1.9255519,-5.6675076,-8.144188,-11.900436,2.5778532,7.905555,-3.7481248,-5.2570105,-8.754623,-10.135132,7.54385,11.249125,16.241491,-9.656179,-3.3805728,0.54473877,-2.2504747,-2.8773427,0.55395365,-4.9801707,2.110386,-7.063365,6.133926,-7.242954,-8.170014,10.2272625,-0.6034732,1.6696215,14.182639,-5.6226788,-0.81168413,-1.7068028,1.4747858,18.096579,-7.741171,3.2461405,-1.6772747,20.42755,-0.2151668,-8.535486,7.5638533,-1.3317645,9.654212,4.9518466,4.645121,-2.1729052,-3.3476114,1.1813164,3.1039596],"UAE^FG_PRICE(0,-200D)":[20.62,20.3,20.09,19.87,19.87,19.73,19.59,19.76,19.55,19.43,19.65,19.65,19.425,19.22,19.2151,19.12,19.12,19.05,19.6,19.54,19.52,19.52,19.56,19.45,19.25,19.31,19.1129,19.24,19.38,19.35,19.51,19.4401,19.38,19.08,19.22,19.05,18.85,18.53,18.4941,18.58,18.53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38,19.53,19.68,19.75,19.83,19.96,19.753,19.8,19.8383,19.965,19.905,19.98,19.93,20.15,20.08,20.14,20.1,20.25,20.01,20.21,19.95,20.0399,20.26,20.145,20.32,20.35,20.11,20.105,19.795,19.9,19.98,20.05,19.86,19.41,19.37,19.21,19.08,19.13,18.84,18.86,18.84,18.84,18.6,18.66,18.72,18.57,18.5,18.22,18.3,17.66,17.26,16.99,16.99,17.24,17.56,17.88,18.395,18.72,18.78,18.71,18.67,18.61,18.59,18.59,18.45,18.57,18.59,18.66,18.62,18.45,18.45,18.53,18.57,18.71,18.65,18.48,18.3,18.16,18.36,18.13,18.15,18.14,18.18,18.31,18.23,18.14,17.96,17.88,17.99,17.64,17.47,17.57,17.23,17.01,16.76,16.76,16.76],"EIDO^FG_PRICE(0,-200D)":[19.05,18.94,19.13,19.14,19.14,19.22,19.14,19.03,18.99,19.01,18.99,19.03,19.08,19.04,18.81,18.7,18.7,18.67,18.67,18.47,18.45,18.45,18.56,18.68,18.58,18.63,18.6,18.67,18.86,18.76,18.68,18.86,18.68,18.87,18.82,18.79,18.83,18.92,18.79,18.67,18.8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7.67,18.19,18.16,18.38,18.61,18.65,18.44,18.6,18.31,18.43,18.5,18.63,18.83,18.61,17.98,17.83,17.72,17.66,17.62,17.59,17.61,17.27,17.58,17.8,17.75,17.6,17.81,17.81,17.56,17.73,17.69,17.76,17.7,17.72,17.63,17.87,17.76,17.47,17.31,17.34,17.47,17.47,17.48,17.49,17.63,17.49,17.51,17.18,17.38,16.89,17.18,17.87,17.87,18.02,18.01,18.62,18.9,18.91,18.84,18.59,18.51,18.56,18.45,18.42,18.56,18.88,18.95,18.91,19.04,19.16,19.16,18.91,18.79,18.53,18.74,18.39,18.27,17.97,17.54,17.4,17.41,17.45,17.71,17.74,17.65,17.63,17.3,17.31,17.1,16.93,16.77,16.76,16.61,16.36,16.03,16.13,16.13],"ENZL^FG_TOTAL_RETURNC(-5AY,0,AM)":[4.922271,-5.7952046,-2.6981175,1.2993217,-2.0021856,-2.4772942,1.5359163,-0.431031,3.6004186,0.711143,-7.28119,0.5380869,-6.5825405,-0.16429424,4.205525,-9.668368,-7.8671336,-6.5058527,5.521333,3.8918853,-6.878251,-7.197899,12.295699,3.1354308,8.608437,-4.69411,-2.765447,1.723063,3.346932,-4.1846514,2.2273064,-7.778454,-1.4351964,-6.1155915,5.5833936,10.005272,-3.869146,-0.63263774,-0.5707979,-2.1196723,1.1504531,2.5191069,1.9508958,2.9671073,2.8398395,-1.2182713,-1.4594078,-4.6655836,0.8869171,-2.8571427,-5.384618,3.0487895,4.606104,-0.12801886,3.4865499,-0.8061886,1.1015058,-2.2820592,-1.9917727,3.2165885,3.486061]}]]></FdsFormulaCache>
</file>

<file path=customXml/itemProps1.xml><?xml version="1.0" encoding="utf-8"?>
<ds:datastoreItem xmlns:ds="http://schemas.openxmlformats.org/officeDocument/2006/customXml" ds:itemID="{AE4ED5A7-B3D8-437B-B4C1-FE932C2AE2BF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2026-01-23T10:25:51Z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