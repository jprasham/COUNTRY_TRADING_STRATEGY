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Weekly Refresh\COUNTRY\"/>
    </mc:Choice>
  </mc:AlternateContent>
  <xr:revisionPtr revIDLastSave="0" documentId="13_ncr:1_{73DE36BC-B691-4B4D-9944-98FA96A1775D}" xr6:coauthVersionLast="47" xr6:coauthVersionMax="47" xr10:uidLastSave="{00000000-0000-0000-0000-000000000000}"/>
  <bookViews>
    <workbookView xWindow="25620" yWindow="-98" windowWidth="22140" windowHeight="11821" firstSheet="1" activeTab="1" xr2:uid="{AF2DC00A-F2B3-4A84-B5F7-D95E8D6DDD24}"/>
  </bookViews>
  <sheets>
    <sheet name="__FDSCACHE__" sheetId="3" state="veryHidden" r:id="rId1"/>
    <sheet name="FILTER1" sheetId="4" r:id="rId2"/>
    <sheet name="FILTER2" sheetId="5" r:id="rId3"/>
    <sheet name="MONTHLY_RETURNS" sheetId="1" r:id="rId4"/>
    <sheet name="PRICE_DATA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2" i="6" l="1" a="1"/>
  <c r="AI2" i="6" l="1"/>
  <c r="AH2" i="6" a="1"/>
  <c r="AH2" i="6" l="1"/>
  <c r="AG2" i="6" a="1"/>
  <c r="AG2" i="6" l="1"/>
  <c r="AF2" i="6" a="1"/>
  <c r="AF2" i="6" l="1"/>
  <c r="AE2" i="6" a="1"/>
  <c r="AE2" i="6" l="1"/>
  <c r="AD2" i="6" a="1"/>
  <c r="AD2" i="6" l="1"/>
  <c r="AC2" i="6" a="1"/>
  <c r="AC2" i="6" l="1"/>
  <c r="AB2" i="6" a="1"/>
  <c r="AB2" i="6" l="1"/>
  <c r="AA2" i="6" a="1"/>
  <c r="AA2" i="6" l="1"/>
  <c r="Z2" i="6" a="1"/>
  <c r="Z2" i="6" l="1"/>
  <c r="Y2" i="6" a="1"/>
  <c r="Y2" i="6" l="1"/>
  <c r="X2" i="6" a="1"/>
  <c r="X2" i="6" l="1"/>
  <c r="W2" i="6" a="1"/>
  <c r="W2" i="6" l="1"/>
  <c r="V2" i="6" a="1"/>
  <c r="V2" i="6" l="1"/>
  <c r="U2" i="6" a="1"/>
  <c r="U2" i="6" l="1"/>
  <c r="T2" i="6" a="1"/>
  <c r="T2" i="6" l="1"/>
  <c r="S2" i="6" a="1"/>
  <c r="S2" i="6" l="1"/>
  <c r="R2" i="6" a="1"/>
  <c r="R2" i="6" l="1"/>
  <c r="Q2" i="6" a="1"/>
  <c r="Q2" i="6" l="1"/>
  <c r="P2" i="6" a="1"/>
  <c r="P2" i="6" l="1"/>
  <c r="O2" i="6" a="1"/>
  <c r="O2" i="6" l="1"/>
  <c r="N2" i="6" a="1"/>
  <c r="N2" i="6" l="1"/>
  <c r="M2" i="6" a="1"/>
  <c r="M2" i="6" l="1"/>
  <c r="L2" i="6" a="1"/>
  <c r="L2" i="6" l="1"/>
  <c r="K2" i="6" a="1"/>
  <c r="K2" i="6" l="1"/>
  <c r="J2" i="6" a="1"/>
  <c r="J2" i="6" l="1"/>
  <c r="I2" i="6" a="1"/>
  <c r="I2" i="6" l="1"/>
  <c r="H2" i="6" a="1"/>
  <c r="H2" i="6" l="1"/>
  <c r="G2" i="6" a="1"/>
  <c r="G2" i="6" l="1"/>
  <c r="F2" i="6" a="1"/>
  <c r="F2" i="6" l="1"/>
  <c r="E2" i="6" a="1"/>
  <c r="E2" i="6" l="1"/>
  <c r="D2" i="6" a="1"/>
  <c r="D2" i="6" l="1"/>
  <c r="C2" i="6" a="1"/>
  <c r="C2" i="6" l="1"/>
  <c r="B2" i="6" a="1"/>
  <c r="B2" i="6" l="1"/>
  <c r="A2" i="6" a="1"/>
  <c r="A2" i="6" l="1"/>
  <c r="AI2" i="1" a="1"/>
  <c r="AI2" i="1" l="1"/>
  <c r="AH2" i="1" a="1"/>
  <c r="AH2" i="1" l="1"/>
  <c r="AG2" i="1" a="1"/>
  <c r="AG2" i="1" l="1"/>
  <c r="AF2" i="1" a="1"/>
  <c r="AF2" i="1" l="1"/>
  <c r="AE2" i="1" a="1"/>
  <c r="AE2" i="1" l="1"/>
  <c r="AD2" i="1" a="1"/>
  <c r="AD2" i="1" l="1"/>
  <c r="AC2" i="1" a="1"/>
  <c r="AC2" i="1" l="1"/>
  <c r="AB2" i="1" a="1"/>
  <c r="AB2" i="1" l="1"/>
  <c r="AA2" i="1" a="1"/>
  <c r="AA2" i="1" l="1"/>
  <c r="Z2" i="1" a="1"/>
  <c r="Z2" i="1" l="1"/>
  <c r="Y2" i="1" a="1"/>
  <c r="Y2" i="1" l="1"/>
  <c r="X2" i="1" a="1"/>
  <c r="X2" i="1" l="1"/>
  <c r="W2" i="1" a="1"/>
  <c r="W2" i="1" l="1"/>
  <c r="V2" i="1" a="1"/>
  <c r="V2" i="1" l="1"/>
  <c r="U2" i="1" a="1"/>
  <c r="U2" i="1" l="1"/>
  <c r="T2" i="1" a="1"/>
  <c r="T2" i="1" l="1"/>
  <c r="S2" i="1" a="1"/>
  <c r="S2" i="1" l="1"/>
  <c r="R2" i="1" a="1"/>
  <c r="R2" i="1" l="1"/>
  <c r="Q2" i="1" a="1"/>
  <c r="Q2" i="1" l="1"/>
  <c r="P2" i="1" a="1"/>
  <c r="P2" i="1" l="1"/>
  <c r="O2" i="1" a="1"/>
  <c r="O2" i="1" l="1"/>
  <c r="N2" i="1" a="1"/>
  <c r="N2" i="1" l="1"/>
  <c r="M2" i="1" a="1"/>
  <c r="M2" i="1" l="1"/>
  <c r="L2" i="1" a="1"/>
  <c r="L2" i="1" l="1"/>
  <c r="K2" i="1" a="1"/>
  <c r="K2" i="1" l="1"/>
  <c r="J2" i="1" a="1"/>
  <c r="J2" i="1" l="1"/>
  <c r="I2" i="1" a="1"/>
  <c r="I2" i="1" l="1"/>
  <c r="H2" i="1" a="1"/>
  <c r="H2" i="1" l="1"/>
  <c r="G2" i="1" a="1"/>
  <c r="G2" i="1" l="1"/>
  <c r="F2" i="1" a="1"/>
  <c r="F2" i="1" l="1"/>
  <c r="E2" i="1" a="1"/>
  <c r="E2" i="1" l="1"/>
  <c r="D2" i="1" a="1"/>
  <c r="D2" i="1" l="1"/>
  <c r="C2" i="1" a="1"/>
  <c r="C2" i="1" l="1"/>
  <c r="B2" i="1" a="1"/>
  <c r="B2" i="1" l="1"/>
  <c r="A2" i="1" a="1"/>
  <c r="A2" i="1" l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G68" i="1" l="1"/>
  <c r="AF68" i="1"/>
  <c r="W68" i="1"/>
  <c r="Z68" i="1"/>
  <c r="AC68" i="1"/>
  <c r="AE68" i="1"/>
  <c r="Y68" i="1"/>
  <c r="AA68" i="1"/>
  <c r="AB68" i="1"/>
  <c r="AI68" i="1"/>
  <c r="X68" i="1"/>
  <c r="V67" i="1"/>
  <c r="W67" i="1"/>
  <c r="Y67" i="1"/>
  <c r="AA67" i="1"/>
  <c r="AC67" i="1"/>
  <c r="AE67" i="1"/>
  <c r="AG67" i="1"/>
  <c r="AI67" i="1"/>
  <c r="X67" i="1"/>
  <c r="Z67" i="1"/>
  <c r="AB67" i="1"/>
  <c r="AD67" i="1"/>
  <c r="AF67" i="1"/>
  <c r="AH67" i="1"/>
  <c r="W69" i="1"/>
  <c r="W70" i="1" s="1"/>
  <c r="Y69" i="1"/>
  <c r="Y70" i="1" s="1"/>
  <c r="AA69" i="1"/>
  <c r="AA70" i="1" s="1"/>
  <c r="AC69" i="1"/>
  <c r="AC70" i="1" s="1"/>
  <c r="AE69" i="1"/>
  <c r="AE70" i="1" s="1"/>
  <c r="AG69" i="1"/>
  <c r="AG70" i="1" s="1"/>
  <c r="AI69" i="1"/>
  <c r="AI70" i="1" s="1"/>
  <c r="X69" i="1"/>
  <c r="X70" i="1" s="1"/>
  <c r="Z69" i="1"/>
  <c r="Z70" i="1" s="1"/>
  <c r="AB69" i="1"/>
  <c r="AB70" i="1" s="1"/>
  <c r="AD69" i="1"/>
  <c r="AD70" i="1" s="1"/>
  <c r="AD68" i="1"/>
  <c r="AF69" i="1"/>
  <c r="AF70" i="1" s="1"/>
  <c r="AH69" i="1"/>
  <c r="AH70" i="1" s="1"/>
  <c r="AH68" i="1"/>
  <c r="V69" i="1"/>
  <c r="V70" i="1" s="1"/>
  <c r="V68" i="1"/>
  <c r="R204" i="6" l="1"/>
  <c r="R72" i="1" s="1"/>
  <c r="R71" i="1"/>
  <c r="E204" i="6"/>
  <c r="E72" i="1" s="1"/>
  <c r="E71" i="1"/>
  <c r="N204" i="6"/>
  <c r="N72" i="1" s="1"/>
  <c r="N71" i="1"/>
  <c r="AG71" i="1"/>
  <c r="AG204" i="6"/>
  <c r="AG72" i="1" s="1"/>
  <c r="X204" i="6"/>
  <c r="X72" i="1" s="1"/>
  <c r="X71" i="1"/>
  <c r="AI204" i="6"/>
  <c r="AI72" i="1" s="1"/>
  <c r="AI71" i="1"/>
  <c r="J204" i="6"/>
  <c r="J72" i="1" s="1"/>
  <c r="J71" i="1"/>
  <c r="AC204" i="6"/>
  <c r="AC72" i="1" s="1"/>
  <c r="AC71" i="1"/>
  <c r="T204" i="6"/>
  <c r="T72" i="1" s="1"/>
  <c r="T71" i="1"/>
  <c r="AE204" i="6"/>
  <c r="AE72" i="1" s="1"/>
  <c r="AE71" i="1"/>
  <c r="W204" i="6"/>
  <c r="W72" i="1" s="1"/>
  <c r="W71" i="1"/>
  <c r="F204" i="6"/>
  <c r="F72" i="1" s="1"/>
  <c r="F71" i="1"/>
  <c r="Y71" i="1"/>
  <c r="Y204" i="6"/>
  <c r="Y72" i="1" s="1"/>
  <c r="P71" i="1"/>
  <c r="P204" i="6"/>
  <c r="P72" i="1" s="1"/>
  <c r="AA204" i="6"/>
  <c r="AA72" i="1" s="1"/>
  <c r="AA71" i="1"/>
  <c r="S204" i="6"/>
  <c r="S72" i="1" s="1"/>
  <c r="S71" i="1"/>
  <c r="AH204" i="6"/>
  <c r="AH72" i="1" s="1"/>
  <c r="AH71" i="1"/>
  <c r="B71" i="1"/>
  <c r="B204" i="6"/>
  <c r="B72" i="1" s="1"/>
  <c r="U204" i="6"/>
  <c r="U72" i="1" s="1"/>
  <c r="U71" i="1"/>
  <c r="L204" i="6"/>
  <c r="L72" i="1" s="1"/>
  <c r="L71" i="1"/>
  <c r="O204" i="6"/>
  <c r="O72" i="1" s="1"/>
  <c r="O71" i="1"/>
  <c r="K204" i="6"/>
  <c r="K72" i="1" s="1"/>
  <c r="K71" i="1"/>
  <c r="AD204" i="6"/>
  <c r="AD72" i="1" s="1"/>
  <c r="AD71" i="1"/>
  <c r="Q71" i="1"/>
  <c r="Q204" i="6"/>
  <c r="Q72" i="1" s="1"/>
  <c r="H204" i="6"/>
  <c r="H72" i="1" s="1"/>
  <c r="H71" i="1"/>
  <c r="D204" i="6"/>
  <c r="D72" i="1" s="1"/>
  <c r="D71" i="1"/>
  <c r="C204" i="6"/>
  <c r="C72" i="1" s="1"/>
  <c r="C71" i="1"/>
  <c r="G204" i="6"/>
  <c r="G72" i="1" s="1"/>
  <c r="G71" i="1"/>
  <c r="Z71" i="1"/>
  <c r="Z204" i="6"/>
  <c r="Z72" i="1" s="1"/>
  <c r="M204" i="6"/>
  <c r="M72" i="1" s="1"/>
  <c r="M71" i="1"/>
  <c r="V204" i="6"/>
  <c r="V72" i="1" s="1"/>
  <c r="V71" i="1"/>
  <c r="I71" i="1"/>
  <c r="I204" i="6"/>
  <c r="I72" i="1" s="1"/>
  <c r="AF204" i="6"/>
  <c r="AF72" i="1" s="1"/>
  <c r="AF71" i="1"/>
  <c r="AB71" i="1"/>
  <c r="AB204" i="6"/>
  <c r="AB72" i="1" s="1"/>
  <c r="AD74" i="1"/>
  <c r="AD73" i="1"/>
  <c r="AI74" i="1"/>
  <c r="AI73" i="1"/>
  <c r="AA74" i="1"/>
  <c r="AA73" i="1"/>
  <c r="AB73" i="1"/>
  <c r="AB74" i="1"/>
  <c r="AG73" i="1"/>
  <c r="AG74" i="1"/>
  <c r="Y73" i="1"/>
  <c r="Y74" i="1"/>
  <c r="AH74" i="1"/>
  <c r="AH73" i="1"/>
  <c r="Z74" i="1"/>
  <c r="Z73" i="1"/>
  <c r="AE74" i="1"/>
  <c r="AE73" i="1"/>
  <c r="W74" i="1"/>
  <c r="W73" i="1"/>
  <c r="AF73" i="1"/>
  <c r="AF74" i="1"/>
  <c r="X73" i="1"/>
  <c r="X74" i="1"/>
  <c r="AC73" i="1"/>
  <c r="AC74" i="1"/>
  <c r="V74" i="1"/>
  <c r="V73" i="1"/>
  <c r="U67" i="1"/>
  <c r="U69" i="1"/>
  <c r="U70" i="1" s="1"/>
  <c r="U68" i="1"/>
  <c r="U73" i="1" l="1"/>
  <c r="U74" i="1"/>
  <c r="T67" i="1"/>
  <c r="T69" i="1"/>
  <c r="T70" i="1" s="1"/>
  <c r="T68" i="1"/>
  <c r="T73" i="1" l="1"/>
  <c r="T74" i="1"/>
  <c r="S67" i="1"/>
  <c r="S69" i="1"/>
  <c r="S70" i="1" s="1"/>
  <c r="S68" i="1"/>
  <c r="S74" i="1" l="1"/>
  <c r="S73" i="1"/>
  <c r="R67" i="1"/>
  <c r="R69" i="1"/>
  <c r="R70" i="1" s="1"/>
  <c r="R68" i="1"/>
  <c r="R74" i="1" l="1"/>
  <c r="R73" i="1"/>
  <c r="Q67" i="1"/>
  <c r="Q69" i="1"/>
  <c r="Q70" i="1" s="1"/>
  <c r="Q68" i="1"/>
  <c r="Q73" i="1" l="1"/>
  <c r="Q74" i="1"/>
  <c r="P67" i="1"/>
  <c r="P69" i="1"/>
  <c r="P70" i="1" s="1"/>
  <c r="P68" i="1"/>
  <c r="P73" i="1" l="1"/>
  <c r="P74" i="1"/>
  <c r="O67" i="1"/>
  <c r="O69" i="1"/>
  <c r="O70" i="1" s="1"/>
  <c r="O68" i="1"/>
  <c r="O74" i="1" l="1"/>
  <c r="O73" i="1"/>
  <c r="N67" i="1"/>
  <c r="N69" i="1"/>
  <c r="N70" i="1" s="1"/>
  <c r="N68" i="1"/>
  <c r="N74" i="1" l="1"/>
  <c r="N73" i="1"/>
  <c r="M67" i="1"/>
  <c r="M69" i="1"/>
  <c r="M70" i="1" s="1"/>
  <c r="M68" i="1"/>
  <c r="M73" i="1" l="1"/>
  <c r="M74" i="1"/>
  <c r="L67" i="1"/>
  <c r="L69" i="1"/>
  <c r="L70" i="1" s="1"/>
  <c r="L68" i="1"/>
  <c r="L73" i="1" l="1"/>
  <c r="L74" i="1"/>
  <c r="K67" i="1"/>
  <c r="K69" i="1"/>
  <c r="K70" i="1" s="1"/>
  <c r="K68" i="1"/>
  <c r="K74" i="1" l="1"/>
  <c r="K73" i="1"/>
  <c r="J67" i="1"/>
  <c r="J69" i="1"/>
  <c r="J70" i="1" s="1"/>
  <c r="J68" i="1"/>
  <c r="J74" i="1" l="1"/>
  <c r="J73" i="1"/>
  <c r="I67" i="1"/>
  <c r="I69" i="1"/>
  <c r="I70" i="1" s="1"/>
  <c r="I68" i="1"/>
  <c r="I73" i="1" l="1"/>
  <c r="I74" i="1"/>
  <c r="H67" i="1"/>
  <c r="H69" i="1"/>
  <c r="H70" i="1" s="1"/>
  <c r="H68" i="1"/>
  <c r="H73" i="1" l="1"/>
  <c r="H74" i="1"/>
  <c r="G67" i="1"/>
  <c r="G69" i="1"/>
  <c r="G70" i="1" s="1"/>
  <c r="G68" i="1"/>
  <c r="G74" i="1" l="1"/>
  <c r="G73" i="1"/>
  <c r="F67" i="1"/>
  <c r="F69" i="1"/>
  <c r="F70" i="1" s="1"/>
  <c r="F68" i="1"/>
  <c r="F74" i="1" l="1"/>
  <c r="F73" i="1"/>
  <c r="E67" i="1"/>
  <c r="E69" i="1"/>
  <c r="E70" i="1" s="1"/>
  <c r="E68" i="1"/>
  <c r="E73" i="1" l="1"/>
  <c r="E74" i="1"/>
  <c r="D67" i="1"/>
  <c r="D69" i="1"/>
  <c r="D70" i="1" s="1"/>
  <c r="D68" i="1"/>
  <c r="D73" i="1" l="1"/>
  <c r="D74" i="1"/>
  <c r="C67" i="1"/>
  <c r="C69" i="1"/>
  <c r="C70" i="1" s="1"/>
  <c r="C68" i="1"/>
  <c r="C74" i="1" l="1"/>
  <c r="C73" i="1"/>
  <c r="B67" i="1"/>
  <c r="B69" i="1"/>
  <c r="B70" i="1" s="1"/>
  <c r="B68" i="1"/>
  <c r="B74" i="1" l="1"/>
  <c r="B73" i="1"/>
  <c r="E2" i="4" l="1" a="1"/>
  <c r="E2" i="4" s="1"/>
  <c r="D2" i="4" a="1"/>
  <c r="D2" i="4" s="1"/>
  <c r="C2" i="4" a="1"/>
  <c r="C2" i="4" s="1"/>
  <c r="B2" i="4" a="1"/>
  <c r="B2" i="4" s="1"/>
  <c r="F2" i="4" a="1"/>
  <c r="F2" i="4" s="1"/>
  <c r="I2" i="4" a="1"/>
  <c r="I2" i="4" s="1"/>
  <c r="A2" i="4" a="1"/>
  <c r="A2" i="4" s="1"/>
  <c r="H2" i="4" a="1"/>
  <c r="H2" i="4" s="1"/>
  <c r="G2" i="4" a="1"/>
  <c r="G2" i="4" s="1"/>
  <c r="I2" i="5" a="1"/>
  <c r="I2" i="5" s="1"/>
  <c r="H2" i="5" a="1"/>
  <c r="H2" i="5" s="1"/>
  <c r="D2" i="5" a="1"/>
  <c r="D2" i="5" s="1"/>
  <c r="G2" i="5" a="1"/>
  <c r="G2" i="5" s="1"/>
  <c r="C2" i="5" a="1"/>
  <c r="C2" i="5" s="1"/>
  <c r="F2" i="5" a="1"/>
  <c r="F2" i="5" s="1"/>
  <c r="B2" i="5" a="1"/>
  <c r="B2" i="5" s="1"/>
  <c r="E2" i="5" a="1"/>
  <c r="E2" i="5" s="1"/>
  <c r="A2" i="5" a="1"/>
  <c r="A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Prasham Jain</author>
  </authors>
  <commentList>
    <comment ref="A1" authorId="0" shapeId="0" xr:uid="{3A8E9583-3C6B-4339-83CD-985A6ACB56A0}">
      <text>
        <r>
          <rPr>
            <b/>
            <sz val="9"/>
            <color indexed="81"/>
            <rFont val="Tahoma"/>
            <charset val="1"/>
          </rPr>
          <t>&lt;?xml version="1.0" encoding="utf-8"?&gt;&lt;Schema xmlns:xsd="http://www.w3.org/2001/XMLSchema" xmlns:xsi="http://www.w3.org/2001/XMLSchema-instance" Version="2" Timestamp="1767336538"&gt;&lt;FQL&gt;&lt;Q&gt;EWI^FG_PRICE(0,-200D)&lt;/Q&gt;&lt;R&gt;201&lt;/R&gt;&lt;C&gt;1&lt;/C&gt;&lt;D xsi:type="xsd:double"&gt;54.33&lt;/D&gt;&lt;D xsi:type="xsd:double"&gt;54.33&lt;/D&gt;&lt;D xsi:type="xsd:double"&gt;54.59&lt;/D&gt;&lt;D xsi:type="xsd:double"&gt;54.16&lt;/D&gt;&lt;D xsi:type="xsd:double"&gt;54.62&lt;/D&gt;&lt;D xsi:type="xsd:double"&gt;54.56&lt;/D&gt;&lt;D xsi:type="xsd:double"&gt;54.56&lt;/D&gt;&lt;D xsi:type="xsd:double"&gt;54.4&lt;/D&gt;&lt;D xsi:type="xsd:double"&gt;54.24&lt;/D&gt;&lt;D xsi:type="xsd:double"&gt;54.21&lt;/D&gt;&lt;D xsi:type="xsd:double"&gt;53.81&lt;/D&gt;&lt;D xsi:type="xsd:double"&gt;53.51&lt;/D&gt;&lt;D xsi:type="xsd:double"&gt;53.58&lt;/D&gt;&lt;D xsi:type="xsd:double"&gt;54.35&lt;/D&gt;&lt;D xsi:type="xsd:double"&gt;53.66&lt;/D&gt;&lt;D xsi:type="xsd:double"&gt;53.95&lt;/D&gt;&lt;D xsi:type="xsd:double"&gt;53.55&lt;/D&gt;&lt;D xsi:type="xsd:double"&gt;53.02&lt;/D&gt;&lt;D xsi:type="xsd:double"&gt;52.98&lt;/D&gt;&lt;D xsi:type="xsd:double"&gt;52.98&lt;/D&gt;&lt;D xsi:type="xsd:double"&gt;53.15&lt;/D&gt;&lt;D xsi:type="xsd:double"&gt;53.29&lt;/D&gt;&lt;D xsi:type="xsd:double"&gt;53&lt;/D&gt;&lt;D xsi:type="xsd:double"&gt;52.66&lt;/D&gt;&lt;D xsi:type="xsd:double"&gt;52.93&lt;/D&gt;&lt;D xsi:type="xsd:double"&gt;52.54&lt;/D&gt;&lt;D xsi:type="xsd:double"&gt;52.54&lt;/D&gt;&lt;D xsi:type="xsd:double"&gt;52.16&lt;/D&gt;&lt;D xsi:type="xsd:double"&gt;51.19&lt;/D&gt;&lt;D xsi:type="xsd:double"&gt;51.47&lt;/D&gt;&lt;D xsi:type="xsd:double"&gt;50.81&lt;/D&gt;&lt;D xsi:type="xsd:double"&gt;51.34&lt;/D&gt;&lt;D xsi:type="xsd:double"&gt;51.81&lt;/D&gt;&lt;D xsi:type="xsd:double"&gt;52.56&lt;/D&gt;&lt;D xsi:type="xsd:double"&gt;53.2&lt;/D&gt;&lt;D xsi:type="xsd:double"&gt;53.98&lt;/D&gt;&lt;D xsi:type="xsd:double"&gt;54.12&lt;/D&gt;&lt;D xsi:type="xsd:double"&gt;53.75&lt;/D&gt;&lt;D xsi:type="xsd:double"&gt;53.15&lt;/D&gt;&lt;D xsi:type="xsd:double"&gt;52.19&lt;/D&gt;&lt;D xsi:type="xsd:double"&gt;51.75&lt;/D&gt;&lt;D xsi:type="xsd:double"&gt;52&lt;/D&gt;&lt;D xsi:type="xsd:double"&gt;51.38&lt;/D&gt;&lt;D xsi:type="xsd:double"&gt;51.79&lt;/D&gt;&lt;D xsi:type="xsd:double"&gt;51.81&lt;/D&gt;&lt;D xsi:type="xsd:double"&gt;51.82&lt;/D&gt;&lt;D xsi:type="xsd:double"&gt;52.11&lt;/D&gt;&lt;D xsi:type="xsd:double"&gt;52.18&lt;/D&gt;&lt;D xsi:type="xsd:double"&gt;51.93&lt;/D&gt;&lt;D xsi:type="xsd:double"&gt;51.27&lt;/D&gt;&lt;D xsi:type="xsd:double"&gt;51.17&lt;/D&gt;&lt;D xsi:type="xsd:double"&gt;50.66&lt;/D&gt;&lt;D xsi:type="xsd:double"&gt;51.1&lt;/D&gt;&lt;D xsi:type="xsd:double"&gt;51.24&lt;/D&gt;&lt;D xsi:type="xsd:double"&gt;50.77&lt;/D&gt;&lt;D xsi:type="xsd:double"&gt;50.88&lt;/D&gt;&lt;D xsi:type="xsd:double"&gt;50.47&lt;/D&gt;&lt;D xsi:type="xsd:double"&gt;50.79&lt;/D&gt;&lt;D xsi:type="xsd:double"&gt;50.5&lt;/D&gt;&lt;D xsi:type="xsd:double"&gt;50.31&lt;/D&gt;&lt;D xsi:type="xsd:double"&gt;51.13&lt;/D&gt;&lt;D xsi:type="xsd:double"&gt;52.29&lt;/D&gt;&lt;D xsi:type="xsd:double"&gt;51.94&lt;/D&gt;&lt;D xsi:type="xsd:double"&gt;52.26&lt;/D&gt;&lt;D xsi:type="xsd:double"&gt;52.61&lt;/D&gt;&lt;D xsi:type="xsd:double"&gt;52.33&lt;/D&gt;&lt;D xsi:type="xsd:double"&gt;52.41&lt;/D&gt;&lt;D xsi:type="xsd:double"&gt;51.95&lt;/D&gt;&lt;D xsi:type="xsd:double"&gt;51.5&lt;/D&gt;&lt;D xsi:type="xsd:double"&gt;51.54&lt;/D&gt;&lt;D xsi:type="xsd:double"&gt;50.94&lt;/D&gt;&lt;D xsi:type="xsd:double"&gt;51.29&lt;/D&gt;&lt;D xsi:type="xsd:double"&gt;51.51&lt;/D&gt;&lt;D xsi:type="xsd:double"&gt;51.74&lt;/D&gt;&lt;D xsi:type="xsd:double"&gt;51.37&lt;/D&gt;&lt;D xsi:type="xsd:double"&gt;51.44&lt;/D&gt;&lt;D xsi:type="xsd:double"&gt;51.33&lt;/D&gt;&lt;D xsi:type="xsd:double"&gt;52.15&lt;/D&gt;&lt;D xsi:type="xsd:double"&gt;52.39&lt;/D&gt;&lt;D xsi:type="xsd:double"&gt;51.72&lt;/D&gt;&lt;D xsi:type="xsd:double"&gt;51.6&lt;/D&gt;&lt;D xsi:type="xsd:double"&gt;50.93&lt;/D&gt;&lt;D xsi:type="xsd:double"&gt;50.86&lt;/D&gt;&lt;D xsi:type="xsd:double"&gt;50.64&lt;/D&gt;&lt;D xsi:type="xsd:double"&gt;50.46&lt;/D&gt;&lt;D xsi:type="xsd:double"&gt;50.65&lt;/D&gt;&lt;D xsi:type="xsd:double"&gt;50.38&lt;/D&gt;&lt;D xsi:type="xsd:double"&gt;50.4&lt;/D&gt;&lt;D xsi:type="xsd:double"&gt;51.05&lt;/D&gt;&lt;D xsi:type="xsd:double"&gt;51.05&lt;/D&gt;&lt;D xsi:type="xsd:double"&gt;51.19&lt;/D&gt;&lt;D xsi:type="xsd:double"&gt;50.91&lt;/D&gt;&lt;D xsi:type="xsd:double"&gt;51.42&lt;/D&gt;&lt;D xsi:type="xsd:double"&gt;51.76&lt;/D&gt;&lt;D xsi:type="xsd:double"&gt;52.34&lt;/D&gt;&lt;D xsi:type="xsd:double"&gt;51.53&lt;/D&gt;&lt;D xsi:type="xsd:double"&gt;51.69&lt;/D&gt;&lt;D xsi:type="xsd:double"&gt;51.62&lt;/D&gt;&lt;D xsi:type="xsd:double"&gt;51.54&lt;/D&gt;&lt;D xsi:type="xsd:double"&gt;51.79&lt;/D&gt;&lt;D xsi:type="xsd:double"&gt;51.56&lt;/D&gt;&lt;D xsi:type="xsd:double"&gt;51.1&lt;/D&gt;&lt;D xsi:type="xsd:double"&gt;50.64&lt;/D&gt;&lt;D xsi:type="xsd:double"&gt;49.99&lt;/D&gt;&lt;D xsi:type="xsd:double"&gt;50.16&lt;/D&gt;&lt;D xsi:type="xsd:double"&gt;49.95&lt;/D&gt;&lt;D xsi:type="xsd:double"&gt;49.52&lt;/D&gt;&lt;D xsi:type="xsd:double"&gt;48.74&lt;/D&gt;&lt;D xsi:type="xsd:double"&gt;48.57&lt;/D&gt;&lt;D xsi:type="xsd:double"&gt;47.83&lt;/D&gt;&lt;D xsi:type="xsd:double"&gt;48.25&lt;/D&gt;&lt;D xsi:type="xsd:double"&gt;49.13&lt;/D&gt;&lt;D xsi:type="xsd:double"&gt;49.06&lt;/D&gt;&lt;D xsi:type="xsd:double"&gt;48.78&lt;/D&gt;&lt;D xsi:type="xsd:double"&gt;49.56&lt;/D&gt;&lt;D xsi:type="xsd:double"&gt;49.12&lt;/D&gt;&lt;D xsi:type="xsd:double"&gt;49.84&lt;/D&gt;&lt;D xsi:type="xsd:double"&gt;48.55&lt;/D&gt;&lt;D xsi:type="xsd:double"&gt;48.03&lt;/D&gt;&lt;D xsi:type="xsd:double"&gt;47.79&lt;/D&gt;&lt;D xsi:type="xsd:double"&gt;47.75&lt;/D&gt;&lt;D xsi:type="xsd:double"&gt;47.76&lt;/D&gt;&lt;D xsi:type="xsd:double"&gt;47.32&lt;/D&gt;&lt;D xsi:type="xsd:double"&gt;48.16&lt;/D&gt;&lt;D xsi:type="xsd:double"&gt;47.99&lt;/D&gt;&lt;D xsi:type="xsd:double"&gt;48.53&lt;/D&gt;&lt;D xsi:type="xsd:double"&gt;49.17&lt;/D&gt;&lt;D xsi:type="xsd:double"&gt;48.34&lt;/D&gt;&lt;D xsi:type="xsd:double"&gt;47.87&lt;/D&gt;&lt;D xsi:type="xsd:double"&gt;48.21&lt;/D&gt;&lt;D xsi:type="xsd:double"&gt;48.21&lt;/D&gt;&lt;D xsi:type="xsd:double"&gt;48.29&lt;/D&gt;&lt;D xsi:type="xsd:double"&gt;48.05&lt;/D&gt;&lt;D xsi:type="xsd:double"&gt;48.14&lt;/D&gt;&lt;D xsi:type="xsd:double"&gt;47.86&lt;/D&gt;&lt;D xsi:type="xsd:double"&gt;47.5&lt;/D&gt;&lt;D xsi:type="xsd:double"&gt;47.17&lt;/D&gt;&lt;D xsi:type="xsd:double"&gt;47.2&lt;/D&gt;&lt;D xsi:type="xsd:double"&gt;46.45&lt;/D&gt;&lt;D xsi:type="xsd:double"&gt;46.36&lt;/D&gt;&lt;D xsi:type="xsd:double"&gt;46.46&lt;/D&gt;&lt;D xsi:type="xsd:double"&gt;46.46&lt;/D&gt;&lt;D xsi:type="xsd:double"&gt;46.26&lt;/D&gt;&lt;D xsi:type="xsd:double"&gt;47.21&lt;/D&gt;&lt;D xsi:type="xsd:double"&gt;47.43&lt;/D&gt;&lt;D xsi:type="xsd:double"&gt;48.25&lt;/D&gt;&lt;D xsi:type="xsd:double"&gt;47.93&lt;/D&gt;&lt;D xsi:type="xsd:double"&gt;47.93&lt;/D&gt;&lt;D xsi:type="xsd:double"&gt;48.18&lt;/D&gt;&lt;D xsi:type="xsd:double"&gt;48.3&lt;/D&gt;&lt;D xsi:type="xsd:double"&gt;47.98&lt;/D&gt;&lt;D xsi:type="xsd:double"&gt;47.74&lt;/D&gt;&lt;D xsi:type="xsd:double"&gt;47.87&lt;/D&gt;&lt;D xsi:type="xsd:double"&gt;48.32&lt;/D&gt;&lt;D xsi:type="xsd:double"&gt;47.77&lt;/D&gt;&lt;D xsi:type="xsd:double"&gt;47.58&lt;/D&gt;&lt;D xsi:type="xsd:double"&gt;47.55&lt;/D&gt;&lt;D xsi:type="xsd:double"&gt;47.66&lt;/D&gt;&lt;D xsi:type="xsd:double"&gt;46.96&lt;/D&gt;&lt;D xsi:type="xsd:double"&gt;46.96&lt;/D&gt;&lt;D xsi:type="xsd:double"&gt;47.54&lt;/D&gt;&lt;D xsi:type="xsd:double"&gt;47.65&lt;/D&gt;&lt;D xsi:type="xsd:double"&gt;47.84&lt;/D&gt;&lt;D xsi:type="xsd:double"&gt;47.3&lt;/D&gt;&lt;D xsi:type="xsd:double"&gt;46.85&lt;/D&gt;&lt;D xsi:type="xsd:double"&gt;46.53&lt;/D&gt;&lt;D xsi:type="xsd:double"&gt;46.26&lt;/D&gt;&lt;D xsi:type="xsd:double"&gt;46&lt;/D&gt;&lt;D xsi:type="xsd:double"&gt;45.66&lt;/D&gt;&lt;D xsi:type="xsd:double"&gt;45.81&lt;/D&gt;&lt;D xsi:type="xsd:double"&gt;45.36&lt;/D&gt;&lt;D xsi:type="xsd:double"&gt;44.99&lt;/D&gt;&lt;D xsi:type="xsd:double"&gt;45.22&lt;/D&gt;&lt;D xsi:type="xsd:double"&gt;45.07&lt;/D&gt;&lt;D xsi:type="xsd:double"&gt;44.99&lt;/D&gt;&lt;D xsi:type="xsd:double"&gt;44.26&lt;/D&gt;&lt;D xsi:type="xsd:double"&gt;44.21&lt;/D&gt;&lt;D xsi:type="xsd:double"&gt;44.67&lt;/D&gt;&lt;D xsi:type="xsd:double"&gt;44.23&lt;/D&gt;&lt;D xsi:type="xsd:double"&gt;44.04&lt;/D&gt;&lt;D xsi:type="xsd:double"&gt;43.48&lt;/D&gt;&lt;D xsi:type="xsd:double"&gt;42.69&lt;/D&gt;&lt;D xsi:type="xsd:double"&gt;42.81&lt;/D&gt;&lt;D xsi:type="xsd:double"&gt;41.94&lt;/D&gt;&lt;D xsi:type="xsd:double"&gt;42.13&lt;/D&gt;&lt;D xsi:type="xsd:double"&gt;42.13&lt;/D&gt;&lt;D xsi:type="xsd:double"&gt;41.76&lt;/D&gt;&lt;D xsi:type="xsd:double"&gt;41.54&lt;/D&gt;&lt;D xsi:type="xsd:double"&gt;40.92&lt;/D&gt;&lt;D xsi:type="xsd:double"&gt;40.53&lt;/D&gt;&lt;D xsi:type="xsd:double"&gt;39.66&lt;/D&gt;&lt;D xsi:type="xsd:double"&gt;40.22&lt;/D&gt;&lt;D xsi:type="xsd:double"&gt;36.6&lt;/D&gt;&lt;D xsi:type="xsd:double"&gt;37.06&lt;/D&gt;&lt;D xsi:type="xsd:double"&gt;38.49&lt;/D&gt;&lt;D xsi:type="xsd:double"&gt;41.77&lt;/D&gt;&lt;D xsi:type="xsd:double"&gt;42.66&lt;/D&gt;&lt;D xsi:type="xsd:double"&gt;42.46&lt;/D&gt;&lt;D xsi:type="xsd:double"&gt;42.32&lt;/D&gt;&lt;D xsi:type="xsd:double"&gt;42.8&lt;/D&gt;&lt;D xsi:type="xsd:double"&gt;43.07&lt;/D&gt;&lt;/FQL&gt;&lt;FQL&gt;&lt;Q&gt;EWD^FG_PRICE(0,-200D)&lt;/Q&gt;&lt;R&gt;201&lt;/R&gt;&lt;C&gt;1&lt;/C&gt;&lt;D xsi:type="xsd:double"&gt;49.23&lt;/D&gt;&lt;D xsi:type="xsd:double"&gt;49.23&lt;/D&gt;&lt;D xsi:type="xsd:double"&gt;49.55&lt;/D&gt;&lt;D xsi:type="xsd:double"&gt;49.32&lt;/D&gt;&lt;D xsi:type="xsd:double"&gt;49.65&lt;/D&gt;&lt;D xsi:type="xsd:double"&gt;49.31&lt;/D&gt;&lt;D xsi:type="xsd:double"&gt;49.31&lt;/D&gt;&lt;D xsi:type="xsd:double"&gt;49.21&lt;/D&gt;&lt;D xsi:type="xsd:double"&gt;48.8&lt;/D&gt;&lt;D xsi:type="xsd:double"&gt;48.55&lt;/D&gt;&lt;D xsi:type="xsd:double"&gt;48.18&lt;/D&gt;&lt;D xsi:type="xsd:double"&gt;47.62&lt;/D&gt;&lt;D xsi:type="xsd:double"&gt;48.23&lt;/D&gt;&lt;D xsi:type="xsd:double"&gt;49.11&lt;/D&gt;&lt;D xsi:type="xsd:double"&gt;49.38&lt;/D&gt;&lt;D xsi:type="xsd:double"&gt;49.67&lt;/D&gt;&lt;D xsi:type="xsd:double"&gt;49.36&lt;/D&gt;&lt;D xsi:type="xsd:double"&gt;48.55&lt;/D&gt;&lt;D xsi:type="xsd:double"&gt;48.4&lt;/D&gt;&lt;D xsi:type="xsd:double"&gt;48.37&lt;/D&gt;&lt;D xsi:type="xsd:double"&gt;48.09&lt;/D&gt;&lt;D xsi:type="xsd:double"&gt;47.77&lt;/D&gt;&lt;D xsi:type="xsd:double"&gt;47.61&lt;/D&gt;&lt;D xsi:type="xsd:double"&gt;47.58&lt;/D&gt;&lt;D xsi:type="xsd:double"&gt;47.91&lt;/D&gt;&lt;D xsi:type="xsd:double"&gt;47.43&lt;/D&gt;&lt;D xsi:type="xsd:double"&gt;47.43&lt;/D&gt;&lt;D xsi:type="xsd:double"&gt;47.06&lt;/D&gt;&lt;D xsi:type="xsd:double"&gt;46.26&lt;/D&gt;&lt;D xsi:type="xsd:double"&gt;46.06&lt;/D&gt;&lt;D xsi:type="xsd:double"&gt;45.38&lt;/D&gt;&lt;D xsi:type="xsd:double"&gt;46.17&lt;/D&gt;&lt;D xsi:type="xsd:double"&gt;46.49&lt;/D&gt;&lt;D xsi:type="xsd:double"&gt;47.22&lt;/D&gt;&lt;D xsi:type="xsd:double"&gt;47.65&lt;/D&gt;&lt;D xsi:type="xsd:double"&gt;48.27&lt;/D&gt;&lt;D xsi:type="xsd:double"&gt;48.82&lt;/D&gt;&lt;D xsi:type="xsd:double"&gt;48.48&lt;/D&gt;&lt;D xsi:type="xsd:double"&gt;47.74&lt;/D&gt;&lt;D xsi:type="xsd:double"&gt;47.24&lt;/D&gt;&lt;D xsi:type="xsd:double"&gt;46.98&lt;/D&gt;&lt;D xsi:type="xsd:double"&gt;47.29&lt;/D&gt;&lt;D xsi:type="xsd:double"&gt;46.87&lt;/D&gt;&lt;D xsi:type="xsd:double"&gt;47.7&lt;/D&gt;&lt;D xsi:type="xsd:double"&gt;47.99&lt;/D&gt;&lt;D xsi:type="xsd:double"&gt;48.49&lt;/D&gt;&lt;D xsi:type="xsd:double"&gt;48.74&lt;/D&gt;&lt;D xsi:type="xsd:double"&gt;49.07&lt;/D&gt;&lt;D xsi:type="xsd:double"&gt;49.23&lt;/D&gt;&lt;D xsi:type="xsd:double"&gt;48.86&lt;/D&gt;&lt;D xsi:type="xsd:double"&gt;48.65&lt;/D&gt;&lt;D xsi:type="xsd:double"&gt;48.36&lt;/D&gt;&lt;D xsi:type="xsd:double"&gt;48.54&lt;/D&gt;&lt;D xsi:type="xsd:double"&gt;48.09&lt;/D&gt;&lt;D xsi:type="xsd:double"&gt;47.79&lt;/D&gt;&lt;D xsi:type="xsd:double"&gt;47.8&lt;/D&gt;&lt;D xsi:type="xsd:double"&gt;47.58&lt;/D&gt;&lt;D xsi:type="xsd:double"&gt;47.45&lt;/D&gt;&lt;D xsi:type="xsd:double"&gt;47.32&lt;/D&gt;&lt;D xsi:type="xsd:double"&gt;46.92&lt;/D&gt;&lt;D xsi:type="xsd:double"&gt;47.2&lt;/D&gt;&lt;D xsi:type="xsd:double"&gt;47.88&lt;/D&gt;&lt;D xsi:type="xsd:double"&gt;47.82&lt;/D&gt;&lt;D xsi:type="xsd:double"&gt;48.26&lt;/D&gt;&lt;D xsi:type="xsd:double"&gt;48.2&lt;/D&gt;&lt;D xsi:type="xsd:double"&gt;47.94&lt;/D&gt;&lt;D xsi:type="xsd:double"&gt;47.61&lt;/D&gt;&lt;D xsi:type="xsd:double"&gt;47.2&lt;/D&gt;&lt;D xsi:type="xsd:double"&gt;47.22&lt;/D&gt;&lt;D xsi:type="xsd:double"&gt;47.2&lt;/D&gt;&lt;D xsi:type="xsd:double"&gt;46.62&lt;/D&gt;&lt;D xsi:type="xsd:double"&gt;47.01&lt;/D&gt;&lt;D xsi:type="xsd:double"&gt;47.85&lt;/D&gt;&lt;D xsi:type="xsd:double"&gt;47.63&lt;/D&gt;&lt;D xsi:type="xsd:double"&gt;47.43&lt;/D&gt;&lt;D xsi:type="xsd:double"&gt;47.56&lt;/D&gt;&lt;D xsi:type="xsd:double"&gt;47.17&lt;/D&gt;&lt;D xsi:type="xsd:double"&gt;47.46&lt;/D&gt;&lt;D xsi:type="xsd:double"&gt;47.61&lt;/D&gt;&lt;D xsi:type="xsd:double"&gt;47.24&lt;/D&gt;&lt;D xsi:type="xsd:double"&gt;47.33&lt;/D&gt;&lt;D xsi:type="xsd:double"&gt;47.1&lt;/D&gt;&lt;D xsi:type="xsd:double"&gt;47.3&lt;/D&gt;&lt;D xsi:type="xsd:double"&gt;47.42&lt;/D&gt;&lt;D xsi:type="xsd:double"&gt;47.01&lt;/D&gt;&lt;D xsi:type="xsd:double"&gt;46.26&lt;/D&gt;&lt;D xsi:type="xsd:double"&gt;46.18&lt;/D&gt;&lt;D xsi:type="xsd:double"&gt;45.89&lt;/D&gt;&lt;D xsi:type="xsd:double"&gt;46.39&lt;/D&gt;&lt;D xsi:type="xsd:double"&gt;46.39&lt;/D&gt;&lt;D xsi:type="xsd:double"&gt;46.63&lt;/D&gt;&lt;D xsi:type="xsd:double"&gt;46.46&lt;/D&gt;&lt;D xsi:type="xsd:double"&gt;46.64&lt;/D&gt;&lt;D xsi:type="xsd:double"&gt;46.57&lt;/D&gt;&lt;D xsi:type="xsd:double"&gt;47.24&lt;/D&gt;&lt;D xsi:type="xsd:double"&gt;46.08&lt;/D&gt;&lt;D xsi:type="xsd:double"&gt;46.45&lt;/D&gt;&lt;D xsi:type="xsd:double"&gt;46.56&lt;/D&gt;&lt;D xsi:type="xsd:double"&gt;46.28&lt;/D&gt;&lt;D xsi:type="xsd:double"&gt;46.61&lt;/D&gt;&lt;D xsi:type="xsd:double"&gt;46.06&lt;/D&gt;&lt;D xsi:type="xsd:double"&gt;46.02&lt;/D&gt;&lt;D xsi:type="xsd:double"&gt;45.99&lt;/D&gt;&lt;D xsi:type="xsd:double"&gt;45.23&lt;/D&gt;&lt;D xsi:type="xsd:double"&gt;45.88&lt;/D&gt;&lt;D xsi:type="xsd:double"&gt;45.6&lt;/D&gt;&lt;D xsi:type="xsd:double"&gt;44.82&lt;/D&gt;&lt;D xsi:type="xsd:double"&gt;44.45&lt;/D&gt;&lt;D xsi:type="xsd:double"&gt;44.3&lt;/D&gt;&lt;D xsi:type="xsd:double"&gt;43.68&lt;/D&gt;&lt;D xsi:type="xsd:double"&gt;43.86&lt;/D&gt;&lt;D xsi:type="xsd:double"&gt;44.54&lt;/D&gt;&lt;D xsi:type="xsd:double"&gt;44.96&lt;/D&gt;&lt;D xsi:type="xsd:double"&gt;45.78&lt;/D&gt;&lt;D xsi:type="xsd:double"&gt;46.38&lt;/D&gt;&lt;D xsi:type="xsd:double"&gt;45.9&lt;/D&gt;&lt;D xsi:type="xsd:double"&gt;46.3&lt;/D&gt;&lt;D xsi:type="xsd:double"&gt;45.21&lt;/D&gt;&lt;D xsi:type="xsd:double"&gt;45.25&lt;/D&gt;&lt;D xsi:type="xsd:double"&gt;44.65&lt;/D&gt;&lt;D xsi:type="xsd:double"&gt;44.98&lt;/D&gt;&lt;D xsi:type="xsd:double"&gt;44.63&lt;/D&gt;&lt;D xsi:type="xsd:double"&gt;44.69&lt;/D&gt;&lt;D xsi:type="xsd:double"&gt;45.3&lt;/D&gt;&lt;D xsi:type="xsd:double"&gt;45.57&lt;/D&gt;&lt;D xsi:type="xsd:double"&gt;46.39&lt;/D&gt;&lt;D xsi:type="xsd:double"&gt;46.05&lt;/D&gt;&lt;D xsi:type="xsd:double"&gt;45.55&lt;/D&gt;&lt;D xsi:type="xsd:double"&gt;45.52&lt;/D&gt;&lt;D xsi:type="xsd:double"&gt;45.62&lt;/D&gt;&lt;D xsi:type="xsd:double"&gt;45.62&lt;/D&gt;&lt;D xsi:type="xsd:double"&gt;45.51&lt;/D&gt;&lt;D xsi:type="xsd:double"&gt;45.19&lt;/D&gt;&lt;D xsi:type="xsd:double"&gt;45.74&lt;/D&gt;&lt;D xsi:type="xsd:double"&gt;46.02&lt;/D&gt;&lt;D xsi:type="xsd:double"&gt;45.33&lt;/D&gt;&lt;D xsi:type="xsd:double"&gt;44.67&lt;/D&gt;&lt;D xsi:type="xsd:double"&gt;44.95&lt;/D&gt;&lt;D xsi:type="xsd:double"&gt;43.96&lt;/D&gt;&lt;D xsi:type="xsd:double"&gt;43.81&lt;/D&gt;&lt;D xsi:type="xsd:double"&gt;43.98&lt;/D&gt;&lt;D xsi:type="xsd:double"&gt;43.98&lt;/D&gt;&lt;D xsi:type="xsd:double"&gt;44.43&lt;/D&gt;&lt;D xsi:type="xsd:double"&gt;44.91&lt;/D&gt;&lt;D xsi:type="xsd:double"&gt;45.49&lt;/D&gt;&lt;D xsi:type="xsd:double"&gt;46.02&lt;/D&gt;&lt;D xsi:type="xsd:double"&gt;45.9&lt;/D&gt;&lt;D xsi:type="xsd:double"&gt;45.94&lt;/D&gt;&lt;D xsi:type="xsd:double"&gt;45.91&lt;/D&gt;&lt;D xsi:type="xsd:double"&gt;46.14&lt;/D&gt;&lt;D xsi:type="xsd:double"&gt;46.17&lt;/D&gt;&lt;D xsi:type="xsd:double"&gt;45.93&lt;/D&gt;&lt;D xsi:type="xsd:double"&gt;45.2&lt;/D&gt;&lt;D xsi:type="xsd:double"&gt;45.62&lt;/D&gt;&lt;D xsi:type="xsd:double"&gt;45.45&lt;/D&gt;&lt;D xsi:type="xsd:double"&gt;45.36&lt;/D&gt;&lt;D xsi:type="xsd:double"&gt;45.24&lt;/D&gt;&lt;D xsi:type="xsd:double"&gt;45.55&lt;/D&gt;&lt;D xsi:type="xsd:double"&gt;45.32&lt;/D&gt;&lt;D xsi:type="xsd:double"&gt;45.32&lt;/D&gt;&lt;D xsi:type="xsd:double"&gt;45.09&lt;/D&gt;&lt;D xsi:type="xsd:double"&gt;45.94&lt;/D&gt;&lt;D xsi:type="xsd:double"&gt;46.35&lt;/D&gt;&lt;D xsi:type="xsd:double"&gt;46.19&lt;/D&gt;&lt;D xsi:type="xsd:double"&gt;45.61&lt;/D&gt;&lt;D xsi:type="xsd:double"&gt;45.62&lt;/D&gt;&lt;D xsi:type="xsd:double"&gt;45.11&lt;/D&gt;&lt;D xsi:type="xsd:double"&gt;45.23&lt;/D&gt;&lt;D xsi:type="xsd:double"&gt;45.09&lt;/D&gt;&lt;D xsi:type="xsd:double"&gt;44.38&lt;/D&gt;&lt;D xsi:type="xsd:double"&gt;44.26&lt;/D&gt;&lt;D xsi:type="xsd:double"&gt;44.38&lt;/D&gt;&lt;D xsi:type="xsd:double"&gt;44.18&lt;/D&gt;&lt;D xsi:type="xsd:double"&gt;44.28&lt;/D&gt;&lt;D xsi:type="xsd:double"&gt;44.55&lt;/D&gt;&lt;D xsi:type="xsd:double"&gt;43.12&lt;/D&gt;&lt;D xsi:type="xsd:double"&gt;43.64&lt;/D&gt;&lt;D xsi:type="xsd:double"&gt;43&lt;/D&gt;&lt;D xsi:type="xsd:double"&gt;43.61&lt;/D&gt;&lt;D xsi:type="xsd:double"&gt;43.62&lt;/D&gt;&lt;D xsi:type="xsd:double"&gt;43.32&lt;/D&gt;&lt;D xsi:type="xsd:double"&gt;42.43&lt;/D&gt;&lt;D xsi:type="xsd:double"&gt;42.68&lt;/D&gt;&lt;D xsi:type="xsd:double"&gt;41.77&lt;/D&gt;&lt;D xsi:type="xsd:double"&gt;41.9&lt;/D&gt;&lt;D xsi:type="xsd:double"&gt;41.9&lt;/D&gt;&lt;D xsi:type="xsd:double"&gt;41.07&lt;/D&gt;&lt;D xsi:type="xsd:double"&gt;41.39&lt;/D&gt;&lt;D xsi:type="xsd:double"&gt;40.72&lt;/D&gt;&lt;D xsi:type="xsd:double"&gt;40.31&lt;/D&gt;&lt;D xsi:type="xsd:double"&gt;39.65&lt;/D&gt;&lt;D xsi:type="xsd:double"&gt;39.92&lt;/D&gt;&lt;D xsi:type="xsd:double"&gt;37.07&lt;/D&gt;&lt;D xsi:type="xsd:double"&gt;37.34&lt;/D&gt;&lt;D xsi:type="xsd:double"&gt;38.17&lt;/D&gt;&lt;D xsi:type="xsd:double"&gt;41.47&lt;/D&gt;&lt;D xsi:type="xsd:double"&gt;42.61&lt;/D&gt;&lt;D xsi:type="xsd:double"&gt;42.25&lt;/D&gt;&lt;D xsi:type="xsd:double"&gt;42.08&lt;/D&gt;&lt;D xsi:type="xsd:double"&gt;42.94&lt;/D&gt;&lt;D xsi:type="xsd:double"&gt;43.53&lt;/D&gt;&lt;/FQL&gt;&lt;FQL&gt;&lt;Q&gt;EWN^FG_PRICE(0,-200D)&lt;/Q&gt;&lt;R&gt;201&lt;/R&gt;&lt;C&gt;1&lt;/C&gt;&lt;D xsi:type="xsd:double"&gt;57.03&lt;/D&gt;&lt;D xsi:type="xsd:double"&gt;57.03&lt;/D&gt;&lt;D xsi:type="xsd:double"&gt;57.227&lt;/D&gt;&lt;D xsi:type="xsd:double"&gt;57&lt;/D&gt;&lt;D xsi:type="xsd:double"&gt;57.16&lt;/D&gt;&lt;D xsi:type="xsd:double"&gt;57.1&lt;/D&gt;&lt;D xsi:type="xsd:double"&gt;57.1&lt;/D&gt;&lt;D xsi:type="xsd:double"&gt;56.84&lt;/D&gt;&lt;D xsi:type="xsd:double"&gt;57.01&lt;/D&gt;&lt;D xsi:type="xsd:double"&gt;56.61&lt;/D&gt;&lt;D xsi:type="xsd:double"&gt;56.02&lt;/D&gt;&lt;D xsi:type="xsd:double"&gt;55.57&lt;/D&gt;&lt;D xsi:type="xsd:double"&gt;56.41&lt;/D&gt;&lt;D xsi:type="xsd:double"&gt;58.76&lt;/D&gt;&lt;D xsi:type="xsd:double"&gt;58.6&lt;/D&gt;&lt;D xsi:type="xsd:double"&gt;59.5&lt;/D&gt;&lt;D xsi:type="xsd:double"&gt;58.8&lt;/D&gt;&lt;D xsi:type="xsd:double"&gt;58.55&lt;/D&gt;&lt;D xsi:type="xsd:double"&gt;58.7224&lt;/D&gt;&lt;D xsi:type="xsd:double"&gt;58.55&lt;/D&gt;&lt;D xsi:type="xsd:double"&gt;58.78&lt;/D&gt;&lt;D xsi:type="xsd:double"&gt;59.18&lt;/D&gt;&lt;D xsi:type="xsd:double"&gt;58.57&lt;/D&gt;&lt;D xsi:type="xsd:double"&gt;58.32&lt;/D&gt;&lt;D xsi:type="xsd:double"&gt;58.17&lt;/D&gt;&lt;D xsi:type="xsd:double"&gt;57.79&lt;/D&gt;&lt;D xsi:type="xsd:double"&gt;57.79&lt;/D&gt;&lt;D xsi:type="xsd:double"&gt;56.872&lt;/D&gt;&lt;D xsi:type="xsd:double"&gt;55.95&lt;/D&gt;&lt;D xsi:type="xsd:double"&gt;55.92&lt;/D&gt;&lt;D xsi:type="xsd:double"&gt;55.52&lt;/D&gt;&lt;D xsi:type="xsd:double"&gt;57.05&lt;/D&gt;&lt;D xsi:type="xsd:double"&gt;56.63&lt;/D&gt;&lt;D xsi:type="xsd:double"&gt;57.36&lt;/D&gt;&lt;D xsi:type="xsd:double"&gt;58.13&lt;/D&gt;&lt;D xsi:type="xsd:double"&gt;58.61&lt;/D&gt;&lt;D xsi:type="xsd:double"&gt;59.03&lt;/D&gt;&lt;D xsi:type="xsd:double"&gt;58.73&lt;/D&gt;&lt;D xsi:type="xsd:double"&gt;58.56&lt;/D&gt;&lt;D xsi:type="xsd:double"&gt;57.74&lt;/D&gt;&lt;D xsi:type="xsd:double"&gt;57.96&lt;/D&gt;&lt;D xsi:type="xsd:double"&gt;58.26&lt;/D&gt;&lt;D xsi:type="xsd:double"&gt;57.82&lt;/D&gt;&lt;D xsi:type="xsd:double"&gt;58.68&lt;/D&gt;&lt;D xsi:type="xsd:double"&gt;58.8&lt;/D&gt;&lt;D xsi:type="xsd:double"&gt;59.48&lt;/D&gt;&lt;D xsi:type="xsd:double"&gt;59.366&lt;/D&gt;&lt;D xsi:type="xsd:double"&gt;59.01&lt;/D&gt;&lt;D xsi:type="xsd:double"&gt;59.565&lt;/D&gt;&lt;D xsi:type="xsd:double"&gt;58.91&lt;/D&gt;&lt;D xsi:type="xsd:double"&gt;58.87&lt;/D&gt;&lt;D xsi:type="xsd:double"&gt;58.12&lt;/D&gt;&lt;D xsi:type="xsd:double"&gt;58.35&lt;/D&gt;&lt;D xsi:type="xsd:double"&gt;58.85&lt;/D&gt;&lt;D xsi:type="xsd:double"&gt;58.65&lt;/D&gt;&lt;D xsi:type="xsd:double"&gt;58.49&lt;/D&gt;&lt;D xsi:type="xsd:double"&gt;58.27&lt;/D&gt;&lt;D xsi:type="xsd:double"&gt;57.76&lt;/D&gt;&lt;D xsi:type="xsd:double"&gt;57.75&lt;/D&gt;&lt;D xsi:type="xsd:double"&gt;56.64&lt;/D&gt;&lt;D xsi:type="xsd:double"&gt;57.89&lt;/D&gt;&lt;D xsi:type="xsd:double"&gt;58.41&lt;/D&gt;&lt;D xsi:type="xsd:double"&gt;58.56&lt;/D&gt;&lt;D xsi:type="xsd:double"&gt;59.68&lt;/D&gt;&lt;D xsi:type="xsd:double"&gt;59.62&lt;/D&gt;&lt;D xsi:type="xsd:double"&gt;59.51&lt;/D&gt;&lt;D xsi:type="xsd:double"&gt;58.84&lt;/D&gt;&lt;D xsi:type="xsd:double"&gt;58.01&lt;/D&gt;&lt;D xsi:type="xsd:double"&gt;57.67&lt;/D&gt;&lt;D xsi:type="xsd:double"&gt;57.12&lt;/D&gt;&lt;D xsi:type="xsd:double"&gt;57.02&lt;/D&gt;&lt;D xsi:type="xsd:double"&gt;57.27&lt;/D&gt;&lt;D xsi:type="xsd:double"&gt;57.62&lt;/D&gt;&lt;D xsi:type="xsd:double"&gt;57.36&lt;/D&gt;&lt;D xsi:type="xsd:double"&gt;56.84&lt;/D&gt;&lt;D xsi:type="xsd:double"&gt;56.97&lt;/D&gt;&lt;D xsi:type="xsd:double"&gt;55.8782&lt;/D&gt;&lt;D xsi:type="xsd:double"&gt;55.71&lt;/D&gt;&lt;D xsi:type="xsd:double"&gt;55.75&lt;/D&gt;&lt;D xsi:type="xsd:double"&gt;54.66&lt;/D&gt;&lt;D xsi:type="xsd:double"&gt;54.46&lt;/D&gt;&lt;D xsi:type="xsd:double"&gt;53.79&lt;/D&gt;&lt;D xsi:type="xsd:double"&gt;54.12&lt;/D&gt;&lt;D xsi:type="xsd:double"&gt;54.17&lt;/D&gt;&lt;D xsi:type="xsd:double"&gt;53.47&lt;/D&gt;&lt;D xsi:type="xsd:double"&gt;52.87&lt;/D&gt;&lt;D xsi:type="xsd:double"&gt;52.22&lt;/D&gt;&lt;D xsi:type="xsd:double"&gt;51.94&lt;/D&gt;&lt;D xsi:type="xsd:double"&gt;53&lt;/D&gt;&lt;D xsi:type="xsd:double"&gt;53&lt;/D&gt;&lt;D xsi:type="xsd:double"&gt;53.5&lt;/D&gt;&lt;D xsi:type="xsd:double"&gt;53.59&lt;/D&gt;&lt;D xsi:type="xsd:double"&gt;53.77&lt;/D&gt;&lt;D xsi:type="xsd:double"&gt;53.84&lt;/D&gt;&lt;D xsi:type="xsd:double"&gt;54.188&lt;/D&gt;&lt;D xsi:type="xsd:double"&gt;53.08&lt;/D&gt;&lt;D xsi:type="xsd:double"&gt;53.58&lt;/D&gt;&lt;D xsi:type="xsd:double"&gt;53.215&lt;/D&gt;&lt;D xsi:type="xsd:double"&gt;53.13&lt;/D&gt;&lt;D xsi:type="xsd:double"&gt;53.16&lt;/D&gt;&lt;D xsi:type="xsd:double"&gt;53.3&lt;/D&gt;&lt;D xsi:type="xsd:double"&gt;53.36&lt;/D&gt;&lt;D xsi:type="xsd:double"&gt;52.9674&lt;/D&gt;&lt;D xsi:type="xsd:double"&gt;52.37&lt;/D&gt;&lt;D xsi:type="xsd:double"&gt;52.52&lt;/D&gt;&lt;D xsi:type="xsd:double"&gt;52.2&lt;/D&gt;&lt;D xsi:type="xsd:double"&gt;51.43&lt;/D&gt;&lt;D xsi:type="xsd:double"&gt;51.33&lt;/D&gt;&lt;D xsi:type="xsd:double"&gt;51.35&lt;/D&gt;&lt;D xsi:type="xsd:double"&gt;50.85&lt;/D&gt;&lt;D xsi:type="xsd:double"&gt;51.26&lt;/D&gt;&lt;D xsi:type="xsd:double"&gt;52.2&lt;/D&gt;&lt;D xsi:type="xsd:double"&gt;52.69&lt;/D&gt;&lt;D xsi:type="xsd:double"&gt;52.91&lt;/D&gt;&lt;D xsi:type="xsd:double"&gt;53.5&lt;/D&gt;&lt;D xsi:type="xsd:double"&gt;53.93&lt;/D&gt;&lt;D xsi:type="xsd:double"&gt;54.25&lt;/D&gt;&lt;D xsi:type="xsd:double"&gt;53.37&lt;/D&gt;&lt;D xsi:type="xsd:double"&gt;53.41&lt;/D&gt;&lt;D xsi:type="xsd:double"&gt;53.46&lt;/D&gt;&lt;D xsi:type="xsd:double"&gt;53.51&lt;/D&gt;&lt;D xsi:type="xsd:double"&gt;53.47&lt;/D&gt;&lt;D xsi:type="xsd:double"&gt;54.45&lt;/D&gt;&lt;D xsi:type="xsd:double"&gt;54.4&lt;/D&gt;&lt;D xsi:type="xsd:double"&gt;54.41&lt;/D&gt;&lt;D xsi:type="xsd:double"&gt;54.63&lt;/D&gt;&lt;D xsi:type="xsd:double"&gt;54.58&lt;/D&gt;&lt;D xsi:type="xsd:double"&gt;54.33&lt;/D&gt;&lt;D xsi:type="xsd:double"&gt;53.98&lt;/D&gt;&lt;D xsi:type="xsd:double"&gt;54.29&lt;/D&gt;&lt;D xsi:type="xsd:double"&gt;54.29&lt;/D&gt;&lt;D xsi:type="xsd:double"&gt;54.3&lt;/D&gt;&lt;D xsi:type="xsd:double"&gt;54.07&lt;/D&gt;&lt;D xsi:type="xsd:double"&gt;54.5&lt;/D&gt;&lt;D xsi:type="xsd:double"&gt;54.36&lt;/D&gt;&lt;D xsi:type="xsd:double"&gt;53.97&lt;/D&gt;&lt;D xsi:type="xsd:double"&gt;53.8&lt;/D&gt;&lt;D xsi:type="xsd:double"&gt;54.16&lt;/D&gt;&lt;D xsi:type="xsd:double"&gt;53.03&lt;/D&gt;&lt;D xsi:type="xsd:double"&gt;51.8927&lt;/D&gt;&lt;D xsi:type="xsd:double"&gt;52.2476&lt;/D&gt;&lt;D xsi:type="xsd:double"&gt;52.2476&lt;/D&gt;&lt;D xsi:type="xsd:double"&gt;52.33&lt;/D&gt;&lt;D xsi:type="xsd:double"&gt;53.08&lt;/D&gt;&lt;D xsi:type="xsd:double"&gt;53.54&lt;/D&gt;&lt;D xsi:type="xsd:double"&gt;54.73&lt;/D&gt;&lt;D xsi:type="xsd:double"&gt;54.37&lt;/D&gt;&lt;D xsi:type="xsd:double"&gt;54.57&lt;/D&gt;&lt;D xsi:type="xsd:double"&gt;54.02&lt;/D&gt;&lt;D xsi:type="xsd:double"&gt;53.63&lt;/D&gt;&lt;D xsi:type="xsd:double"&gt;53.36&lt;/D&gt;&lt;D xsi:type="xsd:double"&gt;53.23&lt;/D&gt;&lt;D xsi:type="xsd:double"&gt;52.95&lt;/D&gt;&lt;D xsi:type="xsd:double"&gt;53.2858&lt;/D&gt;&lt;D xsi:type="xsd:double"&gt;52.85&lt;/D&gt;&lt;D xsi:type="xsd:double"&gt;52.94&lt;/D&gt;&lt;D xsi:type="xsd:double"&gt;52.59&lt;/D&gt;&lt;D xsi:type="xsd:double"&gt;53&lt;/D&gt;&lt;D xsi:type="xsd:double"&gt;52.26&lt;/D&gt;&lt;D xsi:type="xsd:double"&gt;52.26&lt;/D&gt;&lt;D xsi:type="xsd:double"&gt;52.54&lt;/D&gt;&lt;D xsi:type="xsd:double"&gt;52.48&lt;/D&gt;&lt;D xsi:type="xsd:double"&gt;52.8&lt;/D&gt;&lt;D xsi:type="xsd:double"&gt;52.645&lt;/D&gt;&lt;D xsi:type="xsd:double"&gt;52.19&lt;/D&gt;&lt;D xsi:type="xsd:double"&gt;52.25&lt;/D&gt;&lt;D xsi:type="xsd:double"&gt;52.2&lt;/D&gt;&lt;D xsi:type="xsd:double"&gt;52.04&lt;/D&gt;&lt;D xsi:type="xsd:double"&gt;51.6&lt;/D&gt;&lt;D xsi:type="xsd:double"&gt;50.79&lt;/D&gt;&lt;D xsi:type="xsd:double"&gt;50.32&lt;/D&gt;&lt;D xsi:type="xsd:double"&gt;50.21&lt;/D&gt;&lt;D xsi:type="xsd:double"&gt;49.98&lt;/D&gt;&lt;D xsi:type="xsd:double"&gt;50.14&lt;/D&gt;&lt;D xsi:type="xsd:double"&gt;50.27&lt;/D&gt;&lt;D xsi:type="xsd:double"&gt;48.78&lt;/D&gt;&lt;D xsi:type="xsd:double"&gt;48.85&lt;/D&gt;&lt;D xsi:type="xsd:double"&gt;48.92&lt;/D&gt;&lt;D xsi:type="xsd:double"&gt;48.79&lt;/D&gt;&lt;D xsi:type="xsd:double"&gt;48.78&lt;/D&gt;&lt;D xsi:type="xsd:double"&gt;48.41&lt;/D&gt;&lt;D xsi:type="xsd:double"&gt;47.77&lt;/D&gt;&lt;D xsi:type="xsd:double"&gt;47.1&lt;/D&gt;&lt;D xsi:type="xsd:double"&gt;46.09&lt;/D&gt;&lt;D xsi:type="xsd:double"&gt;46.55&lt;/D&gt;&lt;D xsi:type="xsd:double"&gt;46.55&lt;/D&gt;&lt;D xsi:type="xsd:double"&gt;46.26&lt;/D&gt;&lt;D xsi:type="xsd:double"&gt;46.89&lt;/D&gt;&lt;D xsi:type="xsd:double"&gt;46.61&lt;/D&gt;&lt;D xsi:type="xsd:double"&gt;45.81&lt;/D&gt;&lt;D xsi:type="xsd:double"&gt;44.67&lt;/D&gt;&lt;D xsi:type="xsd:double"&gt;46.05&lt;/D&gt;&lt;D xsi:type="xsd:double"&gt;41.88&lt;/D&gt;&lt;D xsi:type="xsd:double"&gt;42.58&lt;/D&gt;&lt;D xsi:type="xsd:double"&gt;43.14&lt;/D&gt;&lt;D xsi:type="xsd:double"&gt;45.71&lt;/D&gt;&lt;D xsi:type="xsd:double"&gt;46.87&lt;/D&gt;&lt;D xsi:type="xsd:double"&gt;46.7&lt;/D&gt;&lt;D xsi:type="xsd:double"&gt;46.73&lt;/D&gt;&lt;D xsi:type="xsd:double"&gt;47.34&lt;/D&gt;&lt;D xsi:type="xsd:double"&gt;47.8176&lt;/D&gt;&lt;/FQL&gt;&lt;FQL&gt;&lt;Q&gt;EWQ^FG_PRICE(0,-200D)&lt;/Q&gt;&lt;R&gt;201&lt;/R&gt;&lt;C&gt;1&lt;/C&gt;&lt;D xsi:type="xsd:double"&gt;44.99&lt;/D&gt;&lt;D xsi:type="xsd:double"&gt;44.99&lt;/D&gt;&lt;D xsi:type="xsd:double"&gt;45.14&lt;/D&gt;&lt;D xsi:type="xsd:double"&gt;44.99&lt;/D&gt;&lt;D xsi:type="xsd:double"&gt;45.18&lt;/D&gt;&lt;D xsi:type="xsd:double"&gt;44.98&lt;/D&gt;&lt;D xsi:type="xsd:double"&gt;44.98&lt;/D&gt;&lt;D xsi:type="xsd:double"&gt;44.9&lt;/D&gt;&lt;D xsi:type="xsd:double"&gt;44.96&lt;/D&gt;&lt;D xsi:type="xsd:double"&gt;44.91&lt;/D&gt;&lt;D xsi:type="xsd:double"&gt;44.8&lt;/D&gt;&lt;D xsi:type="xsd:double"&gt;44.62&lt;/D&gt;&lt;D xsi:type="xsd:double"&gt;44.94&lt;/D&gt;&lt;D xsi:type="xsd:double"&gt;45.18&lt;/D&gt;&lt;D xsi:type="xsd:double"&gt;44.88&lt;/D&gt;&lt;D xsi:type="xsd:double"&gt;45&lt;/D&gt;&lt;D xsi:type="xsd:double"&gt;44.58&lt;/D&gt;&lt;D xsi:type="xsd:double"&gt;44.21&lt;/D&gt;&lt;D xsi:type="xsd:double"&gt;44.65&lt;/D&gt;&lt;D xsi:type="xsd:double"&gt;44.62&lt;/D&gt;&lt;D xsi:type="xsd:double"&gt;44.75&lt;/D&gt;&lt;D xsi:type="xsd:double"&gt;44.79&lt;/D&gt;&lt;D xsi:type="xsd:double"&gt;44.44&lt;/D&gt;&lt;D xsi:type="xsd:double"&gt;44.41&lt;/D&gt;&lt;D xsi:type="xsd:double"&gt;44.57&lt;/D&gt;&lt;D xsi:type="xsd:double"&gt;44.43&lt;/D&gt;&lt;D xsi:type="xsd:double"&gt;44.43&lt;/D&gt;&lt;D xsi:type="xsd:double"&gt;44.06&lt;/D&gt;&lt;D xsi:type="xsd:double"&gt;43.33&lt;/D&gt;&lt;D xsi:type="xsd:double"&gt;43.69&lt;/D&gt;&lt;D xsi:type="xsd:double"&gt;42.99&lt;/D&gt;&lt;D xsi:type="xsd:double"&gt;43.44&lt;/D&gt;&lt;D xsi:type="xsd:double"&gt;43.63&lt;/D&gt;&lt;D xsi:type="xsd:double"&gt;44.2&lt;/D&gt;&lt;D xsi:type="xsd:double"&gt;44.84&lt;/D&gt;&lt;D xsi:type="xsd:double"&gt;45.04&lt;/D&gt;&lt;D xsi:type="xsd:double"&gt;45.14&lt;/D&gt;&lt;D xsi:type="xsd:double"&gt;44.71&lt;/D&gt;&lt;D xsi:type="xsd:double"&gt;44.19&lt;/D&gt;&lt;D xsi:type="xsd:double"&gt;43.78&lt;/D&gt;&lt;D xsi:type="xsd:double"&gt;43.42&lt;/D&gt;&lt;D xsi:type="xsd:double"&gt;43.88&lt;/D&gt;&lt;D xsi:type="xsd:double"&gt;43.63&lt;/D&gt;&lt;D xsi:type="xsd:double"&gt;44.07&lt;/D&gt;&lt;D xsi:type="xsd:double"&gt;44.28&lt;/D&gt;&lt;D xsi:type="xsd:double"&gt;44.44&lt;/D&gt;&lt;D xsi:type="xsd:double"&gt;44.86&lt;/D&gt;&lt;D xsi:type="xsd:double"&gt;45.14&lt;/D&gt;&lt;D xsi:type="xsd:double"&gt;45.33&lt;/D&gt;&lt;D xsi:type="xsd:double"&gt;45.11&lt;/D&gt;&lt;D xsi:type="xsd:double"&gt;45.27&lt;/D&gt;&lt;D xsi:type="xsd:double"&gt;44.91&lt;/D&gt;&lt;D xsi:type="xsd:double"&gt;44.98&lt;/D&gt;&lt;D xsi:type="xsd:double"&gt;45.2&lt;/D&gt;&lt;D xsi:type="xsd:double"&gt;45.23&lt;/D&gt;&lt;D xsi:type="xsd:double"&gt;45.15&lt;/D&gt;&lt;D xsi:type="xsd:double"&gt;44.42&lt;/D&gt;&lt;D xsi:type="xsd:double"&gt;44.13&lt;/D&gt;&lt;D xsi:type="xsd:double"&gt;43.35&lt;/D&gt;&lt;D xsi:type="xsd:double"&gt;43.29&lt;/D&gt;&lt;D xsi:type="xsd:double"&gt;43.89&lt;/D&gt;&lt;D xsi:type="xsd:double"&gt;44.3&lt;/D&gt;&lt;D xsi:type="xsd:double"&gt;43.79&lt;/D&gt;&lt;D xsi:type="xsd:double"&gt;44.19&lt;/D&gt;&lt;D xsi:type="xsd:double"&gt;44.91&lt;/D&gt;&lt;D xsi:type="xsd:double"&gt;44.77&lt;/D&gt;&lt;D xsi:type="xsd:double"&gt;44.49&lt;/D&gt;&lt;D xsi:type="xsd:double"&gt;43.93&lt;/D&gt;&lt;D xsi:type="xsd:double"&gt;43.78&lt;/D&gt;&lt;D xsi:type="xsd:double"&gt;43.59&lt;/D&gt;&lt;D xsi:type="xsd:double"&gt;43.05&lt;/D&gt;&lt;D xsi:type="xsd:double"&gt;43.41&lt;/D&gt;&lt;D xsi:type="xsd:double"&gt;43.89&lt;/D&gt;&lt;D xsi:type="xsd:double"&gt;43.78&lt;/D&gt;&lt;D xsi:type="xsd:double"&gt;43.68&lt;/D&gt;&lt;D xsi:type="xsd:double"&gt;43.84&lt;/D&gt;&lt;D xsi:type="xsd:double"&gt;43.53&lt;/D&gt;&lt;D xsi:type="xsd:double"&gt;43.82&lt;/D&gt;&lt;D xsi:type="xsd:double"&gt;43.89&lt;/D&gt;&lt;D xsi:type="xsd:double"&gt;43.49&lt;/D&gt;&lt;D xsi:type="xsd:double"&gt;43.53&lt;/D&gt;&lt;D xsi:type="xsd:double"&gt;42.9&lt;/D&gt;&lt;D xsi:type="xsd:double"&gt;43.06&lt;/D&gt;&lt;D xsi:type="xsd:double"&gt;42.99&lt;/D&gt;&lt;D xsi:type="xsd:double"&gt;42.56&lt;/D&gt;&lt;D xsi:type="xsd:double"&gt;42.56&lt;/D&gt;&lt;D xsi:type="xsd:double"&gt;42.54&lt;/D&gt;&lt;D xsi:type="xsd:double"&gt;42.29&lt;/D&gt;&lt;D xsi:type="xsd:double"&gt;42.59&lt;/D&gt;&lt;D xsi:type="xsd:double"&gt;42.59&lt;/D&gt;&lt;D xsi:type="xsd:double"&gt;42.9&lt;/D&gt;&lt;D xsi:type="xsd:double"&gt;42.56&lt;/D&gt;&lt;D xsi:type="xsd:double"&gt;42.58&lt;/D&gt;&lt;D xsi:type="xsd:double"&gt;42.96&lt;/D&gt;&lt;D xsi:type="xsd:double"&gt;44.18&lt;/D&gt;&lt;D xsi:type="xsd:double"&gt;43.55&lt;/D&gt;&lt;D xsi:type="xsd:double"&gt;43.97&lt;/D&gt;&lt;D xsi:type="xsd:double"&gt;43.82&lt;/D&gt;&lt;D xsi:type="xsd:double"&gt;43.55&lt;/D&gt;&lt;D xsi:type="xsd:double"&gt;43.89&lt;/D&gt;&lt;D xsi:type="xsd:double"&gt;43.5&lt;/D&gt;&lt;D xsi:type="xsd:double"&gt;43.31&lt;/D&gt;&lt;D xsi:type="xsd:double"&gt;42.89&lt;/D&gt;&lt;D xsi:type="xsd:double"&gt;42.35&lt;/D&gt;&lt;D xsi:type="xsd:double"&gt;42.68&lt;/D&gt;&lt;D xsi:type="xsd:double"&gt;42.49&lt;/D&gt;&lt;D xsi:type="xsd:double"&gt;42.02&lt;/D&gt;&lt;D xsi:type="xsd:double"&gt;41.83&lt;/D&gt;&lt;D xsi:type="xsd:double"&gt;41.86&lt;/D&gt;&lt;D xsi:type="xsd:double"&gt;41.43&lt;/D&gt;&lt;D xsi:type="xsd:double"&gt;41.94&lt;/D&gt;&lt;D xsi:type="xsd:double"&gt;42.47&lt;/D&gt;&lt;D xsi:type="xsd:double"&gt;42.91&lt;/D&gt;&lt;D xsi:type="xsd:double"&gt;42.8&lt;/D&gt;&lt;D xsi:type="xsd:double"&gt;43.72&lt;/D&gt;&lt;D xsi:type="xsd:double"&gt;43.4&lt;/D&gt;&lt;D xsi:type="xsd:double"&gt;44.4&lt;/D&gt;&lt;D xsi:type="xsd:double"&gt;43.16&lt;/D&gt;&lt;D xsi:type="xsd:double"&gt;43.03&lt;/D&gt;&lt;D xsi:type="xsd:double"&gt;42.92&lt;/D&gt;&lt;D xsi:type="xsd:double"&gt;42.98&lt;/D&gt;&lt;D xsi:type="xsd:double"&gt;42.74&lt;/D&gt;&lt;D xsi:type="xsd:double"&gt;42.56&lt;/D&gt;&lt;D xsi:type="xsd:double"&gt;43.12&lt;/D&gt;&lt;D xsi:type="xsd:double"&gt;43.28&lt;/D&gt;&lt;D xsi:type="xsd:double"&gt;43.75&lt;/D&gt;&lt;D xsi:type="xsd:double"&gt;43.84&lt;/D&gt;&lt;D xsi:type="xsd:double"&gt;43.27&lt;/D&gt;&lt;D xsi:type="xsd:double"&gt;42.68&lt;/D&gt;&lt;D xsi:type="xsd:double"&gt;43.08&lt;/D&gt;&lt;D xsi:type="xsd:double"&gt;43.08&lt;/D&gt;&lt;D xsi:type="xsd:double"&gt;43.27&lt;/D&gt;&lt;D xsi:type="xsd:double"&gt;42.87&lt;/D&gt;&lt;D xsi:type="xsd:double"&gt;42.8&lt;/D&gt;&lt;D xsi:type="xsd:double"&gt;42.61&lt;/D&gt;&lt;D xsi:type="xsd:double"&gt;42.14&lt;/D&gt;&lt;D xsi:type="xsd:double"&gt;41.89&lt;/D&gt;&lt;D xsi:type="xsd:double"&gt;42.04&lt;/D&gt;&lt;D xsi:type="xsd:double"&gt;41.57&lt;/D&gt;&lt;D xsi:type="xsd:double"&gt;41.29&lt;/D&gt;&lt;D xsi:type="xsd:double"&gt;41.67&lt;/D&gt;&lt;D xsi:type="xsd:double"&gt;41.67&lt;/D&gt;&lt;D xsi:type="xsd:double"&gt;41.74&lt;/D&gt;&lt;D xsi:type="xsd:double"&gt;42.21&lt;/D&gt;&lt;D xsi:type="xsd:double"&gt;42.83&lt;/D&gt;&lt;D xsi:type="xsd:double"&gt;43.57&lt;/D&gt;&lt;D xsi:type="xsd:double"&gt;43.11&lt;/D&gt;&lt;D xsi:type="xsd:double"&gt;43.21&lt;/D&gt;&lt;D xsi:type="xsd:double"&gt;43.08&lt;/D&gt;&lt;D xsi:type="xsd:double"&gt;43.04&lt;/D&gt;&lt;D xsi:type="xsd:double"&gt;43.04&lt;/D&gt;&lt;D xsi:type="xsd:double"&gt;43.08&lt;/D&gt;&lt;D xsi:type="xsd:double"&gt;42.84&lt;/D&gt;&lt;D xsi:type="xsd:double"&gt;43.14&lt;/D&gt;&lt;D xsi:type="xsd:double"&gt;42.49&lt;/D&gt;&lt;D xsi:type="xsd:double"&gt;42.76&lt;/D&gt;&lt;D xsi:type="xsd:double"&gt;42.47&lt;/D&gt;&lt;D xsi:type="xsd:double"&gt;42.92&lt;/D&gt;&lt;D xsi:type="xsd:double"&gt;42.4&lt;/D&gt;&lt;D xsi:type="xsd:double"&gt;42.4&lt;/D&gt;&lt;D xsi:type="xsd:double"&gt;42.65&lt;/D&gt;&lt;D xsi:type="xsd:double"&gt;42.71&lt;/D&gt;&lt;D xsi:type="xsd:double"&gt;43.1&lt;/D&gt;&lt;D xsi:type="xsd:double"&gt;42.73&lt;/D&gt;&lt;D xsi:type="xsd:double"&gt;42.25&lt;/D&gt;&lt;D xsi:type="xsd:double"&gt;42.09&lt;/D&gt;&lt;D xsi:type="xsd:double"&gt;41.88&lt;/D&gt;&lt;D xsi:type="xsd:double"&gt;42.1&lt;/D&gt;&lt;D xsi:type="xsd:double"&gt;41.81&lt;/D&gt;&lt;D xsi:type="xsd:double"&gt;41.68&lt;/D&gt;&lt;D xsi:type="xsd:double"&gt;41.32&lt;/D&gt;&lt;D xsi:type="xsd:double"&gt;41.32&lt;/D&gt;&lt;D xsi:type="xsd:double"&gt;41.62&lt;/D&gt;&lt;D xsi:type="xsd:double"&gt;41.84&lt;/D&gt;&lt;D xsi:type="xsd:double"&gt;41.86&lt;/D&gt;&lt;D xsi:type="xsd:double"&gt;41.07&lt;/D&gt;&lt;D xsi:type="xsd:double"&gt;41.04&lt;/D&gt;&lt;D xsi:type="xsd:double"&gt;40.94&lt;/D&gt;&lt;D xsi:type="xsd:double"&gt;41.04&lt;/D&gt;&lt;D xsi:type="xsd:double"&gt;40.95&lt;/D&gt;&lt;D xsi:type="xsd:double"&gt;40.72&lt;/D&gt;&lt;D xsi:type="xsd:double"&gt;40.12&lt;/D&gt;&lt;D xsi:type="xsd:double"&gt;39.84&lt;/D&gt;&lt;D xsi:type="xsd:double"&gt;38.97&lt;/D&gt;&lt;D xsi:type="xsd:double"&gt;39.22&lt;/D&gt;&lt;D xsi:type="xsd:double"&gt;39.22&lt;/D&gt;&lt;D xsi:type="xsd:double"&gt;38.96&lt;/D&gt;&lt;D xsi:type="xsd:double"&gt;39&lt;/D&gt;&lt;D xsi:type="xsd:double"&gt;38.85&lt;/D&gt;&lt;D xsi:type="xsd:double"&gt;38.97&lt;/D&gt;&lt;D xsi:type="xsd:double"&gt;37.99&lt;/D&gt;&lt;D xsi:type="xsd:double"&gt;38.61&lt;/D&gt;&lt;D xsi:type="xsd:double"&gt;35.65&lt;/D&gt;&lt;D xsi:type="xsd:double"&gt;35.97&lt;/D&gt;&lt;D xsi:type="xsd:double"&gt;37.21&lt;/D&gt;&lt;D xsi:type="xsd:double"&gt;39.48&lt;/D&gt;&lt;D xsi:type="xsd:double"&gt;40.18&lt;/D&gt;&lt;D xsi:type="xsd:double"&gt;40.05&lt;/D&gt;&lt;D xsi:type="xsd:double"&gt;39.8&lt;/D&gt;&lt;D xsi:type="xsd:double"&gt;40.35&lt;/D&gt;&lt;D xsi:type="xsd:double"&gt;40.55&lt;/D&gt;&lt;/FQL&gt;&lt;FQL&gt;&lt;Q&gt;SPY^FG_PRICE(0,-200D)&lt;/Q&gt;&lt;R&gt;201&lt;/R&gt;&lt;C&gt;1&lt;/C&gt;&lt;D xsi:type="xsd:double"&gt;681.92&lt;/D&gt;&lt;D xsi:type="xsd:double"&gt;681.92&lt;/D&gt;&lt;D xsi:type="xsd:double"&gt;687.01&lt;/D&gt;&lt;D xsi:type="xsd:double"&gt;687.85&lt;/D&gt;&lt;D xsi:type="xsd:double"&gt;690.31&lt;/D&gt;&lt;D xsi:type="xsd:double"&gt;690.38&lt;/D&gt;&lt;D xsi:type="xsd:double"&gt;690.38&lt;/D&gt;&lt;D xsi:type="xsd:double"&gt;687.96&lt;/D&gt;&lt;D xsi:type="xsd:double"&gt;684.83&lt;/D&gt;&lt;D xsi:type="xsd:double"&gt;680.59&lt;/D&gt;&lt;D xsi:type="xsd:double"&gt;676.47&lt;/D&gt;&lt;D xsi:type="xsd:double"&gt;671.4&lt;/D&gt;&lt;D xsi:type="xsd:double"&gt;678.87&lt;/D&gt;&lt;D xsi:type="xsd:double"&gt;680.73&lt;/D&gt;&lt;D xsi:type="xsd:double"&gt;681.76&lt;/D&gt;&lt;D xsi:type="xsd:double"&gt;689.17&lt;/D&gt;&lt;D xsi:type="xsd:double"&gt;687.57&lt;/D&gt;&lt;D xsi:type="xsd:double"&gt;683.04&lt;/D&gt;&lt;D xsi:type="xsd:double"&gt;683.63&lt;/D&gt;&lt;D xsi:type="xsd:double"&gt;685.69&lt;/D&gt;&lt;D xsi:type="xsd:double"&gt;684.39&lt;/D&gt;&lt;D xsi:type="xsd:double"&gt;683.89&lt;/D&gt;&lt;D xsi:type="xsd:double"&gt;681.53&lt;/D&gt;&lt;D xsi:type="xsd:double"&gt;680.27&lt;/D&gt;&lt;D xsi:type="xsd:double"&gt;683.39&lt;/D&gt;&lt;D xsi:type="xsd:double"&gt;679.68&lt;/D&gt;&lt;D xsi:type="xsd:double"&gt;679.68&lt;/D&gt;&lt;D xsi:type="xsd:double"&gt;675.02&lt;/D&gt;&lt;D xsi:type="xsd:double"&gt;668.73&lt;/D&gt;&lt;D xsi:type="xsd:double"&gt;659.03&lt;/D&gt;&lt;D xsi:type="xsd:double"&gt;652.53&lt;/D&gt;&lt;D xsi:type="xsd:double"&gt;662.63&lt;/D&gt;&lt;D xsi:type="xsd:double"&gt;660.08&lt;/D&gt;&lt;D xsi:type="xsd:double"&gt;665.67&lt;/D&gt;&lt;D xsi:type="xsd:double"&gt;671.93&lt;/D&gt;&lt;D xsi:type="xsd:double"&gt;672.04&lt;/D&gt;&lt;D xsi:type="xsd:double"&gt;683.38&lt;/D&gt;&lt;D xsi:type="xsd:double"&gt;683&lt;/D&gt;&lt;D xsi:type="xsd:double"&gt;681.44&lt;/D&gt;&lt;D xsi:type="xsd:double"&gt;670.97&lt;/D&gt;&lt;D xsi:type="xsd:double"&gt;670.31&lt;/D&gt;&lt;D xsi:type="xsd:double"&gt;677.58&lt;/D&gt;&lt;D xsi:type="xsd:double"&gt;675.24&lt;/D&gt;&lt;D xsi:type="xsd:double"&gt;683.34&lt;/D&gt;&lt;D xsi:type="xsd:double"&gt;682.06&lt;/D&gt;&lt;D xsi:type="xsd:double"&gt;679.83&lt;/D&gt;&lt;D xsi:type="xsd:double"&gt;687.39&lt;/D&gt;&lt;D xsi:type="xsd:double"&gt;687.06&lt;/D&gt;&lt;D xsi:type="xsd:double"&gt;685.24&lt;/D&gt;&lt;D xsi:type="xsd:double"&gt;677.25&lt;/D&gt;&lt;D xsi:type="xsd:double"&gt;671.76&lt;/D&gt;&lt;D xsi:type="xsd:double"&gt;667.8&lt;/D&gt;&lt;D xsi:type="xsd:double"&gt;671.29&lt;/D&gt;&lt;D xsi:type="xsd:double"&gt;671.3&lt;/D&gt;&lt;D xsi:type="xsd:double"&gt;664.39&lt;/D&gt;&lt;D xsi:type="xsd:double"&gt;660.64&lt;/D&gt;&lt;D xsi:type="xsd:double"&gt;665.17&lt;/D&gt;&lt;D xsi:type="xsd:double"&gt;662.23&lt;/D&gt;&lt;D xsi:type="xsd:double"&gt;663.04&lt;/D&gt;&lt;D xsi:type="xsd:double"&gt;653.02&lt;/D&gt;&lt;D xsi:type="xsd:double"&gt;671.16&lt;/D&gt;&lt;D xsi:type="xsd:double"&gt;673.11&lt;/D&gt;&lt;D xsi:type="xsd:double"&gt;669.12&lt;/D&gt;&lt;D xsi:type="xsd:double"&gt;671.61&lt;/D&gt;&lt;D xsi:type="xsd:double"&gt;669.21&lt;/D&gt;&lt;D xsi:type="xsd:double"&gt;669.22&lt;/D&gt;&lt;D xsi:type="xsd:double"&gt;668.45&lt;/D&gt;&lt;D xsi:type="xsd:double"&gt;666.18&lt;/D&gt;&lt;D xsi:type="xsd:double"&gt;663.68&lt;/D&gt;&lt;D xsi:type="xsd:double"&gt;661.82&lt;/D&gt;&lt;D xsi:type="xsd:double"&gt;658.05&lt;/D&gt;&lt;D xsi:type="xsd:double"&gt;661.1&lt;/D&gt;&lt;D xsi:type="xsd:double"&gt;663.21&lt;/D&gt;&lt;D xsi:type="xsd:double"&gt;666.84&lt;/D&gt;&lt;D xsi:type="xsd:double"&gt;663.7&lt;/D&gt;&lt;D xsi:type="xsd:double"&gt;662.26&lt;/D&gt;&lt;D xsi:type="xsd:double"&gt;659.18&lt;/D&gt;&lt;D xsi:type="xsd:double"&gt;660&lt;/D&gt;&lt;D xsi:type="xsd:double"&gt;660.91&lt;/D&gt;&lt;D xsi:type="xsd:double"&gt;657.41&lt;/D&gt;&lt;D xsi:type="xsd:double"&gt;657.63&lt;/D&gt;&lt;D xsi:type="xsd:double"&gt;652.21&lt;/D&gt;&lt;D xsi:type="xsd:double"&gt;650.33&lt;/D&gt;&lt;D xsi:type="xsd:double"&gt;648.83&lt;/D&gt;&lt;D xsi:type="xsd:double"&gt;647.24&lt;/D&gt;&lt;D xsi:type="xsd:double"&gt;649.12&lt;/D&gt;&lt;D xsi:type="xsd:double"&gt;643.74&lt;/D&gt;&lt;D xsi:type="xsd:double"&gt;640.27&lt;/D&gt;&lt;D xsi:type="xsd:double"&gt;645.05&lt;/D&gt;&lt;D xsi:type="xsd:double"&gt;645.05&lt;/D&gt;&lt;D xsi:type="xsd:double"&gt;648.92&lt;/D&gt;&lt;D xsi:type="xsd:double"&gt;646.63&lt;/D&gt;&lt;D xsi:type="xsd:double"&gt;645.16&lt;/D&gt;&lt;D xsi:type="xsd:double"&gt;642.47&lt;/D&gt;&lt;D xsi:type="xsd:double"&gt;645.31&lt;/D&gt;&lt;D xsi:type="xsd:double"&gt;635.55&lt;/D&gt;&lt;D xsi:type="xsd:double"&gt;638.11&lt;/D&gt;&lt;D xsi:type="xsd:double"&gt;639.81&lt;/D&gt;&lt;D xsi:type="xsd:double"&gt;643.3&lt;/D&gt;&lt;D xsi:type="xsd:double"&gt;643.44&lt;/D&gt;&lt;D xsi:type="xsd:double"&gt;644.95&lt;/D&gt;&lt;D xsi:type="xsd:double"&gt;644.89&lt;/D&gt;&lt;D xsi:type="xsd:double"&gt;642.69&lt;/D&gt;&lt;D xsi:type="xsd:double"&gt;635.92&lt;/D&gt;&lt;D xsi:type="xsd:double"&gt;637.18&lt;/D&gt;&lt;D xsi:type="xsd:double"&gt;632.25&lt;/D&gt;&lt;D xsi:type="xsd:double"&gt;632.78&lt;/D&gt;&lt;D xsi:type="xsd:double"&gt;627.97&lt;/D&gt;&lt;D xsi:type="xsd:double"&gt;631.17&lt;/D&gt;&lt;D xsi:type="xsd:double"&gt;621.72&lt;/D&gt;&lt;D xsi:type="xsd:double"&gt;632.08&lt;/D&gt;&lt;D xsi:type="xsd:double"&gt;634.46&lt;/D&gt;&lt;D xsi:type="xsd:double"&gt;635.26&lt;/D&gt;&lt;D xsi:type="xsd:double"&gt;636.94&lt;/D&gt;&lt;D xsi:type="xsd:double"&gt;637.1&lt;/D&gt;&lt;D xsi:type="xsd:double"&gt;634.42&lt;/D&gt;&lt;D xsi:type="xsd:double"&gt;634.21&lt;/D&gt;&lt;D xsi:type="xsd:double"&gt;628.86&lt;/D&gt;&lt;D xsi:type="xsd:double"&gt;628.77&lt;/D&gt;&lt;D xsi:type="xsd:double"&gt;627.58&lt;/D&gt;&lt;D xsi:type="xsd:double"&gt;628.04&lt;/D&gt;&lt;D xsi:type="xsd:double"&gt;624.22&lt;/D&gt;&lt;D xsi:type="xsd:double"&gt;622.14&lt;/D&gt;&lt;D xsi:type="xsd:double"&gt;624.81&lt;/D&gt;&lt;D xsi:type="xsd:double"&gt;623.62&lt;/D&gt;&lt;D xsi:type="xsd:double"&gt;625.82&lt;/D&gt;&lt;D xsi:type="xsd:double"&gt;624.06&lt;/D&gt;&lt;D xsi:type="xsd:double"&gt;620.34&lt;/D&gt;&lt;D xsi:type="xsd:double"&gt;620.68&lt;/D&gt;&lt;D xsi:type="xsd:double"&gt;625.34&lt;/D&gt;&lt;D xsi:type="xsd:double"&gt;625.34&lt;/D&gt;&lt;D xsi:type="xsd:double"&gt;620.45&lt;/D&gt;&lt;D xsi:type="xsd:double"&gt;617.65&lt;/D&gt;&lt;D xsi:type="xsd:double"&gt;617.85&lt;/D&gt;&lt;D xsi:type="xsd:double"&gt;614.91&lt;/D&gt;&lt;D xsi:type="xsd:double"&gt;611.87&lt;/D&gt;&lt;D xsi:type="xsd:double"&gt;607.12&lt;/D&gt;&lt;D xsi:type="xsd:double"&gt;606.78&lt;/D&gt;&lt;D xsi:type="xsd:double"&gt;600.15&lt;/D&gt;&lt;D xsi:type="xsd:double"&gt;594.28&lt;/D&gt;&lt;D xsi:type="xsd:double"&gt;597.44&lt;/D&gt;&lt;D xsi:type="xsd:double"&gt;597.44&lt;/D&gt;&lt;D xsi:type="xsd:double"&gt;597.53&lt;/D&gt;&lt;D xsi:type="xsd:double"&gt;602.68&lt;/D&gt;&lt;D xsi:type="xsd:doub</t>
        </r>
      </text>
    </comment>
    <comment ref="A2" authorId="0" shapeId="0" xr:uid="{6ECDAF75-DE4D-41B2-9CDE-5BA0F64C304D}">
      <text>
        <r>
          <rPr>
            <b/>
            <sz val="9"/>
            <color indexed="81"/>
            <rFont val="Tahoma"/>
            <charset val="1"/>
          </rPr>
          <t>le"&gt;597&lt;/D&gt;&lt;D xsi:type="xsd:double"&gt;603.75&lt;/D&gt;&lt;D xsi:type="xsd:double"&gt;601.36&lt;/D&gt;&lt;D xsi:type="xsd:double"&gt;603.08&lt;/D&gt;&lt;D xsi:type="xsd:double"&gt;599.68&lt;/D&gt;&lt;D xsi:type="xsd:double"&gt;599.14&lt;/D&gt;&lt;D xsi:type="xsd:double"&gt;593.05&lt;/D&gt;&lt;D xsi:type="xsd:double"&gt;595.93&lt;/D&gt;&lt;D xsi:type="xsd:double"&gt;596.09&lt;/D&gt;&lt;D xsi:type="xsd:double"&gt;592.71&lt;/D&gt;&lt;D xsi:type="xsd:double"&gt;589.39&lt;/D&gt;&lt;D xsi:type="xsd:double"&gt;590.05&lt;/D&gt;&lt;D xsi:type="xsd:double"&gt;587.73&lt;/D&gt;&lt;D xsi:type="xsd:double"&gt;591.15&lt;/D&gt;&lt;D xsi:type="xsd:double"&gt;579.11&lt;/D&gt;&lt;D xsi:type="xsd:double"&gt;579.11&lt;/D&gt;&lt;D xsi:type="xsd:double"&gt;583.09&lt;/D&gt;&lt;D xsi:type="xsd:double"&gt;582.86&lt;/D&gt;&lt;D xsi:type="xsd:double"&gt;592.85&lt;/D&gt;&lt;D xsi:type="xsd:double"&gt;594.85&lt;/D&gt;&lt;D xsi:type="xsd:double"&gt;594.2&lt;/D&gt;&lt;D xsi:type="xsd:double"&gt;590.46&lt;/D&gt;&lt;D xsi:type="xsd:double"&gt;587.59&lt;/D&gt;&lt;D xsi:type="xsd:double"&gt;586.84&lt;/D&gt;&lt;D xsi:type="xsd:double"&gt;582.99&lt;/D&gt;&lt;D xsi:type="xsd:double"&gt;564.34&lt;/D&gt;&lt;D xsi:type="xsd:double"&gt;565.06&lt;/D&gt;&lt;D xsi:type="xsd:double"&gt;561.15&lt;/D&gt;&lt;D xsi:type="xsd:double"&gt;558.8&lt;/D&gt;&lt;D xsi:type="xsd:double"&gt;563.51&lt;/D&gt;&lt;D xsi:type="xsd:double"&gt;566.76&lt;/D&gt;&lt;D xsi:type="xsd:double"&gt;558.47&lt;/D&gt;&lt;D xsi:type="xsd:double"&gt;554.54&lt;/D&gt;&lt;D xsi:type="xsd:double"&gt;554.32&lt;/D&gt;&lt;D xsi:type="xsd:double"&gt;550.85&lt;/D&gt;&lt;D xsi:type="xsd:double"&gt;550.64&lt;/D&gt;&lt;D xsi:type="xsd:double"&gt;546.69&lt;/D&gt;&lt;D xsi:type="xsd:double"&gt;535.42&lt;/D&gt;&lt;D xsi:type="xsd:double"&gt;527.25&lt;/D&gt;&lt;D xsi:type="xsd:double"&gt;513.88&lt;/D&gt;&lt;D xsi:type="xsd:double"&gt;526.41&lt;/D&gt;&lt;D xsi:type="xsd:double"&gt;526.41&lt;/D&gt;&lt;D xsi:type="xsd:double"&gt;525.66&lt;/D&gt;&lt;D xsi:type="xsd:double"&gt;537.61&lt;/D&gt;&lt;D xsi:type="xsd:double"&gt;539.12&lt;/D&gt;&lt;D xsi:type="xsd:double"&gt;533.94&lt;/D&gt;&lt;D xsi:type="xsd:double"&gt;524.58&lt;/D&gt;&lt;D xsi:type="xsd:double"&gt;548.62&lt;/D&gt;&lt;D xsi:type="xsd:double"&gt;496.48&lt;/D&gt;&lt;D xsi:type="xsd:double"&gt;504.38&lt;/D&gt;&lt;D xsi:type="xsd:double"&gt;505.28&lt;/D&gt;&lt;D xsi:type="xsd:double"&gt;536.7&lt;/D&gt;&lt;D xsi:type="xsd:double"&gt;564.52&lt;/D&gt;&lt;D xsi:type="xsd:double"&gt;560.97&lt;/D&gt;&lt;D xsi:type="xsd:double"&gt;559.39&lt;/D&gt;&lt;D xsi:type="xsd:double"&gt;555.66&lt;/D&gt;&lt;D xsi:type="xsd:double"&gt;567.08&lt;/D&gt;&lt;/FQL&gt;&lt;FQL&gt;&lt;Q&gt;QQQ^FG_PRICE(0,-200D)&lt;/Q&gt;&lt;R&gt;201&lt;/R&gt;&lt;C&gt;1&lt;/C&gt;&lt;D xsi:type="xsd:double"&gt;614.31&lt;/D&gt;&lt;D xsi:type="xsd:double"&gt;614.31&lt;/D&gt;&lt;D xsi:type="xsd:double"&gt;619.43&lt;/D&gt;&lt;D xsi:type="xsd:double"&gt;620.87&lt;/D&gt;&lt;D xsi:type="xsd:double"&gt;623.89&lt;/D&gt;&lt;D xsi:type="xsd:double"&gt;623.93&lt;/D&gt;&lt;D xsi:type="xsd:double"&gt;623.93&lt;/D&gt;&lt;D xsi:type="xsd:double"&gt;622.11&lt;/D&gt;&lt;D xsi:type="xsd:double"&gt;619.21&lt;/D&gt;&lt;D xsi:type="xsd:double"&gt;617.05&lt;/D&gt;&lt;D xsi:type="xsd:double"&gt;609.11&lt;/D&gt;&lt;D xsi:type="xsd:double"&gt;600.41&lt;/D&gt;&lt;D xsi:type="xsd:double"&gt;611.75&lt;/D&gt;&lt;D xsi:type="xsd:double"&gt;610.54&lt;/D&gt;&lt;D xsi:type="xsd:double"&gt;613.62&lt;/D&gt;&lt;D xsi:type="xsd:double"&gt;625.58&lt;/D&gt;&lt;D xsi:type="xsd:double"&gt;627.61&lt;/D&gt;&lt;D xsi:type="xsd:double"&gt;625.05&lt;/D&gt;&lt;D xsi:type="xsd:double"&gt;624.28&lt;/D&gt;&lt;D xsi:type="xsd:double"&gt;625.48&lt;/D&gt;&lt;D xsi:type="xsd:double"&gt;622.94&lt;/D&gt;&lt;D xsi:type="xsd:double"&gt;623.52&lt;/D&gt;&lt;D xsi:type="xsd:double"&gt;622&lt;/D&gt;&lt;D xsi:type="xsd:double"&gt;617.17&lt;/D&gt;&lt;D xsi:type="xsd:double"&gt;619.25&lt;/D&gt;&lt;D xsi:type="xsd:double"&gt;614.27&lt;/D&gt;&lt;D xsi:type="xsd:double"&gt;614.27&lt;/D&gt;&lt;D xsi:type="xsd:double"&gt;608.89&lt;/D&gt;&lt;D xsi:type="xsd:double"&gt;605.16&lt;/D&gt;&lt;D xsi:type="xsd:double"&gt;590.07&lt;/D&gt;&lt;D xsi:type="xsd:double"&gt;585.67&lt;/D&gt;&lt;D xsi:type="xsd:double"&gt;599.87&lt;/D&gt;&lt;D xsi:type="xsd:double"&gt;596.31&lt;/D&gt;&lt;D xsi:type="xsd:double"&gt;603.66&lt;/D&gt;&lt;D xsi:type="xsd:double"&gt;608.86&lt;/D&gt;&lt;D xsi:type="xsd:double"&gt;608.4&lt;/D&gt;&lt;D xsi:type="xsd:double"&gt;621.08&lt;/D&gt;&lt;D xsi:type="xsd:double"&gt;621.57&lt;/D&gt;&lt;D xsi:type="xsd:double"&gt;623.23&lt;/D&gt;&lt;D xsi:type="xsd:double"&gt;609.74&lt;/D&gt;&lt;D xsi:type="xsd:double"&gt;611.67&lt;/D&gt;&lt;D xsi:type="xsd:double"&gt;623.28&lt;/D&gt;&lt;D xsi:type="xsd:double"&gt;619.25&lt;/D&gt;&lt;D xsi:type="xsd:double"&gt;632.08&lt;/D&gt;&lt;D xsi:type="xsd:double"&gt;629.07&lt;/D&gt;&lt;D xsi:type="xsd:double"&gt;626.05&lt;/D&gt;&lt;D xsi:type="xsd:double"&gt;635.77&lt;/D&gt;&lt;D xsi:type="xsd:double"&gt;632.92&lt;/D&gt;&lt;D xsi:type="xsd:double"&gt;628.09&lt;/D&gt;&lt;D xsi:type="xsd:double"&gt;617.1&lt;/D&gt;&lt;D xsi:type="xsd:double"&gt;610.58&lt;/D&gt;&lt;D xsi:type="xsd:double"&gt;605.49&lt;/D&gt;&lt;D xsi:type="xsd:double"&gt;611.38&lt;/D&gt;&lt;D xsi:type="xsd:double"&gt;611.54&lt;/D&gt;&lt;D xsi:type="xsd:double"&gt;603.93&lt;/D&gt;&lt;D xsi:type="xsd:double"&gt;599.99&lt;/D&gt;&lt;D xsi:type="xsd:double"&gt;602.22&lt;/D&gt;&lt;D xsi:type="xsd:double"&gt;598&lt;/D&gt;&lt;D xsi:type="xsd:double"&gt;602.01&lt;/D&gt;&lt;D xsi:type="xsd:double"&gt;589.5&lt;/D&gt;&lt;D xsi:type="xsd:double"&gt;610.7&lt;/D&gt;&lt;D xsi:type="xsd:double"&gt;611.44&lt;/D&gt;&lt;D xsi:type="xsd:double"&gt;604.51&lt;/D&gt;&lt;D xsi:type="xsd:double"&gt;607.71&lt;/D&gt;&lt;D xsi:type="xsd:double"&gt;603.18&lt;/D&gt;&lt;D xsi:type="xsd:double"&gt;605.73&lt;/D&gt;&lt;D xsi:type="xsd:double"&gt;603.25&lt;/D&gt;&lt;D xsi:type="xsd:double"&gt;600.37&lt;/D&gt;&lt;D xsi:type="xsd:double"&gt;598.73&lt;/D&gt;&lt;D xsi:type="xsd:double"&gt;595.97&lt;/D&gt;&lt;D xsi:type="xsd:double"&gt;593.53&lt;/D&gt;&lt;D xsi:type="xsd:double"&gt;596.1&lt;/D&gt;&lt;D xsi:type="xsd:double"&gt;598.2&lt;/D&gt;&lt;D xsi:type="xsd:double"&gt;602.2&lt;/D&gt;&lt;D xsi:type="xsd:double"&gt;599.35&lt;/D&gt;&lt;D xsi:type="xsd:double"&gt;595.32&lt;/D&gt;&lt;D xsi:type="xsd:double"&gt;590&lt;/D&gt;&lt;D xsi:type="xsd:double"&gt;591.18&lt;/D&gt;&lt;D xsi:type="xsd:double"&gt;591.68&lt;/D&gt;&lt;D xsi:type="xsd:double"&gt;586.66&lt;/D&gt;&lt;D xsi:type="xsd:double"&gt;584.08&lt;/D&gt;&lt;D xsi:type="xsd:double"&gt;580.7&lt;/D&gt;&lt;D xsi:type="xsd:double"&gt;580.51&lt;/D&gt;&lt;D xsi:type="xsd:double"&gt;578.87&lt;/D&gt;&lt;D xsi:type="xsd:double"&gt;576.06&lt;/D&gt;&lt;D xsi:type="xsd:double"&gt;575.23&lt;/D&gt;&lt;D xsi:type="xsd:double"&gt;570.07&lt;/D&gt;&lt;D xsi:type="xsd:double"&gt;565.62&lt;/D&gt;&lt;D xsi:type="xsd:double"&gt;570.4&lt;/D&gt;&lt;D xsi:type="xsd:double"&gt;570.4&lt;/D&gt;&lt;D xsi:type="xsd:double"&gt;577.08&lt;/D&gt;&lt;D xsi:type="xsd:double"&gt;573.49&lt;/D&gt;&lt;D xsi:type="xsd:double"&gt;572.61&lt;/D&gt;&lt;D xsi:type="xsd:double"&gt;570.32&lt;/D&gt;&lt;D xsi:type="xsd:double"&gt;571.97&lt;/D&gt;&lt;D xsi:type="xsd:double"&gt;563.28&lt;/D&gt;&lt;D xsi:type="xsd:double"&gt;565.9&lt;/D&gt;&lt;D xsi:type="xsd:double"&gt;569.28&lt;/D&gt;&lt;D xsi:type="xsd:double"&gt;577.11&lt;/D&gt;&lt;D xsi:type="xsd:double"&gt;577.34&lt;/D&gt;&lt;D xsi:type="xsd:double"&gt;579.89&lt;/D&gt;&lt;D xsi:type="xsd:double"&gt;580.34&lt;/D&gt;&lt;D xsi:type="xsd:double"&gt;580.05&lt;/D&gt;&lt;D xsi:type="xsd:double"&gt;572.85&lt;/D&gt;&lt;D xsi:type="xsd:double"&gt;574.55&lt;/D&gt;&lt;D xsi:type="xsd:double"&gt;569.24&lt;/D&gt;&lt;D xsi:type="xsd:double"&gt;567.32&lt;/D&gt;&lt;D xsi:type="xsd:double"&gt;560.27&lt;/D&gt;&lt;D xsi:type="xsd:double"&gt;564.1&lt;/D&gt;&lt;D xsi:type="xsd:double"&gt;553.88&lt;/D&gt;&lt;D xsi:type="xsd:double"&gt;565.01&lt;/D&gt;&lt;D xsi:type="xsd:double"&gt;568.02&lt;/D&gt;&lt;D xsi:type="xsd:double"&gt;567.26&lt;/D&gt;&lt;D xsi:type="xsd:double"&gt;568.14&lt;/D&gt;&lt;D xsi:type="xsd:double"&gt;566.37&lt;/D&gt;&lt;D xsi:type="xsd:double"&gt;565.01&lt;/D&gt;&lt;D xsi:type="xsd:double"&gt;563.81&lt;/D&gt;&lt;D xsi:type="xsd:double"&gt;561.25&lt;/D&gt;&lt;D xsi:type="xsd:double"&gt;564.17&lt;/D&gt;&lt;D xsi:type="xsd:double"&gt;561.26&lt;/D&gt;&lt;D xsi:type="xsd:double"&gt;561.8&lt;/D&gt;&lt;D xsi:type="xsd:double"&gt;557.29&lt;/D&gt;&lt;D xsi:type="xsd:double"&gt;556.72&lt;/D&gt;&lt;D xsi:type="xsd:double"&gt;556.21&lt;/D&gt;&lt;D xsi:type="xsd:double"&gt;554.2&lt;/D&gt;&lt;D xsi:type="xsd:double"&gt;555.45&lt;/D&gt;&lt;D xsi:type="xsd:double"&gt;556.25&lt;/D&gt;&lt;D xsi:type="xsd:double"&gt;552.34&lt;/D&gt;&lt;D xsi:type="xsd:double"&gt;552.03&lt;/D&gt;&lt;D xsi:type="xsd:double"&gt;556.22&lt;/D&gt;&lt;D xsi:type="xsd:double"&gt;556.22&lt;/D&gt;&lt;D xsi:type="xsd:double"&gt;550.8&lt;/D&gt;&lt;D xsi:type="xsd:double"&gt;546.99&lt;/D&gt;&lt;D xsi:type="xsd:double"&gt;551.64&lt;/D&gt;&lt;D xsi:type="xsd:double"&gt;548.09&lt;/D&gt;&lt;D xsi:type="xsd:double"&gt;546.22&lt;/D&gt;&lt;D xsi:type="xsd:double"&gt;541.16&lt;/D&gt;&lt;D xsi:type="xsd:double"&gt;539.78&lt;/D&gt;&lt;D xsi:type="xsd:double"&gt;531.65&lt;/D&gt;&lt;D xsi:type="xsd:double"&gt;526.83&lt;/D&gt;&lt;D xsi:type="xsd:double"&gt;528.99&lt;/D&gt;&lt;D xsi:type="xsd:double"&gt;528.99&lt;/D&gt;&lt;D xsi:type="xsd:double"&gt;529.08&lt;/D&gt;&lt;D xsi:type="xsd:double"&gt;534.29&lt;/D&gt;&lt;D xsi:type="xsd:double"&gt;526.96&lt;/D&gt;&lt;D xsi:type="xsd:double"&gt;533.66&lt;/D&gt;&lt;D xsi:type="xsd:double"&gt;532.41&lt;/D&gt;&lt;D xsi:type="xsd:double"&gt;534.21&lt;/D&gt;&lt;D xsi:type="xsd:double"&gt;530.7&lt;/D&gt;&lt;D xsi:type="xsd:double"&gt;529.92&lt;/D&gt;&lt;D xsi:type="xsd:double"&gt;524.79&lt;/D&gt;&lt;D xsi:type="xsd:double"&gt;528.77&lt;/D&gt;&lt;D xsi:type="xsd:double"&gt;527.3&lt;/D&gt;&lt;D xsi:type="xsd:double"&gt;523.21&lt;/D&gt;&lt;D xsi:type="xsd:double"&gt;519.11&lt;/D&gt;&lt;D xsi:type="xsd:double"&gt;519.93&lt;/D&gt;&lt;D xsi:type="xsd:double"&gt;518.91&lt;/D&gt;&lt;D xsi:type="xsd:double"&gt;521.22&lt;/D&gt;&lt;D xsi:type="xsd:double"&gt;509.24&lt;/D&gt;&lt;D xsi:type="xsd:double"&gt;509.24&lt;/D&gt;&lt;D xsi:type="xsd:double"&gt;514&lt;/D&gt;&lt;D xsi:type="xsd:double"&gt;513.04&lt;/D&gt;&lt;D xsi:type="xsd:double"&gt;520.27&lt;/D&gt;&lt;D xsi:type="xsd:double"&gt;522.01&lt;/D&gt;&lt;D xsi:type="xsd:double"&gt;521.51&lt;/D&gt;&lt;D xsi:type="xsd:double"&gt;519.25&lt;/D&gt;&lt;D xsi:type="xsd:double"&gt;518.68&lt;/D&gt;&lt;D xsi:type="xsd:double"&gt;515.59&lt;/D&gt;&lt;D xsi:type="xsd:double"&gt;507.85&lt;/D&gt;&lt;D xsi:type="xsd:double"&gt;487.97&lt;/D&gt;&lt;D xsi:type="xsd:double"&gt;488.29&lt;/D&gt;&lt;D xsi:type="xsd:double"&gt;483.3&lt;/D&gt;&lt;D xsi:type="xsd:double"&gt;481.41&lt;/D&gt;&lt;D xsi:type="xsd:double"&gt;485.93&lt;/D&gt;&lt;D xsi:type="xsd:double"&gt;488.83&lt;/D&gt;&lt;D xsi:type="xsd:double"&gt;481.68&lt;/D&gt;&lt;D xsi:type="xsd:double"&gt;475.47&lt;/D&gt;&lt;D xsi:type="xsd:double"&gt;475.53&lt;/D&gt;&lt;D xsi:type="xsd:double"&gt;472.41&lt;/D&gt;&lt;D xsi:type="xsd:double"&gt;472.56&lt;/D&gt;&lt;D xsi:type="xsd:double"&gt;467.35&lt;/D&gt;&lt;D xsi:type="xsd:double"&gt;454.56&lt;/D&gt;&lt;D xsi:type="xsd:double"&gt;444.48&lt;/D&gt;&lt;D xsi:type="xsd:double"&gt;433.11&lt;/D&gt;&lt;D xsi:type="xsd:double"&gt;444.1&lt;/D&gt;&lt;D xsi:type="xsd:double"&gt;444.1&lt;/D&gt;&lt;D xsi:type="xsd:double"&gt;444.18&lt;/D&gt;&lt;D xsi:type="xsd:double"&gt;457.99&lt;/D&gt;&lt;D xsi:type="xsd:double"&gt;457.48&lt;/D&gt;&lt;D xsi:type="xsd:double"&gt;454.4&lt;/D&gt;&lt;D xsi:type="xsd:double"&gt;446.18&lt;/D&gt;&lt;D xsi:type="xsd:double"&gt;466&lt;/D&gt;&lt;D xsi:type="xsd:double"&gt;416.06&lt;/D&gt;&lt;D xsi:type="xsd:double"&gt;423.69&lt;/D&gt;&lt;D xsi:type="xsd:double"&gt;422.67&lt;/D&gt;&lt;D xsi:type="xsd:double"&gt;450.66&lt;/D&gt;&lt;D xsi:type="xsd:double"&gt;476.15&lt;/D&gt;&lt;D xsi:type="xsd:double"&gt;472.7&lt;/D&gt;&lt;D xsi:type="xsd:double"&gt;468.92&lt;/D&gt;&lt;D xsi:type="xsd:double"&gt;468.94&lt;/D&gt;&lt;D xsi:type="xsd:double"&gt;481.62&lt;/D&gt;&lt;/FQL&gt;&lt;FQL&gt;&lt;Q&gt;EWU^FG_PRICE(0,-200D)&lt;/Q&gt;&lt;R&gt;201&lt;/R&gt;&lt;C&gt;1&lt;/C&gt;&lt;D xsi:type="xsd:double"&gt;43.98&lt;/D&gt;&lt;D xsi:type="xsd:double"&gt;43.98&lt;/D&gt;&lt;D xsi:type="xsd:double"&gt;44.22&lt;/D&gt;&lt;D xsi:type="xsd:double"&gt;44.02&lt;/D&gt;&lt;D xsi:type="xsd:double"&gt;44.24&lt;/D&gt;&lt;D xsi:type="xsd:double"&gt;44.08&lt;/D&gt;&lt;D xsi:type="xsd:double"&gt;44.08&lt;/D&gt;&lt;D xsi:type="xsd:double"&gt;43.98&lt;/D&gt;&lt;D xsi:type="xsd:double"&gt;43.79&lt;/D&gt;&lt;D xsi:type="xsd:double"&gt;43.54&lt;/D&gt;&lt;D xsi:type="xsd:double"&gt;43.13&lt;/D&gt;&lt;D xsi:type="xsd:double"&gt;42.94&lt;/D&gt;&lt;D xsi:type="xsd:double"&gt;42.73&lt;/D&gt;&lt;D xsi:type="xsd:double"&gt;43.75&lt;/D&gt;&lt;D xsi:type="xsd:double"&gt;43.28&lt;/D&gt;&lt;D xsi:type="xsd:double"&gt;43.65&lt;/D&gt;&lt;D xsi:type="xsd:double"&gt;43.46&lt;/D&gt;&lt;D xsi:type="xsd:double"&gt;42.88&lt;/D&gt;&lt;D xsi:type="xsd:double"&gt;43.08&lt;/D&gt;&lt;D xsi:type="xsd:double"&gt;43.22&lt;/D&gt;&lt;D xsi:type="xsd:double"&gt;43.42&lt;/D&gt;&lt;D xsi:type="xsd:double"&gt;43.46&lt;/D&gt;&lt;D xsi:type="xsd:double"&gt;43.01&lt;/D&gt;&lt;D xsi:type="xsd:double"&gt;42.93&lt;/D&gt;&lt;D xsi:type="xsd:double"&gt;43.15&lt;/D&gt;&lt;D xsi:type="xsd:double"&gt;42.99&lt;/D&gt;&lt;D xsi:type="xsd:double"&gt;42.99&lt;/D&gt;&lt;D xsi:type="xsd:double"&gt;42.52&lt;/D&gt;&lt;D xsi:type="xsd:double"&gt;41.92&lt;/D&gt;&lt;D xsi:type="xsd:double"&gt;42.06&lt;/D&gt;&lt;D xsi:type="xsd:double"&gt;41.34&lt;/D&gt;&lt;D xsi:type="xsd:double"&gt;41.73&lt;/D&gt;&lt;D xsi:type="xsd:double"&gt;42.19&lt;/D&gt;&lt;D xsi:type="xsd:double"&gt;42.44&lt;/D&gt;&lt;D xsi:type="xsd:double"&gt;42.77&lt;/D&gt;&lt;D xsi:type="xsd:double"&gt;43.04&lt;/D&gt;&lt;D xsi:type="xsd:double"&gt;43.51&lt;/D&gt;&lt;D xsi:type="xsd:double"&gt;43.65&lt;/D&gt;&lt;D xsi:type="xsd:double"&gt;43.44&lt;/D&gt;&lt;D xsi:type="xsd:double"&gt;42.87&lt;/D&gt;&lt;D xsi:type="xsd:double"&gt;42.62&lt;/D&gt;&lt;D xsi:type="xsd:double"&gt;42.61&lt;/D&gt;&lt;D xsi:type="xsd:double"&gt;42.18&lt;/D&gt;&lt;D xsi:type="xsd:double"&gt;42.53&lt;/D&gt;&lt;D xsi:type="xsd:double"&gt;42.67&lt;/D&gt;&lt;D xsi:type="xsd:double"&gt;42.75&lt;/D&gt;&lt;D xsi:type="xsd:double"&gt;42.83&lt;/D&gt;&lt;D xsi:type="xsd:double"&gt;42.92&lt;/D&gt;&lt;D xsi:type="xsd:double"&gt;42.98&lt;/D&gt;&lt;D xsi:type="xsd:double"&gt;42.78&lt;/D&gt;&lt;D xsi:type="xsd:double"&gt;42.6&lt;/D&gt;&lt;D xsi:type="xsd:double"&gt;42.41&lt;/D&gt;&lt;D xsi:type="xsd:double"&gt;41.96&lt;/D&gt;&lt;D xsi:type="xsd:double"&gt;42.16&lt;/D&gt;&lt;D xsi:type="xsd:double"&gt;42.07&lt;/D&gt;&lt;D xsi:type="xsd:double"&gt;41.99&lt;/D&gt;&lt;D xsi:type="xsd:double"&gt;42.02&lt;/D&gt;&lt;D xsi:type="xsd:double"&gt;42.06&lt;/D&gt;&lt;D xsi:type="xsd:double"&gt;41.99&lt;/D&gt;&lt;D xsi:type="xsd:double"&gt;41.73&lt;/D&gt;&lt;D xsi:type="xsd:double"&gt;42.07&lt;/D&gt;&lt;D xsi:type="xsd:double"&gt;42.68&lt;/D&gt;&lt;D xsi:type="xsd:double"&gt;42.45&lt;/D&gt;&lt;D xsi:type="xsd:double"&gt;42.58&lt;/D&gt;&lt;D xsi:type="xsd:double"&gt;42.64&lt;/D&gt;&lt;D xsi:type="xsd:double"&gt;42.26&lt;/D&gt;&lt;D xsi:type="xsd:double"&gt;42.5&lt;/D&gt;&lt;D xsi:type="xsd:double"&gt;41.97&lt;/D&gt;&lt;D xsi:type="xsd:double"&gt;41.63&lt;/D&gt;&lt;D xsi:type="xsd:double"&gt;41.58&lt;/D&gt;&lt;D xsi:type="xsd:double"&gt;41.04&lt;/D&gt;&lt;D xsi:type="xsd:double"&gt;41.35&lt;/D&gt;&lt;D xsi:type="xsd:double"&gt;41.47&lt;/D&gt;&lt;D xsi:type="xsd:double"&gt;41.61&lt;/D&gt;&lt;D xsi:type="xsd:double"&gt;41.36&lt;/D&gt;&lt;D xsi:type="xsd:double"&gt;41.66&lt;/D&gt;&lt;D xsi:type="xsd:double"&gt;41.79&lt;/D&gt;&lt;D xsi:type="xsd:double"&gt;41.89&lt;/D&gt;&lt;D xsi:type="xsd:double"&gt;42.09&lt;/D&gt;&lt;D xsi:type="xsd:double"&gt;41.94&lt;/D&gt;&lt;D xsi:type="xsd:double"&gt;42.19&lt;/D&gt;&lt;D xsi:type="xsd:double"&gt;41.74&lt;/D&gt;&lt;D xsi:type="xsd:double"&gt;41.75&lt;/D&gt;&lt;D xsi:type="xsd:double"&gt;41.71&lt;/D&gt;&lt;D xsi:type="xsd:double"&gt;41.55&lt;/D&gt;&lt;D xsi:type="xsd:double"&gt;41.39&lt;/D&gt;&lt;D xsi:type="xsd:double"&gt;41.18&lt;/D&gt;&lt;D xsi:type="xsd:double"&gt;40.9&lt;/D&gt;&lt;D xsi:type="xsd:double"&gt;41.46&lt;/D&gt;&lt;D xsi:type="xsd:double"&gt;41.46&lt;/D&gt;&lt;D xsi:type="xsd:double"&gt;41.57&lt;/D&gt;&lt;D xsi:type="xsd:double"&gt;41.66&lt;/D&gt;&lt;D xsi:type="xsd:double"&gt;41.74&lt;/D&gt;&lt;D xsi:type="xsd:double"&gt;41.79&lt;/D&gt;&lt;D xsi:type="xsd:double"&gt;42.08&lt;/D&gt;&lt;D xsi:type="xsd:double"&gt;41.66&lt;/D&gt;&lt;D xsi:type="xsd:double"&gt;41.72&lt;/D&gt;&lt;D xsi:type="xsd:double"&gt;41.29&lt;/D&gt;&lt;D xsi:type="xsd:double"&gt;41.29&lt;/D&gt;&lt;D xsi:type="xsd:double"&gt;41.27&lt;/D&gt;&lt;D xsi:type="xsd:double"&gt;41.5&lt;/D&gt;&lt;D xsi:type="xsd:double"&gt;41.36&lt;/D&gt;&lt;D xsi:type="xsd:double"&gt;41.03&lt;/D&gt;&lt;D xsi:type="xsd:double"&gt;40.64&lt;/D&gt;&lt;D xsi:type="xsd:double"&gt;40.53&lt;/D&gt;&lt;D xsi:type="xsd:double"&gt;40.49&lt;/D&gt;&lt;D xsi:type="xsd:double"&gt;40.38&lt;/D&gt;&lt;D xsi:type="xsd:double"&gt;40.23&lt;/D&gt;&lt;D xsi:type="xsd:double"&gt;40.21&lt;/D&gt;&lt;D xsi:type="xsd:double"&gt;39.94&lt;/D&gt;&lt;D xsi:type="xsd:double"&gt;39.81&lt;/D&gt;&lt;D xsi:type="xsd:double"&gt;40.04&lt;/D&gt;&lt;D xsi:type="xsd:double"&gt;40.39&lt;/D&gt;&lt;D xsi:type="xsd:double"&gt;40.12&lt;/D&gt;&lt;D xsi:type="xsd:double"&gt;40.64&lt;/D&gt;&lt;D xsi:type="xsd:double"&gt;40.77&lt;/D&gt;&lt;D xsi:type="xsd:double"&gt;40.9&lt;/D&gt;&lt;D xsi:type="xsd:double"&gt;40.43&lt;/D&gt;&lt;D xsi:type="xsd:double"&gt;40.01&lt;/D&gt;&lt;D xsi:type="xsd:double"&gt;39.8&lt;/D&gt;&lt;D xsi:type="xsd:double"&gt;39.83&lt;/D&gt;&lt;D xsi:type="xsd:double"&gt;39.85&lt;/D&gt;&lt;D xsi:type="xsd:double"&gt;39.59&lt;/D&gt;&lt;D xsi:type="xsd:double"&gt;40.03&lt;/D&gt;&lt;D xsi:type="xsd:double"&gt;39.92&lt;/D&gt;&lt;D xsi:type="xsd:double"&gt;40.27&lt;/D&gt;&lt;D xsi:type="xsd:double"&gt;40.01&lt;/D&gt;&lt;D xsi:type="xsd:double"&gt;39.79&lt;/D&gt;&lt;D xsi:type="xsd:double"&gt;39.42&lt;/D&gt;&lt;D xsi:type="xsd:double"&gt;39.82&lt;/D&gt;&lt;D xsi:type="xsd:double"&gt;39.82&lt;/D&gt;&lt;D xsi:type="xsd:double"&gt;39.61&lt;/D&gt;&lt;D xsi:type="xsd:double"&gt;39.85&lt;/D&gt;&lt;D xsi:type="xsd:double"&gt;39.72&lt;/D&gt;&lt;D xsi:type="xsd:double"&gt;39.72&lt;/D&gt;&lt;D xsi:type="xsd:double"&gt;39.69&lt;/D&gt;&lt;D xsi:type="xsd:double"&gt;39.28&lt;/D&gt;&lt;D xsi:type="xsd:double"&gt;39.41&lt;/D&gt;&lt;D xsi:type="xsd:double"&gt;39.17&lt;/D&gt;&lt;D xsi:type="xsd:double"&gt;38.9&lt;/D&gt;&lt;D xsi:type="xsd:double"&gt;39.22&lt;/D&gt;&lt;D xsi:type="xsd:double"&gt;39.22&lt;/D&gt;&lt;D xsi:type="xsd:double"&gt;39.2&lt;/D&gt;&lt;D xsi:type="xsd:double"&gt;39.62&lt;/D&gt;&lt;D xsi:type="xsd:double"&gt;40.42&lt;/D&gt;&lt;D xsi:type="xsd:double"&gt;40.78&lt;/D&gt;&lt;D xsi:type="xsd:double"&gt;40.41&lt;/D&gt;&lt;D xsi:type="xsd:double"&gt;40.31&lt;/D&gt;&lt;D xsi:type="xsd:double"&gt;40.34&lt;/D&gt;&lt;D xsi:type="xsd:double"&gt;40.35&lt;/D&gt;&lt;D xsi:type="xsd:double"&gt;40.22&lt;/D&gt;&lt;D xsi:type="xsd:double"&gt;40.19&lt;/D&gt;&lt;D xsi:type="xsd:double"&gt;40.06&lt;/D&gt;&lt;D xsi:type="xsd:double"&gt;40.29&lt;/D&gt;&lt;D xsi:type="xsd:double"&gt;39.92&lt;/D&gt;&lt;D xsi:type="xsd:double"&gt;39.79&lt;/D&gt;&lt;D xsi:type="xsd:double"&gt;39.67&lt;/D&gt;&lt;D xsi:type="xsd:double"&gt;40.07&lt;/D&gt;&lt;D xsi:type="xsd:double"&gt;39.88&lt;/D&gt;&lt;D xsi:type="xsd:double"&gt;39.88&lt;/D&gt;&lt;D xsi:type="xsd:double"&gt;39.53&lt;/D&gt;&lt;D xsi:type="xsd:double"&gt;39.43&lt;/D&gt;&lt;D xsi:type="xsd:double"&gt;39.61&lt;/D&gt;&lt;D xsi:type="xsd:double"&gt;39.33&lt;/D&gt;&lt;D xsi:type="xsd:double"&gt;38.9&lt;/D&gt;&lt;D xsi:type="xsd:double"&gt;38.8&lt;/D&gt;&lt;D xsi:type="xsd:double"&gt;38.25&lt;/D&gt;&lt;D xsi:type="xsd:double"&gt;38.42&lt;/D&gt;&lt;D xsi:type="xsd:double"&gt;38.24&lt;/D&gt;&lt;D xsi:type="xsd:double"&gt;38.29&lt;/D&gt;&lt;D xsi:type="xsd:double"&gt;38.11&lt;/D&gt;&lt;D xsi:type="xsd:double"&gt;38.43&lt;/D&gt;&lt;D xsi:type="xsd:double"&gt;38.57&lt;/D&gt;&lt;D xsi:type="xsd:double"&gt;38.64&lt;/D&gt;&lt;D xsi:type="xsd:double"&gt;38.6&lt;/D&gt;&lt;D xsi:type="xsd:double"&gt;37.88&lt;/D&gt;&lt;D xsi:type="xsd:double"&gt;38.1&lt;/D&gt;&lt;D xsi:type="xsd:double"&gt;38.35&lt;/D&gt;&lt;D xsi:type="xsd:double"&gt;38.19&lt;/D&gt;&lt;D xsi:type="xsd:double"&gt;37.94&lt;/D&gt;&lt;D xsi:type="xsd:double"&gt;37.89&lt;/D&gt;&lt;D xsi:type="xsd:double"&gt;37.55&lt;/D&gt;&lt;D xsi:type="xsd:double"&gt;37.58&lt;/D&gt;&lt;D xsi:type="xsd:double"&gt;36.82&lt;/D&gt;&lt;D xsi:type="xsd:double"&gt;36.97&lt;/D&gt;&lt;D xsi:type="xsd:double"&gt;36.97&lt;/D&gt;&lt;D xsi:type="xsd:double"&gt;36.55&lt;/D&gt;&lt;D xsi:type="xsd:double"&gt;36.65&lt;/D&gt;&lt;D xsi:type="xsd:double"&gt;36.15&lt;/D&gt;&lt;D xsi:type="xsd:double"&gt;35.57&lt;/D&gt;&lt;D xsi:type="xsd:double"&gt;34.67&lt;/D&gt;&lt;D xsi:type="xsd:double"&gt;35.11&lt;/D&gt;&lt;D xsi:type="xsd:double"&gt;33.19&lt;/D&gt;&lt;D xsi:type="xsd:double"&gt;33.29&lt;/D&gt;&lt;D xsi:type="xsd:double"&gt;34.62&lt;/D&gt;&lt;D xsi:type="xsd:double"&gt;37.28&lt;/D&gt;&lt;D xsi:type="xsd:double"&gt;37.61&lt;/D&gt;&lt;D xsi:type="xsd:double"&gt;37.44&lt;/D&gt;&lt;D xsi:type="xsd:double"&gt;37.47&lt;/D&gt;&lt;D xsi:type="xsd:double"&gt;37.59&lt;/D&gt;&lt;D xsi:type="xsd:double"&gt;37.66&lt;/D&gt;&lt;/FQL&gt;&lt;FQL&gt;&lt;Q&gt;EWL^FG_PRICE(0,-200D)&lt;/Q&gt;&lt;R&gt;201&lt;/R&gt;&lt;C&gt;1&lt;/C&gt;&lt;D xsi:type="xsd:double"&gt;59.96&lt;/D&gt;&lt;D xsi:type="xsd:double"&gt;59.96&lt;/D&gt;&lt;D xsi:type="xsd:double"&gt;60.17&lt;/D&gt;&lt;D xsi:type="xsd:double"&gt;60.35&lt;/D&gt;&lt;D xsi:type="xsd:double"&gt;60.54&lt;/D&gt;&lt;D xsi:type="xsd:double"&gt;60.53&lt;/D&gt;&lt;D xsi:type="xsd:double"&gt;60.53&lt;/D&gt;&lt;D xsi:type="xsd:double"&gt;60.4&lt;/D&gt;&lt;D xsi:type="xsd:double"&gt;59.93&lt;/D&gt;&lt;D xsi:type="xsd:double"&gt;59.57&lt;/D&gt;&lt;D xsi:type="xsd:double"&gt;59.47&lt;/D&gt;&lt;D xsi:type="xsd:double"&gt;58.84&lt;/D&gt;&lt;D xsi:type="xsd:double"&gt;59.02&lt;/D&gt;&lt;D xsi:type="xsd:double"&gt;59.06&lt;/D&gt;&lt;D xsi:type="xsd:double"&gt;58.37&lt;/D&gt;&lt;D xsi:type="xsd:double"&gt;58.49&lt;/D&gt;&lt;D xsi:type="xsd:double"&gt;58.38&lt;/D&gt;&lt;D xsi:type="xsd:double"&gt;57.69&lt;/D&gt;&lt;D xsi:type="xsd:double"&gt;57.76&lt;/D&gt;&lt;D xsi:type="xsd:double"&gt;58.03&lt;/D&gt;&lt;D xsi:type="xsd:double"&gt;57.91&lt;/D&gt;&lt;D xsi:type="xsd:double"&gt;58.07&lt;/D&gt;&lt;D xsi:type="xsd:double"&gt;57.94&lt;/D&gt;&lt;D xsi:type="xsd:double"&gt;57.42&lt;/D&gt;&lt;D xsi:type="xsd:double"&gt;57.82&lt;/D&gt;&lt;D xsi:type="xsd:double"&gt;57.55&lt;/D&gt;&lt;D xsi:type="xsd:double"&gt;57.55&lt;/D&gt;&lt;D xsi:type="xsd:double"&gt;57.26&lt;/D&gt;&lt;D xsi:type="xsd:double"&gt;56.39&lt;/D&gt;&lt;D xsi:type="xsd:double"&gt;56.69&lt;/D&gt;&lt;D xsi:type="xsd:double"&gt;55.69&lt;/D&gt;&lt;D xsi:type="xsd:double"&gt;56.36&lt;/D&gt;&lt;D xsi:type="xsd:double"&gt;56.58&lt;/D&gt;&lt;D xsi:type="xsd:double"&gt;56.81&lt;/D&gt;&lt;D xsi:type="xsd:double"&gt;57.55&lt;/D&gt;&lt;D xsi:type="xsd:double"&gt;57.85&lt;/D&gt;&lt;D xsi:type="xsd:double"&gt;58.06&lt;/D&gt;&lt;D xsi:type="xsd:double"&gt;57.67&lt;/D&gt;&lt;D xsi:type="xsd:double"&gt;56.36&lt;/D&gt;&lt;D xsi:type="xsd:double"&gt;55.74&lt;/D&gt;&lt;D xsi:type="xsd:double"&gt;55.22&lt;/D&gt;&lt;D xsi:type="xsd:double"&gt;55.4&lt;/D&gt;&lt;D xsi:type="xsd:double"&gt;55.06&lt;/D&gt;&lt;D xsi:type="xsd:double"&gt;55.12&lt;/D&gt;&lt;D xsi:type="xsd:double"&gt;55.36&lt;/D&gt;&lt;D xsi:type="xsd:double"&gt;55.6&lt;/D&gt;&lt;D xsi:type="xsd:double"&gt;55.66&lt;/D&gt;&lt;D xsi:type="xsd:double"&gt;56.17&lt;/D&gt;&lt;D xsi:type="xsd:double"&gt;56.94&lt;/D&gt;&lt;D xsi:type="xsd:double"&gt;57.12&lt;/D&gt;&lt;D xsi:type="xsd:double"&gt;57.17&lt;/D&gt;&lt;D xsi:type="xsd:double"&gt;57.14&lt;/D&gt;&lt;D xsi:type="xsd:double"&gt;57.11&lt;/D&gt;&lt;D xsi:type="xsd:double"&gt;57.68&lt;/D&gt;&lt;D xsi:type="xsd:double"&gt;57.78&lt;/D&gt;&lt;D xsi:type="xsd:double"&gt;57.47&lt;/D&gt;&lt;D xsi:type="xsd:double"&gt;56.64&lt;/D&gt;&lt;D xsi:type="xsd:double"&gt;56.33&lt;/D&gt;&lt;D xsi:type="xsd:double"&gt;56.08&lt;/D&gt;&lt;D xsi:type="xsd:double"&gt;56.1&lt;/D&gt;&lt;D xsi:type="xsd:double"&gt;56.36&lt;/D&gt;&lt;D xsi:type="xsd:double"&gt;56.83&lt;/D&gt;&lt;D xsi:type="xsd:double"&gt;56.55&lt;/D&gt;&lt;D xsi:type="xsd:double"&gt;56.72&lt;/D&gt;&lt;D xsi:type="xsd:double"&gt;56.66&lt;/D&gt;&lt;D xsi:type="xsd:double"&gt;56.25&lt;/D&gt;&lt;D xsi:type="xsd:double"&gt;55.94&lt;/D&gt;&lt;D xsi:type="xsd:double"&gt;55.24&lt;/D&gt;&lt;D xsi:type="xsd:double"&gt;54.57&lt;/D&gt;&lt;D xsi:type="xsd:double"&gt;54.26&lt;/D&gt;&lt;D xsi:type="xsd:double"&gt;53.86&lt;/D&gt;&lt;D xsi:type="xsd:double"&gt;54.51&lt;/D&gt;&lt;D xsi:type="xsd:double"&gt;55.24&lt;/D&gt;&lt;D xsi:type="xsd:double"&gt;55.57&lt;/D&gt;&lt;D xsi:type="xsd:double"&gt;55.26&lt;/D&gt;&lt;D xsi:type="xsd:double"&gt;55.21&lt;/D&gt;&lt;D xsi:type="xsd:double"&gt;55.29&lt;/D&gt;&lt;D xsi:type="xsd:double"&gt;55.48&lt;/D&gt;&lt;D xsi:type="xsd:double"&gt;55.56&lt;/D&gt;&lt;D xsi:type="xsd:double"&gt;55.65&lt;/D&gt;&lt;D xsi:type="xsd:double"&gt;56.12&lt;/D&gt;&lt;D xsi:type="xsd:double"&gt;55.62&lt;/D&gt;&lt;D xsi:type="xsd:double"&gt;56.02&lt;/D&gt;&lt;D xsi:type="xsd:double"&gt;56.33&lt;/D&gt;&lt;D xsi:type="xsd:double"&gt;56.25&lt;/D&gt;&lt;D xsi:type="xsd:double"&gt;55.71&lt;/D&gt;&lt;D xsi:type="xsd:double"&gt;55.08&lt;/D&gt;&lt;D xsi:type="xsd:double"&gt;54.67&lt;/D&gt;&lt;D xsi:type="xsd:double"&gt;55.33&lt;/D&gt;&lt;D xsi:type="xsd:double"&gt;55.33&lt;/D&gt;&lt;D xsi:type="xsd:double"&gt;55.33&lt;/D&gt;&lt;D xsi:type="xsd:double"&gt;55.24&lt;/D&gt;&lt;D xsi:type="xsd:double"&gt;55.11&lt;/D&gt;&lt;D xsi:type="xsd:double"&gt;54.97&lt;/D&gt;&lt;D xsi:type="xsd:double"&gt;55.64&lt;/D&gt;&lt;D xsi:type="xsd:double"&gt;54.94&lt;/D&gt;&lt;D xsi:type="xsd:double"&gt;55.52&lt;/D&gt;&lt;D xsi:type="xsd:double"&gt;54.9&lt;/D&gt;&lt;D xsi:type="xsd:double"&gt;54.35&lt;/D&gt;&lt;D xsi:type="xsd:double"&gt;54.5&lt;/D&gt;&lt;D xsi:type="xsd:double"&gt;54.1&lt;/D&gt;&lt;D xsi:type="xsd:double"&gt;54.2&lt;/D&gt;&lt;D xsi:type="xsd:double"&gt;53.81&lt;/D&gt;&lt;D xsi:type="xsd:double"&gt;53.2&lt;/D&gt;&lt;D xsi:type="xsd:double"&gt;53.6&lt;/D&gt;&lt;D xsi:type="xsd:double"&gt;53.68&lt;/D&gt;&lt;D xsi:type="xsd:double"&gt;52.98&lt;/D&gt;&lt;D xsi:type="xsd:double"&gt;53.48&lt;/D&gt;&lt;D xsi:type="xsd:double"&gt;53.31&lt;/D&gt;&lt;D xsi:type="xsd:double"&gt;52.43&lt;/D&gt;&lt;D xsi:type="xsd:double"&gt;52.72&lt;/D&gt;&lt;D xsi:type="xsd:double"&gt;53.48&lt;/D&gt;&lt;D xsi:type="xsd:double"&gt;54.12&lt;/D&gt;&lt;D xsi:type="xsd:double"&gt;54.16&lt;/D&gt;&lt;D xsi:type="xsd:double"&gt;55.16&lt;/D&gt;&lt;D xsi:type="xsd:double"&gt;55.12&lt;/D&gt;&lt;D xsi:type="xsd:double"&gt;56.2&lt;/D&gt;&lt;D xsi:type="xsd:double"&gt;54.96&lt;/D&gt;&lt;D xsi:type="xsd:double"&gt;54.51&lt;/D&gt;&lt;D xsi:type="xsd:double"&gt;54.48&lt;/D&gt;&lt;D xsi:type="xsd:double"&gt;54.36&lt;/D&gt;&lt;D xsi:type="xsd:double"&gt;54.55&lt;/D&gt;&lt;D xsi:type="xsd:double"&gt;54.18&lt;/D&gt;&lt;D xsi:type="xsd:double"&gt;54.71&lt;/D&gt;&lt;D xsi:type="xsd:double"&gt;54.7&lt;/D&gt;&lt;D xsi:type="xsd:double"&gt;55.45&lt;/D&gt;&lt;D xsi:type="xsd:double"&gt;55.28&lt;/D&gt;&lt;D xsi:type="xsd:double"&gt;54.82&lt;/D&gt;&lt;D xsi:type="xsd:double"&gt;54.53&lt;/D&gt;&lt;D xsi:type="xsd:double"&gt;54.9&lt;/D&gt;&lt;D xsi:type="xsd:double"&gt;54.9&lt;/D&gt;&lt;D xsi:type="xsd:double"&gt;55.27&lt;/D&gt;&lt;D xsi:type="xsd:double"&gt;54.98&lt;/D&gt;&lt;D xsi:type="xsd:double"&gt;54.81&lt;/D&gt;&lt;D xsi:type="xsd:double"&gt;54.63&lt;/D&gt;&lt;D xsi:type="xsd:double"&gt;54.26&lt;/D&gt;&lt;D xsi:type="xsd:double"&gt;53.75&lt;/D&gt;&lt;D xsi:type="xsd:double"&gt;54.32&lt;/D&gt;&lt;D xsi:type="xsd:double"&gt;53.46&lt;/D&gt;&lt;D xsi:type="xsd:double"&gt;52.68&lt;/D&gt;&lt;D xsi:type="xsd:double"&gt;53.25&lt;/D&gt;&lt;D xsi:type="xsd:double"&gt;53.25&lt;/D&gt;&lt;D xsi:type="xsd:double"&gt;53.42&lt;/D&gt;&lt;D xsi:type="xsd:double"&gt;53.77&lt;/D&gt;&lt;D xsi:type="xsd:double"&gt;55.22&lt;/D&gt;&lt;D xsi:type="xsd:double"&gt;56.27&lt;/D&gt;&lt;D xsi:type="xsd:double"&gt;55.43&lt;/D&gt;&lt;D xsi:type="xsd:double"&gt;55.67&lt;/D&gt;&lt;D xsi:type="xsd:double"&gt;55.62&lt;/D&gt;&lt;D xsi:type="xsd:double"&gt;55.64&lt;/D&gt;&lt;D xsi:type="xsd:double"&gt;55.47&lt;/D&gt;&lt;D xsi:type="xsd:double"&gt;55.56&lt;/D&gt;&lt;D xsi:type="xsd:double"&gt;55.03&lt;/D&gt;&lt;D xsi:type="xsd:double"&gt;55.54&lt;/D&gt;&lt;D xsi:type="xsd:double"&gt;55.18&lt;/D&gt;&lt;D xsi:type="xsd:double"&gt;54.9&lt;/D&gt;&lt;D xsi:type="xsd:double"&gt;54.62&lt;/D&gt;&lt;D xsi:type="xsd:double"&gt;55.2&lt;/D&gt;&lt;D xsi:type="xsd:double"&gt;55.03&lt;/D&gt;&lt;D xsi:type="xsd:double"&gt;55.03&lt;/D&gt;&lt;D xsi:type="xsd:double"&gt;54.77&lt;/D&gt;&lt;D xsi:type="xsd:double"&gt;55.04&lt;/D&gt;&lt;D xsi:type="xsd:double"&gt;55.17&lt;/D&gt;&lt;D xsi:type="xsd:double"&gt;55.02&lt;/D&gt;&lt;D xsi:type="xsd:double"&gt;54.41&lt;/D&gt;&lt;D xsi:type="xsd:double"&gt;54.02&lt;/D&gt;&lt;D xsi:type="xsd:double"&gt;52.94&lt;/D&gt;&lt;D xsi:type="xsd:double"&gt;53.19&lt;/D&gt;&lt;D xsi:type="xsd:double"&gt;53.53&lt;/D&gt;&lt;D xsi:type="xsd:double"&gt;53.58&lt;/D&gt;&lt;D xsi:type="xsd:double"&gt;53.58&lt;/D&gt;&lt;D xsi:type="xsd:double"&gt;54.15&lt;/D&gt;&lt;D xsi:type="xsd:double"&gt;54.34&lt;/D&gt;&lt;D xsi:type="xsd:double"&gt;54.64&lt;/D&gt;&lt;D xsi:type="xsd:double"&gt;54.47&lt;/D&gt;&lt;D xsi:type="xsd:double"&gt;53.52&lt;/D&gt;&lt;D xsi:type="xsd:double"&gt;53.86&lt;/D&gt;&lt;D xsi:type="xsd:double"&gt;53.67&lt;/D&gt;&lt;D xsi:type="xsd:double"&gt;53.71&lt;/D&gt;&lt;D xsi:type="xsd:double"&gt;53.04&lt;/D&gt;&lt;D xsi:type="xsd:double"&gt;52.96&lt;/D&gt;&lt;D xsi:type="xsd:double"&gt;52.23&lt;/D&gt;&lt;D xsi:type="xsd:double"&gt;52.45&lt;/D&gt;&lt;D xsi:type="xsd:double"&gt;51.82&lt;/D&gt;&lt;D xsi:type="xsd:double"&gt;51.95&lt;/D&gt;&lt;D xsi:type="xsd:double"&gt;51.95&lt;/D&gt;&lt;D xsi:type="xsd:double"&gt;51.29&lt;/D&gt;&lt;D xsi:type="xsd:double"&gt;51.45&lt;/D&gt;&lt;D xsi:type="xsd:double"&gt;51.2&lt;/D&gt;&lt;D xsi:type="xsd:double"&gt;51.05&lt;/D&gt;&lt;D xsi:type="xsd:double"&gt;49.7&lt;/D&gt;&lt;D xsi:type="xsd:double"&gt;49.71&lt;/D&gt;&lt;D xsi:type="xsd:double"&gt;47.12&lt;/D&gt;&lt;D xsi:type="xsd:double"&gt;47.04&lt;/D&gt;&lt;D xsi:type="xsd:double"&gt;48.36&lt;/D&gt;&lt;D xsi:type="xsd:double"&gt;51.41&lt;/D&gt;&lt;D xsi:type="xsd:double"&gt;51.49&lt;/D&gt;&lt;D xsi:type="xsd:double"&gt;51.76&lt;/D&gt;&lt;D xsi:type="xsd:double"&gt;51.79&lt;/D&gt;&lt;D xsi:type="xsd:double"&gt;52.48&lt;/D&gt;&lt;D xsi:type="xsd:double"&gt;52.59&lt;/D&gt;&lt;/FQL&gt;&lt;FQL&gt;&lt;Q&gt;EWJ^FG_PRICE(0,-200D)&lt;/Q&gt;&lt;R&gt;201&lt;/R&gt;&lt;C&gt;1&lt;/C&gt;&lt;D xsi:type="xsd:double"&gt;80.74&lt;/D&gt;&lt;D xsi:type="xsd:double"&gt;80.74&lt;/D&gt;&lt;D xsi:type="xsd:double"&gt;80.98&lt;/D&gt;&lt;D xsi:type="xsd:double"&gt;81.09&lt;/D&gt;&lt;D xsi:type="xsd:double"&gt;80.97&lt;/D&gt;&lt;D xsi:type="xsd:double"&gt;81&lt;/D&gt;&lt;D xsi:type="xsd:double"&gt;81&lt;/D&gt;&lt;D xsi:type="xsd:double"&gt;81.14&lt;/D&gt;&lt;D xsi:type="xsd:double"&gt;80.46&lt;/D&gt;&lt;D xsi:type="xsd:double"&gt;80.58&lt;/D&gt;&lt;D xsi:type="xsd:double"&gt;79.97&lt;/D&gt;&lt;D xsi:type="xsd:double"&gt;79.74&lt;/D&gt;&lt;D xsi:type="xsd:double"&gt;80.85&lt;/D&gt;&lt;D xsi:type="xsd:double"&gt;84.87&lt;/D&gt;&lt;D xsi:type="xsd:double"&gt;84&lt;/D&gt;&lt;D xsi:type="xsd:double"&gt;84.22&lt;/D&gt;&lt;D xsi:type="xsd:double"&gt;83.91&lt;/D&gt;&lt;D xsi:type="xsd:double"&gt;83.31&lt;/D&gt;&lt;D xsi:type="xsd:double"&gt;83.19&lt;/D&gt;&lt;D xsi:type="xsd:double"&gt;83.7&lt;/D&gt;&lt;D xsi:type="xsd:double"&gt;83.62&lt;/D&gt;&lt;D xsi:type="xsd:double"&gt;82.61&lt;/D&gt;&lt;D xsi:type="xsd:double"&gt;82.47&lt;/D&gt;&lt;D xsi:type="xsd:double"&gt;82.53&lt;/D&gt;&lt;D xsi:type="xsd:double"&gt;83.01&lt;/D&gt;&lt;D xsi:type="xsd:double"&gt;83.26&lt;/D&gt;&lt;D xsi:type="xsd:double"&gt;83.26&lt;/D&gt;&lt;D xsi:type="xsd:double"&gt;81.92&lt;/D&gt;&lt;D xsi:type="xsd:double"&gt;81.74&lt;/D&gt;&lt;D xsi:type="xsd:double"&gt;81.19&lt;/D&gt;&lt;D xsi:type="xsd:double"&gt;79.49&lt;/D&gt;&lt;D xsi:type="xsd:double"&gt;80.68&lt;/D&gt;&lt;D xsi:type="xsd:double"&gt;80.78&lt;/D&gt;&lt;D xsi:type="xsd:double"&gt;82.47&lt;/D&gt;&lt;D xsi:type="xsd:double"&gt;83.98&lt;/D&gt;&lt;D xsi:type="xsd:double"&gt;83.01&lt;/D&gt;&lt;D xsi:type="xsd:double"&gt;84.34&lt;/D&gt;&lt;D xsi:type="xsd:double"&gt;83.75&lt;/D&gt;&lt;D xsi:type="xsd:double"&gt;83.68&lt;/D&gt;&lt;D xsi:type="xsd:double"&gt;83.29&lt;/D&gt;&lt;D xsi:type="xsd:double"&gt;82.96&lt;/D&gt;&lt;D xsi:type="xsd:double"&gt;82.8&lt;/D&gt;&lt;D xsi:type="xsd:double"&gt;82.83&lt;/D&gt;&lt;D xsi:type="xsd:double"&gt;83.64&lt;/D&gt;&lt;D xsi:type="xsd:double"&gt;83.45&lt;/D&gt;&lt;D xsi:type="xsd:double"&gt;83.21&lt;/D&gt;&lt;D xsi:type="xsd:double"&gt;83.23&lt;/D&gt;&lt;D xsi:type="xsd:double"&gt;83.93&lt;/D&gt;&lt;D xsi:type="xsd:double"&gt;83.53&lt;/D&gt;&lt;D xsi:type="xsd:double"&gt;82.5&lt;/D&gt;&lt;D xsi:type="xsd:double"&gt;82.22&lt;/D&gt;&lt;D xsi:type="xsd:double"&gt;82.18&lt;/D&gt;&lt;D xsi:type="xsd:double"&gt;82.57&lt;/D&gt;&lt;D xsi:type="xsd:double"&gt;83.54&lt;/D&gt;&lt;D xsi:type="xsd:double"&gt;82&lt;/D&gt;&lt;D xsi:type="xsd:double"&gt;81.55&lt;/D&gt;&lt;D xsi:type="xsd:double"&gt;81.29&lt;/D&gt;&lt;D xsi:type="xsd:double"&gt;80.04&lt;/D&gt;&lt;D xsi:type="xsd:double"&gt;79.29&lt;/D&gt;&lt;D xsi:type="xsd:double"&gt;78.36&lt;/D&gt;&lt;D xsi:type="xsd:double"&gt;81.55&lt;/D&gt;&lt;D xsi:type="xsd:double"&gt;81.75&lt;/D&gt;&lt;D xsi:type="xsd:double"&gt;81.96&lt;/D&gt;&lt;D xsi:type="xsd:double"&gt;83.27&lt;/D&gt;&lt;D xsi:type="xsd:double"&gt;81.78&lt;/D&gt;&lt;D xsi:type="xsd:double"&gt;80.15&lt;/D&gt;&lt;D xsi:type="xsd:double"&gt;80.21&lt;/D&gt;&lt;D xsi:type="xsd:double"&gt;80.21&lt;/D&gt;&lt;D xsi:type="xsd:double"&gt;80.51&lt;/D&gt;&lt;D xsi:type="xsd:double"&gt;80.44&lt;/D&gt;&lt;D xsi:type="xsd:double"&gt;80.46&lt;/D&gt;&lt;D xsi:type="xsd:double"&gt;80.85&lt;/D&gt;&lt;D xsi:type="xsd:double"&gt;81.09&lt;/D&gt;&lt;D xsi:type="xsd:double"&gt;81.25&lt;/D&gt;&lt;D xsi:type="xsd:double"&gt;80.79&lt;/D&gt;&lt;D xsi:type="xsd:double"&gt;81.49&lt;/D&gt;&lt;D xsi:type="xsd:double"&gt;81.17&lt;/D&gt;&lt;D xsi:type="xsd:double"&gt;81.35&lt;/D&gt;&lt;D xsi:type="xsd:double"&gt;81.35&lt;/D&gt;&lt;D xsi:type="xsd:double"&gt;80.76&lt;/D&gt;&lt;D xsi:type="xsd:double"&gt;81.32&lt;/D&gt;&lt;D xsi:type="xsd:double"&gt;80.36&lt;/D&gt;&lt;D xsi:type="xsd:double"&gt;80.06&lt;/D&gt;&lt;D xsi:type="xsd:double"&gt;80.96&lt;/D&gt;&lt;D xsi:type="xsd:double"&gt;79.18&lt;/D&gt;&lt;D xsi:type="xsd:double"&gt;78.73&lt;/D&gt;&lt;D xsi:type="xsd:double"&gt;77.93&lt;/D&gt;&lt;D xsi:type="xsd:double"&gt;78.15&lt;/D&gt;&lt;D xsi:type="xsd:double"&gt;78.28&lt;/D&gt;&lt;D xsi:type="xsd:double"&gt;78.28&lt;/D&gt;&lt;D xsi:type="xsd:double"&gt;79.29&lt;/D&gt;&lt;D xsi:type="xsd:double"&gt;78.63&lt;/D&gt;&lt;D xsi:type="xsd:double"&gt;78.92&lt;/D&gt;&lt;D xsi:type="xsd:double"&gt;79.05&lt;/D&gt;&lt;D xsi:type="xsd:double"&gt;80.02&lt;/D&gt;&lt;D xsi:type="xsd:double"&gt;78.7&lt;/D&gt;&lt;D xsi:type="xsd:double"&gt;79.64&lt;/D&gt;&lt;D xsi:type="xsd:double"&gt;80.02&lt;/D&gt;&lt;D xsi:type="xsd:double"&gt;80.3&lt;/D&gt;&lt;D xsi:type="xsd:double"&gt;80.15&lt;/D&gt;&lt;D xsi:type="xsd:double"&gt;78.8&lt;/D&gt;&lt;D xsi:type="xsd:double"&gt;79.27&lt;/D&gt;&lt;D xsi:type="xsd:double"&gt;79.23&lt;/D&gt;&lt;D xsi:type="xsd:double"&gt;77.79&lt;/D&gt;&lt;D xsi:type="xsd:double"&gt;77.93&lt;/D&gt;&lt;D xsi:type="xsd:double"&gt;76.62&lt;/D&gt;&lt;D xsi:type="xsd:double"&gt;76.03&lt;/D&gt;&lt;D xsi:type="xsd:double"&gt;75.03&lt;/D&gt;&lt;D xsi:type="xsd:double"&gt;75.29&lt;/D&gt;&lt;D xsi:type="xsd:double"&gt;74.07&lt;/D&gt;&lt;D xsi:type="xsd:double"&gt;73.62&lt;/D&gt;&lt;D xsi:type="xsd:double"&gt;73.98&lt;/D&gt;&lt;D xsi:type="xsd:double"&gt;73.88&lt;/D&gt;&lt;D xsi:type="xsd:double"&gt;74.27&lt;/D&gt;&lt;D xsi:type="xsd:double"&gt;75.68&lt;/D&gt;&lt;D xsi:type="xsd:double"&gt;76.55&lt;/D&gt;&lt;D xsi:type="xsd:double"&gt;76.49&lt;/D&gt;&lt;D xsi:type="xsd:double"&gt;72.98&lt;/D&gt;&lt;D xsi:type="xsd:double"&gt;72.61&lt;/D&gt;&lt;D xsi:type="xsd:double"&gt;71.81&lt;/D&gt;&lt;D xsi:type="xsd:double"&gt;72.39&lt;/D&gt;&lt;D xsi:type="xsd:double"&gt;72.02&lt;/D&gt;&lt;D xsi:type="xsd:double"&gt;71.69&lt;/D&gt;&lt;D xsi:type="xsd:double"&gt;72.41&lt;/D&gt;&lt;D xsi:type="xsd:double"&gt;72.36&lt;/D&gt;&lt;D xsi:type="xsd:double"&gt;72.94&lt;/D&gt;&lt;D xsi:type="xsd:double"&gt;73.3&lt;/D&gt;&lt;D xsi:type="xsd:double"&gt;73.19&lt;/D&gt;&lt;D xsi:type="xsd:double"&gt;72.82&lt;/D&gt;&lt;D xsi:type="xsd:double"&gt;74.6&lt;/D&gt;&lt;D xsi:type="xsd:double"&gt;74.6&lt;/D&gt;&lt;D xsi:type="xsd:double"&gt;74.46&lt;/D&gt;&lt;D xsi:type="xsd:double"&gt;74.42&lt;/D&gt;&lt;D xsi:type="xsd:double"&gt;74.97&lt;/D&gt;&lt;D xsi:type="xsd:double"&gt;75.28&lt;/D&gt;&lt;D xsi:type="xsd:double"&gt;73.97&lt;/D&gt;&lt;D xsi:type="xsd:double"&gt;72.44&lt;/D&gt;&lt;D xsi:type="xsd:double"&gt;72.74&lt;/D&gt;&lt;D xsi:type="xsd:double"&gt;72.02&lt;/D&gt;&lt;D xsi:type="xsd:double"&gt;71.76&lt;/D&gt;&lt;D xsi:type="xsd:double"&gt;73.05&lt;/D&gt;&lt;D xsi:type="xsd:double"&gt;73.05&lt;/D&gt;&lt;D xsi:type="xsd:double"&gt;72.28&lt;/D&gt;&lt;D xsi:type="xsd:double"&gt;73.15&lt;/D&gt;&lt;D xsi:type="xsd:double"&gt;73.6&lt;/D&gt;&lt;D xsi:type="xsd:double"&gt;74.21&lt;/D&gt;&lt;D xsi:type="xsd:double"&gt;73.67&lt;/D&gt;&lt;D xsi:type="xsd:double"&gt;73.88&lt;/D&gt;&lt;D xsi:type="xsd:double"&gt;73.93&lt;/D&gt;&lt;D xsi:type="xsd:double"&gt;73.82&lt;/D&gt;&lt;D xsi:type="xsd:double"&gt;73.39&lt;/D&gt;&lt;D xsi:type="xsd:double"&gt;74.08&lt;/D&gt;&lt;D xsi:type="xsd:double"&gt;74.13&lt;/D&gt;&lt;D xsi:type="xsd:double"&gt;75.04&lt;/D&gt;&lt;D xsi:type="xsd:double"&gt;74.12&lt;/D&gt;&lt;D xsi:type="xsd:double"&gt;74.03&lt;/D&gt;&lt;D xsi:type="xsd:double"&gt;73.61&lt;/D&gt;&lt;D xsi:type="xsd:double"&gt;74.95&lt;/D&gt;&lt;D xsi:type="xsd:double"&gt;73.03&lt;/D&gt;&lt;D xsi:type="xsd:double"&gt;73.03&lt;/D&gt;&lt;D xsi:type="xsd:double"&gt;72.37&lt;/D&gt;&lt;D xsi:type="xsd:double"&gt;72.31&lt;/D&gt;&lt;D xsi:type="xsd:double"&gt;72.99&lt;/D&gt;&lt;D xsi:type="xsd:double"&gt;72.57&lt;/D&gt;&lt;D xsi:type="xsd:double"&gt;72.49&lt;/D&gt;&lt;D xsi:type="xsd:double"&gt;72.3&lt;/D&gt;&lt;D xsi:type="xsd:double"&gt;71.45&lt;/D&gt;&lt;D xsi:type="xsd:double"&gt;72.25&lt;/D&gt;&lt;D xsi:type="xsd:double"&gt;72.8&lt;/D&gt;&lt;D xsi:type="xsd:double"&gt;72.01&lt;/D&gt;&lt;D xsi:type="xsd:double"&gt;71.83&lt;/D&gt;&lt;D xsi:type="xsd:double"&gt;71.98&lt;/D&gt;&lt;D xsi:type="xsd:double"&gt;72.43&lt;/D&gt;&lt;D xsi:type="xsd:double"&gt;72.39&lt;/D&gt;&lt;D xsi:type="xsd:double"&gt;71.89&lt;/D&gt;&lt;D xsi:type="xsd:double"&gt;71.17&lt;/D&gt;&lt;D xsi:type="xsd:double"&gt;71.43&lt;/D&gt;&lt;D xsi:type="xsd:double"&gt;72.02&lt;/D&gt;&lt;D xsi:type="xsd:double"&gt;71.74&lt;/D&gt;&lt;D xsi:type="xsd:double"&gt;70.77&lt;/D&gt;&lt;D xsi:type="xsd:double"&gt;70.28&lt;/D&gt;&lt;D xsi:type="xsd:double"&gt;69.48&lt;/D&gt;&lt;D xsi:type="xsd:double"&gt;69.27&lt;/D&gt;&lt;D xsi:type="xsd:double"&gt;67.92&lt;/D&gt;&lt;D xsi:type="xsd:double"&gt;68.07&lt;/D&gt;&lt;D xsi:type="xsd:double"&gt;68.07&lt;/D&gt;&lt;D xsi:type="xsd:double"&gt;66.78&lt;/D&gt;&lt;D xsi:type="xsd:double"&gt;67.44&lt;/D&gt;&lt;D xsi:type="xsd:double"&gt;66.9&lt;/D&gt;&lt;D xsi:type="xsd:double"&gt;65.82&lt;/D&gt;&lt;D xsi:type="xsd:double"&gt;64.22&lt;/D&gt;&lt;D xsi:type="xsd:double"&gt;66.34&lt;/D&gt;&lt;D xsi:type="xsd:double"&gt;61.65&lt;/D&gt;&lt;D xsi:type="xsd:double"&gt;61.32&lt;/D&gt;&lt;D xsi:type="xsd:double"&gt;61.51&lt;/D&gt;&lt;D xsi:type="xsd:double"&gt;65.41&lt;/D&gt;&lt;D xsi:type="xsd:double"&gt;68.22&lt;/D&gt;&lt;D xsi:type="xsd:double"&gt;68.2&lt;/D&gt;&lt;D xsi:type="xsd:double"&gt;68.56&lt;/D&gt;&lt;D xsi:type="xsd:double"&gt;69.22&lt;/D&gt;&lt;D xsi:type="xsd:double"&gt;70.65&lt;/D&gt;&lt;/FQL&gt;&lt;FQL&gt;&lt;Q&gt;EWG^FG_PRICE(0,-200D)&lt;/Q&gt;&lt;R&gt;201&lt;/R&gt;&lt;C&gt;1&lt;/C&gt;&lt;D xsi:type="xsd:double"&gt;42.5&lt;/D&gt;&lt;D xsi:type="xsd:double"&gt;42.5&lt;/D&gt;&lt;D xsi:type="xsd:double"&gt;42.75&lt;/D&gt;&lt;D xsi:type="xsd:double"&gt;42.51&lt;/D&gt;&lt;D xsi:type="xsd:double"&gt;42.65&lt;/D&gt;&lt;D xsi:type="xsd:double"&gt;42.57&lt;/D&gt;&lt;D xsi:type="xsd:double"&gt;42.57&lt;/D&gt;&lt;D xsi:type="xsd:double"&gt;42.44&lt;/D&gt;&lt;D xsi:type="xsd:double"&gt;42.34&lt;/D&gt;&lt;D xsi:type="xsd:double"&gt;42.1&lt;/D&gt;&lt;D xsi:type="xsd:double"&gt;41.94&lt;/D&gt;&lt;D xsi:type="xsd:double"&gt;41.61&lt;/D&gt;&lt;D xsi:type="xsd:double"&gt;42.03&lt;/D&gt;&lt;D xsi:type="xsd:double"&gt;42.1&lt;/D&gt;&lt;D xsi:type="xsd:double"&gt;42.18&lt;/D&gt;&lt;D xsi:type="xsd:double"&gt;42.39&lt;/D&gt;&lt;D xsi:type="xsd:double"&gt;41.94&lt;/D&gt;&lt;D xsi:type="xsd:double"&gt;41.53&lt;/D&gt;&lt;D xsi:type="xsd:double"&gt;41.34&lt;/D&gt;&lt;D xsi:type="xsd:double"&gt;41.41&lt;/D&gt;&lt;D xsi:type="xsd:double"&gt;41.14&lt;/D&gt;&lt;D xsi:type="xsd:double"&gt;40.95&lt;/D&gt;&lt;D xsi:type="xsd:double"&gt;40.89&lt;/D&gt;&lt;D xsi:type="xsd:double"&gt;40.52&lt;/D&gt;&lt;D xsi:type="xsd:double"&gt;40.92&lt;/D&gt;&lt;D xsi:type="xsd:double"&gt;40.6&lt;/D&gt;&lt;D xsi:type="xsd:double"&gt;40.6&lt;/D&gt;&lt;D xsi:type="xsd:double"&gt;40.19&lt;/D&gt;&lt;D xsi:type="xsd:double"&gt;39.47&lt;/D&gt;&lt;D xsi:type="xsd:double"&gt;39.4&lt;/D&gt;&lt;D xsi:type="xsd:double"&gt;38.89&lt;/D&gt;&lt;D xsi:type="xsd:double"&gt;39.51&lt;/D&gt;&lt;D xsi:type="xsd:double"&gt;39.53&lt;/D&gt;&lt;D xsi:type="xsd:double"&gt;40.01&lt;/D&gt;&lt;D xsi:type="xsd:double"&gt;40.86&lt;/D&gt;&lt;D xsi:type="xsd:double"&gt;41.25&lt;/D&gt;&lt;D xsi:type="xsd:double"&gt;41.68&lt;/D&gt;&lt;D xsi:type="xsd:double"&gt;41.23&lt;/D&gt;&lt;D xsi:type="xsd:double"&gt;40.96&lt;/D&gt;&lt;D xsi:type="xsd:double"&gt;40.48&lt;/D&gt;&lt;D xsi:type="xsd:double"&gt;40.39&lt;/D&gt;&lt;D xsi:type="xsd:double"&gt;40.73&lt;/D&gt;&lt;D xsi:type="xsd:double"&gt;40.34&lt;/D&gt;&lt;D xsi:type="xsd:double"&gt;40.91&lt;/D&gt;&lt;D xsi:type="xsd:double"&gt;40.73&lt;/D&gt;&lt;D xsi:type="xsd:double"&gt;41&lt;/D&gt;&lt;D xsi:type="xsd:double"&gt;41.27&lt;/D&gt;&lt;D xsi:type="xsd:double"&gt;41.72&lt;/D&gt;&lt;D xsi:type="xsd:double"&gt;41.78&lt;/D&gt;&lt;D xsi:type="xsd:double"&gt;41.59&lt;/D&gt;&lt;D xsi:type="xsd:double"&gt;41.55&lt;/D&gt;&lt;D xsi:type="xsd:double"&gt;41.44&lt;/D&gt;&lt;D xsi:type="xsd:double"&gt;41.69&lt;/D&gt;&lt;D xsi:type="xsd:double"&gt;41.88&lt;/D&gt;&lt;D xsi:type="xsd:double"&gt;41.38&lt;/D&gt;&lt;D xsi:type="xsd:double"&gt;41.59&lt;/D&gt;&lt;D xsi:type="xsd:double"&gt;41.53&lt;/D&gt;&lt;D xsi:type="xsd:double"&gt;41.67&lt;/D&gt;&lt;D xsi:type="xsd:double"&gt;41.78&lt;/D&gt;&lt;D xsi:type="xsd:double"&gt;41.52&lt;/D&gt;&lt;D xsi:type="xsd:double"&gt;42.09&lt;/D&gt;&lt;D xsi:type="xsd:double"&gt;42.34&lt;/D&gt;&lt;D xsi:type="xsd:double"&gt;42.07&lt;/D&gt;&lt;D xsi:type="xsd:double"&gt;42.42&lt;/D&gt;&lt;D xsi:type="xsd:double"&gt;42.43&lt;/D&gt;&lt;D xsi:type="xsd:double"&gt;42.47&lt;/D&gt;&lt;D xsi:type="xsd:double"&gt;42.13&lt;/D&gt;&lt;D xsi:type="xsd:double"&gt;41.61&lt;/D&gt;&lt;D xsi:type="xsd:double"&gt;41.31&lt;/D&gt;&lt;D xsi:type="xsd:double"&gt;41.2&lt;/D&gt;&lt;D xsi:type="xsd:double"&gt;40.75&lt;/D&gt;&lt;D xsi:type="xsd:double"&gt;41.24&lt;/D&gt;&lt;D xsi:type="xsd:double"&gt;41.27&lt;/D&gt;&lt;D xsi:type="xsd:double"&gt;41.24&lt;/D&gt;&lt;D xsi:type="xsd:double"&gt;41.22&lt;/D&gt;&lt;D xsi:type="xsd:double"&gt;41.45&lt;/D&gt;&lt;D xsi:type="xsd:double"&gt;41.06&lt;/D&gt;&lt;D xsi:type="xsd:double"&gt;41.15&lt;/D&gt;&lt;D xsi:type="xsd:double"&gt;41.42&lt;/D&gt;&lt;D xsi:type="xsd:double"&gt;41.31&lt;/D&gt;&lt;D xsi:type="xsd:double"&gt;41.39&lt;/D&gt;&lt;D xsi:type="xsd:double"&gt;41.07&lt;/D&gt;&lt;D xsi:type="xsd:double"&gt;41.48&lt;/D&gt;&lt;D xsi:type="xsd:double"&gt;41.69&lt;/D&gt;&lt;D xsi:type="xsd:double"&gt;41.34&lt;/D&gt;&lt;D xsi:type="xsd:double"&gt;41.34&lt;/D&gt;&lt;D xsi:type="xsd:double"&gt;41.05&lt;/D&gt;&lt;D xsi:type="xsd:double"&gt;41.04&lt;/D&gt;&lt;D xsi:type="xsd:double"&gt;41.88&lt;/D&gt;&lt;D xsi:type="xsd:double"&gt;41.88&lt;/D&gt;&lt;D xsi:type="xsd:dou</t>
        </r>
      </text>
    </comment>
    <comment ref="A3" authorId="0" shapeId="0" xr:uid="{85126841-CB21-4F44-861B-3ECD6449BB54}">
      <text>
        <r>
          <rPr>
            <b/>
            <sz val="9"/>
            <color indexed="81"/>
            <rFont val="Tahoma"/>
            <charset val="1"/>
          </rPr>
          <t>ble"&gt;42.02&lt;/D&gt;&lt;D xsi:type="xsd:double"&gt;41.89&lt;/D&gt;&lt;D xsi:type="xsd:double"&gt;42.13&lt;/D&gt;&lt;D xsi:type="xsd:double"&gt;42.12&lt;/D&gt;&lt;D xsi:type="xsd:double"&gt;42.66&lt;/D&gt;&lt;D xsi:type="xsd:double"&gt;42.08&lt;/D&gt;&lt;D xsi:type="xsd:double"&gt;42.39&lt;/D&gt;&lt;D xsi:type="xsd:double"&gt;42.39&lt;/D&gt;&lt;D xsi:type="xsd:double"&gt;42.45&lt;/D&gt;&lt;D xsi:type="xsd:double"&gt;42.58&lt;/D&gt;&lt;D xsi:type="xsd:double"&gt;42.5&lt;/D&gt;&lt;D xsi:type="xsd:double"&gt;42.38&lt;/D&gt;&lt;D xsi:type="xsd:double"&gt;42.15&lt;/D&gt;&lt;D xsi:type="xsd:double"&gt;41.94&lt;/D&gt;&lt;D xsi:type="xsd:double"&gt;42.34&lt;/D&gt;&lt;D xsi:type="xsd:double"&gt;42.33&lt;/D&gt;&lt;D xsi:type="xsd:double"&gt;41.84&lt;/D&gt;&lt;D xsi:type="xsd:double"&gt;41.49&lt;/D&gt;&lt;D xsi:type="xsd:double"&gt;41.3&lt;/D&gt;&lt;D xsi:type="xsd:double"&gt;40.75&lt;/D&gt;&lt;D xsi:type="xsd:double"&gt;41.15&lt;/D&gt;&lt;D xsi:type="xsd:double"&gt;41.63&lt;/D&gt;&lt;D xsi:type="xsd:double"&gt;41.89&lt;/D&gt;&lt;D xsi:type="xsd:double"&gt;41.67&lt;/D&gt;&lt;D xsi:type="xsd:double"&gt;42.81&lt;/D&gt;&lt;D xsi:type="xsd:double"&gt;42.7&lt;/D&gt;&lt;D xsi:type="xsd:double"&gt;43.21&lt;/D&gt;&lt;D xsi:type="xsd:double"&gt;42.42&lt;/D&gt;&lt;D xsi:type="xsd:double"&gt;42.42&lt;/D&gt;&lt;D xsi:type="xsd:double"&gt;42.13&lt;/D&gt;&lt;D xsi:type="xsd:double"&gt;42.35&lt;/D&gt;&lt;D xsi:type="xsd:double"&gt;42.18&lt;/D&gt;&lt;D xsi:type="xsd:double"&gt;41.82&lt;/D&gt;&lt;D xsi:type="xsd:double"&gt;42.35&lt;/D&gt;&lt;D xsi:type="xsd:double"&gt;42.45&lt;/D&gt;&lt;D xsi:type="xsd:double"&gt;42.86&lt;/D&gt;&lt;D xsi:type="xsd:double"&gt;43.26&lt;/D&gt;&lt;D xsi:type="xsd:double"&gt;42.59&lt;/D&gt;&lt;D xsi:type="xsd:double"&gt;42.23&lt;/D&gt;&lt;D xsi:type="xsd:double"&gt;42.21&lt;/D&gt;&lt;D xsi:type="xsd:double"&gt;42.21&lt;/D&gt;&lt;D xsi:type="xsd:double"&gt;42.17&lt;/D&gt;&lt;D xsi:type="xsd:double"&gt;42.01&lt;/D&gt;&lt;D xsi:type="xsd:double"&gt;42.31&lt;/D&gt;&lt;D xsi:type="xsd:double"&gt;42.3&lt;/D&gt;&lt;D xsi:type="xsd:double"&gt;41.64&lt;/D&gt;&lt;D xsi:type="xsd:double"&gt;41.15&lt;/D&gt;&lt;D xsi:type="xsd:double"&gt;41.39&lt;/D&gt;&lt;D xsi:type="xsd:double"&gt;40.75&lt;/D&gt;&lt;D xsi:type="xsd:double"&gt;40.34&lt;/D&gt;&lt;D xsi:type="xsd:double"&gt;40.28&lt;/D&gt;&lt;D xsi:type="xsd:double"&gt;40.28&lt;/D&gt;&lt;D xsi:type="xsd:double"&gt;40.4&lt;/D&gt;&lt;D xsi:type="xsd:double"&gt;41.13&lt;/D&gt;&lt;D xsi:type="xsd:double"&gt;41.51&lt;/D&gt;&lt;D xsi:type="xsd:double"&gt;42.22&lt;/D&gt;&lt;D xsi:type="xsd:double"&gt;42.11&lt;/D&gt;&lt;D xsi:type="xsd:double"&gt;42.12&lt;/D&gt;&lt;D xsi:type="xsd:double"&gt;42.31&lt;/D&gt;&lt;D xsi:type="xsd:double"&gt;42.52&lt;/D&gt;&lt;D xsi:type="xsd:double"&gt;42.57&lt;/D&gt;&lt;D xsi:type="xsd:double"&gt;42.46&lt;/D&gt;&lt;D xsi:type="xsd:double"&gt;42.12&lt;/D&gt;&lt;D xsi:type="xsd:double"&gt;42.34&lt;/D&gt;&lt;D xsi:type="xsd:double"&gt;41.97&lt;/D&gt;&lt;D xsi:type="xsd:double"&gt;41.85&lt;/D&gt;&lt;D xsi:type="xsd:double"&gt;41.77&lt;/D&gt;&lt;D xsi:type="xsd:double"&gt;42.31&lt;/D&gt;&lt;D xsi:type="xsd:double"&gt;41.26&lt;/D&gt;&lt;D xsi:type="xsd:double"&gt;41.26&lt;/D&gt;&lt;D xsi:type="xsd:double"&gt;41.64&lt;/D&gt;&lt;D xsi:type="xsd:double"&gt;41.68&lt;/D&gt;&lt;D xsi:type="xsd:double"&gt;41.77&lt;/D&gt;&lt;D xsi:type="xsd:double"&gt;41.56&lt;/D&gt;&lt;D xsi:type="xsd:double"&gt;40.85&lt;/D&gt;&lt;D xsi:type="xsd:double"&gt;40.86&lt;/D&gt;&lt;D xsi:type="xsd:double"&gt;40.34&lt;/D&gt;&lt;D xsi:type="xsd:double"&gt;40.59&lt;/D&gt;&lt;D xsi:type="xsd:double"&gt;40.38&lt;/D&gt;&lt;D xsi:type="xsd:double"&gt;40.77&lt;/D&gt;&lt;D xsi:type="xsd:double"&gt;40.46&lt;/D&gt;&lt;D xsi:type="xsd:double"&gt;40.44&lt;/D&gt;&lt;D xsi:type="xsd:double"&gt;40.67&lt;/D&gt;&lt;D xsi:type="xsd:double"&gt;40.72&lt;/D&gt;&lt;D xsi:type="xsd:double"&gt;40.34&lt;/D&gt;&lt;D xsi:type="xsd:double"&gt;39.46&lt;/D&gt;&lt;D xsi:type="xsd:double"&gt;39.49&lt;/D&gt;&lt;D xsi:type="xsd:double"&gt;39.67&lt;/D&gt;&lt;D xsi:type="xsd:double"&gt;39.47&lt;/D&gt;&lt;D xsi:type="xsd:double"&gt;39.36&lt;/D&gt;&lt;D xsi:type="xsd:double"&gt;39.03&lt;/D&gt;&lt;D xsi:type="xsd:double"&gt;38.44&lt;/D&gt;&lt;D xsi:type="xsd:double"&gt;38.03&lt;/D&gt;&lt;D xsi:type="xsd:double"&gt;37.03&lt;/D&gt;&lt;D xsi:type="xsd:double"&gt;37.4&lt;/D&gt;&lt;D xsi:type="xsd:double"&gt;37.4&lt;/D&gt;&lt;D xsi:type="xsd:double"&gt;37.22&lt;/D&gt;&lt;D xsi:type="xsd:double"&gt;37.2&lt;/D&gt;&lt;D xsi:type="xsd:double"&gt;36.82&lt;/D&gt;&lt;D xsi:type="xsd:double"&gt;36.37&lt;/D&gt;&lt;D xsi:type="xsd:double"&gt;35.8&lt;/D&gt;&lt;D xsi:type="xsd:double"&gt;36.22&lt;/D&gt;&lt;D xsi:type="xsd:double"&gt;33.22&lt;/D&gt;&lt;D xsi:type="xsd:double"&gt;33.55&lt;/D&gt;&lt;D xsi:type="xsd:double"&gt;34.32&lt;/D&gt;&lt;D xsi:type="xsd:double"&gt;36.73&lt;/D&gt;&lt;D xsi:type="xsd:double"&gt;37.38&lt;/D&gt;&lt;D xsi:type="xsd:double"&gt;37.29&lt;/D&gt;&lt;D xsi:type="xsd:double"&gt;37.08&lt;/D&gt;&lt;D xsi:type="xsd:double"&gt;37.39&lt;/D&gt;&lt;D xsi:type="xsd:double"&gt;37.59&lt;/D&gt;&lt;/FQL&gt;&lt;FQL&gt;&lt;Q&gt;EWC^FG_PRICE(0,-200D)&lt;/Q&gt;&lt;R&gt;201&lt;/R&gt;&lt;C&gt;1&lt;/C&gt;&lt;D xsi:type="xsd:double"&gt;53.93&lt;/D&gt;&lt;D xsi:type="xsd:double"&gt;53.93&lt;/D&gt;&lt;D xsi:type="xsd:double"&gt;54.3&lt;/D&gt;&lt;D xsi:type="xsd:double"&gt;54.33&lt;/D&gt;&lt;D xsi:type="xsd:double"&gt;54.8&lt;/D&gt;&lt;D xsi:type="xsd:double"&gt;54.6&lt;/D&gt;&lt;D xsi:type="xsd:double"&gt;54.6&lt;/D&gt;&lt;D xsi:type="xsd:double"&gt;54.54&lt;/D&gt;&lt;D xsi:type="xsd:double"&gt;54.17&lt;/D&gt;&lt;D xsi:type="xsd:double"&gt;53.68&lt;/D&gt;&lt;D xsi:type="xsd:double"&gt;53.22&lt;/D&gt;&lt;D xsi:type="xsd:double"&gt;52.81&lt;/D&gt;&lt;D xsi:type="xsd:double"&gt;52.98&lt;/D&gt;&lt;D xsi:type="xsd:double"&gt;53.8&lt;/D&gt;&lt;D xsi:type="xsd:double"&gt;53.89&lt;/D&gt;&lt;D xsi:type="xsd:double"&gt;54.08&lt;/D&gt;&lt;D xsi:type="xsd:double"&gt;53.72&lt;/D&gt;&lt;D xsi:type="xsd:double"&gt;53.07&lt;/D&gt;&lt;D xsi:type="xsd:double"&gt;52.95&lt;/D&gt;&lt;D xsi:type="xsd:double"&gt;53.29&lt;/D&gt;&lt;D xsi:type="xsd:double"&gt;53.07&lt;/D&gt;&lt;D xsi:type="xsd:double"&gt;52.47&lt;/D&gt;&lt;D xsi:type="xsd:double"&gt;52.14&lt;/D&gt;&lt;D xsi:type="xsd:double"&gt;52.18&lt;/D&gt;&lt;D xsi:type="xsd:double"&gt;52.7&lt;/D&gt;&lt;D xsi:type="xsd:double"&gt;52.25&lt;/D&gt;&lt;D xsi:type="xsd:double"&gt;52.25&lt;/D&gt;&lt;D xsi:type="xsd:double"&gt;51.56&lt;/D&gt;&lt;D xsi:type="xsd:double"&gt;51.05&lt;/D&gt;&lt;D xsi:type="xsd:double"&gt;50.43&lt;/D&gt;&lt;D xsi:type="xsd:double"&gt;49.91&lt;/D&gt;&lt;D xsi:type="xsd:double"&gt;50.62&lt;/D&gt;&lt;D xsi:type="xsd:double"&gt;50.53&lt;/D&gt;&lt;D xsi:type="xsd:double"&gt;50.34&lt;/D&gt;&lt;D xsi:type="xsd:double"&gt;50.89&lt;/D&gt;&lt;D xsi:type="xsd:double"&gt;50.64&lt;/D&gt;&lt;D xsi:type="xsd:double"&gt;51.75&lt;/D&gt;&lt;D xsi:type="xsd:double"&gt;51.04&lt;/D&gt;&lt;D xsi:type="xsd:double"&gt;50.89&lt;/D&gt;&lt;D xsi:type="xsd:double"&gt;50.1&lt;/D&gt;&lt;D xsi:type="xsd:double"&gt;49.75&lt;/D&gt;&lt;D xsi:type="xsd:double"&gt;50.26&lt;/D&gt;&lt;D xsi:type="xsd:double"&gt;49.72&lt;/D&gt;&lt;D xsi:type="xsd:double"&gt;50.67&lt;/D&gt;&lt;D xsi:type="xsd:double"&gt;50.74&lt;/D&gt;&lt;D xsi:type="xsd:double"&gt;50.67&lt;/D&gt;&lt;D xsi:type="xsd:double"&gt;50.75&lt;/D&gt;&lt;D xsi:type="xsd:double"&gt;51.41&lt;/D&gt;&lt;D xsi:type="xsd:double"&gt;50.79&lt;/D&gt;&lt;D xsi:type="xsd:double"&gt;50.84&lt;/D&gt;&lt;D xsi:type="xsd:double"&gt;50.58&lt;/D&gt;&lt;D xsi:type="xsd:double"&gt;50.2&lt;/D&gt;&lt;D xsi:type="xsd:double"&gt;49.99&lt;/D&gt;&lt;D xsi:type="xsd:double"&gt;50.72&lt;/D&gt;&lt;D xsi:type="xsd:double"&gt;50.28&lt;/D&gt;&lt;D xsi:type="xsd:double"&gt;50.62&lt;/D&gt;&lt;D xsi:type="xsd:double"&gt;50.96&lt;/D&gt;&lt;D xsi:type="xsd:double"&gt;50.53&lt;/D&gt;&lt;D xsi:type="xsd:double"&gt;50.59&lt;/D&gt;&lt;D xsi:type="xsd:double"&gt;49.86&lt;/D&gt;&lt;D xsi:type="xsd:double"&gt;50.53&lt;/D&gt;&lt;D xsi:type="xsd:double"&gt;51.14&lt;/D&gt;&lt;D xsi:type="xsd:double"&gt;50.94&lt;/D&gt;&lt;D xsi:type="xsd:double"&gt;51.3&lt;/D&gt;&lt;D xsi:type="xsd:double"&gt;51.24&lt;/D&gt;&lt;D xsi:type="xsd:double"&gt;50.59&lt;/D&gt;&lt;D xsi:type="xsd:double"&gt;50.57&lt;/D&gt;&lt;D xsi:type="xsd:double"&gt;50.55&lt;/D&gt;&lt;D xsi:type="xsd:double"&gt;50.46&lt;/D&gt;&lt;D xsi:type="xsd:double"&gt;50.02&lt;/D&gt;&lt;D xsi:type="xsd:double"&gt;50.05&lt;/D&gt;&lt;D xsi:type="xsd:double"&gt;50.24&lt;/D&gt;&lt;D xsi:type="xsd:double"&gt;50.53&lt;/D&gt;&lt;D xsi:type="xsd:double"&gt;50.88&lt;/D&gt;&lt;D xsi:type="xsd:double"&gt;50.73&lt;/D&gt;&lt;D xsi:type="xsd:double"&gt;50.18&lt;/D&gt;&lt;D xsi:type="xsd:double"&gt;49.98&lt;/D&gt;&lt;D xsi:type="xsd:double"&gt;50.08&lt;/D&gt;&lt;D xsi:type="xsd:double"&gt;50.13&lt;/D&gt;&lt;D xsi:type="xsd:double"&gt;49.6&lt;/D&gt;&lt;D xsi:type="xsd:double"&gt;49.92&lt;/D&gt;&lt;D xsi:type="xsd:double"&gt;49.42&lt;/D&gt;&lt;D xsi:type="xsd:double"&gt;49.27&lt;/D&gt;&lt;D xsi:type="xsd:double"&gt;49.3&lt;/D&gt;&lt;D xsi:type="xsd:double"&gt;49.17&lt;/D&gt;&lt;D xsi:type="xsd:double"&gt;49.12&lt;/D&gt;&lt;D xsi:type="xsd:double"&gt;48.87&lt;/D&gt;&lt;D xsi:type="xsd:double"&gt;48.59&lt;/D&gt;&lt;D xsi:type="xsd:double"&gt;48.79&lt;/D&gt;&lt;D xsi:type="xsd:double"&gt;48.79&lt;/D&gt;&lt;D xsi:type="xsd:double"&gt;48.46&lt;/D&gt;&lt;D xsi:type="xsd:double"&gt;48.37&lt;/D&gt;&lt;D xsi:type="xsd:double"&gt;48.02&lt;/D&gt;&lt;D xsi:type="xsd:double"&gt;47.55&lt;/D&gt;&lt;D xsi:type="xsd:double"&gt;48.03&lt;/D&gt;&lt;D xsi:type="xsd:double"&gt;47.28&lt;/D&gt;&lt;D xsi:type="xsd:double"&gt;47.11&lt;/D&gt;&lt;D xsi:type="xsd:double"&gt;47&lt;/D&gt;&lt;D xsi:type="xsd:double"&gt;47.35&lt;/D&gt;&lt;D xsi:type="xsd:double"&gt;47.27&lt;/D&gt;&lt;D xsi:type="xsd:double"&gt;47.33&lt;/D&gt;&lt;D xsi:type="xsd:double"&gt;47.64&lt;/D&gt;&lt;D xsi:type="xsd:double"&gt;47.51&lt;/D&gt;&lt;D xsi:type="xsd:double"&gt;47.28&lt;/D&gt;&lt;D xsi:type="xsd:double"&gt;47.34&lt;/D&gt;&lt;D xsi:type="xsd:double"&gt;47.34&lt;/D&gt;&lt;D xsi:type="xsd:double"&gt;47.73&lt;/D&gt;&lt;D xsi:type="xsd:double"&gt;46.93&lt;/D&gt;&lt;D xsi:type="xsd:double"&gt;46.58&lt;/D&gt;&lt;D xsi:type="xsd:double"&gt;45.86&lt;/D&gt;&lt;D xsi:type="xsd:double"&gt;46.18&lt;/D&gt;&lt;D xsi:type="xsd:double"&gt;46.38&lt;/D&gt;&lt;D xsi:type="xsd:double"&gt;46.79&lt;/D&gt;&lt;D xsi:type="xsd:double"&gt;46.72&lt;/D&gt;&lt;D xsi:type="xsd:double"&gt;47.01&lt;/D&gt;&lt;D xsi:type="xsd:double"&gt;46.97&lt;/D&gt;&lt;D xsi:type="xsd:double"&gt;47.17&lt;/D&gt;&lt;D xsi:type="xsd:double"&gt;47.09&lt;/D&gt;&lt;D xsi:type="xsd:double"&gt;46.71&lt;/D&gt;&lt;D xsi:type="xsd:double"&gt;46.59&lt;/D&gt;&lt;D xsi:type="xsd:double"&gt;46.71&lt;/D&gt;&lt;D xsi:type="xsd:double"&gt;46.47&lt;/D&gt;&lt;D xsi:type="xsd:double"&gt;46.04&lt;/D&gt;&lt;D xsi:type="xsd:double"&gt;46.44&lt;/D&gt;&lt;D xsi:type="xsd:double"&gt;46.13&lt;/D&gt;&lt;D xsi:type="xsd:double"&gt;46.41&lt;/D&gt;&lt;D xsi:type="xsd:double"&gt;46.13&lt;/D&gt;&lt;D xsi:type="xsd:double"&gt;46&lt;/D&gt;&lt;D xsi:type="xsd:double"&gt;46.18&lt;/D&gt;&lt;D xsi:type="xsd:double"&gt;46.67&lt;/D&gt;&lt;D xsi:type="xsd:double"&gt;46.67&lt;/D&gt;&lt;D xsi:type="xsd:double"&gt;46.33&lt;/D&gt;&lt;D xsi:type="xsd:double"&gt;46.19&lt;/D&gt;&lt;D xsi:type="xsd:double"&gt;46.2&lt;/D&gt;&lt;D xsi:type="xsd:double"&gt;45.58&lt;/D&gt;&lt;D xsi:type="xsd:double"&gt;45.92&lt;/D&gt;&lt;D xsi:type="xsd:double"&gt;45.32&lt;/D&gt;&lt;D xsi:type="xsd:double"&gt;45.62&lt;/D&gt;&lt;D xsi:type="xsd:double"&gt;45.33&lt;/D&gt;&lt;D xsi:type="xsd:double"&gt;45.1&lt;/D&gt;&lt;D xsi:type="xsd:double"&gt;45.32&lt;/D&gt;&lt;D xsi:type="xsd:double"&gt;45.32&lt;/D&gt;&lt;D xsi:type="xsd:double"&gt;45.45&lt;/D&gt;&lt;D xsi:type="xsd:double"&gt;45.76&lt;/D&gt;&lt;D xsi:type="xsd:double"&gt;45.88&lt;/D&gt;&lt;D xsi:type="xsd:double"&gt;46&lt;/D&gt;&lt;D xsi:type="xsd:double"&gt;45.66&lt;/D&gt;&lt;D xsi:type="xsd:double"&gt;45.43&lt;/D&gt;&lt;D xsi:type="xsd:double"&gt;45.3&lt;/D&gt;&lt;D xsi:type="xsd:double"&gt;45.39&lt;/D&gt;&lt;D xsi:type="xsd:double"&gt;45.32&lt;/D&gt;&lt;D xsi:type="xsd:double"&gt;45.25&lt;/D&gt;&lt;D xsi:type="xsd:double"&gt;45.34&lt;/D&gt;&lt;D xsi:type="xsd:double"&gt;45.39&lt;/D&gt;&lt;D xsi:type="xsd:double"&gt;44.96&lt;/D&gt;&lt;D xsi:type="xsd:double"&gt;44.78&lt;/D&gt;&lt;D xsi:type="xsd:double"&gt;44.76&lt;/D&gt;&lt;D xsi:type="xsd:double"&gt;44.82&lt;/D&gt;&lt;D xsi:type="xsd:double"&gt;44.44&lt;/D&gt;&lt;D xsi:type="xsd:double"&gt;44.44&lt;/D&gt;&lt;D xsi:type="xsd:double"&gt;44&lt;/D&gt;&lt;D xsi:type="xsd:double"&gt;43.94&lt;/D&gt;&lt;D xsi:type="xsd:double"&gt;44.19&lt;/D&gt;&lt;D xsi:type="xsd:double"&gt;44.05&lt;/D&gt;&lt;D xsi:type="xsd:double"&gt;43.89&lt;/D&gt;&lt;D xsi:type="xsd:double"&gt;43.83&lt;/D&gt;&lt;D xsi:type="xsd:double"&gt;43.44&lt;/D&gt;&lt;D xsi:type="xsd:double"&gt;43.4&lt;/D&gt;&lt;D xsi:type="xsd:double"&gt;43.08&lt;/D&gt;&lt;D xsi:type="xsd:double"&gt;42.85&lt;/D&gt;&lt;D xsi:type="xsd:double"&gt;42.81&lt;/D&gt;&lt;D xsi:type="xsd:double"&gt;42.89&lt;/D&gt;&lt;D xsi:type="xsd:double"&gt;42.77&lt;/D&gt;&lt;D xsi:type="xsd:double"&gt;42.66&lt;/D&gt;&lt;D xsi:type="xsd:double"&gt;42.84&lt;/D&gt;&lt;D xsi:type="xsd:double"&gt;42.31&lt;/D&gt;&lt;D xsi:type="xsd:double"&gt;42.45&lt;/D&gt;&lt;D xsi:type="xsd:double"&gt;42.45&lt;/D&gt;&lt;D xsi:type="xsd:double"&gt;42.37&lt;/D&gt;&lt;D xsi:type="xsd:double"&gt;42.04&lt;/D&gt;&lt;D xsi:type="xsd:double"&gt;42.06&lt;/D&gt;&lt;D xsi:type="xsd:double"&gt;41.52&lt;/D&gt;&lt;D xsi:type="xsd:double"&gt;41.39&lt;/D&gt;&lt;D xsi:type="xsd:double"&gt;40.77&lt;/D&gt;&lt;D xsi:type="xsd:double"&gt;41.1&lt;/D&gt;&lt;D xsi:type="xsd:double"&gt;41.1&lt;/D&gt;&lt;D xsi:type="xsd:double"&gt;40.83&lt;/D&gt;&lt;D xsi:type="xsd:double"&gt;40.53&lt;/D&gt;&lt;D xsi:type="xsd:double"&gt;40.44&lt;/D&gt;&lt;D xsi:type="xsd:double"&gt;39.87&lt;/D&gt;&lt;D xsi:type="xsd:double"&gt;38.74&lt;/D&gt;&lt;D xsi:type="xsd:double"&gt;39.54&lt;/D&gt;&lt;D xsi:type="xsd:double"&gt;37.17&lt;/D&gt;&lt;D xsi:type="xsd:double"&gt;37.79&lt;/D&gt;&lt;D xsi:type="xsd:double"&gt;38.41&lt;/D&gt;&lt;D xsi:type="xsd:double"&gt;40.62&lt;/D&gt;&lt;D xsi:type="xsd:double"&gt;41.59&lt;/D&gt;&lt;D xsi:type="xsd:double"&gt;41.13&lt;/D&gt;&lt;D xsi:type="xsd:double"&gt;40.75&lt;/D&gt;&lt;D xsi:type="xsd:double"&gt;40.57&lt;/D&gt;&lt;D xsi:type="xsd:double"&gt;41.25&lt;/D&gt;&lt;/FQL&gt;&lt;FQL&gt;&lt;Q&gt;EWA^FG_PRICE(0,-200D)&lt;/Q&gt;&lt;R&gt;201&lt;/R&gt;&lt;C&gt;1&lt;/C&gt;&lt;D xsi:type="xsd:double"&gt;26.19&lt;/D&gt;&lt;D xsi:type="xsd:double"&gt;26.19&lt;/D&gt;&lt;D xsi:type="xsd:double"&gt;26.41&lt;/D&gt;&lt;D xsi:type="xsd:double"&gt;26.48&lt;/D&gt;&lt;D xsi:type="xsd:double"&gt;26.68&lt;/D&gt;&lt;D xsi:type="xsd:double"&gt;26.6&lt;/D&gt;&lt;D xsi:type="xsd:double"&gt;26.6&lt;/D&gt;&lt;D xsi:type="xsd:double"&gt;26.61&lt;/D&gt;&lt;D xsi:type="xsd:double"&gt;26.15&lt;/D&gt;&lt;D xsi:type="xsd:double"&gt;25.88&lt;/D&gt;&lt;D xsi:type="xsd:double"&gt;25.81&lt;/D&gt;&lt;D xsi:type="xsd:double"&gt;25.58&lt;/D&gt;&lt;D xsi:type="xsd:double"&gt;25.82&lt;/D&gt;&lt;D xsi:type="xsd:double"&gt;26.42&lt;/D&gt;&lt;D xsi:type="xsd:double"&gt;26.52&lt;/D&gt;&lt;D xsi:type="xsd:double"&gt;26.64&lt;/D&gt;&lt;D xsi:type="xsd:double"&gt;26.65&lt;/D&gt;&lt;D xsi:type="xsd:double"&gt;26.35&lt;/D&gt;&lt;D xsi:type="xsd:double"&gt;26.24&lt;/D&gt;&lt;D xsi:type="xsd:double"&gt;26.34&lt;/D&gt;&lt;D xsi:type="xsd:double"&gt;26.29&lt;/D&gt;&lt;D xsi:type="xsd:double"&gt;26.13&lt;/D&gt;&lt;D xsi:type="xsd:double"&gt;25.93&lt;/D&gt;&lt;D xsi:type="xsd:double"&gt;25.73&lt;/D&gt;&lt;D xsi:type="xsd:double"&gt;25.85&lt;/D&gt;&lt;D xsi:type="xsd:double"&gt;25.82&lt;/D&gt;&lt;D xsi:type="xsd:double"&gt;25.82&lt;/D&gt;&lt;D xsi:type="xsd:double"&gt;25.62&lt;/D&gt;&lt;D xsi:type="xsd:double"&gt;25.44&lt;/D&gt;&lt;D xsi:type="xsd:double"&gt;25.33&lt;/D&gt;&lt;D xsi:type="xsd:double"&gt;24.95&lt;/D&gt;&lt;D xsi:type="xsd:double"&gt;25.3&lt;/D&gt;&lt;D xsi:type="xsd:double"&gt;25.4&lt;/D&gt;&lt;D xsi:type="xsd:double"&gt;25.64&lt;/D&gt;&lt;D xsi:type="xsd:double"&gt;25.95&lt;/D&gt;&lt;D xsi:type="xsd:double"&gt;25.94&lt;/D&gt;&lt;D xsi:type="xsd:double"&gt;26.58&lt;/D&gt;&lt;D xsi:type="xsd:double"&gt;26.63&lt;/D&gt;&lt;D xsi:type="xsd:double"&gt;26.81&lt;/D&gt;&lt;D xsi:type="xsd:double"&gt;26.44&lt;/D&gt;&lt;D xsi:type="xsd:double"&gt;26.46&lt;/D&gt;&lt;D xsi:type="xsd:double"&gt;26.67&lt;/D&gt;&lt;D xsi:type="xsd:double"&gt;26.41&lt;/D&gt;&lt;D xsi:type="xsd:double"&gt;26.84&lt;/D&gt;&lt;D xsi:type="xsd:double"&gt;26.77&lt;/D&gt;&lt;D xsi:type="xsd:double"&gt;26.89&lt;/D&gt;&lt;D xsi:type="xsd:double"&gt;27&lt;/D&gt;&lt;D xsi:type="xsd:double"&gt;27.52&lt;/D&gt;&lt;D xsi:type="xsd:double"&gt;27.37&lt;/D&gt;&lt;D xsi:type="xsd:double"&gt;27.18&lt;/D&gt;&lt;D xsi:type="xsd:double"&gt;27.19&lt;/D&gt;&lt;D xsi:type="xsd:double"&gt;27.07&lt;/D&gt;&lt;D xsi:type="xsd:double"&gt;27.11&lt;/D&gt;&lt;D xsi:type="xsd:double"&gt;27.26&lt;/D&gt;&lt;D xsi:type="xsd:double"&gt;26.92&lt;/D&gt;&lt;D xsi:type="xsd:double"&gt;26.97&lt;/D&gt;&lt;D xsi:type="xsd:double"&gt;26.89&lt;/D&gt;&lt;D xsi:type="xsd:double"&gt;26.7&lt;/D&gt;&lt;D xsi:type="xsd:double"&gt;26.66&lt;/D&gt;&lt;D xsi:type="xsd:double"&gt;26.44&lt;/D&gt;&lt;D xsi:type="xsd:double"&gt;26.92&lt;/D&gt;&lt;D xsi:type="xsd:double"&gt;27.23&lt;/D&gt;&lt;D xsi:type="xsd:double"&gt;27.14&lt;/D&gt;&lt;D xsi:type="xsd:double"&gt;27.36&lt;/D&gt;&lt;D xsi:type="xsd:double"&gt;27.43&lt;/D&gt;&lt;D xsi:type="xsd:double"&gt;27.18&lt;/D&gt;&lt;D xsi:type="xsd:double"&gt;27.15&lt;/D&gt;&lt;D xsi:type="xsd:double"&gt;27&lt;/D&gt;&lt;D xsi:type="xsd:double"&gt;26.98&lt;/D&gt;&lt;D xsi:type="xsd:double"&gt;26.67&lt;/D&gt;&lt;D xsi:type="xsd:double"&gt;26.47&lt;/D&gt;&lt;D xsi:type="xsd:double"&gt;26.47&lt;/D&gt;&lt;D xsi:type="xsd:double"&gt;26.87&lt;/D&gt;&lt;D xsi:type="xsd:double"&gt;26.92&lt;/D&gt;&lt;D xsi:type="xsd:double"&gt;26.89&lt;/D&gt;&lt;D xsi:type="xsd:double"&gt;26.89&lt;/D&gt;&lt;D xsi:type="xsd:double"&gt;27.14&lt;/D&gt;&lt;D xsi:type="xsd:double"&gt;27.38&lt;/D&gt;&lt;D xsi:type="xsd:double"&gt;27.57&lt;/D&gt;&lt;D xsi:type="xsd:double"&gt;27.24&lt;/D&gt;&lt;D xsi:type="xsd:double"&gt;27.41&lt;/D&gt;&lt;D xsi:type="xsd:double"&gt;27.11&lt;/D&gt;&lt;D xsi:type="xsd:double"&gt;26.89&lt;/D&gt;&lt;D xsi:type="xsd:double"&gt;27&lt;/D&gt;&lt;D xsi:type="xsd:double"&gt;26.93&lt;/D&gt;&lt;D xsi:type="xsd:double"&gt;26.9&lt;/D&gt;&lt;D xsi:type="xsd:double"&gt;26.6&lt;/D&gt;&lt;D xsi:type="xsd:double"&gt;26.77&lt;/D&gt;&lt;D xsi:type="xsd:double"&gt;27.08&lt;/D&gt;&lt;D xsi:type="xsd:double"&gt;27.08&lt;/D&gt;&lt;D xsi:type="xsd:double"&gt;27.09&lt;/D&gt;&lt;D xsi:type="xsd:double"&gt;27&lt;/D&gt;&lt;D xsi:type="xsd:double"&gt;26.97&lt;/D&gt;&lt;D xsi:type="xsd:double"&gt;26.83&lt;/D&gt;&lt;D xsi:type="xsd:double"&gt;27.26&lt;/D&gt;&lt;D xsi:type="xsd:double"&gt;26.86&lt;/D&gt;&lt;D xsi:type="xsd:double"&gt;26.7&lt;/D&gt;&lt;D xsi:type="xsd:double"&gt;26.61&lt;/D&gt;&lt;D xsi:type="xsd:double"&gt;26.84&lt;/D&gt;&lt;D xsi:type="xsd:double"&gt;26.83&lt;/D&gt;&lt;D xsi:type="xsd:double"&gt;26.74&lt;/D&gt;&lt;D xsi:type="xsd:double"&gt;26.91&lt;/D&gt;&lt;D xsi:type="xsd:double"&gt;26.96&lt;/D&gt;&lt;D xsi:type="xsd:double"&gt;26.65&lt;/D&gt;&lt;D xsi:type="xsd:double"&gt;26.63&lt;/D&gt;&lt;D xsi:type="xsd:double"&gt;26.6&lt;/D&gt;&lt;D xsi:type="xsd:double"&gt;26.66&lt;/D&gt;&lt;D xsi:type="xsd:double"&gt;26.41&lt;/D&gt;&lt;D xsi:type="xsd:double"&gt;26.28&lt;/D&gt;&lt;D xsi:type="xsd:double"&gt;25.91&lt;/D&gt;&lt;D xsi:type="xsd:double"&gt;26.02&lt;/D&gt;&lt;D xsi:type="xsd:double"&gt;26.15&lt;/D&gt;&lt;D xsi:type="xsd:double"&gt;26.37&lt;/D&gt;&lt;D xsi:type="xsd:double"&gt;26.22&lt;/D&gt;&lt;D xsi:type="xsd:double"&gt;26.48&lt;/D&gt;&lt;D xsi:type="xsd:double"&gt;26.58&lt;/D&gt;&lt;D xsi:type="xsd:double"&gt;26.82&lt;/D&gt;&lt;D xsi:type="xsd:double"&gt;26.55&lt;/D&gt;&lt;D xsi:type="xsd:double"&gt;26.37&lt;/D&gt;&lt;D xsi:type="xsd:double"&gt;26.45&lt;/D&gt;&lt;D xsi:type="xsd:double"&gt;26.28&lt;/D&gt;&lt;D xsi:type="xsd:double"&gt;26.19&lt;/D&gt;&lt;D xsi:type="xsd:double"&gt;26.07&lt;/D&gt;&lt;D xsi:type="xsd:double"&gt;26.39&lt;/D&gt;&lt;D xsi:type="xsd:double"&gt;26.36&lt;/D&gt;&lt;D xsi:type="xsd:double"&gt;26.58&lt;/D&gt;&lt;D xsi:type="xsd:double"&gt;26.24&lt;/D&gt;&lt;D xsi:type="xsd:double"&gt;26.14&lt;/D&gt;&lt;D xsi:type="xsd:double"&gt;25.98&lt;/D&gt;&lt;D xsi:type="xsd:double"&gt;26.48&lt;/D&gt;&lt;D xsi:type="xsd:double"&gt;26.48&lt;/D&gt;&lt;D xsi:type="xsd:double"&gt;26.54&lt;/D&gt;&lt;D xsi:type="xsd:double"&gt;26.35&lt;/D&gt;&lt;D xsi:type="xsd:double"&gt;26.32&lt;/D&gt;&lt;D xsi:type="xsd:double"&gt;26.09&lt;/D&gt;&lt;D xsi:type="xsd:double"&gt;26.43&lt;/D&gt;&lt;D xsi:type="xsd:double"&gt;26.03&lt;/D&gt;&lt;D xsi:type="xsd:double"&gt;26.05&lt;/D&gt;&lt;D xsi:type="xsd:double"&gt;25.79&lt;/D&gt;&lt;D xsi:type="xsd:double"&gt;25.55&lt;/D&gt;&lt;D xsi:type="xsd:double"&gt;25.86&lt;/D&gt;&lt;D xsi:type="xsd:double"&gt;25.86&lt;/D&gt;&lt;D xsi:type="xsd:double"&gt;25.77&lt;/D&gt;&lt;D xsi:type="xsd:double"&gt;26.09&lt;/D&gt;&lt;D xsi:type="xsd:double"&gt;26.32&lt;/D&gt;&lt;D xsi:type="xsd:double"&gt;26.64&lt;/D&gt;&lt;D xsi:type="xsd:double"&gt;26.6&lt;/D&gt;&lt;D xsi:type="xsd:double"&gt;26.71&lt;/D&gt;&lt;D xsi:type="xsd:double"&gt;26.44&lt;/D&gt;&lt;D xsi:type="xsd:double"&gt;26.37&lt;/D&gt;&lt;D xsi:type="xsd:double"&gt;26.36&lt;/D&gt;&lt;D xsi:type="xsd:double"&gt;26.33&lt;/D&gt;&lt;D xsi:type="xsd:double"&gt;26.07&lt;/D&gt;&lt;D xsi:type="xsd:double"&gt;26.15&lt;/D&gt;&lt;D xsi:type="xsd:double"&gt;25.81&lt;/D&gt;&lt;D xsi:type="xsd:double"&gt;25.64&lt;/D&gt;&lt;D xsi:type="xsd:double"&gt;25.56&lt;/D&gt;&lt;D xsi:type="xsd:double"&gt;25.87&lt;/D&gt;&lt;D xsi:type="xsd:double"&gt;25.65&lt;/D&gt;&lt;D xsi:type="xsd:double"&gt;25.65&lt;/D&gt;&lt;D xsi:type="xsd:double"&gt;25.41&lt;/D&gt;&lt;D xsi:type="xsd:double"&gt;25.41&lt;/D&gt;&lt;D xsi:type="xsd:double"&gt;25.63&lt;/D&gt;&lt;D xsi:type="xsd:double"&gt;25.63&lt;/D&gt;&lt;D xsi:type="xsd:double"&gt;25.47&lt;/D&gt;&lt;D xsi:type="xsd:double"&gt;25.55&lt;/D&gt;&lt;D xsi:type="xsd:double"&gt;25.16&lt;/D&gt;&lt;D xsi:type="xsd:double"&gt;25.42&lt;/D&gt;&lt;D xsi:type="xsd:double"&gt;25.18&lt;/D&gt;&lt;D xsi:type="xsd:double"&gt;25.01&lt;/D&gt;&lt;D xsi:type="xsd:double"&gt;24.83&lt;/D&gt;&lt;D xsi:type="xsd:double"&gt;24.89&lt;/D&gt;&lt;D xsi:type="xsd:double"&gt;25.05&lt;/D&gt;&lt;D xsi:type="xsd:double"&gt;24.99&lt;/D&gt;&lt;D xsi:type="xsd:double"&gt;25.31&lt;/D&gt;&lt;D xsi:type="xsd:double"&gt;24.65&lt;/D&gt;&lt;D xsi:type="xsd:double"&gt;24.67&lt;/D&gt;&lt;D xsi:type="xsd:double"&gt;24.55&lt;/D&gt;&lt;D xsi:type="xsd:double"&gt;24.52&lt;/D&gt;&lt;D xsi:type="xsd:double"&gt;24.51&lt;/D&gt;&lt;D xsi:type="xsd:double"&gt;24.51&lt;/D&gt;&lt;D xsi:type="xsd:double"&gt;24&lt;/D&gt;&lt;D xsi:type="xsd:double"&gt;23.96&lt;/D&gt;&lt;D xsi:type="xsd:double"&gt;23.48&lt;/D&gt;&lt;D xsi:type="xsd:double"&gt;23.61&lt;/D&gt;&lt;D xsi:type="xsd:double"&gt;23.61&lt;/D&gt;&lt;D xsi:type="xsd:double"&gt;23.42&lt;/D&gt;&lt;D xsi:type="xsd:double"&gt;23.36&lt;/D&gt;&lt;D xsi:type="xsd:double"&gt;23.29&lt;/D&gt;&lt;D xsi:type="xsd:double"&gt;22.77&lt;/D&gt;&lt;D xsi:type="xsd:double"&gt;22.35&lt;/D&gt;&lt;D xsi:type="xsd:double"&gt;22.81&lt;/D&gt;&lt;D xsi:type="xsd:double"&gt;20.82&lt;/D&gt;&lt;D xsi:type="xsd:double"&gt;20.85&lt;/D&gt;&lt;D xsi:type="xsd:double"&gt;21.15&lt;/D&gt;&lt;D xsi:type="xsd:double"&gt;23.25&lt;/D&gt;&lt;D xsi:type="xsd:double"&gt;23.89&lt;/D&gt;&lt;D xsi:type="xsd:double"&gt;23.71&lt;/D&gt;&lt;D xsi:type="xsd:double"&gt;23.44&lt;/D&gt;&lt;D xsi:type="xsd:double"&gt;23.47&lt;/D&gt;&lt;D xsi:type="xsd:double"&gt;23.75&lt;/D&gt;&lt;/FQL&gt;&lt;FQL&gt;&lt;Q&gt;ENZL^FG_PRICE(0,-200D)&lt;/Q&gt;&lt;R&gt;201&lt;/R&gt;&lt;C&gt;1&lt;/C&gt;&lt;D xsi:type="xsd:double"&gt;45.2715&lt;/D&gt;&lt;D xsi:type="xsd:double"&gt;45.2715&lt;/D&gt;&lt;D xsi:type="xsd:double"&gt;45.41&lt;/D&gt;&lt;D xsi:type="xsd:double"&gt;45.41&lt;/D&gt;&lt;D xsi:type="xsd:double"&gt;45.73&lt;/D&gt;&lt;D xsi:type="xsd:double"&gt;45.74&lt;/D&gt;&lt;D xsi:type="xsd:double"&gt;45.74&lt;/D&gt;&lt;D xsi:type="xsd:double"&gt;45.54&lt;/D&gt;&lt;D xsi:type="xsd:double"&gt;45.18&lt;/D&gt;&lt;D xsi:type="xsd:double"&gt;44.82&lt;/D&gt;&lt;D xsi:type="xsd:double"&gt;44.6999&lt;/D&gt;&lt;D xsi:type="xsd:double"&gt;44.635&lt;/D&gt;&lt;D xsi:type="xsd:double"&gt;45.1265&lt;/D&gt;&lt;D xsi:type="xsd:double"&gt;45.75&lt;/D&gt;&lt;D xsi:type="xsd:double"&gt;45.71&lt;/D&gt;&lt;D xsi:type="xsd:double"&gt;46.35&lt;/D&gt;&lt;D xsi:type="xsd:double"&gt;46.2943&lt;/D&gt;&lt;D xsi:type="xsd:double"&gt;45.9504&lt;/D&gt;&lt;D xsi:type="xsd:double"&gt;46.0267&lt;/D&gt;&lt;D xsi:type="xsd:double"&gt;45.995&lt;/D&gt;&lt;D xsi:type="xsd:double"&gt;46.005&lt;/D&gt;&lt;D xsi:type="xsd:double"&gt;46.1656&lt;/D&gt;&lt;D xsi:type="xsd:double"&gt;45.8184&lt;/D&gt;&lt;D xsi:type="xsd:double"&gt;45.48&lt;/D&gt;&lt;D xsi:type="xsd:double"&gt;45.6257&lt;/D&gt;&lt;D xsi:type="xsd:double"&gt;45.47&lt;/D&gt;&lt;D xsi:type="xsd:double"&gt;45.47&lt;/D&gt;&lt;D xsi:type="xsd:double"&gt;44.6994&lt;/D&gt;&lt;D xsi:type="xsd:double"&gt;44.47&lt;/D&gt;&lt;D xsi:type="xsd:double"&gt;44.33&lt;/D&gt;&lt;D xsi:type="xsd:double"&gt;43.75&lt;/D&gt;&lt;D xsi:type="xsd:double"&gt;43.6663&lt;/D&gt;&lt;D xsi:type="xsd:double"&gt;44.2359&lt;/D&gt;&lt;D xsi:type="xsd:double"&gt;44.4932&lt;/D&gt;&lt;D xsi:type="xsd:double"&gt;44.845&lt;/D&gt;&lt;D xsi:type="xsd:double"&gt;44.9434&lt;/D&gt;&lt;D xsi:type="xsd:double"&gt;45.6572&lt;/D&gt;&lt;D xsi:type="xsd:double"&gt;45.675&lt;/D&gt;&lt;D xsi:type="xsd:double"&gt;45.6841&lt;/D&gt;&lt;D xsi:type="xsd:double"&gt;45.5808&lt;/D&gt;&lt;D xsi:type="xsd:double"&gt;45.3331&lt;/D&gt;&lt;D xsi:type="xsd:double"&gt;45.91&lt;/D&gt;&lt;D xsi:type="xsd:double"&gt;45.38&lt;/D&gt;&lt;D xsi:type="xsd:double"&gt;45.7056&lt;/D&gt;&lt;D xsi:type="xsd:double"&gt;45.89&lt;/D&gt;&lt;D xsi:type="xsd:double"&gt;45.755&lt;/D&gt;&lt;D xsi:type="xsd:double"&gt;45.675&lt;/D&gt;&lt;D xsi:type="xsd:double"&gt;45.845&lt;/D&gt;&lt;D xsi:type="xsd:double"&gt;45.99&lt;/D&gt;&lt;D xsi:type="xsd:double"&gt;45.615&lt;/D&gt;&lt;D xsi:type="xsd:double"&gt;45.52&lt;/D&gt;&lt;D xsi:type="xsd:double"&gt;45.2309&lt;/D&gt;&lt;D xsi:type="xsd:double"&gt;45.325&lt;/D&gt;&lt;D xsi:type="xsd:double"&gt;45.56&lt;/D&gt;&lt;D xsi:type="xsd:double"&gt;45.175&lt;/D&gt;&lt;D xsi:type="xsd:double"&gt;45.42&lt;/D&gt;&lt;D xsi:type="xsd:double"&gt;45.14&lt;/D&gt;&lt;D xsi:type="xsd:double"&gt;45.0665&lt;/D&gt;&lt;D xsi:type="xsd:double"&gt;45.45&lt;/D&gt;&lt;D xsi:type="xsd:double"&gt;45.805&lt;/D&gt;&lt;D xsi:type="xsd:double"&gt;46.575&lt;/D&gt;&lt;D xsi:type="xsd:double"&gt;47.095&lt;/D&gt;&lt;D xsi:type="xsd:double"&gt;47.05&lt;/D&gt;&lt;D xsi:type="xsd:double"&gt;47.135&lt;/D&gt;&lt;D xsi:type="xsd:double"&gt;47.1883&lt;/D&gt;&lt;D xsi:type="xsd:double"&gt;46.68&lt;/D&gt;&lt;D xsi:type="xsd:double"&gt;46.7116&lt;/D&gt;&lt;D xsi:type="xsd:double"&gt;45.9334&lt;/D&gt;&lt;D xsi:type="xsd:double"&gt;45.485&lt;/D&gt;&lt;D xsi:type="xsd:double"&gt;45.365&lt;/D&gt;&lt;D xsi:type="xsd:double"&gt;45.1969&lt;/D&gt;&lt;D xsi:type="xsd:double"&gt;45.5963&lt;/D&gt;&lt;D xsi:type="xsd:double"&gt;45.8659&lt;/D&gt;&lt;D xsi:type="xsd:double"&gt;46.2872&lt;/D&gt;&lt;D xsi:type="xsd:double"&gt;46.41&lt;/D&gt;&lt;D xsi:type="xsd:double"&gt;46.255&lt;/D&gt;&lt;D xsi:type="xsd:double"&gt;47.045&lt;/D&gt;&lt;D xsi:type="xsd:double"&gt;47.0204&lt;/D&gt;&lt;D xsi:type="xsd:double"&gt;47.1072&lt;/D&gt;&lt;D xsi:type="xsd:double"&gt;46.74&lt;/D&gt;&lt;D xsi:type="xsd:double"&gt;47.225&lt;/D&gt;&lt;D xsi:type="xsd:double"&gt;46.85&lt;/D&gt;&lt;D xsi:type="xsd:double"&gt;46.655&lt;/D&gt;&lt;D xsi:type="xsd:double"&gt;46.74&lt;/D&gt;&lt;D xsi:type="xsd:double"&gt;46.13&lt;/D&gt;&lt;D xsi:type="xsd:double"&gt;45.37&lt;/D&gt;&lt;D xsi:type="xsd:double"&gt;45.495&lt;/D&gt;&lt;D xsi:type="xsd:double"&gt;45.3801&lt;/D&gt;&lt;D xsi:type="xsd:double"&gt;44.86&lt;/D&gt;&lt;D xsi:type="xsd:double"&gt;44.86&lt;/D&gt;&lt;D xsi:type="xsd:double"&gt;44.87&lt;/D&gt;&lt;D xsi:type="xsd:double"&gt;44.67&lt;/D&gt;&lt;D xsi:type="xsd:double"&gt;45.19&lt;/D&gt;&lt;D xsi:type="xsd:double"&gt;45.62&lt;/D&gt;&lt;D xsi:type="xsd:double"&gt;45.7829&lt;/D&gt;&lt;D xsi:type="xsd:double"&gt;45.58&lt;/D&gt;&lt;D xsi:type="xsd:double"&gt;45.675&lt;/D&gt;&lt;D xsi:type="xsd:double"&gt;45.605&lt;/D&gt;&lt;D xsi:type="xsd:double"&gt;45.845&lt;/D&gt;&lt;D xsi:type="xsd:double"&gt;45.684&lt;/D&gt;&lt;D xsi:type="xsd:double"&gt;45.57&lt;/D&gt;&lt;D xsi:type="xsd:double"&gt;45.82&lt;/D&gt;&lt;D xsi:type="xsd:double"&gt;45.659&lt;/D&gt;&lt;D xsi:type="xsd:double"&gt;45.79&lt;/D&gt;&lt;D xsi:type="xsd:double"&gt;45.745&lt;/D&gt;&lt;D xsi:type="xsd:double"&gt;45.795&lt;/D&gt;&lt;D xsi:type="xsd:double"&gt;45.63&lt;/D&gt;&lt;D xsi:type="xsd:double"&gt;45.255&lt;/D&gt;&lt;D xsi:type="xsd:double"&gt;44.93&lt;/D&gt;&lt;D xsi:type="xsd:double"&gt;44.69&lt;/D&gt;&lt;D xsi:type="xsd:double"&gt;45.05&lt;/D&gt;&lt;D xsi:type="xsd:double"&gt;45.19&lt;/D&gt;&lt;D xsi:type="xsd:double"&gt;45.8343&lt;/D&gt;&lt;D xsi:type="xsd:double"&gt;45.64&lt;/D&gt;&lt;D xsi:type="xsd:double"&gt;46.0511&lt;/D&gt;&lt;D xsi:type="xsd:double"&gt;45.98&lt;/D&gt;&lt;D xsi:type="xsd:double"&gt;46.135&lt;/D&gt;&lt;D xsi:type="xsd:double"&gt;46.155&lt;/D&gt;&lt;D xsi:type="xsd:double"&gt;46.3676&lt;/D&gt;&lt;D xsi:type="xsd:double"&gt;45.695&lt;/D&gt;&lt;D xsi:type="xsd:double"&gt;45.872&lt;/D&gt;&lt;D xsi:type="xsd:double"&gt;45.56&lt;/D&gt;&lt;D xsi:type="xsd:double"&gt;44.89&lt;/D&gt;&lt;D xsi:type="xsd:double"&gt;45.49&lt;/D&gt;&lt;D xsi:type="xsd:double"&gt;45.76&lt;/D&gt;&lt;D xsi:type="xsd:double"&gt;46.01&lt;/D&gt;&lt;D xsi:type="xsd:double"&gt;46.07&lt;/D&gt;&lt;D xsi:type="xsd:double"&gt;45.98&lt;/D&gt;&lt;D xsi:type="xsd:double"&gt;45.5&lt;/D&gt;&lt;D xsi:type="xsd:double"&gt;45.96&lt;/D&gt;&lt;D xsi:type="xsd:double"&gt;45.96&lt;/D&gt;&lt;D xsi:type="xsd:double"&gt;46.265&lt;/D&gt;&lt;D xsi:type="xsd:double"&gt;45.96&lt;/D&gt;&lt;D xsi:type="xsd:double"&gt;45.61&lt;/D&gt;&lt;D xsi:type="xsd:double"&gt;45.37&lt;/D&gt;&lt;D xsi:type="xsd:double"&gt;45.32&lt;/D&gt;&lt;D xsi:type="xsd:double"&gt;44.6&lt;/D&gt;&lt;D xsi:type="xsd:double"&gt;44.79&lt;/D&gt;&lt;D xsi:type="xsd:double"&gt;44.86&lt;/D&gt;&lt;D xsi:type="xsd:double"&gt;44.6&lt;/D&gt;&lt;D xsi:type="xsd:double"&gt;45.08&lt;/D&gt;&lt;D xsi:type="xsd:double"&gt;45.08&lt;/D&gt;&lt;D xsi:type="xsd:double"&gt;45.09&lt;/D&gt;&lt;D xsi:type="xsd:double"&gt;45.97&lt;/D&gt;&lt;D xsi:type="xsd:double"&gt;45.19&lt;/D&gt;&lt;D xsi:type="xsd:double"&gt;46.07&lt;/D&gt;&lt;D xsi:type="xsd:double"&gt;45.76&lt;/D&gt;&lt;D xsi:type="xsd:double"&gt;45.65&lt;/D&gt;&lt;D xsi:type="xsd:double"&gt;45.32&lt;/D&gt;&lt;D xsi:type="xsd:double"&gt;45.31&lt;/D&gt;&lt;D xsi:type="xsd:double"&gt;45.53&lt;/D&gt;&lt;D xsi:type="xsd:double"&gt;45.25&lt;/D&gt;&lt;D xsi:type="xsd:double"&gt;44.61&lt;/D&gt;&lt;D xsi:type="xsd:double"&gt;45.04&lt;/D&gt;&lt;D xsi:type="xsd:double"&gt;44.39&lt;/D&gt;&lt;D xsi:type="xsd:double"&gt;43.97&lt;/D&gt;&lt;D xsi:type="xsd:double"&gt;44.23&lt;/D&gt;&lt;D xsi:type="xsd:double"&gt;45.38&lt;/D&gt;&lt;D xsi:type="xsd:double"&gt;45.36&lt;/D&gt;&lt;D xsi:type="xsd:double"&gt;45.36&lt;/D&gt;&lt;D xsi:type="xsd:double"&gt;45.08&lt;/D&gt;&lt;D xsi:type="xsd:double"&gt;45.22&lt;/D&gt;&lt;D xsi:type="xsd:double"&gt;45.2&lt;/D&gt;&lt;D xsi:type="xsd:double"&gt;45.15&lt;/D&gt;&lt;D xsi:type="xsd:double"&gt;45.41&lt;/D&gt;&lt;D xsi:type="xsd:double"&gt;45.6&lt;/D&gt;&lt;D xsi:type="xsd:double"&gt;45.33&lt;/D&gt;&lt;D xsi:type="xsd:double"&gt;45.62&lt;/D&gt;&lt;D xsi:type="xsd:double"&gt;44.75&lt;/D&gt;&lt;D xsi:type="xsd:double"&gt;45.17&lt;/D&gt;&lt;D xsi:type="xsd:double"&gt;44.23&lt;/D&gt;&lt;D xsi:type="xsd:double"&gt;44.56&lt;/D&gt;&lt;D xsi:type="xsd:double"&gt;44.82&lt;/D&gt;&lt;D xsi:type="xsd:double"&gt;44.49&lt;/D&gt;&lt;D xsi:type="xsd:double"&gt;44.29&lt;/D&gt;&lt;D xsi:type="xsd:double"&gt;43.06&lt;/D&gt;&lt;D xsi:type="xsd:double"&gt;42.61&lt;/D&gt;&lt;D xsi:type="xsd:double"&gt;43.35&lt;/D&gt;&lt;D xsi:type="xsd:double"&gt;43.6&lt;/D&gt;&lt;D xsi:type="xsd:double"&gt;43.76&lt;/D&gt;&lt;D xsi:type="xsd:double"&gt;43.805&lt;/D&gt;&lt;D xsi:type="xsd:double"&gt;42.8238&lt;/D&gt;&lt;D xsi:type="xsd:double"&gt;43.095&lt;/D&gt;&lt;D xsi:type="xsd:double"&gt;43.38&lt;/D&gt;&lt;D xsi:type="xsd:double"&gt;43.5&lt;/D&gt;&lt;D xsi:type="xsd:double"&gt;43.5&lt;/D&gt;&lt;D xsi:type="xsd:double"&gt;43.03&lt;/D&gt;&lt;D xsi:type="xsd:double"&gt;42.68&lt;/D&gt;&lt;D xsi:type="xsd:double"&gt;43.1&lt;/D&gt;&lt;D xsi:type="xsd:double"&gt;42.39&lt;/D&gt;&lt;D xsi:type="xsd:double"&gt;41.79&lt;/D&gt;&lt;D xsi:type="xsd:double"&gt;41.36&lt;/D&gt;&lt;D xsi:type="xsd:double"&gt;39.48&lt;/D&gt;&lt;D xsi:type="xsd:double"&gt;39.39&lt;/D&gt;&lt;D xsi:type="xsd:double"&gt;40.13&lt;/D&gt;&lt;D xsi:type="xsd:double"&gt;42.72&lt;/D&gt;&lt;D xsi:type="xsd:double"&gt;42.67&lt;/D&gt;&lt;D xsi:type="xsd:double"&gt;42.39&lt;/D&gt;&lt;D xsi:type="xsd:double"&gt;42.08&lt;/D&gt;&lt;D xsi:type="xsd:double"&gt;42.05&lt;/D&gt;&lt;D xsi:type="xsd:double"&gt;42.6&lt;/D&gt;&lt;/FQL&gt;&lt;FQL&gt;&lt;Q&gt;KSA^FG_PRICE(0,-200D)&lt;/Q&gt;&lt;R&gt;201&lt;/R&gt;&lt;C&gt;1&lt;/C&gt;&lt;D xsi:type="xsd:double"&gt;36.41&lt;/D&gt;&lt;D xsi:type="xsd:double"&gt;36.41&lt;/D&gt;&lt;D xsi:type="xsd:double"&gt;36.05&lt;/D&gt;&lt;D xsi:type="xsd:double"&gt;36.39&lt;/D&gt;&lt;D xsi:type="xsd:double"&gt;36.57&lt;/D&gt;&lt;D xsi:type="xsd:double"&gt;36.6&lt;/D&gt;&lt;D xsi:type="xsd:double"&gt;36.6&lt;/D&gt;&lt;D xsi:type="xsd:double"&gt;36.76&lt;/D&gt;&lt;D xsi:type="xsd:double"&gt;36.55&lt;/D&gt;&lt;D xsi:type="xsd:double"&gt;36.36&lt;/D&gt;&lt;D xsi:type="xsd:double"&gt;36.3&lt;/D&gt;&lt;D xsi:type="xsd:double"&gt;35.83&lt;/D&gt;&lt;D xsi:type="xsd:double"&gt;36.09&lt;/D&gt;&lt;D xsi:type="xsd:double"&gt;36.81&lt;/D&gt;&lt;D xsi:type="xsd:double"&gt;37.4&lt;/D&gt;&lt;D xsi:type="xsd:double"&gt;37.62&lt;/D&gt;&lt;D xsi:type="xsd:double"&gt;37.66&lt;/D&gt;&lt;D xsi:type="xsd:double"&gt;37.43&lt;/D&gt;&lt;D xsi:type="xsd:double"&gt;37.19&lt;/D&gt;&lt;D xsi:type="xsd:double"&gt;37.2&lt;/D&gt;&lt;D xsi:type="xsd:double"&gt;37.17&lt;/D&gt;&lt;D xsi:type="xsd:double"&gt;37.04&lt;/D&gt;&lt;D xsi:type="xsd:double"&gt;36.98&lt;/D&gt;&lt;D xsi:type="xsd:double"&gt;37.06&lt;/D&gt;&lt;D xsi:type="xsd:double"&gt;37.44&lt;/D&gt;&lt;D xsi:type="xsd:double"&gt;37.38&lt;/D&gt;&lt;D xsi:type="xsd:double"&gt;37.38&lt;/D&gt;&lt;D xsi:type="xsd:double"&gt;37.59&lt;/D&gt;&lt;D xsi:type="xsd:double"&gt;38.16&lt;/D&gt;&lt;D xsi:type="xsd:double"&gt;38.28&lt;/D&gt;&lt;D xsi:type="xsd:double"&gt;38.19&lt;/D&gt;&lt;D xsi:type="xsd:double"&gt;38.43&lt;/D&gt;&lt;D xsi:type="xsd:double"&gt;38.79&lt;/D&gt;&lt;D xsi:type="xsd:double"&gt;38.45&lt;/D&gt;&lt;D xsi:type="xsd:double"&gt;38.83&lt;/D&gt;&lt;D xsi:type="xsd:double"&gt;38.73&lt;/D&gt;&lt;D xsi:type="xsd:double"&gt;39.17&lt;/D&gt;&lt;D xsi:type="xsd:double"&gt;39.39&lt;/D&gt;&lt;D xsi:type="xsd:double"&gt;39.32&lt;/D&gt;&lt;D xsi:type="xsd:double"&gt;39.28&lt;/D&gt;&lt;D xsi:type="xsd:double"&gt;39.3&lt;/D&gt;&lt;D xsi:type="xsd:double"&gt;39.35&lt;/D&gt;&lt;D xsi:type="xsd:double"&gt;39.68&lt;/D&gt;&lt;D xsi:type="xsd:double"&gt;40&lt;/D&gt;&lt;D xsi:type="xsd:double"&gt;40.28&lt;/D&gt;&lt;D xsi:type="xsd:double"&gt;40.23&lt;/D&gt;&lt;D xsi:type="xsd:double"&gt;41.03&lt;/D&gt;&lt;D xsi:type="xsd:double"&gt;40.89&lt;/D&gt;&lt;D xsi:type="xsd:double"&gt;40.61&lt;/D&gt;&lt;D xsi:type="xsd:double"&gt;40.73&lt;/D&gt;&lt;D xsi:type="xsd:double"&gt;40.67&lt;/D&gt;&lt;D xsi:type="xsd:double"&gt;40.51&lt;/D&gt;&lt;D xsi:type="xsd:double"&gt;40.47&lt;/D&gt;&lt;D xsi:type="xsd:double"&gt;40.89&lt;/D&gt;&lt;D xsi:type="xsd:double"&gt;40.78&lt;/D&gt;&lt;D xsi:type="xsd:double"&gt;40.78&lt;/D&gt;&lt;D xsi:type="xsd:double"&gt;40.89&lt;/D&gt;&lt;D xsi:type="xsd:double"&gt;40.75&lt;/D&gt;&lt;D xsi:type="xsd:double"&gt;40.69&lt;/D&gt;&lt;D xsi:type="xsd:double"&gt;39.81&lt;/D&gt;&lt;D xsi:type="xsd:double"&gt;40.68&lt;/D&gt;&lt;D xsi:type="xsd:double"&gt;40.55&lt;/D&gt;&lt;D xsi:type="xsd:double"&gt;40.59&lt;/D&gt;&lt;D xsi:type="xsd:double"&gt;40.77&lt;/D&gt;&lt;D xsi:type="xsd:double"&gt;40.49&lt;/D&gt;&lt;D xsi:type="xsd:double"&gt;40.48&lt;/D&gt;&lt;D xsi:type="xsd:double"&gt;40.25&lt;/D&gt;&lt;D xsi:type="xsd:double"&gt;40.58&lt;/D&gt;&lt;D xsi:type="xsd:double"&gt;40.15&lt;/D&gt;&lt;D xsi:type="xsd:double"&gt;39.95&lt;/D&gt;&lt;D xsi:type="xsd:double"&gt;39.84&lt;/D&gt;&lt;D xsi:type="xsd:double"&gt;40.54&lt;/D&gt;&lt;D xsi:type="xsd:double"&gt;40.78&lt;/D&gt;&lt;D xsi:type="xsd:double"&gt;38.18&lt;/D&gt;&lt;D xsi:type="xsd:double"&gt;37.83&lt;/D&gt;&lt;D xsi:type="xsd:double"&gt;37.77&lt;/D&gt;&lt;D xsi:type="xsd:double"&gt;37.43&lt;/D&gt;&lt;D xsi:type="xsd:double"&gt;36.9&lt;/D&gt;&lt;D xsi:type="xsd:double"&gt;36.71&lt;/D&gt;&lt;D xsi:type="xsd:double"&gt;36.72&lt;/D&gt;&lt;D xsi:type="xsd:double"&gt;36.8&lt;/D&gt;&lt;D xsi:type="xsd:double"&gt;36.8&lt;/D&gt;&lt;D xsi:type="xsd:double"&gt;36.76&lt;/D&gt;&lt;D xsi:type="xsd:double"&gt;36.69&lt;/D&gt;&lt;D xsi:type="xsd:double"&gt;37.2&lt;/D&gt;&lt;D xsi:type="xsd:double"&gt;37.35&lt;/D&gt;&lt;D xsi:type="xsd:double"&gt;37.11&lt;/D&gt;&lt;D xsi:type="xsd:double"&gt;37.21&lt;/D&gt;&lt;D xsi:type="xsd:double"&gt;37.36&lt;/D&gt;&lt;D xsi:type="xsd:double"&gt;37.36&lt;/D&gt;&lt;D xsi:type="xsd:double"&gt;37.47&lt;/D&gt;&lt;D xsi:type="xsd:double"&gt;37.68&lt;/D&gt;&lt;D xsi:type="xsd:double"&gt;38.02&lt;/D&gt;&lt;D xsi:type="xsd:double"&gt;38.08&lt;/D&gt;&lt;D xsi:type="xsd:double"&gt;38.13&lt;/D&gt;&lt;D xsi:type="xsd:double"&gt;37.94&lt;/D&gt;&lt;D xsi:type="xsd:double"&gt;37.89&lt;/D&gt;&lt;D xsi:type="xsd:double"&gt;37.84&lt;/D&gt;&lt;D xsi:type="xsd:double"&gt;37.83&lt;/D&gt;&lt;D xsi:type="xsd:double"&gt;37.55&lt;/D&gt;&lt;D xsi:type="xsd:double"&gt;37.59&lt;/D&gt;&lt;D xsi:type="xsd:double"&gt;37.44&lt;/D&gt;&lt;D xsi:type="xsd:double"&gt;37.49&lt;/D&gt;&lt;D xsi:type="xsd:double"&gt;37.43&lt;/D&gt;&lt;D xsi:type="xsd:double"&gt;37.83&lt;/D&gt;&lt;D xsi:type="xsd:double"&gt;37.83&lt;/D&gt;&lt;D xsi:type="xsd:double"&gt;38.04&lt;/D&gt;&lt;D xsi:type="xsd:double"&gt;37.78&lt;/D&gt;&lt;D xsi:type="xsd:double"&gt;37.63&lt;/D&gt;&lt;D xsi:type="xsd:double"&gt;37.32&lt;/D&gt;&lt;D xsi:type="xsd:double"&gt;37.56&lt;/D&gt;&lt;D xsi:type="xsd:double"&gt;37.62&lt;/D&gt;&lt;D xsi:type="xsd:double"&gt;37.39&lt;/D&gt;&lt;D xsi:type="xsd:double"&gt;37.61&lt;/D&gt;&lt;D xsi:type="xsd:double"&gt;37.72&lt;/D&gt;&lt;D xsi:type="xsd:double"&gt;37.68&lt;/D&gt;&lt;D xsi:type="xsd:double"&gt;37.97&lt;/D&gt;&lt;D xsi:type="xsd:double"&gt;37.5&lt;/D&gt;&lt;D xsi:type="xsd:double"&gt;37.82&lt;/D&gt;&lt;D xsi:type="xsd:double"&gt;38.13&lt;/D&gt;&lt;D xsi:type="xsd:double"&gt;38.17&lt;/D&gt;&lt;D xsi:type="xsd:double"&gt;38.1&lt;/D&gt;&lt;D xsi:type="xsd:double"&gt;38.09&lt;/D&gt;&lt;D xsi:type="xsd:double"&gt;38.65&lt;/D&gt;&lt;D xsi:type="xsd:double"&gt;38.89&lt;/D&gt;&lt;D xsi:type="xsd:double"&gt;39&lt;/D&gt;&lt;D xsi:type="xsd:double"&gt;38.89&lt;/D&gt;&lt;D xsi:type="xsd:double"&gt;38.9&lt;/D&gt;&lt;D xsi:type="xsd:double"&gt;39.08&lt;/D&gt;&lt;D xsi:type="xsd:double"&gt;38.89&lt;/D&gt;&lt;D xsi:type="xsd:double"&gt;38.89&lt;/D&gt;&lt;D xsi:type="xsd:double"&gt;38.44&lt;/D&gt;&lt;D xsi:type="xsd:double"&gt;38.25&lt;/D&gt;&lt;D xsi:type="xsd:double"&gt;38.54&lt;/D&gt;&lt;D xsi:type="xsd:double"&gt;38.26&lt;/D&gt;&lt;D xsi:type="xsd:double"&gt;38.16&lt;/D&gt;&lt;D xsi:type="xsd:double"&gt;37.82&lt;/D&gt;&lt;D xsi:type="xsd:double"&gt;37.72&lt;/D&gt;&lt;D xsi:type="xsd:double"&gt;37.1&lt;/D&gt;&lt;D xsi:type="xsd:double"&gt;36.56&lt;/D&gt;&lt;D xsi:type="xsd:double"&gt;36.36&lt;/D&gt;&lt;D xsi:type="xsd:double"&gt;36.36&lt;/D&gt;&lt;D xsi:type="xsd:double"&gt;36.83&lt;/D&gt;&lt;D xsi:type="xsd:double"&gt;37.48&lt;/D&gt;&lt;D xsi:type="xsd:double"&gt;37.13&lt;/D&gt;&lt;D xsi:type="xsd:double"&gt;38.07&lt;/D&gt;&lt;D xsi:type="xsd:double"&gt;38.46&lt;/D&gt;&lt;D xsi:type="xsd:double"&gt;38.72&lt;/D&gt;&lt;D xsi:type="xsd:double"&gt;38.57&lt;/D&gt;&lt;D xsi:type="xsd:double"&gt;38.51&lt;/D&gt;&lt;D xsi:type="xsd:double"&gt;38.48&lt;/D&gt;&lt;D xsi:type="xsd:double"&gt;38.38&lt;/D&gt;&lt;D xsi:type="xsd:double"&gt;38&lt;/D&gt;&lt;D xsi:type="xsd:double"&gt;38.16&lt;/D&gt;&lt;D xsi:type="xsd:double"&gt;38.33&lt;/D&gt;&lt;D xsi:type="xsd:double"&gt;38.39&lt;/D&gt;&lt;D xsi:type="xsd:double"&gt;38.6&lt;/D&gt;&lt;D xsi:type="xsd:double"&gt;38.21&lt;/D&gt;&lt;D xsi:type="xsd:double"&gt;39.17&lt;/D&gt;&lt;D xsi:type="xsd:double"&gt;39.17&lt;/D&gt;&lt;D xsi:type="xsd:double"&gt;39.28&lt;/D&gt;&lt;D xsi:type="xsd:double"&gt;39.3&lt;/D&gt;&lt;D xsi:type="xsd:double"&gt;39.89&lt;/D&gt;&lt;D xsi:type="xsd:double"&gt;39.91&lt;/D&gt;&lt;D xsi:type="xsd:double"&gt;40.19&lt;/D&gt;&lt;D xsi:type="xsd:double"&gt;40.13&lt;/D&gt;&lt;D xsi:type="xsd:double"&gt;40.21&lt;/D&gt;&lt;D xsi:type="xsd:double"&gt;40.3&lt;/D&gt;&lt;D xsi:type="xsd:double"&gt;40.04&lt;/D&gt;&lt;D xsi:type="xsd:double"&gt;39.54&lt;/D&gt;&lt;D xsi:type="xsd:double"&gt;39.44&lt;/D&gt;&lt;D xsi:type="xsd:double"&gt;39.53&lt;/D&gt;&lt;D xsi:type="xsd:double"&gt;39.72&lt;/D&gt;&lt;D xsi:type="xsd:double"&gt;39.71&lt;/D&gt;&lt;D xsi:type="xsd:double"&gt;40.33&lt;/D&gt;&lt;D xsi:type="xsd:double"&gt;40.01&lt;/D&gt;&lt;D xsi:type="xsd:double"&gt;40.43&lt;/D&gt;&lt;D xsi:type="xsd:double"&gt;40.74&lt;/D&gt;&lt;D xsi:type="xsd:double"&gt;40.85&lt;/D&gt;&lt;D xsi:type="xsd:double"&gt;41.16&lt;/D&gt;&lt;D xsi:type="xsd:double"&gt;41.05&lt;/D&gt;&lt;D xsi:type="xsd:double"&gt;40.37&lt;/D&gt;&lt;D xsi:type="xsd:double"&gt;40.41&lt;/D&gt;&lt;D xsi:type="xsd:double"&gt;39.9&lt;/D&gt;&lt;D xsi:type="xsd:double"&gt;40.19&lt;/D&gt;&lt;D xsi:type="xsd:double"&gt;40.19&lt;/D&gt;&lt;D xsi:type="xsd:double"&gt;40.04&lt;/D&gt;&lt;D xsi:type="xsd:double"&gt;40.24&lt;/D&gt;&lt;D xsi:type="xsd:double"&gt;40.01&lt;/D&gt;&lt;D xsi:type="xsd:double"&gt;39.58&lt;/D&gt;&lt;D xsi:type="xsd:double"&gt;39.34&lt;/D&gt;&lt;D xsi:type="xsd:double"&gt;40.2&lt;/D&gt;&lt;D xsi:type="xsd:double"&gt;38.17&lt;/D&gt;&lt;D xsi:type="xsd:double"&gt;38.75&lt;/D&gt;&lt;D xsi:type="xsd:double"&gt;38.98&lt;/D&gt;&lt;D xsi:type="xsd:double"&gt;40.61&lt;/D&gt;&lt;D xsi:type="xsd:double"&gt;41.52&lt;/D&gt;&lt;D xsi:type="xsd:double"&gt;41.34&lt;/D&gt;&lt;D xsi:type="xsd:double"&gt;41.37&lt;/D&gt;&lt;D xsi:type="xsd:double"&gt;41.07&lt;/D&gt;&lt;D xsi:type="xsd:double"&gt;41.39&lt;/D&gt;&lt;/FQL&gt;&lt;FQL&gt;&lt;Q&gt;VNM^FG_PRICE(0,-200D)&lt;/Q&gt;&lt;R&gt;201&lt;/R&gt;&lt;C&gt;1&lt;/C&gt;&lt;D xsi:type="xsd:double"&gt;19.08&lt;/D&gt;&lt;D xsi:type="xsd:double"&gt;19.08&lt;/D&gt;&lt;D xsi:type="xsd:double"&gt;19.01&lt;/D&gt;&lt;D xsi:type="xsd:double"&gt;18.92&lt;/D&gt;&lt;D xsi:type="xsd:double"&gt;18.4&lt;/D&gt;&lt;D xsi:type="xsd:double"&gt;19.01&lt;/D&gt;&lt;D xsi:type="xsd:double"&gt;19.01&lt;/D&gt;&lt;D xsi:type="xsd:double"&gt;19.08&lt;/D&gt;&lt;D xsi:type="xsd:double"&gt;18.61&lt;/D&gt;&lt;D xsi:type="xsd:double"&gt;18.39&lt;/D&gt;&lt;D xsi:type="xsd:double"&gt;17.88&lt;/D&gt;&lt;D xsi:type="xsd:double"&gt;17.54&lt;/D&gt;&lt;D xsi:type="xsd:double"&gt;17.85&lt;/D&gt;&lt;D xsi:type="xsd:double"&gt;17.42&lt;/D&gt;&lt;D xsi:type="xsd:double"&gt;17.49&lt;/D&gt;&lt;D xsi:type="xsd:double"&gt;18.27&lt;/D&gt;&lt;D xsi:type="xsd:double"&gt;18.28&lt;/D&gt;&lt;D xsi:type="xsd:double"&gt;18.65&lt;/D&gt;&lt;D xsi:type="xsd:double"&gt;18.72&lt;/D&gt;&lt;D xsi:type="xsd:double"&gt;18.65&lt;/D&gt;&lt;D xsi:type="xsd:double"&gt;18.59&lt;/D&gt;&lt;D xsi:type="xsd:double"&gt;18.69&lt;/D&gt;&lt;D xsi:type="xsd:double"&gt;18.65&lt;/D&gt;&lt;D xsi:type="xsd:double"&gt;18.38&lt;/D&gt;&lt;D xsi:type="xsd:double"&gt;18.34&lt;/D&gt;&lt;D xsi:type="xsd:double"&gt;18.24&lt;/D&gt;&lt;D xsi:type="xsd:double"&gt;18.24&lt;/D&gt;&lt;D xsi:type="xsd:double"&gt;17.75&lt;/D&gt;&lt;D xsi:type="xsd:double"&gt;17.91&lt;/D&gt;&lt;D xsi:type="xsd:double"&gt;17.72&lt;/D&gt;&lt;D xsi:type="xsd:double"&gt;17.45&lt;/D&gt;&lt;D xsi:type="xsd:double"&gt;17.61&lt;/D&gt;&lt;D xsi:type="xsd:double"&gt;17.73&lt;/D&gt;&lt;D xsi:type="xsd:double"&gt;17.66&lt;/D&gt;&lt;D xsi:type="xsd:double"&gt;17.59&lt;/D&gt;&lt;D xsi:type="xsd:double"&gt;17.42&lt;/D&gt;&lt;D xsi:type="xsd:double"&gt;17.53&lt;/D&gt;&lt;D xsi:type="xsd:double"&gt;16.93&lt;/D&gt;&lt;D xsi:type="xsd:double"&gt;16.71&lt;/D&gt;&lt;D xsi:type="xsd:double"&gt;16.88&lt;/D&gt;&lt;D xsi:type="xsd:doub</t>
        </r>
      </text>
    </comment>
    <comment ref="A4" authorId="0" shapeId="0" xr:uid="{0F94886B-2A30-4EE9-8187-DB5F26F5C1E0}">
      <text>
        <r>
          <rPr>
            <b/>
            <sz val="9"/>
            <color indexed="81"/>
            <rFont val="Tahoma"/>
            <charset val="1"/>
          </rPr>
          <t>le"&gt;17.32&lt;/D&gt;&lt;D xsi:type="xsd:double"&gt;17.57&lt;/D&gt;&lt;D xsi:type="xsd:double"&gt;17.53&lt;/D&gt;&lt;D xsi:type="xsd:double"&gt;17.09&lt;/D&gt;&lt;D xsi:type="xsd:double"&gt;17.43&lt;/D&gt;&lt;D xsi:type="xsd:double"&gt;17.71&lt;/D&gt;&lt;D xsi:type="xsd:double"&gt;18.15&lt;/D&gt;&lt;D xsi:type="xsd:double"&gt;18.18&lt;/D&gt;&lt;D xsi:type="xsd:double"&gt;17.74&lt;/D&gt;&lt;D xsi:type="xsd:double"&gt;18.21&lt;/D&gt;&lt;D xsi:type="xsd:double"&gt;18.29&lt;/D&gt;&lt;D xsi:type="xsd:double"&gt;18.17&lt;/D&gt;&lt;D xsi:type="xsd:double"&gt;18.045&lt;/D&gt;&lt;D xsi:type="xsd:double"&gt;18.2&lt;/D&gt;&lt;D xsi:type="xsd:double"&gt;19.2&lt;/D&gt;&lt;D xsi:type="xsd:double"&gt;19.64&lt;/D&gt;&lt;D xsi:type="xsd:double"&gt;19.42&lt;/D&gt;&lt;D xsi:type="xsd:double"&gt;19.69&lt;/D&gt;&lt;D xsi:type="xsd:double"&gt;19.59&lt;/D&gt;&lt;D xsi:type="xsd:double"&gt;18.98&lt;/D&gt;&lt;D xsi:type="xsd:double"&gt;18.75&lt;/D&gt;&lt;D xsi:type="xsd:double"&gt;18.43&lt;/D&gt;&lt;D xsi:type="xsd:double"&gt;18.23&lt;/D&gt;&lt;D xsi:type="xsd:double"&gt;18.435&lt;/D&gt;&lt;D xsi:type="xsd:double"&gt;17.53&lt;/D&gt;&lt;D xsi:type="xsd:double"&gt;17.515&lt;/D&gt;&lt;D xsi:type="xsd:double"&gt;18.04&lt;/D&gt;&lt;D xsi:type="xsd:double"&gt;17.84&lt;/D&gt;&lt;D xsi:type="xsd:double"&gt;17.69&lt;/D&gt;&lt;D xsi:type="xsd:double"&gt;17.55&lt;/D&gt;&lt;D xsi:type="xsd:double"&gt;17.67&lt;/D&gt;&lt;D xsi:type="xsd:double"&gt;17.58&lt;/D&gt;&lt;D xsi:type="xsd:double"&gt;17.29&lt;/D&gt;&lt;D xsi:type="xsd:double"&gt;17.53&lt;/D&gt;&lt;D xsi:type="xsd:double"&gt;17.68&lt;/D&gt;&lt;D xsi:type="xsd:double"&gt;17.8&lt;/D&gt;&lt;D xsi:type="xsd:double"&gt;17.88&lt;/D&gt;&lt;D xsi:type="xsd:double"&gt;18.06&lt;/D&gt;&lt;D xsi:type="xsd:double"&gt;18.4&lt;/D&gt;&lt;D xsi:type="xsd:double"&gt;17.97&lt;/D&gt;&lt;D xsi:type="xsd:double"&gt;18.03&lt;/D&gt;&lt;D xsi:type="xsd:double"&gt;17.75&lt;/D&gt;&lt;D xsi:type="xsd:double"&gt;17.67&lt;/D&gt;&lt;D xsi:type="xsd:double"&gt;17.37&lt;/D&gt;&lt;D xsi:type="xsd:double"&gt;17.97&lt;/D&gt;&lt;D xsi:type="xsd:double"&gt;18.43&lt;/D&gt;&lt;D xsi:type="xsd:double"&gt;18.25&lt;/D&gt;&lt;D xsi:type="xsd:double"&gt;18.14&lt;/D&gt;&lt;D xsi:type="xsd:double"&gt;18.29&lt;/D&gt;&lt;D xsi:type="xsd:double"&gt;18.29&lt;/D&gt;&lt;D xsi:type="xsd:double"&gt;18.315&lt;/D&gt;&lt;D xsi:type="xsd:double"&gt;18.02&lt;/D&gt;&lt;D xsi:type="xsd:double"&gt;17.96&lt;/D&gt;&lt;D xsi:type="xsd:double"&gt;17.22&lt;/D&gt;&lt;D xsi:type="xsd:double"&gt;17.36&lt;/D&gt;&lt;D xsi:type="xsd:double"&gt;17.6&lt;/D&gt;&lt;D xsi:type="xsd:double"&gt;17.69&lt;/D&gt;&lt;D xsi:type="xsd:double"&gt;17.9&lt;/D&gt;&lt;D xsi:type="xsd:double"&gt;17.84&lt;/D&gt;&lt;D xsi:type="xsd:double"&gt;17.71&lt;/D&gt;&lt;D xsi:type="xsd:double"&gt;17.76&lt;/D&gt;&lt;D xsi:type="xsd:double"&gt;17.46&lt;/D&gt;&lt;D xsi:type="xsd:double"&gt;17.44&lt;/D&gt;&lt;D xsi:type="xsd:double"&gt;17.27&lt;/D&gt;&lt;D xsi:type="xsd:double"&gt;17.18&lt;/D&gt;&lt;D xsi:type="xsd:double"&gt;16.8&lt;/D&gt;&lt;D xsi:type="xsd:double"&gt;17.09&lt;/D&gt;&lt;D xsi:type="xsd:double"&gt;16.67&lt;/D&gt;&lt;D xsi:type="xsd:double"&gt;16.58&lt;/D&gt;&lt;D xsi:type="xsd:double"&gt;15.95&lt;/D&gt;&lt;D xsi:type="xsd:double"&gt;16.01&lt;/D&gt;&lt;D xsi:type="xsd:double"&gt;16.03&lt;/D&gt;&lt;D xsi:type="xsd:double"&gt;15.9&lt;/D&gt;&lt;D xsi:type="xsd:double"&gt;16.78&lt;/D&gt;&lt;D xsi:type="xsd:double"&gt;16.47&lt;/D&gt;&lt;D xsi:type="xsd:double"&gt;15.995&lt;/D&gt;&lt;D xsi:type="xsd:double"&gt;16&lt;/D&gt;&lt;D xsi:type="xsd:double"&gt;15.82&lt;/D&gt;&lt;D xsi:type="xsd:double"&gt;15.35&lt;/D&gt;&lt;D xsi:type="xsd:double"&gt;15.575&lt;/D&gt;&lt;D xsi:type="xsd:double"&gt;15.67&lt;/D&gt;&lt;D xsi:type="xsd:double"&gt;15.41&lt;/D&gt;&lt;D xsi:type="xsd:double"&gt;15.04&lt;/D&gt;&lt;D xsi:type="xsd:double"&gt;15.24&lt;/D&gt;&lt;D xsi:type="xsd:double"&gt;15.22&lt;/D&gt;&lt;D xsi:type="xsd:double"&gt;15.12&lt;/D&gt;&lt;D xsi:type="xsd:double"&gt;14.89&lt;/D&gt;&lt;D xsi:type="xsd:double"&gt;14.51&lt;/D&gt;&lt;D xsi:type="xsd:double"&gt;14.18&lt;/D&gt;&lt;D xsi:type="xsd:double"&gt;13.96&lt;/D&gt;&lt;D xsi:type="xsd:double"&gt;13.96&lt;/D&gt;&lt;D xsi:type="xsd:double"&gt;13.76&lt;/D&gt;&lt;D xsi:type="xsd:double"&gt;13.72&lt;/D&gt;&lt;D xsi:type="xsd:double"&gt;13.75&lt;/D&gt;&lt;D xsi:type="xsd:double"&gt;13.73&lt;/D&gt;&lt;D xsi:type="xsd:double"&gt;13.61&lt;/D&gt;&lt;D xsi:type="xsd:double"&gt;13.54&lt;/D&gt;&lt;D xsi:type="xsd:double"&gt;13.62&lt;/D&gt;&lt;D xsi:type="xsd:double"&gt;13.4&lt;/D&gt;&lt;D xsi:type="xsd:double"&gt;13.345&lt;/D&gt;&lt;D xsi:type="xsd:double"&gt;13.36&lt;/D&gt;&lt;D xsi:type="xsd:double"&gt;13.36&lt;/D&gt;&lt;D xsi:type="xsd:double"&gt;13.31&lt;/D&gt;&lt;D xsi:type="xsd:double"&gt;13.26&lt;/D&gt;&lt;D xsi:type="xsd:double"&gt;13.02&lt;/D&gt;&lt;D xsi:type="xsd:double"&gt;13.36&lt;/D&gt;&lt;D xsi:type="xsd:double"&gt;13.32&lt;/D&gt;&lt;D xsi:type="xsd:double"&gt;13.4&lt;/D&gt;&lt;D xsi:type="xsd:double"&gt;13.26&lt;/D&gt;&lt;D xsi:type="xsd:double"&gt;13.64&lt;/D&gt;&lt;D xsi:type="xsd:double"&gt;13.74&lt;/D&gt;&lt;D xsi:type="xsd:double"&gt;13.86&lt;/D&gt;&lt;D xsi:type="xsd:double"&gt;13.96&lt;/D&gt;&lt;D xsi:type="xsd:double"&gt;13.81&lt;/D&gt;&lt;D xsi:type="xsd:double"&gt;13.59&lt;/D&gt;&lt;D xsi:type="xsd:double"&gt;13.51&lt;/D&gt;&lt;D xsi:type="xsd:double"&gt;13.71&lt;/D&gt;&lt;D xsi:type="xsd:double"&gt;13.585&lt;/D&gt;&lt;D xsi:type="xsd:double"&gt;13.14&lt;/D&gt;&lt;D xsi:type="xsd:double"&gt;13.14&lt;/D&gt;&lt;D xsi:type="xsd:double"&gt;13.17&lt;/D&gt;&lt;D xsi:type="xsd:double"&gt;13.21&lt;/D&gt;&lt;D xsi:type="xsd:double"&gt;13.09&lt;/D&gt;&lt;D xsi:type="xsd:double"&gt;12.865&lt;/D&gt;&lt;D xsi:type="xsd:double"&gt;12.75&lt;/D&gt;&lt;D xsi:type="xsd:double"&gt;12.81&lt;/D&gt;&lt;D xsi:type="xsd:double"&gt;12.82&lt;/D&gt;&lt;D xsi:type="xsd:double"&gt;12.74&lt;/D&gt;&lt;D xsi:type="xsd:double"&gt;12.69&lt;/D&gt;&lt;D xsi:type="xsd:double"&gt;12.49&lt;/D&gt;&lt;D xsi:type="xsd:double"&gt;12.6&lt;/D&gt;&lt;D xsi:type="xsd:double"&gt;12.42&lt;/D&gt;&lt;D xsi:type="xsd:double"&gt;12.22&lt;/D&gt;&lt;D xsi:type="xsd:double"&gt;12.27&lt;/D&gt;&lt;D xsi:type="xsd:double"&gt;12.24&lt;/D&gt;&lt;D xsi:type="xsd:double"&gt;12.11&lt;/D&gt;&lt;D xsi:type="xsd:double"&gt;12.07&lt;/D&gt;&lt;D xsi:type="xsd:double"&gt;12.05&lt;/D&gt;&lt;D xsi:type="xsd:double"&gt;11.95&lt;/D&gt;&lt;D xsi:type="xsd:double"&gt;12.01&lt;/D&gt;&lt;D xsi:type="xsd:double"&gt;12&lt;/D&gt;&lt;D xsi:type="xsd:double"&gt;11.62&lt;/D&gt;&lt;D xsi:type="xsd:double"&gt;11.64&lt;/D&gt;&lt;D xsi:type="xsd:double"&gt;11.51&lt;/D&gt;&lt;D xsi:type="xsd:double"&gt;11.73&lt;/D&gt;&lt;D xsi:type="xsd:double"&gt;11.73&lt;/D&gt;&lt;D xsi:type="xsd:double"&gt;11.5&lt;/D&gt;&lt;D xsi:type="xsd:double"&gt;11.74&lt;/D&gt;&lt;D xsi:type="xsd:double"&gt;11.93&lt;/D&gt;&lt;D xsi:type="xsd:double"&gt;11.87&lt;/D&gt;&lt;D xsi:type="xsd:double"&gt;11.31&lt;/D&gt;&lt;D xsi:type="xsd:double"&gt;11.46&lt;/D&gt;&lt;D xsi:type="xsd:double"&gt;10.13&lt;/D&gt;&lt;D xsi:type="xsd:double"&gt;11.16&lt;/D&gt;&lt;D xsi:type="xsd:double"&gt;11.64&lt;/D&gt;&lt;D xsi:type="xsd:double"&gt;11.4&lt;/D&gt;&lt;D xsi:type="xsd:double"&gt;12.7&lt;/D&gt;&lt;D xsi:type="xsd:double"&gt;12.56&lt;/D&gt;&lt;D xsi:type="xsd:double"&gt;12.48&lt;/D&gt;&lt;D xsi:type="xsd:double"&gt;12.38&lt;/D&gt;&lt;D xsi:type="xsd:double"&gt;12.56&lt;/D&gt;&lt;/FQL&gt;&lt;FQL&gt;&lt;Q&gt;UAE^FG_PRICE(0,-200D)&lt;/Q&gt;&lt;R&gt;201&lt;/R&gt;&lt;C&gt;1&lt;/C&gt;&lt;D xsi:type="xsd:double"&gt;19.12&lt;/D&gt;&lt;D xsi:type="xsd:double"&gt;19.12&lt;/D&gt;&lt;D xsi:type="xsd:double"&gt;19.05&lt;/D&gt;&lt;D xsi:type="xsd:double"&gt;19.6&lt;/D&gt;&lt;D xsi:type="xsd:double"&gt;19.54&lt;/D&gt;&lt;D xsi:type="xsd:double"&gt;19.52&lt;/D&gt;&lt;D xsi:type="xsd:double"&gt;19.52&lt;/D&gt;&lt;D xsi:type="xsd:double"&gt;19.56&lt;/D&gt;&lt;D xsi:type="xsd:double"&gt;19.45&lt;/D&gt;&lt;D xsi:type="xsd:double"&gt;19.25&lt;/D&gt;&lt;D xsi:type="xsd:double"&gt;19.31&lt;/D&gt;&lt;D xsi:type="xsd:double"&gt;19.1129&lt;/D&gt;&lt;D xsi:type="xsd:double"&gt;19.24&lt;/D&gt;&lt;D xsi:type="xsd:double"&gt;19.38&lt;/D&gt;&lt;D xsi:type="xsd:double"&gt;19.35&lt;/D&gt;&lt;D xsi:type="xsd:double"&gt;19.51&lt;/D&gt;&lt;D xsi:type="xsd:double"&gt;19.4401&lt;/D&gt;&lt;D xsi:type="xsd:double"&gt;19.38&lt;/D&gt;&lt;D xsi:type="xsd:double"&gt;19.08&lt;/D&gt;&lt;D xsi:type="xsd:double"&gt;19.22&lt;/D&gt;&lt;D xsi:type="xsd:double"&gt;19.05&lt;/D&gt;&lt;D xsi:type="xsd:double"&gt;18.85&lt;/D&gt;&lt;D xsi:type="xsd:double"&gt;18.53&lt;/D&gt;&lt;D xsi:type="xsd:double"&gt;18.4941&lt;/D&gt;&lt;D xsi:type="xsd:double"&gt;18.58&lt;/D&gt;&lt;D xsi:type="xsd:double"&gt;18.53&lt;/D&gt;&lt;D xsi:type="xsd:double"&gt;18.53&lt;/D&gt;&lt;D xsi:type="xsd:double"&gt;18.71&lt;/D&gt;&lt;D xsi:type="xsd:double"&gt;18.75&lt;/D&gt;&lt;D xsi:type="xsd:double"&gt;18.68&lt;/D&gt;&lt;D xsi:type="xsd:double"&gt;18.7582&lt;/D&gt;&lt;D xsi:type="xsd:double"&gt;18.87&lt;/D&gt;&lt;D xsi:type="xsd:double"&gt;18.85&lt;/D&gt;&lt;D xsi:type="xsd:double"&gt;18.93&lt;/D&gt;&lt;D xsi:type="xsd:double"&gt;19.17&lt;/D&gt;&lt;D xsi:type="xsd:double"&gt;19.19&lt;/D&gt;&lt;D xsi:type="xsd:double"&gt;19.48&lt;/D&gt;&lt;D xsi:type="xsd:double"&gt;19.69&lt;/D&gt;&lt;D xsi:type="xsd:double"&gt;19.53&lt;/D&gt;&lt;D xsi:type="xsd:double"&gt;19.43&lt;/D&gt;&lt;D xsi:type="xsd:double"&gt;19.31&lt;/D&gt;&lt;D xsi:type="xsd:double"&gt;19.35&lt;/D&gt;&lt;D xsi:type="xsd:double"&gt;19.36&lt;/D&gt;&lt;D xsi:type="xsd:double"&gt;19.58&lt;/D&gt;&lt;D xsi:type="xsd:double"&gt;19.68&lt;/D&gt;&lt;D xsi:type="xsd:double"&gt;20.15&lt;/D&gt;&lt;D xsi:type="xsd:double"&gt;20&lt;/D&gt;&lt;D xsi:type="xsd:double"&gt;20.01&lt;/D&gt;&lt;D xsi:type="xsd:double"&gt;19.97&lt;/D&gt;&lt;D xsi:type="xsd:double"&gt;19.98&lt;/D&gt;&lt;D xsi:type="xsd:double"&gt;19.92&lt;/D&gt;&lt;D xsi:type="xsd:double"&gt;19.69&lt;/D&gt;&lt;D xsi:type="xsd:double"&gt;19.58&lt;/D&gt;&lt;D xsi:type="xsd:double"&gt;19.57&lt;/D&gt;&lt;D xsi:type="xsd:double"&gt;19.63&lt;/D&gt;&lt;D xsi:type="xsd:double"&gt;19.47&lt;/D&gt;&lt;D xsi:type="xsd:double"&gt;19.47&lt;/D&gt;&lt;D xsi:type="xsd:double"&gt;19.57&lt;/D&gt;&lt;D xsi:type="xsd:double"&gt;19.16&lt;/D&gt;&lt;D xsi:type="xsd:double"&gt;19&lt;/D&gt;&lt;D xsi:type="xsd:double"&gt;19.25&lt;/D&gt;&lt;D xsi:type="xsd:double"&gt;19.29&lt;/D&gt;&lt;D xsi:type="xsd:double"&gt;19.13&lt;/D&gt;&lt;D xsi:type="xsd:double"&gt;19.04&lt;/D&gt;&lt;D xsi:type="xsd:double"&gt;19.11&lt;/D&gt;&lt;D xsi:type="xsd:double"&gt;19.08&lt;/D&gt;&lt;D xsi:type="xsd:double"&gt;18.99&lt;/D&gt;&lt;D xsi:type="xsd:double"&gt;18.89&lt;/D&gt;&lt;D xsi:type="xsd:double"&gt;18.82&lt;/D&gt;&lt;D xsi:type="xsd:double"&gt;18.98&lt;/D&gt;&lt;D xsi:type="xsd:double"&gt;18.84&lt;/D&gt;&lt;D xsi:type="xsd:double"&gt;18.68&lt;/D&gt;&lt;D xsi:type="xsd:double"&gt;19.14&lt;/D&gt;&lt;D xsi:type="xsd:double"&gt;19.55&lt;/D&gt;&lt;D xsi:type="xsd:double"&gt;19.47&lt;/D&gt;&lt;D xsi:type="xsd:double"&gt;19.36&lt;/D&gt;&lt;D xsi:type="xsd:double"&gt;19.16&lt;/D&gt;&lt;D xsi:type="xsd:double"&gt;19.32&lt;/D&gt;&lt;D xsi:type="xsd:double"&gt;19.2&lt;/D&gt;&lt;D xsi:type="xsd:double"&gt;19.17&lt;/D&gt;&lt;D xsi:type="xsd:double"&gt;19.01&lt;/D&gt;&lt;D xsi:type="xsd:double"&gt;18.85&lt;/D&gt;&lt;D xsi:type="xsd:double"&gt;18.91&lt;/D&gt;&lt;D xsi:type="xsd:double"&gt;18.94&lt;/D&gt;&lt;D xsi:type="xsd:double"&gt;19.16&lt;/D&gt;&lt;D xsi:type="xsd:double"&gt;19.2&lt;/D&gt;&lt;D xsi:type="xsd:double"&gt;19.03&lt;/D&gt;&lt;D xsi:type="xsd:double"&gt;19.14&lt;/D&gt;&lt;D xsi:type="xsd:double"&gt;19.38&lt;/D&gt;&lt;D xsi:type="xsd:double"&gt;19.38&lt;/D&gt;&lt;D xsi:type="xsd:double"&gt;19.53&lt;/D&gt;&lt;D xsi:type="xsd:double"&gt;19.68&lt;/D&gt;&lt;D xsi:type="xsd:double"&gt;19.75&lt;/D&gt;&lt;D xsi:type="xsd:double"&gt;19.83&lt;/D&gt;&lt;D xsi:type="xsd:double"&gt;19.96&lt;/D&gt;&lt;D xsi:type="xsd:double"&gt;19.753&lt;/D&gt;&lt;D xsi:type="xsd:double"&gt;19.8&lt;/D&gt;&lt;D xsi:type="xsd:double"&gt;19.8383&lt;/D&gt;&lt;D xsi:type="xsd:double"&gt;19.965&lt;/D&gt;&lt;D xsi:type="xsd:double"&gt;19.905&lt;/D&gt;&lt;D xsi:type="xsd:double"&gt;19.98&lt;/D&gt;&lt;D xsi:type="xsd:double"&gt;19.93&lt;/D&gt;&lt;D xsi:type="xsd:double"&gt;20.15&lt;/D&gt;&lt;D xsi:type="xsd:double"&gt;20.08&lt;/D&gt;&lt;D xsi:type="xsd:double"&gt;20.14&lt;/D&gt;&lt;D xsi:type="xsd:double"&gt;20.1&lt;/D&gt;&lt;D xsi:type="xsd:double"&gt;20.25&lt;/D&gt;&lt;D xsi:type="xsd:double"&gt;20.01&lt;/D&gt;&lt;D xsi:type="xsd:double"&gt;20.21&lt;/D&gt;&lt;D xsi:type="xsd:double"&gt;19.95&lt;/D&gt;&lt;D xsi:type="xsd:double"&gt;20.0399&lt;/D&gt;&lt;D xsi:type="xsd:double"&gt;20.26&lt;/D&gt;&lt;D xsi:type="xsd:double"&gt;20.145&lt;/D&gt;&lt;D xsi:type="xsd:double"&gt;20.32&lt;/D&gt;&lt;D xsi:type="xsd:double"&gt;20.35&lt;/D&gt;&lt;D xsi:type="xsd:double"&gt;20.11&lt;/D&gt;&lt;D xsi:type="xsd:double"&gt;20.105&lt;/D&gt;&lt;D xsi:type="xsd:double"&gt;19.795&lt;/D&gt;&lt;D xsi:type="xsd:double"&gt;19.9&lt;/D&gt;&lt;D xsi:type="xsd:double"&gt;19.98&lt;/D&gt;&lt;D xsi:type="xsd:double"&gt;20.05&lt;/D&gt;&lt;D xsi:type="xsd:double"&gt;19.86&lt;/D&gt;&lt;D xsi:type="xsd:double"&gt;19.41&lt;/D&gt;&lt;D xsi:type="xsd:double"&gt;19.37&lt;/D&gt;&lt;D xsi:type="xsd:double"&gt;19.21&lt;/D&gt;&lt;D xsi:type="xsd:double"&gt;19.08&lt;/D&gt;&lt;D xsi:type="xsd:double"&gt;19.13&lt;/D&gt;&lt;D xsi:type="xsd:double"&gt;18.84&lt;/D&gt;&lt;D xsi:type="xsd:double"&gt;18.86&lt;/D&gt;&lt;D xsi:type="xsd:double"&gt;18.84&lt;/D&gt;&lt;D xsi:type="xsd:double"&gt;18.84&lt;/D&gt;&lt;D xsi:type="xsd:double"&gt;18.6&lt;/D&gt;&lt;D xsi:type="xsd:double"&gt;18.66&lt;/D&gt;&lt;D xsi:type="xsd:double"&gt;18.72&lt;/D&gt;&lt;D xsi:type="xsd:double"&gt;18.57&lt;/D&gt;&lt;D xsi:type="xsd:double"&gt;18.5&lt;/D&gt;&lt;D xsi:type="xsd:double"&gt;18.22&lt;/D&gt;&lt;D xsi:type="xsd:double"&gt;18.3&lt;/D&gt;&lt;D xsi:type="xsd:double"&gt;17.66&lt;/D&gt;&lt;D xsi:type="xsd:double"&gt;17.26&lt;/D&gt;&lt;D xsi:type="xsd:double"&gt;16.99&lt;/D&gt;&lt;D xsi:type="xsd:double"&gt;16.99&lt;/D&gt;&lt;D xsi:type="xsd:double"&gt;17.24&lt;/D&gt;&lt;D xsi:type="xsd:double"&gt;17.56&lt;/D&gt;&lt;D xsi:type="xsd:double"&gt;17.88&lt;/D&gt;&lt;D xsi:type="xsd:double"&gt;18.395&lt;/D&gt;&lt;D xsi:type="xsd:double"&gt;18.72&lt;/D&gt;&lt;D xsi:type="xsd:double"&gt;18.78&lt;/D&gt;&lt;D xsi:type="xsd:double"&gt;18.71&lt;/D&gt;&lt;D xsi:type="xsd:double"&gt;18.67&lt;/D&gt;&lt;D xsi:type="xsd:double"&gt;18.61&lt;/D&gt;&lt;D xsi:type="xsd:double"&gt;18.59&lt;/D&gt;&lt;D xsi:type="xsd:double"&gt;18.59&lt;/D&gt;&lt;D xsi:type="xsd:double"&gt;18.45&lt;/D&gt;&lt;D xsi:type="xsd:double"&gt;18.57&lt;/D&gt;&lt;D xsi:type="xsd:double"&gt;18.59&lt;/D&gt;&lt;D xsi:type="xsd:double"&gt;18.66&lt;/D&gt;&lt;D xsi:type="xsd:double"&gt;18.62&lt;/D&gt;&lt;D xsi:type="xsd:double"&gt;18.45&lt;/D&gt;&lt;D xsi:type="xsd:double"&gt;18.45&lt;/D&gt;&lt;D xsi:type="xsd:double"&gt;18.53&lt;/D&gt;&lt;D xsi:type="xsd:double"&gt;18.57&lt;/D&gt;&lt;D xsi:type="xsd:double"&gt;18.71&lt;/D&gt;&lt;D xsi:type="xsd:double"&gt;18.65&lt;/D&gt;&lt;D xsi:type="xsd:double"&gt;18.48&lt;/D&gt;&lt;D xsi:type="xsd:double"&gt;18.3&lt;/D&gt;&lt;D xsi:type="xsd:double"&gt;18.16&lt;/D&gt;&lt;D xsi:type="xsd:double"&gt;18.36&lt;/D&gt;&lt;D xsi:type="xsd:double"&gt;18.13&lt;/D&gt;&lt;D xsi:type="xsd:double"&gt;18.15&lt;/D&gt;&lt;D xsi:type="xsd:double"&gt;18.14&lt;/D&gt;&lt;D xsi:type="xsd:double"&gt;18.18&lt;/D&gt;&lt;D xsi:type="xsd:double"&gt;18.31&lt;/D&gt;&lt;D xsi:type="xsd:double"&gt;18.23&lt;/D&gt;&lt;D xsi:type="xsd:double"&gt;18.14&lt;/D&gt;&lt;D xsi:type="xsd:double"&gt;17.96&lt;/D&gt;&lt;D xsi:type="xsd:double"&gt;17.88&lt;/D&gt;&lt;D xsi:type="xsd:double"&gt;17.99&lt;/D&gt;&lt;D xsi:type="xsd:double"&gt;17.64&lt;/D&gt;&lt;D xsi:type="xsd:double"&gt;17.47&lt;/D&gt;&lt;D xsi:type="xsd:double"&gt;17.57&lt;/D&gt;&lt;D xsi:type="xsd:double"&gt;17.23&lt;/D&gt;&lt;D xsi:type="xsd:double"&gt;17.01&lt;/D&gt;&lt;D xsi:type="xsd:double"&gt;16.76&lt;/D&gt;&lt;D xsi:type="xsd:double"&gt;16.76&lt;/D&gt;&lt;D xsi:type="xsd:double"&gt;16.76&lt;/D&gt;&lt;D xsi:type="xsd:double"&gt;16.68&lt;/D&gt;&lt;D xsi:type="xsd:double"&gt;16.79&lt;/D&gt;&lt;D xsi:type="xsd:double"&gt;16.71&lt;/D&gt;&lt;D xsi:type="xsd:double"&gt;16.51&lt;/D&gt;&lt;D xsi:type="xsd:double"&gt;16.17&lt;/D&gt;&lt;D xsi:type="xsd:double"&gt;16.46&lt;/D&gt;&lt;D xsi:type="xsd:double"&gt;15.58&lt;/D&gt;&lt;D xsi:type="xsd:double"&gt;15.88&lt;/D&gt;&lt;D xsi:type="xsd:double"&gt;15.6&lt;/D&gt;&lt;D xsi:type="xsd:double"&gt;16.35&lt;/D&gt;&lt;D xsi:type="xsd:double"&gt;17&lt;/D&gt;&lt;D xsi:type="xsd:double"&gt;16.93&lt;/D&gt;&lt;D xsi:type="xsd:double"&gt;16.97&lt;/D&gt;&lt;D xsi:type="xsd:double"&gt;16.85&lt;/D&gt;&lt;D xsi:type="xsd:double"&gt;17.05&lt;/D&gt;&lt;/FQL&gt;&lt;FQL&gt;&lt;Q&gt;TUR^FG_PRICE(0,-200D)&lt;/Q&gt;&lt;R&gt;201&lt;/R&gt;&lt;C&gt;1&lt;/C&gt;&lt;D xsi:type="xsd:double"&gt;34.42&lt;/D&gt;&lt;D xsi:type="xsd:double"&gt;34.42&lt;/D&gt;&lt;D xsi:type="xsd:double"&gt;34.42&lt;/D&gt;&lt;D xsi:type="xsd:double"&gt;34.41&lt;/D&gt;&lt;D xsi:type="xsd:double"&gt;34.76&lt;/D&gt;&lt;D xsi:type="xsd:double"&gt;34.87&lt;/D&gt;&lt;D xsi:type="xsd:double"&gt;34.87&lt;/D&gt;&lt;D xsi:type="xsd:double"&gt;34.815&lt;/D&gt;&lt;D xsi:type="xsd:double"&gt;34.61&lt;/D&gt;&lt;D xsi:type="xsd:double"&gt;34.86&lt;/D&gt;&lt;D xsi:type="xsd:double"&gt;34.82&lt;/D&gt;&lt;D xsi:type="xsd:double"&gt;34.735&lt;/D&gt;&lt;D xsi:type="xsd:double"&gt;34.71&lt;/D&gt;&lt;D xsi:type="xsd:double"&gt;35.29&lt;/D&gt;&lt;D xsi:type="xsd:double"&gt;34.82&lt;/D&gt;&lt;D xsi:type="xsd:double"&gt;34.82&lt;/D&gt;&lt;D xsi:type="xsd:double"&gt;34.73&lt;/D&gt;&lt;D xsi:type="xsd:double"&gt;34.66&lt;/D&gt;&lt;D xsi:type="xsd:double"&gt;34.42&lt;/D&gt;&lt;D xsi:type="xsd:double"&gt;33.84&lt;/D&gt;&lt;D xsi:type="xsd:double"&gt;33.55&lt;/D&gt;&lt;D xsi:type="xsd:double"&gt;33.87&lt;/D&gt;&lt;D xsi:type="xsd:double"&gt;34.1&lt;/D&gt;&lt;D xsi:type="xsd:double"&gt;34.03&lt;/D&gt;&lt;D xsi:type="xsd:double"&gt;33.5&lt;/D&gt;&lt;D xsi:type="xsd:double"&gt;33.59&lt;/D&gt;&lt;D xsi:type="xsd:double"&gt;33.59&lt;/D&gt;&lt;D xsi:type="xsd:double"&gt;33.54&lt;/D&gt;&lt;D xsi:type="xsd:double"&gt;33.76&lt;/D&gt;&lt;D xsi:type="xsd:double"&gt;33.78&lt;/D&gt;&lt;D xsi:type="xsd:double"&gt;33.58&lt;/D&gt;&lt;D xsi:type="xsd:double"&gt;33.66&lt;/D&gt;&lt;D xsi:type="xsd:double"&gt;33.3&lt;/D&gt;&lt;D xsi:type="xsd:double"&gt;33.08&lt;/D&gt;&lt;D xsi:type="xsd:double"&gt;32.85&lt;/D&gt;&lt;D xsi:type="xsd:double"&gt;32.78&lt;/D&gt;&lt;D xsi:type="xsd:double"&gt;33.03&lt;/D&gt;&lt;D xsi:type="xsd:double"&gt;32.85&lt;/D&gt;&lt;D xsi:type="xsd:double"&gt;33.55&lt;/D&gt;&lt;D xsi:type="xsd:double"&gt;33.86&lt;/D&gt;&lt;D xsi:type="xsd:double"&gt;34.25&lt;/D&gt;&lt;D xsi:type="xsd:double"&gt;34.13&lt;/D&gt;&lt;D xsi:type="xsd:double"&gt;33.91&lt;/D&gt;&lt;D xsi:type="xsd:double"&gt;34.45&lt;/D&gt;&lt;D xsi:type="xsd:double"&gt;34.15&lt;/D&gt;&lt;D xsi:type="xsd:double"&gt;33.64&lt;/D&gt;&lt;D xsi:type="xsd:double"&gt;33.91&lt;/D&gt;&lt;D xsi:type="xsd:double"&gt;33.98&lt;/D&gt;&lt;D xsi:type="xsd:double"&gt;33.89&lt;/D&gt;&lt;D xsi:type="xsd:double"&gt;34.04&lt;/D&gt;&lt;D xsi:type="xsd:double"&gt;33.11&lt;/D&gt;&lt;D xsi:type="xsd:double"&gt;32.96&lt;/D&gt;&lt;D xsi:type="xsd:double"&gt;32.72&lt;/D&gt;&lt;D xsi:type="xsd:double"&gt;32.76&lt;/D&gt;&lt;D xsi:type="xsd:double"&gt;31.9&lt;/D&gt;&lt;D xsi:type="xsd:double"&gt;32.34&lt;/D&gt;&lt;D xsi:type="xsd:double"&gt;32.56&lt;/D&gt;&lt;D xsi:type="xsd:double"&gt;32.35&lt;/D&gt;&lt;D xsi:type="xsd:double"&gt;33.04&lt;/D&gt;&lt;D xsi:type="xsd:double"&gt;32.84&lt;/D&gt;&lt;D xsi:type="xsd:double"&gt;33.37&lt;/D&gt;&lt;D xsi:type="xsd:double"&gt;33.615&lt;/D&gt;&lt;D xsi:type="xsd:double"&gt;33.69&lt;/D&gt;&lt;D xsi:type="xsd:double"&gt;33.47&lt;/D&gt;&lt;D xsi:type="xsd:double"&gt;33.74&lt;/D&gt;&lt;D xsi:type="xsd:double"&gt;34.45&lt;/D&gt;&lt;D xsi:type="xsd:double"&gt;34.96&lt;/D&gt;&lt;D xsi:type="xsd:double"&gt;34.23&lt;/D&gt;&lt;D xsi:type="xsd:double"&gt;34.57&lt;/D&gt;&lt;D xsi:type="xsd:double"&gt;34.77&lt;/D&gt;&lt;D xsi:type="xsd:double"&gt;35.19&lt;/D&gt;&lt;D xsi:type="xsd:double"&gt;35.3&lt;/D&gt;&lt;D xsi:type="xsd:double"&gt;35.06&lt;/D&gt;&lt;D xsi:type="xsd:double"&gt;35.58&lt;/D&gt;&lt;D xsi:type="xsd:double"&gt;35.38&lt;/D&gt;&lt;D xsi:type="xsd:double"&gt;34.35&lt;/D&gt;&lt;D xsi:type="xsd:double"&gt;34.75&lt;/D&gt;&lt;D xsi:type="xsd:double"&gt;34.82&lt;/D&gt;&lt;D xsi:type="xsd:double"&gt;34.24&lt;/D&gt;&lt;D xsi:type="xsd:double"&gt;32.27&lt;/D&gt;&lt;D xsi:type="xsd:double"&gt;32.32&lt;/D&gt;&lt;D xsi:type="xsd:double"&gt;32.92&lt;/D&gt;&lt;D xsi:type="xsd:double"&gt;32.68&lt;/D&gt;&lt;D xsi:type="xsd:double"&gt;32.54&lt;/D&gt;&lt;D xsi:type="xsd:double"&gt;33.33&lt;/D&gt;&lt;D xsi:type="xsd:double"&gt;33.73&lt;/D&gt;&lt;D xsi:type="xsd:double"&gt;33.51&lt;/D&gt;&lt;D xsi:type="xsd:double"&gt;33.97&lt;/D&gt;&lt;D xsi:type="xsd:double"&gt;35.29&lt;/D&gt;&lt;D xsi:type="xsd:double"&gt;35.29&lt;/D&gt;&lt;D xsi:type="xsd:double"&gt;35.54&lt;/D&gt;&lt;D xsi:type="xsd:double"&gt;35.51&lt;/D&gt;&lt;D xsi:type="xsd:double"&gt;35.97&lt;/D&gt;&lt;D xsi:type="xsd:double"&gt;35.93&lt;/D&gt;&lt;D xsi:type="xsd:double"&gt;35.69&lt;/D&gt;&lt;D xsi:type="xsd:double"&gt;35.51&lt;/D&gt;&lt;D xsi:type="xsd:double"&gt;35.04&lt;/D&gt;&lt;D xsi:type="xsd:double"&gt;34.5&lt;/D&gt;&lt;D xsi:type="xsd:double"&gt;34.47&lt;/D&gt;&lt;D xsi:type="xsd:double"&gt;34.24&lt;/D&gt;&lt;D xsi:type="xsd:double"&gt;34.11&lt;/D&gt;&lt;D xsi:type="xsd:double"&gt;34.47&lt;/D&gt;&lt;D xsi:type="xsd:double"&gt;34.54&lt;/D&gt;&lt;D xsi:type="xsd:double"&gt;34.8448&lt;/D&gt;&lt;D xsi:type="xsd:double"&gt;34.68&lt;/D&gt;&lt;D xsi:type="xsd:double"&gt;34.61&lt;/D&gt;&lt;D xsi:type="xsd:double"&gt;34.46&lt;/D&gt;&lt;D xsi:type="xsd:double"&gt;34.29&lt;/D&gt;&lt;D xsi:type="xsd:double"&gt;34.32&lt;/D&gt;&lt;D xsi:type="xsd:double"&gt;33.92&lt;/D&gt;&lt;D xsi:type="xsd:double"&gt;33.85&lt;/D&gt;&lt;D xsi:type="xsd:double"&gt;33.66&lt;/D&gt;&lt;D xsi:type="xsd:double"&gt;33.28&lt;/D&gt;&lt;D xsi:type="xsd:double"&gt;33.43&lt;/D&gt;&lt;D xsi:type="xsd:double"&gt;33.79&lt;/D&gt;&lt;D xsi:type="xsd:double"&gt;33.95&lt;/D&gt;&lt;D xsi:type="xsd:double"&gt;33.86&lt;/D&gt;&lt;D xsi:type="xsd:double"&gt;33.87&lt;/D&gt;&lt;D xsi:type="xsd:double"&gt;33.93&lt;/D&gt;&lt;D xsi:type="xsd:double"&gt;32.995&lt;/D&gt;&lt;D xsi:type="xsd:double"&gt;33.15&lt;/D&gt;&lt;D xsi:type="xsd:double"&gt;32.5&lt;/D&gt;&lt;D xsi:type="xsd:double"&gt;32.84&lt;/D&gt;&lt;D xsi:type="xsd:double"&gt;32.97&lt;/D&gt;&lt;D xsi:type="xsd:double"&gt;33.17&lt;/D&gt;&lt;D xsi:type="xsd:double"&gt;33.25&lt;/D&gt;&lt;D xsi:type="xsd:double"&gt;32.79&lt;/D&gt;&lt;D xsi:type="xsd:double"&gt;32.12&lt;/D&gt;&lt;D xsi:type="xsd:double"&gt;32.44&lt;/D&gt;&lt;D xsi:type="xsd:double"&gt;33.04&lt;/D&gt;&lt;D xsi:type="xsd:double"&gt;33.04&lt;/D&gt;&lt;D xsi:type="xsd:double"&gt;33.07&lt;/D&gt;&lt;D xsi:type="xsd:double"&gt;32.48&lt;/D&gt;&lt;D xsi:type="xsd:double"&gt;32.26&lt;/D&gt;&lt;D xsi:type="xsd:double"&gt;30.49&lt;/D&gt;&lt;D xsi:type="xsd:double"&gt;30.19&lt;/D&gt;&lt;D xsi:type="xsd:double"&gt;30.68&lt;/D&gt;&lt;D xsi:type="xsd:double"&gt;30.86&lt;/D&gt;&lt;D xsi:type="xsd:double"&gt;30.08&lt;/D&gt;&lt;D xsi:type="xsd:double"&gt;29.96&lt;/D&gt;&lt;D xsi:type="xsd:double"&gt;30.11&lt;/D&gt;&lt;D xsi:type="xsd:double"&gt;30.11&lt;/D&gt;&lt;D xsi:type="xsd:double"&gt;30.21&lt;/D&gt;&lt;D xsi:type="xsd:double"&gt;30.63&lt;/D&gt;&lt;D xsi:type="xsd:double"&gt;30.75&lt;/D&gt;&lt;D xsi:type="xsd:double"&gt;31.57&lt;/D&gt;&lt;D xsi:type="xsd:double"&gt;32.11&lt;/D&gt;&lt;D xsi:type="xsd:double"&gt;32.17&lt;/D&gt;&lt;D xsi:type="xsd:double"&gt;31.66&lt;/D&gt;&lt;D xsi:type="xsd:double"&gt;31.61&lt;/D&gt;&lt;D xsi:type="xsd:double"&gt;31.44&lt;/D&gt;&lt;D xsi:type="xsd:double"&gt;31.36&lt;/D&gt;&lt;D xsi:type="xsd:double"&gt;30.84&lt;/D&gt;&lt;D xsi:type="xsd:double"&gt;30.05&lt;/D&gt;&lt;D xsi:type="xsd:double"&gt;29.99&lt;/D&gt;&lt;D xsi:type="xsd:double"&gt;30.54&lt;/D&gt;&lt;D xsi:type="xsd:double"&gt;30.56&lt;/D&gt;&lt;D xsi:type="xsd:double"&gt;30.86&lt;/D&gt;&lt;D xsi:type="xsd:double"&gt;31.24&lt;/D&gt;&lt;D xsi:type="xsd:double"&gt;31.24&lt;/D&gt;&lt;D xsi:type="xsd:double"&gt;31.7&lt;/D&gt;&lt;D xsi:type="xsd:double"&gt;31.42&lt;/D&gt;&lt;D xsi:type="xsd:double"&gt;31.86&lt;/D&gt;&lt;D xsi:type="xsd:double"&gt;32.49&lt;/D&gt;&lt;D xsi:type="xsd:double"&gt;32.43&lt;/D&gt;&lt;D xsi:type="xsd:double"&gt;31.91&lt;/D&gt;&lt;D xsi:type="xsd:double"&gt;32.48&lt;/D&gt;&lt;D xsi:type="xsd:double"&gt;32.46&lt;/D&gt;&lt;D xsi:type="xsd:double"&gt;32.62&lt;/D&gt;&lt;D xsi:type="xsd:double"&gt;31.41&lt;/D&gt;&lt;D xsi:type="xsd:double"&gt;31.19&lt;/D&gt;&lt;D xsi:type="xsd:double"&gt;30.31&lt;/D&gt;&lt;D xsi:type="xsd:double"&gt;30.76&lt;/D&gt;&lt;D xsi:type="xsd:double"&gt;30.7&lt;/D&gt;&lt;D xsi:type="xsd:double"&gt;30.94&lt;/D&gt;&lt;D xsi:type="xsd:double"&gt;30.66&lt;/D&gt;&lt;D xsi:type="xsd:double"&gt;30.67&lt;/D&gt;&lt;D xsi:type="xsd:double"&gt;31.18&lt;/D&gt;&lt;D xsi:type="xsd:double"&gt;31.48&lt;/D&gt;&lt;D xsi:type="xsd:double"&gt;31.96&lt;/D&gt;&lt;D xsi:type="xsd:double"&gt;32.18&lt;/D&gt;&lt;D xsi:type="xsd:double"&gt;31.77&lt;/D&gt;&lt;D xsi:type="xsd:double"&gt;31.66&lt;/D&gt;&lt;D xsi:type="xsd:double"&gt;31.71&lt;/D&gt;&lt;D xsi:type="xsd:double"&gt;31.91&lt;/D&gt;&lt;D xsi:type="xsd:double"&gt;31.91&lt;/D&gt;&lt;D xsi:type="xsd:double"&gt;31.21&lt;/D&gt;&lt;D xsi:type="xsd:double"&gt;31.85&lt;/D&gt;&lt;D xsi:type="xsd:double"&gt;32.13&lt;/D&gt;&lt;D xsi:type="xsd:double"&gt;32.08&lt;/D&gt;&lt;D xsi:type="xsd:double"&gt;31.9&lt;/D&gt;&lt;D xsi:type="xsd:double"&gt;32.83&lt;/D&gt;&lt;D xsi:type="xsd:double"&gt;31.83&lt;/D&gt;&lt;D xsi:type="xsd:double"&gt;31.86&lt;/D&gt;&lt;D xsi:type="xsd:double"&gt;31.67&lt;/D&gt;&lt;D xsi:type="xsd:double"&gt;32.2&lt;/D&gt;&lt;D xsi:type="xsd:double"&gt;32.44&lt;/D&gt;&lt;D xsi:type="xsd:double"&gt;32.89&lt;/D&gt;&lt;D xsi:type="xsd:double"&gt;32.82&lt;/D&gt;&lt;D xsi:type="xsd:double"&gt;32.67&lt;/D&gt;&lt;D xsi:type="xsd:double"&gt;32.31&lt;/D&gt;&lt;/FQL&gt;&lt;FQL&gt;&lt;Q&gt;SET-BKK^FG_PRICE(0,-200D)&lt;/Q&gt;&lt;R&gt;201&lt;/R&gt;&lt;C&gt;1&lt;/C&gt;&lt;D xsi:type="xsd:double"&gt;1259.67&lt;/D&gt;&lt;D xsi:type="xsd:double"&gt;1259.67&lt;/D&gt;&lt;D xsi:type="xsd:double"&gt;1259.67&lt;/D&gt;&lt;D xsi:type="xsd:double"&gt;1254.03&lt;/D&gt;&lt;D xsi:type="xsd:double"&gt;1259.25&lt;/D&gt;&lt;D xsi:type="xsd:double"&gt;1264.77&lt;/D&gt;&lt;D xsi:type="xsd:double"&gt;1275.33&lt;/D&gt;&lt;D xsi:type="xsd:double"&gt;1271.11&lt;/D&gt;&lt;D xsi:type="xsd:double"&gt;1269.68&lt;/D&gt;&lt;D xsi:type="xsd:double"&gt;1252.19&lt;/D&gt;&lt;D xsi:type="xsd:double"&gt;1250.07&lt;/D&gt;&lt;D xsi:type="xsd:double"&gt;1256.85&lt;/D&gt;&lt;D xsi:type="xsd:double"&gt;1260.68&lt;/D&gt;&lt;D xsi:type="xsd:double"&gt;1273.4&lt;/D&gt;&lt;D xsi:type="xsd:double"&gt;1254.1&lt;/D&gt;&lt;D xsi:type="xsd:double"&gt;1253.54&lt;/D&gt;&lt;D xsi:type="xsd:double"&gt;1269.87&lt;/D&gt;&lt;D xsi:type="xsd:double"&gt;1269.87&lt;/D&gt;&lt;D xsi:type="xsd:double"&gt;1261.39&lt;/D&gt;&lt;D xsi:type="xsd:double"&gt;1273.77&lt;/D&gt;&lt;D xsi:type="xsd:double"&gt;1273.77&lt;/D&gt;&lt;D xsi:type="xsd:double"&gt;1274.82&lt;/D&gt;&lt;D xsi:type="xsd:double"&gt;1277.58&lt;/D&gt;&lt;D xsi:type="xsd:double"&gt;1276.57&lt;/D&gt;&lt;D xsi:type="xsd:double"&gt;1256.69&lt;/D&gt;&lt;D xsi:type="xsd:double"&gt;1252.71&lt;/D&gt;&lt;D xsi:type="xsd:double"&gt;1261.18&lt;/D&gt;&lt;D xsi:type="xsd:double"&gt;1268.78&lt;/D&gt;&lt;D xsi:type="xsd:double"&gt;1252.73&lt;/D&gt;&lt;D xsi:type="xsd:double"&gt;1254.4&lt;/D&gt;&lt;D xsi:type="xsd:double"&gt;1281.81&lt;/D&gt;&lt;D xsi:type="xsd:double"&gt;1272.17&lt;/D&gt;&lt;D xsi:type="xsd:double"&gt;1270.04&lt;/D&gt;&lt;D xsi:type="xsd:double"&gt;1280.07&lt;/D&gt;&lt;D xsi:type="xsd:double"&gt;1269.26&lt;/D&gt;&lt;D xsi:type="xsd:double"&gt;1287.44&lt;/D&gt;&lt;D xsi:type="xsd:double"&gt;1284.81&lt;/D&gt;&lt;D xsi:type="xsd:double"&gt;1300.47&lt;/D&gt;&lt;D xsi:type="xsd:double"&gt;1306.26&lt;/D&gt;&lt;D xsi:type="xsd:double"&gt;1302.91&lt;/D&gt;&lt;D xsi:type="xsd:double"&gt;1313.31&lt;/D&gt;&lt;D xsi:type="xsd:double"&gt;1295.29&lt;/D&gt;&lt;D xsi:type="xsd:double"&gt;1298.6&lt;/D&gt;&lt;D xsi:type="xsd:double"&gt;1308.86&lt;/D&gt;&lt;D xsi:type="xsd:double"&gt;1309.5&lt;/D&gt;&lt;D xsi:type="xsd:double"&gt;1314.65&lt;/D&gt;&lt;D xsi:type="xsd:double"&gt;1315.64&lt;/D&gt;&lt;D xsi:type="xsd:double"&gt;1314.28&lt;/D&gt;&lt;D xsi:type="xsd:double"&gt;1323.52&lt;/D&gt;&lt;D xsi:type="xsd:double"&gt;1313.91&lt;/D&gt;&lt;D xsi:type="xsd:double"&gt;1302.35&lt;/D&gt;&lt;D xsi:type="xsd:double"&gt;1302.35&lt;/D&gt;&lt;D xsi:type="xsd:double"&gt;1290.72&lt;/D&gt;&lt;D xsi:type="xsd:double"&gt;1284.47&lt;/D&gt;&lt;D xsi:type="xsd:double"&gt;1274.61&lt;/D&gt;&lt;D xsi:type="xsd:double"&gt;1291.46&lt;/D&gt;&lt;D xsi:type="xsd:double"&gt;1286.69&lt;/D&gt;&lt;D xsi:type="xsd:double"&gt;1266.38&lt;/D&gt;&lt;D xsi:type="xsd:double"&gt;1286.98&lt;/D&gt;&lt;D xsi:type="xsd:double"&gt;1286.98&lt;/D&gt;&lt;D xsi:type="xsd:double"&gt;1313.99&lt;/D&gt;&lt;D xsi:type="xsd:double"&gt;1304.92&lt;/D&gt;&lt;D xsi:type="xsd:double"&gt;1305.24&lt;/D&gt;&lt;D xsi:type="xsd:double"&gt;1285.64&lt;/D&gt;&lt;D xsi:type="xsd:double"&gt;1293.61&lt;/D&gt;&lt;D xsi:type="xsd:double"&gt;1288.29&lt;/D&gt;&lt;D xsi:type="xsd:double"&gt;1275.03&lt;/D&gt;&lt;D xsi:type="xsd:double"&gt;1274.17&lt;/D&gt;&lt;D xsi:type="xsd:double"&gt;1288.07&lt;/D&gt;&lt;D xsi:type="xsd:double"&gt;1278.74&lt;/D&gt;&lt;D xsi:type="xsd:double"&gt;1288.26&lt;/D&gt;&lt;D xsi:type="xsd:double"&gt;1278.41&lt;/D&gt;&lt;D xsi:type="xsd:double"&gt;1273.2&lt;/D&gt;&lt;D xsi:type="xsd:double"&gt;1282.54&lt;/D&gt;&lt;D xsi:type="xsd:double"&gt;1292.72&lt;/D&gt;&lt;D xsi:type="xsd:double"&gt;1297.01&lt;/D&gt;&lt;D xsi:type="xsd:double"&gt;1306.69&lt;/D&gt;&lt;D xsi:type="xsd:double"&gt;1308.19&lt;/D&gt;&lt;D xsi:type="xsd:double"&gt;1299.78&lt;/D&gt;&lt;D xsi:type="xsd:double"&gt;1293.62&lt;/D&gt;&lt;D xsi:type="xsd:double"&gt;1288.03&lt;/D&gt;&lt;D xsi:type="xsd:double"&gt;1278.05&lt;/D&gt;&lt;D xsi:type="xsd:double"&gt;1276.08&lt;/D&gt;&lt;D xsi:type="xsd:double"&gt;1266.11&lt;/D&gt;&lt;D xsi:type="xsd:double"&gt;1264.8&lt;/D&gt;&lt;D xsi:type="xsd:double"&gt;1252.55&lt;/D&gt;&lt;D xsi:type="xsd:double"&gt;1259.31&lt;/D&gt;&lt;D xsi:type="xsd:double"&gt;1248.78&lt;/D&gt;&lt;D xsi:type="xsd:double"&gt;1244.48&lt;/D&gt;&lt;D xsi:type="xsd:double"&gt;1236.61&lt;/D&gt;&lt;D xsi:type="xsd:double"&gt;1250.09&lt;/D&gt;&lt;D xsi:type="xsd:double"&gt;1248.03&lt;/D&gt;&lt;D xsi:type="xsd:double"&gt;1251.26&lt;/D&gt;&lt;D xsi:type="xsd:double"&gt;1262.67&lt;/D&gt;&lt;D xsi:type="xsd:double"&gt;1253.39&lt;/D&gt;&lt;D xsi:type="xsd:double"&gt;1244.79&lt;/D&gt;&lt;D xsi:type="xsd:double"&gt;1248.13&lt;/D&gt;&lt;D xsi:type="xsd:double"&gt;1235.76&lt;/D&gt;&lt;D xsi:type="xsd:double"&gt;1242.31&lt;/D&gt;&lt;D xsi:type="xsd:double"&gt;1259.42&lt;/D&gt;&lt;D xsi:type="xsd:double"&gt;1266.67&lt;/D&gt;&lt;D xsi:type="xsd:double"&gt;1277.43&lt;/D&gt;&lt;D xsi:type="xsd:double"&gt;1259.07&lt;/D&gt;&lt;D xsi:type="xsd:double"&gt;1259.07&lt;/D&gt;&lt;D xsi:type="xsd:double"&gt;1259.07&lt;/D&gt;&lt;D xsi:type="xsd:double"&gt;1265.15&lt;/D&gt;&lt;D xsi:type="xsd:double"&gt;1264.47&lt;/D&gt;&lt;D xsi:type="xsd:double"&gt;1246.96&lt;/D&gt;&lt;D xsi:type="xsd:double"&gt;1229.4&lt;/D&gt;&lt;D xsi:type="xsd:double"&gt;1218.33&lt;/D&gt;&lt;D xsi:type="xsd:double"&gt;1242.35&lt;/D&gt;&lt;D xsi:type="xsd:double"&gt;1244.14&lt;/D&gt;&lt;D xsi:type="xsd:double"&gt;1233.68&lt;/D&gt;&lt;D xsi:type="xsd:double"&gt;1217.15&lt;/D&gt;&lt;D xsi:type="xsd:double"&gt;1217.15&lt;/D&gt;&lt;D xsi:type="xsd:double"&gt;1212.49&lt;/D&gt;&lt;D xsi:type="xsd:double"&gt;1219.62&lt;/D&gt;&lt;D xsi:type="xsd:double"&gt;1191.75&lt;/D&gt;&lt;D xsi:type="xsd:double"&gt;1208.13&lt;/D&gt;&lt;D xsi:type="xsd:double"&gt;1206.58&lt;/D&gt;&lt;D xsi:type="xsd:double"&gt;1198.11&lt;/D&gt;&lt;D xsi:type="xsd:double"&gt;1157.63&lt;/D&gt;&lt;D xsi:type="xsd:double"&gt;1161.01&lt;/D&gt;&lt;D xsi:type="xsd:double"&gt;1143.31&lt;/D&gt;&lt;D xsi:type="xsd:double"&gt;1121.13&lt;/D&gt;&lt;D xsi:type="xsd:double"&gt;1110.4&lt;/D&gt;&lt;D xsi:type="xsd:double"&gt;1110.4&lt;/D&gt;&lt;D xsi:type="xsd:double"&gt;1115.65&lt;/D&gt;&lt;D xsi:type="xsd:double"&gt;1123&lt;/D&gt;&lt;D xsi:type="xsd:double"&gt;1119.94&lt;/D&gt;&lt;D xsi:type="xsd:double"&gt;1127.21&lt;/D&gt;&lt;D xsi:type="xsd:double"&gt;1115.69&lt;/D&gt;&lt;D xsi:type="xsd:double"&gt;1110.01&lt;/D&gt;&lt;D xsi:type="xsd:double"&gt;1089.56&lt;/D&gt;&lt;D xsi:type="xsd:double"&gt;1082.42&lt;/D&gt;&lt;D xsi:type="xsd:double"&gt;1106.73&lt;/D&gt;&lt;D xsi:type="xsd:double"&gt;1107.69&lt;/D&gt;&lt;D xsi:type="xsd:double"&gt;1100.01&lt;/D&gt;&lt;D xsi:type="xsd:double"&gt;1062.78&lt;/D&gt;&lt;D xsi:type="xsd:double"&gt;1067.63&lt;/D&gt;&lt;D xsi:type="xsd:double"&gt;1068.73&lt;/D&gt;&lt;D xsi:type="xsd:double"&gt;1094.58&lt;/D&gt;&lt;D xsi:type="xsd:double"&gt;1113.58&lt;/D&gt;&lt;D xsi:type="xsd:double"&gt;1114.49&lt;/D&gt;&lt;D xsi:type="xsd:double"&gt;1122.7&lt;/D&gt;&lt;D xsi:type="xsd:double"&gt;1128.62&lt;/D&gt;&lt;D xsi:type="xsd:double"&gt;1141.58&lt;/D&gt;&lt;D xsi:type="xsd:double"&gt;1139.16&lt;/D&gt;&lt;D xsi:type="xsd:double"&gt;1135.24&lt;/D&gt;&lt;D xsi:type="xsd:double"&gt;1136.43&lt;/D&gt;&lt;D xsi:type="xsd:double"&gt;1140.63&lt;/D&gt;&lt;D xsi:type="xsd:double"&gt;1132.02&lt;/D&gt;&lt;D xsi:type="xsd:double"&gt;1149.18&lt;/D&gt;&lt;D xsi:type="xsd:double"&gt;1149.18&lt;/D&gt;&lt;D xsi:type="xsd:double"&gt;1149.18&lt;/D&gt;&lt;D xsi:type="xsd:double"&gt;1164.01&lt;/D&gt;&lt;D xsi:type="xsd:double"&gt;1160.74&lt;/D&gt;&lt;D xsi:type="xsd:double"&gt;1163.42&lt;/D&gt;&lt;D xsi:type="xsd:double"&gt;1178.43&lt;/D&gt;&lt;D xsi:type="xsd:double"&gt;1176.36&lt;/D&gt;&lt;D xsi:type="xsd:double"&gt;1173.37&lt;/D&gt;&lt;D xsi:type="xsd:double"&gt;1179.81&lt;/D&gt;&lt;D xsi:type="xsd:double"&gt;1189.14&lt;/D&gt;&lt;D xsi:type="xsd:double"&gt;1187.06&lt;/D&gt;&lt;D xsi:type="xsd:double"&gt;1195.77&lt;/D&gt;&lt;D xsi:type="xsd:double"&gt;1194.49&lt;/D&gt;&lt;D xsi:type="xsd:double"&gt;1216.71&lt;/D&gt;&lt;D xsi:type="xsd:double"&gt;1214.39&lt;/D&gt;&lt;D xsi:type="xsd:double"&gt;1210.94&lt;/D&gt;&lt;D xsi:type="xsd:double"&gt;1210.94&lt;/D&gt;&lt;D xsi:type="xsd:double"&gt;1206.59&lt;/D&gt;&lt;D xsi:type="xsd:double"&gt;1220.27&lt;/D&gt;&lt;D xsi:type="xsd:double"&gt;1187.86&lt;/D&gt;&lt;D xsi:type="xsd:double"&gt;1198.98&lt;/D&gt;&lt;D xsi:type="xsd:double"&gt;1198.98&lt;/D&gt;&lt;D xsi:type="xsd:double"&gt;1197.26&lt;/D&gt;&lt;D xsi:type="xsd:double"&gt;1197.26&lt;/D&gt;&lt;D xsi:type="xsd:double"&gt;1171.12&lt;/D&gt;&lt;D xsi:type="xsd:double"&gt;1159.53&lt;/D&gt;&lt;D xsi:type="xsd:double"&gt;1159&lt;/D&gt;&lt;D xsi:type="xsd:double"&gt;1146.86&lt;/D&gt;&lt;D xsi:type="xsd:double"&gt;1153.77&lt;/D&gt;&lt;D xsi:type="xsd:double"&gt;1144.05&lt;/D&gt;&lt;D xsi:type="xsd:double"&gt;1134.71&lt;/D&gt;&lt;D xsi:type="xsd:double"&gt;1150.95&lt;/D&gt;&lt;D xsi:type="xsd:double"&gt;1141.28&lt;/D&gt;&lt;D xsi:type="xsd:double"&gt;1138.9&lt;/D&gt;&lt;D xsi:type="xsd:double"&gt;1128.66&lt;/D&gt;&lt;D xsi:type="xsd:double"&gt;1128.66&lt;/D&gt;&lt;D xsi:type="xsd:double"&gt;1128.66&lt;/D&gt;&lt;D xsi:type="xsd:double"&gt;1133.95&lt;/D&gt;&lt;D xsi:type="xsd:double"&gt;1088.18&lt;/D&gt;&lt;D xsi:type="xsd:double"&gt;1074.59&lt;/D&gt;&lt;D xsi:type="xsd:double"&gt;1125.21&lt;/D&gt;&lt;D xsi:type="xsd:double"&gt;1125.21&lt;/D&gt;&lt;D xsi:type="xsd:double"&gt;1161.81&lt;/D&gt;&lt;D xsi:type="xsd:double"&gt;1172.69&lt;/D&gt;&lt;D xsi:type="xsd:double"&gt;1168.02&lt;/D&gt;&lt;D xsi:type="xsd:double"&gt;1158.09&lt;/D&gt;&lt;D xsi:type="xsd:double"&gt;1175.45&lt;/D&gt;&lt;D xsi:type="xsd:double"&gt;1187.9&lt;/D&gt;&lt;/FQL&gt;&lt;FQL&gt;&lt;Q&gt;QAT^FG_PRICE(0,-200D)&lt;/Q&gt;&lt;R&gt;201&lt;/R&gt;&lt;C&gt;1&lt;/C&gt;&lt;D xsi:type="xsd:double"&gt;18.8183&lt;/D&gt;&lt;D xsi:type="xsd:double"&gt;18.8183&lt;/D&gt;&lt;D xsi:type="xsd:double"&gt;18.95&lt;/D&gt;&lt;D xsi:type="xsd:double"&gt;18.8751&lt;/D&gt;&lt;D xsi:type="xsd:double"&gt;18.865&lt;/D&gt;&lt;D xsi:type="xsd:double"&gt;18.96&lt;/D&gt;&lt;D xsi:type="xsd:double"&gt;18.96&lt;/D&gt;&lt;D xsi:type="xsd:double"&gt;18.9302&lt;/D&gt;&lt;D xsi:type="xsd:double"&gt;18.8396&lt;/D&gt;&lt;D xsi:type="xsd:double"&gt;18.775&lt;/D&gt;&lt;D xsi:type="xsd:double"&gt;18.74&lt;/D&gt;&lt;D xsi:type="xsd:double"&gt;18.6081&lt;/D&gt;&lt;D xsi:type="xsd:double"&gt;18.6969&lt;/D&gt;&lt;D xsi:type="xsd:double"&gt;19.01&lt;/D&gt;&lt;D xsi:type="xsd:double"&gt;19.32&lt;/D&gt;&lt;D xsi:type="xsd:double"&gt;19.315&lt;/D&gt;&lt;D xsi:type="xsd:double"&gt;19.1685&lt;/D&gt;&lt;D xsi:type="xsd:double"&gt;19.0414&lt;/D&gt;&lt;D xsi:type="xsd:double"&gt;18.9554&lt;/D&gt;&lt;D xsi:type="xsd:double"&gt;18.9304&lt;/D&gt;&lt;D xsi:type="xsd:double"&gt;18.9402&lt;/D&gt;&lt;D xsi:type="xsd:double"&gt;18.9302&lt;/D&gt;&lt;D xsi:type="xsd:double"&gt;18.775&lt;/D&gt;&lt;D xsi:type="xsd:double"&gt;18.71&lt;/D&gt;&lt;D xsi:type="xsd:double"&gt;18.88&lt;/D&gt;&lt;D xsi:type="xsd:double"&gt;18.885&lt;/D&gt;&lt;D xsi:type="xsd:double"&gt;18.885&lt;/D&gt;&lt;D xsi:type="xsd:double"&gt;18.77&lt;/D&gt;&lt;D xsi:type="xsd:double"&gt;18.85&lt;/D&gt;&lt;D xsi:type="xsd:double"&gt;18.68&lt;/D&gt;&lt;D xsi:type="xsd:double"&gt;18.615&lt;/D&gt;&lt;D xsi:type="xsd:double"&gt;18.955&lt;/D&gt;&lt;D xsi:type="xsd:double"&gt;18.815&lt;/D&gt;&lt;D xsi:type="xsd:double"&gt;18.89&lt;/D&gt;&lt;D xsi:type="xsd:double"&gt;19.285&lt;/D&gt;&lt;D xsi:type="xsd:double"&gt;19.25&lt;/D&gt;&lt;D xsi:type="xsd:double"&gt;19.555&lt;/D&gt;&lt;D xsi:type="xsd:double"&gt;19.6479&lt;/D&gt;&lt;D xsi:type="xsd:double"&gt;19.48&lt;/D&gt;&lt;D xsi:type="xsd:double"&gt;19.42&lt;/D&gt;&lt;D xsi:type="xsd:double"&gt;19.46&lt;/D&gt;&lt;D xsi:type="xsd:double"&gt;19.415&lt;/D&gt;&lt;D xsi:type="xsd:double"&gt;19.435&lt;/D&gt;&lt;D xsi:type="xsd:double"&gt;19.315&lt;/D&gt;&lt;D xsi:type="xsd:double"&gt;19.3&lt;/D&gt;&lt;D xsi:type="xsd:double"&gt;19.2891&lt;/D&gt;&lt;D xsi:type="xsd:double"&gt;19.25&lt;/D&gt;&lt;D xsi:type="xsd:double"&gt;19.195&lt;/D&gt;&lt;D xsi:type="xsd:double"&gt;19.195&lt;/D&gt;&lt;D xsi:type="xsd:double"&gt;19.29&lt;/D&gt;&lt;D xsi:type="xsd:double"&gt;19.26&lt;/D&gt;&lt;D xsi:type="xsd:double"&gt;19.14&lt;/D&gt;&lt;D xsi:type="xsd:double"&gt;19.09&lt;/D&gt;&lt;D xsi:type="xsd:double"&gt;19.135&lt;/D&gt;&lt;D xsi:type="xsd:double"&gt;19.085&lt;/D&gt;&lt;D xsi:type="xsd:double"&gt;19.1356&lt;/D&gt;&lt;D xsi:type="xsd:double"&gt;19.0707&lt;/D&gt;&lt;D xsi:type="xsd:double"&gt;19.205&lt;/D&gt;&lt;D xsi:type="xsd:double"&gt;19.255&lt;/D&gt;&lt;D xsi:type="xsd:double"&gt;19.23&lt;/D&gt;&lt;D xsi:type="xsd:double"&gt;19.33&lt;/D&gt;&lt;D xsi:type="xsd:double"&gt;19.31&lt;/D&gt;&lt;D xsi:type="xsd:double"&gt;19.26&lt;/D&gt;&lt;D xsi:type="xsd:double"&gt;19.215&lt;/D&gt;&lt;D xsi:type="xsd:double"&gt;19.295&lt;/D&gt;&lt;D xsi:type="xsd:double"&gt;19.275&lt;/D&gt;&lt;D xsi:type="xsd:double"&gt;19.39&lt;/D&gt;&lt;D xsi:type="xsd:double"&gt;19.53&lt;/D&gt;&lt;D xsi:type="xsd:double"&gt;19.425&lt;/D&gt;&lt;D xsi:type="xsd:double"&gt;19.42&lt;/D&gt;&lt;D xsi:type="xsd:double"&gt;19.37&lt;/D&gt;&lt;D xsi:type="xsd:double"&gt;19.565&lt;/D&gt;&lt;D xsi:type="xsd:double"&gt;19.785&lt;/D&gt;&lt;D xsi:type="xsd:double"&gt;19.94&lt;/D&gt;&lt;D xsi:type="xsd:double"&gt;19.94&lt;/D&gt;&lt;D xsi:type="xsd:double"&gt;19.94&lt;/D&gt;&lt;D xsi:type="xsd:double"&gt;19.85&lt;/D&gt;&lt;D xsi:type="xsd:double"&gt;19.77&lt;/D&gt;&lt;D xsi:type="xsd:double"&gt;19.55&lt;/D&gt;&lt;D xsi:type="xsd:double"&gt;19.54&lt;/D&gt;&lt;D xsi:type="xsd:double"&gt;19.58&lt;/D&gt;&lt;D xsi:type="xsd:double"&gt;19.53&lt;/D&gt;&lt;D xsi:type="xsd:double"&gt;19.37&lt;/D&gt;&lt;D xsi:type="xsd:double"&gt;19.63&lt;/D&gt;&lt;D xsi:type="xsd:double"&gt;19.69&lt;/D&gt;&lt;D xsi:type="xsd:double"&gt;19.7&lt;/D&gt;&lt;D xsi:type="xsd:double"&gt;19.86&lt;/D&gt;&lt;D xsi:type="xsd:double"&gt;19.73&lt;/D&gt;&lt;D xsi:type="xsd:double"&gt;20&lt;/D&gt;&lt;D xsi:type="xsd:double"&gt;20&lt;/D&gt;&lt;D xsi:type="xsd:double"&gt;19.96&lt;/D&gt;&lt;D xsi:type="xsd:double"&gt;20.13&lt;/D&gt;&lt;D xsi:type="xsd:double"&gt;20.14&lt;/D&gt;&lt;D xsi:type="xsd:double"&gt;20.0026&lt;/D&gt;&lt;D xsi:type="xsd:double"&gt;20.1896&lt;/D&gt;&lt;D xsi:type="xsd:double"&gt;20.065&lt;/D&gt;&lt;D xsi:type="xsd:double"&gt;20.08&lt;/D&gt;&lt;D xsi:type="xsd:double"&gt;20.24&lt;/D&gt;&lt;D xsi:type="xsd:double"&gt;20.38&lt;/D&gt;&lt;D xsi:type="xsd:double"&gt;20.54&lt;/D&gt;&lt;D xsi:type="xsd:double"&gt;20.52&lt;/D&gt;&lt;D xsi:type="xsd:double"&gt;20.56&lt;/D&gt;&lt;D xsi:type="xsd:double"&gt;20.27&lt;/D&gt;&lt;D xsi:type="xsd:double"&gt;20.0346&lt;/D&gt;&lt;D xsi:type="xsd:double"&gt;19.93&lt;/D&gt;&lt;D xsi:type="xsd:double"&gt;19.946&lt;/D&gt;&lt;D xsi:type="xsd:double"&gt;19.85&lt;/D&gt;&lt;D xsi:type="xsd:double"&gt;19.785&lt;/D&gt;&lt;D xsi:type="xsd:double"&gt;19.71&lt;/D&gt;&lt;D xsi:type="xsd:double"&gt;19.665&lt;/D&gt;&lt;D xsi:type="xsd:double"&gt;19.655&lt;/D&gt;&lt;D xsi:type="xsd:double"&gt;19.66&lt;/D&gt;&lt;D xsi:type="xsd:double"&gt;19.6&lt;/D&gt;&lt;D xsi:type="xsd:double"&gt;19.6&lt;/D&gt;&lt;D xsi:type="xsd:double"&gt;19.63&lt;/D&gt;&lt;D xsi:type="xsd:double"&gt;19.61&lt;/D&gt;&lt;D xsi:type="xsd:double"&gt;19.54&lt;/D&gt;&lt;D xsi:type="xsd:double"&gt;19.34&lt;/D&gt;&lt;D xsi:type="xsd:double"&gt;19.12&lt;/D&gt;&lt;D xsi:type="xsd:double"&gt;18.91&lt;/D&gt;&lt;D xsi:type="xsd:double"&gt;18.96&lt;/D&gt;&lt;D xsi:type="xsd:double"&gt;18.779&lt;/D&gt;&lt;D xsi:type="xsd:double"&gt;18.69&lt;/D&gt;&lt;D xsi:type="xsd:double"&gt;18.71&lt;/D&gt;&lt;D xsi:type="xsd:double"&gt;18.73&lt;/D&gt;&lt;D xsi:type="xsd:double"&gt;18.75&lt;/D&gt;&lt;D xsi:type="xsd:double"&gt;18.75&lt;/D&gt;&lt;D xsi:type="xsd:double"&gt;18.73&lt;/D&gt;&lt;D xsi:type="xsd:double"&gt;18.68&lt;/D&gt;&lt;D xsi:type="xsd:double"&gt;18.63&lt;/D&gt;&lt;D xsi:type="xsd:double"&gt;18.63&lt;/D&gt;&lt;D xsi:type="xsd:double"&gt;18.56&lt;/D&gt;&lt;D xsi:type="xsd:double"&gt;18.58&lt;/D&gt;&lt;D xsi:type="xsd:double"&gt;18.62&lt;/D&gt;&lt;D xsi:type="xsd:double"&gt;18.57&lt;/D&gt;&lt;D xsi:type="xsd:double"&gt;18.53&lt;/D&gt;&lt;D xsi:type="xsd:double"&gt;18.36&lt;/D&gt;&lt;D xsi:type="xsd:double"&gt;18.25&lt;/D&gt;&lt;D xsi:type="xsd:double"&gt;17.96&lt;/D&gt;&lt;D xsi:type="xsd:double"&gt;17.72&lt;/D&gt;&lt;D xsi:type="xsd:double"&gt;17.82&lt;/D&gt;&lt;D xsi:type="xsd:double"&gt;17.82&lt;/D&gt;&lt;D xsi:type="xsd:double"&gt;17.895&lt;/D&gt;&lt;D xsi:type="xsd:double"&gt;18.045&lt;/D&gt;&lt;D xsi:type="xsd:double"&gt;18.2&lt;/D&gt;&lt;D xsi:type="xsd:double"&gt;18.9&lt;/D&gt;&lt;D xsi:type="xsd:double"&gt;18.96&lt;/D&gt;&lt;D xsi:type="xsd:double"&gt;18.92&lt;/D&gt;&lt;D xsi:type="xsd:double"&gt;18.83&lt;/D&gt;&lt;D xsi:type="xsd:double"&gt;18.83&lt;/D&gt;&lt;D xsi:type="xsd:double"&gt;18.78&lt;/D&gt;&lt;D xsi:type="xsd:double"&gt;18.91&lt;/D&gt;&lt;D xsi:type="xsd:double"&gt;19.08&lt;/D&gt;&lt;D xsi:type="xsd:double"&gt;18.8&lt;/D&gt;&lt;D xsi:type="xsd:double"&gt;18.75&lt;/D&gt;&lt;D xsi:type="xsd:double"&gt;18.83&lt;/D&gt;&lt;D xsi:type="xsd:double"&gt;18.94&lt;/D&gt;&lt;D xsi:type="xsd:double"&gt;18.91&lt;/D&gt;&lt;D xsi:type="xsd:double"&gt;19.15&lt;/D&gt;&lt;D xsi:type="xsd:double"&gt;19.15&lt;/D&gt;&lt;D xsi:type="xsd:double"&gt;19.11&lt;/D&gt;&lt;D xsi:type="xsd:double"&gt;19.18&lt;/D&gt;&lt;D xsi:type="xsd:double"&gt;19.06&lt;/D&gt;&lt;D xsi:type="xsd:double"&gt;19.05&lt;/D&gt;&lt;D xsi:type="xsd:double"&gt;18.88&lt;/D&gt;&lt;D xsi:type="xsd:double"&gt;18.84&lt;/D&gt;&lt;D xsi:type="xsd:double"&gt;18.83&lt;/D&gt;&lt;D xsi:type="xsd:double"&gt;18.7553&lt;/D&gt;&lt;D xsi:type="xsd:double"&gt;18.7&lt;/D&gt;&lt;D xsi:type="xsd:double"&gt;18.69&lt;/D&gt;&lt;D xsi:type="xsd:double"&gt;18.615&lt;/D&gt;&lt;D xsi:type="xsd:double"&gt;18.51&lt;/D&gt;&lt;D xsi:type="xsd:double"&gt;18.55&lt;/D&gt;&lt;D xsi:type="xsd:double"&gt;18.55&lt;/D&gt;&lt;D xsi:type="xsd:double"&gt;18.54&lt;/D&gt;&lt;D xsi:type="xsd:double"&gt;18.34&lt;/D&gt;&lt;D xsi:type="xsd:double"&gt;18.31&lt;/D&gt;&lt;D xsi:type="xsd:double"&gt;18.2&lt;/D&gt;&lt;D xsi:type="xsd:double"&gt;18.14&lt;/D&gt;&lt;D xsi:type="xsd:double"&gt;18.16&lt;/D&gt;&lt;D xsi:type="xsd:double"&gt;18.12&lt;</t>
        </r>
      </text>
    </comment>
    <comment ref="A5" authorId="0" shapeId="0" xr:uid="{7D75A4E1-A299-4B25-BD4D-808C899157E4}">
      <text>
        <r>
          <rPr>
            <b/>
            <sz val="9"/>
            <color indexed="81"/>
            <rFont val="Tahoma"/>
            <charset val="1"/>
          </rPr>
          <t>/D&gt;&lt;D xsi:type="xsd:double"&gt;17.9&lt;/D&gt;&lt;D xsi:type="xsd:double"&gt;17.91&lt;/D&gt;&lt;D xsi:type="xsd:double"&gt;17.78&lt;/D&gt;&lt;D xsi:type="xsd:double"&gt;17.72&lt;/D&gt;&lt;D xsi:type="xsd:double"&gt;17.72&lt;/D&gt;&lt;D xsi:type="xsd:double"&gt;17.78&lt;/D&gt;&lt;D xsi:type="xsd:double"&gt;17.89&lt;/D&gt;&lt;D xsi:type="xsd:double"&gt;17.79&lt;/D&gt;&lt;D xsi:type="xsd:double"&gt;17.61&lt;/D&gt;&lt;D xsi:type="xsd:double"&gt;17.52&lt;/D&gt;&lt;D xsi:type="xsd:double"&gt;17.57&lt;/D&gt;&lt;D xsi:type="xsd:double"&gt;17.23&lt;/D&gt;&lt;D xsi:type="xsd:double"&gt;17.16&lt;/D&gt;&lt;D xsi:type="xsd:double"&gt;16.83&lt;/D&gt;&lt;D xsi:type="xsd:double"&gt;17.66&lt;/D&gt;&lt;D xsi:type="xsd:double"&gt;17.86&lt;/D&gt;&lt;D xsi:type="xsd:double"&gt;17.88&lt;/D&gt;&lt;D xsi:type="xsd:double"&gt;17.84&lt;/D&gt;&lt;D xsi:type="xsd:double"&gt;17.75&lt;/D&gt;&lt;D xsi:type="xsd:double"&gt;17.87&lt;/D&gt;&lt;/FQL&gt;&lt;FQL&gt;&lt;Q&gt;MCHI^FG_PRICE(0,-200D)&lt;/Q&gt;&lt;R&gt;201&lt;/R&gt;&lt;C&gt;1&lt;/C&gt;&lt;D xsi:type="xsd:double"&gt;60.07&lt;/D&gt;&lt;D xsi:type="xsd:double"&gt;60.07&lt;/D&gt;&lt;D xsi:type="xsd:double"&gt;60.58&lt;/D&gt;&lt;D xsi:type="xsd:double"&gt;60.37&lt;/D&gt;&lt;D xsi:type="xsd:double"&gt;61.27&lt;/D&gt;&lt;D xsi:type="xsd:double"&gt;60.61&lt;/D&gt;&lt;D xsi:type="xsd:double"&gt;60.61&lt;/D&gt;&lt;D xsi:type="xsd:double"&gt;60.67&lt;/D&gt;&lt;D xsi:type="xsd:double"&gt;60.89&lt;/D&gt;&lt;D xsi:type="xsd:double"&gt;60.63&lt;/D&gt;&lt;D xsi:type="xsd:double"&gt;59.99&lt;/D&gt;&lt;D xsi:type="xsd:double"&gt;59.47&lt;/D&gt;&lt;D xsi:type="xsd:double"&gt;59.7&lt;/D&gt;&lt;D xsi:type="xsd:double"&gt;60.87&lt;/D&gt;&lt;D xsi:type="xsd:double"&gt;61.52&lt;/D&gt;&lt;D xsi:type="xsd:double"&gt;61.69&lt;/D&gt;&lt;D xsi:type="xsd:double"&gt;61.81&lt;/D&gt;&lt;D xsi:type="xsd:double"&gt;61.35&lt;/D&gt;&lt;D xsi:type="xsd:double"&gt;62.22&lt;/D&gt;&lt;D xsi:type="xsd:double"&gt;62.66&lt;/D&gt;&lt;D xsi:type="xsd:double"&gt;61.98&lt;/D&gt;&lt;D xsi:type="xsd:double"&gt;61.88&lt;/D&gt;&lt;D xsi:type="xsd:double"&gt;62.24&lt;/D&gt;&lt;D xsi:type="xsd:double"&gt;62.66&lt;/D&gt;&lt;D xsi:type="xsd:double"&gt;62.2&lt;/D&gt;&lt;D xsi:type="xsd:double"&gt;61.91&lt;/D&gt;&lt;D xsi:type="xsd:double"&gt;61.91&lt;/D&gt;&lt;D xsi:type="xsd:double"&gt;62.2&lt;/D&gt;&lt;D xsi:type="xsd:double"&gt;61.96&lt;/D&gt;&lt;D xsi:type="xsd:double"&gt;60.92&lt;/D&gt;&lt;D xsi:type="xsd:double"&gt;60.88&lt;/D&gt;&lt;D xsi:type="xsd:double"&gt;61.91&lt;/D&gt;&lt;D xsi:type="xsd:double"&gt;62.42&lt;/D&gt;&lt;D xsi:type="xsd:double"&gt;62.78&lt;/D&gt;&lt;D xsi:type="xsd:double"&gt;63.5&lt;/D&gt;&lt;D xsi:type="xsd:double"&gt;64.46&lt;/D&gt;&lt;D xsi:type="xsd:double"&gt;64.58&lt;/D&gt;&lt;D xsi:type="xsd:double"&gt;64.53&lt;/D&gt;&lt;D xsi:type="xsd:double"&gt;64.7&lt;/D&gt;&lt;D xsi:type="xsd:double"&gt;63.61&lt;/D&gt;&lt;D xsi:type="xsd:double"&gt;63.97&lt;/D&gt;&lt;D xsi:type="xsd:double"&gt;63.36&lt;/D&gt;&lt;D xsi:type="xsd:double"&gt;62.73&lt;/D&gt;&lt;D xsi:type="xsd:double"&gt;63.55&lt;/D&gt;&lt;D xsi:type="xsd:double"&gt;63.57&lt;/D&gt;&lt;D xsi:type="xsd:double"&gt;64.38&lt;/D&gt;&lt;D xsi:type="xsd:double"&gt;65.49&lt;/D&gt;&lt;D xsi:type="xsd:double"&gt;65.12&lt;/D&gt;&lt;D xsi:type="xsd:double"&gt;65.59&lt;/D&gt;&lt;D xsi:type="xsd:double"&gt;64.51&lt;/D&gt;&lt;D xsi:type="xsd:double"&gt;64.11&lt;/D&gt;&lt;D xsi:type="xsd:double"&gt;63.03&lt;/D&gt;&lt;D xsi:type="xsd:double"&gt;63.44&lt;/D&gt;&lt;D xsi:type="xsd:double"&gt;64.12&lt;/D&gt;&lt;D xsi:type="xsd:double"&gt;63.31&lt;/D&gt;&lt;D xsi:type="xsd:double"&gt;63.4&lt;/D&gt;&lt;D xsi:type="xsd:double"&gt;63.25&lt;/D&gt;&lt;D xsi:type="xsd:double"&gt;62.58&lt;/D&gt;&lt;D xsi:type="xsd:double"&gt;63.3&lt;/D&gt;&lt;D xsi:type="xsd:double"&gt;61.39&lt;/D&gt;&lt;D xsi:type="xsd:double"&gt;65.12&lt;/D&gt;&lt;D xsi:type="xsd:double"&gt;66.13&lt;/D&gt;&lt;D xsi:type="xsd:double"&gt;65.81&lt;/D&gt;&lt;D xsi:type="xsd:double"&gt;66.64&lt;/D&gt;&lt;D xsi:type="xsd:double"&gt;66.55&lt;/D&gt;&lt;D xsi:type="xsd:double"&gt;66.99&lt;/D&gt;&lt;D xsi:type="xsd:double"&gt;66.25&lt;/D&gt;&lt;D xsi:type="xsd:double"&gt;65.85&lt;/D&gt;&lt;D xsi:type="xsd:double"&gt;65.53&lt;/D&gt;&lt;D xsi:type="xsd:double"&gt;64.32&lt;/D&gt;&lt;D xsi:type="xsd:double"&gt;64.76&lt;/D&gt;&lt;D xsi:type="xsd:double"&gt;64.58&lt;/D&gt;&lt;D xsi:type="xsd:double"&gt;63.66&lt;/D&gt;&lt;D xsi:type="xsd:double"&gt;64.43&lt;/D&gt;&lt;D xsi:type="xsd:double"&gt;64.44&lt;/D&gt;&lt;D xsi:type="xsd:double"&gt;64.75&lt;/D&gt;&lt;D xsi:type="xsd:double"&gt;65.8&lt;/D&gt;&lt;D xsi:type="xsd:double"&gt;64.86&lt;/D&gt;&lt;D xsi:type="xsd:double"&gt;64.43&lt;/D&gt;&lt;D xsi:type="xsd:double"&gt;63.95&lt;/D&gt;&lt;D xsi:type="xsd:double"&gt;64.21&lt;/D&gt;&lt;D xsi:type="xsd:double"&gt;62.54&lt;/D&gt;&lt;D xsi:type="xsd:double"&gt;62.97&lt;/D&gt;&lt;D xsi:type="xsd:double"&gt;62.3&lt;/D&gt;&lt;D xsi:type="xsd:double"&gt;61.35&lt;/D&gt;&lt;D xsi:type="xsd:double"&gt;60.3&lt;/D&gt;&lt;D xsi:type="xsd:double"&gt;61.33&lt;/D&gt;&lt;D xsi:type="xsd:double"&gt;61.64&lt;/D&gt;&lt;D xsi:type="xsd:double"&gt;61.31&lt;/D&gt;&lt;D xsi:type="xsd:double"&gt;61.31&lt;/D&gt;&lt;D xsi:type="xsd:double"&gt;60.45&lt;/D&gt;&lt;D xsi:type="xsd:double"&gt;60.02&lt;/D&gt;&lt;D xsi:type="xsd:double"&gt;61.62&lt;/D&gt;&lt;D xsi:type="xsd:double"&gt;61.54&lt;/D&gt;&lt;D xsi:type="xsd:double"&gt;61.57&lt;/D&gt;&lt;D xsi:type="xsd:double"&gt;60&lt;/D&gt;&lt;D xsi:type="xsd:double"&gt;59.92&lt;/D&gt;&lt;D xsi:type="xsd:double"&gt;59.59&lt;/D&gt;&lt;D xsi:type="xsd:double"&gt;60.04&lt;/D&gt;&lt;D xsi:type="xsd:double"&gt;59.68&lt;/D&gt;&lt;D xsi:type="xsd:double"&gt;59.3&lt;/D&gt;&lt;D xsi:type="xsd:double"&gt;60.56&lt;/D&gt;&lt;D xsi:type="xsd:double"&gt;58.73&lt;/D&gt;&lt;D xsi:type="xsd:double"&gt;57.82&lt;/D&gt;&lt;D xsi:type="xsd:double"&gt;58.19&lt;/D&gt;&lt;D xsi:type="xsd:double"&gt;58.2&lt;/D&gt;&lt;D xsi:type="xsd:double"&gt;58.36&lt;/D&gt;&lt;D xsi:type="xsd:double"&gt;57.86&lt;/D&gt;&lt;D xsi:type="xsd:double"&gt;57.47&lt;/D&gt;&lt;D xsi:type="xsd:double"&gt;56.52&lt;/D&gt;&lt;D xsi:type="xsd:double"&gt;57.43&lt;/D&gt;&lt;D xsi:type="xsd:double"&gt;57.89&lt;/D&gt;&lt;D xsi:type="xsd:double"&gt;58.56&lt;/D&gt;&lt;D xsi:type="xsd:double"&gt;58.7&lt;/D&gt;&lt;D xsi:type="xsd:double"&gt;58.93&lt;/D&gt;&lt;D xsi:type="xsd:double"&gt;59.18&lt;/D&gt;&lt;D xsi:type="xsd:double"&gt;59.25&lt;/D&gt;&lt;D xsi:type="xsd:double"&gt;58.665&lt;/D&gt;&lt;D xsi:type="xsd:double"&gt;57.81&lt;/D&gt;&lt;D xsi:type="xsd:double"&gt;57.45&lt;/D&gt;&lt;D xsi:type="xsd:double"&gt;56.92&lt;/D&gt;&lt;D xsi:type="xsd:double"&gt;56.51&lt;/D&gt;&lt;D xsi:type="xsd:double"&gt;56.68&lt;/D&gt;&lt;D xsi:type="xsd:double"&gt;55.55&lt;/D&gt;&lt;D xsi:type="xsd:double"&gt;54.95&lt;/D&gt;&lt;D xsi:type="xsd:double"&gt;55.01&lt;/D&gt;&lt;D xsi:type="xsd:double"&gt;54.58&lt;/D&gt;&lt;D xsi:type="xsd:double"&gt;55.13&lt;/D&gt;&lt;D xsi:type="xsd:double"&gt;54.62&lt;/D&gt;&lt;D xsi:type="xsd:double"&gt;54.72&lt;/D&gt;&lt;D xsi:type="xsd:double"&gt;54.72&lt;/D&gt;&lt;D xsi:type="xsd:double"&gt;55&lt;/D&gt;&lt;D xsi:type="xsd:double"&gt;55.27&lt;/D&gt;&lt;D xsi:type="xsd:double"&gt;55.1&lt;/D&gt;&lt;D xsi:type="xsd:double"&gt;55.18&lt;/D&gt;&lt;D xsi:type="xsd:double"&gt;55.54&lt;/D&gt;&lt;D xsi:type="xsd:double"&gt;55.53&lt;/D&gt;&lt;D xsi:type="xsd:double"&gt;55.57&lt;/D&gt;&lt;D xsi:type="xsd:double"&gt;54.13&lt;/D&gt;&lt;D xsi:type="xsd:double"&gt;53.5&lt;/D&gt;&lt;D xsi:type="xsd:double"&gt;53.93&lt;/D&gt;&lt;D xsi:type="xsd:double"&gt;53.93&lt;/D&gt;&lt;D xsi:type="xsd:double"&gt;54.44&lt;/D&gt;&lt;D xsi:type="xsd:double"&gt;55.01&lt;/D&gt;&lt;D xsi:type="xsd:double"&gt;54.77&lt;/D&gt;&lt;D xsi:type="xsd:double"&gt;55.79&lt;/D&gt;&lt;D xsi:type="xsd:double"&gt;55.86&lt;/D&gt;&lt;D xsi:type="xsd:double"&gt;55.69&lt;/D&gt;&lt;D xsi:type="xsd:double"&gt;55.52&lt;/D&gt;&lt;D xsi:type="xsd:double"&gt;54.92&lt;/D&gt;&lt;D xsi:type="xsd:double"&gt;54.99&lt;/D&gt;&lt;D xsi:type="xsd:double"&gt;54.79&lt;/D&gt;&lt;D xsi:type="xsd:double"&gt;53.76&lt;/D&gt;&lt;D xsi:type="xsd:double"&gt;53.26&lt;/D&gt;&lt;D xsi:type="xsd:double"&gt;52.82&lt;/D&gt;&lt;D xsi:type="xsd:double"&gt;53.86&lt;/D&gt;&lt;D xsi:type="xsd:double"&gt;53.33&lt;/D&gt;&lt;D xsi:type="xsd:double"&gt;54.04&lt;/D&gt;&lt;D xsi:type="xsd:double"&gt;54.78&lt;/D&gt;&lt;D xsi:type="xsd:double"&gt;54.78&lt;/D&gt;&lt;D xsi:type="xsd:double"&gt;54.75&lt;/D&gt;&lt;D xsi:type="xsd:double"&gt;54.99&lt;/D&gt;&lt;D xsi:type="xsd:double"&gt;55.2&lt;/D&gt;&lt;D xsi:type="xsd:double"&gt;54.7&lt;/D&gt;&lt;D xsi:type="xsd:double"&gt;54.42&lt;/D&gt;&lt;D xsi:type="xsd:double"&gt;54.57&lt;/D&gt;&lt;D xsi:type="xsd:double"&gt;55.6&lt;/D&gt;&lt;D xsi:type="xsd:double"&gt;54.7&lt;/D&gt;&lt;D xsi:type="xsd:double"&gt;55.06&lt;/D&gt;&lt;D xsi:type="xsd:double"&gt;53.25&lt;/D&gt;&lt;D xsi:type="xsd:double"&gt;53.45&lt;/D&gt;&lt;D xsi:type="xsd:double"&gt;52.69&lt;/D&gt;&lt;D xsi:type="xsd:double"&gt;53.95&lt;/D&gt;&lt;D xsi:type="xsd:double"&gt;53.4&lt;/D&gt;&lt;D xsi:type="xsd:double"&gt;53.42&lt;/D&gt;&lt;D xsi:type="xsd:double"&gt;51.59&lt;/D&gt;&lt;D xsi:type="xsd:double"&gt;51.66&lt;/D&gt;&lt;D xsi:type="xsd:double"&gt;51.68&lt;/D&gt;&lt;D xsi:type="xsd:double"&gt;51.85&lt;/D&gt;&lt;D xsi:type="xsd:double"&gt;51.91&lt;/D&gt;&lt;D xsi:type="xsd:double"&gt;51.97&lt;/D&gt;&lt;D xsi:type="xsd:double"&gt;51.66&lt;/D&gt;&lt;D xsi:type="xsd:double"&gt;50.9&lt;/D&gt;&lt;D xsi:type="xsd:double"&gt;49.39&lt;/D&gt;&lt;D xsi:type="xsd:double"&gt;49.29&lt;/D&gt;&lt;D xsi:type="xsd:double"&gt;49.29&lt;/D&gt;&lt;D xsi:type="xsd:double"&gt;49.16&lt;/D&gt;&lt;D xsi:type="xsd:double"&gt;50.17&lt;/D&gt;&lt;D xsi:type="xsd:double"&gt;50.56&lt;/D&gt;&lt;D xsi:type="xsd:double"&gt;49.68&lt;/D&gt;&lt;D xsi:type="xsd:double"&gt;47.98&lt;/D&gt;&lt;D xsi:type="xsd:double"&gt;48.06&lt;/D&gt;&lt;D xsi:type="xsd:double"&gt;45.22&lt;/D&gt;&lt;D xsi:type="xsd:double"&gt;46&lt;/D&gt;&lt;D xsi:type="xsd:double"&gt;50&lt;/D&gt;&lt;D xsi:type="xsd:double"&gt;53.67&lt;/D&gt;&lt;D xsi:type="xsd:double"&gt;54.16&lt;/D&gt;&lt;D xsi:type="xsd:double"&gt;54.55&lt;/D&gt;&lt;D xsi:type="xsd:double"&gt;54.4&lt;/D&gt;&lt;D xsi:type="xsd:double"&gt;54.57&lt;/D&gt;&lt;D xsi:type="xsd:double"&gt;55.81&lt;/D&gt;&lt;/FQL&gt;&lt;FQL&gt;&lt;Q&gt;INDA^FG_PRICE(0,-200D)&lt;/Q&gt;&lt;R&gt;201&lt;/R&gt;&lt;C&gt;1&lt;/C&gt;&lt;D xsi:type="xsd:double"&gt;54.05&lt;/D&gt;&lt;D xsi:type="xsd:double"&gt;54.05&lt;/D&gt;&lt;D xsi:type="xsd:double"&gt;53.64&lt;/D&gt;&lt;D xsi:type="xsd:double"&gt;53.47&lt;/D&gt;&lt;D xsi:type="xsd:double"&gt;53.84&lt;/D&gt;&lt;D xsi:type="xsd:double"&gt;54.01&lt;/D&gt;&lt;D xsi:type="xsd:double"&gt;54.01&lt;/D&gt;&lt;D xsi:type="xsd:double"&gt;54.47&lt;/D&gt;&lt;D xsi:type="xsd:double"&gt;54.19&lt;/D&gt;&lt;D xsi:type="xsd:double"&gt;54.15&lt;/D&gt;&lt;D xsi:type="xsd:double"&gt;53.28&lt;/D&gt;&lt;D xsi:type="xsd:double"&gt;52.97&lt;/D&gt;&lt;D xsi:type="xsd:double"&gt;52.95&lt;/D&gt;&lt;D xsi:type="xsd:double"&gt;53.1&lt;/D&gt;&lt;D xsi:type="xsd:double"&gt;53.14&lt;/D&gt;&lt;D xsi:type="xsd:double"&gt;53.57&lt;/D&gt;&lt;D xsi:type="xsd:double"&gt;53.36&lt;/D&gt;&lt;D xsi:type="xsd:double"&gt;53.27&lt;/D&gt;&lt;D xsi:type="xsd:double"&gt;53.08&lt;/D&gt;&lt;D xsi:type="xsd:double"&gt;53.97&lt;/D&gt;&lt;D xsi:type="xsd:double"&gt;53.76&lt;/D&gt;&lt;D xsi:type="xsd:double"&gt;53.41&lt;/D&gt;&lt;D xsi:type="xsd:double"&gt;53.88&lt;/D&gt;&lt;D xsi:type="xsd:double"&gt;54.33&lt;/D&gt;&lt;D xsi:type="xsd:double"&gt;54.71&lt;/D&gt;&lt;D xsi:type="xsd:double"&gt;54.67&lt;/D&gt;&lt;D xsi:type="xsd:double"&gt;54.67&lt;/D&gt;&lt;D xsi:type="xsd:double"&gt;54.28&lt;/D&gt;&lt;D xsi:type="xsd:double"&gt;54.22&lt;/D&gt;&lt;D xsi:type="xsd:double"&gt;54.21&lt;/D&gt;&lt;D xsi:type="xsd:double"&gt;54.72&lt;/D&gt;&lt;D xsi:type="xsd:double"&gt;54.83&lt;/D&gt;&lt;D xsi:type="xsd:double"&gt;54.61&lt;/D&gt;&lt;D xsi:type="xsd:double"&gt;54.65&lt;/D&gt;&lt;D xsi:type="xsd:double"&gt;54.62&lt;/D&gt;&lt;D xsi:type="xsd:double"&gt;54.2&lt;/D&gt;&lt;D xsi:type="xsd:double"&gt;54.56&lt;/D&gt;&lt;D xsi:type="xsd:double"&gt;54.74&lt;/D&gt;&lt;D xsi:type="xsd:double"&gt;54.15&lt;/D&gt;&lt;D xsi:type="xsd:double"&gt;53.75&lt;/D&gt;&lt;D xsi:type="xsd:double"&gt;53.62&lt;/D&gt;&lt;D xsi:type="xsd:double"&gt;54.3&lt;/D&gt;&lt;D xsi:type="xsd:double"&gt;54.02&lt;/D&gt;&lt;D xsi:type="xsd:double"&gt;54.24&lt;/D&gt;&lt;D xsi:type="xsd:double"&gt;53.97&lt;/D&gt;&lt;D xsi:type="xsd:double"&gt;54.27&lt;/D&gt;&lt;D xsi:type="xsd:double"&gt;54.61&lt;/D&gt;&lt;D xsi:type="xsd:double"&gt;54.54&lt;/D&gt;&lt;D xsi:type="xsd:double"&gt;54.72&lt;/D&gt;&lt;D xsi:type="xsd:double"&gt;54.51&lt;/D&gt;&lt;D xsi:type="xsd:double"&gt;54.76&lt;/D&gt;&lt;D xsi:type="xsd:double"&gt;55.29&lt;/D&gt;&lt;D xsi:type="xsd:double"&gt;54.48&lt;/D&gt;&lt;D xsi:type="xsd:double"&gt;54.74&lt;/D&gt;&lt;D xsi:type="xsd:double"&gt;54.45&lt;/D&gt;&lt;D xsi:type="xsd:double"&gt;54.065&lt;/D&gt;&lt;D xsi:type="xsd:double"&gt;53.76&lt;/D&gt;&lt;D xsi:type="xsd:double"&gt;52.78&lt;/D&gt;&lt;D xsi:type="xsd:double"&gt;52.97&lt;/D&gt;&lt;D xsi:type="xsd:double"&gt;52.77&lt;/D&gt;&lt;D xsi:type="xsd:double"&gt;52.81&lt;/D&gt;&lt;D xsi:type="xsd:double"&gt;52.63&lt;/D&gt;&lt;D xsi:type="xsd:double"&gt;52.88&lt;/D&gt;&lt;D xsi:type="xsd:double"&gt;52.76&lt;/D&gt;&lt;D xsi:type="xsd:double"&gt;52.45&lt;/D&gt;&lt;D xsi:type="xsd:double"&gt;52.3&lt;/D&gt;&lt;D xsi:type="xsd:double"&gt;52.39&lt;/D&gt;&lt;D xsi:type="xsd:double"&gt;52.06&lt;/D&gt;&lt;D xsi:type="xsd:double"&gt;52.16&lt;/D&gt;&lt;D xsi:type="xsd:double"&gt;52.25&lt;/D&gt;&lt;D xsi:type="xsd:double"&gt;52.49&lt;/D&gt;&lt;D xsi:type="xsd:double"&gt;52.74&lt;/D&gt;&lt;D xsi:type="xsd:double"&gt;53.06&lt;/D&gt;&lt;D xsi:type="xsd:double"&gt;53.5&lt;/D&gt;&lt;D xsi:type="xsd:double"&gt;53.94&lt;/D&gt;&lt;D xsi:type="xsd:double"&gt;53.74&lt;/D&gt;&lt;D xsi:type="xsd:double"&gt;54.02&lt;/D&gt;&lt;D xsi:type="xsd:double"&gt;53.87&lt;/D&gt;&lt;D xsi:type="xsd:double"&gt;53.43&lt;/D&gt;&lt;D xsi:type="xsd:double"&gt;53.15&lt;/D&gt;&lt;D xsi:type="xsd:double"&gt;53.24&lt;/D&gt;&lt;D xsi:type="xsd:double"&gt;53.16&lt;/D&gt;&lt;D xsi:type="xsd:double"&gt;52.71&lt;/D&gt;&lt;D xsi:type="xsd:double"&gt;52.89&lt;/D&gt;&lt;D xsi:type="xsd:double"&gt;52.48&lt;/D&gt;&lt;D xsi:type="xsd:double"&gt;52.59&lt;/D&gt;&lt;D xsi:type="xsd:double"&gt;52.62&lt;/D&gt;&lt;D xsi:type="xsd:double"&gt;52.35&lt;/D&gt;&lt;D xsi:type="xsd:double"&gt;51.98&lt;/D&gt;&lt;D xsi:type="xsd:double"&gt;51.98&lt;/D&gt;&lt;D xsi:type="xsd:double"&gt;52.54&lt;/D&gt;&lt;D xsi:type="xsd:double"&gt;52.68&lt;/D&gt;&lt;D xsi:type="xsd:double"&gt;52.55&lt;/D&gt;&lt;D xsi:type="xsd:double"&gt;53.23&lt;/D&gt;&lt;D xsi:type="xsd:double"&gt;53.58&lt;/D&gt;&lt;D xsi:type="xsd:double"&gt;53.57&lt;/D&gt;&lt;D xsi:type="xsd:double"&gt;53.8&lt;/D&gt;&lt;D xsi:type="xsd:double"&gt;53.65&lt;/D&gt;&lt;D xsi:type="xsd:double"&gt;53.5&lt;/D&gt;&lt;D xsi:type="xsd:double"&gt;52.71&lt;/D&gt;&lt;D xsi:type="xsd:double"&gt;52.41&lt;/D&gt;&lt;D xsi:type="xsd:double"&gt;52.71&lt;/D&gt;&lt;D xsi:type="xsd:double"&gt;52.465&lt;/D&gt;&lt;D xsi:type="xsd:double"&gt;52.27&lt;/D&gt;&lt;D xsi:type="xsd:double"&gt;52.12&lt;/D&gt;&lt;D xsi:type="xsd:double"&gt;52.53&lt;/D&gt;&lt;D xsi:type="xsd:double"&gt;52.255&lt;/D&gt;&lt;D xsi:type="xsd:double"&gt;52.41&lt;/D&gt;&lt;D xsi:type="xsd:double"&gt;52.48&lt;/D&gt;&lt;D xsi:type="xsd:double"&gt;52.72&lt;/D&gt;&lt;D xsi:type="xsd:double"&gt;52.64&lt;/D&gt;&lt;D xsi:type="xsd:double"&gt;52.7&lt;/D&gt;&lt;D xsi:type="xsd:double"&gt;53.49&lt;/D&gt;&lt;D xsi:type="xsd:double"&gt;53.23&lt;/D&gt;&lt;D xsi:type="xsd:double"&gt;53.8&lt;/D&gt;&lt;D xsi:type="xsd:double"&gt;54.06&lt;/D&gt;&lt;D xsi:type="xsd:double"&gt;54.73&lt;/D&gt;&lt;D xsi:type="xsd:double"&gt;54.61&lt;/D&gt;&lt;D xsi:type="xsd:double"&gt;54.75&lt;/D&gt;&lt;D xsi:type="xsd:double"&gt;54.5&lt;/D&gt;&lt;D xsi:type="xsd:double"&gt;55.01&lt;/D&gt;&lt;D xsi:type="xsd:double"&gt;55.27&lt;/D&gt;&lt;D xsi:type="xsd:double"&gt;54.875&lt;/D&gt;&lt;D xsi:type="xsd:double"&gt;54.92&lt;/D&gt;&lt;D xsi:type="xsd:double"&gt;54.88&lt;/D&gt;&lt;D xsi:type="xsd:double"&gt;55.27&lt;/D&gt;&lt;D xsi:type="xsd:double"&gt;55.66&lt;/D&gt;&lt;D xsi:type="xsd:double"&gt;55.69&lt;/D&gt;&lt;D xsi:type="xsd:double"&gt;55.36&lt;/D&gt;&lt;D xsi:type="xsd:double"&gt;55.79&lt;/D&gt;&lt;D xsi:type="xsd:double"&gt;55.79&lt;/D&gt;&lt;D xsi:type="xsd:double"&gt;55.6&lt;/D&gt;&lt;D xsi:type="xsd:double"&gt;55.84&lt;/D&gt;&lt;D xsi:type="xsd:double"&gt;55.68&lt;/D&gt;&lt;D xsi:type="xsd:double"&gt;55.86&lt;/D&gt;&lt;D xsi:type="xsd:double"&gt;55.71&lt;/D&gt;&lt;D xsi:type="xsd:double"&gt;55&lt;/D&gt;&lt;D xsi:type="xsd:double"&gt;54.8&lt;/D&gt;&lt;D xsi:type="xsd:double"&gt;54.31&lt;/D&gt;&lt;D xsi:type="xsd:double"&gt;53.9&lt;/D&gt;&lt;D xsi:type="xsd:double"&gt;53.79&lt;/D&gt;&lt;D xsi:type="xsd:double"&gt;53.79&lt;/D&gt;&lt;D xsi:type="xsd:double"&gt;53.83&lt;/D&gt;&lt;D xsi:type="xsd:double"&gt;54.56&lt;/D&gt;&lt;D xsi:type="xsd:double"&gt;54.04&lt;/D&gt;&lt;D xsi:type="xsd:double"&gt;54.8&lt;/D&gt;&lt;D xsi:type="xsd:double"&gt;55.33&lt;/D&gt;&lt;D xsi:type="xsd:double"&gt;55.26&lt;/D&gt;&lt;D xsi:type="xsd:double"&gt;55.24&lt;/D&gt;&lt;D xsi:type="xsd:double"&gt;54.91&lt;/D&gt;&lt;D xsi:type="xsd:double"&gt;54.18&lt;/D&gt;&lt;D xsi:type="xsd:double"&gt;53.92&lt;/D&gt;&lt;D xsi:type="xsd:double"&gt;53.96&lt;/D&gt;&lt;D xsi:type="xsd:double"&gt;54.54&lt;/D&gt;&lt;D xsi:type="xsd:double"&gt;54.31&lt;/D&gt;&lt;D xsi:type="xsd:double"&gt;54.59&lt;/D&gt;&lt;D xsi:type="xsd:double"&gt;54.285&lt;/D&gt;&lt;D xsi:type="xsd:double"&gt;54.53&lt;/D&gt;&lt;D xsi:type="xsd:double"&gt;54.58&lt;/D&gt;&lt;D xsi:type="xsd:double"&gt;54.58&lt;/D&gt;&lt;D xsi:type="xsd:double"&gt;53.79&lt;/D&gt;&lt;D xsi:type="xsd:double"&gt;54.03&lt;/D&gt;&lt;D xsi:type="xsd:double"&gt;54.07&lt;/D&gt;&lt;D xsi:type="xsd:double"&gt;54.78&lt;/D&gt;&lt;D xsi:type="xsd:double"&gt;54.66&lt;/D&gt;&lt;D xsi:type="xsd:double"&gt;54.77&lt;/D&gt;&lt;D xsi:type="xsd:double"&gt;53.97&lt;/D&gt;&lt;D xsi:type="xsd:double"&gt;54.01&lt;/D&gt;&lt;D xsi:type="xsd:double"&gt;54.32&lt;/D&gt;&lt;D xsi:type="xsd:double"&gt;52.39&lt;/D&gt;&lt;D xsi:type="xsd:double"&gt;51.54&lt;/D&gt;&lt;D xsi:type="xsd:double"&gt;53.22&lt;/D&gt;&lt;D xsi:type="xsd:double"&gt;53.68&lt;/D&gt;&lt;D xsi:type="xsd:double"&gt;54.32&lt;/D&gt;&lt;D xsi:type="xsd:double"&gt;53.91&lt;/D&gt;&lt;D xsi:type="xsd:double"&gt;53.54&lt;/D&gt;&lt;D xsi:type="xsd:double"&gt;53.57&lt;/D&gt;&lt;D xsi:type="xsd:double"&gt;53.54&lt;/D&gt;&lt;D xsi:type="xsd:double"&gt;53.29&lt;/D&gt;&lt;D xsi:type="xsd:double"&gt;52.85&lt;/D&gt;&lt;D xsi:type="xsd:double"&gt;53.74&lt;/D&gt;&lt;D xsi:type="xsd:double"&gt;53.18&lt;/D&gt;&lt;D xsi:type="xsd:double"&gt;53.5&lt;/D&gt;&lt;D xsi:type="xsd:double"&gt;53&lt;/D&gt;&lt;D xsi:type="xsd:double"&gt;52.26&lt;/D&gt;&lt;D xsi:type="xsd:double"&gt;52.26&lt;/D&gt;&lt;D xsi:type="xsd:double"&gt;51.13&lt;/D&gt;&lt;D xsi:type="xsd:double"&gt;51.13&lt;/D&gt;&lt;D xsi:type="xsd:double"&gt;51.03&lt;/D&gt;&lt;D xsi:type="xsd:double"&gt;50.76&lt;/D&gt;&lt;D xsi:type="xsd:double"&gt;50.52&lt;/D&gt;&lt;D xsi:type="xsd:double"&gt;51.22&lt;/D&gt;&lt;D xsi:type="xsd:double"&gt;49.16&lt;/D&gt;&lt;D xsi:type="xsd:double"&gt;49.13&lt;/D&gt;&lt;D xsi:type="xsd:double"&gt;49.19&lt;/D&gt;&lt;D xsi:type="xsd:double"&gt;51.18&lt;/D&gt;&lt;D xsi:type="xsd:double"&gt;51.56&lt;/D&gt;&lt;D xsi:type="xsd:double"&gt;51.05&lt;/D&gt;&lt;D xsi:type="xsd:double"&gt;51.48&lt;/D&gt;&lt;D xsi:type="xsd:double"&gt;51.28&lt;/D&gt;&lt;D xsi:type="xsd:double"&gt;51.79&lt;/D&gt;&lt;/FQL&gt;&lt;FQL&gt;&lt;Q&gt;GREK^FG_PRICE(0,-200D)&lt;/Q&gt;&lt;R&gt;201&lt;/R&gt;&lt;C&gt;1&lt;/C&gt;&lt;D xsi:type="xsd:double"&gt;65.91&lt;/D&gt;&lt;D xsi:type="xsd:double"&gt;65.91&lt;/D&gt;&lt;D xsi:type="xsd:double"&gt;66.5&lt;/D&gt;&lt;D xsi:type="xsd:double"&gt;68&lt;/D&gt;&lt;D xsi:type="xsd:double"&gt;68.61&lt;/D&gt;&lt;D xsi:type="xsd:double"&gt;68.16&lt;/D&gt;&lt;D xsi:type="xsd:double"&gt;68.16&lt;/D&gt;&lt;D xsi:type="xsd:double"&gt;68.21&lt;/D&gt;&lt;D xsi:type="xsd:double"&gt;68.39&lt;/D&gt;&lt;D xsi:type="xsd:double"&gt;67.25&lt;/D&gt;&lt;D xsi:type="xsd:double"&gt;66.94&lt;/D&gt;&lt;D xsi:type="xsd:double"&gt;66.25&lt;/D&gt;&lt;D xsi:type="xsd:double"&gt;66.81&lt;/D&gt;&lt;D xsi:type="xsd:double"&gt;67.45&lt;/D&gt;&lt;D xsi:type="xsd:double"&gt;67.24&lt;/D&gt;&lt;D xsi:type="xsd:double"&gt;67.67&lt;/D&gt;&lt;D xsi:type="xsd:double"&gt;66.77&lt;/D&gt;&lt;D xsi:type="xsd:double"&gt;65.8&lt;/D&gt;&lt;D xsi:type="xsd:double"&gt;66.97&lt;/D&gt;&lt;D xsi:type="xsd:double"&gt;66.45&lt;/D&gt;&lt;D xsi:type="xsd:double"&gt;66.3&lt;/D&gt;&lt;D xsi:type="xsd:double"&gt;66.37&lt;/D&gt;&lt;D xsi:type="xsd:double"&gt;66.64&lt;/D&gt;&lt;D xsi:type="xsd:double"&gt;66.28&lt;/D&gt;&lt;D xsi:type="xsd:double"&gt;65.32&lt;/D&gt;&lt;D xsi:type="xsd:double"&gt;66.15&lt;/D&gt;&lt;D xsi:type="xsd:double"&gt;66.15&lt;/D&gt;&lt;D xsi:type="xsd:double"&gt;65.48&lt;/D&gt;&lt;D xsi:type="xsd:double"&gt;63.99&lt;/D&gt;&lt;D xsi:type="xsd:double"&gt;64.64&lt;/D&gt;&lt;D xsi:type="xsd:double"&gt;62.76&lt;/D&gt;&lt;D xsi:type="xsd:double"&gt;63.34&lt;/D&gt;&lt;D xsi:type="xsd:double"&gt;63.2&lt;/D&gt;&lt;D xsi:type="xsd:double"&gt;64.5&lt;/D&gt;&lt;D xsi:type="xsd:double"&gt;65&lt;/D&gt;&lt;D xsi:type="xsd:double"&gt;64.67&lt;/D&gt;&lt;D xsi:type="xsd:double"&gt;64.32&lt;/D&gt;&lt;D xsi:type="xsd:double"&gt;63.63&lt;/D&gt;&lt;D xsi:type="xsd:double"&gt;63.69&lt;/D&gt;&lt;D xsi:type="xsd:double"&gt;62.35&lt;/D&gt;&lt;D xsi:type="xsd:double"&gt;62.47&lt;/D&gt;&lt;D xsi:type="xsd:double"&gt;62.68&lt;/D&gt;&lt;D xsi:type="xsd:double"&gt;62.17&lt;/D&gt;&lt;D xsi:type="xsd:double"&gt;63.18&lt;/D&gt;&lt;D xsi:type="xsd:double"&gt;62.22&lt;/D&gt;&lt;D xsi:type="xsd:double"&gt;62.69&lt;/D&gt;&lt;D xsi:type="xsd:double"&gt;63.76&lt;/D&gt;&lt;D xsi:type="xsd:double"&gt;62.89&lt;/D&gt;&lt;D xsi:type="xsd:double"&gt;63.03&lt;/D&gt;&lt;D xsi:type="xsd:double"&gt;63.27&lt;/D&gt;&lt;D xsi:type="xsd:double"&gt;64.06&lt;/D&gt;&lt;D xsi:type="xsd:double"&gt;63.56&lt;/D&gt;&lt;D xsi:type="xsd:double"&gt;63.28&lt;/D&gt;&lt;D xsi:type="xsd:double"&gt;62.99&lt;/D&gt;&lt;D xsi:type="xsd:double"&gt;62.75&lt;/D&gt;&lt;D xsi:type="xsd:double"&gt;63.87&lt;/D&gt;&lt;D xsi:type="xsd:double"&gt;64.67&lt;/D&gt;&lt;D xsi:type="xsd:double"&gt;64.83&lt;/D&gt;&lt;D xsi:type="xsd:double"&gt;65.61&lt;/D&gt;&lt;D xsi:type="xsd:double"&gt;65.45&lt;/D&gt;&lt;D xsi:type="xsd:double"&gt;65.7&lt;/D&gt;&lt;D xsi:type="xsd:double"&gt;65.62&lt;/D&gt;&lt;D xsi:type="xsd:double"&gt;65.33&lt;/D&gt;&lt;D xsi:type="xsd:double"&gt;65.38&lt;/D&gt;&lt;D xsi:type="xsd:double"&gt;66.17&lt;/D&gt;&lt;D xsi:type="xsd:double"&gt;65.25&lt;/D&gt;&lt;D xsi:type="xsd:double"&gt;65.56&lt;/D&gt;&lt;D xsi:type="xsd:double"&gt;64.4&lt;/D&gt;&lt;D xsi:type="xsd:double"&gt;64.27&lt;/D&gt;&lt;D xsi:type="xsd:double"&gt;63.82&lt;/D&gt;&lt;D xsi:type="xsd:double"&gt;63.96&lt;/D&gt;&lt;D xsi:type="xsd:double"&gt;65&lt;/D&gt;&lt;D xsi:type="xsd:double"&gt;65.23&lt;/D&gt;&lt;D xsi:type="xsd:double"&gt;64.76&lt;/D&gt;&lt;D xsi:type="xsd:double"&gt;64.14&lt;/D&gt;&lt;D xsi:type="xsd:double"&gt;64.3&lt;/D&gt;&lt;D xsi:type="xsd:double"&gt;64.1&lt;/D&gt;&lt;D xsi:type="xsd:double"&gt;64.77&lt;/D&gt;&lt;D xsi:type="xsd:double"&gt;65.23&lt;/D&gt;&lt;D xsi:type="xsd:double"&gt;65.17&lt;/D&gt;&lt;D xsi:type="xsd:double"&gt;64.22&lt;/D&gt;&lt;D xsi:type="xsd:double"&gt;63.64&lt;/D&gt;&lt;D xsi:type="xsd:double"&gt;63.6&lt;/D&gt;&lt;D xsi:type="xsd:double"&gt;63.86&lt;/D&gt;&lt;D xsi:type="xsd:double"&gt;63.4&lt;/D&gt;&lt;D xsi:type="xsd:double"&gt;63.26&lt;/D&gt;&lt;D xsi:type="xsd:double"&gt;63.4&lt;/D&gt;&lt;D xsi:type="xsd:double"&gt;62.28&lt;/D&gt;&lt;D xsi:type="xsd:double"&gt;63.09&lt;/D&gt;&lt;D xsi:type="xsd:double"&gt;63.09&lt;/D&gt;&lt;D xsi:type="xsd:double"&gt;63.94&lt;/D&gt;&lt;D xsi:type="xsd:double"&gt;64.49&lt;/D&gt;&lt;D xsi:type="xsd:double"&gt;64.98&lt;/D&gt;&lt;D xsi:type="xsd:double"&gt;65.62&lt;/D&gt;&lt;D xsi:type="xsd:double"&gt;65.995&lt;/D&gt;&lt;D xsi:type="xsd:double"&gt;65.2&lt;/D&gt;&lt;D xsi:type="xsd:double"&gt;65.4&lt;/D&gt;&lt;D xsi:type="xsd:double"&gt;65.15&lt;/D&gt;&lt;D xsi:type="xsd:double"&gt;65.58&lt;/D&gt;&lt;D xsi:type="xsd:double"&gt;66.89&lt;/D&gt;&lt;D xsi:type="xsd:double"&gt;66.53&lt;/D&gt;&lt;D xsi:type="xsd:double"&gt;66.81&lt;/D&gt;&lt;D xsi:type="xsd:double"&gt;66.35&lt;/D&gt;&lt;D xsi:type="xsd:double"&gt;65.68&lt;/D&gt;&lt;D xsi:type="xsd:double"&gt;65.0692&lt;/D&gt;&lt;D xsi:type="xsd:double"&gt;64.58&lt;/D&gt;&lt;D xsi:type="xsd:double"&gt;64.2&lt;/D&gt;&lt;D xsi:type="xsd:double"&gt;62.98&lt;/D&gt;&lt;D xsi:type="xsd:double"&gt;62.02&lt;/D&gt;&lt;D xsi:type="xsd:double"&gt;60.34&lt;/D&gt;&lt;D xsi:type="xsd:double"&gt;60.51&lt;/D&gt;&lt;D xsi:type="xsd:double"&gt;60.44&lt;/D&gt;&lt;D xsi:type="xsd:double"&gt;60.98&lt;/D&gt;&lt;D xsi:type="xsd:double"&gt;60.45&lt;/D&gt;&lt;D xsi:type="xsd:double"&gt;62.15&lt;/D&gt;&lt;D xsi:type="xsd:double"&gt;62&lt;/D&gt;&lt;D xsi:type="xsd:double"&gt;62.58&lt;/D&gt;&lt;D xsi:type="xsd:double"&gt;61.43&lt;/D&gt;&lt;D xsi:type="xsd:double"&gt;61.53&lt;/D&gt;&lt;D xsi:type="xsd:double"&gt;61.2&lt;/D&gt;&lt;D xsi:type="xsd:double"&gt;61.52&lt;/D&gt;&lt;D xsi:type="xsd:double"&gt;60.8&lt;/D&gt;&lt;D xsi:type="xsd:double"&gt;60.25&lt;/D&gt;&lt;D xsi:type="xsd:double"&gt;60.82&lt;/D&gt;&lt;D xsi:type="xsd:double"&gt;60.99&lt;/D&gt;&lt;D xsi:type="xsd:double"&gt;61.32&lt;/D&gt;&lt;D xsi:type="xsd:double"&gt;61.08&lt;/D&gt;&lt;D xsi:type="xsd:double"&gt;60.9&lt;/D&gt;&lt;D xsi:type="xsd:double"&gt;59.12&lt;/D&gt;&lt;D xsi:type="xsd:double"&gt;59.72&lt;/D&gt;&lt;D xsi:type="xsd:double"&gt;59.72&lt;/D&gt;&lt;D xsi:type="xsd:double"&gt;59.34&lt;/D&gt;&lt;D xsi:type="xsd:double"&gt;58.63&lt;/D&gt;&lt;D xsi:type="xsd:double"&gt;58.04&lt;/D&gt;&lt;D xsi:type="xsd:double"&gt;58.17&lt;/D&gt;&lt;D xsi:type="xsd:double"&gt;59.31&lt;/D&gt;&lt;D xsi:type="xsd:double"&gt;58.42&lt;/D&gt;&lt;D xsi:type="xsd:double"&gt;57.86&lt;/D&gt;&lt;D xsi:type="xsd:double"&gt;56.55&lt;/D&gt;&lt;D xsi:type="xsd:double"&gt;54.71&lt;/D&gt;&lt;D xsi:type="xsd:double"&gt;54.58&lt;/D&gt;&lt;D xsi:type="xsd:double"&gt;54.58&lt;/D&gt;&lt;D xsi:type="xsd:double"&gt;54.88&lt;/D&gt;&lt;D xsi:type="xsd:double"&gt;55.79&lt;/D&gt;&lt;D xsi:type="xsd:double"&gt;56&lt;/D&gt;&lt;D xsi:type="xsd:double"&gt;56.89&lt;/D&gt;&lt;D xsi:type="xsd:double"&gt;56.52&lt;/D&gt;&lt;D xsi:type="xsd:double"&gt;56.48&lt;/D&gt;&lt;D xsi:type="xsd:double"&gt;55.85&lt;/D&gt;&lt;D xsi:type="xsd:double"&gt;55.46&lt;/D&gt;&lt;D xsi:type="xsd:double"&gt;55.77&lt;/D&gt;&lt;D xsi:type="xsd:double"&gt;55.24&lt;/D&gt;&lt;D xsi:type="xsd:double"&gt;55.29&lt;/D&gt;&lt;D xsi:type="xsd:double"&gt;55.7&lt;/D&gt;&lt;D xsi:type="xsd:double"&gt;55&lt;/D&gt;&lt;D xsi:type="xsd:double"&gt;55.71&lt;/D&gt;&lt;D xsi:type="xsd:double"&gt;55.85&lt;/D&gt;&lt;D xsi:type="xsd:double"&gt;55.02&lt;/D&gt;&lt;D xsi:type="xsd:double"&gt;53.23&lt;/D&gt;&lt;D xsi:type="xsd:double"&gt;53.23&lt;/D&gt;&lt;D xsi:type="xsd:double"&gt;53.88&lt;/D&gt;&lt;D xsi:type="xsd:double"&gt;54.14&lt;/D&gt;&lt;D xsi:type="xsd:double"&gt;53.89&lt;/D&gt;&lt;D xsi:type="xsd:double"&gt;52.9&lt;/D&gt;&lt;D xsi:type="xsd:double"&gt;52.5&lt;/D&gt;&lt;D xsi:type="xsd:double"&gt;52.15&lt;/D&gt;&lt;D xsi:type="xsd:double"&gt;52.22&lt;/D&gt;&lt;D xsi:type="xsd:double"&gt;52.07&lt;/D&gt;&lt;D xsi:type="xsd:double"&gt;51.6&lt;/D&gt;&lt;D xsi:type="xsd:double"&gt;51.0483&lt;/D&gt;&lt;D xsi:type="xsd:double"&gt;50.26&lt;/D&gt;&lt;D xsi:type="xsd:double"&gt;50.37&lt;/D&gt;&lt;D xsi:type="xsd:double"&gt;50.13&lt;/D&gt;&lt;D xsi:type="xsd:double"&gt;50.44&lt;/D&gt;&lt;D xsi:type="xsd:double"&gt;50.1&lt;/D&gt;&lt;D xsi:type="xsd:double"&gt;49.3&lt;/D&gt;&lt;D xsi:type="xsd:double"&gt;49.52&lt;/D&gt;&lt;D xsi:type="xsd:double"&gt;49.99&lt;/D&gt;&lt;D xsi:type="xsd:double"&gt;49.71&lt;/D&gt;&lt;D xsi:type="xsd:double"&gt;49.52&lt;/D&gt;&lt;D xsi:type="xsd:double"&gt;49.95&lt;/D&gt;&lt;D xsi:type="xsd:double"&gt;49.35&lt;/D&gt;&lt;D xsi:type="xsd:double"&gt;49.05&lt;/D&gt;&lt;D xsi:type="xsd:double"&gt;47.02&lt;/D&gt;&lt;D xsi:type="xsd:double"&gt;47.34&lt;/D&gt;&lt;D xsi:type="xsd:double"&gt;47.34&lt;/D&gt;&lt;D xsi:type="xsd:double"&gt;47.35&lt;/D&gt;&lt;D xsi:type="xsd:double"&gt;47.415&lt;/D&gt;&lt;D xsi:type="xsd:double"&gt;46.92&lt;/D&gt;&lt;D xsi:type="xsd:double"&gt;45.92&lt;/D&gt;&lt;D xsi:type="xsd:double"&gt;44.76&lt;/D&gt;&lt;D xsi:type="xsd:double"&gt;44.85&lt;/D&gt;&lt;D xsi:type="xsd:double"&gt;42.65&lt;/D&gt;&lt;D xsi:type="xsd:double"&gt;40.77&lt;/D&gt;&lt;D xsi:type="xsd:double"&gt;43.59&lt;/D&gt;&lt;D xsi:type="xsd:double"&gt;47.32&lt;/D&gt;&lt;D xsi:type="xsd:double"&gt;48.1&lt;/D&gt;&lt;D xsi:type="xsd:double"&gt;47.63&lt;/D&gt;&lt;D xsi:type="xsd:double"&gt;46.97&lt;/D&gt;&lt;D xsi:type="xsd:double"&gt;48.4701&lt;/D&gt;&lt;D xsi:type="xsd:double"&gt;48.9&lt;/D&gt;&lt;/FQL&gt;&lt;FQL&gt;&lt;Q&gt;EZA^FG_PRICE(0,-200D)&lt;/Q&gt;&lt;R&gt;201&lt;/R&gt;&lt;C&gt;1&lt;/C&gt;&lt;D xsi:type="xsd:double"&gt;68.8&lt;/D&gt;&lt;D xsi:type="xsd:double"&gt;68.8&lt;/D&gt;&lt;D xsi:type="xsd:double"&gt;69.23&lt;/D&gt;&lt;D xsi:type="xsd:double"&gt;68.43&lt;/D&gt;&lt;D xsi:type="xsd:double"&gt;70.31&lt;/D&gt;&lt;D xsi:type="xsd:double"&gt;69.92&lt;/D&gt;&lt;D xsi:type="xsd:double"&gt;69.92&lt;/D&gt;&lt;D xsi:type="xsd:double"&gt;69.54&lt;/D&gt;&lt;D xsi:type="xsd:double"&gt;68.79&lt;/D&gt;&lt;D xsi:type="xsd:double"&gt;67.6&lt;/D&gt;&lt;D xsi:type="xsd:double"&gt;67.51&lt;/D&gt;&lt;D xsi:type="xsd:double"&gt;66.64&lt;/D&gt;&lt;D xsi:type="xsd:double"&gt;65.7&lt;/D&gt;&lt;D xsi:type="xsd:double"&gt;69.61&lt;/D&gt;&lt;D xsi:type="xsd:double"&gt;68.63&lt;/D&gt;&lt;D xsi:type="xsd:double"&gt;69.5&lt;/D&gt;&lt;D xsi:type="xsd:double"&gt;68.18&lt;/D&gt;&lt;D xsi:type="xsd:double"&gt;66.91&lt;/D&gt;&lt;D xsi:type="xsd:double"&gt;66.39&lt;/D&gt;&lt;D xsi:type="xsd:double"&gt;67.88&lt;/D&gt;&lt;D xsi:type="xsd:double"&gt;67.05&lt;/D&gt;&lt;D xsi:type="xsd:double"&gt;66.92&lt;/D&gt;&lt;D xsi:type="xsd:double"&gt;66.5&lt;/D&gt;&lt;D xsi:type="xsd:double"&gt;67.45&lt;/D&gt;&lt;D xsi:type="xsd:double"&gt;66.74&lt;/D&gt;&lt;D xsi:type="xsd:double"&gt;67.83&lt;/D&gt;&lt;D xsi:type="xsd:double"&gt;67.83&lt;/D&gt;&lt;D xsi:type="xsd:double"&gt;66.3&lt;/D&gt;&lt;D xsi:type="xsd:double"&gt;65.89&lt;/D&gt;&lt;D xsi:type="xsd:double"&gt;64.86&lt;/D&gt;&lt;D xsi:type="xsd:double"&gt;64.93&lt;/D&gt;&lt;D xsi:type="xsd:double"&gt;66.57&lt;/D&gt;&lt;D xsi:type="xsd:double"&gt;66.16&lt;/D&gt;&lt;D xsi:type="xsd:double"&gt;66.13&lt;/D&gt;&lt;D xsi:type="xsd:double"&gt;66.99&lt;/D&gt;&lt;D xsi:type="xsd:double"&gt;67.83&lt;/D&gt;&lt;D xsi:type="xsd:double"&gt;68.08&lt;/D&gt;&lt;D xsi:type="xsd:double"&gt;66.53&lt;/D&gt;&lt;D xsi:type="xsd:double"&gt;66.62&lt;/D&gt;&lt;D xsi:type="xsd:double"&gt;64.24&lt;/D&gt;&lt;D xsi:type="xsd:double"&gt;63.7&lt;/D&gt;&lt;D xsi:type="xsd:double"&gt;63.4&lt;/D&gt;&lt;D xsi:type="xsd:double"&gt;61.44&lt;/D&gt;&lt;D xsi:type="xsd:double"&gt;63.76&lt;/D&gt;&lt;D xsi:type="xsd:double"&gt;63.77&lt;/D&gt;&lt;D xsi:type="xsd:double"&gt;64.37&lt;/D&gt;&lt;D xsi:type="xsd:double"&gt;64.75&lt;/D&gt;&lt;D xsi:type="xsd:double"&gt;65.23&lt;/D&gt;&lt;D xsi:type="xsd:double"&gt;64.2&lt;/D&gt;&lt;D xsi:type="xsd:double"&gt;65.18&lt;/D&gt;&lt;D xsi:type="xsd:double"&gt;64.93&lt;/D&gt;&lt;D xsi:type="xsd:double"&gt;63.58&lt;/D&gt;&lt;D xsi:type="xsd:double"&gt;63.27&lt;/D&gt;&lt;D xsi:type="xsd:double"&gt;66.21&lt;/D&gt;&lt;D xsi:type="xsd:double"&gt;65.41&lt;/D&gt;&lt;D xsi:type="xsd:double"&gt;67.33&lt;/D&gt;&lt;D xsi:type="xsd:double"&gt;66.03&lt;/D&gt;&lt;D xsi:type="xsd:double"&gt;65.31&lt;/D&gt;&lt;D xsi:type="xsd:double"&gt;66.01&lt;/D&gt;&lt;D xsi:type="xsd:double"&gt;63.32&lt;/D&gt;&lt;D xsi:type="xsd:double"&gt;65.06&lt;/D&gt;&lt;D xsi:type="xsd:double"&gt;66.8&lt;/D&gt;&lt;D xsi:type="xsd:double"&gt;64.79&lt;/D&gt;&lt;D xsi:type="xsd:double"&gt;65.32&lt;/D&gt;&lt;D xsi:type="xsd:double"&gt;65.06&lt;/D&gt;&lt;D xsi:type="xsd:double"&gt;64.21&lt;/D&gt;&lt;D xsi:type="xsd:double"&gt;64.75&lt;/D&gt;&lt;D xsi:type="xsd:double"&gt;64.1&lt;/D&gt;&lt;D xsi:type="xsd:double"&gt;63.42&lt;/D&gt;&lt;D xsi:type="xsd:double"&gt;63.3&lt;/D&gt;&lt;D xsi:type="xsd:double"&gt;61.67&lt;/D&gt;&lt;D xsi:type="xsd:double"&gt;61.97&lt;/D&gt;&lt;D xsi:type="xsd:double"&gt;62.87&lt;/D&gt;&lt;D xsi:type="xsd:double"&gt;62.46&lt;/D&gt;&lt;D xsi:type="xsd:double"&gt;62.54&lt;/D&gt;&lt;D xsi:type="xsd:double"&gt;61.48&lt;/D&gt;&lt;D xsi:type="xsd:double"&gt;60.86&lt;/D&gt;&lt;D xsi:type="xsd:double"&gt;61&lt;/D&gt;&lt;D xsi:type="xsd:double"&gt;60.93&lt;/D&gt;&lt;D xsi:type="xsd:double"&gt;60.57&lt;/D&gt;&lt;D xsi:type="xsd:double"&gt;60.56&lt;/D&gt;&lt;D xsi:type="xsd:double"&gt;59.73&lt;/D&gt;&lt;D xsi:type="xsd:double"&gt;59.03&lt;/D&gt;&lt;D xsi:type="xsd:double"&gt;59.34&lt;/D&gt;&lt;D xsi:type="xsd:double"&gt;57.92&lt;/D&gt;&lt;D xsi:type="xsd:double"&gt;56.57&lt;/D&gt;&lt;D xsi:type="xsd:double"&gt;57.7&lt;/D&gt;&lt;D xsi:type="xsd:double"&gt;57.25&lt;/D&gt;&lt;D xsi:type="xsd:double"&gt;57.67&lt;/D&gt;&lt;D xsi:type="xsd:double"&gt;57.67&lt;/D&gt;&lt;D xsi:type="xsd:double"&gt;57.15&lt;/D&gt;&lt;D xsi:type="xsd:double"&gt;57.38&lt;/D&gt;&lt;D xsi:type="xsd:double"&gt;58.1&lt;/D&gt;&lt;D xsi:type="xsd:double"&gt;58.35&lt;/D&gt;&lt;D xsi:type="xsd:double"&gt;58.8&lt;/D&gt;&lt;D xsi:type="xsd:double"&gt;56.91&lt;/D&gt;&lt;D xsi:type="xsd:double"&gt;57.11&lt;/D&gt;&lt;D xsi:type="xsd:double"&gt;56.67&lt;/D&gt;&lt;D xsi:type="xsd:double"&gt;57.11&lt;/D&gt;&lt;D xsi:type="xsd:double"&gt;57.62&lt;/D&gt;&lt;D xsi:type="xsd:double"&gt;57.64&lt;/D&gt;&lt;D xsi:type="xsd:double"&gt;58.36&lt;/D&gt;&lt;D xsi:type="xsd:double"&gt;57.5&lt;/D&gt;&lt;D xsi:type="xsd:double"&gt;56.36&lt;/D&gt;&lt;D xsi:type="xsd:double"&gt;56.45&lt;/D&gt;&lt;D xsi:type="xsd:double"&gt;56.66&lt;/D&gt;&lt;D xsi:type="xsd:double"&gt;56.17&lt;/D&gt;&lt;D xsi:type="xsd:double"&gt;55.4&lt;/D&gt;&lt;D xsi:type="xsd:double"&gt;55.05&lt;/D&gt;&lt;D xsi:type="xsd:double"&gt;53.43&lt;/D&gt;&lt;D xsi:type="xsd:double"&gt;53.05&lt;/D&gt;&lt;D xsi:type="xsd:double"&gt;53.99&lt;/D&gt;&lt;D xsi:type="xsd:double"&gt;54.54&lt;/D&gt;&lt;D xsi:type="xsd:double"&gt;54.22&lt;/D&gt;&lt;D xsi:type="xsd:double"&gt;54.74&lt;/D&gt;&lt;D xsi:type="xsd:double"&gt;55.44&lt;/D&gt;&lt;D xsi:type="xsd:double"&gt;56.27&lt;/D&gt;&lt;D xsi:type="xsd:double"&gt;55.74&lt;/D&gt;&lt;D xsi:type="xsd:double"&gt;55.7&lt;/D&gt;&lt;D xsi:type="xsd:double"&gt;54.81&lt;/D&gt;&lt;D xsi:type="xsd:double"&gt;53.57&lt;/D&gt;&lt;D xsi:type="xsd:double"&gt;53.43&lt;/D&gt;&lt;D xsi:type="xsd:double"&gt;52.86&lt;/D&gt;&lt;D xsi:type="xsd:double"&gt;52.99&lt;/D&gt;&lt;D xsi:type="xsd:double"&gt;52.98&lt;/D&gt;&lt;D xsi:type="xsd:double"&gt;53.95&lt;/D&gt;&lt;D xsi:type="xsd:double"&gt;54&lt;/D&gt;&lt;D xsi:type="xsd:double"&gt;53.81&lt;/D&gt;&lt;D xsi:type="xsd:double"&gt;53.84&lt;/D&gt;&lt;D xsi:type="xsd:double"&gt;54.79&lt;/D&gt;&lt;D xsi:type="xsd:double"&gt;54.79&lt;/D&gt;&lt;D xsi:type="xsd:double"&gt;54.31&lt;/D&gt;&lt;D xsi:type="xsd:double"&gt;54.21&lt;/D&gt;&lt;D xsi:type="xsd:double"&gt;53.75&lt;/D&gt;&lt;D xsi:type="xsd:double"&gt;52.64&lt;/D&gt;&lt;D xsi:type="xsd:double"&gt;52.98&lt;/D&gt;&lt;D xsi:type="xsd:double"&gt;52.89&lt;/D&gt;&lt;D xsi:type="xsd:double"&gt;53.46&lt;/D&gt;&lt;D xsi:type="xsd:double"&gt;52.35&lt;/D&gt;&lt;D xsi:type="xsd:double"&gt;51.73&lt;/D&gt;&lt;D xsi:type="xsd:double"&gt;51.8&lt;/D&gt;&lt;D xsi:type="xsd:double"&gt;51.8&lt;/D&gt;&lt;D xsi:type="xsd:double"&gt;51.56&lt;/D&gt;&lt;D xsi:type="xsd:double"&gt;53.04&lt;/D&gt;&lt;D xsi:type="xsd:double"&gt;53.3&lt;/D&gt;&lt;D xsi:type="xsd:double"&gt;54.77&lt;/D&gt;&lt;D xsi:type="xsd:double"&gt;54.08&lt;/D&gt;&lt;D xsi:type="xsd:double"&gt;54.66&lt;/D&gt;&lt;D xsi:type="xsd:double"&gt;54.44&lt;/D&gt;&lt;D xsi:type="xsd:double"&gt;53.94&lt;/D&gt;&lt;D xsi:type="xsd:double"&gt;54.03&lt;/D&gt;&lt;D xsi:type="xsd:double"&gt;53.46&lt;/D&gt;&lt;D xsi:type="xsd:double"&gt;53.13&lt;/D&gt;&lt;D xsi:type="xsd:double"&gt;53.27&lt;/D&gt;&lt;D xsi:type="xsd:double"&gt;52.21&lt;/D&gt;&lt;D xsi:type="xsd:double"&gt;53.05&lt;/D&gt;&lt;D xsi:type="xsd:double"&gt;52.03&lt;/D&gt;&lt;D xsi:type="xsd:double"&gt;51.91&lt;/D&gt;&lt;D xsi:type="xsd:double"&gt;52.52&lt;/D&gt;&lt;D xsi:type="xsd:double"&gt;52.52&lt;/D&gt;&lt;D xsi:type="xsd:double"&gt;51.43&lt;/D&gt;&lt;D xsi:type="xsd:double"&gt;51.45&lt;/D&gt;&lt;D xsi:type="xsd:double"&gt;51.61&lt;/D&gt;&lt;D xsi:type="xsd:double"&gt;51.08&lt;/D&gt;&lt;D xsi:type="xsd:double"&gt;51.24&lt;/D&gt;&lt;D xsi:type="xsd:double"&gt;51.09&lt;/D&gt;&lt;D xsi:type="xsd:double"&gt;50.22&lt;/D&gt;&lt;D xsi:type="xsd:double"&gt;50.41&lt;/D&gt;&lt;D xsi:type="xsd:double"&gt;50.19&lt;/D&gt;&lt;D xsi:type="xsd:double"&gt;50.64&lt;/D&gt;&lt;D xsi:type="xsd:double"&gt;49.85&lt;/D&gt;&lt;D xsi:type="xsd:double"&gt;50.23&lt;/D&gt;&lt;D xsi:type="xsd:double"&gt;50.71&lt;/D&gt;&lt;D xsi:type="xsd:double"&gt;50.44&lt;/D&gt;&lt;D xsi:type="xsd:double"&gt;50.19&lt;/D&gt;&lt;D xsi:type="xsd:double"&gt;49.27&lt;/D&gt;&lt;D xsi:type="xsd:double"&gt;49.52&lt;/D&gt;&lt;D xsi:type="xsd:double"&gt;49.14&lt;/D&gt;&lt;D xsi:type="xsd:double"&gt;49.09&lt;/D&gt;&lt;D xsi:type="xsd:double"&gt;48.38&lt;/D&gt;&lt;D xsi:type="xsd:double"&gt;47.96&lt;/D&gt;&lt;D xsi:type="xsd:double"&gt;47.55&lt;/D&gt;&lt;D xsi:type="xsd:double"&gt;48.16&lt;/D&gt;&lt;D xsi:type="xsd:double"&gt;47.6&lt;/D&gt;&lt;D xsi:type="xsd:double"&gt;47.9&lt;/D&gt;&lt;D xsi:type="xsd:double"&gt;47.9&lt;/D&gt;&lt;D xsi:type="xsd:double"&gt;47.43&lt;/D&gt;&lt;D xsi:type="xsd:double"&gt;47.1&lt;/D&gt;&lt;D xsi:type="xsd:double"&gt;47.22&lt;/D&gt;&lt;D xsi:type="xsd:double"&gt;45.62&lt;/D&gt;&lt;D xsi:type="xsd:double"&gt;43.94&lt;/D&gt;&lt;D xsi:type="xsd:double"&gt;44.27&lt;/D&gt;&lt;D xsi:type="xsd:double"&gt;40.54&lt;/D&gt;&lt;D xsi:type="xsd:double"&gt;40.77&lt;/D&gt;&lt;D xsi:type="xsd:double"&gt;41.29&lt;/D&gt;&lt;D xsi:type="xsd:double"&gt;44.88&lt;/D&gt;&lt;D xsi:type="xsd:double"&gt;46.65&lt;/D&gt;&lt;D xsi:type="xsd:double"&gt;48.1&lt;/D&gt;&lt;D xsi:type="xsd:double"&gt;48.13&lt;/D&gt;&lt;D xsi:type="xsd:double"&gt;47.6&lt;/D&gt;&lt;D xsi:type="xsd:double"&gt;48.21&lt;/D&gt;&lt;/FQL&gt;&lt;FQL&gt;&lt;Q&gt;EWZ^FG_PRICE(0,-200D)&lt;/Q&gt;&lt;R&gt;201&lt;/R&gt;&lt;C&gt;1&lt;/C&gt;&lt;D xsi:type="xsd:double"&gt;31.77&lt;/D&gt;&lt;D xsi:type="xsd:double"&gt;31.77&lt;/D&gt;&lt;D xsi:type="xsd:double"&gt;31.99&lt;/D&gt;&lt;D xsi:type="xsd:double"&gt;31.42&lt;/D&gt;&lt;D xsi:type="xsd:double"&gt;31.73&lt;/D&gt;&lt;D xsi:type="xsd:double"&gt;31.55&lt;/D&gt;&lt;D xsi:type="xsd:double"&gt;31.55&lt;/D&gt;&lt;D xsi:type="xsd:double"&gt;31.65&lt;/D&gt;&lt;D xsi:type="xsd:double"&gt;30.97&lt;/D&gt;&lt;D xsi:type="xsd:double"&gt;31.17&lt;/D&gt;&lt;D xsi:type="xsd:double"&gt;31.17&lt;/D&gt;&lt;D xsi:type="xsd:double"&gt;31&lt;/D&gt;&lt;D xsi:type="xsd:double"&gt;31.6&lt;/D&gt;&lt;D xsi:type="xsd:double"&gt;33.58&lt;/D&gt;&lt;D xsi:type="xsd:double"&gt;33.32&lt;/D&gt;&lt;D xsi:type="xsd:double"&gt;33.16&lt;/D&gt;&lt;D xsi:type="xsd:double"&gt;32.77&lt;/D&gt;&lt;D xsi:type="xsd:double"&gt;32.74&lt;/D&gt;&lt;D xsi:type="xsd:double"&gt;32.75&lt;/D&gt;&lt;D xsi:type="xsd:double"&gt;32.53&lt;/D&gt;&lt;D xsi:type="xsd:double"&gt;34.72&lt;/D&gt;&lt;D xsi:type="xsd:double"&gt;34.2&lt;/D&gt;&lt;D xsi:type="xsd:double"&gt;34.03&lt;/D&gt;&lt;D xsi:type="xsd:double"&gt;33.4&lt;/D&gt;&lt;D xsi:type="xsd:double"&gt;33.61&lt;/D&gt;&lt;D xsi:type="xsd:double"&gt;33.47&lt;/D&gt;&lt;D xsi:type="xsd:double"&gt;33.47&lt;/D&gt;&lt;D xsi:type="xsd:double"&gt;32.55&lt;/D&gt;&lt;D xsi:type="xsd:double"&gt;32.2&lt;/D&gt;&lt;D xsi:type="xsd:double"&gt;32.03&lt;/D&gt;&lt;D xsi:type="xsd:double"&gt;31.9&lt;/D&gt;&lt;D xsi:type="xsd:double"&gt;32.49&lt;/D&gt;&lt;D xsi:type="xsd:double"&gt;32.71&lt;/D&gt;&lt;D xsi:type="xsd:double"&gt;32.78&lt;/D&gt;&lt;D xsi:type="xsd:double"&gt;33.18&lt;/D&gt;&lt;D xsi:type="xsd:double"&gt;32.98&lt;/D&gt;&lt;D xsi:type="xsd:double"&gt;33.22&lt;/D&gt;&lt;D xsi:type="xsd:double"&gt;33.49&lt;/D&gt;&lt;D xsi:type="xsd:double"&gt;32.72&lt;/D&gt;&lt;D xsi:type="xsd:double"&gt;32.3&lt;/D&gt;&lt;D xsi:type="xsd:double"&gt;32.04&lt;/D&gt;&lt;D xsi:type="xsd:double"&gt;32.1&lt;/D&gt;&lt;D xsi:type="xsd:double"&gt;31.18&lt;/D&gt;&lt;D xsi:type="xsd:double"&gt;31.52&lt;/D&gt;&lt;D xsi:type="xsd:double"&gt;31.17&lt;/D&gt;&lt;D xsi:type="xsd:double"&gt;31.05&lt;/D&gt;&lt;D xsi:type="xsd:double"&gt;31.18&lt;/D&gt;&lt;D xsi:type="xsd:double"&gt;30.92&lt;/D&gt;&lt;D xsi:type="xsd:double"&gt;30.77&lt;/D&gt;&lt;D xsi:type="xsd:double"&gt;30.48&lt;/D&gt;&lt;D xsi:type="xsd:double"&gt;30.47&lt;/D&gt;&lt;D xsi:type="xsd:double"&gt;30.03&lt;/D&gt;&lt;D xsi:type="xsd:double"&gt;29.94&lt;/D&gt;&lt;D xsi:type="xsd:double"&gt;30.22&lt;/D&gt;&lt;D xsi:type="xsd:double"&gt;29.71&lt;/D&gt;&lt;D xsi:type="xsd:double"&gt;29.24&lt;/D&gt;&lt;D xsi:type="xsd:double"&gt;29.32&lt;/D&gt;&lt;D xsi:type="xsd:double"&gt;29.1&lt;/D&gt;&lt;D xsi:type="xsd:double"&gt;29.18&lt;/D&gt;&lt;D xsi:type="xsd:double"&gt;28.79&lt;/D&gt;&lt;D xsi:type="xsd:double"&gt;29.67&lt;/D&gt;&lt;D xsi:type="xsd:double"&gt;29.87&lt;/D&gt;&lt;D xsi:type="xsd:double"&gt;29.68&lt;/D&gt;&lt;D xsi:type="xsd:double"&gt;30.31&lt;/D&gt;&lt;D xsi:type="xsd:double"&gt;30.33&lt;/D&gt;&lt;D xsi:type="xsd:double"&gt;30.24&lt;/D&gt;&lt;D xsi:type="xsd:double"&gt;30.58&lt;/D&gt;&lt;D xsi:type="xsd:double"&gt;31&lt;/D&gt;&lt;D xsi:type="xsd:double"&gt;30.99&lt;/D&gt;&lt;D xsi:type="xsd:double"&gt;30.73&lt;/D&gt;&lt;D xsi:type="xsd:double"&gt;30.58&lt;/D&gt;&lt;D xsi:type="xsd:double"&gt;31.05&lt;/D&gt;&lt;D xsi:type="xsd:double"&gt;31.32&lt;/D&gt;&lt;D xsi:type="xsd:double"&gt;30.79&lt;/D&gt;&lt;D xsi:type="xsd:double"&gt;30.93&lt;/D&gt;&lt;D xsi:type="xsd:double"&gt;30.82&lt;/D&gt;&lt;D xsi:type="xsd:double"&gt;30.94&lt;/D&gt;&lt;D xsi:type="xsd:double"&gt;30.69&lt;/D&gt;&lt;D xsi:type="xsd:double"&gt;30.51&lt;/D&gt;&lt;D xsi:type="xsd:double"&gt;30.03&lt;/D&gt;&lt;D xsi:type="xsd:double"&gt;30.05&lt;/D&gt;&lt;D xsi:type="xsd:double"&gt;29.79&lt;/D&gt;&lt;D xsi:type="xsd:double"&gt;29.54&lt;/D&gt;&lt;D xsi:type="xsd:double"&gt;29.58&lt;/D&gt;&lt;D xsi:type="xsd:double"&gt;29.63&lt;/D&gt;&lt;D xsi:type="xsd:double"&gt;29.17&lt;/D&gt;&lt;D xsi:type="xsd:double"&gt;28.99&lt;/D&gt;&lt;D xsi:type="xsd:double"&gt;29&lt;/D&gt;&lt;D xsi:type="xsd:double"&gt;29.5&lt;/D&gt;&lt;D xsi:type="xsd:double"&gt;29.5&lt;/D&gt;&lt;D xsi:type="xsd:double"&gt;29.49&lt;/D&gt;&lt;D xsi:type="xsd:double"&gt;29.02&lt;/D&gt;&lt;D xsi:type="xsd:double"&gt;28.61&lt;/D&gt;&lt;D xsi:type="xsd:double"&gt;28.74&lt;/D&gt;&lt;D xsi:type="xsd:double"&gt;28.61&lt;/D&gt;&lt;D xsi:type="xsd:double"&gt;27.66&lt;/D&gt;&lt;D xsi:type="xsd:double"&gt;27.69&lt;/D&gt;&lt;D xsi:type="xsd:double"&gt;27.36&lt;/D&gt;&lt;D xsi:type="xsd:double"&gt;28.29&lt;/D&gt;&lt;D xsi:type="xsd:double"&gt;28.2&lt;/D&gt;&lt;D xsi:type="xsd:double"&gt;27.89&lt;/D&gt;&lt;D xsi:type="xsd:double"&gt;28.18&lt;/D&gt;&lt;D xsi:type="xsd:double"&gt;28.39&lt;/D&gt;&lt;D xsi:type="xsd:double"&gt;27.64&lt;/D&gt;&lt;D xsi:type="xsd:double"&gt;27.81&lt;/D&gt;&lt;D xsi:type="xsd:double"&gt;28.05&lt;/D&gt;&lt;D xsi:type="xsd:double"&gt;27.45&lt;/D&gt;&lt;D xsi:type="xsd:double"&gt;27.02&lt;/D&gt;&lt;D xsi:type="xsd:double"&gt;26.93&lt;/D&gt;&lt;D xsi:type="xsd:double"&gt;26.65&lt;/D&gt;&lt;D xsi:type="xsd:double"&gt;26.55&lt;/D&gt;&lt;D xsi:type="xsd:double"&gt;26.88&lt;/D&gt;&lt;D xsi:type="xsd:double"&gt;26.76&lt;/D&gt;&lt;D xsi:type="xsd:double"&gt;26.52&lt;/D&gt;&lt;D xsi:type="xsd:double"&gt;26.94&lt;/D&gt;&lt;D xsi:type="xsd:double"&gt;27.13&lt;/D&gt;&lt;D xsi:type="xsd:double"&gt;27.48&lt;/D&gt;&lt;D xsi:type="xsd:double"&gt;27&lt;/D&gt;&lt;D xsi:type="xsd:double"&gt;27.08&lt;/D&gt;&lt;D xsi:type="xsd:double"&gt;26.85&lt;/D&gt;&lt;D xsi:type="xsd:double"&gt;27.69&lt;/D&gt;&lt;D xsi:type="xsd:double"&gt;27.57&lt;/D&gt;&lt;D xsi:type="xsd:double"&gt;27.47&lt;/D&gt;&lt;D xsi:type="xsd:double"&gt;27.31&lt;/D&gt;&lt;D xsi:type="xsd:double"&gt;27.53&lt;/D&gt;&lt;D xsi:type="xsd:double"&gt;27.72&lt;/D&gt;&lt;D xsi:type="xsd:double"&gt;28.16&lt;/D&gt;&lt;D xsi:type="xsd:double"&gt;28.71&lt;/D&gt;&lt;D xsi:type="xsd:double"&gt;28.6&lt;/D&gt;&lt;D xsi:type="xsd:double"&gt;29.31&lt;/D&gt;&lt;D xsi:type="xsd:double"&gt;29.31&lt;/D&gt;&lt;D xsi:type="xsd:double"&gt;28.91&lt;/D&gt;&lt;D xsi:type="xsd:double"&gt;28.79&lt;/D&gt;&lt;D xsi:type="xsd:double"&gt;28.85&lt;/D&gt;&lt;D xsi:type="xsd:double"&gt;28.14&lt;/D&gt;&lt;D xsi:type="</t>
        </r>
      </text>
    </comment>
    <comment ref="A6" authorId="0" shapeId="0" xr:uid="{F689A968-1BC6-48D8-81C7-F52E68F79160}">
      <text>
        <r>
          <rPr>
            <b/>
            <sz val="9"/>
            <color indexed="81"/>
            <rFont val="Tahoma"/>
            <charset val="1"/>
          </rPr>
          <t>xsd:double"&gt;28.13&lt;/D&gt;&lt;D xsi:type="xsd:double"&gt;27.57&lt;/D&gt;&lt;D xsi:type="xsd:double"&gt;27.98&lt;/D&gt;&lt;D xsi:type="xsd:double"&gt;27.66&lt;/D&gt;&lt;D xsi:type="xsd:double"&gt;27.67&lt;/D&gt;&lt;D xsi:type="xsd:double"&gt;28.08&lt;/D&gt;&lt;D xsi:type="xsd:double"&gt;28.08&lt;/D&gt;&lt;D xsi:type="xsd:double"&gt;28.11&lt;/D&gt;&lt;D xsi:type="xsd:double"&gt;28.31&lt;/D&gt;&lt;D xsi:type="xsd:double"&gt;28.14&lt;/D&gt;&lt;D xsi:type="xsd:double"&gt;28.15&lt;/D&gt;&lt;D xsi:type="xsd:double"&gt;28.22&lt;/D&gt;&lt;D xsi:type="xsd:double"&gt;27.72&lt;/D&gt;&lt;D xsi:type="xsd:double"&gt;27.62&lt;/D&gt;&lt;D xsi:type="xsd:double"&gt;27.72&lt;/D&gt;&lt;D xsi:type="xsd:double"&gt;27.6&lt;/D&gt;&lt;D xsi:type="xsd:double"&gt;27.44&lt;/D&gt;&lt;D xsi:type="xsd:double"&gt;27.58&lt;/D&gt;&lt;D xsi:type="xsd:double"&gt;27.27&lt;/D&gt;&lt;D xsi:type="xsd:double"&gt;27.21&lt;/D&gt;&lt;D xsi:type="xsd:double"&gt;27.7&lt;/D&gt;&lt;D xsi:type="xsd:double"&gt;27.69&lt;/D&gt;&lt;D xsi:type="xsd:double"&gt;27.99&lt;/D&gt;&lt;D xsi:type="xsd:double"&gt;27.65&lt;/D&gt;&lt;D xsi:type="xsd:double"&gt;27.65&lt;/D&gt;&lt;D xsi:type="xsd:double"&gt;27.52&lt;/D&gt;&lt;D xsi:type="xsd:double"&gt;27.67&lt;/D&gt;&lt;D xsi:type="xsd:double"&gt;28.16&lt;/D&gt;&lt;D xsi:type="xsd:double"&gt;28.18&lt;/D&gt;&lt;D xsi:type="xsd:double"&gt;28&lt;/D&gt;&lt;D xsi:type="xsd:double"&gt;28.01&lt;/D&gt;&lt;D xsi:type="xsd:double"&gt;28.2&lt;/D&gt;&lt;D xsi:type="xsd:double"&gt;28.33&lt;/D&gt;&lt;D xsi:type="xsd:double"&gt;27.49&lt;/D&gt;&lt;D xsi:type="xsd:double"&gt;27.56&lt;/D&gt;&lt;D xsi:type="xsd:double"&gt;27.48&lt;/D&gt;&lt;D xsi:type="xsd:double"&gt;26.4&lt;/D&gt;&lt;D xsi:type="xsd:double"&gt;26.61&lt;/D&gt;&lt;D xsi:type="xsd:double"&gt;26.71&lt;/D&gt;&lt;D xsi:type="xsd:double"&gt;27.12&lt;/D&gt;&lt;D xsi:type="xsd:double"&gt;26.88&lt;/D&gt;&lt;D xsi:type="xsd:double"&gt;27.04&lt;/D&gt;&lt;D xsi:type="xsd:double"&gt;27.36&lt;/D&gt;&lt;D xsi:type="xsd:double"&gt;27.21&lt;/D&gt;&lt;D xsi:type="xsd:double"&gt;26.94&lt;/D&gt;&lt;D xsi:type="xsd:double"&gt;26.74&lt;/D&gt;&lt;D xsi:type="xsd:double"&gt;26.31&lt;/D&gt;&lt;D xsi:type="xsd:double"&gt;25.86&lt;/D&gt;&lt;D xsi:type="xsd:double"&gt;25.2&lt;/D&gt;&lt;D xsi:type="xsd:double"&gt;25.22&lt;/D&gt;&lt;D xsi:type="xsd:double"&gt;25.22&lt;/D&gt;&lt;D xsi:type="xsd:double"&gt;24.79&lt;/D&gt;&lt;D xsi:type="xsd:double"&gt;24.86&lt;/D&gt;&lt;D xsi:type="xsd:double"&gt;25.01&lt;/D&gt;&lt;D xsi:type="xsd:double"&gt;24.69&lt;/D&gt;&lt;D xsi:type="xsd:double"&gt;24.19&lt;/D&gt;&lt;D xsi:type="xsd:double"&gt;24.71&lt;/D&gt;&lt;D xsi:type="xsd:double"&gt;23.44&lt;/D&gt;&lt;D xsi:type="xsd:double"&gt;23.95&lt;/D&gt;&lt;D xsi:type="xsd:double"&gt;24.5&lt;/D&gt;&lt;D xsi:type="xsd:double"&gt;26.33&lt;/D&gt;&lt;D xsi:type="xsd:double"&gt;26.14&lt;/D&gt;&lt;D xsi:type="xsd:double"&gt;26.14&lt;/D&gt;&lt;D xsi:type="xsd:double"&gt;25.85&lt;/D&gt;&lt;D xsi:type="xsd:double"&gt;25.96&lt;/D&gt;&lt;D xsi:type="xsd:double"&gt;26.33&lt;/D&gt;&lt;/FQL&gt;&lt;FQL&gt;&lt;Q&gt;EWY^FG_PRICE(0,-200D)&lt;/Q&gt;&lt;R&gt;201&lt;/R&gt;&lt;C&gt;1&lt;/C&gt;&lt;D xsi:type="xsd:double"&gt;97.22&lt;/D&gt;&lt;D xsi:type="xsd:double"&gt;97.22&lt;/D&gt;&lt;D xsi:type="xsd:double"&gt;98.62&lt;/D&gt;&lt;D xsi:type="xsd:double"&gt;98.72&lt;/D&gt;&lt;D xsi:type="xsd:double"&gt;95.84&lt;/D&gt;&lt;D xsi:type="xsd:double"&gt;94.6&lt;/D&gt;&lt;D xsi:type="xsd:double"&gt;94.6&lt;/D&gt;&lt;D xsi:type="xsd:double"&gt;92.7&lt;/D&gt;&lt;D xsi:type="xsd:double"&gt;91.75&lt;/D&gt;&lt;D xsi:type="xsd:double"&gt;91.34&lt;/D&gt;&lt;D xsi:type="xsd:double"&gt;90.07&lt;/D&gt;&lt;D xsi:type="xsd:double"&gt;88.58&lt;/D&gt;&lt;D xsi:type="xsd:double"&gt;89.52&lt;/D&gt;&lt;D xsi:type="xsd:double"&gt;92.73&lt;/D&gt;&lt;D xsi:type="xsd:double"&gt;92.67&lt;/D&gt;&lt;D xsi:type="xsd:double"&gt;94.96&lt;/D&gt;&lt;D xsi:type="xsd:double"&gt;96.75&lt;/D&gt;&lt;D xsi:type="xsd:double"&gt;95.57&lt;/D&gt;&lt;D xsi:type="xsd:double"&gt;95.07&lt;/D&gt;&lt;D xsi:type="xsd:double"&gt;94.3&lt;/D&gt;&lt;D xsi:type="xsd:double"&gt;91.87&lt;/D&gt;&lt;D xsi:type="xsd:double"&gt;93&lt;/D&gt;&lt;D xsi:type="xsd:double"&gt;92.07&lt;/D&gt;&lt;D xsi:type="xsd:double"&gt;90.62&lt;/D&gt;&lt;D xsi:type="xsd:double"&gt;90.87&lt;/D&gt;&lt;D xsi:type="xsd:double"&gt;91.55&lt;/D&gt;&lt;D xsi:type="xsd:double"&gt;91.55&lt;/D&gt;&lt;D xsi:type="xsd:double"&gt;89.79&lt;/D&gt;&lt;D xsi:type="xsd:double"&gt;90.3&lt;/D&gt;&lt;D xsi:type="xsd:double"&gt;89.22&lt;/D&gt;&lt;D xsi:type="xsd:double"&gt;88.53&lt;/D&gt;&lt;D xsi:type="xsd:double"&gt;90.56&lt;/D&gt;&lt;D xsi:type="xsd:double"&gt;91.59&lt;/D&gt;&lt;D xsi:type="xsd:double"&gt;93.02&lt;/D&gt;&lt;D xsi:type="xsd:double"&gt;94.13&lt;/D&gt;&lt;D xsi:type="xsd:double"&gt;94.07&lt;/D&gt;&lt;D xsi:type="xsd:double"&gt;95.92&lt;/D&gt;&lt;D xsi:type="xsd:double"&gt;95.29&lt;/D&gt;&lt;D xsi:type="xsd:double"&gt;95.67&lt;/D&gt;&lt;D xsi:type="xsd:double"&gt;91.8&lt;/D&gt;&lt;D xsi:type="xsd:double"&gt;93.51&lt;/D&gt;&lt;D xsi:type="xsd:double"&gt;96.62&lt;/D&gt;&lt;D xsi:type="xsd:double"&gt;95.76&lt;/D&gt;&lt;D xsi:type="xsd:double"&gt;100.78&lt;/D&gt;&lt;D xsi:type="xsd:double"&gt;97&lt;/D&gt;&lt;D xsi:type="xsd:double"&gt;95.26&lt;/D&gt;&lt;D xsi:type="xsd:double"&gt;96.9&lt;/D&gt;&lt;D xsi:type="xsd:double"&gt;94.45&lt;/D&gt;&lt;D xsi:type="xsd:double"&gt;94.31&lt;/D&gt;&lt;D xsi:type="xsd:double"&gt;92.05&lt;/D&gt;&lt;D xsi:type="xsd:double"&gt;90.07&lt;/D&gt;&lt;D xsi:type="xsd:double"&gt;89.45&lt;/D&gt;&lt;D xsi:type="xsd:double"&gt;88.64&lt;/D&gt;&lt;D xsi:type="xsd:double"&gt;90.43&lt;/D&gt;&lt;D xsi:type="xsd:double"&gt;88.52&lt;/D&gt;&lt;D xsi:type="xsd:double"&gt;87.88&lt;/D&gt;&lt;D xsi:type="xsd:double"&gt;85.17&lt;/D&gt;&lt;D xsi:type="xsd:double"&gt;82.69&lt;/D&gt;&lt;D xsi:type="xsd:double"&gt;83.62&lt;/D&gt;&lt;D xsi:type="xsd:double"&gt;80.72&lt;/D&gt;&lt;D xsi:type="xsd:double"&gt;83.43&lt;/D&gt;&lt;D xsi:type="xsd:double"&gt;84.19&lt;/D&gt;&lt;D xsi:type="xsd:double"&gt;83.35&lt;/D&gt;&lt;D xsi:type="xsd:double"&gt;84.78&lt;/D&gt;&lt;D xsi:type="xsd:double"&gt;83.85&lt;/D&gt;&lt;D xsi:type="xsd:double"&gt;83.53&lt;/D&gt;&lt;D xsi:type="xsd:double"&gt;81.89&lt;/D&gt;&lt;D xsi:type="xsd:double"&gt;80.1&lt;/D&gt;&lt;D xsi:type="xsd:double"&gt;80.24&lt;/D&gt;&lt;D xsi:type="xsd:double"&gt;78.87&lt;/D&gt;&lt;D xsi:type="xsd:double"&gt;79.89&lt;/D&gt;&lt;D xsi:type="xsd:double"&gt;80.04&lt;/D&gt;&lt;D xsi:type="xsd:double"&gt;81.45&lt;/D&gt;&lt;D xsi:type="xsd:double"&gt;81.56&lt;/D&gt;&lt;D xsi:type="xsd:double"&gt;80.05&lt;/D&gt;&lt;D xsi:type="xsd:double"&gt;80.75&lt;/D&gt;&lt;D xsi:type="xsd:double"&gt;79.83&lt;/D&gt;&lt;D xsi:type="xsd:double"&gt;80.69&lt;/D&gt;&lt;D xsi:type="xsd:double"&gt;79.19&lt;/D&gt;&lt;D xsi:type="xsd:double"&gt;78.66&lt;/D&gt;&lt;D xsi:type="xsd:double"&gt;77.86&lt;/D&gt;&lt;D xsi:type="xsd:double"&gt;76.65&lt;/D&gt;&lt;D xsi:type="xsd:double"&gt;74.92&lt;/D&gt;&lt;D xsi:type="xsd:double"&gt;74.19&lt;/D&gt;&lt;D xsi:type="xsd:double"&gt;73.63&lt;/D&gt;&lt;D xsi:type="xsd:double"&gt;73.07&lt;/D&gt;&lt;D xsi:type="xsd:double"&gt;72.91&lt;/D&gt;&lt;D xsi:type="xsd:double"&gt;71.92&lt;/D&gt;&lt;D xsi:type="xsd:double"&gt;72.24&lt;/D&gt;&lt;D xsi:type="xsd:double"&gt;72.24&lt;/D&gt;&lt;D xsi:type="xsd:double"&gt;73.64&lt;/D&gt;&lt;D xsi:type="xsd:double"&gt;72.47&lt;/D&gt;&lt;D xsi:type="xsd:double"&gt;72.39&lt;/D&gt;&lt;D xsi:type="xsd:double"&gt;72.73&lt;/D&gt;&lt;D xsi:type="xsd:double"&gt;73.51&lt;/D&gt;&lt;D xsi:type="xsd:double"&gt;71.22&lt;/D&gt;&lt;D xsi:type="xsd:double"&gt;71.36&lt;/D&gt;&lt;D xsi:type="xsd:double"&gt;71.44&lt;/D&gt;&lt;D xsi:type="xsd:double"&gt;72.8&lt;/D&gt;&lt;D xsi:type="xsd:double"&gt;73.39&lt;/D&gt;&lt;D xsi:type="xsd:double"&gt;73.66&lt;/D&gt;&lt;D xsi:type="xsd:double"&gt;74.72&lt;/D&gt;&lt;D xsi:type="xsd:double"&gt;74.1&lt;/D&gt;&lt;D xsi:type="xsd:double"&gt;73.03&lt;/D&gt;&lt;D xsi:type="xsd:double"&gt;73.5&lt;/D&gt;&lt;D xsi:type="xsd:double"&gt;73.44&lt;/D&gt;&lt;D xsi:type="xsd:double"&gt;73.18&lt;/D&gt;&lt;D xsi:type="xsd:double"&gt;72.89&lt;/D&gt;&lt;D xsi:type="xsd:double"&gt;72.33&lt;/D&gt;&lt;D xsi:type="xsd:double"&gt;70.65&lt;/D&gt;&lt;D xsi:type="xsd:double"&gt;72.81&lt;/D&gt;&lt;D xsi:type="xsd:double"&gt;73.68&lt;/D&gt;&lt;D xsi:type="xsd:double"&gt;73.49&lt;/D&gt;&lt;D xsi:type="xsd:double"&gt;72.71&lt;/D&gt;&lt;D xsi:type="xsd:double"&gt;73.21&lt;/D&gt;&lt;D xsi:type="xsd:double"&gt;73.31&lt;/D&gt;&lt;D xsi:type="xsd:double"&gt;73.85&lt;/D&gt;&lt;D xsi:type="xsd:double"&gt;72.89&lt;/D&gt;&lt;D xsi:type="xsd:double"&gt;73.87&lt;/D&gt;&lt;D xsi:type="xsd:double"&gt;72.39&lt;/D&gt;&lt;D xsi:type="xsd:double"&gt;73.06&lt;/D&gt;&lt;D xsi:type="xsd:double"&gt;73.08&lt;/D&gt;&lt;D xsi:type="xsd:double"&gt;73.07&lt;/D&gt;&lt;D xsi:type="xsd:double"&gt;73.2&lt;/D&gt;&lt;D xsi:type="xsd:double"&gt;72.56&lt;/D&gt;&lt;D xsi:type="xsd:double"&gt;73.14&lt;/D&gt;&lt;D xsi:type="xsd:double"&gt;72.08&lt;/D&gt;&lt;D xsi:type="xsd:double"&gt;72.08&lt;/D&gt;&lt;D xsi:type="xsd:double"&gt;70.07&lt;/D&gt;&lt;D xsi:type="xsd:double"&gt;72.7&lt;/D&gt;&lt;D xsi:type="xsd:double"&gt;72.7&lt;/D&gt;&lt;D xsi:type="xsd:double"&gt;71.95&lt;/D&gt;&lt;D xsi:type="xsd:double"&gt;71.64&lt;/D&gt;&lt;D xsi:type="xsd:double"&gt;71.78&lt;/D&gt;&lt;D xsi:type="xsd:double"&gt;70.74&lt;/D&gt;&lt;D xsi:type="xsd:double"&gt;71.94&lt;/D&gt;&lt;D xsi:type="xsd:double"&gt;72.37&lt;/D&gt;&lt;D xsi:type="xsd:double"&gt;72.65&lt;/D&gt;&lt;D xsi:type="xsd:double"&gt;69.42&lt;/D&gt;&lt;D xsi:type="xsd:double"&gt;68.53&lt;/D&gt;&lt;D xsi:type="xsd:double"&gt;67.87&lt;/D&gt;&lt;D xsi:type="xsd:double"&gt;67.87&lt;/D&gt;&lt;D xsi:type="xsd:double"&gt;66.63&lt;/D&gt;&lt;D xsi:type="xsd:double"&gt;68.19&lt;/D&gt;&lt;D xsi:type="xsd:double"&gt;66.42&lt;/D&gt;&lt;D xsi:type="xsd:double"&gt;67.69&lt;/D&gt;&lt;D xsi:type="xsd:double"&gt;66.99&lt;/D&gt;&lt;D xsi:type="xsd:double"&gt;66.16&lt;/D&gt;&lt;D xsi:type="xsd:double"&gt;66.48&lt;/D&gt;&lt;D xsi:type="xsd:double"&gt;65.57&lt;/D&gt;&lt;D xsi:type="xsd:double"&gt;65.36&lt;/D&gt;&lt;D xsi:type="xsd:double"&gt;63.98&lt;/D&gt;&lt;D xsi:type="xsd:double"&gt;61.89&lt;/D&gt;&lt;D xsi:type="xsd:double"&gt;61.74&lt;/D&gt;&lt;D xsi:type="xsd:double"&gt;60.63&lt;/D&gt;&lt;D xsi:type="xsd:double"&gt;61.8&lt;/D&gt;&lt;D xsi:type="xsd:double"&gt;60.75&lt;/D&gt;&lt;D xsi:type="xsd:double"&gt;59.98&lt;/D&gt;&lt;D xsi:type="xsd:double"&gt;58.96&lt;/D&gt;&lt;D xsi:type="xsd:double"&gt;58.96&lt;/D&gt;&lt;D xsi:type="xsd:double"&gt;58.29&lt;/D&gt;&lt;D xsi:type="xsd:double"&gt;59.1&lt;/D&gt;&lt;D xsi:type="xsd:double"&gt;58.4&lt;/D&gt;&lt;D xsi:type="xsd:double"&gt;58.82&lt;/D&gt;&lt;D xsi:type="xsd:double"&gt;58.79&lt;/D&gt;&lt;D xsi:type="xsd:double"&gt;58.8&lt;/D&gt;&lt;D xsi:type="xsd:double"&gt;58.61&lt;/D&gt;&lt;D xsi:type="xsd:double"&gt;58.12&lt;/D&gt;&lt;D xsi:type="xsd:double"&gt;58.04&lt;/D&gt;&lt;D xsi:type="xsd:double"&gt;57.69&lt;/D&gt;&lt;D xsi:type="xsd:double"&gt;57.2&lt;/D&gt;&lt;D xsi:type="xsd:double"&gt;57.79&lt;/D&gt;&lt;D xsi:type="xsd:double"&gt;58.5&lt;/D&gt;&lt;D xsi:type="xsd:double"&gt;58.38&lt;/D&gt;&lt;D xsi:type="xsd:double"&gt;57.71&lt;/D&gt;&lt;D xsi:type="xsd:double"&gt;55.6&lt;/D&gt;&lt;D xsi:type="xsd:double"&gt;56.19&lt;/D&gt;&lt;D xsi:type="xsd:double"&gt;56.1&lt;/D&gt;&lt;D xsi:type="xsd:double"&gt;55.65&lt;/D&gt;&lt;D xsi:type="xsd:double"&gt;55.81&lt;/D&gt;&lt;D xsi:type="xsd:double"&gt;55.95&lt;/D&gt;&lt;D xsi:type="xsd:double"&gt;55.6&lt;/D&gt;&lt;D xsi:type="xsd:double"&gt;54.81&lt;/D&gt;&lt;D xsi:type="xsd:double"&gt;54.39&lt;/D&gt;&lt;D xsi:type="xsd:double"&gt;54.31&lt;/D&gt;&lt;D xsi:type="xsd:double"&gt;54.31&lt;/D&gt;&lt;D xsi:type="xsd:double"&gt;54.06&lt;/D&gt;&lt;D xsi:type="xsd:double"&gt;54.38&lt;/D&gt;&lt;D xsi:type="xsd:double"&gt;54.35&lt;/D&gt;&lt;D xsi:type="xsd:double"&gt;54.31&lt;/D&gt;&lt;D xsi:type="xsd:double"&gt;51.82&lt;/D&gt;&lt;D xsi:type="xsd:double"&gt;53.28&lt;/D&gt;&lt;D xsi:type="xsd:double"&gt;48.92&lt;/D&gt;&lt;D xsi:type="xsd:double"&gt;50.78&lt;/D&gt;&lt;D xsi:type="xsd:double"&gt;51.25&lt;/D&gt;&lt;D xsi:type="xsd:double"&gt;53.14&lt;/D&gt;&lt;D xsi:type="xsd:double"&gt;54.63&lt;/D&gt;&lt;D xsi:type="xsd:double"&gt;54.85&lt;/D&gt;&lt;D xsi:type="xsd:double"&gt;54.04&lt;/D&gt;&lt;D xsi:type="xsd:double"&gt;54.79&lt;/D&gt;&lt;D xsi:type="xsd:double"&gt;56.49&lt;/D&gt;&lt;/FQL&gt;&lt;FQL&gt;&lt;Q&gt;EWW^FG_PRICE(0,-200D)&lt;/Q&gt;&lt;R&gt;201&lt;/R&gt;&lt;C&gt;1&lt;/C&gt;&lt;D xsi:type="xsd:double"&gt;69.33&lt;/D&gt;&lt;D xsi:type="xsd:double"&gt;69.33&lt;/D&gt;&lt;D xsi:type="xsd:double"&gt;69.49&lt;/D&gt;&lt;D xsi:type="xsd:double"&gt;70.51&lt;/D&gt;&lt;D xsi:type="xsd:double"&gt;71.15&lt;/D&gt;&lt;D xsi:type="xsd:double"&gt;70.95&lt;/D&gt;&lt;D xsi:type="xsd:double"&gt;70.95&lt;/D&gt;&lt;D xsi:type="xsd:double"&gt;71.04&lt;/D&gt;&lt;D xsi:type="xsd:double"&gt;69.95&lt;/D&gt;&lt;D xsi:type="xsd:double"&gt;68.85&lt;/D&gt;&lt;D xsi:type="xsd:double"&gt;68.75&lt;/D&gt;&lt;D xsi:type="xsd:double"&gt;67.45&lt;/D&gt;&lt;D xsi:type="xsd:double"&gt;68.28&lt;/D&gt;&lt;D xsi:type="xsd:double"&gt;70.48&lt;/D&gt;&lt;D xsi:type="xsd:double"&gt;70.69&lt;/D&gt;&lt;D xsi:type="xsd:double"&gt;71.06&lt;/D&gt;&lt;D xsi:type="xsd:double"&gt;69.04&lt;/D&gt;&lt;D xsi:type="xsd:double"&gt;69.27&lt;/D&gt;&lt;D xsi:type="xsd:double"&gt;68.64&lt;/D&gt;&lt;D xsi:type="xsd:double"&gt;68.68&lt;/D&gt;&lt;D xsi:type="xsd:double"&gt;68.82&lt;/D&gt;&lt;D xsi:type="xsd:double"&gt;68.43&lt;/D&gt;&lt;D xsi:type="xsd:double"&gt;68.71&lt;/D&gt;&lt;D xsi:type="xsd:double"&gt;68.46&lt;/D&gt;&lt;D xsi:type="xsd:double"&gt;68.42&lt;/D&gt;&lt;D xsi:type="xsd:double"&gt;67.88&lt;/D&gt;&lt;D xsi:type="xsd:double"&gt;67.88&lt;/D&gt;&lt;D xsi:type="xsd:double"&gt;67.75&lt;/D&gt;&lt;D xsi:type="xsd:double"&gt;66.55&lt;/D&gt;&lt;D xsi:type="xsd:double"&gt;66.04&lt;/D&gt;&lt;D xsi:type="xsd:double"&gt;66.02&lt;/D&gt;&lt;D xsi:type="xsd:double"&gt;66.77&lt;/D&gt;&lt;D xsi:type="xsd:double"&gt;66.67&lt;/D&gt;&lt;D xsi:type="xsd:double"&gt;65.87&lt;/D&gt;&lt;D xsi:type="xsd:double"&gt;67.22&lt;/D&gt;&lt;D xsi:type="xsd:double"&gt;67.38&lt;/D&gt;&lt;D xsi:type="xsd:double"&gt;68.16&lt;/D&gt;&lt;D xsi:type="xsd:double"&gt;69.34&lt;/D&gt;&lt;D xsi:type="xsd:double"&gt;67.91&lt;/D&gt;&lt;D xsi:type="xsd:double"&gt;67.82&lt;/D&gt;&lt;D xsi:type="xsd:double"&gt;66.97&lt;/D&gt;&lt;D xsi:type="xsd:double"&gt;67.18&lt;/D&gt;&lt;D xsi:type="xsd:double"&gt;65.65&lt;/D&gt;&lt;D xsi:type="xsd:double"&gt;66.23&lt;/D&gt;&lt;D xsi:type="xsd:double"&gt;66.53&lt;/D&gt;&lt;D xsi:type="xsd:double"&gt;66.73&lt;/D&gt;&lt;D xsi:type="xsd:double"&gt;67.43&lt;/D&gt;&lt;D xsi:type="xsd:double"&gt;67.1&lt;/D&gt;&lt;D xsi:type="xsd:double"&gt;66.33&lt;/D&gt;&lt;D xsi:type="xsd:double"&gt;65.37&lt;/D&gt;&lt;D xsi:type="xsd:double"&gt;66.02&lt;/D&gt;&lt;D xsi:type="xsd:double"&gt;65.51&lt;/D&gt;&lt;D xsi:type="xsd:double"&gt;65.07&lt;/D&gt;&lt;D xsi:type="xsd:double"&gt;65.94&lt;/D&gt;&lt;D xsi:type="xsd:double"&gt;66.13&lt;/D&gt;&lt;D xsi:type="xsd:double"&gt;67.05&lt;/D&gt;&lt;D xsi:type="xsd:double"&gt;65.87&lt;/D&gt;&lt;D xsi:type="xsd:double"&gt;64.84&lt;/D&gt;&lt;D xsi:type="xsd:double"&gt;65.47&lt;/D&gt;&lt;D xsi:type="xsd:double"&gt;64.39&lt;/D&gt;&lt;D xsi:type="xsd:double"&gt;65.42&lt;/D&gt;&lt;D xsi:type="xsd:double"&gt;65.73&lt;/D&gt;&lt;D xsi:type="xsd:double"&gt;65.04&lt;/D&gt;&lt;D xsi:type="xsd:double"&gt;65.44&lt;/D&gt;&lt;D xsi:type="xsd:double"&gt;66.81&lt;/D&gt;&lt;D xsi:type="xsd:double"&gt;66.9&lt;/D&gt;&lt;D xsi:type="xsd:double"&gt;66.78&lt;/D&gt;&lt;D xsi:type="xsd:double"&gt;68.21&lt;/D&gt;&lt;D xsi:type="xsd:double"&gt;67.46&lt;/D&gt;&lt;D xsi:type="xsd:double"&gt;67.14&lt;/D&gt;&lt;D xsi:type="xsd:double"&gt;66.18&lt;/D&gt;&lt;D xsi:type="xsd:double"&gt;66.47&lt;/D&gt;&lt;D xsi:type="xsd:double"&gt;67.43&lt;/D&gt;&lt;D xsi:type="xsd:double"&gt;66.9&lt;/D&gt;&lt;D xsi:type="xsd:double"&gt;66.1&lt;/D&gt;&lt;D xsi:type="xsd:double"&gt;65.95&lt;/D&gt;&lt;D xsi:type="xsd:double"&gt;66.53&lt;/D&gt;&lt;D xsi:type="xsd:double"&gt;66.8&lt;/D&gt;&lt;D xsi:type="xsd:double"&gt;66.77&lt;/D&gt;&lt;D xsi:type="xsd:double"&gt;66.12&lt;/D&gt;&lt;D xsi:type="xsd:double"&gt;65.71&lt;/D&gt;&lt;D xsi:type="xsd:double"&gt;64.28&lt;/D&gt;&lt;D xsi:type="xsd:double"&gt;64.26&lt;/D&gt;&lt;D xsi:type="xsd:double"&gt;64.15&lt;/D&gt;&lt;D xsi:type="xsd:double"&gt;63.83&lt;/D&gt;&lt;D xsi:type="xsd:double"&gt;63.07&lt;/D&gt;&lt;D xsi:type="xsd:double"&gt;62.8&lt;/D&gt;&lt;D xsi:type="xsd:double"&gt;62.91&lt;/D&gt;&lt;D xsi:type="xsd:double"&gt;61.94&lt;/D&gt;&lt;D xsi:type="xsd:double"&gt;61.94&lt;/D&gt;&lt;D xsi:type="xsd:double"&gt;62.52&lt;/D&gt;&lt;D xsi:type="xsd:double"&gt;61.94&lt;/D&gt;&lt;D xsi:type="xsd:double"&gt;61.44&lt;/D&gt;&lt;D xsi:type="xsd:double"&gt;61.71&lt;/D&gt;&lt;D xsi:type="xsd:double"&gt;62.8&lt;/D&gt;&lt;D xsi:type="xsd:double"&gt;61.55&lt;/D&gt;&lt;D xsi:type="xsd:double"&gt;61.17&lt;/D&gt;&lt;D xsi:type="xsd:double"&gt;61.25&lt;/D&gt;&lt;D xsi:type="xsd:double"&gt;61.19&lt;/D&gt;&lt;D xsi:type="xsd:double"&gt;61.34&lt;/D&gt;&lt;D xsi:type="xsd:double"&gt;60.99&lt;/D&gt;&lt;D xsi:type="xsd:double"&gt;61.99&lt;/D&gt;&lt;D xsi:type="xsd:double"&gt;62.33&lt;/D&gt;&lt;D xsi:type="xsd:double"&gt;61.54&lt;/D&gt;&lt;D xsi:type="xsd:double"&gt;61.64&lt;/D&gt;&lt;D xsi:type="xsd:double"&gt;61.65&lt;/D&gt;&lt;D xsi:type="xsd:double"&gt;60.76&lt;/D&gt;&lt;D xsi:type="xsd:double"&gt;60.19&lt;/D&gt;&lt;D xsi:type="xsd:double"&gt;59.23&lt;/D&gt;&lt;D xsi:type="xsd:double"&gt;59.6&lt;/D&gt;&lt;D xsi:type="xsd:double"&gt;60.14&lt;/D&gt;&lt;D xsi:type="xsd:double"&gt;60.17&lt;/D&gt;&lt;D xsi:type="xsd:double"&gt;60.93&lt;/D&gt;&lt;D xsi:type="xsd:double"&gt;60.06&lt;/D&gt;&lt;D xsi:type="xsd:double"&gt;61.05&lt;/D&gt;&lt;D xsi:type="xsd:double"&gt;60.85&lt;/D&gt;&lt;D xsi:type="xsd:double"&gt;60.47&lt;/D&gt;&lt;D xsi:type="xsd:double"&gt;59.03&lt;/D&gt;&lt;D xsi:type="xsd:double"&gt;59.24&lt;/D&gt;&lt;D xsi:type="xsd:double"&gt;59.46&lt;/D&gt;&lt;D xsi:type="xsd:double"&gt;59.79&lt;/D&gt;&lt;D xsi:type="xsd:double"&gt;59.77&lt;/D&gt;&lt;D xsi:type="xsd:double"&gt;59.38&lt;/D&gt;&lt;D xsi:type="xsd:double"&gt;59.61&lt;/D&gt;&lt;D xsi:type="xsd:double"&gt;60.13&lt;/D&gt;&lt;D xsi:type="xsd:double"&gt;60.29&lt;/D&gt;&lt;D xsi:type="xsd:double"&gt;60.28&lt;/D&gt;&lt;D xsi:type="xsd:double"&gt;60.89&lt;/D&gt;&lt;D xsi:type="xsd:double"&gt;61.11&lt;/D&gt;&lt;D xsi:type="xsd:double"&gt;61.7&lt;/D&gt;&lt;D xsi:type="xsd:double"&gt;61.7&lt;/D&gt;&lt;D xsi:type="xsd:double"&gt;61.59&lt;/D&gt;&lt;D xsi:type="xsd:double"&gt;61.12&lt;/D&gt;&lt;D xsi:type="xsd:double"&gt;60.56&lt;/D&gt;&lt;D xsi:type="xsd:double"&gt;60.32&lt;/D&gt;&lt;D xsi:type="xsd:double"&gt;60.31&lt;/D&gt;&lt;D xsi:type="xsd:double"&gt;59.68&lt;/D&gt;&lt;D xsi:type="xsd:double"&gt;59.21&lt;/D&gt;&lt;D xsi:type="xsd:double"&gt;57.94&lt;/D&gt;&lt;D xsi:type="xsd:double"&gt;58.11&lt;/D&gt;&lt;D xsi:type="xsd:double"&gt;58.97&lt;/D&gt;&lt;D xsi:type="xsd:double"&gt;58.97&lt;/D&gt;&lt;D xsi:type="xsd:double"&gt;58.91&lt;/D&gt;&lt;D xsi:type="xsd:double"&gt;59.82&lt;/D&gt;&lt;D xsi:type="xsd:double"&gt;61.06&lt;/D&gt;&lt;D xsi:type="xsd:double"&gt;61.57&lt;/D&gt;&lt;D xsi:type="xsd:double"&gt;61.56&lt;/D&gt;&lt;D xsi:type="xsd:double"&gt;61.36&lt;/D&gt;&lt;D xsi:type="xsd:double"&gt;61.09&lt;/D&gt;&lt;D xsi:type="xsd:double"&gt;61.24&lt;/D&gt;&lt;D xsi:type="xsd:double"&gt;60.72&lt;/D&gt;&lt;D xsi:type="xsd:double"&gt;60.25&lt;/D&gt;&lt;D xsi:type="xsd:double"&gt;60.39&lt;/D&gt;&lt;D xsi:type="xsd:double"&gt;60.64&lt;/D&gt;&lt;D xsi:type="xsd:double"&gt;60.17&lt;/D&gt;&lt;D xsi:type="xsd:double"&gt;61.23&lt;/D&gt;&lt;D xsi:type="xsd:double"&gt;60.9&lt;/D&gt;&lt;D xsi:type="xsd:double"&gt;61.13&lt;/D&gt;&lt;D xsi:type="xsd:double"&gt;60.67&lt;/D&gt;&lt;D xsi:type="xsd:double"&gt;60.67&lt;/D&gt;&lt;D xsi:type="xsd:double"&gt;59.83&lt;/D&gt;&lt;D xsi:type="xsd:double"&gt;60.32&lt;/D&gt;&lt;D xsi:type="xsd:double"&gt;60.53&lt;/D&gt;&lt;D xsi:type="xsd:double"&gt;60.57&lt;/D&gt;&lt;D xsi:type="xsd:double"&gt;59.51&lt;/D&gt;&lt;D xsi:type="xsd:double"&gt;59.26&lt;/D&gt;&lt;D xsi:type="xsd:double"&gt;59.36&lt;/D&gt;&lt;D xsi:type="xsd:double"&gt;59.08&lt;/D&gt;&lt;D xsi:type="xsd:double"&gt;57.84&lt;/D&gt;&lt;D xsi:type="xsd:double"&gt;58.12&lt;/D&gt;&lt;D xsi:type="xsd:double"&gt;58.11&lt;/D&gt;&lt;D xsi:type="xsd:double"&gt;59.09&lt;/D&gt;&lt;D xsi:type="xsd:double"&gt;58.39&lt;/D&gt;&lt;D xsi:type="xsd:double"&gt;56.68&lt;/D&gt;&lt;D xsi:type="xsd:double"&gt;56.94&lt;/D&gt;&lt;D xsi:type="xsd:double"&gt;56.67&lt;/D&gt;&lt;D xsi:type="xsd:double"&gt;56.97&lt;/D&gt;&lt;D xsi:type="xsd:double"&gt;56.42&lt;/D&gt;&lt;D xsi:type="xsd:double"&gt;58.12&lt;/D&gt;&lt;D xsi:type="xsd:double"&gt;57.94&lt;/D&gt;&lt;D xsi:type="xsd:double"&gt;57.34&lt;/D&gt;&lt;D xsi:type="xsd:double"&gt;56.51&lt;/D&gt;&lt;D xsi:type="xsd:double"&gt;55.51&lt;/D&gt;&lt;D xsi:type="xsd:double"&gt;54.34&lt;/D&gt;&lt;D xsi:type="xsd:double"&gt;54.93&lt;/D&gt;&lt;D xsi:type="xsd:double"&gt;54.93&lt;/D&gt;&lt;D xsi:type="xsd:double"&gt;53.02&lt;/D&gt;&lt;D xsi:type="xsd:double"&gt;52.19&lt;/D&gt;&lt;D xsi:type="xsd:double"&gt;51.91&lt;/D&gt;&lt;D xsi:type="xsd:double"&gt;50.68&lt;/D&gt;&lt;D xsi:type="xsd:double"&gt;50.3&lt;/D&gt;&lt;D xsi:type="xsd:double"&gt;51.86&lt;/D&gt;&lt;D xsi:type="xsd:double"&gt;48.06&lt;/D&gt;&lt;D xsi:type="xsd:double"&gt;48.52&lt;/D&gt;&lt;D xsi:type="xsd:double"&gt;49.92&lt;/D&gt;&lt;D xsi:type="xsd:double"&gt;54.26&lt;/D&gt;&lt;D xsi:type="xsd:double"&gt;52.16&lt;/D&gt;&lt;D xsi:type="xsd:double"&gt;52.05&lt;/D&gt;&lt;D xsi:type="xsd:double"&gt;50.96&lt;/D&gt;&lt;D xsi:type="xsd:double"&gt;51.62&lt;/D&gt;&lt;D xsi:type="xsd:double"&gt;52.15&lt;/D&gt;&lt;/FQL&gt;&lt;FQL&gt;&lt;Q&gt;EWT^FG_PRICE(0,-200D)&lt;/Q&gt;&lt;R&gt;201&lt;/R&gt;&lt;C&gt;1&lt;/C&gt;&lt;D xsi:type="xsd:double"&gt;63.53&lt;/D&gt;&lt;D xsi:type="xsd:double"&gt;63.53&lt;/D&gt;&lt;D xsi:type="xsd:double"&gt;63.71&lt;/D&gt;&lt;D xsi:type="xsd:double"&gt;63.33&lt;/D&gt;&lt;D xsi:type="xsd:double"&gt;63.02&lt;/D&gt;&lt;D xsi:type="xsd:double"&gt;62.53&lt;/D&gt;&lt;D xsi:type="xsd:double"&gt;62.53&lt;/D&gt;&lt;D xsi:type="xsd:double"&gt;62.5&lt;/D&gt;&lt;D xsi:type="xsd:double"&gt;61.98&lt;/D&gt;&lt;D xsi:type="xsd:double"&gt;61.64&lt;/D&gt;&lt;D xsi:type="xsd:double"&gt;60.87&lt;/D&gt;&lt;D xsi:type="xsd:double"&gt;60.03&lt;/D&gt;&lt;D xsi:type="xsd:double"&gt;61.12&lt;/D&gt;&lt;D xsi:type="xsd:double"&gt;64.11&lt;/D&gt;&lt;D xsi:type="xsd:double"&gt;64.1&lt;/D&gt;&lt;D xsi:type="xsd:double"&gt;65.92&lt;/D&gt;&lt;D xsi:type="xsd:double"&gt;66.8&lt;/D&gt;&lt;D xsi:type="xsd:double"&gt;65.72&lt;/D&gt;&lt;D xsi:type="xsd:double"&gt;65.57&lt;/D&gt;&lt;D xsi:type="xsd:double"&gt;65.35&lt;/D&gt;&lt;D xsi:type="xsd:double"&gt;64.51&lt;/D&gt;&lt;D xsi:type="xsd:double"&gt;64.85&lt;/D&gt;&lt;D xsi:type="xsd:double"&gt;64.63&lt;/D&gt;&lt;D xsi:type="xsd:double"&gt;64.13&lt;/D&gt;&lt;D xsi:type="xsd:double"&gt;64.51&lt;/D&gt;&lt;D xsi:type="xsd:double"&gt;63.66&lt;/D&gt;&lt;D xsi:type="xsd:double"&gt;63.66&lt;/D&gt;&lt;D xsi:type="xsd:double"&gt;62.8&lt;/D&gt;&lt;D xsi:type="xsd:double"&gt;62.51&lt;/D&gt;&lt;D xsi:type="xsd:double"&gt;61.8&lt;/D&gt;&lt;D xsi:type="xsd:double"&gt;61.68&lt;/D&gt;&lt;D xsi:type="xsd:double"&gt;62.5&lt;/D&gt;&lt;D xsi:type="xsd:double"&gt;62.67&lt;/D&gt;&lt;D xsi:type="xsd:double"&gt;63.16&lt;/D&gt;&lt;D xsi:type="xsd:double"&gt;65.17&lt;/D&gt;&lt;D xsi:type="xsd:double"&gt;63.99&lt;/D&gt;&lt;D xsi:type="xsd:double"&gt;65.41&lt;/D&gt;&lt;D xsi:type="xsd:double"&gt;65.39&lt;/D&gt;&lt;D xsi:type="xsd:double"&gt;65.75&lt;/D&gt;&lt;D xsi:type="xsd:double"&gt;64.61&lt;/D&gt;&lt;D xsi:type="xsd:double"&gt;64.94&lt;/D&gt;&lt;D xsi:type="xsd:double"&gt;66.03&lt;/D&gt;&lt;D xsi:type="xsd:double"&gt;65.43&lt;/D&gt;&lt;D xsi:type="xsd:double"&gt;66.9&lt;/D&gt;&lt;D xsi:type="xsd:double"&gt;66.65&lt;/D&gt;&lt;D xsi:type="xsd:double"&gt;66.54&lt;/D&gt;&lt;D xsi:type="xsd:double"&gt;67.13&lt;/D&gt;&lt;D xsi:type="xsd:double"&gt;67.09&lt;/D&gt;&lt;D xsi:type="xsd:double"&gt;66.98&lt;/D&gt;&lt;D xsi:type="xsd:double"&gt;66.48&lt;/D&gt;&lt;D xsi:type="xsd:double"&gt;65.71&lt;/D&gt;&lt;D xsi:type="xsd:double"&gt;65.03&lt;/D&gt;&lt;D xsi:type="xsd:double"&gt;65.78&lt;/D&gt;&lt;D xsi:type="xsd:double"&gt;66.17&lt;/D&gt;&lt;D xsi:type="xsd:double"&gt;65.09&lt;/D&gt;&lt;D xsi:type="xsd:double"&gt;65.17&lt;/D&gt;&lt;D xsi:type="xsd:double"&gt;64.99&lt;/D&gt;&lt;D xsi:type="xsd:double"&gt;63.7&lt;/D&gt;&lt;D xsi:type="xsd:double"&gt;64.56&lt;/D&gt;&lt;D xsi:type="xsd:double"&gt;61.62&lt;/D&gt;&lt;D xsi:type="xsd:double"&gt;64.83&lt;/D&gt;&lt;D xsi:type="xsd:double"&gt;65.65&lt;/D&gt;&lt;D xsi:type="xsd:double"&gt;64.81&lt;/D&gt;&lt;D xsi:type="xsd:double"&gt;65.03&lt;/D&gt;&lt;D xsi:type="xsd:double"&gt;64.64&lt;/D&gt;&lt;D xsi:type="xsd:double"&gt;64&lt;/D&gt;&lt;D xsi:type="xsd:double"&gt;64.14&lt;/D&gt;&lt;D xsi:type="xsd:double"&gt;63.62&lt;/D&gt;&lt;D xsi:type="xsd:double"&gt;63.08&lt;/D&gt;&lt;D xsi:type="xsd:double"&gt;62.74&lt;/D&gt;&lt;D xsi:type="xsd:double"&gt;63.06&lt;/D&gt;&lt;D xsi:type="xsd:double"&gt;63.57&lt;/D&gt;&lt;D xsi:type="xsd:double"&gt;64.29&lt;/D&gt;&lt;D xsi:type="xsd:double"&gt;64.02&lt;/D&gt;&lt;D xsi:type="xsd:double"&gt;63.38&lt;/D&gt;&lt;D xsi:type="xsd:double"&gt;63.77&lt;/D&gt;&lt;D xsi:type="xsd:double"&gt;63.21&lt;/D&gt;&lt;D xsi:type="xsd:double"&gt;63.32&lt;/D&gt;&lt;D xsi:type="xsd:double"&gt;63.02&lt;/D&gt;&lt;D xsi:type="xsd:double"&gt;62.83&lt;/D&gt;&lt;D xsi:type="xsd:double"&gt;62.74&lt;/D&gt;&lt;D xsi:type="xsd:double"&gt;62.56&lt;/D&gt;&lt;D xsi:type="xsd:double"&gt;61.62&lt;/D&gt;&lt;D xsi:type="xsd:double"&gt;60.98&lt;/D&gt;&lt;D xsi:type="xsd:double"&gt;60.21&lt;/D&gt;&lt;D xsi:type="xsd:double"&gt;59.3&lt;/D&gt;&lt;D xsi:type="xsd:double"&gt;58.73&lt;/D&gt;&lt;D xsi:type="xsd:double"&gt;58.05&lt;/D&gt;&lt;D xsi:type="xsd:double"&gt;58.82&lt;/D&gt;&lt;D xsi:type="xsd:double"&gt;58.82&lt;/D&gt;&lt;D xsi:type="xsd:double"&gt;59.9&lt;/D&gt;&lt;D xsi:type="xsd:double"&gt;59.77&lt;/D&gt;&lt;D xsi:type="xsd:double"&gt;59.5&lt;/D&gt;&lt;D xsi:type="xsd:double"&gt;59.26&lt;/D&gt;&lt;D xsi:type="xsd:double"&gt;59.66&lt;/D&gt;&lt;D xsi:type="xsd:double"&gt;58.57&lt;/D&gt;&lt;D xsi:type="xsd:double"&gt;58.78&lt;/D&gt;&lt;D xsi:type="xsd:double"&gt;60.09&lt;/D&gt;&lt;D xsi:type="xsd:double"&gt;61.04&lt;/D&gt;&lt;D xsi:type="xsd:double"&gt;60.42&lt;/D&gt;&lt;D xsi:type="xsd:double"&gt;60.65&lt;/D&gt;&lt;D xsi:type="xsd:double"&gt;61.03&lt;/D&gt;&lt;D xsi:type="xsd:double"&gt;61.09&lt;/D&gt;&lt;D xsi:type="xsd:double"&gt;60.28&lt;/D&gt;&lt;D xsi:type="xsd:double"&gt;60.29&lt;/D&gt;&lt;D xsi:type="xsd:double"&gt;60.36&lt;/D&gt;&lt;D xsi:type="xsd:double"&gt;59.14&lt;/D&gt;&lt;D xsi:type="xsd:double"&gt;58.92&lt;/D&gt;&lt;D xsi:type="xsd:double"&gt;58.84&lt;/D&gt;&lt;D xsi:type="xsd:double"&gt;58.39&lt;/D&gt;&lt;D xsi:type="xsd:double"&gt;58.36&lt;/D&gt;&lt;D xsi:type="xsd:double"&gt;58.35&lt;/D&gt;&lt;D xsi:type="xsd:double"&gt;58.62&lt;/D&gt;&lt;D xsi:type="xsd:double"&gt;59.06&lt;/D&gt;&lt;D xsi:type="xsd:double"&gt;59.43&lt;/D&gt;&lt;D xsi:type="xsd:double"&gt;59.39&lt;/D&gt;&lt;D xsi:type="xsd:double"&gt;59.8&lt;/D&gt;&lt;D xsi:type="xsd:double"&gt;58.72&lt;/D&gt;&lt;D xsi:type="xsd:double"&gt;59.36&lt;/D&gt;&lt;D xsi:type="xsd:double"&gt;59.24&lt;/D&gt;&lt;D xsi:type="xsd:double"&gt;59.48&lt;/D&gt;&lt;D xsi:type="xsd:double"&gt;58.98&lt;/D&gt;&lt;D xsi:type="xsd:double"&gt;58.27&lt;/D&gt;&lt;D xsi:type="xsd:double"&gt;57.81&lt;/D&gt;&lt;D xsi:type="xsd:double"&gt;58.3&lt;/D&gt;&lt;D xsi:type="xsd:double"&gt;58.38&lt;/D&gt;&lt;D xsi:type="xsd:double"&gt;58.03&lt;/D&gt;&lt;D xsi:type="xsd:double"&gt;57.66&lt;/D&gt;&lt;D xsi:type="xsd:double"&gt;57.63&lt;/D&gt;&lt;D xsi:type="xsd:double"&gt;59.44&lt;/D&gt;&lt;D xsi:type="xsd:double"&gt;59.44&lt;/D&gt;&lt;D xsi:type="xsd:double"&gt;58.75&lt;/D&gt;&lt;D xsi:type="xsd:double"&gt;57.58&lt;/D&gt;&lt;D xsi:type="xsd:double"&gt;57.4&lt;/D&gt;&lt;D xsi:type="xsd:double"&gt;57.85&lt;/D&gt;&lt;D xsi:type="xsd:double"&gt;57.85&lt;/D&gt;&lt;D xsi:type="xsd:double"&gt;57.31&lt;/D&gt;&lt;D xsi:type="xsd:double"&gt;56.82&lt;/D&gt;&lt;D xsi:type="xsd:double"&gt;55.18&lt;/D&gt;&lt;D xsi:type="xsd:double"&gt;54.84&lt;/D&gt;&lt;D xsi:type="xsd:double"&gt;56.03&lt;/D&gt;&lt;D xsi:type="xsd:double"&gt;56.03&lt;/D&gt;&lt;D xsi:type="xsd:double"&gt;55.65&lt;/D&gt;&lt;D xsi:type="xsd:double"&gt;56.46&lt;/D&gt;&lt;D xsi:type="xsd:double"&gt;55.85&lt;/D&gt;&lt;D xsi:type="xsd:double"&gt;56.74&lt;/D&gt;&lt;D xsi:type="xsd:double"&gt;55.83&lt;/D&gt;&lt;D xsi:type="xsd:double"&gt;55.8&lt;/D&gt;&lt;D xsi:type="xsd:double"&gt;54.71&lt;/D&gt;&lt;D xsi:type="xsd:double"&gt;54.11&lt;/D&gt;&lt;D xsi:type="xsd:double"&gt;53.74&lt;/D&gt;&lt;D xsi:type="xsd:double"&gt;53.96&lt;/D&gt;&lt;D xsi:type="xsd:double"&gt;53.15&lt;/D&gt;&lt;D xsi:type="xsd:double"&gt;52.84&lt;/D&gt;&lt;D xsi:type="xsd:double"&gt;52.38&lt;/D&gt;&lt;D xsi:type="xsd:double"&gt;52.87&lt;/D&gt;&lt;D xsi:type="xsd:double"&gt;53.26&lt;/D&gt;&lt;D xsi:type="xsd:double"&gt;53.58&lt;/D&gt;&lt;D xsi:type="xsd:double"&gt;53.52&lt;/D&gt;&lt;D xsi:type="xsd:double"&gt;53.52&lt;/D&gt;&lt;D xsi:type="xsd:double"&gt;53.7&lt;/D&gt;&lt;D xsi:type="xsd:double"&gt;53.72&lt;/D&gt;&lt;D xsi:type="xsd:double"&gt;53.48&lt;/D&gt;&lt;D xsi:type="xsd:double"&gt;53.82&lt;/D&gt;&lt;D xsi:type="xsd:double"&gt;54.01&lt;/D&gt;&lt;D xsi:type="xsd:double"&gt;53.99&lt;/D&gt;&lt;D xsi:type="xsd:double"&gt;53.77&lt;/D&gt;&lt;D xsi:type="xsd:double"&gt;53.28&lt;/D&gt;&lt;D xsi:type="xsd:double"&gt;52.95&lt;/D&gt;&lt;D xsi:type="xsd:double"&gt;51.75&lt;/D&gt;&lt;D xsi:type="xsd:double"&gt;51.16&lt;/D&gt;&lt;D xsi:type="xsd:double"&gt;51&lt;/D&gt;&lt;D xsi:type="xsd:double"&gt;51.56&lt;/D&gt;&lt;D xsi:type="xsd:double"&gt;52.96&lt;/D&gt;&lt;D xsi:type="xsd:double"&gt;50.95&lt;/D&gt;&lt;D xsi:type="xsd:double"&gt;47.82&lt;/D&gt;&lt;D xsi:type="xsd:double"&gt;47.48&lt;/D&gt;&lt;D xsi:type="xsd:double"&gt;47.15&lt;/D&gt;&lt;D xsi:type="xsd:double"&gt;46.47&lt;/D&gt;&lt;D xsi:type="xsd:double"&gt;46.34&lt;/D&gt;&lt;D xsi:type="xsd:double"&gt;46.18&lt;/D&gt;&lt;D xsi:type="xsd:double"&gt;45.5&lt;/D&gt;&lt;D xsi:type="xsd:double"&gt;44.33&lt;/D&gt;&lt;D xsi:type="xsd:double"&gt;44.22&lt;/D&gt;&lt;D xsi:type="xsd:double"&gt;44.88&lt;/D&gt;&lt;D xsi:type="xsd:double"&gt;44.88&lt;/D&gt;&lt;D xsi:type="xsd:double"&gt;44.99&lt;/D&gt;&lt;D xsi:type="xsd:double"&gt;46.05&lt;/D&gt;&lt;D xsi:type="xsd:double"&gt;45.77&lt;/D&gt;&lt;D xsi:type="xsd:double"&gt;45.62&lt;/D&gt;&lt;D xsi:type="xsd:double"&gt;43.32&lt;/D&gt;&lt;D xsi:type="xsd:double"&gt;44.79&lt;/D&gt;&lt;D xsi:type="xsd:double"&gt;40.95&lt;/D&gt;&lt;D xsi:type="xsd:double"&gt;42.03&lt;/D&gt;&lt;D xsi:type="xsd:double"&gt;43.82&lt;/D&gt;&lt;D xsi:type="xsd:double"&gt;46.05&lt;/D&gt;&lt;D xsi:type="xsd:double"&gt;48.48&lt;/D&gt;&lt;D xsi:type="xsd:double"&gt;48.2&lt;/D&gt;&lt;D xsi:type="xsd:double"&gt;47.48&lt;/D&gt;&lt;D xsi:type="xsd:double"&gt;47.82&lt;/D&gt;&lt;D xsi:type="xsd:double"&gt;49.2&lt;/D&gt;&lt;/FQL&gt;&lt;FQL&gt;&lt;Q&gt;EWM^FG_PRICE(0,-200D)&lt;/Q&gt;&lt;R&gt;201&lt;/R&gt;&lt;C&gt;1&lt;/C&gt;&lt;D xsi:type="xsd:double"&gt;27.36&lt;/D&gt;&lt;D xsi:type="xsd:double"&gt;27.36&lt;/D&gt;&lt;D xsi:type="xsd:double"&gt;27.57&lt;/D&gt;&lt;D xsi:type="xsd:double"&gt;27.53&lt;/D&gt;&lt;D xsi:type="xsd:double"&gt;27.64&lt;/D&gt;&lt;D xsi:type="xsd:double"&gt;27.69&lt;/D&gt;&lt;D xsi:type="xsd:double"&gt;27.69&lt;/D&gt;&lt;D xsi:type="xsd:double"&gt;27.53&lt;/D&gt;&lt;D xsi:type="xsd:double"&gt;27.41&lt;/D&gt;&lt;D xsi:type="xsd:double"&gt;27.2&lt;/D&gt;&lt;D xsi:type="xsd:double"&gt;26.88&lt;/D&gt;&lt;D xsi:type="xsd:double"&gt;26.6&lt;/D&gt;&lt;D xsi:type="xsd:double"&gt;26.79&lt;/D&gt;&lt;D xsi:type="xsd:double"&gt;27.09&lt;/D&gt;&lt;D xsi:type="xsd:double"&gt;26.98&lt;/D&gt;&lt;D xsi:type="xsd:double"&gt;26.87&lt;/D&gt;&lt;D xsi:type="xsd:double"&gt;26.52&lt;/D&gt;&lt;D xsi:type="xsd:double"&gt;26.37&lt;/D&gt;&lt;D xsi:type="xsd:double"&gt;26.32&lt;/D&gt;&lt;D xsi:type="xsd:double"&gt;26.64&lt;/D&gt;&lt;D xsi:type="xsd:double"&gt;26.59&lt;/D&gt;&lt;D xsi:type="xsd:double"&gt;26.73&lt;/D&gt;&lt;D xsi:type="xsd:double"&gt;26.67&lt;/D&gt;&lt;D xsi:type="xsd:double"&gt;26.6&lt;/D&gt;&lt;D xsi:type="xsd:double"&gt;26.43&lt;/D&gt;&lt;D xsi:type="xsd:double"&gt;26.64&lt;/D&gt;&lt;D xsi:type="xsd:double"&gt;26.64&lt;/D&gt;&lt;D xsi:type="xsd:double"&gt;26.49&lt;/D&gt;&lt;D xsi:type="xsd:double"&gt;26.47&lt;/D&gt;&lt;D xsi:type="xsd:double"&gt;26.29&lt;/D&gt;&lt;D xsi:type="xsd:double"&gt;26.05&lt;/D&gt;&lt;D xsi:type="xsd:double"&gt;26.33&lt;/D&gt;&lt;D xsi:type="xsd:double"&gt;26.16&lt;/D&gt;&lt;D xsi:type="xsd:double"&gt;26.23&lt;/D&gt;&lt;D xsi:type="xsd:double"&gt;26.45&lt;/D&gt;&lt;D xsi:type="xsd:double"&gt;26.5&lt;/D&gt;&lt;D xsi:type="xsd:double"&gt;26.53&lt;/D&gt;&lt;D xsi:type="xsd:double"&gt;26.78&lt;/D&gt;&lt;D xsi:type="xsd:double"&gt;26.47&lt;/D&gt;&lt;D xsi:type="xsd:double"&gt;26.23&lt;/D&gt;&lt;D xsi:type="xsd:double"&gt;26.01&lt;/D&gt;&lt;D xsi:type="xsd:double"&gt;26.2&lt;/D&gt;&lt;D xsi:type="xsd:double"&gt;25.98&lt;/D&gt;&lt;D xsi:type="xsd:double"&gt;26.06&lt;/D&gt;&lt;D xsi:type="xsd:double"&gt;25.85&lt;/D&gt;&lt;D xsi:type="xsd:double"&gt;25.88&lt;/D&gt;&lt;D xsi:type="xsd:double"&gt;25.91&lt;/D&gt;&lt;D xsi:type="xsd:double"&gt;26.01&lt;/D&gt;&lt;D xsi:type="xsd:double"&gt;25.96&lt;/D&gt;&lt;D xsi:type="xsd:double"&gt;25.69&lt;/D&gt;&lt;D xsi:type="xsd:double"&gt;25.65&lt;/D&gt;&lt;D xsi:type="xsd:double"&gt;25.47&lt;/D&gt;&lt;D xsi:type="xsd:double"&gt;25.74&lt;/D&gt;&lt;D xsi:type="xsd:double"&gt;25.82&lt;/D&gt;&lt;D xsi:type="xsd:double"&gt;25.7&lt;/D&gt;&lt;D xsi:type="xsd:double"&gt;25.58&lt;/D&gt;&lt;D xsi:type="xsd:double"&gt;25.66&lt;/D&gt;&lt;D xsi:type="xsd:double"&gt;25.72&lt;/D&gt;&lt;D xsi:type="xsd:double"&gt;25.71&lt;/D&gt;&lt;D xsi:type="xsd:double"&gt;25.33&lt;/D&gt;&lt;D xsi:type="xsd:double"&gt;25.98&lt;/D&gt;&lt;D xsi:type="xsd:double"&gt;26.02&lt;/D&gt;&lt;D xsi:type="xsd:double"&gt;25.99&lt;/D&gt;&lt;D xsi:type="xsd:double"&gt;26.09&lt;/D&gt;&lt;D xsi:type="xsd:double"&gt;26.2&lt;/D&gt;&lt;D xsi:type="xsd:double"&gt;26.27&lt;/D&gt;&lt;D xsi:type="xsd:double"&gt;26.21&lt;/D&gt;&lt;D xsi:type="xsd:double"&gt;25.92&lt;/D&gt;&lt;D xsi:type="xsd:double"&gt;25.78&lt;/D&gt;&lt;D xsi:type="xsd:double"&gt;25.73&lt;/D&gt;&lt;D xsi:type="xsd:double"&gt;25.27&lt;/D&gt;&lt;D xsi:type="xsd:double"&gt;25.33&lt;/D&gt;&lt;D xsi:type="xsd:double"&gt;25.74&lt;/D&gt;&lt;D xsi:type="xsd:double"&gt;25.79&lt;/D&gt;&lt;D xsi:type="xsd:double"&gt;25.59&lt;/D&gt;&lt;D xsi:type="xsd:double"&gt;25.6&lt;/D&gt;&lt;D xsi:type="xsd:double"&gt;25.95&lt;/D&gt;&lt;D xsi:type="xsd:double"&gt;25.54&lt;/D&gt;&lt;D xsi:type="xsd:double"&gt;25.55&lt;/D&gt;&lt;D xsi:type="xsd:double"&gt;25.47&lt;/D&gt;&lt;D xsi:type="xsd:double"&gt;25.33&lt;/D&gt;&lt;D xsi:type="xsd:double"&gt;25.17&lt;/D&gt;&lt;D xsi:type="xsd:double"&gt;25.17&lt;/D&gt;&lt;D xsi:type="xsd:double"&gt;25.12&lt;/D&gt;&lt;D xsi:type="xsd:double"&gt;25.03&lt;/D&gt;&lt;D xsi:type="xsd:double"&gt;24.97&lt;/D&gt;&lt;D xsi:type="xsd:double"&gt;24.87&lt;/D&gt;&lt;D xsi:type="xsd:double"&gt;24.73&lt;/D&gt;&lt;D xsi:type="xsd:double"&gt;24.87&lt;/D&gt;&lt;D xsi:type="xsd:double"&gt;24.87&lt;/D&gt;&lt;D xsi:type="xsd:double"&gt;25.13&lt;/D&gt;&lt;D xsi:type="xsd:double"&gt;25.05&lt;/D&gt;&lt;D xsi:type="xsd:double"&gt;25.13&lt;/D&gt;&lt;D xsi:type="xsd:double"&gt;25.5&lt;/D&gt;&lt;D xsi:type="xsd:double"&gt;25.72&lt;/D&gt;&lt;D xsi:type="xsd:double"&gt;25.19&lt;/D&gt;&lt;D xsi:type="xsd:double"&gt;25.19&lt;/D&gt;&lt;D xsi:type="xsd:double"&gt;25.18&lt;/D&gt;&lt;D xsi:type="xsd:double"&gt;25.13&lt;/D&gt;&lt;D xsi:type="xsd:double"&gt;24.98&lt;/D&gt;&lt;D xsi:type="xsd:double"&gt;25.03&lt;/D&gt;&lt;D xsi:type="xsd:double"&gt;25.27&lt;/D&gt;&lt;D xsi:type="xsd:double"&gt;24.94&lt;/D&gt;&lt;D xsi:type="xsd:double"&gt;24.6&lt;/D&gt;&lt;D xsi:type="xsd:double"&gt;24.51&lt;/D&gt;&lt;D xsi:type="xsd:double"&gt;24.38&lt;/D&gt;&lt;D xsi:type="xsd:double"&gt;24.4&lt;/D&gt;&lt;D xsi:type="xsd:double"&gt;24.24&lt;/D&gt;&lt;D xsi:type="xsd:double"&gt;24.13&lt;/D&gt;&lt;D xsi:type="xsd:double"&gt;23.98&lt;/D&gt;&lt;D xsi:type="xsd:double"&gt;23.49&lt;/D&gt;&lt;D xsi:type="xsd:double"&gt;23.84&lt;/D&gt;&lt;D xsi:type="xsd:double"&gt;24.04&lt;/D&gt;&lt;D xsi:type="xsd:double"&gt;24.05&lt;/D&gt;&lt;D xsi:type="xsd:double"&gt;24.19&lt;/D&gt;&lt;D xsi:type="xsd:double"&gt;24.3&lt;/D&gt;&lt;D xsi:type="xsd:double"&gt;24.21&lt;/D&gt;&lt;D xsi:type="xsd:double"&gt;23.99&lt;/D&gt;&lt;D xsi:type="xsd:double"&gt;24.03&lt;/D&gt;&lt;D xsi:type="xsd:double"&gt;23.93&lt;/D&gt;&lt;D xsi:type="xsd:double"&gt;23.93&lt;/D&gt;&lt;D xsi:type="xsd:double"&gt;23.71&lt;/D&gt;&lt;D xsi:type="xsd:double"&gt;23.8&lt;/D&gt;&lt;D xsi:type="xsd:double"&gt;24.09&lt;/D&gt;&lt;D xsi:type="xsd:double"&gt;24.08&lt;/D&gt;&lt;D xsi:type="xsd:double"&gt;24.11&lt;/D&gt;&lt;D xsi:type="xsd:double"&gt;23.98&lt;/D&gt;&lt;D xsi:type="xsd:double"&gt;23.95&lt;/D&gt;&lt;D xsi:type="xsd:double"&gt;23.93&lt;/D&gt;&lt;D xsi:type="xsd:double"&gt;24.41&lt;/D&gt;&lt;D xsi:type="xsd:double"&gt;24.41&lt;/D&gt;&lt;D xsi:type="xsd:double"&gt;24.41&lt;/D&gt;&lt;D xsi:type="xsd:double"&gt;24.38&lt;/D&gt;&lt;D xsi:type="xsd:double"&gt;24.34&lt;/D&gt;&lt;D xsi:type="xsd:double"&gt;24.07&lt;/D&gt;&lt;D xsi:type="xsd:double"&gt;24.07&lt;/D&gt;&lt;D xsi:type="xsd:double"&gt;23.82&lt;/D&gt;&lt;D xsi:type="xsd:double"&gt;23.77&lt;/D&gt;&lt;D xsi:type="xsd:double"&gt;23.53&lt;/D&gt;&lt;D xsi:type="xsd:double"&gt;23.41&lt;/D&gt;&lt;D xsi:type="xsd:double"&gt;23.59&lt;/D&gt;&lt;D xsi:type="xsd:double"&gt;23.59&lt;/D&gt;&lt;D xsi:type="xsd:double"&gt;23.53&lt;/D&gt;&lt;D xsi:type="xsd:double"&gt;23.93&lt;/D&gt;&lt;D xsi:type="xsd:double"&gt;24.26&lt;/D&gt;&lt;D xsi:type="xsd:double"&gt;24.54&lt;/D&gt;&lt;D xsi:type="xsd:double"&gt;24.45&lt;/D&gt;&lt;D xsi:type="xsd:double"&gt;24.28&lt;/D&gt;&lt;D xsi:type="xsd:double"&gt;24.32&lt;/D&gt;&lt;D xsi:type="xsd:double"&gt;24.25&lt;/D&gt;&lt;D xsi:type="xsd:double"&gt;24.31&lt;/D&gt;&lt;D xsi:type="xsd:double"&gt;24.14&lt;/D&gt;&lt;D xsi:type="xsd:double"&gt;24.09&lt;/D&gt;&lt;D xsi:type="xsd:double"&gt;24.15&lt;/D&gt;&lt;D xsi:type="xsd:double"&gt;23.96&lt;/D&gt;&lt;D xsi:type="xsd:double"&gt;24.3&lt;/D&gt;&lt;D xsi:type="xsd:double"&gt;24.47&lt;/D&gt;&lt;D xsi:type="xsd:double"&gt;24.52&lt;/D&gt;&lt;D xsi:type="xsd:double"&gt;24.58&lt;/D&gt;&lt;D xsi:type="xsd:double"&gt;24.58&lt;/D&gt;&lt;D xsi:type="xsd:double"&gt;24.24&lt;/D&gt;&lt;D xsi:type="xsd:double"&gt;24.49&lt;/D&gt;&lt;D xsi:type="xsd:double"&gt;24.5&lt;/D&gt;&lt;D xsi:type="xsd:double"&gt;24.69&lt;/D&gt;&lt;D xsi:type="xsd:double"&gt;24.87&lt;/D&gt;&lt;D xsi:type="xsd:double"&gt;25.08&lt;/D&gt;&lt;D xsi:type="xsd:double"&gt;25.07&lt;/D&gt;&lt;D xsi:type="xsd:double"&gt;24.87&lt;/D&gt;&lt;D xsi:type="xsd:double"&gt;24.5&lt;/D&gt;&lt;D xsi:type="xsd:double"&gt;24.45&lt;/D&gt;&lt;D xsi:type="xsd:double"&gt;24.31&lt;/D&gt;&lt;D xsi:type="xsd:double"&gt;24.68&lt;/D&gt;&lt;D xsi:type="xsd:double"&gt;24.64&lt;/D&gt;&lt;D xsi:type="xsd:double"&gt;24.86&lt;/D&gt;&lt;D xsi:type="xsd:double"&gt;24.85&lt;/D&gt;&lt;D xsi:type="xsd:double"&gt;24.12&lt;/D&gt;&lt;D xsi:type="xsd:double"&gt;24.17&lt;/D&gt;&lt;D xsi:type="xsd:double"&gt;23.7&lt;/D&gt;&lt;D xsi:type="xsd:double"&gt;23.71&lt;/D&gt;&lt;D xsi:type="xsd:double"&gt;23.43&lt;/D&gt;&lt;D xsi:type="xsd:double"&gt;23.43&lt;/D&gt;&lt;D xsi:type="xsd:double"&gt;23.07&lt;/D&gt;&lt;D xsi:type="xsd:double"&gt;22.91&lt;/D&gt;&lt;D xsi:type="xsd:double"&gt;23.04&lt;/D&gt;&lt;D xsi:type="xsd:double"&gt;22.77&lt;/D&gt;&lt;D xsi:type="xsd:double"&gt;22.77&lt;/D&gt;&lt;D xsi:type="xsd:double"&gt;22.44&lt;/D&gt;&lt;D xsi:type="xsd:double"&gt;22.63&lt;/D&gt;&lt;D xsi:type="xsd:double"&gt;22.65&lt;/D&gt;&lt;D xsi:type="xsd:double"&gt;22.46&lt;/D&gt;&lt;D xsi:type="xsd:double"&gt;22.05&lt;/D&gt;&lt;D xsi:type="xsd:double"&gt;22.14&lt;/D&gt;&lt;D xsi:type="xsd:double"&gt;21.2&lt;/D&gt;&lt;D xsi:type="xsd:double"&gt;21.75&lt;/D&gt;&lt;D xsi:type="xsd:double"&gt;21.91&lt;/D&gt;&lt;D xsi:type="xsd:double"&gt;23.01&lt;/D&gt;&lt;D xsi:type="xsd:double"&gt;23.32&lt;/D&gt;&lt;D xsi:type="xsd:double"&gt;23.03&lt;/D&gt;&lt;D xsi:type="xsd:double"&gt;23.08&lt;/D&gt;&lt;D xsi:type="xsd:double"&gt;23&lt;/D&gt;&lt;D xsi:type="xsd:double"&gt;23.55&lt;/D&gt;&lt;/FQL&gt;&lt;FQL&gt;&lt;Q&gt;EPU^FG_PRICE(0,-200D)&lt;/Q&gt;&lt;R&gt;201&lt;/R&gt;&lt;C&gt;1&lt;/C&gt;&lt;D xsi:type="xsd:double"&gt;72.35&lt;/D&gt;&lt;D xsi:type="xsd:double"&gt;72.35&lt;/D&gt;&lt;D xsi:type="xsd:double"&gt;72.91&lt;/D&gt;&lt;D xsi:type="xsd:double"&gt;71.95&lt;/D&gt;&lt;D xsi:type="xsd:double"&gt;73.77&lt;/D&gt;&lt;D xsi:type="xsd:double"&gt;72.74&lt;/D&gt;&lt;D xsi:type="xsd:double"&gt;72.74&lt;/D&gt;&lt;D xsi:type="xsd:double"&gt;72.78&lt;/D&gt;&lt;D xsi:type="xsd:double"&gt;72.08&lt;/D&gt;&lt;D xsi:type="xsd:double"&gt;71.2&lt;/D&gt;&lt;D xsi:type="xsd:double"&gt;69.98&lt;/D&gt;&lt;D xsi:type="xsd:double"&gt;69.18&lt;/D&gt;&lt;D xsi:type="xsd:double"&gt;69.3&lt;/D&gt;&lt;D xsi:type="xsd:double"&gt;69.25&lt;/D&gt;&lt;D xsi:type="xsd:double"&gt;69.3&lt;/D&gt;&lt;D xsi:type="xsd:double"&gt;69.68&lt;/D&gt;&lt;D xsi:type="xsd:double"&gt;68.29&lt;/D&gt;&lt;D xsi:type="xsd:double"&gt;67.48&lt;/D&gt;&lt;D xsi:type="xsd:double"&gt;66.53&lt;/D&gt;&lt;D xsi:type="xsd:double"&gt;67.03&lt;/D&gt;&lt;D xsi:type="xsd:double"&gt;67&lt;/D&gt;&lt;D xsi:type="xsd:double"&gt;66.03&lt;/D&gt;&lt;D xsi:type="xsd:double"&gt;64.67&lt;/D&gt;&lt;D xsi:type="xsd:double"&gt;64.57&lt;/D&gt;&lt;D xsi:type="xsd:double"&gt;64.47&lt;/D&gt;&lt;D xsi:type="xsd:double"&gt;63.1&lt;/D&gt;&lt;D xsi:type="xsd:double"&gt;63.1&lt;/D&gt;&lt;D xsi:type="xsd:double"&gt;61.56&lt;/D&gt;&lt;D xsi:type="xsd:double"&gt;61.02&lt;/D&gt;&lt;D xsi:type="xsd:double"&gt;59.64&lt;/D&gt;&lt;D xsi:type="xsd:double"&gt;59.5&lt;/D&gt;&lt;D xsi:type="xsd:double"&gt;61.25&lt;/D&gt;&lt;D xsi:type="xsd:double"&gt;60.32&lt;/D&gt;&lt;D xsi:type="xsd:double"&gt;61.1636&lt;/D&gt;&lt;D xsi:type="xsd:double"&gt;62.34&lt;/D&gt;&lt;D xsi:type="xsd:double"&gt;62.52&lt;/D&gt;&lt;D xsi:type="xsd:double"&gt;64.38&lt;/D&gt;&lt;D xsi:type="xsd:double"&gt;63.04&lt;/D&gt;&lt;D xsi:type="xsd:double"&gt;63.13&lt;/D&gt;&lt;D xsi:type="xsd:double"&gt;61.77&lt;/D&gt;&lt;D xsi:type="xsd:double"&gt;61.75&lt;/D&gt;&lt;D xsi:type="xsd:double"&gt;61.39&lt;/D&gt;&lt;D xsi:type="xsd:double"&gt;60.31&lt;/D&gt;&lt;D xsi:type="xsd:double"&gt;62.16&lt;/D&gt;&lt;D xsi:type="xsd:double"&gt;62.78&lt;/D&gt;&lt;D xsi:type="xsd:double"&gt;63.11&lt;/D&gt;&lt;D xsi:type="xsd:double"&gt;63.12&lt;/D&gt;&lt;D xsi:type="xsd:double"&gt;62.53&lt;/D&gt;&lt;D xsi:type="xsd:double"&gt;61.55&lt;/D&gt;&lt;D xsi:type="xsd:double"&gt;61.62&lt;/D&gt;&lt;D xsi:type="xsd:double"&gt;61.61&lt;/D&gt;&lt;D xsi:type="xsd:double"&gt;60.71&lt;/D&gt;&lt;D xsi:type="xsd:double"&gt;61.35&lt;/D&gt;&lt;D xsi:type="xsd:double"&gt;64&lt;/D&gt;&lt;D xsi:type="xsd:double"&gt;62.97&lt;/D&gt;&lt;D xsi:type="xsd:double"&gt;64.55&lt;/D&gt;&lt;D xsi:type="xsd:double"&gt;64.1&lt;/D&gt;&lt;D xsi:type="xsd:double"&gt;63.3&lt;/D&gt;&lt;D xsi:type="xsd:double"&gt;63.41&lt;/D&gt;&lt;D xsi:type="xsd:double"&gt;60.91&lt;/D&gt;&lt;D xsi:type="xsd:double"&gt;62.65&lt;/D&gt;&lt;D xsi:type="xsd:double"&gt;63.53&lt;/D&gt;&lt;D xsi:type="xsd:double"&gt;61.87&lt;/D&gt;&lt;D xsi:type="xsd:double"&gt;62.71&lt;/D&gt;&lt;D xsi:type="xsd:double"&gt;62.31&lt;/D&gt;&lt;D xsi:type="xsd:double"&gt;61.33&lt;/D&gt;&lt;D xsi:type="xsd:double"&gt;61.05&lt;/D&gt;&lt;D xsi:type="xsd:double"&gt;61.5&lt;/D&gt;&lt;D xsi:type="xsd:double"&gt;60.8036&lt;/D&gt;&lt;D xsi:type="xsd:double"&gt;59.3&lt;/D&gt;&lt;D xsi:type="xsd:double"&gt;59.78&lt;/D&gt;&lt;D xsi:type="xsd:double"&gt;59.89&lt;/D&gt;&lt;D xsi:type="xsd:double"&gt;58.88&lt;/D&gt;&lt;D xsi:type="xsd:double"&gt;58.59&lt;/D&gt;&lt;D xsi:type="xsd:double"&gt;57.8112&lt;/D&gt;&lt;D xsi:type="xsd:double"&gt;57.14&lt;/D&gt;&lt;D xsi:type="xsd:double"&gt;57.8745&lt;/D&gt;&lt;D xsi:type="xsd:double"&gt;57.9154&lt;/D&gt;&lt;D xsi:type="xsd:double"&gt;58.4354&lt;/D&gt;&lt;D xsi:type="xsd:double"&gt;57.768&lt;/D&gt;&lt;D xsi:type="xsd:double"&gt;57.5472&lt;/D&gt;&lt;D xsi:type="xsd:double"&gt;56.45&lt;/D&gt;&lt;D xsi:type="xsd:double"&gt;56&lt;/D&gt;&lt;D xsi:type="xsd:double"&gt;56.6475&lt;/D&gt;&lt;D xsi:type="xsd:double"&gt;56.5&lt;/D&gt;&lt;D xsi:type="xsd:double"&gt;55.73&lt;/D&gt;&lt;D xsi:type="xsd:double"&gt;56.01&lt;/D&gt;&lt;D xsi:type="xsd:double"&gt;54.91&lt;/D&gt;&lt;D xsi:type="xsd:dou</t>
        </r>
      </text>
    </comment>
    <comment ref="A7" authorId="0" shapeId="0" xr:uid="{6E40ED27-5364-4EFE-9131-48DDDA1DC051}">
      <text>
        <r>
          <rPr>
            <b/>
            <sz val="9"/>
            <color indexed="81"/>
            <rFont val="Tahoma"/>
            <charset val="1"/>
          </rPr>
          <t>ble"&gt;53.8&lt;/D&gt;&lt;D xsi:type="xsd:double"&gt;53.8&lt;/D&gt;&lt;D xsi:type="xsd:double"&gt;53.4188&lt;/D&gt;&lt;D xsi:type="xsd:double"&gt;52.9672&lt;/D&gt;&lt;D xsi:type="xsd:double"&gt;53.39&lt;/D&gt;&lt;D xsi:type="xsd:double"&gt;52.93&lt;/D&gt;&lt;D xsi:type="xsd:double"&gt;53.23&lt;/D&gt;&lt;D xsi:type="xsd:double"&gt;52.009&lt;/D&gt;&lt;D xsi:type="xsd:double"&gt;51.75&lt;/D&gt;&lt;D xsi:type="xsd:double"&gt;51.68&lt;/D&gt;&lt;D xsi:type="xsd:double"&gt;52.3821&lt;/D&gt;&lt;D xsi:type="xsd:double"&gt;52.1916&lt;/D&gt;&lt;D xsi:type="xsd:double"&gt;51.95&lt;/D&gt;&lt;D xsi:type="xsd:double"&gt;52.16&lt;/D&gt;&lt;D xsi:type="xsd:double"&gt;51.75&lt;/D&gt;&lt;D xsi:type="xsd:double"&gt;51.1309&lt;/D&gt;&lt;D xsi:type="xsd:double"&gt;51.72&lt;/D&gt;&lt;D xsi:type="xsd:double"&gt;50.7055&lt;/D&gt;&lt;D xsi:type="xsd:double"&gt;50.1833&lt;/D&gt;&lt;D xsi:type="xsd:double"&gt;49.7&lt;/D&gt;&lt;D xsi:type="xsd:double"&gt;49.27&lt;/D&gt;&lt;D xsi:type="xsd:double"&gt;48.35&lt;/D&gt;&lt;D xsi:type="xsd:double"&gt;48.65&lt;/D&gt;&lt;D xsi:type="xsd:double"&gt;47.99&lt;/D&gt;&lt;D xsi:type="xsd:double"&gt;49.44&lt;/D&gt;&lt;D xsi:type="xsd:double"&gt;49.15&lt;/D&gt;&lt;D xsi:type="xsd:double"&gt;49.61&lt;/D&gt;&lt;D xsi:type="xsd:double"&gt;49.98&lt;/D&gt;&lt;D xsi:type="xsd:double"&gt;50.3&lt;/D&gt;&lt;D xsi:type="xsd:double"&gt;49.55&lt;/D&gt;&lt;D xsi:type="xsd:double"&gt;48.93&lt;/D&gt;&lt;D xsi:type="xsd:double"&gt;48.32&lt;/D&gt;&lt;D xsi:type="xsd:double"&gt;48.2014&lt;/D&gt;&lt;D xsi:type="xsd:double"&gt;48.0038&lt;/D&gt;&lt;D xsi:type="xsd:double"&gt;48.12&lt;/D&gt;&lt;D xsi:type="xsd:double"&gt;48.69&lt;/D&gt;&lt;D xsi:type="xsd:double"&gt;48.83&lt;/D&gt;&lt;D xsi:type="xsd:double"&gt;49.12&lt;/D&gt;&lt;D xsi:type="xsd:double"&gt;48.81&lt;/D&gt;&lt;D xsi:type="xsd:double"&gt;49.3&lt;/D&gt;&lt;D xsi:type="xsd:double"&gt;49.62&lt;/D&gt;&lt;D xsi:type="xsd:double"&gt;50.06&lt;/D&gt;&lt;D xsi:type="xsd:double"&gt;50.06&lt;/D&gt;&lt;D xsi:type="xsd:double"&gt;49.75&lt;/D&gt;&lt;D xsi:type="xsd:double"&gt;48.8572&lt;/D&gt;&lt;D xsi:type="xsd:double"&gt;48.59&lt;/D&gt;&lt;D xsi:type="xsd:double"&gt;48.49&lt;/D&gt;&lt;D xsi:type="xsd:double"&gt;49.1078&lt;/D&gt;&lt;D xsi:type="xsd:double"&gt;47.3159&lt;/D&gt;&lt;D xsi:type="xsd:double"&gt;47.313&lt;/D&gt;&lt;D xsi:type="xsd:double"&gt;46.97&lt;/D&gt;&lt;D xsi:type="xsd:double"&gt;47.08&lt;/D&gt;&lt;D xsi:type="xsd:double"&gt;47.4137&lt;/D&gt;&lt;D xsi:type="xsd:double"&gt;47.4137&lt;/D&gt;&lt;D xsi:type="xsd:double"&gt;47.62&lt;/D&gt;&lt;D xsi:type="xsd:double"&gt;47.7117&lt;/D&gt;&lt;D xsi:type="xsd:double"&gt;48.2913&lt;/D&gt;&lt;D xsi:type="xsd:double"&gt;48.5848&lt;/D&gt;&lt;D xsi:type="xsd:double"&gt;48.44&lt;/D&gt;&lt;D xsi:type="xsd:double"&gt;48.2311&lt;/D&gt;&lt;D xsi:type="xsd:double"&gt;48.53&lt;/D&gt;&lt;D xsi:type="xsd:double"&gt;48.5916&lt;/D&gt;&lt;D xsi:type="xsd:double"&gt;48.7961&lt;/D&gt;&lt;D xsi:type="xsd:double"&gt;48.065&lt;/D&gt;&lt;D xsi:type="xsd:double"&gt;47.95&lt;/D&gt;&lt;D xsi:type="xsd:double"&gt;47.72&lt;/D&gt;&lt;D xsi:type="xsd:double"&gt;46.64&lt;/D&gt;&lt;D xsi:type="xsd:double"&gt;46.6136&lt;/D&gt;&lt;D xsi:type="xsd:double"&gt;46.5428&lt;/D&gt;&lt;D xsi:type="xsd:double"&gt;46.83&lt;/D&gt;&lt;D xsi:type="xsd:double"&gt;46.76&lt;/D&gt;&lt;D xsi:type="xsd:double"&gt;46.76&lt;/D&gt;&lt;D xsi:type="xsd:double"&gt;45.76&lt;/D&gt;&lt;D xsi:type="xsd:double"&gt;45.66&lt;/D&gt;&lt;D xsi:type="xsd:double"&gt;45.57&lt;/D&gt;&lt;D xsi:type="xsd:double"&gt;45.16&lt;/D&gt;&lt;D xsi:type="xsd:double"&gt;44.57&lt;/D&gt;&lt;D xsi:type="xsd:double"&gt;45.06&lt;/D&gt;&lt;D xsi:type="xsd:double"&gt;44.95&lt;/D&gt;&lt;D xsi:type="xsd:double"&gt;45.11&lt;/D&gt;&lt;D xsi:type="xsd:double"&gt;44.74&lt;/D&gt;&lt;D xsi:type="xsd:double"&gt;45.3303&lt;/D&gt;&lt;D xsi:type="xsd:double"&gt;45.02&lt;/D&gt;&lt;D xsi:type="xsd:double"&gt;44.79&lt;/D&gt;&lt;D xsi:type="xsd:double"&gt;45.45&lt;/D&gt;&lt;D xsi:type="xsd:double"&gt;44.7003&lt;/D&gt;&lt;D xsi:type="xsd:double"&gt;44.44&lt;/D&gt;&lt;D xsi:type="xsd:double"&gt;43.74&lt;/D&gt;&lt;D xsi:type="xsd:double"&gt;44.33&lt;/D&gt;&lt;D xsi:type="xsd:double"&gt;44.8&lt;/D&gt;&lt;D xsi:type="xsd:double"&gt;44.6021&lt;/D&gt;&lt;D xsi:type="xsd:double"&gt;44.4285&lt;/D&gt;&lt;D xsi:type="xsd:double"&gt;44.55&lt;/D&gt;&lt;D xsi:type="xsd:double"&gt;43.98&lt;/D&gt;&lt;D xsi:type="xsd:double"&gt;43.836&lt;/D&gt;&lt;D xsi:type="xsd:double"&gt;43.48&lt;/D&gt;&lt;D xsi:type="xsd:double"&gt;43.2&lt;/D&gt;&lt;D xsi:type="xsd:double"&gt;43.2&lt;/D&gt;&lt;D xsi:type="xsd:double"&gt;43.3511&lt;/D&gt;&lt;D xsi:type="xsd:double"&gt;43.15&lt;/D&gt;&lt;D xsi:type="xsd:double"&gt;43.14&lt;/D&gt;&lt;D xsi:type="xsd:double"&gt;42.085&lt;/D&gt;&lt;D xsi:type="xsd:double"&gt;40.8059&lt;/D&gt;&lt;D xsi:type="xsd:double"&gt;41.46&lt;/D&gt;&lt;D xsi:type="xsd:double"&gt;38.53&lt;/D&gt;&lt;D xsi:type="xsd:double"&gt;39.07&lt;/D&gt;&lt;D xsi:type="xsd:double"&gt;40.05&lt;/D&gt;&lt;D xsi:type="xsd:double"&gt;43.42&lt;/D&gt;&lt;D xsi:type="xsd:double"&gt;44.85&lt;/D&gt;&lt;D xsi:type="xsd:double"&gt;44.57&lt;/D&gt;&lt;D xsi:type="xsd:double"&gt;43.89&lt;/D&gt;&lt;D xsi:type="xsd:double"&gt;44.2008&lt;/D&gt;&lt;D xsi:type="xsd:double"&gt;44.86&lt;/D&gt;&lt;/FQL&gt;&lt;FQL&gt;&lt;Q&gt;EPOL^FG_PRICE(0,-200D)&lt;/Q&gt;&lt;R&gt;201&lt;/R&gt;&lt;C&gt;1&lt;/C&gt;&lt;D xsi:type="xsd:double"&gt;35.19&lt;/D&gt;&lt;D xsi:type="xsd:double"&gt;35.19&lt;/D&gt;&lt;D xsi:type="xsd:double"&gt;35.16&lt;/D&gt;&lt;D xsi:type="xsd:double"&gt;34.96&lt;/D&gt;&lt;D xsi:type="xsd:double"&gt;35.2&lt;/D&gt;&lt;D xsi:type="xsd:double"&gt;35.15&lt;/D&gt;&lt;D xsi:type="xsd:double"&gt;35.15&lt;/D&gt;&lt;D xsi:type="xsd:double"&gt;34.99&lt;/D&gt;&lt;D xsi:type="xsd:double"&gt;35.2&lt;/D&gt;&lt;D xsi:type="xsd:double"&gt;34.78&lt;/D&gt;&lt;D xsi:type="xsd:double"&gt;34.41&lt;/D&gt;&lt;D xsi:type="xsd:double"&gt;34.27&lt;/D&gt;&lt;D xsi:type="xsd:double"&gt;34.41&lt;/D&gt;&lt;D xsi:type="xsd:double"&gt;35.9&lt;/D&gt;&lt;D xsi:type="xsd:double"&gt;35.2&lt;/D&gt;&lt;D xsi:type="xsd:double"&gt;35.27&lt;/D&gt;&lt;D xsi:type="xsd:double"&gt;34.88&lt;/D&gt;&lt;D xsi:type="xsd:double"&gt;34.25&lt;/D&gt;&lt;D xsi:type="xsd:double"&gt;33.51&lt;/D&gt;&lt;D xsi:type="xsd:double"&gt;33.44&lt;/D&gt;&lt;D xsi:type="xsd:double"&gt;33.53&lt;/D&gt;&lt;D xsi:type="xsd:double"&gt;33.61&lt;/D&gt;&lt;D xsi:type="xsd:double"&gt;33.65&lt;/D&gt;&lt;D xsi:type="xsd:double"&gt;33.9&lt;/D&gt;&lt;D xsi:type="xsd:double"&gt;34.07&lt;/D&gt;&lt;D xsi:type="xsd:double"&gt;34.07&lt;/D&gt;&lt;D xsi:type="xsd:double"&gt;34.07&lt;/D&gt;&lt;D xsi:type="xsd:double"&gt;33.73&lt;/D&gt;&lt;D xsi:type="xsd:double"&gt;32.94&lt;/D&gt;&lt;D xsi:type="xsd:double"&gt;33.04&lt;/D&gt;&lt;D xsi:type="xsd:double"&gt;32.56&lt;/D&gt;&lt;D xsi:type="xsd:double"&gt;33.29&lt;/D&gt;&lt;D xsi:type="xsd:double"&gt;32.87&lt;/D&gt;&lt;D xsi:type="xsd:double"&gt;33.39&lt;/D&gt;&lt;D xsi:type="xsd:double"&gt;34.16&lt;/D&gt;&lt;D xsi:type="xsd:double"&gt;34.13&lt;/D&gt;&lt;D xsi:type="xsd:double"&gt;34.42&lt;/D&gt;&lt;D xsi:type="xsd:double"&gt;34.56&lt;/D&gt;&lt;D xsi:type="xsd:double"&gt;34.44&lt;/D&gt;&lt;D xsi:type="xsd:double"&gt;33.84&lt;/D&gt;&lt;D xsi:type="xsd:double"&gt;33.95&lt;/D&gt;&lt;D xsi:type="xsd:double"&gt;33.51&lt;/D&gt;&lt;D xsi:type="xsd:double"&gt;33.31&lt;/D&gt;&lt;D xsi:type="xsd:double"&gt;33.78&lt;/D&gt;&lt;D xsi:type="xsd:double"&gt;33.71&lt;/D&gt;&lt;D xsi:type="xsd:double"&gt;34.22&lt;/D&gt;&lt;D xsi:type="xsd:double"&gt;34.53&lt;/D&gt;&lt;D xsi:type="xsd:double"&gt;34.85&lt;/D&gt;&lt;D xsi:type="xsd:double"&gt;34.2&lt;/D&gt;&lt;D xsi:type="xsd:double"&gt;33.91&lt;/D&gt;&lt;D xsi:type="xsd:double"&gt;34.17&lt;/D&gt;&lt;D xsi:type="xsd:double"&gt;33.83&lt;/D&gt;&lt;D xsi:type="xsd:double"&gt;33.1&lt;/D&gt;&lt;D xsi:type="xsd:double"&gt;33.49&lt;/D&gt;&lt;D xsi:type="xsd:double"&gt;32.92&lt;/D&gt;&lt;D xsi:type="xsd:double"&gt;32.83&lt;/D&gt;&lt;D xsi:type="xsd:double"&gt;32.9&lt;/D&gt;&lt;D xsi:type="xsd:double"&gt;32.22&lt;/D&gt;&lt;D xsi:type="xsd:double"&gt;32.41&lt;/D&gt;&lt;D xsi:type="xsd:double"&gt;31.78&lt;/D&gt;&lt;D xsi:type="xsd:double"&gt;32.28&lt;/D&gt;&lt;D xsi:type="xsd:double"&gt;32.62&lt;/D&gt;&lt;D xsi:type="xsd:double"&gt;32.58&lt;/D&gt;&lt;D xsi:type="xsd:double"&gt;32.51&lt;/D&gt;&lt;D xsi:type="xsd:double"&gt;32.92&lt;/D&gt;&lt;D xsi:type="xsd:double"&gt;32.81&lt;/D&gt;&lt;D xsi:type="xsd:double"&gt;32.6&lt;/D&gt;&lt;D xsi:type="xsd:double"&gt;32.2&lt;/D&gt;&lt;D xsi:type="xsd:double"&gt;32.11&lt;/D&gt;&lt;D xsi:type="xsd:double"&gt;32.17&lt;/D&gt;&lt;D xsi:type="xsd:double"&gt;31.57&lt;/D&gt;&lt;D xsi:type="xsd:double"&gt;32.09&lt;/D&gt;&lt;D xsi:type="xsd:double"&gt;32.04&lt;/D&gt;&lt;D xsi:type="xsd:double"&gt;32&lt;/D&gt;&lt;D xsi:type="xsd:double"&gt;31.76&lt;/D&gt;&lt;D xsi:type="xsd:double"&gt;32.07&lt;/D&gt;&lt;D xsi:type="xsd:double"&gt;32.32&lt;/D&gt;&lt;D xsi:type="xsd:double"&gt;32.51&lt;/D&gt;&lt;D xsi:type="xsd:double"&gt;32.81&lt;/D&gt;&lt;D xsi:type="xsd:double"&gt;32.28&lt;/D&gt;&lt;D xsi:type="xsd:double"&gt;32.6&lt;/D&gt;&lt;D xsi:type="xsd:double"&gt;31.83&lt;/D&gt;&lt;D xsi:type="xsd:double"&gt;32.38&lt;/D&gt;&lt;D xsi:type="xsd:double"&gt;32.88&lt;/D&gt;&lt;D xsi:type="xsd:double"&gt;32.14&lt;/D&gt;&lt;D xsi:type="xsd:double"&gt;32.13&lt;/D&gt;&lt;D xsi:type="xsd:double"&gt;31.52&lt;/D&gt;&lt;D xsi:type="xsd:double"&gt;31.29&lt;/D&gt;&lt;D xsi:type="xsd:double"&gt;31.7&lt;/D&gt;&lt;D xsi:type="xsd:double"&gt;31.7&lt;/D&gt;&lt;D xsi:type="xsd:double"&gt;32.07&lt;/D&gt;&lt;D xsi:type="xsd:double"&gt;32.34&lt;/D&gt;&lt;D xsi:type="xsd:double"&gt;32.86&lt;/D&gt;&lt;D xsi:type="xsd:double"&gt;32.59&lt;/D&gt;&lt;D xsi:type="xsd:double"&gt;32.7&lt;/D&gt;&lt;D xsi:type="xsd:double"&gt;33.38&lt;/D&gt;&lt;D xsi:type="xsd:double"&gt;33.78&lt;/D&gt;&lt;D xsi:type="xsd:double"&gt;33.79&lt;/D&gt;&lt;D xsi:type="xsd:double"&gt;33.64&lt;/D&gt;&lt;D xsi:type="xsd:double"&gt;33.45&lt;/D&gt;&lt;D xsi:type="xsd:double"&gt;33.27&lt;/D&gt;&lt;D xsi:type="xsd:double"&gt;34.07&lt;/D&gt;&lt;D xsi:type="xsd:double"&gt;33.99&lt;/D&gt;&lt;D xsi:type="xsd:double"&gt;33.44&lt;/D&gt;&lt;D xsi:type="xsd:double"&gt;33.97&lt;/D&gt;&lt;D xsi:type="xsd:double"&gt;33.53&lt;/D&gt;&lt;D xsi:type="xsd:double"&gt;32.84&lt;/D&gt;&lt;D xsi:type="xsd:double"&gt;31.79&lt;/D&gt;&lt;D xsi:type="xsd:double"&gt;31.94&lt;/D&gt;&lt;D xsi:type="xsd:double"&gt;31.7&lt;/D&gt;&lt;D xsi:type="xsd:double"&gt;31.75&lt;/D&gt;&lt;D xsi:type="xsd:double"&gt;32.21&lt;/D&gt;&lt;D xsi:type="xsd:double"&gt;32.25&lt;/D&gt;&lt;D xsi:type="xsd:double"&gt;32.13&lt;/D&gt;&lt;D xsi:type="xsd:double"&gt;33.35&lt;/D&gt;&lt;D xsi:type="xsd:double"&gt;33.29&lt;/D&gt;&lt;D xsi:type="xsd:double"&gt;33.45&lt;/D&gt;&lt;D xsi:type="xsd:double"&gt;32.93&lt;/D&gt;&lt;D xsi:type="xsd:double"&gt;32.9&lt;/D&gt;&lt;D xsi:type="xsd:double"&gt;32.86&lt;/D&gt;&lt;D xsi:type="xsd:double"&gt;32.34&lt;/D&gt;&lt;D xsi:type="xsd:double"&gt;31.97&lt;/D&gt;&lt;D xsi:type="xsd:double"&gt;31.66&lt;/D&gt;&lt;D xsi:type="xsd:double"&gt;32.14&lt;/D&gt;&lt;D xsi:type="xsd:double"&gt;31.95&lt;/D&gt;&lt;D xsi:type="xsd:double"&gt;32.05&lt;/D&gt;&lt;D xsi:type="xsd:double"&gt;32.72&lt;/D&gt;&lt;D xsi:type="xsd:double"&gt;32.62&lt;/D&gt;&lt;D xsi:type="xsd:double"&gt;32.25&lt;/D&gt;&lt;D xsi:type="xsd:double"&gt;32.82&lt;/D&gt;&lt;D xsi:type="xsd:double"&gt;32.82&lt;/D&gt;&lt;D xsi:type="xsd:double"&gt;32.19&lt;/D&gt;&lt;D xsi:type="xsd:double"&gt;32.06&lt;/D&gt;&lt;D xsi:type="xsd:double"&gt;32.26&lt;/D&gt;&lt;D xsi:type="xsd:double"&gt;31.69&lt;/D&gt;&lt;D xsi:type="xsd:double"&gt;31.65&lt;/D&gt;&lt;D xsi:type="xsd:double"&gt;30.57&lt;/D&gt;&lt;D xsi:type="xsd:double"&gt;30.56&lt;/D&gt;&lt;D xsi:type="xsd:double"&gt;29.51&lt;/D&gt;&lt;D xsi:type="xsd:double"&gt;29.72&lt;/D&gt;&lt;D xsi:type="xsd:double"&gt;29.36&lt;/D&gt;&lt;D xsi:type="xsd:double"&gt;29.36&lt;/D&gt;&lt;D xsi:type="xsd:double"&gt;29.39&lt;/D&gt;&lt;D xsi:type="xsd:double"&gt;29.38&lt;/D&gt;&lt;D xsi:type="xsd:double"&gt;29.86&lt;/D&gt;&lt;D xsi:type="xsd:double"&gt;30.63&lt;/D&gt;&lt;D xsi:type="xsd:double"&gt;30.62&lt;/D&gt;&lt;D xsi:type="xsd:double"&gt;30.83&lt;/D&gt;&lt;D xsi:type="xsd:double"&gt;30&lt;/D&gt;&lt;D xsi:type="xsd:double"&gt;29.46&lt;/D&gt;&lt;D xsi:type="xsd:double"&gt;29.75&lt;/D&gt;&lt;D xsi:type="xsd:double"&gt;30.22&lt;/D&gt;&lt;D xsi:type="xsd:double"&gt;29.92&lt;/D&gt;&lt;D xsi:type="xsd:double"&gt;30.49&lt;/D&gt;&lt;D xsi:type="xsd:double"&gt;30.37&lt;/D&gt;&lt;D xsi:type="xsd:double"&gt;30.72&lt;/D&gt;&lt;D xsi:type="xsd:double"&gt;31.25&lt;/D&gt;&lt;D xsi:type="xsd:double"&gt;30.82&lt;/D&gt;&lt;D xsi:type="xsd:double"&gt;29.85&lt;/D&gt;&lt;D xsi:type="xsd:double"&gt;29.85&lt;/D&gt;&lt;D xsi:type="xsd:double"&gt;29.99&lt;/D&gt;&lt;D xsi:type="xsd:double"&gt;30.09&lt;/D&gt;&lt;D xsi:type="xsd:double"&gt;30.77&lt;/D&gt;&lt;D xsi:type="xsd:double"&gt;30.53&lt;/D&gt;&lt;D xsi:type="xsd:double"&gt;30.32&lt;/D&gt;&lt;D xsi:type="xsd:double"&gt;30.49&lt;/D&gt;&lt;D xsi:type="xsd:double"&gt;30.68&lt;/D&gt;&lt;D xsi:type="xsd:double"&gt;30.8&lt;/D&gt;&lt;D xsi:type="xsd:double"&gt;30.5&lt;/D&gt;&lt;D xsi:type="xsd:double"&gt;30.88&lt;/D&gt;&lt;D xsi:type="xsd:double"&gt;29.94&lt;/D&gt;&lt;D xsi:type="xsd:double"&gt;29.66&lt;/D&gt;&lt;D xsi:type="xsd:double"&gt;29.48&lt;/D&gt;&lt;D xsi:type="xsd:double"&gt;29.83&lt;/D&gt;&lt;D xsi:type="xsd:double"&gt;30.09&lt;/D&gt;&lt;D xsi:type="xsd:double"&gt;29.45&lt;/D&gt;&lt;D xsi:type="xsd:double"&gt;29.48&lt;/D&gt;&lt;D xsi:type="xsd:double"&gt;30.3&lt;/D&gt;&lt;D xsi:type="xsd:double"&gt;30.3&lt;/D&gt;&lt;D xsi:type="xsd:double"&gt;30.04&lt;/D&gt;&lt;D xsi:type="xsd:double"&gt;30.19&lt;/D&gt;&lt;D xsi:type="xsd:double"&gt;29.43&lt;/D&gt;&lt;D xsi:type="xsd:double"&gt;29.25&lt;/D&gt;&lt;D xsi:type="xsd:double"&gt;28.63&lt;/D&gt;&lt;D xsi:type="xsd:double"&gt;28.29&lt;/D&gt;&lt;D xsi:type="xsd:double"&gt;28.29&lt;/D&gt;&lt;D xsi:type="xsd:double"&gt;27.74&lt;/D&gt;&lt;D xsi:type="xsd:double"&gt;27.58&lt;/D&gt;&lt;D xsi:type="xsd:double"&gt;27.59&lt;/D&gt;&lt;D xsi:type="xsd:double"&gt;27.25&lt;/D&gt;&lt;D xsi:type="xsd:double"&gt;26.93&lt;/D&gt;&lt;D xsi:type="xsd:double"&gt;27.69&lt;/D&gt;&lt;D xsi:type="xsd:double"&gt;24.7&lt;/D&gt;&lt;D xsi:type="xsd:double"&gt;24.54&lt;/D&gt;&lt;D xsi:type="xsd:double"&gt;25.14&lt;/D&gt;&lt;D xsi:type="xsd:double"&gt;27.51&lt;/D&gt;&lt;D xsi:type="xsd:double"&gt;28.79&lt;/D&gt;&lt;D xsi:type="xsd:double"&gt;28.28&lt;/D&gt;&lt;D xsi:type="xsd:double"&gt;28.01&lt;/D&gt;&lt;D xsi:type="xsd:double"&gt;28.43&lt;/D&gt;&lt;D xsi:type="xsd:double"&gt;28.69&lt;/D&gt;&lt;/FQL&gt;&lt;FQL&gt;&lt;Q&gt;EPHE^FG_PRICE(0,-200D)&lt;/Q&gt;&lt;R&gt;201&lt;/R&gt;&lt;C&gt;1&lt;/C&gt;&lt;D xsi:type="xsd:double"&gt;24.92&lt;/D&gt;&lt;D xsi:type="xsd:double"&gt;24.92&lt;/D&gt;&lt;D xsi:type="xsd:double"&gt;25.06&lt;/D&gt;&lt;D xsi:type="xsd:double"&gt;25.09&lt;/D&gt;&lt;D xsi:type="xsd:double"&gt;25.08&lt;/D&gt;&lt;D xsi:type="xsd:double"&gt;24.94&lt;/D&gt;&lt;D xsi:type="xsd:double"&gt;24.94&lt;/D&gt;&lt;D xsi:type="xsd:double"&gt;24.93&lt;/D&gt;&lt;D xsi:type="xsd:double"&gt;24.96&lt;/D&gt;&lt;D xsi:type="xsd:double"&gt;24.66&lt;/D&gt;&lt;D xsi:type="xsd:double"&gt;25.01&lt;/D&gt;&lt;D xsi:type="xsd:double"&gt;25.1&lt;/D&gt;&lt;D xsi:type="xsd:double"&gt;25.19&lt;/D&gt;&lt;D xsi:type="xsd:double"&gt;24.95&lt;/D&gt;&lt;D xsi:type="xsd:double"&gt;24.9&lt;/D&gt;&lt;D xsi:type="xsd:double"&gt;25.02&lt;/D&gt;&lt;D xsi:type="xsd:double"&gt;24.73&lt;/D&gt;&lt;D xsi:type="xsd:double"&gt;24.67&lt;/D&gt;&lt;D xsi:type="xsd:double"&gt;24.58&lt;/D&gt;&lt;D xsi:type="xsd:double"&gt;24.73&lt;/D&gt;&lt;D xsi:type="xsd:double"&gt;24.2&lt;/D&gt;&lt;D xsi:type="xsd:double"&gt;24.68&lt;/D&gt;&lt;D xsi:type="xsd:double"&gt;25.06&lt;/D&gt;&lt;D xsi:type="xsd:double"&gt;25.24&lt;/D&gt;&lt;D xsi:type="xsd:double"&gt;25.21&lt;/D&gt;&lt;D xsi:type="xsd:double"&gt;25.02&lt;/D&gt;&lt;D xsi:type="xsd:double"&gt;25.02&lt;/D&gt;&lt;D xsi:type="xsd:double"&gt;25&lt;/D&gt;&lt;D xsi:type="xsd:double"&gt;24.97&lt;/D&gt;&lt;D xsi:type="xsd:double"&gt;25.06&lt;/D&gt;&lt;D xsi:type="xsd:double"&gt;24.37&lt;/D&gt;&lt;D xsi:type="xsd:double"&gt;24.23&lt;/D&gt;&lt;D xsi:type="xsd:double"&gt;24.02&lt;/D&gt;&lt;D xsi:type="xsd:double"&gt;23.95&lt;/D&gt;&lt;D xsi:type="xsd:double"&gt;23.28&lt;/D&gt;&lt;D xsi:type="xsd:double"&gt;23.69&lt;/D&gt;&lt;D xsi:type="xsd:double"&gt;23.6&lt;/D&gt;&lt;D xsi:type="xsd:double"&gt;23.41&lt;/D&gt;&lt;D xsi:type="xsd:double"&gt;23.7&lt;/D&gt;&lt;D xsi:type="xsd:double"&gt;23.79&lt;/D&gt;&lt;D xsi:type="xsd:double"&gt;24.11&lt;/D&gt;&lt;D xsi:type="xsd:double"&gt;24.19&lt;/D&gt;&lt;D xsi:type="xsd:double"&gt;24.38&lt;/D&gt;&lt;D xsi:type="xsd:double"&gt;24.15&lt;/D&gt;&lt;D xsi:type="xsd:double"&gt;24.55&lt;/D&gt;&lt;D xsi:type="xsd:double"&gt;24.4&lt;/D&gt;&lt;D xsi:type="xsd:double"&gt;24.74&lt;/D&gt;&lt;D xsi:type="xsd:double"&gt;24.44&lt;/D&gt;&lt;D xsi:type="xsd:double"&gt;24.4&lt;/D&gt;&lt;D xsi:type="xsd:double"&gt;24.7&lt;/D&gt;&lt;D xsi:type="xsd:double"&gt;24.99&lt;/D&gt;&lt;D xsi:type="xsd:double"&gt;24.82&lt;/D&gt;&lt;D xsi:type="xsd:double"&gt;25.11&lt;/D&gt;&lt;D xsi:type="xsd:double"&gt;25.33&lt;/D&gt;&lt;D xsi:type="xsd:double"&gt;25.41&lt;/D&gt;&lt;D xsi:type="xsd:double"&gt;25.42&lt;/D&gt;&lt;D xsi:type="xsd:double"&gt;25.44&lt;/D&gt;&lt;D xsi:type="xsd:double"&gt;25.45&lt;/D&gt;&lt;D xsi:type="xsd:double"&gt;25.3&lt;/D&gt;&lt;D xsi:type="xsd:double"&gt;24.87&lt;/D&gt;&lt;D xsi:type="xsd:double"&gt;25.2&lt;/D&gt;&lt;D xsi:type="xsd:double"&gt;25.67&lt;/D&gt;&lt;D xsi:type="xsd:double"&gt;25.36&lt;/D&gt;&lt;D xsi:type="xsd:double"&gt;25.1&lt;/D&gt;&lt;D xsi:type="xsd:double"&gt;25.59&lt;/D&gt;&lt;D xsi:type="xsd:double"&gt;25.22&lt;/D&gt;&lt;D xsi:type="xsd:double"&gt;25.2&lt;/D&gt;&lt;D xsi:type="xsd:double"&gt;24.84&lt;/D&gt;&lt;D xsi:type="xsd:double"&gt;25.04&lt;/D&gt;&lt;D xsi:type="xsd:double"&gt;25.12&lt;/D&gt;&lt;D xsi:type="xsd:double"&gt;25.09&lt;/D&gt;&lt;D xsi:type="xsd:double"&gt;25.69&lt;/D&gt;&lt;D xsi:type="xsd:double"&gt;26.16&lt;/D&gt;&lt;D xsi:type="xsd:double"&gt;26.6&lt;/D&gt;&lt;D xsi:type="xsd:double"&gt;26.8&lt;/D&gt;&lt;D xsi:type="xsd:double"&gt;26.46&lt;/D&gt;&lt;D xsi:type="xsd:double"&gt;26.55&lt;/D&gt;&lt;D xsi:type="xsd:double"&gt;26.22&lt;/D&gt;&lt;D xsi:type="xsd:double"&gt;25.71&lt;/D&gt;&lt;D xsi:type="xsd:double"&gt;25.8&lt;/D&gt;&lt;D xsi:type="xsd:double"&gt;26&lt;/D&gt;&lt;D xsi:type="xsd:double"&gt;25.92&lt;/D&gt;&lt;D xsi:type="xsd:double"&gt;26.09&lt;/D&gt;&lt;D xsi:type="xsd:double"&gt;26.09&lt;/D&gt;&lt;D xsi:type="xsd:double"&gt;26.06&lt;/D&gt;&lt;D xsi:type="xsd:double"&gt;25.78&lt;/D&gt;&lt;D xsi:type="xsd:double"&gt;25.58&lt;/D&gt;&lt;D xsi:type="xsd:double"&gt;25.68&lt;/D&gt;&lt;D xsi:type="xsd:double"&gt;26.15&lt;/D&gt;&lt;D xsi:type="xsd:double"&gt;26.15&lt;/D&gt;&lt;D xsi:type="xsd:double"&gt;26.39&lt;/D&gt;&lt;D xsi:type="xsd:double"&gt;26.56&lt;/D&gt;&lt;D xsi:type="xsd:double"&gt;26.12&lt;/D&gt;&lt;D xsi:type="xsd:double"&gt;26.69&lt;/D&gt;&lt;D xsi:type="xsd:double"&gt;26.63&lt;/D&gt;&lt;D xsi:type="xsd:double"&gt;26.15&lt;/D&gt;&lt;D xsi:type="xsd:double"&gt;26.35&lt;/D&gt;&lt;D xsi:type="xsd:double"&gt;26.25&lt;/D&gt;&lt;D xsi:type="xsd:double"&gt;26.34&lt;/D&gt;&lt;D xsi:type="xsd:double"&gt;26.39&lt;/D&gt;&lt;D xsi:type="xsd:double"&gt;26.28&lt;/D&gt;&lt;D xsi:type="xsd:double"&gt;26.72&lt;/D&gt;&lt;D xsi:type="xsd:double"&gt;26.55&lt;/D&gt;&lt;D xsi:type="xsd:double"&gt;26.19&lt;/D&gt;&lt;D xsi:type="xsd:double"&gt;26.63&lt;/D&gt;&lt;D xsi:type="xsd:double"&gt;26.49&lt;/D&gt;&lt;D xsi:type="xsd:double"&gt;26.41&lt;/D&gt;&lt;D xsi:type="xsd:double"&gt;26.16&lt;/D&gt;&lt;D xsi:type="xsd:double"&gt;26.35&lt;/D&gt;&lt;D xsi:type="xsd:double"&gt;25.78&lt;/D&gt;&lt;D xsi:type="xsd:double"&gt;25.42&lt;/D&gt;&lt;D xsi:type="xsd:double"&gt;26.175&lt;/D&gt;&lt;D xsi:type="xsd:double"&gt;26.37&lt;/D&gt;&lt;D xsi:type="xsd:double"&gt;26.55&lt;/D&gt;&lt;D xsi:type="xsd:double"&gt;26.7522&lt;/D&gt;&lt;D xsi:type="xsd:double"&gt;27&lt;/D&gt;&lt;D xsi:type="xsd:double"&gt;27.09&lt;/D&gt;&lt;D xsi:type="xsd:double"&gt;26.52&lt;/D&gt;&lt;D xsi:type="xsd:double"&gt;26.34&lt;/D&gt;&lt;D xsi:type="xsd:double"&gt;26.11&lt;/D&gt;&lt;D xsi:type="xsd:double"&gt;26.08&lt;/D&gt;&lt;D xsi:type="xsd:double"&gt;26.35&lt;/D&gt;&lt;D xsi:type="xsd:double"&gt;26.96&lt;/D&gt;&lt;D xsi:type="xsd:double"&gt;27.36&lt;/D&gt;&lt;D xsi:type="xsd:double"&gt;27.13&lt;/D&gt;&lt;D xsi:type="xsd:double"&gt;27.19&lt;/D&gt;&lt;D xsi:type="xsd:double"&gt;27.15&lt;/D&gt;&lt;D xsi:type="xsd:double"&gt;26.78&lt;/D&gt;&lt;D xsi:type="xsd:double"&gt;26.72&lt;/D&gt;&lt;D xsi:type="xsd:double"&gt;27.08&lt;/D&gt;&lt;D xsi:type="xsd:double"&gt;27.08&lt;/D&gt;&lt;D xsi:type="xsd:double"&gt;27&lt;/D&gt;&lt;D xsi:type="xsd:double"&gt;27.14&lt;/D&gt;&lt;D xsi:type="xsd:double"&gt;27.12&lt;/D&gt;&lt;D xsi:type="xsd:double"&gt;27.23&lt;/D&gt;&lt;D xsi:type="xsd:double"&gt;26.85&lt;/D&gt;&lt;D xsi:type="xsd:double"&gt;26.81&lt;/D&gt;&lt;D xsi:type="xsd:double"&gt;26.61&lt;/D&gt;&lt;D xsi:type="xsd:double"&gt;25.96&lt;/D&gt;&lt;D xsi:type="xsd:double"&gt;26.5&lt;/D&gt;&lt;D xsi:type="xsd:double"&gt;26.7&lt;/D&gt;&lt;D xsi:type="xsd:double"&gt;26.7&lt;/D&gt;&lt;D xsi:type="xsd:double"&gt;26.98&lt;/D&gt;&lt;D xsi:type="xsd:double"&gt;27.35&lt;/D&gt;&lt;D xsi:type="xsd:double"&gt;27.66&lt;/D&gt;&lt;D xsi:type="xsd:double"&gt;28.08&lt;/D&gt;&lt;D xsi:type="xsd:double"&gt;27.93&lt;/D&gt;&lt;D xsi:type="xsd:double"&gt;27.82&lt;/D&gt;&lt;D xsi:type="xsd:double"&gt;28.12&lt;/D&gt;&lt;D xsi:type="xsd:double"&gt;27.95&lt;/D&gt;&lt;D xsi:type="xsd:double"&gt;27.96&lt;/D&gt;&lt;D xsi:type="xsd:double"&gt;27.66&lt;/D&gt;&lt;D xsi:type="xsd:double"&gt;27.78&lt;/D&gt;&lt;D xsi:type="xsd:double"&gt;27.6&lt;/D&gt;&lt;D xsi:type="xsd:double"&gt;27.24&lt;/D&gt;&lt;D xsi:type="xsd:double"&gt;27.84&lt;/D&gt;&lt;D xsi:type="xsd:double"&gt;27.93&lt;/D&gt;&lt;D xsi:type="xsd:double"&gt;27.78&lt;/D&gt;&lt;D xsi:type="xsd:double"&gt;27.81&lt;/D&gt;&lt;D xsi:type="xsd:double"&gt;27.81&lt;/D&gt;&lt;D xsi:type="xsd:double"&gt;27.27&lt;/D&gt;&lt;D xsi:type="xsd:double"&gt;27.46&lt;/D&gt;&lt;D xsi:type="xsd:double"&gt;27.36&lt;/D&gt;&lt;D xsi:type="xsd:double"&gt;27.9&lt;/D&gt;&lt;D xsi:type="xsd:double"&gt;27.69&lt;/D&gt;&lt;D xsi:type="xsd:double"&gt;27.62&lt;/D&gt;&lt;D xsi:type="xsd:double"&gt;28.01&lt;/D&gt;&lt;D xsi:type="xsd:double"&gt;28.06&lt;/D&gt;&lt;D xsi:type="xsd:double"&gt;27.75&lt;/D&gt;&lt;D xsi:type="xsd:double"&gt;27.62&lt;/D&gt;&lt;D xsi:type="xsd:double"&gt;27.16&lt;/D&gt;&lt;D xsi:type="xsd:double"&gt;27.56&lt;/D&gt;&lt;D xsi:type="xsd:double"&gt;27.35&lt;/D&gt;&lt;D xsi:type="xsd:double"&gt;27.03&lt;/D&gt;&lt;D xsi:type="xsd:double"&gt;27.27&lt;/D&gt;&lt;D xsi:type="xsd:double"&gt;26.86&lt;/D&gt;&lt;D xsi:type="xsd:double"&gt;26.89&lt;/D&gt;&lt;D xsi:type="xsd:double"&gt;26.41&lt;/D&gt;&lt;D xsi:type="xsd:double"&gt;26.18&lt;/D&gt;&lt;D xsi:type="xsd:double"&gt;26.26&lt;/D&gt;&lt;D xsi:type="xsd:double"&gt;25.96&lt;/D&gt;&lt;D xsi:type="xsd:double"&gt;25.59&lt;/D&gt;&lt;D xsi:type="xsd:double"&gt;25.55&lt;/D&gt;&lt;D xsi:type="xsd:double"&gt;25.17&lt;/D&gt;&lt;D xsi:type="xsd:double"&gt;25.3019&lt;/D&gt;&lt;D xsi:type="xsd:double"&gt;25.3019&lt;/D&gt;&lt;D xsi:type="xsd:double"&gt;25.25&lt;/D&gt;&lt;D xsi:type="xsd:double"&gt;25.4141&lt;/D&gt;&lt;D xsi:type="xsd:double"&gt;25.19&lt;/D&gt;&lt;D xsi:type="xsd:double"&gt;24.96&lt;/D&gt;&lt;D xsi:type="xsd:double"&gt;24.18&lt;/D&gt;&lt;D xsi:type="xsd:double"&gt;25.16&lt;/D&gt;&lt;D xsi:type="xsd:double"&gt;24.13&lt;/D&gt;&lt;D xsi:type="xsd:double"&gt;24.14&lt;/D&gt;&lt;D xsi:type="xsd:double"&gt;23.83&lt;/D&gt;&lt;D xsi:type="xsd:double"&gt;25.04&lt;/D&gt;&lt;D xsi:type="xsd:double"&gt;25.56&lt;/D&gt;&lt;D xsi:type="xsd:double"&gt;25.26&lt;/D&gt;&lt;D xsi:type="xsd:double"&gt;25.3&lt;/D&gt;&lt;D xsi:type="xsd:double"&gt;24.98&lt;/D&gt;&lt;D xsi:type="xsd:double"&gt;25.1&lt;/D&gt;&lt;/FQL&gt;&lt;FQL&gt;&lt;Q&gt;EIDO^FG_PRICE(0,-200D)&lt;/Q&gt;&lt;R&gt;201&lt;/R&gt;&lt;C&gt;1&lt;/C&gt;&lt;D xsi:type="xsd:double"&gt;18.7&lt;/D&gt;&lt;D xsi:type="xsd:double"&gt;18.7&lt;/D&gt;&lt;D xsi:type="xsd:double"&gt;18.67&lt;/D&gt;&lt;D xsi:type="xsd:double"&gt;18.67&lt;/D&gt;&lt;D xsi:type="xsd:double"&gt;18.47&lt;/D&gt;&lt;D xsi:type="xsd:double"&gt;18.45&lt;/D&gt;&lt;D xsi:type="xsd:double"&gt;18.45&lt;/D&gt;&lt;D xsi:type="xsd:double"&gt;18.56&lt;/D&gt;&lt;D xsi:type="xsd:double"&gt;18.68&lt;/D&gt;&lt;D xsi:type="xsd:double"&gt;18.58&lt;/D&gt;&lt;D xsi:type="xsd:double"&gt;18.63&lt;/D&gt;&lt;D xsi:type="xsd:double"&gt;18.6&lt;/D&gt;&lt;D xsi:type="xsd:double"&gt;18.67&lt;/D&gt;&lt;D xsi:type="xsd:double"&gt;18.86&lt;/D&gt;&lt;D xsi:type="xsd:double"&gt;18.76&lt;/D&gt;&lt;D xsi:type="xsd:double"&gt;18.68&lt;/D&gt;&lt;D xsi:type="xsd:double"&gt;18.86&lt;/D&gt;&lt;D xsi:type="xsd:double"&gt;18.68&lt;/D&gt;&lt;D xsi:type="xsd:double"&gt;18.87&lt;/D&gt;&lt;D xsi:type="xsd:double"&gt;18.82&lt;/D&gt;&lt;D xsi:type="xsd:double"&gt;18.79&lt;/D&gt;&lt;D xsi:type="xsd:double"&gt;18.83&lt;/D&gt;&lt;D xsi:type="xsd:double"&gt;18.92&lt;/D&gt;&lt;D xsi:type="xsd:double"&gt;18.79&lt;/D&gt;&lt;D xsi:type="xsd:double"&gt;18.67&lt;/D&gt;&lt;D xsi:type="xsd:double"&gt;18.87&lt;/D&gt;&lt;D xsi:type="xsd:double"&gt;18.87&lt;/D&gt;&lt;D xsi:type="xsd:double"&gt;18.73&lt;/D&gt;&lt;D xsi:type="xsd:double"&gt;18.78&lt;/D&gt;&lt;D xsi:type="xsd:double"&gt;18.37&lt;/D&gt;&lt;D xsi:type="xsd:double"&gt;18.33&lt;/D&gt;&lt;D xsi:type="xsd:double"&gt;18.48&lt;/D&gt;&lt;D xsi:type="xsd:double"&gt;18.26&lt;/D&gt;&lt;D xsi:type="xsd:double"&gt;18.38&lt;/D&gt;&lt;D xsi:type="xsd:double"&gt;18.38&lt;/D&gt;&lt;D xsi:type="xsd:double"&gt;18.28&lt;/D&gt;&lt;D xsi:type="xsd:double"&gt;18.44&lt;/D&gt;&lt;D xsi:type="xsd:double"&gt;18.45&lt;/D&gt;&lt;D xsi:type="xsd:double"&gt;18.55&lt;/D&gt;&lt;D xsi:type="xsd:double"&gt;18.53&lt;/D&gt;&lt;D xsi:type="xsd:double"&gt;18.44&lt;/D&gt;&lt;D xsi:type="xsd:double"&gt;18.54&lt;/D&gt;&lt;D xsi:type="xsd:double"&gt;18.36&lt;/D&gt;&lt;D xsi:type="xsd:double"&gt;18.45&lt;/D&gt;&lt;D xsi:type="xsd:double"&gt;18.28&lt;/D&gt;&lt;D xsi:type="xsd:double"&gt;18.27&lt;/D&gt;&lt;D xsi:type="xsd:double"&gt;18.32&lt;/D&gt;&lt;D xsi:type="xsd:double"&gt;18.05&lt;/D&gt;&lt;D xsi:type="xsd:double"&gt;18.09&lt;/D&gt;&lt;D xsi:type="xsd:double"&gt;18.3&lt;/D&gt;&lt;D xsi:type="xsd:double"&gt;18.3&lt;/D&gt;&lt;D xsi:type="xsd:double"&gt;17.89&lt;/D&gt;&lt;D xsi:type="xsd:double"&gt;18.17&lt;/D&gt;&lt;D xsi:type="xsd:double"&gt;17.82&lt;/D&gt;&lt;D xsi:type="xsd:double"&gt;17.3&lt;/D&gt;&lt;D xsi:type="xsd:double"&gt;17.36&lt;/D&gt;&lt;D xsi:type="xsd:double"&gt;17.21&lt;/D&gt;&lt;D xsi:type="xsd:double"&gt;17.22&lt;/D&gt;&lt;D xsi:type="xsd:double"&gt;17.57&lt;/D&gt;&lt;D xsi:type="xsd:double"&gt;17.31&lt;/D&gt;&lt;D xsi:type="xsd:double"&gt;17.65&lt;/D&gt;&lt;D xsi:type="xsd:double"&gt;17.45&lt;/D&gt;&lt;D xsi:type="xsd:double"&gt;17.43&lt;/D&gt;&lt;D xsi:type="xsd:double"&gt;17.42&lt;/D&gt;&lt;D xsi:type="xsd:double"&gt;17.43&lt;/D&gt;&lt;D xsi:type="xsd:double"&gt;17.44&lt;/D&gt;&lt;D xsi:type="xsd:double"&gt;17.46&lt;/D&gt;&lt;D xsi:type="xsd:double"&gt;17.55&lt;/D&gt;&lt;D xsi:type="xsd:double"&gt;17.69&lt;/D&gt;&lt;D xsi:type="xsd:double"&gt;17.6&lt;/D&gt;&lt;D xsi:type="xsd:double"&gt;17.41&lt;/D&gt;&lt;D xsi:type="xsd:double"&gt;17.68&lt;/D&gt;&lt;D xsi:type="xsd:double"&gt;17.76&lt;/D&gt;&lt;D xsi:type="xsd:double"&gt;17.73&lt;/D&gt;&lt;D xsi:type="xsd:double"&gt;17.79&lt;/D&gt;&lt;D xsi:type="xsd:double"&gt;17.72&lt;/D&gt;&lt;D xsi:type="xsd:double"&gt;17.98&lt;/D&gt;&lt;D xsi:type="xsd:double"&gt;17.85&lt;/D&gt;&lt;D xsi:type="xsd:double"&gt;17.96&lt;/D&gt;&lt;D xsi:type="xsd:double"&gt;17.83&lt;/D&gt;&lt;D xsi:type="xsd:double"&gt;17.64&lt;/D&gt;&lt;D xsi:type="xsd:double"&gt;17.33&lt;/D&gt;&lt;D xsi:type="xsd:double"&gt;17.06&lt;/D&gt;&lt;D xsi:type="xsd:double"&gt;17.5&lt;/D&gt;&lt;D xsi:type="xsd:double"&gt;17.93&lt;/D&gt;&lt;D xsi:type="xsd:double"&gt;17.77&lt;/D&gt;&lt;D xsi:type="xsd:double"&gt;17.81&lt;/D&gt;&lt;D xsi:type="xsd:double"&gt;17.74&lt;/D&gt;&lt;D xsi:type="xsd:double"&gt;17.67&lt;/D&gt;&lt;D xsi:type="xsd:double"&gt;17.67&lt;/D&gt;&lt;D xsi:type="xsd:double"&gt;18.19&lt;/D&gt;&lt;D xsi:type="xsd:double"&gt;18.16&lt;/D&gt;&lt;D xsi:type="xsd:double"&gt;18.38&lt;/D&gt;&lt;D xsi:type="xsd:double"&gt;18.61&lt;/D&gt;&lt;D xsi:type="xsd:double"&gt;18.65&lt;/D&gt;&lt;D xsi:type="xsd:double"&gt;18.44&lt;/D&gt;&lt;D xsi:type="xsd:double"&gt;18.6&lt;/D&gt;&lt;D xsi:type="xsd:double"&gt;18.31&lt;/D&gt;&lt;D xsi:type="xsd:double"&gt;18.43&lt;/D&gt;&lt;D xsi:type="xsd:double"&gt;18.5&lt;/D&gt;&lt;D xsi:type="xsd:double"&gt;18.63&lt;/D&gt;&lt;D xsi:type="xsd:double"&gt;18.83&lt;/D&gt;&lt;D xsi:type="xsd:double"&gt;18.61&lt;/D&gt;&lt;D xsi:type="xsd:double"&gt;17.98&lt;/D&gt;&lt;D xsi:type="xsd:double"&gt;17.83&lt;/D&gt;&lt;D xsi:type="xsd:double"&gt;17.72&lt;/D&gt;&lt;D xsi:type="xsd:double"&gt;17.66&lt;/D&gt;&lt;D xsi:type="xsd:double"&gt;17.62&lt;/D&gt;&lt;D xsi:type="xsd:double"&gt;17.59&lt;/D&gt;&lt;D xsi:type="xsd:double"&gt;17.61&lt;/D&gt;&lt;D xsi:type="xsd:double"&gt;17.27&lt;/D&gt;&lt;D xsi:type="xsd:double"&gt;17.58&lt;/D&gt;&lt;D xsi:type="xsd:double"&gt;17.8&lt;/D&gt;&lt;D xsi:type="xsd:double"&gt;17.75&lt;/D&gt;&lt;D xsi:type="xsd:double"&gt;17.6&lt;/D&gt;&lt;D xsi:type="xsd:double"&gt;17.81&lt;/D&gt;&lt;D xsi:type="xsd:double"&gt;17.81&lt;/D&gt;&lt;D xsi:type="xsd:double"&gt;17.56&lt;/D&gt;&lt;D xsi:type="xsd:double"&gt;17.73&lt;/D&gt;&lt;D xsi:type="xsd:double"&gt;17.69&lt;/D&gt;&lt;D xsi:type="xsd:double"&gt;17.76&lt;/D&gt;&lt;D xsi:type="xsd:double"&gt;17.7&lt;/D&gt;&lt;D xsi:type="xsd:double"&gt;17.72&lt;/D&gt;&lt;D xsi:type="xsd:double"&gt;17.63&lt;/D&gt;&lt;D xsi:type="xsd:double"&gt;17.87&lt;/D&gt;&lt;D xsi:type="xsd:double"&gt;17.76&lt;/D&gt;&lt;D xsi:type="xsd:double"&gt;17.47&lt;/D&gt;&lt;D xsi:type="xsd:double"&gt;17.31&lt;/D&gt;&lt;D xsi:type="xsd:double"&gt;17.34&lt;/D&gt;&lt;D xsi:type="xsd:double"&gt;17.47&lt;/D&gt;&lt;D xsi:type="xsd:double"&gt;17.47&lt;/D&gt;&lt;D xsi:type="xsd:double"&gt;17.48&lt;/D&gt;&lt;D xsi:type="xsd:double"&gt;17.49&lt;/D&gt;&lt;D xsi:type="xsd:double"&gt;17.63&lt;/D&gt;&lt;D xsi:type="xsd:double"&gt;17.49&lt;/D&gt;&lt;D xsi:type="xsd:double"&gt;17.51&lt;/D&gt;&lt;D xsi:type="xsd:double"&gt;17.18&lt;/D&gt;&lt;D xsi:type="xsd:double"&gt;17.38&lt;/D&gt;&lt;D xsi:type="xsd:double"&gt;16.89&lt;/D&gt;&lt;D xsi:type="xsd:double"&gt;17.18&lt;/D&gt;&lt;D xsi:type="xsd:double"&gt;17.87&lt;/D&gt;&lt;D xsi:type="xsd:double"&gt;17.87&lt;/D&gt;&lt;D xsi:type="xsd:double"&gt;18.02&lt;/D&gt;&lt;D xsi:type="xsd:double"&gt;18.01&lt;/D&gt;&lt;D xsi:type="xsd:double"&gt;18.62&lt;/D&gt;&lt;D xsi:type="xsd:double"&gt;18.9&lt;/D&gt;&lt;D xsi:type="xsd:double"&gt;18.91&lt;/D&gt;&lt;D xsi:type="xsd:double"&gt;18.84&lt;/D&gt;&lt;D xsi:type="xsd:double"&gt;18.59&lt;/D&gt;&lt;D xsi:type="xsd:double"&gt;18.51&lt;/D&gt;&lt;D xsi:type="xsd:double"&gt;18.56&lt;/D&gt;&lt;D xsi:type="xsd:double"&gt;18.45&lt;/D&gt;&lt;D xsi:type="xsd:double"&gt;18.42&lt;/D&gt;&lt;D xsi:type="xsd:double"&gt;18.56&lt;/D&gt;&lt;D xsi:type="xsd:double"&gt;18.88&lt;/D&gt;&lt;D xsi:type="xsd:double"&gt;18.95&lt;/D&gt;&lt;D xsi:type="xsd:double"&gt;18.91&lt;/D&gt;&lt;D xsi:type="xsd:double"&gt;19.04&lt;/D&gt;&lt;D xsi:type="xsd:double"&gt;19.16&lt;/D&gt;&lt;D xsi:type="xsd:double"&gt;19.16&lt;/D&gt;&lt;D xsi:type="xsd:double"&gt;18.91&lt;/D&gt;&lt;D xsi:type="xsd:double"&gt;18.79&lt;/D&gt;&lt;D xsi:type="xsd:double"&gt;18.53&lt;/D&gt;&lt;D xsi:type="xsd:double"&gt;18.74&lt;/D&gt;&lt;D xsi:type="xsd:double"&gt;18.39&lt;/D&gt;&lt;D xsi:type="xsd:double"&gt;18.27&lt;/D&gt;&lt;D xsi:type="xsd:double"&gt;17.97&lt;/D&gt;&lt;D xsi:type="xsd:double"&gt;17.54&lt;/D&gt;&lt;D xsi:type="xsd:double"&gt;17.4&lt;/D&gt;&lt;D xsi:type="xsd:double"&gt;17.41&lt;/D&gt;&lt;D xsi:type="xsd:double"&gt;17.45&lt;/D&gt;&lt;D xsi:type="xsd:double"&gt;17.71&lt;/D&gt;&lt;D xsi:type="xsd:double"&gt;17.74&lt;/D&gt;&lt;D xsi:type="xsd:double"&gt;17.65&lt;/D&gt;&lt;D xsi:type="xsd:double"&gt;17.63&lt;/D&gt;&lt;D xsi:type="xsd:double"&gt;17.3&lt;/D&gt;&lt;D xsi:type="xsd:double"&gt;17.31&lt;/D&gt;&lt;D xsi:type="xsd:double"&gt;17.1&lt;/D&gt;&lt;D xsi:type="xsd:double"&gt;16.93&lt;/D&gt;&lt;D xsi:type="xsd:double"&gt;16.77&lt;/D&gt;&lt;D xsi:type="xsd:double"&gt;16.76&lt;/D&gt;&lt;D xsi:type="xsd:double"&gt;16.61&lt;/D&gt;&lt;D xsi:type="xsd:double"&gt;16.36&lt;/D&gt;&lt;D xsi:type="xsd:double"&gt;16.03&lt;/D&gt;&lt;D xsi:type="xsd:double"&gt;16.13&lt;/D&gt;&lt;D xsi:type="xsd:double"&gt;16.13&lt;/D&gt;&lt;D xsi:type="xsd:double"&gt;15.93&lt;/D&gt;&lt;D xsi:type="xsd:double"&gt;16.14&lt;/D&gt;&lt;D xsi:type="xsd:double"&gt;16.09&lt;/D&gt;&lt;D xsi:type="xsd:double"&gt;15.87&lt;/D&gt;&lt;D xsi:type="xsd:double"&gt;15.45&lt;/D&gt;&lt;D xsi:type="xsd:double"&gt;15.56&lt;/D&gt;&lt;D xsi:type="xsd:double"&gt;14.36&lt;/D&gt;&lt;D xsi:type="xsd:double"&gt;15.15&lt;/D&gt;&lt;D xsi:type="xsd:double"&gt;15.09&lt;/D&gt;&lt;D xsi:type="xsd:double"&gt;15.88&lt;/D&gt;&lt;D xsi:type="xsd:double"&gt;16.33&lt;/D&gt;&lt;D xsi:type="xsd:double"&gt;16.25&lt;/D&gt;&lt;D xsi:type="xsd:double"&gt;16.3&lt;/D&gt;&lt;D xsi:type="xsd:double"&gt;16.37&lt;/D&gt;&lt;D xsi:type="xsd:double"&gt;16.42&lt;/D&gt;&lt;/FQL&gt;&lt;FQL&gt;&lt;Q&gt;ECH^FG_PRICE(0,-200D)&lt;/Q&gt;&lt;R&gt;201&lt;/R&gt;&lt;C&gt;1&lt;/C&gt;&lt;D xsi:type="xsd:double"&gt;40.4&lt;/D&gt;&lt;D xsi:type="xsd:double"&gt;40.4&lt;/D&gt;&lt;D xsi:type="xsd:double"&gt;40.54&lt;/D&gt;&lt;D xsi:type="xsd:double"&gt;40.15&lt;/D&gt;&lt;D xsi:type="xsd:double"&gt;40.29&lt;/D&gt;&lt;D xsi:type="xsd:double"&gt;40.03&lt;/D&gt;&lt;D xsi:type="xsd:double"&gt;40.03&lt;/D&gt;&lt;D xsi:type="xsd:double"&gt;39.92&lt;/D&gt;&lt;D xsi:type="xsd:double"&gt;39.79&lt;/D&gt;&lt;D xsi:type="xsd:double"&gt;39.31&lt;/D&gt;&lt;D xsi:type="xsd:double"&gt;38.69&lt;/D&gt;&lt;D xsi:type="xsd:double"&gt;38.28&lt;/D&gt;&lt;D xsi:type="xsd:double"&gt;38.84&lt;/D&gt;&lt;D xsi:type="xsd:double"&gt;38.995&lt;/D&gt;&lt;D xsi:type="xsd:double"&gt;39.78&lt;/D&gt;&lt;D xsi:type="xsd:double"&gt;39.28&lt;/D&gt;&lt;D xsi:type="xsd:double"&gt;38.75&lt;/D&gt;&lt;D xsi:type="xsd:double"&gt;38.34&lt;/D&gt;&lt;D xsi:type="xsd:double"&gt;38.24&lt;/D&gt;&lt;D xsi:type="xsd:double"&gt;38.18&lt;/D&gt;&lt;D xsi:type="xsd:double"&gt;38.51&lt;/D&gt;&lt;D xsi:type="xsd:double"&gt;38.62&lt;/D&gt;&lt;D xsi:type="xsd:double"&gt;38.29&lt;/D&gt;&lt;D xsi:type="xsd:double"&gt;37.69&lt;/D&gt;&lt;D xsi:type="xsd:double"&gt;37.86&lt;/D&gt;&lt;D xsi:type="xsd:double"&gt;37.61&lt;/D&gt;&lt;D xsi:type="xsd:double"&gt;37.61&lt;/D&gt;&lt;D xsi:type="xsd:double"&gt;37.27&lt;/D&gt;&lt;D xsi:type="xsd:double"&gt;36.61&lt;/D&gt;&lt;D xsi:type="xsd:double"&gt;36.34&lt;/D&gt;&lt;D xsi:type="xsd:double"&gt;36.59&lt;/D&gt;&lt;D xsi:type="xsd:double"&gt;37.11&lt;/D&gt;&lt;D xsi:type="xsd:double"&gt;36.83&lt;/D&gt;&lt;D xsi:type="xsd:double"&gt;37.31&lt;/D&gt;&lt;D xsi:type="xsd:double"&gt;36.37&lt;/D&gt;&lt;D xsi:type="xsd:double"&gt;36.71&lt;/D&gt;&lt;D xsi:type="xsd:double"&gt;37.26&lt;/D&gt;&lt;D xsi:type="xsd:double"&gt;36.5&lt;/D&gt;&lt;D xsi:type="xsd:double"&gt;36.3&lt;/D&gt;&lt;D xsi:type="xsd:double"&gt;35.8&lt;/D&gt;&lt;D xsi:type="xsd:double"&gt;35.25&lt;/D&gt;&lt;D xsi:type="xsd:double"&gt;35.3&lt;/D&gt;&lt;D xsi:type="xsd:double"&gt;34.5&lt;/D&gt;&lt;D xsi:type="xsd:double"&gt;35.93&lt;/D&gt;&lt;D xsi:type="xsd:double"&gt;35.32&lt;/D&gt;&lt;D xsi:type="xsd:double"&gt;35.34&lt;/D&gt;&lt;D xsi:type="xsd:double"&gt;34.97&lt;/D&gt;&lt;D xsi:type="xsd:double"&gt;34.63&lt;/D&gt;&lt;D xsi:type="xsd:double"&gt;34.59&lt;/D&gt;&lt;D xsi:type="xsd:double"&gt;34.37&lt;/D&gt;&lt;D xsi:type="xsd:double"&gt;34.2&lt;/D&gt;&lt;D xsi:type="xsd:double"&gt;33.47&lt;/D&gt;&lt;D xsi:type="xsd:double"&gt;33.5&lt;/D&gt;&lt;D xsi:type="xsd:double"&gt;33.85&lt;/D&gt;&lt;D xsi:type="xsd:double"&gt;33.36&lt;/D&gt;&lt;D xsi:type="xsd:double"&gt;33.4&lt;/D&gt;&lt;D xsi:type="xsd:double"&gt;33.41&lt;/D&gt;&lt;D xsi:type="xsd:double"&gt;32.8&lt;/D&gt;&lt;D xsi:type="xsd:double"&gt;32.12&lt;/D&gt;&lt;D xsi:type="xsd:double"&gt;31.5&lt;/D&gt;&lt;D xsi:type="xsd:double"&gt;32.52&lt;/D&gt;&lt;D xsi:type="xsd:double"&gt;32.79&lt;/D&gt;&lt;D xsi:type="xsd:double"&gt;32.27&lt;/D&gt;&lt;D xsi:type="xsd:double"&gt;32.05&lt;/D&gt;&lt;D xsi:type="xsd:double"&gt;32.32&lt;/D&gt;&lt;D xsi:type="xsd:double"&gt;32.4&lt;/D&gt;&lt;D xsi:type="xsd:double"&gt;32.71&lt;/D&gt;&lt;D xsi:type="xsd:double"&gt;32.96&lt;/D&gt;&lt;D xsi:type="xsd:double"&gt;32.85&lt;/D&gt;&lt;D xsi:type="xsd:double"&gt;33.17&lt;/D&gt;&lt;D xsi:type="xsd:double"&gt;33.21&lt;/D&gt;&lt;D xsi:type="xsd:double"&gt;33.63&lt;/D&gt;&lt;D xsi:type="xsd:double"&gt;33.68&lt;/D&gt;&lt;D xsi:type="xsd:double"&gt;33.5&lt;/D&gt;&lt;D xsi:type="xsd:double"&gt;33.59&lt;/D&gt;&lt;D xsi:type="xsd:double"&gt;33.6&lt;/D&gt;&lt;D xsi:type="xsd:double"&gt;33.4&lt;/D&gt;&lt;D xsi:type="xsd:double"&gt;33.76&lt;/D&gt;&lt;D xsi:type="xsd:double"&gt;33.8&lt;/D&gt;&lt;D xsi:type="xsd:double"&gt;33.22&lt;/D&gt;&lt;D xsi:type="xsd:double"&gt;34.02&lt;/D&gt;&lt;D xsi:type="xsd:double"&gt;32.89&lt;/D&gt;&lt;D xsi:type="xsd:double"&gt;32.695&lt;/D&gt;&lt;D xsi:type="xsd:double"&gt;33.23&lt;/D&gt;&lt;D xsi:type="xsd:double"&gt;33.83&lt;/D&gt;&lt;D xsi:type="xsd:double"&gt;33.4&lt;/D&gt;&lt;D xsi:type="xsd:double"&gt;33.05&lt;/D&gt;&lt;D xsi:type="xsd:double"&gt;32.73&lt;/D&gt;&lt;D xsi:type="xsd:double"&gt;32.81&lt;/D&gt;&lt;D xsi:type="xsd:double"&gt;32.81&lt;/D&gt;&lt;D xsi:type="xsd:double"&gt;32.58&lt;/D&gt;&lt;D xsi:type="xsd:double"&gt;32.55&lt;/D&gt;&lt;D xsi:type="xsd:double"&gt;32.44&lt;/D&gt;&lt;D xsi:type="xsd:double"&gt;32.71&lt;/D&gt;&lt;D xsi:type="xsd:double"&gt;32.8&lt;/D&gt;&lt;D xsi:type="xsd:double"&gt;31.9&lt;/D&gt;&lt;D xsi:type="xsd:double"&gt;32.04&lt;/D&gt;&lt;D xsi:type="xsd:double"&gt;32.19&lt;/D&gt;&lt;D xsi:type="xsd:double"&gt;32.55&lt;/D&gt;&lt;D xsi:type="xsd:double"&gt;32.4&lt;/D&gt;&lt;D xsi:type="xsd:double"&gt;32.27&lt;/D&gt;&lt;D xsi:type="xsd:double"&gt;32.54&lt;/D&gt;&lt;D xsi:type="xsd:double"&gt;31.97&lt;/D&gt;&lt;D xsi:type="xsd:double"&gt;31.47&lt;/D&gt;&lt;D xsi:type="xsd:double"&gt;31.41&lt;/D&gt;&lt;D xsi:type="xsd:double"&gt;30.74&lt;/D&gt;&lt;D xsi:type="xsd:double"&gt;30.09&lt;/D&gt;&lt;D xsi:type="xsd:double"&gt;30.26&lt;/D&gt;&lt;D xsi:type="xsd:double"&gt;30.24&lt;/D&gt;&lt;D xsi:type="xsd:double"&gt;29.98&lt;/D&gt;&lt;D xsi:type="xsd:double"&gt;29.83&lt;/D&gt;&lt;D xsi:type="xsd:double"&gt;29.48&lt;/D&gt;&lt;D xsi:type="xsd:double"&gt;29.83&lt;/D&gt;&lt;D xsi:type="xsd:double"&gt;29.78&lt;/D&gt;&lt;D xsi:type="xsd:double"&gt;30.34&lt;/D&gt;&lt;D xsi:type="xsd:double"&gt;30.49&lt;/D&gt;&lt;D xsi:type="xsd:double"&gt;30.41&lt;/D&gt;&lt;D xsi:type="xsd:double"&gt;30.39&lt;/D&gt;&lt;D xsi:type="xsd:double"&gt;30.3&lt;/D&gt;&lt;D xsi:type="xsd:double"&gt;30.16&lt;/D&gt;&lt;D xsi:type="xsd:double"&gt;30.23&lt;/D&gt;&lt;D xsi:type="xsd:double"&gt;29.77&lt;/D&gt;&lt;D xsi:type="xsd:double"&gt;29.89&lt;/D&gt;&lt;D xsi:type="xsd:double"&gt;30.21&lt;/D&gt;&lt;D xsi:type="xsd:double"&gt;30.51&lt;/D&gt;&lt;D xsi:type="xsd:double"&gt;31.1&lt;/D&gt;&lt;D xsi:type="xsd:double"&gt;31.04&lt;/D&gt;&lt;D xsi:type="xsd:double"&gt;31.41&lt;/D&gt;&lt;D xsi:type="xsd:double"&gt;31.02&lt;/D&gt;&lt;D xsi:type="xsd:double"&gt;31.82&lt;/D&gt;&lt;D xsi:type="xsd:double"&gt;31.82&lt;/D&gt;&lt;D xsi:type="xsd:double"&gt;31.85&lt;/D&gt;&lt;D xsi:type="xsd:double"&gt;31.51&lt;/D&gt;&lt;D xsi:type="xsd:double"&gt;31.45&lt;/D&gt;&lt;D xsi:type="xsd:double"&gt;31.05&lt;/D&gt;&lt;D xsi:type="xsd:double"&gt;31.26&lt;/D&gt;&lt;D xsi:type="xsd:double"&gt;30.86&lt;/D&gt;&lt;D xsi:type="xsd:double"&gt;30.96&lt;/D&gt;&lt;D xsi:type="xsd:double"&gt;30.03&lt;/D&gt;&lt;D xsi:type="xsd:double"&gt;30.1&lt;/D&gt;&lt;D xsi:type="xsd:double"&gt;30.34&lt;/D&gt;&lt;D xsi:type="xsd:double"&gt;30.34&lt;/D&gt;&lt;D xsi:type="xsd:double"&gt;30.45&lt;/D&gt;&lt;D xsi:type="xsd:double"&gt;31.11&lt;/D&gt;&lt;D xsi:type="xsd:double"&gt;31.83&lt;/D&gt;&lt;D xsi:type="xsd:double"&gt;32.51&lt;/D&gt;&lt;D xsi:type="xsd:double"&gt;32.54&lt;/D&gt;&lt;D xsi:type="xsd:double"&gt;31.82&lt;/D&gt;&lt;D xsi:type="xsd:double"&gt;31.75&lt;/D&gt;&lt;D xsi:type="xsd:double"&gt;31.84&lt;/D&gt;&lt;D xsi:type="xsd:double"&gt;32.17&lt;/D&gt;&lt;D xsi:type="xsd:double"&gt;31.88&lt;/D&gt;&lt;D xsi:type="xsd:double"&gt;31.58&lt;/D&gt;&lt;D xsi:type="xsd:double"&gt;31.53&lt;/D&gt;&lt;D xsi:type="xsd:double"&gt;31.5&lt;/D&gt;&lt;D xsi:type="xsd:double"&gt;32.08&lt;/D&gt;&lt;D xsi:type="xsd:double"&gt;32.17&lt;/D&gt;&lt;D xsi:type="xsd:double"&gt;32.75&lt;/D&gt;&lt;D xsi:type="xsd:double"&gt;32.85&lt;/D&gt;&lt;D xsi:type="xsd:double"&gt;32.85&lt;/D&gt;&lt;D xsi:type="xsd:double"&gt;32.635&lt;/D&gt;&lt;D xsi:type="xsd:double"&gt;32.69&lt;/D&gt;&lt;D xsi:type="xsd:double"&gt;32.75&lt;/D&gt;&lt;D xsi:type="xsd:double"&gt;32.96&lt;/D&gt;&lt;D xsi:type="xsd:double"&gt;32.61&lt;/D&gt;&lt;D xsi:type="xsd:double"&gt;33.07&lt;/D&gt;&lt;D xsi:type="xsd:double"&gt;33.24&lt;/D&gt;&lt;D xsi:type="xsd:double"&gt;32.56&lt;/D&gt;&lt;D xsi:type="xsd:double"&gt;32.35&lt;/D&gt;&lt;D xsi:type="xsd:double"&gt;32.2&lt;/D&gt;&lt;D xsi:type="xsd:double"&gt;32.15&lt;/D&gt;&lt;D xsi:type="xsd:double"&gt;31.75&lt;/D&gt;&lt;D xsi:type="xsd:double"&gt;31.62&lt;/D&gt;&lt;D xsi:type="xsd:double"&gt;31.58&lt;/D&gt;&lt;D xsi:type="xsd:double"&gt;31.35&lt;/D&gt;&lt;D xsi:type="xsd:double"&gt;31.07&lt;/D&gt;&lt;D xsi:type="xsd:double"&gt;31.13&lt;/D&gt;&lt;D xsi:type="xsd:double"&gt;31.44&lt;/D&gt;&lt;D xsi:type="xsd:double"&gt;31.24&lt;/D&gt;&lt;D xsi:type="xsd:double"&gt;31.67&lt;/D&gt;&lt;D xsi:type="xsd:double"&gt;31.7&lt;/D&gt;&lt;D xsi:type="xsd:double"&gt;31.19&lt;/D&gt;&lt;D xsi:type="xsd:double"&gt;30.91&lt;/D&gt;&lt;D xsi:type="xsd:double"&gt;30.05&lt;/D&gt;&lt;D xsi:type="xsd:double"&gt;29.95&lt;/D&gt;&lt;D xsi:type="xsd:double"&gt;29.95&lt;/D&gt;&lt;D xsi:type="xsd:double"&gt;29.43&lt;/D&gt;&lt;D xsi:type="xsd:double"&gt;29.35&lt;/D&gt;&lt;D xsi:type="xsd:double"&gt;29.13&lt;/D&gt;&lt;D xsi:type="xsd:double"&gt;28.39&lt;/D&gt;&lt;D xsi:type="xsd:double"&gt;27.51&lt;/D&gt;&lt;D xsi:type="xsd:double"&gt;28.24&lt;/D&gt;&lt;D xsi:type="xsd:double"&gt;26.5&lt;/D&gt;&lt;D xsi:type="xsd:double"&gt;27.09&lt;/D&gt;&lt;D xsi:type="xsd:double"&gt;28.19&lt;/D&gt;&lt;D xsi:type="xsd:double"&gt;30.07&lt;/D&gt;&lt;D xsi:type="xsd:double"&gt;29.91&lt;/D&gt;&lt;D xsi:type="xsd:double"&gt;30.2&lt;/D&gt;&lt;D xsi:type="xsd:double"&gt;29.82&lt;/D&gt;&lt;D xsi:type="xsd:double"&gt;29.76&lt;/D&gt;&lt;D xsi:type="xsd:double"&gt;30.17&lt;/D&gt;&lt;/FQL&gt;&lt;FQL&gt;&lt;Q&gt;CNYA^FG_PRICE(0,-200D)&lt;/Q&gt;&lt;R&gt;201&lt;/R&gt;&lt;C&gt;1&lt;/C&gt;&lt;D xsi:type="xsd:double"&gt;34.58&lt;/D&gt;&lt;D xsi:type="xsd:double"&gt;34.58&lt;/D&gt;&lt;D xsi:type="xsd:double"&gt;34.59&lt;/D&gt;&lt;D xsi:type="xsd:double"&gt;34.37&lt;/D&gt;&lt;D xsi:type="xsd:double"&gt;34.71&lt;/D&gt;&lt;D xsi:type="xsd:double"&gt;34.44&lt;/D&gt;&lt;D xsi:type="xsd:double"&gt;34.44&lt;/D&gt;&lt;D xsi:type="xsd:double"&gt;34.31&lt;/D&gt;&lt;D xsi:type="xsd:double"&gt;34.24&lt;/D&gt;&lt;D xsi:type="xsd:double"&gt;33.89&lt;/D&gt;&lt;D xsi:type="xsd:double"&gt;33.58&lt;/D&gt;&lt;D xsi:type="xsd:double"&gt;33.63&lt;/D&gt;&lt;D xsi:type="xsd:double"&gt;33.197&lt;/D&gt;&lt;D xsi:type="xsd:double"&gt;34.05&lt;/D&gt;&lt;D xsi:type="xsd:double"&gt;34.08&lt;/D&gt;&lt;D xsi:type="xsd:double"&gt;34.09&lt;/D&gt;&lt;D xsi:type="xsd:double"&gt;34.34&lt;/D&gt;&lt;D xsi:type="xsd:double"&gt;34.225&lt;/D&gt;&lt;D xsi:type="xsd:double"&gt;34.36&lt;/D&gt;&lt;D xsi:type="xsd:double"&gt;34.21&lt;/D&gt;&lt;D xsi:type="xsd:double"&gt;33.74&lt;/D&gt;&lt;D xsi:type="xsd:double"&gt;33.76&lt;/D&gt;&lt;D xsi:type="xsd:double"&gt;33.81&lt;/D&gt;&lt;D xsi:type="xsd:double"&gt;34.25&lt;/D&gt;&lt;D xsi:type="xsd:double"&gt;33.95&lt;/D&gt;&lt;D xsi:type="xsd:double"&gt;33.59&lt;/D&gt;&lt;D xsi:type="xsd:double"&gt;33.59&lt;/D&gt;&lt;D xsi:type="xsd:double"&gt;33.51&lt;/D&gt;&lt;D xsi:type="xsd:double"&gt;33.11&lt;/D&gt;&lt;D xsi:type="xsd:double"&gt;33.06&lt;/D&gt;&lt;D xsi:type="xsd:double"&gt;33.46&lt;/D&gt;&lt;D xsi:type="xsd:double"&gt;33.88&lt;/D&gt;&lt;D xsi:type="xsd:double"&gt;33.93&lt;/D&gt;&lt;D xsi:type="xsd:double"&gt;33.89&lt;/D&gt;&lt;D xsi:type="xsd:double"&gt;34.19&lt;/D&gt;&lt;D xsi:type="xsd:double"&gt;34.64&lt;/D&gt;&lt;D xsi:type="xsd:double"&gt;34.43&lt;/D&gt;&lt;D xsi:type="xsd:double"&gt;34.47&lt;/D&gt;&lt;D xsi:type="xsd:double"&gt;34.77&lt;/D&gt;&lt;D xsi:type="xsd:double"&gt;34.6&lt;/D</t>
        </r>
      </text>
    </comment>
    <comment ref="A8" authorId="0" shapeId="0" xr:uid="{92350F5E-C04F-4C74-A67D-5A096D73F3AD}">
      <text>
        <r>
          <rPr>
            <b/>
            <sz val="9"/>
            <color indexed="81"/>
            <rFont val="Tahoma"/>
            <charset val="1"/>
          </rPr>
          <t>&gt;&lt;D xsi:type="xsd:double"&gt;34.59&lt;/D&gt;&lt;D xsi:type="xsd:double"&gt;34.38&lt;/D&gt;&lt;D xsi:type="xsd:double"&gt;33.97&lt;/D&gt;&lt;D xsi:type="xsd:double"&gt;34.3771&lt;/D&gt;&lt;D xsi:type="xsd:double"&gt;34.3&lt;/D&gt;&lt;D xsi:type="xsd:double"&gt;34.9&lt;/D&gt;&lt;D xsi:type="xsd:double"&gt;35.27&lt;/D&gt;&lt;D xsi:type="xsd:double"&gt;34.95&lt;/D&gt;&lt;D xsi:type="xsd:double"&gt;34.95&lt;/D&gt;&lt;D xsi:type="xsd:double"&gt;34.48&lt;/D&gt;&lt;D xsi:type="xsd:double"&gt;34.06&lt;/D&gt;&lt;D xsi:type="xsd:double"&gt;33.86&lt;/D&gt;&lt;D xsi:type="xsd:double"&gt;33.88&lt;/D&gt;&lt;D xsi:type="xsd:double"&gt;33.64&lt;/D&gt;&lt;D xsi:type="xsd:double"&gt;33.61&lt;/D&gt;&lt;D xsi:type="xsd:double"&gt;34.02&lt;/D&gt;&lt;D xsi:type="xsd:double"&gt;33.99&lt;/D&gt;&lt;D xsi:type="xsd:double"&gt;33.55&lt;/D&gt;&lt;D xsi:type="xsd:double"&gt;33.94&lt;/D&gt;&lt;D xsi:type="xsd:double"&gt;32.92&lt;/D&gt;&lt;D xsi:type="xsd:double"&gt;34.44&lt;/D&gt;&lt;D xsi:type="xsd:double"&gt;34.21&lt;/D&gt;&lt;D xsi:type="xsd:double"&gt;34.26&lt;/D&gt;&lt;D xsi:type="xsd:double"&gt;34.37&lt;/D&gt;&lt;D xsi:type="xsd:double"&gt;34.39&lt;/D&gt;&lt;D xsi:type="xsd:double"&gt;34.5182&lt;/D&gt;&lt;D xsi:type="xsd:double"&gt;34.3695&lt;/D&gt;&lt;D xsi:type="xsd:double"&gt;34.34&lt;/D&gt;&lt;D xsi:type="xsd:double"&gt;34.2&lt;/D&gt;&lt;D xsi:type="xsd:double"&gt;33.54&lt;/D&gt;&lt;D xsi:type="xsd:double"&gt;33.88&lt;/D&gt;&lt;D xsi:type="xsd:double"&gt;33.6806&lt;/D&gt;&lt;D xsi:type="xsd:double"&gt;33.47&lt;/D&gt;&lt;D xsi:type="xsd:double"&gt;33.67&lt;/D&gt;&lt;D xsi:type="xsd:double"&gt;33.45&lt;/D&gt;&lt;D xsi:type="xsd:double"&gt;33.48&lt;/D&gt;&lt;D xsi:type="xsd:double"&gt;33.96&lt;/D&gt;&lt;D xsi:type="xsd:double"&gt;33.77&lt;/D&gt;&lt;D xsi:type="xsd:double"&gt;33.81&lt;/D&gt;&lt;D xsi:type="xsd:double"&gt;33.6&lt;/D&gt;&lt;D xsi:type="xsd:double"&gt;33.94&lt;/D&gt;&lt;D xsi:type="xsd:double"&gt;32.84&lt;/D&gt;&lt;D xsi:type="xsd:double"&gt;32.94&lt;/D&gt;&lt;D xsi:type="xsd:double"&gt;33.14&lt;/D&gt;&lt;D xsi:type="xsd:double"&gt;33.02&lt;/D&gt;&lt;D xsi:type="xsd:double"&gt;32.23&lt;/D&gt;&lt;D xsi:type="xsd:double"&gt;32.94&lt;/D&gt;&lt;D xsi:type="xsd:double"&gt;33.2&lt;/D&gt;&lt;D xsi:type="xsd:double"&gt;33.47&lt;/D&gt;&lt;D xsi:type="xsd:double"&gt;33.47&lt;/D&gt;&lt;D xsi:type="xsd:double"&gt;33.16&lt;/D&gt;&lt;D xsi:type="xsd:double"&gt;32.26&lt;/D&gt;&lt;D xsi:type="xsd:double"&gt;32.91&lt;/D&gt;&lt;D xsi:type="xsd:double"&gt;32.91&lt;/D&gt;&lt;D xsi:type="xsd:double"&gt;32.71&lt;/D&gt;&lt;D xsi:type="xsd:double"&gt;31.62&lt;/D&gt;&lt;D xsi:type="xsd:double"&gt;31.74&lt;/D&gt;&lt;D xsi:type="xsd:double"&gt;31.02&lt;/D&gt;&lt;D xsi:type="xsd:double"&gt;31.32&lt;/D&gt;&lt;D xsi:type="xsd:double"&gt;30.97&lt;/D&gt;&lt;D xsi:type="xsd:double"&gt;30.72&lt;/D&gt;&lt;D xsi:type="xsd:double"&gt;31.01&lt;/D&gt;&lt;D xsi:type="xsd:double"&gt;30.73&lt;/D&gt;&lt;D xsi:type="xsd:double"&gt;30.295&lt;/D&gt;&lt;D xsi:type="xsd:double"&gt;30.27&lt;/D&gt;&lt;D xsi:type="xsd:double"&gt;30.3&lt;/D&gt;&lt;D xsi:type="xsd:double"&gt;30.33&lt;/D&gt;&lt;D xsi:type="xsd:double"&gt;30.17&lt;/D&gt;&lt;D xsi:type="xsd:double"&gt;29.9&lt;/D&gt;&lt;D xsi:type="xsd:double"&gt;29.6&lt;/D&gt;&lt;D xsi:type="xsd:double"&gt;29.68&lt;/D&gt;&lt;D xsi:type="xsd:double"&gt;30.24&lt;/D&gt;&lt;D xsi:type="xsd:double"&gt;30.44&lt;/D&gt;&lt;D xsi:type="xsd:double"&gt;30.29&lt;/D&gt;&lt;D xsi:type="xsd:double"&gt;30.31&lt;/D&gt;&lt;D xsi:type="xsd:double"&gt;30.45&lt;/D&gt;&lt;D xsi:type="xsd:double"&gt;30.35&lt;/D&gt;&lt;D xsi:type="xsd:double"&gt;30.365&lt;/D&gt;&lt;D xsi:type="xsd:double"&gt;29.98&lt;/D&gt;&lt;D xsi:type="xsd:double"&gt;29.73&lt;/D&gt;&lt;D xsi:type="xsd:double"&gt;29.6&lt;/D&gt;&lt;D xsi:type="xsd:double"&gt;29.26&lt;/D&gt;&lt;D xsi:type="xsd:double"&gt;29.29&lt;/D&gt;&lt;D xsi:type="xsd:double"&gt;29.395&lt;/D&gt;&lt;D xsi:type="xsd:double"&gt;29.2&lt;/D&gt;&lt;D xsi:type="xsd:double"&gt;29.32&lt;/D&gt;&lt;D xsi:type="xsd:double"&gt;29.07&lt;/D&gt;&lt;D xsi:type="xsd:double"&gt;29.12&lt;/D&gt;&lt;D xsi:type="xsd:double"&gt;28.86&lt;/D&gt;&lt;D xsi:type="xsd:double"&gt;28.91&lt;/D&gt;&lt;D xsi:type="xsd:double"&gt;28.91&lt;/D&gt;&lt;D xsi:type="xsd:double"&gt;28.7&lt;/D&gt;&lt;D xsi:type="xsd:double"&gt;28.71&lt;/D&gt;&lt;D xsi:type="xsd:double"&gt;28.71&lt;/D&gt;&lt;D xsi:type="xsd:double"&gt;28.46&lt;/D&gt;&lt;D xsi:type="xsd:double"&gt;28.79&lt;/D&gt;&lt;D xsi:type="xsd:double"&gt;28.805&lt;/D&gt;&lt;D xsi:type="xsd:double"&gt;28.55&lt;/D&gt;&lt;D xsi:type="xsd:double"&gt;28.03&lt;/D&gt;&lt;D xsi:type="xsd:double"&gt;27.925&lt;/D&gt;&lt;D xsi:type="xsd:double"&gt;27.96&lt;/D&gt;&lt;D xsi:type="xsd:double"&gt;27.96&lt;/D&gt;&lt;D xsi:type="xsd:double"&gt;28&lt;/D&gt;&lt;D xsi:type="xsd:double"&gt;28.12&lt;/D&gt;&lt;D xsi:type="xsd:double"&gt;28.15&lt;/D&gt;&lt;D xsi:type="xsd:double"&gt;28.42&lt;/D&gt;&lt;D xsi:type="xsd:double"&gt;28.29&lt;/D&gt;&lt;D xsi:type="xsd:double"&gt;28.1&lt;/D&gt;&lt;D xsi:type="xsd:double"&gt;28.3&lt;/D&gt;&lt;D xsi:type="xsd:double"&gt;28.22&lt;/D&gt;&lt;D xsi:type="xsd:double"&gt;28.29&lt;/D&gt;&lt;D xsi:type="xsd:double"&gt;28.18&lt;/D&gt;&lt;D xsi:type="xsd:double"&gt;27.96&lt;/D&gt;&lt;D xsi:type="xsd:double"&gt;27.72&lt;/D&gt;&lt;D xsi:type="xsd:double"&gt;27.67&lt;/D&gt;&lt;D xsi:type="xsd:double"&gt;28.02&lt;/D&gt;&lt;D xsi:type="xsd:double"&gt;27.83&lt;/D&gt;&lt;D xsi:type="xsd:double"&gt;27.9&lt;/D&gt;&lt;D xsi:type="xsd:double"&gt;28.2&lt;/D&gt;&lt;D xsi:type="xsd:double"&gt;28.2&lt;/D&gt;&lt;D xsi:type="xsd:double"&gt;28.3&lt;/D&gt;&lt;D xsi:type="xsd:double"&gt;28.4&lt;/D&gt;&lt;D xsi:type="xsd:double"&gt;28.28&lt;/D&gt;&lt;D xsi:type="xsd:double"&gt;28.14&lt;/D&gt;&lt;D xsi:type="xsd:double"&gt;28.24&lt;/D&gt;&lt;D xsi:type="xsd:double"&gt;28.25&lt;/D&gt;&lt;D xsi:type="xsd:double"&gt;28.58&lt;/D&gt;&lt;D xsi:type="xsd:double"&gt;28.34&lt;/D&gt;&lt;D xsi:type="xsd:double"&gt;28.45&lt;/D&gt;&lt;D xsi:type="xsd:double"&gt;27.78&lt;/D&gt;&lt;D xsi:type="xsd:double"&gt;27.85&lt;/D&gt;&lt;D xsi:type="xsd:double"&gt;27.58&lt;/D&gt;&lt;D xsi:type="xsd:double"&gt;27.82&lt;/D&gt;&lt;D xsi:type="xsd:double"&gt;27.7&lt;/D&gt;&lt;D xsi:type="xsd:double"&gt;27.66&lt;/D&gt;&lt;D xsi:type="xsd:double"&gt;26.92&lt;/D&gt;&lt;D xsi:type="xsd:double"&gt;27.06&lt;/D&gt;&lt;D xsi:type="xsd:double"&gt;27.14&lt;/D&gt;&lt;D xsi:type="xsd:double"&gt;27.14&lt;/D&gt;&lt;D xsi:type="xsd:double"&gt;27.25&lt;/D&gt;&lt;D xsi:type="xsd:double"&gt;27.29&lt;/D&gt;&lt;D xsi:type="xsd:double"&gt;27.2&lt;/D&gt;&lt;D xsi:type="xsd:double"&gt;27.16&lt;/D&gt;&lt;D xsi:type="xsd:double"&gt;27.04&lt;/D&gt;&lt;D xsi:type="xsd:double"&gt;26.82&lt;/D&gt;&lt;D xsi:type="xsd:double"&gt;26.82&lt;/D&gt;&lt;D xsi:type="xsd:double"&gt;26.92&lt;/D&gt;&lt;D xsi:type="xsd:double"&gt;26.7&lt;/D&gt;&lt;D xsi:type="xsd:double"&gt;26.96&lt;/D&gt;&lt;D xsi:type="xsd:double"&gt;27.09&lt;/D&gt;&lt;D xsi:type="xsd:double"&gt;26.64&lt;/D&gt;&lt;D xsi:type="xsd:double"&gt;26.4&lt;/D&gt;&lt;D xsi:type="xsd:double"&gt;24.95&lt;/D&gt;&lt;D xsi:type="xsd:double"&gt;24.71&lt;/D&gt;&lt;D xsi:type="xsd:double"&gt;26.56&lt;/D&gt;&lt;D xsi:type="xsd:double"&gt;27.65&lt;/D&gt;&lt;D xsi:type="xsd:double"&gt;27.91&lt;/D&gt;&lt;D xsi:type="xsd:double"&gt;27.92&lt;/D&gt;&lt;D xsi:type="xsd:double"&gt;28.03&lt;/D&gt;&lt;D xsi:type="xsd:double"&gt;28.08&lt;/D&gt;&lt;D xsi:type="xsd:double"&gt;28.34&lt;/D&gt;&lt;/FQL&gt;&lt;FQL&gt;&lt;Q&gt;CNYA^JULIAN(FG_PRICE(0,-200D).DATES)&lt;/Q&gt;&lt;R&gt;201&lt;/R&gt;&lt;C&gt;1&lt;/C&gt;&lt;D xsi:type="xsd:long"&gt;46023&lt;/D&gt;&lt;D xsi:type="xsd:long"&gt;46022&lt;/D&gt;&lt;D xsi:type="xsd:long"&gt;46021&lt;/D&gt;&lt;D xsi:type="xsd:long"&gt;46020&lt;/D&gt;&lt;D xsi:type="xsd:long"&gt;46017&lt;/D&gt;&lt;D xsi:type="xsd:long"&gt;46016&lt;/D&gt;&lt;D xsi:type="xsd:long"&gt;46015&lt;/D&gt;&lt;D xsi:type="xsd:long"&gt;46014&lt;/D&gt;&lt;D xsi:type="xsd:long"&gt;46013&lt;/D&gt;&lt;D xsi:type="xsd:long"&gt;46010&lt;/D&gt;&lt;D xsi:type="xsd:long"&gt;46009&lt;/D&gt;&lt;D xsi:type="xsd:long"&gt;46008&lt;/D&gt;&lt;D xsi:type="xsd:long"&gt;46007&lt;/D&gt;&lt;D xsi:type="xsd:long"&gt;46006&lt;/D&gt;&lt;D xsi:type="xsd:long"&gt;46003&lt;/D&gt;&lt;D xsi:type="xsd:long"&gt;46002&lt;/D&gt;&lt;D xsi:type="xsd:long"&gt;46001&lt;/D&gt;&lt;D xsi:type="xsd:long"&gt;46000&lt;/D&gt;&lt;D xsi:type="xsd:long"&gt;45999&lt;/D&gt;&lt;D xsi:type="xsd:long"&gt;45996&lt;/D&gt;&lt;D xsi:type="xsd:long"&gt;45995&lt;/D&gt;&lt;D xsi:type="xsd:long"&gt;45994&lt;/D&gt;&lt;D xsi:type="xsd:long"&gt;45993&lt;/D&gt;&lt;D xsi:type="xsd:long"&gt;45992&lt;/D&gt;&lt;D xsi:type="xsd:long"&gt;45989&lt;/D&gt;&lt;D xsi:type="xsd:long"&gt;45988&lt;/D&gt;&lt;D xsi:type="xsd:long"&gt;45987&lt;/D&gt;&lt;D xsi:type="xsd:long"&gt;45986&lt;/D&gt;&lt;D xsi:type="xsd:long"&gt;45985&lt;/D&gt;&lt;D xsi:type="xsd:long"&gt;45982&lt;/D&gt;&lt;D xsi:type="xsd:long"&gt;45981&lt;/D&gt;&lt;D xsi:type="xsd:long"&gt;45980&lt;/D&gt;&lt;D xsi:type="xsd:long"&gt;45979&lt;/D&gt;&lt;D xsi:type="xsd:long"&gt;45978&lt;/D&gt;&lt;D xsi:type="xsd:long"&gt;45975&lt;/D&gt;&lt;D xsi:type="xsd:long"&gt;45974&lt;/D&gt;&lt;D xsi:type="xsd:long"&gt;45973&lt;/D&gt;&lt;D xsi:type="xsd:long"&gt;45972&lt;/D&gt;&lt;D xsi:type="xsd:long"&gt;45971&lt;/D&gt;&lt;D xsi:type="xsd:long"&gt;45968&lt;/D&gt;&lt;D xsi:type="xsd:long"&gt;45967&lt;/D&gt;&lt;D xsi:type="xsd:long"&gt;45966&lt;/D&gt;&lt;D xsi:type="xsd:long"&gt;45965&lt;/D&gt;&lt;D xsi:type="xsd:long"&gt;45964&lt;/D&gt;&lt;D xsi:type="xsd:long"&gt;45961&lt;/D&gt;&lt;D xsi:type="xsd:long"&gt;45960&lt;/D&gt;&lt;D xsi:type="xsd:long"&gt;45959&lt;/D&gt;&lt;D xsi:type="xsd:long"&gt;45958&lt;/D&gt;&lt;D xsi:type="xsd:long"&gt;45957&lt;/D&gt;&lt;D xsi:type="xsd:long"&gt;45954&lt;/D&gt;&lt;D xsi:type="xsd:long"&gt;45953&lt;/D&gt;&lt;D xsi:type="xsd:long"&gt;45952&lt;/D&gt;&lt;D xsi:type="xsd:long"&gt;45951&lt;/D&gt;&lt;D xsi:type="xsd:long"&gt;45950&lt;/D&gt;&lt;D xsi:type="xsd:long"&gt;45947&lt;/D&gt;&lt;D xsi:type="xsd:long"&gt;45946&lt;/D&gt;&lt;D xsi:type="xsd:long"&gt;45945&lt;/D&gt;&lt;D xsi:type="xsd:long"&gt;45944&lt;/D&gt;&lt;D xsi:type="xsd:long"&gt;45943&lt;/D&gt;&lt;D xsi:type="xsd:long"&gt;45940&lt;/D&gt;&lt;D xsi:type="xsd:long"&gt;45939&lt;/D&gt;&lt;D xsi:type="xsd:long"&gt;45938&lt;/D&gt;&lt;D xsi:type="xsd:long"&gt;45937&lt;/D&gt;&lt;D xsi:type="xsd:long"&gt;45936&lt;/D&gt;&lt;D xsi:type="xsd:long"&gt;45933&lt;/D&gt;&lt;D xsi:type="xsd:long"&gt;45932&lt;/D&gt;&lt;D xsi:type="xsd:long"&gt;45931&lt;/D&gt;&lt;D xsi:type="xsd:long"&gt;45930&lt;/D&gt;&lt;D xsi:type="xsd:long"&gt;45929&lt;/D&gt;&lt;D xsi:type="xsd:long"&gt;45926&lt;/D&gt;&lt;D xsi:type="xsd:long"&gt;45925&lt;/D&gt;&lt;D xsi:type="xsd:long"&gt;45924&lt;/D&gt;&lt;D xsi:type="xsd:long"&gt;45923&lt;/D&gt;&lt;D xsi:type="xsd:long"&gt;45922&lt;/D&gt;&lt;D xsi:type="xsd:long"&gt;45919&lt;/D&gt;&lt;D xsi:type="xsd:long"&gt;45918&lt;/D&gt;&lt;D xsi:type="xsd:long"&gt;45917&lt;/D&gt;&lt;D xsi:type="xsd:long"&gt;45916&lt;/D&gt;&lt;D xsi:type="xsd:long"&gt;45915&lt;/D&gt;&lt;D xsi:type="xsd:long"&gt;45912&lt;/D&gt;&lt;D xsi:type="xsd:long"&gt;45911&lt;/D&gt;&lt;D xsi:type="xsd:long"&gt;45910&lt;/D&gt;&lt;D xsi:type="xsd:long"&gt;45909&lt;/D&gt;&lt;D xsi:type="xsd:long"&gt;45908&lt;/D&gt;&lt;D xsi:type="xsd:long"&gt;45905&lt;/D&gt;&lt;D xsi:type="xsd:long"&gt;45904&lt;/D&gt;&lt;D xsi:type="xsd:long"&gt;45903&lt;/D&gt;&lt;D xsi:type="xsd:long"&gt;45902&lt;/D&gt;&lt;D xsi:type="xsd:long"&gt;45901&lt;/D&gt;&lt;D xsi:type="xsd:long"&gt;45898&lt;/D&gt;&lt;D xsi:type="xsd:long"&gt;45897&lt;/D&gt;&lt;D xsi:type="xsd:long"&gt;45896&lt;/D&gt;&lt;D xsi:type="xsd:long"&gt;45895&lt;/D&gt;&lt;D xsi:type="xsd:long"&gt;45894&lt;/D&gt;&lt;D xsi:type="xsd:long"&gt;45891&lt;/D&gt;&lt;D xsi:type="xsd:long"&gt;45890&lt;/D&gt;&lt;D xsi:type="xsd:long"&gt;45889&lt;/D&gt;&lt;D xsi:type="xsd:long"&gt;45888&lt;/D&gt;&lt;D xsi:type="xsd:long"&gt;45887&lt;/D&gt;&lt;D xsi:type="xsd:long"&gt;45884&lt;/D&gt;&lt;D xsi:type="xsd:long"&gt;45883&lt;/D&gt;&lt;D xsi:type="xsd:long"&gt;45882&lt;/D&gt;&lt;D xsi:type="xsd:long"&gt;45881&lt;/D&gt;&lt;D xsi:type="xsd:long"&gt;45880&lt;/D&gt;&lt;D xsi:type="xsd:long"&gt;45877&lt;/D&gt;&lt;D xsi:type="xsd:long"&gt;45876&lt;/D&gt;&lt;D xsi:type="xsd:long"&gt;45875&lt;/D&gt;&lt;D xsi:type="xsd:long"&gt;45874&lt;/D&gt;&lt;D xsi:type="xsd:long"&gt;45873&lt;/D&gt;&lt;D xsi:type="xsd:long"&gt;45870&lt;/D&gt;&lt;D xsi:type="xsd:long"&gt;45869&lt;/D&gt;&lt;D xsi:type="xsd:long"&gt;45868&lt;/D&gt;&lt;D xsi:type="xsd:long"&gt;45867&lt;/D&gt;&lt;D xsi:type="xsd:long"&gt;45866&lt;/D&gt;&lt;D xsi:type="xsd:long"&gt;45863&lt;/D&gt;&lt;D xsi:type="xsd:long"&gt;45862&lt;/D&gt;&lt;D xsi:type="xsd:long"&gt;45861&lt;/D&gt;&lt;D xsi:type="xsd:long"&gt;45860&lt;/D&gt;&lt;D xsi:type="xsd:long"&gt;45859&lt;/D&gt;&lt;D xsi:type="xsd:long"&gt;45856&lt;/D&gt;&lt;D xsi:type="xsd:long"&gt;45855&lt;/D&gt;&lt;D xsi:type="xsd:long"&gt;45854&lt;/D&gt;&lt;D xsi:type="xsd:long"&gt;45853&lt;/D&gt;&lt;D xsi:type="xsd:long"&gt;45852&lt;/D&gt;&lt;D xsi:type="xsd:long"&gt;45849&lt;/D&gt;&lt;D xsi:type="xsd:long"&gt;45848&lt;/D&gt;&lt;D xsi:type="xsd:long"&gt;45847&lt;/D&gt;&lt;D xsi:type="xsd:long"&gt;45846&lt;/D&gt;&lt;D xsi:type="xsd:long"&gt;45845&lt;/D&gt;&lt;D xsi:type="xsd:long"&gt;45842&lt;/D&gt;&lt;D xsi:type="xsd:long"&gt;45841&lt;/D&gt;&lt;D xsi:type="xsd:long"&gt;45840&lt;/D&gt;&lt;D xsi:type="xsd:long"&gt;45839&lt;/D&gt;&lt;D xsi:type="xsd:long"&gt;45838&lt;/D&gt;&lt;D xsi:type="xsd:long"&gt;45835&lt;/D&gt;&lt;D xsi:type="xsd:long"&gt;45834&lt;/D&gt;&lt;D xsi:type="xsd:long"&gt;45833&lt;/D&gt;&lt;D xsi:type="xsd:long"&gt;45832&lt;/D&gt;&lt;D xsi:type="xsd:long"&gt;45831&lt;/D&gt;&lt;D xsi:type="xsd:long"&gt;45828&lt;/D&gt;&lt;D xsi:type="xsd:long"&gt;45827&lt;/D&gt;&lt;D xsi:type="xsd:long"&gt;45826&lt;/D&gt;&lt;D xsi:type="xsd:long"&gt;45825&lt;/D&gt;&lt;D xsi:type="xsd:long"&gt;45824&lt;/D&gt;&lt;D xsi:type="xsd:long"&gt;45821&lt;/D&gt;&lt;D xsi:type="xsd:long"&gt;45820&lt;/D&gt;&lt;D xsi:type="xsd:long"&gt;45819&lt;/D&gt;&lt;D xsi:type="xsd:long"&gt;45818&lt;/D&gt;&lt;D xsi:type="xsd:long"&gt;45817&lt;/D&gt;&lt;D xsi:type="xsd:long"&gt;45814&lt;/D&gt;&lt;D xsi:type="xsd:long"&gt;45813&lt;/D&gt;&lt;D xsi:type="xsd:long"&gt;45812&lt;/D&gt;&lt;D xsi:type="xsd:long"&gt;45811&lt;/D&gt;&lt;D xsi:type="xsd:long"&gt;45810&lt;/D&gt;&lt;D xsi:type="xsd:long"&gt;45807&lt;/D&gt;&lt;D xsi:type="xsd:long"&gt;45806&lt;/D&gt;&lt;D xsi:type="xsd:long"&gt;45805&lt;/D&gt;&lt;D xsi:type="xsd:long"&gt;45804&lt;/D&gt;&lt;D xsi:type="xsd:long"&gt;45803&lt;/D&gt;&lt;D xsi:type="xsd:long"&gt;45800&lt;/D&gt;&lt;D xsi:type="xsd:long"&gt;45799&lt;/D&gt;&lt;D xsi:type="xsd:long"&gt;45798&lt;/D&gt;&lt;D xsi:type="xsd:long"&gt;45797&lt;/D&gt;&lt;D xsi:type="xsd:long"&gt;45796&lt;/D&gt;&lt;D xsi:type="xsd:long"&gt;45793&lt;/D&gt;&lt;D xsi:type="xsd:long"&gt;45792&lt;/D&gt;&lt;D xsi:type="xsd:long"&gt;45791&lt;/D&gt;&lt;D xsi:type="xsd:long"&gt;45790&lt;/D&gt;&lt;D xsi:type="xsd:long"&gt;45789&lt;/D&gt;&lt;D xsi:type="xsd:long"&gt;45786&lt;/D&gt;&lt;D xsi:type="xsd:long"&gt;45785&lt;/D&gt;&lt;D xsi:type="xsd:long"&gt;45784&lt;/D&gt;&lt;D xsi:type="xsd:long"&gt;45783&lt;/D&gt;&lt;D xsi:type="xsd:long"&gt;45782&lt;/D&gt;&lt;D xsi:type="xsd:long"&gt;45779&lt;/D&gt;&lt;D xsi:type="xsd:long"&gt;45778&lt;/D&gt;&lt;D xsi:type="xsd:long"&gt;45777&lt;/D&gt;&lt;D xsi:type="xsd:long"&gt;45776&lt;/D&gt;&lt;D xsi:type="xsd:long"&gt;45775&lt;/D&gt;&lt;D xsi:type="xsd:long"&gt;45772&lt;/D&gt;&lt;D xsi:type="xsd:long"&gt;45771&lt;/D&gt;&lt;D xsi:type="xsd:long"&gt;45770&lt;/D&gt;&lt;D xsi:type="xsd:long"&gt;45769&lt;/D&gt;&lt;D xsi:type="xsd:long"&gt;45768&lt;/D&gt;&lt;D xsi:type="xsd:long"&gt;45765&lt;/D&gt;&lt;D xsi:type="xsd:long"&gt;45764&lt;/D&gt;&lt;D xsi:type="xsd:long"&gt;45763&lt;/D&gt;&lt;D xsi:type="xsd:long"&gt;45762&lt;/D&gt;&lt;D xsi:type="xsd:long"&gt;45761&lt;/D&gt;&lt;D xsi:type="xsd:long"&gt;45758&lt;/D&gt;&lt;D xsi:type="xsd:long"&gt;45757&lt;/D&gt;&lt;D xsi:type="xsd:long"&gt;45756&lt;/D&gt;&lt;D xsi:type="xsd:long"&gt;45755&lt;/D&gt;&lt;D xsi:type="xsd:long"&gt;45754&lt;/D&gt;&lt;D xsi:type="xsd:long"&gt;45751&lt;/D&gt;&lt;D xsi:type="xsd:long"&gt;45750&lt;/D&gt;&lt;D xsi:type="xsd:long"&gt;45749&lt;/D&gt;&lt;D xsi:type="xsd:long"&gt;45748&lt;/D&gt;&lt;D xsi:type="xsd:long"&gt;45747&lt;/D&gt;&lt;D xsi:type="xsd:long"&gt;45744&lt;/D&gt;&lt;D xsi:type="xsd:long"&gt;45743&lt;/D&gt;&lt;/FQL&gt;&lt;FQL&gt;&lt;Q&gt;EWI^FG_TOTAL_RETURNC(-5AY,0,AM)&lt;/Q&gt;&lt;R&gt;61&lt;/R&gt;&lt;C&gt;1&lt;/C&gt;&lt;D xsi:type="xsd:double"&gt;2.1092534&lt;/D&gt;&lt;D xsi:type="xsd:double"&gt;-2.445656&lt;/D&gt;&lt;D xsi:type="xsd:double"&gt;6.1281323&lt;/D&gt;&lt;D xsi:type="xsd:double"&gt;4.3963313&lt;/D&gt;&lt;D xsi:type="xsd:double"&gt;-0.6599605&lt;/D&gt;&lt;D xsi:type="xsd:double"&gt;7.149625&lt;/D&gt;&lt;D xsi:type="xsd:double"&gt;-2.7254999&lt;/D&gt;&lt;D xsi:type="xsd:double"&gt;-0.1843214&lt;/D&gt;&lt;D xsi:type="xsd:double"&gt;2.185285&lt;/D&gt;&lt;D xsi:type="xsd:double"&gt;-3.9156675&lt;/D&gt;&lt;D xsi:type="xsd:double"&gt;6.614411&lt;/D&gt;&lt;D xsi:type="xsd:double"&gt;-7.9682407&lt;/D&gt;&lt;D xsi:type="xsd:double"&gt;6.3168883&lt;/D&gt;&lt;D xsi:type="xsd:double"&gt;0.15238523&lt;/D&gt;&lt;D xsi:type="xsd:double"&gt;-11.65551&lt;/D&gt;&lt;D xsi:type="xsd:double"&gt;3.2380223&lt;/D&gt;&lt;D xsi:type="xsd:double"&gt;-8.475137&lt;/D&gt;&lt;D xsi:type="xsd:double"&gt;3.2446146&lt;/D&gt;&lt;D xsi:type="xsd:double"&gt;-11.888731&lt;/D&gt;&lt;D xsi:type="xsd:double"&gt;1.776123&lt;/D&gt;&lt;D xsi:type="xsd:double"&gt;-6.899345&lt;/D&gt;&lt;D xsi:type="xsd:double"&gt;-6.2772455&lt;/D&gt;&lt;D xsi:type="xsd:double"&gt;12.976753&lt;/D&gt;&lt;D xsi:type="xsd:double"&gt;15.232599&lt;/D&gt;&lt;D xsi:type="xsd:double"&gt;-2.3040473&lt;/D&gt;&lt;D xsi:type="xsd:double"&gt;13.734221&lt;/D&gt;&lt;D xsi:type="xsd:double"&gt;-1.631856&lt;/D&gt;&lt;D xsi:type="xsd:double"&gt;0.96217394&lt;/D&gt;&lt;D xsi:type="xsd:double"&gt;4.173517&lt;/D&gt;&lt;D xsi:type="xsd:double"&gt;-4.16404&lt;/D&gt;&lt;D xsi:type="xsd:double"&gt;7.3437214&lt;/D&gt;&lt;D xsi:type="xsd:double"&gt;3.9271235&lt;/D&gt;&lt;D xsi:type="xsd:double"&gt;-3.7484944&lt;/D&gt;&lt;D xsi:type="xsd:double"&gt;-4.4597983&lt;/D&gt;&lt;D xsi:type="xsd:double"&gt;-0.82182884&lt;/D&gt;&lt;D xsi:type="xsd:double"&gt;9.877372&lt;/D&gt;&lt;D xsi:type="xsd:double"&gt;3.644228&lt;/D&gt;&lt;D xsi:type="xsd:double"&gt;-0.058948994&lt;/D&gt;&lt;D xsi:type="xsd:double"&gt;5.897963&lt;/D&gt;&lt;D xsi:type="xsd:double"&gt;4.8454523&lt;/D&gt;&lt;D xsi:type="xsd:double"&gt;-3.0013323&lt;/D&gt;&lt;D xsi:type="xsd:double"&gt;6.3253045&lt;/D&gt;&lt;D xsi:type="xsd:double"&gt;-3.7781596&lt;/D&gt;&lt;D xsi:type="xsd:double"&gt;-1.1245191&lt;/D&gt;&lt;D xsi:type="xsd:double"&gt;7.766986&lt;/D&gt;&lt;D xsi:type="xsd:double"&gt;-1.5186608&lt;/D&gt;&lt;D xsi:type="xsd:double"&gt;-0.13068318&lt;/D&gt;&lt;D xsi:type="xsd:double"&gt;-4.8940063&lt;/D&gt;&lt;D xsi:type="xsd:double"&gt;0.49852133&lt;/D&gt;&lt;D xsi:type="xsd:double"&gt;7.172632&lt;/D&gt;&lt;D xsi:type="xsd:double"&gt;5.8365703&lt;/D&gt;&lt;D xsi:type="xsd:double"&gt;4.068625&lt;/D&gt;&lt;D xsi:type="xsd:double"&gt;4.239285&lt;/D&gt;&lt;D xsi:type="xsd:double"&gt;7.930422&lt;/D&gt;&lt;D xsi:type="xsd:double"&gt;2.336657&lt;/D&gt;&lt;D xsi:type="xsd:double"&gt;-0.45785308&lt;/D&gt;&lt;D xsi:type="xsd:double"&gt;6.732166&lt;/D&gt;&lt;D xsi:type="xsd:double"&gt;2.6640534&lt;/D&gt;&lt;D xsi:type="xsd:double"&gt;-1.1448145&lt;/D&gt;&lt;D xsi:type="xsd:double"&gt;1.6406059&lt;/D&gt;&lt;D xsi:type="xsd:double"&gt;4.523289&lt;/D&gt;&lt;/FQL&gt;&lt;FQL&gt;&lt;Q&gt;EWD^FG_TOTAL_RETURNC(-5AY,0,AM)&lt;/Q&gt;&lt;R&gt;61&lt;/R&gt;&lt;C&gt;1&lt;/C&gt;&lt;D xsi:type="xsd:double"&gt;0.74840784&lt;/D&gt;&lt;D xsi:type="xsd:double"&gt;3.7688494&lt;/D&gt;&lt;D xsi:type="xsd:double"&gt;4.2615056&lt;/D&gt;&lt;D xsi:type="xsd:double"&gt;5.0859213&lt;/D&gt;&lt;D xsi:type="xsd:double"&gt;2.5856256&lt;/D&gt;&lt;D xsi:type="xsd:double"&gt;5.8164597&lt;/D&gt;&lt;D xsi:type="xsd:double"&gt;-2.9418886&lt;/D&gt;&lt;D xsi:type="xsd:double"&gt;3.906417&lt;/D&gt;&lt;D xsi:type="xsd:double"&gt;-0.43379068&lt;/D&gt;&lt;D xsi:type="xsd:double"&gt;-6.0166&lt;/D&gt;&lt;D xsi:type="xsd:double"&gt;6.7549706&lt;/D&gt;&lt;D xsi:type="xsd:double"&gt;-7.6716304&lt;/D&gt;&lt;D xsi:type="xsd:double"&gt;7.0250154&lt;/D&gt;&lt;D xsi:type="xsd:double"&gt;-7.57609&lt;/D&gt;&lt;D xsi:type="xsd:double"&gt;-15.086407&lt;/D&gt;&lt;D xsi:type="xsd:double"&gt;9.295929&lt;/D&gt;&lt;D xsi:type="xsd:double"&gt;-9.637648&lt;/D&gt;&lt;D xsi:type="xsd:double"&gt;0.2784729&lt;/D&gt;&lt;D xsi:type="xsd:double"&gt;-12.735361&lt;/D&gt;&lt;D xsi:type="xsd:double"&gt;9.65947&lt;/D&gt;&lt;D xsi:type="xsd:double"&gt;-12.391764&lt;/D&gt;&lt;D xsi:type="xsd:double"&gt;-7.1233807&lt;/D&gt;&lt;D xsi:type="xsd:double"&gt;9.027517&lt;/D&gt;&lt;D xsi:type="xsd:double"&gt;15.516663&lt;/D&gt;&lt;D xsi:type="xsd:double"&gt;-5.259812&lt;/D&gt;&lt;D xsi:type="xsd:double"&gt;10.702133&lt;/D&gt;&lt;D xsi:type="xsd:double"&gt;-1.3132215&lt;/D&gt;&lt;D xsi:type="xsd:double"&gt;0.62288046&lt;/D&gt;&lt;D xsi:type="xsd:double"&gt;4.5582414&lt;/D&gt;&lt;D xsi:type="xsd:double"&gt;-6.8083944&lt;/D&gt;&lt;D xsi:type="xsd:double"&gt;2.2812486&lt;/D&gt;&lt;D xsi:type="xsd:double"&gt;-0.16939044&lt;/D&gt;&lt;D xsi:type="xsd:double"&gt;-6.25&lt;/D&gt;&lt;D xsi:type="xsd:double"&gt;-0.5429864&lt;/D&gt;&lt;D xsi:type="xsd:double"&gt;-4.913563&lt;/D&gt;&lt;D xsi:type="xsd:double"&gt;17.352474&lt;/D&gt;&lt;D xsi:type="xsd:double"&gt;9.933901&lt;/D&gt;&lt;D xsi:type="xsd:double"&gt;-4.003042&lt;/D&gt;&lt;D xsi:type="xsd:double"&gt;5.5423617&lt;/D&gt;&lt;D xsi:type="xsd:double"&gt;-0.575155&lt;/D&gt;&lt;D xsi:type="xsd:double"&gt;-3.0935585&lt;/D&gt;&lt;D xsi:type="xsd:double"&gt;8.824301&lt;/D&gt;&lt;D xsi:type="xsd:double"&gt;-2.217567&lt;/D&gt;&lt;D xsi:type="xsd:double"&gt;-2.6517987&lt;/D&gt;&lt;D xsi:type="xsd:double"&gt;7.3574305&lt;/D&gt;&lt;D xsi:type="xsd:double"&gt;1.2331009&lt;/D&gt;&lt;D xsi:type="xsd:double"&gt;-6.512064&lt;/D&gt;&lt;D xsi:type="xsd:double"&gt;-3.1320453&lt;/D&gt;&lt;D xsi:type="xsd:double"&gt;-3.440243&lt;/D&gt;&lt;D xsi:type="xsd:double"&gt;9.509778&lt;/D&gt;&lt;D xsi:type="xsd:double"&gt;5.5283666&lt;/D&gt;&lt;D xsi:type="xsd:double"&gt;-2.063048&lt;/D&gt;&lt;D xsi:type="xsd:double"&gt;2.0591736&lt;/D&gt;&lt;D xsi:type="xsd:double"&gt;5.4035306&lt;/D&gt;&lt;D xsi:type="xsd:double"&gt;1.6650319&lt;/D&gt;&lt;D xsi:type="xsd:double"&gt;-3.3414423&lt;/D&gt;&lt;D xsi:type="xsd:double"&gt;6.2042117&lt;/D&gt;&lt;D xsi:type="xsd:double"&gt;2.6298761&lt;/D&gt;&lt;D xsi:type="xsd:double"&gt;0.7981539&lt;/D&gt;&lt;D xsi:type="xsd:double"&gt;-0.8543432&lt;/D&gt;&lt;D xsi:type="xsd:double"&gt;4.757595&lt;/D&gt;&lt;/FQL&gt;&lt;FQL&gt;&lt;Q&gt;EWN^FG_TOTAL_RETURNC(-5AY,0,AM)&lt;/Q&gt;&lt;R&gt;61&lt;/R&gt;&lt;C&gt;1&lt;/C&gt;&lt;D xsi:type="xsd:double"&gt;3.8176656&lt;/D&gt;&lt;D xsi:type="xsd:double"&gt;4.644406&lt;/D&gt;&lt;D xsi:type="xsd:double"&gt;3.6523342&lt;/D&gt;&lt;D xsi:type="xsd:double"&gt;5.642283&lt;/D&gt;&lt;D xsi:type="xsd:double"&gt;1.4777303&lt;/D&gt;&lt;D xsi:type="xsd:double"&gt;3.8901567&lt;/D&gt;&lt;D xsi:type="xsd:double"&gt;-2.623278&lt;/D&gt;&lt;D xsi:type="xsd:double"&gt;3.4154415&lt;/D&gt;&lt;D xsi:type="xsd:double"&gt;6.665337&lt;/D&gt;&lt;D xsi:type="xsd:double"&gt;-7.2996798&lt;/D&gt;&lt;D xsi:type="xsd:double"&gt;5.9311748&lt;/D&gt;&lt;D xsi:type="xsd:double"&gt;-6.745654&lt;/D&gt;&lt;D xsi:type="xsd:double"&gt;3.292954&lt;/D&gt;&lt;D xsi:type="xsd:double"&gt;-6.770211&lt;/D&gt;&lt;D xsi:type="xsd:double"&gt;-11.8539095&lt;/D&gt;&lt;D xsi:type="xsd:double"&gt;3.561914&lt;/D&gt;&lt;D xsi:type="xsd:double"&gt;-10.084236&lt;/D&gt;&lt;D xsi:type="xsd:double"&gt;0.70257187&lt;/D&gt;&lt;D xsi:type="xsd:double"&gt;-9.057373&lt;/D&gt;&lt;D xsi:type="xsd:double"&gt;9.067345&lt;/D&gt;&lt;D xsi:type="xsd:double"&gt;-11.770916&lt;/D&gt;&lt;D xsi:type="xsd:double"&gt;-8.555192&lt;/D&gt;&lt;D xsi:type="xsd:double"&gt;7.8508377&lt;/D&gt;&lt;D xsi:type="xsd:double"&gt;19.593561&lt;/D&gt;&lt;D xsi:type="xsd:double"&gt;-4.96763&lt;/D&gt;&lt;D xsi:type="xsd:double"&gt;15.950584&lt;/D&gt;&lt;D xsi:type="xsd:double"&gt;-4.955995&lt;/D&gt;&lt;D xsi:type="xsd:double"&gt;2.8265119&lt;/D&gt;&lt;D xsi:type="xsd:double"&gt;0.142169&lt;/D&gt;&lt;D xsi:type="xsd:double"&gt;0.26029348&lt;/D&gt;&lt;D xsi:type="xsd:double"&gt;3.2921672&lt;/D&gt;&lt;D xsi:type="xsd:double"&gt;2.6571155&lt;/D&gt;&lt;D xsi:type="xsd:double"&gt;-7.4724255&lt;/D&gt;&lt;D xsi:type="xsd:double"&gt;-7.51642&lt;/D&gt;&lt;D xsi:type="xsd:double"&gt;-0.8679688&lt;/D&gt;&lt;D xsi:type="xsd:double"&gt;12.655878&lt;/D&gt;&lt;D xsi:type="xsd:double"&gt;5.903721&lt;/D&gt;&lt;D xsi:type="xsd:double"&gt;3.2713413&lt;/D&gt;&lt;D xsi:type="xsd:double"&gt;4.8600554&lt;/D&gt;&lt;D xsi:type="xsd:double"&gt;3.1657338&lt;/D&gt;&lt;D xsi:type="xsd:double"&gt;-4.532695&lt;/D&gt;&lt;D xsi:type="xsd:double"&gt;7.542014&lt;/D&gt;&lt;D xsi:type="xsd:double"&gt;-0.33378005&lt;/D&gt;&lt;D xsi:type="xsd:double"&gt;-5.1337957&lt;/D&gt;&lt;D xsi:type="xsd:double"&gt;6.122029&lt;/D&gt;&lt;D xsi:type="xsd:double"&gt;-1.0435164&lt;/D&gt;&lt;D xsi:type="xsd:double"&gt;-7.1030617&lt;/D&gt;&lt;D xsi:type="xsd:double"&gt;-2.3988008&lt;/D&gt;&lt;D xsi:type="xsd:double"&gt;-1.5230119&lt;/D&gt;&lt;D xsi:type="xsd:double"&gt;4.1807055&lt;/D&gt;&lt;D xsi:type="xsd:double"&gt;1.7691493&lt;/D&gt;&lt;D xsi:type="xsd:double"&gt;-0.99639297&lt;/D&gt;&lt;D xsi:type="xsd:double"&gt;4.453957&lt;/D&gt;&lt;D xsi:type="xsd:double"&gt;8.343577&lt;/D&gt;&lt;D xsi:type="xsd:double"&gt;3.6741734&lt;/D&gt;&lt;D xsi:type="xsd:double"&gt;-5.955243&lt;/D&gt;&lt;D xsi:type="xsd:double"&gt;4.228127&lt;/D&gt;&lt;D xsi:type="xsd:double"&gt;11.018872&lt;/D&gt;&lt;D xsi:type="xsd:double"&gt;-0.06798506&lt;/D&gt;&lt;D xsi:type="xsd:double"&gt;-0.81632733&lt;/D&gt;&lt;D xsi:type="xsd:double"&gt;1.5340209&lt;/D&gt;&lt;/FQL&gt;&lt;FQL&gt;&lt;Q&gt;EWQ^FG_TOTAL_RETURNC(-5AY,0,AM)&lt;/Q&gt;&lt;R&gt;61&lt;/R&gt;&lt;C&gt;1&lt;/C&gt;&lt;D xsi:type="xsd:double"&gt;0.16372204&lt;/D&gt;&lt;D xsi:type="xsd:double"&gt;-1.5935004&lt;/D&gt;&lt;D xsi:type="xsd:double"&gt;5.0412536&lt;/D&gt;&lt;D xsi:type="xsd:double"&gt;2.937746&lt;/D&gt;&lt;D xsi:type="xsd:double"&gt;4.4927955&lt;/D&gt;&lt;D xsi:type="xsd:double"&gt;6.0843706&lt;/D&gt;&lt;D xsi:type="xsd:double"&gt;-1.872915&lt;/D&gt;&lt;D xsi:type="xsd:double"&gt;0.70922375&lt;/D&gt;&lt;D xsi:type="xsd:double"&gt;2.8168917&lt;/D&gt;&lt;D xsi:type="xsd:double"&gt;-4.6423078&lt;/D&gt;&lt;D xsi:type="xsd:double"&gt;5.772805&lt;/D&gt;&lt;D xsi:type="xsd:double"&gt;-5.583495&lt;/D&gt;&lt;D xsi:type="xsd:double"&gt;6.4346433&lt;/D&gt;&lt;D xsi:type="xsd:double"&gt;-1.1831343&lt;/D&gt;&lt;D xsi:type="xsd:double"&gt;-11.426342&lt;/D&gt;&lt;D xsi:type="xsd:double"&gt;4.7311187&lt;/D&gt;&lt;D xsi:type="xsd:double"&gt;-7.547694&lt;/D&gt;&lt;D xsi:type="xsd:double"&gt;2.4582624&lt;/D&gt;&lt;D xsi:type="xsd:double"&gt;-8.180868&lt;/D&gt;&lt;D xsi:type="xsd:double"&gt;5.7788134&lt;/D&gt;&lt;D xsi:type="xsd:double"&gt;-8.226061&lt;/D&gt;&lt;D xsi:type="xsd:double"&gt;-8.313375&lt;/D&gt;&lt;D xsi:type="xsd:double"&gt;11.977613&lt;/D&gt;&lt;D xsi:type="xsd:double"&gt;13.228917&lt;/D&gt;&lt;D xsi:type="xsd:double"&gt;-2.1793365&lt;/D&gt;&lt;D xsi:type="xsd:double"&gt;12.801933&lt;/D&gt;&lt;D xsi:type="xsd:double"&gt;-1.6059995&lt;/D&gt;&lt;D xsi:type="xsd:double"&gt;2.8291702&lt;/D&gt;&lt;D xsi:type="xsd:double"&gt;4.7090054&lt;/D&gt;&lt;D xsi:type="xsd:double"&gt;-5.6594253&lt;/D&gt;&lt;D xsi:type="xsd:double"&gt;5.4938197&lt;/D&gt;&lt;D xsi:type="xsd:double"&gt;0.33739805&lt;/D&gt;&lt;D xsi:type="xsd:double"&gt;-3.1815827&lt;/D&gt;&lt;D xsi:type="xsd:double"&gt;-4.9158454&lt;/D&gt;&lt;D xsi:type="xsd:double"&gt;-2.500701&lt;/D&gt;&lt;D xsi:type="xsd:double"&gt;8.789623&lt;/D&gt;&lt;D xsi:type="xsd:double"&gt;4.464054&lt;/D&gt;&lt;D xsi:type="xsd:double"&gt;-0.5615115&lt;/D&gt;&lt;D xsi:type="xsd:double"&gt;3.2854319&lt;/D&gt;&lt;D xsi:type="xsd:double"&gt;2.8329968&lt;/D&gt;&lt;D xsi:type="xsd:double"&gt;-3.6007762&lt;/D&gt;&lt;D xsi:type="xsd:double"&gt;4.537487&lt;/D&gt;&lt;D xsi:type="xsd:double"&gt;-6.0688853&lt;/D&gt;&lt;D xsi:type="xsd:double"&gt;-2.194357&lt;/D&gt;&lt;D xsi:type="xsd:double"&gt;6.5171003&lt;/D&gt;&lt;D xsi:type="xsd:double"&gt;-0.20060539&lt;/D&gt;&lt;D xsi:type="xsd:double"&gt;-4.623115&lt;/D&gt;&lt;D xsi:type="xsd:double"&gt;-4.50474&lt;/D&gt;&lt;D xsi:type="xsd:double"&gt;-0.2802968&lt;/D&gt;&lt;D xsi:type="xsd:double"&gt;7.664442&lt;/D&gt;&lt;D xsi:type="xsd:double"&gt;2.3556828&lt;/D&gt;&lt;D xsi:type="xsd:double"&gt;1.2898326&lt;/D&gt;&lt;D xsi:type="xsd:double"&gt;2.546823&lt;/D&gt;&lt;D xsi:type="xsd:double"&gt;3.4575105&lt;/D&gt;&lt;D xsi:type="xsd:double"&gt;3.1754851&lt;/D&gt;&lt;D xsi:type="xsd:double"&gt;-3.35899&lt;/D&gt;&lt;D xsi:type="xsd:double"&gt;2.7999043&lt;/D&gt;&lt;D xsi:type="xsd:double"&gt;4.4611454&lt;/D&gt;&lt;D xsi:type="xsd:double"&gt;-0.4720211&lt;/D&gt;&lt;D xsi:type="xsd:double"&gt;0.29358864&lt;/D&gt;&lt;D xsi:type="xsd:double"&gt;1.8201828&lt;/D&gt;&lt;/FQL&gt;&lt;FQL&gt;&lt;Q&gt;SPY^FG_TOTAL_RETURNC(-5AY,0,AM)&lt;/Q&gt;&lt;R&gt;61&lt;/R&gt;&lt;C&gt;1&lt;/C&gt;&lt;D xsi:type="xsd:double"&gt;2.5845885&lt;/D&gt;&lt;D xsi:type="xsd:double"&gt;0.6285429&lt;/D&gt;&lt;D xsi:type="xsd:double"&gt;3.5483599&lt;/D&gt;&lt;D xsi:type="xsd:double"&gt;3.1686187&lt;/D&gt;&lt;D xsi:type="xsd:double"&gt;4.16615&lt;/D&gt;&lt;D xsi:type="xsd:double"&gt;0.5679488&lt;/D&gt;&lt;D xsi:type="xsd:double"&gt;2.9040217&lt;/D&gt;&lt;D xsi:type="xsd:double"&gt;1.8772006&lt;/D&gt;&lt;D xsi:type="xsd:double"&gt;3.0307174&lt;/D&gt;&lt;D xsi:type="xsd:double"&gt;-3.5757065&lt;/D&gt;&lt;D xsi:type="xsd:double"&gt;5.941415&lt;/D&gt;&lt;D xsi:type="xsd:double"&gt;-2.073735&lt;/D&gt;&lt;D xsi:type="xsd:double"&gt;5.8046937&lt;/D&gt;&lt;D xsi:type="xsd:double"&gt;-4.6340704&lt;/D&gt;&lt;D xsi:type="xsd:double"&gt;-5.071199&lt;/D&gt;&lt;D xsi:type="xsd:double"&gt;5.658829&lt;/D&gt;&lt;D xsi:type="xsd:double"&gt;-9.034711&lt;/D&gt;&lt;D xsi:type="xsd:double"&gt;-0.584954&lt;/D&gt;&lt;D xsi:type="xsd:double"&gt;-6.520385&lt;/D&gt;&lt;D xsi:type="xsd:double"&gt;7.7457786&lt;/D&gt;&lt;D xsi:type="xsd:double"&gt;-3.4934342&lt;/D&gt;&lt;D xsi:type="xsd:double"&gt;-9.5255375&lt;/D&gt;&lt;D xsi:type="xsd:double"&gt;7.6544046&lt;/D&gt;&lt;D xsi:type="xsd:double"&gt;5.9450746&lt;/D&gt;&lt;D xsi:type="xsd:double"&gt;-5.6881847&lt;/D&gt;&lt;D xsi:type="xsd:double"&gt;7.4183464&lt;/D&gt;&lt;D xsi:type="xsd:double"&gt;-3.9094448&lt;/D&gt;&lt;D xsi:type="xsd:double"&gt;4.111862&lt;/D&gt;&lt;D xsi:type="xsd:double"&gt;1.4949083&lt;/D&gt;&lt;D xsi:type="xsd:double"&gt;1.5186191&lt;/D&gt;&lt;D xsi:type="xsd:double"&gt;5.4792523&lt;/D&gt;&lt;D xsi:type="xsd:double"&gt;2.9778004&lt;/D&gt;&lt;D xsi:type="xsd:double"&gt;-1.1588693&lt;/D&gt;&lt;D xsi:type="xsd:double"&gt;-4.9166737&lt;/D&gt;&lt;D xsi:type="xsd:double"&gt;-1.1275411&lt;/D&gt;&lt;D xsi:type="xsd:double"&gt;8.621586&lt;/D&gt;&lt;D xsi:type="xsd:double"&gt;3.9512873&lt;/D&gt;&lt;D xsi:type="xsd:double"&gt;2.9223084&lt;/D&gt;&lt;D xsi:type="xsd:double"&gt;4.8344135&lt;/D&gt;&lt;D xsi:type="xsd:double"&gt;2.1338582&lt;/D&gt;&lt;D xsi:type="xsd:double"&gt;-4.176873&lt;/D&gt;&lt;D xsi:type="xsd:double"&gt;5.4002166&lt;/D&gt;&lt;D xsi:type="xsd:double"&gt;3.7415385&lt;/D&gt;&lt;D xsi:type="xsd:double"&gt;-0.427258&lt;/D&gt;&lt;D xsi:type="xsd:double"&gt;3.8065553&lt;/D&gt;&lt;D xsi:type="xsd:double"&gt;1.1862516&lt;/D&gt;&lt;D xsi:type="xsd:double"&gt;0.42558908&lt;/D&gt;&lt;D xsi:type="xsd:double"&gt;5.5180073&lt;/D&gt;&lt;D xsi:type="xsd:double"&gt;-2.4099708&lt;/D&gt;&lt;D xsi:type="xsd:double"&gt;2.6856422&lt;/D&gt;&lt;D xsi:type="xsd:double"&gt;-1.2694836&lt;/D&gt;&lt;D xsi:type="xsd:double"&gt;-5.3053856&lt;/D&gt;&lt;D xsi:type="xsd:double"&gt;-0.44565797&lt;/D&gt;&lt;D xsi:type="xsd:double"&gt;5.536568&lt;/D&gt;&lt;D xsi:type="xsd:double"&gt;5.1053405&lt;/D&gt;&lt;D xsi:type="xsd:double"&gt;0.65894127&lt;/D&gt;&lt;D xsi:type="xsd:double"&gt;3.7524939&lt;/D&gt;&lt;D xsi:type="xsd:double"&gt;3.9135337&lt;/D&gt;&lt;D xsi:type="xsd:double"&gt;2.036047&lt;/D&gt;&lt;D xsi:type="xsd:double"&gt;-0.26243925&lt;/D&gt;&lt;D xsi:type="xsd:double"&gt;0.5361438&lt;/D&gt;&lt;/FQL&gt;&lt;FQL&gt;&lt;Q&gt;QQQ^FG_TOTAL_RETURNC(-5AY,0,AM)&lt;/Q&gt;&lt;R&gt;61&lt;/R&gt;&lt;C&gt;1&lt;/C&gt;&lt;D xsi:type="xsd:double"&gt;3.575468&lt;/D&gt;&lt;D xsi:type="xsd:double"&gt;2.766633&lt;/D&gt;&lt;D xsi:type="xsd:double"&gt;0.36287308&lt;/D&gt;&lt;D xsi:type="xsd:double"&gt;0.42710304&lt;/D&gt;&lt;D xsi:type="xsd:double"&gt;4.1346908&lt;/D&gt;&lt;D xsi:type="xsd:double"&gt;-1.529628&lt;/D&gt;&lt;D xsi:type="xsd:double"&gt;6.657815&lt;/D&gt;&lt;D xsi:type="xsd:double"&gt;2.820313&lt;/D&gt;&lt;D xsi:type="xsd:double"&gt;4.3914676&lt;/D&gt;&lt;D xsi:type="xsd:double"&gt;-5.253124&lt;/D&gt;&lt;D xsi:type="xsd:double"&gt;7.5656652&lt;/D&gt;&lt;D xsi:type="xsd:double"&gt;-0.080013275&lt;/D&gt;&lt;D xsi:type="xsd:double"&gt;2.9044032&lt;/D&gt;&lt;D xsi:type="xsd:double"&gt;-8.126182&lt;/D&gt;&lt;D xsi:type="xsd:double"&gt;-6.574196&lt;/D&gt;&lt;D xsi:type="xsd:double"&gt;6.093383&lt;/D&gt;&lt;D xsi:type="xsd:double"&gt;-13.430983&lt;/D&gt;&lt;D xsi:type="xsd:double"&gt;-2.3144424&lt;/D&gt;&lt;D xsi:type="xsd:double"&gt;-7.627654&lt;/D&gt;&lt;D xsi:type="xsd:double"&gt;11.746347&lt;/D&gt;&lt;D xsi:type="xsd:double"&gt;-5.033779&lt;/D&gt;&lt;D xsi:type="xsd:double"&gt;-10.575753&lt;/D&gt;&lt;D xsi:type="xsd:double"&gt;2.9372096&lt;/D&gt;&lt;D xsi:type="xsd:double"&gt;6.764579&lt;/D&gt;&lt;D xsi:type="xsd:double"&gt;-9.121961&lt;/D&gt;&lt;D xsi:type="xsd:double"&gt;13.008869&lt;/D&gt;&lt;D xsi:type="xsd:double"&gt;-3.230095&lt;/D&gt;&lt;D xsi:type="xsd:double"&gt;10.379577&lt;/D&gt;&lt;D xsi:type="xsd:double"&gt;0.3926158&lt;/D&gt;&lt;D xsi:type="xsd:double"&gt;9.255409&lt;/D&gt;&lt;D xsi:type="xsd:double"&gt;5.090022&lt;/D&gt;&lt;D xsi:type="xsd:double"&gt;3.619182&lt;/D&gt;&lt;D xsi:type="xsd:double"&gt;-1.3584495&lt;/D&gt;&lt;D xsi:type="xsd:double"&gt;-4.9795685&lt;/D&gt;&lt;D xsi:type="xsd:double"&gt;-0.3656447&lt;/D&gt;&lt;D xsi:type="xsd:double"&gt;9.239138&lt;/D&gt;&lt;D xsi:type="xsd:double"&gt;5.284989&lt;/D&gt;&lt;D xsi:type="xsd:double"&gt;3.0181766&lt;/D&gt;&lt;D xsi:type="xsd:double"&gt;5.624819&lt;/D&gt;&lt;D xsi:type="xsd:double"&gt;-0.017225742&lt;/D&gt;&lt;D xsi:type="xsd:double"&gt;-5.265766&lt;/D&gt;&lt;D xsi:type="xsd:double"&gt;6.924939&lt;/D&gt;&lt;D xsi:type="xsd:double"&gt;7.0964336&lt;/D&gt;&lt;D xsi:type="xsd:double"&gt;-4.619026&lt;/D&gt;&lt;D xsi:type="xsd:double"&gt;3.6135316&lt;/D&gt;&lt;D xsi:type="xsd:double"&gt;1.1914253&lt;/D&gt;&lt;D xsi:type="xsd:double"&gt;1.2799501&lt;/D&gt;&lt;D xsi:type="xsd:double"&gt;4.5770645&lt;/D&gt;&lt;D xsi:type="xsd:double"&gt;0.45241117&lt;/D&gt;&lt;D xsi:type="xsd:double"&gt;2.1633983&lt;/D&gt;&lt;D xsi:type="xsd:double"&gt;-2.70347&lt;/D&gt;&lt;D xsi:type="xsd:double"&gt;-6.8442583&lt;/D&gt;&lt;D xsi:type="xsd:double"&gt;1.8997192&lt;/D&gt;&lt;D xsi:type="xsd:double"&gt;7.770717&lt;/D&gt;&lt;D xsi:type="xsd:double"&gt;5.487895&lt;/D&gt;&lt;D xsi:type="xsd:double"&gt;1.259625&lt;/D&gt;&lt;D xsi:type="xsd:double"&gt;2.9826045&lt;/D&gt;&lt;D xsi:type="xsd:double"&gt;5.8809876&lt;/D&gt;&lt;D xsi:type="xsd:double"&gt;4.28015&lt;/D&gt;&lt;D xsi:type="xsd:double"&gt;-1.8916845&lt;/D&gt;&lt;D xsi:type="xsd:double"&gt;-0.33575892&lt;/D&gt;&lt;/FQL&gt;&lt;FQL&gt;&lt;Q&gt;EWU^FG_TOTAL_RETURNC(-5AY,0,AM)&lt;/Q&gt;&lt;R&gt;61&lt;/R&gt;&lt;C&gt;1&lt;/C&gt;&lt;D xsi:type="xsd:double"&gt;1.8411517&lt;/D&gt;&lt;D xsi:type="xsd:double"&gt;1.0242343&lt;/D&gt;&lt;D xsi:type="xsd:double"&gt;4.3257833&lt;/D&gt;&lt;D xsi:type="xsd:double"&gt;2.5915146&lt;/D&gt;&lt;D xsi:type="xsd:double"&gt;2.7155042&lt;/D&gt;&lt;D xsi:type="xsd:double"&gt;4.6418786&lt;/D&gt;&lt;D xsi:type="xsd:double"&gt;-1.6860425&lt;/D&gt;&lt;D xsi:type="xsd:double"&gt;-0.36462545&lt;/D&gt;&lt;D xsi:type="xsd:double"&gt;1.280868&lt;/D&gt;&lt;D xsi:type="xsd:double"&gt;-2.4691343&lt;/D&gt;&lt;D xsi:type="xsd:double"&gt;4.6310544&lt;/D&gt;&lt;D xsi:type="xsd:double"&gt;-6.137502&lt;/D&gt;&lt;D xsi:type="xsd:double"&gt;7.0490837&lt;/D&gt;&lt;D xsi:type="xsd:double"&gt;3.439951&lt;/D&gt;&lt;D xsi:type="xsd:double"&gt;-3.7047863&lt;/D&gt;&lt;D xsi:type="xsd:double"&gt;2.7870417&lt;/D&gt;&lt;D xsi:type="xsd:double"&gt;-4.8040094&lt;/D&gt;&lt;D xsi:type="xsd:double"&gt;1.2693524&lt;/D&gt;&lt;D xsi:type="xsd:double"&gt;-6.9435415&lt;/D&gt;&lt;D xsi:type="xsd:double"&gt;3.3790588&lt;/D&gt;&lt;D xsi:type="xsd:double"&gt;-8.02589&lt;/D&gt;&lt;D xsi:type="xsd:double"&gt;-7.7762184&lt;/D&gt;&lt;D xsi:type="xsd:double"&gt;8.202982&lt;/D&gt;&lt;D xsi:type="xsd:double"&gt;12.200284&lt;/D&gt;&lt;D xsi:type="xsd:double"&gt;-2.2037685&lt;/D&gt;&lt;D xsi:type="xsd:double"&gt;6.5883875&lt;/D&gt;&lt;D xsi:type="xsd:double"&gt;-0.61199665&lt;/D&gt;&lt;D xsi:type="xsd:double"&gt;-0.6773412&lt;/D&gt;&lt;D xsi:type="xsd:double"&gt;4.835713&lt;/D&gt;&lt;D xsi:type="xsd:double"&gt;-4.4648113&lt;/D&gt;&lt;D xsi:type="xsd:double"&gt;2.068746&lt;/D&gt;&lt;D xsi:type="xsd:double"&gt;2.0401835&lt;/D&gt;&lt;D xsi:type="xsd:double"&gt;-2.877909&lt;/D&gt;&lt;D xsi:type="xsd:double"&gt;-1.3100505&lt;/D&gt;&lt;D xsi:type="xsd:double"&gt;-3.1605542&lt;/D&gt;&lt;D xsi:type="xsd:double"&gt;7.3107123&lt;/D&gt;&lt;D xsi:type="xsd:double"&gt;2.8310895&lt;/D&gt;&lt;D xsi:type="xsd:double"&gt;-0.8169472&lt;/D&gt;&lt;D xsi:type="xsd:double"&gt;0.42709112&lt;/D&gt;&lt;D xsi:type="xsd:double"&gt;3.5844445&lt;/D&gt;&lt;D xsi:type="xsd:double"&gt;1.4369607&lt;/D&gt;&lt;D xsi:type="xsd:double"&gt;5.0014496&lt;/D&gt;&lt;D xsi:type="xsd:double"&gt;-2.2524953&lt;/D&gt;&lt;D xsi:type="xsd:double"&gt;2.4124026&lt;/D&gt;&lt;D xsi:type="xsd:double"&gt;5.243969&lt;/D&gt;&lt;D xsi:type="xsd:double"&gt;-0.506258&lt;/D&gt;&lt;D xsi:type="xsd:double"&gt;-4.2581677&lt;/D&gt;&lt;D xsi:type="xsd:double"&gt;0.13985634&lt;/D&gt;&lt;D xsi:type="xsd:double"&gt;-3.3195734&lt;/D&gt;&lt;D xsi:type="xsd:double"&gt;5.0442457&lt;/D&gt;&lt;D xsi:type="xsd:double"&gt;4.015732&lt;/D&gt;&lt;D xsi:type="xsd:double"&gt;1.079905&lt;/D&gt;&lt;D xsi:type="xsd:double"&gt;1.1752248&lt;/D&gt;&lt;D xsi:type="xsd:double"&gt;5.3854227&lt;/D&gt;&lt;D xsi:type="xsd:double"&gt;1.868093&lt;/D&gt;&lt;D xsi:type="xsd:double"&gt;0.225842&lt;/D&gt;&lt;D xsi:type="xsd:double"&gt;3.805709&lt;/D&gt;&lt;D xsi:type="xsd:double"&gt;2.5084496&lt;/D&gt;&lt;D xsi:type="xsd:double"&gt;0.39999485&lt;/D&gt;&lt;D xsi:type="xsd:double"&gt;0.6093383&lt;/D&gt;&lt;D xsi:type="xsd:double"&gt;4.4336557&lt;/D&gt;&lt;/FQL&gt;&lt;FQL&gt;&lt;Q&gt;EWL^FG_TOTAL_RETURNC(-5AY,0,AM)&lt;/Q&gt;&lt;R&gt;61&lt;/R&gt;&lt;C&gt;1&lt;/C&gt;&lt;D xsi:type="xsd:double"&gt;3.4081578&lt;/D&gt;&lt;D xsi:type="xsd:double"&gt;-0.51476955&lt;/D&gt;&lt;D xsi:type="xsd:double"&gt;-1.5298069&lt;/D&gt;&lt;D xsi:type="xsd:double"&gt;2.6959062&lt;/D&gt;&lt;D xsi:type="xsd:double"&gt;2.9810905&lt;/D&gt;&lt;D xsi:type="xsd:double"&gt;5.9624076&lt;/D&gt;&lt;D xsi:type="xsd:double"&gt;1.2838721&lt;/D&gt;&lt;D xsi:type="xsd:double"&gt;2.9930353&lt;/D&gt;&lt;D xsi:type="xsd:double"&gt;1.4729261&lt;/D&gt;&lt;D xsi:type="xsd:double"&gt;-7.8462124&lt;/D&gt;&lt;D xsi:type="xsd:double"&gt;7.492554&lt;/D&gt;&lt;D xsi:type="xsd:double"&gt;-3.0296981&lt;/D&gt;&lt;D xsi:type="xsd:double"&gt;7.678163&lt;/D&gt;&lt;D xsi:type="xsd:double"&gt;-5.1393867&lt;/D&gt;&lt;D xsi:type="xsd:double"&gt;-5.1979246&lt;/D&gt;&lt;D xsi:type="xsd:double"&gt;4.407418&lt;/D&gt;&lt;D xsi:type="xsd:double"&gt;-6.2815547&lt;/D&gt;&lt;D xsi:type="xsd:double"&gt;-3.8793147&lt;/D&gt;&lt;D xsi:type="xsd:double"&gt;-4.869169&lt;/D&gt;&lt;D xsi:type="xsd:double"&gt;4.54545&lt;/D&gt;&lt;D xsi:type="xsd:double"&gt;-7.7294707&lt;/D&gt;&lt;D xsi:type="xsd:double"&gt;-6.6317616&lt;/D&gt;&lt;D xsi:type="xsd:double"&gt;4.2456627&lt;/D&gt;&lt;D xsi:type="xsd:double"&gt;11.424171&lt;/D&gt;&lt;D xsi:type="xsd:double"&gt;-3.6091924&lt;/D&gt;&lt;D xsi:type="xsd:double"&gt;8.44264&lt;/D&gt;&lt;D xsi:type="xsd:double"&gt;-4.596436&lt;/D&gt;&lt;D xsi:type="xsd:double"&gt;4.4721007&lt;/D&gt;&lt;D xsi:type="xsd:double"&gt;6.1120987&lt;/D&gt;&lt;D xsi:type="xsd:double"&gt;-2.9320002&lt;/D&gt;&lt;D xsi:type="xsd:double"&gt;1.2154818&lt;/D&gt;&lt;D xsi:type="xsd:double"&gt;2.1856785&lt;/D&gt;&lt;D xsi:type="xsd:double"&gt;-2.7318954&lt;/D&gt;&lt;D xsi:type="xsd:double"&gt;-5.138254&lt;/D&gt;&lt;D xsi:type="xsd:double"&gt;-2.5935292&lt;/D&gt;&lt;D xsi:type="xsd:double"&gt;7.9877496&lt;/D&gt;&lt;D xsi:type="xsd:double"&gt;5.324018&lt;/D&gt;&lt;D xsi:type="xsd:double"&gt;-0.84939003&lt;/D&gt;&lt;D xsi:type="xsd:double"&gt;-1.6088605&lt;/D&gt;&lt;D xsi:type="xsd:double"&gt;0.7220268&lt;/D&gt;&lt;D xsi:type="xsd:double"&gt;-4.5962453&lt;/D&gt;&lt;D xsi:type="xsd:double"&gt;8.640885&lt;/D&gt;&lt;D xsi:type="xsd:double"&gt;-0.062185526&lt;/D&gt;&lt;D xsi:type="xsd:double"&gt;4.1147113&lt;/D&gt;&lt;D xsi:type="xsd:double"&gt;5.4890275&lt;/D&gt;&lt;D xsi:type="xsd:double"&gt;-1.911068&lt;/D&gt;&lt;D xsi:type="xsd:double"&gt;-4.1859627&lt;/D&gt;&lt;D xsi:type="xsd:double"&gt;-2.979666&lt;/D&gt;&lt;D xsi:type="xsd:double"&gt;-4.627514&lt;/D&gt;&lt;D xsi:type="xsd:double"&gt;7.8546524&lt;/D&gt;&lt;D xsi:type="xsd:double"&gt;4.357469&lt;/D&gt;&lt;D xsi:type="xsd:double"&gt;0.05799532&lt;/D&gt;&lt;D xsi:type="xsd:double"&gt;3.4003139&lt;/D&gt;&lt;D xsi:type="xsd:double"&gt;3.101647&lt;/D&gt;&lt;D xsi:type="xsd:double"&gt;1.5337586&lt;/D&gt;&lt;D xsi:type="xsd:double"&gt;-4.6380463&lt;/D&gt;&lt;D xsi:type="xsd:double"&gt;5.531192&lt;/D&gt;&lt;D xsi:type="xsd:double"&gt;1.1024714&lt;/D&gt;&lt;D xsi:type="xsd:double"&gt;-1.0368228&lt;/D&gt;&lt;D xsi:type="xsd:double"&gt;3.7210941&lt;/D&gt;&lt;D xsi:type="xsd:double"&gt;4.423547&lt;/D&gt;&lt;/FQL&gt;&lt;FQL&gt;&lt;Q&gt;EWJ^FG_TOTAL_RETURNC(-5AY,0,AM)&lt;/Q&gt;&lt;R&gt;61&lt;/R&gt;&lt;C&gt;1&lt;/C&gt;&lt;D xsi:type="xsd:double"&gt;3.2182932&lt;/D&gt;&lt;D xsi:type="xsd:double"&gt;0.19242764&lt;/D&gt;&lt;D xsi:type="xsd:double"&gt;2.4523497&lt;/D&gt;&lt;D xsi:type="xsd:double"&gt;-0.30280948&lt;/D&gt;&lt;D xsi:type="xsd:double"&gt;-2.4877071&lt;/D&gt;&lt;D xsi:type="xsd:double"&gt;1.082766&lt;/D&gt;&lt;D xsi:type="xsd:double"&gt;-0.24154782&lt;/D&gt;&lt;D xsi:type="xsd:double"&gt;-0.56304336&lt;/D&gt;&lt;D xsi:type="xsd:double"&gt;3.576219&lt;/D&gt;&lt;D xsi:type="xsd:double"&gt;0.6042242&lt;/D&gt;&lt;D xsi:type="xsd:double"&gt;-0.71499944&lt;/D&gt;&lt;D xsi:type="xsd:double"&gt;-4.9690304&lt;/D&gt;&lt;D xsi:type="xsd:double"&gt;2.8327703&lt;/D&gt;&lt;D xsi:type="xsd:double"&gt;-4.2712092&lt;/D&gt;&lt;D xsi:type="xsd:double"&gt;-3.1513214&lt;/D&gt;&lt;D xsi:type="xsd:double"&gt;-0.24162531&lt;/D&gt;&lt;D xsi:type="xsd:double"&gt;-8.5742&lt;/D&gt;&lt;D xsi:type="xsd:double"&gt;1.783824&lt;/D&gt;&lt;D xsi:type="xsd:double"&gt;-7.0466876&lt;/D&gt;&lt;D xsi:type="xsd:double"&gt;7.2007537&lt;/D&gt;&lt;D xsi:type="xsd:double"&gt;-6.8929076&lt;/D&gt;&lt;D xsi:type="xsd:double"&gt;-7.743156&lt;/D&gt;&lt;D xsi:type="xsd:double"&gt;3.111565&lt;/D&gt;&lt;D xsi:type="xsd:double"&gt;11.534643&lt;/D&gt;&lt;D xsi:type="xsd:double"&gt;-2.881825&lt;/D&gt;&lt;D xsi:type="xsd:double"&gt;8.137405&lt;/D&gt;&lt;D xsi:type="xsd:double"&gt;-4.824191&lt;/D&gt;&lt;D xsi:type="xsd:double"&gt;4.7474623&lt;/D&gt;&lt;D xsi:type="xsd:double"&gt;0.13631582&lt;/D&gt;&lt;D xsi:type="xsd:double"&gt;3.5051942&lt;/D&gt;&lt;D xsi:type="xsd:double"&gt;2.4773955&lt;/D&gt;&lt;D xsi:type="xsd:double"&gt;1.243937&lt;/D&gt;&lt;D xsi:type="xsd:double"&gt;-1.0052621&lt;/D&gt;&lt;D xsi:type="xsd:double"&gt;-2.82076&lt;/D&gt;&lt;D xsi:type="xsd:double"&gt;-0.53076744&lt;/D&gt;&lt;D xsi:type="xsd:double"&gt;5.402696&lt;/D&gt;&lt;D xsi:type="xsd:double"&gt;2.9015183&lt;/D&gt;&lt;D xsi:type="xsd:double"&gt;4.334271&lt;/D&gt;&lt;D xsi:type="xsd:double"&gt;5.095637&lt;/D&gt;&lt;D xsi:type="xsd:double"&gt;-0.07109642&lt;/D&gt;&lt;D xsi:type="xsd:double"&gt;-4.5105276&lt;/D&gt;&lt;D xsi:type="xsd:double"&gt;</t>
        </r>
      </text>
    </comment>
    <comment ref="A9" authorId="0" shapeId="0" xr:uid="{1B5D7DF0-555B-4F40-8D63-2E46BF19BE39}">
      <text>
        <r>
          <rPr>
            <b/>
            <sz val="9"/>
            <color indexed="81"/>
            <rFont val="Tahoma"/>
            <charset val="1"/>
          </rPr>
          <t>2.7715683&lt;/D&gt;&lt;D xsi:type="xsd:double"&gt;-0.9763181&lt;/D&gt;&lt;D xsi:type="xsd:double"&gt;-0.3540337&lt;/D&gt;&lt;D xsi:type="xsd:double"&gt;6.5433025&lt;/D&gt;&lt;D xsi:type="xsd:double"&gt;-0.4585266&lt;/D&gt;&lt;D xsi:type="xsd:double"&gt;-5.1088753&lt;/D&gt;&lt;D xsi:type="xsd:double"&gt;2.5154471&lt;/D&gt;&lt;D xsi:type="xsd:double"&gt;-2.2066057&lt;/D&gt;&lt;D xsi:type="xsd:double"&gt;1.8032789&lt;/D&gt;&lt;D xsi:type="xsd:double"&gt;0.23423433&lt;/D&gt;&lt;D xsi:type="xsd:double"&gt;-0.39433837&lt;/D&gt;&lt;D xsi:type="xsd:double"&gt;4.3548465&lt;/D&gt;&lt;D xsi:type="xsd:double"&gt;4.1450143&lt;/D&gt;&lt;D xsi:type="xsd:double"&gt;1.2161732&lt;/D&gt;&lt;D xsi:type="xsd:double"&gt;-0.4703045&lt;/D&gt;&lt;D xsi:type="xsd:double"&gt;5.6838155&lt;/D&gt;&lt;D xsi:type="xsd:double"&gt;2.4655104&lt;/D&gt;&lt;D xsi:type="xsd:double"&gt;4.039395&lt;/D&gt;&lt;D xsi:type="xsd:double"&gt;-1.1024535&lt;/D&gt;&lt;D xsi:type="xsd:double"&gt;1.5354514&lt;/D&gt;&lt;/FQL&gt;&lt;FQL&gt;&lt;Q&gt;EWG^FG_TOTAL_RETURNC(-5AY,0,AM)&lt;/Q&gt;&lt;R&gt;61&lt;/R&gt;&lt;C&gt;1&lt;/C&gt;&lt;D xsi:type="xsd:double"&gt;3.2090545&lt;/D&gt;&lt;D xsi:type="xsd:double"&gt;0&lt;/D&gt;&lt;D xsi:type="xsd:double"&gt;2.2033334&lt;/D&gt;&lt;D xsi:type="xsd:double"&gt;4.5580506&lt;/D&gt;&lt;D xsi:type="xsd:double"&gt;1.973486&lt;/D&gt;&lt;D xsi:type="xsd:double"&gt;4.274988&lt;/D&gt;&lt;D xsi:type="xsd:double"&gt;-2.301234&lt;/D&gt;&lt;D xsi:type="xsd:double"&gt;-0.46135783&lt;/D&gt;&lt;D xsi:type="xsd:double"&gt;1.5063763&lt;/D&gt;&lt;D xsi:type="xsd:double"&gt;-5.9931574&lt;/D&gt;&lt;D xsi:type="xsd:double"&gt;3.7644267&lt;/D&gt;&lt;D xsi:type="xsd:double"&gt;-7.0509076&lt;/D&gt;&lt;D xsi:type="xsd:double"&gt;4.071772&lt;/D&gt;&lt;D xsi:type="xsd:double"&gt;-1.5253186&lt;/D&gt;&lt;D xsi:type="xsd:double"&gt;-13.16604&lt;/D&gt;&lt;D xsi:type="xsd:double"&gt;2.069211&lt;/D&gt;&lt;D xsi:type="xsd:double"&gt;-9.087735&lt;/D&gt;&lt;D xsi:type="xsd:double"&gt;3.8446784&lt;/D&gt;&lt;D xsi:type="xsd:double"&gt;-12.098866&lt;/D&gt;&lt;D xsi:type="xsd:double"&gt;2.3447633&lt;/D&gt;&lt;D xsi:type="xsd:double"&gt;-8.612638&lt;/D&gt;&lt;D xsi:type="xsd:double"&gt;-8.356553&lt;/D&gt;&lt;D xsi:type="xsd:double"&gt;11.347521&lt;/D&gt;&lt;D xsi:type="xsd:double"&gt;16.378534&lt;/D&gt;&lt;D xsi:type="xsd:double"&gt;-3.2904148&lt;/D&gt;&lt;D xsi:type="xsd:double"&gt;15.325522&lt;/D&gt;&lt;D xsi:type="xsd:double"&gt;-3.611505&lt;/D&gt;&lt;D xsi:type="xsd:double"&gt;3.5285592&lt;/D&gt;&lt;D xsi:type="xsd:double"&gt;3.4083009&lt;/D&gt;&lt;D xsi:type="xsd:double"&gt;-3.397894&lt;/D&gt;&lt;D xsi:type="xsd:double"&gt;3.2518387&lt;/D&gt;&lt;D xsi:type="xsd:double"&gt;1.1550546&lt;/D&gt;&lt;D xsi:type="xsd:double"&gt;-4.463667&lt;/D&gt;&lt;D xsi:type="xsd:double"&gt;-5.1068425&lt;/D&gt;&lt;D xsi:type="xsd:double"&gt;-3.20611&lt;/D&gt;&lt;D xsi:type="xsd:double"&gt;13.288641&lt;/D&gt;&lt;D xsi:type="xsd:double"&gt;3.3468723&lt;/D&gt;&lt;D xsi:type="xsd:double"&gt;-0.63994527&lt;/D&gt;&lt;D xsi:type="xsd:double"&gt;4.3389797&lt;/D&gt;&lt;D xsi:type="xsd:double"&gt;3.086412&lt;/D&gt;&lt;D xsi:type="xsd:double"&gt;-4.223132&lt;/D&gt;&lt;D xsi:type="xsd:double"&gt;5.4952383&lt;/D&gt;&lt;D xsi:type="xsd:double"&gt;-1.6883314&lt;/D&gt;&lt;D xsi:type="xsd:double"&gt;-1.332897&lt;/D&gt;&lt;D xsi:type="xsd:double"&gt;7.512355&lt;/D&gt;&lt;D xsi:type="xsd:double"&gt;2.2678494&lt;/D&gt;&lt;D xsi:type="xsd:double"&gt;-2.7869344&lt;/D&gt;&lt;D xsi:type="xsd:double"&gt;-0.5240381&lt;/D&gt;&lt;D xsi:type="xsd:double"&gt;-1.3944864&lt;/D&gt;&lt;D xsi:type="xsd:double"&gt;8.830929&lt;/D&gt;&lt;D xsi:type="xsd:double"&gt;4.1582346&lt;/D&gt;&lt;D xsi:type="xsd:double"&gt;3.3823133&lt;/D&gt;&lt;D xsi:type="xsd:double"&gt;5.819249&lt;/D&gt;&lt;D xsi:type="xsd:double"&gt;6.3608766&lt;/D&gt;&lt;D xsi:type="xsd:double"&gt;1.7485023&lt;/D&gt;&lt;D xsi:type="xsd:double"&gt;-2.999282&lt;/D&gt;&lt;D xsi:type="xsd:double"&gt;2.7730107&lt;/D&gt;&lt;D xsi:type="xsd:double"&gt;0.5969405&lt;/D&gt;&lt;D xsi:type="xsd:double"&gt;-3.3230484&lt;/D&gt;&lt;D xsi:type="xsd:double"&gt;-0.51558614&lt;/D&gt;&lt;D xsi:type="xsd:double"&gt;4.886472&lt;/D&gt;&lt;/FQL&gt;&lt;FQL&gt;&lt;Q&gt;EWC^FG_TOTAL_RETURNC(-5AY,0,AM)&lt;/Q&gt;&lt;R&gt;61&lt;/R&gt;&lt;C&gt;1&lt;/C&gt;&lt;D xsi:type="xsd:double"&gt;2.548349&lt;/D&gt;&lt;D xsi:type="xsd:double"&gt;0.3242612&lt;/D&gt;&lt;D xsi:type="xsd:double"&gt;6.3025117&lt;/D&gt;&lt;D xsi:type="xsd:double"&gt;5.3207636&lt;/D&gt;&lt;D xsi:type="xsd:double"&gt;2.8002381&lt;/D&gt;&lt;D xsi:type="xsd:double"&gt;7.0766687&lt;/D&gt;&lt;D xsi:type="xsd:double"&gt;-0.7038474&lt;/D&gt;&lt;D xsi:type="xsd:double"&gt;-0.79723597&lt;/D&gt;&lt;D xsi:type="xsd:double"&gt;0.66970587&lt;/D&gt;&lt;D xsi:type="xsd:double"&gt;-2.5279403&lt;/D&gt;&lt;D xsi:type="xsd:double"&gt;8.2172985&lt;/D&gt;&lt;D xsi:type="xsd:double"&gt;-7.013112&lt;/D&gt;&lt;D xsi:type="xsd:double"&gt;5.6088924&lt;/D&gt;&lt;D xsi:type="xsd:double"&gt;0.650537&lt;/D&gt;&lt;D xsi:type="xsd:double"&gt;-2.5336087&lt;/D&gt;&lt;D xsi:type="xsd:double"&gt;6.684351&lt;/D&gt;&lt;D xsi:type="xsd:double"&gt;-7.8816533&lt;/D&gt;&lt;D xsi:type="xsd:double"&gt;1.8893361&lt;/D&gt;&lt;D xsi:type="xsd:double"&gt;-9.155643&lt;/D&gt;&lt;D xsi:type="xsd:double"&gt;2.702701&lt;/D&gt;&lt;D xsi:type="xsd:double"&gt;-4.5766535&lt;/D&gt;&lt;D xsi:type="xsd:double"&gt;-7.793766&lt;/D&gt;&lt;D xsi:type="xsd:double"&gt;7.8023434&lt;/D&gt;&lt;D xsi:type="xsd:double"&gt;6.7852855&lt;/D&gt;&lt;D xsi:type="xsd:double"&gt;-6.221628&lt;/D&gt;&lt;D xsi:type="xsd:double"&gt;9.47144&lt;/D&gt;&lt;D xsi:type="xsd:double"&gt;-4.437619&lt;/D&gt;&lt;D xsi:type="xsd:double"&gt;-0.17523766&lt;/D&gt;&lt;D xsi:type="xsd:double"&gt;2.8086543&lt;/D&gt;&lt;D xsi:type="xsd:double"&gt;-4.012519&lt;/D&gt;&lt;D xsi:type="xsd:double"&gt;4.7865987&lt;/D&gt;&lt;D xsi:type="xsd:double"&gt;1.8005013&lt;/D&gt;&lt;D xsi:type="xsd:double"&gt;-1.9371092&lt;/D&gt;&lt;D xsi:type="xsd:double"&gt;-4.2084217&lt;/D&gt;&lt;D xsi:type="xsd:double"&gt;-4.154211&lt;/D&gt;&lt;D xsi:type="xsd:double"&gt;10.664177&lt;/D&gt;&lt;D xsi:type="xsd:double"&gt;4.761255&lt;/D&gt;&lt;D xsi:type="xsd:double"&gt;-0.21810532&lt;/D&gt;&lt;D xsi:type="xsd:double"&gt;1.3934493&lt;/D&gt;&lt;D xsi:type="xsd:double"&gt;2.9911041&lt;/D&gt;&lt;D xsi:type="xsd:double"&gt;-3.349036&lt;/D&gt;&lt;D xsi:type="xsd:double"&gt;3.573358&lt;/D&gt;&lt;D xsi:type="xsd:double"&gt;-2.5622904&lt;/D&gt;&lt;D xsi:type="xsd:double"&gt;3.0327559&lt;/D&gt;&lt;D xsi:type="xsd:double"&gt;6.4126253&lt;/D&gt;&lt;D xsi:type="xsd:double"&gt;2.840197&lt;/D&gt;&lt;D xsi:type="xsd:double"&gt;-2.3294926&lt;/D&gt;&lt;D xsi:type="xsd:double"&gt;6.343746&lt;/D&gt;&lt;D xsi:type="xsd:double"&gt;-5.5702267&lt;/D&gt;&lt;D xsi:type="xsd:double"&gt;2.2828817&lt;/D&gt;&lt;D xsi:type="xsd:double"&gt;0.02425909&lt;/D&gt;&lt;D xsi:type="xsd:double"&gt;-0.24253726&lt;/D&gt;&lt;D xsi:type="xsd:double"&gt;2.8689504&lt;/D&gt;&lt;D xsi:type="xsd:double"&gt;6.263292&lt;/D&gt;&lt;D xsi:type="xsd:double"&gt;3.422618&lt;/D&gt;&lt;D xsi:type="xsd:double"&gt;-0.7144332&lt;/D&gt;&lt;D xsi:type="xsd:double"&gt;6.38901&lt;/D&gt;&lt;D xsi:type="xsd:double"&gt;3.648281&lt;/D&gt;&lt;D xsi:type="xsd:double"&gt;0.3361702&lt;/D&gt;&lt;D xsi:type="xsd:double"&gt;2.8379917&lt;/D&gt;&lt;D xsi:type="xsd:double"&gt;4.2802453&lt;/D&gt;&lt;/FQL&gt;&lt;FQL&gt;&lt;Q&gt;EWA^FG_TOTAL_RETURNC(-5AY,0,AM)&lt;/Q&gt;&lt;R&gt;61&lt;/R&gt;&lt;C&gt;1&lt;/C&gt;&lt;D xsi:type="xsd:double"&gt;4.2436004&lt;/D&gt;&lt;D xsi:type="xsd:double"&gt;0.8768201&lt;/D&gt;&lt;D xsi:type="xsd:double"&gt;5.0082803&lt;/D&gt;&lt;D xsi:type="xsd:double"&gt;-0.9460032&lt;/D&gt;&lt;D xsi:type="xsd:double"&gt;2.984476&lt;/D&gt;&lt;D xsi:type="xsd:double"&gt;3.7867188&lt;/D&gt;&lt;D xsi:type="xsd:double"&gt;-2.2678673&lt;/D&gt;&lt;D xsi:type="xsd:double"&gt;-0.46349764&lt;/D&gt;&lt;D xsi:type="xsd:double"&gt;1.590991&lt;/D&gt;&lt;D xsi:type="xsd:double"&gt;-4.7364416&lt;/D&gt;&lt;D xsi:type="xsd:double"&gt;6.1347127&lt;/D&gt;&lt;D xsi:type="xsd:double"&gt;-8.38685&lt;/D&gt;&lt;D xsi:type="xsd:double"&gt;6.123388&lt;/D&gt;&lt;D xsi:type="xsd:double"&gt;-6.806284&lt;/D&gt;&lt;D xsi:type="xsd:double"&gt;3.0250669&lt;/D&gt;&lt;D xsi:type="xsd:double"&gt;11.9547&lt;/D&gt;&lt;D xsi:type="xsd:double"&gt;-7.9055843&lt;/D&gt;&lt;D xsi:type="xsd:double"&gt;0.73230267&lt;/D&gt;&lt;D xsi:type="xsd:double"&gt;-12.070465&lt;/D&gt;&lt;D xsi:type="xsd:double"&gt;7.776189&lt;/D&gt;&lt;D xsi:type="xsd:double"&gt;-4.399472&lt;/D&gt;&lt;D xsi:type="xsd:double"&gt;-9.710073&lt;/D&gt;&lt;D xsi:type="xsd:double"&gt;7.084608&lt;/D&gt;&lt;D xsi:type="xsd:double"&gt;12.946213&lt;/D&gt;&lt;D xsi:type="xsd:double"&gt;-4.576671&lt;/D&gt;&lt;D xsi:type="xsd:double"&gt;13.000452&lt;/D&gt;&lt;D xsi:type="xsd:double"&gt;-8.081216&lt;/D&gt;&lt;D xsi:type="xsd:double"&gt;-0.649631&lt;/D&gt;&lt;D xsi:type="xsd:double"&gt;0.5666971&lt;/D&gt;&lt;D xsi:type="xsd:double"&gt;-3.03424&lt;/D&gt;&lt;D xsi:type="xsd:double"&gt;2.7100205&lt;/D&gt;&lt;D xsi:type="xsd:double"&gt;1.552105&lt;/D&gt;&lt;D xsi:type="xsd:double"&gt;-2.8384268&lt;/D&gt;&lt;D xsi:type="xsd:double"&gt;-3.3258438&lt;/D&gt;&lt;D xsi:type="xsd:double"&gt;-1.8131077&lt;/D&gt;&lt;D xsi:type="xsd:double"&gt;8.570075&lt;/D&gt;&lt;D xsi:type="xsd:double"&gt;8.336174&lt;/D&gt;&lt;D xsi:type="xsd:double"&gt;-2.4650812&lt;/D&gt;&lt;D xsi:type="xsd:double"&gt;1.895535&lt;/D&gt;&lt;D xsi:type="xsd:double"&gt;1.6122341&lt;/D&gt;&lt;D xsi:type="xsd:double"&gt;-4.8413334&lt;/D&gt;&lt;D xsi:type="xsd:double"&gt;5.386913&lt;/D&gt;&lt;D xsi:type="xsd:double"&gt;0.6664872&lt;/D&gt;&lt;D xsi:type="xsd:double"&gt;0.36976337&lt;/D&gt;&lt;D xsi:type="xsd:double"&gt;5.8943987&lt;/D&gt;&lt;D xsi:type="xsd:double"&gt;4.020095&lt;/D&gt;&lt;D xsi:type="xsd:double"&gt;-5.425489&lt;/D&gt;&lt;D xsi:type="xsd:double"&gt;3.8506866&lt;/D&gt;&lt;D xsi:type="xsd:double"&gt;-8.207822&lt;/D&gt;&lt;D xsi:type="xsd:double"&gt;3.1433344&lt;/D&gt;&lt;D xsi:type="xsd:double"&gt;-2.5193036&lt;/D&gt;&lt;D xsi:type="xsd:double"&gt;-1.1671543&lt;/D&gt;&lt;D xsi:type="xsd:double"&gt;3.964579&lt;/D&gt;&lt;D xsi:type="xsd:double"&gt;4.705882&lt;/D&gt;&lt;D xsi:type="xsd:double"&gt;3.6470413&lt;/D&gt;&lt;D xsi:type="xsd:double"&gt;-1.6698301&lt;/D&gt;&lt;D xsi:type="xsd:double"&gt;4.515636&lt;/D&gt;&lt;D xsi:type="xsd:double"&gt;0.25849342&lt;/D&gt;&lt;D xsi:type="xsd:double"&gt;-1.3996303&lt;/D&gt;&lt;D xsi:type="xsd:double"&gt;-3.8849473&lt;/D&gt;&lt;D xsi:type="xsd:double"&gt;3.5366774&lt;/D&gt;&lt;/FQL&gt;&lt;FQL&gt;&lt;Q&gt;ENZL^FG_TOTAL_RETURNC(-5AY,0,AM)&lt;/Q&gt;&lt;R&gt;61&lt;/R&gt;&lt;C&gt;1&lt;/C&gt;&lt;D xsi:type="xsd:double"&gt;2.6886106&lt;/D&gt;&lt;D xsi:type="xsd:double"&gt;-0.54356456&lt;/D&gt;&lt;D xsi:type="xsd:double"&gt;-5.465281&lt;/D&gt;&lt;D xsi:type="xsd:double"&gt;-2.5781274&lt;/D&gt;&lt;D xsi:type="xsd:double"&gt;3.560543&lt;/D&gt;&lt;D xsi:type="xsd:double"&gt;-2.8496206&lt;/D&gt;&lt;D xsi:type="xsd:double"&gt;-2.167344&lt;/D&gt;&lt;D xsi:type="xsd:double"&gt;-0.62479377&lt;/D&gt;&lt;D xsi:type="xsd:double"&gt;5.195236&lt;/D&gt;&lt;D xsi:type="xsd:double"&gt;-1.4469981&lt;/D&gt;&lt;D xsi:type="xsd:double"&gt;1.7397046&lt;/D&gt;&lt;D xsi:type="xsd:double"&gt;-8.253789&lt;/D&gt;&lt;D xsi:type="xsd:double"&gt;2.2116065&lt;/D&gt;&lt;D xsi:type="xsd:double"&gt;-9.680706&lt;/D&gt;&lt;D xsi:type="xsd:double"&gt;3.1402707&lt;/D&gt;&lt;D xsi:type="xsd:double"&gt;0.8568883&lt;/D&gt;&lt;D xsi:type="xsd:double"&gt;-9.689081&lt;/D&gt;&lt;D xsi:type="xsd:double"&gt;-3.1024814&lt;/D&gt;&lt;D xsi:type="xsd:double"&gt;-7.3117733&lt;/D&gt;&lt;D xsi:type="xsd:double"&gt;9.334839&lt;/D&gt;&lt;D xsi:type="xsd:double"&gt;-4.413289&lt;/D&gt;&lt;D xsi:type="xsd:double"&gt;-11.154259&lt;/D&gt;&lt;D xsi:type="xsd:double"&gt;6.5080166&lt;/D&gt;&lt;D xsi:type="xsd:double"&gt;13.155497&lt;/D&gt;&lt;D xsi:type="xsd:double"&gt;-1.701796&lt;/D&gt;&lt;D xsi:type="xsd:double"&gt;8.589088&lt;/D&gt;&lt;D xsi:type="xsd:double"&gt;-6.050837&lt;/D&gt;&lt;D xsi:type="xsd:double"&gt;0.80759525&lt;/D&gt;&lt;D xsi:type="xsd:double"&gt;-0.3687203&lt;/D&gt;&lt;D xsi:type="xsd:double"&gt;-1.941669&lt;/D&gt;&lt;D xsi:type="xsd:double"&gt;1.4151216&lt;/D&gt;&lt;D xsi:type="xsd:double"&gt;-0.081670284&lt;/D&gt;&lt;D xsi:type="xsd:double"&gt;-7.0290146&lt;/D&gt;&lt;D xsi:type="xsd:double"&gt;-2.6593387&lt;/D&gt;&lt;D xsi:type="xsd:double"&gt;-4.0867033&lt;/D&gt;&lt;D xsi:type="xsd:double"&gt;11.134648&lt;/D&gt;&lt;D xsi:type="xsd:double"&gt;4.859531&lt;/D&gt;&lt;D xsi:type="xsd:double"&gt;-3.2271326&lt;/D&gt;&lt;D xsi:type="xsd:double"&gt;-2.897936&lt;/D&gt;&lt;D xsi:type="xsd:double"&gt;-1.0972142&lt;/D&gt;&lt;D xsi:type="xsd:double"&gt;-2.2409558&lt;/D&gt;&lt;D xsi:type="xsd:double"&gt;5.878353&lt;/D&gt;&lt;D xsi:type="xsd:double"&gt;-2.5386155&lt;/D&gt;&lt;D xsi:type="xsd:double"&gt;1.5735865&lt;/D&gt;&lt;D xsi:type="xsd:double"&gt;7.4623585&lt;/D&gt;&lt;D xsi:type="xsd:double"&gt;0.40609837&lt;/D&gt;&lt;D xsi:type="xsd:double"&gt;-4.6916065&lt;/D&gt;&lt;D xsi:type="xsd:double"&gt;3.564608&lt;/D&gt;&lt;D xsi:type="xsd:double"&gt;-6.198758&lt;/D&gt;&lt;D xsi:type="xsd:double"&gt;-0.4869461&lt;/D&gt;&lt;D xsi:type="xsd:double"&gt;-5.7606754&lt;/D&gt;&lt;D xsi:type="xsd:double"&gt;0.04720688&lt;/D&gt;&lt;D xsi:type="xsd:double"&gt;1.5805602&lt;/D&gt;&lt;D xsi:type="xsd:double"&gt;3.0887127&lt;/D&gt;&lt;D xsi:type="xsd:double"&gt;4.517174&lt;/D&gt;&lt;D xsi:type="xsd:double"&gt;-2.7632713&lt;/D&gt;&lt;D xsi:type="xsd:double"&gt;0.38039684&lt;/D&gt;&lt;D xsi:type="xsd:double"&gt;4.1275144&lt;/D&gt;&lt;D xsi:type="xsd:double"&gt;-1.7588794&lt;/D&gt;&lt;D xsi:type="xsd:double"&gt;-0.89343786&lt;/D&gt;&lt;D xsi:type="xsd:double"&gt;0.8104205&lt;/D&gt;&lt;/FQL&gt;&lt;FQL&gt;&lt;Q&gt;KSA^FG_TOTAL_RETURNC(-5AY,0,AM)&lt;/Q&gt;&lt;R&gt;61&lt;/R&gt;&lt;C&gt;1&lt;/C&gt;&lt;D xsi:type="xsd:double"&gt;-0.9366214&lt;/D&gt;&lt;D xsi:type="xsd:double"&gt;-0.19286871&lt;/D&gt;&lt;D xsi:type="xsd:double"&gt;5.8293104&lt;/D&gt;&lt;D xsi:type="xsd:double"&gt;9.403526&lt;/D&gt;&lt;D xsi:type="xsd:double"&gt;5.0904036&lt;/D&gt;&lt;D xsi:type="xsd:double"&gt;2.69984&lt;/D&gt;&lt;D xsi:type="xsd:double"&gt;3.1542659&lt;/D&gt;&lt;D xsi:type="xsd:double"&gt;0.22698641&lt;/D&gt;&lt;D xsi:type="xsd:double"&gt;4.5294404&lt;/D&gt;&lt;D xsi:type="xsd:double"&gt;1.035142&lt;/D&gt;&lt;D xsi:type="xsd:double"&gt;2.978313&lt;/D&gt;&lt;D xsi:type="xsd:double"&gt;-8.583993&lt;/D&gt;&lt;D xsi:type="xsd:double"&gt;4.2282224&lt;/D&gt;&lt;D xsi:type="xsd:double"&gt;10.516012&lt;/D&gt;&lt;D xsi:type="xsd:double"&gt;3.4520984&lt;/D&gt;&lt;D xsi:type="xsd:double"&gt;2.3101687&lt;/D&gt;&lt;D xsi:type="xsd:double"&gt;5.9376836&lt;/D&gt;&lt;D xsi:type="xsd:double"&gt;-9.374386&lt;/D&gt;&lt;D xsi:type="xsd:double"&gt;-8.958846&lt;/D&gt;&lt;D xsi:type="xsd:double"&gt;6.7469835&lt;/D&gt;&lt;D xsi:type="xsd:double"&gt;-0.47403574&lt;/D&gt;&lt;D xsi:type="xsd:double"&gt;-7.0083914&lt;/D&gt;&lt;D xsi:type="xsd:double"&gt;2.7804852&lt;/D&gt;&lt;D xsi:type="xsd:double"&gt;-7.2140512&lt;/D&gt;&lt;D xsi:type="xsd:double"&gt;-2.4937034&lt;/D&gt;&lt;D xsi:type="xsd:double"&gt;3.3934236&lt;/D&gt;&lt;D xsi:type="xsd:double"&gt;-5.6923094&lt;/D&gt;&lt;D xsi:type="xsd:double"&gt;5.3017974&lt;/D&gt;&lt;D xsi:type="xsd:double"&gt;5.80945&lt;/D&gt;&lt;D xsi:type="xsd:double"&gt;-1.1469066&lt;/D&gt;&lt;D xsi:type="xsd:double"&gt;3.235662&lt;/D&gt;&lt;D xsi:type="xsd:double"&gt;0.62907934&lt;/D&gt;&lt;D xsi:type="xsd:double"&gt;-1.5147924&lt;/D&gt;&lt;D xsi:type="xsd:double"&gt;-5.419916&lt;/D&gt;&lt;D xsi:type="xsd:double"&gt;-0.36138892&lt;/D&gt;&lt;D xsi:type="xsd:double"&gt;2.7720213&lt;/D&gt;&lt;D xsi:type="xsd:double"&gt;8.121765&lt;/D&gt;&lt;D xsi:type="xsd:double"&gt;-0.3307402&lt;/D&gt;&lt;D xsi:type="xsd:double"&gt;6.233704&lt;/D&gt;&lt;D xsi:type="xsd:double"&gt;-3.0789852&lt;/D&gt;&lt;D xsi:type="xsd:double"&gt;-1.0819435&lt;/D&gt;&lt;D xsi:type="xsd:double"&gt;-6.6558065&lt;/D&gt;&lt;D xsi:type="xsd:double"&gt;2.3340821&lt;/D&gt;&lt;D xsi:type="xsd:double"&gt;2.324438&lt;/D&gt;&lt;D xsi:type="xsd:double"&gt;2.392459&lt;/D&gt;&lt;D xsi:type="xsd:double"&gt;-0.6136358&lt;/D&gt;&lt;D xsi:type="xsd:double"&gt;-0.21372437&lt;/D&gt;&lt;D xsi:type="xsd:double"&gt;-2.2846222&lt;/D&gt;&lt;D xsi:type="xsd:double"&gt;1.395297&lt;/D&gt;&lt;D xsi:type="xsd:double"&gt;3.4769773&lt;/D&gt;&lt;D xsi:type="xsd:double"&gt;-2.673918&lt;/D&gt;&lt;D xsi:type="xsd:double"&gt;0.5105734&lt;/D&gt;&lt;D xsi:type="xsd:double"&gt;-3.2172263&lt;/D&gt;&lt;D xsi:type="xsd:double"&gt;-4.1989446&lt;/D&gt;&lt;D xsi:type="xsd:double"&gt;1.4776349&lt;/D&gt;&lt;D xsi:type="xsd:double"&gt;-2.4313748&lt;/D&gt;&lt;D xsi:type="xsd:double"&gt;0.10718107&lt;/D&gt;&lt;D xsi:type="xsd:double"&gt;7.7355385&lt;/D&gt;&lt;D xsi:type="xsd:double"&gt;0.07452965&lt;/D&gt;&lt;D xsi:type="xsd:double"&gt;-7.9940376&lt;/D&gt;&lt;D xsi:type="xsd:double"&gt;-0.5574584&lt;/D&gt;&lt;/FQL&gt;&lt;FQL&gt;&lt;Q&gt;VNM^FG_TOTAL_RETURNC(-5AY,0,AM)&lt;/Q&gt;&lt;R&gt;61&lt;/R&gt;&lt;C&gt;1&lt;/C&gt;&lt;D xsi:type="xsd:double"&gt;8.747649&lt;/D&gt;&lt;D xsi:type="xsd:double"&gt;-2.5157273&lt;/D&gt;&lt;D xsi:type="xsd:double"&gt;5.865097&lt;/D&gt;&lt;D xsi:type="xsd:double"&gt;2.7700782&lt;/D&gt;&lt;D xsi:type="xsd:double"&gt;1.6172528&lt;/D&gt;&lt;D xsi:type="xsd:double"&gt;4.509282&lt;/D&gt;&lt;D xsi:type="xsd:double"&gt;5.9390903&lt;/D&gt;&lt;D xsi:type="xsd:double"&gt;-6.3248754&lt;/D&gt;&lt;D xsi:type="xsd:double"&gt;1.8925905&lt;/D&gt;&lt;D xsi:type="xsd:double"&gt;-3.9156675&lt;/D&gt;&lt;D xsi:type="xsd:double"&gt;6.4263344&lt;/D&gt;&lt;D xsi:type="xsd:double"&gt;2.1109343&lt;/D&gt;&lt;D xsi:type="xsd:double"&gt;2.6264668&lt;/D&gt;&lt;D xsi:type="xsd:double"&gt;-6.6384196&lt;/D&gt;&lt;D xsi:type="xsd:double"&gt;-2.0171463&lt;/D&gt;&lt;D xsi:type="xsd:double"&gt;-1.2352049&lt;/D&gt;&lt;D xsi:type="xsd:double"&gt;-11.203748&lt;/D&gt;&lt;D xsi:type="xsd:double"&gt;-5.7570457&lt;/D&gt;&lt;D xsi:type="xsd:double"&gt;-9.832496&lt;/D&gt;&lt;D xsi:type="xsd:double"&gt;3.7983418&lt;/D&gt;&lt;D xsi:type="xsd:double"&gt;1.3972044&lt;/D&gt;&lt;D xsi:type="xsd:double"&gt;-12.729656&lt;/D&gt;&lt;D xsi:type="xsd:double"&gt;-13.233084&lt;/D&gt;&lt;D xsi:type="xsd:double"&gt;7.3656917&lt;/D&gt;&lt;D xsi:type="xsd:double"&gt;-3.5415113&lt;/D&gt;&lt;D xsi:type="xsd:double"&gt;7.1790457&lt;/D&gt;&lt;D xsi:type="xsd:double"&gt;-8.668238&lt;/D&gt;&lt;D xsi:type="xsd:double"&gt;5.0905943&lt;/D&gt;&lt;D xsi:type="xsd:double"&gt;-1.0673225&lt;/D&gt;&lt;D xsi:type="xsd:double"&gt;6.3070536&lt;/D&gt;&lt;D xsi:type="xsd:double"&gt;3.82514&lt;/D&gt;&lt;D xsi:type="xsd:double"&gt;11.2782&lt;/D&gt;&lt;D xsi:type="xsd:double"&gt;2.2297263&lt;/D&gt;&lt;D xsi:type="xsd:double"&gt;-10.5089245&lt;/D&gt;&lt;D xsi:type="xsd:double"&gt;-12.629247&lt;/D&gt;&lt;D xsi:type="xsd:double"&gt;12.510574&lt;/D&gt;&lt;D xsi:type="xsd:double"&gt;2.350545&lt;/D&gt;&lt;D xsi:type="xsd:double"&gt;-0.23219585&lt;/D&gt;&lt;D xsi:type="xsd:double"&gt;5.5081487&lt;/D&gt;&lt;D xsi:type="xsd:double"&gt;0.36764145&lt;/D&gt;&lt;D xsi:type="xsd:double"&gt;-10.769224&lt;/D&gt;&lt;D xsi:type="xsd:double"&gt;3.5303712&lt;/D&gt;&lt;D xsi:type="xsd:double"&gt;-2.4583638&lt;/D&gt;&lt;D xsi:type="xsd:double"&gt;-4.796749&lt;/D&gt;&lt;D xsi:type="xsd:double"&gt;7.1733594&lt;/D&gt;&lt;D xsi:type="xsd:double"&gt;2.3107529&lt;/D&gt;&lt;D xsi:type="xsd:double"&gt;-8.021802&lt;/D&gt;&lt;D xsi:type="xsd:double"&gt;-0.4233718&lt;/D&gt;&lt;D xsi:type="xsd:double"&gt;-2.3809552&lt;/D&gt;&lt;D xsi:type="xsd:double"&gt;0.69687366&lt;/D&gt;&lt;D xsi:type="xsd:double"&gt;4.1522503&lt;/D&gt;&lt;D xsi:type="xsd:double"&gt;4.3189406&lt;/D&gt;&lt;D xsi:type="xsd:double"&gt;-3.5828114&lt;/D&gt;&lt;D xsi:type="xsd:double"&gt;12.2213125&lt;/D&gt;&lt;D xsi:type="xsd:double"&gt;0.956583&lt;/D&gt;&lt;D xsi:type="xsd:double"&gt;16.25364&lt;/D&gt;&lt;D xsi:type="xsd:double"&gt;14.670849&lt;/D&gt;&lt;D xsi:type="xsd:double"&gt;-1.3668656&lt;/D&gt;&lt;D xsi:type="xsd:double"&gt;-3.3813775&lt;/D&gt;&lt;D xsi:type="xsd:double"&gt;5.450368&lt;/D&gt;&lt;D xsi:type="xsd:double"&gt;4.0204525&lt;/D&gt;&lt;/FQL&gt;&lt;FQL&gt;&lt;Q&gt;UAE^FG_TOTAL_RETURNC(-5AY,0,AM)&lt;/Q&gt;&lt;R&gt;61&lt;/R&gt;&lt;C&gt;1&lt;/C&gt;&lt;D xsi:type="xsd:double"&gt;0.48816204&lt;/D&gt;&lt;D xsi:type="xsd:double"&gt;12.04915&lt;/D&gt;&lt;D xsi:type="xsd:double"&gt;-2.2825897&lt;/D&gt;&lt;D xsi:type="xsd:double"&gt;4.4891596&lt;/D&gt;&lt;D xsi:type="xsd:double"&gt;-0.37037134&lt;/D&gt;&lt;D xsi:type="xsd:double"&gt;10.92937&lt;/D&gt;&lt;D xsi:type="xsd:double"&gt;-1.6234338&lt;/D&gt;&lt;D xsi:type="xsd:double"&gt;-0.28208494&lt;/D&gt;&lt;D xsi:type="xsd:double"&gt;5.516267&lt;/D&gt;&lt;D xsi:type="xsd:double"&gt;-0.8378029&lt;/D&gt;&lt;D xsi:type="xsd:double"&gt;1.5883684&lt;/D&gt;&lt;D xsi:type="xsd:double"&gt;9.913516&lt;/D&gt;&lt;D xsi:type="xsd:double"&gt;-0.56483746&lt;/D&gt;&lt;D xsi:type="xsd:double"&gt;3.1559467&lt;/D&gt;&lt;D xsi:type="xsd:double"&gt;8.8182335&lt;/D&gt;&lt;D xsi:type="xsd:double"&gt;4.8974752&lt;/D&gt;&lt;D xsi:type="xsd:double"&gt;-1.0952115&lt;/D&gt;&lt;D xsi:type="xsd:double"&gt;-8.87354&lt;/D&gt;&lt;D xsi:type="xsd:double"&gt;-7.631463&lt;/D&gt;&lt;D xsi:type="xsd:double"&gt;6.455779&lt;/D&gt;&lt;D xsi:type="xsd:double"&gt;-3.517282&lt;/D&gt;&lt;D xsi:type="xsd:double"&gt;-4.525459&lt;/D&gt;&lt;D xsi:type="xsd:double"&gt;2.172482&lt;/D&gt;&lt;D xsi:type="xsd:double"&gt;0.8376241&lt;/D&gt;&lt;D xsi:type="xsd:double"&gt;-4.392475&lt;/D&gt;&lt;D xsi:type="xsd:double"&gt;-3.4159422&lt;/D&gt;&lt;D xsi:type="xsd:double"&gt;1.9417405&lt;/D&gt;&lt;D xsi:type="xsd:double"&gt;-3.67347&lt;/D&gt;&lt;D xsi:type="xsd:double"&gt;7.3446274&lt;/D&gt;&lt;D xsi:type="xsd:double"&gt;-3.6184251&lt;/D&gt;&lt;D xsi:type="xsd:double"&gt;2.721548&lt;/D&gt;&lt;D xsi:type="xsd:double"&gt;4.9829364&lt;/D&gt;&lt;D xsi:type="xsd:double"&gt;-1.6905069&lt;/D&gt;&lt;D xsi:type="xsd:double"&gt;1.1243343&lt;/D&gt;&lt;D xsi:type="xsd:double"&gt;-7.4558554&lt;/D&gt;&lt;D xsi:type="xsd:double"&gt;4.4523&lt;/D&gt;&lt;D xsi:type="xsd:double"&gt;1.1978984&lt;/D&gt;&lt;D xsi:type="xsd:double"&gt;-0.40376782&lt;/D&gt;&lt;D xsi:type="xsd:double"&gt;-0.67567825&lt;/D&gt;&lt;D xsi:type="xsd:double"&gt;0.612247&lt;/D&gt;&lt;D xsi:type="xsd:double"&gt;-2.6369214&lt;/D&gt;&lt;D xsi:type="xsd:double"&gt;-3.7500024&lt;/D&gt;&lt;D xsi:type="xsd:double"&gt;3.412199&lt;/D&gt;&lt;D xsi:type="xsd:double"&gt;5.221176&lt;/D&gt;&lt;D xsi:type="xsd:double"&gt;3.3769846&lt;/D&gt;&lt;D xsi:type="xsd:double"&gt;0.40000677&lt;/D&gt;&lt;D xsi:type="xsd:double"&gt;1.3944268&lt;/D&gt;&lt;D xsi:type="xsd:double"&gt;1.8624783&lt;/D&gt;&lt;D xsi:type="xsd:double"&gt;5.943465&lt;/D&gt;&lt;D xsi:type="xsd:double"&gt;3.4629464&lt;/D&gt;&lt;D xsi:type="xsd:double"&gt;2.4662375&lt;/D&gt;&lt;D xsi:type="xsd:double"&gt;-2.9799461&lt;/D&gt;&lt;D xsi:type="xsd:double"&gt;6.08387&lt;/D&gt;&lt;D xsi:type="xsd:double"&gt;3.3964396&lt;/D&gt;&lt;D xsi:type="xsd:double"&gt;3.8950682&lt;/D&gt;&lt;D xsi:type="xsd:double"&gt;6.913185&lt;/D&gt;&lt;D xsi:type="xsd:double"&gt;-2.8571486&lt;/D&gt;&lt;D xsi:type="xsd:double"&gt;-2.012378&lt;/D&gt;&lt;D xsi:type="xsd:double"&gt;3.6334991&lt;/D&gt;&lt;D xsi:type="xsd:double"&gt;-6.0259104&lt;/D&gt;&lt;D xsi:type="xsd:double"&gt;4.3963313&lt;/D&gt;&lt;/FQL&gt;&lt;FQL&gt;&lt;Q&gt;TUR^FG_TOTAL_RETURNC(-5AY,0,AM)&lt;/Q&gt;&lt;R&gt;61&lt;/R&gt;&lt;C&gt;1&lt;/C&gt;&lt;D xsi:type="xsd:double"&gt;15.745628&lt;/D&gt;&lt;D xsi:type="xsd:double"&gt;4.6037674&lt;/D&gt;&lt;D xsi:type="xsd:double"&gt;1.1183262&lt;/D&gt;&lt;D xsi:type="xsd:double"&gt;-15.162325&lt;/D&gt;&lt;D xsi:type="xsd:double"&gt;-1.9764543&lt;/D&gt;&lt;D xsi:type="xsd:double"&gt;-0.8150935&lt;/D&gt;&lt;D xsi:type="xsd:double"&gt;-4.775703&lt;/D&gt;&lt;D xsi:type="xsd:double"&gt;3.6482692&lt;/D&gt;&lt;D xsi:type="xsd:double"&gt;8.167863&lt;/D&gt;&lt;D xsi:type="xsd:double"&gt;-10.805172&lt;/D&gt;&lt;D xsi:type="xsd:double"&gt;1.8709183&lt;/D&gt;&lt;D xsi:type="xsd:double"&gt;-14.32507&lt;/D&gt;&lt;D xsi:type="xsd:double"&gt;0.01590252&lt;/D&gt;&lt;D xsi:type="xsd:double"&gt;9.795475&lt;/D&gt;&lt;D xsi:type="xsd:double"&gt;-6.2745037&lt;/D&gt;&lt;D xsi:type="xsd:double"&gt;9.571123&lt;/D&gt;&lt;D xsi:type="xsd:double"&gt;6.3961864&lt;/D&gt;&lt;D xsi:type="xsd:double"&gt;-3.813368&lt;/D&gt;&lt;D xsi:type="xsd:double"&gt;-7.666463&lt;/D&gt;&lt;D xsi:type="xsd:double"&gt;2.0779252&lt;/D&gt;&lt;D xsi:type="xsd:double"&gt;13.791359&lt;/D&gt;&lt;D xsi:type="xsd:double"&gt;-1.25224&lt;/D&gt;&lt;D xsi:type="xsd:double"&gt;24.5471&lt;/D&gt;&lt;D xsi:type="xsd:double"&gt;24.545456&lt;/D&gt;&lt;D xsi:type="xsd:double"&gt;8.568155&lt;/D&gt;&lt;D xsi:type="xsd:double"&gt;-13.486492&lt;/D&gt;&lt;D xsi:type="xsd:double"&gt;13.027191&lt;/D&gt;&lt;D xsi:type="xsd:double"&gt;-9.839696&lt;/D&gt;&lt;D xsi:type="xsd:double"&gt;-5.426115&lt;/D&gt;&lt;D xsi:type="xsd:double"&gt;0.16207695&lt;/D&gt;&lt;D xsi:type="xsd:double"&gt;-5.2873554&lt;/D&gt;&lt;D xsi:type="xsd:double"&gt;18.017696&lt;/D&gt;&lt;D xsi:type="xsd:double"&gt;14.367127&lt;/D&gt;&lt;D xsi:type="xsd:double"&gt;1.1277199&lt;/D&gt;&lt;D xsi:type="xsd:double"&gt;-11.877596&lt;/D&gt;&lt;D xsi:type="xsd:double"&gt;5.0029397&lt;/D&gt;&lt;D xsi:type="xsd:double"&gt;-8.5701885&lt;/D&gt;&lt;D xsi:type="xsd:double"&gt;13.073111&lt;/D&gt;&lt;D xsi:type="xsd:double"&gt;1.4520526&lt;/D&gt;&lt;D xsi:type="xsd:double"&gt;-1.4042675&lt;/D&gt;&lt;D xsi:type="xsd:double"&gt;9.969878&lt;/D&gt;&lt;D xsi:type="xsd:double"&gt;5.3050995&lt;/D&gt;&lt;D xsi:type="xsd:double"&gt;-1.9947767&lt;/D&gt;&lt;D xsi:type="xsd:double"&gt;2.5409222&lt;/D&gt;&lt;D xsi:type="xsd:double"&gt;-11.69883&lt;/D&gt;&lt;D xsi:type="xsd:double"&gt;-5.288726&lt;/D&gt;&lt;D xsi:type="xsd:double"&gt;-4.6723604&lt;/D&gt;&lt;D xsi:type="xsd:double"&gt;9.025705&lt;/D&gt;&lt;D xsi:type="xsd:double"&gt;-1.3118029&lt;/D&gt;&lt;D xsi:type="xsd:double"&gt;0.22308826&lt;/D&gt;&lt;D xsi:type="xsd:double"&gt;-4.6188116&lt;/D&gt;&lt;D xsi:type="xsd:double"&gt;-4.054838&lt;/D&gt;&lt;D xsi:type="xsd:double"&gt;-6.780177&lt;/D&gt;&lt;D xsi:type="xsd:double"&gt;-2.1852553&lt;/D&gt;&lt;D xsi:type="xsd:double"&gt;9.9511385&lt;/D&gt;&lt;D xsi:type="xsd:double"&gt;4.433489&lt;/D&gt;&lt;D xsi:type="xsd:double"&gt;4.038918&lt;/D&gt;&lt;D xsi:type="xsd:double"&gt;-0.93511343&lt;/D&gt;&lt;D xsi:type="xsd:double"&gt;-2.316928&lt;/D&gt;&lt;D xsi:type="xsd:double"&gt;-0.35139918&lt;/D&gt;&lt;D xsi:type="xsd:double"&gt;2.1930337&lt;/D&gt;&lt;/FQL&gt;&lt;FQL&gt;&lt;Q&gt;SET-BKK^FG_TOTAL_RETURNC(-5AY,0,AM)&lt;/Q&gt;&lt;R&gt;61&lt;/R&gt;&lt;C&gt;1&lt;/C&gt;&lt;D xsi:type="xsd:double"&gt;2.0044088&lt;/D&gt;&lt;D xsi:type="xsd:double"&gt;1.9801974&lt;/D&gt;&lt;D xsi:type="xsd:double"&gt;1.5473127&lt;/D&gt;&lt;D xsi:type="xsd:double"&gt;6.2761426&lt;/D&gt;&lt;D xsi:type="xsd:double"&gt;-0.7516682&lt;/D&gt;&lt;D xsi:type="xsd:double"&gt;2.239859&lt;/D&gt;&lt;D xsi:type="xsd:double"&gt;-1.5346646&lt;/D&gt;&lt;D xsi:type="xsd:double"&gt;-4.506975&lt;/D&gt;&lt;D xsi:type="xsd:double"&gt;7.395911&lt;/D&gt;&lt;D xsi:type="xsd:double"&gt;-1.7932296&lt;/D&gt;&lt;D xsi:type="xsd:double"&gt;0.5363941&lt;/D&gt;&lt;D xsi:type="xsd:double"&gt;-1.4233649&lt;/D&gt;&lt;D xsi:type="xsd:double"&gt;4.1997433&lt;/D&gt;&lt;D xsi:type="xsd:double"&gt;0.24914742&lt;/D&gt;&lt;D xsi:type="xsd:double"&gt;1.9575715&lt;/D&gt;&lt;D xsi:type="xsd:double"&gt;0.41493177&lt;/D&gt;&lt;D xsi:type="xsd:double"&gt;-1.9908249&lt;/D&gt;&lt;D xsi:type="xsd:double"&gt;-0.44558644&lt;/D&gt;&lt;D xsi:type="xsd:double"&gt;-5.2614093&lt;/D&gt;&lt;D xsi:type="xsd:double"&gt;1.3079643&lt;/D&gt;&lt;D xsi:type="xsd:double"&gt;1.8019915&lt;/D&gt;&lt;D xsi:type="xsd:double"&gt;-2.0000577&lt;/D&gt;&lt;D xsi:type="xsd:double"&gt;2.2786856&lt;/D&gt;&lt;D xsi:type="xsd:double"&gt;1.3969064&lt;/D&gt;&lt;D xsi:type="xsd:double"&gt;1.2266159&lt;/D&gt;&lt;D xsi:type="xsd:double"&gt;1.0241747&lt;/D&gt;&lt;D xsi:type="xsd:double"&gt;-3.9015293&lt;/D&gt;&lt;D xsi:type="xsd:double"&gt;-0.6672859&lt;/D&gt;&lt;D xsi:type="xsd:double"&gt;-4.9746156&lt;/D&gt;&lt;D xsi:type="xsd:double"&gt;-0.50486326&lt;/D&gt;&lt;D xsi:type="xsd:double"&gt;-1.2028456&lt;/D&gt;&lt;D xsi:type="xsd:double"&gt;3.5233855&lt;/D&gt;&lt;D xsi:type="xsd:double"&gt;0.3502369&lt;/D&gt;&lt;D xsi:type="xsd:double"&gt;-5.76877&lt;/D&gt;&lt;D xsi:type="xsd:double"&gt;-6.216407&lt;/D&gt;&lt;D xsi:type="xsd:double"&gt;0.025367737&lt;/D&gt;&lt;D xsi:type="xsd:double"&gt;2.5747776&lt;/D&gt;&lt;D xsi:type="xsd:double"&gt;-3.3824205&lt;/D&gt;&lt;D xsi:type="xsd:double"&gt;-0.039470196&lt;/D&gt;&lt;D xsi:type="xsd:double"&gt;0.8819461&lt;/D&gt;&lt;D xsi:type="xsd:double"&gt;-0.835824&lt;/D&gt;&lt;D xsi:type="xsd:double"&gt;-1.629442&lt;/D&gt;&lt;D xsi:type="xsd:double"&gt;-3.441441&lt;/D&gt;&lt;D xsi:type="xsd:double"&gt;1.8009067&lt;/D&gt;&lt;D xsi:type="xsd:double"&gt;2.7457952&lt;/D&gt;&lt;D xsi:type="xsd:double"&gt;7.7692866&lt;/D&gt;&lt;D xsi:type="xsd:double"&gt;-0.033456087&lt;/D&gt;&lt;D xsi:type="xsd:double"&gt;-2.501762&lt;/D&gt;&lt;D xsi:type="xsd:double"&gt;-1.9144893&lt;/D&gt;&lt;D xsi:type="xsd:double"&gt;-6.1212244&lt;/D&gt;&lt;D xsi:type="xsd:double"&gt;-8.427543&lt;/D&gt;&lt;D xsi:type="xsd:double"&gt;-2.965802&lt;/D&gt;&lt;D xsi:type="xsd:double"&gt;2.5033832&lt;/D&gt;&lt;D xsi:type="xsd:double"&gt;-4.015833&lt;/D&gt;&lt;D xsi:type="xsd:double"&gt;-3.4085214&lt;/D&gt;&lt;D xsi:type="xsd:double"&gt;9.758461&lt;/D&gt;&lt;D xsi:type="xsd:double"&gt;2.146387&lt;/D&gt;&lt;D xsi:type="xsd:double"&gt;2.4548411&lt;/D&gt;&lt;D xsi:type="xsd:double"&gt;2.703464&lt;/D&gt;&lt;D xsi:type="xsd:double"&gt;-2.514702&lt;/D&gt;&lt;D xsi:type="xsd:double"&gt;-1.3238549&lt;/D&gt;&lt;/FQL&gt;&lt;FQL&gt;&lt;Q&gt;QAT^FG_TOTAL_RETURNC(-5AY,0,AM)&lt;/Q&gt;&lt;R&gt;61&lt;/R&gt;&lt;C&gt;1&lt;/C&gt;&lt;D xsi:type="xsd:double"&gt;1.5410066&lt;/D&gt;&lt;D xsi:type="xsd:double"&gt;-1.4634192&lt;/D&gt;&lt;D xsi:type="xsd:double"&gt;0.44004917&lt;/D&gt;&lt;D xsi:type="xsd:double"&gt;4.4906855&lt;/D&gt;&lt;D xsi:type="xsd:double"&gt;2.777779&lt;/D&gt;&lt;D xsi:type="xsd:double"&gt;-1.4482439&lt;/D&gt;&lt;D xsi:type="xsd:double"&gt;0.45078993&lt;/D&gt;&lt;D xsi:type="xsd:double"&gt;-0.5265951&lt;/D&gt;&lt;D xsi:type="xsd:double"&gt;3.9703608&lt;/D&gt;&lt;D xsi:type="xsd:double"&gt;3.2586575&lt;/D&gt;&lt;D xsi:type="xsd:double"&gt;2.4654865&lt;/D&gt;&lt;D xsi:type="xsd:double"&gt;-0.8180976&lt;/D&gt;&lt;D xsi:type="xsd:double"&gt;-0.53794384&lt;/D&gt;&lt;D xsi:type="xsd:double"&gt;8.855188&lt;/D&gt;&lt;D xsi:type="xsd:double"&gt;6.426966&lt;/D&gt;&lt;D xsi:type="xsd:double"&gt;1.6047239&lt;/D&gt;&lt;D xsi:type="xsd:double"&gt;0.4156351&lt;/D&gt;&lt;D xsi:type="xsd:double"&gt;-6.9536448&lt;/D&gt;&lt;D xsi:type="xsd:double"&gt;-3.9528549&lt;/D&gt;&lt;D xsi:type="xsd:double"&gt;7.4748397&lt;/D&gt;&lt;D xsi:type="xsd:double"&gt;-0.8916676&lt;/D&gt;&lt;D xsi:type="xsd:double"&gt;-5.1992774&lt;/D&gt;&lt;D xsi:type="xsd:double"&gt;0.31223297&lt;/D&gt;&lt;D xsi:type="xsd:double"&gt;-3.405863&lt;/D&gt;&lt;D xsi:type="xsd:double"&gt;-9.586567&lt;/D&gt;&lt;D xsi:type="xsd:double"&gt;2.0408154&lt;/D&gt;&lt;D xsi:type="xsd:double"&gt;-2.2435904&lt;/D&gt;&lt;D xsi:type="xsd:double"&gt;-0.65573454&lt;/D&gt;&lt;D xsi:type="xsd:double"&gt;2.4202466&lt;/D&gt;&lt;D xsi:type="xsd:double"&gt;0.8055806&lt;/D&gt;&lt;D xsi:type="xsd:double"&gt;-0.8903265&lt;/D&gt;&lt;D xsi:type="xsd:double"&gt;7.1508408&lt;/D&gt;&lt;D xsi:type="xsd:double"&gt;-6.4129295&lt;/D&gt;&lt;D xsi:type="xsd:double"&gt;-3.1197846&lt;/D&gt;&lt;D xsi:type="xsd:double"&gt;-5.002868&lt;/D&gt;&lt;D xsi:type="xsd:double"&gt;5.0242066&lt;/D&gt;&lt;D xsi:type="xsd:double"&gt;4.4956684&lt;/D&gt;&lt;D xsi:type="xsd:double"&gt;-4.82294&lt;/D&gt;&lt;D xsi:type="xsd:double"&gt;5.009389&lt;/D&gt;&lt;D xsi:type="xsd:double"&gt;-4.249448&lt;/D&gt;&lt;D xsi:type="xsd:double"&gt;-0.23055077&lt;/D&gt;&lt;D xsi:type="xsd:double"&gt;-3.8128257&lt;/D&gt;&lt;D xsi:type="xsd:double"&gt;7.2146535&lt;/D&gt;&lt;D xsi:type="xsd:double"&gt;0.46920776&lt;/D&gt;&lt;D xsi:type="xsd:double"&gt;2.9188514&lt;/D&gt;&lt;D xsi:type="xsd:double"&gt;4.0272355&lt;/D&gt;&lt;D xsi:type="xsd:double"&gt;-0.327152&lt;/D&gt;&lt;D xsi:type="xsd:double"&gt;-0.38294196&lt;/D&gt;&lt;D xsi:type="xsd:double"&gt;0.032556057&lt;/D&gt;&lt;D xsi:type="xsd:double"&gt;1.0039091&lt;/D&gt;&lt;D xsi:type="xsd:double"&gt;-0.60740113&lt;/D&gt;&lt;D xsi:type="xsd:double"&gt;-0.666672&lt;/D&gt;&lt;D xsi:type="xsd:double"&gt;2.5727153&lt;/D&gt;&lt;D xsi:type="xsd:double"&gt;2.2355556&lt;/D&gt;&lt;D xsi:type="xsd:double"&gt;1.4759898&lt;/D&gt;&lt;D xsi:type="xsd:double"&gt;5.839622&lt;/D&gt;&lt;D xsi:type="xsd:double"&gt;1.7035246&lt;/D&gt;&lt;D xsi:type="xsd:double"&gt;-3.0500054&lt;/D&gt;&lt;D xsi:type="xsd:double"&gt;-0.46415925&lt;/D&gt;&lt;D xsi:type="xsd:double"&gt;-3.056997&lt;/D&gt;&lt;D xsi:type="xsd:double"&gt;1.7981052&lt;/D&gt;&lt;/FQL&gt;&lt;FQL&gt;&lt;Q&gt;MCHI^FG_TOTAL_RETURNC(-5AY,0,AM)&lt;/Q&gt;&lt;R&gt;61&lt;/R&gt;&lt;C&gt;1&lt;/C&gt;&lt;D xsi:type="xsd:double"&gt;1.4327168&lt;/D&gt;&lt;D xsi:type="xsd:double"&gt;11.26343&lt;/D&gt;&lt;D xsi:type="xsd:double"&gt;-0.3107965&lt;/D&gt;&lt;D xsi:type="xsd:double"&gt;-7.6717496&lt;/D&gt;&lt;D xsi:type="xsd:double"&gt;-1.1336148&lt;/D&gt;&lt;D xsi:type="xsd:double"&gt;2.561593&lt;/D&gt;&lt;D xsi:type="xsd:double"&gt;-2.5363803&lt;/D&gt;&lt;D xsi:type="xsd:double"&gt;-12.840897&lt;/D&gt;&lt;D xsi:type="xsd:double"&gt;1.8661499&lt;/D&gt;&lt;D xsi:type="xsd:double"&gt;-7.892555&lt;/D&gt;&lt;D xsi:type="xsd:double"&gt;5.159259&lt;/D&gt;&lt;D xsi:type="xsd:double"&gt;-7.920933&lt;/D&gt;&lt;D xsi:type="xsd:double"&gt;-2.3385942&lt;/D&gt;&lt;D xsi:type="xsd:double"&gt;0.35048723&lt;/D&gt;&lt;D xsi:type="xsd:double"&gt;-6.985235&lt;/D&gt;&lt;D xsi:type="xsd:double"&gt;-6.5540195&lt;/D&gt;&lt;D xsi:type="xsd:double"&gt;-7.835621&lt;/D&gt;&lt;D xsi:type="xsd:double"&gt;1.6448736&lt;/D&gt;&lt;D xsi:type="xsd:double"&gt;9.488546&lt;/D&gt;&lt;D xsi:type="xsd:double"&gt;-12.036544&lt;/D&gt;&lt;D xsi:type="xsd:double"&gt;0.22398233&lt;/D&gt;&lt;D xsi:type="xsd:double"&gt;-13.531083&lt;/D&gt;&lt;D xsi:type="xsd:double"&gt;-12.78196&lt;/D&gt;&lt;D xsi:type="xsd:double"&gt;25.592672&lt;/D&gt;&lt;D xsi:type="xsd:double"&gt;3.397274&lt;/D&gt;&lt;D xsi:type="xsd:double"&gt;15.41053&lt;/D&gt;&lt;D xsi:type="xsd:double"&gt;-9.321415&lt;/D&gt;&lt;D xsi:type="xsd:double"&gt;0.36209822&lt;/D&gt;&lt;D xsi:type="xsd:double"&gt;-4.7304096&lt;/D&gt;&lt;D xsi:type="xsd:double"&gt;-6.711549&lt;/D&gt;&lt;D xsi:type="xsd:double"&gt;1.8640518&lt;/D&gt;&lt;D xsi:type="xsd:double"&gt;8.8734865&lt;/D&gt;&lt;D xsi:type="xsd:double"&gt;-5.7893634&lt;/D&gt;&lt;D xsi:type="xsd:double"&gt;-5.6657195&lt;/D&gt;&lt;D xsi:type="xsd:double"&gt;-3.441906&lt;/D&gt;&lt;D xsi:type="xsd:double"&gt;1.2200952&lt;/D&gt;&lt;D xsi:type="xsd:double"&gt;-1.2737393&lt;/D&gt;&lt;D xsi:type="xsd:double"&gt;-9.941095&lt;/D&gt;&lt;D xsi:type="xsd:double"&gt;8.013094&lt;/D&gt;&lt;D xsi:type="xsd:double"&gt;1.8925071&lt;/D&gt;&lt;D xsi:type="xsd:double"&gt;4.432881&lt;/D&gt;&lt;D xsi:type="xsd:double"&gt;3.912735&lt;/D&gt;&lt;D xsi:type="xsd:double"&gt;-2.86057&lt;/D&gt;&lt;D xsi:type="xsd:double"&gt;-3.3506393&lt;/D&gt;&lt;D xsi:type="xsd:double"&gt;2.1240354&lt;/D&gt;&lt;D xsi:type="xsd:double"&gt;26.655506&lt;/D&gt;&lt;D xsi:type="xsd:double"&gt;-6.606269&lt;/D&gt;&lt;D xsi:type="xsd:double"&gt;-4.365402&lt;/D&gt;&lt;D xsi:type="xsd:double"&gt;0.89662075&lt;/D&gt;&lt;D xsi:type="xsd:double"&gt;3.307724&lt;/D&gt;&lt;D xsi:type="xsd:double"&gt;10.679615&lt;/D&gt;&lt;D xsi:type="xsd:double"&gt;1.8103719&lt;/D&gt;&lt;D xsi:type="xsd:double"&gt;-5.4262104&lt;/D&gt;&lt;D xsi:type="xsd:double"&gt;2.3841858&lt;/D&gt;&lt;D xsi:type="xsd:double"&gt;5.6571245&lt;/D&gt;&lt;D xsi:type="xsd:double"&gt;2.2616267&lt;/D&gt;&lt;D xsi:type="xsd:double"&gt;8.4748745&lt;/D&gt;&lt;D xsi:type="xsd:double"&gt;8.057415&lt;/D&gt;&lt;D xsi:type="xsd:double"&gt;-4.045284&lt;/D&gt;&lt;D xsi:type="xsd:double"&gt;-1.431495&lt;/D&gt;&lt;D xsi:type="xsd:double"&gt;-2.953136&lt;/D&gt;&lt;/FQL&gt;&lt;FQL&gt;&lt;Q&gt;INDA^FG_TOTAL_RETURNC(-5AY,0,AM)&lt;/Q&gt;&lt;R&gt;61&lt;/R&gt;&lt;C&gt;1&lt;/C&gt;&lt;D xsi:type="xsd:double"&gt;6.999111&lt;/D&gt;&lt;D xsi:type="xsd:double"&gt;1.2431622&lt;/D&gt;&lt;D xsi:type="xsd:double"&gt;3.2416463&lt;/D&gt;&lt;D xsi:type="xsd:double"&gt;0.8087516&lt;/D&gt;&lt;D xsi:type="xsd:double"&gt;-3.2090604&lt;/D&gt;&lt;D xsi:type="xsd:double"&gt;8.922482&lt;/D&gt;&lt;D xsi:type="xsd:double"&gt;-1.1846125&lt;/D&gt;&lt;D xsi:type="xsd:double"&gt;1.3148904&lt;/D&gt;&lt;D xsi:type="xsd:double"&gt;9.353328&lt;/D&gt;&lt;D xsi:type="xsd:double"&gt;0.5729556&lt;/D&gt;&lt;D xsi:type="xsd:double"&gt;0.5900264&lt;/D&gt;&lt;D xsi:type="xsd:double"&gt;-3.741908&lt;/D&gt;&lt;D xsi:type="xsd:double"&gt;2.5837898&lt;/D&gt;&lt;D xsi:type="xsd:double"&gt;0.1090765&lt;/D&gt;&lt;D xsi:type="xsd:double"&gt;-7.1475267&lt;/D&gt;&lt;D xsi:type="xsd:double"&gt;6.5712214&lt;/D&gt;&lt;D xsi:type="xsd:double"&gt;-3.897822&lt;/D&gt;&lt;D xsi:type="xsd:double"&gt;-5.0412474&lt;/D&gt;&lt;D xsi:type="xsd:double"&gt;-4.7297297&lt;/D&gt;&lt;D xsi:type="xsd:double"&gt;8.890581&lt;/D&gt;&lt;D xsi:type="xsd:double"&gt;0.721097&lt;/D&gt;&lt;D xsi:type="xsd:double"&gt;-5.8198633&lt;/D&gt;&lt;D xsi:type="xsd:double"&gt;4.021573&lt;/D&gt;&lt;D xsi:type="xsd:double"&gt;4.266858&lt;/D&gt;&lt;D xsi:type="xsd:double"&gt;-5.6296587&lt;/D&gt;&lt;D xsi:type="xsd:double"&gt;-3.7613869&lt;/D&gt;&lt;D xsi:type="xsd:double"&gt;-2.3898423&lt;/D&gt;&lt;D xsi:type="xsd:double"&gt;0.38255453&lt;/D&gt;&lt;D xsi:type="xsd:double"&gt;4.4715405&lt;/D&gt;&lt;D xsi:type="xsd:double"&gt;2.4440646&lt;/D&gt;&lt;D xsi:type="xsd:double"&gt;3.9350986&lt;/D&gt;&lt;D xsi:type="xsd:double"&gt;1.7848969&lt;/D&gt;&lt;D xsi:type="xsd:double"&gt;-0.5395651&lt;/D&gt;&lt;D xsi:type="xsd:double"&gt;-0.045210123&lt;/D&gt;&lt;D xsi:type="xsd:double"&gt;-1.8543661&lt;/D&gt;&lt;D xsi:type="xsd:double"&gt;6.912446&lt;/D&gt;&lt;D xsi:type="xsd:double"&gt;5.1939607&lt;/D&gt;&lt;D xsi:type="xsd:double"&gt;2.9092312&lt;/D&gt;&lt;D xsi:type="xsd:double"&gt;3.3645153&lt;/D&gt;&lt;D xsi:type="xsd:double"&gt;-0.82818866&lt;/D&gt;&lt;D xsi:type="xsd:double"&gt;1.7867565&lt;/D&gt;&lt;D xsi:type="xsd:double"&gt;1.1448145&lt;/D&gt;&lt;D xsi:type="xsd:double"&gt;5.980003&lt;/D&gt;&lt;D xsi:type="xsd:double"&gt;1.085794&lt;/D&gt;&lt;D xsi:type="xsd:double"&gt;1.6376138&lt;/D&gt;&lt;D xsi:type="xsd:double"&gt;0.79694986&lt;/D&gt;&lt;D xsi:type="xsd:double"&gt;-5.7064295&lt;/D&gt;&lt;D xsi:type="xsd:double"&gt;-0.14582872&lt;/D&gt;&lt;D xsi:type="xsd:double"&gt;-3.2032669&lt;/D&gt;&lt;D xsi:type="xsd:double"&gt;-3.134495&lt;/D&gt;&lt;D xsi:type="xsd:double"&gt;-5.667782&lt;/D&gt;&lt;D xsi:type="xsd:double"&gt;6.1330557&lt;/D&gt;&lt;D xsi:type="xsd:double"&gt;4.877579&lt;/D&gt;&lt;D xsi:type="xsd:double"&gt;1.4381766&lt;/D&gt;&lt;D xsi:type="xsd:double"&gt;2.817154&lt;/D&gt;&lt;D xsi:type="xsd:double"&gt;-5.587393&lt;/D&gt;&lt;D xsi:type="xsd:double"&gt;-1.4036477&lt;/D&gt;&lt;D xsi:type="xsd:double"&gt;0.7887602&lt;/D&gt;&lt;D xsi:type="xsd:double"&gt;3.015852&lt;/D&gt;&lt;D xsi:type="xsd:double"&gt;0.6670356&lt;/D&gt;&lt;D xsi:type="xsd:double"&gt;-0.51537156&lt;/D&gt;&lt;/FQL&gt;&lt;FQL&gt;&lt;Q&gt;GREK^FG_TOTAL_RETURNC(-5AY,0,AM)&lt;/Q&gt;&lt;R&gt;61&lt;/R&gt;&lt;C&gt;1&lt;/C&gt;&lt;D xsi:type="xsd:double"&gt;5.4713845&lt;/D&gt;&lt;D xsi:type="xsd:double"&gt;-7.8554573&lt;/D&gt;&lt;D xsi:type="xsd:double"&gt;7.75789&lt;/D&gt;&lt;D xsi:type="xsd:double"&gt;6.566453&lt;/D&gt;&lt;D xsi:type="xsd:double"&gt;5.8648825&lt;/D&gt;&lt;D xsi:type="xsd:double"&gt;1.1220217&lt;/D&gt;&lt;D xsi:type="xsd:double"&gt;-2.7392566&lt;/D&gt;&lt;D xsi:type="xsd:double"&gt;-1.2477636&lt;/D&gt;&lt;D xsi:type="xsd:double"&gt;4.6209335&lt;/D&gt;&lt;D xsi:type="xsd:double"&gt;-4.968941&lt;/D&gt;&lt;D xsi:type="xsd:double"&gt;3.0138016&lt;/D&gt;&lt;D xsi:type="xsd:double"&gt;-7.6489267&lt;/D&gt;&lt;D xsi:type="xsd:double"&gt;3.1603336&lt;/D&gt;&lt;D xsi:type="xsd:double"&gt;8.809078&lt;/D&gt;&lt;D xsi:type="xsd:double"&gt;-10.59764&lt;/D&gt;&lt;D xsi:type="xsd:double"&gt;5.402255&lt;/D&gt;&lt;D xsi:type="xsd:double"&gt;-3.6504507&lt;/D&gt;&lt;D xsi:type="xsd:double"&gt;1.722157&lt;/D&gt;&lt;D xsi:type="xsd:double"&gt;-12.342673&lt;/D&gt;&lt;D xsi:type="xsd:double"&gt;5.12048&lt;/D&gt;&lt;D xsi:type="xsd:double"&gt;-4.8301277&lt;/D&gt;&lt;D xsi:type="xsd:double"&gt;-8.774197&lt;/D&gt;&lt;D xsi:type="xsd:double"&gt;13.201321&lt;/D&gt;&lt;D xsi:type="xsd:double"&gt;12.078297&lt;/D&gt;&lt;D xsi:type="xsd:double"&gt;1.5687585&lt;/D&gt;&lt;D xsi:type="xsd:double"&gt;15.653157&lt;/D&gt;&lt;D xsi:type="xsd:double"&gt;6.3291073&lt;/D&gt;&lt;D xsi:type="xsd:double"&gt;-7.326001&lt;/D&gt;&lt;D xsi:type="xsd:double"&gt;3.524375&lt;/D&gt;&lt;D xsi:type="xsd:double"&gt;9.513199&lt;/D&gt;&lt;D xsi:type="xsd:double"&gt;8.506894&lt;/D&gt;&lt;D xsi:type="xsd:double"&gt;3.7166595&lt;/D&gt;&lt;D xsi:type="xsd:double"&gt;-3.7652493&lt;/D&gt;&lt;D xsi:type="xsd:double"&gt;-10.334599&lt;/D&gt;&lt;D xsi:type="xsd:double"&gt;1.4444709&lt;/D&gt;&lt;D xsi:type="xsd:double"&gt;11.124301&lt;/D&gt;&lt;D xsi:type="xsd:double"&gt;0.9095788&lt;/D&gt;&lt;D xsi:type="xsd:double"&gt;6.72065&lt;/D&gt;&lt;D xsi:type="xsd:double"&gt;2.5290847&lt;/D&gt;&lt;D xsi:type="xsd:double"&gt;-1.603359&lt;/D&gt;&lt;D xsi:type="xsd:double"&gt;1.0779619&lt;/D&gt;&lt;D xsi:type="xsd:double"&gt;2.1081328&lt;/D&gt;&lt;D xsi:type="xsd:double"&gt;-1.9336283&lt;/D&gt;&lt;D xsi:type="xsd:double"&gt;4.795027&lt;/D&gt;&lt;D xsi:type="xsd:double"&gt;-0.7112384&lt;/D&gt;&lt;D xsi:type="xsd:double"&gt;2.5549173&lt;/D&gt;&lt;D xsi:type="xsd:double"&gt;-7.613504&lt;/D&gt;&lt;D xsi:type="xsd:double"&gt;-1.9909322&lt;/D&gt;&lt;D xsi:type="xsd:double"&gt;4.029608&lt;/D&gt;&lt;D xsi:type="xsd:double"&gt;6.651199&lt;/D&gt;&lt;D xsi:type="xsd:double"&gt;2.9248357&lt;/D&gt;&lt;D xsi:type="xsd:double"&gt;11.860025&lt;/D&gt;&lt;D xsi:type="xsd:double"&gt;3.5061955&lt;/D&gt;&lt;D xsi:type="xsd:double"&gt;11.561871&lt;/D&gt;&lt;D xsi:type="xsd:double"&gt;8.217287&lt;/D&gt;&lt;D xsi:type="xsd:double"&gt;2.9165983&lt;/D&gt;&lt;D xsi:type="xsd:double"&gt;4.5575023&lt;/D&gt;&lt;D xsi:type="xsd:double"&gt;3.9150357&lt;/D&gt;&lt;D xsi:type="xsd:double"&gt;-5.094564&lt;/D&gt;&lt;D xsi:type="xsd:double"&gt;6.5252304&lt;/D&gt;&lt;D xsi:type="xsd:double"&gt;1.537025&lt;/D&gt;&lt;/FQL&gt;&lt;FQL&gt;&lt;Q&gt;EZA^FG_TOTAL_RETURNC(-5AY,0,AM)&lt;/Q&gt;&lt;R&gt;61&lt;/R&gt;&lt;C&gt;1&lt;/C&gt;&lt;D xsi:type="xsd:double"&gt;7.3497295&lt;/D&gt;&lt;D xsi:type="xsd:double"&gt;2.3494482&lt;/D&gt;&lt;D xsi:type="xsd:double"&gt;7.0202827&lt;/D&gt;&lt;D xsi:type="xsd:double"&gt;4.7688484&lt;/D&gt;&lt;D xsi:type="xsd:double"&gt;-1.9479215&lt;/D&gt;&lt;D xsi:type="xsd:double"&gt;10.196627&lt;/D&gt;&lt;D xsi:type="xsd:double"&gt;-9.717167&lt;/D&gt;&lt;D xsi:type="xsd:double"&gt;-0.45239925&lt;/D&gt;&lt;D xsi:type="xsd:double"&gt;2.437508&lt;/D&gt;&lt;D xsi:type="xsd:double"&gt;-4.9001813&lt;/D&gt;&lt;D xsi:type="xsd:double"&gt;-0.21204352&lt;/D&gt;&lt;D xsi:type="xsd:double"&gt;-4.9936295&lt;/D&gt;&lt;D xsi:type="xsd:double"&gt;4.8515797&lt;/D&gt;&lt;D xsi:type="xsd:double"&gt;9.353447&lt;/D&gt;&lt;D xsi:type="xsd:double"&gt;3.9219499&lt;/D&gt;&lt;D xsi:type="xsd:double"&gt;7.1117043&lt;/D&gt;&lt;D xsi:type="xsd:double"&gt;-15.120399&lt;/D&gt;&lt;D xsi:type="xsd:double"&gt;-0.7509291&lt;/D&gt;&lt;D xsi:type="xsd:double"&gt;-8.955985&lt;/D&gt;&lt;D xsi:type="xsd:double"&gt;-0.14160275&lt;/D&gt;&lt;D xsi:type="xsd:double"&gt;-6.2160254&lt;/D&gt;&lt;D x</t>
        </r>
      </text>
    </comment>
    <comment ref="A10" authorId="0" shapeId="0" xr:uid="{B2B1444F-C978-4349-9993-57E3433EE576}">
      <text>
        <r>
          <rPr>
            <b/>
            <sz val="9"/>
            <color indexed="81"/>
            <rFont val="Tahoma"/>
            <charset val="1"/>
          </rPr>
          <t>si:type="xsd:double"&gt;-9.173388&lt;/D&gt;&lt;D xsi:type="xsd:double"&gt;6.4927816&lt;/D&gt;&lt;D xsi:type="xsd:double"&gt;10.39604&lt;/D&gt;&lt;D xsi:type="xsd:double"&gt;1.6237259&lt;/D&gt;&lt;D xsi:type="xsd:double"&gt;9.219527&lt;/D&gt;&lt;D xsi:type="xsd:double"&gt;-8.743525&lt;/D&gt;&lt;D xsi:type="xsd:double"&gt;-0.11828542&lt;/D&gt;&lt;D xsi:type="xsd:double"&gt;1.0421515&lt;/D&gt;&lt;D xsi:type="xsd:double"&gt;-10.736048&lt;/D&gt;&lt;D xsi:type="xsd:double"&gt;6.276989&lt;/D&gt;&lt;D xsi:type="xsd:double"&gt;8.421326&lt;/D&gt;&lt;D xsi:type="xsd:double"&gt;-8.648271&lt;/D&gt;&lt;D xsi:type="xsd:double"&gt;-4.5177755&lt;/D&gt;&lt;D xsi:type="xsd:double"&gt;0.5847931&lt;/D&gt;&lt;D xsi:type="xsd:double"&gt;7.8224063&lt;/D&gt;&lt;D xsi:type="xsd:double"&gt;3.7048578&lt;/D&gt;&lt;D xsi:type="xsd:double"&gt;-4.426903&lt;/D&gt;&lt;D xsi:type="xsd:double"&gt;-4.732096&lt;/D&gt;&lt;D xsi:type="xsd:double"&gt;2.5755525&lt;/D&gt;&lt;D xsi:type="xsd:double"&gt;3.7919521&lt;/D&gt;&lt;D xsi:type="xsd:double"&gt;0.19748211&lt;/D&gt;&lt;D xsi:type="xsd:double"&gt;8.050978&lt;/D&gt;&lt;D xsi:type="xsd:double"&gt;3.0569673&lt;/D&gt;&lt;D xsi:type="xsd:double"&gt;5.5280924&lt;/D&gt;&lt;D xsi:type="xsd:double"&gt;6.814313&lt;/D&gt;&lt;D xsi:type="xsd:double"&gt;-1.4154673&lt;/D&gt;&lt;D xsi:type="xsd:double"&gt;-4.044491&lt;/D&gt;&lt;D xsi:type="xsd:double"&gt;-6.9639087&lt;/D&gt;&lt;D xsi:type="xsd:double"&gt;4.390359&lt;/D&gt;&lt;D xsi:type="xsd:double"&gt;1.4857173&lt;/D&gt;&lt;D xsi:type="xsd:double"&gt;8.333325&lt;/D&gt;&lt;D xsi:type="xsd:double"&gt;2.4324417&lt;/D&gt;&lt;D xsi:type="xsd:double"&gt;5.9671164&lt;/D&gt;&lt;D xsi:type="xsd:double"&gt;5.0555944&lt;/D&gt;&lt;D xsi:type="xsd:double"&gt;-1.4388442&lt;/D&gt;&lt;D xsi:type="xsd:double"&gt;7.9356074&lt;/D&gt;&lt;D xsi:type="xsd:double"&gt;12.276745&lt;/D&gt;&lt;D xsi:type="xsd:double"&gt;-1.513511&lt;/D&gt;&lt;D xsi:type="xsd:double"&gt;5.770731&lt;/D&gt;&lt;D xsi:type="xsd:double"&gt;7.60839&lt;/D&gt;&lt;/FQL&gt;&lt;FQL&gt;&lt;Q&gt;EWZ^FG_TOTAL_RETURNC(-5AY,0,AM)&lt;/Q&gt;&lt;R&gt;61&lt;/R&gt;&lt;C&gt;1&lt;/C&gt;&lt;D xsi:type="xsd:double"&gt;7.058382&lt;/D&gt;&lt;D xsi:type="xsd:double"&gt;-5.799842&lt;/D&gt;&lt;D xsi:type="xsd:double"&gt;-8.820152&lt;/D&gt;&lt;D xsi:type="xsd:double"&gt;2.449739&lt;/D&gt;&lt;D xsi:type="xsd:double"&gt;9.012878&lt;/D&gt;&lt;D xsi:type="xsd:double"&gt;13.413954&lt;/D&gt;&lt;D xsi:type="xsd:double"&gt;-0.08012056&lt;/D&gt;&lt;D xsi:type="xsd:double"&gt;-5.769706&lt;/D&gt;&lt;D xsi:type="xsd:double"&gt;-2.0053446&lt;/D&gt;&lt;D xsi:type="xsd:double"&gt;-9.7407875&lt;/D&gt;&lt;D xsi:type="xsd:double"&gt;-9.945589&lt;/D&gt;&lt;D xsi:type="xsd:double"&gt;-4.2631745&lt;/D&gt;&lt;D xsi:type="xsd:double"&gt;5.9027195&lt;/D&gt;&lt;D xsi:type="xsd:double"&gt;14.570713&lt;/D&gt;&lt;D xsi:type="xsd:double"&gt;2.3010015&lt;/D&gt;&lt;D xsi:type="xsd:double"&gt;18.966557&lt;/D&gt;&lt;D xsi:type="xsd:double"&gt;-16.274906&lt;/D&gt;&lt;D xsi:type="xsd:double"&gt;7.1101546&lt;/D&gt;&lt;D xsi:type="xsd:double"&gt;-19.204807&lt;/D&gt;&lt;D xsi:type="xsd:double"&gt;5.910599&lt;/D&gt;&lt;D xsi:type="xsd:double"&gt;6.2434554&lt;/D&gt;&lt;D xsi:type="xsd:double"&gt;-2.724886&lt;/D&gt;&lt;D xsi:type="xsd:double"&gt;11.879862&lt;/D&gt;&lt;D xsi:type="xsd:double"&gt;-5.8220267&lt;/D&gt;&lt;D xsi:type="xsd:double"&gt;-3.5750508&lt;/D&gt;&lt;D xsi:type="xsd:double"&gt;7.2220206&lt;/D&gt;&lt;D xsi:type="xsd:double"&gt;-8.336115&lt;/D&gt;&lt;D xsi:type="xsd:double"&gt;-0.40014982&lt;/D&gt;&lt;D xsi:type="xsd:double"&gt;2.410531&lt;/D&gt;&lt;D xsi:type="xsd:double"&gt;5.991435&lt;/D&gt;&lt;D xsi:type="xsd:double"&gt;11.796724&lt;/D&gt;&lt;D xsi:type="xsd:double"&gt;2.436018&lt;/D&gt;&lt;D xsi:type="xsd:double"&gt;-5.358219&lt;/D&gt;&lt;D xsi:type="xsd:double"&gt;-2.4491131&lt;/D&gt;&lt;D xsi:type="xsd:double"&gt;-0.03260374&lt;/D&gt;&lt;D xsi:type="xsd:double"&gt;12.263525&lt;/D&gt;&lt;D xsi:type="xsd:double"&gt;5.240035&lt;/D&gt;&lt;D xsi:type="xsd:double"&gt;-4.776883&lt;/D&gt;&lt;D xsi:type="xsd:double"&gt;-0.27035475&lt;/D&gt;&lt;D xsi:type="xsd:double"&gt;-4.126507&lt;/D&gt;&lt;D xsi:type="xsd:double"&gt;-2.1363497&lt;/D&gt;&lt;D xsi:type="xsd:double"&gt;-4.9759207&lt;/D&gt;&lt;D xsi:type="xsd:double"&gt;-5.30051&lt;/D&gt;&lt;D xsi:type="xsd:double"&gt;0.84745884&lt;/D&gt;&lt;D xsi:type="xsd:double"&gt;9.13409&lt;/D&gt;&lt;D xsi:type="xsd:double"&gt;-1.2052238&lt;/D&gt;&lt;D xsi:type="xsd:double"&gt;-8.471704&lt;/D&gt;&lt;D xsi:type="xsd:double"&gt;-5.5164757&lt;/D&gt;&lt;D xsi:type="xsd:double"&gt;-7.781434&lt;/D&gt;&lt;D xsi:type="xsd:double"&gt;12.527763&lt;/D&gt;&lt;D xsi:type="xsd:double"&gt;-4.8164186&lt;/D&gt;&lt;D xsi:type="xsd:double"&gt;8.419741&lt;/D&gt;&lt;D xsi:type="xsd:double"&gt;2.8309107&lt;/D&gt;&lt;D xsi:type="xsd:double"&gt;1.2276769&lt;/D&gt;&lt;D xsi:type="xsd:double"&gt;7.732177&lt;/D&gt;&lt;D xsi:type="xsd:double"&gt;-7.4331403&lt;/D&gt;&lt;D xsi:type="xsd:double"&gt;10.694181&lt;/D&gt;&lt;D xsi:type="xsd:double"&gt;3.6610126&lt;/D&gt;&lt;D xsi:type="xsd:double"&gt;1.9293666&lt;/D&gt;&lt;D xsi:type="xsd:double"&gt;7.1543217&lt;/D&gt;&lt;D xsi:type="xsd:double"&gt;-1.4635086&lt;/D&gt;&lt;/FQL&gt;&lt;FQL&gt;&lt;Q&gt;EWY^FG_TOTAL_RETURNC(-5AY,0,AM)&lt;/Q&gt;&lt;R&gt;61&lt;/R&gt;&lt;C&gt;1&lt;/C&gt;&lt;D xsi:type="xsd:double"&gt;11.303663&lt;/D&gt;&lt;D xsi:type="xsd:double"&gt;6.5427065&lt;/D&gt;&lt;D xsi:type="xsd:double"&gt;-1.4834225&lt;/D&gt;&lt;D xsi:type="xsd:double"&gt;0.40966272&lt;/D&gt;&lt;D xsi:type="xsd:double"&gt;-0.14334917&lt;/D&gt;&lt;D xsi:type="xsd:double"&gt;3.2022953&lt;/D&gt;&lt;D xsi:type="xsd:double"&gt;-0.92018247&lt;/D&gt;&lt;D xsi:type="xsd:double"&gt;-4.157668&lt;/D&gt;&lt;D xsi:type="xsd:double"&gt;-1.2056351&lt;/D&gt;&lt;D xsi:type="xsd:double"&gt;-8.200275&lt;/D&gt;&lt;D xsi:type="xsd:double"&gt;-0.8075535&lt;/D&gt;&lt;D xsi:type="xsd:double"&gt;-3.1437814&lt;/D&gt;&lt;D xsi:type="xsd:double"&gt;2.8644443&lt;/D&gt;&lt;D xsi:type="xsd:double"&gt;-6.279695&lt;/D&gt;&lt;D xsi:type="xsd:double"&gt;-2.0416617&lt;/D&gt;&lt;D xsi:type="xsd:double"&gt;-0.65743923&lt;/D&gt;&lt;D xsi:type="xsd:double"&gt;-6.1672745&lt;/D&gt;&lt;D xsi:type="xsd:double"&gt;1.4555812&lt;/D&gt;&lt;D xsi:type="xsd:double"&gt;-15.101314&lt;/D&gt;&lt;D xsi:type="xsd:double"&gt;4.285717&lt;/D&gt;&lt;D xsi:type="xsd:double"&gt;-5.312395&lt;/D&gt;&lt;D xsi:type="xsd:double"&gt;-16.443188&lt;/D&gt;&lt;D xsi:type="xsd:double"&gt;11.296452&lt;/D&gt;&lt;D xsi:type="xsd:double"&gt;14.418518&lt;/D&gt;&lt;D xsi:type="xsd:double"&gt;-5.2292767&lt;/D&gt;&lt;D xsi:type="xsd:double"&gt;15.279746&lt;/D&gt;&lt;D xsi:type="xsd:double"&gt;-8.431888&lt;/D&gt;&lt;D xsi:type="xsd:double"&gt;2.6836634&lt;/D&gt;&lt;D xsi:type="xsd:double"&gt;-1.5517831&lt;/D&gt;&lt;D xsi:type="xsd:double"&gt;5.790603&lt;/D&gt;&lt;D xsi:type="xsd:double"&gt;-0.5959809&lt;/D&gt;&lt;D xsi:type="xsd:double"&gt;6.5951347&lt;/D&gt;&lt;D xsi:type="xsd:double"&gt;-6.43872&lt;/D&gt;&lt;D xsi:type="xsd:double"&gt;-6.7552624&lt;/D&gt;&lt;D xsi:type="xsd:double"&gt;-4.5639634&lt;/D&gt;&lt;D xsi:type="xsd:double"&gt;12.568892&lt;/D&gt;&lt;D xsi:type="xsd:double"&gt;6.1971784&lt;/D&gt;&lt;D xsi:type="xsd:double"&gt;-6.455058&lt;/D&gt;&lt;D xsi:type="xsd:double"&gt;5.9216976&lt;/D&gt;&lt;D xsi:type="xsd:double"&gt;2.572&lt;/D&gt;&lt;D xsi:type="xsd:double"&gt;-5.2702665&lt;/D&gt;&lt;D xsi:type="xsd:double"&gt;-1.4423847&lt;/D&gt;&lt;D xsi:type="xsd:double"&gt;6.3364506&lt;/D&gt;&lt;D xsi:type="xsd:double"&gt;-1.2099266&lt;/D&gt;&lt;D xsi:type="xsd:double"&gt;0.2755642&lt;/D&gt;&lt;D xsi:type="xsd:double"&gt;-3.0839682&lt;/D&gt;&lt;D xsi:type="xsd:double"&gt;-5.450535&lt;/D&gt;&lt;D xsi:type="xsd:double"&gt;-4.3152275&lt;/D&gt;&lt;D xsi:type="xsd:double"&gt;-9.240484&lt;/D&gt;&lt;D xsi:type="xsd:double"&gt;6.0522676&lt;/D&gt;&lt;D xsi:type="xsd:double"&gt;1.297009&lt;/D&gt;&lt;D xsi:type="xsd:double"&gt;0.32924414&lt;/D&gt;&lt;D xsi:type="xsd:double"&gt;1.3673663&lt;/D&gt;&lt;D xsi:type="xsd:double"&gt;9.046769&lt;/D&gt;&lt;D xsi:type="xsd:double"&gt;18.15933&lt;/D&gt;&lt;D xsi:type="xsd:double"&gt;-1.3819039&lt;/D&gt;&lt;D xsi:type="xsd:double"&gt;2.2505283&lt;/D&gt;&lt;D xsi:type="xsd:double"&gt;13.358248&lt;/D&gt;&lt;D xsi:type="xsd:double"&gt;18.451584&lt;/D&gt;&lt;D xsi:type="xsd:double"&gt;-6.577319&lt;/D&gt;&lt;D xsi:type="xsd:double"&gt;9.724438&lt;/D&gt;&lt;/FQL&gt;&lt;FQL&gt;&lt;Q&gt;EWW^FG_TOTAL_RETURNC(-5AY,0,AM)&lt;/Q&gt;&lt;R&gt;61&lt;/R&gt;&lt;C&gt;1&lt;/C&gt;&lt;D xsi:type="xsd:double"&gt;3.4242392&lt;/D&gt;&lt;D xsi:type="xsd:double"&gt;-2.8378725&lt;/D&gt;&lt;D xsi:type="xsd:double"&gt;-0.7182181&lt;/D&gt;&lt;D xsi:type="xsd:double"&gt;7.475281&lt;/D&gt;&lt;D xsi:type="xsd:double"&gt;1.9968629&lt;/D&gt;&lt;D xsi:type="xsd:double"&gt;7.0611477&lt;/D&gt;&lt;D xsi:type="xsd:double"&gt;-0.6659627&lt;/D&gt;&lt;D xsi:type="xsd:double"&gt;2.1888614&lt;/D&gt;&lt;D xsi:type="xsd:double"&gt;2.6927829&lt;/D&gt;&lt;D xsi:type="xsd:double"&gt;-3.5955548&lt;/D&gt;&lt;D xsi:type="xsd:double"&gt;-0.70059896&lt;/D&gt;&lt;D xsi:type="xsd:double"&gt;-5.4575562&lt;/D&gt;&lt;D xsi:type="xsd:double"&gt;12.635541&lt;/D&gt;&lt;D xsi:type="xsd:double"&gt;-2.8063178&lt;/D&gt;&lt;D xsi:type="xsd:double"&gt;1.1183381&lt;/D&gt;&lt;D xsi:type="xsd:double"&gt;11.321139&lt;/D&gt;&lt;D xsi:type="xsd:double"&gt;-10.711706&lt;/D&gt;&lt;D xsi:type="xsd:double"&gt;4.491198&lt;/D&gt;&lt;D xsi:type="xsd:double"&gt;-8.668625&lt;/D&gt;&lt;D xsi:type="xsd:double"&gt;-0.88247657&lt;/D&gt;&lt;D xsi:type="xsd:double"&gt;-2.9750228&lt;/D&gt;&lt;D xsi:type="xsd:double"&gt;-1.0071635&lt;/D&gt;&lt;D xsi:type="xsd:double"&gt;16.640293&lt;/D&gt;&lt;D xsi:type="xsd:double"&gt;5.09789&lt;/D&gt;&lt;D xsi:type="xsd:double"&gt;-6.92957&lt;/D&gt;&lt;D xsi:type="xsd:double"&gt;19.191097&lt;/D&gt;&lt;D xsi:type="xsd:double"&gt;0.2714634&lt;/D&gt;&lt;D xsi:type="xsd:double"&gt;0.727582&lt;/D&gt;&lt;D xsi:type="xsd:double"&gt;2.6037335&lt;/D&gt;&lt;D xsi:type="xsd:double"&gt;-1.5062273&lt;/D&gt;&lt;D xsi:type="xsd:double"&gt;4.12277&lt;/D&gt;&lt;D xsi:type="xsd:double"&gt;2.3480177&lt;/D&gt;&lt;D xsi:type="xsd:double"&gt;-3.4255207&lt;/D&gt;&lt;D xsi:type="xsd:double"&gt;-5.255449&lt;/D&gt;&lt;D xsi:type="xsd:double"&gt;-2.9709756&lt;/D&gt;&lt;D xsi:type="xsd:double"&gt;12.920356&lt;/D&gt;&lt;D xsi:type="xsd:double"&gt;7.9892874&lt;/D&gt;&lt;D xsi:type="xsd:double"&gt;-0.30950308&lt;/D&gt;&lt;D xsi:type="xsd:double"&gt;-2.9568315&lt;/D&gt;&lt;D xsi:type="xsd:double"&gt;4.9969554&lt;/D&gt;&lt;D xsi:type="xsd:double"&gt;-4.33836&lt;/D&gt;&lt;D xsi:type="xsd:double"&gt;-1.5622616&lt;/D&gt;&lt;D xsi:type="xsd:double"&gt;-11.434889&lt;/D&gt;&lt;D xsi:type="xsd:double"&gt;-3.2105267&lt;/D&gt;&lt;D xsi:type="xsd:double"&gt;-3.8607895&lt;/D&gt;&lt;D xsi:type="xsd:double"&gt;1.338613&lt;/D&gt;&lt;D xsi:type="xsd:double"&gt;-4.9116254&lt;/D&gt;&lt;D xsi:type="xsd:double"&gt;-1.6435146&lt;/D&gt;&lt;D xsi:type="xsd:double"&gt;-3.8966596&lt;/D&gt;&lt;D xsi:type="xsd:double"&gt;4.6134114&lt;/D&gt;&lt;D xsi:type="xsd:double"&gt;3.144145&lt;/D&gt;&lt;D xsi:type="xsd:double"&gt;3.0285&lt;/D&gt;&lt;D xsi:type="xsd:double"&gt;8.876074&lt;/D&gt;&lt;D xsi:type="xsd:double"&gt;6.176102&lt;/D&gt;&lt;D xsi:type="xsd:double"&gt;3.4183502&lt;/D&gt;&lt;D xsi:type="xsd:double"&gt;-2.4869144&lt;/D&gt;&lt;D xsi:type="xsd:double"&gt;3.9261699&lt;/D&gt;&lt;D xsi:type="xsd:double"&gt;7.814014&lt;/D&gt;&lt;D xsi:type="xsd:double"&gt;-0.37436485&lt;/D&gt;&lt;D xsi:type="xsd:double"&gt;2.9009461&lt;/D&gt;&lt;D xsi:type="xsd:double"&gt;3.2391667&lt;/D&gt;&lt;/FQL&gt;&lt;FQL&gt;&lt;Q&gt;EWT^FG_TOTAL_RETURNC(-5AY,0,AM)&lt;/Q&gt;&lt;R&gt;61&lt;/R&gt;&lt;C&gt;1&lt;/C&gt;&lt;D xsi:type="xsd:double"&gt;7.4644804&lt;/D&gt;&lt;D xsi:type="xsd:double"&gt;6.6503406&lt;/D&gt;&lt;D xsi:type="xsd:double"&gt;5.423069&lt;/D&gt;&lt;D xsi:type="xsd:double"&gt;1.055634&lt;/D&gt;&lt;D xsi:type="xsd:double"&gt;7.013762&lt;/D&gt;&lt;D xsi:type="xsd:double"&gt;-0.94515085&lt;/D&gt;&lt;D xsi:type="xsd:double"&gt;-0.12513995&lt;/D&gt;&lt;D xsi:type="xsd:double"&gt;-0.40720105&lt;/D&gt;&lt;D xsi:type="xsd:double"&gt;2.4217606&lt;/D&gt;&lt;D xsi:type="xsd:double"&gt;-5.0053716&lt;/D&gt;&lt;D xsi:type="xsd:double"&gt;2.48909&lt;/D&gt;&lt;D xsi:type="xsd:double"&gt;3.106761&lt;/D&gt;&lt;D xsi:type="xsd:double"&gt;4.6860933&lt;/D&gt;&lt;D xsi:type="xsd:double"&gt;-2.2068799&lt;/D&gt;&lt;D xsi:type="xsd:double"&gt;-2.3334384&lt;/D&gt;&lt;D xsi:type="xsd:double"&gt;-3.3479989&lt;/D&gt;&lt;D xsi:type="xsd:double"&gt;-9.074646&lt;/D&gt;&lt;D xsi:type="xsd:double"&gt;1.1625886&lt;/D&gt;&lt;D xsi:type="xsd:double"&gt;-13.224894&lt;/D&gt;&lt;D xsi:type="xsd:double"&gt;2.5876045&lt;/D&gt;&lt;D xsi:type="xsd:double"&gt;-1.7874837&lt;/D&gt;&lt;D xsi:type="xsd:double"&gt;-12.841261&lt;/D&gt;&lt;D xsi:type="xsd:double"&gt;-2.3201883&lt;/D&gt;&lt;D xsi:type="xsd:double"&gt;20.546318&lt;/D&gt;&lt;D xsi:type="xsd:double"&gt;-6.6071453&lt;/D&gt;&lt;D xsi:type="xsd:double"&gt;13.894426&lt;/D&gt;&lt;D xsi:type="xsd:double"&gt;-3.3450007&lt;/D&gt;&lt;D xsi:type="xsd:double"&gt;2.5333643&lt;/D&gt;&lt;D xsi:type="xsd:double"&gt;-3.5958529&lt;/D&gt;&lt;D xsi:type="xsd:double"&gt;6.7048073&lt;/D&gt;&lt;D xsi:type="xsd:double"&gt;0.8363724&lt;/D&gt;&lt;D xsi:type="xsd:double"&gt;1.4887333&lt;/D&gt;&lt;D xsi:type="xsd:double"&gt;-4.1072965&lt;/D&gt;&lt;D xsi:type="xsd:double"&gt;-2.644229&lt;/D&gt;&lt;D xsi:type="xsd:double"&gt;-1.1447787&lt;/D&gt;&lt;D xsi:type="xsd:double"&gt;11.307896&lt;/D&gt;&lt;D xsi:type="xsd:double"&gt;5.8503747&lt;/D&gt;&lt;D xsi:type="xsd:double"&gt;-2.3245692&lt;/D&gt;&lt;D xsi:type="xsd:double"&gt;4.225981&lt;/D&gt;&lt;D xsi:type="xsd:double"&gt;4.1826725&lt;/D&gt;&lt;D xsi:type="xsd:double"&gt;-3.9123297&lt;/D&gt;&lt;D xsi:type="xsd:double"&gt;7.2692394&lt;/D&gt;&lt;D xsi:type="xsd:double"&gt;7.412553&lt;/D&gt;&lt;D xsi:type="xsd:double"&gt;-4.273814&lt;/D&gt;&lt;D xsi:type="xsd:double"&gt;3.9814353&lt;/D&gt;&lt;D xsi:type="xsd:double"&gt;-0.5390346&lt;/D&gt;&lt;D xsi:type="xsd:double"&gt;2.4107695&lt;/D&gt;&lt;D xsi:type="xsd:double"&gt;-3.0109465&lt;/D&gt;&lt;D xsi:type="xsd:double"&gt;0.56757927&lt;/D&gt;&lt;D xsi:type="xsd:double"&gt;-0.59891343&lt;/D&gt;&lt;D xsi:type="xsd:double"&gt;-1.2439251&lt;/D&gt;&lt;D xsi:type="xsd:double"&gt;-5.136788&lt;/D&gt;&lt;D xsi:type="xsd:double"&gt;-0.7883847&lt;/D&gt;&lt;D xsi:type="xsd:double"&gt;9.535766&lt;/D&gt;&lt;D xsi:type="xsd:double"&gt;9.927452&lt;/D&gt;&lt;D xsi:type="xsd:double"&gt;1.4067292&lt;/D&gt;&lt;D xsi:type="xsd:double"&gt;0.7364273&lt;/D&gt;&lt;D xsi:type="xsd:double"&gt;9.04454&lt;/D&gt;&lt;D xsi:type="xsd:double"&gt;3.913319&lt;/D&gt;&lt;D xsi:type="xsd:double"&gt;-3.780949&lt;/D&gt;&lt;D xsi:type="xsd:double"&gt;3.628862&lt;/D&gt;&lt;/FQL&gt;&lt;FQL&gt;&lt;Q&gt;EWM^FG_TOTAL_RETURNC(-5AY,0,AM)&lt;/Q&gt;&lt;R&gt;61&lt;/R&gt;&lt;C&gt;1&lt;/C&gt;&lt;D xsi:type="xsd:double"&gt;2.163887&lt;/D&gt;&lt;D xsi:type="xsd:double"&gt;-4.6874943&lt;/D&gt;&lt;D xsi:type="xsd:double"&gt;-0.6557405&lt;/D&gt;&lt;D xsi:type="xsd:double"&gt;-0.11001229&lt;/D&gt;&lt;D xsi:type="xsd:double"&gt;2.0558&lt;/D&gt;&lt;D xsi:type="xsd:double"&gt;-1.0431647&lt;/D&gt;&lt;D xsi:type="xsd:double"&gt;-4.5367956&lt;/D&gt;&lt;D xsi:type="xsd:double"&gt;-3.0243456&lt;/D&gt;&lt;D xsi:type="xsd:double"&gt;7.168889&lt;/D&gt;&lt;D xsi:type="xsd:double"&gt;-4.535145&lt;/D&gt;&lt;D xsi:type="xsd:double"&gt;1.6627073&lt;/D&gt;&lt;D xsi:type="xsd:double"&gt;-4.5950174&lt;/D&gt;&lt;D xsi:type="xsd:double"&gt;5.5213094&lt;/D&gt;&lt;D xsi:type="xsd:double"&gt;-1.837796&lt;/D&gt;&lt;D xsi:type="xsd:double"&gt;3.6630034&lt;/D&gt;&lt;D xsi:type="xsd:double"&gt;1.8453121&lt;/D&gt;&lt;D xsi:type="xsd:double"&gt;-4.3562117&lt;/D&gt;&lt;D xsi:type="xsd:double"&gt;-3.1841934&lt;/D&gt;&lt;D xsi:type="xsd:double"&gt;-6.409502&lt;/D&gt;&lt;D xsi:type="xsd:double"&gt;2.8597355&lt;/D&gt;&lt;D xsi:type="xsd:double"&gt;-2.162397&lt;/D&gt;&lt;D xsi:type="xsd:double"&gt;-8.930987&lt;/D&gt;&lt;D xsi:type="xsd:double"&gt;2.8727055&lt;/D&gt;&lt;D xsi:type="xsd:double"&gt;10.54405&lt;/D&gt;&lt;D xsi:type="xsd:double"&gt;0.44033527&lt;/D&gt;&lt;D xsi:type="xsd:double"&gt;4.816115&lt;/D&gt;&lt;D xsi:type="xsd:double"&gt;-9.1061&lt;/D&gt;&lt;D xsi:type="xsd:double"&gt;1.8841863&lt;/D&gt;&lt;D xsi:type="xsd:double"&gt;-1.8042386&lt;/D&gt;&lt;D xsi:type="xsd:double"&gt;-5.09876&lt;/D&gt;&lt;D xsi:type="xsd:double"&gt;-1.394105&lt;/D&gt;&lt;D xsi:type="xsd:double"&gt;7.995999&lt;/D&gt;&lt;D xsi:type="xsd:double"&gt;-1.7584503&lt;/D&gt;&lt;D xsi:type="xsd:double"&gt;-3.0146003&lt;/D&gt;&lt;D xsi:type="xsd:double"&gt;0.09713173&lt;/D&gt;&lt;D xsi:type="xsd:double"&gt;3.6390066&lt;/D&gt;&lt;D xsi:type="xsd:double"&gt;1.2434244&lt;/D&gt;&lt;D xsi:type="xsd:double"&gt;0.094115734&lt;/D&gt;&lt;D xsi:type="xsd:double"&gt;1.7395377&lt;/D&gt;&lt;D xsi:type="xsd:double"&gt;1.0628581&lt;/D&gt;&lt;D xsi:type="xsd:double"&gt;1.1888385&lt;/D&gt;&lt;D xsi:type="xsd:double"&gt;3.795755&lt;/D&gt;&lt;D xsi:type="xsd:double"&gt;-0.43296218&lt;/D&gt;&lt;D xsi:type="xsd:double"&gt;5.197692&lt;/D&gt;&lt;D xsi:type="xsd:double"&gt;9.459459&lt;/D&gt;&lt;D xsi:type="xsd:double"&gt;3.9737701&lt;/D&gt;&lt;D xsi:type="xsd:double"&gt;-8.0519495&lt;/D&gt;&lt;D xsi:type="xsd:double"&gt;-0.68603754&lt;/D&gt;&lt;D xsi:type="xsd:double"&gt;1.5455127&lt;/D&gt;&lt;D xsi:type="xsd:double"&gt;-4.525071&lt;/D&gt;&lt;D xsi:type="xsd:double"&gt;1.0674596&lt;/D&gt;&lt;D xsi:type="xsd:double"&gt;-2.7038395&lt;/D&gt;&lt;D xsi:type="xsd:double"&gt;4.7329545&lt;/D&gt;&lt;D xsi:type="xsd:double"&gt;-0.663358&lt;/D&gt;&lt;D xsi:type="xsd:double"&gt;3.9127707&lt;/D&gt;&lt;D xsi:type="xsd:double"&gt;-1.6406894&lt;/D&gt;&lt;D xsi:type="xsd:double"&gt;3.7114263&lt;/D&gt;&lt;D xsi:type="xsd:double"&gt;5.3880095&lt;/D&gt;&lt;D xsi:type="xsd:double"&gt;-1.3735175&lt;/D&gt;&lt;D xsi:type="xsd:double"&gt;2.9013515&lt;/D&gt;&lt;D xsi:type="xsd:double"&gt;4.4905424&lt;/D&gt;&lt;/FQL&gt;&lt;FQL&gt;&lt;Q&gt;EPU^FG_TOTAL_RETURNC(-5AY,0,AM)&lt;/Q&gt;&lt;R&gt;61&lt;/R&gt;&lt;C&gt;1&lt;/C&gt;&lt;D xsi:type="xsd:double"&gt;2.5888205&lt;/D&gt;&lt;D xsi:type="xsd:double"&gt;3.2295227&lt;/D&gt;&lt;D xsi:type="xsd:double"&gt;3.9944172&lt;/D&gt;&lt;D xsi:type="xsd:double"&gt;-6.956756&lt;/D&gt;&lt;D xsi:type="xsd:double"&gt;-8.40069&lt;/D&gt;&lt;D xsi:type="xsd:double"&gt;4.254651&lt;/D&gt;&lt;D xsi:type="xsd:double"&gt;-11.288971&lt;/D&gt;&lt;D xsi:type="xsd:double"&gt;-7.7319565&lt;/D&gt;&lt;D xsi:type="xsd:double"&gt;-0.7821262&lt;/D&gt;&lt;D xsi:type="xsd:double"&gt;-0.90090036&lt;/D&gt;&lt;D xsi:type="xsd:double"&gt;15.00001&lt;/D&gt;&lt;D xsi:type="xsd:double"&gt;-9.354412&lt;/D&gt;&lt;D xsi:type="xsd:double"&gt;10.185933&lt;/D&gt;&lt;D xsi:type="xsd:double"&gt;8.575285&lt;/D&gt;&lt;D xsi:type="xsd:double"&gt;8.333338&lt;/D&gt;&lt;D xsi:type="xsd:double"&gt;7.921922&lt;/D&gt;&lt;D xsi:type="xsd:double"&gt;-15.026593&lt;/D&gt;&lt;D xsi:type="xsd:double"&gt;-3.630674&lt;/D&gt;&lt;D xsi:type="xsd:double"&gt;-12.67671&lt;/D&gt;&lt;D xsi:type="xsd:double"&gt;-1.1183977&lt;/D&gt;&lt;D xsi:type="xsd:double"&gt;-4.407173&lt;/D&gt;&lt;D xsi:type="xsd:double"&gt;0.1224041&lt;/D&gt;&lt;D xsi:type="xsd:double"&gt;11.369192&lt;/D&gt;&lt;D xsi:type="xsd:double"&gt;9.07427&lt;/D&gt;&lt;D xsi:type="xsd:double"&gt;-2.133119&lt;/D&gt;&lt;D xsi:type="xsd:double"&gt;9.626794&lt;/D&gt;&lt;D xsi:type="xsd:double"&gt;-4.6452465&lt;/D&gt;&lt;D xsi:type="xsd:double"&gt;1.7017007&lt;/D&gt;&lt;D xsi:type="xsd:double"&gt;1.6076088&lt;/D&gt;&lt;D xsi:type="xsd:double"&gt;-2.9118478&lt;/D&gt;&lt;D xsi:type="xsd:double"&gt;4.3649673&lt;/D&gt;&lt;D xsi:type="xsd:double"&gt;9.461665&lt;/D&gt;&lt;D xsi:type="xsd:double"&gt;-3.934425&lt;/D&gt;&lt;D xsi:type="xsd:double"&gt;-6.360531&lt;/D&gt;&lt;D xsi:type="xsd:double"&gt;-3.2140553&lt;/D&gt;&lt;D xsi:type="xsd:double"&gt;7.80555&lt;/D&gt;&lt;D xsi:type="xsd:double"&gt;11.465907&lt;/D&gt;&lt;D xsi:type="xsd:double"&gt;-0.6689906&lt;/D&gt;&lt;D xsi:type="xsd:double"&gt;3.8430333&lt;/D&gt;&lt;D xsi:type="xsd:double"&gt;10.230279&lt;/D&gt;&lt;D xsi:type="xsd:double"&gt;3.8365006&lt;/D&gt;&lt;D xsi:type="xsd:double"&gt;8.031535&lt;/D&gt;&lt;D xsi:type="xsd:double"&gt;-6.3041687&lt;/D&gt;&lt;D xsi:type="xsd:double"&gt;0.09975433&lt;/D&gt;&lt;D xsi:type="xsd:double"&gt;1.3452888&lt;/D&gt;&lt;D xsi:type="xsd:double"&gt;6.2930226&lt;/D&gt;&lt;D xsi:type="xsd:double"&gt;0.2543807&lt;/D&gt;&lt;D xsi:type="xsd:double"&gt;-1.6378284&lt;/D&gt;&lt;D xsi:type="xsd:double"&gt;-4.1636887&lt;/D&gt;&lt;D xsi:type="xsd:double"&gt;1.6863585&lt;/D&gt;&lt;D xsi:type="xsd:double"&gt;1.6422629&lt;/D&gt;&lt;D xsi:type="xsd:double"&gt;8.862638&lt;/D&gt;&lt;D xsi:type="xsd:double"&gt;-1.8622339&lt;/D&gt;&lt;D xsi:type="xsd:double"&gt;6.630087&lt;/D&gt;&lt;D xsi:type="xsd:double"&gt;6.7210793&lt;/D&gt;&lt;D xsi:type="xsd:double"&gt;-1.0381341&lt;/D&gt;&lt;D xsi:type="xsd:double"&gt;11.271977&lt;/D&gt;&lt;D xsi:type="xsd:double"&gt;13.475836&lt;/D&gt;&lt;D xsi:type="xsd:double"&gt;2.8337479&lt;/D&gt;&lt;D xsi:type="xsd:double"&gt;2.851224&lt;/D&gt;&lt;D xsi:type="xsd:double"&gt;12.508833&lt;/D&gt;&lt;/FQL&gt;&lt;FQL&gt;&lt;Q&gt;EPOL^FG_TOTAL_RETURNC(-5AY,0,AM)&lt;/Q&gt;&lt;R&gt;61&lt;/R&gt;&lt;C&gt;1&lt;/C&gt;&lt;D xsi:type="xsd:double"&gt;5.5130362999999996&lt;/D&gt;&lt;D xsi:type="xsd:double"&gt;0.68348646&lt;/D&gt;&lt;D xsi:type="xsd:double"&gt;-0.31331182&lt;/D&gt;&lt;D xsi:type="xsd:double"&gt;-2.7239442&lt;/D&gt;&lt;D xsi:type="xsd:double"&gt;6.8389893&lt;/D&gt;&lt;D xsi:type="xsd:double"&gt;14.516127&lt;/D&gt;&lt;D xsi:type="xsd:double"&gt;-3.4809291&lt;/D&gt;&lt;D xsi:type="xsd:double"&gt;-0.3200829&lt;/D&gt;&lt;D xsi:type="xsd:double"&gt;7.0183516&lt;/D&gt;&lt;D xsi:type="xsd:double"&gt;-3.5576522&lt;/D&gt;&lt;D xsi:type="xsd:double"&gt;3.8222194&lt;/D&gt;&lt;D xsi:type="xsd:double"&gt;-11.815071&lt;/D&gt;&lt;D xsi:type="xsd:double"&gt;3.3313274&lt;/D&gt;&lt;D xsi:type="xsd:double"&gt;-1.1870861&lt;/D&gt;&lt;D xsi:type="xsd:double"&gt;-17.443531&lt;/D&gt;&lt;D xsi:type="xsd:double"&gt;12.8637905&lt;/D&gt;&lt;D xsi:type="xsd:double"&gt;-18.617844&lt;/D&gt;&lt;D xsi:type="xsd:double"&gt;2.7249694&lt;/D&gt;&lt;D xsi:type="xsd:double"&gt;-9.3615055&lt;/D&gt;&lt;D xsi:type="xsd:double"&gt;-0.13736486&lt;/D&gt;&lt;D xsi:type="xsd:double"&gt;-16.299862&lt;/D&gt;&lt;D xsi:type="xsd:double"&gt;-11.503696&lt;/D&gt;&lt;D xsi:type="xsd:double"&gt;17.270195&lt;/D&gt;&lt;D xsi:type="xsd:double"&gt;20.90261&lt;/D&gt;&lt;D xsi:type="xsd:double"&gt;3.020513&lt;/D&gt;&lt;D xsi:type="xsd:double"&gt;8.47348&lt;/D&gt;&lt;D xsi:type="xsd:double"&gt;-4.412639&lt;/D&gt;&lt;D xsi:type="xsd:double"&gt;-3.4310758&lt;/D&gt;&lt;D xsi:type="xsd:double"&gt;13.3075&lt;/D&gt;&lt;D xsi:type="xsd:double"&gt;0.45609474&lt;/D&gt;&lt;D xsi:type="xsd:double"&gt;8.853567&lt;/D&gt;&lt;D xsi:type="xsd:double"&gt;8.029186&lt;/D&gt;&lt;D xsi:type="xsd:double"&gt;-6.998062&lt;/D&gt;&lt;D xsi:type="xsd:double"&gt;-11.20913&lt;/D&gt;&lt;D xsi:type="xsd:double"&gt;16.48159&lt;/D&gt;&lt;D xsi:type="xsd:double"&gt;13.146008&lt;/D&gt;&lt;D xsi:type="xsd:double"&gt;3.3796072&lt;/D&gt;&lt;D xsi:type="xsd:double"&gt;-0.7063985&lt;/D&gt;&lt;D xsi:type="xsd:double"&gt;4.535353&lt;/D&gt;&lt;D xsi:type="xsd:double"&gt;0.042533875&lt;/D&gt;&lt;D xsi:type="xsd:double"&gt;0.25509596&lt;/D&gt;&lt;D xsi:type="xsd:double"&gt;6.7854166&lt;/D&gt;&lt;D xsi:type="xsd:double"&gt;-0.59083104&lt;/D&gt;&lt;D xsi:type="xsd:double"&gt;-5.575901&lt;/D&gt;&lt;D xsi:type="xsd:double"&gt;5.9051633&lt;/D&gt;&lt;D xsi:type="xsd:double"&gt;-2.5640965&lt;/D&gt;&lt;D xsi:type="xsd:double"&gt;-7.309943&lt;/D&gt;&lt;D xsi:type="xsd:double"&gt;-0.45065284&lt;/D&gt;&lt;D xsi:type="xsd:double"&gt;-1.8415749&lt;/D&gt;&lt;D xsi:type="xsd:double"&gt;13.224721&lt;/D&gt;&lt;D xsi:type="xsd:double"&gt;6.9826603&lt;/D&gt;&lt;D xsi:type="xsd:double"&gt;11.867094&lt;/D&gt;&lt;D xsi:type="xsd:double"&gt;4.137194&lt;/D&gt;&lt;D xsi:type="xsd:double"&gt;3.123939&lt;/D&gt;&lt;D xsi:type="xsd:double"&gt;7.406676&lt;/D&gt;&lt;D xsi:type="xsd:double"&gt;-1.1228979&lt;/D&gt;&lt;D xsi:type="xsd:double"&gt;0&lt;/D&gt;&lt;D xsi:type="xsd:double"&gt;2.8391123&lt;/D&gt;&lt;D xsi:type="xsd:double"&gt;3.4049153&lt;/D&gt;&lt;D xsi:type="xsd:double"&gt;0.56363344&lt;/D&gt;&lt;D xsi:type="xsd:double"&gt;7.333076&lt;/D&gt;&lt;/FQL&gt;&lt;FQL&gt;&lt;Q&gt;EPHE^FG_TOTAL_RETURNC(-5AY,0,AM)&lt;/Q&gt;&lt;R&gt;61&lt;/R&gt;&lt;C&gt;1&lt;/C&gt;&lt;D xsi:type="xsd:double"&gt;2.2829056&lt;/D&gt;&lt;D xsi:type="xsd:double"&gt;-6.2691154&lt;/D&gt;&lt;D xsi:type="xsd:double"&gt;0.75041056&lt;/D&gt;&lt;D xsi:type="xsd:double"&gt;-5.3756475&lt;/D&gt;&lt;D xsi:type="xsd:double"&gt;-1.060915&lt;/D&gt;&lt;D xsi:type="xsd:double"&gt;6.433761&lt;/D&gt;&lt;D xsi:type="xsd:double"&gt;1.5307188&lt;/D&gt;&lt;D xsi:type="xsd:double"&gt;-9.861427&lt;/D&gt;&lt;D xsi:type="xsd:double"&gt;7.901323&lt;/D&gt;&lt;D xsi:type="xsd:double"&gt;0.099396706&lt;/D&gt;&lt;D xsi:type="xsd:double"&gt;4.534924&lt;/D&gt;&lt;D xsi:type="xsd:double"&gt;-1.3299584&lt;/D&gt;&lt;D xsi:type="xsd:double"&gt;1.9138455&lt;/D&gt;&lt;D xsi:type="xsd:double"&gt;2.0543694&lt;/D&gt;&lt;D xsi:type="xsd:double"&gt;0.8361697&lt;/D&gt;&lt;D xsi:type="xsd:double"&gt;-4.29976&lt;/D&gt;&lt;D xsi:type="xsd:double"&gt;-7.477534&lt;/D&gt;&lt;D xsi:type="xsd:double"&gt;0&lt;/D&gt;&lt;D xsi:type="xsd:double"&gt;-10.438538&lt;/D&gt;&lt;D xsi:type="xsd:double"&gt;0.47022104&lt;/D&gt;&lt;D xsi:type="xsd:double"&gt;1.4040589&lt;/D&gt;&lt;D xsi:type="xsd:double"&gt;-15.076923&lt;/D&gt;&lt;D xsi:type="xsd:double"&gt;9.510875&lt;/D&gt;&lt;D xsi:type="xsd:double"&gt;10.008276&lt;/D&gt;&lt;D xsi:type="xsd:double"&gt;-1.0835052&lt;/D&gt;&lt;D xsi:type="xsd:double"&gt;11.798393&lt;/D&gt;&lt;D xsi:type="xsd:double"&gt;-8.777327&lt;/D&gt;&lt;D xsi:type="xsd:double"&gt;0.93598366&lt;/D&gt;&lt;D xsi:type="xsd:double"&gt;-0.33382177&lt;/D&gt;&lt;D xsi:type="xsd:double"&gt;-4.652029&lt;/D&gt;&lt;D xsi:type="xsd:double"&gt;2.8681993&lt;/D&gt;&lt;D xsi:type="xsd:double"&gt;2.9953837&lt;/D&gt;&lt;D xsi:type="xsd:double"&gt;-8.650261&lt;/D&gt;&lt;D xsi:type="xsd:double"&gt;1.6734719&lt;/D&gt;&lt;D xsi:type="xsd:double"&gt;-5.419511&lt;/D&gt;&lt;D xsi:type="xsd:double"&gt;7.4278474&lt;/D&gt;&lt;D xsi:type="xsd:double"&gt;3.52993&lt;/D&gt;&lt;D xsi:type="xsd:double"&gt;2.000773&lt;/D&gt;&lt;D xsi:type="xsd:double"&gt;4.3002605&lt;/D&gt;&lt;D xsi:type="xsd:double"&gt;0.18084049&lt;/D&gt;&lt;D xsi:type="xsd:double"&gt;-7.039714&lt;/D&gt;&lt;D xsi:type="xsd:double"&gt;-4.854369&lt;/D&gt;&lt;D xsi:type="xsd:double"&gt;-0.022011995&lt;/D&gt;&lt;D xsi:type="xsd:double"&gt;4.3928742&lt;/D&gt;&lt;D xsi:type="xsd:double"&gt;9.408485&lt;/D&gt;&lt;D xsi:type="xsd:double"&gt;5.986941&lt;/D&gt;&lt;D xsi:type="xsd:double"&gt;-6.0938&lt;/D&gt;&lt;D xsi:type="xsd:double"&gt;-6.4163327&lt;/D&gt;&lt;D xsi:type="xsd:double"&gt;-1.6446888&lt;/D&gt;&lt;D xsi:type="xsd:double"&gt;-6.831807&lt;/D&gt;&lt;D xsi:type="xsd:double"&gt;2.9159546&lt;/D&gt;&lt;D xsi:type="xsd:double"&gt;5.250001&lt;/D&gt;&lt;D xsi:type="xsd:double"&gt;6.334126&lt;/D&gt;&lt;D xsi:type="xsd:double"&gt;1.4147401&lt;/D&gt;&lt;D xsi:type="xsd:double"&gt;0.82035065&lt;/D&gt;&lt;D xsi:type="xsd:double"&gt;-5.011052&lt;/D&gt;&lt;D xsi:type="xsd:double"&gt;1.4352202&lt;/D&gt;&lt;D xsi:type="xsd:double"&gt;-3.6328852&lt;/D&gt;&lt;D xsi:type="xsd:double"&gt;-2.5793731&lt;/D&gt;&lt;D xsi:type="xsd:double"&gt;2.8105974&lt;/D&gt;&lt;D xsi:type="xsd:double"&gt;-0.48617125&lt;/D&gt;&lt;/FQL&gt;&lt;FQL&gt;&lt;Q&gt;EIDO^FG_TOTAL_RETURNC(-5AY,0,AM)&lt;/Q&gt;&lt;R&gt;61&lt;/R&gt;&lt;C&gt;1&lt;/C&gt;&lt;D xsi:type="xsd:double"&gt;4.862666&lt;/D&gt;&lt;D xsi:type="xsd:double"&gt;0.64047575&lt;/D&gt;&lt;D xsi:type="xsd:double"&gt;0.84854364&lt;/D&gt;&lt;D xsi:type="xsd:double"&gt;-7.7408495&lt;/D&gt;&lt;D xsi:type="xsd:double"&gt;-1.3223946&lt;/D&gt;&lt;D xsi:type="xsd:double"&gt;1.8022299&lt;/D&gt;&lt;D xsi:type="xsd:double"&gt;-7.2679462&lt;/D&gt;&lt;D xsi:type="xsd:double"&gt;-1.0344803&lt;/D&gt;&lt;D xsi:type="xsd:double"&gt;6.172228&lt;/D&gt;&lt;D xsi:type="xsd:double"&gt;2.5316477&lt;/D&gt;&lt;D xsi:type="xsd:double"&gt;8.0475445&lt;/D&gt;&lt;D xsi:type="xsd:double"&gt;-2.4968207&lt;/D&gt;&lt;D xsi:type="xsd:double"&gt;0.40063858&lt;/D&gt;&lt;D xsi:type="xsd:double"&gt;0.9577751&lt;/D&gt;&lt;D xsi:type="xsd:double"&gt;5.131519&lt;/D&gt;&lt;D xsi:type="xsd:double"&gt;1.7227292&lt;/D&gt;&lt;D xsi:type="xsd:double"&gt;1.6935468&lt;/D&gt;&lt;D xsi:type="xsd:double"&gt;-1.4274359&lt;/D&gt;&lt;D xsi:type="xsd:double"&gt;-9.88909&lt;/D&gt;&lt;D xsi:type="xsd:double"&gt;5.1607013&lt;/D&gt;&lt;D xsi:type="xsd:double"&gt;3.1855345&lt;/D&gt;&lt;D xsi:type="xsd:double"&gt;-2.7117193&lt;/D&gt;&lt;D xsi:type="xsd:double"&gt;1.2435675&lt;/D&gt;&lt;D xsi:type="xsd:double"&gt;1.5671253&lt;/D&gt;&lt;D xsi:type="xsd:double"&gt;-5.6878624&lt;/D&gt;&lt;D xsi:type="xsd:double"&gt;5.404198&lt;/D&gt;&lt;D xsi:type="xsd:double"&gt;-3.3898354&lt;/D&gt;&lt;D xsi:type="xsd:double"&gt;3.2017589&lt;/D&gt;&lt;D xsi:type="xsd:double"&gt;4.887378&lt;/D&gt;&lt;D xsi:type="xsd:double"&gt;-4.8217177&lt;/D&gt;&lt;D xsi:type="xsd:double"&gt;0.16138554&lt;/D&gt;&lt;D xsi:type="xsd:double"&gt;0.7809162&lt;/D&gt;&lt;D xsi:type="xsd:double"&gt;-0.043046474&lt;/D&gt;&lt;D xsi:type="xsd:double"&gt;-4.0912986&lt;/D&gt;&lt;D xsi:type="xsd:double"&gt;-9.654242&lt;/D&gt;&lt;D xsi:type="xsd:double"&gt;9.294224&lt;/D&gt;&lt;D xsi:type="xsd:double"&gt;2.3212433&lt;/D&gt;&lt;D xsi:type="xsd:double"&gt;-1.2992799&lt;/D&gt;&lt;D xsi:type="xsd:double"&gt;2.042663&lt;/D&gt;&lt;D xsi:type="xsd:double"&gt;-2.268684&lt;/D&gt;&lt;D xsi:type="xsd:double"&gt;-5.1888943&lt;/D&gt;&lt;D xsi:type="xsd:double"&gt;-5.136818&lt;/D&gt;&lt;D xsi:type="xsd:double"&gt;1.8396616&lt;/D&gt;&lt;D xsi:type="xsd:double"&gt;3.8580298&lt;/D&gt;&lt;D xsi:type="xsd:double"&gt;7.8256607&lt;/D&gt;&lt;D xsi:type="xsd:double"&gt;4.088187&lt;/D&gt;&lt;D xsi:type="xsd:double"&gt;-6.8843784&lt;/D&gt;&lt;D xsi:type="xsd:double"&gt;-5.734605&lt;/D&gt;&lt;D xsi:type="xsd:double"&gt;-5.631858&lt;/D&gt;&lt;D xsi:type="xsd:double"&gt;-0.9740293&lt;/D&gt;&lt;D xsi:type="xsd:double"&gt;-12.786883&lt;/D&gt;&lt;D xsi:type="xsd:double"&gt;1.8170476&lt;/D&gt;&lt;D xsi:type="xsd:double"&gt;6.461537&lt;/D&gt;&lt;D xsi:type="xsd:double"&gt;9.132946&lt;/D&gt;&lt;D xsi:type="xsd:double"&gt;-4.8692045&lt;/D&gt;&lt;D xsi:type="xsd:double"&gt;0.68610907&lt;/D&gt;&lt;D xsi:type="xsd:double"&gt;0.34071207&lt;/D&gt;&lt;D xsi:type="xsd:double"&gt;-1.188463&lt;/D&gt;&lt;D xsi:type="xsd:double"&gt;4.6964526&lt;/D&gt;&lt;D xsi:type="xsd:double"&gt;2.7899384&lt;/D&gt;&lt;D xsi:type="xsd:double"&gt;0.48584938&lt;/D&gt;&lt;/FQL&gt;&lt;FQL&gt;&lt;Q&gt;ECH^FG_TOTAL_RETURNC(-5AY,0,AM)&lt;/Q&gt;&lt;R&gt;61&lt;/R&gt;&lt;C&gt;1&lt;/C&gt;&lt;D xsi:type="xsd:double"&gt;7.68404&lt;/D&gt;&lt;D xsi:type="xsd:double"&gt;1.0261536&lt;/D&gt;&lt;D xsi:type="xsd:double"&gt;6.2909484&lt;/D&gt;&lt;D xsi:type="xsd:double"&gt;5.733669&lt;/D&gt;&lt;D xsi:type="xsd:double"&gt;-6.9970846&lt;/D&gt;&lt;D xsi:type="xsd:double"&gt;-5.8934155&lt;/D&gt;&lt;D xsi:type="xsd:double"&gt;-2.3658752&lt;/D&gt;&lt;D xsi:type="xsd:double"&gt;-5.10062&lt;/D&gt;&lt;D xsi:type="xsd:double"&gt;4.497254&lt;/D&gt;&lt;D xsi:type="xsd:double"&gt;-7.9776106&lt;/D&gt;&lt;D xsi:type="xsd:double"&gt;-4.676807&lt;/D&gt;&lt;D xsi:type="xsd:double"&gt;-0.95731616&lt;/D&gt;&lt;D xsi:type="xsd:double"&gt;-3.9505124&lt;/D&gt;&lt;D xsi:type="xsd:double"&gt;14.205289&lt;/D&gt;&lt;D xsi:type="xsd:double"&gt;-4.5885506&lt;/D&gt;&lt;D xsi:type="xsd:double"&gt;17.44833&lt;/D&gt;&lt;D xsi:type="xsd:double"&gt;-14.077836&lt;/D&gt;&lt;D xsi:type="xsd:double"&gt;17.447817&lt;/D&gt;&lt;D xsi:type="xsd:double"&gt;-16.288387&lt;/D&gt;&lt;D xsi:type="xsd:double"&gt;10.166669&lt;/D&gt;&lt;D xsi:type="xsd:double"&gt;3.7821531&lt;/D&gt;&lt;D xsi:type="xsd:double"&gt;-12.536442&lt;/D&gt;&lt;D xsi:type="xsd:double"&gt;3.0833364&lt;/D&gt;&lt;D xsi:type="xsd:double"&gt;9.458363&lt;/D&gt;&lt;D xsi:type="xsd:double"&gt;2.6112556&lt;/D&gt;&lt;D xsi:type="xsd:double"&gt;7.788849&lt;/D&gt;&lt;D xsi:type="xsd:double"&gt;-1.1986315&lt;/D&gt;&lt;D xsi:type="xsd:double"&gt;-0.24263263&lt;/D&gt;&lt;D xsi:type="xsd:double"&gt;-2.1890223&lt;/D&gt;&lt;D xsi:type="xsd:double"&gt;2.8064013&lt;/D&gt;&lt;D xsi:type="xsd:double"&gt;4.848981&lt;/D&gt;&lt;D xsi:type="xsd:double"&gt;5.9629917&lt;/D&gt;&lt;D xsi:type="xsd:double"&gt;-7.956016&lt;/D&gt;&lt;D xsi:type="xsd:double"&gt;-7.976103&lt;/D&gt;&lt;D xsi:type="xsd:double"&gt;-6.681937&lt;/D&gt;&lt;D xsi:type="xsd:double"&gt;13.338793&lt;/D&gt;&lt;D xsi:type="xsd:double"&gt;2.496338&lt;/D&gt;&lt;D xsi:type="xsd:double"&gt;-9.181136&lt;/D&gt;&lt;D xsi:type="xsd:double"&gt;3.3567429&lt;/D&gt;&lt;D xsi:type="xsd:double"&gt;-0.18882155&lt;/D&gt;&lt;D xsi:type="xsd:double"&gt;0.52969456&lt;/D&gt;&lt;D xsi:type="xsd:double"&gt;6.2476516&lt;/D&gt;&lt;D xsi:type="xsd:double"&gt;-7.0377707&lt;/D&gt;&lt;D xsi:type="xsd:double"&gt;-1.290071&lt;/D&gt;&lt;D xsi:type="xsd:double"&gt;5.5841565&lt;/D&gt;&lt;D xsi:type="xsd:double"&gt;1.1252761&lt;/D&gt;&lt;D xsi:type="xsd:double"&gt;-5.00741&lt;/D&gt;&lt;D xsi:type="xsd:double"&gt;-1.015228&lt;/D&gt;&lt;D xsi:type="xsd:double"&gt;-0.8948624&lt;/D&gt;&lt;D xsi:type="xsd:double"&gt;9.145367&lt;/D&gt;&lt;D xsi:type="xsd:double"&gt;4.720092&lt;/D&gt;&lt;D xsi:type="xsd:double"&gt;5.520618&lt;/D&gt;&lt;D xsi:type="xsd:double"&gt;2.8807878&lt;/D&gt;&lt;D xsi:type="xsd:double"&gt;1.3839722&lt;/D&gt;&lt;D xsi:type="xsd:double"&gt;2.1936417&lt;/D&gt;&lt;D xsi:type="xsd:double"&gt;-4.855603&lt;/D&gt;&lt;D xsi:type="xsd:double"&gt;9.439635&lt;/D&gt;&lt;D xsi:type="xsd:double"&gt;-0.3047943&lt;/D&gt;&lt;D xsi:type="xsd:double"&gt;7.979214&lt;/D&gt;&lt;D xsi:type="xsd:double"&gt;6.7100763&lt;/D&gt;&lt;D xsi:type="xsd:double"&gt;7.5704217&lt;/D&gt;&lt;/FQL&gt;&lt;FQL&gt;&lt;Q&gt;CNYA^FG_TOTAL_RETURNC(-5AY,0,AM)&lt;/Q&gt;&lt;R&gt;61&lt;/R&gt;&lt;C&gt;1&lt;/C&gt;&lt;D xsi:type="xsd:double"&gt;4.3846846&lt;/D&gt;&lt;D xsi:type="xsd:double"&gt;4.8155904&lt;/D&gt;&lt;D xsi:type="xsd:double"&gt;0.15687943&lt;/D&gt;&lt;D xsi:type="xsd:double"&gt;-6.7800403&lt;/D&gt;&lt;D xsi:type="xsd:double"&gt;1.9443154&lt;/D&gt;&lt;D xsi:type="xsd:double"&gt;7.063806&lt;/D&gt;&lt;D xsi:type="xsd:double"&gt;-3.0525267&lt;/D&gt;&lt;D xsi:type="xsd:double"&gt;-4.88525&lt;/D&gt;&lt;D xsi:type="xsd:double"&gt;1.9350171&lt;/D&gt;&lt;D xsi:type="xsd:double"&gt;-1.230365&lt;/D&gt;&lt;D xsi:type="xsd:double"&gt;3.001535&lt;/D&gt;&lt;D xsi:type="xsd:double"&gt;-0.69108605&lt;/D&gt;&lt;D xsi:type="xsd:double"&gt;2.068162&lt;/D&gt;&lt;D xsi:type="xsd:double"&gt;-7.844031&lt;/D&gt;&lt;D xsi:type="xsd:double"&gt;1.6674876&lt;/D&gt;&lt;D xsi:type="xsd:double"&gt;-7.9559383&lt;/D&gt;&lt;D xsi:type="xsd:double"&gt;-11.941486&lt;/D&gt;&lt;D xsi:type="xsd:double"&gt;3.3524632&lt;/D&gt;&lt;D xsi:type="xsd:double"&gt;11.078525&lt;/D&gt;&lt;D xsi:type="xsd:double"&gt;-7.5909257&lt;/D&gt;&lt;D xsi:type="xsd:double"&gt;-3.9931595&lt;/D&gt;&lt;D xsi:type="xsd:double"&gt;-9.001785&lt;/D&gt;&lt;D xsi:type="xsd:double"&gt;-6.4642487&lt;/D&gt;&lt;D xsi:type="xsd:double"&gt;11.378706&lt;/D&gt;&lt;D xsi:type="xsd:double"&gt;0.2240777&lt;/D&gt;&lt;D xsi:type="xsd:double"&gt;12.04356&lt;/D&gt;&lt;D xsi:type="xsd:double"&gt;-4.34534&lt;/D&gt;&lt;D xsi:type="xsd:double"&gt;-2.3610294&lt;/D&gt;&lt;D xsi:type="xsd:double"&gt;-2.050805&lt;/D&gt;&lt;D xsi:type="xsd:double"&gt;-6.8750024&lt;/D&gt;&lt;D xsi:type="xsd:double"&gt;-1.8777788&lt;/D&gt;&lt;D xsi:type="xsd:double"&gt;5.4146647&lt;/D&gt;&lt;D xsi:type="xsd:double"&gt;-5.8517575&lt;/D&gt;&lt;D xsi:type="xsd:double"&gt;-2.5034487&lt;/D&gt;&lt;D xsi:type="xsd:double"&gt;-3.8427532&lt;/D&gt;&lt;D xsi:type="xsd:double"&gt;0.44199228&lt;/D&gt;&lt;D xsi:type="xsd:double"&gt;-1.3714492&lt;/D&gt;&lt;D xsi:type="xsd:double"&gt;-8.4818&lt;/D&gt;&lt;D xsi:type="xsd:double"&gt;10.960638&lt;/D&gt;&lt;D xsi:type="xsd:double"&gt;0.91533659999999994&lt;/D&gt;&lt;D xsi:type="xsd:double"&gt;0.51020384&lt;/D&gt;&lt;D xsi:type="xsd:double"&gt;-1.0340273&lt;/D&gt;&lt;D xsi:type="xsd:double"&gt;-2.8274655&lt;/D&gt;&lt;D xsi:type="xsd:double"&gt;-1.4901936&lt;/D&gt;&lt;D xsi:type="xsd:double"&gt;-0.35828352&lt;/D&gt;&lt;D xsi:type="xsd:double"&gt;24.170994&lt;/D&gt;&lt;D xsi:type="xsd:double"&gt;-5.952382&lt;/D&gt;&lt;D xsi:type="xsd:double"&gt;-0.30790567&lt;/D&gt;&lt;D xsi:type="xsd:double"&gt;-2.1502376&lt;/D&gt;&lt;D xsi:type="xsd:double"&gt;-1.5412211&lt;/D&gt;&lt;D xsi:type="xsd:double"&gt;1.7837644&lt;/D&gt;&lt;D xsi:type="xsd:double"&gt;-0.14305711&lt;/D&gt;&lt;D xsi:type="xsd:double"&gt;-3.581661&lt;/D&gt;&lt;D xsi:type="xsd:double"&gt;2.7860284&lt;/D&gt;&lt;D xsi:type="xsd:double"&gt;4.1721344&lt;/D&gt;&lt;D xsi:type="xsd:double"&gt;3.099966&lt;/D&gt;&lt;D xsi:type="xsd:double"&gt;13.0743265&lt;/D&gt;&lt;D xsi:type="xsd:double"&gt;2.687478&lt;/D&gt;&lt;D xsi:type="xsd:double"&gt;-0.20221472&lt;/D&gt;&lt;D xsi:type="xsd:double"&gt;-0.14576912&lt;/D&gt;&lt;D xsi:type="xsd:double"&gt;2.6375651&lt;/D&gt;&lt;/FQL&gt;&lt;FQL&gt;&lt;Q&gt;ECH^JULIAN(FG_TOTAL_RETURNC(-5AY,0,AM).DATES)&lt;/Q&gt;&lt;R&gt;61&lt;/R&gt;&lt;C&gt;1&lt;/C&gt;&lt;D xsi:type="xsd:long"&gt;44197&lt;/D&gt;&lt;D xsi:type="xsd:long"&gt;44228&lt;/D&gt;&lt;D xsi:type="xsd:long"&gt;44256&lt;/D&gt;&lt;D xsi:type="xsd:long"&gt;44287&lt;/D&gt;&lt;D xsi:type="xsd:long"&gt;44316&lt;/D&gt;&lt;D xsi:type="xsd:long"&gt;44348&lt;/D&gt;&lt;D xsi:type="xsd:long"&gt;44378&lt;/D&gt;&lt;D xsi:type="xsd:long"&gt;44407&lt;/D&gt;&lt;D xsi:type="xsd:long"&gt;44440&lt;/D&gt;&lt;D xsi:type="xsd:long"&gt;44470&lt;/D&gt;&lt;D xsi:type="xsd:long"&gt;44501&lt;/D&gt;&lt;D xsi:type="xsd:long"&gt;44531&lt;/D&gt;&lt;D xsi:type="xsd:long"&gt;44561&lt;/D&gt;&lt;D xsi:type="xsd:long"&gt;44593&lt;/D&gt;&lt;D xsi:type="xsd:long"&gt;44621&lt;/D&gt;&lt;D xsi:type="xsd:long"&gt;44652&lt;/D&gt;&lt;D xsi:type="xsd:long"&gt;44680&lt;/D&gt;&lt;D xsi:type="xsd:long"&gt;44713&lt;/D&gt;&lt;D xsi:type="xsd:long"&gt;44743&lt;/D&gt;&lt;D xsi:type="xsd:long"&gt;44774&lt;/D&gt;&lt;D xsi:type="xsd:long"&gt;44805&lt;/D&gt;&lt;D xsi:type="xsd:long"&gt;44834&lt;/D&gt;&lt;D xsi:type="xsd:long"&gt;44866&lt;/D&gt;&lt;D xsi:type="xsd:long"&gt;44896&lt;/D&gt;&lt;D xsi:type="xsd:long"&gt;44925&lt;/D&gt;&lt;D xsi:type="xsd:long"&gt;44958&lt;/D&gt;&lt;D xsi:type="xsd:long"&gt;44986&lt;/D&gt;&lt;D xsi:type="xsd:long"&gt;45016&lt;/D&gt;&lt;D xsi:type="xsd:long"&gt;45047&lt;/D&gt;&lt;D xsi:type="xsd:long"&gt;45078&lt;/D&gt;&lt;D xsi:type="xsd:long"&gt;45107&lt;/D&gt;&lt;D xsi:type="xsd:long"&gt;45139&lt;/D&gt;&lt;D xsi:type="xsd:long"&gt;45170&lt;/D&gt;&lt;D xsi:type="xsd:long"&gt;45198&lt;/D&gt;&lt;D xsi:type="xsd:long"&gt;45231&lt;/D&gt;&lt;D xsi:type="xsd:long"&gt;45261&lt;/D&gt;&lt;D xsi:type="xsd:long"&gt;45292&lt;/D&gt;&lt;D xsi:type="xsd:long"&gt;45323&lt;/D&gt;&lt;D xsi:type="xsd:long"&gt;45352&lt;/D&gt;&lt;D xsi:type="xsd:long"&gt;45383&lt;/D&gt;&lt;D xsi:type="xsd:long"&gt;45413&lt;/D&gt;&lt;D xsi:type="xsd:long"&gt;45443&lt;/D&gt;&lt;D xsi:type="xsd:long"&gt;45474&lt;/D&gt;&lt;D xsi:type="xsd:long"&gt;45505&lt;/D&gt;&lt;D xsi:type="xsd:long"&gt;45534&lt;/D&gt;&lt;D xsi:type="xsd:long"&gt;45566&lt;/D&gt;&lt;D xsi:type="xsd:long"&gt;45597&lt;/D&gt;&lt;D xsi:type="xsd:long"&gt;45625&lt;/D&gt;&lt;D xsi:type="xsd:long"&gt;45658&lt;/D&gt;&lt;D xsi:type="xsd:long"&gt;45688&lt;/D&gt;&lt;D xsi:type="xsd:long"&gt;45716&lt;/D&gt;&lt;D xsi:type="xsd:long"&gt;45748&lt;/D&gt;&lt;D xsi:type="xsd:long"&gt;45778&lt;/D&gt;&lt;D xsi:type="xsd:long"&gt;45807&lt;/D&gt;&lt;D xsi:type="xsd:long"&gt;45839&lt;/D&gt;&lt;D xsi:type="xsd:long"&gt;45870&lt;/D&gt;&lt;D xsi:type="xsd:long"&gt;45901&lt;/D&gt;&lt;D xsi:type="xsd:long"&gt;45931&lt;/D&gt;&lt;D xsi:type="xsd:long"&gt;45961&lt;/D&gt;&lt;D xsi:type="xsd:long"&gt;45992&lt;/D&gt;&lt;D xsi:type="xsd:long"&gt;46023&lt;/D&gt;&lt;/FQL&gt;&lt;/Schema&gt;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<sst xmlns="http://schemas.openxmlformats.org/spreadsheetml/2006/main" count="167" uniqueCount="82">
  <si>
    <t>CNYA</t>
  </si>
  <si>
    <t>ECH</t>
  </si>
  <si>
    <t>EIDO</t>
  </si>
  <si>
    <t>EPHE</t>
  </si>
  <si>
    <t>EPOL</t>
  </si>
  <si>
    <t>EPU</t>
  </si>
  <si>
    <t>EWM</t>
  </si>
  <si>
    <t>EWT</t>
  </si>
  <si>
    <t>EWW</t>
  </si>
  <si>
    <t>EWY</t>
  </si>
  <si>
    <t>EWZ</t>
  </si>
  <si>
    <t>EZA</t>
  </si>
  <si>
    <t>GREK</t>
  </si>
  <si>
    <t>INDA</t>
  </si>
  <si>
    <t>MCHI</t>
  </si>
  <si>
    <t>QAT</t>
  </si>
  <si>
    <t>SET-BKK</t>
  </si>
  <si>
    <t>TUR</t>
  </si>
  <si>
    <t>UAE</t>
  </si>
  <si>
    <t>VNM</t>
  </si>
  <si>
    <t>KSA</t>
  </si>
  <si>
    <t>STD_DEV</t>
  </si>
  <si>
    <t>ENZL</t>
  </si>
  <si>
    <t>EWA</t>
  </si>
  <si>
    <t>EWC</t>
  </si>
  <si>
    <t>EWG</t>
  </si>
  <si>
    <t>EWJ</t>
  </si>
  <si>
    <t>EWL</t>
  </si>
  <si>
    <t>EWU</t>
  </si>
  <si>
    <t>QQQ</t>
  </si>
  <si>
    <t>SPY</t>
  </si>
  <si>
    <t>EWQ</t>
  </si>
  <si>
    <t>EWN</t>
  </si>
  <si>
    <t>EWD</t>
  </si>
  <si>
    <t>EWI</t>
  </si>
  <si>
    <t>MEAN</t>
  </si>
  <si>
    <t>2_SIGMA</t>
  </si>
  <si>
    <t>This sheet contains FactSet XML data for use with this workbook's =FDS codes.  Modifying the worksheet's contents may damage the workbook's =FDS functionality.</t>
  </si>
  <si>
    <t>ETF</t>
  </si>
  <si>
    <t>COUNTRY</t>
  </si>
  <si>
    <t>CATEGORY</t>
  </si>
  <si>
    <t>EMERGING</t>
  </si>
  <si>
    <t>DEVELOPED</t>
  </si>
  <si>
    <t>China</t>
  </si>
  <si>
    <t>Chile</t>
  </si>
  <si>
    <t>Indonesia</t>
  </si>
  <si>
    <t>Philippines</t>
  </si>
  <si>
    <t>Poland</t>
  </si>
  <si>
    <t>Peru</t>
  </si>
  <si>
    <t>Malaysia</t>
  </si>
  <si>
    <t>Taiwan</t>
  </si>
  <si>
    <t>Mexico</t>
  </si>
  <si>
    <t>Korea, Rep.</t>
  </si>
  <si>
    <t>Brazil</t>
  </si>
  <si>
    <t>South Africa</t>
  </si>
  <si>
    <t>Greece</t>
  </si>
  <si>
    <t>India</t>
  </si>
  <si>
    <t>Qatar</t>
  </si>
  <si>
    <t>Thailand</t>
  </si>
  <si>
    <t>Turkey</t>
  </si>
  <si>
    <t>United Arab Emirates</t>
  </si>
  <si>
    <t>Vietnam</t>
  </si>
  <si>
    <t>Saudi Arabia</t>
  </si>
  <si>
    <t>New Zealand</t>
  </si>
  <si>
    <t>Australia</t>
  </si>
  <si>
    <t>Canada</t>
  </si>
  <si>
    <t>Germany</t>
  </si>
  <si>
    <t>Japan</t>
  </si>
  <si>
    <t>Switzerland</t>
  </si>
  <si>
    <t>United Kingdom</t>
  </si>
  <si>
    <t>United States</t>
  </si>
  <si>
    <t>France</t>
  </si>
  <si>
    <t>Netherlands</t>
  </si>
  <si>
    <t>Sweden</t>
  </si>
  <si>
    <t>Italy</t>
  </si>
  <si>
    <t>CURRENT_RETURNS</t>
  </si>
  <si>
    <t>FILTER1</t>
  </si>
  <si>
    <t>FILTER2</t>
  </si>
  <si>
    <t>AVG</t>
  </si>
  <si>
    <t>CURRENT_PRICE</t>
  </si>
  <si>
    <t>200D AVG</t>
  </si>
  <si>
    <t>200 DMA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</si>
</sst>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0" fontId="2" fillId="0" borderId="0" xfId="0" applyFont="1"/>
    <xf numFmtId="165" fontId="1" fillId="0" borderId="0" xfId="1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BDAAE-573F-4EC0-BD5B-B459A310F542}">
  <dimension ref="A1:B10"/>
  <sheetViews>
    <sheetView workbookViewId="0"/>
  </sheetViews>
  <sheetFormatPr defaultRowHeight="14.25" x14ac:dyDescent="0.45"/>
  <sheetData>
    <row r="1" spans="1:2" x14ac:dyDescent="0.45">
      <c r="B1" t="s">
        <v>37</v>
      </c>
    </row>
    <row r="2" spans="1:2" x14ac:dyDescent="0.45"/>
    <row r="3" spans="1:2" x14ac:dyDescent="0.45"/>
    <row r="4" spans="1:2" x14ac:dyDescent="0.45"/>
    <row r="5" spans="1:2" x14ac:dyDescent="0.45"/>
    <row r="6" spans="1:2" x14ac:dyDescent="0.45"/>
    <row r="7" spans="1:2" x14ac:dyDescent="0.45"/>
    <row r="8" spans="1:2" x14ac:dyDescent="0.45"/>
    <row r="9" spans="1:2" x14ac:dyDescent="0.45"/>
    <row r="10" spans="1:2" x14ac:dyDescent="0.4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D3459-127F-4942-A574-2F656E1DAD74}">
  <dimension ref="A1:I250"/>
  <sheetViews>
    <sheetView tabSelected="1" workbookViewId="0">
      <selection activeCell="D11" sqref="D11"/>
    </sheetView>
  </sheetViews>
  <sheetFormatPr defaultRowHeight="14.25" x14ac:dyDescent="0.45"/>
  <cols>
    <col min="2" max="2" width="9.19921875" bestFit="1" customWidth="1"/>
    <col min="3" max="3" width="10.796875" bestFit="1" customWidth="1"/>
    <col min="4" max="4" width="18.1328125" bestFit="1" customWidth="1"/>
    <col min="8" max="8" width="15" bestFit="1" customWidth="1"/>
  </cols>
  <sheetData>
    <row r="1" spans="1:9" x14ac:dyDescent="0.45">
      <c r="A1" s="5" t="s">
        <v>38</v>
      </c>
      <c r="B1" s="5" t="s">
        <v>39</v>
      </c>
      <c r="C1" s="5" t="s">
        <v>40</v>
      </c>
      <c r="D1" s="5" t="s">
        <v>75</v>
      </c>
      <c r="E1" s="5" t="s">
        <v>35</v>
      </c>
      <c r="F1" s="5" t="s">
        <v>21</v>
      </c>
      <c r="G1" s="5" t="s">
        <v>36</v>
      </c>
      <c r="H1" s="5" t="s">
        <v>79</v>
      </c>
      <c r="I1" s="5" t="s">
        <v>81</v>
      </c>
    </row>
    <row r="2" spans="1:9" x14ac:dyDescent="0.45">
      <c r="A2" s="5" t="str" cm="1">
        <f t="array" ref="A2">IFERROR(TRANSPOSE(_xlfn._xlws.FILTER(MONTHLY_RETURNS!B64:AI64, MONTHLY_RETURNS!$B$73:$AI$73=1)),"")</f>
        <v/>
      </c>
      <c r="B2" s="4" t="str" cm="1">
        <f t="array" ref="B2">IFERROR(TRANSPOSE(_xlfn._xlws.FILTER(MONTHLY_RETURNS!B65:AI65, MONTHLY_RETURNS!$B$73:$AI$73=1)),"")</f>
        <v/>
      </c>
      <c r="C2" s="4" t="str" cm="1">
        <f t="array" ref="C2">IFERROR(TRANSPOSE(_xlfn._xlws.FILTER(MONTHLY_RETURNS!B66:AI66, MONTHLY_RETURNS!$B$73:$AI$73=1)),"")</f>
        <v/>
      </c>
      <c r="D2" s="4" t="str" cm="1">
        <f t="array" ref="D2">IFERROR(TRANSPOSE(_xlfn._xlws.FILTER(MONTHLY_RETURNS!B67:AI67, MONTHLY_RETURNS!$B$73:$AI$73=1)),"")</f>
        <v/>
      </c>
      <c r="E2" s="4" t="str" cm="1">
        <f t="array" ref="E2">IFERROR(TRANSPOSE(_xlfn._xlws.FILTER(MONTHLY_RETURNS!B68:AI68, MONTHLY_RETURNS!$B$73:$AI$73=1)),"")</f>
        <v/>
      </c>
      <c r="F2" s="4" t="str" cm="1">
        <f t="array" ref="F2">IFERROR(TRANSPOSE(_xlfn._xlws.FILTER(MONTHLY_RETURNS!B69:AI69, MONTHLY_RETURNS!$B$73:$AI$73=1)),"")</f>
        <v/>
      </c>
      <c r="G2" s="4" t="str" cm="1">
        <f t="array" ref="G2">IFERROR(TRANSPOSE(_xlfn._xlws.FILTER(MONTHLY_RETURNS!B70:AI70, MONTHLY_RETURNS!$B$73:$AI$73=1)),"")</f>
        <v/>
      </c>
      <c r="H2" s="1" t="str" cm="1">
        <f t="array" ref="H2">IFERROR(TRANSPOSE(_xlfn._xlws.FILTER(MONTHLY_RETURNS!B71:AI71, MONTHLY_RETURNS!$B$73:$AI$73=1)),"")</f>
        <v/>
      </c>
      <c r="I2" s="1" t="str" cm="1">
        <f t="array" ref="I2">IFERROR(TRANSPOSE(_xlfn._xlws.FILTER(MONTHLY_RETURNS!B72:AI72, MONTHLY_RETURNS!$B$73:$AI$73=1)),"")</f>
        <v/>
      </c>
    </row>
    <row r="3" spans="1:9" x14ac:dyDescent="0.45">
      <c r="A3" s="5"/>
      <c r="B3" s="4"/>
      <c r="C3" s="4"/>
      <c r="D3" s="4"/>
      <c r="E3" s="4"/>
      <c r="F3" s="4"/>
      <c r="G3" s="4"/>
      <c r="H3" s="1"/>
      <c r="I3" s="1"/>
    </row>
    <row r="4" spans="1:9" x14ac:dyDescent="0.45">
      <c r="A4" s="5"/>
      <c r="B4" s="4"/>
      <c r="C4" s="4"/>
      <c r="D4" s="4"/>
      <c r="E4" s="4"/>
      <c r="F4" s="4"/>
      <c r="G4" s="4"/>
      <c r="H4" s="1"/>
      <c r="I4" s="1"/>
    </row>
    <row r="5" spans="1:9" x14ac:dyDescent="0.45">
      <c r="A5" s="5"/>
      <c r="B5" s="4"/>
      <c r="C5" s="4"/>
      <c r="D5" s="4"/>
      <c r="E5" s="4"/>
      <c r="F5" s="4"/>
      <c r="G5" s="4"/>
      <c r="H5" s="1"/>
      <c r="I5" s="1"/>
    </row>
    <row r="6" spans="1:9" x14ac:dyDescent="0.45">
      <c r="A6" s="5"/>
      <c r="B6" s="4"/>
      <c r="C6" s="4"/>
      <c r="D6" s="4"/>
      <c r="E6" s="4"/>
      <c r="F6" s="4"/>
      <c r="G6" s="4"/>
      <c r="H6" s="1"/>
      <c r="I6" s="1"/>
    </row>
    <row r="7" spans="1:9" x14ac:dyDescent="0.45">
      <c r="A7" s="5"/>
      <c r="B7" s="4"/>
      <c r="C7" s="4"/>
      <c r="D7" s="4"/>
      <c r="E7" s="4"/>
      <c r="F7" s="4"/>
      <c r="G7" s="4"/>
      <c r="H7" s="1"/>
      <c r="I7" s="1"/>
    </row>
    <row r="8" spans="1:9" x14ac:dyDescent="0.45">
      <c r="A8" s="5"/>
      <c r="B8" s="4"/>
      <c r="C8" s="4"/>
      <c r="D8" s="4"/>
      <c r="E8" s="4"/>
      <c r="F8" s="4"/>
      <c r="G8" s="4"/>
      <c r="H8" s="1"/>
      <c r="I8" s="1"/>
    </row>
    <row r="9" spans="1:9" x14ac:dyDescent="0.45">
      <c r="A9" s="5"/>
      <c r="B9" s="4"/>
      <c r="C9" s="4"/>
      <c r="D9" s="4"/>
      <c r="E9" s="4"/>
      <c r="F9" s="4"/>
      <c r="G9" s="4"/>
      <c r="H9" s="1"/>
      <c r="I9" s="1"/>
    </row>
    <row r="10" spans="1:9" x14ac:dyDescent="0.45">
      <c r="A10" s="5"/>
      <c r="B10" s="4"/>
      <c r="C10" s="4"/>
      <c r="D10" s="4"/>
      <c r="E10" s="4"/>
      <c r="F10" s="4"/>
      <c r="G10" s="4"/>
      <c r="H10" s="1"/>
      <c r="I10" s="1"/>
    </row>
    <row r="11" spans="1:9" x14ac:dyDescent="0.45">
      <c r="A11" s="5"/>
      <c r="B11" s="4"/>
      <c r="C11" s="4"/>
      <c r="D11" s="4"/>
      <c r="E11" s="4"/>
      <c r="F11" s="4"/>
      <c r="G11" s="4"/>
      <c r="H11" s="1"/>
      <c r="I11" s="1"/>
    </row>
    <row r="12" spans="1:9" x14ac:dyDescent="0.45">
      <c r="A12" s="5"/>
      <c r="B12" s="4"/>
      <c r="C12" s="4"/>
      <c r="D12" s="4"/>
      <c r="E12" s="4"/>
      <c r="F12" s="4"/>
      <c r="G12" s="4"/>
      <c r="H12" s="1"/>
      <c r="I12" s="1"/>
    </row>
    <row r="13" spans="1:9" x14ac:dyDescent="0.45">
      <c r="A13" s="5"/>
      <c r="B13" s="4"/>
      <c r="C13" s="4"/>
      <c r="D13" s="4"/>
      <c r="E13" s="4"/>
      <c r="F13" s="4"/>
      <c r="G13" s="4"/>
      <c r="H13" s="1"/>
      <c r="I13" s="1"/>
    </row>
    <row r="14" spans="1:9" x14ac:dyDescent="0.45">
      <c r="A14" s="5"/>
      <c r="B14" s="4"/>
      <c r="C14" s="4"/>
      <c r="D14" s="4"/>
      <c r="E14" s="4"/>
      <c r="F14" s="4"/>
      <c r="G14" s="4"/>
      <c r="H14" s="1"/>
      <c r="I14" s="1"/>
    </row>
    <row r="15" spans="1:9" x14ac:dyDescent="0.45">
      <c r="A15" s="5"/>
      <c r="B15" s="4"/>
      <c r="C15" s="4"/>
      <c r="D15" s="4"/>
      <c r="E15" s="4"/>
      <c r="F15" s="4"/>
      <c r="G15" s="4"/>
      <c r="H15" s="1"/>
      <c r="I15" s="1"/>
    </row>
    <row r="16" spans="1:9" x14ac:dyDescent="0.45">
      <c r="A16" s="5"/>
      <c r="B16" s="4"/>
      <c r="C16" s="4"/>
      <c r="D16" s="4"/>
      <c r="E16" s="4"/>
      <c r="F16" s="4"/>
      <c r="G16" s="4"/>
      <c r="H16" s="1"/>
      <c r="I16" s="1"/>
    </row>
    <row r="17" spans="1:9" x14ac:dyDescent="0.45">
      <c r="A17" s="5"/>
      <c r="B17" s="4"/>
      <c r="C17" s="4"/>
      <c r="D17" s="4"/>
      <c r="E17" s="4"/>
      <c r="F17" s="4"/>
      <c r="G17" s="4"/>
      <c r="H17" s="1"/>
      <c r="I17" s="1"/>
    </row>
    <row r="18" spans="1:9" x14ac:dyDescent="0.45">
      <c r="A18" s="5"/>
      <c r="B18" s="4"/>
      <c r="C18" s="4"/>
      <c r="D18" s="4"/>
      <c r="E18" s="4"/>
      <c r="F18" s="4"/>
      <c r="G18" s="4"/>
      <c r="H18" s="1"/>
      <c r="I18" s="1"/>
    </row>
    <row r="19" spans="1:9" x14ac:dyDescent="0.45">
      <c r="A19" s="5"/>
      <c r="B19" s="4"/>
      <c r="C19" s="4"/>
      <c r="D19" s="4"/>
      <c r="E19" s="4"/>
      <c r="F19" s="4"/>
      <c r="G19" s="4"/>
      <c r="H19" s="1"/>
      <c r="I19" s="1"/>
    </row>
    <row r="20" spans="1:9" x14ac:dyDescent="0.45">
      <c r="A20" s="5"/>
      <c r="B20" s="4"/>
      <c r="C20" s="4"/>
      <c r="D20" s="4"/>
      <c r="E20" s="4"/>
      <c r="F20" s="4"/>
      <c r="G20" s="4"/>
      <c r="H20" s="1"/>
      <c r="I20" s="1"/>
    </row>
    <row r="21" spans="1:9" x14ac:dyDescent="0.45">
      <c r="A21" s="5"/>
      <c r="B21" s="4"/>
      <c r="C21" s="4"/>
      <c r="D21" s="4"/>
      <c r="E21" s="4"/>
      <c r="F21" s="4"/>
      <c r="G21" s="4"/>
      <c r="H21" s="1"/>
      <c r="I21" s="1"/>
    </row>
    <row r="22" spans="1:9" x14ac:dyDescent="0.45">
      <c r="A22" s="5"/>
      <c r="B22" s="4"/>
      <c r="C22" s="4"/>
      <c r="D22" s="4"/>
      <c r="E22" s="4"/>
      <c r="F22" s="4"/>
      <c r="G22" s="4"/>
      <c r="H22" s="1"/>
      <c r="I22" s="1"/>
    </row>
    <row r="23" spans="1:9" x14ac:dyDescent="0.45">
      <c r="A23" s="5"/>
      <c r="B23" s="4"/>
      <c r="C23" s="4"/>
      <c r="D23" s="4"/>
      <c r="E23" s="4"/>
      <c r="F23" s="4"/>
      <c r="G23" s="4"/>
      <c r="H23" s="1"/>
      <c r="I23" s="1"/>
    </row>
    <row r="24" spans="1:9" x14ac:dyDescent="0.45">
      <c r="A24" s="5"/>
      <c r="B24" s="4"/>
      <c r="C24" s="4"/>
      <c r="D24" s="4"/>
      <c r="E24" s="4"/>
      <c r="F24" s="4"/>
      <c r="G24" s="4"/>
      <c r="H24" s="1"/>
      <c r="I24" s="1"/>
    </row>
    <row r="25" spans="1:9" x14ac:dyDescent="0.45">
      <c r="A25" s="5"/>
      <c r="B25" s="4"/>
      <c r="C25" s="4"/>
      <c r="D25" s="4"/>
      <c r="E25" s="4"/>
      <c r="F25" s="4"/>
      <c r="G25" s="4"/>
      <c r="H25" s="1"/>
      <c r="I25" s="1"/>
    </row>
    <row r="26" spans="1:9" x14ac:dyDescent="0.45">
      <c r="A26" s="5"/>
      <c r="B26" s="4"/>
      <c r="C26" s="4"/>
      <c r="D26" s="4"/>
      <c r="E26" s="4"/>
      <c r="F26" s="4"/>
      <c r="G26" s="4"/>
      <c r="H26" s="1"/>
      <c r="I26" s="1"/>
    </row>
    <row r="27" spans="1:9" x14ac:dyDescent="0.45">
      <c r="A27" s="5"/>
      <c r="B27" s="4"/>
      <c r="C27" s="4"/>
      <c r="D27" s="4"/>
      <c r="E27" s="4"/>
      <c r="F27" s="4"/>
      <c r="G27" s="4"/>
      <c r="H27" s="1"/>
      <c r="I27" s="1"/>
    </row>
    <row r="28" spans="1:9" x14ac:dyDescent="0.45">
      <c r="A28" s="5"/>
      <c r="B28" s="4"/>
      <c r="C28" s="4"/>
      <c r="D28" s="4"/>
      <c r="E28" s="4"/>
      <c r="F28" s="4"/>
      <c r="G28" s="4"/>
      <c r="H28" s="1"/>
      <c r="I28" s="1"/>
    </row>
    <row r="29" spans="1:9" x14ac:dyDescent="0.45">
      <c r="A29" s="5"/>
      <c r="B29" s="4"/>
      <c r="C29" s="4"/>
      <c r="D29" s="4"/>
      <c r="E29" s="4"/>
      <c r="F29" s="4"/>
      <c r="G29" s="4"/>
      <c r="H29" s="1"/>
      <c r="I29" s="1"/>
    </row>
    <row r="30" spans="1:9" x14ac:dyDescent="0.45">
      <c r="A30" s="5"/>
      <c r="B30" s="4"/>
      <c r="C30" s="4"/>
      <c r="D30" s="4"/>
      <c r="E30" s="4"/>
      <c r="F30" s="4"/>
      <c r="G30" s="4"/>
      <c r="H30" s="1"/>
      <c r="I30" s="1"/>
    </row>
    <row r="31" spans="1:9" x14ac:dyDescent="0.45">
      <c r="A31" s="5"/>
      <c r="B31" s="4"/>
      <c r="C31" s="4"/>
      <c r="D31" s="4"/>
      <c r="E31" s="4"/>
      <c r="F31" s="4"/>
      <c r="G31" s="4"/>
      <c r="H31" s="1"/>
      <c r="I31" s="1"/>
    </row>
    <row r="32" spans="1:9" x14ac:dyDescent="0.45">
      <c r="A32" s="5"/>
      <c r="B32" s="4"/>
      <c r="C32" s="4"/>
      <c r="D32" s="4"/>
      <c r="E32" s="4"/>
      <c r="F32" s="4"/>
      <c r="G32" s="4"/>
      <c r="H32" s="1"/>
      <c r="I32" s="1"/>
    </row>
    <row r="33" spans="1:9" x14ac:dyDescent="0.45">
      <c r="A33" s="5"/>
      <c r="B33" s="4"/>
      <c r="C33" s="4"/>
      <c r="D33" s="4"/>
      <c r="E33" s="4"/>
      <c r="F33" s="4"/>
      <c r="G33" s="4"/>
      <c r="H33" s="1"/>
      <c r="I33" s="1"/>
    </row>
    <row r="34" spans="1:9" x14ac:dyDescent="0.45">
      <c r="A34" s="5"/>
      <c r="B34" s="4"/>
      <c r="C34" s="4"/>
      <c r="D34" s="4"/>
      <c r="E34" s="4"/>
      <c r="F34" s="4"/>
      <c r="G34" s="4"/>
      <c r="H34" s="1"/>
      <c r="I34" s="1"/>
    </row>
    <row r="35" spans="1:9" x14ac:dyDescent="0.45">
      <c r="A35" s="5"/>
      <c r="B35" s="4"/>
      <c r="C35" s="4"/>
      <c r="D35" s="4"/>
      <c r="E35" s="4"/>
      <c r="F35" s="4"/>
      <c r="G35" s="4"/>
      <c r="H35" s="1"/>
      <c r="I35" s="1"/>
    </row>
    <row r="36" spans="1:9" x14ac:dyDescent="0.45">
      <c r="A36" s="5"/>
      <c r="B36" s="4"/>
      <c r="C36" s="4"/>
      <c r="D36" s="4"/>
      <c r="E36" s="4"/>
      <c r="F36" s="4"/>
      <c r="G36" s="4"/>
      <c r="H36" s="1"/>
      <c r="I36" s="1"/>
    </row>
    <row r="37" spans="1:9" x14ac:dyDescent="0.45">
      <c r="A37" s="5"/>
      <c r="B37" s="4"/>
      <c r="C37" s="4"/>
      <c r="D37" s="4"/>
      <c r="E37" s="4"/>
      <c r="F37" s="4"/>
      <c r="G37" s="4"/>
      <c r="H37" s="1"/>
      <c r="I37" s="1"/>
    </row>
    <row r="38" spans="1:9" x14ac:dyDescent="0.45">
      <c r="A38" s="5"/>
      <c r="B38" s="4"/>
      <c r="C38" s="4"/>
      <c r="D38" s="4"/>
      <c r="E38" s="4"/>
      <c r="F38" s="4"/>
      <c r="G38" s="4"/>
      <c r="H38" s="1"/>
      <c r="I38" s="1"/>
    </row>
    <row r="39" spans="1:9" x14ac:dyDescent="0.45">
      <c r="A39" s="5"/>
      <c r="B39" s="4"/>
      <c r="C39" s="4"/>
      <c r="D39" s="4"/>
      <c r="E39" s="4"/>
      <c r="F39" s="4"/>
      <c r="G39" s="4"/>
      <c r="H39" s="1"/>
      <c r="I39" s="1"/>
    </row>
    <row r="40" spans="1:9" x14ac:dyDescent="0.45">
      <c r="A40" s="5"/>
      <c r="B40" s="4"/>
      <c r="C40" s="4"/>
      <c r="D40" s="4"/>
      <c r="E40" s="4"/>
      <c r="F40" s="4"/>
      <c r="G40" s="4"/>
      <c r="H40" s="1"/>
      <c r="I40" s="1"/>
    </row>
    <row r="41" spans="1:9" x14ac:dyDescent="0.45">
      <c r="A41" s="5"/>
      <c r="B41" s="4"/>
      <c r="C41" s="4"/>
      <c r="D41" s="4"/>
      <c r="E41" s="4"/>
      <c r="F41" s="4"/>
      <c r="G41" s="4"/>
      <c r="H41" s="1"/>
      <c r="I41" s="1"/>
    </row>
    <row r="42" spans="1:9" x14ac:dyDescent="0.45">
      <c r="A42" s="5"/>
      <c r="B42" s="4"/>
      <c r="C42" s="4"/>
      <c r="D42" s="4"/>
      <c r="E42" s="4"/>
      <c r="F42" s="4"/>
      <c r="G42" s="4"/>
      <c r="H42" s="1"/>
      <c r="I42" s="1"/>
    </row>
    <row r="43" spans="1:9" x14ac:dyDescent="0.45">
      <c r="A43" s="5"/>
      <c r="B43" s="4"/>
      <c r="C43" s="4"/>
      <c r="D43" s="4"/>
      <c r="E43" s="4"/>
      <c r="F43" s="4"/>
      <c r="G43" s="4"/>
      <c r="H43" s="1"/>
      <c r="I43" s="1"/>
    </row>
    <row r="44" spans="1:9" x14ac:dyDescent="0.45">
      <c r="A44" s="5"/>
      <c r="B44" s="4"/>
      <c r="C44" s="4"/>
      <c r="D44" s="4"/>
      <c r="E44" s="4"/>
      <c r="F44" s="4"/>
      <c r="G44" s="4"/>
      <c r="H44" s="1"/>
      <c r="I44" s="1"/>
    </row>
    <row r="45" spans="1:9" x14ac:dyDescent="0.45">
      <c r="A45" s="5"/>
      <c r="B45" s="4"/>
      <c r="C45" s="4"/>
      <c r="D45" s="4"/>
      <c r="E45" s="4"/>
      <c r="F45" s="4"/>
      <c r="G45" s="4"/>
      <c r="H45" s="1"/>
      <c r="I45" s="1"/>
    </row>
    <row r="46" spans="1:9" x14ac:dyDescent="0.45">
      <c r="A46" s="5"/>
      <c r="B46" s="4"/>
      <c r="C46" s="4"/>
      <c r="D46" s="4"/>
      <c r="E46" s="4"/>
      <c r="F46" s="4"/>
      <c r="G46" s="4"/>
      <c r="H46" s="1"/>
      <c r="I46" s="1"/>
    </row>
    <row r="47" spans="1:9" x14ac:dyDescent="0.45">
      <c r="A47" s="5"/>
      <c r="B47" s="4"/>
      <c r="C47" s="4"/>
      <c r="D47" s="4"/>
      <c r="E47" s="4"/>
      <c r="F47" s="4"/>
      <c r="G47" s="4"/>
      <c r="H47" s="1"/>
      <c r="I47" s="1"/>
    </row>
    <row r="48" spans="1:9" x14ac:dyDescent="0.45">
      <c r="A48" s="5"/>
      <c r="B48" s="4"/>
      <c r="C48" s="4"/>
      <c r="D48" s="4"/>
      <c r="E48" s="4"/>
      <c r="F48" s="4"/>
      <c r="G48" s="4"/>
      <c r="H48" s="1"/>
      <c r="I48" s="1"/>
    </row>
    <row r="49" spans="1:9" x14ac:dyDescent="0.45">
      <c r="A49" s="5"/>
      <c r="B49" s="4"/>
      <c r="C49" s="4"/>
      <c r="D49" s="4"/>
      <c r="E49" s="4"/>
      <c r="F49" s="4"/>
      <c r="G49" s="4"/>
      <c r="H49" s="1"/>
      <c r="I49" s="1"/>
    </row>
    <row r="50" spans="1:9" x14ac:dyDescent="0.45">
      <c r="A50" s="5"/>
      <c r="B50" s="4"/>
      <c r="C50" s="4"/>
      <c r="D50" s="4"/>
      <c r="E50" s="4"/>
      <c r="F50" s="4"/>
      <c r="G50" s="4"/>
      <c r="H50" s="1"/>
      <c r="I50" s="1"/>
    </row>
    <row r="51" spans="1:9" x14ac:dyDescent="0.45">
      <c r="A51" s="5"/>
      <c r="B51" s="4"/>
      <c r="C51" s="4"/>
      <c r="D51" s="4"/>
      <c r="E51" s="4"/>
      <c r="F51" s="4"/>
      <c r="G51" s="4"/>
      <c r="H51" s="1"/>
      <c r="I51" s="1"/>
    </row>
    <row r="52" spans="1:9" x14ac:dyDescent="0.45">
      <c r="A52" s="5"/>
      <c r="B52" s="4"/>
      <c r="C52" s="4"/>
      <c r="D52" s="4"/>
      <c r="E52" s="4"/>
      <c r="F52" s="4"/>
      <c r="G52" s="4"/>
      <c r="H52" s="1"/>
      <c r="I52" s="1"/>
    </row>
    <row r="53" spans="1:9" x14ac:dyDescent="0.45">
      <c r="A53" s="5"/>
      <c r="B53" s="4"/>
      <c r="C53" s="4"/>
      <c r="D53" s="4"/>
      <c r="E53" s="4"/>
      <c r="F53" s="4"/>
      <c r="G53" s="4"/>
      <c r="H53" s="1"/>
      <c r="I53" s="1"/>
    </row>
    <row r="54" spans="1:9" x14ac:dyDescent="0.45">
      <c r="A54" s="5"/>
      <c r="B54" s="4"/>
      <c r="C54" s="4"/>
      <c r="D54" s="4"/>
      <c r="E54" s="4"/>
      <c r="F54" s="4"/>
      <c r="G54" s="4"/>
      <c r="H54" s="1"/>
      <c r="I54" s="1"/>
    </row>
    <row r="55" spans="1:9" x14ac:dyDescent="0.45">
      <c r="A55" s="5"/>
      <c r="B55" s="4"/>
      <c r="C55" s="4"/>
      <c r="D55" s="4"/>
      <c r="E55" s="4"/>
      <c r="F55" s="4"/>
      <c r="G55" s="4"/>
      <c r="H55" s="1"/>
      <c r="I55" s="1"/>
    </row>
    <row r="56" spans="1:9" x14ac:dyDescent="0.45">
      <c r="A56" s="5"/>
      <c r="B56" s="4"/>
      <c r="C56" s="4"/>
      <c r="D56" s="4"/>
      <c r="E56" s="4"/>
      <c r="F56" s="4"/>
      <c r="G56" s="4"/>
      <c r="H56" s="1"/>
      <c r="I56" s="1"/>
    </row>
    <row r="57" spans="1:9" x14ac:dyDescent="0.45">
      <c r="A57" s="5"/>
      <c r="B57" s="4"/>
      <c r="C57" s="4"/>
      <c r="D57" s="4"/>
      <c r="E57" s="4"/>
      <c r="F57" s="4"/>
      <c r="G57" s="4"/>
      <c r="H57" s="1"/>
      <c r="I57" s="1"/>
    </row>
    <row r="58" spans="1:9" x14ac:dyDescent="0.45">
      <c r="A58" s="5"/>
      <c r="B58" s="4"/>
      <c r="C58" s="4"/>
      <c r="D58" s="4"/>
      <c r="E58" s="4"/>
      <c r="F58" s="4"/>
      <c r="G58" s="4"/>
      <c r="H58" s="1"/>
      <c r="I58" s="1"/>
    </row>
    <row r="59" spans="1:9" x14ac:dyDescent="0.45">
      <c r="A59" s="5"/>
      <c r="B59" s="4"/>
      <c r="C59" s="4"/>
      <c r="D59" s="4"/>
      <c r="E59" s="4"/>
      <c r="F59" s="4"/>
      <c r="G59" s="4"/>
      <c r="H59" s="1"/>
      <c r="I59" s="1"/>
    </row>
    <row r="60" spans="1:9" x14ac:dyDescent="0.45">
      <c r="A60" s="5"/>
      <c r="B60" s="4"/>
      <c r="C60" s="4"/>
      <c r="D60" s="4"/>
      <c r="E60" s="4"/>
      <c r="F60" s="4"/>
      <c r="G60" s="4"/>
      <c r="H60" s="1"/>
      <c r="I60" s="1"/>
    </row>
    <row r="61" spans="1:9" x14ac:dyDescent="0.45">
      <c r="A61" s="5"/>
      <c r="B61" s="4"/>
      <c r="C61" s="4"/>
      <c r="D61" s="4"/>
      <c r="E61" s="4"/>
      <c r="F61" s="4"/>
      <c r="G61" s="4"/>
      <c r="H61" s="1"/>
      <c r="I61" s="1"/>
    </row>
    <row r="62" spans="1:9" x14ac:dyDescent="0.45">
      <c r="A62" s="5"/>
      <c r="B62" s="4"/>
      <c r="C62" s="4"/>
      <c r="D62" s="4"/>
      <c r="E62" s="4"/>
      <c r="F62" s="4"/>
      <c r="G62" s="4"/>
      <c r="H62" s="1"/>
      <c r="I62" s="1"/>
    </row>
    <row r="63" spans="1:9" x14ac:dyDescent="0.45">
      <c r="A63" s="5"/>
      <c r="B63" s="4"/>
      <c r="C63" s="4"/>
      <c r="D63" s="4"/>
      <c r="E63" s="4"/>
      <c r="F63" s="4"/>
      <c r="G63" s="4"/>
      <c r="H63" s="1"/>
      <c r="I63" s="1"/>
    </row>
    <row r="64" spans="1:9" x14ac:dyDescent="0.45">
      <c r="A64" s="5"/>
      <c r="B64" s="4"/>
      <c r="C64" s="4"/>
      <c r="D64" s="4"/>
      <c r="E64" s="4"/>
      <c r="F64" s="4"/>
      <c r="G64" s="4"/>
      <c r="H64" s="1"/>
      <c r="I64" s="1"/>
    </row>
    <row r="65" spans="1:9" x14ac:dyDescent="0.45">
      <c r="A65" s="5"/>
      <c r="B65" s="4"/>
      <c r="C65" s="4"/>
      <c r="D65" s="4"/>
      <c r="E65" s="4"/>
      <c r="F65" s="4"/>
      <c r="G65" s="4"/>
      <c r="H65" s="1"/>
      <c r="I65" s="1"/>
    </row>
    <row r="66" spans="1:9" x14ac:dyDescent="0.45">
      <c r="A66" s="5"/>
      <c r="B66" s="4"/>
      <c r="C66" s="4"/>
      <c r="D66" s="4"/>
      <c r="E66" s="4"/>
      <c r="F66" s="4"/>
      <c r="G66" s="4"/>
      <c r="H66" s="1"/>
      <c r="I66" s="1"/>
    </row>
    <row r="67" spans="1:9" x14ac:dyDescent="0.45">
      <c r="A67" s="5"/>
      <c r="B67" s="4"/>
      <c r="C67" s="4"/>
      <c r="D67" s="4"/>
      <c r="E67" s="4"/>
      <c r="F67" s="4"/>
      <c r="G67" s="4"/>
      <c r="H67" s="1"/>
      <c r="I67" s="1"/>
    </row>
    <row r="68" spans="1:9" x14ac:dyDescent="0.45">
      <c r="A68" s="5"/>
      <c r="B68" s="4"/>
      <c r="C68" s="4"/>
      <c r="D68" s="4"/>
      <c r="E68" s="4"/>
      <c r="F68" s="4"/>
      <c r="G68" s="4"/>
      <c r="H68" s="1"/>
      <c r="I68" s="1"/>
    </row>
    <row r="69" spans="1:9" x14ac:dyDescent="0.45">
      <c r="A69" s="5"/>
      <c r="B69" s="4"/>
      <c r="C69" s="4"/>
      <c r="D69" s="4"/>
      <c r="E69" s="4"/>
      <c r="F69" s="4"/>
      <c r="G69" s="4"/>
      <c r="H69" s="1"/>
      <c r="I69" s="1"/>
    </row>
    <row r="70" spans="1:9" x14ac:dyDescent="0.45">
      <c r="A70" s="5"/>
      <c r="B70" s="4"/>
      <c r="C70" s="4"/>
      <c r="D70" s="4"/>
      <c r="E70" s="4"/>
      <c r="F70" s="4"/>
      <c r="G70" s="4"/>
      <c r="H70" s="1"/>
      <c r="I70" s="1"/>
    </row>
    <row r="71" spans="1:9" x14ac:dyDescent="0.45">
      <c r="A71" s="5"/>
      <c r="B71" s="4"/>
      <c r="C71" s="4"/>
      <c r="D71" s="4"/>
      <c r="E71" s="4"/>
      <c r="F71" s="4"/>
      <c r="G71" s="4"/>
      <c r="H71" s="1"/>
      <c r="I71" s="1"/>
    </row>
    <row r="72" spans="1:9" x14ac:dyDescent="0.45">
      <c r="A72" s="5"/>
      <c r="B72" s="4"/>
      <c r="C72" s="4"/>
      <c r="D72" s="4"/>
      <c r="E72" s="4"/>
      <c r="F72" s="4"/>
      <c r="G72" s="4"/>
      <c r="H72" s="1"/>
      <c r="I72" s="1"/>
    </row>
    <row r="73" spans="1:9" x14ac:dyDescent="0.45">
      <c r="A73" s="5"/>
      <c r="B73" s="4"/>
      <c r="C73" s="4"/>
      <c r="D73" s="4"/>
      <c r="E73" s="4"/>
      <c r="F73" s="4"/>
      <c r="G73" s="4"/>
      <c r="H73" s="1"/>
      <c r="I73" s="1"/>
    </row>
    <row r="74" spans="1:9" x14ac:dyDescent="0.45">
      <c r="A74" s="5"/>
      <c r="B74" s="4"/>
      <c r="C74" s="4"/>
      <c r="D74" s="4"/>
      <c r="E74" s="4"/>
      <c r="F74" s="4"/>
      <c r="G74" s="4"/>
      <c r="H74" s="1"/>
      <c r="I74" s="1"/>
    </row>
    <row r="75" spans="1:9" x14ac:dyDescent="0.45">
      <c r="A75" s="5"/>
      <c r="B75" s="4"/>
      <c r="C75" s="4"/>
      <c r="D75" s="4"/>
      <c r="E75" s="4"/>
      <c r="F75" s="4"/>
      <c r="G75" s="4"/>
      <c r="H75" s="1"/>
      <c r="I75" s="1"/>
    </row>
    <row r="76" spans="1:9" x14ac:dyDescent="0.45">
      <c r="A76" s="5"/>
      <c r="B76" s="4"/>
      <c r="C76" s="4"/>
      <c r="D76" s="4"/>
      <c r="E76" s="4"/>
      <c r="F76" s="4"/>
      <c r="G76" s="4"/>
      <c r="H76" s="1"/>
      <c r="I76" s="1"/>
    </row>
    <row r="77" spans="1:9" x14ac:dyDescent="0.45">
      <c r="A77" s="5"/>
      <c r="B77" s="4"/>
      <c r="C77" s="4"/>
      <c r="D77" s="4"/>
      <c r="E77" s="4"/>
      <c r="F77" s="4"/>
      <c r="G77" s="4"/>
      <c r="H77" s="1"/>
      <c r="I77" s="1"/>
    </row>
    <row r="78" spans="1:9" x14ac:dyDescent="0.45">
      <c r="A78" s="5"/>
      <c r="B78" s="4"/>
      <c r="C78" s="4"/>
      <c r="D78" s="4"/>
      <c r="E78" s="4"/>
      <c r="F78" s="4"/>
      <c r="G78" s="4"/>
      <c r="H78" s="1"/>
      <c r="I78" s="1"/>
    </row>
    <row r="79" spans="1:9" x14ac:dyDescent="0.45">
      <c r="A79" s="5"/>
      <c r="B79" s="4"/>
      <c r="C79" s="4"/>
      <c r="D79" s="4"/>
      <c r="E79" s="4"/>
      <c r="F79" s="4"/>
      <c r="G79" s="4"/>
      <c r="H79" s="1"/>
      <c r="I79" s="1"/>
    </row>
    <row r="80" spans="1:9" x14ac:dyDescent="0.45">
      <c r="A80" s="5"/>
      <c r="B80" s="4"/>
      <c r="C80" s="4"/>
      <c r="D80" s="4"/>
      <c r="E80" s="4"/>
      <c r="F80" s="4"/>
      <c r="G80" s="4"/>
      <c r="H80" s="1"/>
      <c r="I80" s="1"/>
    </row>
    <row r="81" spans="1:9" x14ac:dyDescent="0.45">
      <c r="A81" s="5"/>
      <c r="B81" s="4"/>
      <c r="C81" s="4"/>
      <c r="D81" s="4"/>
      <c r="E81" s="4"/>
      <c r="F81" s="4"/>
      <c r="G81" s="4"/>
      <c r="H81" s="1"/>
      <c r="I81" s="1"/>
    </row>
    <row r="82" spans="1:9" x14ac:dyDescent="0.45">
      <c r="A82" s="5"/>
      <c r="B82" s="4"/>
      <c r="C82" s="4"/>
      <c r="D82" s="4"/>
      <c r="E82" s="4"/>
      <c r="F82" s="4"/>
      <c r="G82" s="4"/>
      <c r="H82" s="1"/>
      <c r="I82" s="1"/>
    </row>
    <row r="83" spans="1:9" x14ac:dyDescent="0.45">
      <c r="A83" s="5"/>
      <c r="B83" s="4"/>
      <c r="C83" s="4"/>
      <c r="D83" s="4"/>
      <c r="E83" s="4"/>
      <c r="F83" s="4"/>
      <c r="G83" s="4"/>
      <c r="H83" s="1"/>
      <c r="I83" s="1"/>
    </row>
    <row r="84" spans="1:9" x14ac:dyDescent="0.45">
      <c r="A84" s="5"/>
      <c r="B84" s="4"/>
      <c r="C84" s="4"/>
      <c r="D84" s="4"/>
      <c r="E84" s="4"/>
      <c r="F84" s="4"/>
      <c r="G84" s="4"/>
      <c r="H84" s="1"/>
      <c r="I84" s="1"/>
    </row>
    <row r="85" spans="1:9" x14ac:dyDescent="0.45">
      <c r="A85" s="5"/>
      <c r="B85" s="4"/>
      <c r="C85" s="4"/>
      <c r="D85" s="4"/>
      <c r="E85" s="4"/>
      <c r="F85" s="4"/>
      <c r="G85" s="4"/>
      <c r="H85" s="1"/>
      <c r="I85" s="1"/>
    </row>
    <row r="86" spans="1:9" x14ac:dyDescent="0.45">
      <c r="A86" s="5"/>
      <c r="B86" s="4"/>
      <c r="C86" s="4"/>
      <c r="D86" s="4"/>
      <c r="E86" s="4"/>
      <c r="F86" s="4"/>
      <c r="G86" s="4"/>
      <c r="H86" s="1"/>
      <c r="I86" s="1"/>
    </row>
    <row r="87" spans="1:9" x14ac:dyDescent="0.45">
      <c r="A87" s="5"/>
      <c r="B87" s="4"/>
      <c r="C87" s="4"/>
      <c r="D87" s="4"/>
      <c r="E87" s="4"/>
      <c r="F87" s="4"/>
      <c r="G87" s="4"/>
      <c r="H87" s="1"/>
      <c r="I87" s="1"/>
    </row>
    <row r="88" spans="1:9" x14ac:dyDescent="0.45">
      <c r="A88" s="5"/>
      <c r="B88" s="4"/>
      <c r="C88" s="4"/>
      <c r="D88" s="4"/>
      <c r="E88" s="4"/>
      <c r="F88" s="4"/>
      <c r="G88" s="4"/>
      <c r="H88" s="1"/>
      <c r="I88" s="1"/>
    </row>
    <row r="89" spans="1:9" x14ac:dyDescent="0.45">
      <c r="A89" s="5"/>
      <c r="B89" s="4"/>
      <c r="C89" s="4"/>
      <c r="D89" s="4"/>
      <c r="E89" s="4"/>
      <c r="F89" s="4"/>
      <c r="G89" s="4"/>
      <c r="H89" s="1"/>
      <c r="I89" s="1"/>
    </row>
    <row r="90" spans="1:9" x14ac:dyDescent="0.45">
      <c r="A90" s="5"/>
      <c r="B90" s="4"/>
      <c r="C90" s="4"/>
      <c r="D90" s="4"/>
      <c r="E90" s="4"/>
      <c r="F90" s="4"/>
      <c r="G90" s="4"/>
      <c r="H90" s="1"/>
      <c r="I90" s="1"/>
    </row>
    <row r="91" spans="1:9" x14ac:dyDescent="0.45">
      <c r="A91" s="5"/>
      <c r="B91" s="4"/>
      <c r="C91" s="4"/>
      <c r="D91" s="4"/>
      <c r="E91" s="4"/>
      <c r="F91" s="4"/>
      <c r="G91" s="4"/>
      <c r="H91" s="1"/>
      <c r="I91" s="1"/>
    </row>
    <row r="92" spans="1:9" x14ac:dyDescent="0.45">
      <c r="A92" s="5"/>
      <c r="B92" s="4"/>
      <c r="C92" s="4"/>
      <c r="D92" s="4"/>
      <c r="E92" s="4"/>
      <c r="F92" s="4"/>
      <c r="G92" s="4"/>
      <c r="H92" s="1"/>
      <c r="I92" s="1"/>
    </row>
    <row r="93" spans="1:9" x14ac:dyDescent="0.45">
      <c r="A93" s="5"/>
      <c r="B93" s="4"/>
      <c r="C93" s="4"/>
      <c r="D93" s="4"/>
      <c r="E93" s="4"/>
      <c r="F93" s="4"/>
      <c r="G93" s="4"/>
      <c r="H93" s="1"/>
      <c r="I93" s="1"/>
    </row>
    <row r="94" spans="1:9" x14ac:dyDescent="0.45">
      <c r="A94" s="5"/>
      <c r="B94" s="4"/>
      <c r="C94" s="4"/>
      <c r="D94" s="4"/>
      <c r="E94" s="4"/>
      <c r="F94" s="4"/>
      <c r="G94" s="4"/>
      <c r="H94" s="1"/>
      <c r="I94" s="1"/>
    </row>
    <row r="95" spans="1:9" x14ac:dyDescent="0.45">
      <c r="A95" s="5"/>
      <c r="B95" s="4"/>
      <c r="C95" s="4"/>
      <c r="D95" s="4"/>
      <c r="E95" s="4"/>
      <c r="F95" s="4"/>
      <c r="G95" s="4"/>
      <c r="H95" s="1"/>
      <c r="I95" s="1"/>
    </row>
    <row r="96" spans="1:9" x14ac:dyDescent="0.45">
      <c r="A96" s="5"/>
      <c r="B96" s="4"/>
      <c r="C96" s="4"/>
      <c r="D96" s="4"/>
      <c r="E96" s="4"/>
      <c r="F96" s="4"/>
      <c r="G96" s="4"/>
      <c r="H96" s="1"/>
      <c r="I96" s="1"/>
    </row>
    <row r="97" spans="1:9" x14ac:dyDescent="0.45">
      <c r="A97" s="5"/>
      <c r="B97" s="4"/>
      <c r="C97" s="4"/>
      <c r="D97" s="4"/>
      <c r="E97" s="4"/>
      <c r="F97" s="4"/>
      <c r="G97" s="4"/>
      <c r="H97" s="1"/>
      <c r="I97" s="1"/>
    </row>
    <row r="98" spans="1:9" x14ac:dyDescent="0.45">
      <c r="A98" s="5"/>
      <c r="B98" s="4"/>
      <c r="C98" s="4"/>
      <c r="D98" s="4"/>
      <c r="E98" s="4"/>
      <c r="F98" s="4"/>
      <c r="G98" s="4"/>
      <c r="H98" s="1"/>
      <c r="I98" s="1"/>
    </row>
    <row r="99" spans="1:9" x14ac:dyDescent="0.45">
      <c r="A99" s="5"/>
      <c r="B99" s="4"/>
      <c r="C99" s="4"/>
      <c r="D99" s="4"/>
      <c r="E99" s="4"/>
      <c r="F99" s="4"/>
      <c r="G99" s="4"/>
      <c r="H99" s="1"/>
      <c r="I99" s="1"/>
    </row>
    <row r="100" spans="1:9" x14ac:dyDescent="0.45">
      <c r="A100" s="5"/>
      <c r="B100" s="4"/>
      <c r="C100" s="4"/>
      <c r="D100" s="4"/>
      <c r="E100" s="4"/>
      <c r="F100" s="4"/>
      <c r="G100" s="4"/>
      <c r="H100" s="1"/>
      <c r="I100" s="1"/>
    </row>
    <row r="101" spans="1:9" x14ac:dyDescent="0.45">
      <c r="A101" s="5"/>
      <c r="B101" s="4"/>
      <c r="C101" s="4"/>
      <c r="D101" s="4"/>
      <c r="E101" s="4"/>
      <c r="F101" s="4"/>
      <c r="G101" s="4"/>
      <c r="H101" s="1"/>
      <c r="I101" s="1"/>
    </row>
    <row r="102" spans="1:9" x14ac:dyDescent="0.45">
      <c r="A102" s="5"/>
      <c r="B102" s="4"/>
      <c r="C102" s="4"/>
      <c r="D102" s="4"/>
      <c r="E102" s="4"/>
      <c r="F102" s="4"/>
      <c r="G102" s="4"/>
      <c r="H102" s="1"/>
      <c r="I102" s="1"/>
    </row>
    <row r="103" spans="1:9" x14ac:dyDescent="0.45">
      <c r="A103" s="5"/>
      <c r="B103" s="4"/>
      <c r="C103" s="4"/>
      <c r="D103" s="4"/>
      <c r="E103" s="4"/>
      <c r="F103" s="4"/>
      <c r="G103" s="4"/>
      <c r="H103" s="1"/>
      <c r="I103" s="1"/>
    </row>
    <row r="104" spans="1:9" x14ac:dyDescent="0.45">
      <c r="A104" s="5"/>
      <c r="B104" s="4"/>
      <c r="C104" s="4"/>
      <c r="D104" s="4"/>
      <c r="E104" s="4"/>
      <c r="F104" s="4"/>
      <c r="G104" s="4"/>
      <c r="H104" s="1"/>
      <c r="I104" s="1"/>
    </row>
    <row r="105" spans="1:9" x14ac:dyDescent="0.45">
      <c r="A105" s="5"/>
      <c r="B105" s="4"/>
      <c r="C105" s="4"/>
      <c r="D105" s="4"/>
      <c r="E105" s="4"/>
      <c r="F105" s="4"/>
      <c r="G105" s="4"/>
      <c r="H105" s="1"/>
      <c r="I105" s="1"/>
    </row>
    <row r="106" spans="1:9" x14ac:dyDescent="0.45">
      <c r="A106" s="5"/>
      <c r="B106" s="4"/>
      <c r="C106" s="4"/>
      <c r="D106" s="4"/>
      <c r="E106" s="4"/>
      <c r="F106" s="4"/>
      <c r="G106" s="4"/>
      <c r="H106" s="1"/>
      <c r="I106" s="1"/>
    </row>
    <row r="107" spans="1:9" x14ac:dyDescent="0.45">
      <c r="A107" s="5"/>
      <c r="B107" s="4"/>
      <c r="C107" s="4"/>
      <c r="D107" s="4"/>
      <c r="E107" s="4"/>
      <c r="F107" s="4"/>
      <c r="G107" s="4"/>
      <c r="H107" s="1"/>
      <c r="I107" s="1"/>
    </row>
    <row r="108" spans="1:9" x14ac:dyDescent="0.45">
      <c r="A108" s="5"/>
      <c r="B108" s="4"/>
      <c r="C108" s="4"/>
      <c r="D108" s="4"/>
      <c r="E108" s="4"/>
      <c r="F108" s="4"/>
      <c r="G108" s="4"/>
      <c r="H108" s="1"/>
      <c r="I108" s="1"/>
    </row>
    <row r="109" spans="1:9" x14ac:dyDescent="0.45">
      <c r="A109" s="5"/>
      <c r="B109" s="4"/>
      <c r="C109" s="4"/>
      <c r="D109" s="4"/>
      <c r="E109" s="4"/>
      <c r="F109" s="4"/>
      <c r="G109" s="4"/>
      <c r="H109" s="1"/>
      <c r="I109" s="1"/>
    </row>
    <row r="110" spans="1:9" x14ac:dyDescent="0.45">
      <c r="A110" s="5"/>
      <c r="B110" s="4"/>
      <c r="C110" s="4"/>
      <c r="D110" s="4"/>
      <c r="E110" s="4"/>
      <c r="F110" s="4"/>
      <c r="G110" s="4"/>
      <c r="H110" s="1"/>
      <c r="I110" s="1"/>
    </row>
    <row r="111" spans="1:9" x14ac:dyDescent="0.45">
      <c r="A111" s="5"/>
      <c r="B111" s="4"/>
      <c r="C111" s="4"/>
      <c r="D111" s="4"/>
      <c r="E111" s="4"/>
      <c r="F111" s="4"/>
      <c r="G111" s="4"/>
      <c r="H111" s="1"/>
      <c r="I111" s="1"/>
    </row>
    <row r="112" spans="1:9" x14ac:dyDescent="0.45">
      <c r="A112" s="5"/>
      <c r="B112" s="4"/>
      <c r="C112" s="4"/>
      <c r="D112" s="4"/>
      <c r="E112" s="4"/>
      <c r="F112" s="4"/>
      <c r="G112" s="4"/>
      <c r="H112" s="1"/>
      <c r="I112" s="1"/>
    </row>
    <row r="113" spans="1:9" x14ac:dyDescent="0.45">
      <c r="A113" s="5"/>
      <c r="B113" s="4"/>
      <c r="C113" s="4"/>
      <c r="D113" s="4"/>
      <c r="E113" s="4"/>
      <c r="F113" s="4"/>
      <c r="G113" s="4"/>
      <c r="H113" s="1"/>
      <c r="I113" s="1"/>
    </row>
    <row r="114" spans="1:9" x14ac:dyDescent="0.45">
      <c r="A114" s="5"/>
      <c r="B114" s="4"/>
      <c r="C114" s="4"/>
      <c r="D114" s="4"/>
      <c r="E114" s="4"/>
      <c r="F114" s="4"/>
      <c r="G114" s="4"/>
      <c r="H114" s="1"/>
      <c r="I114" s="1"/>
    </row>
    <row r="115" spans="1:9" x14ac:dyDescent="0.45">
      <c r="A115" s="5"/>
      <c r="B115" s="4"/>
      <c r="C115" s="4"/>
      <c r="D115" s="4"/>
      <c r="E115" s="4"/>
      <c r="F115" s="4"/>
      <c r="G115" s="4"/>
      <c r="H115" s="1"/>
      <c r="I115" s="1"/>
    </row>
    <row r="116" spans="1:9" x14ac:dyDescent="0.45">
      <c r="A116" s="5"/>
      <c r="B116" s="4"/>
      <c r="C116" s="4"/>
      <c r="D116" s="4"/>
      <c r="E116" s="4"/>
      <c r="F116" s="4"/>
      <c r="G116" s="4"/>
      <c r="H116" s="1"/>
      <c r="I116" s="1"/>
    </row>
    <row r="117" spans="1:9" x14ac:dyDescent="0.45">
      <c r="A117" s="5"/>
      <c r="B117" s="4"/>
      <c r="C117" s="4"/>
      <c r="D117" s="4"/>
      <c r="E117" s="4"/>
      <c r="F117" s="4"/>
      <c r="G117" s="4"/>
      <c r="H117" s="1"/>
      <c r="I117" s="1"/>
    </row>
    <row r="118" spans="1:9" x14ac:dyDescent="0.45">
      <c r="A118" s="5"/>
      <c r="B118" s="4"/>
      <c r="C118" s="4"/>
      <c r="D118" s="4"/>
      <c r="E118" s="4"/>
      <c r="F118" s="4"/>
      <c r="G118" s="4"/>
      <c r="H118" s="1"/>
      <c r="I118" s="1"/>
    </row>
    <row r="119" spans="1:9" x14ac:dyDescent="0.45">
      <c r="A119" s="5"/>
      <c r="B119" s="4"/>
      <c r="C119" s="4"/>
      <c r="D119" s="4"/>
      <c r="E119" s="4"/>
      <c r="F119" s="4"/>
      <c r="G119" s="4"/>
      <c r="H119" s="1"/>
      <c r="I119" s="1"/>
    </row>
    <row r="120" spans="1:9" x14ac:dyDescent="0.45">
      <c r="A120" s="5"/>
      <c r="B120" s="4"/>
      <c r="C120" s="4"/>
      <c r="D120" s="4"/>
      <c r="E120" s="4"/>
      <c r="F120" s="4"/>
      <c r="G120" s="4"/>
      <c r="H120" s="1"/>
      <c r="I120" s="1"/>
    </row>
    <row r="121" spans="1:9" x14ac:dyDescent="0.45">
      <c r="A121" s="5"/>
      <c r="B121" s="4"/>
      <c r="C121" s="4"/>
      <c r="D121" s="4"/>
      <c r="E121" s="4"/>
      <c r="F121" s="4"/>
      <c r="G121" s="4"/>
      <c r="H121" s="1"/>
      <c r="I121" s="1"/>
    </row>
    <row r="122" spans="1:9" x14ac:dyDescent="0.45">
      <c r="A122" s="5"/>
      <c r="B122" s="4"/>
      <c r="C122" s="4"/>
      <c r="D122" s="4"/>
      <c r="E122" s="4"/>
      <c r="F122" s="4"/>
      <c r="G122" s="4"/>
      <c r="H122" s="1"/>
      <c r="I122" s="1"/>
    </row>
    <row r="123" spans="1:9" x14ac:dyDescent="0.45">
      <c r="A123" s="5"/>
      <c r="B123" s="4"/>
      <c r="C123" s="4"/>
      <c r="D123" s="4"/>
      <c r="E123" s="4"/>
      <c r="F123" s="4"/>
      <c r="G123" s="4"/>
      <c r="H123" s="1"/>
      <c r="I123" s="1"/>
    </row>
    <row r="124" spans="1:9" x14ac:dyDescent="0.45">
      <c r="A124" s="5"/>
      <c r="B124" s="4"/>
      <c r="C124" s="4"/>
      <c r="D124" s="4"/>
      <c r="E124" s="4"/>
      <c r="F124" s="4"/>
      <c r="G124" s="4"/>
      <c r="H124" s="1"/>
      <c r="I124" s="1"/>
    </row>
    <row r="125" spans="1:9" x14ac:dyDescent="0.45">
      <c r="A125" s="5"/>
      <c r="B125" s="4"/>
      <c r="C125" s="4"/>
      <c r="D125" s="4"/>
      <c r="E125" s="4"/>
      <c r="F125" s="4"/>
      <c r="G125" s="4"/>
      <c r="H125" s="1"/>
      <c r="I125" s="1"/>
    </row>
    <row r="126" spans="1:9" x14ac:dyDescent="0.45">
      <c r="A126" s="5"/>
      <c r="B126" s="4"/>
      <c r="C126" s="4"/>
      <c r="D126" s="4"/>
      <c r="E126" s="4"/>
      <c r="F126" s="4"/>
      <c r="G126" s="4"/>
      <c r="H126" s="1"/>
      <c r="I126" s="1"/>
    </row>
    <row r="127" spans="1:9" x14ac:dyDescent="0.45">
      <c r="A127" s="5"/>
      <c r="B127" s="4"/>
      <c r="C127" s="4"/>
      <c r="D127" s="4"/>
      <c r="E127" s="4"/>
      <c r="F127" s="4"/>
      <c r="G127" s="4"/>
      <c r="H127" s="1"/>
      <c r="I127" s="1"/>
    </row>
    <row r="128" spans="1:9" x14ac:dyDescent="0.45">
      <c r="A128" s="5"/>
      <c r="B128" s="4"/>
      <c r="C128" s="4"/>
      <c r="D128" s="4"/>
      <c r="E128" s="4"/>
      <c r="F128" s="4"/>
      <c r="G128" s="4"/>
      <c r="H128" s="1"/>
      <c r="I128" s="1"/>
    </row>
    <row r="129" spans="1:9" x14ac:dyDescent="0.45">
      <c r="A129" s="5"/>
      <c r="B129" s="4"/>
      <c r="C129" s="4"/>
      <c r="D129" s="4"/>
      <c r="E129" s="4"/>
      <c r="F129" s="4"/>
      <c r="G129" s="4"/>
      <c r="H129" s="1"/>
      <c r="I129" s="1"/>
    </row>
    <row r="130" spans="1:9" x14ac:dyDescent="0.45">
      <c r="A130" s="5"/>
      <c r="B130" s="4"/>
      <c r="C130" s="4"/>
      <c r="D130" s="4"/>
      <c r="E130" s="4"/>
      <c r="F130" s="4"/>
      <c r="G130" s="4"/>
      <c r="H130" s="1"/>
      <c r="I130" s="1"/>
    </row>
    <row r="131" spans="1:9" x14ac:dyDescent="0.45">
      <c r="A131" s="5"/>
      <c r="B131" s="4"/>
      <c r="C131" s="4"/>
      <c r="D131" s="4"/>
      <c r="E131" s="4"/>
      <c r="F131" s="4"/>
      <c r="G131" s="4"/>
      <c r="H131" s="1"/>
      <c r="I131" s="1"/>
    </row>
    <row r="132" spans="1:9" x14ac:dyDescent="0.45">
      <c r="A132" s="5"/>
      <c r="B132" s="4"/>
      <c r="C132" s="4"/>
      <c r="D132" s="4"/>
      <c r="E132" s="4"/>
      <c r="F132" s="4"/>
      <c r="G132" s="4"/>
      <c r="H132" s="1"/>
      <c r="I132" s="1"/>
    </row>
    <row r="133" spans="1:9" x14ac:dyDescent="0.45">
      <c r="A133" s="5"/>
      <c r="B133" s="4"/>
      <c r="C133" s="4"/>
      <c r="D133" s="4"/>
      <c r="E133" s="4"/>
      <c r="F133" s="4"/>
      <c r="G133" s="4"/>
      <c r="H133" s="1"/>
      <c r="I133" s="1"/>
    </row>
    <row r="134" spans="1:9" x14ac:dyDescent="0.45">
      <c r="A134" s="5"/>
      <c r="B134" s="4"/>
      <c r="C134" s="4"/>
      <c r="D134" s="4"/>
      <c r="E134" s="4"/>
      <c r="F134" s="4"/>
      <c r="G134" s="4"/>
      <c r="H134" s="1"/>
      <c r="I134" s="1"/>
    </row>
    <row r="135" spans="1:9" x14ac:dyDescent="0.45">
      <c r="A135" s="5"/>
      <c r="B135" s="4"/>
      <c r="C135" s="4"/>
      <c r="D135" s="4"/>
      <c r="E135" s="4"/>
      <c r="F135" s="4"/>
      <c r="G135" s="4"/>
      <c r="H135" s="1"/>
      <c r="I135" s="1"/>
    </row>
    <row r="136" spans="1:9" x14ac:dyDescent="0.45">
      <c r="A136" s="5"/>
      <c r="B136" s="4"/>
      <c r="C136" s="4"/>
      <c r="D136" s="4"/>
      <c r="E136" s="4"/>
      <c r="F136" s="4"/>
      <c r="G136" s="4"/>
      <c r="H136" s="1"/>
      <c r="I136" s="1"/>
    </row>
    <row r="137" spans="1:9" x14ac:dyDescent="0.45">
      <c r="A137" s="5"/>
      <c r="B137" s="4"/>
      <c r="C137" s="4"/>
      <c r="D137" s="4"/>
      <c r="E137" s="4"/>
      <c r="F137" s="4"/>
      <c r="G137" s="4"/>
      <c r="H137" s="1"/>
      <c r="I137" s="1"/>
    </row>
    <row r="138" spans="1:9" x14ac:dyDescent="0.45">
      <c r="A138" s="5"/>
      <c r="B138" s="4"/>
      <c r="C138" s="4"/>
      <c r="D138" s="4"/>
      <c r="E138" s="4"/>
      <c r="F138" s="4"/>
      <c r="G138" s="4"/>
      <c r="H138" s="1"/>
      <c r="I138" s="1"/>
    </row>
    <row r="139" spans="1:9" x14ac:dyDescent="0.45">
      <c r="A139" s="5"/>
      <c r="B139" s="4"/>
      <c r="C139" s="4"/>
      <c r="D139" s="4"/>
      <c r="E139" s="4"/>
      <c r="F139" s="4"/>
      <c r="G139" s="4"/>
      <c r="H139" s="1"/>
      <c r="I139" s="1"/>
    </row>
    <row r="140" spans="1:9" x14ac:dyDescent="0.45">
      <c r="A140" s="5"/>
      <c r="B140" s="4"/>
      <c r="C140" s="4"/>
      <c r="D140" s="4"/>
      <c r="E140" s="4"/>
      <c r="F140" s="4"/>
      <c r="G140" s="4"/>
      <c r="H140" s="1"/>
      <c r="I140" s="1"/>
    </row>
    <row r="141" spans="1:9" x14ac:dyDescent="0.45">
      <c r="A141" s="5"/>
      <c r="B141" s="4"/>
      <c r="C141" s="4"/>
      <c r="D141" s="4"/>
      <c r="E141" s="4"/>
      <c r="F141" s="4"/>
      <c r="G141" s="4"/>
      <c r="H141" s="1"/>
      <c r="I141" s="1"/>
    </row>
    <row r="142" spans="1:9" x14ac:dyDescent="0.45">
      <c r="A142" s="5"/>
      <c r="B142" s="4"/>
      <c r="C142" s="4"/>
      <c r="D142" s="4"/>
      <c r="E142" s="4"/>
      <c r="F142" s="4"/>
      <c r="G142" s="4"/>
      <c r="H142" s="1"/>
      <c r="I142" s="1"/>
    </row>
    <row r="143" spans="1:9" x14ac:dyDescent="0.45">
      <c r="A143" s="5"/>
      <c r="B143" s="4"/>
      <c r="C143" s="4"/>
      <c r="D143" s="4"/>
      <c r="E143" s="4"/>
      <c r="F143" s="4"/>
      <c r="G143" s="4"/>
      <c r="H143" s="1"/>
      <c r="I143" s="1"/>
    </row>
    <row r="144" spans="1:9" x14ac:dyDescent="0.45">
      <c r="A144" s="5"/>
      <c r="B144" s="4"/>
      <c r="C144" s="4"/>
      <c r="D144" s="4"/>
      <c r="E144" s="4"/>
      <c r="F144" s="4"/>
      <c r="G144" s="4"/>
      <c r="H144" s="1"/>
      <c r="I144" s="1"/>
    </row>
    <row r="145" spans="1:9" x14ac:dyDescent="0.45">
      <c r="A145" s="5"/>
      <c r="B145" s="4"/>
      <c r="C145" s="4"/>
      <c r="D145" s="4"/>
      <c r="E145" s="4"/>
      <c r="F145" s="4"/>
      <c r="G145" s="4"/>
      <c r="H145" s="1"/>
      <c r="I145" s="1"/>
    </row>
    <row r="146" spans="1:9" x14ac:dyDescent="0.45">
      <c r="A146" s="5"/>
      <c r="B146" s="4"/>
      <c r="C146" s="4"/>
      <c r="D146" s="4"/>
      <c r="E146" s="4"/>
      <c r="F146" s="4"/>
      <c r="G146" s="4"/>
      <c r="H146" s="1"/>
      <c r="I146" s="1"/>
    </row>
    <row r="147" spans="1:9" x14ac:dyDescent="0.45">
      <c r="A147" s="5"/>
      <c r="B147" s="4"/>
      <c r="C147" s="4"/>
      <c r="D147" s="4"/>
      <c r="E147" s="4"/>
      <c r="F147" s="4"/>
      <c r="G147" s="4"/>
      <c r="H147" s="1"/>
      <c r="I147" s="1"/>
    </row>
    <row r="148" spans="1:9" x14ac:dyDescent="0.45">
      <c r="A148" s="5"/>
      <c r="B148" s="4"/>
      <c r="C148" s="4"/>
      <c r="D148" s="4"/>
      <c r="E148" s="4"/>
      <c r="F148" s="4"/>
      <c r="G148" s="4"/>
      <c r="H148" s="1"/>
      <c r="I148" s="1"/>
    </row>
    <row r="149" spans="1:9" x14ac:dyDescent="0.45">
      <c r="A149" s="5"/>
      <c r="B149" s="4"/>
      <c r="C149" s="4"/>
      <c r="D149" s="4"/>
      <c r="E149" s="4"/>
      <c r="F149" s="4"/>
      <c r="G149" s="4"/>
      <c r="H149" s="1"/>
      <c r="I149" s="1"/>
    </row>
    <row r="150" spans="1:9" x14ac:dyDescent="0.45">
      <c r="A150" s="5"/>
      <c r="B150" s="4"/>
      <c r="C150" s="4"/>
      <c r="D150" s="4"/>
      <c r="E150" s="4"/>
      <c r="F150" s="4"/>
      <c r="G150" s="4"/>
      <c r="H150" s="1"/>
      <c r="I150" s="1"/>
    </row>
    <row r="151" spans="1:9" x14ac:dyDescent="0.45">
      <c r="A151" s="5"/>
      <c r="B151" s="4"/>
      <c r="C151" s="4"/>
      <c r="D151" s="4"/>
      <c r="E151" s="4"/>
      <c r="F151" s="4"/>
      <c r="G151" s="4"/>
      <c r="H151" s="1"/>
      <c r="I151" s="1"/>
    </row>
    <row r="152" spans="1:9" x14ac:dyDescent="0.45">
      <c r="A152" s="5"/>
      <c r="B152" s="4"/>
      <c r="C152" s="4"/>
      <c r="D152" s="4"/>
      <c r="E152" s="4"/>
      <c r="F152" s="4"/>
      <c r="G152" s="4"/>
      <c r="H152" s="1"/>
      <c r="I152" s="1"/>
    </row>
    <row r="153" spans="1:9" x14ac:dyDescent="0.45">
      <c r="A153" s="5"/>
      <c r="B153" s="4"/>
      <c r="C153" s="4"/>
      <c r="D153" s="4"/>
      <c r="E153" s="4"/>
      <c r="F153" s="4"/>
      <c r="G153" s="4"/>
      <c r="H153" s="1"/>
      <c r="I153" s="1"/>
    </row>
    <row r="154" spans="1:9" x14ac:dyDescent="0.45">
      <c r="A154" s="5"/>
      <c r="B154" s="4"/>
      <c r="C154" s="4"/>
      <c r="D154" s="4"/>
      <c r="E154" s="4"/>
      <c r="F154" s="4"/>
      <c r="G154" s="4"/>
      <c r="H154" s="1"/>
      <c r="I154" s="1"/>
    </row>
    <row r="155" spans="1:9" x14ac:dyDescent="0.45">
      <c r="A155" s="5"/>
      <c r="B155" s="4"/>
      <c r="C155" s="4"/>
      <c r="D155" s="4"/>
      <c r="E155" s="4"/>
      <c r="F155" s="4"/>
      <c r="G155" s="4"/>
      <c r="H155" s="1"/>
      <c r="I155" s="1"/>
    </row>
    <row r="156" spans="1:9" x14ac:dyDescent="0.45">
      <c r="A156" s="5"/>
      <c r="B156" s="4"/>
      <c r="C156" s="4"/>
      <c r="D156" s="4"/>
      <c r="E156" s="4"/>
      <c r="F156" s="4"/>
      <c r="G156" s="4"/>
      <c r="H156" s="1"/>
      <c r="I156" s="1"/>
    </row>
    <row r="157" spans="1:9" x14ac:dyDescent="0.45">
      <c r="A157" s="5"/>
      <c r="B157" s="4"/>
      <c r="C157" s="4"/>
      <c r="D157" s="4"/>
      <c r="E157" s="4"/>
      <c r="F157" s="4"/>
      <c r="G157" s="4"/>
      <c r="H157" s="1"/>
      <c r="I157" s="1"/>
    </row>
    <row r="158" spans="1:9" x14ac:dyDescent="0.45">
      <c r="A158" s="5"/>
      <c r="B158" s="4"/>
      <c r="C158" s="4"/>
      <c r="D158" s="4"/>
      <c r="E158" s="4"/>
      <c r="F158" s="4"/>
      <c r="G158" s="4"/>
      <c r="H158" s="1"/>
      <c r="I158" s="1"/>
    </row>
    <row r="159" spans="1:9" x14ac:dyDescent="0.45">
      <c r="A159" s="5"/>
      <c r="B159" s="4"/>
      <c r="C159" s="4"/>
      <c r="D159" s="4"/>
      <c r="E159" s="4"/>
      <c r="F159" s="4"/>
      <c r="G159" s="4"/>
      <c r="H159" s="1"/>
      <c r="I159" s="1"/>
    </row>
    <row r="160" spans="1:9" x14ac:dyDescent="0.45">
      <c r="A160" s="5"/>
      <c r="B160" s="4"/>
      <c r="C160" s="4"/>
      <c r="D160" s="4"/>
      <c r="E160" s="4"/>
      <c r="F160" s="4"/>
      <c r="G160" s="4"/>
      <c r="H160" s="1"/>
      <c r="I160" s="1"/>
    </row>
    <row r="161" spans="1:9" x14ac:dyDescent="0.45">
      <c r="A161" s="5"/>
      <c r="B161" s="4"/>
      <c r="C161" s="4"/>
      <c r="D161" s="4"/>
      <c r="E161" s="4"/>
      <c r="F161" s="4"/>
      <c r="G161" s="4"/>
      <c r="H161" s="1"/>
      <c r="I161" s="1"/>
    </row>
    <row r="162" spans="1:9" x14ac:dyDescent="0.45">
      <c r="A162" s="5"/>
      <c r="B162" s="4"/>
      <c r="C162" s="4"/>
      <c r="D162" s="4"/>
      <c r="E162" s="4"/>
      <c r="F162" s="4"/>
      <c r="G162" s="4"/>
      <c r="H162" s="1"/>
      <c r="I162" s="1"/>
    </row>
    <row r="163" spans="1:9" x14ac:dyDescent="0.45">
      <c r="A163" s="5"/>
      <c r="B163" s="4"/>
      <c r="C163" s="4"/>
      <c r="D163" s="4"/>
      <c r="E163" s="4"/>
      <c r="F163" s="4"/>
      <c r="G163" s="4"/>
      <c r="H163" s="1"/>
      <c r="I163" s="1"/>
    </row>
    <row r="164" spans="1:9" x14ac:dyDescent="0.45">
      <c r="A164" s="5"/>
      <c r="B164" s="4"/>
      <c r="C164" s="4"/>
      <c r="D164" s="4"/>
      <c r="E164" s="4"/>
      <c r="F164" s="4"/>
      <c r="G164" s="4"/>
      <c r="H164" s="1"/>
      <c r="I164" s="1"/>
    </row>
    <row r="165" spans="1:9" x14ac:dyDescent="0.45">
      <c r="A165" s="5"/>
      <c r="B165" s="4"/>
      <c r="C165" s="4"/>
      <c r="D165" s="4"/>
      <c r="E165" s="4"/>
      <c r="F165" s="4"/>
      <c r="G165" s="4"/>
      <c r="H165" s="1"/>
      <c r="I165" s="1"/>
    </row>
    <row r="166" spans="1:9" x14ac:dyDescent="0.45">
      <c r="A166" s="5"/>
      <c r="B166" s="4"/>
      <c r="C166" s="4"/>
      <c r="D166" s="4"/>
      <c r="E166" s="4"/>
      <c r="F166" s="4"/>
      <c r="G166" s="4"/>
      <c r="H166" s="1"/>
      <c r="I166" s="1"/>
    </row>
    <row r="167" spans="1:9" x14ac:dyDescent="0.45">
      <c r="A167" s="5"/>
      <c r="B167" s="4"/>
      <c r="C167" s="4"/>
      <c r="D167" s="4"/>
      <c r="E167" s="4"/>
      <c r="F167" s="4"/>
      <c r="G167" s="4"/>
      <c r="H167" s="1"/>
      <c r="I167" s="1"/>
    </row>
    <row r="168" spans="1:9" x14ac:dyDescent="0.45">
      <c r="A168" s="5"/>
      <c r="B168" s="4"/>
      <c r="C168" s="4"/>
      <c r="D168" s="4"/>
      <c r="E168" s="4"/>
      <c r="F168" s="4"/>
      <c r="G168" s="4"/>
      <c r="H168" s="1"/>
      <c r="I168" s="1"/>
    </row>
    <row r="169" spans="1:9" x14ac:dyDescent="0.45">
      <c r="A169" s="5"/>
      <c r="B169" s="4"/>
      <c r="C169" s="4"/>
      <c r="D169" s="4"/>
      <c r="E169" s="4"/>
      <c r="F169" s="4"/>
      <c r="G169" s="4"/>
      <c r="H169" s="1"/>
      <c r="I169" s="1"/>
    </row>
    <row r="170" spans="1:9" x14ac:dyDescent="0.45">
      <c r="A170" s="5"/>
      <c r="B170" s="4"/>
      <c r="C170" s="4"/>
      <c r="D170" s="4"/>
      <c r="E170" s="4"/>
      <c r="F170" s="4"/>
      <c r="G170" s="4"/>
      <c r="H170" s="1"/>
      <c r="I170" s="1"/>
    </row>
    <row r="171" spans="1:9" x14ac:dyDescent="0.45">
      <c r="A171" s="5"/>
      <c r="B171" s="4"/>
      <c r="C171" s="4"/>
      <c r="D171" s="4"/>
      <c r="E171" s="4"/>
      <c r="F171" s="4"/>
      <c r="G171" s="4"/>
      <c r="H171" s="1"/>
      <c r="I171" s="1"/>
    </row>
    <row r="172" spans="1:9" x14ac:dyDescent="0.45">
      <c r="A172" s="5"/>
      <c r="B172" s="4"/>
      <c r="C172" s="4"/>
      <c r="D172" s="4"/>
      <c r="E172" s="4"/>
      <c r="F172" s="4"/>
      <c r="G172" s="4"/>
      <c r="H172" s="1"/>
      <c r="I172" s="1"/>
    </row>
    <row r="173" spans="1:9" x14ac:dyDescent="0.45">
      <c r="A173" s="5"/>
      <c r="B173" s="4"/>
      <c r="C173" s="4"/>
      <c r="D173" s="4"/>
      <c r="E173" s="4"/>
      <c r="F173" s="4"/>
      <c r="G173" s="4"/>
      <c r="H173" s="1"/>
      <c r="I173" s="1"/>
    </row>
    <row r="174" spans="1:9" x14ac:dyDescent="0.45">
      <c r="A174" s="5"/>
      <c r="B174" s="4"/>
      <c r="C174" s="4"/>
      <c r="D174" s="4"/>
      <c r="E174" s="4"/>
      <c r="F174" s="4"/>
      <c r="G174" s="4"/>
      <c r="H174" s="1"/>
      <c r="I174" s="1"/>
    </row>
    <row r="175" spans="1:9" x14ac:dyDescent="0.45">
      <c r="A175" s="5"/>
      <c r="B175" s="4"/>
      <c r="C175" s="4"/>
      <c r="D175" s="4"/>
      <c r="E175" s="4"/>
      <c r="F175" s="4"/>
      <c r="G175" s="4"/>
      <c r="H175" s="1"/>
      <c r="I175" s="1"/>
    </row>
    <row r="176" spans="1:9" x14ac:dyDescent="0.45">
      <c r="A176" s="5"/>
      <c r="B176" s="4"/>
      <c r="C176" s="4"/>
      <c r="D176" s="4"/>
      <c r="E176" s="4"/>
      <c r="F176" s="4"/>
      <c r="G176" s="4"/>
      <c r="H176" s="1"/>
      <c r="I176" s="1"/>
    </row>
    <row r="177" spans="1:9" x14ac:dyDescent="0.45">
      <c r="A177" s="5"/>
      <c r="B177" s="4"/>
      <c r="C177" s="4"/>
      <c r="D177" s="4"/>
      <c r="E177" s="4"/>
      <c r="F177" s="4"/>
      <c r="G177" s="4"/>
      <c r="H177" s="1"/>
      <c r="I177" s="1"/>
    </row>
    <row r="178" spans="1:9" x14ac:dyDescent="0.45">
      <c r="A178" s="5"/>
      <c r="B178" s="4"/>
      <c r="C178" s="4"/>
      <c r="D178" s="4"/>
      <c r="E178" s="4"/>
      <c r="F178" s="4"/>
      <c r="G178" s="4"/>
      <c r="H178" s="1"/>
      <c r="I178" s="1"/>
    </row>
    <row r="179" spans="1:9" x14ac:dyDescent="0.45">
      <c r="A179" s="5"/>
      <c r="B179" s="4"/>
      <c r="C179" s="4"/>
      <c r="D179" s="4"/>
      <c r="E179" s="4"/>
      <c r="F179" s="4"/>
      <c r="G179" s="4"/>
      <c r="H179" s="1"/>
      <c r="I179" s="1"/>
    </row>
    <row r="180" spans="1:9" x14ac:dyDescent="0.45">
      <c r="A180" s="5"/>
      <c r="B180" s="4"/>
      <c r="C180" s="4"/>
      <c r="D180" s="4"/>
      <c r="E180" s="4"/>
      <c r="F180" s="4"/>
      <c r="G180" s="4"/>
      <c r="H180" s="1"/>
      <c r="I180" s="1"/>
    </row>
    <row r="181" spans="1:9" x14ac:dyDescent="0.45">
      <c r="A181" s="5"/>
      <c r="B181" s="4"/>
      <c r="C181" s="4"/>
      <c r="D181" s="4"/>
      <c r="E181" s="4"/>
      <c r="F181" s="4"/>
      <c r="G181" s="4"/>
      <c r="H181" s="1"/>
      <c r="I181" s="1"/>
    </row>
    <row r="182" spans="1:9" x14ac:dyDescent="0.45">
      <c r="A182" s="5"/>
      <c r="B182" s="4"/>
      <c r="C182" s="4"/>
      <c r="D182" s="4"/>
      <c r="E182" s="4"/>
      <c r="F182" s="4"/>
      <c r="G182" s="4"/>
      <c r="H182" s="1"/>
      <c r="I182" s="1"/>
    </row>
    <row r="183" spans="1:9" x14ac:dyDescent="0.45">
      <c r="A183" s="5"/>
      <c r="B183" s="4"/>
      <c r="C183" s="4"/>
      <c r="D183" s="4"/>
      <c r="E183" s="4"/>
      <c r="F183" s="4"/>
      <c r="G183" s="4"/>
      <c r="H183" s="1"/>
      <c r="I183" s="1"/>
    </row>
    <row r="184" spans="1:9" x14ac:dyDescent="0.45">
      <c r="A184" s="5"/>
      <c r="B184" s="4"/>
      <c r="C184" s="4"/>
      <c r="D184" s="4"/>
      <c r="E184" s="4"/>
      <c r="F184" s="4"/>
      <c r="G184" s="4"/>
      <c r="H184" s="1"/>
      <c r="I184" s="1"/>
    </row>
    <row r="185" spans="1:9" x14ac:dyDescent="0.45">
      <c r="A185" s="5"/>
      <c r="B185" s="4"/>
      <c r="C185" s="4"/>
      <c r="D185" s="4"/>
      <c r="E185" s="4"/>
      <c r="F185" s="4"/>
      <c r="G185" s="4"/>
      <c r="H185" s="1"/>
      <c r="I185" s="1"/>
    </row>
    <row r="186" spans="1:9" x14ac:dyDescent="0.45">
      <c r="A186" s="5"/>
      <c r="B186" s="4"/>
      <c r="C186" s="4"/>
      <c r="D186" s="4"/>
      <c r="E186" s="4"/>
      <c r="F186" s="4"/>
      <c r="G186" s="4"/>
      <c r="H186" s="1"/>
      <c r="I186" s="1"/>
    </row>
    <row r="187" spans="1:9" x14ac:dyDescent="0.45">
      <c r="A187" s="5"/>
      <c r="B187" s="4"/>
      <c r="C187" s="4"/>
      <c r="D187" s="4"/>
      <c r="E187" s="4"/>
      <c r="F187" s="4"/>
      <c r="G187" s="4"/>
      <c r="H187" s="1"/>
      <c r="I187" s="1"/>
    </row>
    <row r="188" spans="1:9" x14ac:dyDescent="0.45">
      <c r="A188" s="5"/>
      <c r="B188" s="4"/>
      <c r="C188" s="4"/>
      <c r="D188" s="4"/>
      <c r="E188" s="4"/>
      <c r="F188" s="4"/>
      <c r="G188" s="4"/>
      <c r="H188" s="1"/>
      <c r="I188" s="1"/>
    </row>
    <row r="189" spans="1:9" x14ac:dyDescent="0.45">
      <c r="A189" s="5"/>
      <c r="B189" s="4"/>
      <c r="C189" s="4"/>
      <c r="D189" s="4"/>
      <c r="E189" s="4"/>
      <c r="F189" s="4"/>
      <c r="G189" s="4"/>
      <c r="H189" s="1"/>
      <c r="I189" s="1"/>
    </row>
    <row r="190" spans="1:9" x14ac:dyDescent="0.45">
      <c r="A190" s="5"/>
      <c r="B190" s="4"/>
      <c r="C190" s="4"/>
      <c r="D190" s="4"/>
      <c r="E190" s="4"/>
      <c r="F190" s="4"/>
      <c r="G190" s="4"/>
      <c r="H190" s="1"/>
      <c r="I190" s="1"/>
    </row>
    <row r="191" spans="1:9" x14ac:dyDescent="0.45">
      <c r="A191" s="5"/>
      <c r="B191" s="4"/>
      <c r="C191" s="4"/>
      <c r="D191" s="4"/>
      <c r="E191" s="4"/>
      <c r="F191" s="4"/>
      <c r="G191" s="4"/>
      <c r="H191" s="1"/>
      <c r="I191" s="1"/>
    </row>
    <row r="192" spans="1:9" x14ac:dyDescent="0.45">
      <c r="A192" s="5"/>
      <c r="B192" s="4"/>
      <c r="C192" s="4"/>
      <c r="D192" s="4"/>
      <c r="E192" s="4"/>
      <c r="F192" s="4"/>
      <c r="G192" s="4"/>
      <c r="H192" s="1"/>
      <c r="I192" s="1"/>
    </row>
    <row r="193" spans="1:9" x14ac:dyDescent="0.45">
      <c r="A193" s="5"/>
      <c r="B193" s="4"/>
      <c r="C193" s="4"/>
      <c r="D193" s="4"/>
      <c r="E193" s="4"/>
      <c r="F193" s="4"/>
      <c r="G193" s="4"/>
      <c r="H193" s="1"/>
      <c r="I193" s="1"/>
    </row>
    <row r="194" spans="1:9" x14ac:dyDescent="0.45">
      <c r="A194" s="5"/>
      <c r="B194" s="4"/>
      <c r="C194" s="4"/>
      <c r="D194" s="4"/>
      <c r="E194" s="4"/>
      <c r="F194" s="4"/>
      <c r="G194" s="4"/>
      <c r="H194" s="1"/>
      <c r="I194" s="1"/>
    </row>
    <row r="195" spans="1:9" x14ac:dyDescent="0.45">
      <c r="A195" s="5"/>
      <c r="B195" s="4"/>
      <c r="C195" s="4"/>
      <c r="D195" s="4"/>
      <c r="E195" s="4"/>
      <c r="F195" s="4"/>
      <c r="G195" s="4"/>
      <c r="H195" s="1"/>
      <c r="I195" s="1"/>
    </row>
    <row r="196" spans="1:9" x14ac:dyDescent="0.45">
      <c r="A196" s="5"/>
      <c r="B196" s="4"/>
      <c r="C196" s="4"/>
      <c r="D196" s="4"/>
      <c r="E196" s="4"/>
      <c r="F196" s="4"/>
      <c r="G196" s="4"/>
      <c r="H196" s="1"/>
      <c r="I196" s="1"/>
    </row>
    <row r="197" spans="1:9" x14ac:dyDescent="0.45">
      <c r="A197" s="5"/>
      <c r="B197" s="4"/>
      <c r="C197" s="4"/>
      <c r="D197" s="4"/>
      <c r="E197" s="4"/>
      <c r="F197" s="4"/>
      <c r="G197" s="4"/>
      <c r="H197" s="1"/>
      <c r="I197" s="1"/>
    </row>
    <row r="198" spans="1:9" x14ac:dyDescent="0.45">
      <c r="A198" s="5"/>
      <c r="B198" s="4"/>
      <c r="C198" s="4"/>
      <c r="D198" s="4"/>
      <c r="E198" s="4"/>
      <c r="F198" s="4"/>
      <c r="G198" s="4"/>
      <c r="H198" s="1"/>
      <c r="I198" s="1"/>
    </row>
    <row r="199" spans="1:9" x14ac:dyDescent="0.45">
      <c r="A199" s="5"/>
      <c r="B199" s="4"/>
      <c r="C199" s="4"/>
      <c r="D199" s="4"/>
      <c r="E199" s="4"/>
      <c r="F199" s="4"/>
      <c r="G199" s="4"/>
      <c r="H199" s="1"/>
      <c r="I199" s="1"/>
    </row>
    <row r="200" spans="1:9" x14ac:dyDescent="0.45">
      <c r="A200" s="5"/>
      <c r="B200" s="4"/>
      <c r="C200" s="4"/>
      <c r="D200" s="4"/>
      <c r="E200" s="4"/>
      <c r="F200" s="4"/>
      <c r="G200" s="4"/>
      <c r="H200" s="1"/>
      <c r="I200" s="1"/>
    </row>
    <row r="201" spans="1:9" x14ac:dyDescent="0.45">
      <c r="A201" s="5"/>
      <c r="B201" s="4"/>
      <c r="C201" s="4"/>
      <c r="D201" s="4"/>
      <c r="E201" s="4"/>
      <c r="F201" s="4"/>
      <c r="G201" s="4"/>
      <c r="H201" s="1"/>
      <c r="I201" s="1"/>
    </row>
    <row r="202" spans="1:9" x14ac:dyDescent="0.45">
      <c r="A202" s="5"/>
      <c r="B202" s="4"/>
      <c r="C202" s="4"/>
      <c r="D202" s="4"/>
      <c r="E202" s="4"/>
      <c r="F202" s="4"/>
      <c r="G202" s="4"/>
      <c r="H202" s="1"/>
      <c r="I202" s="1"/>
    </row>
    <row r="203" spans="1:9" x14ac:dyDescent="0.45">
      <c r="A203" s="5"/>
      <c r="B203" s="4"/>
      <c r="C203" s="4"/>
      <c r="D203" s="4"/>
      <c r="E203" s="4"/>
      <c r="F203" s="4"/>
      <c r="G203" s="4"/>
      <c r="H203" s="1"/>
      <c r="I203" s="1"/>
    </row>
    <row r="204" spans="1:9" x14ac:dyDescent="0.45">
      <c r="A204" s="5"/>
      <c r="B204" s="4"/>
      <c r="C204" s="4"/>
      <c r="D204" s="4"/>
      <c r="E204" s="4"/>
      <c r="F204" s="4"/>
      <c r="G204" s="4"/>
      <c r="H204" s="1"/>
      <c r="I204" s="1"/>
    </row>
    <row r="205" spans="1:9" x14ac:dyDescent="0.45">
      <c r="A205" s="5"/>
      <c r="B205" s="4"/>
      <c r="C205" s="4"/>
      <c r="D205" s="4"/>
      <c r="E205" s="4"/>
      <c r="F205" s="4"/>
      <c r="G205" s="4"/>
      <c r="H205" s="1"/>
      <c r="I205" s="1"/>
    </row>
    <row r="206" spans="1:9" x14ac:dyDescent="0.45">
      <c r="A206" s="5"/>
      <c r="B206" s="4"/>
      <c r="C206" s="4"/>
      <c r="D206" s="4"/>
      <c r="E206" s="4"/>
      <c r="F206" s="4"/>
      <c r="G206" s="4"/>
      <c r="H206" s="1"/>
      <c r="I206" s="1"/>
    </row>
    <row r="207" spans="1:9" x14ac:dyDescent="0.45">
      <c r="A207" s="5"/>
      <c r="B207" s="4"/>
      <c r="C207" s="4"/>
      <c r="D207" s="4"/>
      <c r="E207" s="4"/>
      <c r="F207" s="4"/>
      <c r="G207" s="4"/>
      <c r="H207" s="1"/>
      <c r="I207" s="1"/>
    </row>
    <row r="208" spans="1:9" x14ac:dyDescent="0.45">
      <c r="A208" s="5"/>
      <c r="B208" s="4"/>
      <c r="C208" s="4"/>
      <c r="D208" s="4"/>
      <c r="E208" s="4"/>
      <c r="F208" s="4"/>
      <c r="G208" s="4"/>
      <c r="H208" s="1"/>
      <c r="I208" s="1"/>
    </row>
    <row r="209" spans="1:9" x14ac:dyDescent="0.45">
      <c r="A209" s="5"/>
      <c r="B209" s="4"/>
      <c r="C209" s="4"/>
      <c r="D209" s="4"/>
      <c r="E209" s="4"/>
      <c r="F209" s="4"/>
      <c r="G209" s="4"/>
      <c r="H209" s="1"/>
      <c r="I209" s="1"/>
    </row>
    <row r="210" spans="1:9" x14ac:dyDescent="0.45">
      <c r="A210" s="5"/>
      <c r="B210" s="4"/>
      <c r="C210" s="4"/>
      <c r="D210" s="4"/>
      <c r="E210" s="4"/>
      <c r="F210" s="4"/>
      <c r="G210" s="4"/>
      <c r="H210" s="1"/>
      <c r="I210" s="1"/>
    </row>
    <row r="211" spans="1:9" x14ac:dyDescent="0.45">
      <c r="A211" s="5"/>
      <c r="B211" s="4"/>
      <c r="C211" s="4"/>
      <c r="D211" s="4"/>
      <c r="E211" s="4"/>
      <c r="F211" s="4"/>
      <c r="G211" s="4"/>
      <c r="H211" s="1"/>
      <c r="I211" s="1"/>
    </row>
    <row r="212" spans="1:9" x14ac:dyDescent="0.45">
      <c r="A212" s="5"/>
      <c r="B212" s="4"/>
      <c r="C212" s="4"/>
      <c r="D212" s="4"/>
      <c r="E212" s="4"/>
      <c r="F212" s="4"/>
      <c r="G212" s="4"/>
      <c r="H212" s="1"/>
      <c r="I212" s="1"/>
    </row>
    <row r="213" spans="1:9" x14ac:dyDescent="0.45">
      <c r="A213" s="5"/>
      <c r="B213" s="4"/>
      <c r="C213" s="4"/>
      <c r="D213" s="4"/>
      <c r="E213" s="4"/>
      <c r="F213" s="4"/>
      <c r="G213" s="4"/>
      <c r="H213" s="1"/>
      <c r="I213" s="1"/>
    </row>
    <row r="214" spans="1:9" x14ac:dyDescent="0.45">
      <c r="A214" s="5"/>
      <c r="B214" s="4"/>
      <c r="C214" s="4"/>
      <c r="D214" s="4"/>
      <c r="E214" s="4"/>
      <c r="F214" s="4"/>
      <c r="G214" s="4"/>
      <c r="H214" s="1"/>
      <c r="I214" s="1"/>
    </row>
    <row r="215" spans="1:9" x14ac:dyDescent="0.45">
      <c r="A215" s="5"/>
      <c r="B215" s="4"/>
      <c r="C215" s="4"/>
      <c r="D215" s="4"/>
      <c r="E215" s="4"/>
      <c r="F215" s="4"/>
      <c r="G215" s="4"/>
      <c r="H215" s="1"/>
      <c r="I215" s="1"/>
    </row>
    <row r="216" spans="1:9" x14ac:dyDescent="0.45">
      <c r="A216" s="5"/>
      <c r="B216" s="4"/>
      <c r="C216" s="4"/>
      <c r="D216" s="4"/>
      <c r="E216" s="4"/>
      <c r="F216" s="4"/>
      <c r="G216" s="4"/>
      <c r="H216" s="1"/>
      <c r="I216" s="1"/>
    </row>
    <row r="217" spans="1:9" x14ac:dyDescent="0.45">
      <c r="A217" s="5"/>
      <c r="B217" s="4"/>
      <c r="C217" s="4"/>
      <c r="D217" s="4"/>
      <c r="E217" s="4"/>
      <c r="F217" s="4"/>
      <c r="G217" s="4"/>
      <c r="H217" s="1"/>
      <c r="I217" s="1"/>
    </row>
    <row r="218" spans="1:9" x14ac:dyDescent="0.45">
      <c r="A218" s="5"/>
      <c r="B218" s="4"/>
      <c r="C218" s="4"/>
      <c r="D218" s="4"/>
      <c r="E218" s="4"/>
      <c r="F218" s="4"/>
      <c r="G218" s="4"/>
      <c r="H218" s="1"/>
      <c r="I218" s="1"/>
    </row>
    <row r="219" spans="1:9" x14ac:dyDescent="0.45">
      <c r="A219" s="5"/>
      <c r="B219" s="4"/>
      <c r="C219" s="4"/>
      <c r="D219" s="4"/>
      <c r="E219" s="4"/>
      <c r="F219" s="4"/>
      <c r="G219" s="4"/>
      <c r="H219" s="1"/>
      <c r="I219" s="1"/>
    </row>
    <row r="220" spans="1:9" x14ac:dyDescent="0.45">
      <c r="A220" s="5"/>
      <c r="B220" s="4"/>
      <c r="C220" s="4"/>
      <c r="D220" s="4"/>
      <c r="E220" s="4"/>
      <c r="F220" s="4"/>
      <c r="G220" s="4"/>
      <c r="H220" s="1"/>
      <c r="I220" s="1"/>
    </row>
    <row r="221" spans="1:9" x14ac:dyDescent="0.45">
      <c r="A221" s="5"/>
      <c r="B221" s="4"/>
      <c r="C221" s="4"/>
      <c r="D221" s="4"/>
      <c r="E221" s="4"/>
      <c r="F221" s="4"/>
      <c r="G221" s="4"/>
      <c r="H221" s="1"/>
      <c r="I221" s="1"/>
    </row>
    <row r="222" spans="1:9" x14ac:dyDescent="0.45">
      <c r="A222" s="5"/>
      <c r="B222" s="4"/>
      <c r="C222" s="4"/>
      <c r="D222" s="4"/>
      <c r="E222" s="4"/>
      <c r="F222" s="4"/>
      <c r="G222" s="4"/>
      <c r="H222" s="1"/>
      <c r="I222" s="1"/>
    </row>
    <row r="223" spans="1:9" x14ac:dyDescent="0.45">
      <c r="A223" s="5"/>
      <c r="B223" s="4"/>
      <c r="C223" s="4"/>
      <c r="D223" s="4"/>
      <c r="E223" s="4"/>
      <c r="F223" s="4"/>
      <c r="G223" s="4"/>
      <c r="H223" s="1"/>
      <c r="I223" s="1"/>
    </row>
    <row r="224" spans="1:9" x14ac:dyDescent="0.45">
      <c r="A224" s="5"/>
      <c r="B224" s="4"/>
      <c r="C224" s="4"/>
      <c r="D224" s="4"/>
      <c r="E224" s="4"/>
      <c r="F224" s="4"/>
      <c r="G224" s="4"/>
      <c r="H224" s="1"/>
      <c r="I224" s="1"/>
    </row>
    <row r="225" spans="1:9" x14ac:dyDescent="0.45">
      <c r="A225" s="5"/>
      <c r="B225" s="4"/>
      <c r="C225" s="4"/>
      <c r="D225" s="4"/>
      <c r="E225" s="4"/>
      <c r="F225" s="4"/>
      <c r="G225" s="4"/>
      <c r="H225" s="1"/>
      <c r="I225" s="1"/>
    </row>
    <row r="226" spans="1:9" x14ac:dyDescent="0.45">
      <c r="A226" s="5"/>
      <c r="B226" s="4"/>
      <c r="C226" s="4"/>
      <c r="D226" s="4"/>
      <c r="E226" s="4"/>
      <c r="F226" s="4"/>
      <c r="G226" s="4"/>
      <c r="H226" s="1"/>
      <c r="I226" s="1"/>
    </row>
    <row r="227" spans="1:9" x14ac:dyDescent="0.45">
      <c r="A227" s="5"/>
      <c r="B227" s="4"/>
      <c r="C227" s="4"/>
      <c r="D227" s="4"/>
      <c r="E227" s="4"/>
      <c r="F227" s="4"/>
      <c r="G227" s="4"/>
      <c r="H227" s="1"/>
      <c r="I227" s="1"/>
    </row>
    <row r="228" spans="1:9" x14ac:dyDescent="0.45">
      <c r="A228" s="5"/>
      <c r="B228" s="4"/>
      <c r="C228" s="4"/>
      <c r="D228" s="4"/>
      <c r="E228" s="4"/>
      <c r="F228" s="4"/>
      <c r="G228" s="4"/>
      <c r="H228" s="1"/>
      <c r="I228" s="1"/>
    </row>
    <row r="229" spans="1:9" x14ac:dyDescent="0.45">
      <c r="A229" s="5"/>
      <c r="B229" s="4"/>
      <c r="C229" s="4"/>
      <c r="D229" s="4"/>
      <c r="E229" s="4"/>
      <c r="F229" s="4"/>
      <c r="G229" s="4"/>
      <c r="H229" s="1"/>
      <c r="I229" s="1"/>
    </row>
    <row r="230" spans="1:9" x14ac:dyDescent="0.45">
      <c r="A230" s="5"/>
      <c r="B230" s="4"/>
      <c r="C230" s="4"/>
      <c r="D230" s="4"/>
      <c r="E230" s="4"/>
      <c r="F230" s="4"/>
      <c r="G230" s="4"/>
      <c r="H230" s="1"/>
      <c r="I230" s="1"/>
    </row>
    <row r="231" spans="1:9" x14ac:dyDescent="0.45">
      <c r="A231" s="5"/>
      <c r="B231" s="4"/>
      <c r="C231" s="4"/>
      <c r="D231" s="4"/>
      <c r="E231" s="4"/>
      <c r="F231" s="4"/>
      <c r="G231" s="4"/>
      <c r="H231" s="1"/>
      <c r="I231" s="1"/>
    </row>
    <row r="232" spans="1:9" x14ac:dyDescent="0.45">
      <c r="A232" s="5"/>
      <c r="B232" s="4"/>
      <c r="C232" s="4"/>
      <c r="D232" s="4"/>
      <c r="E232" s="4"/>
      <c r="F232" s="4"/>
      <c r="G232" s="4"/>
      <c r="H232" s="1"/>
      <c r="I232" s="1"/>
    </row>
    <row r="233" spans="1:9" x14ac:dyDescent="0.45">
      <c r="A233" s="5"/>
      <c r="B233" s="4"/>
      <c r="C233" s="4"/>
      <c r="D233" s="4"/>
      <c r="E233" s="4"/>
      <c r="F233" s="4"/>
      <c r="G233" s="4"/>
      <c r="H233" s="1"/>
      <c r="I233" s="1"/>
    </row>
    <row r="234" spans="1:9" x14ac:dyDescent="0.45">
      <c r="A234" s="5"/>
      <c r="B234" s="4"/>
      <c r="C234" s="4"/>
      <c r="D234" s="4"/>
      <c r="E234" s="4"/>
      <c r="F234" s="4"/>
      <c r="G234" s="4"/>
      <c r="H234" s="1"/>
      <c r="I234" s="1"/>
    </row>
    <row r="235" spans="1:9" x14ac:dyDescent="0.45">
      <c r="A235" s="5"/>
      <c r="B235" s="4"/>
      <c r="C235" s="4"/>
      <c r="D235" s="4"/>
      <c r="E235" s="4"/>
      <c r="F235" s="4"/>
      <c r="G235" s="4"/>
      <c r="H235" s="1"/>
      <c r="I235" s="1"/>
    </row>
    <row r="236" spans="1:9" x14ac:dyDescent="0.45">
      <c r="A236" s="5"/>
      <c r="B236" s="4"/>
      <c r="C236" s="4"/>
      <c r="D236" s="4"/>
      <c r="E236" s="4"/>
      <c r="F236" s="4"/>
      <c r="G236" s="4"/>
      <c r="H236" s="1"/>
      <c r="I236" s="1"/>
    </row>
    <row r="237" spans="1:9" x14ac:dyDescent="0.45">
      <c r="A237" s="5"/>
      <c r="B237" s="4"/>
      <c r="C237" s="4"/>
      <c r="D237" s="4"/>
      <c r="E237" s="4"/>
      <c r="F237" s="4"/>
      <c r="G237" s="4"/>
      <c r="H237" s="1"/>
      <c r="I237" s="1"/>
    </row>
    <row r="238" spans="1:9" x14ac:dyDescent="0.45">
      <c r="A238" s="5"/>
      <c r="B238" s="4"/>
      <c r="C238" s="4"/>
      <c r="D238" s="4"/>
      <c r="E238" s="4"/>
      <c r="F238" s="4"/>
      <c r="G238" s="4"/>
      <c r="H238" s="1"/>
      <c r="I238" s="1"/>
    </row>
    <row r="239" spans="1:9" x14ac:dyDescent="0.45">
      <c r="A239" s="5"/>
      <c r="B239" s="4"/>
      <c r="C239" s="4"/>
      <c r="D239" s="4"/>
      <c r="E239" s="4"/>
      <c r="F239" s="4"/>
      <c r="G239" s="4"/>
      <c r="H239" s="1"/>
      <c r="I239" s="1"/>
    </row>
    <row r="240" spans="1:9" x14ac:dyDescent="0.45">
      <c r="A240" s="5"/>
      <c r="B240" s="4"/>
      <c r="C240" s="4"/>
      <c r="D240" s="4"/>
      <c r="E240" s="4"/>
      <c r="F240" s="4"/>
      <c r="G240" s="4"/>
      <c r="H240" s="1"/>
      <c r="I240" s="1"/>
    </row>
    <row r="241" spans="1:9" x14ac:dyDescent="0.45">
      <c r="A241" s="5"/>
      <c r="B241" s="4"/>
      <c r="C241" s="4"/>
      <c r="D241" s="4"/>
      <c r="E241" s="4"/>
      <c r="F241" s="4"/>
      <c r="G241" s="4"/>
      <c r="H241" s="1"/>
      <c r="I241" s="1"/>
    </row>
    <row r="242" spans="1:9" x14ac:dyDescent="0.45">
      <c r="A242" s="5"/>
      <c r="B242" s="4"/>
      <c r="C242" s="4"/>
      <c r="D242" s="4"/>
      <c r="E242" s="4"/>
      <c r="F242" s="4"/>
      <c r="G242" s="4"/>
      <c r="H242" s="1"/>
      <c r="I242" s="1"/>
    </row>
    <row r="243" spans="1:9" x14ac:dyDescent="0.45">
      <c r="A243" s="5"/>
      <c r="B243" s="4"/>
      <c r="C243" s="4"/>
      <c r="D243" s="4"/>
      <c r="E243" s="4"/>
      <c r="F243" s="4"/>
      <c r="G243" s="4"/>
      <c r="H243" s="1"/>
      <c r="I243" s="1"/>
    </row>
    <row r="244" spans="1:9" x14ac:dyDescent="0.45">
      <c r="A244" s="5"/>
      <c r="B244" s="4"/>
      <c r="C244" s="4"/>
      <c r="D244" s="4"/>
      <c r="E244" s="4"/>
      <c r="F244" s="4"/>
      <c r="G244" s="4"/>
      <c r="H244" s="1"/>
      <c r="I244" s="1"/>
    </row>
    <row r="245" spans="1:9" x14ac:dyDescent="0.45">
      <c r="A245" s="5"/>
    </row>
    <row r="246" spans="1:9" x14ac:dyDescent="0.45">
      <c r="A246" s="5"/>
    </row>
    <row r="247" spans="1:9" x14ac:dyDescent="0.45">
      <c r="A247" s="5"/>
    </row>
    <row r="248" spans="1:9" x14ac:dyDescent="0.45">
      <c r="A248" s="5"/>
    </row>
    <row r="249" spans="1:9" x14ac:dyDescent="0.45">
      <c r="A249" s="5"/>
    </row>
    <row r="250" spans="1:9" x14ac:dyDescent="0.45">
      <c r="A25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85016-ED90-4413-9A3E-78831596DD24}">
  <dimension ref="A1:I4"/>
  <sheetViews>
    <sheetView workbookViewId="0">
      <selection activeCell="J9" sqref="J9"/>
    </sheetView>
  </sheetViews>
  <sheetFormatPr defaultRowHeight="14.25" x14ac:dyDescent="0.45"/>
  <cols>
    <col min="1" max="1" width="3.86328125" bestFit="1" customWidth="1"/>
    <col min="2" max="2" width="9.19921875" bestFit="1" customWidth="1"/>
    <col min="3" max="3" width="10" bestFit="1" customWidth="1"/>
    <col min="4" max="4" width="18.1328125" bestFit="1" customWidth="1"/>
    <col min="5" max="5" width="6.33203125" bestFit="1" customWidth="1"/>
    <col min="6" max="6" width="8.6640625" bestFit="1" customWidth="1"/>
    <col min="7" max="7" width="8.796875" bestFit="1" customWidth="1"/>
  </cols>
  <sheetData>
    <row r="1" spans="1:9" x14ac:dyDescent="0.45">
      <c r="A1" s="5" t="s">
        <v>38</v>
      </c>
      <c r="B1" s="5" t="s">
        <v>39</v>
      </c>
      <c r="C1" s="5" t="s">
        <v>40</v>
      </c>
      <c r="D1" s="5" t="s">
        <v>75</v>
      </c>
      <c r="E1" s="5" t="s">
        <v>35</v>
      </c>
      <c r="F1" s="5" t="s">
        <v>21</v>
      </c>
      <c r="G1" s="5" t="s">
        <v>36</v>
      </c>
      <c r="H1" s="5" t="s">
        <v>79</v>
      </c>
      <c r="I1" s="5" t="s">
        <v>81</v>
      </c>
    </row>
    <row r="2" spans="1:9" x14ac:dyDescent="0.45">
      <c r="A2" s="5" t="str" cm="1">
        <f t="array" ref="A2">IFERROR(TRANSPOSE(_xlfn._xlws.FILTER(MONTHLY_RETURNS!B64:AI64, MONTHLY_RETURNS!$B$74:$AI$74=1)),"")</f>
        <v/>
      </c>
      <c r="B2" s="4" t="str" cm="1">
        <f t="array" ref="B2">IFERROR(TRANSPOSE(_xlfn._xlws.FILTER(MONTHLY_RETURNS!B65:AI65, MONTHLY_RETURNS!$B$74:$AI$74=1)),"")</f>
        <v/>
      </c>
      <c r="C2" s="4" t="str" cm="1">
        <f t="array" ref="C2">IFERROR(TRANSPOSE(_xlfn._xlws.FILTER(MONTHLY_RETURNS!B66:AI66, MONTHLY_RETURNS!$B$74:$AI$74=1)),"")</f>
        <v/>
      </c>
      <c r="D2" s="4" t="str" cm="1">
        <f t="array" ref="D2">IFERROR(TRANSPOSE(_xlfn._xlws.FILTER(MONTHLY_RETURNS!B67:AI67, MONTHLY_RETURNS!$B$74:$AI$74=1)),"")</f>
        <v/>
      </c>
      <c r="E2" s="4" t="str" cm="1">
        <f t="array" ref="E2">IFERROR(TRANSPOSE(_xlfn._xlws.FILTER(MONTHLY_RETURNS!B68:AI68, MONTHLY_RETURNS!$B$74:$AI$74=1)),"")</f>
        <v/>
      </c>
      <c r="F2" s="4" t="str" cm="1">
        <f t="array" ref="F2">IFERROR(TRANSPOSE(_xlfn._xlws.FILTER(MONTHLY_RETURNS!B69:AI69, MONTHLY_RETURNS!$B$74:$AI$74=1)),"")</f>
        <v/>
      </c>
      <c r="G2" s="4" t="str" cm="1">
        <f t="array" ref="G2">IFERROR(TRANSPOSE(_xlfn._xlws.FILTER(MONTHLY_RETURNS!B70:AI70, MONTHLY_RETURNS!$B$74:$AI$74=1)),"")</f>
        <v/>
      </c>
      <c r="H2" t="str" cm="1">
        <f t="array" ref="H2">IFERROR(TRANSPOSE(_xlfn._xlws.FILTER(MONTHLY_RETURNS!B71:AI71, MONTHLY_RETURNS!$B$74:$AI$74=1)),"")</f>
        <v/>
      </c>
      <c r="I2" t="str" cm="1">
        <f t="array" ref="I2">IFERROR(TRANSPOSE(_xlfn._xlws.FILTER(MONTHLY_RETURNS!B72:AI72, MONTHLY_RETURNS!$B$74:$AI$74=1)),"")</f>
        <v/>
      </c>
    </row>
    <row r="3" spans="1:9" x14ac:dyDescent="0.45">
      <c r="A3" s="5"/>
      <c r="B3" s="4"/>
      <c r="C3" s="4"/>
      <c r="D3" s="6"/>
      <c r="E3" s="6"/>
      <c r="F3" s="6"/>
      <c r="G3" s="6"/>
    </row>
    <row r="4" spans="1:9" x14ac:dyDescent="0.45">
      <c r="A4" s="5"/>
      <c r="B4" s="4"/>
      <c r="C4" s="4"/>
      <c r="D4" s="6"/>
      <c r="E4" s="6"/>
      <c r="F4" s="6"/>
      <c r="G4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B2E5D-DD1A-4DB4-910C-E3126579841C}">
  <dimension ref="A1:AL74"/>
  <sheetViews>
    <sheetView topLeftCell="A62" workbookViewId="0">
      <selection activeCell="K73" sqref="K73"/>
    </sheetView>
  </sheetViews>
  <sheetFormatPr defaultRowHeight="14.25" x14ac:dyDescent="0.45"/>
  <cols>
    <col min="1" max="1" width="24.53125" bestFit="1" customWidth="1"/>
    <col min="2" max="2" width="10.1328125" bestFit="1" customWidth="1"/>
  </cols>
  <sheetData>
    <row r="1" spans="1:38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8" x14ac:dyDescent="0.45">
      <c r="A2" s="2" cm="1">
        <f t="array" ref="A2:A62">_xll.FDS(C1,"JULIAN(FG_TOTAL_RETURNC(-5AY,0,AM).dates)")</f>
        <v>44197</v>
      </c>
      <c r="B2" s="3" cm="1">
        <f t="array" ref="B2:B62">_xll.FDS(B1,"FG_TOTAL_RETURNC(-5AY,0,AM)")/100</f>
        <v>4.3846846000000002E-2</v>
      </c>
      <c r="C2" s="3" cm="1">
        <f t="array" ref="C2:C62">_xll.FDS(C1,"FG_TOTAL_RETURNC(-5AY,0,AM)")/100</f>
        <v>7.6840400000000003E-2</v>
      </c>
      <c r="D2" s="3" cm="1">
        <f t="array" ref="D2:D62">_xll.FDS(D1,"FG_TOTAL_RETURNC(-5AY,0,AM)")/100</f>
        <v>4.8626660000000002E-2</v>
      </c>
      <c r="E2" s="3" cm="1">
        <f t="array" ref="E2:E62">_xll.FDS(E1,"FG_TOTAL_RETURNC(-5AY,0,AM)")/100</f>
        <v>2.2829056E-2</v>
      </c>
      <c r="F2" s="3" cm="1">
        <f t="array" ref="F2:F62">_xll.FDS(F1,"FG_TOTAL_RETURNC(-5AY,0,AM)")/100</f>
        <v>5.5130362999999995E-2</v>
      </c>
      <c r="G2" s="3" cm="1">
        <f t="array" ref="G2:G62">_xll.FDS(G1,"FG_TOTAL_RETURNC(-5AY,0,AM)")/100</f>
        <v>2.5888205000000001E-2</v>
      </c>
      <c r="H2" s="3" cm="1">
        <f t="array" ref="H2:H62">_xll.FDS(H1,"FG_TOTAL_RETURNC(-5AY,0,AM)")/100</f>
        <v>2.1638869999999998E-2</v>
      </c>
      <c r="I2" s="3" cm="1">
        <f t="array" ref="I2:I62">_xll.FDS(I1,"FG_TOTAL_RETURNC(-5AY,0,AM)")/100</f>
        <v>7.4644804000000009E-2</v>
      </c>
      <c r="J2" s="3" cm="1">
        <f t="array" ref="J2:J62">_xll.FDS(J1,"FG_TOTAL_RETURNC(-5AY,0,AM)")/100</f>
        <v>3.4242392000000003E-2</v>
      </c>
      <c r="K2" s="3" cm="1">
        <f t="array" ref="K2:K62">_xll.FDS(K1,"FG_TOTAL_RETURNC(-5AY,0,AM)")/100</f>
        <v>0.11303663</v>
      </c>
      <c r="L2" s="3" cm="1">
        <f t="array" ref="L2:L62">_xll.FDS(L1,"FG_TOTAL_RETURNC(-5AY,0,AM)")/100</f>
        <v>7.0583820000000005E-2</v>
      </c>
      <c r="M2" s="3" cm="1">
        <f t="array" ref="M2:M62">_xll.FDS(M1,"FG_TOTAL_RETURNC(-5AY,0,AM)")/100</f>
        <v>7.349729499999999E-2</v>
      </c>
      <c r="N2" s="3" cm="1">
        <f t="array" ref="N2:N62">_xll.FDS(N1,"FG_TOTAL_RETURNC(-5AY,0,AM)")/100</f>
        <v>5.4713845000000004E-2</v>
      </c>
      <c r="O2" s="3" cm="1">
        <f t="array" ref="O2:O62">_xll.FDS(O1,"FG_TOTAL_RETURNC(-5AY,0,AM)")/100</f>
        <v>6.9991109999999995E-2</v>
      </c>
      <c r="P2" s="3" cm="1">
        <f t="array" ref="P2:P62">_xll.FDS(P1,"FG_TOTAL_RETURNC(-5AY,0,AM)")/100</f>
        <v>1.4327168E-2</v>
      </c>
      <c r="Q2" s="3" cm="1">
        <f t="array" ref="Q2:Q62">_xll.FDS(Q1,"FG_TOTAL_RETURNC(-5AY,0,AM)")/100</f>
        <v>1.5410066E-2</v>
      </c>
      <c r="R2" s="3" cm="1">
        <f t="array" ref="R2:R62">_xll.FDS(R1,"FG_TOTAL_RETURNC(-5AY,0,AM)")/100</f>
        <v>2.0044088000000002E-2</v>
      </c>
      <c r="S2" s="3" cm="1">
        <f t="array" ref="S2:S62">_xll.FDS(S1,"FG_TOTAL_RETURNC(-5AY,0,AM)")/100</f>
        <v>0.15745628</v>
      </c>
      <c r="T2" s="3" cm="1">
        <f t="array" ref="T2:T62">_xll.FDS(T1,"FG_TOTAL_RETURNC(-5AY,0,AM)")/100</f>
        <v>4.8816203999999998E-3</v>
      </c>
      <c r="U2" s="3" cm="1">
        <f t="array" ref="U2:U62">_xll.FDS(U1,"FG_TOTAL_RETURNC(-5AY,0,AM)")/100</f>
        <v>8.747648999999999E-2</v>
      </c>
      <c r="V2" s="3" cm="1">
        <f t="array" ref="V2:V62">_xll.FDS(V1,"FG_TOTAL_RETURNC(-5AY,0,AM)")/100</f>
        <v>-9.3662140000000012E-3</v>
      </c>
      <c r="W2" s="3" cm="1">
        <f t="array" ref="W2:W62">_xll.FDS(W1,"FG_TOTAL_RETURNC(-5AY,0,AM)")/100</f>
        <v>2.6886106E-2</v>
      </c>
      <c r="X2" s="3" cm="1">
        <f t="array" ref="X2:X62">_xll.FDS(X1,"FG_TOTAL_RETURNC(-5AY,0,AM)")/100</f>
        <v>4.2436003999999999E-2</v>
      </c>
      <c r="Y2" s="3" cm="1">
        <f t="array" ref="Y2:Y62">_xll.FDS(Y1,"FG_TOTAL_RETURNC(-5AY,0,AM)")/100</f>
        <v>2.5483490000000001E-2</v>
      </c>
      <c r="Z2" s="3" cm="1">
        <f t="array" ref="Z2:Z62">_xll.FDS(Z1,"FG_TOTAL_RETURNC(-5AY,0,AM)")/100</f>
        <v>3.2090544999999998E-2</v>
      </c>
      <c r="AA2" s="3" cm="1">
        <f t="array" ref="AA2:AA62">_xll.FDS(AA1,"FG_TOTAL_RETURNC(-5AY,0,AM)")/100</f>
        <v>3.2182932000000004E-2</v>
      </c>
      <c r="AB2" s="3" cm="1">
        <f t="array" ref="AB2:AB62">_xll.FDS(AB1,"FG_TOTAL_RETURNC(-5AY,0,AM)")/100</f>
        <v>3.4081578000000001E-2</v>
      </c>
      <c r="AC2" s="3" cm="1">
        <f t="array" ref="AC2:AC62">_xll.FDS(AC1,"FG_TOTAL_RETURNC(-5AY,0,AM)")/100</f>
        <v>1.8411516999999999E-2</v>
      </c>
      <c r="AD2" s="3" cm="1">
        <f t="array" ref="AD2:AD62">_xll.FDS(AD1,"FG_TOTAL_RETURNC(-5AY,0,AM)")/100</f>
        <v>3.5754679999999997E-2</v>
      </c>
      <c r="AE2" s="3" cm="1">
        <f t="array" ref="AE2:AE62">_xll.FDS(AE1,"FG_TOTAL_RETURNC(-5AY,0,AM)")/100</f>
        <v>2.5845885000000002E-2</v>
      </c>
      <c r="AF2" s="3" cm="1">
        <f t="array" ref="AF2:AF62">_xll.FDS(AF1,"FG_TOTAL_RETURNC(-5AY,0,AM)")/100</f>
        <v>1.6372204000000001E-3</v>
      </c>
      <c r="AG2" s="3" cm="1">
        <f t="array" ref="AG2:AG62">_xll.FDS(AG1,"FG_TOTAL_RETURNC(-5AY,0,AM)")/100</f>
        <v>3.8176656000000003E-2</v>
      </c>
      <c r="AH2" s="3" cm="1">
        <f t="array" ref="AH2:AH62">_xll.FDS(AH1,"FG_TOTAL_RETURNC(-5AY,0,AM)")/100</f>
        <v>7.4840784E-3</v>
      </c>
      <c r="AI2" s="3" cm="1">
        <f t="array" ref="AI2:AI62">_xll.FDS(AI1,"FG_TOTAL_RETURNC(-5AY,0,AM)")/100</f>
        <v>2.1092534E-2</v>
      </c>
      <c r="AJ2" s="3"/>
      <c r="AK2" s="3"/>
      <c r="AL2" s="3"/>
    </row>
    <row r="3" spans="1:38" x14ac:dyDescent="0.45">
      <c r="A3" s="2">
        <v>44228</v>
      </c>
      <c r="B3" s="3">
        <v>4.8155903999999999E-2</v>
      </c>
      <c r="C3" s="3">
        <v>1.0261536E-2</v>
      </c>
      <c r="D3" s="3">
        <v>6.4047575000000002E-3</v>
      </c>
      <c r="E3" s="3">
        <v>-6.2691153999999999E-2</v>
      </c>
      <c r="F3" s="3">
        <v>6.8348646000000006E-3</v>
      </c>
      <c r="G3" s="3">
        <v>3.2295227000000003E-2</v>
      </c>
      <c r="H3" s="3">
        <v>-4.6874943000000002E-2</v>
      </c>
      <c r="I3" s="3">
        <v>6.6503406000000001E-2</v>
      </c>
      <c r="J3" s="3">
        <v>-2.8378725E-2</v>
      </c>
      <c r="K3" s="3">
        <v>6.5427065000000006E-2</v>
      </c>
      <c r="L3" s="3">
        <v>-5.7998420000000002E-2</v>
      </c>
      <c r="M3" s="3">
        <v>2.3494481999999997E-2</v>
      </c>
      <c r="N3" s="3">
        <v>-7.8554573000000003E-2</v>
      </c>
      <c r="O3" s="3">
        <v>1.2431622E-2</v>
      </c>
      <c r="P3" s="3">
        <v>0.11263429999999999</v>
      </c>
      <c r="Q3" s="3">
        <v>-1.4634191999999999E-2</v>
      </c>
      <c r="R3" s="3">
        <v>1.9801974E-2</v>
      </c>
      <c r="S3" s="3">
        <v>4.6037674000000001E-2</v>
      </c>
      <c r="T3" s="3">
        <v>0.12049149999999999</v>
      </c>
      <c r="U3" s="3">
        <v>-2.5157273000000001E-2</v>
      </c>
      <c r="V3" s="3">
        <v>-1.9286870999999999E-3</v>
      </c>
      <c r="W3" s="3">
        <v>-5.4356455999999996E-3</v>
      </c>
      <c r="X3" s="3">
        <v>8.7682009999999998E-3</v>
      </c>
      <c r="Y3" s="3">
        <v>3.2426120000000002E-3</v>
      </c>
      <c r="Z3" s="3">
        <v>0</v>
      </c>
      <c r="AA3" s="3">
        <v>1.9242764000000001E-3</v>
      </c>
      <c r="AB3" s="3">
        <v>-5.1476955000000005E-3</v>
      </c>
      <c r="AC3" s="3">
        <v>1.0242343000000001E-2</v>
      </c>
      <c r="AD3" s="3">
        <v>2.7666330000000003E-2</v>
      </c>
      <c r="AE3" s="3">
        <v>6.2854290000000004E-3</v>
      </c>
      <c r="AF3" s="3">
        <v>-1.5935003999999999E-2</v>
      </c>
      <c r="AG3" s="3">
        <v>4.6444060000000002E-2</v>
      </c>
      <c r="AH3" s="3">
        <v>3.7688494000000003E-2</v>
      </c>
      <c r="AI3" s="3">
        <v>-2.4456560000000002E-2</v>
      </c>
      <c r="AJ3" s="3"/>
      <c r="AK3" s="3"/>
      <c r="AL3" s="3"/>
    </row>
    <row r="4" spans="1:38" x14ac:dyDescent="0.45">
      <c r="A4" s="2">
        <v>44256</v>
      </c>
      <c r="B4" s="3">
        <v>1.5687942999999998E-3</v>
      </c>
      <c r="C4" s="3">
        <v>6.2909484000000002E-2</v>
      </c>
      <c r="D4" s="3">
        <v>8.4854364000000009E-3</v>
      </c>
      <c r="E4" s="3">
        <v>7.5041055999999998E-3</v>
      </c>
      <c r="F4" s="3">
        <v>-3.1331182000000003E-3</v>
      </c>
      <c r="G4" s="3">
        <v>3.9944172E-2</v>
      </c>
      <c r="H4" s="3">
        <v>-6.5574049999999997E-3</v>
      </c>
      <c r="I4" s="3">
        <v>5.4230689999999998E-2</v>
      </c>
      <c r="J4" s="3">
        <v>-7.1821809999999993E-3</v>
      </c>
      <c r="K4" s="3">
        <v>-1.4834225000000001E-2</v>
      </c>
      <c r="L4" s="3">
        <v>-8.8201520000000005E-2</v>
      </c>
      <c r="M4" s="3">
        <v>7.0202826999999995E-2</v>
      </c>
      <c r="N4" s="3">
        <v>7.7578899999999992E-2</v>
      </c>
      <c r="O4" s="3">
        <v>3.2416463E-2</v>
      </c>
      <c r="P4" s="3">
        <v>-3.1079649999999999E-3</v>
      </c>
      <c r="Q4" s="3">
        <v>4.4004917000000001E-3</v>
      </c>
      <c r="R4" s="3">
        <v>1.5473127E-2</v>
      </c>
      <c r="S4" s="3">
        <v>1.1183262000000001E-2</v>
      </c>
      <c r="T4" s="3">
        <v>-2.2825896999999998E-2</v>
      </c>
      <c r="U4" s="3">
        <v>5.8650969999999997E-2</v>
      </c>
      <c r="V4" s="3">
        <v>5.8293103999999998E-2</v>
      </c>
      <c r="W4" s="3">
        <v>-5.4652810000000003E-2</v>
      </c>
      <c r="X4" s="3">
        <v>5.0082803000000002E-2</v>
      </c>
      <c r="Y4" s="3">
        <v>6.3025117000000005E-2</v>
      </c>
      <c r="Z4" s="3">
        <v>2.2033334000000002E-2</v>
      </c>
      <c r="AA4" s="3">
        <v>2.4523497000000002E-2</v>
      </c>
      <c r="AB4" s="3">
        <v>-1.5298069000000001E-2</v>
      </c>
      <c r="AC4" s="3">
        <v>4.3257833000000002E-2</v>
      </c>
      <c r="AD4" s="3">
        <v>3.6287308E-3</v>
      </c>
      <c r="AE4" s="3">
        <v>3.5483598999999998E-2</v>
      </c>
      <c r="AF4" s="3">
        <v>5.0412536000000001E-2</v>
      </c>
      <c r="AG4" s="3">
        <v>3.6523342E-2</v>
      </c>
      <c r="AH4" s="3">
        <v>4.2615055999999998E-2</v>
      </c>
      <c r="AI4" s="3">
        <v>6.1281322999999999E-2</v>
      </c>
      <c r="AJ4" s="3"/>
      <c r="AK4" s="3"/>
      <c r="AL4" s="3"/>
    </row>
    <row r="5" spans="1:38" x14ac:dyDescent="0.45">
      <c r="A5" s="2">
        <v>44287</v>
      </c>
      <c r="B5" s="3">
        <v>-6.7800402999999995E-2</v>
      </c>
      <c r="C5" s="3">
        <v>5.7336689999999996E-2</v>
      </c>
      <c r="D5" s="3">
        <v>-7.7408495000000008E-2</v>
      </c>
      <c r="E5" s="3">
        <v>-5.3756475000000005E-2</v>
      </c>
      <c r="F5" s="3">
        <v>-2.7239441999999999E-2</v>
      </c>
      <c r="G5" s="3">
        <v>-6.9567560000000001E-2</v>
      </c>
      <c r="H5" s="3">
        <v>-1.1001228999999999E-3</v>
      </c>
      <c r="I5" s="3">
        <v>1.0556339999999999E-2</v>
      </c>
      <c r="J5" s="3">
        <v>7.4752810000000003E-2</v>
      </c>
      <c r="K5" s="3">
        <v>4.0966271999999995E-3</v>
      </c>
      <c r="L5" s="3">
        <v>2.4497390000000001E-2</v>
      </c>
      <c r="M5" s="3">
        <v>4.7688484000000003E-2</v>
      </c>
      <c r="N5" s="3">
        <v>6.5664529999999999E-2</v>
      </c>
      <c r="O5" s="3">
        <v>8.0875159999999995E-3</v>
      </c>
      <c r="P5" s="3">
        <v>-7.6717495999999996E-2</v>
      </c>
      <c r="Q5" s="3">
        <v>4.4906854999999996E-2</v>
      </c>
      <c r="R5" s="3">
        <v>6.2761425999999995E-2</v>
      </c>
      <c r="S5" s="3">
        <v>-0.15162324999999999</v>
      </c>
      <c r="T5" s="3">
        <v>4.4891595999999999E-2</v>
      </c>
      <c r="U5" s="3">
        <v>2.7700782E-2</v>
      </c>
      <c r="V5" s="3">
        <v>9.4035259999999996E-2</v>
      </c>
      <c r="W5" s="3">
        <v>-2.5781274E-2</v>
      </c>
      <c r="X5" s="3">
        <v>-9.4600320000000002E-3</v>
      </c>
      <c r="Y5" s="3">
        <v>5.3207636000000003E-2</v>
      </c>
      <c r="Z5" s="3">
        <v>4.5580505999999993E-2</v>
      </c>
      <c r="AA5" s="3">
        <v>-3.0280948000000001E-3</v>
      </c>
      <c r="AB5" s="3">
        <v>2.6959061999999999E-2</v>
      </c>
      <c r="AC5" s="3">
        <v>2.5915146E-2</v>
      </c>
      <c r="AD5" s="3">
        <v>4.2710303999999996E-3</v>
      </c>
      <c r="AE5" s="3">
        <v>3.1686187000000005E-2</v>
      </c>
      <c r="AF5" s="3">
        <v>2.9377460000000001E-2</v>
      </c>
      <c r="AG5" s="3">
        <v>5.642283E-2</v>
      </c>
      <c r="AH5" s="3">
        <v>5.0859213E-2</v>
      </c>
      <c r="AI5" s="3">
        <v>4.3963312999999997E-2</v>
      </c>
      <c r="AJ5" s="3"/>
      <c r="AK5" s="3"/>
      <c r="AL5" s="3"/>
    </row>
    <row r="6" spans="1:38" x14ac:dyDescent="0.45">
      <c r="A6" s="2">
        <v>44316</v>
      </c>
      <c r="B6" s="3">
        <v>1.9443154000000001E-2</v>
      </c>
      <c r="C6" s="3">
        <v>-6.9970846000000003E-2</v>
      </c>
      <c r="D6" s="3">
        <v>-1.3223946E-2</v>
      </c>
      <c r="E6" s="3">
        <v>-1.0609150000000001E-2</v>
      </c>
      <c r="F6" s="3">
        <v>6.8389892999999993E-2</v>
      </c>
      <c r="G6" s="3">
        <v>-8.4006900000000009E-2</v>
      </c>
      <c r="H6" s="3">
        <v>2.0558E-2</v>
      </c>
      <c r="I6" s="3">
        <v>7.0137619999999998E-2</v>
      </c>
      <c r="J6" s="3">
        <v>1.9968629000000002E-2</v>
      </c>
      <c r="K6" s="3">
        <v>-1.4334917000000001E-3</v>
      </c>
      <c r="L6" s="3">
        <v>9.0128780000000006E-2</v>
      </c>
      <c r="M6" s="3">
        <v>-1.9479215000000001E-2</v>
      </c>
      <c r="N6" s="3">
        <v>5.8648825000000002E-2</v>
      </c>
      <c r="O6" s="3">
        <v>-3.2090603999999995E-2</v>
      </c>
      <c r="P6" s="3">
        <v>-1.1336147999999999E-2</v>
      </c>
      <c r="Q6" s="3">
        <v>2.7777790000000004E-2</v>
      </c>
      <c r="R6" s="3">
        <v>-7.5166820000000002E-3</v>
      </c>
      <c r="S6" s="3">
        <v>-1.9764543000000002E-2</v>
      </c>
      <c r="T6" s="3">
        <v>-3.7037134000000001E-3</v>
      </c>
      <c r="U6" s="3">
        <v>1.6172527999999999E-2</v>
      </c>
      <c r="V6" s="3">
        <v>5.0904036E-2</v>
      </c>
      <c r="W6" s="3">
        <v>3.560543E-2</v>
      </c>
      <c r="X6" s="3">
        <v>2.9844759999999998E-2</v>
      </c>
      <c r="Y6" s="3">
        <v>2.8002381E-2</v>
      </c>
      <c r="Z6" s="3">
        <v>1.973486E-2</v>
      </c>
      <c r="AA6" s="3">
        <v>-2.4877071000000001E-2</v>
      </c>
      <c r="AB6" s="3">
        <v>2.9810905000000002E-2</v>
      </c>
      <c r="AC6" s="3">
        <v>2.7155041999999997E-2</v>
      </c>
      <c r="AD6" s="3">
        <v>4.1346908000000002E-2</v>
      </c>
      <c r="AE6" s="3">
        <v>4.1661499999999997E-2</v>
      </c>
      <c r="AF6" s="3">
        <v>4.4927954999999999E-2</v>
      </c>
      <c r="AG6" s="3">
        <v>1.4777302999999999E-2</v>
      </c>
      <c r="AH6" s="3">
        <v>2.5856256000000001E-2</v>
      </c>
      <c r="AI6" s="3">
        <v>-6.5996049999999997E-3</v>
      </c>
      <c r="AJ6" s="3"/>
      <c r="AK6" s="3"/>
      <c r="AL6" s="3"/>
    </row>
    <row r="7" spans="1:38" x14ac:dyDescent="0.45">
      <c r="A7" s="2">
        <v>44348</v>
      </c>
      <c r="B7" s="3">
        <v>7.0638060000000003E-2</v>
      </c>
      <c r="C7" s="3">
        <v>-5.8934154999999995E-2</v>
      </c>
      <c r="D7" s="3">
        <v>1.8022298999999999E-2</v>
      </c>
      <c r="E7" s="3">
        <v>6.433760999999999E-2</v>
      </c>
      <c r="F7" s="3">
        <v>0.14516126999999998</v>
      </c>
      <c r="G7" s="3">
        <v>4.2546510000000003E-2</v>
      </c>
      <c r="H7" s="3">
        <v>-1.0431646999999999E-2</v>
      </c>
      <c r="I7" s="3">
        <v>-9.4515085000000006E-3</v>
      </c>
      <c r="J7" s="3">
        <v>7.0611477000000006E-2</v>
      </c>
      <c r="K7" s="3">
        <v>3.2022953E-2</v>
      </c>
      <c r="L7" s="3">
        <v>0.13413954</v>
      </c>
      <c r="M7" s="3">
        <v>0.10196627</v>
      </c>
      <c r="N7" s="3">
        <v>1.1220216999999999E-2</v>
      </c>
      <c r="O7" s="3">
        <v>8.922482000000001E-2</v>
      </c>
      <c r="P7" s="3">
        <v>2.5615929999999999E-2</v>
      </c>
      <c r="Q7" s="3">
        <v>-1.4482439E-2</v>
      </c>
      <c r="R7" s="3">
        <v>2.2398589999999999E-2</v>
      </c>
      <c r="S7" s="3">
        <v>-8.1509349999999998E-3</v>
      </c>
      <c r="T7" s="3">
        <v>0.10929370000000001</v>
      </c>
      <c r="U7" s="3">
        <v>4.5092819999999999E-2</v>
      </c>
      <c r="V7" s="3">
        <v>2.6998399999999999E-2</v>
      </c>
      <c r="W7" s="3">
        <v>-2.8496206000000003E-2</v>
      </c>
      <c r="X7" s="3">
        <v>3.7867188000000003E-2</v>
      </c>
      <c r="Y7" s="3">
        <v>7.0766686999999995E-2</v>
      </c>
      <c r="Z7" s="3">
        <v>4.2749879999999997E-2</v>
      </c>
      <c r="AA7" s="3">
        <v>1.0827659999999999E-2</v>
      </c>
      <c r="AB7" s="3">
        <v>5.9624075999999998E-2</v>
      </c>
      <c r="AC7" s="3">
        <v>4.6418786000000004E-2</v>
      </c>
      <c r="AD7" s="3">
        <v>-1.5296280000000001E-2</v>
      </c>
      <c r="AE7" s="3">
        <v>5.6794879999999999E-3</v>
      </c>
      <c r="AF7" s="3">
        <v>6.0843705999999997E-2</v>
      </c>
      <c r="AG7" s="3">
        <v>3.8901566999999998E-2</v>
      </c>
      <c r="AH7" s="3">
        <v>5.8164597000000005E-2</v>
      </c>
      <c r="AI7" s="3">
        <v>7.1496249999999997E-2</v>
      </c>
      <c r="AJ7" s="3"/>
      <c r="AK7" s="3"/>
      <c r="AL7" s="3"/>
    </row>
    <row r="8" spans="1:38" x14ac:dyDescent="0.45">
      <c r="A8" s="2">
        <v>44378</v>
      </c>
      <c r="B8" s="3">
        <v>-3.0525267000000002E-2</v>
      </c>
      <c r="C8" s="3">
        <v>-2.3658752000000002E-2</v>
      </c>
      <c r="D8" s="3">
        <v>-7.2679462E-2</v>
      </c>
      <c r="E8" s="3">
        <v>1.5307188000000001E-2</v>
      </c>
      <c r="F8" s="3">
        <v>-3.4809290999999999E-2</v>
      </c>
      <c r="G8" s="3">
        <v>-0.11288971</v>
      </c>
      <c r="H8" s="3">
        <v>-4.5367955999999994E-2</v>
      </c>
      <c r="I8" s="3">
        <v>-1.2513995E-3</v>
      </c>
      <c r="J8" s="3">
        <v>-6.6596270000000004E-3</v>
      </c>
      <c r="K8" s="3">
        <v>-9.2018246999999997E-3</v>
      </c>
      <c r="L8" s="3">
        <v>-8.0120559999999992E-4</v>
      </c>
      <c r="M8" s="3">
        <v>-9.7171670000000002E-2</v>
      </c>
      <c r="N8" s="3">
        <v>-2.7392566E-2</v>
      </c>
      <c r="O8" s="3">
        <v>-1.1846125000000001E-2</v>
      </c>
      <c r="P8" s="3">
        <v>-2.5363802999999997E-2</v>
      </c>
      <c r="Q8" s="3">
        <v>4.5078992999999998E-3</v>
      </c>
      <c r="R8" s="3">
        <v>-1.5346645999999999E-2</v>
      </c>
      <c r="S8" s="3">
        <v>-4.7757029999999999E-2</v>
      </c>
      <c r="T8" s="3">
        <v>-1.6234338000000001E-2</v>
      </c>
      <c r="U8" s="3">
        <v>5.9390903000000002E-2</v>
      </c>
      <c r="V8" s="3">
        <v>3.1542659000000001E-2</v>
      </c>
      <c r="W8" s="3">
        <v>-2.1673439999999999E-2</v>
      </c>
      <c r="X8" s="3">
        <v>-2.2678672999999996E-2</v>
      </c>
      <c r="Y8" s="3">
        <v>-7.0384740000000003E-3</v>
      </c>
      <c r="Z8" s="3">
        <v>-2.3012339999999999E-2</v>
      </c>
      <c r="AA8" s="3">
        <v>-2.4154782000000001E-3</v>
      </c>
      <c r="AB8" s="3">
        <v>1.2838720999999999E-2</v>
      </c>
      <c r="AC8" s="3">
        <v>-1.6860425000000002E-2</v>
      </c>
      <c r="AD8" s="3">
        <v>6.6578150000000003E-2</v>
      </c>
      <c r="AE8" s="3">
        <v>2.9040217E-2</v>
      </c>
      <c r="AF8" s="3">
        <v>-1.872915E-2</v>
      </c>
      <c r="AG8" s="3">
        <v>-2.6232780000000001E-2</v>
      </c>
      <c r="AH8" s="3">
        <v>-2.9418885999999998E-2</v>
      </c>
      <c r="AI8" s="3">
        <v>-2.7254998999999999E-2</v>
      </c>
      <c r="AJ8" s="3"/>
      <c r="AK8" s="3"/>
      <c r="AL8" s="3"/>
    </row>
    <row r="9" spans="1:38" x14ac:dyDescent="0.45">
      <c r="A9" s="2">
        <v>44407</v>
      </c>
      <c r="B9" s="3">
        <v>-4.88525E-2</v>
      </c>
      <c r="C9" s="3">
        <v>-5.1006200000000002E-2</v>
      </c>
      <c r="D9" s="3">
        <v>-1.0344803E-2</v>
      </c>
      <c r="E9" s="3">
        <v>-9.8614270000000004E-2</v>
      </c>
      <c r="F9" s="3">
        <v>-3.2008290000000001E-3</v>
      </c>
      <c r="G9" s="3">
        <v>-7.7319564999999993E-2</v>
      </c>
      <c r="H9" s="3">
        <v>-3.0243456000000002E-2</v>
      </c>
      <c r="I9" s="3">
        <v>-4.0720104999999998E-3</v>
      </c>
      <c r="J9" s="3">
        <v>2.1888614000000001E-2</v>
      </c>
      <c r="K9" s="3">
        <v>-4.1576680000000005E-2</v>
      </c>
      <c r="L9" s="3">
        <v>-5.7697060000000001E-2</v>
      </c>
      <c r="M9" s="3">
        <v>-4.5239924999999999E-3</v>
      </c>
      <c r="N9" s="3">
        <v>-1.2477636E-2</v>
      </c>
      <c r="O9" s="3">
        <v>1.3148903999999999E-2</v>
      </c>
      <c r="P9" s="3">
        <v>-0.12840897000000001</v>
      </c>
      <c r="Q9" s="3">
        <v>-5.2659509999999996E-3</v>
      </c>
      <c r="R9" s="3">
        <v>-4.5069749999999999E-2</v>
      </c>
      <c r="S9" s="3">
        <v>3.6482692000000004E-2</v>
      </c>
      <c r="T9" s="3">
        <v>-2.8208494E-3</v>
      </c>
      <c r="U9" s="3">
        <v>-6.3248754000000004E-2</v>
      </c>
      <c r="V9" s="3">
        <v>2.2698640999999999E-3</v>
      </c>
      <c r="W9" s="3">
        <v>-6.2479377000000001E-3</v>
      </c>
      <c r="X9" s="3">
        <v>-4.6349764E-3</v>
      </c>
      <c r="Y9" s="3">
        <v>-7.9723597000000007E-3</v>
      </c>
      <c r="Z9" s="3">
        <v>-4.6135783000000007E-3</v>
      </c>
      <c r="AA9" s="3">
        <v>-5.6304336E-3</v>
      </c>
      <c r="AB9" s="3">
        <v>2.9930353E-2</v>
      </c>
      <c r="AC9" s="3">
        <v>-3.6462545E-3</v>
      </c>
      <c r="AD9" s="3">
        <v>2.820313E-2</v>
      </c>
      <c r="AE9" s="3">
        <v>1.8772006000000001E-2</v>
      </c>
      <c r="AF9" s="3">
        <v>7.0922375000000001E-3</v>
      </c>
      <c r="AG9" s="3">
        <v>3.4154415E-2</v>
      </c>
      <c r="AH9" s="3">
        <v>3.9064169999999995E-2</v>
      </c>
      <c r="AI9" s="3">
        <v>-1.8432139999999999E-3</v>
      </c>
      <c r="AJ9" s="3"/>
      <c r="AK9" s="3"/>
      <c r="AL9" s="3"/>
    </row>
    <row r="10" spans="1:38" x14ac:dyDescent="0.45">
      <c r="A10" s="2">
        <v>44440</v>
      </c>
      <c r="B10" s="3">
        <v>1.9350170999999999E-2</v>
      </c>
      <c r="C10" s="3">
        <v>4.4972539999999998E-2</v>
      </c>
      <c r="D10" s="3">
        <v>6.1722279999999997E-2</v>
      </c>
      <c r="E10" s="3">
        <v>7.901322999999999E-2</v>
      </c>
      <c r="F10" s="3">
        <v>7.0183516000000001E-2</v>
      </c>
      <c r="G10" s="3">
        <v>-7.8212620000000007E-3</v>
      </c>
      <c r="H10" s="3">
        <v>7.1688890000000005E-2</v>
      </c>
      <c r="I10" s="3">
        <v>2.4217605999999999E-2</v>
      </c>
      <c r="J10" s="3">
        <v>2.6927829E-2</v>
      </c>
      <c r="K10" s="3">
        <v>-1.2056351E-2</v>
      </c>
      <c r="L10" s="3">
        <v>-2.0053445999999999E-2</v>
      </c>
      <c r="M10" s="3">
        <v>2.4375079999999997E-2</v>
      </c>
      <c r="N10" s="3">
        <v>4.6209334999999997E-2</v>
      </c>
      <c r="O10" s="3">
        <v>9.3533279999999996E-2</v>
      </c>
      <c r="P10" s="3">
        <v>1.8661498999999998E-2</v>
      </c>
      <c r="Q10" s="3">
        <v>3.9703608000000001E-2</v>
      </c>
      <c r="R10" s="3">
        <v>7.3959109999999995E-2</v>
      </c>
      <c r="S10" s="3">
        <v>8.1678630000000002E-2</v>
      </c>
      <c r="T10" s="3">
        <v>5.5162669999999997E-2</v>
      </c>
      <c r="U10" s="3">
        <v>1.8925905E-2</v>
      </c>
      <c r="V10" s="3">
        <v>4.5294404000000003E-2</v>
      </c>
      <c r="W10" s="3">
        <v>5.1952360000000003E-2</v>
      </c>
      <c r="X10" s="3">
        <v>1.5909909999999999E-2</v>
      </c>
      <c r="Y10" s="3">
        <v>6.6970587000000003E-3</v>
      </c>
      <c r="Z10" s="3">
        <v>1.5063762999999999E-2</v>
      </c>
      <c r="AA10" s="3">
        <v>3.5762189999999999E-2</v>
      </c>
      <c r="AB10" s="3">
        <v>1.4729261E-2</v>
      </c>
      <c r="AC10" s="3">
        <v>1.2808679999999999E-2</v>
      </c>
      <c r="AD10" s="3">
        <v>4.3914676000000007E-2</v>
      </c>
      <c r="AE10" s="3">
        <v>3.0307173999999999E-2</v>
      </c>
      <c r="AF10" s="3">
        <v>2.8168917000000002E-2</v>
      </c>
      <c r="AG10" s="3">
        <v>6.6653370000000003E-2</v>
      </c>
      <c r="AH10" s="3">
        <v>-4.3379068000000002E-3</v>
      </c>
      <c r="AI10" s="3">
        <v>2.185285E-2</v>
      </c>
      <c r="AJ10" s="3"/>
      <c r="AK10" s="3"/>
      <c r="AL10" s="3"/>
    </row>
    <row r="11" spans="1:38" x14ac:dyDescent="0.45">
      <c r="A11" s="2">
        <v>44470</v>
      </c>
      <c r="B11" s="3">
        <v>-1.2303649999999999E-2</v>
      </c>
      <c r="C11" s="3">
        <v>-7.9776105999999999E-2</v>
      </c>
      <c r="D11" s="3">
        <v>2.5316477E-2</v>
      </c>
      <c r="E11" s="3">
        <v>9.9396706000000009E-4</v>
      </c>
      <c r="F11" s="3">
        <v>-3.5576521999999999E-2</v>
      </c>
      <c r="G11" s="3">
        <v>-9.0090035999999991E-3</v>
      </c>
      <c r="H11" s="3">
        <v>-4.5351450000000001E-2</v>
      </c>
      <c r="I11" s="3">
        <v>-5.0053715999999998E-2</v>
      </c>
      <c r="J11" s="3">
        <v>-3.5955547999999997E-2</v>
      </c>
      <c r="K11" s="3">
        <v>-8.2002749999999999E-2</v>
      </c>
      <c r="L11" s="3">
        <v>-9.7407874999999991E-2</v>
      </c>
      <c r="M11" s="3">
        <v>-4.9001812999999998E-2</v>
      </c>
      <c r="N11" s="3">
        <v>-4.9689410000000003E-2</v>
      </c>
      <c r="O11" s="3">
        <v>5.7295560000000002E-3</v>
      </c>
      <c r="P11" s="3">
        <v>-7.8925549999999997E-2</v>
      </c>
      <c r="Q11" s="3">
        <v>3.2586575E-2</v>
      </c>
      <c r="R11" s="3">
        <v>-1.7932296E-2</v>
      </c>
      <c r="S11" s="3">
        <v>-0.10805172</v>
      </c>
      <c r="T11" s="3">
        <v>-8.3780290000000004E-3</v>
      </c>
      <c r="U11" s="3">
        <v>-3.9156675000000002E-2</v>
      </c>
      <c r="V11" s="3">
        <v>1.035142E-2</v>
      </c>
      <c r="W11" s="3">
        <v>-1.4469981E-2</v>
      </c>
      <c r="X11" s="3">
        <v>-4.7364415999999999E-2</v>
      </c>
      <c r="Y11" s="3">
        <v>-2.5279402999999999E-2</v>
      </c>
      <c r="Z11" s="3">
        <v>-5.9931574000000001E-2</v>
      </c>
      <c r="AA11" s="3">
        <v>6.0422419999999998E-3</v>
      </c>
      <c r="AB11" s="3">
        <v>-7.8462123999999994E-2</v>
      </c>
      <c r="AC11" s="3">
        <v>-2.4691342999999998E-2</v>
      </c>
      <c r="AD11" s="3">
        <v>-5.253124E-2</v>
      </c>
      <c r="AE11" s="3">
        <v>-3.5757064999999998E-2</v>
      </c>
      <c r="AF11" s="3">
        <v>-4.6423078E-2</v>
      </c>
      <c r="AG11" s="3">
        <v>-7.2996798000000002E-2</v>
      </c>
      <c r="AH11" s="3">
        <v>-6.0166000000000004E-2</v>
      </c>
      <c r="AI11" s="3">
        <v>-3.9156675000000002E-2</v>
      </c>
      <c r="AJ11" s="3"/>
      <c r="AK11" s="3"/>
      <c r="AL11" s="3"/>
    </row>
    <row r="12" spans="1:38" x14ac:dyDescent="0.45">
      <c r="A12" s="2">
        <v>44501</v>
      </c>
      <c r="B12" s="3">
        <v>3.001535E-2</v>
      </c>
      <c r="C12" s="3">
        <v>-4.6768070000000002E-2</v>
      </c>
      <c r="D12" s="3">
        <v>8.0475445000000007E-2</v>
      </c>
      <c r="E12" s="3">
        <v>4.5349239999999999E-2</v>
      </c>
      <c r="F12" s="3">
        <v>3.8222194000000001E-2</v>
      </c>
      <c r="G12" s="3">
        <v>0.1500001</v>
      </c>
      <c r="H12" s="3">
        <v>1.6627073000000003E-2</v>
      </c>
      <c r="I12" s="3">
        <v>2.4890900000000001E-2</v>
      </c>
      <c r="J12" s="3">
        <v>-7.0059896E-3</v>
      </c>
      <c r="K12" s="3">
        <v>-8.075535E-3</v>
      </c>
      <c r="L12" s="3">
        <v>-9.9455890000000005E-2</v>
      </c>
      <c r="M12" s="3">
        <v>-2.1204352E-3</v>
      </c>
      <c r="N12" s="3">
        <v>3.0138016E-2</v>
      </c>
      <c r="O12" s="3">
        <v>5.9002639999999997E-3</v>
      </c>
      <c r="P12" s="3">
        <v>5.1592589999999994E-2</v>
      </c>
      <c r="Q12" s="3">
        <v>2.4654864999999998E-2</v>
      </c>
      <c r="R12" s="3">
        <v>5.3639409999999997E-3</v>
      </c>
      <c r="S12" s="3">
        <v>1.8709183000000001E-2</v>
      </c>
      <c r="T12" s="3">
        <v>1.5883683999999999E-2</v>
      </c>
      <c r="U12" s="3">
        <v>6.4263344E-2</v>
      </c>
      <c r="V12" s="3">
        <v>2.9783130000000001E-2</v>
      </c>
      <c r="W12" s="3">
        <v>1.7397045999999999E-2</v>
      </c>
      <c r="X12" s="3">
        <v>6.1347126999999994E-2</v>
      </c>
      <c r="Y12" s="3">
        <v>8.2172985000000004E-2</v>
      </c>
      <c r="Z12" s="3">
        <v>3.7644267000000002E-2</v>
      </c>
      <c r="AA12" s="3">
        <v>-7.1499944000000008E-3</v>
      </c>
      <c r="AB12" s="3">
        <v>7.4925539999999999E-2</v>
      </c>
      <c r="AC12" s="3">
        <v>4.6310544000000002E-2</v>
      </c>
      <c r="AD12" s="3">
        <v>7.5656651999999991E-2</v>
      </c>
      <c r="AE12" s="3">
        <v>5.9414149999999999E-2</v>
      </c>
      <c r="AF12" s="3">
        <v>5.7728050000000003E-2</v>
      </c>
      <c r="AG12" s="3">
        <v>5.9311747999999997E-2</v>
      </c>
      <c r="AH12" s="3">
        <v>6.7549706000000001E-2</v>
      </c>
      <c r="AI12" s="3">
        <v>6.6144109999999992E-2</v>
      </c>
      <c r="AJ12" s="3"/>
      <c r="AK12" s="3"/>
      <c r="AL12" s="3"/>
    </row>
    <row r="13" spans="1:38" x14ac:dyDescent="0.45">
      <c r="A13" s="2">
        <v>44531</v>
      </c>
      <c r="B13" s="3">
        <v>-6.9108605000000002E-3</v>
      </c>
      <c r="C13" s="3">
        <v>-9.5731615999999995E-3</v>
      </c>
      <c r="D13" s="3">
        <v>-2.4968206999999999E-2</v>
      </c>
      <c r="E13" s="3">
        <v>-1.3299584E-2</v>
      </c>
      <c r="F13" s="3">
        <v>-0.11815070999999999</v>
      </c>
      <c r="G13" s="3">
        <v>-9.3544119999999994E-2</v>
      </c>
      <c r="H13" s="3">
        <v>-4.5950173999999996E-2</v>
      </c>
      <c r="I13" s="3">
        <v>3.1067610000000002E-2</v>
      </c>
      <c r="J13" s="3">
        <v>-5.4575562000000001E-2</v>
      </c>
      <c r="K13" s="3">
        <v>-3.1437814000000001E-2</v>
      </c>
      <c r="L13" s="3">
        <v>-4.2631744999999999E-2</v>
      </c>
      <c r="M13" s="3">
        <v>-4.9936294999999999E-2</v>
      </c>
      <c r="N13" s="3">
        <v>-7.6489267E-2</v>
      </c>
      <c r="O13" s="3">
        <v>-3.741908E-2</v>
      </c>
      <c r="P13" s="3">
        <v>-7.9209329999999994E-2</v>
      </c>
      <c r="Q13" s="3">
        <v>-8.1809759999999995E-3</v>
      </c>
      <c r="R13" s="3">
        <v>-1.4233648999999999E-2</v>
      </c>
      <c r="S13" s="3">
        <v>-0.14325070000000001</v>
      </c>
      <c r="T13" s="3">
        <v>9.913516E-2</v>
      </c>
      <c r="U13" s="3">
        <v>2.1109342999999999E-2</v>
      </c>
      <c r="V13" s="3">
        <v>-8.5839929999999995E-2</v>
      </c>
      <c r="W13" s="3">
        <v>-8.2537889999999989E-2</v>
      </c>
      <c r="X13" s="3">
        <v>-8.3868500000000012E-2</v>
      </c>
      <c r="Y13" s="3">
        <v>-7.0131119999999991E-2</v>
      </c>
      <c r="Z13" s="3">
        <v>-7.0509076000000004E-2</v>
      </c>
      <c r="AA13" s="3">
        <v>-4.9690304000000005E-2</v>
      </c>
      <c r="AB13" s="3">
        <v>-3.0296981000000001E-2</v>
      </c>
      <c r="AC13" s="3">
        <v>-6.1375019999999995E-2</v>
      </c>
      <c r="AD13" s="3">
        <v>-8.0013274999999999E-4</v>
      </c>
      <c r="AE13" s="3">
        <v>-2.0737350000000002E-2</v>
      </c>
      <c r="AF13" s="3">
        <v>-5.5834950000000001E-2</v>
      </c>
      <c r="AG13" s="3">
        <v>-6.7456539999999995E-2</v>
      </c>
      <c r="AH13" s="3">
        <v>-7.6716303999999999E-2</v>
      </c>
      <c r="AI13" s="3">
        <v>-7.9682406999999997E-2</v>
      </c>
      <c r="AJ13" s="3"/>
      <c r="AK13" s="3"/>
      <c r="AL13" s="3"/>
    </row>
    <row r="14" spans="1:38" x14ac:dyDescent="0.45">
      <c r="A14" s="2">
        <v>44561</v>
      </c>
      <c r="B14" s="3">
        <v>2.0681620000000001E-2</v>
      </c>
      <c r="C14" s="3">
        <v>-3.9505124000000003E-2</v>
      </c>
      <c r="D14" s="3">
        <v>4.0063858000000006E-3</v>
      </c>
      <c r="E14" s="3">
        <v>1.9138455000000002E-2</v>
      </c>
      <c r="F14" s="3">
        <v>3.3313274000000004E-2</v>
      </c>
      <c r="G14" s="3">
        <v>0.10185933</v>
      </c>
      <c r="H14" s="3">
        <v>5.5213093999999997E-2</v>
      </c>
      <c r="I14" s="3">
        <v>4.6860932999999994E-2</v>
      </c>
      <c r="J14" s="3">
        <v>0.12635541</v>
      </c>
      <c r="K14" s="3">
        <v>2.8644443000000002E-2</v>
      </c>
      <c r="L14" s="3">
        <v>5.9027194999999998E-2</v>
      </c>
      <c r="M14" s="3">
        <v>4.8515796999999999E-2</v>
      </c>
      <c r="N14" s="3">
        <v>3.1603336000000003E-2</v>
      </c>
      <c r="O14" s="3">
        <v>2.5837897999999998E-2</v>
      </c>
      <c r="P14" s="3">
        <v>-2.3385942000000003E-2</v>
      </c>
      <c r="Q14" s="3">
        <v>-5.3794383999999995E-3</v>
      </c>
      <c r="R14" s="3">
        <v>4.1997433000000001E-2</v>
      </c>
      <c r="S14" s="3">
        <v>1.5902519999999999E-4</v>
      </c>
      <c r="T14" s="3">
        <v>-5.6483746000000005E-3</v>
      </c>
      <c r="U14" s="3">
        <v>2.6264668000000001E-2</v>
      </c>
      <c r="V14" s="3">
        <v>4.2282224E-2</v>
      </c>
      <c r="W14" s="3">
        <v>2.2116064999999997E-2</v>
      </c>
      <c r="X14" s="3">
        <v>6.1233880000000004E-2</v>
      </c>
      <c r="Y14" s="3">
        <v>5.6088924000000005E-2</v>
      </c>
      <c r="Z14" s="3">
        <v>4.0717719999999999E-2</v>
      </c>
      <c r="AA14" s="3">
        <v>2.8327702999999999E-2</v>
      </c>
      <c r="AB14" s="3">
        <v>7.678162999999999E-2</v>
      </c>
      <c r="AC14" s="3">
        <v>7.0490837000000001E-2</v>
      </c>
      <c r="AD14" s="3">
        <v>2.9044032000000001E-2</v>
      </c>
      <c r="AE14" s="3">
        <v>5.8046936999999993E-2</v>
      </c>
      <c r="AF14" s="3">
        <v>6.4346433000000008E-2</v>
      </c>
      <c r="AG14" s="3">
        <v>3.292954E-2</v>
      </c>
      <c r="AH14" s="3">
        <v>7.0250153999999995E-2</v>
      </c>
      <c r="AI14" s="3">
        <v>6.3168882999999995E-2</v>
      </c>
      <c r="AJ14" s="3"/>
      <c r="AK14" s="3"/>
      <c r="AL14" s="3"/>
    </row>
    <row r="15" spans="1:38" x14ac:dyDescent="0.45">
      <c r="A15" s="2">
        <v>44593</v>
      </c>
      <c r="B15" s="3">
        <v>-7.8440309999999999E-2</v>
      </c>
      <c r="C15" s="3">
        <v>0.14205289000000001</v>
      </c>
      <c r="D15" s="3">
        <v>9.5777510000000007E-3</v>
      </c>
      <c r="E15" s="3">
        <v>2.0543694000000001E-2</v>
      </c>
      <c r="F15" s="3">
        <v>-1.1870861E-2</v>
      </c>
      <c r="G15" s="3">
        <v>8.5752849999999992E-2</v>
      </c>
      <c r="H15" s="3">
        <v>-1.8377959999999999E-2</v>
      </c>
      <c r="I15" s="3">
        <v>-2.2068799E-2</v>
      </c>
      <c r="J15" s="3">
        <v>-2.8063178000000001E-2</v>
      </c>
      <c r="K15" s="3">
        <v>-6.2796950000000004E-2</v>
      </c>
      <c r="L15" s="3">
        <v>0.14570712999999999</v>
      </c>
      <c r="M15" s="3">
        <v>9.3534469999999995E-2</v>
      </c>
      <c r="N15" s="3">
        <v>8.8090779999999994E-2</v>
      </c>
      <c r="O15" s="3">
        <v>1.0907650000000001E-3</v>
      </c>
      <c r="P15" s="3">
        <v>3.5048722999999997E-3</v>
      </c>
      <c r="Q15" s="3">
        <v>8.8551879999999999E-2</v>
      </c>
      <c r="R15" s="3">
        <v>2.4914742000000001E-3</v>
      </c>
      <c r="S15" s="3">
        <v>9.7954749999999993E-2</v>
      </c>
      <c r="T15" s="3">
        <v>3.1559467000000001E-2</v>
      </c>
      <c r="U15" s="3">
        <v>-6.6384195999999993E-2</v>
      </c>
      <c r="V15" s="3">
        <v>0.10516012</v>
      </c>
      <c r="W15" s="3">
        <v>-9.680706E-2</v>
      </c>
      <c r="X15" s="3">
        <v>-6.8062839999999999E-2</v>
      </c>
      <c r="Y15" s="3">
        <v>6.5053699999999999E-3</v>
      </c>
      <c r="Z15" s="3">
        <v>-1.5253186E-2</v>
      </c>
      <c r="AA15" s="3">
        <v>-4.2712092000000007E-2</v>
      </c>
      <c r="AB15" s="3">
        <v>-5.1393867000000003E-2</v>
      </c>
      <c r="AC15" s="3">
        <v>3.4399510000000001E-2</v>
      </c>
      <c r="AD15" s="3">
        <v>-8.1261819999999998E-2</v>
      </c>
      <c r="AE15" s="3">
        <v>-4.6340703999999996E-2</v>
      </c>
      <c r="AF15" s="3">
        <v>-1.1831343000000001E-2</v>
      </c>
      <c r="AG15" s="3">
        <v>-6.7702109999999996E-2</v>
      </c>
      <c r="AH15" s="3">
        <v>-7.5760899999999992E-2</v>
      </c>
      <c r="AI15" s="3">
        <v>1.5238523000000001E-3</v>
      </c>
      <c r="AJ15" s="3"/>
      <c r="AK15" s="3"/>
      <c r="AL15" s="3"/>
    </row>
    <row r="16" spans="1:38" x14ac:dyDescent="0.45">
      <c r="A16" s="2">
        <v>44621</v>
      </c>
      <c r="B16" s="3">
        <v>1.6674876000000002E-2</v>
      </c>
      <c r="C16" s="3">
        <v>-4.5885505999999993E-2</v>
      </c>
      <c r="D16" s="3">
        <v>5.1315189999999997E-2</v>
      </c>
      <c r="E16" s="3">
        <v>8.3616969999999995E-3</v>
      </c>
      <c r="F16" s="3">
        <v>-0.17443531000000001</v>
      </c>
      <c r="G16" s="3">
        <v>8.3333379999999999E-2</v>
      </c>
      <c r="H16" s="3">
        <v>3.6630033999999999E-2</v>
      </c>
      <c r="I16" s="3">
        <v>-2.3334384E-2</v>
      </c>
      <c r="J16" s="3">
        <v>1.1183380999999999E-2</v>
      </c>
      <c r="K16" s="3">
        <v>-2.0416617000000001E-2</v>
      </c>
      <c r="L16" s="3">
        <v>2.3010014999999998E-2</v>
      </c>
      <c r="M16" s="3">
        <v>3.9219498999999998E-2</v>
      </c>
      <c r="N16" s="3">
        <v>-0.1059764</v>
      </c>
      <c r="O16" s="3">
        <v>-7.1475267000000009E-2</v>
      </c>
      <c r="P16" s="3">
        <v>-6.9852350000000007E-2</v>
      </c>
      <c r="Q16" s="3">
        <v>6.4269660000000006E-2</v>
      </c>
      <c r="R16" s="3">
        <v>1.9575715E-2</v>
      </c>
      <c r="S16" s="3">
        <v>-6.2745037000000004E-2</v>
      </c>
      <c r="T16" s="3">
        <v>8.8182335000000001E-2</v>
      </c>
      <c r="U16" s="3">
        <v>-2.0171462999999997E-2</v>
      </c>
      <c r="V16" s="3">
        <v>3.4520984000000005E-2</v>
      </c>
      <c r="W16" s="3">
        <v>3.1402707000000002E-2</v>
      </c>
      <c r="X16" s="3">
        <v>3.0250669000000001E-2</v>
      </c>
      <c r="Y16" s="3">
        <v>-2.5336086999999997E-2</v>
      </c>
      <c r="Z16" s="3">
        <v>-0.13166040000000001</v>
      </c>
      <c r="AA16" s="3">
        <v>-3.1513213999999998E-2</v>
      </c>
      <c r="AB16" s="3">
        <v>-5.1979246000000007E-2</v>
      </c>
      <c r="AC16" s="3">
        <v>-3.7047863E-2</v>
      </c>
      <c r="AD16" s="3">
        <v>-6.5741960000000002E-2</v>
      </c>
      <c r="AE16" s="3">
        <v>-5.0711989999999998E-2</v>
      </c>
      <c r="AF16" s="3">
        <v>-0.11426342</v>
      </c>
      <c r="AG16" s="3">
        <v>-0.118539095</v>
      </c>
      <c r="AH16" s="3">
        <v>-0.15086406999999999</v>
      </c>
      <c r="AI16" s="3">
        <v>-0.11655509999999999</v>
      </c>
      <c r="AJ16" s="3"/>
      <c r="AK16" s="3"/>
      <c r="AL16" s="3"/>
    </row>
    <row r="17" spans="1:38" x14ac:dyDescent="0.45">
      <c r="A17" s="2">
        <v>44652</v>
      </c>
      <c r="B17" s="3">
        <v>-7.9559382999999997E-2</v>
      </c>
      <c r="C17" s="3">
        <v>0.17448329999999998</v>
      </c>
      <c r="D17" s="3">
        <v>1.7227292000000002E-2</v>
      </c>
      <c r="E17" s="3">
        <v>-4.2997599999999997E-2</v>
      </c>
      <c r="F17" s="3">
        <v>0.128637905</v>
      </c>
      <c r="G17" s="3">
        <v>7.9219220000000007E-2</v>
      </c>
      <c r="H17" s="3">
        <v>1.8453120999999999E-2</v>
      </c>
      <c r="I17" s="3">
        <v>-3.3479989000000002E-2</v>
      </c>
      <c r="J17" s="3">
        <v>0.11321139000000001</v>
      </c>
      <c r="K17" s="3">
        <v>-6.5743923000000006E-3</v>
      </c>
      <c r="L17" s="3">
        <v>0.18966557000000001</v>
      </c>
      <c r="M17" s="3">
        <v>7.1117043000000005E-2</v>
      </c>
      <c r="N17" s="3">
        <v>5.4022550000000003E-2</v>
      </c>
      <c r="O17" s="3">
        <v>6.5712213999999991E-2</v>
      </c>
      <c r="P17" s="3">
        <v>-6.5540194999999996E-2</v>
      </c>
      <c r="Q17" s="3">
        <v>1.6047239000000001E-2</v>
      </c>
      <c r="R17" s="3">
        <v>4.1493176999999994E-3</v>
      </c>
      <c r="S17" s="3">
        <v>9.5711229999999994E-2</v>
      </c>
      <c r="T17" s="3">
        <v>4.8974751999999996E-2</v>
      </c>
      <c r="U17" s="3">
        <v>-1.2352049E-2</v>
      </c>
      <c r="V17" s="3">
        <v>2.3101687000000003E-2</v>
      </c>
      <c r="W17" s="3">
        <v>8.5688830000000011E-3</v>
      </c>
      <c r="X17" s="3">
        <v>0.11954700000000001</v>
      </c>
      <c r="Y17" s="3">
        <v>6.6843510000000009E-2</v>
      </c>
      <c r="Z17" s="3">
        <v>2.069211E-2</v>
      </c>
      <c r="AA17" s="3">
        <v>-2.4162531000000002E-3</v>
      </c>
      <c r="AB17" s="3">
        <v>4.4074179999999998E-2</v>
      </c>
      <c r="AC17" s="3">
        <v>2.7870417000000001E-2</v>
      </c>
      <c r="AD17" s="3">
        <v>6.0933830000000001E-2</v>
      </c>
      <c r="AE17" s="3">
        <v>5.6588289999999999E-2</v>
      </c>
      <c r="AF17" s="3">
        <v>4.7311186999999998E-2</v>
      </c>
      <c r="AG17" s="3">
        <v>3.5619140000000001E-2</v>
      </c>
      <c r="AH17" s="3">
        <v>9.2959289999999986E-2</v>
      </c>
      <c r="AI17" s="3">
        <v>3.2380223E-2</v>
      </c>
      <c r="AJ17" s="3"/>
      <c r="AK17" s="3"/>
      <c r="AL17" s="3"/>
    </row>
    <row r="18" spans="1:38" x14ac:dyDescent="0.45">
      <c r="A18" s="2">
        <v>44680</v>
      </c>
      <c r="B18" s="3">
        <v>-0.11941486</v>
      </c>
      <c r="C18" s="3">
        <v>-0.14077835999999999</v>
      </c>
      <c r="D18" s="3">
        <v>1.6935467999999999E-2</v>
      </c>
      <c r="E18" s="3">
        <v>-7.477534000000001E-2</v>
      </c>
      <c r="F18" s="3">
        <v>-0.18617844000000003</v>
      </c>
      <c r="G18" s="3">
        <v>-0.15026592999999999</v>
      </c>
      <c r="H18" s="3">
        <v>-4.3562117000000004E-2</v>
      </c>
      <c r="I18" s="3">
        <v>-9.0746460000000001E-2</v>
      </c>
      <c r="J18" s="3">
        <v>-0.10711706</v>
      </c>
      <c r="K18" s="3">
        <v>-6.1672745000000001E-2</v>
      </c>
      <c r="L18" s="3">
        <v>-0.16274906</v>
      </c>
      <c r="M18" s="3">
        <v>-0.15120399000000001</v>
      </c>
      <c r="N18" s="3">
        <v>-3.6504506999999999E-2</v>
      </c>
      <c r="O18" s="3">
        <v>-3.8978220000000001E-2</v>
      </c>
      <c r="P18" s="3">
        <v>-7.8356209999999996E-2</v>
      </c>
      <c r="Q18" s="3">
        <v>4.156351E-3</v>
      </c>
      <c r="R18" s="3">
        <v>-1.9908248999999999E-2</v>
      </c>
      <c r="S18" s="3">
        <v>6.3961864000000007E-2</v>
      </c>
      <c r="T18" s="3">
        <v>-1.0952115E-2</v>
      </c>
      <c r="U18" s="3">
        <v>-0.11203747999999999</v>
      </c>
      <c r="V18" s="3">
        <v>5.9376835999999995E-2</v>
      </c>
      <c r="W18" s="3">
        <v>-9.6890809999999994E-2</v>
      </c>
      <c r="X18" s="3">
        <v>-7.9055843000000001E-2</v>
      </c>
      <c r="Y18" s="3">
        <v>-7.8816532999999994E-2</v>
      </c>
      <c r="Z18" s="3">
        <v>-9.087735000000001E-2</v>
      </c>
      <c r="AA18" s="3">
        <v>-8.5741999999999999E-2</v>
      </c>
      <c r="AB18" s="3">
        <v>-6.2815546999999999E-2</v>
      </c>
      <c r="AC18" s="3">
        <v>-4.8040093999999998E-2</v>
      </c>
      <c r="AD18" s="3">
        <v>-0.13430982999999999</v>
      </c>
      <c r="AE18" s="3">
        <v>-9.0347109999999994E-2</v>
      </c>
      <c r="AF18" s="3">
        <v>-7.5476939999999992E-2</v>
      </c>
      <c r="AG18" s="3">
        <v>-0.10084236000000001</v>
      </c>
      <c r="AH18" s="3">
        <v>-9.637648E-2</v>
      </c>
      <c r="AI18" s="3">
        <v>-8.4751370000000006E-2</v>
      </c>
      <c r="AJ18" s="3"/>
      <c r="AK18" s="3"/>
      <c r="AL18" s="3"/>
    </row>
    <row r="19" spans="1:38" x14ac:dyDescent="0.45">
      <c r="A19" s="2">
        <v>44713</v>
      </c>
      <c r="B19" s="3">
        <v>3.3524631999999999E-2</v>
      </c>
      <c r="C19" s="3">
        <v>0.17447817000000002</v>
      </c>
      <c r="D19" s="3">
        <v>-1.4274359E-2</v>
      </c>
      <c r="E19" s="3">
        <v>0</v>
      </c>
      <c r="F19" s="3">
        <v>2.7249694000000001E-2</v>
      </c>
      <c r="G19" s="3">
        <v>-3.6306739999999997E-2</v>
      </c>
      <c r="H19" s="3">
        <v>-3.1841933999999995E-2</v>
      </c>
      <c r="I19" s="3">
        <v>1.1625886E-2</v>
      </c>
      <c r="J19" s="3">
        <v>4.4911979999999997E-2</v>
      </c>
      <c r="K19" s="3">
        <v>1.4555812E-2</v>
      </c>
      <c r="L19" s="3">
        <v>7.1101546000000002E-2</v>
      </c>
      <c r="M19" s="3">
        <v>-7.5092910000000004E-3</v>
      </c>
      <c r="N19" s="3">
        <v>1.7221569999999999E-2</v>
      </c>
      <c r="O19" s="3">
        <v>-5.0412473999999999E-2</v>
      </c>
      <c r="P19" s="3">
        <v>1.6448735999999999E-2</v>
      </c>
      <c r="Q19" s="3">
        <v>-6.9536448000000001E-2</v>
      </c>
      <c r="R19" s="3">
        <v>-4.4558643999999996E-3</v>
      </c>
      <c r="S19" s="3">
        <v>-3.8133680000000003E-2</v>
      </c>
      <c r="T19" s="3">
        <v>-8.8735400000000006E-2</v>
      </c>
      <c r="U19" s="3">
        <v>-5.7570456999999998E-2</v>
      </c>
      <c r="V19" s="3">
        <v>-9.3743859999999998E-2</v>
      </c>
      <c r="W19" s="3">
        <v>-3.1024813999999998E-2</v>
      </c>
      <c r="X19" s="3">
        <v>7.3230267000000005E-3</v>
      </c>
      <c r="Y19" s="3">
        <v>1.8893361000000001E-2</v>
      </c>
      <c r="Z19" s="3">
        <v>3.8446783999999998E-2</v>
      </c>
      <c r="AA19" s="3">
        <v>1.7838240000000002E-2</v>
      </c>
      <c r="AB19" s="3">
        <v>-3.8793147E-2</v>
      </c>
      <c r="AC19" s="3">
        <v>1.2693524000000001E-2</v>
      </c>
      <c r="AD19" s="3">
        <v>-2.3144424E-2</v>
      </c>
      <c r="AE19" s="3">
        <v>-5.8495399999999994E-3</v>
      </c>
      <c r="AF19" s="3">
        <v>2.4582624000000001E-2</v>
      </c>
      <c r="AG19" s="3">
        <v>7.0257187E-3</v>
      </c>
      <c r="AH19" s="3">
        <v>2.7847290000000001E-3</v>
      </c>
      <c r="AI19" s="3">
        <v>3.2446145999999995E-2</v>
      </c>
      <c r="AJ19" s="3"/>
      <c r="AK19" s="3"/>
      <c r="AL19" s="3"/>
    </row>
    <row r="20" spans="1:38" x14ac:dyDescent="0.45">
      <c r="A20" s="2">
        <v>44743</v>
      </c>
      <c r="B20" s="3">
        <v>0.11078525</v>
      </c>
      <c r="C20" s="3">
        <v>-0.16288387000000001</v>
      </c>
      <c r="D20" s="3">
        <v>-9.889089999999999E-2</v>
      </c>
      <c r="E20" s="3">
        <v>-0.10438538</v>
      </c>
      <c r="F20" s="3">
        <v>-9.3615055000000003E-2</v>
      </c>
      <c r="G20" s="3">
        <v>-0.12676709999999999</v>
      </c>
      <c r="H20" s="3">
        <v>-6.4095020000000003E-2</v>
      </c>
      <c r="I20" s="3">
        <v>-0.13224894000000001</v>
      </c>
      <c r="J20" s="3">
        <v>-8.6686250000000006E-2</v>
      </c>
      <c r="K20" s="3">
        <v>-0.15101313999999999</v>
      </c>
      <c r="L20" s="3">
        <v>-0.19204806999999999</v>
      </c>
      <c r="M20" s="3">
        <v>-8.9559849999999996E-2</v>
      </c>
      <c r="N20" s="3">
        <v>-0.12342673</v>
      </c>
      <c r="O20" s="3">
        <v>-4.7297297000000002E-2</v>
      </c>
      <c r="P20" s="3">
        <v>9.4885459999999991E-2</v>
      </c>
      <c r="Q20" s="3">
        <v>-3.9528549000000003E-2</v>
      </c>
      <c r="R20" s="3">
        <v>-5.2614093000000001E-2</v>
      </c>
      <c r="S20" s="3">
        <v>-7.6664629999999998E-2</v>
      </c>
      <c r="T20" s="3">
        <v>-7.6314629999999994E-2</v>
      </c>
      <c r="U20" s="3">
        <v>-9.8324960000000003E-2</v>
      </c>
      <c r="V20" s="3">
        <v>-8.9588459999999995E-2</v>
      </c>
      <c r="W20" s="3">
        <v>-7.311773299999999E-2</v>
      </c>
      <c r="X20" s="3">
        <v>-0.12070465000000001</v>
      </c>
      <c r="Y20" s="3">
        <v>-9.1556429999999994E-2</v>
      </c>
      <c r="Z20" s="3">
        <v>-0.12098866</v>
      </c>
      <c r="AA20" s="3">
        <v>-7.0466875999999998E-2</v>
      </c>
      <c r="AB20" s="3">
        <v>-4.8691690000000003E-2</v>
      </c>
      <c r="AC20" s="3">
        <v>-6.9435415E-2</v>
      </c>
      <c r="AD20" s="3">
        <v>-7.6276540000000004E-2</v>
      </c>
      <c r="AE20" s="3">
        <v>-6.5203850000000008E-2</v>
      </c>
      <c r="AF20" s="3">
        <v>-8.1808680000000009E-2</v>
      </c>
      <c r="AG20" s="3">
        <v>-9.0573730000000005E-2</v>
      </c>
      <c r="AH20" s="3">
        <v>-0.12735361000000001</v>
      </c>
      <c r="AI20" s="3">
        <v>-0.11888731</v>
      </c>
      <c r="AJ20" s="3"/>
      <c r="AK20" s="3"/>
      <c r="AL20" s="3"/>
    </row>
    <row r="21" spans="1:38" x14ac:dyDescent="0.45">
      <c r="A21" s="2">
        <v>44774</v>
      </c>
      <c r="B21" s="3">
        <v>-7.5909256999999994E-2</v>
      </c>
      <c r="C21" s="3">
        <v>0.10166669</v>
      </c>
      <c r="D21" s="3">
        <v>5.1607013000000007E-2</v>
      </c>
      <c r="E21" s="3">
        <v>4.7022104000000002E-3</v>
      </c>
      <c r="F21" s="3">
        <v>-1.3736486000000001E-3</v>
      </c>
      <c r="G21" s="3">
        <v>-1.1183977000000001E-2</v>
      </c>
      <c r="H21" s="3">
        <v>2.8597355000000001E-2</v>
      </c>
      <c r="I21" s="3">
        <v>2.5876045E-2</v>
      </c>
      <c r="J21" s="3">
        <v>-8.8247657000000007E-3</v>
      </c>
      <c r="K21" s="3">
        <v>4.285717E-2</v>
      </c>
      <c r="L21" s="3">
        <v>5.9105990000000004E-2</v>
      </c>
      <c r="M21" s="3">
        <v>-1.4160275E-3</v>
      </c>
      <c r="N21" s="3">
        <v>5.1204799999999995E-2</v>
      </c>
      <c r="O21" s="3">
        <v>8.8905809999999988E-2</v>
      </c>
      <c r="P21" s="3">
        <v>-0.12036543999999999</v>
      </c>
      <c r="Q21" s="3">
        <v>7.4748397000000008E-2</v>
      </c>
      <c r="R21" s="3">
        <v>1.3079643E-2</v>
      </c>
      <c r="S21" s="3">
        <v>2.0779252000000002E-2</v>
      </c>
      <c r="T21" s="3">
        <v>6.4557790000000004E-2</v>
      </c>
      <c r="U21" s="3">
        <v>3.7983418000000005E-2</v>
      </c>
      <c r="V21" s="3">
        <v>6.7469834999999992E-2</v>
      </c>
      <c r="W21" s="3">
        <v>9.3348390000000003E-2</v>
      </c>
      <c r="X21" s="3">
        <v>7.776189E-2</v>
      </c>
      <c r="Y21" s="3">
        <v>2.7027009999999997E-2</v>
      </c>
      <c r="Z21" s="3">
        <v>2.3447632999999999E-2</v>
      </c>
      <c r="AA21" s="3">
        <v>7.2007536999999996E-2</v>
      </c>
      <c r="AB21" s="3">
        <v>4.5454499999999995E-2</v>
      </c>
      <c r="AC21" s="3">
        <v>3.3790588000000003E-2</v>
      </c>
      <c r="AD21" s="3">
        <v>0.11746347</v>
      </c>
      <c r="AE21" s="3">
        <v>7.7457786000000001E-2</v>
      </c>
      <c r="AF21" s="3">
        <v>5.7788133999999998E-2</v>
      </c>
      <c r="AG21" s="3">
        <v>9.0673449999999989E-2</v>
      </c>
      <c r="AH21" s="3">
        <v>9.6594700000000006E-2</v>
      </c>
      <c r="AI21" s="3">
        <v>1.7761229999999999E-2</v>
      </c>
      <c r="AJ21" s="3"/>
      <c r="AK21" s="3"/>
      <c r="AL21" s="3"/>
    </row>
    <row r="22" spans="1:38" x14ac:dyDescent="0.45">
      <c r="A22" s="2">
        <v>44805</v>
      </c>
      <c r="B22" s="3">
        <v>-3.9931595E-2</v>
      </c>
      <c r="C22" s="3">
        <v>3.7821530999999999E-2</v>
      </c>
      <c r="D22" s="3">
        <v>3.1855345E-2</v>
      </c>
      <c r="E22" s="3">
        <v>1.4040589000000001E-2</v>
      </c>
      <c r="F22" s="3">
        <v>-0.16299862000000001</v>
      </c>
      <c r="G22" s="3">
        <v>-4.4071730000000003E-2</v>
      </c>
      <c r="H22" s="3">
        <v>-2.1623969999999999E-2</v>
      </c>
      <c r="I22" s="3">
        <v>-1.7874836999999998E-2</v>
      </c>
      <c r="J22" s="3">
        <v>-2.9750228E-2</v>
      </c>
      <c r="K22" s="3">
        <v>-5.3123950000000003E-2</v>
      </c>
      <c r="L22" s="3">
        <v>6.2434554000000003E-2</v>
      </c>
      <c r="M22" s="3">
        <v>-6.2160254000000005E-2</v>
      </c>
      <c r="N22" s="3">
        <v>-4.8301277000000004E-2</v>
      </c>
      <c r="O22" s="3">
        <v>7.2109699999999997E-3</v>
      </c>
      <c r="P22" s="3">
        <v>2.2398233000000003E-3</v>
      </c>
      <c r="Q22" s="3">
        <v>-8.9166760000000001E-3</v>
      </c>
      <c r="R22" s="3">
        <v>1.8019915000000001E-2</v>
      </c>
      <c r="S22" s="3">
        <v>0.13791359</v>
      </c>
      <c r="T22" s="3">
        <v>-3.517282E-2</v>
      </c>
      <c r="U22" s="3">
        <v>1.3972043999999999E-2</v>
      </c>
      <c r="V22" s="3">
        <v>-4.7403573999999999E-3</v>
      </c>
      <c r="W22" s="3">
        <v>-4.4132890000000001E-2</v>
      </c>
      <c r="X22" s="3">
        <v>-4.3994720000000001E-2</v>
      </c>
      <c r="Y22" s="3">
        <v>-4.5766534999999997E-2</v>
      </c>
      <c r="Z22" s="3">
        <v>-8.6126380000000002E-2</v>
      </c>
      <c r="AA22" s="3">
        <v>-6.8929076000000006E-2</v>
      </c>
      <c r="AB22" s="3">
        <v>-7.7294707000000004E-2</v>
      </c>
      <c r="AC22" s="3">
        <v>-8.0258900000000008E-2</v>
      </c>
      <c r="AD22" s="3">
        <v>-5.033779E-2</v>
      </c>
      <c r="AE22" s="3">
        <v>-3.4934342E-2</v>
      </c>
      <c r="AF22" s="3">
        <v>-8.2260609999999998E-2</v>
      </c>
      <c r="AG22" s="3">
        <v>-0.11770915999999999</v>
      </c>
      <c r="AH22" s="3">
        <v>-0.12391764</v>
      </c>
      <c r="AI22" s="3">
        <v>-6.8993449999999998E-2</v>
      </c>
      <c r="AJ22" s="3"/>
      <c r="AK22" s="3"/>
      <c r="AL22" s="3"/>
    </row>
    <row r="23" spans="1:38" x14ac:dyDescent="0.45">
      <c r="A23" s="2">
        <v>44834</v>
      </c>
      <c r="B23" s="3">
        <v>-9.0017849999999996E-2</v>
      </c>
      <c r="C23" s="3">
        <v>-0.12536442</v>
      </c>
      <c r="D23" s="3">
        <v>-2.7117192999999998E-2</v>
      </c>
      <c r="E23" s="3">
        <v>-0.15076923</v>
      </c>
      <c r="F23" s="3">
        <v>-0.11503695999999999</v>
      </c>
      <c r="G23" s="3">
        <v>1.2240409999999999E-3</v>
      </c>
      <c r="H23" s="3">
        <v>-8.930987E-2</v>
      </c>
      <c r="I23" s="3">
        <v>-0.12841260999999998</v>
      </c>
      <c r="J23" s="3">
        <v>-1.0071635000000001E-2</v>
      </c>
      <c r="K23" s="3">
        <v>-0.16443188</v>
      </c>
      <c r="L23" s="3">
        <v>-2.724886E-2</v>
      </c>
      <c r="M23" s="3">
        <v>-9.173387999999999E-2</v>
      </c>
      <c r="N23" s="3">
        <v>-8.7741969999999989E-2</v>
      </c>
      <c r="O23" s="3">
        <v>-5.8198633E-2</v>
      </c>
      <c r="P23" s="3">
        <v>-0.13531082999999999</v>
      </c>
      <c r="Q23" s="3">
        <v>-5.1992773999999999E-2</v>
      </c>
      <c r="R23" s="3">
        <v>-2.0000577000000002E-2</v>
      </c>
      <c r="S23" s="3">
        <v>-1.25224E-2</v>
      </c>
      <c r="T23" s="3">
        <v>-4.5254589999999997E-2</v>
      </c>
      <c r="U23" s="3">
        <v>-0.12729656</v>
      </c>
      <c r="V23" s="3">
        <v>-7.0083913999999997E-2</v>
      </c>
      <c r="W23" s="3">
        <v>-0.11154259</v>
      </c>
      <c r="X23" s="3">
        <v>-9.7100729999999996E-2</v>
      </c>
      <c r="Y23" s="3">
        <v>-7.7937659999999992E-2</v>
      </c>
      <c r="Z23" s="3">
        <v>-8.3565529999999999E-2</v>
      </c>
      <c r="AA23" s="3">
        <v>-7.7431559999999997E-2</v>
      </c>
      <c r="AB23" s="3">
        <v>-6.6317615999999996E-2</v>
      </c>
      <c r="AC23" s="3">
        <v>-7.7762183999999998E-2</v>
      </c>
      <c r="AD23" s="3">
        <v>-0.10575753</v>
      </c>
      <c r="AE23" s="3">
        <v>-9.5255375000000003E-2</v>
      </c>
      <c r="AF23" s="3">
        <v>-8.3133750000000006E-2</v>
      </c>
      <c r="AG23" s="3">
        <v>-8.5551920000000004E-2</v>
      </c>
      <c r="AH23" s="3">
        <v>-7.1233806999999996E-2</v>
      </c>
      <c r="AI23" s="3">
        <v>-6.2772455000000005E-2</v>
      </c>
      <c r="AJ23" s="3"/>
      <c r="AK23" s="3"/>
      <c r="AL23" s="3"/>
    </row>
    <row r="24" spans="1:38" x14ac:dyDescent="0.45">
      <c r="A24" s="2">
        <v>44866</v>
      </c>
      <c r="B24" s="3">
        <v>-6.4642486999999998E-2</v>
      </c>
      <c r="C24" s="3">
        <v>3.0833363999999999E-2</v>
      </c>
      <c r="D24" s="3">
        <v>1.2435675E-2</v>
      </c>
      <c r="E24" s="3">
        <v>9.5108750000000006E-2</v>
      </c>
      <c r="F24" s="3">
        <v>0.17270195000000002</v>
      </c>
      <c r="G24" s="3">
        <v>0.11369192</v>
      </c>
      <c r="H24" s="3">
        <v>2.8727054999999998E-2</v>
      </c>
      <c r="I24" s="3">
        <v>-2.3201883E-2</v>
      </c>
      <c r="J24" s="3">
        <v>0.16640293</v>
      </c>
      <c r="K24" s="3">
        <v>0.11296452</v>
      </c>
      <c r="L24" s="3">
        <v>0.11879861999999999</v>
      </c>
      <c r="M24" s="3">
        <v>6.4927815999999999E-2</v>
      </c>
      <c r="N24" s="3">
        <v>0.13201320999999999</v>
      </c>
      <c r="O24" s="3">
        <v>4.0215729999999998E-2</v>
      </c>
      <c r="P24" s="3">
        <v>-0.12781960000000001</v>
      </c>
      <c r="Q24" s="3">
        <v>3.1223296999999999E-3</v>
      </c>
      <c r="R24" s="3">
        <v>2.2786856000000001E-2</v>
      </c>
      <c r="S24" s="3">
        <v>0.24547099999999999</v>
      </c>
      <c r="T24" s="3">
        <v>2.1724819999999999E-2</v>
      </c>
      <c r="U24" s="3">
        <v>-0.13233084000000001</v>
      </c>
      <c r="V24" s="3">
        <v>2.7804852000000001E-2</v>
      </c>
      <c r="W24" s="3">
        <v>6.5080166000000009E-2</v>
      </c>
      <c r="X24" s="3">
        <v>7.0846080000000006E-2</v>
      </c>
      <c r="Y24" s="3">
        <v>7.8023434000000003E-2</v>
      </c>
      <c r="Z24" s="3">
        <v>0.11347521000000001</v>
      </c>
      <c r="AA24" s="3">
        <v>3.1115650000000002E-2</v>
      </c>
      <c r="AB24" s="3">
        <v>4.2456626999999997E-2</v>
      </c>
      <c r="AC24" s="3">
        <v>8.2029820000000003E-2</v>
      </c>
      <c r="AD24" s="3">
        <v>2.9372096E-2</v>
      </c>
      <c r="AE24" s="3">
        <v>7.6544046000000004E-2</v>
      </c>
      <c r="AF24" s="3">
        <v>0.11977612999999999</v>
      </c>
      <c r="AG24" s="3">
        <v>7.850837699999999E-2</v>
      </c>
      <c r="AH24" s="3">
        <v>9.0275170000000002E-2</v>
      </c>
      <c r="AI24" s="3">
        <v>0.12976752999999999</v>
      </c>
      <c r="AJ24" s="3"/>
      <c r="AK24" s="3"/>
      <c r="AL24" s="3"/>
    </row>
    <row r="25" spans="1:38" x14ac:dyDescent="0.45">
      <c r="A25" s="2">
        <v>44896</v>
      </c>
      <c r="B25" s="3">
        <v>0.11378706</v>
      </c>
      <c r="C25" s="3">
        <v>9.4583630000000002E-2</v>
      </c>
      <c r="D25" s="3">
        <v>1.5671253E-2</v>
      </c>
      <c r="E25" s="3">
        <v>0.10008276000000001</v>
      </c>
      <c r="F25" s="3">
        <v>0.20902609999999999</v>
      </c>
      <c r="G25" s="3">
        <v>9.0742700000000009E-2</v>
      </c>
      <c r="H25" s="3">
        <v>0.10544050000000001</v>
      </c>
      <c r="I25" s="3">
        <v>0.20546318</v>
      </c>
      <c r="J25" s="3">
        <v>5.0978899999999994E-2</v>
      </c>
      <c r="K25" s="3">
        <v>0.14418518</v>
      </c>
      <c r="L25" s="3">
        <v>-5.8220267000000006E-2</v>
      </c>
      <c r="M25" s="3">
        <v>0.10396039999999999</v>
      </c>
      <c r="N25" s="3">
        <v>0.12078296999999999</v>
      </c>
      <c r="O25" s="3">
        <v>4.2668579999999998E-2</v>
      </c>
      <c r="P25" s="3">
        <v>0.25592672</v>
      </c>
      <c r="Q25" s="3">
        <v>-3.4058629999999999E-2</v>
      </c>
      <c r="R25" s="3">
        <v>1.3969064E-2</v>
      </c>
      <c r="S25" s="3">
        <v>0.24545456000000002</v>
      </c>
      <c r="T25" s="3">
        <v>8.3762409999999995E-3</v>
      </c>
      <c r="U25" s="3">
        <v>7.3656917000000002E-2</v>
      </c>
      <c r="V25" s="3">
        <v>-7.2140512000000004E-2</v>
      </c>
      <c r="W25" s="3">
        <v>0.13155496999999999</v>
      </c>
      <c r="X25" s="3">
        <v>0.12946213000000001</v>
      </c>
      <c r="Y25" s="3">
        <v>6.785285499999999E-2</v>
      </c>
      <c r="Z25" s="3">
        <v>0.16378533999999997</v>
      </c>
      <c r="AA25" s="3">
        <v>0.11534643000000001</v>
      </c>
      <c r="AB25" s="3">
        <v>0.11424171</v>
      </c>
      <c r="AC25" s="3">
        <v>0.12200284</v>
      </c>
      <c r="AD25" s="3">
        <v>6.7645789999999997E-2</v>
      </c>
      <c r="AE25" s="3">
        <v>5.9450745999999999E-2</v>
      </c>
      <c r="AF25" s="3">
        <v>0.13228916999999998</v>
      </c>
      <c r="AG25" s="3">
        <v>0.19593561000000001</v>
      </c>
      <c r="AH25" s="3">
        <v>0.15516663</v>
      </c>
      <c r="AI25" s="3">
        <v>0.15232598999999999</v>
      </c>
      <c r="AJ25" s="3"/>
      <c r="AK25" s="3"/>
      <c r="AL25" s="3"/>
    </row>
    <row r="26" spans="1:38" x14ac:dyDescent="0.45">
      <c r="A26" s="2">
        <v>44925</v>
      </c>
      <c r="B26" s="3">
        <v>2.2407769999999998E-3</v>
      </c>
      <c r="C26" s="3">
        <v>2.6112555999999999E-2</v>
      </c>
      <c r="D26" s="3">
        <v>-5.6878624000000003E-2</v>
      </c>
      <c r="E26" s="3">
        <v>-1.0835052000000001E-2</v>
      </c>
      <c r="F26" s="3">
        <v>3.0205129999999997E-2</v>
      </c>
      <c r="G26" s="3">
        <v>-2.1331190000000003E-2</v>
      </c>
      <c r="H26" s="3">
        <v>4.4033526999999999E-3</v>
      </c>
      <c r="I26" s="3">
        <v>-6.6071453000000002E-2</v>
      </c>
      <c r="J26" s="3">
        <v>-6.9295700000000002E-2</v>
      </c>
      <c r="K26" s="3">
        <v>-5.2292766999999997E-2</v>
      </c>
      <c r="L26" s="3">
        <v>-3.5750508E-2</v>
      </c>
      <c r="M26" s="3">
        <v>1.6237259E-2</v>
      </c>
      <c r="N26" s="3">
        <v>1.5687585E-2</v>
      </c>
      <c r="O26" s="3">
        <v>-5.6296587000000002E-2</v>
      </c>
      <c r="P26" s="3">
        <v>3.3972740000000001E-2</v>
      </c>
      <c r="Q26" s="3">
        <v>-9.586567E-2</v>
      </c>
      <c r="R26" s="3">
        <v>1.2266159E-2</v>
      </c>
      <c r="S26" s="3">
        <v>8.5681550000000009E-2</v>
      </c>
      <c r="T26" s="3">
        <v>-4.3924749999999999E-2</v>
      </c>
      <c r="U26" s="3">
        <v>-3.5415112999999998E-2</v>
      </c>
      <c r="V26" s="3">
        <v>-2.4937033999999997E-2</v>
      </c>
      <c r="W26" s="3">
        <v>-1.7017960000000002E-2</v>
      </c>
      <c r="X26" s="3">
        <v>-4.5766710000000002E-2</v>
      </c>
      <c r="Y26" s="3">
        <v>-6.2216279999999999E-2</v>
      </c>
      <c r="Z26" s="3">
        <v>-3.2904148000000001E-2</v>
      </c>
      <c r="AA26" s="3">
        <v>-2.881825E-2</v>
      </c>
      <c r="AB26" s="3">
        <v>-3.6091923999999997E-2</v>
      </c>
      <c r="AC26" s="3">
        <v>-2.2037684999999998E-2</v>
      </c>
      <c r="AD26" s="3">
        <v>-9.1219610000000007E-2</v>
      </c>
      <c r="AE26" s="3">
        <v>-5.6881846999999999E-2</v>
      </c>
      <c r="AF26" s="3">
        <v>-2.1793364999999999E-2</v>
      </c>
      <c r="AG26" s="3">
        <v>-4.96763E-2</v>
      </c>
      <c r="AH26" s="3">
        <v>-5.2598119999999998E-2</v>
      </c>
      <c r="AI26" s="3">
        <v>-2.3040473000000002E-2</v>
      </c>
      <c r="AJ26" s="3"/>
      <c r="AK26" s="3"/>
      <c r="AL26" s="3"/>
    </row>
    <row r="27" spans="1:38" x14ac:dyDescent="0.45">
      <c r="A27" s="2">
        <v>44958</v>
      </c>
      <c r="B27" s="3">
        <v>0.12043559999999999</v>
      </c>
      <c r="C27" s="3">
        <v>7.7888490000000005E-2</v>
      </c>
      <c r="D27" s="3">
        <v>5.4041980000000003E-2</v>
      </c>
      <c r="E27" s="3">
        <v>0.11798393000000001</v>
      </c>
      <c r="F27" s="3">
        <v>8.4734799999999999E-2</v>
      </c>
      <c r="G27" s="3">
        <v>9.6267939999999996E-2</v>
      </c>
      <c r="H27" s="3">
        <v>4.816115E-2</v>
      </c>
      <c r="I27" s="3">
        <v>0.13894425999999999</v>
      </c>
      <c r="J27" s="3">
        <v>0.19191096999999999</v>
      </c>
      <c r="K27" s="3">
        <v>0.15279746</v>
      </c>
      <c r="L27" s="3">
        <v>7.2220205999999995E-2</v>
      </c>
      <c r="M27" s="3">
        <v>9.2195269999999996E-2</v>
      </c>
      <c r="N27" s="3">
        <v>0.15653157000000001</v>
      </c>
      <c r="O27" s="3">
        <v>-3.7613869000000001E-2</v>
      </c>
      <c r="P27" s="3">
        <v>0.1541053</v>
      </c>
      <c r="Q27" s="3">
        <v>2.0408154000000001E-2</v>
      </c>
      <c r="R27" s="3">
        <v>1.0241747000000001E-2</v>
      </c>
      <c r="S27" s="3">
        <v>-0.13486492</v>
      </c>
      <c r="T27" s="3">
        <v>-3.4159422000000002E-2</v>
      </c>
      <c r="U27" s="3">
        <v>7.1790457000000002E-2</v>
      </c>
      <c r="V27" s="3">
        <v>3.3934236E-2</v>
      </c>
      <c r="W27" s="3">
        <v>8.5890880000000003E-2</v>
      </c>
      <c r="X27" s="3">
        <v>0.13000451999999998</v>
      </c>
      <c r="Y27" s="3">
        <v>9.471439999999999E-2</v>
      </c>
      <c r="Z27" s="3">
        <v>0.15325522</v>
      </c>
      <c r="AA27" s="3">
        <v>8.1374049999999989E-2</v>
      </c>
      <c r="AB27" s="3">
        <v>8.4426400000000013E-2</v>
      </c>
      <c r="AC27" s="3">
        <v>6.5883874999999995E-2</v>
      </c>
      <c r="AD27" s="3">
        <v>0.13008869000000001</v>
      </c>
      <c r="AE27" s="3">
        <v>7.4183464000000005E-2</v>
      </c>
      <c r="AF27" s="3">
        <v>0.12801932999999999</v>
      </c>
      <c r="AG27" s="3">
        <v>0.15950583999999998</v>
      </c>
      <c r="AH27" s="3">
        <v>0.10702133</v>
      </c>
      <c r="AI27" s="3">
        <v>0.13734220999999999</v>
      </c>
      <c r="AJ27" s="3"/>
      <c r="AK27" s="3"/>
      <c r="AL27" s="3"/>
    </row>
    <row r="28" spans="1:38" x14ac:dyDescent="0.45">
      <c r="A28" s="2">
        <v>44986</v>
      </c>
      <c r="B28" s="3">
        <v>-4.3453400000000003E-2</v>
      </c>
      <c r="C28" s="3">
        <v>-1.1986315000000001E-2</v>
      </c>
      <c r="D28" s="3">
        <v>-3.3898353999999999E-2</v>
      </c>
      <c r="E28" s="3">
        <v>-8.777327E-2</v>
      </c>
      <c r="F28" s="3">
        <v>-4.4126390000000001E-2</v>
      </c>
      <c r="G28" s="3">
        <v>-4.6452464999999998E-2</v>
      </c>
      <c r="H28" s="3">
        <v>-9.1061000000000003E-2</v>
      </c>
      <c r="I28" s="3">
        <v>-3.3450006999999997E-2</v>
      </c>
      <c r="J28" s="3">
        <v>2.7146340000000001E-3</v>
      </c>
      <c r="K28" s="3">
        <v>-8.4318880000000013E-2</v>
      </c>
      <c r="L28" s="3">
        <v>-8.3361149999999995E-2</v>
      </c>
      <c r="M28" s="3">
        <v>-8.7435250000000006E-2</v>
      </c>
      <c r="N28" s="3">
        <v>6.3291073000000003E-2</v>
      </c>
      <c r="O28" s="3">
        <v>-2.3898423000000002E-2</v>
      </c>
      <c r="P28" s="3">
        <v>-9.3214149999999996E-2</v>
      </c>
      <c r="Q28" s="3">
        <v>-2.2435904E-2</v>
      </c>
      <c r="R28" s="3">
        <v>-3.9015293E-2</v>
      </c>
      <c r="S28" s="3">
        <v>0.13027190999999999</v>
      </c>
      <c r="T28" s="3">
        <v>1.9417405000000002E-2</v>
      </c>
      <c r="U28" s="3">
        <v>-8.6682380000000003E-2</v>
      </c>
      <c r="V28" s="3">
        <v>-5.6923094E-2</v>
      </c>
      <c r="W28" s="3">
        <v>-6.0508369999999999E-2</v>
      </c>
      <c r="X28" s="3">
        <v>-8.0812159999999994E-2</v>
      </c>
      <c r="Y28" s="3">
        <v>-4.4376189999999996E-2</v>
      </c>
      <c r="Z28" s="3">
        <v>-3.6115050000000003E-2</v>
      </c>
      <c r="AA28" s="3">
        <v>-4.8241909999999999E-2</v>
      </c>
      <c r="AB28" s="3">
        <v>-4.5964359999999996E-2</v>
      </c>
      <c r="AC28" s="3">
        <v>-6.1199665000000007E-3</v>
      </c>
      <c r="AD28" s="3">
        <v>-3.2300950000000002E-2</v>
      </c>
      <c r="AE28" s="3">
        <v>-3.9094448000000004E-2</v>
      </c>
      <c r="AF28" s="3">
        <v>-1.6059995000000001E-2</v>
      </c>
      <c r="AG28" s="3">
        <v>-4.9559949999999998E-2</v>
      </c>
      <c r="AH28" s="3">
        <v>-1.3132215000000001E-2</v>
      </c>
      <c r="AI28" s="3">
        <v>-1.6318559999999999E-2</v>
      </c>
      <c r="AJ28" s="3"/>
      <c r="AK28" s="3"/>
      <c r="AL28" s="3"/>
    </row>
    <row r="29" spans="1:38" x14ac:dyDescent="0.45">
      <c r="A29" s="2">
        <v>45016</v>
      </c>
      <c r="B29" s="3">
        <v>-2.3610294E-2</v>
      </c>
      <c r="C29" s="3">
        <v>-2.4263263E-3</v>
      </c>
      <c r="D29" s="3">
        <v>3.2017588999999999E-2</v>
      </c>
      <c r="E29" s="3">
        <v>9.3598365999999992E-3</v>
      </c>
      <c r="F29" s="3">
        <v>-3.4310757999999997E-2</v>
      </c>
      <c r="G29" s="3">
        <v>1.7017007000000001E-2</v>
      </c>
      <c r="H29" s="3">
        <v>1.8841863E-2</v>
      </c>
      <c r="I29" s="3">
        <v>2.5333643000000003E-2</v>
      </c>
      <c r="J29" s="3">
        <v>7.2758199999999997E-3</v>
      </c>
      <c r="K29" s="3">
        <v>2.6836633999999998E-2</v>
      </c>
      <c r="L29" s="3">
        <v>-4.0014982000000001E-3</v>
      </c>
      <c r="M29" s="3">
        <v>-1.1828542E-3</v>
      </c>
      <c r="N29" s="3">
        <v>-7.326001E-2</v>
      </c>
      <c r="O29" s="3">
        <v>3.8255453000000002E-3</v>
      </c>
      <c r="P29" s="3">
        <v>3.6209822000000001E-3</v>
      </c>
      <c r="Q29" s="3">
        <v>-6.5573454000000002E-3</v>
      </c>
      <c r="R29" s="3">
        <v>-6.6728589999999997E-3</v>
      </c>
      <c r="S29" s="3">
        <v>-9.8396960000000006E-2</v>
      </c>
      <c r="T29" s="3">
        <v>-3.6734700000000002E-2</v>
      </c>
      <c r="U29" s="3">
        <v>5.0905943000000002E-2</v>
      </c>
      <c r="V29" s="3">
        <v>5.3017973999999995E-2</v>
      </c>
      <c r="W29" s="3">
        <v>8.0759525000000006E-3</v>
      </c>
      <c r="X29" s="3">
        <v>-6.4963099999999999E-3</v>
      </c>
      <c r="Y29" s="3">
        <v>-1.7523765999999999E-3</v>
      </c>
      <c r="Z29" s="3">
        <v>3.5285592000000005E-2</v>
      </c>
      <c r="AA29" s="3">
        <v>4.7474622999999994E-2</v>
      </c>
      <c r="AB29" s="3">
        <v>4.4721007000000007E-2</v>
      </c>
      <c r="AC29" s="3">
        <v>-6.7734119999999995E-3</v>
      </c>
      <c r="AD29" s="3">
        <v>0.10379577</v>
      </c>
      <c r="AE29" s="3">
        <v>4.1118620000000002E-2</v>
      </c>
      <c r="AF29" s="3">
        <v>2.8291702000000002E-2</v>
      </c>
      <c r="AG29" s="3">
        <v>2.8265118999999998E-2</v>
      </c>
      <c r="AH29" s="3">
        <v>6.2288045999999994E-3</v>
      </c>
      <c r="AI29" s="3">
        <v>9.6217394000000008E-3</v>
      </c>
      <c r="AJ29" s="3"/>
      <c r="AK29" s="3"/>
      <c r="AL29" s="3"/>
    </row>
    <row r="30" spans="1:38" x14ac:dyDescent="0.45">
      <c r="A30" s="2">
        <v>45047</v>
      </c>
      <c r="B30" s="3">
        <v>-2.050805E-2</v>
      </c>
      <c r="C30" s="3">
        <v>-2.1890223E-2</v>
      </c>
      <c r="D30" s="3">
        <v>4.8873779999999999E-2</v>
      </c>
      <c r="E30" s="3">
        <v>-3.3382177000000003E-3</v>
      </c>
      <c r="F30" s="3">
        <v>0.133075</v>
      </c>
      <c r="G30" s="3">
        <v>1.6076087999999999E-2</v>
      </c>
      <c r="H30" s="3">
        <v>-1.8042386000000001E-2</v>
      </c>
      <c r="I30" s="3">
        <v>-3.5958529000000003E-2</v>
      </c>
      <c r="J30" s="3">
        <v>2.6037335000000002E-2</v>
      </c>
      <c r="K30" s="3">
        <v>-1.5517830999999999E-2</v>
      </c>
      <c r="L30" s="3">
        <v>2.4105310000000001E-2</v>
      </c>
      <c r="M30" s="3">
        <v>1.0421514999999999E-2</v>
      </c>
      <c r="N30" s="3">
        <v>3.5243749999999997E-2</v>
      </c>
      <c r="O30" s="3">
        <v>4.4715405E-2</v>
      </c>
      <c r="P30" s="3">
        <v>-4.7304095999999997E-2</v>
      </c>
      <c r="Q30" s="3">
        <v>2.4202465999999999E-2</v>
      </c>
      <c r="R30" s="3">
        <v>-4.9746156E-2</v>
      </c>
      <c r="S30" s="3">
        <v>-5.4261150000000001E-2</v>
      </c>
      <c r="T30" s="3">
        <v>7.3446274000000006E-2</v>
      </c>
      <c r="U30" s="3">
        <v>-1.0673225E-2</v>
      </c>
      <c r="V30" s="3">
        <v>5.80945E-2</v>
      </c>
      <c r="W30" s="3">
        <v>-3.687203E-3</v>
      </c>
      <c r="X30" s="3">
        <v>5.6669709999999998E-3</v>
      </c>
      <c r="Y30" s="3">
        <v>2.8086543000000002E-2</v>
      </c>
      <c r="Z30" s="3">
        <v>3.4083008999999997E-2</v>
      </c>
      <c r="AA30" s="3">
        <v>1.3631582E-3</v>
      </c>
      <c r="AB30" s="3">
        <v>6.1120986999999995E-2</v>
      </c>
      <c r="AC30" s="3">
        <v>4.8357129999999998E-2</v>
      </c>
      <c r="AD30" s="3">
        <v>3.9261579999999999E-3</v>
      </c>
      <c r="AE30" s="3">
        <v>1.4949083E-2</v>
      </c>
      <c r="AF30" s="3">
        <v>4.7090053999999999E-2</v>
      </c>
      <c r="AG30" s="3">
        <v>1.42169E-3</v>
      </c>
      <c r="AH30" s="3">
        <v>4.5582414000000002E-2</v>
      </c>
      <c r="AI30" s="3">
        <v>4.1735170000000002E-2</v>
      </c>
      <c r="AJ30" s="3"/>
      <c r="AK30" s="3"/>
      <c r="AL30" s="3"/>
    </row>
    <row r="31" spans="1:38" x14ac:dyDescent="0.45">
      <c r="A31" s="2">
        <v>45078</v>
      </c>
      <c r="B31" s="3">
        <v>-6.8750023999999993E-2</v>
      </c>
      <c r="C31" s="3">
        <v>2.8064013000000002E-2</v>
      </c>
      <c r="D31" s="3">
        <v>-4.8217177E-2</v>
      </c>
      <c r="E31" s="3">
        <v>-4.6520289999999999E-2</v>
      </c>
      <c r="F31" s="3">
        <v>4.5609474000000002E-3</v>
      </c>
      <c r="G31" s="3">
        <v>-2.9118478E-2</v>
      </c>
      <c r="H31" s="3">
        <v>-5.0987600000000001E-2</v>
      </c>
      <c r="I31" s="3">
        <v>6.7048073E-2</v>
      </c>
      <c r="J31" s="3">
        <v>-1.5062272999999999E-2</v>
      </c>
      <c r="K31" s="3">
        <v>5.7906029999999997E-2</v>
      </c>
      <c r="L31" s="3">
        <v>5.9914349999999998E-2</v>
      </c>
      <c r="M31" s="3">
        <v>-0.10736048000000001</v>
      </c>
      <c r="N31" s="3">
        <v>9.513199E-2</v>
      </c>
      <c r="O31" s="3">
        <v>2.4440646E-2</v>
      </c>
      <c r="P31" s="3">
        <v>-6.711549E-2</v>
      </c>
      <c r="Q31" s="3">
        <v>8.0558060000000004E-3</v>
      </c>
      <c r="R31" s="3">
        <v>-5.0486326000000002E-3</v>
      </c>
      <c r="S31" s="3">
        <v>1.6207694999999999E-3</v>
      </c>
      <c r="T31" s="3">
        <v>-3.6184251000000001E-2</v>
      </c>
      <c r="U31" s="3">
        <v>6.3070535999999996E-2</v>
      </c>
      <c r="V31" s="3">
        <v>-1.1469066000000002E-2</v>
      </c>
      <c r="W31" s="3">
        <v>-1.941669E-2</v>
      </c>
      <c r="X31" s="3">
        <v>-3.0342400000000002E-2</v>
      </c>
      <c r="Y31" s="3">
        <v>-4.0125190000000005E-2</v>
      </c>
      <c r="Z31" s="3">
        <v>-3.3978939999999999E-2</v>
      </c>
      <c r="AA31" s="3">
        <v>3.5051942000000003E-2</v>
      </c>
      <c r="AB31" s="3">
        <v>-2.9320002000000001E-2</v>
      </c>
      <c r="AC31" s="3">
        <v>-4.4648113000000003E-2</v>
      </c>
      <c r="AD31" s="3">
        <v>9.2554090000000006E-2</v>
      </c>
      <c r="AE31" s="3">
        <v>1.5186191E-2</v>
      </c>
      <c r="AF31" s="3">
        <v>-5.6594252999999997E-2</v>
      </c>
      <c r="AG31" s="3">
        <v>2.6029348000000002E-3</v>
      </c>
      <c r="AH31" s="3">
        <v>-6.8083944000000007E-2</v>
      </c>
      <c r="AI31" s="3">
        <v>-4.1640400000000001E-2</v>
      </c>
      <c r="AJ31" s="3"/>
      <c r="AK31" s="3"/>
      <c r="AL31" s="3"/>
    </row>
    <row r="32" spans="1:38" x14ac:dyDescent="0.45">
      <c r="A32" s="2">
        <v>45107</v>
      </c>
      <c r="B32" s="3">
        <v>-1.8777788E-2</v>
      </c>
      <c r="C32" s="3">
        <v>4.8489810000000001E-2</v>
      </c>
      <c r="D32" s="3">
        <v>1.6138553999999999E-3</v>
      </c>
      <c r="E32" s="3">
        <v>2.8681993000000003E-2</v>
      </c>
      <c r="F32" s="3">
        <v>8.8535669999999997E-2</v>
      </c>
      <c r="G32" s="3">
        <v>4.3649673E-2</v>
      </c>
      <c r="H32" s="3">
        <v>-1.394105E-2</v>
      </c>
      <c r="I32" s="3">
        <v>8.3637239999999995E-3</v>
      </c>
      <c r="J32" s="3">
        <v>4.1227699999999999E-2</v>
      </c>
      <c r="K32" s="3">
        <v>-5.9598089999999999E-3</v>
      </c>
      <c r="L32" s="3">
        <v>0.11796723999999999</v>
      </c>
      <c r="M32" s="3">
        <v>6.2769890000000009E-2</v>
      </c>
      <c r="N32" s="3">
        <v>8.506894000000001E-2</v>
      </c>
      <c r="O32" s="3">
        <v>3.9350985999999998E-2</v>
      </c>
      <c r="P32" s="3">
        <v>1.8640517999999998E-2</v>
      </c>
      <c r="Q32" s="3">
        <v>-8.9032650000000005E-3</v>
      </c>
      <c r="R32" s="3">
        <v>-1.2028456E-2</v>
      </c>
      <c r="S32" s="3">
        <v>-5.2873554000000003E-2</v>
      </c>
      <c r="T32" s="3">
        <v>2.721548E-2</v>
      </c>
      <c r="U32" s="3">
        <v>3.8251400000000005E-2</v>
      </c>
      <c r="V32" s="3">
        <v>3.2356620000000003E-2</v>
      </c>
      <c r="W32" s="3">
        <v>1.4151215999999999E-2</v>
      </c>
      <c r="X32" s="3">
        <v>2.7100205000000002E-2</v>
      </c>
      <c r="Y32" s="3">
        <v>4.7865986999999999E-2</v>
      </c>
      <c r="Z32" s="3">
        <v>3.2518387000000003E-2</v>
      </c>
      <c r="AA32" s="3">
        <v>2.4773955E-2</v>
      </c>
      <c r="AB32" s="3">
        <v>1.2154818000000001E-2</v>
      </c>
      <c r="AC32" s="3">
        <v>2.0687460000000001E-2</v>
      </c>
      <c r="AD32" s="3">
        <v>5.0900220000000003E-2</v>
      </c>
      <c r="AE32" s="3">
        <v>5.4792522999999996E-2</v>
      </c>
      <c r="AF32" s="3">
        <v>5.4938197000000001E-2</v>
      </c>
      <c r="AG32" s="3">
        <v>3.2921671999999999E-2</v>
      </c>
      <c r="AH32" s="3">
        <v>2.2812486E-2</v>
      </c>
      <c r="AI32" s="3">
        <v>7.3437214000000001E-2</v>
      </c>
      <c r="AJ32" s="3"/>
      <c r="AK32" s="3"/>
      <c r="AL32" s="3"/>
    </row>
    <row r="33" spans="1:38" x14ac:dyDescent="0.45">
      <c r="A33" s="2">
        <v>45139</v>
      </c>
      <c r="B33" s="3">
        <v>5.4146647000000006E-2</v>
      </c>
      <c r="C33" s="3">
        <v>5.9629916999999998E-2</v>
      </c>
      <c r="D33" s="3">
        <v>7.8091619999999997E-3</v>
      </c>
      <c r="E33" s="3">
        <v>2.9953837000000001E-2</v>
      </c>
      <c r="F33" s="3">
        <v>8.0291859999999993E-2</v>
      </c>
      <c r="G33" s="3">
        <v>9.4616649999999997E-2</v>
      </c>
      <c r="H33" s="3">
        <v>7.9959990000000009E-2</v>
      </c>
      <c r="I33" s="3">
        <v>1.4887333000000001E-2</v>
      </c>
      <c r="J33" s="3">
        <v>2.3480177000000001E-2</v>
      </c>
      <c r="K33" s="3">
        <v>6.5951346999999994E-2</v>
      </c>
      <c r="L33" s="3">
        <v>2.4360179999999999E-2</v>
      </c>
      <c r="M33" s="3">
        <v>8.4213260000000012E-2</v>
      </c>
      <c r="N33" s="3">
        <v>3.7166594999999997E-2</v>
      </c>
      <c r="O33" s="3">
        <v>1.7848968999999999E-2</v>
      </c>
      <c r="P33" s="3">
        <v>8.8734864999999996E-2</v>
      </c>
      <c r="Q33" s="3">
        <v>7.1508407999999996E-2</v>
      </c>
      <c r="R33" s="3">
        <v>3.5233855000000001E-2</v>
      </c>
      <c r="S33" s="3">
        <v>0.18017696</v>
      </c>
      <c r="T33" s="3">
        <v>4.9829364000000001E-2</v>
      </c>
      <c r="U33" s="3">
        <v>0.11278199999999999</v>
      </c>
      <c r="V33" s="3">
        <v>6.2907933999999995E-3</v>
      </c>
      <c r="W33" s="3">
        <v>-8.1670283999999999E-4</v>
      </c>
      <c r="X33" s="3">
        <v>1.5521050000000002E-2</v>
      </c>
      <c r="Y33" s="3">
        <v>1.8005013E-2</v>
      </c>
      <c r="Z33" s="3">
        <v>1.1550546E-2</v>
      </c>
      <c r="AA33" s="3">
        <v>1.243937E-2</v>
      </c>
      <c r="AB33" s="3">
        <v>2.1856785E-2</v>
      </c>
      <c r="AC33" s="3">
        <v>2.0401835E-2</v>
      </c>
      <c r="AD33" s="3">
        <v>3.619182E-2</v>
      </c>
      <c r="AE33" s="3">
        <v>2.9778004E-2</v>
      </c>
      <c r="AF33" s="3">
        <v>3.3739805000000001E-3</v>
      </c>
      <c r="AG33" s="3">
        <v>2.6571155000000003E-2</v>
      </c>
      <c r="AH33" s="3">
        <v>-1.6939044000000001E-3</v>
      </c>
      <c r="AI33" s="3">
        <v>3.9271235000000002E-2</v>
      </c>
      <c r="AJ33" s="3"/>
      <c r="AK33" s="3"/>
      <c r="AL33" s="3"/>
    </row>
    <row r="34" spans="1:38" x14ac:dyDescent="0.45">
      <c r="A34" s="2">
        <v>45170</v>
      </c>
      <c r="B34" s="3">
        <v>-5.8517574999999995E-2</v>
      </c>
      <c r="C34" s="3">
        <v>-7.9560160000000005E-2</v>
      </c>
      <c r="D34" s="3">
        <v>-4.3046474E-4</v>
      </c>
      <c r="E34" s="3">
        <v>-8.6502610000000008E-2</v>
      </c>
      <c r="F34" s="3">
        <v>-6.9980619999999993E-2</v>
      </c>
      <c r="G34" s="3">
        <v>-3.9344249999999997E-2</v>
      </c>
      <c r="H34" s="3">
        <v>-1.7584503000000001E-2</v>
      </c>
      <c r="I34" s="3">
        <v>-4.1072965000000003E-2</v>
      </c>
      <c r="J34" s="3">
        <v>-3.4255206999999996E-2</v>
      </c>
      <c r="K34" s="3">
        <v>-6.4387200000000006E-2</v>
      </c>
      <c r="L34" s="3">
        <v>-5.3582190000000002E-2</v>
      </c>
      <c r="M34" s="3">
        <v>-8.648270999999999E-2</v>
      </c>
      <c r="N34" s="3">
        <v>-3.7652492999999995E-2</v>
      </c>
      <c r="O34" s="3">
        <v>-5.3956510000000004E-3</v>
      </c>
      <c r="P34" s="3">
        <v>-5.7893633999999999E-2</v>
      </c>
      <c r="Q34" s="3">
        <v>-6.4129295000000003E-2</v>
      </c>
      <c r="R34" s="3">
        <v>3.502369E-3</v>
      </c>
      <c r="S34" s="3">
        <v>0.14367126999999999</v>
      </c>
      <c r="T34" s="3">
        <v>-1.6905068999999998E-2</v>
      </c>
      <c r="U34" s="3">
        <v>2.2297262999999998E-2</v>
      </c>
      <c r="V34" s="3">
        <v>-1.5147924E-2</v>
      </c>
      <c r="W34" s="3">
        <v>-7.0290145999999998E-2</v>
      </c>
      <c r="X34" s="3">
        <v>-2.8384268000000001E-2</v>
      </c>
      <c r="Y34" s="3">
        <v>-1.9371091999999999E-2</v>
      </c>
      <c r="Z34" s="3">
        <v>-4.4636670000000003E-2</v>
      </c>
      <c r="AA34" s="3">
        <v>-1.0052620999999999E-2</v>
      </c>
      <c r="AB34" s="3">
        <v>-2.7318953999999999E-2</v>
      </c>
      <c r="AC34" s="3">
        <v>-2.8779089999999997E-2</v>
      </c>
      <c r="AD34" s="3">
        <v>-1.3584495E-2</v>
      </c>
      <c r="AE34" s="3">
        <v>-1.1588693000000001E-2</v>
      </c>
      <c r="AF34" s="3">
        <v>-3.1815826999999998E-2</v>
      </c>
      <c r="AG34" s="3">
        <v>-7.4724255000000003E-2</v>
      </c>
      <c r="AH34" s="3">
        <v>-6.25E-2</v>
      </c>
      <c r="AI34" s="3">
        <v>-3.7484943999999999E-2</v>
      </c>
      <c r="AJ34" s="3"/>
      <c r="AK34" s="3"/>
      <c r="AL34" s="3"/>
    </row>
    <row r="35" spans="1:38" x14ac:dyDescent="0.45">
      <c r="A35" s="2">
        <v>45198</v>
      </c>
      <c r="B35" s="3">
        <v>-2.5034486999999998E-2</v>
      </c>
      <c r="C35" s="3">
        <v>-7.9761029999999997E-2</v>
      </c>
      <c r="D35" s="3">
        <v>-4.0912985999999998E-2</v>
      </c>
      <c r="E35" s="3">
        <v>1.6734718999999999E-2</v>
      </c>
      <c r="F35" s="3">
        <v>-0.1120913</v>
      </c>
      <c r="G35" s="3">
        <v>-6.3605309999999998E-2</v>
      </c>
      <c r="H35" s="3">
        <v>-3.0146003000000001E-2</v>
      </c>
      <c r="I35" s="3">
        <v>-2.644229E-2</v>
      </c>
      <c r="J35" s="3">
        <v>-5.2554489999999995E-2</v>
      </c>
      <c r="K35" s="3">
        <v>-6.7552624000000006E-2</v>
      </c>
      <c r="L35" s="3">
        <v>-2.4491130999999999E-2</v>
      </c>
      <c r="M35" s="3">
        <v>-4.5177755E-2</v>
      </c>
      <c r="N35" s="3">
        <v>-0.10334599000000001</v>
      </c>
      <c r="O35" s="3">
        <v>-4.5210123E-4</v>
      </c>
      <c r="P35" s="3">
        <v>-5.6657195E-2</v>
      </c>
      <c r="Q35" s="3">
        <v>-3.1197846000000001E-2</v>
      </c>
      <c r="R35" s="3">
        <v>-5.7687700000000001E-2</v>
      </c>
      <c r="S35" s="3">
        <v>1.1277199E-2</v>
      </c>
      <c r="T35" s="3">
        <v>1.1243342999999999E-2</v>
      </c>
      <c r="U35" s="3">
        <v>-0.105089245</v>
      </c>
      <c r="V35" s="3">
        <v>-5.4199159999999996E-2</v>
      </c>
      <c r="W35" s="3">
        <v>-2.6593387000000003E-2</v>
      </c>
      <c r="X35" s="3">
        <v>-3.3258438000000001E-2</v>
      </c>
      <c r="Y35" s="3">
        <v>-4.2084217E-2</v>
      </c>
      <c r="Z35" s="3">
        <v>-5.1068425000000001E-2</v>
      </c>
      <c r="AA35" s="3">
        <v>-2.8207599999999999E-2</v>
      </c>
      <c r="AB35" s="3">
        <v>-5.1382539999999997E-2</v>
      </c>
      <c r="AC35" s="3">
        <v>-1.3100505E-2</v>
      </c>
      <c r="AD35" s="3">
        <v>-4.9795684999999999E-2</v>
      </c>
      <c r="AE35" s="3">
        <v>-4.9166736999999995E-2</v>
      </c>
      <c r="AF35" s="3">
        <v>-4.9158454000000004E-2</v>
      </c>
      <c r="AG35" s="3">
        <v>-7.51642E-2</v>
      </c>
      <c r="AH35" s="3">
        <v>-5.4298639999999995E-3</v>
      </c>
      <c r="AI35" s="3">
        <v>-4.4597983000000001E-2</v>
      </c>
      <c r="AJ35" s="3"/>
      <c r="AK35" s="3"/>
      <c r="AL35" s="3"/>
    </row>
    <row r="36" spans="1:38" x14ac:dyDescent="0.45">
      <c r="A36" s="2">
        <v>45231</v>
      </c>
      <c r="B36" s="3">
        <v>-3.8427532E-2</v>
      </c>
      <c r="C36" s="3">
        <v>-6.6819369999999989E-2</v>
      </c>
      <c r="D36" s="3">
        <v>-9.6542420000000004E-2</v>
      </c>
      <c r="E36" s="3">
        <v>-5.4195109999999998E-2</v>
      </c>
      <c r="F36" s="3">
        <v>0.16481590000000002</v>
      </c>
      <c r="G36" s="3">
        <v>-3.2140553000000002E-2</v>
      </c>
      <c r="H36" s="3">
        <v>9.7131729999999996E-4</v>
      </c>
      <c r="I36" s="3">
        <v>-1.1447787000000001E-2</v>
      </c>
      <c r="J36" s="3">
        <v>-2.9709756E-2</v>
      </c>
      <c r="K36" s="3">
        <v>-4.5639633999999998E-2</v>
      </c>
      <c r="L36" s="3">
        <v>-3.2603739999999997E-4</v>
      </c>
      <c r="M36" s="3">
        <v>5.8479309999999998E-3</v>
      </c>
      <c r="N36" s="3">
        <v>1.4444709E-2</v>
      </c>
      <c r="O36" s="3">
        <v>-1.8543660999999999E-2</v>
      </c>
      <c r="P36" s="3">
        <v>-3.4419060000000001E-2</v>
      </c>
      <c r="Q36" s="3">
        <v>-5.0028680000000006E-2</v>
      </c>
      <c r="R36" s="3">
        <v>-6.2164070000000002E-2</v>
      </c>
      <c r="S36" s="3">
        <v>-0.11877596</v>
      </c>
      <c r="T36" s="3">
        <v>-7.4558553999999999E-2</v>
      </c>
      <c r="U36" s="3">
        <v>-0.12629246999999999</v>
      </c>
      <c r="V36" s="3">
        <v>-3.6138892E-3</v>
      </c>
      <c r="W36" s="3">
        <v>-4.0867032999999997E-2</v>
      </c>
      <c r="X36" s="3">
        <v>-1.8131076999999999E-2</v>
      </c>
      <c r="Y36" s="3">
        <v>-4.154211E-2</v>
      </c>
      <c r="Z36" s="3">
        <v>-3.2061099999999995E-2</v>
      </c>
      <c r="AA36" s="3">
        <v>-5.3076744000000002E-3</v>
      </c>
      <c r="AB36" s="3">
        <v>-2.5935291999999999E-2</v>
      </c>
      <c r="AC36" s="3">
        <v>-3.1605542E-2</v>
      </c>
      <c r="AD36" s="3">
        <v>-3.6564469999999997E-3</v>
      </c>
      <c r="AE36" s="3">
        <v>-1.1275410999999999E-2</v>
      </c>
      <c r="AF36" s="3">
        <v>-2.500701E-2</v>
      </c>
      <c r="AG36" s="3">
        <v>-8.6796879999999996E-3</v>
      </c>
      <c r="AH36" s="3">
        <v>-4.913563E-2</v>
      </c>
      <c r="AI36" s="3">
        <v>-8.2182884000000008E-3</v>
      </c>
      <c r="AJ36" s="3"/>
      <c r="AK36" s="3"/>
      <c r="AL36" s="3"/>
    </row>
    <row r="37" spans="1:38" x14ac:dyDescent="0.45">
      <c r="A37" s="2">
        <v>45261</v>
      </c>
      <c r="B37" s="3">
        <v>4.4199228E-3</v>
      </c>
      <c r="C37" s="3">
        <v>0.13338793000000002</v>
      </c>
      <c r="D37" s="3">
        <v>9.2942239999999995E-2</v>
      </c>
      <c r="E37" s="3">
        <v>7.4278473999999997E-2</v>
      </c>
      <c r="F37" s="3">
        <v>0.13146008000000001</v>
      </c>
      <c r="G37" s="3">
        <v>7.80555E-2</v>
      </c>
      <c r="H37" s="3">
        <v>3.6390065999999999E-2</v>
      </c>
      <c r="I37" s="3">
        <v>0.11307895999999999</v>
      </c>
      <c r="J37" s="3">
        <v>0.12920356</v>
      </c>
      <c r="K37" s="3">
        <v>0.12568892000000001</v>
      </c>
      <c r="L37" s="3">
        <v>0.12263525</v>
      </c>
      <c r="M37" s="3">
        <v>7.8224062999999996E-2</v>
      </c>
      <c r="N37" s="3">
        <v>0.11124301</v>
      </c>
      <c r="O37" s="3">
        <v>6.9124459999999999E-2</v>
      </c>
      <c r="P37" s="3">
        <v>1.2200952000000001E-2</v>
      </c>
      <c r="Q37" s="3">
        <v>5.0242066000000002E-2</v>
      </c>
      <c r="R37" s="3">
        <v>2.5367736999999999E-4</v>
      </c>
      <c r="S37" s="3">
        <v>5.0029396999999996E-2</v>
      </c>
      <c r="T37" s="3">
        <v>4.4523E-2</v>
      </c>
      <c r="U37" s="3">
        <v>0.12510573999999999</v>
      </c>
      <c r="V37" s="3">
        <v>2.7720213E-2</v>
      </c>
      <c r="W37" s="3">
        <v>0.11134648</v>
      </c>
      <c r="X37" s="3">
        <v>8.5700749999999992E-2</v>
      </c>
      <c r="Y37" s="3">
        <v>0.10664177000000001</v>
      </c>
      <c r="Z37" s="3">
        <v>0.13288641000000001</v>
      </c>
      <c r="AA37" s="3">
        <v>5.4026959999999999E-2</v>
      </c>
      <c r="AB37" s="3">
        <v>7.9877495999999992E-2</v>
      </c>
      <c r="AC37" s="3">
        <v>7.3107122999999996E-2</v>
      </c>
      <c r="AD37" s="3">
        <v>9.2391380000000009E-2</v>
      </c>
      <c r="AE37" s="3">
        <v>8.6215860000000005E-2</v>
      </c>
      <c r="AF37" s="3">
        <v>8.7896230000000006E-2</v>
      </c>
      <c r="AG37" s="3">
        <v>0.12655877999999998</v>
      </c>
      <c r="AH37" s="3">
        <v>0.17352474000000001</v>
      </c>
      <c r="AI37" s="3">
        <v>9.8773719999999995E-2</v>
      </c>
      <c r="AJ37" s="3"/>
      <c r="AK37" s="3"/>
      <c r="AL37" s="3"/>
    </row>
    <row r="38" spans="1:38" x14ac:dyDescent="0.45">
      <c r="A38" s="2">
        <v>45292</v>
      </c>
      <c r="B38" s="3">
        <v>-1.3714492E-2</v>
      </c>
      <c r="C38" s="3">
        <v>2.496338E-2</v>
      </c>
      <c r="D38" s="3">
        <v>2.3212432999999998E-2</v>
      </c>
      <c r="E38" s="3">
        <v>3.5299299999999999E-2</v>
      </c>
      <c r="F38" s="3">
        <v>3.3796072000000003E-2</v>
      </c>
      <c r="G38" s="3">
        <v>0.11465907</v>
      </c>
      <c r="H38" s="3">
        <v>1.2434244000000001E-2</v>
      </c>
      <c r="I38" s="3">
        <v>5.8503746999999995E-2</v>
      </c>
      <c r="J38" s="3">
        <v>7.9892874000000003E-2</v>
      </c>
      <c r="K38" s="3">
        <v>6.1971784000000002E-2</v>
      </c>
      <c r="L38" s="3">
        <v>5.2400349999999998E-2</v>
      </c>
      <c r="M38" s="3">
        <v>3.7048577999999999E-2</v>
      </c>
      <c r="N38" s="3">
        <v>9.0957880000000005E-3</v>
      </c>
      <c r="O38" s="3">
        <v>5.1939606999999999E-2</v>
      </c>
      <c r="P38" s="3">
        <v>-1.2737393E-2</v>
      </c>
      <c r="Q38" s="3">
        <v>4.4956683999999997E-2</v>
      </c>
      <c r="R38" s="3">
        <v>2.5747776E-2</v>
      </c>
      <c r="S38" s="3">
        <v>-8.5701885000000005E-2</v>
      </c>
      <c r="T38" s="3">
        <v>1.1978984E-2</v>
      </c>
      <c r="U38" s="3">
        <v>2.3505449999999997E-2</v>
      </c>
      <c r="V38" s="3">
        <v>8.1217650000000002E-2</v>
      </c>
      <c r="W38" s="3">
        <v>4.8595309999999996E-2</v>
      </c>
      <c r="X38" s="3">
        <v>8.3361740000000004E-2</v>
      </c>
      <c r="Y38" s="3">
        <v>4.7612550000000003E-2</v>
      </c>
      <c r="Z38" s="3">
        <v>3.3468722999999999E-2</v>
      </c>
      <c r="AA38" s="3">
        <v>2.9015183000000003E-2</v>
      </c>
      <c r="AB38" s="3">
        <v>5.3240179999999998E-2</v>
      </c>
      <c r="AC38" s="3">
        <v>2.8310894999999999E-2</v>
      </c>
      <c r="AD38" s="3">
        <v>5.2849890000000004E-2</v>
      </c>
      <c r="AE38" s="3">
        <v>3.9512873000000004E-2</v>
      </c>
      <c r="AF38" s="3">
        <v>4.4640539999999999E-2</v>
      </c>
      <c r="AG38" s="3">
        <v>5.903721E-2</v>
      </c>
      <c r="AH38" s="3">
        <v>9.9339010000000005E-2</v>
      </c>
      <c r="AI38" s="3">
        <v>3.6442280000000001E-2</v>
      </c>
      <c r="AJ38" s="3"/>
      <c r="AK38" s="3"/>
      <c r="AL38" s="3"/>
    </row>
    <row r="39" spans="1:38" x14ac:dyDescent="0.45">
      <c r="A39" s="2">
        <v>45323</v>
      </c>
      <c r="B39" s="3">
        <v>-8.4818000000000005E-2</v>
      </c>
      <c r="C39" s="3">
        <v>-9.1811360000000009E-2</v>
      </c>
      <c r="D39" s="3">
        <v>-1.2992798999999999E-2</v>
      </c>
      <c r="E39" s="3">
        <v>2.0007730000000001E-2</v>
      </c>
      <c r="F39" s="3">
        <v>-7.0639850000000001E-3</v>
      </c>
      <c r="G39" s="3">
        <v>-6.6899059999999998E-3</v>
      </c>
      <c r="H39" s="3">
        <v>9.4115734000000003E-4</v>
      </c>
      <c r="I39" s="3">
        <v>-2.3245691999999998E-2</v>
      </c>
      <c r="J39" s="3">
        <v>-3.0950307999999998E-3</v>
      </c>
      <c r="K39" s="3">
        <v>-6.4550579999999996E-2</v>
      </c>
      <c r="L39" s="3">
        <v>-4.7768829999999998E-2</v>
      </c>
      <c r="M39" s="3">
        <v>-4.4269030000000001E-2</v>
      </c>
      <c r="N39" s="3">
        <v>6.7206500000000002E-2</v>
      </c>
      <c r="O39" s="3">
        <v>2.9092311999999999E-2</v>
      </c>
      <c r="P39" s="3">
        <v>-9.9410950000000012E-2</v>
      </c>
      <c r="Q39" s="3">
        <v>-4.8229399999999999E-2</v>
      </c>
      <c r="R39" s="3">
        <v>-3.3824204999999996E-2</v>
      </c>
      <c r="S39" s="3">
        <v>0.13073111000000001</v>
      </c>
      <c r="T39" s="3">
        <v>-4.0376782000000003E-3</v>
      </c>
      <c r="U39" s="3">
        <v>-2.3219585E-3</v>
      </c>
      <c r="V39" s="3">
        <v>-3.3074019999999997E-3</v>
      </c>
      <c r="W39" s="3">
        <v>-3.2271326000000003E-2</v>
      </c>
      <c r="X39" s="3">
        <v>-2.4650812000000001E-2</v>
      </c>
      <c r="Y39" s="3">
        <v>-2.1810531999999997E-3</v>
      </c>
      <c r="Z39" s="3">
        <v>-6.3994526999999997E-3</v>
      </c>
      <c r="AA39" s="3">
        <v>4.334271E-2</v>
      </c>
      <c r="AB39" s="3">
        <v>-8.4939003000000009E-3</v>
      </c>
      <c r="AC39" s="3">
        <v>-8.1694720000000005E-3</v>
      </c>
      <c r="AD39" s="3">
        <v>3.0181765999999999E-2</v>
      </c>
      <c r="AE39" s="3">
        <v>2.9223084E-2</v>
      </c>
      <c r="AF39" s="3">
        <v>-5.6151150000000004E-3</v>
      </c>
      <c r="AG39" s="3">
        <v>3.2713412999999997E-2</v>
      </c>
      <c r="AH39" s="3">
        <v>-4.0030419999999997E-2</v>
      </c>
      <c r="AI39" s="3">
        <v>-5.8948993999999994E-4</v>
      </c>
      <c r="AJ39" s="3"/>
      <c r="AK39" s="3"/>
      <c r="AL39" s="3"/>
    </row>
    <row r="40" spans="1:38" x14ac:dyDescent="0.45">
      <c r="A40" s="2">
        <v>45352</v>
      </c>
      <c r="B40" s="3">
        <v>0.10960637999999999</v>
      </c>
      <c r="C40" s="3">
        <v>3.3567429000000003E-2</v>
      </c>
      <c r="D40" s="3">
        <v>2.0426630000000001E-2</v>
      </c>
      <c r="E40" s="3">
        <v>4.3002604999999999E-2</v>
      </c>
      <c r="F40" s="3">
        <v>4.5353529999999996E-2</v>
      </c>
      <c r="G40" s="3">
        <v>3.8430333000000004E-2</v>
      </c>
      <c r="H40" s="3">
        <v>1.7395377E-2</v>
      </c>
      <c r="I40" s="3">
        <v>4.2259810000000002E-2</v>
      </c>
      <c r="J40" s="3">
        <v>-2.9568314999999998E-2</v>
      </c>
      <c r="K40" s="3">
        <v>5.9216975999999998E-2</v>
      </c>
      <c r="L40" s="3">
        <v>-2.7035474999999999E-3</v>
      </c>
      <c r="M40" s="3">
        <v>-4.7320960000000002E-2</v>
      </c>
      <c r="N40" s="3">
        <v>2.5290846999999998E-2</v>
      </c>
      <c r="O40" s="3">
        <v>3.3645152999999997E-2</v>
      </c>
      <c r="P40" s="3">
        <v>8.0130940000000012E-2</v>
      </c>
      <c r="Q40" s="3">
        <v>5.0093889999999995E-2</v>
      </c>
      <c r="R40" s="3">
        <v>-3.9470195999999997E-4</v>
      </c>
      <c r="S40" s="3">
        <v>1.4520526000000001E-2</v>
      </c>
      <c r="T40" s="3">
        <v>-6.7567825E-3</v>
      </c>
      <c r="U40" s="3">
        <v>5.5081486999999998E-2</v>
      </c>
      <c r="V40" s="3">
        <v>6.2337040000000003E-2</v>
      </c>
      <c r="W40" s="3">
        <v>-2.8979359999999999E-2</v>
      </c>
      <c r="X40" s="3">
        <v>1.8955349999999999E-2</v>
      </c>
      <c r="Y40" s="3">
        <v>1.3934492999999999E-2</v>
      </c>
      <c r="Z40" s="3">
        <v>4.3389797000000001E-2</v>
      </c>
      <c r="AA40" s="3">
        <v>5.0956370000000001E-2</v>
      </c>
      <c r="AB40" s="3">
        <v>-1.6088604999999999E-2</v>
      </c>
      <c r="AC40" s="3">
        <v>4.2709111999999997E-3</v>
      </c>
      <c r="AD40" s="3">
        <v>5.6248189999999997E-2</v>
      </c>
      <c r="AE40" s="3">
        <v>4.8344135000000003E-2</v>
      </c>
      <c r="AF40" s="3">
        <v>3.2854319E-2</v>
      </c>
      <c r="AG40" s="3">
        <v>4.8600554000000004E-2</v>
      </c>
      <c r="AH40" s="3">
        <v>5.5423617000000001E-2</v>
      </c>
      <c r="AI40" s="3">
        <v>5.8979629999999998E-2</v>
      </c>
      <c r="AJ40" s="3"/>
      <c r="AK40" s="3"/>
      <c r="AL40" s="3"/>
    </row>
    <row r="41" spans="1:38" x14ac:dyDescent="0.45">
      <c r="A41" s="2">
        <v>45383</v>
      </c>
      <c r="B41" s="3">
        <v>9.1533659999999996E-3</v>
      </c>
      <c r="C41" s="3">
        <v>-1.8882155000000001E-3</v>
      </c>
      <c r="D41" s="3">
        <v>-2.268684E-2</v>
      </c>
      <c r="E41" s="3">
        <v>1.8084048999999999E-3</v>
      </c>
      <c r="F41" s="3">
        <v>4.2533874999999997E-4</v>
      </c>
      <c r="G41" s="3">
        <v>0.10230278999999999</v>
      </c>
      <c r="H41" s="3">
        <v>1.0628581E-2</v>
      </c>
      <c r="I41" s="3">
        <v>4.1826724999999995E-2</v>
      </c>
      <c r="J41" s="3">
        <v>4.9969553999999999E-2</v>
      </c>
      <c r="K41" s="3">
        <v>2.572E-2</v>
      </c>
      <c r="L41" s="3">
        <v>-4.1265070000000001E-2</v>
      </c>
      <c r="M41" s="3">
        <v>2.5755525000000001E-2</v>
      </c>
      <c r="N41" s="3">
        <v>-1.603359E-2</v>
      </c>
      <c r="O41" s="3">
        <v>-8.2818865999999998E-3</v>
      </c>
      <c r="P41" s="3">
        <v>1.8925071000000002E-2</v>
      </c>
      <c r="Q41" s="3">
        <v>-4.2494480000000001E-2</v>
      </c>
      <c r="R41" s="3">
        <v>8.8194609999999989E-3</v>
      </c>
      <c r="S41" s="3">
        <v>-1.4042674999999999E-2</v>
      </c>
      <c r="T41" s="3">
        <v>6.1224699999999996E-3</v>
      </c>
      <c r="U41" s="3">
        <v>3.6764145E-3</v>
      </c>
      <c r="V41" s="3">
        <v>-3.0789851999999999E-2</v>
      </c>
      <c r="W41" s="3">
        <v>-1.0972142000000001E-2</v>
      </c>
      <c r="X41" s="3">
        <v>1.6122340999999998E-2</v>
      </c>
      <c r="Y41" s="3">
        <v>2.9911040999999999E-2</v>
      </c>
      <c r="Z41" s="3">
        <v>3.0864120000000002E-2</v>
      </c>
      <c r="AA41" s="3">
        <v>-7.1096419999999998E-4</v>
      </c>
      <c r="AB41" s="3">
        <v>7.2202679999999993E-3</v>
      </c>
      <c r="AC41" s="3">
        <v>3.5844445000000003E-2</v>
      </c>
      <c r="AD41" s="3">
        <v>-1.7225741999999999E-4</v>
      </c>
      <c r="AE41" s="3">
        <v>2.1338582000000002E-2</v>
      </c>
      <c r="AF41" s="3">
        <v>2.8329968000000001E-2</v>
      </c>
      <c r="AG41" s="3">
        <v>3.1657338E-2</v>
      </c>
      <c r="AH41" s="3">
        <v>-5.7515499999999994E-3</v>
      </c>
      <c r="AI41" s="3">
        <v>4.8454522999999999E-2</v>
      </c>
      <c r="AJ41" s="3"/>
      <c r="AK41" s="3"/>
      <c r="AL41" s="3"/>
    </row>
    <row r="42" spans="1:38" x14ac:dyDescent="0.45">
      <c r="A42" s="2">
        <v>45413</v>
      </c>
      <c r="B42" s="3">
        <v>5.1020383999999998E-3</v>
      </c>
      <c r="C42" s="3">
        <v>5.2969456000000002E-3</v>
      </c>
      <c r="D42" s="3">
        <v>-5.1888943E-2</v>
      </c>
      <c r="E42" s="3">
        <v>-7.0397139999999997E-2</v>
      </c>
      <c r="F42" s="3">
        <v>2.5509596E-3</v>
      </c>
      <c r="G42" s="3">
        <v>3.8365006E-2</v>
      </c>
      <c r="H42" s="3">
        <v>1.1888385E-2</v>
      </c>
      <c r="I42" s="3">
        <v>-3.9123297000000001E-2</v>
      </c>
      <c r="J42" s="3">
        <v>-4.3383599999999994E-2</v>
      </c>
      <c r="K42" s="3">
        <v>-5.2702665000000003E-2</v>
      </c>
      <c r="L42" s="3">
        <v>-2.1363496999999999E-2</v>
      </c>
      <c r="M42" s="3">
        <v>3.7919520999999998E-2</v>
      </c>
      <c r="N42" s="3">
        <v>1.0779619000000001E-2</v>
      </c>
      <c r="O42" s="3">
        <v>1.7867565000000002E-2</v>
      </c>
      <c r="P42" s="3">
        <v>4.4328810000000003E-2</v>
      </c>
      <c r="Q42" s="3">
        <v>-2.3055076999999998E-3</v>
      </c>
      <c r="R42" s="3">
        <v>-8.3582399999999994E-3</v>
      </c>
      <c r="S42" s="3">
        <v>9.9698780000000001E-2</v>
      </c>
      <c r="T42" s="3">
        <v>-2.6369213999999998E-2</v>
      </c>
      <c r="U42" s="3">
        <v>-0.10769223999999999</v>
      </c>
      <c r="V42" s="3">
        <v>-1.0819434999999999E-2</v>
      </c>
      <c r="W42" s="3">
        <v>-2.2409558E-2</v>
      </c>
      <c r="X42" s="3">
        <v>-4.8413334000000002E-2</v>
      </c>
      <c r="Y42" s="3">
        <v>-3.3490359999999997E-2</v>
      </c>
      <c r="Z42" s="3">
        <v>-4.2231319999999996E-2</v>
      </c>
      <c r="AA42" s="3">
        <v>-4.5105276E-2</v>
      </c>
      <c r="AB42" s="3">
        <v>-4.5962452999999993E-2</v>
      </c>
      <c r="AC42" s="3">
        <v>1.4369607E-2</v>
      </c>
      <c r="AD42" s="3">
        <v>-5.2657660000000002E-2</v>
      </c>
      <c r="AE42" s="3">
        <v>-4.1768729999999997E-2</v>
      </c>
      <c r="AF42" s="3">
        <v>-3.6007761999999999E-2</v>
      </c>
      <c r="AG42" s="3">
        <v>-4.5326950000000005E-2</v>
      </c>
      <c r="AH42" s="3">
        <v>-3.0935584999999998E-2</v>
      </c>
      <c r="AI42" s="3">
        <v>-3.0013323000000001E-2</v>
      </c>
      <c r="AJ42" s="3"/>
      <c r="AK42" s="3"/>
      <c r="AL42" s="3"/>
    </row>
    <row r="43" spans="1:38" x14ac:dyDescent="0.45">
      <c r="A43" s="2">
        <v>45443</v>
      </c>
      <c r="B43" s="3">
        <v>-1.0340273000000001E-2</v>
      </c>
      <c r="C43" s="3">
        <v>6.2476516000000003E-2</v>
      </c>
      <c r="D43" s="3">
        <v>-5.1368179999999999E-2</v>
      </c>
      <c r="E43" s="3">
        <v>-4.854369E-2</v>
      </c>
      <c r="F43" s="3">
        <v>6.7854165999999994E-2</v>
      </c>
      <c r="G43" s="3">
        <v>8.0315349999999994E-2</v>
      </c>
      <c r="H43" s="3">
        <v>3.795755E-2</v>
      </c>
      <c r="I43" s="3">
        <v>7.2692393999999994E-2</v>
      </c>
      <c r="J43" s="3">
        <v>-1.5622616000000001E-2</v>
      </c>
      <c r="K43" s="3">
        <v>-1.4423847E-2</v>
      </c>
      <c r="L43" s="3">
        <v>-4.9759207E-2</v>
      </c>
      <c r="M43" s="3">
        <v>1.9748210999999999E-3</v>
      </c>
      <c r="N43" s="3">
        <v>2.1081328E-2</v>
      </c>
      <c r="O43" s="3">
        <v>1.1448145E-2</v>
      </c>
      <c r="P43" s="3">
        <v>3.9127349999999998E-2</v>
      </c>
      <c r="Q43" s="3">
        <v>-3.8128256999999999E-2</v>
      </c>
      <c r="R43" s="3">
        <v>-1.629442E-2</v>
      </c>
      <c r="S43" s="3">
        <v>5.3050994999999997E-2</v>
      </c>
      <c r="T43" s="3">
        <v>-3.7500024E-2</v>
      </c>
      <c r="U43" s="3">
        <v>3.5303712000000001E-2</v>
      </c>
      <c r="V43" s="3">
        <v>-6.6558065E-2</v>
      </c>
      <c r="W43" s="3">
        <v>5.8783530000000001E-2</v>
      </c>
      <c r="X43" s="3">
        <v>5.3869130000000001E-2</v>
      </c>
      <c r="Y43" s="3">
        <v>3.5733580000000001E-2</v>
      </c>
      <c r="Z43" s="3">
        <v>5.4952382999999994E-2</v>
      </c>
      <c r="AA43" s="3">
        <v>2.7715683000000001E-2</v>
      </c>
      <c r="AB43" s="3">
        <v>8.6408850000000009E-2</v>
      </c>
      <c r="AC43" s="3">
        <v>5.0014495999999999E-2</v>
      </c>
      <c r="AD43" s="3">
        <v>6.9249390000000008E-2</v>
      </c>
      <c r="AE43" s="3">
        <v>5.4002166000000004E-2</v>
      </c>
      <c r="AF43" s="3">
        <v>4.5374869999999998E-2</v>
      </c>
      <c r="AG43" s="3">
        <v>7.5420139999999997E-2</v>
      </c>
      <c r="AH43" s="3">
        <v>8.8243009999999997E-2</v>
      </c>
      <c r="AI43" s="3">
        <v>6.3253044999999994E-2</v>
      </c>
      <c r="AJ43" s="3"/>
      <c r="AK43" s="3"/>
      <c r="AL43" s="3"/>
    </row>
    <row r="44" spans="1:38" x14ac:dyDescent="0.45">
      <c r="A44" s="2">
        <v>45474</v>
      </c>
      <c r="B44" s="3">
        <v>-2.8274655000000003E-2</v>
      </c>
      <c r="C44" s="3">
        <v>-7.0377706999999998E-2</v>
      </c>
      <c r="D44" s="3">
        <v>1.8396615999999998E-2</v>
      </c>
      <c r="E44" s="3">
        <v>-2.2011994999999998E-4</v>
      </c>
      <c r="F44" s="3">
        <v>-5.9083104000000001E-3</v>
      </c>
      <c r="G44" s="3">
        <v>-6.3041686999999999E-2</v>
      </c>
      <c r="H44" s="3">
        <v>-4.3296217999999999E-3</v>
      </c>
      <c r="I44" s="3">
        <v>7.4125529999999995E-2</v>
      </c>
      <c r="J44" s="3">
        <v>-0.11434888999999999</v>
      </c>
      <c r="K44" s="3">
        <v>6.3364506000000001E-2</v>
      </c>
      <c r="L44" s="3">
        <v>-5.3005099999999999E-2</v>
      </c>
      <c r="M44" s="3">
        <v>8.0509780000000003E-2</v>
      </c>
      <c r="N44" s="3">
        <v>-1.9336282999999999E-2</v>
      </c>
      <c r="O44" s="3">
        <v>5.9800029999999997E-2</v>
      </c>
      <c r="P44" s="3">
        <v>-2.8605700000000001E-2</v>
      </c>
      <c r="Q44" s="3">
        <v>7.2146534999999998E-2</v>
      </c>
      <c r="R44" s="3">
        <v>-3.4414409999999999E-2</v>
      </c>
      <c r="S44" s="3">
        <v>-1.9947767000000002E-2</v>
      </c>
      <c r="T44" s="3">
        <v>3.4121990000000005E-2</v>
      </c>
      <c r="U44" s="3">
        <v>-2.4583637999999998E-2</v>
      </c>
      <c r="V44" s="3">
        <v>2.3340820999999998E-2</v>
      </c>
      <c r="W44" s="3">
        <v>-2.5386155000000001E-2</v>
      </c>
      <c r="X44" s="3">
        <v>6.6648719999999996E-3</v>
      </c>
      <c r="Y44" s="3">
        <v>-2.5622904000000002E-2</v>
      </c>
      <c r="Z44" s="3">
        <v>-1.6883314E-2</v>
      </c>
      <c r="AA44" s="3">
        <v>-9.7631809999999992E-3</v>
      </c>
      <c r="AB44" s="3">
        <v>-6.2185525999999998E-4</v>
      </c>
      <c r="AC44" s="3">
        <v>-2.2524953E-2</v>
      </c>
      <c r="AD44" s="3">
        <v>7.0964336000000003E-2</v>
      </c>
      <c r="AE44" s="3">
        <v>3.7415384999999995E-2</v>
      </c>
      <c r="AF44" s="3">
        <v>-6.0688853000000001E-2</v>
      </c>
      <c r="AG44" s="3">
        <v>-3.3378004999999999E-3</v>
      </c>
      <c r="AH44" s="3">
        <v>-2.2175669999999998E-2</v>
      </c>
      <c r="AI44" s="3">
        <v>-3.7781596000000001E-2</v>
      </c>
      <c r="AJ44" s="3"/>
      <c r="AK44" s="3"/>
      <c r="AL44" s="3"/>
    </row>
    <row r="45" spans="1:38" x14ac:dyDescent="0.45">
      <c r="A45" s="2">
        <v>45505</v>
      </c>
      <c r="B45" s="3">
        <v>-1.4901935999999999E-2</v>
      </c>
      <c r="C45" s="3">
        <v>-1.2900709999999999E-2</v>
      </c>
      <c r="D45" s="3">
        <v>3.8580297999999999E-2</v>
      </c>
      <c r="E45" s="3">
        <v>4.3928741999999993E-2</v>
      </c>
      <c r="F45" s="3">
        <v>-5.5759009999999998E-2</v>
      </c>
      <c r="G45" s="3">
        <v>9.9754329999999993E-4</v>
      </c>
      <c r="H45" s="3">
        <v>5.1976920000000003E-2</v>
      </c>
      <c r="I45" s="3">
        <v>-4.2738140000000001E-2</v>
      </c>
      <c r="J45" s="3">
        <v>-3.2105267E-2</v>
      </c>
      <c r="K45" s="3">
        <v>-1.2099265999999999E-2</v>
      </c>
      <c r="L45" s="3">
        <v>8.4745884E-3</v>
      </c>
      <c r="M45" s="3">
        <v>3.0569673000000002E-2</v>
      </c>
      <c r="N45" s="3">
        <v>4.7950270000000003E-2</v>
      </c>
      <c r="O45" s="3">
        <v>1.085794E-2</v>
      </c>
      <c r="P45" s="3">
        <v>-3.3506393000000002E-2</v>
      </c>
      <c r="Q45" s="3">
        <v>4.6920775999999996E-3</v>
      </c>
      <c r="R45" s="3">
        <v>1.8009067E-2</v>
      </c>
      <c r="S45" s="3">
        <v>2.5409221999999999E-2</v>
      </c>
      <c r="T45" s="3">
        <v>5.2211759999999996E-2</v>
      </c>
      <c r="U45" s="3">
        <v>-4.7967490000000002E-2</v>
      </c>
      <c r="V45" s="3">
        <v>2.3244379999999999E-2</v>
      </c>
      <c r="W45" s="3">
        <v>1.5735865000000002E-2</v>
      </c>
      <c r="X45" s="3">
        <v>3.6976336999999999E-3</v>
      </c>
      <c r="Y45" s="3">
        <v>3.0327559E-2</v>
      </c>
      <c r="Z45" s="3">
        <v>-1.3328970000000001E-2</v>
      </c>
      <c r="AA45" s="3">
        <v>-3.5403370000000002E-3</v>
      </c>
      <c r="AB45" s="3">
        <v>4.1147112999999999E-2</v>
      </c>
      <c r="AC45" s="3">
        <v>2.4124026E-2</v>
      </c>
      <c r="AD45" s="3">
        <v>-4.6190259999999997E-2</v>
      </c>
      <c r="AE45" s="3">
        <v>-4.2725800000000006E-3</v>
      </c>
      <c r="AF45" s="3">
        <v>-2.1943570000000003E-2</v>
      </c>
      <c r="AG45" s="3">
        <v>-5.1337957000000004E-2</v>
      </c>
      <c r="AH45" s="3">
        <v>-2.6517987E-2</v>
      </c>
      <c r="AI45" s="3">
        <v>-1.1245191000000002E-2</v>
      </c>
      <c r="AJ45" s="3"/>
      <c r="AK45" s="3"/>
      <c r="AL45" s="3"/>
    </row>
    <row r="46" spans="1:38" x14ac:dyDescent="0.45">
      <c r="A46" s="2">
        <v>45534</v>
      </c>
      <c r="B46" s="3">
        <v>-3.5828352000000004E-3</v>
      </c>
      <c r="C46" s="3">
        <v>5.5841564999999996E-2</v>
      </c>
      <c r="D46" s="3">
        <v>7.8256607000000006E-2</v>
      </c>
      <c r="E46" s="3">
        <v>9.4084850000000012E-2</v>
      </c>
      <c r="F46" s="3">
        <v>5.9051632999999999E-2</v>
      </c>
      <c r="G46" s="3">
        <v>1.3452888000000001E-2</v>
      </c>
      <c r="H46" s="3">
        <v>9.4594590000000006E-2</v>
      </c>
      <c r="I46" s="3">
        <v>3.9814352999999997E-2</v>
      </c>
      <c r="J46" s="3">
        <v>-3.8607895000000003E-2</v>
      </c>
      <c r="K46" s="3">
        <v>2.755642E-3</v>
      </c>
      <c r="L46" s="3">
        <v>9.1340900000000003E-2</v>
      </c>
      <c r="M46" s="3">
        <v>5.5280924000000002E-2</v>
      </c>
      <c r="N46" s="3">
        <v>-7.1123840000000002E-3</v>
      </c>
      <c r="O46" s="3">
        <v>1.6376137999999998E-2</v>
      </c>
      <c r="P46" s="3">
        <v>2.1240353999999999E-2</v>
      </c>
      <c r="Q46" s="3">
        <v>2.9188513999999999E-2</v>
      </c>
      <c r="R46" s="3">
        <v>2.7457951999999997E-2</v>
      </c>
      <c r="S46" s="3">
        <v>-0.11698829999999999</v>
      </c>
      <c r="T46" s="3">
        <v>3.3769845999999999E-2</v>
      </c>
      <c r="U46" s="3">
        <v>7.1733593999999998E-2</v>
      </c>
      <c r="V46" s="3">
        <v>2.3924590000000003E-2</v>
      </c>
      <c r="W46" s="3">
        <v>7.4623584999999992E-2</v>
      </c>
      <c r="X46" s="3">
        <v>5.8943987000000003E-2</v>
      </c>
      <c r="Y46" s="3">
        <v>6.4126253000000008E-2</v>
      </c>
      <c r="Z46" s="3">
        <v>7.5123549999999997E-2</v>
      </c>
      <c r="AA46" s="3">
        <v>6.5433025000000006E-2</v>
      </c>
      <c r="AB46" s="3">
        <v>5.4890274999999995E-2</v>
      </c>
      <c r="AC46" s="3">
        <v>5.2439689999999997E-2</v>
      </c>
      <c r="AD46" s="3">
        <v>3.6135316000000001E-2</v>
      </c>
      <c r="AE46" s="3">
        <v>3.8065553000000002E-2</v>
      </c>
      <c r="AF46" s="3">
        <v>6.5171003000000005E-2</v>
      </c>
      <c r="AG46" s="3">
        <v>6.1220290000000004E-2</v>
      </c>
      <c r="AH46" s="3">
        <v>7.3574305000000007E-2</v>
      </c>
      <c r="AI46" s="3">
        <v>7.7669860000000007E-2</v>
      </c>
      <c r="AJ46" s="3"/>
      <c r="AK46" s="3"/>
      <c r="AL46" s="3"/>
    </row>
    <row r="47" spans="1:38" x14ac:dyDescent="0.45">
      <c r="A47" s="2">
        <v>45566</v>
      </c>
      <c r="B47" s="3">
        <v>0.24170994000000001</v>
      </c>
      <c r="C47" s="3">
        <v>1.1252761E-2</v>
      </c>
      <c r="D47" s="3">
        <v>4.0881869999999994E-2</v>
      </c>
      <c r="E47" s="3">
        <v>5.9869409999999998E-2</v>
      </c>
      <c r="F47" s="3">
        <v>-2.5640964999999998E-2</v>
      </c>
      <c r="G47" s="3">
        <v>6.2930225999999992E-2</v>
      </c>
      <c r="H47" s="3">
        <v>3.9737701E-2</v>
      </c>
      <c r="I47" s="3">
        <v>-5.3903460000000007E-3</v>
      </c>
      <c r="J47" s="3">
        <v>1.3386130000000001E-2</v>
      </c>
      <c r="K47" s="3">
        <v>-3.0839682E-2</v>
      </c>
      <c r="L47" s="3">
        <v>-1.2052238E-2</v>
      </c>
      <c r="M47" s="3">
        <v>6.8143129999999996E-2</v>
      </c>
      <c r="N47" s="3">
        <v>2.5549173000000001E-2</v>
      </c>
      <c r="O47" s="3">
        <v>7.9694985999999995E-3</v>
      </c>
      <c r="P47" s="3">
        <v>0.26655506000000001</v>
      </c>
      <c r="Q47" s="3">
        <v>4.0272354999999996E-2</v>
      </c>
      <c r="R47" s="3">
        <v>7.7692865999999999E-2</v>
      </c>
      <c r="S47" s="3">
        <v>-5.2887259999999998E-2</v>
      </c>
      <c r="T47" s="3">
        <v>4.0000677000000002E-3</v>
      </c>
      <c r="U47" s="3">
        <v>2.3107529000000002E-2</v>
      </c>
      <c r="V47" s="3">
        <v>-6.1363579999999997E-3</v>
      </c>
      <c r="W47" s="3">
        <v>4.0609836999999996E-3</v>
      </c>
      <c r="X47" s="3">
        <v>4.0200950000000006E-2</v>
      </c>
      <c r="Y47" s="3">
        <v>2.8401969999999999E-2</v>
      </c>
      <c r="Z47" s="3">
        <v>2.2678493999999997E-2</v>
      </c>
      <c r="AA47" s="3">
        <v>-4.5852660000000002E-3</v>
      </c>
      <c r="AB47" s="3">
        <v>-1.9110680000000001E-2</v>
      </c>
      <c r="AC47" s="3">
        <v>-5.0625799999999997E-3</v>
      </c>
      <c r="AD47" s="3">
        <v>1.1914253E-2</v>
      </c>
      <c r="AE47" s="3">
        <v>1.1862516E-2</v>
      </c>
      <c r="AF47" s="3">
        <v>-2.0060539000000001E-3</v>
      </c>
      <c r="AG47" s="3">
        <v>-1.0435163999999999E-2</v>
      </c>
      <c r="AH47" s="3">
        <v>1.2331008999999999E-2</v>
      </c>
      <c r="AI47" s="3">
        <v>-1.5186607999999999E-2</v>
      </c>
      <c r="AJ47" s="3"/>
      <c r="AK47" s="3"/>
      <c r="AL47" s="3"/>
    </row>
    <row r="48" spans="1:38" x14ac:dyDescent="0.45">
      <c r="A48" s="2">
        <v>45597</v>
      </c>
      <c r="B48" s="3">
        <v>-5.9523819999999998E-2</v>
      </c>
      <c r="C48" s="3">
        <v>-5.0074100000000003E-2</v>
      </c>
      <c r="D48" s="3">
        <v>-6.8843784000000005E-2</v>
      </c>
      <c r="E48" s="3">
        <v>-6.0937999999999999E-2</v>
      </c>
      <c r="F48" s="3">
        <v>-7.3099429999999993E-2</v>
      </c>
      <c r="G48" s="3">
        <v>2.5438070000000004E-3</v>
      </c>
      <c r="H48" s="3">
        <v>-8.0519494999999996E-2</v>
      </c>
      <c r="I48" s="3">
        <v>2.4107694999999998E-2</v>
      </c>
      <c r="J48" s="3">
        <v>-4.9116253999999998E-2</v>
      </c>
      <c r="K48" s="3">
        <v>-5.4505350000000001E-2</v>
      </c>
      <c r="L48" s="3">
        <v>-8.4717040000000007E-2</v>
      </c>
      <c r="M48" s="3">
        <v>-1.4154673E-2</v>
      </c>
      <c r="N48" s="3">
        <v>-7.6135040000000001E-2</v>
      </c>
      <c r="O48" s="3">
        <v>-5.7064294999999994E-2</v>
      </c>
      <c r="P48" s="3">
        <v>-6.6062690000000007E-2</v>
      </c>
      <c r="Q48" s="3">
        <v>-3.27152E-3</v>
      </c>
      <c r="R48" s="3">
        <v>-3.3456087000000002E-4</v>
      </c>
      <c r="S48" s="3">
        <v>-4.6723603999999995E-2</v>
      </c>
      <c r="T48" s="3">
        <v>1.3944267999999999E-2</v>
      </c>
      <c r="U48" s="3">
        <v>-8.0218019999999987E-2</v>
      </c>
      <c r="V48" s="3">
        <v>-2.1372436999999998E-3</v>
      </c>
      <c r="W48" s="3">
        <v>-4.6916065E-2</v>
      </c>
      <c r="X48" s="3">
        <v>-5.425489E-2</v>
      </c>
      <c r="Y48" s="3">
        <v>-2.3294926000000001E-2</v>
      </c>
      <c r="Z48" s="3">
        <v>-2.7869343999999997E-2</v>
      </c>
      <c r="AA48" s="3">
        <v>-5.1088753000000001E-2</v>
      </c>
      <c r="AB48" s="3">
        <v>-4.1859627000000003E-2</v>
      </c>
      <c r="AC48" s="3">
        <v>-4.2581677000000005E-2</v>
      </c>
      <c r="AD48" s="3">
        <v>1.2799501E-2</v>
      </c>
      <c r="AE48" s="3">
        <v>4.2558908000000003E-3</v>
      </c>
      <c r="AF48" s="3">
        <v>-4.6231150000000006E-2</v>
      </c>
      <c r="AG48" s="3">
        <v>-7.103061699999999E-2</v>
      </c>
      <c r="AH48" s="3">
        <v>-6.5120639999999994E-2</v>
      </c>
      <c r="AI48" s="3">
        <v>-1.3068318000000001E-3</v>
      </c>
      <c r="AJ48" s="3"/>
      <c r="AK48" s="3"/>
      <c r="AL48" s="3"/>
    </row>
    <row r="49" spans="1:38" x14ac:dyDescent="0.45">
      <c r="A49" s="2">
        <v>45625</v>
      </c>
      <c r="B49" s="3">
        <v>-3.0790567000000004E-3</v>
      </c>
      <c r="C49" s="3">
        <v>-1.015228E-2</v>
      </c>
      <c r="D49" s="3">
        <v>-5.7346050000000003E-2</v>
      </c>
      <c r="E49" s="3">
        <v>-6.4163326999999992E-2</v>
      </c>
      <c r="F49" s="3">
        <v>-4.5065284000000002E-3</v>
      </c>
      <c r="G49" s="3">
        <v>-1.6378284E-2</v>
      </c>
      <c r="H49" s="3">
        <v>-6.8603753999999994E-3</v>
      </c>
      <c r="I49" s="3">
        <v>-3.0109465000000002E-2</v>
      </c>
      <c r="J49" s="3">
        <v>-1.6435146000000001E-2</v>
      </c>
      <c r="K49" s="3">
        <v>-4.3152274999999997E-2</v>
      </c>
      <c r="L49" s="3">
        <v>-5.5164757000000002E-2</v>
      </c>
      <c r="M49" s="3">
        <v>-4.0444910000000001E-2</v>
      </c>
      <c r="N49" s="3">
        <v>-1.9909322E-2</v>
      </c>
      <c r="O49" s="3">
        <v>-1.4582872E-3</v>
      </c>
      <c r="P49" s="3">
        <v>-4.3654019999999995E-2</v>
      </c>
      <c r="Q49" s="3">
        <v>-3.8294196000000003E-3</v>
      </c>
      <c r="R49" s="3">
        <v>-2.5017619999999997E-2</v>
      </c>
      <c r="S49" s="3">
        <v>9.0257050000000005E-2</v>
      </c>
      <c r="T49" s="3">
        <v>1.8624782999999999E-2</v>
      </c>
      <c r="U49" s="3">
        <v>-4.233718E-3</v>
      </c>
      <c r="V49" s="3">
        <v>-2.2846221999999999E-2</v>
      </c>
      <c r="W49" s="3">
        <v>3.5646080000000004E-2</v>
      </c>
      <c r="X49" s="3">
        <v>3.8506866000000001E-2</v>
      </c>
      <c r="Y49" s="3">
        <v>6.3437460000000001E-2</v>
      </c>
      <c r="Z49" s="3">
        <v>-5.2403809999999997E-3</v>
      </c>
      <c r="AA49" s="3">
        <v>2.5154470999999998E-2</v>
      </c>
      <c r="AB49" s="3">
        <v>-2.9796659999999999E-2</v>
      </c>
      <c r="AC49" s="3">
        <v>1.3985633999999999E-3</v>
      </c>
      <c r="AD49" s="3">
        <v>4.5770644999999999E-2</v>
      </c>
      <c r="AE49" s="3">
        <v>5.5180072999999996E-2</v>
      </c>
      <c r="AF49" s="3">
        <v>-4.5047400000000001E-2</v>
      </c>
      <c r="AG49" s="3">
        <v>-2.3988008000000002E-2</v>
      </c>
      <c r="AH49" s="3">
        <v>-3.1320452999999998E-2</v>
      </c>
      <c r="AI49" s="3">
        <v>-4.8940062999999999E-2</v>
      </c>
      <c r="AJ49" s="3"/>
      <c r="AK49" s="3"/>
      <c r="AL49" s="3"/>
    </row>
    <row r="50" spans="1:38" x14ac:dyDescent="0.45">
      <c r="A50" s="2">
        <v>45658</v>
      </c>
      <c r="B50" s="3">
        <v>-2.1502376E-2</v>
      </c>
      <c r="C50" s="3">
        <v>-8.9486239999999988E-3</v>
      </c>
      <c r="D50" s="3">
        <v>-5.631858E-2</v>
      </c>
      <c r="E50" s="3">
        <v>-1.6446888E-2</v>
      </c>
      <c r="F50" s="3">
        <v>-1.8415748999999999E-2</v>
      </c>
      <c r="G50" s="3">
        <v>-4.1636886999999997E-2</v>
      </c>
      <c r="H50" s="3">
        <v>1.5455126999999999E-2</v>
      </c>
      <c r="I50" s="3">
        <v>5.6757926999999996E-3</v>
      </c>
      <c r="J50" s="3">
        <v>-3.8966595999999999E-2</v>
      </c>
      <c r="K50" s="3">
        <v>-9.2404840000000002E-2</v>
      </c>
      <c r="L50" s="3">
        <v>-7.7814339999999996E-2</v>
      </c>
      <c r="M50" s="3">
        <v>-6.9639087000000002E-2</v>
      </c>
      <c r="N50" s="3">
        <v>4.0296079999999998E-2</v>
      </c>
      <c r="O50" s="3">
        <v>-3.2032669E-2</v>
      </c>
      <c r="P50" s="3">
        <v>8.9662075000000001E-3</v>
      </c>
      <c r="Q50" s="3">
        <v>3.2556057000000002E-4</v>
      </c>
      <c r="R50" s="3">
        <v>-1.9144893E-2</v>
      </c>
      <c r="S50" s="3">
        <v>-1.3118029E-2</v>
      </c>
      <c r="T50" s="3">
        <v>5.9434649999999999E-2</v>
      </c>
      <c r="U50" s="3">
        <v>-2.3809551999999998E-2</v>
      </c>
      <c r="V50" s="3">
        <v>1.395297E-2</v>
      </c>
      <c r="W50" s="3">
        <v>-6.198758E-2</v>
      </c>
      <c r="X50" s="3">
        <v>-8.2078220000000007E-2</v>
      </c>
      <c r="Y50" s="3">
        <v>-5.5702267E-2</v>
      </c>
      <c r="Z50" s="3">
        <v>-1.3944864E-2</v>
      </c>
      <c r="AA50" s="3">
        <v>-2.2066057E-2</v>
      </c>
      <c r="AB50" s="3">
        <v>-4.6275139999999999E-2</v>
      </c>
      <c r="AC50" s="3">
        <v>-3.3195733999999998E-2</v>
      </c>
      <c r="AD50" s="3">
        <v>4.5241116999999997E-3</v>
      </c>
      <c r="AE50" s="3">
        <v>-2.4099708000000001E-2</v>
      </c>
      <c r="AF50" s="3">
        <v>-2.8029680000000003E-3</v>
      </c>
      <c r="AG50" s="3">
        <v>-1.5230119E-2</v>
      </c>
      <c r="AH50" s="3">
        <v>-3.4402430000000005E-2</v>
      </c>
      <c r="AI50" s="3">
        <v>4.9852133000000002E-3</v>
      </c>
      <c r="AJ50" s="3"/>
      <c r="AK50" s="3"/>
      <c r="AL50" s="3"/>
    </row>
    <row r="51" spans="1:38" x14ac:dyDescent="0.45">
      <c r="A51" s="2">
        <v>45688</v>
      </c>
      <c r="B51" s="3">
        <v>-1.5412211E-2</v>
      </c>
      <c r="C51" s="3">
        <v>9.1453670000000001E-2</v>
      </c>
      <c r="D51" s="3">
        <v>-9.7402930000000006E-3</v>
      </c>
      <c r="E51" s="3">
        <v>-6.8318070000000009E-2</v>
      </c>
      <c r="F51" s="3">
        <v>0.13224721</v>
      </c>
      <c r="G51" s="3">
        <v>1.6863585E-2</v>
      </c>
      <c r="H51" s="3">
        <v>-4.525071E-2</v>
      </c>
      <c r="I51" s="3">
        <v>-5.9891342999999998E-3</v>
      </c>
      <c r="J51" s="3">
        <v>4.6134114000000004E-2</v>
      </c>
      <c r="K51" s="3">
        <v>6.0522676000000004E-2</v>
      </c>
      <c r="L51" s="3">
        <v>0.12527763</v>
      </c>
      <c r="M51" s="3">
        <v>4.3903589999999999E-2</v>
      </c>
      <c r="N51" s="3">
        <v>6.6511990000000007E-2</v>
      </c>
      <c r="O51" s="3">
        <v>-3.1344949999999996E-2</v>
      </c>
      <c r="P51" s="3">
        <v>3.3077240000000001E-2</v>
      </c>
      <c r="Q51" s="3">
        <v>1.0039091E-2</v>
      </c>
      <c r="R51" s="3">
        <v>-6.1212243999999999E-2</v>
      </c>
      <c r="S51" s="3">
        <v>2.2308826000000002E-3</v>
      </c>
      <c r="T51" s="3">
        <v>3.4629463999999999E-2</v>
      </c>
      <c r="U51" s="3">
        <v>6.9687365999999999E-3</v>
      </c>
      <c r="V51" s="3">
        <v>3.4769773000000004E-2</v>
      </c>
      <c r="W51" s="3">
        <v>-4.8694610000000003E-3</v>
      </c>
      <c r="X51" s="3">
        <v>3.1433344000000002E-2</v>
      </c>
      <c r="Y51" s="3">
        <v>2.2828816999999998E-2</v>
      </c>
      <c r="Z51" s="3">
        <v>8.8309289999999999E-2</v>
      </c>
      <c r="AA51" s="3">
        <v>1.8032789E-2</v>
      </c>
      <c r="AB51" s="3">
        <v>7.8546524000000006E-2</v>
      </c>
      <c r="AC51" s="3">
        <v>5.0442457000000003E-2</v>
      </c>
      <c r="AD51" s="3">
        <v>2.1633982999999999E-2</v>
      </c>
      <c r="AE51" s="3">
        <v>2.6856422000000001E-2</v>
      </c>
      <c r="AF51" s="3">
        <v>7.6644420000000005E-2</v>
      </c>
      <c r="AG51" s="3">
        <v>4.1807055000000003E-2</v>
      </c>
      <c r="AH51" s="3">
        <v>9.5097780000000007E-2</v>
      </c>
      <c r="AI51" s="3">
        <v>7.1726319999999996E-2</v>
      </c>
      <c r="AJ51" s="3"/>
      <c r="AK51" s="3"/>
      <c r="AL51" s="3"/>
    </row>
    <row r="52" spans="1:38" x14ac:dyDescent="0.45">
      <c r="A52" s="2">
        <v>45716</v>
      </c>
      <c r="B52" s="3">
        <v>1.7837644E-2</v>
      </c>
      <c r="C52" s="3">
        <v>4.720092E-2</v>
      </c>
      <c r="D52" s="3">
        <v>-0.12786882999999999</v>
      </c>
      <c r="E52" s="3">
        <v>2.9159546000000001E-2</v>
      </c>
      <c r="F52" s="3">
        <v>6.9826603000000001E-2</v>
      </c>
      <c r="G52" s="3">
        <v>1.6422629000000001E-2</v>
      </c>
      <c r="H52" s="3">
        <v>1.0674596000000001E-2</v>
      </c>
      <c r="I52" s="3">
        <v>-1.2439251E-2</v>
      </c>
      <c r="J52" s="3">
        <v>3.1441450000000003E-2</v>
      </c>
      <c r="K52" s="3">
        <v>1.297009E-2</v>
      </c>
      <c r="L52" s="3">
        <v>-4.8164186000000005E-2</v>
      </c>
      <c r="M52" s="3">
        <v>1.4857173E-2</v>
      </c>
      <c r="N52" s="3">
        <v>2.9248356999999999E-2</v>
      </c>
      <c r="O52" s="3">
        <v>-5.6677819999999997E-2</v>
      </c>
      <c r="P52" s="3">
        <v>0.10679615000000001</v>
      </c>
      <c r="Q52" s="3">
        <v>-6.0740112999999995E-3</v>
      </c>
      <c r="R52" s="3">
        <v>-8.4275429999999998E-2</v>
      </c>
      <c r="S52" s="3">
        <v>-4.6188116000000001E-2</v>
      </c>
      <c r="T52" s="3">
        <v>2.4662375E-2</v>
      </c>
      <c r="U52" s="3">
        <v>4.1522503000000002E-2</v>
      </c>
      <c r="V52" s="3">
        <v>-2.6739180000000001E-2</v>
      </c>
      <c r="W52" s="3">
        <v>-5.7606754000000003E-2</v>
      </c>
      <c r="X52" s="3">
        <v>-2.5193036000000002E-2</v>
      </c>
      <c r="Y52" s="3">
        <v>2.425909E-4</v>
      </c>
      <c r="Z52" s="3">
        <v>4.1582345999999999E-2</v>
      </c>
      <c r="AA52" s="3">
        <v>2.3423432999999999E-3</v>
      </c>
      <c r="AB52" s="3">
        <v>4.3574689999999999E-2</v>
      </c>
      <c r="AC52" s="3">
        <v>4.0157319999999996E-2</v>
      </c>
      <c r="AD52" s="3">
        <v>-2.7034699999999998E-2</v>
      </c>
      <c r="AE52" s="3">
        <v>-1.2694836000000001E-2</v>
      </c>
      <c r="AF52" s="3">
        <v>2.3556827999999998E-2</v>
      </c>
      <c r="AG52" s="3">
        <v>1.7691492999999999E-2</v>
      </c>
      <c r="AH52" s="3">
        <v>5.5283666000000002E-2</v>
      </c>
      <c r="AI52" s="3">
        <v>5.8365702999999998E-2</v>
      </c>
      <c r="AJ52" s="3"/>
      <c r="AK52" s="3"/>
      <c r="AL52" s="3"/>
    </row>
    <row r="53" spans="1:38" x14ac:dyDescent="0.45">
      <c r="A53" s="2">
        <v>45748</v>
      </c>
      <c r="B53" s="3">
        <v>-1.4305710999999999E-3</v>
      </c>
      <c r="C53" s="3">
        <v>5.5206180000000001E-2</v>
      </c>
      <c r="D53" s="3">
        <v>1.8170476000000001E-2</v>
      </c>
      <c r="E53" s="3">
        <v>5.250001E-2</v>
      </c>
      <c r="F53" s="3">
        <v>0.11867094</v>
      </c>
      <c r="G53" s="3">
        <v>8.8626380000000005E-2</v>
      </c>
      <c r="H53" s="3">
        <v>-2.7038395E-2</v>
      </c>
      <c r="I53" s="3">
        <v>-5.1367880000000005E-2</v>
      </c>
      <c r="J53" s="3">
        <v>3.0285000000000003E-2</v>
      </c>
      <c r="K53" s="3">
        <v>3.2924414000000003E-3</v>
      </c>
      <c r="L53" s="3">
        <v>8.419741E-2</v>
      </c>
      <c r="M53" s="3">
        <v>8.3333249999999998E-2</v>
      </c>
      <c r="N53" s="3">
        <v>0.11860025</v>
      </c>
      <c r="O53" s="3">
        <v>6.1330557000000001E-2</v>
      </c>
      <c r="P53" s="3">
        <v>1.8103719000000001E-2</v>
      </c>
      <c r="Q53" s="3">
        <v>-6.6667200000000001E-3</v>
      </c>
      <c r="R53" s="3">
        <v>-2.965802E-2</v>
      </c>
      <c r="S53" s="3">
        <v>-4.0548380000000002E-2</v>
      </c>
      <c r="T53" s="3">
        <v>-2.9799460999999999E-2</v>
      </c>
      <c r="U53" s="3">
        <v>4.3189406000000007E-2</v>
      </c>
      <c r="V53" s="3">
        <v>5.1057339999999998E-3</v>
      </c>
      <c r="W53" s="3">
        <v>4.7206880000000002E-4</v>
      </c>
      <c r="X53" s="3">
        <v>-1.1671543E-2</v>
      </c>
      <c r="Y53" s="3">
        <v>-2.4253726000000001E-3</v>
      </c>
      <c r="Z53" s="3">
        <v>3.3823132999999998E-2</v>
      </c>
      <c r="AA53" s="3">
        <v>-3.9433836999999998E-3</v>
      </c>
      <c r="AB53" s="3">
        <v>5.7995319999999998E-4</v>
      </c>
      <c r="AC53" s="3">
        <v>1.0799049999999999E-2</v>
      </c>
      <c r="AD53" s="3">
        <v>-6.8442583000000001E-2</v>
      </c>
      <c r="AE53" s="3">
        <v>-5.3053856000000003E-2</v>
      </c>
      <c r="AF53" s="3">
        <v>1.2898326E-2</v>
      </c>
      <c r="AG53" s="3">
        <v>-9.9639297000000005E-3</v>
      </c>
      <c r="AH53" s="3">
        <v>-2.0630480000000003E-2</v>
      </c>
      <c r="AI53" s="3">
        <v>4.068625E-2</v>
      </c>
      <c r="AJ53" s="3"/>
      <c r="AK53" s="3"/>
      <c r="AL53" s="3"/>
    </row>
    <row r="54" spans="1:38" x14ac:dyDescent="0.45">
      <c r="A54" s="2">
        <v>45778</v>
      </c>
      <c r="B54" s="3">
        <v>-3.5816609999999999E-2</v>
      </c>
      <c r="C54" s="3">
        <v>2.8807877999999999E-2</v>
      </c>
      <c r="D54" s="3">
        <v>6.4615370000000005E-2</v>
      </c>
      <c r="E54" s="3">
        <v>6.334126000000001E-2</v>
      </c>
      <c r="F54" s="3">
        <v>4.1371940000000003E-2</v>
      </c>
      <c r="G54" s="3">
        <v>-1.8622339000000002E-2</v>
      </c>
      <c r="H54" s="3">
        <v>4.7329545000000001E-2</v>
      </c>
      <c r="I54" s="3">
        <v>-7.8838470000000011E-3</v>
      </c>
      <c r="J54" s="3">
        <v>8.8760739999999991E-2</v>
      </c>
      <c r="K54" s="3">
        <v>1.3673663000000001E-2</v>
      </c>
      <c r="L54" s="3">
        <v>2.8309107E-2</v>
      </c>
      <c r="M54" s="3">
        <v>2.4324417000000001E-2</v>
      </c>
      <c r="N54" s="3">
        <v>3.5061954999999999E-2</v>
      </c>
      <c r="O54" s="3">
        <v>4.8775789999999999E-2</v>
      </c>
      <c r="P54" s="3">
        <v>-5.4262104000000005E-2</v>
      </c>
      <c r="Q54" s="3">
        <v>2.5727152999999999E-2</v>
      </c>
      <c r="R54" s="3">
        <v>2.5033831999999999E-2</v>
      </c>
      <c r="S54" s="3">
        <v>-6.7801769999999997E-2</v>
      </c>
      <c r="T54" s="3">
        <v>6.0838700000000002E-2</v>
      </c>
      <c r="U54" s="3">
        <v>-3.5828114000000001E-2</v>
      </c>
      <c r="V54" s="3">
        <v>-3.2172263E-2</v>
      </c>
      <c r="W54" s="3">
        <v>1.5805602000000002E-2</v>
      </c>
      <c r="X54" s="3">
        <v>3.964579E-2</v>
      </c>
      <c r="Y54" s="3">
        <v>2.8689504000000001E-2</v>
      </c>
      <c r="Z54" s="3">
        <v>5.8192489999999999E-2</v>
      </c>
      <c r="AA54" s="3">
        <v>4.3548465000000001E-2</v>
      </c>
      <c r="AB54" s="3">
        <v>3.4003139000000002E-2</v>
      </c>
      <c r="AC54" s="3">
        <v>1.1752248E-2</v>
      </c>
      <c r="AD54" s="3">
        <v>1.8997192E-2</v>
      </c>
      <c r="AE54" s="3">
        <v>-4.4565797000000002E-3</v>
      </c>
      <c r="AF54" s="3">
        <v>2.5468229999999998E-2</v>
      </c>
      <c r="AG54" s="3">
        <v>4.4539570000000001E-2</v>
      </c>
      <c r="AH54" s="3">
        <v>2.0591735999999999E-2</v>
      </c>
      <c r="AI54" s="3">
        <v>4.2392849999999996E-2</v>
      </c>
      <c r="AJ54" s="3"/>
      <c r="AK54" s="3"/>
      <c r="AL54" s="3"/>
    </row>
    <row r="55" spans="1:38" x14ac:dyDescent="0.45">
      <c r="A55" s="2">
        <v>45807</v>
      </c>
      <c r="B55" s="3">
        <v>2.7860284000000003E-2</v>
      </c>
      <c r="C55" s="3">
        <v>1.3839722E-2</v>
      </c>
      <c r="D55" s="3">
        <v>9.1329460000000001E-2</v>
      </c>
      <c r="E55" s="3">
        <v>1.4147400999999999E-2</v>
      </c>
      <c r="F55" s="3">
        <v>3.1239389999999999E-2</v>
      </c>
      <c r="G55" s="3">
        <v>6.6300869999999998E-2</v>
      </c>
      <c r="H55" s="3">
        <v>-6.63358E-3</v>
      </c>
      <c r="I55" s="3">
        <v>9.5357660000000011E-2</v>
      </c>
      <c r="J55" s="3">
        <v>6.176102E-2</v>
      </c>
      <c r="K55" s="3">
        <v>9.046768999999999E-2</v>
      </c>
      <c r="L55" s="3">
        <v>1.2276769E-2</v>
      </c>
      <c r="M55" s="3">
        <v>5.9671163999999999E-2</v>
      </c>
      <c r="N55" s="3">
        <v>0.11561871</v>
      </c>
      <c r="O55" s="3">
        <v>1.4381766000000001E-2</v>
      </c>
      <c r="P55" s="3">
        <v>2.3841858E-2</v>
      </c>
      <c r="Q55" s="3">
        <v>2.2355556000000002E-2</v>
      </c>
      <c r="R55" s="3">
        <v>-4.0158329999999999E-2</v>
      </c>
      <c r="S55" s="3">
        <v>-2.1852553E-2</v>
      </c>
      <c r="T55" s="3">
        <v>3.3964396000000001E-2</v>
      </c>
      <c r="U55" s="3">
        <v>0.12221312499999999</v>
      </c>
      <c r="V55" s="3">
        <v>-4.1989446E-2</v>
      </c>
      <c r="W55" s="3">
        <v>3.0887127E-2</v>
      </c>
      <c r="X55" s="3">
        <v>4.7058820000000001E-2</v>
      </c>
      <c r="Y55" s="3">
        <v>6.2632919999999995E-2</v>
      </c>
      <c r="Z55" s="3">
        <v>6.3608765999999997E-2</v>
      </c>
      <c r="AA55" s="3">
        <v>4.1450142999999995E-2</v>
      </c>
      <c r="AB55" s="3">
        <v>3.1016469999999997E-2</v>
      </c>
      <c r="AC55" s="3">
        <v>5.3854227000000005E-2</v>
      </c>
      <c r="AD55" s="3">
        <v>7.7707170000000006E-2</v>
      </c>
      <c r="AE55" s="3">
        <v>5.536568E-2</v>
      </c>
      <c r="AF55" s="3">
        <v>3.4575105000000002E-2</v>
      </c>
      <c r="AG55" s="3">
        <v>8.3435769999999992E-2</v>
      </c>
      <c r="AH55" s="3">
        <v>5.4035305999999998E-2</v>
      </c>
      <c r="AI55" s="3">
        <v>7.9304219999999995E-2</v>
      </c>
      <c r="AJ55" s="3"/>
      <c r="AK55" s="3"/>
      <c r="AL55" s="3"/>
    </row>
    <row r="56" spans="1:38" x14ac:dyDescent="0.45">
      <c r="A56" s="2">
        <v>45839</v>
      </c>
      <c r="B56" s="3">
        <v>4.1721344E-2</v>
      </c>
      <c r="C56" s="3">
        <v>2.1936417E-2</v>
      </c>
      <c r="D56" s="3">
        <v>-4.8692045000000003E-2</v>
      </c>
      <c r="E56" s="3">
        <v>8.203506499999999E-3</v>
      </c>
      <c r="F56" s="3">
        <v>7.4066759999999995E-2</v>
      </c>
      <c r="G56" s="3">
        <v>6.7210793000000005E-2</v>
      </c>
      <c r="H56" s="3">
        <v>3.9127706999999998E-2</v>
      </c>
      <c r="I56" s="3">
        <v>9.9274520000000005E-2</v>
      </c>
      <c r="J56" s="3">
        <v>3.4183501999999998E-2</v>
      </c>
      <c r="K56" s="3">
        <v>0.18159330000000001</v>
      </c>
      <c r="L56" s="3">
        <v>7.7321769999999998E-2</v>
      </c>
      <c r="M56" s="3">
        <v>5.0555944000000005E-2</v>
      </c>
      <c r="N56" s="3">
        <v>8.2172870000000009E-2</v>
      </c>
      <c r="O56" s="3">
        <v>2.8171539999999998E-2</v>
      </c>
      <c r="P56" s="3">
        <v>5.6571244999999999E-2</v>
      </c>
      <c r="Q56" s="3">
        <v>1.4759898E-2</v>
      </c>
      <c r="R56" s="3">
        <v>-3.4085214000000003E-2</v>
      </c>
      <c r="S56" s="3">
        <v>9.9511385000000008E-2</v>
      </c>
      <c r="T56" s="3">
        <v>3.8950682E-2</v>
      </c>
      <c r="U56" s="3">
        <v>9.5658299999999991E-3</v>
      </c>
      <c r="V56" s="3">
        <v>1.4776348999999999E-2</v>
      </c>
      <c r="W56" s="3">
        <v>4.5171739999999995E-2</v>
      </c>
      <c r="X56" s="3">
        <v>3.6470413E-2</v>
      </c>
      <c r="Y56" s="3">
        <v>3.4226180000000002E-2</v>
      </c>
      <c r="Z56" s="3">
        <v>1.7485022999999999E-2</v>
      </c>
      <c r="AA56" s="3">
        <v>1.2161732000000001E-2</v>
      </c>
      <c r="AB56" s="3">
        <v>1.5337586E-2</v>
      </c>
      <c r="AC56" s="3">
        <v>1.8680929999999998E-2</v>
      </c>
      <c r="AD56" s="3">
        <v>5.4878950000000003E-2</v>
      </c>
      <c r="AE56" s="3">
        <v>5.1053404999999996E-2</v>
      </c>
      <c r="AF56" s="3">
        <v>3.1754851000000001E-2</v>
      </c>
      <c r="AG56" s="3">
        <v>3.6741733999999998E-2</v>
      </c>
      <c r="AH56" s="3">
        <v>1.6650319E-2</v>
      </c>
      <c r="AI56" s="3">
        <v>2.3366570000000003E-2</v>
      </c>
      <c r="AJ56" s="3"/>
      <c r="AK56" s="3"/>
      <c r="AL56" s="3"/>
    </row>
    <row r="57" spans="1:38" x14ac:dyDescent="0.45">
      <c r="A57" s="2">
        <v>45870</v>
      </c>
      <c r="B57" s="3">
        <v>3.0999660000000002E-2</v>
      </c>
      <c r="C57" s="3">
        <v>-4.855603E-2</v>
      </c>
      <c r="D57" s="3">
        <v>6.8610907E-3</v>
      </c>
      <c r="E57" s="3">
        <v>-5.0110520000000006E-2</v>
      </c>
      <c r="F57" s="3">
        <v>-1.1228978999999998E-2</v>
      </c>
      <c r="G57" s="3">
        <v>-1.0381340999999999E-2</v>
      </c>
      <c r="H57" s="3">
        <v>-1.6406894000000002E-2</v>
      </c>
      <c r="I57" s="3">
        <v>1.4067292E-2</v>
      </c>
      <c r="J57" s="3">
        <v>-2.4869143999999999E-2</v>
      </c>
      <c r="K57" s="3">
        <v>-1.3819039E-2</v>
      </c>
      <c r="L57" s="3">
        <v>-7.4331403000000004E-2</v>
      </c>
      <c r="M57" s="3">
        <v>-1.4388442E-2</v>
      </c>
      <c r="N57" s="3">
        <v>2.9165982999999999E-2</v>
      </c>
      <c r="O57" s="3">
        <v>-5.5873929999999995E-2</v>
      </c>
      <c r="P57" s="3">
        <v>2.2616266999999999E-2</v>
      </c>
      <c r="Q57" s="3">
        <v>5.8396220000000006E-2</v>
      </c>
      <c r="R57" s="3">
        <v>9.7584610000000002E-2</v>
      </c>
      <c r="S57" s="3">
        <v>4.4334889999999995E-2</v>
      </c>
      <c r="T57" s="3">
        <v>6.9131850000000009E-2</v>
      </c>
      <c r="U57" s="3">
        <v>0.1625364</v>
      </c>
      <c r="V57" s="3">
        <v>-2.4313748E-2</v>
      </c>
      <c r="W57" s="3">
        <v>-2.7632713E-2</v>
      </c>
      <c r="X57" s="3">
        <v>-1.6698300999999999E-2</v>
      </c>
      <c r="Y57" s="3">
        <v>-7.1443319999999998E-3</v>
      </c>
      <c r="Z57" s="3">
        <v>-2.999282E-2</v>
      </c>
      <c r="AA57" s="3">
        <v>-4.7030450000000003E-3</v>
      </c>
      <c r="AB57" s="3">
        <v>-4.6380463000000004E-2</v>
      </c>
      <c r="AC57" s="3">
        <v>2.2584199999999997E-3</v>
      </c>
      <c r="AD57" s="3">
        <v>1.259625E-2</v>
      </c>
      <c r="AE57" s="3">
        <v>6.5894127E-3</v>
      </c>
      <c r="AF57" s="3">
        <v>-3.3589899999999999E-2</v>
      </c>
      <c r="AG57" s="3">
        <v>-5.9552430000000003E-2</v>
      </c>
      <c r="AH57" s="3">
        <v>-3.3414422999999999E-2</v>
      </c>
      <c r="AI57" s="3">
        <v>-4.5785308000000002E-3</v>
      </c>
      <c r="AJ57" s="3"/>
      <c r="AK57" s="3"/>
      <c r="AL57" s="3"/>
    </row>
    <row r="58" spans="1:38" x14ac:dyDescent="0.45">
      <c r="A58" s="2">
        <v>45901</v>
      </c>
      <c r="B58" s="3">
        <v>0.130743265</v>
      </c>
      <c r="C58" s="3">
        <v>9.4396350000000004E-2</v>
      </c>
      <c r="D58" s="3">
        <v>3.4071206999999998E-3</v>
      </c>
      <c r="E58" s="3">
        <v>1.4352202000000001E-2</v>
      </c>
      <c r="F58" s="3">
        <v>0</v>
      </c>
      <c r="G58" s="3">
        <v>0.11271977</v>
      </c>
      <c r="H58" s="3">
        <v>3.7114263000000002E-2</v>
      </c>
      <c r="I58" s="3">
        <v>7.3642730000000002E-3</v>
      </c>
      <c r="J58" s="3">
        <v>3.9261699000000004E-2</v>
      </c>
      <c r="K58" s="3">
        <v>2.2505283000000001E-2</v>
      </c>
      <c r="L58" s="3">
        <v>0.10694181</v>
      </c>
      <c r="M58" s="3">
        <v>7.9356073999999999E-2</v>
      </c>
      <c r="N58" s="3">
        <v>4.5575023000000006E-2</v>
      </c>
      <c r="O58" s="3">
        <v>-1.4036477E-2</v>
      </c>
      <c r="P58" s="3">
        <v>8.4748745E-2</v>
      </c>
      <c r="Q58" s="3">
        <v>1.7035246E-2</v>
      </c>
      <c r="R58" s="3">
        <v>2.1463869999999999E-2</v>
      </c>
      <c r="S58" s="3">
        <v>4.0389179999999997E-2</v>
      </c>
      <c r="T58" s="3">
        <v>-2.8571486E-2</v>
      </c>
      <c r="U58" s="3">
        <v>0.14670849</v>
      </c>
      <c r="V58" s="3">
        <v>1.0718107000000001E-3</v>
      </c>
      <c r="W58" s="3">
        <v>3.8039684000000002E-3</v>
      </c>
      <c r="X58" s="3">
        <v>4.515636E-2</v>
      </c>
      <c r="Y58" s="3">
        <v>6.3890100000000005E-2</v>
      </c>
      <c r="Z58" s="3">
        <v>2.7730107E-2</v>
      </c>
      <c r="AA58" s="3">
        <v>5.6838154999999994E-2</v>
      </c>
      <c r="AB58" s="3">
        <v>5.5311920000000001E-2</v>
      </c>
      <c r="AC58" s="3">
        <v>3.8057089999999995E-2</v>
      </c>
      <c r="AD58" s="3">
        <v>2.9826044999999999E-2</v>
      </c>
      <c r="AE58" s="3">
        <v>3.7524939E-2</v>
      </c>
      <c r="AF58" s="3">
        <v>2.7999043000000001E-2</v>
      </c>
      <c r="AG58" s="3">
        <v>4.2281269999999996E-2</v>
      </c>
      <c r="AH58" s="3">
        <v>6.2042117000000001E-2</v>
      </c>
      <c r="AI58" s="3">
        <v>6.7321660000000005E-2</v>
      </c>
      <c r="AJ58" s="3"/>
      <c r="AK58" s="3"/>
      <c r="AL58" s="3"/>
    </row>
    <row r="59" spans="1:38" x14ac:dyDescent="0.45">
      <c r="A59" s="2">
        <v>45931</v>
      </c>
      <c r="B59" s="3">
        <v>2.6874780000000001E-2</v>
      </c>
      <c r="C59" s="3">
        <v>-3.047943E-3</v>
      </c>
      <c r="D59" s="3">
        <v>-1.188463E-2</v>
      </c>
      <c r="E59" s="3">
        <v>-3.6328852000000002E-2</v>
      </c>
      <c r="F59" s="3">
        <v>2.8391123000000001E-2</v>
      </c>
      <c r="G59" s="3">
        <v>0.13475835999999999</v>
      </c>
      <c r="H59" s="3">
        <v>5.3880094999999996E-2</v>
      </c>
      <c r="I59" s="3">
        <v>9.0445399999999995E-2</v>
      </c>
      <c r="J59" s="3">
        <v>7.8140139999999997E-2</v>
      </c>
      <c r="K59" s="3">
        <v>0.13358248</v>
      </c>
      <c r="L59" s="3">
        <v>3.6610126E-2</v>
      </c>
      <c r="M59" s="3">
        <v>0.12276745</v>
      </c>
      <c r="N59" s="3">
        <v>3.9150356999999997E-2</v>
      </c>
      <c r="O59" s="3">
        <v>7.8876020000000005E-3</v>
      </c>
      <c r="P59" s="3">
        <v>8.0574150000000011E-2</v>
      </c>
      <c r="Q59" s="3">
        <v>-3.0500053999999999E-2</v>
      </c>
      <c r="R59" s="3">
        <v>2.4548410999999999E-2</v>
      </c>
      <c r="S59" s="3">
        <v>-9.3511343000000011E-3</v>
      </c>
      <c r="T59" s="3">
        <v>-2.0123780000000001E-2</v>
      </c>
      <c r="U59" s="3">
        <v>-1.3668656E-2</v>
      </c>
      <c r="V59" s="3">
        <v>7.7355384999999999E-2</v>
      </c>
      <c r="W59" s="3">
        <v>4.1275144E-2</v>
      </c>
      <c r="X59" s="3">
        <v>2.5849341999999997E-3</v>
      </c>
      <c r="Y59" s="3">
        <v>3.6482809999999997E-2</v>
      </c>
      <c r="Z59" s="3">
        <v>5.9694049999999997E-3</v>
      </c>
      <c r="AA59" s="3">
        <v>2.4655103999999997E-2</v>
      </c>
      <c r="AB59" s="3">
        <v>1.1024714E-2</v>
      </c>
      <c r="AC59" s="3">
        <v>2.5084496000000001E-2</v>
      </c>
      <c r="AD59" s="3">
        <v>5.8809876000000004E-2</v>
      </c>
      <c r="AE59" s="3">
        <v>3.9135336999999999E-2</v>
      </c>
      <c r="AF59" s="3">
        <v>4.4611454000000002E-2</v>
      </c>
      <c r="AG59" s="3">
        <v>0.11018872</v>
      </c>
      <c r="AH59" s="3">
        <v>2.6298761E-2</v>
      </c>
      <c r="AI59" s="3">
        <v>2.6640533999999997E-2</v>
      </c>
      <c r="AJ59" s="3"/>
      <c r="AK59" s="3"/>
      <c r="AL59" s="3"/>
    </row>
    <row r="60" spans="1:38" x14ac:dyDescent="0.45">
      <c r="A60" s="2">
        <v>45961</v>
      </c>
      <c r="B60" s="3">
        <v>-2.0221471999999998E-3</v>
      </c>
      <c r="C60" s="3">
        <v>7.9792139999999998E-2</v>
      </c>
      <c r="D60" s="3">
        <v>4.6964525999999999E-2</v>
      </c>
      <c r="E60" s="3">
        <v>-2.5793731E-2</v>
      </c>
      <c r="F60" s="3">
        <v>3.4049152999999999E-2</v>
      </c>
      <c r="G60" s="3">
        <v>2.8337479000000002E-2</v>
      </c>
      <c r="H60" s="3">
        <v>-1.3735174999999999E-2</v>
      </c>
      <c r="I60" s="3">
        <v>3.9133189999999998E-2</v>
      </c>
      <c r="J60" s="3">
        <v>-3.7436485000000002E-3</v>
      </c>
      <c r="K60" s="3">
        <v>0.18451584000000001</v>
      </c>
      <c r="L60" s="3">
        <v>1.9293666000000001E-2</v>
      </c>
      <c r="M60" s="3">
        <v>-1.513511E-2</v>
      </c>
      <c r="N60" s="3">
        <v>-5.094564E-2</v>
      </c>
      <c r="O60" s="3">
        <v>3.0158520000000001E-2</v>
      </c>
      <c r="P60" s="3">
        <v>-4.0452839999999997E-2</v>
      </c>
      <c r="Q60" s="3">
        <v>-4.6415925000000005E-3</v>
      </c>
      <c r="R60" s="3">
        <v>2.7034639999999999E-2</v>
      </c>
      <c r="S60" s="3">
        <v>-2.316928E-2</v>
      </c>
      <c r="T60" s="3">
        <v>3.6334990999999997E-2</v>
      </c>
      <c r="U60" s="3">
        <v>-3.3813775000000004E-2</v>
      </c>
      <c r="V60" s="3">
        <v>7.4529650000000006E-4</v>
      </c>
      <c r="W60" s="3">
        <v>-1.7588794000000001E-2</v>
      </c>
      <c r="X60" s="3">
        <v>-1.3996303000000002E-2</v>
      </c>
      <c r="Y60" s="3">
        <v>3.3617019999999998E-3</v>
      </c>
      <c r="Z60" s="3">
        <v>-3.3230483999999998E-2</v>
      </c>
      <c r="AA60" s="3">
        <v>4.0393949999999998E-2</v>
      </c>
      <c r="AB60" s="3">
        <v>-1.0368228E-2</v>
      </c>
      <c r="AC60" s="3">
        <v>3.9999485000000003E-3</v>
      </c>
      <c r="AD60" s="3">
        <v>4.2801499999999999E-2</v>
      </c>
      <c r="AE60" s="3">
        <v>2.0360469999999999E-2</v>
      </c>
      <c r="AF60" s="3">
        <v>-4.7202110000000002E-3</v>
      </c>
      <c r="AG60" s="3">
        <v>-6.7985059999999995E-4</v>
      </c>
      <c r="AH60" s="3">
        <v>7.9815389999999993E-3</v>
      </c>
      <c r="AI60" s="3">
        <v>-1.1448145E-2</v>
      </c>
      <c r="AJ60" s="3"/>
      <c r="AK60" s="3"/>
      <c r="AL60" s="3"/>
    </row>
    <row r="61" spans="1:38" x14ac:dyDescent="0.45">
      <c r="A61" s="2">
        <v>45992</v>
      </c>
      <c r="B61" s="3">
        <v>-1.4576912E-3</v>
      </c>
      <c r="C61" s="3">
        <v>6.7100762999999994E-2</v>
      </c>
      <c r="D61" s="3">
        <v>2.7899383999999999E-2</v>
      </c>
      <c r="E61" s="3">
        <v>2.8105973999999999E-2</v>
      </c>
      <c r="F61" s="3">
        <v>5.6363344000000008E-3</v>
      </c>
      <c r="G61" s="3">
        <v>2.8512240000000001E-2</v>
      </c>
      <c r="H61" s="3">
        <v>2.9013515E-2</v>
      </c>
      <c r="I61" s="3">
        <v>-3.7809490000000001E-2</v>
      </c>
      <c r="J61" s="3">
        <v>2.9009461E-2</v>
      </c>
      <c r="K61" s="3">
        <v>-6.5773189999999995E-2</v>
      </c>
      <c r="L61" s="3">
        <v>7.1543216999999992E-2</v>
      </c>
      <c r="M61" s="3">
        <v>5.7707309999999998E-2</v>
      </c>
      <c r="N61" s="3">
        <v>6.5252303999999997E-2</v>
      </c>
      <c r="O61" s="3">
        <v>6.6703559999999997E-3</v>
      </c>
      <c r="P61" s="3">
        <v>-1.431495E-2</v>
      </c>
      <c r="Q61" s="3">
        <v>-3.0569969999999998E-2</v>
      </c>
      <c r="R61" s="3">
        <v>-2.5147020000000003E-2</v>
      </c>
      <c r="S61" s="3">
        <v>-3.5139917999999996E-3</v>
      </c>
      <c r="T61" s="3">
        <v>-6.0259104000000001E-2</v>
      </c>
      <c r="U61" s="3">
        <v>5.4503679999999999E-2</v>
      </c>
      <c r="V61" s="3">
        <v>-7.9940376000000007E-2</v>
      </c>
      <c r="W61" s="3">
        <v>-8.9343786000000008E-3</v>
      </c>
      <c r="X61" s="3">
        <v>-3.8849472999999995E-2</v>
      </c>
      <c r="Y61" s="3">
        <v>2.8379916999999998E-2</v>
      </c>
      <c r="Z61" s="3">
        <v>-5.1558614000000004E-3</v>
      </c>
      <c r="AA61" s="3">
        <v>-1.1024535E-2</v>
      </c>
      <c r="AB61" s="3">
        <v>3.7210941000000004E-2</v>
      </c>
      <c r="AC61" s="3">
        <v>6.093383E-3</v>
      </c>
      <c r="AD61" s="3">
        <v>-1.8916845000000002E-2</v>
      </c>
      <c r="AE61" s="3">
        <v>-2.6243925000000003E-3</v>
      </c>
      <c r="AF61" s="3">
        <v>2.9358864000000001E-3</v>
      </c>
      <c r="AG61" s="3">
        <v>-8.1632733000000009E-3</v>
      </c>
      <c r="AH61" s="3">
        <v>-8.5434320000000001E-3</v>
      </c>
      <c r="AI61" s="3">
        <v>1.6406059000000001E-2</v>
      </c>
      <c r="AJ61" s="3"/>
      <c r="AK61" s="3"/>
      <c r="AL61" s="3"/>
    </row>
    <row r="62" spans="1:38" x14ac:dyDescent="0.45">
      <c r="A62" s="2">
        <v>46023</v>
      </c>
      <c r="B62" s="3">
        <v>2.6375651000000003E-2</v>
      </c>
      <c r="C62" s="3">
        <v>7.5704217000000004E-2</v>
      </c>
      <c r="D62" s="3">
        <v>4.8584937999999996E-3</v>
      </c>
      <c r="E62" s="3">
        <v>-4.8617125000000004E-3</v>
      </c>
      <c r="F62" s="3">
        <v>7.3330759999999995E-2</v>
      </c>
      <c r="G62" s="3">
        <v>0.12508833</v>
      </c>
      <c r="H62" s="3">
        <v>4.4905423999999999E-2</v>
      </c>
      <c r="I62" s="3">
        <v>3.6288620000000001E-2</v>
      </c>
      <c r="J62" s="3">
        <v>3.2391666999999999E-2</v>
      </c>
      <c r="K62" s="3">
        <v>9.7244379999999991E-2</v>
      </c>
      <c r="L62" s="3">
        <v>-1.4635085999999999E-2</v>
      </c>
      <c r="M62" s="3">
        <v>7.6083899999999996E-2</v>
      </c>
      <c r="N62" s="3">
        <v>1.537025E-2</v>
      </c>
      <c r="O62" s="3">
        <v>-5.1537155999999999E-3</v>
      </c>
      <c r="P62" s="3">
        <v>-2.9531360000000003E-2</v>
      </c>
      <c r="Q62" s="3">
        <v>1.7981052000000001E-2</v>
      </c>
      <c r="R62" s="3">
        <v>-1.3238548999999999E-2</v>
      </c>
      <c r="S62" s="3">
        <v>2.1930337000000001E-2</v>
      </c>
      <c r="T62" s="3">
        <v>4.3963312999999997E-2</v>
      </c>
      <c r="U62" s="3">
        <v>4.0204525000000005E-2</v>
      </c>
      <c r="V62" s="3">
        <v>-5.5745840000000005E-3</v>
      </c>
      <c r="W62" s="3">
        <v>8.1042049999999997E-3</v>
      </c>
      <c r="X62" s="3">
        <v>3.5366773999999997E-2</v>
      </c>
      <c r="Y62" s="3">
        <v>4.2802452999999997E-2</v>
      </c>
      <c r="Z62" s="3">
        <v>4.886472E-2</v>
      </c>
      <c r="AA62" s="3">
        <v>1.5354514E-2</v>
      </c>
      <c r="AB62" s="3">
        <v>4.4235469999999999E-2</v>
      </c>
      <c r="AC62" s="3">
        <v>4.4336556999999999E-2</v>
      </c>
      <c r="AD62" s="3">
        <v>-3.3575892000000003E-3</v>
      </c>
      <c r="AE62" s="3">
        <v>5.3614379999999996E-3</v>
      </c>
      <c r="AF62" s="3">
        <v>1.8201828E-2</v>
      </c>
      <c r="AG62" s="3">
        <v>1.5340209E-2</v>
      </c>
      <c r="AH62" s="3">
        <v>4.7575950000000006E-2</v>
      </c>
      <c r="AI62" s="3">
        <v>4.5232889999999998E-2</v>
      </c>
      <c r="AJ62" s="3"/>
      <c r="AK62" s="3"/>
      <c r="AL62" s="3"/>
    </row>
    <row r="63" spans="1:38" x14ac:dyDescent="0.4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spans="1:38" x14ac:dyDescent="0.45">
      <c r="A64" s="2" t="s">
        <v>38</v>
      </c>
      <c r="B64" s="3" t="str">
        <f>B1</f>
        <v>CNYA</v>
      </c>
      <c r="C64" s="3" t="str">
        <f t="shared" ref="C64:V64" si="0">C1</f>
        <v>ECH</v>
      </c>
      <c r="D64" s="3" t="str">
        <f t="shared" si="0"/>
        <v>EIDO</v>
      </c>
      <c r="E64" s="3" t="str">
        <f t="shared" si="0"/>
        <v>EPHE</v>
      </c>
      <c r="F64" s="3" t="str">
        <f t="shared" si="0"/>
        <v>EPOL</v>
      </c>
      <c r="G64" s="3" t="str">
        <f t="shared" si="0"/>
        <v>EPU</v>
      </c>
      <c r="H64" s="3" t="str">
        <f t="shared" si="0"/>
        <v>EWM</v>
      </c>
      <c r="I64" s="3" t="str">
        <f t="shared" si="0"/>
        <v>EWT</v>
      </c>
      <c r="J64" s="3" t="str">
        <f t="shared" si="0"/>
        <v>EWW</v>
      </c>
      <c r="K64" s="3" t="str">
        <f t="shared" si="0"/>
        <v>EWY</v>
      </c>
      <c r="L64" s="3" t="str">
        <f t="shared" si="0"/>
        <v>EWZ</v>
      </c>
      <c r="M64" s="3" t="str">
        <f t="shared" si="0"/>
        <v>EZA</v>
      </c>
      <c r="N64" s="3" t="str">
        <f t="shared" si="0"/>
        <v>GREK</v>
      </c>
      <c r="O64" s="3" t="str">
        <f t="shared" si="0"/>
        <v>INDA</v>
      </c>
      <c r="P64" s="3" t="str">
        <f t="shared" si="0"/>
        <v>MCHI</v>
      </c>
      <c r="Q64" s="3" t="str">
        <f t="shared" si="0"/>
        <v>QAT</v>
      </c>
      <c r="R64" s="3" t="str">
        <f t="shared" si="0"/>
        <v>SET-BKK</v>
      </c>
      <c r="S64" s="3" t="str">
        <f t="shared" si="0"/>
        <v>TUR</v>
      </c>
      <c r="T64" s="3" t="str">
        <f t="shared" si="0"/>
        <v>UAE</v>
      </c>
      <c r="U64" s="3" t="str">
        <f t="shared" si="0"/>
        <v>VNM</v>
      </c>
      <c r="V64" s="3" t="str">
        <f t="shared" si="0"/>
        <v>KSA</v>
      </c>
      <c r="W64" s="3" t="str">
        <f t="shared" ref="W64:AI64" si="1">W1</f>
        <v>ENZL</v>
      </c>
      <c r="X64" s="3" t="str">
        <f t="shared" si="1"/>
        <v>EWA</v>
      </c>
      <c r="Y64" s="3" t="str">
        <f t="shared" si="1"/>
        <v>EWC</v>
      </c>
      <c r="Z64" s="3" t="str">
        <f t="shared" si="1"/>
        <v>EWG</v>
      </c>
      <c r="AA64" s="3" t="str">
        <f t="shared" si="1"/>
        <v>EWJ</v>
      </c>
      <c r="AB64" s="3" t="str">
        <f t="shared" si="1"/>
        <v>EWL</v>
      </c>
      <c r="AC64" s="3" t="str">
        <f t="shared" si="1"/>
        <v>EWU</v>
      </c>
      <c r="AD64" s="3" t="str">
        <f t="shared" si="1"/>
        <v>QQQ</v>
      </c>
      <c r="AE64" s="3" t="str">
        <f t="shared" si="1"/>
        <v>SPY</v>
      </c>
      <c r="AF64" s="3" t="str">
        <f t="shared" si="1"/>
        <v>EWQ</v>
      </c>
      <c r="AG64" s="3" t="str">
        <f t="shared" si="1"/>
        <v>EWN</v>
      </c>
      <c r="AH64" s="3" t="str">
        <f t="shared" si="1"/>
        <v>EWD</v>
      </c>
      <c r="AI64" s="3" t="str">
        <f t="shared" si="1"/>
        <v>EWI</v>
      </c>
      <c r="AJ64" s="3"/>
      <c r="AK64" s="3"/>
      <c r="AL64" s="3"/>
    </row>
    <row r="65" spans="1:38" x14ac:dyDescent="0.45">
      <c r="A65" s="2" t="s">
        <v>39</v>
      </c>
      <c r="B65" t="s">
        <v>43</v>
      </c>
      <c r="C65" t="s">
        <v>44</v>
      </c>
      <c r="D65" t="s">
        <v>45</v>
      </c>
      <c r="E65" t="s">
        <v>46</v>
      </c>
      <c r="F65" t="s">
        <v>47</v>
      </c>
      <c r="G65" t="s">
        <v>48</v>
      </c>
      <c r="H65" t="s">
        <v>49</v>
      </c>
      <c r="I65" t="s">
        <v>50</v>
      </c>
      <c r="J65" t="s">
        <v>51</v>
      </c>
      <c r="K65" t="s">
        <v>52</v>
      </c>
      <c r="L65" t="s">
        <v>53</v>
      </c>
      <c r="M65" t="s">
        <v>54</v>
      </c>
      <c r="N65" t="s">
        <v>55</v>
      </c>
      <c r="O65" t="s">
        <v>56</v>
      </c>
      <c r="P65" t="s">
        <v>43</v>
      </c>
      <c r="Q65" t="s">
        <v>57</v>
      </c>
      <c r="R65" t="s">
        <v>58</v>
      </c>
      <c r="S65" t="s">
        <v>59</v>
      </c>
      <c r="T65" t="s">
        <v>60</v>
      </c>
      <c r="U65" t="s">
        <v>61</v>
      </c>
      <c r="V65" t="s">
        <v>62</v>
      </c>
      <c r="W65" t="s">
        <v>63</v>
      </c>
      <c r="X65" t="s">
        <v>64</v>
      </c>
      <c r="Y65" t="s">
        <v>65</v>
      </c>
      <c r="Z65" t="s">
        <v>66</v>
      </c>
      <c r="AA65" t="s">
        <v>67</v>
      </c>
      <c r="AB65" t="s">
        <v>68</v>
      </c>
      <c r="AC65" t="s">
        <v>69</v>
      </c>
      <c r="AD65" t="s">
        <v>70</v>
      </c>
      <c r="AE65" t="s">
        <v>70</v>
      </c>
      <c r="AF65" t="s">
        <v>71</v>
      </c>
      <c r="AG65" t="s">
        <v>72</v>
      </c>
      <c r="AH65" t="s">
        <v>73</v>
      </c>
      <c r="AI65" t="s">
        <v>74</v>
      </c>
      <c r="AJ65" s="3"/>
      <c r="AK65" s="3"/>
      <c r="AL65" s="3"/>
    </row>
    <row r="66" spans="1:38" x14ac:dyDescent="0.45">
      <c r="A66" s="2" t="s">
        <v>40</v>
      </c>
      <c r="B66" s="3" t="s">
        <v>41</v>
      </c>
      <c r="C66" s="3" t="s">
        <v>41</v>
      </c>
      <c r="D66" s="3" t="s">
        <v>41</v>
      </c>
      <c r="E66" s="3" t="s">
        <v>41</v>
      </c>
      <c r="F66" s="3" t="s">
        <v>41</v>
      </c>
      <c r="G66" s="3" t="s">
        <v>41</v>
      </c>
      <c r="H66" s="3" t="s">
        <v>41</v>
      </c>
      <c r="I66" s="3" t="s">
        <v>41</v>
      </c>
      <c r="J66" s="3" t="s">
        <v>41</v>
      </c>
      <c r="K66" s="3" t="s">
        <v>41</v>
      </c>
      <c r="L66" s="3" t="s">
        <v>41</v>
      </c>
      <c r="M66" s="3" t="s">
        <v>41</v>
      </c>
      <c r="N66" s="3" t="s">
        <v>41</v>
      </c>
      <c r="O66" s="3" t="s">
        <v>41</v>
      </c>
      <c r="P66" s="3" t="s">
        <v>41</v>
      </c>
      <c r="Q66" s="3" t="s">
        <v>41</v>
      </c>
      <c r="R66" s="3" t="s">
        <v>41</v>
      </c>
      <c r="S66" s="3" t="s">
        <v>41</v>
      </c>
      <c r="T66" s="3" t="s">
        <v>41</v>
      </c>
      <c r="U66" s="3" t="s">
        <v>41</v>
      </c>
      <c r="V66" s="3" t="s">
        <v>41</v>
      </c>
      <c r="W66" s="3" t="s">
        <v>42</v>
      </c>
      <c r="X66" s="3" t="s">
        <v>42</v>
      </c>
      <c r="Y66" s="3" t="s">
        <v>42</v>
      </c>
      <c r="Z66" s="3" t="s">
        <v>42</v>
      </c>
      <c r="AA66" s="3" t="s">
        <v>42</v>
      </c>
      <c r="AB66" s="3" t="s">
        <v>42</v>
      </c>
      <c r="AC66" s="3" t="s">
        <v>42</v>
      </c>
      <c r="AD66" s="3" t="s">
        <v>42</v>
      </c>
      <c r="AE66" s="3" t="s">
        <v>42</v>
      </c>
      <c r="AF66" s="3" t="s">
        <v>42</v>
      </c>
      <c r="AG66" s="3" t="s">
        <v>42</v>
      </c>
      <c r="AH66" s="3" t="s">
        <v>42</v>
      </c>
      <c r="AI66" s="3" t="s">
        <v>42</v>
      </c>
      <c r="AJ66" s="3"/>
      <c r="AK66" s="3"/>
      <c r="AL66" s="3"/>
    </row>
    <row r="67" spans="1:38" x14ac:dyDescent="0.45">
      <c r="A67" s="2" t="s">
        <v>75</v>
      </c>
      <c r="B67" s="3">
        <f>B62</f>
        <v>2.6375651000000003E-2</v>
      </c>
      <c r="C67" s="3">
        <f t="shared" ref="C67:AI67" si="2">C62</f>
        <v>7.5704217000000004E-2</v>
      </c>
      <c r="D67" s="3">
        <f t="shared" si="2"/>
        <v>4.8584937999999996E-3</v>
      </c>
      <c r="E67" s="3">
        <f t="shared" si="2"/>
        <v>-4.8617125000000004E-3</v>
      </c>
      <c r="F67" s="3">
        <f t="shared" si="2"/>
        <v>7.3330759999999995E-2</v>
      </c>
      <c r="G67" s="3">
        <f t="shared" si="2"/>
        <v>0.12508833</v>
      </c>
      <c r="H67" s="3">
        <f t="shared" si="2"/>
        <v>4.4905423999999999E-2</v>
      </c>
      <c r="I67" s="3">
        <f t="shared" si="2"/>
        <v>3.6288620000000001E-2</v>
      </c>
      <c r="J67" s="3">
        <f t="shared" si="2"/>
        <v>3.2391666999999999E-2</v>
      </c>
      <c r="K67" s="3">
        <f t="shared" si="2"/>
        <v>9.7244379999999991E-2</v>
      </c>
      <c r="L67" s="3">
        <f t="shared" si="2"/>
        <v>-1.4635085999999999E-2</v>
      </c>
      <c r="M67" s="3">
        <f t="shared" si="2"/>
        <v>7.6083899999999996E-2</v>
      </c>
      <c r="N67" s="3">
        <f t="shared" si="2"/>
        <v>1.537025E-2</v>
      </c>
      <c r="O67" s="3">
        <f t="shared" si="2"/>
        <v>-5.1537155999999999E-3</v>
      </c>
      <c r="P67" s="3">
        <f t="shared" si="2"/>
        <v>-2.9531360000000003E-2</v>
      </c>
      <c r="Q67" s="3">
        <f t="shared" si="2"/>
        <v>1.7981052000000001E-2</v>
      </c>
      <c r="R67" s="3">
        <f t="shared" si="2"/>
        <v>-1.3238548999999999E-2</v>
      </c>
      <c r="S67" s="3">
        <f t="shared" si="2"/>
        <v>2.1930337000000001E-2</v>
      </c>
      <c r="T67" s="3">
        <f t="shared" si="2"/>
        <v>4.3963312999999997E-2</v>
      </c>
      <c r="U67" s="3">
        <f t="shared" si="2"/>
        <v>4.0204525000000005E-2</v>
      </c>
      <c r="V67" s="3">
        <f t="shared" si="2"/>
        <v>-5.5745840000000005E-3</v>
      </c>
      <c r="W67" s="3">
        <f t="shared" si="2"/>
        <v>8.1042049999999997E-3</v>
      </c>
      <c r="X67" s="3">
        <f t="shared" si="2"/>
        <v>3.5366773999999997E-2</v>
      </c>
      <c r="Y67" s="3">
        <f t="shared" si="2"/>
        <v>4.2802452999999997E-2</v>
      </c>
      <c r="Z67" s="3">
        <f t="shared" si="2"/>
        <v>4.886472E-2</v>
      </c>
      <c r="AA67" s="3">
        <f t="shared" si="2"/>
        <v>1.5354514E-2</v>
      </c>
      <c r="AB67" s="3">
        <f t="shared" si="2"/>
        <v>4.4235469999999999E-2</v>
      </c>
      <c r="AC67" s="3">
        <f t="shared" si="2"/>
        <v>4.4336556999999999E-2</v>
      </c>
      <c r="AD67" s="3">
        <f t="shared" si="2"/>
        <v>-3.3575892000000003E-3</v>
      </c>
      <c r="AE67" s="3">
        <f t="shared" si="2"/>
        <v>5.3614379999999996E-3</v>
      </c>
      <c r="AF67" s="3">
        <f t="shared" si="2"/>
        <v>1.8201828E-2</v>
      </c>
      <c r="AG67" s="3">
        <f t="shared" si="2"/>
        <v>1.5340209E-2</v>
      </c>
      <c r="AH67" s="3">
        <f t="shared" si="2"/>
        <v>4.7575950000000006E-2</v>
      </c>
      <c r="AI67" s="3">
        <f t="shared" si="2"/>
        <v>4.5232889999999998E-2</v>
      </c>
      <c r="AJ67" s="3"/>
      <c r="AK67" s="3"/>
      <c r="AL67" s="3"/>
    </row>
    <row r="68" spans="1:38" x14ac:dyDescent="0.45">
      <c r="A68" t="s">
        <v>35</v>
      </c>
      <c r="B68" s="4">
        <f t="shared" ref="B68:AI68" si="3">AVERAGE(_xlfn.ANCHORARRAY(B2))</f>
        <v>1.1546683540983606E-3</v>
      </c>
      <c r="C68" s="4">
        <f t="shared" si="3"/>
        <v>1.2071226724590163E-2</v>
      </c>
      <c r="D68" s="4">
        <f t="shared" si="3"/>
        <v>7.446777796721308E-4</v>
      </c>
      <c r="E68" s="4">
        <f t="shared" si="3"/>
        <v>-1.0666967227868853E-3</v>
      </c>
      <c r="F68" s="4">
        <f t="shared" si="3"/>
        <v>1.7387565445081968E-2</v>
      </c>
      <c r="G68" s="4">
        <f t="shared" si="3"/>
        <v>1.835281433934426E-2</v>
      </c>
      <c r="H68" s="4">
        <f t="shared" si="3"/>
        <v>3.6742900859016402E-3</v>
      </c>
      <c r="I68" s="4">
        <f t="shared" si="3"/>
        <v>1.2261178768852462E-2</v>
      </c>
      <c r="J68" s="4">
        <f t="shared" si="3"/>
        <v>1.2735946088524595E-2</v>
      </c>
      <c r="K68" s="4">
        <f t="shared" si="3"/>
        <v>8.1931101295081958E-3</v>
      </c>
      <c r="L68" s="4">
        <f t="shared" si="3"/>
        <v>8.1085212245901629E-3</v>
      </c>
      <c r="M68" s="4">
        <f t="shared" si="3"/>
        <v>1.4153490175409834E-2</v>
      </c>
      <c r="N68" s="4">
        <f t="shared" si="3"/>
        <v>2.1174011016393435E-2</v>
      </c>
      <c r="O68" s="4">
        <f t="shared" si="3"/>
        <v>7.9662624634426228E-3</v>
      </c>
      <c r="P68" s="4">
        <f t="shared" si="3"/>
        <v>1.6186505409835939E-4</v>
      </c>
      <c r="Q68" s="4">
        <f t="shared" si="3"/>
        <v>4.5807496388524608E-3</v>
      </c>
      <c r="R68" s="4">
        <f t="shared" si="3"/>
        <v>-1.3809322059016396E-3</v>
      </c>
      <c r="S68" s="4">
        <f t="shared" si="3"/>
        <v>1.3017626085245903E-2</v>
      </c>
      <c r="T68" s="4">
        <f t="shared" si="3"/>
        <v>1.2189340311475408E-2</v>
      </c>
      <c r="U68" s="4">
        <f t="shared" si="3"/>
        <v>6.2682631409836055E-3</v>
      </c>
      <c r="V68" s="4">
        <f t="shared" si="3"/>
        <v>5.4983389229508201E-3</v>
      </c>
      <c r="W68" s="4">
        <f t="shared" si="3"/>
        <v>-3.1347704809836056E-3</v>
      </c>
      <c r="X68" s="4">
        <f t="shared" si="3"/>
        <v>7.0293576098360653E-3</v>
      </c>
      <c r="Y68" s="4">
        <f t="shared" si="3"/>
        <v>1.2377127401639341E-2</v>
      </c>
      <c r="Z68" s="4">
        <f t="shared" si="3"/>
        <v>9.0082663049180309E-3</v>
      </c>
      <c r="AA68" s="4">
        <f t="shared" si="3"/>
        <v>6.2235369262295072E-3</v>
      </c>
      <c r="AB68" s="4">
        <f t="shared" si="3"/>
        <v>8.1369238711475403E-3</v>
      </c>
      <c r="AC68" s="4">
        <f t="shared" si="3"/>
        <v>1.1062416099999996E-2</v>
      </c>
      <c r="AD68" s="4">
        <f t="shared" si="3"/>
        <v>1.3711956877540987E-2</v>
      </c>
      <c r="AE68" s="4">
        <f t="shared" si="3"/>
        <v>1.235769511967213E-2</v>
      </c>
      <c r="AF68" s="4">
        <f t="shared" si="3"/>
        <v>8.9529362770491804E-3</v>
      </c>
      <c r="AG68" s="4">
        <f t="shared" si="3"/>
        <v>9.936460629508195E-3</v>
      </c>
      <c r="AH68" s="4">
        <f t="shared" si="3"/>
        <v>8.5145539639344264E-3</v>
      </c>
      <c r="AI68" s="4">
        <f t="shared" si="3"/>
        <v>1.4971632099344262E-2</v>
      </c>
    </row>
    <row r="69" spans="1:38" x14ac:dyDescent="0.45">
      <c r="A69" t="s">
        <v>21</v>
      </c>
      <c r="B69" s="4">
        <f t="shared" ref="B69:AI69" si="4">STDEV(B40:B62)</f>
        <v>6.392791463041729E-2</v>
      </c>
      <c r="C69" s="4">
        <f t="shared" si="4"/>
        <v>4.6001786830000932E-2</v>
      </c>
      <c r="D69" s="4">
        <f t="shared" si="4"/>
        <v>5.3028050903334983E-2</v>
      </c>
      <c r="E69" s="4">
        <f t="shared" si="4"/>
        <v>4.7529472127348128E-2</v>
      </c>
      <c r="F69" s="4">
        <f t="shared" si="4"/>
        <v>5.0754212828235785E-2</v>
      </c>
      <c r="G69" s="4">
        <f t="shared" si="4"/>
        <v>5.337432461879827E-2</v>
      </c>
      <c r="H69" s="4">
        <f t="shared" si="4"/>
        <v>3.7698592893093852E-2</v>
      </c>
      <c r="I69" s="4">
        <f t="shared" si="4"/>
        <v>4.6007794393372235E-2</v>
      </c>
      <c r="J69" s="4">
        <f t="shared" si="4"/>
        <v>4.8537142452874486E-2</v>
      </c>
      <c r="K69" s="4">
        <f t="shared" si="4"/>
        <v>7.4770794940139801E-2</v>
      </c>
      <c r="L69" s="4">
        <f t="shared" si="4"/>
        <v>6.3113037394194049E-2</v>
      </c>
      <c r="M69" s="4">
        <f t="shared" si="4"/>
        <v>4.8078028294736917E-2</v>
      </c>
      <c r="N69" s="4">
        <f t="shared" si="4"/>
        <v>4.671436623139183E-2</v>
      </c>
      <c r="O69" s="4">
        <f t="shared" si="4"/>
        <v>3.3897739447169672E-2</v>
      </c>
      <c r="P69" s="4">
        <f t="shared" si="4"/>
        <v>7.1065153864639546E-2</v>
      </c>
      <c r="Q69" s="4">
        <f t="shared" si="4"/>
        <v>2.9639473178270082E-2</v>
      </c>
      <c r="R69" s="4">
        <f t="shared" si="4"/>
        <v>4.0888260417103514E-2</v>
      </c>
      <c r="S69" s="4">
        <f t="shared" si="4"/>
        <v>5.4211147054493258E-2</v>
      </c>
      <c r="T69" s="4">
        <f t="shared" si="4"/>
        <v>3.5527261166027176E-2</v>
      </c>
      <c r="U69" s="4">
        <f t="shared" si="4"/>
        <v>6.630288214212704E-2</v>
      </c>
      <c r="V69" s="4">
        <f t="shared" si="4"/>
        <v>3.6651113206460799E-2</v>
      </c>
      <c r="W69" s="4">
        <f t="shared" si="4"/>
        <v>3.5810960297845279E-2</v>
      </c>
      <c r="X69" s="4">
        <f t="shared" si="4"/>
        <v>3.8652524894509058E-2</v>
      </c>
      <c r="Y69" s="4">
        <f t="shared" si="4"/>
        <v>3.2839660029660718E-2</v>
      </c>
      <c r="Z69" s="4">
        <f t="shared" si="4"/>
        <v>3.756705053049119E-2</v>
      </c>
      <c r="AA69" s="4">
        <f t="shared" si="4"/>
        <v>3.0441263192683019E-2</v>
      </c>
      <c r="AB69" s="4">
        <f t="shared" si="4"/>
        <v>4.0135215540386876E-2</v>
      </c>
      <c r="AC69" s="4">
        <f t="shared" si="4"/>
        <v>2.70722664691023E-2</v>
      </c>
      <c r="AD69" s="4">
        <f t="shared" si="4"/>
        <v>4.0670679869563645E-2</v>
      </c>
      <c r="AE69" s="4">
        <f t="shared" si="4"/>
        <v>3.0883389042965389E-2</v>
      </c>
      <c r="AF69" s="4">
        <f t="shared" si="4"/>
        <v>3.6610228208679672E-2</v>
      </c>
      <c r="AG69" s="4">
        <f t="shared" si="4"/>
        <v>4.7444589389630254E-2</v>
      </c>
      <c r="AH69" s="4">
        <f t="shared" si="4"/>
        <v>4.4873767661744342E-2</v>
      </c>
      <c r="AI69" s="4">
        <f t="shared" si="4"/>
        <v>3.9121486456942078E-2</v>
      </c>
    </row>
    <row r="70" spans="1:38" x14ac:dyDescent="0.45">
      <c r="A70" t="s">
        <v>36</v>
      </c>
      <c r="B70" s="3">
        <f>B69*2</f>
        <v>0.12785582926083458</v>
      </c>
      <c r="C70" s="3">
        <f t="shared" ref="C70:AI70" si="5">C69*2</f>
        <v>9.2003573660001864E-2</v>
      </c>
      <c r="D70" s="3">
        <f t="shared" si="5"/>
        <v>0.10605610180666997</v>
      </c>
      <c r="E70" s="3">
        <f t="shared" si="5"/>
        <v>9.5058944254696257E-2</v>
      </c>
      <c r="F70" s="3">
        <f t="shared" si="5"/>
        <v>0.10150842565647157</v>
      </c>
      <c r="G70" s="3">
        <f t="shared" si="5"/>
        <v>0.10674864923759654</v>
      </c>
      <c r="H70" s="3">
        <f t="shared" si="5"/>
        <v>7.5397185786187704E-2</v>
      </c>
      <c r="I70" s="3">
        <f t="shared" si="5"/>
        <v>9.2015588786744471E-2</v>
      </c>
      <c r="J70" s="3">
        <f t="shared" si="5"/>
        <v>9.7074284905748973E-2</v>
      </c>
      <c r="K70" s="3">
        <f t="shared" si="5"/>
        <v>0.1495415898802796</v>
      </c>
      <c r="L70" s="3">
        <f t="shared" si="5"/>
        <v>0.1262260747883881</v>
      </c>
      <c r="M70" s="3">
        <f t="shared" si="5"/>
        <v>9.6156056589473834E-2</v>
      </c>
      <c r="N70" s="3">
        <f t="shared" si="5"/>
        <v>9.3428732462783659E-2</v>
      </c>
      <c r="O70" s="3">
        <f t="shared" si="5"/>
        <v>6.7795478894339345E-2</v>
      </c>
      <c r="P70" s="3">
        <f t="shared" si="5"/>
        <v>0.14213030772927909</v>
      </c>
      <c r="Q70" s="3">
        <f t="shared" si="5"/>
        <v>5.9278946356540164E-2</v>
      </c>
      <c r="R70" s="3">
        <f t="shared" si="5"/>
        <v>8.1776520834207028E-2</v>
      </c>
      <c r="S70" s="3">
        <f t="shared" si="5"/>
        <v>0.10842229410898652</v>
      </c>
      <c r="T70" s="3">
        <f t="shared" si="5"/>
        <v>7.1054522332054351E-2</v>
      </c>
      <c r="U70" s="3">
        <f t="shared" si="5"/>
        <v>0.13260576428425408</v>
      </c>
      <c r="V70" s="3">
        <f t="shared" si="5"/>
        <v>7.3302226412921598E-2</v>
      </c>
      <c r="W70" s="3">
        <f t="shared" si="5"/>
        <v>7.1621920595690558E-2</v>
      </c>
      <c r="X70" s="3">
        <f t="shared" si="5"/>
        <v>7.7305049789018115E-2</v>
      </c>
      <c r="Y70" s="3">
        <f t="shared" si="5"/>
        <v>6.5679320059321436E-2</v>
      </c>
      <c r="Z70" s="3">
        <f t="shared" si="5"/>
        <v>7.5134101060982381E-2</v>
      </c>
      <c r="AA70" s="3">
        <f t="shared" si="5"/>
        <v>6.0882526385366037E-2</v>
      </c>
      <c r="AB70" s="3">
        <f t="shared" si="5"/>
        <v>8.0270431080773752E-2</v>
      </c>
      <c r="AC70" s="3">
        <f t="shared" si="5"/>
        <v>5.41445329382046E-2</v>
      </c>
      <c r="AD70" s="3">
        <f t="shared" si="5"/>
        <v>8.1341359739127289E-2</v>
      </c>
      <c r="AE70" s="3">
        <f t="shared" si="5"/>
        <v>6.1766778085930778E-2</v>
      </c>
      <c r="AF70" s="3">
        <f t="shared" si="5"/>
        <v>7.3220456417359345E-2</v>
      </c>
      <c r="AG70" s="3">
        <f t="shared" si="5"/>
        <v>9.4889178779260508E-2</v>
      </c>
      <c r="AH70" s="3">
        <f t="shared" si="5"/>
        <v>8.9747535323488684E-2</v>
      </c>
      <c r="AI70" s="3">
        <f t="shared" si="5"/>
        <v>7.8242972913884157E-2</v>
      </c>
    </row>
    <row r="71" spans="1:38" x14ac:dyDescent="0.45">
      <c r="A71" t="s">
        <v>79</v>
      </c>
      <c r="B71">
        <f>PRICE_DATA!B2</f>
        <v>34.58</v>
      </c>
      <c r="C71">
        <f>PRICE_DATA!C2</f>
        <v>40.4</v>
      </c>
      <c r="D71">
        <f>PRICE_DATA!D2</f>
        <v>18.7</v>
      </c>
      <c r="E71">
        <f>PRICE_DATA!E2</f>
        <v>24.92</v>
      </c>
      <c r="F71">
        <f>PRICE_DATA!F2</f>
        <v>35.19</v>
      </c>
      <c r="G71">
        <f>PRICE_DATA!G2</f>
        <v>72.349999999999994</v>
      </c>
      <c r="H71">
        <f>PRICE_DATA!H2</f>
        <v>27.36</v>
      </c>
      <c r="I71">
        <f>PRICE_DATA!I2</f>
        <v>63.53</v>
      </c>
      <c r="J71">
        <f>PRICE_DATA!J2</f>
        <v>69.33</v>
      </c>
      <c r="K71">
        <f>PRICE_DATA!K2</f>
        <v>97.22</v>
      </c>
      <c r="L71">
        <f>PRICE_DATA!L2</f>
        <v>31.77</v>
      </c>
      <c r="M71">
        <f>PRICE_DATA!M2</f>
        <v>68.8</v>
      </c>
      <c r="N71">
        <f>PRICE_DATA!N2</f>
        <v>65.91</v>
      </c>
      <c r="O71">
        <f>PRICE_DATA!O2</f>
        <v>54.05</v>
      </c>
      <c r="P71">
        <f>PRICE_DATA!P2</f>
        <v>60.07</v>
      </c>
      <c r="Q71">
        <f>PRICE_DATA!Q2</f>
        <v>18.818300000000001</v>
      </c>
      <c r="R71">
        <f>PRICE_DATA!R2</f>
        <v>1259.67</v>
      </c>
      <c r="S71">
        <f>PRICE_DATA!S2</f>
        <v>34.42</v>
      </c>
      <c r="T71">
        <f>PRICE_DATA!T2</f>
        <v>19.12</v>
      </c>
      <c r="U71">
        <f>PRICE_DATA!U2</f>
        <v>19.079999999999998</v>
      </c>
      <c r="V71">
        <f>PRICE_DATA!V2</f>
        <v>36.409999999999997</v>
      </c>
      <c r="W71">
        <f>PRICE_DATA!W2</f>
        <v>45.271500000000003</v>
      </c>
      <c r="X71">
        <f>PRICE_DATA!X2</f>
        <v>26.19</v>
      </c>
      <c r="Y71">
        <f>PRICE_DATA!Y2</f>
        <v>53.93</v>
      </c>
      <c r="Z71">
        <f>PRICE_DATA!Z2</f>
        <v>42.5</v>
      </c>
      <c r="AA71">
        <f>PRICE_DATA!AA2</f>
        <v>80.739999999999995</v>
      </c>
      <c r="AB71">
        <f>PRICE_DATA!AB2</f>
        <v>59.96</v>
      </c>
      <c r="AC71">
        <f>PRICE_DATA!AC2</f>
        <v>43.98</v>
      </c>
      <c r="AD71">
        <f>PRICE_DATA!AD2</f>
        <v>614.30999999999995</v>
      </c>
      <c r="AE71">
        <f>PRICE_DATA!AE2</f>
        <v>681.92</v>
      </c>
      <c r="AF71">
        <f>PRICE_DATA!AF2</f>
        <v>44.99</v>
      </c>
      <c r="AG71">
        <f>PRICE_DATA!AG2</f>
        <v>57.03</v>
      </c>
      <c r="AH71">
        <f>PRICE_DATA!AH2</f>
        <v>49.23</v>
      </c>
      <c r="AI71">
        <f>PRICE_DATA!AI2</f>
        <v>54.33</v>
      </c>
    </row>
    <row r="72" spans="1:38" x14ac:dyDescent="0.45">
      <c r="A72" t="s">
        <v>80</v>
      </c>
      <c r="B72" s="7">
        <f>PRICE_DATA!B204</f>
        <v>31.073295522388044</v>
      </c>
      <c r="C72" s="7">
        <f>PRICE_DATA!C204</f>
        <v>33.112562189054721</v>
      </c>
      <c r="D72" s="7">
        <f>PRICE_DATA!D204</f>
        <v>17.845373134328351</v>
      </c>
      <c r="E72" s="7">
        <f>PRICE_DATA!E204</f>
        <v>25.913607462686581</v>
      </c>
      <c r="F72" s="7">
        <f>PRICE_DATA!F204</f>
        <v>31.936965174129352</v>
      </c>
      <c r="G72" s="7">
        <f>PRICE_DATA!G204</f>
        <v>54.326862189054737</v>
      </c>
      <c r="H72" s="7">
        <f>PRICE_DATA!H204</f>
        <v>24.978258706467667</v>
      </c>
      <c r="I72" s="7">
        <f>PRICE_DATA!I204</f>
        <v>58.464527363184068</v>
      </c>
      <c r="J72" s="7">
        <f>PRICE_DATA!J204</f>
        <v>62.432238805970151</v>
      </c>
      <c r="K72" s="7">
        <f>PRICE_DATA!K204</f>
        <v>75.17134328358209</v>
      </c>
      <c r="L72" s="7">
        <f>PRICE_DATA!L204</f>
        <v>29.074875621890531</v>
      </c>
      <c r="M72" s="7">
        <f>PRICE_DATA!M204</f>
        <v>57.861243781094494</v>
      </c>
      <c r="N72" s="7">
        <f>PRICE_DATA!N204</f>
        <v>59.962575124378084</v>
      </c>
      <c r="O72" s="7">
        <f>PRICE_DATA!O204</f>
        <v>53.580920398009965</v>
      </c>
      <c r="P72" s="7">
        <f>PRICE_DATA!P204</f>
        <v>58.575646766169228</v>
      </c>
      <c r="Q72" s="7">
        <f>PRICE_DATA!Q204</f>
        <v>18.990587064676621</v>
      </c>
      <c r="R72" s="7">
        <f>PRICE_DATA!R204</f>
        <v>1220.5820895522381</v>
      </c>
      <c r="S72" s="7">
        <f>PRICE_DATA!S204</f>
        <v>33.092610945273591</v>
      </c>
      <c r="T72" s="7">
        <f>PRICE_DATA!T204</f>
        <v>18.836748756218917</v>
      </c>
      <c r="U72" s="7">
        <f>PRICE_DATA!U204</f>
        <v>15.870422885572136</v>
      </c>
      <c r="V72" s="7">
        <f>PRICE_DATA!V204</f>
        <v>38.649154228855721</v>
      </c>
      <c r="W72" s="7">
        <f>PRICE_DATA!W204</f>
        <v>45.137556716417876</v>
      </c>
      <c r="X72" s="7">
        <f>PRICE_DATA!X204</f>
        <v>25.994676616915442</v>
      </c>
      <c r="Y72" s="7">
        <f>PRICE_DATA!Y204</f>
        <v>47.591442786069692</v>
      </c>
      <c r="Z72" s="7">
        <f>PRICE_DATA!Z204</f>
        <v>41.027164179104503</v>
      </c>
      <c r="AA72" s="7">
        <f>PRICE_DATA!AA204</f>
        <v>76.815422885572161</v>
      </c>
      <c r="AB72" s="7">
        <f>PRICE_DATA!AB204</f>
        <v>55.210099502487616</v>
      </c>
      <c r="AC72" s="7">
        <f>PRICE_DATA!AC204</f>
        <v>40.717810945273619</v>
      </c>
      <c r="AD72" s="7">
        <f>PRICE_DATA!AD204</f>
        <v>560.38298507462673</v>
      </c>
      <c r="AE72" s="7">
        <f>PRICE_DATA!AE204</f>
        <v>629.0119402985074</v>
      </c>
      <c r="AF72" s="7">
        <f>PRICE_DATA!AF204</f>
        <v>42.942238805970149</v>
      </c>
      <c r="AG72" s="7">
        <f>PRICE_DATA!AG204</f>
        <v>54.094762686567186</v>
      </c>
      <c r="AH72" s="7">
        <f>PRICE_DATA!AH204</f>
        <v>45.989552238805956</v>
      </c>
      <c r="AI72" s="7">
        <f>PRICE_DATA!AI204</f>
        <v>49.212089552238794</v>
      </c>
    </row>
    <row r="73" spans="1:38" x14ac:dyDescent="0.45">
      <c r="A73" t="s">
        <v>76</v>
      </c>
      <c r="B73">
        <f>IF(B67&gt;B68+B70,1,0)</f>
        <v>0</v>
      </c>
      <c r="C73">
        <f t="shared" ref="C73:AI73" si="6">IF(C67&gt;C68+C70,1,0)</f>
        <v>0</v>
      </c>
      <c r="D73">
        <f t="shared" si="6"/>
        <v>0</v>
      </c>
      <c r="E73">
        <f t="shared" si="6"/>
        <v>0</v>
      </c>
      <c r="F73">
        <f t="shared" si="6"/>
        <v>0</v>
      </c>
      <c r="G73">
        <f t="shared" si="6"/>
        <v>0</v>
      </c>
      <c r="H73">
        <f t="shared" si="6"/>
        <v>0</v>
      </c>
      <c r="I73">
        <f t="shared" si="6"/>
        <v>0</v>
      </c>
      <c r="J73">
        <f t="shared" si="6"/>
        <v>0</v>
      </c>
      <c r="K73">
        <f t="shared" si="6"/>
        <v>0</v>
      </c>
      <c r="L73">
        <f t="shared" si="6"/>
        <v>0</v>
      </c>
      <c r="M73">
        <f t="shared" si="6"/>
        <v>0</v>
      </c>
      <c r="N73">
        <f t="shared" si="6"/>
        <v>0</v>
      </c>
      <c r="O73">
        <f t="shared" si="6"/>
        <v>0</v>
      </c>
      <c r="P73">
        <f t="shared" si="6"/>
        <v>0</v>
      </c>
      <c r="Q73">
        <f t="shared" si="6"/>
        <v>0</v>
      </c>
      <c r="R73">
        <f t="shared" si="6"/>
        <v>0</v>
      </c>
      <c r="S73">
        <f t="shared" si="6"/>
        <v>0</v>
      </c>
      <c r="T73">
        <f t="shared" si="6"/>
        <v>0</v>
      </c>
      <c r="U73">
        <f t="shared" si="6"/>
        <v>0</v>
      </c>
      <c r="V73">
        <f t="shared" si="6"/>
        <v>0</v>
      </c>
      <c r="W73">
        <f t="shared" si="6"/>
        <v>0</v>
      </c>
      <c r="X73">
        <f t="shared" si="6"/>
        <v>0</v>
      </c>
      <c r="Y73">
        <f t="shared" si="6"/>
        <v>0</v>
      </c>
      <c r="Z73">
        <f t="shared" si="6"/>
        <v>0</v>
      </c>
      <c r="AA73">
        <f t="shared" si="6"/>
        <v>0</v>
      </c>
      <c r="AB73">
        <f t="shared" si="6"/>
        <v>0</v>
      </c>
      <c r="AC73">
        <f t="shared" si="6"/>
        <v>0</v>
      </c>
      <c r="AD73">
        <f t="shared" si="6"/>
        <v>0</v>
      </c>
      <c r="AE73">
        <f t="shared" si="6"/>
        <v>0</v>
      </c>
      <c r="AF73">
        <f t="shared" si="6"/>
        <v>0</v>
      </c>
      <c r="AG73">
        <f t="shared" si="6"/>
        <v>0</v>
      </c>
      <c r="AH73">
        <f t="shared" si="6"/>
        <v>0</v>
      </c>
      <c r="AI73">
        <f t="shared" si="6"/>
        <v>0</v>
      </c>
    </row>
    <row r="74" spans="1:38" x14ac:dyDescent="0.45">
      <c r="A74" t="s">
        <v>77</v>
      </c>
      <c r="B74">
        <f>IF(B67&lt;B68-B70,1,0)</f>
        <v>0</v>
      </c>
      <c r="C74">
        <f t="shared" ref="C74:AI74" si="7">IF(C67&lt;C68-C70,1,0)</f>
        <v>0</v>
      </c>
      <c r="D74">
        <f t="shared" si="7"/>
        <v>0</v>
      </c>
      <c r="E74">
        <f t="shared" si="7"/>
        <v>0</v>
      </c>
      <c r="F74">
        <f t="shared" si="7"/>
        <v>0</v>
      </c>
      <c r="G74">
        <f t="shared" si="7"/>
        <v>0</v>
      </c>
      <c r="H74">
        <f t="shared" si="7"/>
        <v>0</v>
      </c>
      <c r="I74">
        <f t="shared" si="7"/>
        <v>0</v>
      </c>
      <c r="J74">
        <f t="shared" si="7"/>
        <v>0</v>
      </c>
      <c r="K74">
        <f t="shared" si="7"/>
        <v>0</v>
      </c>
      <c r="L74">
        <f t="shared" si="7"/>
        <v>0</v>
      </c>
      <c r="M74">
        <f t="shared" si="7"/>
        <v>0</v>
      </c>
      <c r="N74">
        <f t="shared" si="7"/>
        <v>0</v>
      </c>
      <c r="O74">
        <f t="shared" si="7"/>
        <v>0</v>
      </c>
      <c r="P74">
        <f t="shared" si="7"/>
        <v>0</v>
      </c>
      <c r="Q74">
        <f t="shared" si="7"/>
        <v>0</v>
      </c>
      <c r="R74">
        <f t="shared" si="7"/>
        <v>0</v>
      </c>
      <c r="S74">
        <f t="shared" si="7"/>
        <v>0</v>
      </c>
      <c r="T74">
        <f t="shared" si="7"/>
        <v>0</v>
      </c>
      <c r="U74">
        <f t="shared" si="7"/>
        <v>0</v>
      </c>
      <c r="V74">
        <f t="shared" si="7"/>
        <v>0</v>
      </c>
      <c r="W74">
        <f t="shared" si="7"/>
        <v>0</v>
      </c>
      <c r="X74">
        <f t="shared" si="7"/>
        <v>0</v>
      </c>
      <c r="Y74">
        <f t="shared" si="7"/>
        <v>0</v>
      </c>
      <c r="Z74">
        <f t="shared" si="7"/>
        <v>0</v>
      </c>
      <c r="AA74">
        <f t="shared" si="7"/>
        <v>0</v>
      </c>
      <c r="AB74">
        <f t="shared" si="7"/>
        <v>0</v>
      </c>
      <c r="AC74">
        <f t="shared" si="7"/>
        <v>0</v>
      </c>
      <c r="AD74">
        <f t="shared" si="7"/>
        <v>0</v>
      </c>
      <c r="AE74">
        <f t="shared" si="7"/>
        <v>0</v>
      </c>
      <c r="AF74">
        <f t="shared" si="7"/>
        <v>0</v>
      </c>
      <c r="AG74">
        <f t="shared" si="7"/>
        <v>0</v>
      </c>
      <c r="AH74">
        <f t="shared" si="7"/>
        <v>0</v>
      </c>
      <c r="AI74">
        <f t="shared" si="7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08AEF-C559-4477-90B2-5852D36613B6}">
  <dimension ref="A1:AI204"/>
  <sheetViews>
    <sheetView topLeftCell="A179" workbookViewId="0">
      <selection activeCell="F187" sqref="F187"/>
    </sheetView>
  </sheetViews>
  <sheetFormatPr defaultRowHeight="14.25" x14ac:dyDescent="0.45"/>
  <cols>
    <col min="1" max="1" width="10.796875" customWidth="1"/>
  </cols>
  <sheetData>
    <row r="1" spans="1:35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45">
      <c r="A2" s="2" cm="1">
        <f t="array" ref="A2:A202">_xll.FDS(B1,"JULIAN(FG_PRICE(0,-200D).dates)")</f>
        <v>46023</v>
      </c>
      <c r="B2" cm="1">
        <f t="array" ref="B2:B202">_xll.FDS(B1,"FG_PRICE(0,-200D)")</f>
        <v>34.58</v>
      </c>
      <c r="C2" cm="1">
        <f t="array" ref="C2:C202">_xll.FDS(C1,"FG_PRICE(0,-200D)")</f>
        <v>40.4</v>
      </c>
      <c r="D2" cm="1">
        <f t="array" ref="D2:D202">_xll.FDS(D1,"FG_PRICE(0,-200D)")</f>
        <v>18.7</v>
      </c>
      <c r="E2" cm="1">
        <f t="array" ref="E2:E202">_xll.FDS(E1,"FG_PRICE(0,-200D)")</f>
        <v>24.92</v>
      </c>
      <c r="F2" cm="1">
        <f t="array" ref="F2:F202">_xll.FDS(F1,"FG_PRICE(0,-200D)")</f>
        <v>35.19</v>
      </c>
      <c r="G2" cm="1">
        <f t="array" ref="G2:G202">_xll.FDS(G1,"FG_PRICE(0,-200D)")</f>
        <v>72.349999999999994</v>
      </c>
      <c r="H2" cm="1">
        <f t="array" ref="H2:H202">_xll.FDS(H1,"FG_PRICE(0,-200D)")</f>
        <v>27.36</v>
      </c>
      <c r="I2" cm="1">
        <f t="array" ref="I2:I202">_xll.FDS(I1,"FG_PRICE(0,-200D)")</f>
        <v>63.53</v>
      </c>
      <c r="J2" cm="1">
        <f t="array" ref="J2:J202">_xll.FDS(J1,"FG_PRICE(0,-200D)")</f>
        <v>69.33</v>
      </c>
      <c r="K2" cm="1">
        <f t="array" ref="K2:K202">_xll.FDS(K1,"FG_PRICE(0,-200D)")</f>
        <v>97.22</v>
      </c>
      <c r="L2" cm="1">
        <f t="array" ref="L2:L202">_xll.FDS(L1,"FG_PRICE(0,-200D)")</f>
        <v>31.77</v>
      </c>
      <c r="M2" cm="1">
        <f t="array" ref="M2:M202">_xll.FDS(M1,"FG_PRICE(0,-200D)")</f>
        <v>68.8</v>
      </c>
      <c r="N2" cm="1">
        <f t="array" ref="N2:N202">_xll.FDS(N1,"FG_PRICE(0,-200D)")</f>
        <v>65.91</v>
      </c>
      <c r="O2" cm="1">
        <f t="array" ref="O2:O202">_xll.FDS(O1,"FG_PRICE(0,-200D)")</f>
        <v>54.05</v>
      </c>
      <c r="P2" cm="1">
        <f t="array" ref="P2:P202">_xll.FDS(P1,"FG_PRICE(0,-200D)")</f>
        <v>60.07</v>
      </c>
      <c r="Q2" cm="1">
        <f t="array" ref="Q2:Q202">_xll.FDS(Q1,"FG_PRICE(0,-200D)")</f>
        <v>18.818300000000001</v>
      </c>
      <c r="R2" cm="1">
        <f t="array" ref="R2:R202">_xll.FDS(R1,"FG_PRICE(0,-200D)")</f>
        <v>1259.67</v>
      </c>
      <c r="S2" cm="1">
        <f t="array" ref="S2:S202">_xll.FDS(S1,"FG_PRICE(0,-200D)")</f>
        <v>34.42</v>
      </c>
      <c r="T2" cm="1">
        <f t="array" ref="T2:T202">_xll.FDS(T1,"FG_PRICE(0,-200D)")</f>
        <v>19.12</v>
      </c>
      <c r="U2" cm="1">
        <f t="array" ref="U2:U202">_xll.FDS(U1,"FG_PRICE(0,-200D)")</f>
        <v>19.079999999999998</v>
      </c>
      <c r="V2" cm="1">
        <f t="array" ref="V2:V202">_xll.FDS(V1,"FG_PRICE(0,-200D)")</f>
        <v>36.409999999999997</v>
      </c>
      <c r="W2" cm="1">
        <f t="array" ref="W2:W202">_xll.FDS(W1,"FG_PRICE(0,-200D)")</f>
        <v>45.271500000000003</v>
      </c>
      <c r="X2" cm="1">
        <f t="array" ref="X2:X202">_xll.FDS(X1,"FG_PRICE(0,-200D)")</f>
        <v>26.19</v>
      </c>
      <c r="Y2" cm="1">
        <f t="array" ref="Y2:Y202">_xll.FDS(Y1,"FG_PRICE(0,-200D)")</f>
        <v>53.93</v>
      </c>
      <c r="Z2" cm="1">
        <f t="array" ref="Z2:Z202">_xll.FDS(Z1,"FG_PRICE(0,-200D)")</f>
        <v>42.5</v>
      </c>
      <c r="AA2" cm="1">
        <f t="array" ref="AA2:AA202">_xll.FDS(AA1,"FG_PRICE(0,-200D)")</f>
        <v>80.739999999999995</v>
      </c>
      <c r="AB2" cm="1">
        <f t="array" ref="AB2:AB202">_xll.FDS(AB1,"FG_PRICE(0,-200D)")</f>
        <v>59.96</v>
      </c>
      <c r="AC2" cm="1">
        <f t="array" ref="AC2:AC202">_xll.FDS(AC1,"FG_PRICE(0,-200D)")</f>
        <v>43.98</v>
      </c>
      <c r="AD2" cm="1">
        <f t="array" ref="AD2:AD202">_xll.FDS(AD1,"FG_PRICE(0,-200D)")</f>
        <v>614.30999999999995</v>
      </c>
      <c r="AE2" cm="1">
        <f t="array" ref="AE2:AE202">_xll.FDS(AE1,"FG_PRICE(0,-200D)")</f>
        <v>681.92</v>
      </c>
      <c r="AF2" cm="1">
        <f t="array" ref="AF2:AF202">_xll.FDS(AF1,"FG_PRICE(0,-200D)")</f>
        <v>44.99</v>
      </c>
      <c r="AG2" cm="1">
        <f t="array" ref="AG2:AG202">_xll.FDS(AG1,"FG_PRICE(0,-200D)")</f>
        <v>57.03</v>
      </c>
      <c r="AH2" cm="1">
        <f t="array" ref="AH2:AH202">_xll.FDS(AH1,"FG_PRICE(0,-200D)")</f>
        <v>49.23</v>
      </c>
      <c r="AI2" cm="1">
        <f t="array" ref="AI2:AI202">_xll.FDS(AI1,"FG_PRICE(0,-200D)")</f>
        <v>54.33</v>
      </c>
    </row>
    <row r="3" spans="1:35" x14ac:dyDescent="0.45">
      <c r="A3" s="2">
        <v>46022</v>
      </c>
      <c r="B3">
        <v>34.58</v>
      </c>
      <c r="C3">
        <v>40.4</v>
      </c>
      <c r="D3">
        <v>18.7</v>
      </c>
      <c r="E3">
        <v>24.92</v>
      </c>
      <c r="F3">
        <v>35.19</v>
      </c>
      <c r="G3">
        <v>72.349999999999994</v>
      </c>
      <c r="H3">
        <v>27.36</v>
      </c>
      <c r="I3">
        <v>63.53</v>
      </c>
      <c r="J3">
        <v>69.33</v>
      </c>
      <c r="K3">
        <v>97.22</v>
      </c>
      <c r="L3">
        <v>31.77</v>
      </c>
      <c r="M3">
        <v>68.8</v>
      </c>
      <c r="N3">
        <v>65.91</v>
      </c>
      <c r="O3">
        <v>54.05</v>
      </c>
      <c r="P3">
        <v>60.07</v>
      </c>
      <c r="Q3">
        <v>18.818300000000001</v>
      </c>
      <c r="R3">
        <v>1259.67</v>
      </c>
      <c r="S3">
        <v>34.42</v>
      </c>
      <c r="T3">
        <v>19.12</v>
      </c>
      <c r="U3">
        <v>19.079999999999998</v>
      </c>
      <c r="V3">
        <v>36.409999999999997</v>
      </c>
      <c r="W3">
        <v>45.271500000000003</v>
      </c>
      <c r="X3">
        <v>26.19</v>
      </c>
      <c r="Y3">
        <v>53.93</v>
      </c>
      <c r="Z3">
        <v>42.5</v>
      </c>
      <c r="AA3">
        <v>80.739999999999995</v>
      </c>
      <c r="AB3">
        <v>59.96</v>
      </c>
      <c r="AC3">
        <v>43.98</v>
      </c>
      <c r="AD3">
        <v>614.30999999999995</v>
      </c>
      <c r="AE3">
        <v>681.92</v>
      </c>
      <c r="AF3">
        <v>44.99</v>
      </c>
      <c r="AG3">
        <v>57.03</v>
      </c>
      <c r="AH3">
        <v>49.23</v>
      </c>
      <c r="AI3">
        <v>54.33</v>
      </c>
    </row>
    <row r="4" spans="1:35" x14ac:dyDescent="0.45">
      <c r="A4" s="2">
        <v>46021</v>
      </c>
      <c r="B4">
        <v>34.590000000000003</v>
      </c>
      <c r="C4">
        <v>40.54</v>
      </c>
      <c r="D4">
        <v>18.670000000000002</v>
      </c>
      <c r="E4">
        <v>25.06</v>
      </c>
      <c r="F4">
        <v>35.159999999999997</v>
      </c>
      <c r="G4">
        <v>72.91</v>
      </c>
      <c r="H4">
        <v>27.57</v>
      </c>
      <c r="I4">
        <v>63.71</v>
      </c>
      <c r="J4">
        <v>69.489999999999995</v>
      </c>
      <c r="K4">
        <v>98.62</v>
      </c>
      <c r="L4">
        <v>31.99</v>
      </c>
      <c r="M4">
        <v>69.23</v>
      </c>
      <c r="N4">
        <v>66.5</v>
      </c>
      <c r="O4">
        <v>53.64</v>
      </c>
      <c r="P4">
        <v>60.58</v>
      </c>
      <c r="Q4">
        <v>18.95</v>
      </c>
      <c r="R4">
        <v>1259.67</v>
      </c>
      <c r="S4">
        <v>34.42</v>
      </c>
      <c r="T4">
        <v>19.05</v>
      </c>
      <c r="U4">
        <v>19.010000000000002</v>
      </c>
      <c r="V4">
        <v>36.049999999999997</v>
      </c>
      <c r="W4">
        <v>45.41</v>
      </c>
      <c r="X4">
        <v>26.41</v>
      </c>
      <c r="Y4">
        <v>54.3</v>
      </c>
      <c r="Z4">
        <v>42.75</v>
      </c>
      <c r="AA4">
        <v>80.98</v>
      </c>
      <c r="AB4">
        <v>60.17</v>
      </c>
      <c r="AC4">
        <v>44.22</v>
      </c>
      <c r="AD4">
        <v>619.42999999999995</v>
      </c>
      <c r="AE4">
        <v>687.01</v>
      </c>
      <c r="AF4">
        <v>45.14</v>
      </c>
      <c r="AG4">
        <v>57.226999999999997</v>
      </c>
      <c r="AH4">
        <v>49.55</v>
      </c>
      <c r="AI4">
        <v>54.59</v>
      </c>
    </row>
    <row r="5" spans="1:35" x14ac:dyDescent="0.45">
      <c r="A5" s="2">
        <v>46020</v>
      </c>
      <c r="B5">
        <v>34.369999999999997</v>
      </c>
      <c r="C5">
        <v>40.15</v>
      </c>
      <c r="D5">
        <v>18.670000000000002</v>
      </c>
      <c r="E5">
        <v>25.09</v>
      </c>
      <c r="F5">
        <v>34.96</v>
      </c>
      <c r="G5">
        <v>71.95</v>
      </c>
      <c r="H5">
        <v>27.53</v>
      </c>
      <c r="I5">
        <v>63.33</v>
      </c>
      <c r="J5">
        <v>70.510000000000005</v>
      </c>
      <c r="K5">
        <v>98.72</v>
      </c>
      <c r="L5">
        <v>31.42</v>
      </c>
      <c r="M5">
        <v>68.430000000000007</v>
      </c>
      <c r="N5">
        <v>68</v>
      </c>
      <c r="O5">
        <v>53.47</v>
      </c>
      <c r="P5">
        <v>60.37</v>
      </c>
      <c r="Q5">
        <v>18.8751</v>
      </c>
      <c r="R5">
        <v>1254.03</v>
      </c>
      <c r="S5">
        <v>34.409999999999997</v>
      </c>
      <c r="T5">
        <v>19.600000000000001</v>
      </c>
      <c r="U5">
        <v>18.920000000000002</v>
      </c>
      <c r="V5">
        <v>36.39</v>
      </c>
      <c r="W5">
        <v>45.41</v>
      </c>
      <c r="X5">
        <v>26.48</v>
      </c>
      <c r="Y5">
        <v>54.33</v>
      </c>
      <c r="Z5">
        <v>42.51</v>
      </c>
      <c r="AA5">
        <v>81.09</v>
      </c>
      <c r="AB5">
        <v>60.35</v>
      </c>
      <c r="AC5">
        <v>44.02</v>
      </c>
      <c r="AD5">
        <v>620.87</v>
      </c>
      <c r="AE5">
        <v>687.85</v>
      </c>
      <c r="AF5">
        <v>44.99</v>
      </c>
      <c r="AG5">
        <v>57</v>
      </c>
      <c r="AH5">
        <v>49.32</v>
      </c>
      <c r="AI5">
        <v>54.16</v>
      </c>
    </row>
    <row r="6" spans="1:35" x14ac:dyDescent="0.45">
      <c r="A6" s="2">
        <v>46017</v>
      </c>
      <c r="B6">
        <v>34.71</v>
      </c>
      <c r="C6">
        <v>40.29</v>
      </c>
      <c r="D6">
        <v>18.47</v>
      </c>
      <c r="E6">
        <v>25.08</v>
      </c>
      <c r="F6">
        <v>35.200000000000003</v>
      </c>
      <c r="G6">
        <v>73.77</v>
      </c>
      <c r="H6">
        <v>27.64</v>
      </c>
      <c r="I6">
        <v>63.02</v>
      </c>
      <c r="J6">
        <v>71.150000000000006</v>
      </c>
      <c r="K6">
        <v>95.84</v>
      </c>
      <c r="L6">
        <v>31.73</v>
      </c>
      <c r="M6">
        <v>70.31</v>
      </c>
      <c r="N6">
        <v>68.61</v>
      </c>
      <c r="O6">
        <v>53.84</v>
      </c>
      <c r="P6">
        <v>61.27</v>
      </c>
      <c r="Q6">
        <v>18.864999999999998</v>
      </c>
      <c r="R6">
        <v>1259.25</v>
      </c>
      <c r="S6">
        <v>34.76</v>
      </c>
      <c r="T6">
        <v>19.54</v>
      </c>
      <c r="U6">
        <v>18.399999999999999</v>
      </c>
      <c r="V6">
        <v>36.57</v>
      </c>
      <c r="W6">
        <v>45.73</v>
      </c>
      <c r="X6">
        <v>26.68</v>
      </c>
      <c r="Y6">
        <v>54.8</v>
      </c>
      <c r="Z6">
        <v>42.65</v>
      </c>
      <c r="AA6">
        <v>80.97</v>
      </c>
      <c r="AB6">
        <v>60.54</v>
      </c>
      <c r="AC6">
        <v>44.24</v>
      </c>
      <c r="AD6">
        <v>623.89</v>
      </c>
      <c r="AE6">
        <v>690.31</v>
      </c>
      <c r="AF6">
        <v>45.18</v>
      </c>
      <c r="AG6">
        <v>57.16</v>
      </c>
      <c r="AH6">
        <v>49.65</v>
      </c>
      <c r="AI6">
        <v>54.62</v>
      </c>
    </row>
    <row r="7" spans="1:35" x14ac:dyDescent="0.45">
      <c r="A7" s="2">
        <v>46016</v>
      </c>
      <c r="B7">
        <v>34.44</v>
      </c>
      <c r="C7">
        <v>40.03</v>
      </c>
      <c r="D7">
        <v>18.45</v>
      </c>
      <c r="E7">
        <v>24.94</v>
      </c>
      <c r="F7">
        <v>35.15</v>
      </c>
      <c r="G7">
        <v>72.739999999999995</v>
      </c>
      <c r="H7">
        <v>27.69</v>
      </c>
      <c r="I7">
        <v>62.53</v>
      </c>
      <c r="J7">
        <v>70.95</v>
      </c>
      <c r="K7">
        <v>94.6</v>
      </c>
      <c r="L7">
        <v>31.55</v>
      </c>
      <c r="M7">
        <v>69.92</v>
      </c>
      <c r="N7">
        <v>68.16</v>
      </c>
      <c r="O7">
        <v>54.01</v>
      </c>
      <c r="P7">
        <v>60.61</v>
      </c>
      <c r="Q7">
        <v>18.96</v>
      </c>
      <c r="R7">
        <v>1264.77</v>
      </c>
      <c r="S7">
        <v>34.869999999999997</v>
      </c>
      <c r="T7">
        <v>19.52</v>
      </c>
      <c r="U7">
        <v>19.010000000000002</v>
      </c>
      <c r="V7">
        <v>36.6</v>
      </c>
      <c r="W7">
        <v>45.74</v>
      </c>
      <c r="X7">
        <v>26.6</v>
      </c>
      <c r="Y7">
        <v>54.6</v>
      </c>
      <c r="Z7">
        <v>42.57</v>
      </c>
      <c r="AA7">
        <v>81</v>
      </c>
      <c r="AB7">
        <v>60.53</v>
      </c>
      <c r="AC7">
        <v>44.08</v>
      </c>
      <c r="AD7">
        <v>623.92999999999995</v>
      </c>
      <c r="AE7">
        <v>690.38</v>
      </c>
      <c r="AF7">
        <v>44.98</v>
      </c>
      <c r="AG7">
        <v>57.1</v>
      </c>
      <c r="AH7">
        <v>49.31</v>
      </c>
      <c r="AI7">
        <v>54.56</v>
      </c>
    </row>
    <row r="8" spans="1:35" x14ac:dyDescent="0.45">
      <c r="A8" s="2">
        <v>46015</v>
      </c>
      <c r="B8">
        <v>34.44</v>
      </c>
      <c r="C8">
        <v>40.03</v>
      </c>
      <c r="D8">
        <v>18.45</v>
      </c>
      <c r="E8">
        <v>24.94</v>
      </c>
      <c r="F8">
        <v>35.15</v>
      </c>
      <c r="G8">
        <v>72.739999999999995</v>
      </c>
      <c r="H8">
        <v>27.69</v>
      </c>
      <c r="I8">
        <v>62.53</v>
      </c>
      <c r="J8">
        <v>70.95</v>
      </c>
      <c r="K8">
        <v>94.6</v>
      </c>
      <c r="L8">
        <v>31.55</v>
      </c>
      <c r="M8">
        <v>69.92</v>
      </c>
      <c r="N8">
        <v>68.16</v>
      </c>
      <c r="O8">
        <v>54.01</v>
      </c>
      <c r="P8">
        <v>60.61</v>
      </c>
      <c r="Q8">
        <v>18.96</v>
      </c>
      <c r="R8">
        <v>1275.33</v>
      </c>
      <c r="S8">
        <v>34.869999999999997</v>
      </c>
      <c r="T8">
        <v>19.52</v>
      </c>
      <c r="U8">
        <v>19.010000000000002</v>
      </c>
      <c r="V8">
        <v>36.6</v>
      </c>
      <c r="W8">
        <v>45.74</v>
      </c>
      <c r="X8">
        <v>26.6</v>
      </c>
      <c r="Y8">
        <v>54.6</v>
      </c>
      <c r="Z8">
        <v>42.57</v>
      </c>
      <c r="AA8">
        <v>81</v>
      </c>
      <c r="AB8">
        <v>60.53</v>
      </c>
      <c r="AC8">
        <v>44.08</v>
      </c>
      <c r="AD8">
        <v>623.92999999999995</v>
      </c>
      <c r="AE8">
        <v>690.38</v>
      </c>
      <c r="AF8">
        <v>44.98</v>
      </c>
      <c r="AG8">
        <v>57.1</v>
      </c>
      <c r="AH8">
        <v>49.31</v>
      </c>
      <c r="AI8">
        <v>54.56</v>
      </c>
    </row>
    <row r="9" spans="1:35" x14ac:dyDescent="0.45">
      <c r="A9" s="2">
        <v>46014</v>
      </c>
      <c r="B9">
        <v>34.31</v>
      </c>
      <c r="C9">
        <v>39.92</v>
      </c>
      <c r="D9">
        <v>18.559999999999999</v>
      </c>
      <c r="E9">
        <v>24.93</v>
      </c>
      <c r="F9">
        <v>34.99</v>
      </c>
      <c r="G9">
        <v>72.78</v>
      </c>
      <c r="H9">
        <v>27.53</v>
      </c>
      <c r="I9">
        <v>62.5</v>
      </c>
      <c r="J9">
        <v>71.040000000000006</v>
      </c>
      <c r="K9">
        <v>92.7</v>
      </c>
      <c r="L9">
        <v>31.65</v>
      </c>
      <c r="M9">
        <v>69.540000000000006</v>
      </c>
      <c r="N9">
        <v>68.209999999999994</v>
      </c>
      <c r="O9">
        <v>54.47</v>
      </c>
      <c r="P9">
        <v>60.67</v>
      </c>
      <c r="Q9">
        <v>18.930199999999999</v>
      </c>
      <c r="R9">
        <v>1271.1099999999999</v>
      </c>
      <c r="S9">
        <v>34.814999999999998</v>
      </c>
      <c r="T9">
        <v>19.559999999999999</v>
      </c>
      <c r="U9">
        <v>19.079999999999998</v>
      </c>
      <c r="V9">
        <v>36.76</v>
      </c>
      <c r="W9">
        <v>45.54</v>
      </c>
      <c r="X9">
        <v>26.61</v>
      </c>
      <c r="Y9">
        <v>54.54</v>
      </c>
      <c r="Z9">
        <v>42.44</v>
      </c>
      <c r="AA9">
        <v>81.14</v>
      </c>
      <c r="AB9">
        <v>60.4</v>
      </c>
      <c r="AC9">
        <v>43.98</v>
      </c>
      <c r="AD9">
        <v>622.11</v>
      </c>
      <c r="AE9">
        <v>687.96</v>
      </c>
      <c r="AF9">
        <v>44.9</v>
      </c>
      <c r="AG9">
        <v>56.84</v>
      </c>
      <c r="AH9">
        <v>49.21</v>
      </c>
      <c r="AI9">
        <v>54.4</v>
      </c>
    </row>
    <row r="10" spans="1:35" x14ac:dyDescent="0.45">
      <c r="A10" s="2">
        <v>46013</v>
      </c>
      <c r="B10">
        <v>34.24</v>
      </c>
      <c r="C10">
        <v>39.79</v>
      </c>
      <c r="D10">
        <v>18.68</v>
      </c>
      <c r="E10">
        <v>24.96</v>
      </c>
      <c r="F10">
        <v>35.200000000000003</v>
      </c>
      <c r="G10">
        <v>72.08</v>
      </c>
      <c r="H10">
        <v>27.41</v>
      </c>
      <c r="I10">
        <v>61.98</v>
      </c>
      <c r="J10">
        <v>69.95</v>
      </c>
      <c r="K10">
        <v>91.75</v>
      </c>
      <c r="L10">
        <v>30.97</v>
      </c>
      <c r="M10">
        <v>68.790000000000006</v>
      </c>
      <c r="N10">
        <v>68.39</v>
      </c>
      <c r="O10">
        <v>54.19</v>
      </c>
      <c r="P10">
        <v>60.89</v>
      </c>
      <c r="Q10">
        <v>18.839600000000001</v>
      </c>
      <c r="R10">
        <v>1269.68</v>
      </c>
      <c r="S10">
        <v>34.61</v>
      </c>
      <c r="T10">
        <v>19.45</v>
      </c>
      <c r="U10">
        <v>18.61</v>
      </c>
      <c r="V10">
        <v>36.549999999999997</v>
      </c>
      <c r="W10">
        <v>45.18</v>
      </c>
      <c r="X10">
        <v>26.15</v>
      </c>
      <c r="Y10">
        <v>54.17</v>
      </c>
      <c r="Z10">
        <v>42.34</v>
      </c>
      <c r="AA10">
        <v>80.459999999999994</v>
      </c>
      <c r="AB10">
        <v>59.93</v>
      </c>
      <c r="AC10">
        <v>43.79</v>
      </c>
      <c r="AD10">
        <v>619.21</v>
      </c>
      <c r="AE10">
        <v>684.83</v>
      </c>
      <c r="AF10">
        <v>44.96</v>
      </c>
      <c r="AG10">
        <v>57.01</v>
      </c>
      <c r="AH10">
        <v>48.8</v>
      </c>
      <c r="AI10">
        <v>54.24</v>
      </c>
    </row>
    <row r="11" spans="1:35" x14ac:dyDescent="0.45">
      <c r="A11" s="2">
        <v>46010</v>
      </c>
      <c r="B11">
        <v>33.89</v>
      </c>
      <c r="C11">
        <v>39.31</v>
      </c>
      <c r="D11">
        <v>18.579999999999998</v>
      </c>
      <c r="E11">
        <v>24.66</v>
      </c>
      <c r="F11">
        <v>34.78</v>
      </c>
      <c r="G11">
        <v>71.2</v>
      </c>
      <c r="H11">
        <v>27.2</v>
      </c>
      <c r="I11">
        <v>61.64</v>
      </c>
      <c r="J11">
        <v>68.849999999999994</v>
      </c>
      <c r="K11">
        <v>91.34</v>
      </c>
      <c r="L11">
        <v>31.17</v>
      </c>
      <c r="M11">
        <v>67.599999999999994</v>
      </c>
      <c r="N11">
        <v>67.25</v>
      </c>
      <c r="O11">
        <v>54.15</v>
      </c>
      <c r="P11">
        <v>60.63</v>
      </c>
      <c r="Q11">
        <v>18.774999999999999</v>
      </c>
      <c r="R11">
        <v>1252.19</v>
      </c>
      <c r="S11">
        <v>34.86</v>
      </c>
      <c r="T11">
        <v>19.25</v>
      </c>
      <c r="U11">
        <v>18.39</v>
      </c>
      <c r="V11">
        <v>36.36</v>
      </c>
      <c r="W11">
        <v>44.82</v>
      </c>
      <c r="X11">
        <v>25.88</v>
      </c>
      <c r="Y11">
        <v>53.68</v>
      </c>
      <c r="Z11">
        <v>42.1</v>
      </c>
      <c r="AA11">
        <v>80.58</v>
      </c>
      <c r="AB11">
        <v>59.57</v>
      </c>
      <c r="AC11">
        <v>43.54</v>
      </c>
      <c r="AD11">
        <v>617.04999999999995</v>
      </c>
      <c r="AE11">
        <v>680.59</v>
      </c>
      <c r="AF11">
        <v>44.91</v>
      </c>
      <c r="AG11">
        <v>56.61</v>
      </c>
      <c r="AH11">
        <v>48.55</v>
      </c>
      <c r="AI11">
        <v>54.21</v>
      </c>
    </row>
    <row r="12" spans="1:35" x14ac:dyDescent="0.45">
      <c r="A12" s="2">
        <v>46009</v>
      </c>
      <c r="B12">
        <v>33.58</v>
      </c>
      <c r="C12">
        <v>38.69</v>
      </c>
      <c r="D12">
        <v>18.63</v>
      </c>
      <c r="E12">
        <v>25.01</v>
      </c>
      <c r="F12">
        <v>34.409999999999997</v>
      </c>
      <c r="G12">
        <v>69.98</v>
      </c>
      <c r="H12">
        <v>26.88</v>
      </c>
      <c r="I12">
        <v>60.87</v>
      </c>
      <c r="J12">
        <v>68.75</v>
      </c>
      <c r="K12">
        <v>90.07</v>
      </c>
      <c r="L12">
        <v>31.17</v>
      </c>
      <c r="M12">
        <v>67.510000000000005</v>
      </c>
      <c r="N12">
        <v>66.94</v>
      </c>
      <c r="O12">
        <v>53.28</v>
      </c>
      <c r="P12">
        <v>59.99</v>
      </c>
      <c r="Q12">
        <v>18.739999999999998</v>
      </c>
      <c r="R12">
        <v>1250.07</v>
      </c>
      <c r="S12">
        <v>34.82</v>
      </c>
      <c r="T12">
        <v>19.309999999999999</v>
      </c>
      <c r="U12">
        <v>17.88</v>
      </c>
      <c r="V12">
        <v>36.299999999999997</v>
      </c>
      <c r="W12">
        <v>44.6999</v>
      </c>
      <c r="X12">
        <v>25.81</v>
      </c>
      <c r="Y12">
        <v>53.22</v>
      </c>
      <c r="Z12">
        <v>41.94</v>
      </c>
      <c r="AA12">
        <v>79.97</v>
      </c>
      <c r="AB12">
        <v>59.47</v>
      </c>
      <c r="AC12">
        <v>43.13</v>
      </c>
      <c r="AD12">
        <v>609.11</v>
      </c>
      <c r="AE12">
        <v>676.47</v>
      </c>
      <c r="AF12">
        <v>44.8</v>
      </c>
      <c r="AG12">
        <v>56.02</v>
      </c>
      <c r="AH12">
        <v>48.18</v>
      </c>
      <c r="AI12">
        <v>53.81</v>
      </c>
    </row>
    <row r="13" spans="1:35" x14ac:dyDescent="0.45">
      <c r="A13" s="2">
        <v>46008</v>
      </c>
      <c r="B13">
        <v>33.630000000000003</v>
      </c>
      <c r="C13">
        <v>38.28</v>
      </c>
      <c r="D13">
        <v>18.600000000000001</v>
      </c>
      <c r="E13">
        <v>25.1</v>
      </c>
      <c r="F13">
        <v>34.270000000000003</v>
      </c>
      <c r="G13">
        <v>69.180000000000007</v>
      </c>
      <c r="H13">
        <v>26.6</v>
      </c>
      <c r="I13">
        <v>60.03</v>
      </c>
      <c r="J13">
        <v>67.45</v>
      </c>
      <c r="K13">
        <v>88.58</v>
      </c>
      <c r="L13">
        <v>31</v>
      </c>
      <c r="M13">
        <v>66.64</v>
      </c>
      <c r="N13">
        <v>66.25</v>
      </c>
      <c r="O13">
        <v>52.97</v>
      </c>
      <c r="P13">
        <v>59.47</v>
      </c>
      <c r="Q13">
        <v>18.6081</v>
      </c>
      <c r="R13">
        <v>1256.8499999999999</v>
      </c>
      <c r="S13">
        <v>34.734999999999999</v>
      </c>
      <c r="T13">
        <v>19.1129</v>
      </c>
      <c r="U13">
        <v>17.54</v>
      </c>
      <c r="V13">
        <v>35.83</v>
      </c>
      <c r="W13">
        <v>44.634999999999998</v>
      </c>
      <c r="X13">
        <v>25.58</v>
      </c>
      <c r="Y13">
        <v>52.81</v>
      </c>
      <c r="Z13">
        <v>41.61</v>
      </c>
      <c r="AA13">
        <v>79.739999999999995</v>
      </c>
      <c r="AB13">
        <v>58.84</v>
      </c>
      <c r="AC13">
        <v>42.94</v>
      </c>
      <c r="AD13">
        <v>600.41</v>
      </c>
      <c r="AE13">
        <v>671.4</v>
      </c>
      <c r="AF13">
        <v>44.62</v>
      </c>
      <c r="AG13">
        <v>55.57</v>
      </c>
      <c r="AH13">
        <v>47.62</v>
      </c>
      <c r="AI13">
        <v>53.51</v>
      </c>
    </row>
    <row r="14" spans="1:35" x14ac:dyDescent="0.45">
      <c r="A14" s="2">
        <v>46007</v>
      </c>
      <c r="B14">
        <v>33.197000000000003</v>
      </c>
      <c r="C14">
        <v>38.840000000000003</v>
      </c>
      <c r="D14">
        <v>18.670000000000002</v>
      </c>
      <c r="E14">
        <v>25.19</v>
      </c>
      <c r="F14">
        <v>34.409999999999997</v>
      </c>
      <c r="G14">
        <v>69.3</v>
      </c>
      <c r="H14">
        <v>26.79</v>
      </c>
      <c r="I14">
        <v>61.12</v>
      </c>
      <c r="J14">
        <v>68.28</v>
      </c>
      <c r="K14">
        <v>89.52</v>
      </c>
      <c r="L14">
        <v>31.6</v>
      </c>
      <c r="M14">
        <v>65.7</v>
      </c>
      <c r="N14">
        <v>66.81</v>
      </c>
      <c r="O14">
        <v>52.95</v>
      </c>
      <c r="P14">
        <v>59.7</v>
      </c>
      <c r="Q14">
        <v>18.696899999999999</v>
      </c>
      <c r="R14">
        <v>1260.68</v>
      </c>
      <c r="S14">
        <v>34.71</v>
      </c>
      <c r="T14">
        <v>19.239999999999998</v>
      </c>
      <c r="U14">
        <v>17.850000000000001</v>
      </c>
      <c r="V14">
        <v>36.090000000000003</v>
      </c>
      <c r="W14">
        <v>45.1265</v>
      </c>
      <c r="X14">
        <v>25.82</v>
      </c>
      <c r="Y14">
        <v>52.98</v>
      </c>
      <c r="Z14">
        <v>42.03</v>
      </c>
      <c r="AA14">
        <v>80.849999999999994</v>
      </c>
      <c r="AB14">
        <v>59.02</v>
      </c>
      <c r="AC14">
        <v>42.73</v>
      </c>
      <c r="AD14">
        <v>611.75</v>
      </c>
      <c r="AE14">
        <v>678.87</v>
      </c>
      <c r="AF14">
        <v>44.94</v>
      </c>
      <c r="AG14">
        <v>56.41</v>
      </c>
      <c r="AH14">
        <v>48.23</v>
      </c>
      <c r="AI14">
        <v>53.58</v>
      </c>
    </row>
    <row r="15" spans="1:35" x14ac:dyDescent="0.45">
      <c r="A15" s="2">
        <v>46006</v>
      </c>
      <c r="B15">
        <v>34.049999999999997</v>
      </c>
      <c r="C15">
        <v>38.994999999999997</v>
      </c>
      <c r="D15">
        <v>18.86</v>
      </c>
      <c r="E15">
        <v>24.95</v>
      </c>
      <c r="F15">
        <v>35.9</v>
      </c>
      <c r="G15">
        <v>69.25</v>
      </c>
      <c r="H15">
        <v>27.09</v>
      </c>
      <c r="I15">
        <v>64.11</v>
      </c>
      <c r="J15">
        <v>70.48</v>
      </c>
      <c r="K15">
        <v>92.73</v>
      </c>
      <c r="L15">
        <v>33.58</v>
      </c>
      <c r="M15">
        <v>69.61</v>
      </c>
      <c r="N15">
        <v>67.45</v>
      </c>
      <c r="O15">
        <v>53.1</v>
      </c>
      <c r="P15">
        <v>60.87</v>
      </c>
      <c r="Q15">
        <v>19.010000000000002</v>
      </c>
      <c r="R15">
        <v>1273.4000000000001</v>
      </c>
      <c r="S15">
        <v>35.29</v>
      </c>
      <c r="T15">
        <v>19.38</v>
      </c>
      <c r="U15">
        <v>17.420000000000002</v>
      </c>
      <c r="V15">
        <v>36.81</v>
      </c>
      <c r="W15">
        <v>45.75</v>
      </c>
      <c r="X15">
        <v>26.42</v>
      </c>
      <c r="Y15">
        <v>53.8</v>
      </c>
      <c r="Z15">
        <v>42.1</v>
      </c>
      <c r="AA15">
        <v>84.87</v>
      </c>
      <c r="AB15">
        <v>59.06</v>
      </c>
      <c r="AC15">
        <v>43.75</v>
      </c>
      <c r="AD15">
        <v>610.54</v>
      </c>
      <c r="AE15">
        <v>680.73</v>
      </c>
      <c r="AF15">
        <v>45.18</v>
      </c>
      <c r="AG15">
        <v>58.76</v>
      </c>
      <c r="AH15">
        <v>49.11</v>
      </c>
      <c r="AI15">
        <v>54.35</v>
      </c>
    </row>
    <row r="16" spans="1:35" x14ac:dyDescent="0.45">
      <c r="A16" s="2">
        <v>46003</v>
      </c>
      <c r="B16">
        <v>34.08</v>
      </c>
      <c r="C16">
        <v>39.78</v>
      </c>
      <c r="D16">
        <v>18.760000000000002</v>
      </c>
      <c r="E16">
        <v>24.9</v>
      </c>
      <c r="F16">
        <v>35.200000000000003</v>
      </c>
      <c r="G16">
        <v>69.3</v>
      </c>
      <c r="H16">
        <v>26.98</v>
      </c>
      <c r="I16">
        <v>64.099999999999994</v>
      </c>
      <c r="J16">
        <v>70.69</v>
      </c>
      <c r="K16">
        <v>92.67</v>
      </c>
      <c r="L16">
        <v>33.32</v>
      </c>
      <c r="M16">
        <v>68.63</v>
      </c>
      <c r="N16">
        <v>67.239999999999995</v>
      </c>
      <c r="O16">
        <v>53.14</v>
      </c>
      <c r="P16">
        <v>61.52</v>
      </c>
      <c r="Q16">
        <v>19.32</v>
      </c>
      <c r="R16">
        <v>1254.0999999999999</v>
      </c>
      <c r="S16">
        <v>34.82</v>
      </c>
      <c r="T16">
        <v>19.350000000000001</v>
      </c>
      <c r="U16">
        <v>17.489999999999998</v>
      </c>
      <c r="V16">
        <v>37.4</v>
      </c>
      <c r="W16">
        <v>45.71</v>
      </c>
      <c r="X16">
        <v>26.52</v>
      </c>
      <c r="Y16">
        <v>53.89</v>
      </c>
      <c r="Z16">
        <v>42.18</v>
      </c>
      <c r="AA16">
        <v>84</v>
      </c>
      <c r="AB16">
        <v>58.37</v>
      </c>
      <c r="AC16">
        <v>43.28</v>
      </c>
      <c r="AD16">
        <v>613.62</v>
      </c>
      <c r="AE16">
        <v>681.76</v>
      </c>
      <c r="AF16">
        <v>44.88</v>
      </c>
      <c r="AG16">
        <v>58.6</v>
      </c>
      <c r="AH16">
        <v>49.38</v>
      </c>
      <c r="AI16">
        <v>53.66</v>
      </c>
    </row>
    <row r="17" spans="1:35" x14ac:dyDescent="0.45">
      <c r="A17" s="2">
        <v>46002</v>
      </c>
      <c r="B17">
        <v>34.090000000000003</v>
      </c>
      <c r="C17">
        <v>39.28</v>
      </c>
      <c r="D17">
        <v>18.68</v>
      </c>
      <c r="E17">
        <v>25.02</v>
      </c>
      <c r="F17">
        <v>35.270000000000003</v>
      </c>
      <c r="G17">
        <v>69.680000000000007</v>
      </c>
      <c r="H17">
        <v>26.87</v>
      </c>
      <c r="I17">
        <v>65.92</v>
      </c>
      <c r="J17">
        <v>71.06</v>
      </c>
      <c r="K17">
        <v>94.96</v>
      </c>
      <c r="L17">
        <v>33.159999999999997</v>
      </c>
      <c r="M17">
        <v>69.5</v>
      </c>
      <c r="N17">
        <v>67.67</v>
      </c>
      <c r="O17">
        <v>53.57</v>
      </c>
      <c r="P17">
        <v>61.69</v>
      </c>
      <c r="Q17">
        <v>19.315000000000001</v>
      </c>
      <c r="R17">
        <v>1253.54</v>
      </c>
      <c r="S17">
        <v>34.82</v>
      </c>
      <c r="T17">
        <v>19.510000000000002</v>
      </c>
      <c r="U17">
        <v>18.27</v>
      </c>
      <c r="V17">
        <v>37.619999999999997</v>
      </c>
      <c r="W17">
        <v>46.35</v>
      </c>
      <c r="X17">
        <v>26.64</v>
      </c>
      <c r="Y17">
        <v>54.08</v>
      </c>
      <c r="Z17">
        <v>42.39</v>
      </c>
      <c r="AA17">
        <v>84.22</v>
      </c>
      <c r="AB17">
        <v>58.49</v>
      </c>
      <c r="AC17">
        <v>43.65</v>
      </c>
      <c r="AD17">
        <v>625.58000000000004</v>
      </c>
      <c r="AE17">
        <v>689.17</v>
      </c>
      <c r="AF17">
        <v>45</v>
      </c>
      <c r="AG17">
        <v>59.5</v>
      </c>
      <c r="AH17">
        <v>49.67</v>
      </c>
      <c r="AI17">
        <v>53.95</v>
      </c>
    </row>
    <row r="18" spans="1:35" x14ac:dyDescent="0.45">
      <c r="A18" s="2">
        <v>46001</v>
      </c>
      <c r="B18">
        <v>34.340000000000003</v>
      </c>
      <c r="C18">
        <v>38.75</v>
      </c>
      <c r="D18">
        <v>18.86</v>
      </c>
      <c r="E18">
        <v>24.73</v>
      </c>
      <c r="F18">
        <v>34.880000000000003</v>
      </c>
      <c r="G18">
        <v>68.290000000000006</v>
      </c>
      <c r="H18">
        <v>26.52</v>
      </c>
      <c r="I18">
        <v>66.8</v>
      </c>
      <c r="J18">
        <v>69.040000000000006</v>
      </c>
      <c r="K18">
        <v>96.75</v>
      </c>
      <c r="L18">
        <v>32.770000000000003</v>
      </c>
      <c r="M18">
        <v>68.180000000000007</v>
      </c>
      <c r="N18">
        <v>66.77</v>
      </c>
      <c r="O18">
        <v>53.36</v>
      </c>
      <c r="P18">
        <v>61.81</v>
      </c>
      <c r="Q18">
        <v>19.168500000000002</v>
      </c>
      <c r="R18">
        <v>1269.8699999999999</v>
      </c>
      <c r="S18">
        <v>34.729999999999997</v>
      </c>
      <c r="T18">
        <v>19.440100000000001</v>
      </c>
      <c r="U18">
        <v>18.28</v>
      </c>
      <c r="V18">
        <v>37.659999999999997</v>
      </c>
      <c r="W18">
        <v>46.2943</v>
      </c>
      <c r="X18">
        <v>26.65</v>
      </c>
      <c r="Y18">
        <v>53.72</v>
      </c>
      <c r="Z18">
        <v>41.94</v>
      </c>
      <c r="AA18">
        <v>83.91</v>
      </c>
      <c r="AB18">
        <v>58.38</v>
      </c>
      <c r="AC18">
        <v>43.46</v>
      </c>
      <c r="AD18">
        <v>627.61</v>
      </c>
      <c r="AE18">
        <v>687.57</v>
      </c>
      <c r="AF18">
        <v>44.58</v>
      </c>
      <c r="AG18">
        <v>58.8</v>
      </c>
      <c r="AH18">
        <v>49.36</v>
      </c>
      <c r="AI18">
        <v>53.55</v>
      </c>
    </row>
    <row r="19" spans="1:35" x14ac:dyDescent="0.45">
      <c r="A19" s="2">
        <v>46000</v>
      </c>
      <c r="B19">
        <v>34.225000000000001</v>
      </c>
      <c r="C19">
        <v>38.340000000000003</v>
      </c>
      <c r="D19">
        <v>18.68</v>
      </c>
      <c r="E19">
        <v>24.67</v>
      </c>
      <c r="F19">
        <v>34.25</v>
      </c>
      <c r="G19">
        <v>67.48</v>
      </c>
      <c r="H19">
        <v>26.37</v>
      </c>
      <c r="I19">
        <v>65.72</v>
      </c>
      <c r="J19">
        <v>69.27</v>
      </c>
      <c r="K19">
        <v>95.57</v>
      </c>
      <c r="L19">
        <v>32.74</v>
      </c>
      <c r="M19">
        <v>66.91</v>
      </c>
      <c r="N19">
        <v>65.8</v>
      </c>
      <c r="O19">
        <v>53.27</v>
      </c>
      <c r="P19">
        <v>61.35</v>
      </c>
      <c r="Q19">
        <v>19.041399999999999</v>
      </c>
      <c r="R19">
        <v>1269.8699999999999</v>
      </c>
      <c r="S19">
        <v>34.659999999999997</v>
      </c>
      <c r="T19">
        <v>19.38</v>
      </c>
      <c r="U19">
        <v>18.649999999999999</v>
      </c>
      <c r="V19">
        <v>37.43</v>
      </c>
      <c r="W19">
        <v>45.950400000000002</v>
      </c>
      <c r="X19">
        <v>26.35</v>
      </c>
      <c r="Y19">
        <v>53.07</v>
      </c>
      <c r="Z19">
        <v>41.53</v>
      </c>
      <c r="AA19">
        <v>83.31</v>
      </c>
      <c r="AB19">
        <v>57.69</v>
      </c>
      <c r="AC19">
        <v>42.88</v>
      </c>
      <c r="AD19">
        <v>625.04999999999995</v>
      </c>
      <c r="AE19">
        <v>683.04</v>
      </c>
      <c r="AF19">
        <v>44.21</v>
      </c>
      <c r="AG19">
        <v>58.55</v>
      </c>
      <c r="AH19">
        <v>48.55</v>
      </c>
      <c r="AI19">
        <v>53.02</v>
      </c>
    </row>
    <row r="20" spans="1:35" x14ac:dyDescent="0.45">
      <c r="A20" s="2">
        <v>45999</v>
      </c>
      <c r="B20">
        <v>34.36</v>
      </c>
      <c r="C20">
        <v>38.24</v>
      </c>
      <c r="D20">
        <v>18.87</v>
      </c>
      <c r="E20">
        <v>24.58</v>
      </c>
      <c r="F20">
        <v>33.51</v>
      </c>
      <c r="G20">
        <v>66.53</v>
      </c>
      <c r="H20">
        <v>26.32</v>
      </c>
      <c r="I20">
        <v>65.569999999999993</v>
      </c>
      <c r="J20">
        <v>68.64</v>
      </c>
      <c r="K20">
        <v>95.07</v>
      </c>
      <c r="L20">
        <v>32.75</v>
      </c>
      <c r="M20">
        <v>66.39</v>
      </c>
      <c r="N20">
        <v>66.97</v>
      </c>
      <c r="O20">
        <v>53.08</v>
      </c>
      <c r="P20">
        <v>62.22</v>
      </c>
      <c r="Q20">
        <v>18.955400000000001</v>
      </c>
      <c r="R20">
        <v>1261.3900000000001</v>
      </c>
      <c r="S20">
        <v>34.42</v>
      </c>
      <c r="T20">
        <v>19.079999999999998</v>
      </c>
      <c r="U20">
        <v>18.72</v>
      </c>
      <c r="V20">
        <v>37.19</v>
      </c>
      <c r="W20">
        <v>46.026699999999998</v>
      </c>
      <c r="X20">
        <v>26.24</v>
      </c>
      <c r="Y20">
        <v>52.95</v>
      </c>
      <c r="Z20">
        <v>41.34</v>
      </c>
      <c r="AA20">
        <v>83.19</v>
      </c>
      <c r="AB20">
        <v>57.76</v>
      </c>
      <c r="AC20">
        <v>43.08</v>
      </c>
      <c r="AD20">
        <v>624.28</v>
      </c>
      <c r="AE20">
        <v>683.63</v>
      </c>
      <c r="AF20">
        <v>44.65</v>
      </c>
      <c r="AG20">
        <v>58.7224</v>
      </c>
      <c r="AH20">
        <v>48.4</v>
      </c>
      <c r="AI20">
        <v>52.98</v>
      </c>
    </row>
    <row r="21" spans="1:35" x14ac:dyDescent="0.45">
      <c r="A21" s="2">
        <v>45996</v>
      </c>
      <c r="B21">
        <v>34.21</v>
      </c>
      <c r="C21">
        <v>38.18</v>
      </c>
      <c r="D21">
        <v>18.82</v>
      </c>
      <c r="E21">
        <v>24.73</v>
      </c>
      <c r="F21">
        <v>33.44</v>
      </c>
      <c r="G21">
        <v>67.03</v>
      </c>
      <c r="H21">
        <v>26.64</v>
      </c>
      <c r="I21">
        <v>65.349999999999994</v>
      </c>
      <c r="J21">
        <v>68.680000000000007</v>
      </c>
      <c r="K21">
        <v>94.3</v>
      </c>
      <c r="L21">
        <v>32.53</v>
      </c>
      <c r="M21">
        <v>67.88</v>
      </c>
      <c r="N21">
        <v>66.45</v>
      </c>
      <c r="O21">
        <v>53.97</v>
      </c>
      <c r="P21">
        <v>62.66</v>
      </c>
      <c r="Q21">
        <v>18.930399999999999</v>
      </c>
      <c r="R21">
        <v>1273.77</v>
      </c>
      <c r="S21">
        <v>33.840000000000003</v>
      </c>
      <c r="T21">
        <v>19.22</v>
      </c>
      <c r="U21">
        <v>18.649999999999999</v>
      </c>
      <c r="V21">
        <v>37.200000000000003</v>
      </c>
      <c r="W21">
        <v>45.994999999999997</v>
      </c>
      <c r="X21">
        <v>26.34</v>
      </c>
      <c r="Y21">
        <v>53.29</v>
      </c>
      <c r="Z21">
        <v>41.41</v>
      </c>
      <c r="AA21">
        <v>83.7</v>
      </c>
      <c r="AB21">
        <v>58.03</v>
      </c>
      <c r="AC21">
        <v>43.22</v>
      </c>
      <c r="AD21">
        <v>625.48</v>
      </c>
      <c r="AE21">
        <v>685.69</v>
      </c>
      <c r="AF21">
        <v>44.62</v>
      </c>
      <c r="AG21">
        <v>58.55</v>
      </c>
      <c r="AH21">
        <v>48.37</v>
      </c>
      <c r="AI21">
        <v>52.98</v>
      </c>
    </row>
    <row r="22" spans="1:35" x14ac:dyDescent="0.45">
      <c r="A22" s="2">
        <v>45995</v>
      </c>
      <c r="B22">
        <v>33.74</v>
      </c>
      <c r="C22">
        <v>38.51</v>
      </c>
      <c r="D22">
        <v>18.79</v>
      </c>
      <c r="E22">
        <v>24.2</v>
      </c>
      <c r="F22">
        <v>33.53</v>
      </c>
      <c r="G22">
        <v>67</v>
      </c>
      <c r="H22">
        <v>26.59</v>
      </c>
      <c r="I22">
        <v>64.510000000000005</v>
      </c>
      <c r="J22">
        <v>68.819999999999993</v>
      </c>
      <c r="K22">
        <v>91.87</v>
      </c>
      <c r="L22">
        <v>34.72</v>
      </c>
      <c r="M22">
        <v>67.05</v>
      </c>
      <c r="N22">
        <v>66.3</v>
      </c>
      <c r="O22">
        <v>53.76</v>
      </c>
      <c r="P22">
        <v>61.98</v>
      </c>
      <c r="Q22">
        <v>18.940200000000001</v>
      </c>
      <c r="R22">
        <v>1273.77</v>
      </c>
      <c r="S22">
        <v>33.549999999999997</v>
      </c>
      <c r="T22">
        <v>19.05</v>
      </c>
      <c r="U22">
        <v>18.59</v>
      </c>
      <c r="V22">
        <v>37.17</v>
      </c>
      <c r="W22">
        <v>46.005000000000003</v>
      </c>
      <c r="X22">
        <v>26.29</v>
      </c>
      <c r="Y22">
        <v>53.07</v>
      </c>
      <c r="Z22">
        <v>41.14</v>
      </c>
      <c r="AA22">
        <v>83.62</v>
      </c>
      <c r="AB22">
        <v>57.91</v>
      </c>
      <c r="AC22">
        <v>43.42</v>
      </c>
      <c r="AD22">
        <v>622.94000000000005</v>
      </c>
      <c r="AE22">
        <v>684.39</v>
      </c>
      <c r="AF22">
        <v>44.75</v>
      </c>
      <c r="AG22">
        <v>58.78</v>
      </c>
      <c r="AH22">
        <v>48.09</v>
      </c>
      <c r="AI22">
        <v>53.15</v>
      </c>
    </row>
    <row r="23" spans="1:35" x14ac:dyDescent="0.45">
      <c r="A23" s="2">
        <v>45994</v>
      </c>
      <c r="B23">
        <v>33.76</v>
      </c>
      <c r="C23">
        <v>38.619999999999997</v>
      </c>
      <c r="D23">
        <v>18.829999999999998</v>
      </c>
      <c r="E23">
        <v>24.68</v>
      </c>
      <c r="F23">
        <v>33.61</v>
      </c>
      <c r="G23">
        <v>66.03</v>
      </c>
      <c r="H23">
        <v>26.73</v>
      </c>
      <c r="I23">
        <v>64.849999999999994</v>
      </c>
      <c r="J23">
        <v>68.430000000000007</v>
      </c>
      <c r="K23">
        <v>93</v>
      </c>
      <c r="L23">
        <v>34.200000000000003</v>
      </c>
      <c r="M23">
        <v>66.92</v>
      </c>
      <c r="N23">
        <v>66.37</v>
      </c>
      <c r="O23">
        <v>53.41</v>
      </c>
      <c r="P23">
        <v>61.88</v>
      </c>
      <c r="Q23">
        <v>18.930199999999999</v>
      </c>
      <c r="R23">
        <v>1274.82</v>
      </c>
      <c r="S23">
        <v>33.869999999999997</v>
      </c>
      <c r="T23">
        <v>18.850000000000001</v>
      </c>
      <c r="U23">
        <v>18.690000000000001</v>
      </c>
      <c r="V23">
        <v>37.04</v>
      </c>
      <c r="W23">
        <v>46.165599999999998</v>
      </c>
      <c r="X23">
        <v>26.13</v>
      </c>
      <c r="Y23">
        <v>52.47</v>
      </c>
      <c r="Z23">
        <v>40.950000000000003</v>
      </c>
      <c r="AA23">
        <v>82.61</v>
      </c>
      <c r="AB23">
        <v>58.07</v>
      </c>
      <c r="AC23">
        <v>43.46</v>
      </c>
      <c r="AD23">
        <v>623.52</v>
      </c>
      <c r="AE23">
        <v>683.89</v>
      </c>
      <c r="AF23">
        <v>44.79</v>
      </c>
      <c r="AG23">
        <v>59.18</v>
      </c>
      <c r="AH23">
        <v>47.77</v>
      </c>
      <c r="AI23">
        <v>53.29</v>
      </c>
    </row>
    <row r="24" spans="1:35" x14ac:dyDescent="0.45">
      <c r="A24" s="2">
        <v>45993</v>
      </c>
      <c r="B24">
        <v>33.81</v>
      </c>
      <c r="C24">
        <v>38.29</v>
      </c>
      <c r="D24">
        <v>18.920000000000002</v>
      </c>
      <c r="E24">
        <v>25.06</v>
      </c>
      <c r="F24">
        <v>33.65</v>
      </c>
      <c r="G24">
        <v>64.67</v>
      </c>
      <c r="H24">
        <v>26.67</v>
      </c>
      <c r="I24">
        <v>64.63</v>
      </c>
      <c r="J24">
        <v>68.709999999999994</v>
      </c>
      <c r="K24">
        <v>92.07</v>
      </c>
      <c r="L24">
        <v>34.03</v>
      </c>
      <c r="M24">
        <v>66.5</v>
      </c>
      <c r="N24">
        <v>66.64</v>
      </c>
      <c r="O24">
        <v>53.88</v>
      </c>
      <c r="P24">
        <v>62.24</v>
      </c>
      <c r="Q24">
        <v>18.774999999999999</v>
      </c>
      <c r="R24">
        <v>1277.58</v>
      </c>
      <c r="S24">
        <v>34.1</v>
      </c>
      <c r="T24">
        <v>18.53</v>
      </c>
      <c r="U24">
        <v>18.649999999999999</v>
      </c>
      <c r="V24">
        <v>36.979999999999997</v>
      </c>
      <c r="W24">
        <v>45.818399999999997</v>
      </c>
      <c r="X24">
        <v>25.93</v>
      </c>
      <c r="Y24">
        <v>52.14</v>
      </c>
      <c r="Z24">
        <v>40.89</v>
      </c>
      <c r="AA24">
        <v>82.47</v>
      </c>
      <c r="AB24">
        <v>57.94</v>
      </c>
      <c r="AC24">
        <v>43.01</v>
      </c>
      <c r="AD24">
        <v>622</v>
      </c>
      <c r="AE24">
        <v>681.53</v>
      </c>
      <c r="AF24">
        <v>44.44</v>
      </c>
      <c r="AG24">
        <v>58.57</v>
      </c>
      <c r="AH24">
        <v>47.61</v>
      </c>
      <c r="AI24">
        <v>53</v>
      </c>
    </row>
    <row r="25" spans="1:35" x14ac:dyDescent="0.45">
      <c r="A25" s="2">
        <v>45992</v>
      </c>
      <c r="B25">
        <v>34.25</v>
      </c>
      <c r="C25">
        <v>37.69</v>
      </c>
      <c r="D25">
        <v>18.79</v>
      </c>
      <c r="E25">
        <v>25.24</v>
      </c>
      <c r="F25">
        <v>33.9</v>
      </c>
      <c r="G25">
        <v>64.569999999999993</v>
      </c>
      <c r="H25">
        <v>26.6</v>
      </c>
      <c r="I25">
        <v>64.13</v>
      </c>
      <c r="J25">
        <v>68.459999999999994</v>
      </c>
      <c r="K25">
        <v>90.62</v>
      </c>
      <c r="L25">
        <v>33.4</v>
      </c>
      <c r="M25">
        <v>67.45</v>
      </c>
      <c r="N25">
        <v>66.28</v>
      </c>
      <c r="O25">
        <v>54.33</v>
      </c>
      <c r="P25">
        <v>62.66</v>
      </c>
      <c r="Q25">
        <v>18.71</v>
      </c>
      <c r="R25">
        <v>1276.57</v>
      </c>
      <c r="S25">
        <v>34.03</v>
      </c>
      <c r="T25">
        <v>18.4941</v>
      </c>
      <c r="U25">
        <v>18.38</v>
      </c>
      <c r="V25">
        <v>37.06</v>
      </c>
      <c r="W25">
        <v>45.48</v>
      </c>
      <c r="X25">
        <v>25.73</v>
      </c>
      <c r="Y25">
        <v>52.18</v>
      </c>
      <c r="Z25">
        <v>40.520000000000003</v>
      </c>
      <c r="AA25">
        <v>82.53</v>
      </c>
      <c r="AB25">
        <v>57.42</v>
      </c>
      <c r="AC25">
        <v>42.93</v>
      </c>
      <c r="AD25">
        <v>617.16999999999996</v>
      </c>
      <c r="AE25">
        <v>680.27</v>
      </c>
      <c r="AF25">
        <v>44.41</v>
      </c>
      <c r="AG25">
        <v>58.32</v>
      </c>
      <c r="AH25">
        <v>47.58</v>
      </c>
      <c r="AI25">
        <v>52.66</v>
      </c>
    </row>
    <row r="26" spans="1:35" x14ac:dyDescent="0.45">
      <c r="A26" s="2">
        <v>45989</v>
      </c>
      <c r="B26">
        <v>33.950000000000003</v>
      </c>
      <c r="C26">
        <v>37.86</v>
      </c>
      <c r="D26">
        <v>18.670000000000002</v>
      </c>
      <c r="E26">
        <v>25.21</v>
      </c>
      <c r="F26">
        <v>34.07</v>
      </c>
      <c r="G26">
        <v>64.47</v>
      </c>
      <c r="H26">
        <v>26.43</v>
      </c>
      <c r="I26">
        <v>64.510000000000005</v>
      </c>
      <c r="J26">
        <v>68.42</v>
      </c>
      <c r="K26">
        <v>90.87</v>
      </c>
      <c r="L26">
        <v>33.61</v>
      </c>
      <c r="M26">
        <v>66.739999999999995</v>
      </c>
      <c r="N26">
        <v>65.319999999999993</v>
      </c>
      <c r="O26">
        <v>54.71</v>
      </c>
      <c r="P26">
        <v>62.2</v>
      </c>
      <c r="Q26">
        <v>18.88</v>
      </c>
      <c r="R26">
        <v>1256.69</v>
      </c>
      <c r="S26">
        <v>33.5</v>
      </c>
      <c r="T26">
        <v>18.579999999999998</v>
      </c>
      <c r="U26">
        <v>18.34</v>
      </c>
      <c r="V26">
        <v>37.44</v>
      </c>
      <c r="W26">
        <v>45.625700000000002</v>
      </c>
      <c r="X26">
        <v>25.85</v>
      </c>
      <c r="Y26">
        <v>52.7</v>
      </c>
      <c r="Z26">
        <v>40.92</v>
      </c>
      <c r="AA26">
        <v>83.01</v>
      </c>
      <c r="AB26">
        <v>57.82</v>
      </c>
      <c r="AC26">
        <v>43.15</v>
      </c>
      <c r="AD26">
        <v>619.25</v>
      </c>
      <c r="AE26">
        <v>683.39</v>
      </c>
      <c r="AF26">
        <v>44.57</v>
      </c>
      <c r="AG26">
        <v>58.17</v>
      </c>
      <c r="AH26">
        <v>47.91</v>
      </c>
      <c r="AI26">
        <v>52.93</v>
      </c>
    </row>
    <row r="27" spans="1:35" x14ac:dyDescent="0.45">
      <c r="A27" s="2">
        <v>45988</v>
      </c>
      <c r="B27">
        <v>33.590000000000003</v>
      </c>
      <c r="C27">
        <v>37.61</v>
      </c>
      <c r="D27">
        <v>18.87</v>
      </c>
      <c r="E27">
        <v>25.02</v>
      </c>
      <c r="F27">
        <v>34.07</v>
      </c>
      <c r="G27">
        <v>63.1</v>
      </c>
      <c r="H27">
        <v>26.64</v>
      </c>
      <c r="I27">
        <v>63.66</v>
      </c>
      <c r="J27">
        <v>67.88</v>
      </c>
      <c r="K27">
        <v>91.55</v>
      </c>
      <c r="L27">
        <v>33.47</v>
      </c>
      <c r="M27">
        <v>67.83</v>
      </c>
      <c r="N27">
        <v>66.150000000000006</v>
      </c>
      <c r="O27">
        <v>54.67</v>
      </c>
      <c r="P27">
        <v>61.91</v>
      </c>
      <c r="Q27">
        <v>18.885000000000002</v>
      </c>
      <c r="R27">
        <v>1252.71</v>
      </c>
      <c r="S27">
        <v>33.590000000000003</v>
      </c>
      <c r="T27">
        <v>18.53</v>
      </c>
      <c r="U27">
        <v>18.239999999999998</v>
      </c>
      <c r="V27">
        <v>37.380000000000003</v>
      </c>
      <c r="W27">
        <v>45.47</v>
      </c>
      <c r="X27">
        <v>25.82</v>
      </c>
      <c r="Y27">
        <v>52.25</v>
      </c>
      <c r="Z27">
        <v>40.6</v>
      </c>
      <c r="AA27">
        <v>83.26</v>
      </c>
      <c r="AB27">
        <v>57.55</v>
      </c>
      <c r="AC27">
        <v>42.99</v>
      </c>
      <c r="AD27">
        <v>614.27</v>
      </c>
      <c r="AE27">
        <v>679.68</v>
      </c>
      <c r="AF27">
        <v>44.43</v>
      </c>
      <c r="AG27">
        <v>57.79</v>
      </c>
      <c r="AH27">
        <v>47.43</v>
      </c>
      <c r="AI27">
        <v>52.54</v>
      </c>
    </row>
    <row r="28" spans="1:35" x14ac:dyDescent="0.45">
      <c r="A28" s="2">
        <v>45987</v>
      </c>
      <c r="B28">
        <v>33.590000000000003</v>
      </c>
      <c r="C28">
        <v>37.61</v>
      </c>
      <c r="D28">
        <v>18.87</v>
      </c>
      <c r="E28">
        <v>25.02</v>
      </c>
      <c r="F28">
        <v>34.07</v>
      </c>
      <c r="G28">
        <v>63.1</v>
      </c>
      <c r="H28">
        <v>26.64</v>
      </c>
      <c r="I28">
        <v>63.66</v>
      </c>
      <c r="J28">
        <v>67.88</v>
      </c>
      <c r="K28">
        <v>91.55</v>
      </c>
      <c r="L28">
        <v>33.47</v>
      </c>
      <c r="M28">
        <v>67.83</v>
      </c>
      <c r="N28">
        <v>66.150000000000006</v>
      </c>
      <c r="O28">
        <v>54.67</v>
      </c>
      <c r="P28">
        <v>61.91</v>
      </c>
      <c r="Q28">
        <v>18.885000000000002</v>
      </c>
      <c r="R28">
        <v>1261.18</v>
      </c>
      <c r="S28">
        <v>33.590000000000003</v>
      </c>
      <c r="T28">
        <v>18.53</v>
      </c>
      <c r="U28">
        <v>18.239999999999998</v>
      </c>
      <c r="V28">
        <v>37.380000000000003</v>
      </c>
      <c r="W28">
        <v>45.47</v>
      </c>
      <c r="X28">
        <v>25.82</v>
      </c>
      <c r="Y28">
        <v>52.25</v>
      </c>
      <c r="Z28">
        <v>40.6</v>
      </c>
      <c r="AA28">
        <v>83.26</v>
      </c>
      <c r="AB28">
        <v>57.55</v>
      </c>
      <c r="AC28">
        <v>42.99</v>
      </c>
      <c r="AD28">
        <v>614.27</v>
      </c>
      <c r="AE28">
        <v>679.68</v>
      </c>
      <c r="AF28">
        <v>44.43</v>
      </c>
      <c r="AG28">
        <v>57.79</v>
      </c>
      <c r="AH28">
        <v>47.43</v>
      </c>
      <c r="AI28">
        <v>52.54</v>
      </c>
    </row>
    <row r="29" spans="1:35" x14ac:dyDescent="0.45">
      <c r="A29" s="2">
        <v>45986</v>
      </c>
      <c r="B29">
        <v>33.51</v>
      </c>
      <c r="C29">
        <v>37.270000000000003</v>
      </c>
      <c r="D29">
        <v>18.73</v>
      </c>
      <c r="E29">
        <v>25</v>
      </c>
      <c r="F29">
        <v>33.729999999999997</v>
      </c>
      <c r="G29">
        <v>61.56</v>
      </c>
      <c r="H29">
        <v>26.49</v>
      </c>
      <c r="I29">
        <v>62.8</v>
      </c>
      <c r="J29">
        <v>67.75</v>
      </c>
      <c r="K29">
        <v>89.79</v>
      </c>
      <c r="L29">
        <v>32.549999999999997</v>
      </c>
      <c r="M29">
        <v>66.3</v>
      </c>
      <c r="N29">
        <v>65.48</v>
      </c>
      <c r="O29">
        <v>54.28</v>
      </c>
      <c r="P29">
        <v>62.2</v>
      </c>
      <c r="Q29">
        <v>18.77</v>
      </c>
      <c r="R29">
        <v>1268.78</v>
      </c>
      <c r="S29">
        <v>33.54</v>
      </c>
      <c r="T29">
        <v>18.71</v>
      </c>
      <c r="U29">
        <v>17.75</v>
      </c>
      <c r="V29">
        <v>37.590000000000003</v>
      </c>
      <c r="W29">
        <v>44.699399999999997</v>
      </c>
      <c r="X29">
        <v>25.62</v>
      </c>
      <c r="Y29">
        <v>51.56</v>
      </c>
      <c r="Z29">
        <v>40.19</v>
      </c>
      <c r="AA29">
        <v>81.92</v>
      </c>
      <c r="AB29">
        <v>57.26</v>
      </c>
      <c r="AC29">
        <v>42.52</v>
      </c>
      <c r="AD29">
        <v>608.89</v>
      </c>
      <c r="AE29">
        <v>675.02</v>
      </c>
      <c r="AF29">
        <v>44.06</v>
      </c>
      <c r="AG29">
        <v>56.872</v>
      </c>
      <c r="AH29">
        <v>47.06</v>
      </c>
      <c r="AI29">
        <v>52.16</v>
      </c>
    </row>
    <row r="30" spans="1:35" x14ac:dyDescent="0.45">
      <c r="A30" s="2">
        <v>45985</v>
      </c>
      <c r="B30">
        <v>33.11</v>
      </c>
      <c r="C30">
        <v>36.61</v>
      </c>
      <c r="D30">
        <v>18.78</v>
      </c>
      <c r="E30">
        <v>24.97</v>
      </c>
      <c r="F30">
        <v>32.94</v>
      </c>
      <c r="G30">
        <v>61.02</v>
      </c>
      <c r="H30">
        <v>26.47</v>
      </c>
      <c r="I30">
        <v>62.51</v>
      </c>
      <c r="J30">
        <v>66.55</v>
      </c>
      <c r="K30">
        <v>90.3</v>
      </c>
      <c r="L30">
        <v>32.200000000000003</v>
      </c>
      <c r="M30">
        <v>65.89</v>
      </c>
      <c r="N30">
        <v>63.99</v>
      </c>
      <c r="O30">
        <v>54.22</v>
      </c>
      <c r="P30">
        <v>61.96</v>
      </c>
      <c r="Q30">
        <v>18.850000000000001</v>
      </c>
      <c r="R30">
        <v>1252.73</v>
      </c>
      <c r="S30">
        <v>33.76</v>
      </c>
      <c r="T30">
        <v>18.75</v>
      </c>
      <c r="U30">
        <v>17.91</v>
      </c>
      <c r="V30">
        <v>38.159999999999997</v>
      </c>
      <c r="W30">
        <v>44.47</v>
      </c>
      <c r="X30">
        <v>25.44</v>
      </c>
      <c r="Y30">
        <v>51.05</v>
      </c>
      <c r="Z30">
        <v>39.47</v>
      </c>
      <c r="AA30">
        <v>81.739999999999995</v>
      </c>
      <c r="AB30">
        <v>56.39</v>
      </c>
      <c r="AC30">
        <v>41.92</v>
      </c>
      <c r="AD30">
        <v>605.16</v>
      </c>
      <c r="AE30">
        <v>668.73</v>
      </c>
      <c r="AF30">
        <v>43.33</v>
      </c>
      <c r="AG30">
        <v>55.95</v>
      </c>
      <c r="AH30">
        <v>46.26</v>
      </c>
      <c r="AI30">
        <v>51.19</v>
      </c>
    </row>
    <row r="31" spans="1:35" x14ac:dyDescent="0.45">
      <c r="A31" s="2">
        <v>45982</v>
      </c>
      <c r="B31">
        <v>33.06</v>
      </c>
      <c r="C31">
        <v>36.340000000000003</v>
      </c>
      <c r="D31">
        <v>18.37</v>
      </c>
      <c r="E31">
        <v>25.06</v>
      </c>
      <c r="F31">
        <v>33.04</v>
      </c>
      <c r="G31">
        <v>59.64</v>
      </c>
      <c r="H31">
        <v>26.29</v>
      </c>
      <c r="I31">
        <v>61.8</v>
      </c>
      <c r="J31">
        <v>66.040000000000006</v>
      </c>
      <c r="K31">
        <v>89.22</v>
      </c>
      <c r="L31">
        <v>32.03</v>
      </c>
      <c r="M31">
        <v>64.86</v>
      </c>
      <c r="N31">
        <v>64.64</v>
      </c>
      <c r="O31">
        <v>54.21</v>
      </c>
      <c r="P31">
        <v>60.92</v>
      </c>
      <c r="Q31">
        <v>18.68</v>
      </c>
      <c r="R31">
        <v>1254.4000000000001</v>
      </c>
      <c r="S31">
        <v>33.78</v>
      </c>
      <c r="T31">
        <v>18.68</v>
      </c>
      <c r="U31">
        <v>17.72</v>
      </c>
      <c r="V31">
        <v>38.28</v>
      </c>
      <c r="W31">
        <v>44.33</v>
      </c>
      <c r="X31">
        <v>25.33</v>
      </c>
      <c r="Y31">
        <v>50.43</v>
      </c>
      <c r="Z31">
        <v>39.4</v>
      </c>
      <c r="AA31">
        <v>81.19</v>
      </c>
      <c r="AB31">
        <v>56.69</v>
      </c>
      <c r="AC31">
        <v>42.06</v>
      </c>
      <c r="AD31">
        <v>590.07000000000005</v>
      </c>
      <c r="AE31">
        <v>659.03</v>
      </c>
      <c r="AF31">
        <v>43.69</v>
      </c>
      <c r="AG31">
        <v>55.92</v>
      </c>
      <c r="AH31">
        <v>46.06</v>
      </c>
      <c r="AI31">
        <v>51.47</v>
      </c>
    </row>
    <row r="32" spans="1:35" x14ac:dyDescent="0.45">
      <c r="A32" s="2">
        <v>45981</v>
      </c>
      <c r="B32">
        <v>33.46</v>
      </c>
      <c r="C32">
        <v>36.590000000000003</v>
      </c>
      <c r="D32">
        <v>18.329999999999998</v>
      </c>
      <c r="E32">
        <v>24.37</v>
      </c>
      <c r="F32">
        <v>32.56</v>
      </c>
      <c r="G32">
        <v>59.5</v>
      </c>
      <c r="H32">
        <v>26.05</v>
      </c>
      <c r="I32">
        <v>61.68</v>
      </c>
      <c r="J32">
        <v>66.02</v>
      </c>
      <c r="K32">
        <v>88.53</v>
      </c>
      <c r="L32">
        <v>31.9</v>
      </c>
      <c r="M32">
        <v>64.930000000000007</v>
      </c>
      <c r="N32">
        <v>62.76</v>
      </c>
      <c r="O32">
        <v>54.72</v>
      </c>
      <c r="P32">
        <v>60.88</v>
      </c>
      <c r="Q32">
        <v>18.614999999999998</v>
      </c>
      <c r="R32">
        <v>1281.81</v>
      </c>
      <c r="S32">
        <v>33.58</v>
      </c>
      <c r="T32">
        <v>18.758199999999999</v>
      </c>
      <c r="U32">
        <v>17.45</v>
      </c>
      <c r="V32">
        <v>38.19</v>
      </c>
      <c r="W32">
        <v>43.75</v>
      </c>
      <c r="X32">
        <v>24.95</v>
      </c>
      <c r="Y32">
        <v>49.91</v>
      </c>
      <c r="Z32">
        <v>38.89</v>
      </c>
      <c r="AA32">
        <v>79.489999999999995</v>
      </c>
      <c r="AB32">
        <v>55.69</v>
      </c>
      <c r="AC32">
        <v>41.34</v>
      </c>
      <c r="AD32">
        <v>585.66999999999996</v>
      </c>
      <c r="AE32">
        <v>652.53</v>
      </c>
      <c r="AF32">
        <v>42.99</v>
      </c>
      <c r="AG32">
        <v>55.52</v>
      </c>
      <c r="AH32">
        <v>45.38</v>
      </c>
      <c r="AI32">
        <v>50.81</v>
      </c>
    </row>
    <row r="33" spans="1:35" x14ac:dyDescent="0.45">
      <c r="A33" s="2">
        <v>45980</v>
      </c>
      <c r="B33">
        <v>33.880000000000003</v>
      </c>
      <c r="C33">
        <v>37.11</v>
      </c>
      <c r="D33">
        <v>18.48</v>
      </c>
      <c r="E33">
        <v>24.23</v>
      </c>
      <c r="F33">
        <v>33.29</v>
      </c>
      <c r="G33">
        <v>61.25</v>
      </c>
      <c r="H33">
        <v>26.33</v>
      </c>
      <c r="I33">
        <v>62.5</v>
      </c>
      <c r="J33">
        <v>66.77</v>
      </c>
      <c r="K33">
        <v>90.56</v>
      </c>
      <c r="L33">
        <v>32.49</v>
      </c>
      <c r="M33">
        <v>66.569999999999993</v>
      </c>
      <c r="N33">
        <v>63.34</v>
      </c>
      <c r="O33">
        <v>54.83</v>
      </c>
      <c r="P33">
        <v>61.91</v>
      </c>
      <c r="Q33">
        <v>18.954999999999998</v>
      </c>
      <c r="R33">
        <v>1272.17</v>
      </c>
      <c r="S33">
        <v>33.659999999999997</v>
      </c>
      <c r="T33">
        <v>18.87</v>
      </c>
      <c r="U33">
        <v>17.61</v>
      </c>
      <c r="V33">
        <v>38.43</v>
      </c>
      <c r="W33">
        <v>43.6663</v>
      </c>
      <c r="X33">
        <v>25.3</v>
      </c>
      <c r="Y33">
        <v>50.62</v>
      </c>
      <c r="Z33">
        <v>39.51</v>
      </c>
      <c r="AA33">
        <v>80.680000000000007</v>
      </c>
      <c r="AB33">
        <v>56.36</v>
      </c>
      <c r="AC33">
        <v>41.73</v>
      </c>
      <c r="AD33">
        <v>599.87</v>
      </c>
      <c r="AE33">
        <v>662.63</v>
      </c>
      <c r="AF33">
        <v>43.44</v>
      </c>
      <c r="AG33">
        <v>57.05</v>
      </c>
      <c r="AH33">
        <v>46.17</v>
      </c>
      <c r="AI33">
        <v>51.34</v>
      </c>
    </row>
    <row r="34" spans="1:35" x14ac:dyDescent="0.45">
      <c r="A34" s="2">
        <v>45979</v>
      </c>
      <c r="B34">
        <v>33.93</v>
      </c>
      <c r="C34">
        <v>36.83</v>
      </c>
      <c r="D34">
        <v>18.260000000000002</v>
      </c>
      <c r="E34">
        <v>24.02</v>
      </c>
      <c r="F34">
        <v>32.869999999999997</v>
      </c>
      <c r="G34">
        <v>60.32</v>
      </c>
      <c r="H34">
        <v>26.16</v>
      </c>
      <c r="I34">
        <v>62.67</v>
      </c>
      <c r="J34">
        <v>66.67</v>
      </c>
      <c r="K34">
        <v>91.59</v>
      </c>
      <c r="L34">
        <v>32.71</v>
      </c>
      <c r="M34">
        <v>66.16</v>
      </c>
      <c r="N34">
        <v>63.2</v>
      </c>
      <c r="O34">
        <v>54.61</v>
      </c>
      <c r="P34">
        <v>62.42</v>
      </c>
      <c r="Q34">
        <v>18.815000000000001</v>
      </c>
      <c r="R34">
        <v>1270.04</v>
      </c>
      <c r="S34">
        <v>33.299999999999997</v>
      </c>
      <c r="T34">
        <v>18.850000000000001</v>
      </c>
      <c r="U34">
        <v>17.73</v>
      </c>
      <c r="V34">
        <v>38.79</v>
      </c>
      <c r="W34">
        <v>44.235900000000001</v>
      </c>
      <c r="X34">
        <v>25.4</v>
      </c>
      <c r="Y34">
        <v>50.53</v>
      </c>
      <c r="Z34">
        <v>39.53</v>
      </c>
      <c r="AA34">
        <v>80.78</v>
      </c>
      <c r="AB34">
        <v>56.58</v>
      </c>
      <c r="AC34">
        <v>42.19</v>
      </c>
      <c r="AD34">
        <v>596.30999999999995</v>
      </c>
      <c r="AE34">
        <v>660.08</v>
      </c>
      <c r="AF34">
        <v>43.63</v>
      </c>
      <c r="AG34">
        <v>56.63</v>
      </c>
      <c r="AH34">
        <v>46.49</v>
      </c>
      <c r="AI34">
        <v>51.81</v>
      </c>
    </row>
    <row r="35" spans="1:35" x14ac:dyDescent="0.45">
      <c r="A35" s="2">
        <v>45978</v>
      </c>
      <c r="B35">
        <v>33.89</v>
      </c>
      <c r="C35">
        <v>37.31</v>
      </c>
      <c r="D35">
        <v>18.38</v>
      </c>
      <c r="E35">
        <v>23.95</v>
      </c>
      <c r="F35">
        <v>33.39</v>
      </c>
      <c r="G35">
        <v>61.163600000000002</v>
      </c>
      <c r="H35">
        <v>26.23</v>
      </c>
      <c r="I35">
        <v>63.16</v>
      </c>
      <c r="J35">
        <v>65.87</v>
      </c>
      <c r="K35">
        <v>93.02</v>
      </c>
      <c r="L35">
        <v>32.78</v>
      </c>
      <c r="M35">
        <v>66.13</v>
      </c>
      <c r="N35">
        <v>64.5</v>
      </c>
      <c r="O35">
        <v>54.65</v>
      </c>
      <c r="P35">
        <v>62.78</v>
      </c>
      <c r="Q35">
        <v>18.89</v>
      </c>
      <c r="R35">
        <v>1280.07</v>
      </c>
      <c r="S35">
        <v>33.08</v>
      </c>
      <c r="T35">
        <v>18.93</v>
      </c>
      <c r="U35">
        <v>17.66</v>
      </c>
      <c r="V35">
        <v>38.450000000000003</v>
      </c>
      <c r="W35">
        <v>44.493200000000002</v>
      </c>
      <c r="X35">
        <v>25.64</v>
      </c>
      <c r="Y35">
        <v>50.34</v>
      </c>
      <c r="Z35">
        <v>40.01</v>
      </c>
      <c r="AA35">
        <v>82.47</v>
      </c>
      <c r="AB35">
        <v>56.81</v>
      </c>
      <c r="AC35">
        <v>42.44</v>
      </c>
      <c r="AD35">
        <v>603.66</v>
      </c>
      <c r="AE35">
        <v>665.67</v>
      </c>
      <c r="AF35">
        <v>44.2</v>
      </c>
      <c r="AG35">
        <v>57.36</v>
      </c>
      <c r="AH35">
        <v>47.22</v>
      </c>
      <c r="AI35">
        <v>52.56</v>
      </c>
    </row>
    <row r="36" spans="1:35" x14ac:dyDescent="0.45">
      <c r="A36" s="2">
        <v>45975</v>
      </c>
      <c r="B36">
        <v>34.19</v>
      </c>
      <c r="C36">
        <v>36.369999999999997</v>
      </c>
      <c r="D36">
        <v>18.38</v>
      </c>
      <c r="E36">
        <v>23.28</v>
      </c>
      <c r="F36">
        <v>34.159999999999997</v>
      </c>
      <c r="G36">
        <v>62.34</v>
      </c>
      <c r="H36">
        <v>26.45</v>
      </c>
      <c r="I36">
        <v>65.17</v>
      </c>
      <c r="J36">
        <v>67.22</v>
      </c>
      <c r="K36">
        <v>94.13</v>
      </c>
      <c r="L36">
        <v>33.18</v>
      </c>
      <c r="M36">
        <v>66.989999999999995</v>
      </c>
      <c r="N36">
        <v>65</v>
      </c>
      <c r="O36">
        <v>54.62</v>
      </c>
      <c r="P36">
        <v>63.5</v>
      </c>
      <c r="Q36">
        <v>19.285</v>
      </c>
      <c r="R36">
        <v>1269.26</v>
      </c>
      <c r="S36">
        <v>32.85</v>
      </c>
      <c r="T36">
        <v>19.170000000000002</v>
      </c>
      <c r="U36">
        <v>17.59</v>
      </c>
      <c r="V36">
        <v>38.83</v>
      </c>
      <c r="W36">
        <v>44.844999999999999</v>
      </c>
      <c r="X36">
        <v>25.95</v>
      </c>
      <c r="Y36">
        <v>50.89</v>
      </c>
      <c r="Z36">
        <v>40.86</v>
      </c>
      <c r="AA36">
        <v>83.98</v>
      </c>
      <c r="AB36">
        <v>57.55</v>
      </c>
      <c r="AC36">
        <v>42.77</v>
      </c>
      <c r="AD36">
        <v>608.86</v>
      </c>
      <c r="AE36">
        <v>671.93</v>
      </c>
      <c r="AF36">
        <v>44.84</v>
      </c>
      <c r="AG36">
        <v>58.13</v>
      </c>
      <c r="AH36">
        <v>47.65</v>
      </c>
      <c r="AI36">
        <v>53.2</v>
      </c>
    </row>
    <row r="37" spans="1:35" x14ac:dyDescent="0.45">
      <c r="A37" s="2">
        <v>45974</v>
      </c>
      <c r="B37">
        <v>34.64</v>
      </c>
      <c r="C37">
        <v>36.71</v>
      </c>
      <c r="D37">
        <v>18.28</v>
      </c>
      <c r="E37">
        <v>23.69</v>
      </c>
      <c r="F37">
        <v>34.130000000000003</v>
      </c>
      <c r="G37">
        <v>62.52</v>
      </c>
      <c r="H37">
        <v>26.5</v>
      </c>
      <c r="I37">
        <v>63.99</v>
      </c>
      <c r="J37">
        <v>67.38</v>
      </c>
      <c r="K37">
        <v>94.07</v>
      </c>
      <c r="L37">
        <v>32.979999999999997</v>
      </c>
      <c r="M37">
        <v>67.83</v>
      </c>
      <c r="N37">
        <v>64.67</v>
      </c>
      <c r="O37">
        <v>54.2</v>
      </c>
      <c r="P37">
        <v>64.459999999999994</v>
      </c>
      <c r="Q37">
        <v>19.25</v>
      </c>
      <c r="R37">
        <v>1287.44</v>
      </c>
      <c r="S37">
        <v>32.78</v>
      </c>
      <c r="T37">
        <v>19.190000000000001</v>
      </c>
      <c r="U37">
        <v>17.420000000000002</v>
      </c>
      <c r="V37">
        <v>38.729999999999997</v>
      </c>
      <c r="W37">
        <v>44.943399999999997</v>
      </c>
      <c r="X37">
        <v>25.94</v>
      </c>
      <c r="Y37">
        <v>50.64</v>
      </c>
      <c r="Z37">
        <v>41.25</v>
      </c>
      <c r="AA37">
        <v>83.01</v>
      </c>
      <c r="AB37">
        <v>57.85</v>
      </c>
      <c r="AC37">
        <v>43.04</v>
      </c>
      <c r="AD37">
        <v>608.4</v>
      </c>
      <c r="AE37">
        <v>672.04</v>
      </c>
      <c r="AF37">
        <v>45.04</v>
      </c>
      <c r="AG37">
        <v>58.61</v>
      </c>
      <c r="AH37">
        <v>48.27</v>
      </c>
      <c r="AI37">
        <v>53.98</v>
      </c>
    </row>
    <row r="38" spans="1:35" x14ac:dyDescent="0.45">
      <c r="A38" s="2">
        <v>45973</v>
      </c>
      <c r="B38">
        <v>34.43</v>
      </c>
      <c r="C38">
        <v>37.26</v>
      </c>
      <c r="D38">
        <v>18.440000000000001</v>
      </c>
      <c r="E38">
        <v>23.6</v>
      </c>
      <c r="F38">
        <v>34.42</v>
      </c>
      <c r="G38">
        <v>64.38</v>
      </c>
      <c r="H38">
        <v>26.53</v>
      </c>
      <c r="I38">
        <v>65.41</v>
      </c>
      <c r="J38">
        <v>68.16</v>
      </c>
      <c r="K38">
        <v>95.92</v>
      </c>
      <c r="L38">
        <v>33.22</v>
      </c>
      <c r="M38">
        <v>68.08</v>
      </c>
      <c r="N38">
        <v>64.319999999999993</v>
      </c>
      <c r="O38">
        <v>54.56</v>
      </c>
      <c r="P38">
        <v>64.58</v>
      </c>
      <c r="Q38">
        <v>19.555</v>
      </c>
      <c r="R38">
        <v>1284.81</v>
      </c>
      <c r="S38">
        <v>33.03</v>
      </c>
      <c r="T38">
        <v>19.48</v>
      </c>
      <c r="U38">
        <v>17.53</v>
      </c>
      <c r="V38">
        <v>39.17</v>
      </c>
      <c r="W38">
        <v>45.657200000000003</v>
      </c>
      <c r="X38">
        <v>26.58</v>
      </c>
      <c r="Y38">
        <v>51.75</v>
      </c>
      <c r="Z38">
        <v>41.68</v>
      </c>
      <c r="AA38">
        <v>84.34</v>
      </c>
      <c r="AB38">
        <v>58.06</v>
      </c>
      <c r="AC38">
        <v>43.51</v>
      </c>
      <c r="AD38">
        <v>621.08000000000004</v>
      </c>
      <c r="AE38">
        <v>683.38</v>
      </c>
      <c r="AF38">
        <v>45.14</v>
      </c>
      <c r="AG38">
        <v>59.03</v>
      </c>
      <c r="AH38">
        <v>48.82</v>
      </c>
      <c r="AI38">
        <v>54.12</v>
      </c>
    </row>
    <row r="39" spans="1:35" x14ac:dyDescent="0.45">
      <c r="A39" s="2">
        <v>45972</v>
      </c>
      <c r="B39">
        <v>34.47</v>
      </c>
      <c r="C39">
        <v>36.5</v>
      </c>
      <c r="D39">
        <v>18.45</v>
      </c>
      <c r="E39">
        <v>23.41</v>
      </c>
      <c r="F39">
        <v>34.56</v>
      </c>
      <c r="G39">
        <v>63.04</v>
      </c>
      <c r="H39">
        <v>26.78</v>
      </c>
      <c r="I39">
        <v>65.39</v>
      </c>
      <c r="J39">
        <v>69.34</v>
      </c>
      <c r="K39">
        <v>95.29</v>
      </c>
      <c r="L39">
        <v>33.49</v>
      </c>
      <c r="M39">
        <v>66.53</v>
      </c>
      <c r="N39">
        <v>63.63</v>
      </c>
      <c r="O39">
        <v>54.74</v>
      </c>
      <c r="P39">
        <v>64.53</v>
      </c>
      <c r="Q39">
        <v>19.6479</v>
      </c>
      <c r="R39">
        <v>1300.47</v>
      </c>
      <c r="S39">
        <v>32.85</v>
      </c>
      <c r="T39">
        <v>19.690000000000001</v>
      </c>
      <c r="U39">
        <v>16.93</v>
      </c>
      <c r="V39">
        <v>39.39</v>
      </c>
      <c r="W39">
        <v>45.674999999999997</v>
      </c>
      <c r="X39">
        <v>26.63</v>
      </c>
      <c r="Y39">
        <v>51.04</v>
      </c>
      <c r="Z39">
        <v>41.23</v>
      </c>
      <c r="AA39">
        <v>83.75</v>
      </c>
      <c r="AB39">
        <v>57.67</v>
      </c>
      <c r="AC39">
        <v>43.65</v>
      </c>
      <c r="AD39">
        <v>621.57000000000005</v>
      </c>
      <c r="AE39">
        <v>683</v>
      </c>
      <c r="AF39">
        <v>44.71</v>
      </c>
      <c r="AG39">
        <v>58.73</v>
      </c>
      <c r="AH39">
        <v>48.48</v>
      </c>
      <c r="AI39">
        <v>53.75</v>
      </c>
    </row>
    <row r="40" spans="1:35" x14ac:dyDescent="0.45">
      <c r="A40" s="2">
        <v>45971</v>
      </c>
      <c r="B40">
        <v>34.770000000000003</v>
      </c>
      <c r="C40">
        <v>36.299999999999997</v>
      </c>
      <c r="D40">
        <v>18.55</v>
      </c>
      <c r="E40">
        <v>23.7</v>
      </c>
      <c r="F40">
        <v>34.44</v>
      </c>
      <c r="G40">
        <v>63.13</v>
      </c>
      <c r="H40">
        <v>26.47</v>
      </c>
      <c r="I40">
        <v>65.75</v>
      </c>
      <c r="J40">
        <v>67.91</v>
      </c>
      <c r="K40">
        <v>95.67</v>
      </c>
      <c r="L40">
        <v>32.72</v>
      </c>
      <c r="M40">
        <v>66.62</v>
      </c>
      <c r="N40">
        <v>63.69</v>
      </c>
      <c r="O40">
        <v>54.15</v>
      </c>
      <c r="P40">
        <v>64.7</v>
      </c>
      <c r="Q40">
        <v>19.48</v>
      </c>
      <c r="R40">
        <v>1306.26</v>
      </c>
      <c r="S40">
        <v>33.549999999999997</v>
      </c>
      <c r="T40">
        <v>19.53</v>
      </c>
      <c r="U40">
        <v>16.71</v>
      </c>
      <c r="V40">
        <v>39.32</v>
      </c>
      <c r="W40">
        <v>45.684100000000001</v>
      </c>
      <c r="X40">
        <v>26.81</v>
      </c>
      <c r="Y40">
        <v>50.89</v>
      </c>
      <c r="Z40">
        <v>40.96</v>
      </c>
      <c r="AA40">
        <v>83.68</v>
      </c>
      <c r="AB40">
        <v>56.36</v>
      </c>
      <c r="AC40">
        <v>43.44</v>
      </c>
      <c r="AD40">
        <v>623.23</v>
      </c>
      <c r="AE40">
        <v>681.44</v>
      </c>
      <c r="AF40">
        <v>44.19</v>
      </c>
      <c r="AG40">
        <v>58.56</v>
      </c>
      <c r="AH40">
        <v>47.74</v>
      </c>
      <c r="AI40">
        <v>53.15</v>
      </c>
    </row>
    <row r="41" spans="1:35" x14ac:dyDescent="0.45">
      <c r="A41" s="2">
        <v>45968</v>
      </c>
      <c r="B41">
        <v>34.6</v>
      </c>
      <c r="C41">
        <v>35.799999999999997</v>
      </c>
      <c r="D41">
        <v>18.53</v>
      </c>
      <c r="E41">
        <v>23.79</v>
      </c>
      <c r="F41">
        <v>33.840000000000003</v>
      </c>
      <c r="G41">
        <v>61.77</v>
      </c>
      <c r="H41">
        <v>26.23</v>
      </c>
      <c r="I41">
        <v>64.61</v>
      </c>
      <c r="J41">
        <v>67.819999999999993</v>
      </c>
      <c r="K41">
        <v>91.8</v>
      </c>
      <c r="L41">
        <v>32.299999999999997</v>
      </c>
      <c r="M41">
        <v>64.239999999999995</v>
      </c>
      <c r="N41">
        <v>62.35</v>
      </c>
      <c r="O41">
        <v>53.75</v>
      </c>
      <c r="P41">
        <v>63.61</v>
      </c>
      <c r="Q41">
        <v>19.420000000000002</v>
      </c>
      <c r="R41">
        <v>1302.9100000000001</v>
      </c>
      <c r="S41">
        <v>33.86</v>
      </c>
      <c r="T41">
        <v>19.43</v>
      </c>
      <c r="U41">
        <v>16.88</v>
      </c>
      <c r="V41">
        <v>39.28</v>
      </c>
      <c r="W41">
        <v>45.580800000000004</v>
      </c>
      <c r="X41">
        <v>26.44</v>
      </c>
      <c r="Y41">
        <v>50.1</v>
      </c>
      <c r="Z41">
        <v>40.479999999999997</v>
      </c>
      <c r="AA41">
        <v>83.29</v>
      </c>
      <c r="AB41">
        <v>55.74</v>
      </c>
      <c r="AC41">
        <v>42.87</v>
      </c>
      <c r="AD41">
        <v>609.74</v>
      </c>
      <c r="AE41">
        <v>670.97</v>
      </c>
      <c r="AF41">
        <v>43.78</v>
      </c>
      <c r="AG41">
        <v>57.74</v>
      </c>
      <c r="AH41">
        <v>47.24</v>
      </c>
      <c r="AI41">
        <v>52.19</v>
      </c>
    </row>
    <row r="42" spans="1:35" x14ac:dyDescent="0.45">
      <c r="A42" s="2">
        <v>45967</v>
      </c>
      <c r="B42">
        <v>34.590000000000003</v>
      </c>
      <c r="C42">
        <v>35.25</v>
      </c>
      <c r="D42">
        <v>18.440000000000001</v>
      </c>
      <c r="E42">
        <v>24.11</v>
      </c>
      <c r="F42">
        <v>33.950000000000003</v>
      </c>
      <c r="G42">
        <v>61.75</v>
      </c>
      <c r="H42">
        <v>26.01</v>
      </c>
      <c r="I42">
        <v>64.94</v>
      </c>
      <c r="J42">
        <v>66.97</v>
      </c>
      <c r="K42">
        <v>93.51</v>
      </c>
      <c r="L42">
        <v>32.04</v>
      </c>
      <c r="M42">
        <v>63.7</v>
      </c>
      <c r="N42">
        <v>62.47</v>
      </c>
      <c r="O42">
        <v>53.62</v>
      </c>
      <c r="P42">
        <v>63.97</v>
      </c>
      <c r="Q42">
        <v>19.46</v>
      </c>
      <c r="R42">
        <v>1313.31</v>
      </c>
      <c r="S42">
        <v>34.25</v>
      </c>
      <c r="T42">
        <v>19.309999999999999</v>
      </c>
      <c r="U42">
        <v>17.32</v>
      </c>
      <c r="V42">
        <v>39.299999999999997</v>
      </c>
      <c r="W42">
        <v>45.333100000000002</v>
      </c>
      <c r="X42">
        <v>26.46</v>
      </c>
      <c r="Y42">
        <v>49.75</v>
      </c>
      <c r="Z42">
        <v>40.39</v>
      </c>
      <c r="AA42">
        <v>82.96</v>
      </c>
      <c r="AB42">
        <v>55.22</v>
      </c>
      <c r="AC42">
        <v>42.62</v>
      </c>
      <c r="AD42">
        <v>611.66999999999996</v>
      </c>
      <c r="AE42">
        <v>670.31</v>
      </c>
      <c r="AF42">
        <v>43.42</v>
      </c>
      <c r="AG42">
        <v>57.96</v>
      </c>
      <c r="AH42">
        <v>46.98</v>
      </c>
      <c r="AI42">
        <v>51.75</v>
      </c>
    </row>
    <row r="43" spans="1:35" x14ac:dyDescent="0.45">
      <c r="A43" s="2">
        <v>45966</v>
      </c>
      <c r="B43">
        <v>34.380000000000003</v>
      </c>
      <c r="C43">
        <v>35.299999999999997</v>
      </c>
      <c r="D43">
        <v>18.54</v>
      </c>
      <c r="E43">
        <v>24.19</v>
      </c>
      <c r="F43">
        <v>33.51</v>
      </c>
      <c r="G43">
        <v>61.39</v>
      </c>
      <c r="H43">
        <v>26.2</v>
      </c>
      <c r="I43">
        <v>66.03</v>
      </c>
      <c r="J43">
        <v>67.180000000000007</v>
      </c>
      <c r="K43">
        <v>96.62</v>
      </c>
      <c r="L43">
        <v>32.1</v>
      </c>
      <c r="M43">
        <v>63.4</v>
      </c>
      <c r="N43">
        <v>62.68</v>
      </c>
      <c r="O43">
        <v>54.3</v>
      </c>
      <c r="P43">
        <v>63.36</v>
      </c>
      <c r="Q43">
        <v>19.414999999999999</v>
      </c>
      <c r="R43">
        <v>1295.29</v>
      </c>
      <c r="S43">
        <v>34.130000000000003</v>
      </c>
      <c r="T43">
        <v>19.350000000000001</v>
      </c>
      <c r="U43">
        <v>17.57</v>
      </c>
      <c r="V43">
        <v>39.35</v>
      </c>
      <c r="W43">
        <v>45.91</v>
      </c>
      <c r="X43">
        <v>26.67</v>
      </c>
      <c r="Y43">
        <v>50.26</v>
      </c>
      <c r="Z43">
        <v>40.729999999999997</v>
      </c>
      <c r="AA43">
        <v>82.8</v>
      </c>
      <c r="AB43">
        <v>55.4</v>
      </c>
      <c r="AC43">
        <v>42.61</v>
      </c>
      <c r="AD43">
        <v>623.28</v>
      </c>
      <c r="AE43">
        <v>677.58</v>
      </c>
      <c r="AF43">
        <v>43.88</v>
      </c>
      <c r="AG43">
        <v>58.26</v>
      </c>
      <c r="AH43">
        <v>47.29</v>
      </c>
      <c r="AI43">
        <v>52</v>
      </c>
    </row>
    <row r="44" spans="1:35" x14ac:dyDescent="0.45">
      <c r="A44" s="2">
        <v>45965</v>
      </c>
      <c r="B44">
        <v>33.97</v>
      </c>
      <c r="C44">
        <v>34.5</v>
      </c>
      <c r="D44">
        <v>18.36</v>
      </c>
      <c r="E44">
        <v>24.38</v>
      </c>
      <c r="F44">
        <v>33.31</v>
      </c>
      <c r="G44">
        <v>60.31</v>
      </c>
      <c r="H44">
        <v>25.98</v>
      </c>
      <c r="I44">
        <v>65.430000000000007</v>
      </c>
      <c r="J44">
        <v>65.650000000000006</v>
      </c>
      <c r="K44">
        <v>95.76</v>
      </c>
      <c r="L44">
        <v>31.18</v>
      </c>
      <c r="M44">
        <v>61.44</v>
      </c>
      <c r="N44">
        <v>62.17</v>
      </c>
      <c r="O44">
        <v>54.02</v>
      </c>
      <c r="P44">
        <v>62.73</v>
      </c>
      <c r="Q44">
        <v>19.434999999999999</v>
      </c>
      <c r="R44">
        <v>1298.5999999999999</v>
      </c>
      <c r="S44">
        <v>33.909999999999997</v>
      </c>
      <c r="T44">
        <v>19.36</v>
      </c>
      <c r="U44">
        <v>17.53</v>
      </c>
      <c r="V44">
        <v>39.68</v>
      </c>
      <c r="W44">
        <v>45.38</v>
      </c>
      <c r="X44">
        <v>26.41</v>
      </c>
      <c r="Y44">
        <v>49.72</v>
      </c>
      <c r="Z44">
        <v>40.340000000000003</v>
      </c>
      <c r="AA44">
        <v>82.83</v>
      </c>
      <c r="AB44">
        <v>55.06</v>
      </c>
      <c r="AC44">
        <v>42.18</v>
      </c>
      <c r="AD44">
        <v>619.25</v>
      </c>
      <c r="AE44">
        <v>675.24</v>
      </c>
      <c r="AF44">
        <v>43.63</v>
      </c>
      <c r="AG44">
        <v>57.82</v>
      </c>
      <c r="AH44">
        <v>46.87</v>
      </c>
      <c r="AI44">
        <v>51.38</v>
      </c>
    </row>
    <row r="45" spans="1:35" x14ac:dyDescent="0.45">
      <c r="A45" s="2">
        <v>45964</v>
      </c>
      <c r="B45">
        <v>34.377099999999999</v>
      </c>
      <c r="C45">
        <v>35.93</v>
      </c>
      <c r="D45">
        <v>18.45</v>
      </c>
      <c r="E45">
        <v>24.15</v>
      </c>
      <c r="F45">
        <v>33.78</v>
      </c>
      <c r="G45">
        <v>62.16</v>
      </c>
      <c r="H45">
        <v>26.06</v>
      </c>
      <c r="I45">
        <v>66.900000000000006</v>
      </c>
      <c r="J45">
        <v>66.23</v>
      </c>
      <c r="K45">
        <v>100.78</v>
      </c>
      <c r="L45">
        <v>31.52</v>
      </c>
      <c r="M45">
        <v>63.76</v>
      </c>
      <c r="N45">
        <v>63.18</v>
      </c>
      <c r="O45">
        <v>54.24</v>
      </c>
      <c r="P45">
        <v>63.55</v>
      </c>
      <c r="Q45">
        <v>19.315000000000001</v>
      </c>
      <c r="R45">
        <v>1308.8599999999999</v>
      </c>
      <c r="S45">
        <v>34.450000000000003</v>
      </c>
      <c r="T45">
        <v>19.579999999999998</v>
      </c>
      <c r="U45">
        <v>17.09</v>
      </c>
      <c r="V45">
        <v>40</v>
      </c>
      <c r="W45">
        <v>45.705599999999997</v>
      </c>
      <c r="X45">
        <v>26.84</v>
      </c>
      <c r="Y45">
        <v>50.67</v>
      </c>
      <c r="Z45">
        <v>40.909999999999997</v>
      </c>
      <c r="AA45">
        <v>83.64</v>
      </c>
      <c r="AB45">
        <v>55.12</v>
      </c>
      <c r="AC45">
        <v>42.53</v>
      </c>
      <c r="AD45">
        <v>632.08000000000004</v>
      </c>
      <c r="AE45">
        <v>683.34</v>
      </c>
      <c r="AF45">
        <v>44.07</v>
      </c>
      <c r="AG45">
        <v>58.68</v>
      </c>
      <c r="AH45">
        <v>47.7</v>
      </c>
      <c r="AI45">
        <v>51.79</v>
      </c>
    </row>
    <row r="46" spans="1:35" x14ac:dyDescent="0.45">
      <c r="A46" s="2">
        <v>45961</v>
      </c>
      <c r="B46">
        <v>34.299999999999997</v>
      </c>
      <c r="C46">
        <v>35.32</v>
      </c>
      <c r="D46">
        <v>18.28</v>
      </c>
      <c r="E46">
        <v>24.55</v>
      </c>
      <c r="F46">
        <v>33.71</v>
      </c>
      <c r="G46">
        <v>62.78</v>
      </c>
      <c r="H46">
        <v>25.85</v>
      </c>
      <c r="I46">
        <v>66.650000000000006</v>
      </c>
      <c r="J46">
        <v>66.53</v>
      </c>
      <c r="K46">
        <v>97</v>
      </c>
      <c r="L46">
        <v>31.17</v>
      </c>
      <c r="M46">
        <v>63.77</v>
      </c>
      <c r="N46">
        <v>62.22</v>
      </c>
      <c r="O46">
        <v>53.97</v>
      </c>
      <c r="P46">
        <v>63.57</v>
      </c>
      <c r="Q46">
        <v>19.3</v>
      </c>
      <c r="R46">
        <v>1309.5</v>
      </c>
      <c r="S46">
        <v>34.15</v>
      </c>
      <c r="T46">
        <v>19.68</v>
      </c>
      <c r="U46">
        <v>17.43</v>
      </c>
      <c r="V46">
        <v>40.28</v>
      </c>
      <c r="W46">
        <v>45.89</v>
      </c>
      <c r="X46">
        <v>26.77</v>
      </c>
      <c r="Y46">
        <v>50.74</v>
      </c>
      <c r="Z46">
        <v>40.729999999999997</v>
      </c>
      <c r="AA46">
        <v>83.45</v>
      </c>
      <c r="AB46">
        <v>55.36</v>
      </c>
      <c r="AC46">
        <v>42.67</v>
      </c>
      <c r="AD46">
        <v>629.07000000000005</v>
      </c>
      <c r="AE46">
        <v>682.06</v>
      </c>
      <c r="AF46">
        <v>44.28</v>
      </c>
      <c r="AG46">
        <v>58.8</v>
      </c>
      <c r="AH46">
        <v>47.99</v>
      </c>
      <c r="AI46">
        <v>51.81</v>
      </c>
    </row>
    <row r="47" spans="1:35" x14ac:dyDescent="0.45">
      <c r="A47" s="2">
        <v>45960</v>
      </c>
      <c r="B47">
        <v>34.9</v>
      </c>
      <c r="C47">
        <v>35.340000000000003</v>
      </c>
      <c r="D47">
        <v>18.27</v>
      </c>
      <c r="E47">
        <v>24.4</v>
      </c>
      <c r="F47">
        <v>34.22</v>
      </c>
      <c r="G47">
        <v>63.11</v>
      </c>
      <c r="H47">
        <v>25.88</v>
      </c>
      <c r="I47">
        <v>66.540000000000006</v>
      </c>
      <c r="J47">
        <v>66.73</v>
      </c>
      <c r="K47">
        <v>95.26</v>
      </c>
      <c r="L47">
        <v>31.05</v>
      </c>
      <c r="M47">
        <v>64.37</v>
      </c>
      <c r="N47">
        <v>62.69</v>
      </c>
      <c r="O47">
        <v>54.27</v>
      </c>
      <c r="P47">
        <v>64.38</v>
      </c>
      <c r="Q47">
        <v>19.289100000000001</v>
      </c>
      <c r="R47">
        <v>1314.65</v>
      </c>
      <c r="S47">
        <v>33.64</v>
      </c>
      <c r="T47">
        <v>20.149999999999999</v>
      </c>
      <c r="U47">
        <v>17.71</v>
      </c>
      <c r="V47">
        <v>40.229999999999997</v>
      </c>
      <c r="W47">
        <v>45.755000000000003</v>
      </c>
      <c r="X47">
        <v>26.89</v>
      </c>
      <c r="Y47">
        <v>50.67</v>
      </c>
      <c r="Z47">
        <v>41</v>
      </c>
      <c r="AA47">
        <v>83.21</v>
      </c>
      <c r="AB47">
        <v>55.6</v>
      </c>
      <c r="AC47">
        <v>42.75</v>
      </c>
      <c r="AD47">
        <v>626.04999999999995</v>
      </c>
      <c r="AE47">
        <v>679.83</v>
      </c>
      <c r="AF47">
        <v>44.44</v>
      </c>
      <c r="AG47">
        <v>59.48</v>
      </c>
      <c r="AH47">
        <v>48.49</v>
      </c>
      <c r="AI47">
        <v>51.82</v>
      </c>
    </row>
    <row r="48" spans="1:35" x14ac:dyDescent="0.45">
      <c r="A48" s="2">
        <v>45959</v>
      </c>
      <c r="B48">
        <v>35.270000000000003</v>
      </c>
      <c r="C48">
        <v>34.97</v>
      </c>
      <c r="D48">
        <v>18.32</v>
      </c>
      <c r="E48">
        <v>24.74</v>
      </c>
      <c r="F48">
        <v>34.53</v>
      </c>
      <c r="G48">
        <v>63.12</v>
      </c>
      <c r="H48">
        <v>25.91</v>
      </c>
      <c r="I48">
        <v>67.13</v>
      </c>
      <c r="J48">
        <v>67.430000000000007</v>
      </c>
      <c r="K48">
        <v>96.9</v>
      </c>
      <c r="L48">
        <v>31.18</v>
      </c>
      <c r="M48">
        <v>64.75</v>
      </c>
      <c r="N48">
        <v>63.76</v>
      </c>
      <c r="O48">
        <v>54.61</v>
      </c>
      <c r="P48">
        <v>65.489999999999995</v>
      </c>
      <c r="Q48">
        <v>19.25</v>
      </c>
      <c r="R48">
        <v>1315.64</v>
      </c>
      <c r="S48">
        <v>33.909999999999997</v>
      </c>
      <c r="T48">
        <v>20</v>
      </c>
      <c r="U48">
        <v>18.149999999999999</v>
      </c>
      <c r="V48">
        <v>41.03</v>
      </c>
      <c r="W48">
        <v>45.674999999999997</v>
      </c>
      <c r="X48">
        <v>27</v>
      </c>
      <c r="Y48">
        <v>50.75</v>
      </c>
      <c r="Z48">
        <v>41.27</v>
      </c>
      <c r="AA48">
        <v>83.23</v>
      </c>
      <c r="AB48">
        <v>55.66</v>
      </c>
      <c r="AC48">
        <v>42.83</v>
      </c>
      <c r="AD48">
        <v>635.77</v>
      </c>
      <c r="AE48">
        <v>687.39</v>
      </c>
      <c r="AF48">
        <v>44.86</v>
      </c>
      <c r="AG48">
        <v>59.366</v>
      </c>
      <c r="AH48">
        <v>48.74</v>
      </c>
      <c r="AI48">
        <v>52.11</v>
      </c>
    </row>
    <row r="49" spans="1:35" x14ac:dyDescent="0.45">
      <c r="A49" s="2">
        <v>45958</v>
      </c>
      <c r="B49">
        <v>34.950000000000003</v>
      </c>
      <c r="C49">
        <v>34.630000000000003</v>
      </c>
      <c r="D49">
        <v>18.05</v>
      </c>
      <c r="E49">
        <v>24.44</v>
      </c>
      <c r="F49">
        <v>34.85</v>
      </c>
      <c r="G49">
        <v>62.53</v>
      </c>
      <c r="H49">
        <v>26.01</v>
      </c>
      <c r="I49">
        <v>67.09</v>
      </c>
      <c r="J49">
        <v>67.099999999999994</v>
      </c>
      <c r="K49">
        <v>94.45</v>
      </c>
      <c r="L49">
        <v>30.92</v>
      </c>
      <c r="M49">
        <v>65.23</v>
      </c>
      <c r="N49">
        <v>62.89</v>
      </c>
      <c r="O49">
        <v>54.54</v>
      </c>
      <c r="P49">
        <v>65.12</v>
      </c>
      <c r="Q49">
        <v>19.195</v>
      </c>
      <c r="R49">
        <v>1314.28</v>
      </c>
      <c r="S49">
        <v>33.979999999999997</v>
      </c>
      <c r="T49">
        <v>20.010000000000002</v>
      </c>
      <c r="U49">
        <v>18.18</v>
      </c>
      <c r="V49">
        <v>40.89</v>
      </c>
      <c r="W49">
        <v>45.844999999999999</v>
      </c>
      <c r="X49">
        <v>27.52</v>
      </c>
      <c r="Y49">
        <v>51.41</v>
      </c>
      <c r="Z49">
        <v>41.72</v>
      </c>
      <c r="AA49">
        <v>83.93</v>
      </c>
      <c r="AB49">
        <v>56.17</v>
      </c>
      <c r="AC49">
        <v>42.92</v>
      </c>
      <c r="AD49">
        <v>632.91999999999996</v>
      </c>
      <c r="AE49">
        <v>687.06</v>
      </c>
      <c r="AF49">
        <v>45.14</v>
      </c>
      <c r="AG49">
        <v>59.01</v>
      </c>
      <c r="AH49">
        <v>49.07</v>
      </c>
      <c r="AI49">
        <v>52.18</v>
      </c>
    </row>
    <row r="50" spans="1:35" x14ac:dyDescent="0.45">
      <c r="A50" s="2">
        <v>45957</v>
      </c>
      <c r="B50">
        <v>34.950000000000003</v>
      </c>
      <c r="C50">
        <v>34.590000000000003</v>
      </c>
      <c r="D50">
        <v>18.09</v>
      </c>
      <c r="E50">
        <v>24.4</v>
      </c>
      <c r="F50">
        <v>34.200000000000003</v>
      </c>
      <c r="G50">
        <v>61.55</v>
      </c>
      <c r="H50">
        <v>25.96</v>
      </c>
      <c r="I50">
        <v>66.98</v>
      </c>
      <c r="J50">
        <v>66.33</v>
      </c>
      <c r="K50">
        <v>94.31</v>
      </c>
      <c r="L50">
        <v>30.77</v>
      </c>
      <c r="M50">
        <v>64.2</v>
      </c>
      <c r="N50">
        <v>63.03</v>
      </c>
      <c r="O50">
        <v>54.72</v>
      </c>
      <c r="P50">
        <v>65.59</v>
      </c>
      <c r="Q50">
        <v>19.195</v>
      </c>
      <c r="R50">
        <v>1323.52</v>
      </c>
      <c r="S50">
        <v>33.89</v>
      </c>
      <c r="T50">
        <v>19.97</v>
      </c>
      <c r="U50">
        <v>17.739999999999998</v>
      </c>
      <c r="V50">
        <v>40.61</v>
      </c>
      <c r="W50">
        <v>45.99</v>
      </c>
      <c r="X50">
        <v>27.37</v>
      </c>
      <c r="Y50">
        <v>50.79</v>
      </c>
      <c r="Z50">
        <v>41.78</v>
      </c>
      <c r="AA50">
        <v>83.53</v>
      </c>
      <c r="AB50">
        <v>56.94</v>
      </c>
      <c r="AC50">
        <v>42.98</v>
      </c>
      <c r="AD50">
        <v>628.09</v>
      </c>
      <c r="AE50">
        <v>685.24</v>
      </c>
      <c r="AF50">
        <v>45.33</v>
      </c>
      <c r="AG50">
        <v>59.564999999999998</v>
      </c>
      <c r="AH50">
        <v>49.23</v>
      </c>
      <c r="AI50">
        <v>51.93</v>
      </c>
    </row>
    <row r="51" spans="1:35" x14ac:dyDescent="0.45">
      <c r="A51" s="2">
        <v>45954</v>
      </c>
      <c r="B51">
        <v>34.479999999999997</v>
      </c>
      <c r="C51">
        <v>34.369999999999997</v>
      </c>
      <c r="D51">
        <v>18.3</v>
      </c>
      <c r="E51">
        <v>24.7</v>
      </c>
      <c r="F51">
        <v>33.909999999999997</v>
      </c>
      <c r="G51">
        <v>61.62</v>
      </c>
      <c r="H51">
        <v>25.69</v>
      </c>
      <c r="I51">
        <v>66.48</v>
      </c>
      <c r="J51">
        <v>65.37</v>
      </c>
      <c r="K51">
        <v>92.05</v>
      </c>
      <c r="L51">
        <v>30.48</v>
      </c>
      <c r="M51">
        <v>65.180000000000007</v>
      </c>
      <c r="N51">
        <v>63.27</v>
      </c>
      <c r="O51">
        <v>54.51</v>
      </c>
      <c r="P51">
        <v>64.510000000000005</v>
      </c>
      <c r="Q51">
        <v>19.29</v>
      </c>
      <c r="R51">
        <v>1313.91</v>
      </c>
      <c r="S51">
        <v>34.04</v>
      </c>
      <c r="T51">
        <v>19.98</v>
      </c>
      <c r="U51">
        <v>18.21</v>
      </c>
      <c r="V51">
        <v>40.729999999999997</v>
      </c>
      <c r="W51">
        <v>45.615000000000002</v>
      </c>
      <c r="X51">
        <v>27.18</v>
      </c>
      <c r="Y51">
        <v>50.84</v>
      </c>
      <c r="Z51">
        <v>41.59</v>
      </c>
      <c r="AA51">
        <v>82.5</v>
      </c>
      <c r="AB51">
        <v>57.12</v>
      </c>
      <c r="AC51">
        <v>42.78</v>
      </c>
      <c r="AD51">
        <v>617.1</v>
      </c>
      <c r="AE51">
        <v>677.25</v>
      </c>
      <c r="AF51">
        <v>45.11</v>
      </c>
      <c r="AG51">
        <v>58.91</v>
      </c>
      <c r="AH51">
        <v>48.86</v>
      </c>
      <c r="AI51">
        <v>51.27</v>
      </c>
    </row>
    <row r="52" spans="1:35" x14ac:dyDescent="0.45">
      <c r="A52" s="2">
        <v>45953</v>
      </c>
      <c r="B52">
        <v>34.06</v>
      </c>
      <c r="C52">
        <v>34.200000000000003</v>
      </c>
      <c r="D52">
        <v>18.3</v>
      </c>
      <c r="E52">
        <v>24.99</v>
      </c>
      <c r="F52">
        <v>34.17</v>
      </c>
      <c r="G52">
        <v>61.61</v>
      </c>
      <c r="H52">
        <v>25.65</v>
      </c>
      <c r="I52">
        <v>65.709999999999994</v>
      </c>
      <c r="J52">
        <v>66.02</v>
      </c>
      <c r="K52">
        <v>90.07</v>
      </c>
      <c r="L52">
        <v>30.47</v>
      </c>
      <c r="M52">
        <v>64.930000000000007</v>
      </c>
      <c r="N52">
        <v>64.06</v>
      </c>
      <c r="O52">
        <v>54.76</v>
      </c>
      <c r="P52">
        <v>64.11</v>
      </c>
      <c r="Q52">
        <v>19.260000000000002</v>
      </c>
      <c r="R52">
        <v>1302.3499999999999</v>
      </c>
      <c r="S52">
        <v>33.11</v>
      </c>
      <c r="T52">
        <v>19.920000000000002</v>
      </c>
      <c r="U52">
        <v>18.29</v>
      </c>
      <c r="V52">
        <v>40.67</v>
      </c>
      <c r="W52">
        <v>45.52</v>
      </c>
      <c r="X52">
        <v>27.19</v>
      </c>
      <c r="Y52">
        <v>50.58</v>
      </c>
      <c r="Z52">
        <v>41.55</v>
      </c>
      <c r="AA52">
        <v>82.22</v>
      </c>
      <c r="AB52">
        <v>57.17</v>
      </c>
      <c r="AC52">
        <v>42.6</v>
      </c>
      <c r="AD52">
        <v>610.58000000000004</v>
      </c>
      <c r="AE52">
        <v>671.76</v>
      </c>
      <c r="AF52">
        <v>45.27</v>
      </c>
      <c r="AG52">
        <v>58.87</v>
      </c>
      <c r="AH52">
        <v>48.65</v>
      </c>
      <c r="AI52">
        <v>51.17</v>
      </c>
    </row>
    <row r="53" spans="1:35" x14ac:dyDescent="0.45">
      <c r="A53" s="2">
        <v>45952</v>
      </c>
      <c r="B53">
        <v>33.86</v>
      </c>
      <c r="C53">
        <v>33.47</v>
      </c>
      <c r="D53">
        <v>17.89</v>
      </c>
      <c r="E53">
        <v>24.82</v>
      </c>
      <c r="F53">
        <v>33.83</v>
      </c>
      <c r="G53">
        <v>60.71</v>
      </c>
      <c r="H53">
        <v>25.47</v>
      </c>
      <c r="I53">
        <v>65.03</v>
      </c>
      <c r="J53">
        <v>65.510000000000005</v>
      </c>
      <c r="K53">
        <v>89.45</v>
      </c>
      <c r="L53">
        <v>30.03</v>
      </c>
      <c r="M53">
        <v>63.58</v>
      </c>
      <c r="N53">
        <v>63.56</v>
      </c>
      <c r="O53">
        <v>55.29</v>
      </c>
      <c r="P53">
        <v>63.03</v>
      </c>
      <c r="Q53">
        <v>19.14</v>
      </c>
      <c r="R53">
        <v>1302.3499999999999</v>
      </c>
      <c r="S53">
        <v>32.96</v>
      </c>
      <c r="T53">
        <v>19.690000000000001</v>
      </c>
      <c r="U53">
        <v>18.170000000000002</v>
      </c>
      <c r="V53">
        <v>40.51</v>
      </c>
      <c r="W53">
        <v>45.230899999999998</v>
      </c>
      <c r="X53">
        <v>27.07</v>
      </c>
      <c r="Y53">
        <v>50.2</v>
      </c>
      <c r="Z53">
        <v>41.44</v>
      </c>
      <c r="AA53">
        <v>82.18</v>
      </c>
      <c r="AB53">
        <v>57.14</v>
      </c>
      <c r="AC53">
        <v>42.41</v>
      </c>
      <c r="AD53">
        <v>605.49</v>
      </c>
      <c r="AE53">
        <v>667.8</v>
      </c>
      <c r="AF53">
        <v>44.91</v>
      </c>
      <c r="AG53">
        <v>58.12</v>
      </c>
      <c r="AH53">
        <v>48.36</v>
      </c>
      <c r="AI53">
        <v>50.66</v>
      </c>
    </row>
    <row r="54" spans="1:35" x14ac:dyDescent="0.45">
      <c r="A54" s="2">
        <v>45951</v>
      </c>
      <c r="B54">
        <v>33.880000000000003</v>
      </c>
      <c r="C54">
        <v>33.5</v>
      </c>
      <c r="D54">
        <v>18.170000000000002</v>
      </c>
      <c r="E54">
        <v>25.11</v>
      </c>
      <c r="F54">
        <v>33.1</v>
      </c>
      <c r="G54">
        <v>61.35</v>
      </c>
      <c r="H54">
        <v>25.74</v>
      </c>
      <c r="I54">
        <v>65.78</v>
      </c>
      <c r="J54">
        <v>65.069999999999993</v>
      </c>
      <c r="K54">
        <v>88.64</v>
      </c>
      <c r="L54">
        <v>29.94</v>
      </c>
      <c r="M54">
        <v>63.27</v>
      </c>
      <c r="N54">
        <v>63.28</v>
      </c>
      <c r="O54">
        <v>54.48</v>
      </c>
      <c r="P54">
        <v>63.44</v>
      </c>
      <c r="Q54">
        <v>19.09</v>
      </c>
      <c r="R54">
        <v>1290.72</v>
      </c>
      <c r="S54">
        <v>32.72</v>
      </c>
      <c r="T54">
        <v>19.579999999999998</v>
      </c>
      <c r="U54">
        <v>18.045000000000002</v>
      </c>
      <c r="V54">
        <v>40.47</v>
      </c>
      <c r="W54">
        <v>45.325000000000003</v>
      </c>
      <c r="X54">
        <v>27.11</v>
      </c>
      <c r="Y54">
        <v>49.99</v>
      </c>
      <c r="Z54">
        <v>41.69</v>
      </c>
      <c r="AA54">
        <v>82.57</v>
      </c>
      <c r="AB54">
        <v>57.11</v>
      </c>
      <c r="AC54">
        <v>41.96</v>
      </c>
      <c r="AD54">
        <v>611.38</v>
      </c>
      <c r="AE54">
        <v>671.29</v>
      </c>
      <c r="AF54">
        <v>44.98</v>
      </c>
      <c r="AG54">
        <v>58.35</v>
      </c>
      <c r="AH54">
        <v>48.54</v>
      </c>
      <c r="AI54">
        <v>51.1</v>
      </c>
    </row>
    <row r="55" spans="1:35" x14ac:dyDescent="0.45">
      <c r="A55" s="2">
        <v>45950</v>
      </c>
      <c r="B55">
        <v>33.64</v>
      </c>
      <c r="C55">
        <v>33.85</v>
      </c>
      <c r="D55">
        <v>17.82</v>
      </c>
      <c r="E55">
        <v>25.33</v>
      </c>
      <c r="F55">
        <v>33.49</v>
      </c>
      <c r="G55">
        <v>64</v>
      </c>
      <c r="H55">
        <v>25.82</v>
      </c>
      <c r="I55">
        <v>66.17</v>
      </c>
      <c r="J55">
        <v>65.94</v>
      </c>
      <c r="K55">
        <v>90.43</v>
      </c>
      <c r="L55">
        <v>30.22</v>
      </c>
      <c r="M55">
        <v>66.209999999999994</v>
      </c>
      <c r="N55">
        <v>62.99</v>
      </c>
      <c r="O55">
        <v>54.74</v>
      </c>
      <c r="P55">
        <v>64.12</v>
      </c>
      <c r="Q55">
        <v>19.135000000000002</v>
      </c>
      <c r="R55">
        <v>1284.47</v>
      </c>
      <c r="S55">
        <v>32.76</v>
      </c>
      <c r="T55">
        <v>19.57</v>
      </c>
      <c r="U55">
        <v>18.2</v>
      </c>
      <c r="V55">
        <v>40.89</v>
      </c>
      <c r="W55">
        <v>45.56</v>
      </c>
      <c r="X55">
        <v>27.26</v>
      </c>
      <c r="Y55">
        <v>50.72</v>
      </c>
      <c r="Z55">
        <v>41.88</v>
      </c>
      <c r="AA55">
        <v>83.54</v>
      </c>
      <c r="AB55">
        <v>57.68</v>
      </c>
      <c r="AC55">
        <v>42.16</v>
      </c>
      <c r="AD55">
        <v>611.54</v>
      </c>
      <c r="AE55">
        <v>671.3</v>
      </c>
      <c r="AF55">
        <v>45.2</v>
      </c>
      <c r="AG55">
        <v>58.85</v>
      </c>
      <c r="AH55">
        <v>48.09</v>
      </c>
      <c r="AI55">
        <v>51.24</v>
      </c>
    </row>
    <row r="56" spans="1:35" x14ac:dyDescent="0.45">
      <c r="A56" s="2">
        <v>45947</v>
      </c>
      <c r="B56">
        <v>33.61</v>
      </c>
      <c r="C56">
        <v>33.36</v>
      </c>
      <c r="D56">
        <v>17.3</v>
      </c>
      <c r="E56">
        <v>25.41</v>
      </c>
      <c r="F56">
        <v>32.92</v>
      </c>
      <c r="G56">
        <v>62.97</v>
      </c>
      <c r="H56">
        <v>25.7</v>
      </c>
      <c r="I56">
        <v>65.09</v>
      </c>
      <c r="J56">
        <v>66.13</v>
      </c>
      <c r="K56">
        <v>88.52</v>
      </c>
      <c r="L56">
        <v>29.71</v>
      </c>
      <c r="M56">
        <v>65.41</v>
      </c>
      <c r="N56">
        <v>62.75</v>
      </c>
      <c r="O56">
        <v>54.45</v>
      </c>
      <c r="P56">
        <v>63.31</v>
      </c>
      <c r="Q56">
        <v>19.085000000000001</v>
      </c>
      <c r="R56">
        <v>1274.6099999999999</v>
      </c>
      <c r="S56">
        <v>31.9</v>
      </c>
      <c r="T56">
        <v>19.63</v>
      </c>
      <c r="U56">
        <v>19.2</v>
      </c>
      <c r="V56">
        <v>40.78</v>
      </c>
      <c r="W56">
        <v>45.174999999999997</v>
      </c>
      <c r="X56">
        <v>26.92</v>
      </c>
      <c r="Y56">
        <v>50.28</v>
      </c>
      <c r="Z56">
        <v>41.38</v>
      </c>
      <c r="AA56">
        <v>82</v>
      </c>
      <c r="AB56">
        <v>57.78</v>
      </c>
      <c r="AC56">
        <v>42.07</v>
      </c>
      <c r="AD56">
        <v>603.92999999999995</v>
      </c>
      <c r="AE56">
        <v>664.39</v>
      </c>
      <c r="AF56">
        <v>45.23</v>
      </c>
      <c r="AG56">
        <v>58.65</v>
      </c>
      <c r="AH56">
        <v>47.79</v>
      </c>
      <c r="AI56">
        <v>50.77</v>
      </c>
    </row>
    <row r="57" spans="1:35" x14ac:dyDescent="0.45">
      <c r="A57" s="2">
        <v>45946</v>
      </c>
      <c r="B57">
        <v>34.020000000000003</v>
      </c>
      <c r="C57">
        <v>33.4</v>
      </c>
      <c r="D57">
        <v>17.36</v>
      </c>
      <c r="E57">
        <v>25.42</v>
      </c>
      <c r="F57">
        <v>32.83</v>
      </c>
      <c r="G57">
        <v>64.55</v>
      </c>
      <c r="H57">
        <v>25.58</v>
      </c>
      <c r="I57">
        <v>65.17</v>
      </c>
      <c r="J57">
        <v>67.05</v>
      </c>
      <c r="K57">
        <v>87.88</v>
      </c>
      <c r="L57">
        <v>29.24</v>
      </c>
      <c r="M57">
        <v>67.33</v>
      </c>
      <c r="N57">
        <v>63.87</v>
      </c>
      <c r="O57">
        <v>54.064999999999998</v>
      </c>
      <c r="P57">
        <v>63.4</v>
      </c>
      <c r="Q57">
        <v>19.1356</v>
      </c>
      <c r="R57">
        <v>1291.46</v>
      </c>
      <c r="S57">
        <v>32.340000000000003</v>
      </c>
      <c r="T57">
        <v>19.47</v>
      </c>
      <c r="U57">
        <v>19.64</v>
      </c>
      <c r="V57">
        <v>40.78</v>
      </c>
      <c r="W57">
        <v>45.42</v>
      </c>
      <c r="X57">
        <v>26.97</v>
      </c>
      <c r="Y57">
        <v>50.62</v>
      </c>
      <c r="Z57">
        <v>41.59</v>
      </c>
      <c r="AA57">
        <v>81.55</v>
      </c>
      <c r="AB57">
        <v>57.47</v>
      </c>
      <c r="AC57">
        <v>41.99</v>
      </c>
      <c r="AD57">
        <v>599.99</v>
      </c>
      <c r="AE57">
        <v>660.64</v>
      </c>
      <c r="AF57">
        <v>45.15</v>
      </c>
      <c r="AG57">
        <v>58.49</v>
      </c>
      <c r="AH57">
        <v>47.8</v>
      </c>
      <c r="AI57">
        <v>50.88</v>
      </c>
    </row>
    <row r="58" spans="1:35" x14ac:dyDescent="0.45">
      <c r="A58" s="2">
        <v>45945</v>
      </c>
      <c r="B58">
        <v>33.99</v>
      </c>
      <c r="C58">
        <v>33.409999999999997</v>
      </c>
      <c r="D58">
        <v>17.21</v>
      </c>
      <c r="E58">
        <v>25.44</v>
      </c>
      <c r="F58">
        <v>32.9</v>
      </c>
      <c r="G58">
        <v>64.099999999999994</v>
      </c>
      <c r="H58">
        <v>25.66</v>
      </c>
      <c r="I58">
        <v>64.989999999999995</v>
      </c>
      <c r="J58">
        <v>65.87</v>
      </c>
      <c r="K58">
        <v>85.17</v>
      </c>
      <c r="L58">
        <v>29.32</v>
      </c>
      <c r="M58">
        <v>66.03</v>
      </c>
      <c r="N58">
        <v>64.67</v>
      </c>
      <c r="O58">
        <v>53.76</v>
      </c>
      <c r="P58">
        <v>63.25</v>
      </c>
      <c r="Q58">
        <v>19.070699999999999</v>
      </c>
      <c r="R58">
        <v>1286.69</v>
      </c>
      <c r="S58">
        <v>32.56</v>
      </c>
      <c r="T58">
        <v>19.47</v>
      </c>
      <c r="U58">
        <v>19.420000000000002</v>
      </c>
      <c r="V58">
        <v>40.89</v>
      </c>
      <c r="W58">
        <v>45.14</v>
      </c>
      <c r="X58">
        <v>26.89</v>
      </c>
      <c r="Y58">
        <v>50.96</v>
      </c>
      <c r="Z58">
        <v>41.53</v>
      </c>
      <c r="AA58">
        <v>81.290000000000006</v>
      </c>
      <c r="AB58">
        <v>56.64</v>
      </c>
      <c r="AC58">
        <v>42.02</v>
      </c>
      <c r="AD58">
        <v>602.22</v>
      </c>
      <c r="AE58">
        <v>665.17</v>
      </c>
      <c r="AF58">
        <v>44.42</v>
      </c>
      <c r="AG58">
        <v>58.27</v>
      </c>
      <c r="AH58">
        <v>47.58</v>
      </c>
      <c r="AI58">
        <v>50.47</v>
      </c>
    </row>
    <row r="59" spans="1:35" x14ac:dyDescent="0.45">
      <c r="A59" s="2">
        <v>45944</v>
      </c>
      <c r="B59">
        <v>33.549999999999997</v>
      </c>
      <c r="C59">
        <v>32.799999999999997</v>
      </c>
      <c r="D59">
        <v>17.22</v>
      </c>
      <c r="E59">
        <v>25.45</v>
      </c>
      <c r="F59">
        <v>32.22</v>
      </c>
      <c r="G59">
        <v>63.3</v>
      </c>
      <c r="H59">
        <v>25.72</v>
      </c>
      <c r="I59">
        <v>63.7</v>
      </c>
      <c r="J59">
        <v>64.84</v>
      </c>
      <c r="K59">
        <v>82.69</v>
      </c>
      <c r="L59">
        <v>29.1</v>
      </c>
      <c r="M59">
        <v>65.31</v>
      </c>
      <c r="N59">
        <v>64.83</v>
      </c>
      <c r="O59">
        <v>52.78</v>
      </c>
      <c r="P59">
        <v>62.58</v>
      </c>
      <c r="Q59">
        <v>19.204999999999998</v>
      </c>
      <c r="R59">
        <v>1266.3800000000001</v>
      </c>
      <c r="S59">
        <v>32.35</v>
      </c>
      <c r="T59">
        <v>19.57</v>
      </c>
      <c r="U59">
        <v>19.690000000000001</v>
      </c>
      <c r="V59">
        <v>40.75</v>
      </c>
      <c r="W59">
        <v>45.066499999999998</v>
      </c>
      <c r="X59">
        <v>26.7</v>
      </c>
      <c r="Y59">
        <v>50.53</v>
      </c>
      <c r="Z59">
        <v>41.67</v>
      </c>
      <c r="AA59">
        <v>80.040000000000006</v>
      </c>
      <c r="AB59">
        <v>56.33</v>
      </c>
      <c r="AC59">
        <v>42.06</v>
      </c>
      <c r="AD59">
        <v>598</v>
      </c>
      <c r="AE59">
        <v>662.23</v>
      </c>
      <c r="AF59">
        <v>44.13</v>
      </c>
      <c r="AG59">
        <v>57.76</v>
      </c>
      <c r="AH59">
        <v>47.45</v>
      </c>
      <c r="AI59">
        <v>50.79</v>
      </c>
    </row>
    <row r="60" spans="1:35" x14ac:dyDescent="0.45">
      <c r="A60" s="2">
        <v>45943</v>
      </c>
      <c r="B60">
        <v>33.94</v>
      </c>
      <c r="C60">
        <v>32.119999999999997</v>
      </c>
      <c r="D60">
        <v>17.57</v>
      </c>
      <c r="E60">
        <v>25.3</v>
      </c>
      <c r="F60">
        <v>32.409999999999997</v>
      </c>
      <c r="G60">
        <v>63.41</v>
      </c>
      <c r="H60">
        <v>25.71</v>
      </c>
      <c r="I60">
        <v>64.56</v>
      </c>
      <c r="J60">
        <v>65.47</v>
      </c>
      <c r="K60">
        <v>83.62</v>
      </c>
      <c r="L60">
        <v>29.18</v>
      </c>
      <c r="M60">
        <v>66.010000000000005</v>
      </c>
      <c r="N60">
        <v>65.61</v>
      </c>
      <c r="O60">
        <v>52.97</v>
      </c>
      <c r="P60">
        <v>63.3</v>
      </c>
      <c r="Q60">
        <v>19.254999999999999</v>
      </c>
      <c r="R60">
        <v>1286.98</v>
      </c>
      <c r="S60">
        <v>33.04</v>
      </c>
      <c r="T60">
        <v>19.16</v>
      </c>
      <c r="U60">
        <v>19.59</v>
      </c>
      <c r="V60">
        <v>40.69</v>
      </c>
      <c r="W60">
        <v>45.45</v>
      </c>
      <c r="X60">
        <v>26.66</v>
      </c>
      <c r="Y60">
        <v>50.59</v>
      </c>
      <c r="Z60">
        <v>41.78</v>
      </c>
      <c r="AA60">
        <v>79.290000000000006</v>
      </c>
      <c r="AB60">
        <v>56.08</v>
      </c>
      <c r="AC60">
        <v>41.99</v>
      </c>
      <c r="AD60">
        <v>602.01</v>
      </c>
      <c r="AE60">
        <v>663.04</v>
      </c>
      <c r="AF60">
        <v>43.35</v>
      </c>
      <c r="AG60">
        <v>57.75</v>
      </c>
      <c r="AH60">
        <v>47.32</v>
      </c>
      <c r="AI60">
        <v>50.5</v>
      </c>
    </row>
    <row r="61" spans="1:35" x14ac:dyDescent="0.45">
      <c r="A61" s="2">
        <v>45940</v>
      </c>
      <c r="B61">
        <v>32.92</v>
      </c>
      <c r="C61">
        <v>31.5</v>
      </c>
      <c r="D61">
        <v>17.309999999999999</v>
      </c>
      <c r="E61">
        <v>24.87</v>
      </c>
      <c r="F61">
        <v>31.78</v>
      </c>
      <c r="G61">
        <v>60.91</v>
      </c>
      <c r="H61">
        <v>25.33</v>
      </c>
      <c r="I61">
        <v>61.62</v>
      </c>
      <c r="J61">
        <v>64.39</v>
      </c>
      <c r="K61">
        <v>80.72</v>
      </c>
      <c r="L61">
        <v>28.79</v>
      </c>
      <c r="M61">
        <v>63.32</v>
      </c>
      <c r="N61">
        <v>65.45</v>
      </c>
      <c r="O61">
        <v>52.77</v>
      </c>
      <c r="P61">
        <v>61.39</v>
      </c>
      <c r="Q61">
        <v>19.23</v>
      </c>
      <c r="R61">
        <v>1286.98</v>
      </c>
      <c r="S61">
        <v>32.840000000000003</v>
      </c>
      <c r="T61">
        <v>19</v>
      </c>
      <c r="U61">
        <v>18.98</v>
      </c>
      <c r="V61">
        <v>39.81</v>
      </c>
      <c r="W61">
        <v>45.805</v>
      </c>
      <c r="X61">
        <v>26.44</v>
      </c>
      <c r="Y61">
        <v>49.86</v>
      </c>
      <c r="Z61">
        <v>41.52</v>
      </c>
      <c r="AA61">
        <v>78.36</v>
      </c>
      <c r="AB61">
        <v>56.1</v>
      </c>
      <c r="AC61">
        <v>41.73</v>
      </c>
      <c r="AD61">
        <v>589.5</v>
      </c>
      <c r="AE61">
        <v>653.02</v>
      </c>
      <c r="AF61">
        <v>43.29</v>
      </c>
      <c r="AG61">
        <v>56.64</v>
      </c>
      <c r="AH61">
        <v>46.92</v>
      </c>
      <c r="AI61">
        <v>50.31</v>
      </c>
    </row>
    <row r="62" spans="1:35" x14ac:dyDescent="0.45">
      <c r="A62" s="2">
        <v>45939</v>
      </c>
      <c r="B62">
        <v>34.44</v>
      </c>
      <c r="C62">
        <v>32.520000000000003</v>
      </c>
      <c r="D62">
        <v>17.649999999999999</v>
      </c>
      <c r="E62">
        <v>25.2</v>
      </c>
      <c r="F62">
        <v>32.28</v>
      </c>
      <c r="G62">
        <v>62.65</v>
      </c>
      <c r="H62">
        <v>25.98</v>
      </c>
      <c r="I62">
        <v>64.83</v>
      </c>
      <c r="J62">
        <v>65.42</v>
      </c>
      <c r="K62">
        <v>83.43</v>
      </c>
      <c r="L62">
        <v>29.67</v>
      </c>
      <c r="M62">
        <v>65.06</v>
      </c>
      <c r="N62">
        <v>65.7</v>
      </c>
      <c r="O62">
        <v>52.81</v>
      </c>
      <c r="P62">
        <v>65.12</v>
      </c>
      <c r="Q62">
        <v>19.329999999999998</v>
      </c>
      <c r="R62">
        <v>1313.99</v>
      </c>
      <c r="S62">
        <v>33.369999999999997</v>
      </c>
      <c r="T62">
        <v>19.25</v>
      </c>
      <c r="U62">
        <v>18.75</v>
      </c>
      <c r="V62">
        <v>40.68</v>
      </c>
      <c r="W62">
        <v>46.575000000000003</v>
      </c>
      <c r="X62">
        <v>26.92</v>
      </c>
      <c r="Y62">
        <v>50.53</v>
      </c>
      <c r="Z62">
        <v>42.09</v>
      </c>
      <c r="AA62">
        <v>81.55</v>
      </c>
      <c r="AB62">
        <v>56.36</v>
      </c>
      <c r="AC62">
        <v>42.07</v>
      </c>
      <c r="AD62">
        <v>610.70000000000005</v>
      </c>
      <c r="AE62">
        <v>671.16</v>
      </c>
      <c r="AF62">
        <v>43.89</v>
      </c>
      <c r="AG62">
        <v>57.89</v>
      </c>
      <c r="AH62">
        <v>47.2</v>
      </c>
      <c r="AI62">
        <v>51.13</v>
      </c>
    </row>
    <row r="63" spans="1:35" x14ac:dyDescent="0.45">
      <c r="A63" s="2">
        <v>45938</v>
      </c>
      <c r="B63">
        <v>34.21</v>
      </c>
      <c r="C63">
        <v>32.79</v>
      </c>
      <c r="D63">
        <v>17.45</v>
      </c>
      <c r="E63">
        <v>25.67</v>
      </c>
      <c r="F63">
        <v>32.619999999999997</v>
      </c>
      <c r="G63">
        <v>63.53</v>
      </c>
      <c r="H63">
        <v>26.02</v>
      </c>
      <c r="I63">
        <v>65.650000000000006</v>
      </c>
      <c r="J63">
        <v>65.73</v>
      </c>
      <c r="K63">
        <v>84.19</v>
      </c>
      <c r="L63">
        <v>29.87</v>
      </c>
      <c r="M63">
        <v>66.8</v>
      </c>
      <c r="N63">
        <v>65.62</v>
      </c>
      <c r="O63">
        <v>52.63</v>
      </c>
      <c r="P63">
        <v>66.13</v>
      </c>
      <c r="Q63">
        <v>19.309999999999999</v>
      </c>
      <c r="R63">
        <v>1304.92</v>
      </c>
      <c r="S63">
        <v>33.615000000000002</v>
      </c>
      <c r="T63">
        <v>19.29</v>
      </c>
      <c r="U63">
        <v>18.43</v>
      </c>
      <c r="V63">
        <v>40.549999999999997</v>
      </c>
      <c r="W63">
        <v>47.094999999999999</v>
      </c>
      <c r="X63">
        <v>27.23</v>
      </c>
      <c r="Y63">
        <v>51.14</v>
      </c>
      <c r="Z63">
        <v>42.34</v>
      </c>
      <c r="AA63">
        <v>81.75</v>
      </c>
      <c r="AB63">
        <v>56.83</v>
      </c>
      <c r="AC63">
        <v>42.68</v>
      </c>
      <c r="AD63">
        <v>611.44000000000005</v>
      </c>
      <c r="AE63">
        <v>673.11</v>
      </c>
      <c r="AF63">
        <v>44.3</v>
      </c>
      <c r="AG63">
        <v>58.41</v>
      </c>
      <c r="AH63">
        <v>47.88</v>
      </c>
      <c r="AI63">
        <v>52.29</v>
      </c>
    </row>
    <row r="64" spans="1:35" x14ac:dyDescent="0.45">
      <c r="A64" s="2">
        <v>45937</v>
      </c>
      <c r="B64">
        <v>34.26</v>
      </c>
      <c r="C64">
        <v>32.270000000000003</v>
      </c>
      <c r="D64">
        <v>17.43</v>
      </c>
      <c r="E64">
        <v>25.36</v>
      </c>
      <c r="F64">
        <v>32.58</v>
      </c>
      <c r="G64">
        <v>61.87</v>
      </c>
      <c r="H64">
        <v>25.99</v>
      </c>
      <c r="I64">
        <v>64.81</v>
      </c>
      <c r="J64">
        <v>65.040000000000006</v>
      </c>
      <c r="K64">
        <v>83.35</v>
      </c>
      <c r="L64">
        <v>29.68</v>
      </c>
      <c r="M64">
        <v>64.790000000000006</v>
      </c>
      <c r="N64">
        <v>65.33</v>
      </c>
      <c r="O64">
        <v>52.88</v>
      </c>
      <c r="P64">
        <v>65.81</v>
      </c>
      <c r="Q64">
        <v>19.260000000000002</v>
      </c>
      <c r="R64">
        <v>1305.24</v>
      </c>
      <c r="S64">
        <v>33.69</v>
      </c>
      <c r="T64">
        <v>19.13</v>
      </c>
      <c r="U64">
        <v>18.23</v>
      </c>
      <c r="V64">
        <v>40.590000000000003</v>
      </c>
      <c r="W64">
        <v>47.05</v>
      </c>
      <c r="X64">
        <v>27.14</v>
      </c>
      <c r="Y64">
        <v>50.94</v>
      </c>
      <c r="Z64">
        <v>42.07</v>
      </c>
      <c r="AA64">
        <v>81.96</v>
      </c>
      <c r="AB64">
        <v>56.55</v>
      </c>
      <c r="AC64">
        <v>42.45</v>
      </c>
      <c r="AD64">
        <v>604.51</v>
      </c>
      <c r="AE64">
        <v>669.12</v>
      </c>
      <c r="AF64">
        <v>43.79</v>
      </c>
      <c r="AG64">
        <v>58.56</v>
      </c>
      <c r="AH64">
        <v>47.82</v>
      </c>
      <c r="AI64">
        <v>51.94</v>
      </c>
    </row>
    <row r="65" spans="1:35" x14ac:dyDescent="0.45">
      <c r="A65" s="2">
        <v>45936</v>
      </c>
      <c r="B65">
        <v>34.369999999999997</v>
      </c>
      <c r="C65">
        <v>32.049999999999997</v>
      </c>
      <c r="D65">
        <v>17.420000000000002</v>
      </c>
      <c r="E65">
        <v>25.1</v>
      </c>
      <c r="F65">
        <v>32.51</v>
      </c>
      <c r="G65">
        <v>62.71</v>
      </c>
      <c r="H65">
        <v>26.09</v>
      </c>
      <c r="I65">
        <v>65.03</v>
      </c>
      <c r="J65">
        <v>65.44</v>
      </c>
      <c r="K65">
        <v>84.78</v>
      </c>
      <c r="L65">
        <v>30.31</v>
      </c>
      <c r="M65">
        <v>65.319999999999993</v>
      </c>
      <c r="N65">
        <v>65.38</v>
      </c>
      <c r="O65">
        <v>52.76</v>
      </c>
      <c r="P65">
        <v>66.64</v>
      </c>
      <c r="Q65">
        <v>19.215</v>
      </c>
      <c r="R65">
        <v>1285.6400000000001</v>
      </c>
      <c r="S65">
        <v>33.47</v>
      </c>
      <c r="T65">
        <v>19.04</v>
      </c>
      <c r="U65">
        <v>18.434999999999999</v>
      </c>
      <c r="V65">
        <v>40.770000000000003</v>
      </c>
      <c r="W65">
        <v>47.134999999999998</v>
      </c>
      <c r="X65">
        <v>27.36</v>
      </c>
      <c r="Y65">
        <v>51.3</v>
      </c>
      <c r="Z65">
        <v>42.42</v>
      </c>
      <c r="AA65">
        <v>83.27</v>
      </c>
      <c r="AB65">
        <v>56.72</v>
      </c>
      <c r="AC65">
        <v>42.58</v>
      </c>
      <c r="AD65">
        <v>607.71</v>
      </c>
      <c r="AE65">
        <v>671.61</v>
      </c>
      <c r="AF65">
        <v>44.19</v>
      </c>
      <c r="AG65">
        <v>59.68</v>
      </c>
      <c r="AH65">
        <v>48.26</v>
      </c>
      <c r="AI65">
        <v>52.26</v>
      </c>
    </row>
    <row r="66" spans="1:35" x14ac:dyDescent="0.45">
      <c r="A66" s="2">
        <v>45933</v>
      </c>
      <c r="B66">
        <v>34.39</v>
      </c>
      <c r="C66">
        <v>32.32</v>
      </c>
      <c r="D66">
        <v>17.43</v>
      </c>
      <c r="E66">
        <v>25.59</v>
      </c>
      <c r="F66">
        <v>32.92</v>
      </c>
      <c r="G66">
        <v>62.31</v>
      </c>
      <c r="H66">
        <v>26.2</v>
      </c>
      <c r="I66">
        <v>64.64</v>
      </c>
      <c r="J66">
        <v>66.81</v>
      </c>
      <c r="K66">
        <v>83.85</v>
      </c>
      <c r="L66">
        <v>30.33</v>
      </c>
      <c r="M66">
        <v>65.06</v>
      </c>
      <c r="N66">
        <v>66.17</v>
      </c>
      <c r="O66">
        <v>52.45</v>
      </c>
      <c r="P66">
        <v>66.55</v>
      </c>
      <c r="Q66">
        <v>19.295000000000002</v>
      </c>
      <c r="R66">
        <v>1293.6099999999999</v>
      </c>
      <c r="S66">
        <v>33.74</v>
      </c>
      <c r="T66">
        <v>19.11</v>
      </c>
      <c r="U66">
        <v>17.53</v>
      </c>
      <c r="V66">
        <v>40.49</v>
      </c>
      <c r="W66">
        <v>47.188299999999998</v>
      </c>
      <c r="X66">
        <v>27.43</v>
      </c>
      <c r="Y66">
        <v>51.24</v>
      </c>
      <c r="Z66">
        <v>42.43</v>
      </c>
      <c r="AA66">
        <v>81.78</v>
      </c>
      <c r="AB66">
        <v>56.66</v>
      </c>
      <c r="AC66">
        <v>42.64</v>
      </c>
      <c r="AD66">
        <v>603.17999999999995</v>
      </c>
      <c r="AE66">
        <v>669.21</v>
      </c>
      <c r="AF66">
        <v>44.91</v>
      </c>
      <c r="AG66">
        <v>59.62</v>
      </c>
      <c r="AH66">
        <v>48.2</v>
      </c>
      <c r="AI66">
        <v>52.61</v>
      </c>
    </row>
    <row r="67" spans="1:35" x14ac:dyDescent="0.45">
      <c r="A67" s="2">
        <v>45932</v>
      </c>
      <c r="B67">
        <v>34.5182</v>
      </c>
      <c r="C67">
        <v>32.4</v>
      </c>
      <c r="D67">
        <v>17.440000000000001</v>
      </c>
      <c r="E67">
        <v>25.22</v>
      </c>
      <c r="F67">
        <v>32.81</v>
      </c>
      <c r="G67">
        <v>61.33</v>
      </c>
      <c r="H67">
        <v>26.27</v>
      </c>
      <c r="I67">
        <v>64</v>
      </c>
      <c r="J67">
        <v>66.900000000000006</v>
      </c>
      <c r="K67">
        <v>83.53</v>
      </c>
      <c r="L67">
        <v>30.24</v>
      </c>
      <c r="M67">
        <v>64.209999999999994</v>
      </c>
      <c r="N67">
        <v>65.25</v>
      </c>
      <c r="O67">
        <v>52.3</v>
      </c>
      <c r="P67">
        <v>66.989999999999995</v>
      </c>
      <c r="Q67">
        <v>19.274999999999999</v>
      </c>
      <c r="R67">
        <v>1288.29</v>
      </c>
      <c r="S67">
        <v>34.450000000000003</v>
      </c>
      <c r="T67">
        <v>19.079999999999998</v>
      </c>
      <c r="U67">
        <v>17.515000000000001</v>
      </c>
      <c r="V67">
        <v>40.479999999999997</v>
      </c>
      <c r="W67">
        <v>46.68</v>
      </c>
      <c r="X67">
        <v>27.18</v>
      </c>
      <c r="Y67">
        <v>50.59</v>
      </c>
      <c r="Z67">
        <v>42.47</v>
      </c>
      <c r="AA67">
        <v>80.150000000000006</v>
      </c>
      <c r="AB67">
        <v>56.25</v>
      </c>
      <c r="AC67">
        <v>42.26</v>
      </c>
      <c r="AD67">
        <v>605.73</v>
      </c>
      <c r="AE67">
        <v>669.22</v>
      </c>
      <c r="AF67">
        <v>44.77</v>
      </c>
      <c r="AG67">
        <v>59.51</v>
      </c>
      <c r="AH67">
        <v>47.94</v>
      </c>
      <c r="AI67">
        <v>52.33</v>
      </c>
    </row>
    <row r="68" spans="1:35" x14ac:dyDescent="0.45">
      <c r="A68" s="2">
        <v>45931</v>
      </c>
      <c r="B68">
        <v>34.369500000000002</v>
      </c>
      <c r="C68">
        <v>32.71</v>
      </c>
      <c r="D68">
        <v>17.46</v>
      </c>
      <c r="E68">
        <v>25.2</v>
      </c>
      <c r="F68">
        <v>32.6</v>
      </c>
      <c r="G68">
        <v>61.05</v>
      </c>
      <c r="H68">
        <v>26.21</v>
      </c>
      <c r="I68">
        <v>64.14</v>
      </c>
      <c r="J68">
        <v>66.78</v>
      </c>
      <c r="K68">
        <v>81.89</v>
      </c>
      <c r="L68">
        <v>30.58</v>
      </c>
      <c r="M68">
        <v>64.75</v>
      </c>
      <c r="N68">
        <v>65.56</v>
      </c>
      <c r="O68">
        <v>52.39</v>
      </c>
      <c r="P68">
        <v>66.25</v>
      </c>
      <c r="Q68">
        <v>19.39</v>
      </c>
      <c r="R68">
        <v>1275.03</v>
      </c>
      <c r="S68">
        <v>34.96</v>
      </c>
      <c r="T68">
        <v>18.989999999999998</v>
      </c>
      <c r="U68">
        <v>18.04</v>
      </c>
      <c r="V68">
        <v>40.25</v>
      </c>
      <c r="W68">
        <v>46.711599999999997</v>
      </c>
      <c r="X68">
        <v>27.15</v>
      </c>
      <c r="Y68">
        <v>50.57</v>
      </c>
      <c r="Z68">
        <v>42.13</v>
      </c>
      <c r="AA68">
        <v>80.209999999999994</v>
      </c>
      <c r="AB68">
        <v>55.94</v>
      </c>
      <c r="AC68">
        <v>42.5</v>
      </c>
      <c r="AD68">
        <v>603.25</v>
      </c>
      <c r="AE68">
        <v>668.45</v>
      </c>
      <c r="AF68">
        <v>44.49</v>
      </c>
      <c r="AG68">
        <v>58.84</v>
      </c>
      <c r="AH68">
        <v>47.61</v>
      </c>
      <c r="AI68">
        <v>52.41</v>
      </c>
    </row>
    <row r="69" spans="1:35" x14ac:dyDescent="0.45">
      <c r="A69" s="2">
        <v>45930</v>
      </c>
      <c r="B69">
        <v>34.340000000000003</v>
      </c>
      <c r="C69">
        <v>32.96</v>
      </c>
      <c r="D69">
        <v>17.55</v>
      </c>
      <c r="E69">
        <v>24.84</v>
      </c>
      <c r="F69">
        <v>32.200000000000003</v>
      </c>
      <c r="G69">
        <v>61.5</v>
      </c>
      <c r="H69">
        <v>25.92</v>
      </c>
      <c r="I69">
        <v>63.62</v>
      </c>
      <c r="J69">
        <v>68.209999999999994</v>
      </c>
      <c r="K69">
        <v>80.099999999999994</v>
      </c>
      <c r="L69">
        <v>31</v>
      </c>
      <c r="M69">
        <v>64.099999999999994</v>
      </c>
      <c r="N69">
        <v>64.400000000000006</v>
      </c>
      <c r="O69">
        <v>52.06</v>
      </c>
      <c r="P69">
        <v>65.849999999999994</v>
      </c>
      <c r="Q69">
        <v>19.53</v>
      </c>
      <c r="R69">
        <v>1274.17</v>
      </c>
      <c r="S69">
        <v>34.229999999999997</v>
      </c>
      <c r="T69">
        <v>18.89</v>
      </c>
      <c r="U69">
        <v>17.84</v>
      </c>
      <c r="V69">
        <v>40.58</v>
      </c>
      <c r="W69">
        <v>45.933399999999999</v>
      </c>
      <c r="X69">
        <v>27</v>
      </c>
      <c r="Y69">
        <v>50.55</v>
      </c>
      <c r="Z69">
        <v>41.61</v>
      </c>
      <c r="AA69">
        <v>80.209999999999994</v>
      </c>
      <c r="AB69">
        <v>55.24</v>
      </c>
      <c r="AC69">
        <v>41.97</v>
      </c>
      <c r="AD69">
        <v>600.37</v>
      </c>
      <c r="AE69">
        <v>666.18</v>
      </c>
      <c r="AF69">
        <v>43.93</v>
      </c>
      <c r="AG69">
        <v>58.01</v>
      </c>
      <c r="AH69">
        <v>47.2</v>
      </c>
      <c r="AI69">
        <v>51.95</v>
      </c>
    </row>
    <row r="70" spans="1:35" x14ac:dyDescent="0.45">
      <c r="A70" s="2">
        <v>45929</v>
      </c>
      <c r="B70">
        <v>34.200000000000003</v>
      </c>
      <c r="C70">
        <v>32.85</v>
      </c>
      <c r="D70">
        <v>17.690000000000001</v>
      </c>
      <c r="E70">
        <v>25.04</v>
      </c>
      <c r="F70">
        <v>32.11</v>
      </c>
      <c r="G70">
        <v>60.803600000000003</v>
      </c>
      <c r="H70">
        <v>25.78</v>
      </c>
      <c r="I70">
        <v>63.08</v>
      </c>
      <c r="J70">
        <v>67.459999999999994</v>
      </c>
      <c r="K70">
        <v>80.239999999999995</v>
      </c>
      <c r="L70">
        <v>30.99</v>
      </c>
      <c r="M70">
        <v>63.42</v>
      </c>
      <c r="N70">
        <v>64.27</v>
      </c>
      <c r="O70">
        <v>52.16</v>
      </c>
      <c r="P70">
        <v>65.53</v>
      </c>
      <c r="Q70">
        <v>19.425000000000001</v>
      </c>
      <c r="R70">
        <v>1288.07</v>
      </c>
      <c r="S70">
        <v>34.57</v>
      </c>
      <c r="T70">
        <v>18.82</v>
      </c>
      <c r="U70">
        <v>17.690000000000001</v>
      </c>
      <c r="V70">
        <v>40.15</v>
      </c>
      <c r="W70">
        <v>45.484999999999999</v>
      </c>
      <c r="X70">
        <v>26.98</v>
      </c>
      <c r="Y70">
        <v>50.46</v>
      </c>
      <c r="Z70">
        <v>41.31</v>
      </c>
      <c r="AA70">
        <v>80.510000000000005</v>
      </c>
      <c r="AB70">
        <v>54.57</v>
      </c>
      <c r="AC70">
        <v>41.63</v>
      </c>
      <c r="AD70">
        <v>598.73</v>
      </c>
      <c r="AE70">
        <v>663.68</v>
      </c>
      <c r="AF70">
        <v>43.78</v>
      </c>
      <c r="AG70">
        <v>57.67</v>
      </c>
      <c r="AH70">
        <v>47.22</v>
      </c>
      <c r="AI70">
        <v>51.5</v>
      </c>
    </row>
    <row r="71" spans="1:35" x14ac:dyDescent="0.45">
      <c r="A71" s="2">
        <v>45926</v>
      </c>
      <c r="B71">
        <v>33.54</v>
      </c>
      <c r="C71">
        <v>33.17</v>
      </c>
      <c r="D71">
        <v>17.600000000000001</v>
      </c>
      <c r="E71">
        <v>25.12</v>
      </c>
      <c r="F71">
        <v>32.17</v>
      </c>
      <c r="G71">
        <v>59.3</v>
      </c>
      <c r="H71">
        <v>25.73</v>
      </c>
      <c r="I71">
        <v>62.74</v>
      </c>
      <c r="J71">
        <v>67.14</v>
      </c>
      <c r="K71">
        <v>78.87</v>
      </c>
      <c r="L71">
        <v>30.73</v>
      </c>
      <c r="M71">
        <v>63.3</v>
      </c>
      <c r="N71">
        <v>63.82</v>
      </c>
      <c r="O71">
        <v>52.25</v>
      </c>
      <c r="P71">
        <v>64.319999999999993</v>
      </c>
      <c r="Q71">
        <v>19.420000000000002</v>
      </c>
      <c r="R71">
        <v>1278.74</v>
      </c>
      <c r="S71">
        <v>34.770000000000003</v>
      </c>
      <c r="T71">
        <v>18.98</v>
      </c>
      <c r="U71">
        <v>17.55</v>
      </c>
      <c r="V71">
        <v>39.950000000000003</v>
      </c>
      <c r="W71">
        <v>45.365000000000002</v>
      </c>
      <c r="X71">
        <v>26.67</v>
      </c>
      <c r="Y71">
        <v>50.02</v>
      </c>
      <c r="Z71">
        <v>41.2</v>
      </c>
      <c r="AA71">
        <v>80.44</v>
      </c>
      <c r="AB71">
        <v>54.26</v>
      </c>
      <c r="AC71">
        <v>41.58</v>
      </c>
      <c r="AD71">
        <v>595.97</v>
      </c>
      <c r="AE71">
        <v>661.82</v>
      </c>
      <c r="AF71">
        <v>43.59</v>
      </c>
      <c r="AG71">
        <v>57.12</v>
      </c>
      <c r="AH71">
        <v>47.2</v>
      </c>
      <c r="AI71">
        <v>51.54</v>
      </c>
    </row>
    <row r="72" spans="1:35" x14ac:dyDescent="0.45">
      <c r="A72" s="2">
        <v>45925</v>
      </c>
      <c r="B72">
        <v>33.880000000000003</v>
      </c>
      <c r="C72">
        <v>33.21</v>
      </c>
      <c r="D72">
        <v>17.41</v>
      </c>
      <c r="E72">
        <v>25.09</v>
      </c>
      <c r="F72">
        <v>31.57</v>
      </c>
      <c r="G72">
        <v>59.78</v>
      </c>
      <c r="H72">
        <v>25.27</v>
      </c>
      <c r="I72">
        <v>63.06</v>
      </c>
      <c r="J72">
        <v>66.180000000000007</v>
      </c>
      <c r="K72">
        <v>79.89</v>
      </c>
      <c r="L72">
        <v>30.58</v>
      </c>
      <c r="M72">
        <v>61.67</v>
      </c>
      <c r="N72">
        <v>63.96</v>
      </c>
      <c r="O72">
        <v>52.49</v>
      </c>
      <c r="P72">
        <v>64.760000000000005</v>
      </c>
      <c r="Q72">
        <v>19.37</v>
      </c>
      <c r="R72">
        <v>1288.26</v>
      </c>
      <c r="S72">
        <v>35.19</v>
      </c>
      <c r="T72">
        <v>18.84</v>
      </c>
      <c r="U72">
        <v>17.670000000000002</v>
      </c>
      <c r="V72">
        <v>39.840000000000003</v>
      </c>
      <c r="W72">
        <v>45.196899999999999</v>
      </c>
      <c r="X72">
        <v>26.47</v>
      </c>
      <c r="Y72">
        <v>50.05</v>
      </c>
      <c r="Z72">
        <v>40.75</v>
      </c>
      <c r="AA72">
        <v>80.459999999999994</v>
      </c>
      <c r="AB72">
        <v>53.86</v>
      </c>
      <c r="AC72">
        <v>41.04</v>
      </c>
      <c r="AD72">
        <v>593.53</v>
      </c>
      <c r="AE72">
        <v>658.05</v>
      </c>
      <c r="AF72">
        <v>43.05</v>
      </c>
      <c r="AG72">
        <v>57.02</v>
      </c>
      <c r="AH72">
        <v>46.62</v>
      </c>
      <c r="AI72">
        <v>50.94</v>
      </c>
    </row>
    <row r="73" spans="1:35" x14ac:dyDescent="0.45">
      <c r="A73" s="2">
        <v>45924</v>
      </c>
      <c r="B73">
        <v>33.680599999999998</v>
      </c>
      <c r="C73">
        <v>33.630000000000003</v>
      </c>
      <c r="D73">
        <v>17.68</v>
      </c>
      <c r="E73">
        <v>25.69</v>
      </c>
      <c r="F73">
        <v>32.090000000000003</v>
      </c>
      <c r="G73">
        <v>59.89</v>
      </c>
      <c r="H73">
        <v>25.33</v>
      </c>
      <c r="I73">
        <v>63.57</v>
      </c>
      <c r="J73">
        <v>66.47</v>
      </c>
      <c r="K73">
        <v>80.040000000000006</v>
      </c>
      <c r="L73">
        <v>31.05</v>
      </c>
      <c r="M73">
        <v>61.97</v>
      </c>
      <c r="N73">
        <v>65</v>
      </c>
      <c r="O73">
        <v>52.74</v>
      </c>
      <c r="P73">
        <v>64.58</v>
      </c>
      <c r="Q73">
        <v>19.565000000000001</v>
      </c>
      <c r="R73">
        <v>1278.4100000000001</v>
      </c>
      <c r="S73">
        <v>35.299999999999997</v>
      </c>
      <c r="T73">
        <v>18.68</v>
      </c>
      <c r="U73">
        <v>17.579999999999998</v>
      </c>
      <c r="V73">
        <v>40.54</v>
      </c>
      <c r="W73">
        <v>45.596299999999999</v>
      </c>
      <c r="X73">
        <v>26.47</v>
      </c>
      <c r="Y73">
        <v>50.24</v>
      </c>
      <c r="Z73">
        <v>41.24</v>
      </c>
      <c r="AA73">
        <v>80.849999999999994</v>
      </c>
      <c r="AB73">
        <v>54.51</v>
      </c>
      <c r="AC73">
        <v>41.35</v>
      </c>
      <c r="AD73">
        <v>596.1</v>
      </c>
      <c r="AE73">
        <v>661.1</v>
      </c>
      <c r="AF73">
        <v>43.41</v>
      </c>
      <c r="AG73">
        <v>57.27</v>
      </c>
      <c r="AH73">
        <v>47.01</v>
      </c>
      <c r="AI73">
        <v>51.29</v>
      </c>
    </row>
    <row r="74" spans="1:35" x14ac:dyDescent="0.45">
      <c r="A74" s="2">
        <v>45923</v>
      </c>
      <c r="B74">
        <v>33.47</v>
      </c>
      <c r="C74">
        <v>33.68</v>
      </c>
      <c r="D74">
        <v>17.760000000000002</v>
      </c>
      <c r="E74">
        <v>26.16</v>
      </c>
      <c r="F74">
        <v>32.04</v>
      </c>
      <c r="G74">
        <v>58.88</v>
      </c>
      <c r="H74">
        <v>25.74</v>
      </c>
      <c r="I74">
        <v>64.290000000000006</v>
      </c>
      <c r="J74">
        <v>67.430000000000007</v>
      </c>
      <c r="K74">
        <v>81.45</v>
      </c>
      <c r="L74">
        <v>31.32</v>
      </c>
      <c r="M74">
        <v>62.87</v>
      </c>
      <c r="N74">
        <v>65.23</v>
      </c>
      <c r="O74">
        <v>53.06</v>
      </c>
      <c r="P74">
        <v>63.66</v>
      </c>
      <c r="Q74">
        <v>19.785</v>
      </c>
      <c r="R74">
        <v>1273.2</v>
      </c>
      <c r="S74">
        <v>35.06</v>
      </c>
      <c r="T74">
        <v>19.14</v>
      </c>
      <c r="U74">
        <v>17.29</v>
      </c>
      <c r="V74">
        <v>40.78</v>
      </c>
      <c r="W74">
        <v>45.865900000000003</v>
      </c>
      <c r="X74">
        <v>26.87</v>
      </c>
      <c r="Y74">
        <v>50.53</v>
      </c>
      <c r="Z74">
        <v>41.27</v>
      </c>
      <c r="AA74">
        <v>81.09</v>
      </c>
      <c r="AB74">
        <v>55.24</v>
      </c>
      <c r="AC74">
        <v>41.47</v>
      </c>
      <c r="AD74">
        <v>598.20000000000005</v>
      </c>
      <c r="AE74">
        <v>663.21</v>
      </c>
      <c r="AF74">
        <v>43.89</v>
      </c>
      <c r="AG74">
        <v>57.62</v>
      </c>
      <c r="AH74">
        <v>47.85</v>
      </c>
      <c r="AI74">
        <v>51.51</v>
      </c>
    </row>
    <row r="75" spans="1:35" x14ac:dyDescent="0.45">
      <c r="A75" s="2">
        <v>45922</v>
      </c>
      <c r="B75">
        <v>33.67</v>
      </c>
      <c r="C75">
        <v>33.5</v>
      </c>
      <c r="D75">
        <v>17.73</v>
      </c>
      <c r="E75">
        <v>26.6</v>
      </c>
      <c r="F75">
        <v>32</v>
      </c>
      <c r="G75">
        <v>58.59</v>
      </c>
      <c r="H75">
        <v>25.79</v>
      </c>
      <c r="I75">
        <v>64.02</v>
      </c>
      <c r="J75">
        <v>66.900000000000006</v>
      </c>
      <c r="K75">
        <v>81.56</v>
      </c>
      <c r="L75">
        <v>30.79</v>
      </c>
      <c r="M75">
        <v>62.46</v>
      </c>
      <c r="N75">
        <v>64.760000000000005</v>
      </c>
      <c r="O75">
        <v>53.5</v>
      </c>
      <c r="P75">
        <v>64.430000000000007</v>
      </c>
      <c r="Q75">
        <v>19.940000000000001</v>
      </c>
      <c r="R75">
        <v>1282.54</v>
      </c>
      <c r="S75">
        <v>35.58</v>
      </c>
      <c r="T75">
        <v>19.55</v>
      </c>
      <c r="U75">
        <v>17.53</v>
      </c>
      <c r="V75">
        <v>38.18</v>
      </c>
      <c r="W75">
        <v>46.287199999999999</v>
      </c>
      <c r="X75">
        <v>26.92</v>
      </c>
      <c r="Y75">
        <v>50.88</v>
      </c>
      <c r="Z75">
        <v>41.24</v>
      </c>
      <c r="AA75">
        <v>81.25</v>
      </c>
      <c r="AB75">
        <v>55.57</v>
      </c>
      <c r="AC75">
        <v>41.61</v>
      </c>
      <c r="AD75">
        <v>602.20000000000005</v>
      </c>
      <c r="AE75">
        <v>666.84</v>
      </c>
      <c r="AF75">
        <v>43.78</v>
      </c>
      <c r="AG75">
        <v>57.36</v>
      </c>
      <c r="AH75">
        <v>47.63</v>
      </c>
      <c r="AI75">
        <v>51.74</v>
      </c>
    </row>
    <row r="76" spans="1:35" x14ac:dyDescent="0.45">
      <c r="A76" s="2">
        <v>45919</v>
      </c>
      <c r="B76">
        <v>33.450000000000003</v>
      </c>
      <c r="C76">
        <v>33.590000000000003</v>
      </c>
      <c r="D76">
        <v>17.79</v>
      </c>
      <c r="E76">
        <v>26.8</v>
      </c>
      <c r="F76">
        <v>31.76</v>
      </c>
      <c r="G76">
        <v>57.811199999999999</v>
      </c>
      <c r="H76">
        <v>25.59</v>
      </c>
      <c r="I76">
        <v>63.38</v>
      </c>
      <c r="J76">
        <v>66.099999999999994</v>
      </c>
      <c r="K76">
        <v>80.05</v>
      </c>
      <c r="L76">
        <v>30.93</v>
      </c>
      <c r="M76">
        <v>62.54</v>
      </c>
      <c r="N76">
        <v>64.14</v>
      </c>
      <c r="O76">
        <v>53.94</v>
      </c>
      <c r="P76">
        <v>64.44</v>
      </c>
      <c r="Q76">
        <v>19.940000000000001</v>
      </c>
      <c r="R76">
        <v>1292.72</v>
      </c>
      <c r="S76">
        <v>35.380000000000003</v>
      </c>
      <c r="T76">
        <v>19.47</v>
      </c>
      <c r="U76">
        <v>17.68</v>
      </c>
      <c r="V76">
        <v>37.83</v>
      </c>
      <c r="W76">
        <v>46.41</v>
      </c>
      <c r="X76">
        <v>26.89</v>
      </c>
      <c r="Y76">
        <v>50.73</v>
      </c>
      <c r="Z76">
        <v>41.22</v>
      </c>
      <c r="AA76">
        <v>80.790000000000006</v>
      </c>
      <c r="AB76">
        <v>55.26</v>
      </c>
      <c r="AC76">
        <v>41.36</v>
      </c>
      <c r="AD76">
        <v>599.35</v>
      </c>
      <c r="AE76">
        <v>663.7</v>
      </c>
      <c r="AF76">
        <v>43.68</v>
      </c>
      <c r="AG76">
        <v>56.84</v>
      </c>
      <c r="AH76">
        <v>47.43</v>
      </c>
      <c r="AI76">
        <v>51.37</v>
      </c>
    </row>
    <row r="77" spans="1:35" x14ac:dyDescent="0.45">
      <c r="A77" s="2">
        <v>45918</v>
      </c>
      <c r="B77">
        <v>33.479999999999997</v>
      </c>
      <c r="C77">
        <v>33.6</v>
      </c>
      <c r="D77">
        <v>17.72</v>
      </c>
      <c r="E77">
        <v>26.46</v>
      </c>
      <c r="F77">
        <v>32.07</v>
      </c>
      <c r="G77">
        <v>57.14</v>
      </c>
      <c r="H77">
        <v>25.6</v>
      </c>
      <c r="I77">
        <v>63.77</v>
      </c>
      <c r="J77">
        <v>65.95</v>
      </c>
      <c r="K77">
        <v>80.75</v>
      </c>
      <c r="L77">
        <v>30.82</v>
      </c>
      <c r="M77">
        <v>61.48</v>
      </c>
      <c r="N77">
        <v>64.3</v>
      </c>
      <c r="O77">
        <v>53.74</v>
      </c>
      <c r="P77">
        <v>64.75</v>
      </c>
      <c r="Q77">
        <v>19.940000000000001</v>
      </c>
      <c r="R77">
        <v>1297.01</v>
      </c>
      <c r="S77">
        <v>34.35</v>
      </c>
      <c r="T77">
        <v>19.36</v>
      </c>
      <c r="U77">
        <v>17.8</v>
      </c>
      <c r="V77">
        <v>37.770000000000003</v>
      </c>
      <c r="W77">
        <v>46.255000000000003</v>
      </c>
      <c r="X77">
        <v>26.89</v>
      </c>
      <c r="Y77">
        <v>50.18</v>
      </c>
      <c r="Z77">
        <v>41.45</v>
      </c>
      <c r="AA77">
        <v>81.489999999999995</v>
      </c>
      <c r="AB77">
        <v>55.21</v>
      </c>
      <c r="AC77">
        <v>41.66</v>
      </c>
      <c r="AD77">
        <v>595.32000000000005</v>
      </c>
      <c r="AE77">
        <v>662.26</v>
      </c>
      <c r="AF77">
        <v>43.84</v>
      </c>
      <c r="AG77">
        <v>56.97</v>
      </c>
      <c r="AH77">
        <v>47.56</v>
      </c>
      <c r="AI77">
        <v>51.44</v>
      </c>
    </row>
    <row r="78" spans="1:35" x14ac:dyDescent="0.45">
      <c r="A78" s="2">
        <v>45917</v>
      </c>
      <c r="B78">
        <v>33.96</v>
      </c>
      <c r="C78">
        <v>33.4</v>
      </c>
      <c r="D78">
        <v>17.98</v>
      </c>
      <c r="E78">
        <v>26.55</v>
      </c>
      <c r="F78">
        <v>32.32</v>
      </c>
      <c r="G78">
        <v>57.874499999999998</v>
      </c>
      <c r="H78">
        <v>25.95</v>
      </c>
      <c r="I78">
        <v>63.21</v>
      </c>
      <c r="J78">
        <v>66.53</v>
      </c>
      <c r="K78">
        <v>79.83</v>
      </c>
      <c r="L78">
        <v>30.94</v>
      </c>
      <c r="M78">
        <v>60.86</v>
      </c>
      <c r="N78">
        <v>64.099999999999994</v>
      </c>
      <c r="O78">
        <v>54.02</v>
      </c>
      <c r="P78">
        <v>65.8</v>
      </c>
      <c r="Q78">
        <v>19.850000000000001</v>
      </c>
      <c r="R78">
        <v>1306.69</v>
      </c>
      <c r="S78">
        <v>34.75</v>
      </c>
      <c r="T78">
        <v>19.16</v>
      </c>
      <c r="U78">
        <v>17.88</v>
      </c>
      <c r="V78">
        <v>37.43</v>
      </c>
      <c r="W78">
        <v>47.045000000000002</v>
      </c>
      <c r="X78">
        <v>27.14</v>
      </c>
      <c r="Y78">
        <v>49.98</v>
      </c>
      <c r="Z78">
        <v>41.06</v>
      </c>
      <c r="AA78">
        <v>81.17</v>
      </c>
      <c r="AB78">
        <v>55.29</v>
      </c>
      <c r="AC78">
        <v>41.79</v>
      </c>
      <c r="AD78">
        <v>590</v>
      </c>
      <c r="AE78">
        <v>659.18</v>
      </c>
      <c r="AF78">
        <v>43.53</v>
      </c>
      <c r="AG78">
        <v>55.8782</v>
      </c>
      <c r="AH78">
        <v>47.17</v>
      </c>
      <c r="AI78">
        <v>51.33</v>
      </c>
    </row>
    <row r="79" spans="1:35" x14ac:dyDescent="0.45">
      <c r="A79" s="2">
        <v>45916</v>
      </c>
      <c r="B79">
        <v>33.770000000000003</v>
      </c>
      <c r="C79">
        <v>33.76</v>
      </c>
      <c r="D79">
        <v>17.850000000000001</v>
      </c>
      <c r="E79">
        <v>26.22</v>
      </c>
      <c r="F79">
        <v>32.51</v>
      </c>
      <c r="G79">
        <v>57.915399999999998</v>
      </c>
      <c r="H79">
        <v>25.54</v>
      </c>
      <c r="I79">
        <v>63.32</v>
      </c>
      <c r="J79">
        <v>66.8</v>
      </c>
      <c r="K79">
        <v>80.69</v>
      </c>
      <c r="L79">
        <v>30.69</v>
      </c>
      <c r="M79">
        <v>61</v>
      </c>
      <c r="N79">
        <v>64.77</v>
      </c>
      <c r="O79">
        <v>53.87</v>
      </c>
      <c r="P79">
        <v>64.86</v>
      </c>
      <c r="Q79">
        <v>19.77</v>
      </c>
      <c r="R79">
        <v>1308.19</v>
      </c>
      <c r="S79">
        <v>34.82</v>
      </c>
      <c r="T79">
        <v>19.32</v>
      </c>
      <c r="U79">
        <v>18.059999999999999</v>
      </c>
      <c r="V79">
        <v>36.9</v>
      </c>
      <c r="W79">
        <v>47.020400000000002</v>
      </c>
      <c r="X79">
        <v>27.38</v>
      </c>
      <c r="Y79">
        <v>50.08</v>
      </c>
      <c r="Z79">
        <v>41.15</v>
      </c>
      <c r="AA79">
        <v>81.349999999999994</v>
      </c>
      <c r="AB79">
        <v>55.48</v>
      </c>
      <c r="AC79">
        <v>41.89</v>
      </c>
      <c r="AD79">
        <v>591.17999999999995</v>
      </c>
      <c r="AE79">
        <v>660</v>
      </c>
      <c r="AF79">
        <v>43.82</v>
      </c>
      <c r="AG79">
        <v>55.71</v>
      </c>
      <c r="AH79">
        <v>47.46</v>
      </c>
      <c r="AI79">
        <v>52.15</v>
      </c>
    </row>
    <row r="80" spans="1:35" x14ac:dyDescent="0.45">
      <c r="A80" s="2">
        <v>45915</v>
      </c>
      <c r="B80">
        <v>33.81</v>
      </c>
      <c r="C80">
        <v>33.799999999999997</v>
      </c>
      <c r="D80">
        <v>17.96</v>
      </c>
      <c r="E80">
        <v>25.71</v>
      </c>
      <c r="F80">
        <v>32.81</v>
      </c>
      <c r="G80">
        <v>58.435400000000001</v>
      </c>
      <c r="H80">
        <v>25.55</v>
      </c>
      <c r="I80">
        <v>63.02</v>
      </c>
      <c r="J80">
        <v>66.77</v>
      </c>
      <c r="K80">
        <v>79.19</v>
      </c>
      <c r="L80">
        <v>30.51</v>
      </c>
      <c r="M80">
        <v>60.93</v>
      </c>
      <c r="N80">
        <v>65.23</v>
      </c>
      <c r="O80">
        <v>53.43</v>
      </c>
      <c r="P80">
        <v>64.430000000000007</v>
      </c>
      <c r="Q80">
        <v>19.55</v>
      </c>
      <c r="R80">
        <v>1299.78</v>
      </c>
      <c r="S80">
        <v>34.24</v>
      </c>
      <c r="T80">
        <v>19.2</v>
      </c>
      <c r="U80">
        <v>18.399999999999999</v>
      </c>
      <c r="V80">
        <v>36.71</v>
      </c>
      <c r="W80">
        <v>47.107199999999999</v>
      </c>
      <c r="X80">
        <v>27.57</v>
      </c>
      <c r="Y80">
        <v>50.13</v>
      </c>
      <c r="Z80">
        <v>41.42</v>
      </c>
      <c r="AA80">
        <v>81.349999999999994</v>
      </c>
      <c r="AB80">
        <v>55.56</v>
      </c>
      <c r="AC80">
        <v>42.09</v>
      </c>
      <c r="AD80">
        <v>591.67999999999995</v>
      </c>
      <c r="AE80">
        <v>660.91</v>
      </c>
      <c r="AF80">
        <v>43.89</v>
      </c>
      <c r="AG80">
        <v>55.75</v>
      </c>
      <c r="AH80">
        <v>47.61</v>
      </c>
      <c r="AI80">
        <v>52.39</v>
      </c>
    </row>
    <row r="81" spans="1:35" x14ac:dyDescent="0.45">
      <c r="A81" s="2">
        <v>45912</v>
      </c>
      <c r="B81">
        <v>33.6</v>
      </c>
      <c r="C81">
        <v>33.22</v>
      </c>
      <c r="D81">
        <v>17.829999999999998</v>
      </c>
      <c r="E81">
        <v>25.8</v>
      </c>
      <c r="F81">
        <v>32.28</v>
      </c>
      <c r="G81">
        <v>57.768000000000001</v>
      </c>
      <c r="H81">
        <v>25.47</v>
      </c>
      <c r="I81">
        <v>62.83</v>
      </c>
      <c r="J81">
        <v>66.12</v>
      </c>
      <c r="K81">
        <v>78.66</v>
      </c>
      <c r="L81">
        <v>30.03</v>
      </c>
      <c r="M81">
        <v>60.57</v>
      </c>
      <c r="N81">
        <v>65.17</v>
      </c>
      <c r="O81">
        <v>53.15</v>
      </c>
      <c r="P81">
        <v>63.95</v>
      </c>
      <c r="Q81">
        <v>19.54</v>
      </c>
      <c r="R81">
        <v>1293.6199999999999</v>
      </c>
      <c r="S81">
        <v>32.270000000000003</v>
      </c>
      <c r="T81">
        <v>19.170000000000002</v>
      </c>
      <c r="U81">
        <v>17.97</v>
      </c>
      <c r="V81">
        <v>36.72</v>
      </c>
      <c r="W81">
        <v>46.74</v>
      </c>
      <c r="X81">
        <v>27.24</v>
      </c>
      <c r="Y81">
        <v>49.6</v>
      </c>
      <c r="Z81">
        <v>41.31</v>
      </c>
      <c r="AA81">
        <v>80.760000000000005</v>
      </c>
      <c r="AB81">
        <v>55.65</v>
      </c>
      <c r="AC81">
        <v>41.94</v>
      </c>
      <c r="AD81">
        <v>586.66</v>
      </c>
      <c r="AE81">
        <v>657.41</v>
      </c>
      <c r="AF81">
        <v>43.49</v>
      </c>
      <c r="AG81">
        <v>54.66</v>
      </c>
      <c r="AH81">
        <v>47.24</v>
      </c>
      <c r="AI81">
        <v>51.72</v>
      </c>
    </row>
    <row r="82" spans="1:35" x14ac:dyDescent="0.45">
      <c r="A82" s="2">
        <v>45911</v>
      </c>
      <c r="B82">
        <v>33.94</v>
      </c>
      <c r="C82">
        <v>34.020000000000003</v>
      </c>
      <c r="D82">
        <v>17.64</v>
      </c>
      <c r="E82">
        <v>26</v>
      </c>
      <c r="F82">
        <v>32.6</v>
      </c>
      <c r="G82">
        <v>57.547199999999997</v>
      </c>
      <c r="H82">
        <v>25.33</v>
      </c>
      <c r="I82">
        <v>62.74</v>
      </c>
      <c r="J82">
        <v>65.709999999999994</v>
      </c>
      <c r="K82">
        <v>77.86</v>
      </c>
      <c r="L82">
        <v>30.05</v>
      </c>
      <c r="M82">
        <v>60.56</v>
      </c>
      <c r="N82">
        <v>64.22</v>
      </c>
      <c r="O82">
        <v>53.24</v>
      </c>
      <c r="P82">
        <v>64.209999999999994</v>
      </c>
      <c r="Q82">
        <v>19.579999999999998</v>
      </c>
      <c r="R82">
        <v>1288.03</v>
      </c>
      <c r="S82">
        <v>32.32</v>
      </c>
      <c r="T82">
        <v>19.010000000000002</v>
      </c>
      <c r="U82">
        <v>18.03</v>
      </c>
      <c r="V82">
        <v>36.799999999999997</v>
      </c>
      <c r="W82">
        <v>47.225000000000001</v>
      </c>
      <c r="X82">
        <v>27.41</v>
      </c>
      <c r="Y82">
        <v>49.92</v>
      </c>
      <c r="Z82">
        <v>41.39</v>
      </c>
      <c r="AA82">
        <v>81.319999999999993</v>
      </c>
      <c r="AB82">
        <v>56.12</v>
      </c>
      <c r="AC82">
        <v>42.19</v>
      </c>
      <c r="AD82">
        <v>584.08000000000004</v>
      </c>
      <c r="AE82">
        <v>657.63</v>
      </c>
      <c r="AF82">
        <v>43.53</v>
      </c>
      <c r="AG82">
        <v>54.46</v>
      </c>
      <c r="AH82">
        <v>47.33</v>
      </c>
      <c r="AI82">
        <v>51.6</v>
      </c>
    </row>
    <row r="83" spans="1:35" x14ac:dyDescent="0.45">
      <c r="A83" s="2">
        <v>45910</v>
      </c>
      <c r="B83">
        <v>32.840000000000003</v>
      </c>
      <c r="C83">
        <v>32.89</v>
      </c>
      <c r="D83">
        <v>17.329999999999998</v>
      </c>
      <c r="E83">
        <v>25.92</v>
      </c>
      <c r="F83">
        <v>31.83</v>
      </c>
      <c r="G83">
        <v>56.45</v>
      </c>
      <c r="H83">
        <v>25.17</v>
      </c>
      <c r="I83">
        <v>62.56</v>
      </c>
      <c r="J83">
        <v>64.28</v>
      </c>
      <c r="K83">
        <v>76.650000000000006</v>
      </c>
      <c r="L83">
        <v>29.79</v>
      </c>
      <c r="M83">
        <v>59.73</v>
      </c>
      <c r="N83">
        <v>63.64</v>
      </c>
      <c r="O83">
        <v>53.16</v>
      </c>
      <c r="P83">
        <v>62.54</v>
      </c>
      <c r="Q83">
        <v>19.53</v>
      </c>
      <c r="R83">
        <v>1278.05</v>
      </c>
      <c r="S83">
        <v>32.92</v>
      </c>
      <c r="T83">
        <v>18.850000000000001</v>
      </c>
      <c r="U83">
        <v>17.75</v>
      </c>
      <c r="V83">
        <v>36.799999999999997</v>
      </c>
      <c r="W83">
        <v>46.85</v>
      </c>
      <c r="X83">
        <v>27.11</v>
      </c>
      <c r="Y83">
        <v>49.42</v>
      </c>
      <c r="Z83">
        <v>41.07</v>
      </c>
      <c r="AA83">
        <v>80.36</v>
      </c>
      <c r="AB83">
        <v>55.62</v>
      </c>
      <c r="AC83">
        <v>41.74</v>
      </c>
      <c r="AD83">
        <v>580.70000000000005</v>
      </c>
      <c r="AE83">
        <v>652.21</v>
      </c>
      <c r="AF83">
        <v>42.9</v>
      </c>
      <c r="AG83">
        <v>53.79</v>
      </c>
      <c r="AH83">
        <v>47.1</v>
      </c>
      <c r="AI83">
        <v>50.93</v>
      </c>
    </row>
    <row r="84" spans="1:35" x14ac:dyDescent="0.45">
      <c r="A84" s="2">
        <v>45909</v>
      </c>
      <c r="B84">
        <v>32.94</v>
      </c>
      <c r="C84">
        <v>32.695</v>
      </c>
      <c r="D84">
        <v>17.059999999999999</v>
      </c>
      <c r="E84">
        <v>26.09</v>
      </c>
      <c r="F84">
        <v>32.380000000000003</v>
      </c>
      <c r="G84">
        <v>56</v>
      </c>
      <c r="H84">
        <v>25.17</v>
      </c>
      <c r="I84">
        <v>61.62</v>
      </c>
      <c r="J84">
        <v>64.260000000000005</v>
      </c>
      <c r="K84">
        <v>74.92</v>
      </c>
      <c r="L84">
        <v>29.54</v>
      </c>
      <c r="M84">
        <v>59.03</v>
      </c>
      <c r="N84">
        <v>63.6</v>
      </c>
      <c r="O84">
        <v>52.71</v>
      </c>
      <c r="P84">
        <v>62.97</v>
      </c>
      <c r="Q84">
        <v>19.37</v>
      </c>
      <c r="R84">
        <v>1276.08</v>
      </c>
      <c r="S84">
        <v>32.68</v>
      </c>
      <c r="T84">
        <v>18.91</v>
      </c>
      <c r="U84">
        <v>17.670000000000002</v>
      </c>
      <c r="V84">
        <v>36.76</v>
      </c>
      <c r="W84">
        <v>46.655000000000001</v>
      </c>
      <c r="X84">
        <v>26.89</v>
      </c>
      <c r="Y84">
        <v>49.27</v>
      </c>
      <c r="Z84">
        <v>41.48</v>
      </c>
      <c r="AA84">
        <v>80.06</v>
      </c>
      <c r="AB84">
        <v>56.02</v>
      </c>
      <c r="AC84">
        <v>41.75</v>
      </c>
      <c r="AD84">
        <v>580.51</v>
      </c>
      <c r="AE84">
        <v>650.33000000000004</v>
      </c>
      <c r="AF84">
        <v>43.06</v>
      </c>
      <c r="AG84">
        <v>54.12</v>
      </c>
      <c r="AH84">
        <v>47.3</v>
      </c>
      <c r="AI84">
        <v>50.86</v>
      </c>
    </row>
    <row r="85" spans="1:35" x14ac:dyDescent="0.45">
      <c r="A85" s="2">
        <v>45908</v>
      </c>
      <c r="B85">
        <v>33.14</v>
      </c>
      <c r="C85">
        <v>33.229999999999997</v>
      </c>
      <c r="D85">
        <v>17.5</v>
      </c>
      <c r="E85">
        <v>26.09</v>
      </c>
      <c r="F85">
        <v>32.880000000000003</v>
      </c>
      <c r="G85">
        <v>56.647500000000001</v>
      </c>
      <c r="H85">
        <v>25.12</v>
      </c>
      <c r="I85">
        <v>60.98</v>
      </c>
      <c r="J85">
        <v>64.150000000000006</v>
      </c>
      <c r="K85">
        <v>74.19</v>
      </c>
      <c r="L85">
        <v>29.58</v>
      </c>
      <c r="M85">
        <v>59.34</v>
      </c>
      <c r="N85">
        <v>63.86</v>
      </c>
      <c r="O85">
        <v>52.89</v>
      </c>
      <c r="P85">
        <v>62.3</v>
      </c>
      <c r="Q85">
        <v>19.63</v>
      </c>
      <c r="R85">
        <v>1266.1099999999999</v>
      </c>
      <c r="S85">
        <v>32.54</v>
      </c>
      <c r="T85">
        <v>18.940000000000001</v>
      </c>
      <c r="U85">
        <v>17.37</v>
      </c>
      <c r="V85">
        <v>36.69</v>
      </c>
      <c r="W85">
        <v>46.74</v>
      </c>
      <c r="X85">
        <v>27</v>
      </c>
      <c r="Y85">
        <v>49.3</v>
      </c>
      <c r="Z85">
        <v>41.69</v>
      </c>
      <c r="AA85">
        <v>80.959999999999994</v>
      </c>
      <c r="AB85">
        <v>56.33</v>
      </c>
      <c r="AC85">
        <v>41.71</v>
      </c>
      <c r="AD85">
        <v>578.87</v>
      </c>
      <c r="AE85">
        <v>648.83000000000004</v>
      </c>
      <c r="AF85">
        <v>42.99</v>
      </c>
      <c r="AG85">
        <v>54.17</v>
      </c>
      <c r="AH85">
        <v>47.42</v>
      </c>
      <c r="AI85">
        <v>50.64</v>
      </c>
    </row>
    <row r="86" spans="1:35" x14ac:dyDescent="0.45">
      <c r="A86" s="2">
        <v>45905</v>
      </c>
      <c r="B86">
        <v>33.020000000000003</v>
      </c>
      <c r="C86">
        <v>33.83</v>
      </c>
      <c r="D86">
        <v>17.93</v>
      </c>
      <c r="E86">
        <v>26.06</v>
      </c>
      <c r="F86">
        <v>32.14</v>
      </c>
      <c r="G86">
        <v>56.5</v>
      </c>
      <c r="H86">
        <v>25.03</v>
      </c>
      <c r="I86">
        <v>60.21</v>
      </c>
      <c r="J86">
        <v>63.83</v>
      </c>
      <c r="K86">
        <v>73.63</v>
      </c>
      <c r="L86">
        <v>29.63</v>
      </c>
      <c r="M86">
        <v>57.92</v>
      </c>
      <c r="N86">
        <v>63.4</v>
      </c>
      <c r="O86">
        <v>52.48</v>
      </c>
      <c r="P86">
        <v>61.35</v>
      </c>
      <c r="Q86">
        <v>19.690000000000001</v>
      </c>
      <c r="R86">
        <v>1264.8</v>
      </c>
      <c r="S86">
        <v>33.33</v>
      </c>
      <c r="T86">
        <v>19.16</v>
      </c>
      <c r="U86">
        <v>17.97</v>
      </c>
      <c r="V86">
        <v>37.200000000000003</v>
      </c>
      <c r="W86">
        <v>46.13</v>
      </c>
      <c r="X86">
        <v>26.93</v>
      </c>
      <c r="Y86">
        <v>49.17</v>
      </c>
      <c r="Z86">
        <v>41.34</v>
      </c>
      <c r="AA86">
        <v>79.180000000000007</v>
      </c>
      <c r="AB86">
        <v>56.25</v>
      </c>
      <c r="AC86">
        <v>41.55</v>
      </c>
      <c r="AD86">
        <v>576.05999999999995</v>
      </c>
      <c r="AE86">
        <v>647.24</v>
      </c>
      <c r="AF86">
        <v>42.56</v>
      </c>
      <c r="AG86">
        <v>53.47</v>
      </c>
      <c r="AH86">
        <v>47.01</v>
      </c>
      <c r="AI86">
        <v>50.46</v>
      </c>
    </row>
    <row r="87" spans="1:35" x14ac:dyDescent="0.45">
      <c r="A87" s="2">
        <v>45904</v>
      </c>
      <c r="B87">
        <v>32.229999999999997</v>
      </c>
      <c r="C87">
        <v>33.4</v>
      </c>
      <c r="D87">
        <v>17.77</v>
      </c>
      <c r="E87">
        <v>25.78</v>
      </c>
      <c r="F87">
        <v>32.130000000000003</v>
      </c>
      <c r="G87">
        <v>55.73</v>
      </c>
      <c r="H87">
        <v>24.97</v>
      </c>
      <c r="I87">
        <v>59.3</v>
      </c>
      <c r="J87">
        <v>63.07</v>
      </c>
      <c r="K87">
        <v>73.069999999999993</v>
      </c>
      <c r="L87">
        <v>29.17</v>
      </c>
      <c r="M87">
        <v>56.57</v>
      </c>
      <c r="N87">
        <v>63.26</v>
      </c>
      <c r="O87">
        <v>52.59</v>
      </c>
      <c r="P87">
        <v>60.3</v>
      </c>
      <c r="Q87">
        <v>19.7</v>
      </c>
      <c r="R87">
        <v>1252.55</v>
      </c>
      <c r="S87">
        <v>33.729999999999997</v>
      </c>
      <c r="T87">
        <v>19.2</v>
      </c>
      <c r="U87">
        <v>18.43</v>
      </c>
      <c r="V87">
        <v>37.35</v>
      </c>
      <c r="W87">
        <v>45.37</v>
      </c>
      <c r="X87">
        <v>26.9</v>
      </c>
      <c r="Y87">
        <v>49.12</v>
      </c>
      <c r="Z87">
        <v>41.34</v>
      </c>
      <c r="AA87">
        <v>78.73</v>
      </c>
      <c r="AB87">
        <v>55.71</v>
      </c>
      <c r="AC87">
        <v>41.39</v>
      </c>
      <c r="AD87">
        <v>575.23</v>
      </c>
      <c r="AE87">
        <v>649.12</v>
      </c>
      <c r="AF87">
        <v>42.56</v>
      </c>
      <c r="AG87">
        <v>52.87</v>
      </c>
      <c r="AH87">
        <v>46.26</v>
      </c>
      <c r="AI87">
        <v>50.65</v>
      </c>
    </row>
    <row r="88" spans="1:35" x14ac:dyDescent="0.45">
      <c r="A88" s="2">
        <v>45903</v>
      </c>
      <c r="B88">
        <v>32.94</v>
      </c>
      <c r="C88">
        <v>33.049999999999997</v>
      </c>
      <c r="D88">
        <v>17.809999999999999</v>
      </c>
      <c r="E88">
        <v>25.58</v>
      </c>
      <c r="F88">
        <v>31.52</v>
      </c>
      <c r="G88">
        <v>56.01</v>
      </c>
      <c r="H88">
        <v>24.87</v>
      </c>
      <c r="I88">
        <v>58.73</v>
      </c>
      <c r="J88">
        <v>62.8</v>
      </c>
      <c r="K88">
        <v>72.91</v>
      </c>
      <c r="L88">
        <v>28.99</v>
      </c>
      <c r="M88">
        <v>57.7</v>
      </c>
      <c r="N88">
        <v>63.4</v>
      </c>
      <c r="O88">
        <v>52.62</v>
      </c>
      <c r="P88">
        <v>61.33</v>
      </c>
      <c r="Q88">
        <v>19.86</v>
      </c>
      <c r="R88">
        <v>1259.31</v>
      </c>
      <c r="S88">
        <v>33.51</v>
      </c>
      <c r="T88">
        <v>19.03</v>
      </c>
      <c r="U88">
        <v>18.25</v>
      </c>
      <c r="V88">
        <v>37.11</v>
      </c>
      <c r="W88">
        <v>45.494999999999997</v>
      </c>
      <c r="X88">
        <v>26.6</v>
      </c>
      <c r="Y88">
        <v>48.87</v>
      </c>
      <c r="Z88">
        <v>41.05</v>
      </c>
      <c r="AA88">
        <v>77.930000000000007</v>
      </c>
      <c r="AB88">
        <v>55.08</v>
      </c>
      <c r="AC88">
        <v>41.18</v>
      </c>
      <c r="AD88">
        <v>570.07000000000005</v>
      </c>
      <c r="AE88">
        <v>643.74</v>
      </c>
      <c r="AF88">
        <v>42.54</v>
      </c>
      <c r="AG88">
        <v>52.22</v>
      </c>
      <c r="AH88">
        <v>46.18</v>
      </c>
      <c r="AI88">
        <v>50.38</v>
      </c>
    </row>
    <row r="89" spans="1:35" x14ac:dyDescent="0.45">
      <c r="A89" s="2">
        <v>45902</v>
      </c>
      <c r="B89">
        <v>33.200000000000003</v>
      </c>
      <c r="C89">
        <v>32.729999999999997</v>
      </c>
      <c r="D89">
        <v>17.739999999999998</v>
      </c>
      <c r="E89">
        <v>25.68</v>
      </c>
      <c r="F89">
        <v>31.29</v>
      </c>
      <c r="G89">
        <v>54.91</v>
      </c>
      <c r="H89">
        <v>24.73</v>
      </c>
      <c r="I89">
        <v>58.05</v>
      </c>
      <c r="J89">
        <v>62.91</v>
      </c>
      <c r="K89">
        <v>71.92</v>
      </c>
      <c r="L89">
        <v>29</v>
      </c>
      <c r="M89">
        <v>57.25</v>
      </c>
      <c r="N89">
        <v>62.28</v>
      </c>
      <c r="O89">
        <v>52.35</v>
      </c>
      <c r="P89">
        <v>61.64</v>
      </c>
      <c r="Q89">
        <v>19.73</v>
      </c>
      <c r="R89">
        <v>1248.78</v>
      </c>
      <c r="S89">
        <v>33.97</v>
      </c>
      <c r="T89">
        <v>19.14</v>
      </c>
      <c r="U89">
        <v>18.14</v>
      </c>
      <c r="V89">
        <v>37.21</v>
      </c>
      <c r="W89">
        <v>45.380099999999999</v>
      </c>
      <c r="X89">
        <v>26.77</v>
      </c>
      <c r="Y89">
        <v>48.59</v>
      </c>
      <c r="Z89">
        <v>41.04</v>
      </c>
      <c r="AA89">
        <v>78.150000000000006</v>
      </c>
      <c r="AB89">
        <v>54.67</v>
      </c>
      <c r="AC89">
        <v>40.9</v>
      </c>
      <c r="AD89">
        <v>565.62</v>
      </c>
      <c r="AE89">
        <v>640.27</v>
      </c>
      <c r="AF89">
        <v>42.29</v>
      </c>
      <c r="AG89">
        <v>51.94</v>
      </c>
      <c r="AH89">
        <v>45.89</v>
      </c>
      <c r="AI89">
        <v>50.4</v>
      </c>
    </row>
    <row r="90" spans="1:35" x14ac:dyDescent="0.45">
      <c r="A90" s="2">
        <v>45901</v>
      </c>
      <c r="B90">
        <v>33.47</v>
      </c>
      <c r="C90">
        <v>32.81</v>
      </c>
      <c r="D90">
        <v>17.670000000000002</v>
      </c>
      <c r="E90">
        <v>26.15</v>
      </c>
      <c r="F90">
        <v>31.7</v>
      </c>
      <c r="G90">
        <v>53.8</v>
      </c>
      <c r="H90">
        <v>24.87</v>
      </c>
      <c r="I90">
        <v>58.82</v>
      </c>
      <c r="J90">
        <v>61.94</v>
      </c>
      <c r="K90">
        <v>72.239999999999995</v>
      </c>
      <c r="L90">
        <v>29.5</v>
      </c>
      <c r="M90">
        <v>57.67</v>
      </c>
      <c r="N90">
        <v>63.09</v>
      </c>
      <c r="O90">
        <v>51.98</v>
      </c>
      <c r="P90">
        <v>61.31</v>
      </c>
      <c r="Q90">
        <v>20</v>
      </c>
      <c r="R90">
        <v>1244.48</v>
      </c>
      <c r="S90">
        <v>35.29</v>
      </c>
      <c r="T90">
        <v>19.38</v>
      </c>
      <c r="U90">
        <v>18.29</v>
      </c>
      <c r="V90">
        <v>37.36</v>
      </c>
      <c r="W90">
        <v>44.86</v>
      </c>
      <c r="X90">
        <v>27.08</v>
      </c>
      <c r="Y90">
        <v>48.79</v>
      </c>
      <c r="Z90">
        <v>41.88</v>
      </c>
      <c r="AA90">
        <v>78.28</v>
      </c>
      <c r="AB90">
        <v>55.33</v>
      </c>
      <c r="AC90">
        <v>41.46</v>
      </c>
      <c r="AD90">
        <v>570.4</v>
      </c>
      <c r="AE90">
        <v>645.04999999999995</v>
      </c>
      <c r="AF90">
        <v>42.59</v>
      </c>
      <c r="AG90">
        <v>53</v>
      </c>
      <c r="AH90">
        <v>46.39</v>
      </c>
      <c r="AI90">
        <v>51.05</v>
      </c>
    </row>
    <row r="91" spans="1:35" x14ac:dyDescent="0.45">
      <c r="A91" s="2">
        <v>45898</v>
      </c>
      <c r="B91">
        <v>33.47</v>
      </c>
      <c r="C91">
        <v>32.81</v>
      </c>
      <c r="D91">
        <v>17.670000000000002</v>
      </c>
      <c r="E91">
        <v>26.15</v>
      </c>
      <c r="F91">
        <v>31.7</v>
      </c>
      <c r="G91">
        <v>53.8</v>
      </c>
      <c r="H91">
        <v>24.87</v>
      </c>
      <c r="I91">
        <v>58.82</v>
      </c>
      <c r="J91">
        <v>61.94</v>
      </c>
      <c r="K91">
        <v>72.239999999999995</v>
      </c>
      <c r="L91">
        <v>29.5</v>
      </c>
      <c r="M91">
        <v>57.67</v>
      </c>
      <c r="N91">
        <v>63.09</v>
      </c>
      <c r="O91">
        <v>51.98</v>
      </c>
      <c r="P91">
        <v>61.31</v>
      </c>
      <c r="Q91">
        <v>20</v>
      </c>
      <c r="R91">
        <v>1236.6099999999999</v>
      </c>
      <c r="S91">
        <v>35.29</v>
      </c>
      <c r="T91">
        <v>19.38</v>
      </c>
      <c r="U91">
        <v>18.29</v>
      </c>
      <c r="V91">
        <v>37.36</v>
      </c>
      <c r="W91">
        <v>44.86</v>
      </c>
      <c r="X91">
        <v>27.08</v>
      </c>
      <c r="Y91">
        <v>48.79</v>
      </c>
      <c r="Z91">
        <v>41.88</v>
      </c>
      <c r="AA91">
        <v>78.28</v>
      </c>
      <c r="AB91">
        <v>55.33</v>
      </c>
      <c r="AC91">
        <v>41.46</v>
      </c>
      <c r="AD91">
        <v>570.4</v>
      </c>
      <c r="AE91">
        <v>645.04999999999995</v>
      </c>
      <c r="AF91">
        <v>42.59</v>
      </c>
      <c r="AG91">
        <v>53</v>
      </c>
      <c r="AH91">
        <v>46.39</v>
      </c>
      <c r="AI91">
        <v>51.05</v>
      </c>
    </row>
    <row r="92" spans="1:35" x14ac:dyDescent="0.45">
      <c r="A92" s="2">
        <v>45897</v>
      </c>
      <c r="B92">
        <v>33.159999999999997</v>
      </c>
      <c r="C92">
        <v>32.58</v>
      </c>
      <c r="D92">
        <v>18.190000000000001</v>
      </c>
      <c r="E92">
        <v>26.39</v>
      </c>
      <c r="F92">
        <v>32.07</v>
      </c>
      <c r="G92">
        <v>53.418799999999997</v>
      </c>
      <c r="H92">
        <v>25.13</v>
      </c>
      <c r="I92">
        <v>59.9</v>
      </c>
      <c r="J92">
        <v>62.52</v>
      </c>
      <c r="K92">
        <v>73.64</v>
      </c>
      <c r="L92">
        <v>29.49</v>
      </c>
      <c r="M92">
        <v>57.15</v>
      </c>
      <c r="N92">
        <v>63.94</v>
      </c>
      <c r="O92">
        <v>52.54</v>
      </c>
      <c r="P92">
        <v>60.45</v>
      </c>
      <c r="Q92">
        <v>19.96</v>
      </c>
      <c r="R92">
        <v>1250.0899999999999</v>
      </c>
      <c r="S92">
        <v>35.54</v>
      </c>
      <c r="T92">
        <v>19.53</v>
      </c>
      <c r="U92">
        <v>18.315000000000001</v>
      </c>
      <c r="V92">
        <v>37.47</v>
      </c>
      <c r="W92">
        <v>44.87</v>
      </c>
      <c r="X92">
        <v>27.09</v>
      </c>
      <c r="Y92">
        <v>48.46</v>
      </c>
      <c r="Z92">
        <v>42.02</v>
      </c>
      <c r="AA92">
        <v>79.290000000000006</v>
      </c>
      <c r="AB92">
        <v>55.33</v>
      </c>
      <c r="AC92">
        <v>41.57</v>
      </c>
      <c r="AD92">
        <v>577.08000000000004</v>
      </c>
      <c r="AE92">
        <v>648.91999999999996</v>
      </c>
      <c r="AF92">
        <v>42.9</v>
      </c>
      <c r="AG92">
        <v>53.5</v>
      </c>
      <c r="AH92">
        <v>46.63</v>
      </c>
      <c r="AI92">
        <v>51.19</v>
      </c>
    </row>
    <row r="93" spans="1:35" x14ac:dyDescent="0.45">
      <c r="A93" s="2">
        <v>45896</v>
      </c>
      <c r="B93">
        <v>32.26</v>
      </c>
      <c r="C93">
        <v>32.549999999999997</v>
      </c>
      <c r="D93">
        <v>18.16</v>
      </c>
      <c r="E93">
        <v>26.56</v>
      </c>
      <c r="F93">
        <v>32.340000000000003</v>
      </c>
      <c r="G93">
        <v>52.967199999999998</v>
      </c>
      <c r="H93">
        <v>25.05</v>
      </c>
      <c r="I93">
        <v>59.77</v>
      </c>
      <c r="J93">
        <v>61.94</v>
      </c>
      <c r="K93">
        <v>72.47</v>
      </c>
      <c r="L93">
        <v>29.02</v>
      </c>
      <c r="M93">
        <v>57.38</v>
      </c>
      <c r="N93">
        <v>64.489999999999995</v>
      </c>
      <c r="O93">
        <v>52.68</v>
      </c>
      <c r="P93">
        <v>60.02</v>
      </c>
      <c r="Q93">
        <v>20.13</v>
      </c>
      <c r="R93">
        <v>1248.03</v>
      </c>
      <c r="S93">
        <v>35.51</v>
      </c>
      <c r="T93">
        <v>19.68</v>
      </c>
      <c r="U93">
        <v>18.02</v>
      </c>
      <c r="V93">
        <v>37.68</v>
      </c>
      <c r="W93">
        <v>44.67</v>
      </c>
      <c r="X93">
        <v>27</v>
      </c>
      <c r="Y93">
        <v>48.37</v>
      </c>
      <c r="Z93">
        <v>41.89</v>
      </c>
      <c r="AA93">
        <v>78.63</v>
      </c>
      <c r="AB93">
        <v>55.24</v>
      </c>
      <c r="AC93">
        <v>41.66</v>
      </c>
      <c r="AD93">
        <v>573.49</v>
      </c>
      <c r="AE93">
        <v>646.63</v>
      </c>
      <c r="AF93">
        <v>42.56</v>
      </c>
      <c r="AG93">
        <v>53.59</v>
      </c>
      <c r="AH93">
        <v>46.46</v>
      </c>
      <c r="AI93">
        <v>50.91</v>
      </c>
    </row>
    <row r="94" spans="1:35" x14ac:dyDescent="0.45">
      <c r="A94" s="2">
        <v>45895</v>
      </c>
      <c r="B94">
        <v>32.909999999999997</v>
      </c>
      <c r="C94">
        <v>32.44</v>
      </c>
      <c r="D94">
        <v>18.38</v>
      </c>
      <c r="E94">
        <v>26.12</v>
      </c>
      <c r="F94">
        <v>32.86</v>
      </c>
      <c r="G94">
        <v>53.39</v>
      </c>
      <c r="H94">
        <v>25.13</v>
      </c>
      <c r="I94">
        <v>59.5</v>
      </c>
      <c r="J94">
        <v>61.44</v>
      </c>
      <c r="K94">
        <v>72.39</v>
      </c>
      <c r="L94">
        <v>28.61</v>
      </c>
      <c r="M94">
        <v>58.1</v>
      </c>
      <c r="N94">
        <v>64.98</v>
      </c>
      <c r="O94">
        <v>52.55</v>
      </c>
      <c r="P94">
        <v>61.62</v>
      </c>
      <c r="Q94">
        <v>20.14</v>
      </c>
      <c r="R94">
        <v>1251.26</v>
      </c>
      <c r="S94">
        <v>35.97</v>
      </c>
      <c r="T94">
        <v>19.75</v>
      </c>
      <c r="U94">
        <v>17.96</v>
      </c>
      <c r="V94">
        <v>38.020000000000003</v>
      </c>
      <c r="W94">
        <v>45.19</v>
      </c>
      <c r="X94">
        <v>26.97</v>
      </c>
      <c r="Y94">
        <v>48.02</v>
      </c>
      <c r="Z94">
        <v>42.13</v>
      </c>
      <c r="AA94">
        <v>78.92</v>
      </c>
      <c r="AB94">
        <v>55.11</v>
      </c>
      <c r="AC94">
        <v>41.74</v>
      </c>
      <c r="AD94">
        <v>572.61</v>
      </c>
      <c r="AE94">
        <v>645.16</v>
      </c>
      <c r="AF94">
        <v>42.58</v>
      </c>
      <c r="AG94">
        <v>53.77</v>
      </c>
      <c r="AH94">
        <v>46.64</v>
      </c>
      <c r="AI94">
        <v>51.42</v>
      </c>
    </row>
    <row r="95" spans="1:35" x14ac:dyDescent="0.45">
      <c r="A95" s="2">
        <v>45894</v>
      </c>
      <c r="B95">
        <v>32.909999999999997</v>
      </c>
      <c r="C95">
        <v>32.71</v>
      </c>
      <c r="D95">
        <v>18.61</v>
      </c>
      <c r="E95">
        <v>26.69</v>
      </c>
      <c r="F95">
        <v>32.590000000000003</v>
      </c>
      <c r="G95">
        <v>52.93</v>
      </c>
      <c r="H95">
        <v>25.5</v>
      </c>
      <c r="I95">
        <v>59.26</v>
      </c>
      <c r="J95">
        <v>61.71</v>
      </c>
      <c r="K95">
        <v>72.73</v>
      </c>
      <c r="L95">
        <v>28.74</v>
      </c>
      <c r="M95">
        <v>58.35</v>
      </c>
      <c r="N95">
        <v>65.62</v>
      </c>
      <c r="O95">
        <v>53.23</v>
      </c>
      <c r="P95">
        <v>61.54</v>
      </c>
      <c r="Q95">
        <v>20.002600000000001</v>
      </c>
      <c r="R95">
        <v>1262.67</v>
      </c>
      <c r="S95">
        <v>35.93</v>
      </c>
      <c r="T95">
        <v>19.829999999999998</v>
      </c>
      <c r="U95">
        <v>17.22</v>
      </c>
      <c r="V95">
        <v>38.08</v>
      </c>
      <c r="W95">
        <v>45.62</v>
      </c>
      <c r="X95">
        <v>26.83</v>
      </c>
      <c r="Y95">
        <v>47.55</v>
      </c>
      <c r="Z95">
        <v>42.12</v>
      </c>
      <c r="AA95">
        <v>79.05</v>
      </c>
      <c r="AB95">
        <v>54.97</v>
      </c>
      <c r="AC95">
        <v>41.79</v>
      </c>
      <c r="AD95">
        <v>570.32000000000005</v>
      </c>
      <c r="AE95">
        <v>642.47</v>
      </c>
      <c r="AF95">
        <v>42.96</v>
      </c>
      <c r="AG95">
        <v>53.84</v>
      </c>
      <c r="AH95">
        <v>46.57</v>
      </c>
      <c r="AI95">
        <v>51.76</v>
      </c>
    </row>
    <row r="96" spans="1:35" x14ac:dyDescent="0.45">
      <c r="A96" s="2">
        <v>45891</v>
      </c>
      <c r="B96">
        <v>32.71</v>
      </c>
      <c r="C96">
        <v>32.799999999999997</v>
      </c>
      <c r="D96">
        <v>18.649999999999999</v>
      </c>
      <c r="E96">
        <v>26.63</v>
      </c>
      <c r="F96">
        <v>32.700000000000003</v>
      </c>
      <c r="G96">
        <v>53.23</v>
      </c>
      <c r="H96">
        <v>25.72</v>
      </c>
      <c r="I96">
        <v>59.66</v>
      </c>
      <c r="J96">
        <v>62.8</v>
      </c>
      <c r="K96">
        <v>73.510000000000005</v>
      </c>
      <c r="L96">
        <v>28.61</v>
      </c>
      <c r="M96">
        <v>58.8</v>
      </c>
      <c r="N96">
        <v>65.995000000000005</v>
      </c>
      <c r="O96">
        <v>53.58</v>
      </c>
      <c r="P96">
        <v>61.57</v>
      </c>
      <c r="Q96">
        <v>20.189599999999999</v>
      </c>
      <c r="R96">
        <v>1253.3900000000001</v>
      </c>
      <c r="S96">
        <v>35.69</v>
      </c>
      <c r="T96">
        <v>19.96</v>
      </c>
      <c r="U96">
        <v>17.36</v>
      </c>
      <c r="V96">
        <v>38.130000000000003</v>
      </c>
      <c r="W96">
        <v>45.782899999999998</v>
      </c>
      <c r="X96">
        <v>27.26</v>
      </c>
      <c r="Y96">
        <v>48.03</v>
      </c>
      <c r="Z96">
        <v>42.66</v>
      </c>
      <c r="AA96">
        <v>80.02</v>
      </c>
      <c r="AB96">
        <v>55.64</v>
      </c>
      <c r="AC96">
        <v>42.08</v>
      </c>
      <c r="AD96">
        <v>571.97</v>
      </c>
      <c r="AE96">
        <v>645.30999999999995</v>
      </c>
      <c r="AF96">
        <v>44.18</v>
      </c>
      <c r="AG96">
        <v>54.188000000000002</v>
      </c>
      <c r="AH96">
        <v>47.24</v>
      </c>
      <c r="AI96">
        <v>52.34</v>
      </c>
    </row>
    <row r="97" spans="1:35" x14ac:dyDescent="0.45">
      <c r="A97" s="2">
        <v>45890</v>
      </c>
      <c r="B97">
        <v>31.62</v>
      </c>
      <c r="C97">
        <v>31.9</v>
      </c>
      <c r="D97">
        <v>18.440000000000001</v>
      </c>
      <c r="E97">
        <v>26.15</v>
      </c>
      <c r="F97">
        <v>33.380000000000003</v>
      </c>
      <c r="G97">
        <v>52.009</v>
      </c>
      <c r="H97">
        <v>25.19</v>
      </c>
      <c r="I97">
        <v>58.57</v>
      </c>
      <c r="J97">
        <v>61.55</v>
      </c>
      <c r="K97">
        <v>71.22</v>
      </c>
      <c r="L97">
        <v>27.66</v>
      </c>
      <c r="M97">
        <v>56.91</v>
      </c>
      <c r="N97">
        <v>65.2</v>
      </c>
      <c r="O97">
        <v>53.57</v>
      </c>
      <c r="P97">
        <v>60</v>
      </c>
      <c r="Q97">
        <v>20.065000000000001</v>
      </c>
      <c r="R97">
        <v>1244.79</v>
      </c>
      <c r="S97">
        <v>35.51</v>
      </c>
      <c r="T97">
        <v>19.753</v>
      </c>
      <c r="U97">
        <v>17.600000000000001</v>
      </c>
      <c r="V97">
        <v>37.94</v>
      </c>
      <c r="W97">
        <v>45.58</v>
      </c>
      <c r="X97">
        <v>26.86</v>
      </c>
      <c r="Y97">
        <v>47.28</v>
      </c>
      <c r="Z97">
        <v>42.08</v>
      </c>
      <c r="AA97">
        <v>78.7</v>
      </c>
      <c r="AB97">
        <v>54.94</v>
      </c>
      <c r="AC97">
        <v>41.66</v>
      </c>
      <c r="AD97">
        <v>563.28</v>
      </c>
      <c r="AE97">
        <v>635.54999999999995</v>
      </c>
      <c r="AF97">
        <v>43.55</v>
      </c>
      <c r="AG97">
        <v>53.08</v>
      </c>
      <c r="AH97">
        <v>46.08</v>
      </c>
      <c r="AI97">
        <v>51.53</v>
      </c>
    </row>
    <row r="98" spans="1:35" x14ac:dyDescent="0.45">
      <c r="A98" s="2">
        <v>45889</v>
      </c>
      <c r="B98">
        <v>31.74</v>
      </c>
      <c r="C98">
        <v>32.04</v>
      </c>
      <c r="D98">
        <v>18.600000000000001</v>
      </c>
      <c r="E98">
        <v>26.35</v>
      </c>
      <c r="F98">
        <v>33.78</v>
      </c>
      <c r="G98">
        <v>51.75</v>
      </c>
      <c r="H98">
        <v>25.19</v>
      </c>
      <c r="I98">
        <v>58.78</v>
      </c>
      <c r="J98">
        <v>61.17</v>
      </c>
      <c r="K98">
        <v>71.36</v>
      </c>
      <c r="L98">
        <v>27.69</v>
      </c>
      <c r="M98">
        <v>57.11</v>
      </c>
      <c r="N98">
        <v>65.400000000000006</v>
      </c>
      <c r="O98">
        <v>53.8</v>
      </c>
      <c r="P98">
        <v>59.92</v>
      </c>
      <c r="Q98">
        <v>20.079999999999998</v>
      </c>
      <c r="R98">
        <v>1248.1300000000001</v>
      </c>
      <c r="S98">
        <v>35.04</v>
      </c>
      <c r="T98">
        <v>19.8</v>
      </c>
      <c r="U98">
        <v>17.690000000000001</v>
      </c>
      <c r="V98">
        <v>37.89</v>
      </c>
      <c r="W98">
        <v>45.674999999999997</v>
      </c>
      <c r="X98">
        <v>26.7</v>
      </c>
      <c r="Y98">
        <v>47.11</v>
      </c>
      <c r="Z98">
        <v>42.39</v>
      </c>
      <c r="AA98">
        <v>79.64</v>
      </c>
      <c r="AB98">
        <v>55.52</v>
      </c>
      <c r="AC98">
        <v>41.72</v>
      </c>
      <c r="AD98">
        <v>565.9</v>
      </c>
      <c r="AE98">
        <v>638.11</v>
      </c>
      <c r="AF98">
        <v>43.97</v>
      </c>
      <c r="AG98">
        <v>53.58</v>
      </c>
      <c r="AH98">
        <v>46.45</v>
      </c>
      <c r="AI98">
        <v>51.69</v>
      </c>
    </row>
    <row r="99" spans="1:35" x14ac:dyDescent="0.45">
      <c r="A99" s="2">
        <v>45888</v>
      </c>
      <c r="B99">
        <v>31.02</v>
      </c>
      <c r="C99">
        <v>32.19</v>
      </c>
      <c r="D99">
        <v>18.309999999999999</v>
      </c>
      <c r="E99">
        <v>26.25</v>
      </c>
      <c r="F99">
        <v>33.79</v>
      </c>
      <c r="G99">
        <v>51.68</v>
      </c>
      <c r="H99">
        <v>25.18</v>
      </c>
      <c r="I99">
        <v>60.09</v>
      </c>
      <c r="J99">
        <v>61.25</v>
      </c>
      <c r="K99">
        <v>71.44</v>
      </c>
      <c r="L99">
        <v>27.36</v>
      </c>
      <c r="M99">
        <v>56.67</v>
      </c>
      <c r="N99">
        <v>65.150000000000006</v>
      </c>
      <c r="O99">
        <v>53.65</v>
      </c>
      <c r="P99">
        <v>59.59</v>
      </c>
      <c r="Q99">
        <v>20.239999999999998</v>
      </c>
      <c r="R99">
        <v>1235.76</v>
      </c>
      <c r="S99">
        <v>34.5</v>
      </c>
      <c r="T99">
        <v>19.8383</v>
      </c>
      <c r="U99">
        <v>17.899999999999999</v>
      </c>
      <c r="V99">
        <v>37.840000000000003</v>
      </c>
      <c r="W99">
        <v>45.604999999999997</v>
      </c>
      <c r="X99">
        <v>26.61</v>
      </c>
      <c r="Y99">
        <v>47</v>
      </c>
      <c r="Z99">
        <v>42.39</v>
      </c>
      <c r="AA99">
        <v>80.02</v>
      </c>
      <c r="AB99">
        <v>54.9</v>
      </c>
      <c r="AC99">
        <v>41.29</v>
      </c>
      <c r="AD99">
        <v>569.28</v>
      </c>
      <c r="AE99">
        <v>639.80999999999995</v>
      </c>
      <c r="AF99">
        <v>43.82</v>
      </c>
      <c r="AG99">
        <v>53.215000000000003</v>
      </c>
      <c r="AH99">
        <v>46.56</v>
      </c>
      <c r="AI99">
        <v>51.62</v>
      </c>
    </row>
    <row r="100" spans="1:35" x14ac:dyDescent="0.45">
      <c r="A100" s="2">
        <v>45887</v>
      </c>
      <c r="B100">
        <v>31.32</v>
      </c>
      <c r="C100">
        <v>32.549999999999997</v>
      </c>
      <c r="D100">
        <v>18.43</v>
      </c>
      <c r="E100">
        <v>26.34</v>
      </c>
      <c r="F100">
        <v>33.64</v>
      </c>
      <c r="G100">
        <v>52.382100000000001</v>
      </c>
      <c r="H100">
        <v>25.13</v>
      </c>
      <c r="I100">
        <v>61.04</v>
      </c>
      <c r="J100">
        <v>61.19</v>
      </c>
      <c r="K100">
        <v>72.8</v>
      </c>
      <c r="L100">
        <v>28.29</v>
      </c>
      <c r="M100">
        <v>57.11</v>
      </c>
      <c r="N100">
        <v>65.58</v>
      </c>
      <c r="O100">
        <v>53.5</v>
      </c>
      <c r="P100">
        <v>60.04</v>
      </c>
      <c r="Q100">
        <v>20.38</v>
      </c>
      <c r="R100">
        <v>1242.31</v>
      </c>
      <c r="S100">
        <v>34.47</v>
      </c>
      <c r="T100">
        <v>19.965</v>
      </c>
      <c r="U100">
        <v>17.84</v>
      </c>
      <c r="V100">
        <v>37.83</v>
      </c>
      <c r="W100">
        <v>45.844999999999999</v>
      </c>
      <c r="X100">
        <v>26.84</v>
      </c>
      <c r="Y100">
        <v>47.35</v>
      </c>
      <c r="Z100">
        <v>42.45</v>
      </c>
      <c r="AA100">
        <v>80.3</v>
      </c>
      <c r="AB100">
        <v>54.35</v>
      </c>
      <c r="AC100">
        <v>41.29</v>
      </c>
      <c r="AD100">
        <v>577.11</v>
      </c>
      <c r="AE100">
        <v>643.29999999999995</v>
      </c>
      <c r="AF100">
        <v>43.55</v>
      </c>
      <c r="AG100">
        <v>53.13</v>
      </c>
      <c r="AH100">
        <v>46.28</v>
      </c>
      <c r="AI100">
        <v>51.54</v>
      </c>
    </row>
    <row r="101" spans="1:35" x14ac:dyDescent="0.45">
      <c r="A101" s="2">
        <v>45884</v>
      </c>
      <c r="B101">
        <v>30.97</v>
      </c>
      <c r="C101">
        <v>32.4</v>
      </c>
      <c r="D101">
        <v>18.5</v>
      </c>
      <c r="E101">
        <v>26.39</v>
      </c>
      <c r="F101">
        <v>33.450000000000003</v>
      </c>
      <c r="G101">
        <v>52.191600000000001</v>
      </c>
      <c r="H101">
        <v>24.98</v>
      </c>
      <c r="I101">
        <v>60.42</v>
      </c>
      <c r="J101">
        <v>61.34</v>
      </c>
      <c r="K101">
        <v>73.39</v>
      </c>
      <c r="L101">
        <v>28.2</v>
      </c>
      <c r="M101">
        <v>57.62</v>
      </c>
      <c r="N101">
        <v>66.89</v>
      </c>
      <c r="O101">
        <v>52.71</v>
      </c>
      <c r="P101">
        <v>59.68</v>
      </c>
      <c r="Q101">
        <v>20.54</v>
      </c>
      <c r="R101">
        <v>1259.42</v>
      </c>
      <c r="S101">
        <v>34.24</v>
      </c>
      <c r="T101">
        <v>19.905000000000001</v>
      </c>
      <c r="U101">
        <v>17.71</v>
      </c>
      <c r="V101">
        <v>37.549999999999997</v>
      </c>
      <c r="W101">
        <v>45.683999999999997</v>
      </c>
      <c r="X101">
        <v>26.83</v>
      </c>
      <c r="Y101">
        <v>47.27</v>
      </c>
      <c r="Z101">
        <v>42.58</v>
      </c>
      <c r="AA101">
        <v>80.150000000000006</v>
      </c>
      <c r="AB101">
        <v>54.5</v>
      </c>
      <c r="AC101">
        <v>41.27</v>
      </c>
      <c r="AD101">
        <v>577.34</v>
      </c>
      <c r="AE101">
        <v>643.44000000000005</v>
      </c>
      <c r="AF101">
        <v>43.89</v>
      </c>
      <c r="AG101">
        <v>53.16</v>
      </c>
      <c r="AH101">
        <v>46.61</v>
      </c>
      <c r="AI101">
        <v>51.79</v>
      </c>
    </row>
    <row r="102" spans="1:35" x14ac:dyDescent="0.45">
      <c r="A102" s="2">
        <v>45883</v>
      </c>
      <c r="B102">
        <v>30.72</v>
      </c>
      <c r="C102">
        <v>32.270000000000003</v>
      </c>
      <c r="D102">
        <v>18.63</v>
      </c>
      <c r="E102">
        <v>26.28</v>
      </c>
      <c r="F102">
        <v>33.270000000000003</v>
      </c>
      <c r="G102">
        <v>51.95</v>
      </c>
      <c r="H102">
        <v>25.03</v>
      </c>
      <c r="I102">
        <v>60.65</v>
      </c>
      <c r="J102">
        <v>60.99</v>
      </c>
      <c r="K102">
        <v>73.66</v>
      </c>
      <c r="L102">
        <v>27.89</v>
      </c>
      <c r="M102">
        <v>57.64</v>
      </c>
      <c r="N102">
        <v>66.53</v>
      </c>
      <c r="O102">
        <v>52.41</v>
      </c>
      <c r="P102">
        <v>59.3</v>
      </c>
      <c r="Q102">
        <v>20.52</v>
      </c>
      <c r="R102">
        <v>1266.67</v>
      </c>
      <c r="S102">
        <v>34.11</v>
      </c>
      <c r="T102">
        <v>19.98</v>
      </c>
      <c r="U102">
        <v>17.760000000000002</v>
      </c>
      <c r="V102">
        <v>37.590000000000003</v>
      </c>
      <c r="W102">
        <v>45.57</v>
      </c>
      <c r="X102">
        <v>26.74</v>
      </c>
      <c r="Y102">
        <v>47.33</v>
      </c>
      <c r="Z102">
        <v>42.5</v>
      </c>
      <c r="AA102">
        <v>78.8</v>
      </c>
      <c r="AB102">
        <v>54.1</v>
      </c>
      <c r="AC102">
        <v>41.5</v>
      </c>
      <c r="AD102">
        <v>579.89</v>
      </c>
      <c r="AE102">
        <v>644.95000000000005</v>
      </c>
      <c r="AF102">
        <v>43.5</v>
      </c>
      <c r="AG102">
        <v>53.3</v>
      </c>
      <c r="AH102">
        <v>46.06</v>
      </c>
      <c r="AI102">
        <v>51.56</v>
      </c>
    </row>
    <row r="103" spans="1:35" x14ac:dyDescent="0.45">
      <c r="A103" s="2">
        <v>45882</v>
      </c>
      <c r="B103">
        <v>31.01</v>
      </c>
      <c r="C103">
        <v>32.54</v>
      </c>
      <c r="D103">
        <v>18.829999999999998</v>
      </c>
      <c r="E103">
        <v>26.72</v>
      </c>
      <c r="F103">
        <v>34.07</v>
      </c>
      <c r="G103">
        <v>52.16</v>
      </c>
      <c r="H103">
        <v>25.27</v>
      </c>
      <c r="I103">
        <v>61.03</v>
      </c>
      <c r="J103">
        <v>61.99</v>
      </c>
      <c r="K103">
        <v>74.72</v>
      </c>
      <c r="L103">
        <v>28.18</v>
      </c>
      <c r="M103">
        <v>58.36</v>
      </c>
      <c r="N103">
        <v>66.81</v>
      </c>
      <c r="O103">
        <v>52.71</v>
      </c>
      <c r="P103">
        <v>60.56</v>
      </c>
      <c r="Q103">
        <v>20.56</v>
      </c>
      <c r="R103">
        <v>1277.43</v>
      </c>
      <c r="S103">
        <v>34.47</v>
      </c>
      <c r="T103">
        <v>19.93</v>
      </c>
      <c r="U103">
        <v>17.46</v>
      </c>
      <c r="V103">
        <v>37.44</v>
      </c>
      <c r="W103">
        <v>45.82</v>
      </c>
      <c r="X103">
        <v>26.91</v>
      </c>
      <c r="Y103">
        <v>47.64</v>
      </c>
      <c r="Z103">
        <v>42.38</v>
      </c>
      <c r="AA103">
        <v>79.27</v>
      </c>
      <c r="AB103">
        <v>54.2</v>
      </c>
      <c r="AC103">
        <v>41.36</v>
      </c>
      <c r="AD103">
        <v>580.34</v>
      </c>
      <c r="AE103">
        <v>644.89</v>
      </c>
      <c r="AF103">
        <v>43.31</v>
      </c>
      <c r="AG103">
        <v>53.36</v>
      </c>
      <c r="AH103">
        <v>46.02</v>
      </c>
      <c r="AI103">
        <v>51.1</v>
      </c>
    </row>
    <row r="104" spans="1:35" x14ac:dyDescent="0.45">
      <c r="A104" s="2">
        <v>45881</v>
      </c>
      <c r="B104">
        <v>30.73</v>
      </c>
      <c r="C104">
        <v>31.97</v>
      </c>
      <c r="D104">
        <v>18.61</v>
      </c>
      <c r="E104">
        <v>26.55</v>
      </c>
      <c r="F104">
        <v>33.99</v>
      </c>
      <c r="G104">
        <v>51.75</v>
      </c>
      <c r="H104">
        <v>24.94</v>
      </c>
      <c r="I104">
        <v>61.09</v>
      </c>
      <c r="J104">
        <v>62.33</v>
      </c>
      <c r="K104">
        <v>74.099999999999994</v>
      </c>
      <c r="L104">
        <v>28.39</v>
      </c>
      <c r="M104">
        <v>57.5</v>
      </c>
      <c r="N104">
        <v>66.349999999999994</v>
      </c>
      <c r="O104">
        <v>52.465000000000003</v>
      </c>
      <c r="P104">
        <v>58.73</v>
      </c>
      <c r="Q104">
        <v>20.27</v>
      </c>
      <c r="R104">
        <v>1259.07</v>
      </c>
      <c r="S104">
        <v>34.54</v>
      </c>
      <c r="T104">
        <v>20.149999999999999</v>
      </c>
      <c r="U104">
        <v>17.440000000000001</v>
      </c>
      <c r="V104">
        <v>37.49</v>
      </c>
      <c r="W104">
        <v>45.658999999999999</v>
      </c>
      <c r="X104">
        <v>26.96</v>
      </c>
      <c r="Y104">
        <v>47.51</v>
      </c>
      <c r="Z104">
        <v>42.15</v>
      </c>
      <c r="AA104">
        <v>79.23</v>
      </c>
      <c r="AB104">
        <v>53.81</v>
      </c>
      <c r="AC104">
        <v>41.03</v>
      </c>
      <c r="AD104">
        <v>580.04999999999995</v>
      </c>
      <c r="AE104">
        <v>642.69000000000005</v>
      </c>
      <c r="AF104">
        <v>42.89</v>
      </c>
      <c r="AG104">
        <v>52.967399999999998</v>
      </c>
      <c r="AH104">
        <v>45.99</v>
      </c>
      <c r="AI104">
        <v>50.64</v>
      </c>
    </row>
    <row r="105" spans="1:35" x14ac:dyDescent="0.45">
      <c r="A105" s="2">
        <v>45880</v>
      </c>
      <c r="B105">
        <v>30.295000000000002</v>
      </c>
      <c r="C105">
        <v>31.47</v>
      </c>
      <c r="D105">
        <v>17.98</v>
      </c>
      <c r="E105">
        <v>26.19</v>
      </c>
      <c r="F105">
        <v>33.44</v>
      </c>
      <c r="G105">
        <v>51.130899999999997</v>
      </c>
      <c r="H105">
        <v>24.6</v>
      </c>
      <c r="I105">
        <v>60.28</v>
      </c>
      <c r="J105">
        <v>61.54</v>
      </c>
      <c r="K105">
        <v>73.03</v>
      </c>
      <c r="L105">
        <v>27.64</v>
      </c>
      <c r="M105">
        <v>56.36</v>
      </c>
      <c r="N105">
        <v>65.680000000000007</v>
      </c>
      <c r="O105">
        <v>52.27</v>
      </c>
      <c r="P105">
        <v>57.82</v>
      </c>
      <c r="Q105">
        <v>20.034600000000001</v>
      </c>
      <c r="R105">
        <v>1259.07</v>
      </c>
      <c r="S105">
        <v>34.844799999999999</v>
      </c>
      <c r="T105">
        <v>20.079999999999998</v>
      </c>
      <c r="U105">
        <v>17.27</v>
      </c>
      <c r="V105">
        <v>37.43</v>
      </c>
      <c r="W105">
        <v>45.79</v>
      </c>
      <c r="X105">
        <v>26.65</v>
      </c>
      <c r="Y105">
        <v>47.28</v>
      </c>
      <c r="Z105">
        <v>41.94</v>
      </c>
      <c r="AA105">
        <v>77.790000000000006</v>
      </c>
      <c r="AB105">
        <v>53.2</v>
      </c>
      <c r="AC105">
        <v>40.64</v>
      </c>
      <c r="AD105">
        <v>572.85</v>
      </c>
      <c r="AE105">
        <v>635.91999999999996</v>
      </c>
      <c r="AF105">
        <v>42.35</v>
      </c>
      <c r="AG105">
        <v>52.37</v>
      </c>
      <c r="AH105">
        <v>45.23</v>
      </c>
      <c r="AI105">
        <v>49.99</v>
      </c>
    </row>
    <row r="106" spans="1:35" x14ac:dyDescent="0.45">
      <c r="A106" s="2">
        <v>45877</v>
      </c>
      <c r="B106">
        <v>30.27</v>
      </c>
      <c r="C106">
        <v>31.41</v>
      </c>
      <c r="D106">
        <v>17.829999999999998</v>
      </c>
      <c r="E106">
        <v>26.63</v>
      </c>
      <c r="F106">
        <v>33.97</v>
      </c>
      <c r="G106">
        <v>51.72</v>
      </c>
      <c r="H106">
        <v>24.51</v>
      </c>
      <c r="I106">
        <v>60.29</v>
      </c>
      <c r="J106">
        <v>61.64</v>
      </c>
      <c r="K106">
        <v>73.5</v>
      </c>
      <c r="L106">
        <v>27.81</v>
      </c>
      <c r="M106">
        <v>56.45</v>
      </c>
      <c r="N106">
        <v>65.069199999999995</v>
      </c>
      <c r="O106">
        <v>52.12</v>
      </c>
      <c r="P106">
        <v>58.19</v>
      </c>
      <c r="Q106">
        <v>19.93</v>
      </c>
      <c r="R106">
        <v>1259.07</v>
      </c>
      <c r="S106">
        <v>34.68</v>
      </c>
      <c r="T106">
        <v>20.14</v>
      </c>
      <c r="U106">
        <v>17.18</v>
      </c>
      <c r="V106">
        <v>37.83</v>
      </c>
      <c r="W106">
        <v>45.744999999999997</v>
      </c>
      <c r="X106">
        <v>26.63</v>
      </c>
      <c r="Y106">
        <v>47.34</v>
      </c>
      <c r="Z106">
        <v>42.34</v>
      </c>
      <c r="AA106">
        <v>77.930000000000007</v>
      </c>
      <c r="AB106">
        <v>53.6</v>
      </c>
      <c r="AC106">
        <v>40.53</v>
      </c>
      <c r="AD106">
        <v>574.54999999999995</v>
      </c>
      <c r="AE106">
        <v>637.17999999999995</v>
      </c>
      <c r="AF106">
        <v>42.68</v>
      </c>
      <c r="AG106">
        <v>52.52</v>
      </c>
      <c r="AH106">
        <v>45.88</v>
      </c>
      <c r="AI106">
        <v>50.16</v>
      </c>
    </row>
    <row r="107" spans="1:35" x14ac:dyDescent="0.45">
      <c r="A107" s="2">
        <v>45876</v>
      </c>
      <c r="B107">
        <v>30.3</v>
      </c>
      <c r="C107">
        <v>30.74</v>
      </c>
      <c r="D107">
        <v>17.72</v>
      </c>
      <c r="E107">
        <v>26.49</v>
      </c>
      <c r="F107">
        <v>33.53</v>
      </c>
      <c r="G107">
        <v>50.705500000000001</v>
      </c>
      <c r="H107">
        <v>24.38</v>
      </c>
      <c r="I107">
        <v>60.36</v>
      </c>
      <c r="J107">
        <v>61.65</v>
      </c>
      <c r="K107">
        <v>73.44</v>
      </c>
      <c r="L107">
        <v>28.05</v>
      </c>
      <c r="M107">
        <v>56.66</v>
      </c>
      <c r="N107">
        <v>64.58</v>
      </c>
      <c r="O107">
        <v>52.53</v>
      </c>
      <c r="P107">
        <v>58.2</v>
      </c>
      <c r="Q107">
        <v>19.946000000000002</v>
      </c>
      <c r="R107">
        <v>1265.1500000000001</v>
      </c>
      <c r="S107">
        <v>34.61</v>
      </c>
      <c r="T107">
        <v>20.100000000000001</v>
      </c>
      <c r="U107">
        <v>16.8</v>
      </c>
      <c r="V107">
        <v>37.83</v>
      </c>
      <c r="W107">
        <v>45.795000000000002</v>
      </c>
      <c r="X107">
        <v>26.6</v>
      </c>
      <c r="Y107">
        <v>47.34</v>
      </c>
      <c r="Z107">
        <v>42.33</v>
      </c>
      <c r="AA107">
        <v>76.62</v>
      </c>
      <c r="AB107">
        <v>53.68</v>
      </c>
      <c r="AC107">
        <v>40.49</v>
      </c>
      <c r="AD107">
        <v>569.24</v>
      </c>
      <c r="AE107">
        <v>632.25</v>
      </c>
      <c r="AF107">
        <v>42.49</v>
      </c>
      <c r="AG107">
        <v>52.2</v>
      </c>
      <c r="AH107">
        <v>45.6</v>
      </c>
      <c r="AI107">
        <v>49.95</v>
      </c>
    </row>
    <row r="108" spans="1:35" x14ac:dyDescent="0.45">
      <c r="A108" s="2">
        <v>45875</v>
      </c>
      <c r="B108">
        <v>30.33</v>
      </c>
      <c r="C108">
        <v>30.09</v>
      </c>
      <c r="D108">
        <v>17.66</v>
      </c>
      <c r="E108">
        <v>26.41</v>
      </c>
      <c r="F108">
        <v>32.840000000000003</v>
      </c>
      <c r="G108">
        <v>50.183300000000003</v>
      </c>
      <c r="H108">
        <v>24.4</v>
      </c>
      <c r="I108">
        <v>59.14</v>
      </c>
      <c r="J108">
        <v>60.76</v>
      </c>
      <c r="K108">
        <v>73.180000000000007</v>
      </c>
      <c r="L108">
        <v>27.45</v>
      </c>
      <c r="M108">
        <v>56.17</v>
      </c>
      <c r="N108">
        <v>64.2</v>
      </c>
      <c r="O108">
        <v>52.255000000000003</v>
      </c>
      <c r="P108">
        <v>58.36</v>
      </c>
      <c r="Q108">
        <v>19.850000000000001</v>
      </c>
      <c r="R108">
        <v>1264.47</v>
      </c>
      <c r="S108">
        <v>34.46</v>
      </c>
      <c r="T108">
        <v>20.25</v>
      </c>
      <c r="U108">
        <v>17.09</v>
      </c>
      <c r="V108">
        <v>38.04</v>
      </c>
      <c r="W108">
        <v>45.63</v>
      </c>
      <c r="X108">
        <v>26.66</v>
      </c>
      <c r="Y108">
        <v>47.73</v>
      </c>
      <c r="Z108">
        <v>41.84</v>
      </c>
      <c r="AA108">
        <v>76.03</v>
      </c>
      <c r="AB108">
        <v>52.98</v>
      </c>
      <c r="AC108">
        <v>40.380000000000003</v>
      </c>
      <c r="AD108">
        <v>567.32000000000005</v>
      </c>
      <c r="AE108">
        <v>632.78</v>
      </c>
      <c r="AF108">
        <v>42.02</v>
      </c>
      <c r="AG108">
        <v>51.43</v>
      </c>
      <c r="AH108">
        <v>44.82</v>
      </c>
      <c r="AI108">
        <v>49.52</v>
      </c>
    </row>
    <row r="109" spans="1:35" x14ac:dyDescent="0.45">
      <c r="A109" s="2">
        <v>45874</v>
      </c>
      <c r="B109">
        <v>30.17</v>
      </c>
      <c r="C109">
        <v>30.26</v>
      </c>
      <c r="D109">
        <v>17.62</v>
      </c>
      <c r="E109">
        <v>26.16</v>
      </c>
      <c r="F109">
        <v>31.79</v>
      </c>
      <c r="G109">
        <v>49.7</v>
      </c>
      <c r="H109">
        <v>24.24</v>
      </c>
      <c r="I109">
        <v>58.92</v>
      </c>
      <c r="J109">
        <v>60.19</v>
      </c>
      <c r="K109">
        <v>72.89</v>
      </c>
      <c r="L109">
        <v>27.02</v>
      </c>
      <c r="M109">
        <v>55.4</v>
      </c>
      <c r="N109">
        <v>62.98</v>
      </c>
      <c r="O109">
        <v>52.41</v>
      </c>
      <c r="P109">
        <v>57.86</v>
      </c>
      <c r="Q109">
        <v>19.785</v>
      </c>
      <c r="R109">
        <v>1246.96</v>
      </c>
      <c r="S109">
        <v>34.29</v>
      </c>
      <c r="T109">
        <v>20.010000000000002</v>
      </c>
      <c r="U109">
        <v>16.670000000000002</v>
      </c>
      <c r="V109">
        <v>37.78</v>
      </c>
      <c r="W109">
        <v>45.255000000000003</v>
      </c>
      <c r="X109">
        <v>26.41</v>
      </c>
      <c r="Y109">
        <v>46.93</v>
      </c>
      <c r="Z109">
        <v>41.49</v>
      </c>
      <c r="AA109">
        <v>75.03</v>
      </c>
      <c r="AB109">
        <v>53.48</v>
      </c>
      <c r="AC109">
        <v>40.229999999999997</v>
      </c>
      <c r="AD109">
        <v>560.27</v>
      </c>
      <c r="AE109">
        <v>627.97</v>
      </c>
      <c r="AF109">
        <v>41.83</v>
      </c>
      <c r="AG109">
        <v>51.33</v>
      </c>
      <c r="AH109">
        <v>44.45</v>
      </c>
      <c r="AI109">
        <v>48.74</v>
      </c>
    </row>
    <row r="110" spans="1:35" x14ac:dyDescent="0.45">
      <c r="A110" s="2">
        <v>45873</v>
      </c>
      <c r="B110">
        <v>29.9</v>
      </c>
      <c r="C110">
        <v>30.24</v>
      </c>
      <c r="D110">
        <v>17.59</v>
      </c>
      <c r="E110">
        <v>26.35</v>
      </c>
      <c r="F110">
        <v>31.94</v>
      </c>
      <c r="G110">
        <v>49.27</v>
      </c>
      <c r="H110">
        <v>24.13</v>
      </c>
      <c r="I110">
        <v>58.84</v>
      </c>
      <c r="J110">
        <v>59.23</v>
      </c>
      <c r="K110">
        <v>72.33</v>
      </c>
      <c r="L110">
        <v>26.93</v>
      </c>
      <c r="M110">
        <v>55.05</v>
      </c>
      <c r="N110">
        <v>62.02</v>
      </c>
      <c r="O110">
        <v>52.48</v>
      </c>
      <c r="P110">
        <v>57.47</v>
      </c>
      <c r="Q110">
        <v>19.71</v>
      </c>
      <c r="R110">
        <v>1229.4000000000001</v>
      </c>
      <c r="S110">
        <v>34.32</v>
      </c>
      <c r="T110">
        <v>20.21</v>
      </c>
      <c r="U110">
        <v>16.579999999999998</v>
      </c>
      <c r="V110">
        <v>37.630000000000003</v>
      </c>
      <c r="W110">
        <v>44.93</v>
      </c>
      <c r="X110">
        <v>26.28</v>
      </c>
      <c r="Y110">
        <v>46.58</v>
      </c>
      <c r="Z110">
        <v>41.3</v>
      </c>
      <c r="AA110">
        <v>75.290000000000006</v>
      </c>
      <c r="AB110">
        <v>53.31</v>
      </c>
      <c r="AC110">
        <v>40.21</v>
      </c>
      <c r="AD110">
        <v>564.1</v>
      </c>
      <c r="AE110">
        <v>631.16999999999996</v>
      </c>
      <c r="AF110">
        <v>41.86</v>
      </c>
      <c r="AG110">
        <v>51.35</v>
      </c>
      <c r="AH110">
        <v>44.3</v>
      </c>
      <c r="AI110">
        <v>48.57</v>
      </c>
    </row>
    <row r="111" spans="1:35" x14ac:dyDescent="0.45">
      <c r="A111" s="2">
        <v>45870</v>
      </c>
      <c r="B111">
        <v>29.6</v>
      </c>
      <c r="C111">
        <v>29.98</v>
      </c>
      <c r="D111">
        <v>17.61</v>
      </c>
      <c r="E111">
        <v>25.78</v>
      </c>
      <c r="F111">
        <v>31.7</v>
      </c>
      <c r="G111">
        <v>48.35</v>
      </c>
      <c r="H111">
        <v>23.98</v>
      </c>
      <c r="I111">
        <v>58.39</v>
      </c>
      <c r="J111">
        <v>59.6</v>
      </c>
      <c r="K111">
        <v>70.650000000000006</v>
      </c>
      <c r="L111">
        <v>26.65</v>
      </c>
      <c r="M111">
        <v>53.43</v>
      </c>
      <c r="N111">
        <v>60.34</v>
      </c>
      <c r="O111">
        <v>52.72</v>
      </c>
      <c r="P111">
        <v>56.52</v>
      </c>
      <c r="Q111">
        <v>19.664999999999999</v>
      </c>
      <c r="R111">
        <v>1218.33</v>
      </c>
      <c r="S111">
        <v>33.92</v>
      </c>
      <c r="T111">
        <v>19.95</v>
      </c>
      <c r="U111">
        <v>15.95</v>
      </c>
      <c r="V111">
        <v>37.32</v>
      </c>
      <c r="W111">
        <v>44.69</v>
      </c>
      <c r="X111">
        <v>25.91</v>
      </c>
      <c r="Y111">
        <v>45.86</v>
      </c>
      <c r="Z111">
        <v>40.75</v>
      </c>
      <c r="AA111">
        <v>74.069999999999993</v>
      </c>
      <c r="AB111">
        <v>52.43</v>
      </c>
      <c r="AC111">
        <v>39.94</v>
      </c>
      <c r="AD111">
        <v>553.88</v>
      </c>
      <c r="AE111">
        <v>621.72</v>
      </c>
      <c r="AF111">
        <v>41.43</v>
      </c>
      <c r="AG111">
        <v>50.85</v>
      </c>
      <c r="AH111">
        <v>43.68</v>
      </c>
      <c r="AI111">
        <v>47.83</v>
      </c>
    </row>
    <row r="112" spans="1:35" x14ac:dyDescent="0.45">
      <c r="A112" s="2">
        <v>45869</v>
      </c>
      <c r="B112">
        <v>29.68</v>
      </c>
      <c r="C112">
        <v>29.83</v>
      </c>
      <c r="D112">
        <v>17.27</v>
      </c>
      <c r="E112">
        <v>25.42</v>
      </c>
      <c r="F112">
        <v>31.75</v>
      </c>
      <c r="G112">
        <v>48.65</v>
      </c>
      <c r="H112">
        <v>23.49</v>
      </c>
      <c r="I112">
        <v>58.36</v>
      </c>
      <c r="J112">
        <v>60.14</v>
      </c>
      <c r="K112">
        <v>72.81</v>
      </c>
      <c r="L112">
        <v>26.55</v>
      </c>
      <c r="M112">
        <v>53.05</v>
      </c>
      <c r="N112">
        <v>60.51</v>
      </c>
      <c r="O112">
        <v>52.64</v>
      </c>
      <c r="P112">
        <v>57.43</v>
      </c>
      <c r="Q112">
        <v>19.655000000000001</v>
      </c>
      <c r="R112">
        <v>1242.3499999999999</v>
      </c>
      <c r="S112">
        <v>33.85</v>
      </c>
      <c r="T112">
        <v>20.039899999999999</v>
      </c>
      <c r="U112">
        <v>16.010000000000002</v>
      </c>
      <c r="V112">
        <v>37.56</v>
      </c>
      <c r="W112">
        <v>45.05</v>
      </c>
      <c r="X112">
        <v>26.02</v>
      </c>
      <c r="Y112">
        <v>46.18</v>
      </c>
      <c r="Z112">
        <v>41.15</v>
      </c>
      <c r="AA112">
        <v>73.62</v>
      </c>
      <c r="AB112">
        <v>52.72</v>
      </c>
      <c r="AC112">
        <v>39.81</v>
      </c>
      <c r="AD112">
        <v>565.01</v>
      </c>
      <c r="AE112">
        <v>632.08000000000004</v>
      </c>
      <c r="AF112">
        <v>41.94</v>
      </c>
      <c r="AG112">
        <v>51.26</v>
      </c>
      <c r="AH112">
        <v>43.86</v>
      </c>
      <c r="AI112">
        <v>48.25</v>
      </c>
    </row>
    <row r="113" spans="1:35" x14ac:dyDescent="0.45">
      <c r="A113" s="2">
        <v>45868</v>
      </c>
      <c r="B113">
        <v>30.24</v>
      </c>
      <c r="C113">
        <v>29.48</v>
      </c>
      <c r="D113">
        <v>17.579999999999998</v>
      </c>
      <c r="E113">
        <v>26.175000000000001</v>
      </c>
      <c r="F113">
        <v>32.21</v>
      </c>
      <c r="G113">
        <v>47.99</v>
      </c>
      <c r="H113">
        <v>23.84</v>
      </c>
      <c r="I113">
        <v>58.35</v>
      </c>
      <c r="J113">
        <v>60.17</v>
      </c>
      <c r="K113">
        <v>73.680000000000007</v>
      </c>
      <c r="L113">
        <v>26.88</v>
      </c>
      <c r="M113">
        <v>53.99</v>
      </c>
      <c r="N113">
        <v>60.44</v>
      </c>
      <c r="O113">
        <v>52.7</v>
      </c>
      <c r="P113">
        <v>57.89</v>
      </c>
      <c r="Q113">
        <v>19.66</v>
      </c>
      <c r="R113">
        <v>1244.1400000000001</v>
      </c>
      <c r="S113">
        <v>33.659999999999997</v>
      </c>
      <c r="T113">
        <v>20.260000000000002</v>
      </c>
      <c r="U113">
        <v>16.03</v>
      </c>
      <c r="V113">
        <v>37.619999999999997</v>
      </c>
      <c r="W113">
        <v>45.19</v>
      </c>
      <c r="X113">
        <v>26.15</v>
      </c>
      <c r="Y113">
        <v>46.38</v>
      </c>
      <c r="Z113">
        <v>41.63</v>
      </c>
      <c r="AA113">
        <v>73.98</v>
      </c>
      <c r="AB113">
        <v>53.48</v>
      </c>
      <c r="AC113">
        <v>40.04</v>
      </c>
      <c r="AD113">
        <v>568.02</v>
      </c>
      <c r="AE113">
        <v>634.46</v>
      </c>
      <c r="AF113">
        <v>42.47</v>
      </c>
      <c r="AG113">
        <v>52.2</v>
      </c>
      <c r="AH113">
        <v>44.54</v>
      </c>
      <c r="AI113">
        <v>49.13</v>
      </c>
    </row>
    <row r="114" spans="1:35" x14ac:dyDescent="0.45">
      <c r="A114" s="2">
        <v>45867</v>
      </c>
      <c r="B114">
        <v>30.44</v>
      </c>
      <c r="C114">
        <v>29.83</v>
      </c>
      <c r="D114">
        <v>17.8</v>
      </c>
      <c r="E114">
        <v>26.37</v>
      </c>
      <c r="F114">
        <v>32.25</v>
      </c>
      <c r="G114">
        <v>49.44</v>
      </c>
      <c r="H114">
        <v>24.04</v>
      </c>
      <c r="I114">
        <v>58.62</v>
      </c>
      <c r="J114">
        <v>60.93</v>
      </c>
      <c r="K114">
        <v>73.489999999999995</v>
      </c>
      <c r="L114">
        <v>26.76</v>
      </c>
      <c r="M114">
        <v>54.54</v>
      </c>
      <c r="N114">
        <v>60.98</v>
      </c>
      <c r="O114">
        <v>53.49</v>
      </c>
      <c r="P114">
        <v>58.56</v>
      </c>
      <c r="Q114">
        <v>19.600000000000001</v>
      </c>
      <c r="R114">
        <v>1233.68</v>
      </c>
      <c r="S114">
        <v>33.28</v>
      </c>
      <c r="T114">
        <v>20.145</v>
      </c>
      <c r="U114">
        <v>15.9</v>
      </c>
      <c r="V114">
        <v>37.39</v>
      </c>
      <c r="W114">
        <v>45.834299999999999</v>
      </c>
      <c r="X114">
        <v>26.37</v>
      </c>
      <c r="Y114">
        <v>46.79</v>
      </c>
      <c r="Z114">
        <v>41.89</v>
      </c>
      <c r="AA114">
        <v>73.88</v>
      </c>
      <c r="AB114">
        <v>54.12</v>
      </c>
      <c r="AC114">
        <v>40.39</v>
      </c>
      <c r="AD114">
        <v>567.26</v>
      </c>
      <c r="AE114">
        <v>635.26</v>
      </c>
      <c r="AF114">
        <v>42.91</v>
      </c>
      <c r="AG114">
        <v>52.69</v>
      </c>
      <c r="AH114">
        <v>44.96</v>
      </c>
      <c r="AI114">
        <v>49.06</v>
      </c>
    </row>
    <row r="115" spans="1:35" x14ac:dyDescent="0.45">
      <c r="A115" s="2">
        <v>45866</v>
      </c>
      <c r="B115">
        <v>30.29</v>
      </c>
      <c r="C115">
        <v>29.78</v>
      </c>
      <c r="D115">
        <v>17.75</v>
      </c>
      <c r="E115">
        <v>26.55</v>
      </c>
      <c r="F115">
        <v>32.130000000000003</v>
      </c>
      <c r="G115">
        <v>49.15</v>
      </c>
      <c r="H115">
        <v>24.05</v>
      </c>
      <c r="I115">
        <v>59.06</v>
      </c>
      <c r="J115">
        <v>60.06</v>
      </c>
      <c r="K115">
        <v>72.709999999999994</v>
      </c>
      <c r="L115">
        <v>26.52</v>
      </c>
      <c r="M115">
        <v>54.22</v>
      </c>
      <c r="N115">
        <v>60.45</v>
      </c>
      <c r="O115">
        <v>53.23</v>
      </c>
      <c r="P115">
        <v>58.7</v>
      </c>
      <c r="Q115">
        <v>19.600000000000001</v>
      </c>
      <c r="R115">
        <v>1217.1500000000001</v>
      </c>
      <c r="S115">
        <v>33.43</v>
      </c>
      <c r="T115">
        <v>20.32</v>
      </c>
      <c r="U115">
        <v>16.78</v>
      </c>
      <c r="V115">
        <v>37.61</v>
      </c>
      <c r="W115">
        <v>45.64</v>
      </c>
      <c r="X115">
        <v>26.22</v>
      </c>
      <c r="Y115">
        <v>46.72</v>
      </c>
      <c r="Z115">
        <v>41.67</v>
      </c>
      <c r="AA115">
        <v>74.27</v>
      </c>
      <c r="AB115">
        <v>54.16</v>
      </c>
      <c r="AC115">
        <v>40.119999999999997</v>
      </c>
      <c r="AD115">
        <v>568.14</v>
      </c>
      <c r="AE115">
        <v>636.94000000000005</v>
      </c>
      <c r="AF115">
        <v>42.8</v>
      </c>
      <c r="AG115">
        <v>52.91</v>
      </c>
      <c r="AH115">
        <v>45.78</v>
      </c>
      <c r="AI115">
        <v>48.78</v>
      </c>
    </row>
    <row r="116" spans="1:35" x14ac:dyDescent="0.45">
      <c r="A116" s="2">
        <v>45863</v>
      </c>
      <c r="B116">
        <v>30.31</v>
      </c>
      <c r="C116">
        <v>30.34</v>
      </c>
      <c r="D116">
        <v>17.600000000000001</v>
      </c>
      <c r="E116">
        <v>26.752199999999998</v>
      </c>
      <c r="F116">
        <v>33.35</v>
      </c>
      <c r="G116">
        <v>49.61</v>
      </c>
      <c r="H116">
        <v>24.19</v>
      </c>
      <c r="I116">
        <v>59.43</v>
      </c>
      <c r="J116">
        <v>61.05</v>
      </c>
      <c r="K116">
        <v>73.209999999999994</v>
      </c>
      <c r="L116">
        <v>26.94</v>
      </c>
      <c r="M116">
        <v>54.74</v>
      </c>
      <c r="N116">
        <v>62.15</v>
      </c>
      <c r="O116">
        <v>53.8</v>
      </c>
      <c r="P116">
        <v>58.93</v>
      </c>
      <c r="Q116">
        <v>19.63</v>
      </c>
      <c r="R116">
        <v>1217.1500000000001</v>
      </c>
      <c r="S116">
        <v>33.79</v>
      </c>
      <c r="T116">
        <v>20.350000000000001</v>
      </c>
      <c r="U116">
        <v>16.47</v>
      </c>
      <c r="V116">
        <v>37.72</v>
      </c>
      <c r="W116">
        <v>46.051099999999998</v>
      </c>
      <c r="X116">
        <v>26.48</v>
      </c>
      <c r="Y116">
        <v>47.01</v>
      </c>
      <c r="Z116">
        <v>42.81</v>
      </c>
      <c r="AA116">
        <v>75.680000000000007</v>
      </c>
      <c r="AB116">
        <v>55.16</v>
      </c>
      <c r="AC116">
        <v>40.64</v>
      </c>
      <c r="AD116">
        <v>566.37</v>
      </c>
      <c r="AE116">
        <v>637.1</v>
      </c>
      <c r="AF116">
        <v>43.72</v>
      </c>
      <c r="AG116">
        <v>53.5</v>
      </c>
      <c r="AH116">
        <v>46.38</v>
      </c>
      <c r="AI116">
        <v>49.56</v>
      </c>
    </row>
    <row r="117" spans="1:35" x14ac:dyDescent="0.45">
      <c r="A117" s="2">
        <v>45862</v>
      </c>
      <c r="B117">
        <v>30.45</v>
      </c>
      <c r="C117">
        <v>30.49</v>
      </c>
      <c r="D117">
        <v>17.809999999999999</v>
      </c>
      <c r="E117">
        <v>27</v>
      </c>
      <c r="F117">
        <v>33.29</v>
      </c>
      <c r="G117">
        <v>49.98</v>
      </c>
      <c r="H117">
        <v>24.3</v>
      </c>
      <c r="I117">
        <v>59.39</v>
      </c>
      <c r="J117">
        <v>60.85</v>
      </c>
      <c r="K117">
        <v>73.31</v>
      </c>
      <c r="L117">
        <v>27.13</v>
      </c>
      <c r="M117">
        <v>55.44</v>
      </c>
      <c r="N117">
        <v>62</v>
      </c>
      <c r="O117">
        <v>54.06</v>
      </c>
      <c r="P117">
        <v>59.18</v>
      </c>
      <c r="Q117">
        <v>19.61</v>
      </c>
      <c r="R117">
        <v>1212.49</v>
      </c>
      <c r="S117">
        <v>33.950000000000003</v>
      </c>
      <c r="T117">
        <v>20.11</v>
      </c>
      <c r="U117">
        <v>15.994999999999999</v>
      </c>
      <c r="V117">
        <v>37.68</v>
      </c>
      <c r="W117">
        <v>45.98</v>
      </c>
      <c r="X117">
        <v>26.58</v>
      </c>
      <c r="Y117">
        <v>46.97</v>
      </c>
      <c r="Z117">
        <v>42.7</v>
      </c>
      <c r="AA117">
        <v>76.55</v>
      </c>
      <c r="AB117">
        <v>55.12</v>
      </c>
      <c r="AC117">
        <v>40.770000000000003</v>
      </c>
      <c r="AD117">
        <v>565.01</v>
      </c>
      <c r="AE117">
        <v>634.41999999999996</v>
      </c>
      <c r="AF117">
        <v>43.4</v>
      </c>
      <c r="AG117">
        <v>53.93</v>
      </c>
      <c r="AH117">
        <v>45.9</v>
      </c>
      <c r="AI117">
        <v>49.12</v>
      </c>
    </row>
    <row r="118" spans="1:35" x14ac:dyDescent="0.45">
      <c r="A118" s="2">
        <v>45861</v>
      </c>
      <c r="B118">
        <v>30.35</v>
      </c>
      <c r="C118">
        <v>30.41</v>
      </c>
      <c r="D118">
        <v>17.809999999999999</v>
      </c>
      <c r="E118">
        <v>27.09</v>
      </c>
      <c r="F118">
        <v>33.450000000000003</v>
      </c>
      <c r="G118">
        <v>50.3</v>
      </c>
      <c r="H118">
        <v>24.21</v>
      </c>
      <c r="I118">
        <v>59.8</v>
      </c>
      <c r="J118">
        <v>60.47</v>
      </c>
      <c r="K118">
        <v>73.849999999999994</v>
      </c>
      <c r="L118">
        <v>27.48</v>
      </c>
      <c r="M118">
        <v>56.27</v>
      </c>
      <c r="N118">
        <v>62.58</v>
      </c>
      <c r="O118">
        <v>54.73</v>
      </c>
      <c r="P118">
        <v>59.25</v>
      </c>
      <c r="Q118">
        <v>19.54</v>
      </c>
      <c r="R118">
        <v>1219.6199999999999</v>
      </c>
      <c r="S118">
        <v>33.86</v>
      </c>
      <c r="T118">
        <v>20.105</v>
      </c>
      <c r="U118">
        <v>16</v>
      </c>
      <c r="V118">
        <v>37.97</v>
      </c>
      <c r="W118">
        <v>46.134999999999998</v>
      </c>
      <c r="X118">
        <v>26.82</v>
      </c>
      <c r="Y118">
        <v>47.17</v>
      </c>
      <c r="Z118">
        <v>43.21</v>
      </c>
      <c r="AA118">
        <v>76.489999999999995</v>
      </c>
      <c r="AB118">
        <v>56.2</v>
      </c>
      <c r="AC118">
        <v>40.9</v>
      </c>
      <c r="AD118">
        <v>563.80999999999995</v>
      </c>
      <c r="AE118">
        <v>634.21</v>
      </c>
      <c r="AF118">
        <v>44.4</v>
      </c>
      <c r="AG118">
        <v>54.25</v>
      </c>
      <c r="AH118">
        <v>46.3</v>
      </c>
      <c r="AI118">
        <v>49.84</v>
      </c>
    </row>
    <row r="119" spans="1:35" x14ac:dyDescent="0.45">
      <c r="A119" s="2">
        <v>45860</v>
      </c>
      <c r="B119">
        <v>30.364999999999998</v>
      </c>
      <c r="C119">
        <v>30.39</v>
      </c>
      <c r="D119">
        <v>17.559999999999999</v>
      </c>
      <c r="E119">
        <v>26.52</v>
      </c>
      <c r="F119">
        <v>32.93</v>
      </c>
      <c r="G119">
        <v>49.55</v>
      </c>
      <c r="H119">
        <v>23.99</v>
      </c>
      <c r="I119">
        <v>58.72</v>
      </c>
      <c r="J119">
        <v>59.03</v>
      </c>
      <c r="K119">
        <v>72.89</v>
      </c>
      <c r="L119">
        <v>27</v>
      </c>
      <c r="M119">
        <v>55.74</v>
      </c>
      <c r="N119">
        <v>61.43</v>
      </c>
      <c r="O119">
        <v>54.61</v>
      </c>
      <c r="P119">
        <v>58.664999999999999</v>
      </c>
      <c r="Q119">
        <v>19.34</v>
      </c>
      <c r="R119">
        <v>1191.75</v>
      </c>
      <c r="S119">
        <v>33.869999999999997</v>
      </c>
      <c r="T119">
        <v>19.795000000000002</v>
      </c>
      <c r="U119">
        <v>15.82</v>
      </c>
      <c r="V119">
        <v>37.5</v>
      </c>
      <c r="W119">
        <v>46.155000000000001</v>
      </c>
      <c r="X119">
        <v>26.55</v>
      </c>
      <c r="Y119">
        <v>47.09</v>
      </c>
      <c r="Z119">
        <v>42.42</v>
      </c>
      <c r="AA119">
        <v>72.98</v>
      </c>
      <c r="AB119">
        <v>54.96</v>
      </c>
      <c r="AC119">
        <v>40.43</v>
      </c>
      <c r="AD119">
        <v>561.25</v>
      </c>
      <c r="AE119">
        <v>628.86</v>
      </c>
      <c r="AF119">
        <v>43.16</v>
      </c>
      <c r="AG119">
        <v>53.37</v>
      </c>
      <c r="AH119">
        <v>45.21</v>
      </c>
      <c r="AI119">
        <v>48.55</v>
      </c>
    </row>
    <row r="120" spans="1:35" x14ac:dyDescent="0.45">
      <c r="A120" s="2">
        <v>45859</v>
      </c>
      <c r="B120">
        <v>29.98</v>
      </c>
      <c r="C120">
        <v>30.3</v>
      </c>
      <c r="D120">
        <v>17.73</v>
      </c>
      <c r="E120">
        <v>26.34</v>
      </c>
      <c r="F120">
        <v>32.9</v>
      </c>
      <c r="G120">
        <v>48.93</v>
      </c>
      <c r="H120">
        <v>24.03</v>
      </c>
      <c r="I120">
        <v>59.36</v>
      </c>
      <c r="J120">
        <v>59.24</v>
      </c>
      <c r="K120">
        <v>73.87</v>
      </c>
      <c r="L120">
        <v>27.08</v>
      </c>
      <c r="M120">
        <v>55.7</v>
      </c>
      <c r="N120">
        <v>61.53</v>
      </c>
      <c r="O120">
        <v>54.75</v>
      </c>
      <c r="P120">
        <v>57.81</v>
      </c>
      <c r="Q120">
        <v>19.12</v>
      </c>
      <c r="R120">
        <v>1208.1300000000001</v>
      </c>
      <c r="S120">
        <v>33.93</v>
      </c>
      <c r="T120">
        <v>19.899999999999999</v>
      </c>
      <c r="U120">
        <v>15.35</v>
      </c>
      <c r="V120">
        <v>37.82</v>
      </c>
      <c r="W120">
        <v>46.367600000000003</v>
      </c>
      <c r="X120">
        <v>26.37</v>
      </c>
      <c r="Y120">
        <v>46.71</v>
      </c>
      <c r="Z120">
        <v>42.42</v>
      </c>
      <c r="AA120">
        <v>72.61</v>
      </c>
      <c r="AB120">
        <v>54.51</v>
      </c>
      <c r="AC120">
        <v>40.01</v>
      </c>
      <c r="AD120">
        <v>564.16999999999996</v>
      </c>
      <c r="AE120">
        <v>628.77</v>
      </c>
      <c r="AF120">
        <v>43.03</v>
      </c>
      <c r="AG120">
        <v>53.41</v>
      </c>
      <c r="AH120">
        <v>45.25</v>
      </c>
      <c r="AI120">
        <v>48.03</v>
      </c>
    </row>
    <row r="121" spans="1:35" x14ac:dyDescent="0.45">
      <c r="A121" s="2">
        <v>45856</v>
      </c>
      <c r="B121">
        <v>29.73</v>
      </c>
      <c r="C121">
        <v>30.16</v>
      </c>
      <c r="D121">
        <v>17.690000000000001</v>
      </c>
      <c r="E121">
        <v>26.11</v>
      </c>
      <c r="F121">
        <v>32.86</v>
      </c>
      <c r="G121">
        <v>48.32</v>
      </c>
      <c r="H121">
        <v>23.93</v>
      </c>
      <c r="I121">
        <v>59.24</v>
      </c>
      <c r="J121">
        <v>59.46</v>
      </c>
      <c r="K121">
        <v>72.39</v>
      </c>
      <c r="L121">
        <v>26.85</v>
      </c>
      <c r="M121">
        <v>54.81</v>
      </c>
      <c r="N121">
        <v>61.2</v>
      </c>
      <c r="O121">
        <v>54.5</v>
      </c>
      <c r="P121">
        <v>57.45</v>
      </c>
      <c r="Q121">
        <v>18.91</v>
      </c>
      <c r="R121">
        <v>1206.58</v>
      </c>
      <c r="S121">
        <v>32.994999999999997</v>
      </c>
      <c r="T121">
        <v>19.98</v>
      </c>
      <c r="U121">
        <v>15.574999999999999</v>
      </c>
      <c r="V121">
        <v>38.130000000000003</v>
      </c>
      <c r="W121">
        <v>45.695</v>
      </c>
      <c r="X121">
        <v>26.45</v>
      </c>
      <c r="Y121">
        <v>46.59</v>
      </c>
      <c r="Z121">
        <v>42.13</v>
      </c>
      <c r="AA121">
        <v>71.81</v>
      </c>
      <c r="AB121">
        <v>54.48</v>
      </c>
      <c r="AC121">
        <v>39.799999999999997</v>
      </c>
      <c r="AD121">
        <v>561.26</v>
      </c>
      <c r="AE121">
        <v>627.58000000000004</v>
      </c>
      <c r="AF121">
        <v>42.92</v>
      </c>
      <c r="AG121">
        <v>53.46</v>
      </c>
      <c r="AH121">
        <v>44.65</v>
      </c>
      <c r="AI121">
        <v>47.79</v>
      </c>
    </row>
    <row r="122" spans="1:35" x14ac:dyDescent="0.45">
      <c r="A122" s="2">
        <v>45855</v>
      </c>
      <c r="B122">
        <v>29.6</v>
      </c>
      <c r="C122">
        <v>30.23</v>
      </c>
      <c r="D122">
        <v>17.760000000000002</v>
      </c>
      <c r="E122">
        <v>26.08</v>
      </c>
      <c r="F122">
        <v>32.340000000000003</v>
      </c>
      <c r="G122">
        <v>48.2014</v>
      </c>
      <c r="H122">
        <v>23.93</v>
      </c>
      <c r="I122">
        <v>59.48</v>
      </c>
      <c r="J122">
        <v>59.79</v>
      </c>
      <c r="K122">
        <v>73.06</v>
      </c>
      <c r="L122">
        <v>27.69</v>
      </c>
      <c r="M122">
        <v>53.57</v>
      </c>
      <c r="N122">
        <v>61.52</v>
      </c>
      <c r="O122">
        <v>55.01</v>
      </c>
      <c r="P122">
        <v>56.92</v>
      </c>
      <c r="Q122">
        <v>18.96</v>
      </c>
      <c r="R122">
        <v>1198.1099999999999</v>
      </c>
      <c r="S122">
        <v>33.15</v>
      </c>
      <c r="T122">
        <v>20.05</v>
      </c>
      <c r="U122">
        <v>15.67</v>
      </c>
      <c r="V122">
        <v>38.17</v>
      </c>
      <c r="W122">
        <v>45.872</v>
      </c>
      <c r="X122">
        <v>26.28</v>
      </c>
      <c r="Y122">
        <v>46.71</v>
      </c>
      <c r="Z122">
        <v>42.35</v>
      </c>
      <c r="AA122">
        <v>72.39</v>
      </c>
      <c r="AB122">
        <v>54.36</v>
      </c>
      <c r="AC122">
        <v>39.83</v>
      </c>
      <c r="AD122">
        <v>561.79999999999995</v>
      </c>
      <c r="AE122">
        <v>628.04</v>
      </c>
      <c r="AF122">
        <v>42.98</v>
      </c>
      <c r="AG122">
        <v>53.51</v>
      </c>
      <c r="AH122">
        <v>44.98</v>
      </c>
      <c r="AI122">
        <v>47.75</v>
      </c>
    </row>
    <row r="123" spans="1:35" x14ac:dyDescent="0.45">
      <c r="A123" s="2">
        <v>45854</v>
      </c>
      <c r="B123">
        <v>29.26</v>
      </c>
      <c r="C123">
        <v>29.77</v>
      </c>
      <c r="D123">
        <v>17.7</v>
      </c>
      <c r="E123">
        <v>26.35</v>
      </c>
      <c r="F123">
        <v>31.97</v>
      </c>
      <c r="G123">
        <v>48.003799999999998</v>
      </c>
      <c r="H123">
        <v>23.71</v>
      </c>
      <c r="I123">
        <v>58.98</v>
      </c>
      <c r="J123">
        <v>59.77</v>
      </c>
      <c r="K123">
        <v>73.08</v>
      </c>
      <c r="L123">
        <v>27.57</v>
      </c>
      <c r="M123">
        <v>53.43</v>
      </c>
      <c r="N123">
        <v>60.8</v>
      </c>
      <c r="O123">
        <v>55.27</v>
      </c>
      <c r="P123">
        <v>56.51</v>
      </c>
      <c r="Q123">
        <v>18.779</v>
      </c>
      <c r="R123">
        <v>1157.6300000000001</v>
      </c>
      <c r="S123">
        <v>32.5</v>
      </c>
      <c r="T123">
        <v>19.86</v>
      </c>
      <c r="U123">
        <v>15.41</v>
      </c>
      <c r="V123">
        <v>38.1</v>
      </c>
      <c r="W123">
        <v>45.56</v>
      </c>
      <c r="X123">
        <v>26.19</v>
      </c>
      <c r="Y123">
        <v>46.47</v>
      </c>
      <c r="Z123">
        <v>42.18</v>
      </c>
      <c r="AA123">
        <v>72.02</v>
      </c>
      <c r="AB123">
        <v>54.55</v>
      </c>
      <c r="AC123">
        <v>39.85</v>
      </c>
      <c r="AD123">
        <v>557.29</v>
      </c>
      <c r="AE123">
        <v>624.22</v>
      </c>
      <c r="AF123">
        <v>42.74</v>
      </c>
      <c r="AG123">
        <v>53.47</v>
      </c>
      <c r="AH123">
        <v>44.63</v>
      </c>
      <c r="AI123">
        <v>47.76</v>
      </c>
    </row>
    <row r="124" spans="1:35" x14ac:dyDescent="0.45">
      <c r="A124" s="2">
        <v>45853</v>
      </c>
      <c r="B124">
        <v>29.29</v>
      </c>
      <c r="C124">
        <v>29.89</v>
      </c>
      <c r="D124">
        <v>17.72</v>
      </c>
      <c r="E124">
        <v>26.96</v>
      </c>
      <c r="F124">
        <v>31.66</v>
      </c>
      <c r="G124">
        <v>48.12</v>
      </c>
      <c r="H124">
        <v>23.8</v>
      </c>
      <c r="I124">
        <v>58.27</v>
      </c>
      <c r="J124">
        <v>59.38</v>
      </c>
      <c r="K124">
        <v>73.069999999999993</v>
      </c>
      <c r="L124">
        <v>27.47</v>
      </c>
      <c r="M124">
        <v>52.86</v>
      </c>
      <c r="N124">
        <v>60.25</v>
      </c>
      <c r="O124">
        <v>54.875</v>
      </c>
      <c r="P124">
        <v>56.68</v>
      </c>
      <c r="Q124">
        <v>18.690000000000001</v>
      </c>
      <c r="R124">
        <v>1161.01</v>
      </c>
      <c r="S124">
        <v>32.840000000000003</v>
      </c>
      <c r="T124">
        <v>19.41</v>
      </c>
      <c r="U124">
        <v>15.04</v>
      </c>
      <c r="V124">
        <v>38.090000000000003</v>
      </c>
      <c r="W124">
        <v>44.89</v>
      </c>
      <c r="X124">
        <v>26.07</v>
      </c>
      <c r="Y124">
        <v>46.04</v>
      </c>
      <c r="Z124">
        <v>41.82</v>
      </c>
      <c r="AA124">
        <v>71.69</v>
      </c>
      <c r="AB124">
        <v>54.18</v>
      </c>
      <c r="AC124">
        <v>39.590000000000003</v>
      </c>
      <c r="AD124">
        <v>556.72</v>
      </c>
      <c r="AE124">
        <v>622.14</v>
      </c>
      <c r="AF124">
        <v>42.56</v>
      </c>
      <c r="AG124">
        <v>54.45</v>
      </c>
      <c r="AH124">
        <v>44.69</v>
      </c>
      <c r="AI124">
        <v>47.32</v>
      </c>
    </row>
    <row r="125" spans="1:35" x14ac:dyDescent="0.45">
      <c r="A125" s="2">
        <v>45852</v>
      </c>
      <c r="B125">
        <v>29.395</v>
      </c>
      <c r="C125">
        <v>30.21</v>
      </c>
      <c r="D125">
        <v>17.63</v>
      </c>
      <c r="E125">
        <v>27.36</v>
      </c>
      <c r="F125">
        <v>32.14</v>
      </c>
      <c r="G125">
        <v>48.69</v>
      </c>
      <c r="H125">
        <v>24.09</v>
      </c>
      <c r="I125">
        <v>57.81</v>
      </c>
      <c r="J125">
        <v>59.61</v>
      </c>
      <c r="K125">
        <v>73.2</v>
      </c>
      <c r="L125">
        <v>27.31</v>
      </c>
      <c r="M125">
        <v>52.99</v>
      </c>
      <c r="N125">
        <v>60.82</v>
      </c>
      <c r="O125">
        <v>54.92</v>
      </c>
      <c r="P125">
        <v>55.55</v>
      </c>
      <c r="Q125">
        <v>18.71</v>
      </c>
      <c r="R125">
        <v>1143.31</v>
      </c>
      <c r="S125">
        <v>32.97</v>
      </c>
      <c r="T125">
        <v>19.37</v>
      </c>
      <c r="U125">
        <v>15.24</v>
      </c>
      <c r="V125">
        <v>38.65</v>
      </c>
      <c r="W125">
        <v>45.49</v>
      </c>
      <c r="X125">
        <v>26.39</v>
      </c>
      <c r="Y125">
        <v>46.44</v>
      </c>
      <c r="Z125">
        <v>42.35</v>
      </c>
      <c r="AA125">
        <v>72.41</v>
      </c>
      <c r="AB125">
        <v>54.71</v>
      </c>
      <c r="AC125">
        <v>40.03</v>
      </c>
      <c r="AD125">
        <v>556.21</v>
      </c>
      <c r="AE125">
        <v>624.80999999999995</v>
      </c>
      <c r="AF125">
        <v>43.12</v>
      </c>
      <c r="AG125">
        <v>54.4</v>
      </c>
      <c r="AH125">
        <v>45.3</v>
      </c>
      <c r="AI125">
        <v>48.16</v>
      </c>
    </row>
    <row r="126" spans="1:35" x14ac:dyDescent="0.45">
      <c r="A126" s="2">
        <v>45849</v>
      </c>
      <c r="B126">
        <v>29.2</v>
      </c>
      <c r="C126">
        <v>30.51</v>
      </c>
      <c r="D126">
        <v>17.87</v>
      </c>
      <c r="E126">
        <v>27.13</v>
      </c>
      <c r="F126">
        <v>31.95</v>
      </c>
      <c r="G126">
        <v>48.83</v>
      </c>
      <c r="H126">
        <v>24.08</v>
      </c>
      <c r="I126">
        <v>58.3</v>
      </c>
      <c r="J126">
        <v>60.13</v>
      </c>
      <c r="K126">
        <v>72.56</v>
      </c>
      <c r="L126">
        <v>27.53</v>
      </c>
      <c r="M126">
        <v>52.98</v>
      </c>
      <c r="N126">
        <v>60.99</v>
      </c>
      <c r="O126">
        <v>54.88</v>
      </c>
      <c r="P126">
        <v>54.95</v>
      </c>
      <c r="Q126">
        <v>18.73</v>
      </c>
      <c r="R126">
        <v>1121.1300000000001</v>
      </c>
      <c r="S126">
        <v>33.17</v>
      </c>
      <c r="T126">
        <v>19.21</v>
      </c>
      <c r="U126">
        <v>15.22</v>
      </c>
      <c r="V126">
        <v>38.89</v>
      </c>
      <c r="W126">
        <v>45.76</v>
      </c>
      <c r="X126">
        <v>26.36</v>
      </c>
      <c r="Y126">
        <v>46.13</v>
      </c>
      <c r="Z126">
        <v>42.45</v>
      </c>
      <c r="AA126">
        <v>72.36</v>
      </c>
      <c r="AB126">
        <v>54.7</v>
      </c>
      <c r="AC126">
        <v>39.92</v>
      </c>
      <c r="AD126">
        <v>554.20000000000005</v>
      </c>
      <c r="AE126">
        <v>623.62</v>
      </c>
      <c r="AF126">
        <v>43.28</v>
      </c>
      <c r="AG126">
        <v>54.41</v>
      </c>
      <c r="AH126">
        <v>45.57</v>
      </c>
      <c r="AI126">
        <v>47.99</v>
      </c>
    </row>
    <row r="127" spans="1:35" x14ac:dyDescent="0.45">
      <c r="A127" s="2">
        <v>45848</v>
      </c>
      <c r="B127">
        <v>29.32</v>
      </c>
      <c r="C127">
        <v>31.1</v>
      </c>
      <c r="D127">
        <v>17.760000000000002</v>
      </c>
      <c r="E127">
        <v>27.19</v>
      </c>
      <c r="F127">
        <v>32.049999999999997</v>
      </c>
      <c r="G127">
        <v>49.12</v>
      </c>
      <c r="H127">
        <v>24.11</v>
      </c>
      <c r="I127">
        <v>58.38</v>
      </c>
      <c r="J127">
        <v>60.29</v>
      </c>
      <c r="K127">
        <v>73.14</v>
      </c>
      <c r="L127">
        <v>27.72</v>
      </c>
      <c r="M127">
        <v>53.95</v>
      </c>
      <c r="N127">
        <v>61.32</v>
      </c>
      <c r="O127">
        <v>55.27</v>
      </c>
      <c r="P127">
        <v>55.01</v>
      </c>
      <c r="Q127">
        <v>18.75</v>
      </c>
      <c r="R127">
        <v>1110.4000000000001</v>
      </c>
      <c r="S127">
        <v>33.25</v>
      </c>
      <c r="T127">
        <v>19.079999999999998</v>
      </c>
      <c r="U127">
        <v>15.12</v>
      </c>
      <c r="V127">
        <v>39</v>
      </c>
      <c r="W127">
        <v>46.01</v>
      </c>
      <c r="X127">
        <v>26.58</v>
      </c>
      <c r="Y127">
        <v>46.41</v>
      </c>
      <c r="Z127">
        <v>42.86</v>
      </c>
      <c r="AA127">
        <v>72.94</v>
      </c>
      <c r="AB127">
        <v>55.45</v>
      </c>
      <c r="AC127">
        <v>40.270000000000003</v>
      </c>
      <c r="AD127">
        <v>555.45000000000005</v>
      </c>
      <c r="AE127">
        <v>625.82000000000005</v>
      </c>
      <c r="AF127">
        <v>43.75</v>
      </c>
      <c r="AG127">
        <v>54.63</v>
      </c>
      <c r="AH127">
        <v>46.39</v>
      </c>
      <c r="AI127">
        <v>48.53</v>
      </c>
    </row>
    <row r="128" spans="1:35" x14ac:dyDescent="0.45">
      <c r="A128" s="2">
        <v>45847</v>
      </c>
      <c r="B128">
        <v>29.07</v>
      </c>
      <c r="C128">
        <v>31.04</v>
      </c>
      <c r="D128">
        <v>17.47</v>
      </c>
      <c r="E128">
        <v>27.15</v>
      </c>
      <c r="F128">
        <v>32.72</v>
      </c>
      <c r="G128">
        <v>48.81</v>
      </c>
      <c r="H128">
        <v>23.98</v>
      </c>
      <c r="I128">
        <v>58.03</v>
      </c>
      <c r="J128">
        <v>60.28</v>
      </c>
      <c r="K128">
        <v>72.08</v>
      </c>
      <c r="L128">
        <v>28.16</v>
      </c>
      <c r="M128">
        <v>54</v>
      </c>
      <c r="N128">
        <v>61.08</v>
      </c>
      <c r="O128">
        <v>55.66</v>
      </c>
      <c r="P128">
        <v>54.58</v>
      </c>
      <c r="Q128">
        <v>18.75</v>
      </c>
      <c r="R128">
        <v>1110.4000000000001</v>
      </c>
      <c r="S128">
        <v>32.79</v>
      </c>
      <c r="T128">
        <v>19.13</v>
      </c>
      <c r="U128">
        <v>14.89</v>
      </c>
      <c r="V128">
        <v>38.89</v>
      </c>
      <c r="W128">
        <v>46.07</v>
      </c>
      <c r="X128">
        <v>26.24</v>
      </c>
      <c r="Y128">
        <v>46.13</v>
      </c>
      <c r="Z128">
        <v>43.26</v>
      </c>
      <c r="AA128">
        <v>73.3</v>
      </c>
      <c r="AB128">
        <v>55.28</v>
      </c>
      <c r="AC128">
        <v>40.01</v>
      </c>
      <c r="AD128">
        <v>556.25</v>
      </c>
      <c r="AE128">
        <v>624.05999999999995</v>
      </c>
      <c r="AF128">
        <v>43.84</v>
      </c>
      <c r="AG128">
        <v>54.58</v>
      </c>
      <c r="AH128">
        <v>46.05</v>
      </c>
      <c r="AI128">
        <v>49.17</v>
      </c>
    </row>
    <row r="129" spans="1:35" x14ac:dyDescent="0.45">
      <c r="A129" s="2">
        <v>45846</v>
      </c>
      <c r="B129">
        <v>29.12</v>
      </c>
      <c r="C129">
        <v>31.41</v>
      </c>
      <c r="D129">
        <v>17.309999999999999</v>
      </c>
      <c r="E129">
        <v>26.78</v>
      </c>
      <c r="F129">
        <v>32.619999999999997</v>
      </c>
      <c r="G129">
        <v>49.3</v>
      </c>
      <c r="H129">
        <v>23.95</v>
      </c>
      <c r="I129">
        <v>57.66</v>
      </c>
      <c r="J129">
        <v>60.89</v>
      </c>
      <c r="K129">
        <v>72.08</v>
      </c>
      <c r="L129">
        <v>28.71</v>
      </c>
      <c r="M129">
        <v>53.81</v>
      </c>
      <c r="N129">
        <v>60.9</v>
      </c>
      <c r="O129">
        <v>55.69</v>
      </c>
      <c r="P129">
        <v>55.13</v>
      </c>
      <c r="Q129">
        <v>18.73</v>
      </c>
      <c r="R129">
        <v>1115.6500000000001</v>
      </c>
      <c r="S129">
        <v>32.119999999999997</v>
      </c>
      <c r="T129">
        <v>18.84</v>
      </c>
      <c r="U129">
        <v>14.51</v>
      </c>
      <c r="V129">
        <v>38.9</v>
      </c>
      <c r="W129">
        <v>45.98</v>
      </c>
      <c r="X129">
        <v>26.14</v>
      </c>
      <c r="Y129">
        <v>46</v>
      </c>
      <c r="Z129">
        <v>42.59</v>
      </c>
      <c r="AA129">
        <v>73.19</v>
      </c>
      <c r="AB129">
        <v>54.82</v>
      </c>
      <c r="AC129">
        <v>39.79</v>
      </c>
      <c r="AD129">
        <v>552.34</v>
      </c>
      <c r="AE129">
        <v>620.34</v>
      </c>
      <c r="AF129">
        <v>43.27</v>
      </c>
      <c r="AG129">
        <v>54.33</v>
      </c>
      <c r="AH129">
        <v>45.55</v>
      </c>
      <c r="AI129">
        <v>48.34</v>
      </c>
    </row>
    <row r="130" spans="1:35" x14ac:dyDescent="0.45">
      <c r="A130" s="2">
        <v>45845</v>
      </c>
      <c r="B130">
        <v>28.86</v>
      </c>
      <c r="C130">
        <v>31.02</v>
      </c>
      <c r="D130">
        <v>17.34</v>
      </c>
      <c r="E130">
        <v>26.72</v>
      </c>
      <c r="F130">
        <v>32.25</v>
      </c>
      <c r="G130">
        <v>49.62</v>
      </c>
      <c r="H130">
        <v>23.93</v>
      </c>
      <c r="I130">
        <v>57.63</v>
      </c>
      <c r="J130">
        <v>61.11</v>
      </c>
      <c r="K130">
        <v>70.069999999999993</v>
      </c>
      <c r="L130">
        <v>28.6</v>
      </c>
      <c r="M130">
        <v>53.84</v>
      </c>
      <c r="N130">
        <v>59.12</v>
      </c>
      <c r="O130">
        <v>55.36</v>
      </c>
      <c r="P130">
        <v>54.62</v>
      </c>
      <c r="Q130">
        <v>18.68</v>
      </c>
      <c r="R130">
        <v>1123</v>
      </c>
      <c r="S130">
        <v>32.44</v>
      </c>
      <c r="T130">
        <v>18.86</v>
      </c>
      <c r="U130">
        <v>14.18</v>
      </c>
      <c r="V130">
        <v>39.08</v>
      </c>
      <c r="W130">
        <v>45.5</v>
      </c>
      <c r="X130">
        <v>25.98</v>
      </c>
      <c r="Y130">
        <v>46.18</v>
      </c>
      <c r="Z130">
        <v>42.23</v>
      </c>
      <c r="AA130">
        <v>72.819999999999993</v>
      </c>
      <c r="AB130">
        <v>54.53</v>
      </c>
      <c r="AC130">
        <v>39.42</v>
      </c>
      <c r="AD130">
        <v>552.03</v>
      </c>
      <c r="AE130">
        <v>620.67999999999995</v>
      </c>
      <c r="AF130">
        <v>42.68</v>
      </c>
      <c r="AG130">
        <v>53.98</v>
      </c>
      <c r="AH130">
        <v>45.52</v>
      </c>
      <c r="AI130">
        <v>47.87</v>
      </c>
    </row>
    <row r="131" spans="1:35" x14ac:dyDescent="0.45">
      <c r="A131" s="2">
        <v>45842</v>
      </c>
      <c r="B131">
        <v>28.91</v>
      </c>
      <c r="C131">
        <v>31.82</v>
      </c>
      <c r="D131">
        <v>17.47</v>
      </c>
      <c r="E131">
        <v>27.08</v>
      </c>
      <c r="F131">
        <v>32.82</v>
      </c>
      <c r="G131">
        <v>50.06</v>
      </c>
      <c r="H131">
        <v>24.41</v>
      </c>
      <c r="I131">
        <v>59.44</v>
      </c>
      <c r="J131">
        <v>61.7</v>
      </c>
      <c r="K131">
        <v>72.7</v>
      </c>
      <c r="L131">
        <v>29.31</v>
      </c>
      <c r="M131">
        <v>54.79</v>
      </c>
      <c r="N131">
        <v>59.72</v>
      </c>
      <c r="O131">
        <v>55.79</v>
      </c>
      <c r="P131">
        <v>54.72</v>
      </c>
      <c r="Q131">
        <v>18.63</v>
      </c>
      <c r="R131">
        <v>1119.94</v>
      </c>
      <c r="S131">
        <v>33.04</v>
      </c>
      <c r="T131">
        <v>18.84</v>
      </c>
      <c r="U131">
        <v>13.96</v>
      </c>
      <c r="V131">
        <v>38.89</v>
      </c>
      <c r="W131">
        <v>45.96</v>
      </c>
      <c r="X131">
        <v>26.48</v>
      </c>
      <c r="Y131">
        <v>46.67</v>
      </c>
      <c r="Z131">
        <v>42.21</v>
      </c>
      <c r="AA131">
        <v>74.599999999999994</v>
      </c>
      <c r="AB131">
        <v>54.9</v>
      </c>
      <c r="AC131">
        <v>39.82</v>
      </c>
      <c r="AD131">
        <v>556.22</v>
      </c>
      <c r="AE131">
        <v>625.34</v>
      </c>
      <c r="AF131">
        <v>43.08</v>
      </c>
      <c r="AG131">
        <v>54.29</v>
      </c>
      <c r="AH131">
        <v>45.62</v>
      </c>
      <c r="AI131">
        <v>48.21</v>
      </c>
    </row>
    <row r="132" spans="1:35" x14ac:dyDescent="0.45">
      <c r="A132" s="2">
        <v>45841</v>
      </c>
      <c r="B132">
        <v>28.91</v>
      </c>
      <c r="C132">
        <v>31.82</v>
      </c>
      <c r="D132">
        <v>17.47</v>
      </c>
      <c r="E132">
        <v>27.08</v>
      </c>
      <c r="F132">
        <v>32.82</v>
      </c>
      <c r="G132">
        <v>50.06</v>
      </c>
      <c r="H132">
        <v>24.41</v>
      </c>
      <c r="I132">
        <v>59.44</v>
      </c>
      <c r="J132">
        <v>61.7</v>
      </c>
      <c r="K132">
        <v>72.7</v>
      </c>
      <c r="L132">
        <v>29.31</v>
      </c>
      <c r="M132">
        <v>54.79</v>
      </c>
      <c r="N132">
        <v>59.72</v>
      </c>
      <c r="O132">
        <v>55.79</v>
      </c>
      <c r="P132">
        <v>54.72</v>
      </c>
      <c r="Q132">
        <v>18.63</v>
      </c>
      <c r="R132">
        <v>1127.21</v>
      </c>
      <c r="S132">
        <v>33.04</v>
      </c>
      <c r="T132">
        <v>18.84</v>
      </c>
      <c r="U132">
        <v>13.96</v>
      </c>
      <c r="V132">
        <v>38.89</v>
      </c>
      <c r="W132">
        <v>45.96</v>
      </c>
      <c r="X132">
        <v>26.48</v>
      </c>
      <c r="Y132">
        <v>46.67</v>
      </c>
      <c r="Z132">
        <v>42.21</v>
      </c>
      <c r="AA132">
        <v>74.599999999999994</v>
      </c>
      <c r="AB132">
        <v>54.9</v>
      </c>
      <c r="AC132">
        <v>39.82</v>
      </c>
      <c r="AD132">
        <v>556.22</v>
      </c>
      <c r="AE132">
        <v>625.34</v>
      </c>
      <c r="AF132">
        <v>43.08</v>
      </c>
      <c r="AG132">
        <v>54.29</v>
      </c>
      <c r="AH132">
        <v>45.62</v>
      </c>
      <c r="AI132">
        <v>48.21</v>
      </c>
    </row>
    <row r="133" spans="1:35" x14ac:dyDescent="0.45">
      <c r="A133" s="2">
        <v>45840</v>
      </c>
      <c r="B133">
        <v>28.7</v>
      </c>
      <c r="C133">
        <v>31.85</v>
      </c>
      <c r="D133">
        <v>17.48</v>
      </c>
      <c r="E133">
        <v>27</v>
      </c>
      <c r="F133">
        <v>32.19</v>
      </c>
      <c r="G133">
        <v>49.75</v>
      </c>
      <c r="H133">
        <v>24.41</v>
      </c>
      <c r="I133">
        <v>58.75</v>
      </c>
      <c r="J133">
        <v>61.59</v>
      </c>
      <c r="K133">
        <v>71.95</v>
      </c>
      <c r="L133">
        <v>28.91</v>
      </c>
      <c r="M133">
        <v>54.31</v>
      </c>
      <c r="N133">
        <v>59.34</v>
      </c>
      <c r="O133">
        <v>55.6</v>
      </c>
      <c r="P133">
        <v>55</v>
      </c>
      <c r="Q133">
        <v>18.559999999999999</v>
      </c>
      <c r="R133">
        <v>1115.69</v>
      </c>
      <c r="S133">
        <v>33.07</v>
      </c>
      <c r="T133">
        <v>18.600000000000001</v>
      </c>
      <c r="U133">
        <v>13.76</v>
      </c>
      <c r="V133">
        <v>38.44</v>
      </c>
      <c r="W133">
        <v>46.265000000000001</v>
      </c>
      <c r="X133">
        <v>26.54</v>
      </c>
      <c r="Y133">
        <v>46.33</v>
      </c>
      <c r="Z133">
        <v>42.17</v>
      </c>
      <c r="AA133">
        <v>74.459999999999994</v>
      </c>
      <c r="AB133">
        <v>55.27</v>
      </c>
      <c r="AC133">
        <v>39.61</v>
      </c>
      <c r="AD133">
        <v>550.79999999999995</v>
      </c>
      <c r="AE133">
        <v>620.45000000000005</v>
      </c>
      <c r="AF133">
        <v>43.27</v>
      </c>
      <c r="AG133">
        <v>54.3</v>
      </c>
      <c r="AH133">
        <v>45.51</v>
      </c>
      <c r="AI133">
        <v>48.29</v>
      </c>
    </row>
    <row r="134" spans="1:35" x14ac:dyDescent="0.45">
      <c r="A134" s="2">
        <v>45839</v>
      </c>
      <c r="B134">
        <v>28.71</v>
      </c>
      <c r="C134">
        <v>31.51</v>
      </c>
      <c r="D134">
        <v>17.489999999999998</v>
      </c>
      <c r="E134">
        <v>27.14</v>
      </c>
      <c r="F134">
        <v>32.06</v>
      </c>
      <c r="G134">
        <v>48.857199999999999</v>
      </c>
      <c r="H134">
        <v>24.38</v>
      </c>
      <c r="I134">
        <v>57.58</v>
      </c>
      <c r="J134">
        <v>61.12</v>
      </c>
      <c r="K134">
        <v>71.64</v>
      </c>
      <c r="L134">
        <v>28.79</v>
      </c>
      <c r="M134">
        <v>54.21</v>
      </c>
      <c r="N134">
        <v>58.63</v>
      </c>
      <c r="O134">
        <v>55.84</v>
      </c>
      <c r="P134">
        <v>55.27</v>
      </c>
      <c r="Q134">
        <v>18.579999999999998</v>
      </c>
      <c r="R134">
        <v>1110.01</v>
      </c>
      <c r="S134">
        <v>32.479999999999997</v>
      </c>
      <c r="T134">
        <v>18.66</v>
      </c>
      <c r="U134">
        <v>13.72</v>
      </c>
      <c r="V134">
        <v>38.25</v>
      </c>
      <c r="W134">
        <v>45.96</v>
      </c>
      <c r="X134">
        <v>26.35</v>
      </c>
      <c r="Y134">
        <v>46.19</v>
      </c>
      <c r="Z134">
        <v>42.01</v>
      </c>
      <c r="AA134">
        <v>74.42</v>
      </c>
      <c r="AB134">
        <v>54.98</v>
      </c>
      <c r="AC134">
        <v>39.85</v>
      </c>
      <c r="AD134">
        <v>546.99</v>
      </c>
      <c r="AE134">
        <v>617.65</v>
      </c>
      <c r="AF134">
        <v>42.87</v>
      </c>
      <c r="AG134">
        <v>54.07</v>
      </c>
      <c r="AH134">
        <v>45.19</v>
      </c>
      <c r="AI134">
        <v>48.05</v>
      </c>
    </row>
    <row r="135" spans="1:35" x14ac:dyDescent="0.45">
      <c r="A135" s="2">
        <v>45838</v>
      </c>
      <c r="B135">
        <v>28.71</v>
      </c>
      <c r="C135">
        <v>31.45</v>
      </c>
      <c r="D135">
        <v>17.63</v>
      </c>
      <c r="E135">
        <v>27.12</v>
      </c>
      <c r="F135">
        <v>32.26</v>
      </c>
      <c r="G135">
        <v>48.59</v>
      </c>
      <c r="H135">
        <v>24.34</v>
      </c>
      <c r="I135">
        <v>57.4</v>
      </c>
      <c r="J135">
        <v>60.56</v>
      </c>
      <c r="K135">
        <v>71.78</v>
      </c>
      <c r="L135">
        <v>28.85</v>
      </c>
      <c r="M135">
        <v>53.75</v>
      </c>
      <c r="N135">
        <v>58.04</v>
      </c>
      <c r="O135">
        <v>55.68</v>
      </c>
      <c r="P135">
        <v>55.1</v>
      </c>
      <c r="Q135">
        <v>18.62</v>
      </c>
      <c r="R135">
        <v>1089.56</v>
      </c>
      <c r="S135">
        <v>32.26</v>
      </c>
      <c r="T135">
        <v>18.72</v>
      </c>
      <c r="U135">
        <v>13.75</v>
      </c>
      <c r="V135">
        <v>38.54</v>
      </c>
      <c r="W135">
        <v>45.61</v>
      </c>
      <c r="X135">
        <v>26.32</v>
      </c>
      <c r="Y135">
        <v>46.2</v>
      </c>
      <c r="Z135">
        <v>42.31</v>
      </c>
      <c r="AA135">
        <v>74.97</v>
      </c>
      <c r="AB135">
        <v>54.81</v>
      </c>
      <c r="AC135">
        <v>39.72</v>
      </c>
      <c r="AD135">
        <v>551.64</v>
      </c>
      <c r="AE135">
        <v>617.85</v>
      </c>
      <c r="AF135">
        <v>42.8</v>
      </c>
      <c r="AG135">
        <v>54.5</v>
      </c>
      <c r="AH135">
        <v>45.74</v>
      </c>
      <c r="AI135">
        <v>48.14</v>
      </c>
    </row>
    <row r="136" spans="1:35" x14ac:dyDescent="0.45">
      <c r="A136" s="2">
        <v>45835</v>
      </c>
      <c r="B136">
        <v>28.46</v>
      </c>
      <c r="C136">
        <v>31.05</v>
      </c>
      <c r="D136">
        <v>17.489999999999998</v>
      </c>
      <c r="E136">
        <v>27.23</v>
      </c>
      <c r="F136">
        <v>31.69</v>
      </c>
      <c r="G136">
        <v>48.49</v>
      </c>
      <c r="H136">
        <v>24.07</v>
      </c>
      <c r="I136">
        <v>57.85</v>
      </c>
      <c r="J136">
        <v>60.32</v>
      </c>
      <c r="K136">
        <v>70.739999999999995</v>
      </c>
      <c r="L136">
        <v>28.14</v>
      </c>
      <c r="M136">
        <v>52.64</v>
      </c>
      <c r="N136">
        <v>58.17</v>
      </c>
      <c r="O136">
        <v>55.86</v>
      </c>
      <c r="P136">
        <v>55.18</v>
      </c>
      <c r="Q136">
        <v>18.57</v>
      </c>
      <c r="R136">
        <v>1082.42</v>
      </c>
      <c r="S136">
        <v>30.49</v>
      </c>
      <c r="T136">
        <v>18.57</v>
      </c>
      <c r="U136">
        <v>13.73</v>
      </c>
      <c r="V136">
        <v>38.26</v>
      </c>
      <c r="W136">
        <v>45.37</v>
      </c>
      <c r="X136">
        <v>26.09</v>
      </c>
      <c r="Y136">
        <v>45.58</v>
      </c>
      <c r="Z136">
        <v>42.3</v>
      </c>
      <c r="AA136">
        <v>75.28</v>
      </c>
      <c r="AB136">
        <v>54.63</v>
      </c>
      <c r="AC136">
        <v>39.72</v>
      </c>
      <c r="AD136">
        <v>548.09</v>
      </c>
      <c r="AE136">
        <v>614.91</v>
      </c>
      <c r="AF136">
        <v>42.61</v>
      </c>
      <c r="AG136">
        <v>54.36</v>
      </c>
      <c r="AH136">
        <v>46.02</v>
      </c>
      <c r="AI136">
        <v>47.86</v>
      </c>
    </row>
    <row r="137" spans="1:35" x14ac:dyDescent="0.45">
      <c r="A137" s="2">
        <v>45834</v>
      </c>
      <c r="B137">
        <v>28.79</v>
      </c>
      <c r="C137">
        <v>31.26</v>
      </c>
      <c r="D137">
        <v>17.510000000000002</v>
      </c>
      <c r="E137">
        <v>26.85</v>
      </c>
      <c r="F137">
        <v>31.65</v>
      </c>
      <c r="G137">
        <v>49.107799999999997</v>
      </c>
      <c r="H137">
        <v>24.07</v>
      </c>
      <c r="I137">
        <v>57.85</v>
      </c>
      <c r="J137">
        <v>60.31</v>
      </c>
      <c r="K137">
        <v>71.94</v>
      </c>
      <c r="L137">
        <v>28.13</v>
      </c>
      <c r="M137">
        <v>52.98</v>
      </c>
      <c r="N137">
        <v>59.31</v>
      </c>
      <c r="O137">
        <v>55.71</v>
      </c>
      <c r="P137">
        <v>55.54</v>
      </c>
      <c r="Q137">
        <v>18.53</v>
      </c>
      <c r="R137">
        <v>1106.73</v>
      </c>
      <c r="S137">
        <v>30.19</v>
      </c>
      <c r="T137">
        <v>18.5</v>
      </c>
      <c r="U137">
        <v>13.61</v>
      </c>
      <c r="V137">
        <v>38.159999999999997</v>
      </c>
      <c r="W137">
        <v>45.32</v>
      </c>
      <c r="X137">
        <v>26.43</v>
      </c>
      <c r="Y137">
        <v>45.92</v>
      </c>
      <c r="Z137">
        <v>41.64</v>
      </c>
      <c r="AA137">
        <v>73.97</v>
      </c>
      <c r="AB137">
        <v>54.26</v>
      </c>
      <c r="AC137">
        <v>39.69</v>
      </c>
      <c r="AD137">
        <v>546.22</v>
      </c>
      <c r="AE137">
        <v>611.87</v>
      </c>
      <c r="AF137">
        <v>42.14</v>
      </c>
      <c r="AG137">
        <v>53.97</v>
      </c>
      <c r="AH137">
        <v>45.33</v>
      </c>
      <c r="AI137">
        <v>47.5</v>
      </c>
    </row>
    <row r="138" spans="1:35" x14ac:dyDescent="0.45">
      <c r="A138" s="2">
        <v>45833</v>
      </c>
      <c r="B138">
        <v>28.805</v>
      </c>
      <c r="C138">
        <v>30.86</v>
      </c>
      <c r="D138">
        <v>17.18</v>
      </c>
      <c r="E138">
        <v>26.81</v>
      </c>
      <c r="F138">
        <v>30.57</v>
      </c>
      <c r="G138">
        <v>47.315899999999999</v>
      </c>
      <c r="H138">
        <v>23.82</v>
      </c>
      <c r="I138">
        <v>57.31</v>
      </c>
      <c r="J138">
        <v>59.68</v>
      </c>
      <c r="K138">
        <v>72.37</v>
      </c>
      <c r="L138">
        <v>27.57</v>
      </c>
      <c r="M138">
        <v>52.89</v>
      </c>
      <c r="N138">
        <v>58.42</v>
      </c>
      <c r="O138">
        <v>55</v>
      </c>
      <c r="P138">
        <v>55.53</v>
      </c>
      <c r="Q138">
        <v>18.36</v>
      </c>
      <c r="R138">
        <v>1107.69</v>
      </c>
      <c r="S138">
        <v>30.68</v>
      </c>
      <c r="T138">
        <v>18.22</v>
      </c>
      <c r="U138">
        <v>13.54</v>
      </c>
      <c r="V138">
        <v>37.82</v>
      </c>
      <c r="W138">
        <v>44.6</v>
      </c>
      <c r="X138">
        <v>26.03</v>
      </c>
      <c r="Y138">
        <v>45.32</v>
      </c>
      <c r="Z138">
        <v>41.15</v>
      </c>
      <c r="AA138">
        <v>72.44</v>
      </c>
      <c r="AB138">
        <v>53.75</v>
      </c>
      <c r="AC138">
        <v>39.28</v>
      </c>
      <c r="AD138">
        <v>541.16</v>
      </c>
      <c r="AE138">
        <v>607.12</v>
      </c>
      <c r="AF138">
        <v>41.89</v>
      </c>
      <c r="AG138">
        <v>53.8</v>
      </c>
      <c r="AH138">
        <v>44.67</v>
      </c>
      <c r="AI138">
        <v>47.17</v>
      </c>
    </row>
    <row r="139" spans="1:35" x14ac:dyDescent="0.45">
      <c r="A139" s="2">
        <v>45832</v>
      </c>
      <c r="B139">
        <v>28.55</v>
      </c>
      <c r="C139">
        <v>30.96</v>
      </c>
      <c r="D139">
        <v>17.38</v>
      </c>
      <c r="E139">
        <v>26.61</v>
      </c>
      <c r="F139">
        <v>30.56</v>
      </c>
      <c r="G139">
        <v>47.313000000000002</v>
      </c>
      <c r="H139">
        <v>23.77</v>
      </c>
      <c r="I139">
        <v>56.82</v>
      </c>
      <c r="J139">
        <v>59.21</v>
      </c>
      <c r="K139">
        <v>72.650000000000006</v>
      </c>
      <c r="L139">
        <v>27.98</v>
      </c>
      <c r="M139">
        <v>53.46</v>
      </c>
      <c r="N139">
        <v>57.86</v>
      </c>
      <c r="O139">
        <v>54.8</v>
      </c>
      <c r="P139">
        <v>55.57</v>
      </c>
      <c r="Q139">
        <v>18.25</v>
      </c>
      <c r="R139">
        <v>1100.01</v>
      </c>
      <c r="S139">
        <v>30.86</v>
      </c>
      <c r="T139">
        <v>18.3</v>
      </c>
      <c r="U139">
        <v>13.62</v>
      </c>
      <c r="V139">
        <v>37.72</v>
      </c>
      <c r="W139">
        <v>44.79</v>
      </c>
      <c r="X139">
        <v>26.05</v>
      </c>
      <c r="Y139">
        <v>45.62</v>
      </c>
      <c r="Z139">
        <v>41.39</v>
      </c>
      <c r="AA139">
        <v>72.739999999999995</v>
      </c>
      <c r="AB139">
        <v>54.32</v>
      </c>
      <c r="AC139">
        <v>39.409999999999997</v>
      </c>
      <c r="AD139">
        <v>539.78</v>
      </c>
      <c r="AE139">
        <v>606.78</v>
      </c>
      <c r="AF139">
        <v>42.04</v>
      </c>
      <c r="AG139">
        <v>54.16</v>
      </c>
      <c r="AH139">
        <v>44.95</v>
      </c>
      <c r="AI139">
        <v>47.2</v>
      </c>
    </row>
    <row r="140" spans="1:35" x14ac:dyDescent="0.45">
      <c r="A140" s="2">
        <v>45831</v>
      </c>
      <c r="B140">
        <v>28.03</v>
      </c>
      <c r="C140">
        <v>30.03</v>
      </c>
      <c r="D140">
        <v>16.89</v>
      </c>
      <c r="E140">
        <v>25.96</v>
      </c>
      <c r="F140">
        <v>29.51</v>
      </c>
      <c r="G140">
        <v>46.97</v>
      </c>
      <c r="H140">
        <v>23.53</v>
      </c>
      <c r="I140">
        <v>55.18</v>
      </c>
      <c r="J140">
        <v>57.94</v>
      </c>
      <c r="K140">
        <v>69.42</v>
      </c>
      <c r="L140">
        <v>27.66</v>
      </c>
      <c r="M140">
        <v>52.35</v>
      </c>
      <c r="N140">
        <v>56.55</v>
      </c>
      <c r="O140">
        <v>54.31</v>
      </c>
      <c r="P140">
        <v>54.13</v>
      </c>
      <c r="Q140">
        <v>17.96</v>
      </c>
      <c r="R140">
        <v>1062.78</v>
      </c>
      <c r="S140">
        <v>30.08</v>
      </c>
      <c r="T140">
        <v>17.66</v>
      </c>
      <c r="U140">
        <v>13.4</v>
      </c>
      <c r="V140">
        <v>37.1</v>
      </c>
      <c r="W140">
        <v>44.86</v>
      </c>
      <c r="X140">
        <v>25.79</v>
      </c>
      <c r="Y140">
        <v>45.33</v>
      </c>
      <c r="Z140">
        <v>40.75</v>
      </c>
      <c r="AA140">
        <v>72.02</v>
      </c>
      <c r="AB140">
        <v>53.46</v>
      </c>
      <c r="AC140">
        <v>39.17</v>
      </c>
      <c r="AD140">
        <v>531.65</v>
      </c>
      <c r="AE140">
        <v>600.15</v>
      </c>
      <c r="AF140">
        <v>41.57</v>
      </c>
      <c r="AG140">
        <v>53.03</v>
      </c>
      <c r="AH140">
        <v>43.96</v>
      </c>
      <c r="AI140">
        <v>46.45</v>
      </c>
    </row>
    <row r="141" spans="1:35" x14ac:dyDescent="0.45">
      <c r="A141" s="2">
        <v>45828</v>
      </c>
      <c r="B141">
        <v>27.925000000000001</v>
      </c>
      <c r="C141">
        <v>30.1</v>
      </c>
      <c r="D141">
        <v>17.18</v>
      </c>
      <c r="E141">
        <v>26.5</v>
      </c>
      <c r="F141">
        <v>29.72</v>
      </c>
      <c r="G141">
        <v>47.08</v>
      </c>
      <c r="H141">
        <v>23.41</v>
      </c>
      <c r="I141">
        <v>54.84</v>
      </c>
      <c r="J141">
        <v>58.11</v>
      </c>
      <c r="K141">
        <v>68.53</v>
      </c>
      <c r="L141">
        <v>27.67</v>
      </c>
      <c r="M141">
        <v>51.73</v>
      </c>
      <c r="N141">
        <v>54.71</v>
      </c>
      <c r="O141">
        <v>53.9</v>
      </c>
      <c r="P141">
        <v>53.5</v>
      </c>
      <c r="Q141">
        <v>17.72</v>
      </c>
      <c r="R141">
        <v>1067.6300000000001</v>
      </c>
      <c r="S141">
        <v>29.96</v>
      </c>
      <c r="T141">
        <v>17.260000000000002</v>
      </c>
      <c r="U141">
        <v>13.345000000000001</v>
      </c>
      <c r="V141">
        <v>36.56</v>
      </c>
      <c r="W141">
        <v>44.6</v>
      </c>
      <c r="X141">
        <v>25.55</v>
      </c>
      <c r="Y141">
        <v>45.1</v>
      </c>
      <c r="Z141">
        <v>40.340000000000003</v>
      </c>
      <c r="AA141">
        <v>71.760000000000005</v>
      </c>
      <c r="AB141">
        <v>52.68</v>
      </c>
      <c r="AC141">
        <v>38.9</v>
      </c>
      <c r="AD141">
        <v>526.83000000000004</v>
      </c>
      <c r="AE141">
        <v>594.28</v>
      </c>
      <c r="AF141">
        <v>41.29</v>
      </c>
      <c r="AG141">
        <v>51.892699999999998</v>
      </c>
      <c r="AH141">
        <v>43.81</v>
      </c>
      <c r="AI141">
        <v>46.36</v>
      </c>
    </row>
    <row r="142" spans="1:35" x14ac:dyDescent="0.45">
      <c r="A142" s="2">
        <v>45827</v>
      </c>
      <c r="B142">
        <v>27.96</v>
      </c>
      <c r="C142">
        <v>30.34</v>
      </c>
      <c r="D142">
        <v>17.87</v>
      </c>
      <c r="E142">
        <v>26.7</v>
      </c>
      <c r="F142">
        <v>29.36</v>
      </c>
      <c r="G142">
        <v>47.413699999999999</v>
      </c>
      <c r="H142">
        <v>23.59</v>
      </c>
      <c r="I142">
        <v>56.03</v>
      </c>
      <c r="J142">
        <v>58.97</v>
      </c>
      <c r="K142">
        <v>67.87</v>
      </c>
      <c r="L142">
        <v>28.08</v>
      </c>
      <c r="M142">
        <v>51.8</v>
      </c>
      <c r="N142">
        <v>54.58</v>
      </c>
      <c r="O142">
        <v>53.79</v>
      </c>
      <c r="P142">
        <v>53.93</v>
      </c>
      <c r="Q142">
        <v>17.82</v>
      </c>
      <c r="R142">
        <v>1068.73</v>
      </c>
      <c r="S142">
        <v>30.11</v>
      </c>
      <c r="T142">
        <v>16.989999999999998</v>
      </c>
      <c r="U142">
        <v>13.36</v>
      </c>
      <c r="V142">
        <v>36.36</v>
      </c>
      <c r="W142">
        <v>45.08</v>
      </c>
      <c r="X142">
        <v>25.86</v>
      </c>
      <c r="Y142">
        <v>45.32</v>
      </c>
      <c r="Z142">
        <v>40.28</v>
      </c>
      <c r="AA142">
        <v>73.05</v>
      </c>
      <c r="AB142">
        <v>53.25</v>
      </c>
      <c r="AC142">
        <v>39.22</v>
      </c>
      <c r="AD142">
        <v>528.99</v>
      </c>
      <c r="AE142">
        <v>597.44000000000005</v>
      </c>
      <c r="AF142">
        <v>41.67</v>
      </c>
      <c r="AG142">
        <v>52.247599999999998</v>
      </c>
      <c r="AH142">
        <v>43.98</v>
      </c>
      <c r="AI142">
        <v>46.46</v>
      </c>
    </row>
    <row r="143" spans="1:35" x14ac:dyDescent="0.45">
      <c r="A143" s="2">
        <v>45826</v>
      </c>
      <c r="B143">
        <v>27.96</v>
      </c>
      <c r="C143">
        <v>30.34</v>
      </c>
      <c r="D143">
        <v>17.87</v>
      </c>
      <c r="E143">
        <v>26.7</v>
      </c>
      <c r="F143">
        <v>29.36</v>
      </c>
      <c r="G143">
        <v>47.413699999999999</v>
      </c>
      <c r="H143">
        <v>23.59</v>
      </c>
      <c r="I143">
        <v>56.03</v>
      </c>
      <c r="J143">
        <v>58.97</v>
      </c>
      <c r="K143">
        <v>67.87</v>
      </c>
      <c r="L143">
        <v>28.08</v>
      </c>
      <c r="M143">
        <v>51.8</v>
      </c>
      <c r="N143">
        <v>54.58</v>
      </c>
      <c r="O143">
        <v>53.79</v>
      </c>
      <c r="P143">
        <v>53.93</v>
      </c>
      <c r="Q143">
        <v>17.82</v>
      </c>
      <c r="R143">
        <v>1094.58</v>
      </c>
      <c r="S143">
        <v>30.11</v>
      </c>
      <c r="T143">
        <v>16.989999999999998</v>
      </c>
      <c r="U143">
        <v>13.36</v>
      </c>
      <c r="V143">
        <v>36.36</v>
      </c>
      <c r="W143">
        <v>45.08</v>
      </c>
      <c r="X143">
        <v>25.86</v>
      </c>
      <c r="Y143">
        <v>45.32</v>
      </c>
      <c r="Z143">
        <v>40.28</v>
      </c>
      <c r="AA143">
        <v>73.05</v>
      </c>
      <c r="AB143">
        <v>53.25</v>
      </c>
      <c r="AC143">
        <v>39.22</v>
      </c>
      <c r="AD143">
        <v>528.99</v>
      </c>
      <c r="AE143">
        <v>597.44000000000005</v>
      </c>
      <c r="AF143">
        <v>41.67</v>
      </c>
      <c r="AG143">
        <v>52.247599999999998</v>
      </c>
      <c r="AH143">
        <v>43.98</v>
      </c>
      <c r="AI143">
        <v>46.46</v>
      </c>
    </row>
    <row r="144" spans="1:35" x14ac:dyDescent="0.45">
      <c r="A144" s="2">
        <v>45825</v>
      </c>
      <c r="B144">
        <v>28</v>
      </c>
      <c r="C144">
        <v>30.45</v>
      </c>
      <c r="D144">
        <v>18.02</v>
      </c>
      <c r="E144">
        <v>26.98</v>
      </c>
      <c r="F144">
        <v>29.39</v>
      </c>
      <c r="G144">
        <v>47.62</v>
      </c>
      <c r="H144">
        <v>23.53</v>
      </c>
      <c r="I144">
        <v>55.65</v>
      </c>
      <c r="J144">
        <v>58.91</v>
      </c>
      <c r="K144">
        <v>66.63</v>
      </c>
      <c r="L144">
        <v>28.11</v>
      </c>
      <c r="M144">
        <v>51.56</v>
      </c>
      <c r="N144">
        <v>54.88</v>
      </c>
      <c r="O144">
        <v>53.83</v>
      </c>
      <c r="P144">
        <v>54.44</v>
      </c>
      <c r="Q144">
        <v>17.895</v>
      </c>
      <c r="R144">
        <v>1113.58</v>
      </c>
      <c r="S144">
        <v>30.21</v>
      </c>
      <c r="T144">
        <v>17.239999999999998</v>
      </c>
      <c r="U144">
        <v>13.31</v>
      </c>
      <c r="V144">
        <v>36.83</v>
      </c>
      <c r="W144">
        <v>45.09</v>
      </c>
      <c r="X144">
        <v>25.77</v>
      </c>
      <c r="Y144">
        <v>45.45</v>
      </c>
      <c r="Z144">
        <v>40.4</v>
      </c>
      <c r="AA144">
        <v>72.28</v>
      </c>
      <c r="AB144">
        <v>53.42</v>
      </c>
      <c r="AC144">
        <v>39.200000000000003</v>
      </c>
      <c r="AD144">
        <v>529.08000000000004</v>
      </c>
      <c r="AE144">
        <v>597.53</v>
      </c>
      <c r="AF144">
        <v>41.74</v>
      </c>
      <c r="AG144">
        <v>52.33</v>
      </c>
      <c r="AH144">
        <v>44.43</v>
      </c>
      <c r="AI144">
        <v>46.26</v>
      </c>
    </row>
    <row r="145" spans="1:35" x14ac:dyDescent="0.45">
      <c r="A145" s="2">
        <v>45824</v>
      </c>
      <c r="B145">
        <v>28.12</v>
      </c>
      <c r="C145">
        <v>31.11</v>
      </c>
      <c r="D145">
        <v>18.010000000000002</v>
      </c>
      <c r="E145">
        <v>27.35</v>
      </c>
      <c r="F145">
        <v>29.38</v>
      </c>
      <c r="G145">
        <v>47.7117</v>
      </c>
      <c r="H145">
        <v>23.93</v>
      </c>
      <c r="I145">
        <v>56.46</v>
      </c>
      <c r="J145">
        <v>59.82</v>
      </c>
      <c r="K145">
        <v>68.19</v>
      </c>
      <c r="L145">
        <v>28.31</v>
      </c>
      <c r="M145">
        <v>53.04</v>
      </c>
      <c r="N145">
        <v>55.79</v>
      </c>
      <c r="O145">
        <v>54.56</v>
      </c>
      <c r="P145">
        <v>55.01</v>
      </c>
      <c r="Q145">
        <v>18.045000000000002</v>
      </c>
      <c r="R145">
        <v>1114.49</v>
      </c>
      <c r="S145">
        <v>30.63</v>
      </c>
      <c r="T145">
        <v>17.559999999999999</v>
      </c>
      <c r="U145">
        <v>13.26</v>
      </c>
      <c r="V145">
        <v>37.479999999999997</v>
      </c>
      <c r="W145">
        <v>45.97</v>
      </c>
      <c r="X145">
        <v>26.09</v>
      </c>
      <c r="Y145">
        <v>45.76</v>
      </c>
      <c r="Z145">
        <v>41.13</v>
      </c>
      <c r="AA145">
        <v>73.150000000000006</v>
      </c>
      <c r="AB145">
        <v>53.77</v>
      </c>
      <c r="AC145">
        <v>39.619999999999997</v>
      </c>
      <c r="AD145">
        <v>534.29</v>
      </c>
      <c r="AE145">
        <v>602.67999999999995</v>
      </c>
      <c r="AF145">
        <v>42.21</v>
      </c>
      <c r="AG145">
        <v>53.08</v>
      </c>
      <c r="AH145">
        <v>44.91</v>
      </c>
      <c r="AI145">
        <v>47.21</v>
      </c>
    </row>
    <row r="146" spans="1:35" x14ac:dyDescent="0.45">
      <c r="A146" s="2">
        <v>45821</v>
      </c>
      <c r="B146">
        <v>28.15</v>
      </c>
      <c r="C146">
        <v>31.83</v>
      </c>
      <c r="D146">
        <v>18.62</v>
      </c>
      <c r="E146">
        <v>27.66</v>
      </c>
      <c r="F146">
        <v>29.86</v>
      </c>
      <c r="G146">
        <v>48.2913</v>
      </c>
      <c r="H146">
        <v>24.26</v>
      </c>
      <c r="I146">
        <v>55.85</v>
      </c>
      <c r="J146">
        <v>61.06</v>
      </c>
      <c r="K146">
        <v>66.42</v>
      </c>
      <c r="L146">
        <v>28.14</v>
      </c>
      <c r="M146">
        <v>53.3</v>
      </c>
      <c r="N146">
        <v>56</v>
      </c>
      <c r="O146">
        <v>54.04</v>
      </c>
      <c r="P146">
        <v>54.77</v>
      </c>
      <c r="Q146">
        <v>18.2</v>
      </c>
      <c r="R146">
        <v>1122.7</v>
      </c>
      <c r="S146">
        <v>30.75</v>
      </c>
      <c r="T146">
        <v>17.88</v>
      </c>
      <c r="U146">
        <v>13.02</v>
      </c>
      <c r="V146">
        <v>37.130000000000003</v>
      </c>
      <c r="W146">
        <v>45.19</v>
      </c>
      <c r="X146">
        <v>26.32</v>
      </c>
      <c r="Y146">
        <v>45.88</v>
      </c>
      <c r="Z146">
        <v>41.51</v>
      </c>
      <c r="AA146">
        <v>73.599999999999994</v>
      </c>
      <c r="AB146">
        <v>55.22</v>
      </c>
      <c r="AC146">
        <v>40.42</v>
      </c>
      <c r="AD146">
        <v>526.96</v>
      </c>
      <c r="AE146">
        <v>597</v>
      </c>
      <c r="AF146">
        <v>42.83</v>
      </c>
      <c r="AG146">
        <v>53.54</v>
      </c>
      <c r="AH146">
        <v>45.49</v>
      </c>
      <c r="AI146">
        <v>47.43</v>
      </c>
    </row>
    <row r="147" spans="1:35" x14ac:dyDescent="0.45">
      <c r="A147" s="2">
        <v>45820</v>
      </c>
      <c r="B147">
        <v>28.42</v>
      </c>
      <c r="C147">
        <v>32.51</v>
      </c>
      <c r="D147">
        <v>18.899999999999999</v>
      </c>
      <c r="E147">
        <v>28.08</v>
      </c>
      <c r="F147">
        <v>30.63</v>
      </c>
      <c r="G147">
        <v>48.584800000000001</v>
      </c>
      <c r="H147">
        <v>24.54</v>
      </c>
      <c r="I147">
        <v>56.74</v>
      </c>
      <c r="J147">
        <v>61.57</v>
      </c>
      <c r="K147">
        <v>67.69</v>
      </c>
      <c r="L147">
        <v>28.15</v>
      </c>
      <c r="M147">
        <v>54.77</v>
      </c>
      <c r="N147">
        <v>56.89</v>
      </c>
      <c r="O147">
        <v>54.8</v>
      </c>
      <c r="P147">
        <v>55.79</v>
      </c>
      <c r="Q147">
        <v>18.899999999999999</v>
      </c>
      <c r="R147">
        <v>1128.6199999999999</v>
      </c>
      <c r="S147">
        <v>31.57</v>
      </c>
      <c r="T147">
        <v>18.395</v>
      </c>
      <c r="U147">
        <v>13.36</v>
      </c>
      <c r="V147">
        <v>38.07</v>
      </c>
      <c r="W147">
        <v>46.07</v>
      </c>
      <c r="X147">
        <v>26.64</v>
      </c>
      <c r="Y147">
        <v>46</v>
      </c>
      <c r="Z147">
        <v>42.22</v>
      </c>
      <c r="AA147">
        <v>74.209999999999994</v>
      </c>
      <c r="AB147">
        <v>56.27</v>
      </c>
      <c r="AC147">
        <v>40.78</v>
      </c>
      <c r="AD147">
        <v>533.66</v>
      </c>
      <c r="AE147">
        <v>603.75</v>
      </c>
      <c r="AF147">
        <v>43.57</v>
      </c>
      <c r="AG147">
        <v>54.73</v>
      </c>
      <c r="AH147">
        <v>46.02</v>
      </c>
      <c r="AI147">
        <v>48.25</v>
      </c>
    </row>
    <row r="148" spans="1:35" x14ac:dyDescent="0.45">
      <c r="A148" s="2">
        <v>45819</v>
      </c>
      <c r="B148">
        <v>28.29</v>
      </c>
      <c r="C148">
        <v>32.54</v>
      </c>
      <c r="D148">
        <v>18.91</v>
      </c>
      <c r="E148">
        <v>27.93</v>
      </c>
      <c r="F148">
        <v>30.62</v>
      </c>
      <c r="G148">
        <v>48.44</v>
      </c>
      <c r="H148">
        <v>24.45</v>
      </c>
      <c r="I148">
        <v>55.83</v>
      </c>
      <c r="J148">
        <v>61.56</v>
      </c>
      <c r="K148">
        <v>66.989999999999995</v>
      </c>
      <c r="L148">
        <v>28.22</v>
      </c>
      <c r="M148">
        <v>54.08</v>
      </c>
      <c r="N148">
        <v>56.52</v>
      </c>
      <c r="O148">
        <v>55.33</v>
      </c>
      <c r="P148">
        <v>55.86</v>
      </c>
      <c r="Q148">
        <v>18.96</v>
      </c>
      <c r="R148">
        <v>1141.58</v>
      </c>
      <c r="S148">
        <v>32.11</v>
      </c>
      <c r="T148">
        <v>18.72</v>
      </c>
      <c r="U148">
        <v>13.32</v>
      </c>
      <c r="V148">
        <v>38.46</v>
      </c>
      <c r="W148">
        <v>45.76</v>
      </c>
      <c r="X148">
        <v>26.6</v>
      </c>
      <c r="Y148">
        <v>45.66</v>
      </c>
      <c r="Z148">
        <v>42.11</v>
      </c>
      <c r="AA148">
        <v>73.67</v>
      </c>
      <c r="AB148">
        <v>55.43</v>
      </c>
      <c r="AC148">
        <v>40.409999999999997</v>
      </c>
      <c r="AD148">
        <v>532.41</v>
      </c>
      <c r="AE148">
        <v>601.36</v>
      </c>
      <c r="AF148">
        <v>43.11</v>
      </c>
      <c r="AG148">
        <v>54.37</v>
      </c>
      <c r="AH148">
        <v>45.9</v>
      </c>
      <c r="AI148">
        <v>47.93</v>
      </c>
    </row>
    <row r="149" spans="1:35" x14ac:dyDescent="0.45">
      <c r="A149" s="2">
        <v>45818</v>
      </c>
      <c r="B149">
        <v>28.1</v>
      </c>
      <c r="C149">
        <v>31.82</v>
      </c>
      <c r="D149">
        <v>18.84</v>
      </c>
      <c r="E149">
        <v>27.82</v>
      </c>
      <c r="F149">
        <v>30.83</v>
      </c>
      <c r="G149">
        <v>48.231099999999998</v>
      </c>
      <c r="H149">
        <v>24.28</v>
      </c>
      <c r="I149">
        <v>55.8</v>
      </c>
      <c r="J149">
        <v>61.36</v>
      </c>
      <c r="K149">
        <v>66.16</v>
      </c>
      <c r="L149">
        <v>27.72</v>
      </c>
      <c r="M149">
        <v>54.66</v>
      </c>
      <c r="N149">
        <v>56.48</v>
      </c>
      <c r="O149">
        <v>55.26</v>
      </c>
      <c r="P149">
        <v>55.69</v>
      </c>
      <c r="Q149">
        <v>18.920000000000002</v>
      </c>
      <c r="R149">
        <v>1139.1600000000001</v>
      </c>
      <c r="S149">
        <v>32.17</v>
      </c>
      <c r="T149">
        <v>18.78</v>
      </c>
      <c r="U149">
        <v>13.4</v>
      </c>
      <c r="V149">
        <v>38.72</v>
      </c>
      <c r="W149">
        <v>45.65</v>
      </c>
      <c r="X149">
        <v>26.71</v>
      </c>
      <c r="Y149">
        <v>45.43</v>
      </c>
      <c r="Z149">
        <v>42.12</v>
      </c>
      <c r="AA149">
        <v>73.88</v>
      </c>
      <c r="AB149">
        <v>55.67</v>
      </c>
      <c r="AC149">
        <v>40.31</v>
      </c>
      <c r="AD149">
        <v>534.21</v>
      </c>
      <c r="AE149">
        <v>603.08000000000004</v>
      </c>
      <c r="AF149">
        <v>43.21</v>
      </c>
      <c r="AG149">
        <v>54.57</v>
      </c>
      <c r="AH149">
        <v>45.94</v>
      </c>
      <c r="AI149">
        <v>47.93</v>
      </c>
    </row>
    <row r="150" spans="1:35" x14ac:dyDescent="0.45">
      <c r="A150" s="2">
        <v>45817</v>
      </c>
      <c r="B150">
        <v>28.3</v>
      </c>
      <c r="C150">
        <v>31.75</v>
      </c>
      <c r="D150">
        <v>18.59</v>
      </c>
      <c r="E150">
        <v>28.12</v>
      </c>
      <c r="F150">
        <v>30</v>
      </c>
      <c r="G150">
        <v>48.53</v>
      </c>
      <c r="H150">
        <v>24.32</v>
      </c>
      <c r="I150">
        <v>54.71</v>
      </c>
      <c r="J150">
        <v>61.09</v>
      </c>
      <c r="K150">
        <v>66.48</v>
      </c>
      <c r="L150">
        <v>27.62</v>
      </c>
      <c r="M150">
        <v>54.44</v>
      </c>
      <c r="N150">
        <v>55.85</v>
      </c>
      <c r="O150">
        <v>55.24</v>
      </c>
      <c r="P150">
        <v>55.52</v>
      </c>
      <c r="Q150">
        <v>18.829999999999998</v>
      </c>
      <c r="R150">
        <v>1135.24</v>
      </c>
      <c r="S150">
        <v>31.66</v>
      </c>
      <c r="T150">
        <v>18.71</v>
      </c>
      <c r="U150">
        <v>13.26</v>
      </c>
      <c r="V150">
        <v>38.57</v>
      </c>
      <c r="W150">
        <v>45.32</v>
      </c>
      <c r="X150">
        <v>26.44</v>
      </c>
      <c r="Y150">
        <v>45.3</v>
      </c>
      <c r="Z150">
        <v>42.31</v>
      </c>
      <c r="AA150">
        <v>73.930000000000007</v>
      </c>
      <c r="AB150">
        <v>55.62</v>
      </c>
      <c r="AC150">
        <v>40.340000000000003</v>
      </c>
      <c r="AD150">
        <v>530.70000000000005</v>
      </c>
      <c r="AE150">
        <v>599.67999999999995</v>
      </c>
      <c r="AF150">
        <v>43.08</v>
      </c>
      <c r="AG150">
        <v>54.02</v>
      </c>
      <c r="AH150">
        <v>45.91</v>
      </c>
      <c r="AI150">
        <v>48.18</v>
      </c>
    </row>
    <row r="151" spans="1:35" x14ac:dyDescent="0.45">
      <c r="A151" s="2">
        <v>45814</v>
      </c>
      <c r="B151">
        <v>28.22</v>
      </c>
      <c r="C151">
        <v>31.84</v>
      </c>
      <c r="D151">
        <v>18.510000000000002</v>
      </c>
      <c r="E151">
        <v>27.95</v>
      </c>
      <c r="F151">
        <v>29.46</v>
      </c>
      <c r="G151">
        <v>48.5916</v>
      </c>
      <c r="H151">
        <v>24.25</v>
      </c>
      <c r="I151">
        <v>54.11</v>
      </c>
      <c r="J151">
        <v>61.24</v>
      </c>
      <c r="K151">
        <v>65.569999999999993</v>
      </c>
      <c r="L151">
        <v>27.72</v>
      </c>
      <c r="M151">
        <v>53.94</v>
      </c>
      <c r="N151">
        <v>55.46</v>
      </c>
      <c r="O151">
        <v>54.91</v>
      </c>
      <c r="P151">
        <v>54.92</v>
      </c>
      <c r="Q151">
        <v>18.829999999999998</v>
      </c>
      <c r="R151">
        <v>1136.43</v>
      </c>
      <c r="S151">
        <v>31.61</v>
      </c>
      <c r="T151">
        <v>18.670000000000002</v>
      </c>
      <c r="U151">
        <v>13.64</v>
      </c>
      <c r="V151">
        <v>38.51</v>
      </c>
      <c r="W151">
        <v>45.31</v>
      </c>
      <c r="X151">
        <v>26.37</v>
      </c>
      <c r="Y151">
        <v>45.39</v>
      </c>
      <c r="Z151">
        <v>42.52</v>
      </c>
      <c r="AA151">
        <v>73.819999999999993</v>
      </c>
      <c r="AB151">
        <v>55.64</v>
      </c>
      <c r="AC151">
        <v>40.35</v>
      </c>
      <c r="AD151">
        <v>529.91999999999996</v>
      </c>
      <c r="AE151">
        <v>599.14</v>
      </c>
      <c r="AF151">
        <v>43.04</v>
      </c>
      <c r="AG151">
        <v>53.63</v>
      </c>
      <c r="AH151">
        <v>46.14</v>
      </c>
      <c r="AI151">
        <v>48.3</v>
      </c>
    </row>
    <row r="152" spans="1:35" x14ac:dyDescent="0.45">
      <c r="A152" s="2">
        <v>45813</v>
      </c>
      <c r="B152">
        <v>28.29</v>
      </c>
      <c r="C152">
        <v>32.17</v>
      </c>
      <c r="D152">
        <v>18.559999999999999</v>
      </c>
      <c r="E152">
        <v>27.96</v>
      </c>
      <c r="F152">
        <v>29.75</v>
      </c>
      <c r="G152">
        <v>48.796100000000003</v>
      </c>
      <c r="H152">
        <v>24.31</v>
      </c>
      <c r="I152">
        <v>53.74</v>
      </c>
      <c r="J152">
        <v>60.72</v>
      </c>
      <c r="K152">
        <v>65.36</v>
      </c>
      <c r="L152">
        <v>27.6</v>
      </c>
      <c r="M152">
        <v>54.03</v>
      </c>
      <c r="N152">
        <v>55.77</v>
      </c>
      <c r="O152">
        <v>54.18</v>
      </c>
      <c r="P152">
        <v>54.99</v>
      </c>
      <c r="Q152">
        <v>18.78</v>
      </c>
      <c r="R152">
        <v>1140.6300000000001</v>
      </c>
      <c r="S152">
        <v>31.44</v>
      </c>
      <c r="T152">
        <v>18.61</v>
      </c>
      <c r="U152">
        <v>13.74</v>
      </c>
      <c r="V152">
        <v>38.479999999999997</v>
      </c>
      <c r="W152">
        <v>45.53</v>
      </c>
      <c r="X152">
        <v>26.36</v>
      </c>
      <c r="Y152">
        <v>45.32</v>
      </c>
      <c r="Z152">
        <v>42.57</v>
      </c>
      <c r="AA152">
        <v>73.39</v>
      </c>
      <c r="AB152">
        <v>55.47</v>
      </c>
      <c r="AC152">
        <v>40.22</v>
      </c>
      <c r="AD152">
        <v>524.79</v>
      </c>
      <c r="AE152">
        <v>593.04999999999995</v>
      </c>
      <c r="AF152">
        <v>43.04</v>
      </c>
      <c r="AG152">
        <v>53.36</v>
      </c>
      <c r="AH152">
        <v>46.17</v>
      </c>
      <c r="AI152">
        <v>47.98</v>
      </c>
    </row>
    <row r="153" spans="1:35" x14ac:dyDescent="0.45">
      <c r="A153" s="2">
        <v>45812</v>
      </c>
      <c r="B153">
        <v>28.18</v>
      </c>
      <c r="C153">
        <v>31.88</v>
      </c>
      <c r="D153">
        <v>18.45</v>
      </c>
      <c r="E153">
        <v>27.66</v>
      </c>
      <c r="F153">
        <v>30.22</v>
      </c>
      <c r="G153">
        <v>48.064999999999998</v>
      </c>
      <c r="H153">
        <v>24.14</v>
      </c>
      <c r="I153">
        <v>53.96</v>
      </c>
      <c r="J153">
        <v>60.25</v>
      </c>
      <c r="K153">
        <v>63.98</v>
      </c>
      <c r="L153">
        <v>27.44</v>
      </c>
      <c r="M153">
        <v>53.46</v>
      </c>
      <c r="N153">
        <v>55.24</v>
      </c>
      <c r="O153">
        <v>53.92</v>
      </c>
      <c r="P153">
        <v>54.79</v>
      </c>
      <c r="Q153">
        <v>18.91</v>
      </c>
      <c r="R153">
        <v>1132.02</v>
      </c>
      <c r="S153">
        <v>31.36</v>
      </c>
      <c r="T153">
        <v>18.59</v>
      </c>
      <c r="U153">
        <v>13.86</v>
      </c>
      <c r="V153">
        <v>38.380000000000003</v>
      </c>
      <c r="W153">
        <v>45.25</v>
      </c>
      <c r="X153">
        <v>26.33</v>
      </c>
      <c r="Y153">
        <v>45.25</v>
      </c>
      <c r="Z153">
        <v>42.46</v>
      </c>
      <c r="AA153">
        <v>74.08</v>
      </c>
      <c r="AB153">
        <v>55.56</v>
      </c>
      <c r="AC153">
        <v>40.19</v>
      </c>
      <c r="AD153">
        <v>528.77</v>
      </c>
      <c r="AE153">
        <v>595.92999999999995</v>
      </c>
      <c r="AF153">
        <v>43.08</v>
      </c>
      <c r="AG153">
        <v>53.23</v>
      </c>
      <c r="AH153">
        <v>45.93</v>
      </c>
      <c r="AI153">
        <v>47.74</v>
      </c>
    </row>
    <row r="154" spans="1:35" x14ac:dyDescent="0.45">
      <c r="A154" s="2">
        <v>45811</v>
      </c>
      <c r="B154">
        <v>27.96</v>
      </c>
      <c r="C154">
        <v>31.58</v>
      </c>
      <c r="D154">
        <v>18.420000000000002</v>
      </c>
      <c r="E154">
        <v>27.78</v>
      </c>
      <c r="F154">
        <v>29.92</v>
      </c>
      <c r="G154">
        <v>47.95</v>
      </c>
      <c r="H154">
        <v>24.09</v>
      </c>
      <c r="I154">
        <v>53.15</v>
      </c>
      <c r="J154">
        <v>60.39</v>
      </c>
      <c r="K154">
        <v>61.89</v>
      </c>
      <c r="L154">
        <v>27.58</v>
      </c>
      <c r="M154">
        <v>53.13</v>
      </c>
      <c r="N154">
        <v>55.29</v>
      </c>
      <c r="O154">
        <v>53.96</v>
      </c>
      <c r="P154">
        <v>53.76</v>
      </c>
      <c r="Q154">
        <v>19.079999999999998</v>
      </c>
      <c r="R154">
        <v>1149.18</v>
      </c>
      <c r="S154">
        <v>30.84</v>
      </c>
      <c r="T154">
        <v>18.59</v>
      </c>
      <c r="U154">
        <v>13.96</v>
      </c>
      <c r="V154">
        <v>38</v>
      </c>
      <c r="W154">
        <v>44.61</v>
      </c>
      <c r="X154">
        <v>26.07</v>
      </c>
      <c r="Y154">
        <v>45.34</v>
      </c>
      <c r="Z154">
        <v>42.12</v>
      </c>
      <c r="AA154">
        <v>74.13</v>
      </c>
      <c r="AB154">
        <v>55.03</v>
      </c>
      <c r="AC154">
        <v>40.06</v>
      </c>
      <c r="AD154">
        <v>527.29999999999995</v>
      </c>
      <c r="AE154">
        <v>596.09</v>
      </c>
      <c r="AF154">
        <v>42.84</v>
      </c>
      <c r="AG154">
        <v>52.95</v>
      </c>
      <c r="AH154">
        <v>45.2</v>
      </c>
      <c r="AI154">
        <v>47.87</v>
      </c>
    </row>
    <row r="155" spans="1:35" x14ac:dyDescent="0.45">
      <c r="A155" s="2">
        <v>45810</v>
      </c>
      <c r="B155">
        <v>27.72</v>
      </c>
      <c r="C155">
        <v>31.53</v>
      </c>
      <c r="D155">
        <v>18.559999999999999</v>
      </c>
      <c r="E155">
        <v>27.6</v>
      </c>
      <c r="F155">
        <v>30.49</v>
      </c>
      <c r="G155">
        <v>47.72</v>
      </c>
      <c r="H155">
        <v>24.15</v>
      </c>
      <c r="I155">
        <v>52.84</v>
      </c>
      <c r="J155">
        <v>60.64</v>
      </c>
      <c r="K155">
        <v>61.74</v>
      </c>
      <c r="L155">
        <v>27.27</v>
      </c>
      <c r="M155">
        <v>53.27</v>
      </c>
      <c r="N155">
        <v>55.7</v>
      </c>
      <c r="O155">
        <v>54.54</v>
      </c>
      <c r="P155">
        <v>53.26</v>
      </c>
      <c r="Q155">
        <v>18.8</v>
      </c>
      <c r="R155">
        <v>1149.18</v>
      </c>
      <c r="S155">
        <v>30.05</v>
      </c>
      <c r="T155">
        <v>18.45</v>
      </c>
      <c r="U155">
        <v>13.81</v>
      </c>
      <c r="V155">
        <v>38.159999999999997</v>
      </c>
      <c r="W155">
        <v>45.04</v>
      </c>
      <c r="X155">
        <v>26.15</v>
      </c>
      <c r="Y155">
        <v>45.39</v>
      </c>
      <c r="Z155">
        <v>42.34</v>
      </c>
      <c r="AA155">
        <v>75.040000000000006</v>
      </c>
      <c r="AB155">
        <v>55.54</v>
      </c>
      <c r="AC155">
        <v>40.29</v>
      </c>
      <c r="AD155">
        <v>523.21</v>
      </c>
      <c r="AE155">
        <v>592.71</v>
      </c>
      <c r="AF155">
        <v>43.14</v>
      </c>
      <c r="AG155">
        <v>53.285800000000002</v>
      </c>
      <c r="AH155">
        <v>45.62</v>
      </c>
      <c r="AI155">
        <v>48.32</v>
      </c>
    </row>
    <row r="156" spans="1:35" x14ac:dyDescent="0.45">
      <c r="A156" s="2">
        <v>45807</v>
      </c>
      <c r="B156">
        <v>27.67</v>
      </c>
      <c r="C156">
        <v>31.5</v>
      </c>
      <c r="D156">
        <v>18.88</v>
      </c>
      <c r="E156">
        <v>27.24</v>
      </c>
      <c r="F156">
        <v>30.37</v>
      </c>
      <c r="G156">
        <v>46.64</v>
      </c>
      <c r="H156">
        <v>23.96</v>
      </c>
      <c r="I156">
        <v>52.38</v>
      </c>
      <c r="J156">
        <v>60.17</v>
      </c>
      <c r="K156">
        <v>60.63</v>
      </c>
      <c r="L156">
        <v>27.21</v>
      </c>
      <c r="M156">
        <v>52.21</v>
      </c>
      <c r="N156">
        <v>55</v>
      </c>
      <c r="O156">
        <v>54.31</v>
      </c>
      <c r="P156">
        <v>52.82</v>
      </c>
      <c r="Q156">
        <v>18.75</v>
      </c>
      <c r="R156">
        <v>1149.18</v>
      </c>
      <c r="S156">
        <v>29.99</v>
      </c>
      <c r="T156">
        <v>18.57</v>
      </c>
      <c r="U156">
        <v>13.59</v>
      </c>
      <c r="V156">
        <v>38.33</v>
      </c>
      <c r="W156">
        <v>44.39</v>
      </c>
      <c r="X156">
        <v>25.81</v>
      </c>
      <c r="Y156">
        <v>44.96</v>
      </c>
      <c r="Z156">
        <v>41.97</v>
      </c>
      <c r="AA156">
        <v>74.12</v>
      </c>
      <c r="AB156">
        <v>55.18</v>
      </c>
      <c r="AC156">
        <v>39.92</v>
      </c>
      <c r="AD156">
        <v>519.11</v>
      </c>
      <c r="AE156">
        <v>589.39</v>
      </c>
      <c r="AF156">
        <v>42.49</v>
      </c>
      <c r="AG156">
        <v>52.85</v>
      </c>
      <c r="AH156">
        <v>45.45</v>
      </c>
      <c r="AI156">
        <v>47.77</v>
      </c>
    </row>
    <row r="157" spans="1:35" x14ac:dyDescent="0.45">
      <c r="A157" s="2">
        <v>45806</v>
      </c>
      <c r="B157">
        <v>28.02</v>
      </c>
      <c r="C157">
        <v>32.08</v>
      </c>
      <c r="D157">
        <v>18.95</v>
      </c>
      <c r="E157">
        <v>27.84</v>
      </c>
      <c r="F157">
        <v>30.72</v>
      </c>
      <c r="G157">
        <v>46.613599999999998</v>
      </c>
      <c r="H157">
        <v>24.3</v>
      </c>
      <c r="I157">
        <v>52.87</v>
      </c>
      <c r="J157">
        <v>61.23</v>
      </c>
      <c r="K157">
        <v>61.8</v>
      </c>
      <c r="L157">
        <v>27.7</v>
      </c>
      <c r="M157">
        <v>53.05</v>
      </c>
      <c r="N157">
        <v>55.71</v>
      </c>
      <c r="O157">
        <v>54.59</v>
      </c>
      <c r="P157">
        <v>53.86</v>
      </c>
      <c r="Q157">
        <v>18.829999999999998</v>
      </c>
      <c r="R157">
        <v>1164.01</v>
      </c>
      <c r="S157">
        <v>30.54</v>
      </c>
      <c r="T157">
        <v>18.59</v>
      </c>
      <c r="U157">
        <v>13.51</v>
      </c>
      <c r="V157">
        <v>38.39</v>
      </c>
      <c r="W157">
        <v>43.97</v>
      </c>
      <c r="X157">
        <v>25.64</v>
      </c>
      <c r="Y157">
        <v>44.78</v>
      </c>
      <c r="Z157">
        <v>41.85</v>
      </c>
      <c r="AA157">
        <v>74.03</v>
      </c>
      <c r="AB157">
        <v>54.9</v>
      </c>
      <c r="AC157">
        <v>39.79</v>
      </c>
      <c r="AD157">
        <v>519.92999999999995</v>
      </c>
      <c r="AE157">
        <v>590.04999999999995</v>
      </c>
      <c r="AF157">
        <v>42.76</v>
      </c>
      <c r="AG157">
        <v>52.94</v>
      </c>
      <c r="AH157">
        <v>45.36</v>
      </c>
      <c r="AI157">
        <v>47.58</v>
      </c>
    </row>
    <row r="158" spans="1:35" x14ac:dyDescent="0.45">
      <c r="A158" s="2">
        <v>45805</v>
      </c>
      <c r="B158">
        <v>27.83</v>
      </c>
      <c r="C158">
        <v>32.17</v>
      </c>
      <c r="D158">
        <v>18.91</v>
      </c>
      <c r="E158">
        <v>27.93</v>
      </c>
      <c r="F158">
        <v>31.25</v>
      </c>
      <c r="G158">
        <v>46.5428</v>
      </c>
      <c r="H158">
        <v>24.47</v>
      </c>
      <c r="I158">
        <v>53.26</v>
      </c>
      <c r="J158">
        <v>60.9</v>
      </c>
      <c r="K158">
        <v>60.75</v>
      </c>
      <c r="L158">
        <v>27.69</v>
      </c>
      <c r="M158">
        <v>52.03</v>
      </c>
      <c r="N158">
        <v>55.85</v>
      </c>
      <c r="O158">
        <v>54.284999999999997</v>
      </c>
      <c r="P158">
        <v>53.33</v>
      </c>
      <c r="Q158">
        <v>18.940000000000001</v>
      </c>
      <c r="R158">
        <v>1160.74</v>
      </c>
      <c r="S158">
        <v>30.56</v>
      </c>
      <c r="T158">
        <v>18.66</v>
      </c>
      <c r="U158">
        <v>13.71</v>
      </c>
      <c r="V158">
        <v>38.6</v>
      </c>
      <c r="W158">
        <v>44.23</v>
      </c>
      <c r="X158">
        <v>25.56</v>
      </c>
      <c r="Y158">
        <v>44.76</v>
      </c>
      <c r="Z158">
        <v>41.77</v>
      </c>
      <c r="AA158">
        <v>73.61</v>
      </c>
      <c r="AB158">
        <v>54.62</v>
      </c>
      <c r="AC158">
        <v>39.67</v>
      </c>
      <c r="AD158">
        <v>518.91</v>
      </c>
      <c r="AE158">
        <v>587.73</v>
      </c>
      <c r="AF158">
        <v>42.47</v>
      </c>
      <c r="AG158">
        <v>52.59</v>
      </c>
      <c r="AH158">
        <v>45.24</v>
      </c>
      <c r="AI158">
        <v>47.55</v>
      </c>
    </row>
    <row r="159" spans="1:35" x14ac:dyDescent="0.45">
      <c r="A159" s="2">
        <v>45804</v>
      </c>
      <c r="B159">
        <v>27.9</v>
      </c>
      <c r="C159">
        <v>32.75</v>
      </c>
      <c r="D159">
        <v>19.04</v>
      </c>
      <c r="E159">
        <v>27.78</v>
      </c>
      <c r="F159">
        <v>30.82</v>
      </c>
      <c r="G159">
        <v>46.83</v>
      </c>
      <c r="H159">
        <v>24.52</v>
      </c>
      <c r="I159">
        <v>53.58</v>
      </c>
      <c r="J159">
        <v>61.13</v>
      </c>
      <c r="K159">
        <v>59.98</v>
      </c>
      <c r="L159">
        <v>27.99</v>
      </c>
      <c r="M159">
        <v>51.91</v>
      </c>
      <c r="N159">
        <v>55.02</v>
      </c>
      <c r="O159">
        <v>54.53</v>
      </c>
      <c r="P159">
        <v>54.04</v>
      </c>
      <c r="Q159">
        <v>18.91</v>
      </c>
      <c r="R159">
        <v>1163.42</v>
      </c>
      <c r="S159">
        <v>30.86</v>
      </c>
      <c r="T159">
        <v>18.62</v>
      </c>
      <c r="U159">
        <v>13.585000000000001</v>
      </c>
      <c r="V159">
        <v>38.21</v>
      </c>
      <c r="W159">
        <v>45.38</v>
      </c>
      <c r="X159">
        <v>25.87</v>
      </c>
      <c r="Y159">
        <v>44.82</v>
      </c>
      <c r="Z159">
        <v>42.31</v>
      </c>
      <c r="AA159">
        <v>74.95</v>
      </c>
      <c r="AB159">
        <v>55.2</v>
      </c>
      <c r="AC159">
        <v>40.07</v>
      </c>
      <c r="AD159">
        <v>521.22</v>
      </c>
      <c r="AE159">
        <v>591.15</v>
      </c>
      <c r="AF159">
        <v>42.92</v>
      </c>
      <c r="AG159">
        <v>53</v>
      </c>
      <c r="AH159">
        <v>45.55</v>
      </c>
      <c r="AI159">
        <v>47.66</v>
      </c>
    </row>
    <row r="160" spans="1:35" x14ac:dyDescent="0.45">
      <c r="A160" s="2">
        <v>45803</v>
      </c>
      <c r="B160">
        <v>28.2</v>
      </c>
      <c r="C160">
        <v>32.85</v>
      </c>
      <c r="D160">
        <v>19.16</v>
      </c>
      <c r="E160">
        <v>27.81</v>
      </c>
      <c r="F160">
        <v>29.85</v>
      </c>
      <c r="G160">
        <v>46.76</v>
      </c>
      <c r="H160">
        <v>24.58</v>
      </c>
      <c r="I160">
        <v>53.52</v>
      </c>
      <c r="J160">
        <v>60.67</v>
      </c>
      <c r="K160">
        <v>58.96</v>
      </c>
      <c r="L160">
        <v>27.65</v>
      </c>
      <c r="M160">
        <v>52.52</v>
      </c>
      <c r="N160">
        <v>53.23</v>
      </c>
      <c r="O160">
        <v>54.58</v>
      </c>
      <c r="P160">
        <v>54.78</v>
      </c>
      <c r="Q160">
        <v>19.149999999999999</v>
      </c>
      <c r="R160">
        <v>1178.43</v>
      </c>
      <c r="S160">
        <v>31.24</v>
      </c>
      <c r="T160">
        <v>18.45</v>
      </c>
      <c r="U160">
        <v>13.14</v>
      </c>
      <c r="V160">
        <v>39.17</v>
      </c>
      <c r="W160">
        <v>45.36</v>
      </c>
      <c r="X160">
        <v>25.65</v>
      </c>
      <c r="Y160">
        <v>44.44</v>
      </c>
      <c r="Z160">
        <v>41.26</v>
      </c>
      <c r="AA160">
        <v>73.03</v>
      </c>
      <c r="AB160">
        <v>55.03</v>
      </c>
      <c r="AC160">
        <v>39.880000000000003</v>
      </c>
      <c r="AD160">
        <v>509.24</v>
      </c>
      <c r="AE160">
        <v>579.11</v>
      </c>
      <c r="AF160">
        <v>42.4</v>
      </c>
      <c r="AG160">
        <v>52.26</v>
      </c>
      <c r="AH160">
        <v>45.32</v>
      </c>
      <c r="AI160">
        <v>46.96</v>
      </c>
    </row>
    <row r="161" spans="1:35" x14ac:dyDescent="0.45">
      <c r="A161" s="2">
        <v>45800</v>
      </c>
      <c r="B161">
        <v>28.2</v>
      </c>
      <c r="C161">
        <v>32.85</v>
      </c>
      <c r="D161">
        <v>19.16</v>
      </c>
      <c r="E161">
        <v>27.81</v>
      </c>
      <c r="F161">
        <v>29.85</v>
      </c>
      <c r="G161">
        <v>46.76</v>
      </c>
      <c r="H161">
        <v>24.58</v>
      </c>
      <c r="I161">
        <v>53.52</v>
      </c>
      <c r="J161">
        <v>60.67</v>
      </c>
      <c r="K161">
        <v>58.96</v>
      </c>
      <c r="L161">
        <v>27.65</v>
      </c>
      <c r="M161">
        <v>52.52</v>
      </c>
      <c r="N161">
        <v>53.23</v>
      </c>
      <c r="O161">
        <v>54.58</v>
      </c>
      <c r="P161">
        <v>54.78</v>
      </c>
      <c r="Q161">
        <v>19.149999999999999</v>
      </c>
      <c r="R161">
        <v>1176.3599999999999</v>
      </c>
      <c r="S161">
        <v>31.24</v>
      </c>
      <c r="T161">
        <v>18.45</v>
      </c>
      <c r="U161">
        <v>13.14</v>
      </c>
      <c r="V161">
        <v>39.17</v>
      </c>
      <c r="W161">
        <v>45.36</v>
      </c>
      <c r="X161">
        <v>25.65</v>
      </c>
      <c r="Y161">
        <v>44.44</v>
      </c>
      <c r="Z161">
        <v>41.26</v>
      </c>
      <c r="AA161">
        <v>73.03</v>
      </c>
      <c r="AB161">
        <v>55.03</v>
      </c>
      <c r="AC161">
        <v>39.880000000000003</v>
      </c>
      <c r="AD161">
        <v>509.24</v>
      </c>
      <c r="AE161">
        <v>579.11</v>
      </c>
      <c r="AF161">
        <v>42.4</v>
      </c>
      <c r="AG161">
        <v>52.26</v>
      </c>
      <c r="AH161">
        <v>45.32</v>
      </c>
      <c r="AI161">
        <v>46.96</v>
      </c>
    </row>
    <row r="162" spans="1:35" x14ac:dyDescent="0.45">
      <c r="A162" s="2">
        <v>45799</v>
      </c>
      <c r="B162">
        <v>28.3</v>
      </c>
      <c r="C162">
        <v>32.634999999999998</v>
      </c>
      <c r="D162">
        <v>18.91</v>
      </c>
      <c r="E162">
        <v>27.27</v>
      </c>
      <c r="F162">
        <v>29.99</v>
      </c>
      <c r="G162">
        <v>45.76</v>
      </c>
      <c r="H162">
        <v>24.24</v>
      </c>
      <c r="I162">
        <v>53.7</v>
      </c>
      <c r="J162">
        <v>59.83</v>
      </c>
      <c r="K162">
        <v>58.29</v>
      </c>
      <c r="L162">
        <v>27.52</v>
      </c>
      <c r="M162">
        <v>51.43</v>
      </c>
      <c r="N162">
        <v>53.88</v>
      </c>
      <c r="O162">
        <v>53.79</v>
      </c>
      <c r="P162">
        <v>54.75</v>
      </c>
      <c r="Q162">
        <v>19.11</v>
      </c>
      <c r="R162">
        <v>1173.3699999999999</v>
      </c>
      <c r="S162">
        <v>31.7</v>
      </c>
      <c r="T162">
        <v>18.53</v>
      </c>
      <c r="U162">
        <v>13.17</v>
      </c>
      <c r="V162">
        <v>39.28</v>
      </c>
      <c r="W162">
        <v>45.08</v>
      </c>
      <c r="X162">
        <v>25.41</v>
      </c>
      <c r="Y162">
        <v>44</v>
      </c>
      <c r="Z162">
        <v>41.64</v>
      </c>
      <c r="AA162">
        <v>72.37</v>
      </c>
      <c r="AB162">
        <v>54.77</v>
      </c>
      <c r="AC162">
        <v>39.53</v>
      </c>
      <c r="AD162">
        <v>514</v>
      </c>
      <c r="AE162">
        <v>583.09</v>
      </c>
      <c r="AF162">
        <v>42.65</v>
      </c>
      <c r="AG162">
        <v>52.54</v>
      </c>
      <c r="AH162">
        <v>45.09</v>
      </c>
      <c r="AI162">
        <v>47.54</v>
      </c>
    </row>
    <row r="163" spans="1:35" x14ac:dyDescent="0.45">
      <c r="A163" s="2">
        <v>45798</v>
      </c>
      <c r="B163">
        <v>28.4</v>
      </c>
      <c r="C163">
        <v>32.69</v>
      </c>
      <c r="D163">
        <v>18.79</v>
      </c>
      <c r="E163">
        <v>27.46</v>
      </c>
      <c r="F163">
        <v>30.09</v>
      </c>
      <c r="G163">
        <v>45.66</v>
      </c>
      <c r="H163">
        <v>24.49</v>
      </c>
      <c r="I163">
        <v>53.72</v>
      </c>
      <c r="J163">
        <v>60.32</v>
      </c>
      <c r="K163">
        <v>59.1</v>
      </c>
      <c r="L163">
        <v>27.67</v>
      </c>
      <c r="M163">
        <v>51.45</v>
      </c>
      <c r="N163">
        <v>54.14</v>
      </c>
      <c r="O163">
        <v>54.03</v>
      </c>
      <c r="P163">
        <v>54.99</v>
      </c>
      <c r="Q163">
        <v>19.18</v>
      </c>
      <c r="R163">
        <v>1179.81</v>
      </c>
      <c r="S163">
        <v>31.42</v>
      </c>
      <c r="T163">
        <v>18.57</v>
      </c>
      <c r="U163">
        <v>13.21</v>
      </c>
      <c r="V163">
        <v>39.299999999999997</v>
      </c>
      <c r="W163">
        <v>45.22</v>
      </c>
      <c r="X163">
        <v>25.41</v>
      </c>
      <c r="Y163">
        <v>43.94</v>
      </c>
      <c r="Z163">
        <v>41.68</v>
      </c>
      <c r="AA163">
        <v>72.31</v>
      </c>
      <c r="AB163">
        <v>55.04</v>
      </c>
      <c r="AC163">
        <v>39.43</v>
      </c>
      <c r="AD163">
        <v>513.04</v>
      </c>
      <c r="AE163">
        <v>582.86</v>
      </c>
      <c r="AF163">
        <v>42.71</v>
      </c>
      <c r="AG163">
        <v>52.48</v>
      </c>
      <c r="AH163">
        <v>45.94</v>
      </c>
      <c r="AI163">
        <v>47.65</v>
      </c>
    </row>
    <row r="164" spans="1:35" x14ac:dyDescent="0.45">
      <c r="A164" s="2">
        <v>45797</v>
      </c>
      <c r="B164">
        <v>28.28</v>
      </c>
      <c r="C164">
        <v>32.75</v>
      </c>
      <c r="D164">
        <v>18.53</v>
      </c>
      <c r="E164">
        <v>27.36</v>
      </c>
      <c r="F164">
        <v>30.77</v>
      </c>
      <c r="G164">
        <v>45.57</v>
      </c>
      <c r="H164">
        <v>24.5</v>
      </c>
      <c r="I164">
        <v>53.48</v>
      </c>
      <c r="J164">
        <v>60.53</v>
      </c>
      <c r="K164">
        <v>58.4</v>
      </c>
      <c r="L164">
        <v>28.16</v>
      </c>
      <c r="M164">
        <v>51.61</v>
      </c>
      <c r="N164">
        <v>53.89</v>
      </c>
      <c r="O164">
        <v>54.07</v>
      </c>
      <c r="P164">
        <v>55.2</v>
      </c>
      <c r="Q164">
        <v>19.059999999999999</v>
      </c>
      <c r="R164">
        <v>1189.1400000000001</v>
      </c>
      <c r="S164">
        <v>31.86</v>
      </c>
      <c r="T164">
        <v>18.71</v>
      </c>
      <c r="U164">
        <v>13.09</v>
      </c>
      <c r="V164">
        <v>39.89</v>
      </c>
      <c r="W164">
        <v>45.2</v>
      </c>
      <c r="X164">
        <v>25.63</v>
      </c>
      <c r="Y164">
        <v>44.19</v>
      </c>
      <c r="Z164">
        <v>41.77</v>
      </c>
      <c r="AA164">
        <v>72.989999999999995</v>
      </c>
      <c r="AB164">
        <v>55.17</v>
      </c>
      <c r="AC164">
        <v>39.61</v>
      </c>
      <c r="AD164">
        <v>520.27</v>
      </c>
      <c r="AE164">
        <v>592.85</v>
      </c>
      <c r="AF164">
        <v>43.1</v>
      </c>
      <c r="AG164">
        <v>52.8</v>
      </c>
      <c r="AH164">
        <v>46.35</v>
      </c>
      <c r="AI164">
        <v>47.84</v>
      </c>
    </row>
    <row r="165" spans="1:35" x14ac:dyDescent="0.45">
      <c r="A165" s="2">
        <v>45796</v>
      </c>
      <c r="B165">
        <v>28.14</v>
      </c>
      <c r="C165">
        <v>32.96</v>
      </c>
      <c r="D165">
        <v>18.739999999999998</v>
      </c>
      <c r="E165">
        <v>27.9</v>
      </c>
      <c r="F165">
        <v>30.53</v>
      </c>
      <c r="G165">
        <v>45.16</v>
      </c>
      <c r="H165">
        <v>24.69</v>
      </c>
      <c r="I165">
        <v>53.82</v>
      </c>
      <c r="J165">
        <v>60.57</v>
      </c>
      <c r="K165">
        <v>58.82</v>
      </c>
      <c r="L165">
        <v>28.18</v>
      </c>
      <c r="M165">
        <v>51.08</v>
      </c>
      <c r="N165">
        <v>52.9</v>
      </c>
      <c r="O165">
        <v>54.78</v>
      </c>
      <c r="P165">
        <v>54.7</v>
      </c>
      <c r="Q165">
        <v>19.05</v>
      </c>
      <c r="R165">
        <v>1187.06</v>
      </c>
      <c r="S165">
        <v>32.49</v>
      </c>
      <c r="T165">
        <v>18.649999999999999</v>
      </c>
      <c r="U165">
        <v>12.865</v>
      </c>
      <c r="V165">
        <v>39.909999999999997</v>
      </c>
      <c r="W165">
        <v>45.15</v>
      </c>
      <c r="X165">
        <v>25.63</v>
      </c>
      <c r="Y165">
        <v>44.05</v>
      </c>
      <c r="Z165">
        <v>41.56</v>
      </c>
      <c r="AA165">
        <v>72.569999999999993</v>
      </c>
      <c r="AB165">
        <v>55.02</v>
      </c>
      <c r="AC165">
        <v>39.33</v>
      </c>
      <c r="AD165">
        <v>522.01</v>
      </c>
      <c r="AE165">
        <v>594.85</v>
      </c>
      <c r="AF165">
        <v>42.73</v>
      </c>
      <c r="AG165">
        <v>52.645000000000003</v>
      </c>
      <c r="AH165">
        <v>46.19</v>
      </c>
      <c r="AI165">
        <v>47.3</v>
      </c>
    </row>
    <row r="166" spans="1:35" x14ac:dyDescent="0.45">
      <c r="A166" s="2">
        <v>45793</v>
      </c>
      <c r="B166">
        <v>28.24</v>
      </c>
      <c r="C166">
        <v>32.61</v>
      </c>
      <c r="D166">
        <v>18.39</v>
      </c>
      <c r="E166">
        <v>27.69</v>
      </c>
      <c r="F166">
        <v>30.32</v>
      </c>
      <c r="G166">
        <v>44.57</v>
      </c>
      <c r="H166">
        <v>24.87</v>
      </c>
      <c r="I166">
        <v>54.01</v>
      </c>
      <c r="J166">
        <v>59.51</v>
      </c>
      <c r="K166">
        <v>58.79</v>
      </c>
      <c r="L166">
        <v>28</v>
      </c>
      <c r="M166">
        <v>51.24</v>
      </c>
      <c r="N166">
        <v>52.5</v>
      </c>
      <c r="O166">
        <v>54.66</v>
      </c>
      <c r="P166">
        <v>54.42</v>
      </c>
      <c r="Q166">
        <v>18.88</v>
      </c>
      <c r="R166">
        <v>1195.77</v>
      </c>
      <c r="S166">
        <v>32.43</v>
      </c>
      <c r="T166">
        <v>18.48</v>
      </c>
      <c r="U166">
        <v>12.75</v>
      </c>
      <c r="V166">
        <v>40.19</v>
      </c>
      <c r="W166">
        <v>45.41</v>
      </c>
      <c r="X166">
        <v>25.47</v>
      </c>
      <c r="Y166">
        <v>43.89</v>
      </c>
      <c r="Z166">
        <v>40.85</v>
      </c>
      <c r="AA166">
        <v>72.489999999999995</v>
      </c>
      <c r="AB166">
        <v>54.41</v>
      </c>
      <c r="AC166">
        <v>38.9</v>
      </c>
      <c r="AD166">
        <v>521.51</v>
      </c>
      <c r="AE166">
        <v>594.20000000000005</v>
      </c>
      <c r="AF166">
        <v>42.25</v>
      </c>
      <c r="AG166">
        <v>52.19</v>
      </c>
      <c r="AH166">
        <v>45.61</v>
      </c>
      <c r="AI166">
        <v>46.85</v>
      </c>
    </row>
    <row r="167" spans="1:35" x14ac:dyDescent="0.45">
      <c r="A167" s="2">
        <v>45792</v>
      </c>
      <c r="B167">
        <v>28.25</v>
      </c>
      <c r="C167">
        <v>33.07</v>
      </c>
      <c r="D167">
        <v>18.27</v>
      </c>
      <c r="E167">
        <v>27.62</v>
      </c>
      <c r="F167">
        <v>30.49</v>
      </c>
      <c r="G167">
        <v>45.06</v>
      </c>
      <c r="H167">
        <v>25.08</v>
      </c>
      <c r="I167">
        <v>53.99</v>
      </c>
      <c r="J167">
        <v>59.26</v>
      </c>
      <c r="K167">
        <v>58.8</v>
      </c>
      <c r="L167">
        <v>28.01</v>
      </c>
      <c r="M167">
        <v>51.09</v>
      </c>
      <c r="N167">
        <v>52.15</v>
      </c>
      <c r="O167">
        <v>54.77</v>
      </c>
      <c r="P167">
        <v>54.57</v>
      </c>
      <c r="Q167">
        <v>18.84</v>
      </c>
      <c r="R167">
        <v>1194.49</v>
      </c>
      <c r="S167">
        <v>31.91</v>
      </c>
      <c r="T167">
        <v>18.3</v>
      </c>
      <c r="U167">
        <v>12.81</v>
      </c>
      <c r="V167">
        <v>40.130000000000003</v>
      </c>
      <c r="W167">
        <v>45.6</v>
      </c>
      <c r="X167">
        <v>25.55</v>
      </c>
      <c r="Y167">
        <v>43.83</v>
      </c>
      <c r="Z167">
        <v>40.86</v>
      </c>
      <c r="AA167">
        <v>72.3</v>
      </c>
      <c r="AB167">
        <v>54.02</v>
      </c>
      <c r="AC167">
        <v>38.799999999999997</v>
      </c>
      <c r="AD167">
        <v>519.25</v>
      </c>
      <c r="AE167">
        <v>590.46</v>
      </c>
      <c r="AF167">
        <v>42.09</v>
      </c>
      <c r="AG167">
        <v>52.25</v>
      </c>
      <c r="AH167">
        <v>45.62</v>
      </c>
      <c r="AI167">
        <v>46.53</v>
      </c>
    </row>
    <row r="168" spans="1:35" x14ac:dyDescent="0.45">
      <c r="A168" s="2">
        <v>45791</v>
      </c>
      <c r="B168">
        <v>28.58</v>
      </c>
      <c r="C168">
        <v>33.24</v>
      </c>
      <c r="D168">
        <v>17.97</v>
      </c>
      <c r="E168">
        <v>28.01</v>
      </c>
      <c r="F168">
        <v>30.68</v>
      </c>
      <c r="G168">
        <v>44.95</v>
      </c>
      <c r="H168">
        <v>25.07</v>
      </c>
      <c r="I168">
        <v>53.77</v>
      </c>
      <c r="J168">
        <v>59.36</v>
      </c>
      <c r="K168">
        <v>58.61</v>
      </c>
      <c r="L168">
        <v>28.2</v>
      </c>
      <c r="M168">
        <v>50.22</v>
      </c>
      <c r="N168">
        <v>52.22</v>
      </c>
      <c r="O168">
        <v>53.97</v>
      </c>
      <c r="P168">
        <v>55.6</v>
      </c>
      <c r="Q168">
        <v>18.829999999999998</v>
      </c>
      <c r="R168">
        <v>1216.71</v>
      </c>
      <c r="S168">
        <v>32.479999999999997</v>
      </c>
      <c r="T168">
        <v>18.16</v>
      </c>
      <c r="U168">
        <v>12.82</v>
      </c>
      <c r="V168">
        <v>40.21</v>
      </c>
      <c r="W168">
        <v>45.33</v>
      </c>
      <c r="X168">
        <v>25.16</v>
      </c>
      <c r="Y168">
        <v>43.44</v>
      </c>
      <c r="Z168">
        <v>40.340000000000003</v>
      </c>
      <c r="AA168">
        <v>71.45</v>
      </c>
      <c r="AB168">
        <v>52.94</v>
      </c>
      <c r="AC168">
        <v>38.25</v>
      </c>
      <c r="AD168">
        <v>518.67999999999995</v>
      </c>
      <c r="AE168">
        <v>587.59</v>
      </c>
      <c r="AF168">
        <v>41.88</v>
      </c>
      <c r="AG168">
        <v>52.2</v>
      </c>
      <c r="AH168">
        <v>45.11</v>
      </c>
      <c r="AI168">
        <v>46.26</v>
      </c>
    </row>
    <row r="169" spans="1:35" x14ac:dyDescent="0.45">
      <c r="A169" s="2">
        <v>45790</v>
      </c>
      <c r="B169">
        <v>28.34</v>
      </c>
      <c r="C169">
        <v>32.56</v>
      </c>
      <c r="D169">
        <v>17.54</v>
      </c>
      <c r="E169">
        <v>28.06</v>
      </c>
      <c r="F169">
        <v>30.8</v>
      </c>
      <c r="G169">
        <v>45.11</v>
      </c>
      <c r="H169">
        <v>24.87</v>
      </c>
      <c r="I169">
        <v>53.28</v>
      </c>
      <c r="J169">
        <v>59.08</v>
      </c>
      <c r="K169">
        <v>58.12</v>
      </c>
      <c r="L169">
        <v>28.33</v>
      </c>
      <c r="M169">
        <v>50.41</v>
      </c>
      <c r="N169">
        <v>52.07</v>
      </c>
      <c r="O169">
        <v>54.01</v>
      </c>
      <c r="P169">
        <v>54.7</v>
      </c>
      <c r="Q169">
        <v>18.755299999999998</v>
      </c>
      <c r="R169">
        <v>1214.3900000000001</v>
      </c>
      <c r="S169">
        <v>32.46</v>
      </c>
      <c r="T169">
        <v>18.36</v>
      </c>
      <c r="U169">
        <v>12.74</v>
      </c>
      <c r="V169">
        <v>40.299999999999997</v>
      </c>
      <c r="W169">
        <v>45.62</v>
      </c>
      <c r="X169">
        <v>25.42</v>
      </c>
      <c r="Y169">
        <v>43.4</v>
      </c>
      <c r="Z169">
        <v>40.590000000000003</v>
      </c>
      <c r="AA169">
        <v>72.25</v>
      </c>
      <c r="AB169">
        <v>53.19</v>
      </c>
      <c r="AC169">
        <v>38.42</v>
      </c>
      <c r="AD169">
        <v>515.59</v>
      </c>
      <c r="AE169">
        <v>586.84</v>
      </c>
      <c r="AF169">
        <v>42.1</v>
      </c>
      <c r="AG169">
        <v>52.04</v>
      </c>
      <c r="AH169">
        <v>45.23</v>
      </c>
      <c r="AI169">
        <v>46</v>
      </c>
    </row>
    <row r="170" spans="1:35" x14ac:dyDescent="0.45">
      <c r="A170" s="2">
        <v>45789</v>
      </c>
      <c r="B170">
        <v>28.45</v>
      </c>
      <c r="C170">
        <v>32.35</v>
      </c>
      <c r="D170">
        <v>17.399999999999999</v>
      </c>
      <c r="E170">
        <v>27.75</v>
      </c>
      <c r="F170">
        <v>30.5</v>
      </c>
      <c r="G170">
        <v>44.74</v>
      </c>
      <c r="H170">
        <v>24.5</v>
      </c>
      <c r="I170">
        <v>52.95</v>
      </c>
      <c r="J170">
        <v>57.84</v>
      </c>
      <c r="K170">
        <v>58.04</v>
      </c>
      <c r="L170">
        <v>27.49</v>
      </c>
      <c r="M170">
        <v>50.19</v>
      </c>
      <c r="N170">
        <v>51.6</v>
      </c>
      <c r="O170">
        <v>54.32</v>
      </c>
      <c r="P170">
        <v>55.06</v>
      </c>
      <c r="Q170">
        <v>18.7</v>
      </c>
      <c r="R170">
        <v>1210.94</v>
      </c>
      <c r="S170">
        <v>32.619999999999997</v>
      </c>
      <c r="T170">
        <v>18.13</v>
      </c>
      <c r="U170">
        <v>12.69</v>
      </c>
      <c r="V170">
        <v>40.04</v>
      </c>
      <c r="W170">
        <v>44.75</v>
      </c>
      <c r="X170">
        <v>25.18</v>
      </c>
      <c r="Y170">
        <v>43.08</v>
      </c>
      <c r="Z170">
        <v>40.380000000000003</v>
      </c>
      <c r="AA170">
        <v>72.8</v>
      </c>
      <c r="AB170">
        <v>53.53</v>
      </c>
      <c r="AC170">
        <v>38.24</v>
      </c>
      <c r="AD170">
        <v>507.85</v>
      </c>
      <c r="AE170">
        <v>582.99</v>
      </c>
      <c r="AF170">
        <v>41.81</v>
      </c>
      <c r="AG170">
        <v>51.6</v>
      </c>
      <c r="AH170">
        <v>45.09</v>
      </c>
      <c r="AI170">
        <v>45.66</v>
      </c>
    </row>
    <row r="171" spans="1:35" x14ac:dyDescent="0.45">
      <c r="A171" s="2">
        <v>45786</v>
      </c>
      <c r="B171">
        <v>27.78</v>
      </c>
      <c r="C171">
        <v>32.200000000000003</v>
      </c>
      <c r="D171">
        <v>17.41</v>
      </c>
      <c r="E171">
        <v>27.62</v>
      </c>
      <c r="F171">
        <v>30.88</v>
      </c>
      <c r="G171">
        <v>45.330300000000001</v>
      </c>
      <c r="H171">
        <v>24.45</v>
      </c>
      <c r="I171">
        <v>51.75</v>
      </c>
      <c r="J171">
        <v>58.12</v>
      </c>
      <c r="K171">
        <v>57.69</v>
      </c>
      <c r="L171">
        <v>27.56</v>
      </c>
      <c r="M171">
        <v>50.64</v>
      </c>
      <c r="N171">
        <v>51.048299999999998</v>
      </c>
      <c r="O171">
        <v>52.39</v>
      </c>
      <c r="P171">
        <v>53.25</v>
      </c>
      <c r="Q171">
        <v>18.690000000000001</v>
      </c>
      <c r="R171">
        <v>1210.94</v>
      </c>
      <c r="S171">
        <v>31.41</v>
      </c>
      <c r="T171">
        <v>18.149999999999999</v>
      </c>
      <c r="U171">
        <v>12.49</v>
      </c>
      <c r="V171">
        <v>39.54</v>
      </c>
      <c r="W171">
        <v>45.17</v>
      </c>
      <c r="X171">
        <v>25.01</v>
      </c>
      <c r="Y171">
        <v>42.85</v>
      </c>
      <c r="Z171">
        <v>40.770000000000003</v>
      </c>
      <c r="AA171">
        <v>72.010000000000005</v>
      </c>
      <c r="AB171">
        <v>53.58</v>
      </c>
      <c r="AC171">
        <v>38.29</v>
      </c>
      <c r="AD171">
        <v>487.97</v>
      </c>
      <c r="AE171">
        <v>564.34</v>
      </c>
      <c r="AF171">
        <v>41.68</v>
      </c>
      <c r="AG171">
        <v>50.79</v>
      </c>
      <c r="AH171">
        <v>44.38</v>
      </c>
      <c r="AI171">
        <v>45.81</v>
      </c>
    </row>
    <row r="172" spans="1:35" x14ac:dyDescent="0.45">
      <c r="A172" s="2">
        <v>45785</v>
      </c>
      <c r="B172">
        <v>27.85</v>
      </c>
      <c r="C172">
        <v>32.15</v>
      </c>
      <c r="D172">
        <v>17.45</v>
      </c>
      <c r="E172">
        <v>27.16</v>
      </c>
      <c r="F172">
        <v>29.94</v>
      </c>
      <c r="G172">
        <v>45.02</v>
      </c>
      <c r="H172">
        <v>24.31</v>
      </c>
      <c r="I172">
        <v>51.16</v>
      </c>
      <c r="J172">
        <v>58.11</v>
      </c>
      <c r="K172">
        <v>57.2</v>
      </c>
      <c r="L172">
        <v>27.48</v>
      </c>
      <c r="M172">
        <v>49.85</v>
      </c>
      <c r="N172">
        <v>50.26</v>
      </c>
      <c r="O172">
        <v>51.54</v>
      </c>
      <c r="P172">
        <v>53.45</v>
      </c>
      <c r="Q172">
        <v>18.614999999999998</v>
      </c>
      <c r="R172">
        <v>1206.5899999999999</v>
      </c>
      <c r="S172">
        <v>31.19</v>
      </c>
      <c r="T172">
        <v>18.14</v>
      </c>
      <c r="U172">
        <v>12.6</v>
      </c>
      <c r="V172">
        <v>39.44</v>
      </c>
      <c r="W172">
        <v>44.23</v>
      </c>
      <c r="X172">
        <v>24.83</v>
      </c>
      <c r="Y172">
        <v>42.81</v>
      </c>
      <c r="Z172">
        <v>40.46</v>
      </c>
      <c r="AA172">
        <v>71.83</v>
      </c>
      <c r="AB172">
        <v>53.58</v>
      </c>
      <c r="AC172">
        <v>38.11</v>
      </c>
      <c r="AD172">
        <v>488.29</v>
      </c>
      <c r="AE172">
        <v>565.05999999999995</v>
      </c>
      <c r="AF172">
        <v>41.32</v>
      </c>
      <c r="AG172">
        <v>50.32</v>
      </c>
      <c r="AH172">
        <v>44.26</v>
      </c>
      <c r="AI172">
        <v>45.36</v>
      </c>
    </row>
    <row r="173" spans="1:35" x14ac:dyDescent="0.45">
      <c r="A173" s="2">
        <v>45784</v>
      </c>
      <c r="B173">
        <v>27.58</v>
      </c>
      <c r="C173">
        <v>31.75</v>
      </c>
      <c r="D173">
        <v>17.71</v>
      </c>
      <c r="E173">
        <v>27.56</v>
      </c>
      <c r="F173">
        <v>29.66</v>
      </c>
      <c r="G173">
        <v>44.79</v>
      </c>
      <c r="H173">
        <v>24.68</v>
      </c>
      <c r="I173">
        <v>51</v>
      </c>
      <c r="J173">
        <v>59.09</v>
      </c>
      <c r="K173">
        <v>57.79</v>
      </c>
      <c r="L173">
        <v>26.4</v>
      </c>
      <c r="M173">
        <v>50.23</v>
      </c>
      <c r="N173">
        <v>50.37</v>
      </c>
      <c r="O173">
        <v>53.22</v>
      </c>
      <c r="P173">
        <v>52.69</v>
      </c>
      <c r="Q173">
        <v>18.510000000000002</v>
      </c>
      <c r="R173">
        <v>1220.27</v>
      </c>
      <c r="S173">
        <v>30.31</v>
      </c>
      <c r="T173">
        <v>18.18</v>
      </c>
      <c r="U173">
        <v>12.42</v>
      </c>
      <c r="V173">
        <v>39.53</v>
      </c>
      <c r="W173">
        <v>44.56</v>
      </c>
      <c r="X173">
        <v>24.89</v>
      </c>
      <c r="Y173">
        <v>42.89</v>
      </c>
      <c r="Z173">
        <v>40.44</v>
      </c>
      <c r="AA173">
        <v>71.98</v>
      </c>
      <c r="AB173">
        <v>54.15</v>
      </c>
      <c r="AC173">
        <v>38.43</v>
      </c>
      <c r="AD173">
        <v>483.3</v>
      </c>
      <c r="AE173">
        <v>561.15</v>
      </c>
      <c r="AF173">
        <v>41.32</v>
      </c>
      <c r="AG173">
        <v>50.21</v>
      </c>
      <c r="AH173">
        <v>44.38</v>
      </c>
      <c r="AI173">
        <v>44.99</v>
      </c>
    </row>
    <row r="174" spans="1:35" x14ac:dyDescent="0.45">
      <c r="A174" s="2">
        <v>45783</v>
      </c>
      <c r="B174">
        <v>27.82</v>
      </c>
      <c r="C174">
        <v>31.62</v>
      </c>
      <c r="D174">
        <v>17.739999999999998</v>
      </c>
      <c r="E174">
        <v>27.35</v>
      </c>
      <c r="F174">
        <v>29.48</v>
      </c>
      <c r="G174">
        <v>45.45</v>
      </c>
      <c r="H174">
        <v>24.64</v>
      </c>
      <c r="I174">
        <v>51.56</v>
      </c>
      <c r="J174">
        <v>58.39</v>
      </c>
      <c r="K174">
        <v>58.5</v>
      </c>
      <c r="L174">
        <v>26.61</v>
      </c>
      <c r="M174">
        <v>50.71</v>
      </c>
      <c r="N174">
        <v>50.13</v>
      </c>
      <c r="O174">
        <v>53.68</v>
      </c>
      <c r="P174">
        <v>53.95</v>
      </c>
      <c r="Q174">
        <v>18.55</v>
      </c>
      <c r="R174">
        <v>1187.8599999999999</v>
      </c>
      <c r="S174">
        <v>30.76</v>
      </c>
      <c r="T174">
        <v>18.309999999999999</v>
      </c>
      <c r="U174">
        <v>12.22</v>
      </c>
      <c r="V174">
        <v>39.72</v>
      </c>
      <c r="W174">
        <v>44.82</v>
      </c>
      <c r="X174">
        <v>25.05</v>
      </c>
      <c r="Y174">
        <v>42.77</v>
      </c>
      <c r="Z174">
        <v>40.67</v>
      </c>
      <c r="AA174">
        <v>72.430000000000007</v>
      </c>
      <c r="AB174">
        <v>54.34</v>
      </c>
      <c r="AC174">
        <v>38.57</v>
      </c>
      <c r="AD174">
        <v>481.41</v>
      </c>
      <c r="AE174">
        <v>558.79999999999995</v>
      </c>
      <c r="AF174">
        <v>41.62</v>
      </c>
      <c r="AG174">
        <v>49.98</v>
      </c>
      <c r="AH174">
        <v>44.18</v>
      </c>
      <c r="AI174">
        <v>45.22</v>
      </c>
    </row>
    <row r="175" spans="1:35" x14ac:dyDescent="0.45">
      <c r="A175" s="2">
        <v>45782</v>
      </c>
      <c r="B175">
        <v>27.7</v>
      </c>
      <c r="C175">
        <v>31.58</v>
      </c>
      <c r="D175">
        <v>17.649999999999999</v>
      </c>
      <c r="E175">
        <v>27.03</v>
      </c>
      <c r="F175">
        <v>29.83</v>
      </c>
      <c r="G175">
        <v>44.700299999999999</v>
      </c>
      <c r="H175">
        <v>24.86</v>
      </c>
      <c r="I175">
        <v>52.96</v>
      </c>
      <c r="J175">
        <v>56.68</v>
      </c>
      <c r="K175">
        <v>58.38</v>
      </c>
      <c r="L175">
        <v>26.71</v>
      </c>
      <c r="M175">
        <v>50.44</v>
      </c>
      <c r="N175">
        <v>50.44</v>
      </c>
      <c r="O175">
        <v>54.32</v>
      </c>
      <c r="P175">
        <v>53.4</v>
      </c>
      <c r="Q175">
        <v>18.55</v>
      </c>
      <c r="R175">
        <v>1198.98</v>
      </c>
      <c r="S175">
        <v>30.7</v>
      </c>
      <c r="T175">
        <v>18.23</v>
      </c>
      <c r="U175">
        <v>12.27</v>
      </c>
      <c r="V175">
        <v>39.71</v>
      </c>
      <c r="W175">
        <v>44.49</v>
      </c>
      <c r="X175">
        <v>24.99</v>
      </c>
      <c r="Y175">
        <v>42.66</v>
      </c>
      <c r="Z175">
        <v>40.72</v>
      </c>
      <c r="AA175">
        <v>72.39</v>
      </c>
      <c r="AB175">
        <v>54.64</v>
      </c>
      <c r="AC175">
        <v>38.64</v>
      </c>
      <c r="AD175">
        <v>485.93</v>
      </c>
      <c r="AE175">
        <v>563.51</v>
      </c>
      <c r="AF175">
        <v>41.84</v>
      </c>
      <c r="AG175">
        <v>50.14</v>
      </c>
      <c r="AH175">
        <v>44.28</v>
      </c>
      <c r="AI175">
        <v>45.07</v>
      </c>
    </row>
    <row r="176" spans="1:35" x14ac:dyDescent="0.45">
      <c r="A176" s="2">
        <v>45779</v>
      </c>
      <c r="B176">
        <v>27.66</v>
      </c>
      <c r="C176">
        <v>31.35</v>
      </c>
      <c r="D176">
        <v>17.63</v>
      </c>
      <c r="E176">
        <v>27.27</v>
      </c>
      <c r="F176">
        <v>30.09</v>
      </c>
      <c r="G176">
        <v>44.44</v>
      </c>
      <c r="H176">
        <v>24.85</v>
      </c>
      <c r="I176">
        <v>50.95</v>
      </c>
      <c r="J176">
        <v>56.94</v>
      </c>
      <c r="K176">
        <v>57.71</v>
      </c>
      <c r="L176">
        <v>27.12</v>
      </c>
      <c r="M176">
        <v>50.19</v>
      </c>
      <c r="N176">
        <v>50.1</v>
      </c>
      <c r="O176">
        <v>53.91</v>
      </c>
      <c r="P176">
        <v>53.42</v>
      </c>
      <c r="Q176">
        <v>18.54</v>
      </c>
      <c r="R176">
        <v>1198.98</v>
      </c>
      <c r="S176">
        <v>30.94</v>
      </c>
      <c r="T176">
        <v>18.14</v>
      </c>
      <c r="U176">
        <v>12.24</v>
      </c>
      <c r="V176">
        <v>40.33</v>
      </c>
      <c r="W176">
        <v>44.29</v>
      </c>
      <c r="X176">
        <v>25.31</v>
      </c>
      <c r="Y176">
        <v>42.84</v>
      </c>
      <c r="Z176">
        <v>40.340000000000003</v>
      </c>
      <c r="AA176">
        <v>71.89</v>
      </c>
      <c r="AB176">
        <v>54.47</v>
      </c>
      <c r="AC176">
        <v>38.6</v>
      </c>
      <c r="AD176">
        <v>488.83</v>
      </c>
      <c r="AE176">
        <v>566.76</v>
      </c>
      <c r="AF176">
        <v>41.86</v>
      </c>
      <c r="AG176">
        <v>50.27</v>
      </c>
      <c r="AH176">
        <v>44.55</v>
      </c>
      <c r="AI176">
        <v>44.99</v>
      </c>
    </row>
    <row r="177" spans="1:35" x14ac:dyDescent="0.45">
      <c r="A177" s="2">
        <v>45778</v>
      </c>
      <c r="B177">
        <v>26.92</v>
      </c>
      <c r="C177">
        <v>31.07</v>
      </c>
      <c r="D177">
        <v>17.3</v>
      </c>
      <c r="E177">
        <v>26.86</v>
      </c>
      <c r="F177">
        <v>29.45</v>
      </c>
      <c r="G177">
        <v>43.74</v>
      </c>
      <c r="H177">
        <v>24.12</v>
      </c>
      <c r="I177">
        <v>47.82</v>
      </c>
      <c r="J177">
        <v>56.67</v>
      </c>
      <c r="K177">
        <v>55.6</v>
      </c>
      <c r="L177">
        <v>26.88</v>
      </c>
      <c r="M177">
        <v>49.27</v>
      </c>
      <c r="N177">
        <v>49.3</v>
      </c>
      <c r="O177">
        <v>53.54</v>
      </c>
      <c r="P177">
        <v>51.59</v>
      </c>
      <c r="Q177">
        <v>18.34</v>
      </c>
      <c r="R177">
        <v>1197.26</v>
      </c>
      <c r="S177">
        <v>30.66</v>
      </c>
      <c r="T177">
        <v>17.96</v>
      </c>
      <c r="U177">
        <v>12.11</v>
      </c>
      <c r="V177">
        <v>40.01</v>
      </c>
      <c r="W177">
        <v>43.06</v>
      </c>
      <c r="X177">
        <v>24.65</v>
      </c>
      <c r="Y177">
        <v>42.31</v>
      </c>
      <c r="Z177">
        <v>39.46</v>
      </c>
      <c r="AA177">
        <v>71.17</v>
      </c>
      <c r="AB177">
        <v>53.52</v>
      </c>
      <c r="AC177">
        <v>37.880000000000003</v>
      </c>
      <c r="AD177">
        <v>481.68</v>
      </c>
      <c r="AE177">
        <v>558.47</v>
      </c>
      <c r="AF177">
        <v>41.07</v>
      </c>
      <c r="AG177">
        <v>48.78</v>
      </c>
      <c r="AH177">
        <v>43.12</v>
      </c>
      <c r="AI177">
        <v>44.26</v>
      </c>
    </row>
    <row r="178" spans="1:35" x14ac:dyDescent="0.45">
      <c r="A178" s="2">
        <v>45777</v>
      </c>
      <c r="B178">
        <v>27.06</v>
      </c>
      <c r="C178">
        <v>31.13</v>
      </c>
      <c r="D178">
        <v>17.309999999999999</v>
      </c>
      <c r="E178">
        <v>26.89</v>
      </c>
      <c r="F178">
        <v>29.48</v>
      </c>
      <c r="G178">
        <v>44.33</v>
      </c>
      <c r="H178">
        <v>24.17</v>
      </c>
      <c r="I178">
        <v>47.48</v>
      </c>
      <c r="J178">
        <v>56.97</v>
      </c>
      <c r="K178">
        <v>56.19</v>
      </c>
      <c r="L178">
        <v>27.04</v>
      </c>
      <c r="M178">
        <v>49.52</v>
      </c>
      <c r="N178">
        <v>49.52</v>
      </c>
      <c r="O178">
        <v>53.57</v>
      </c>
      <c r="P178">
        <v>51.66</v>
      </c>
      <c r="Q178">
        <v>18.309999999999999</v>
      </c>
      <c r="R178">
        <v>1197.26</v>
      </c>
      <c r="S178">
        <v>30.67</v>
      </c>
      <c r="T178">
        <v>17.88</v>
      </c>
      <c r="U178">
        <v>12.07</v>
      </c>
      <c r="V178">
        <v>40.43</v>
      </c>
      <c r="W178">
        <v>42.61</v>
      </c>
      <c r="X178">
        <v>24.67</v>
      </c>
      <c r="Y178">
        <v>42.45</v>
      </c>
      <c r="Z178">
        <v>39.49</v>
      </c>
      <c r="AA178">
        <v>71.430000000000007</v>
      </c>
      <c r="AB178">
        <v>53.86</v>
      </c>
      <c r="AC178">
        <v>38.1</v>
      </c>
      <c r="AD178">
        <v>475.47</v>
      </c>
      <c r="AE178">
        <v>554.54</v>
      </c>
      <c r="AF178">
        <v>41.04</v>
      </c>
      <c r="AG178">
        <v>48.85</v>
      </c>
      <c r="AH178">
        <v>43.64</v>
      </c>
      <c r="AI178">
        <v>44.21</v>
      </c>
    </row>
    <row r="179" spans="1:35" x14ac:dyDescent="0.45">
      <c r="A179" s="2">
        <v>45776</v>
      </c>
      <c r="B179">
        <v>27.14</v>
      </c>
      <c r="C179">
        <v>31.44</v>
      </c>
      <c r="D179">
        <v>17.100000000000001</v>
      </c>
      <c r="E179">
        <v>26.41</v>
      </c>
      <c r="F179">
        <v>30.3</v>
      </c>
      <c r="G179">
        <v>44.8</v>
      </c>
      <c r="H179">
        <v>23.7</v>
      </c>
      <c r="I179">
        <v>47.15</v>
      </c>
      <c r="J179">
        <v>56.42</v>
      </c>
      <c r="K179">
        <v>56.1</v>
      </c>
      <c r="L179">
        <v>27.36</v>
      </c>
      <c r="M179">
        <v>49.14</v>
      </c>
      <c r="N179">
        <v>49.99</v>
      </c>
      <c r="O179">
        <v>53.54</v>
      </c>
      <c r="P179">
        <v>51.68</v>
      </c>
      <c r="Q179">
        <v>18.2</v>
      </c>
      <c r="R179">
        <v>1171.1199999999999</v>
      </c>
      <c r="S179">
        <v>31.18</v>
      </c>
      <c r="T179">
        <v>17.989999999999998</v>
      </c>
      <c r="U179">
        <v>12.05</v>
      </c>
      <c r="V179">
        <v>40.74</v>
      </c>
      <c r="W179">
        <v>43.35</v>
      </c>
      <c r="X179">
        <v>24.55</v>
      </c>
      <c r="Y179">
        <v>42.45</v>
      </c>
      <c r="Z179">
        <v>39.67</v>
      </c>
      <c r="AA179">
        <v>72.02</v>
      </c>
      <c r="AB179">
        <v>53.67</v>
      </c>
      <c r="AC179">
        <v>38.35</v>
      </c>
      <c r="AD179">
        <v>475.53</v>
      </c>
      <c r="AE179">
        <v>554.32000000000005</v>
      </c>
      <c r="AF179">
        <v>40.94</v>
      </c>
      <c r="AG179">
        <v>48.92</v>
      </c>
      <c r="AH179">
        <v>43</v>
      </c>
      <c r="AI179">
        <v>44.67</v>
      </c>
    </row>
    <row r="180" spans="1:35" x14ac:dyDescent="0.45">
      <c r="A180" s="2">
        <v>45775</v>
      </c>
      <c r="B180">
        <v>27.14</v>
      </c>
      <c r="C180">
        <v>31.24</v>
      </c>
      <c r="D180">
        <v>16.93</v>
      </c>
      <c r="E180">
        <v>26.18</v>
      </c>
      <c r="F180">
        <v>30.3</v>
      </c>
      <c r="G180">
        <v>44.6021</v>
      </c>
      <c r="H180">
        <v>23.71</v>
      </c>
      <c r="I180">
        <v>46.47</v>
      </c>
      <c r="J180">
        <v>58.12</v>
      </c>
      <c r="K180">
        <v>55.65</v>
      </c>
      <c r="L180">
        <v>27.21</v>
      </c>
      <c r="M180">
        <v>49.09</v>
      </c>
      <c r="N180">
        <v>49.71</v>
      </c>
      <c r="O180">
        <v>53.29</v>
      </c>
      <c r="P180">
        <v>51.85</v>
      </c>
      <c r="Q180">
        <v>18.14</v>
      </c>
      <c r="R180">
        <v>1159.53</v>
      </c>
      <c r="S180">
        <v>31.48</v>
      </c>
      <c r="T180">
        <v>17.64</v>
      </c>
      <c r="U180">
        <v>11.95</v>
      </c>
      <c r="V180">
        <v>40.85</v>
      </c>
      <c r="W180">
        <v>43.6</v>
      </c>
      <c r="X180">
        <v>24.52</v>
      </c>
      <c r="Y180">
        <v>42.37</v>
      </c>
      <c r="Z180">
        <v>39.47</v>
      </c>
      <c r="AA180">
        <v>71.739999999999995</v>
      </c>
      <c r="AB180">
        <v>53.71</v>
      </c>
      <c r="AC180">
        <v>38.19</v>
      </c>
      <c r="AD180">
        <v>472.41</v>
      </c>
      <c r="AE180">
        <v>550.85</v>
      </c>
      <c r="AF180">
        <v>41.04</v>
      </c>
      <c r="AG180">
        <v>48.79</v>
      </c>
      <c r="AH180">
        <v>43.61</v>
      </c>
      <c r="AI180">
        <v>44.23</v>
      </c>
    </row>
    <row r="181" spans="1:35" x14ac:dyDescent="0.45">
      <c r="A181" s="2">
        <v>45772</v>
      </c>
      <c r="B181">
        <v>27.25</v>
      </c>
      <c r="C181">
        <v>31.67</v>
      </c>
      <c r="D181">
        <v>16.77</v>
      </c>
      <c r="E181">
        <v>26.26</v>
      </c>
      <c r="F181">
        <v>30.04</v>
      </c>
      <c r="G181">
        <v>44.4285</v>
      </c>
      <c r="H181">
        <v>23.43</v>
      </c>
      <c r="I181">
        <v>46.34</v>
      </c>
      <c r="J181">
        <v>57.94</v>
      </c>
      <c r="K181">
        <v>55.81</v>
      </c>
      <c r="L181">
        <v>26.94</v>
      </c>
      <c r="M181">
        <v>48.38</v>
      </c>
      <c r="N181">
        <v>49.52</v>
      </c>
      <c r="O181">
        <v>52.85</v>
      </c>
      <c r="P181">
        <v>51.91</v>
      </c>
      <c r="Q181">
        <v>18.16</v>
      </c>
      <c r="R181">
        <v>1159</v>
      </c>
      <c r="S181">
        <v>31.96</v>
      </c>
      <c r="T181">
        <v>17.47</v>
      </c>
      <c r="U181">
        <v>12.01</v>
      </c>
      <c r="V181">
        <v>41.16</v>
      </c>
      <c r="W181">
        <v>43.76</v>
      </c>
      <c r="X181">
        <v>24.51</v>
      </c>
      <c r="Y181">
        <v>42.04</v>
      </c>
      <c r="Z181">
        <v>39.36</v>
      </c>
      <c r="AA181">
        <v>70.77</v>
      </c>
      <c r="AB181">
        <v>53.04</v>
      </c>
      <c r="AC181">
        <v>37.94</v>
      </c>
      <c r="AD181">
        <v>472.56</v>
      </c>
      <c r="AE181">
        <v>550.64</v>
      </c>
      <c r="AF181">
        <v>40.950000000000003</v>
      </c>
      <c r="AG181">
        <v>48.78</v>
      </c>
      <c r="AH181">
        <v>43.62</v>
      </c>
      <c r="AI181">
        <v>44.04</v>
      </c>
    </row>
    <row r="182" spans="1:35" x14ac:dyDescent="0.45">
      <c r="A182" s="2">
        <v>45771</v>
      </c>
      <c r="B182">
        <v>27.29</v>
      </c>
      <c r="C182">
        <v>31.7</v>
      </c>
      <c r="D182">
        <v>16.760000000000002</v>
      </c>
      <c r="E182">
        <v>25.96</v>
      </c>
      <c r="F182">
        <v>30.19</v>
      </c>
      <c r="G182">
        <v>44.55</v>
      </c>
      <c r="H182">
        <v>23.43</v>
      </c>
      <c r="I182">
        <v>46.18</v>
      </c>
      <c r="J182">
        <v>57.34</v>
      </c>
      <c r="K182">
        <v>55.95</v>
      </c>
      <c r="L182">
        <v>26.74</v>
      </c>
      <c r="M182">
        <v>47.96</v>
      </c>
      <c r="N182">
        <v>49.95</v>
      </c>
      <c r="O182">
        <v>53.74</v>
      </c>
      <c r="P182">
        <v>51.97</v>
      </c>
      <c r="Q182">
        <v>18.12</v>
      </c>
      <c r="R182">
        <v>1146.8599999999999</v>
      </c>
      <c r="S182">
        <v>32.18</v>
      </c>
      <c r="T182">
        <v>17.57</v>
      </c>
      <c r="U182">
        <v>12</v>
      </c>
      <c r="V182">
        <v>41.05</v>
      </c>
      <c r="W182">
        <v>43.805</v>
      </c>
      <c r="X182">
        <v>24.51</v>
      </c>
      <c r="Y182">
        <v>42.06</v>
      </c>
      <c r="Z182">
        <v>39.03</v>
      </c>
      <c r="AA182">
        <v>70.28</v>
      </c>
      <c r="AB182">
        <v>52.96</v>
      </c>
      <c r="AC182">
        <v>37.89</v>
      </c>
      <c r="AD182">
        <v>467.35</v>
      </c>
      <c r="AE182">
        <v>546.69000000000005</v>
      </c>
      <c r="AF182">
        <v>40.72</v>
      </c>
      <c r="AG182">
        <v>48.41</v>
      </c>
      <c r="AH182">
        <v>43.32</v>
      </c>
      <c r="AI182">
        <v>43.48</v>
      </c>
    </row>
    <row r="183" spans="1:35" x14ac:dyDescent="0.45">
      <c r="A183" s="2">
        <v>45770</v>
      </c>
      <c r="B183">
        <v>27.2</v>
      </c>
      <c r="C183">
        <v>31.19</v>
      </c>
      <c r="D183">
        <v>16.61</v>
      </c>
      <c r="E183">
        <v>25.59</v>
      </c>
      <c r="F183">
        <v>29.43</v>
      </c>
      <c r="G183">
        <v>43.98</v>
      </c>
      <c r="H183">
        <v>23.07</v>
      </c>
      <c r="I183">
        <v>45.5</v>
      </c>
      <c r="J183">
        <v>56.51</v>
      </c>
      <c r="K183">
        <v>55.6</v>
      </c>
      <c r="L183">
        <v>26.31</v>
      </c>
      <c r="M183">
        <v>47.55</v>
      </c>
      <c r="N183">
        <v>49.35</v>
      </c>
      <c r="O183">
        <v>53.18</v>
      </c>
      <c r="P183">
        <v>51.66</v>
      </c>
      <c r="Q183">
        <v>17.899999999999999</v>
      </c>
      <c r="R183">
        <v>1153.77</v>
      </c>
      <c r="S183">
        <v>31.77</v>
      </c>
      <c r="T183">
        <v>17.23</v>
      </c>
      <c r="U183">
        <v>11.62</v>
      </c>
      <c r="V183">
        <v>40.369999999999997</v>
      </c>
      <c r="W183">
        <v>42.823799999999999</v>
      </c>
      <c r="X183">
        <v>24</v>
      </c>
      <c r="Y183">
        <v>41.52</v>
      </c>
      <c r="Z183">
        <v>38.44</v>
      </c>
      <c r="AA183">
        <v>69.48</v>
      </c>
      <c r="AB183">
        <v>52.23</v>
      </c>
      <c r="AC183">
        <v>37.549999999999997</v>
      </c>
      <c r="AD183">
        <v>454.56</v>
      </c>
      <c r="AE183">
        <v>535.41999999999996</v>
      </c>
      <c r="AF183">
        <v>40.119999999999997</v>
      </c>
      <c r="AG183">
        <v>47.77</v>
      </c>
      <c r="AH183">
        <v>42.43</v>
      </c>
      <c r="AI183">
        <v>42.69</v>
      </c>
    </row>
    <row r="184" spans="1:35" x14ac:dyDescent="0.45">
      <c r="A184" s="2">
        <v>45769</v>
      </c>
      <c r="B184">
        <v>27.16</v>
      </c>
      <c r="C184">
        <v>30.91</v>
      </c>
      <c r="D184">
        <v>16.36</v>
      </c>
      <c r="E184">
        <v>25.55</v>
      </c>
      <c r="F184">
        <v>29.25</v>
      </c>
      <c r="G184">
        <v>43.835999999999999</v>
      </c>
      <c r="H184">
        <v>22.91</v>
      </c>
      <c r="I184">
        <v>44.33</v>
      </c>
      <c r="J184">
        <v>55.51</v>
      </c>
      <c r="K184">
        <v>54.81</v>
      </c>
      <c r="L184">
        <v>25.86</v>
      </c>
      <c r="M184">
        <v>48.16</v>
      </c>
      <c r="N184">
        <v>49.05</v>
      </c>
      <c r="O184">
        <v>53.5</v>
      </c>
      <c r="P184">
        <v>50.9</v>
      </c>
      <c r="Q184">
        <v>17.91</v>
      </c>
      <c r="R184">
        <v>1144.05</v>
      </c>
      <c r="S184">
        <v>31.66</v>
      </c>
      <c r="T184">
        <v>17.010000000000002</v>
      </c>
      <c r="U184">
        <v>11.64</v>
      </c>
      <c r="V184">
        <v>40.409999999999997</v>
      </c>
      <c r="W184">
        <v>43.094999999999999</v>
      </c>
      <c r="X184">
        <v>23.96</v>
      </c>
      <c r="Y184">
        <v>41.39</v>
      </c>
      <c r="Z184">
        <v>38.03</v>
      </c>
      <c r="AA184">
        <v>69.27</v>
      </c>
      <c r="AB184">
        <v>52.45</v>
      </c>
      <c r="AC184">
        <v>37.58</v>
      </c>
      <c r="AD184">
        <v>444.48</v>
      </c>
      <c r="AE184">
        <v>527.25</v>
      </c>
      <c r="AF184">
        <v>39.840000000000003</v>
      </c>
      <c r="AG184">
        <v>47.1</v>
      </c>
      <c r="AH184">
        <v>42.68</v>
      </c>
      <c r="AI184">
        <v>42.81</v>
      </c>
    </row>
    <row r="185" spans="1:35" x14ac:dyDescent="0.45">
      <c r="A185" s="2">
        <v>45768</v>
      </c>
      <c r="B185">
        <v>27.04</v>
      </c>
      <c r="C185">
        <v>30.05</v>
      </c>
      <c r="D185">
        <v>16.03</v>
      </c>
      <c r="E185">
        <v>25.17</v>
      </c>
      <c r="F185">
        <v>28.63</v>
      </c>
      <c r="G185">
        <v>43.48</v>
      </c>
      <c r="H185">
        <v>23.04</v>
      </c>
      <c r="I185">
        <v>44.22</v>
      </c>
      <c r="J185">
        <v>54.34</v>
      </c>
      <c r="K185">
        <v>54.39</v>
      </c>
      <c r="L185">
        <v>25.2</v>
      </c>
      <c r="M185">
        <v>47.6</v>
      </c>
      <c r="N185">
        <v>47.02</v>
      </c>
      <c r="O185">
        <v>53</v>
      </c>
      <c r="P185">
        <v>49.39</v>
      </c>
      <c r="Q185">
        <v>17.78</v>
      </c>
      <c r="R185">
        <v>1134.71</v>
      </c>
      <c r="S185">
        <v>31.71</v>
      </c>
      <c r="T185">
        <v>16.760000000000002</v>
      </c>
      <c r="U185">
        <v>11.51</v>
      </c>
      <c r="V185">
        <v>39.9</v>
      </c>
      <c r="W185">
        <v>43.38</v>
      </c>
      <c r="X185">
        <v>23.48</v>
      </c>
      <c r="Y185">
        <v>40.770000000000003</v>
      </c>
      <c r="Z185">
        <v>37.03</v>
      </c>
      <c r="AA185">
        <v>67.92</v>
      </c>
      <c r="AB185">
        <v>51.82</v>
      </c>
      <c r="AC185">
        <v>36.82</v>
      </c>
      <c r="AD185">
        <v>433.11</v>
      </c>
      <c r="AE185">
        <v>513.88</v>
      </c>
      <c r="AF185">
        <v>38.97</v>
      </c>
      <c r="AG185">
        <v>46.09</v>
      </c>
      <c r="AH185">
        <v>41.77</v>
      </c>
      <c r="AI185">
        <v>41.94</v>
      </c>
    </row>
    <row r="186" spans="1:35" x14ac:dyDescent="0.45">
      <c r="A186" s="2">
        <v>45765</v>
      </c>
      <c r="B186">
        <v>26.82</v>
      </c>
      <c r="C186">
        <v>29.95</v>
      </c>
      <c r="D186">
        <v>16.13</v>
      </c>
      <c r="E186">
        <v>25.3019</v>
      </c>
      <c r="F186">
        <v>28.29</v>
      </c>
      <c r="G186">
        <v>43.2</v>
      </c>
      <c r="H186">
        <v>22.77</v>
      </c>
      <c r="I186">
        <v>44.88</v>
      </c>
      <c r="J186">
        <v>54.93</v>
      </c>
      <c r="K186">
        <v>54.31</v>
      </c>
      <c r="L186">
        <v>25.22</v>
      </c>
      <c r="M186">
        <v>47.9</v>
      </c>
      <c r="N186">
        <v>47.34</v>
      </c>
      <c r="O186">
        <v>52.26</v>
      </c>
      <c r="P186">
        <v>49.29</v>
      </c>
      <c r="Q186">
        <v>17.72</v>
      </c>
      <c r="R186">
        <v>1150.95</v>
      </c>
      <c r="S186">
        <v>31.91</v>
      </c>
      <c r="T186">
        <v>16.760000000000002</v>
      </c>
      <c r="U186">
        <v>11.73</v>
      </c>
      <c r="V186">
        <v>40.19</v>
      </c>
      <c r="W186">
        <v>43.5</v>
      </c>
      <c r="X186">
        <v>23.61</v>
      </c>
      <c r="Y186">
        <v>41.1</v>
      </c>
      <c r="Z186">
        <v>37.4</v>
      </c>
      <c r="AA186">
        <v>68.069999999999993</v>
      </c>
      <c r="AB186">
        <v>51.95</v>
      </c>
      <c r="AC186">
        <v>36.97</v>
      </c>
      <c r="AD186">
        <v>444.1</v>
      </c>
      <c r="AE186">
        <v>526.41</v>
      </c>
      <c r="AF186">
        <v>39.22</v>
      </c>
      <c r="AG186">
        <v>46.55</v>
      </c>
      <c r="AH186">
        <v>41.9</v>
      </c>
      <c r="AI186">
        <v>42.13</v>
      </c>
    </row>
    <row r="187" spans="1:35" x14ac:dyDescent="0.45">
      <c r="A187" s="2">
        <v>45764</v>
      </c>
      <c r="B187">
        <v>26.82</v>
      </c>
      <c r="C187">
        <v>29.95</v>
      </c>
      <c r="D187">
        <v>16.13</v>
      </c>
      <c r="E187">
        <v>25.3019</v>
      </c>
      <c r="F187">
        <v>28.29</v>
      </c>
      <c r="G187">
        <v>43.2</v>
      </c>
      <c r="H187">
        <v>22.77</v>
      </c>
      <c r="I187">
        <v>44.88</v>
      </c>
      <c r="J187">
        <v>54.93</v>
      </c>
      <c r="K187">
        <v>54.31</v>
      </c>
      <c r="L187">
        <v>25.22</v>
      </c>
      <c r="M187">
        <v>47.9</v>
      </c>
      <c r="N187">
        <v>47.34</v>
      </c>
      <c r="O187">
        <v>52.26</v>
      </c>
      <c r="P187">
        <v>49.29</v>
      </c>
      <c r="Q187">
        <v>17.72</v>
      </c>
      <c r="R187">
        <v>1141.28</v>
      </c>
      <c r="S187">
        <v>31.91</v>
      </c>
      <c r="T187">
        <v>16.760000000000002</v>
      </c>
      <c r="U187">
        <v>11.73</v>
      </c>
      <c r="V187">
        <v>40.19</v>
      </c>
      <c r="W187">
        <v>43.5</v>
      </c>
      <c r="X187">
        <v>23.61</v>
      </c>
      <c r="Y187">
        <v>41.1</v>
      </c>
      <c r="Z187">
        <v>37.4</v>
      </c>
      <c r="AA187">
        <v>68.069999999999993</v>
      </c>
      <c r="AB187">
        <v>51.95</v>
      </c>
      <c r="AC187">
        <v>36.97</v>
      </c>
      <c r="AD187">
        <v>444.1</v>
      </c>
      <c r="AE187">
        <v>526.41</v>
      </c>
      <c r="AF187">
        <v>39.22</v>
      </c>
      <c r="AG187">
        <v>46.55</v>
      </c>
      <c r="AH187">
        <v>41.9</v>
      </c>
      <c r="AI187">
        <v>42.13</v>
      </c>
    </row>
    <row r="188" spans="1:35" x14ac:dyDescent="0.45">
      <c r="A188" s="2">
        <v>45763</v>
      </c>
      <c r="B188">
        <v>26.92</v>
      </c>
      <c r="C188">
        <v>29.43</v>
      </c>
      <c r="D188">
        <v>15.93</v>
      </c>
      <c r="E188">
        <v>25.25</v>
      </c>
      <c r="F188">
        <v>27.74</v>
      </c>
      <c r="G188">
        <v>43.351100000000002</v>
      </c>
      <c r="H188">
        <v>22.44</v>
      </c>
      <c r="I188">
        <v>44.99</v>
      </c>
      <c r="J188">
        <v>53.02</v>
      </c>
      <c r="K188">
        <v>54.06</v>
      </c>
      <c r="L188">
        <v>24.79</v>
      </c>
      <c r="M188">
        <v>47.43</v>
      </c>
      <c r="N188">
        <v>47.35</v>
      </c>
      <c r="O188">
        <v>51.13</v>
      </c>
      <c r="P188">
        <v>49.16</v>
      </c>
      <c r="Q188">
        <v>17.78</v>
      </c>
      <c r="R188">
        <v>1138.9000000000001</v>
      </c>
      <c r="S188">
        <v>31.21</v>
      </c>
      <c r="T188">
        <v>16.68</v>
      </c>
      <c r="U188">
        <v>11.5</v>
      </c>
      <c r="V188">
        <v>40.04</v>
      </c>
      <c r="W188">
        <v>43.03</v>
      </c>
      <c r="X188">
        <v>23.42</v>
      </c>
      <c r="Y188">
        <v>40.83</v>
      </c>
      <c r="Z188">
        <v>37.22</v>
      </c>
      <c r="AA188">
        <v>66.78</v>
      </c>
      <c r="AB188">
        <v>51.29</v>
      </c>
      <c r="AC188">
        <v>36.549999999999997</v>
      </c>
      <c r="AD188">
        <v>444.18</v>
      </c>
      <c r="AE188">
        <v>525.66</v>
      </c>
      <c r="AF188">
        <v>38.96</v>
      </c>
      <c r="AG188">
        <v>46.26</v>
      </c>
      <c r="AH188">
        <v>41.07</v>
      </c>
      <c r="AI188">
        <v>41.76</v>
      </c>
    </row>
    <row r="189" spans="1:35" x14ac:dyDescent="0.45">
      <c r="A189" s="2">
        <v>45762</v>
      </c>
      <c r="B189">
        <v>26.7</v>
      </c>
      <c r="C189">
        <v>29.35</v>
      </c>
      <c r="D189">
        <v>16.14</v>
      </c>
      <c r="E189">
        <v>25.414100000000001</v>
      </c>
      <c r="F189">
        <v>27.58</v>
      </c>
      <c r="G189">
        <v>43.15</v>
      </c>
      <c r="H189">
        <v>22.63</v>
      </c>
      <c r="I189">
        <v>46.05</v>
      </c>
      <c r="J189">
        <v>52.19</v>
      </c>
      <c r="K189">
        <v>54.38</v>
      </c>
      <c r="L189">
        <v>24.86</v>
      </c>
      <c r="M189">
        <v>47.1</v>
      </c>
      <c r="N189">
        <v>47.414999999999999</v>
      </c>
      <c r="O189">
        <v>51.13</v>
      </c>
      <c r="P189">
        <v>50.17</v>
      </c>
      <c r="Q189">
        <v>17.89</v>
      </c>
      <c r="R189">
        <v>1128.6600000000001</v>
      </c>
      <c r="S189">
        <v>31.85</v>
      </c>
      <c r="T189">
        <v>16.79</v>
      </c>
      <c r="U189">
        <v>11.74</v>
      </c>
      <c r="V189">
        <v>40.24</v>
      </c>
      <c r="W189">
        <v>42.68</v>
      </c>
      <c r="X189">
        <v>23.36</v>
      </c>
      <c r="Y189">
        <v>40.53</v>
      </c>
      <c r="Z189">
        <v>37.200000000000003</v>
      </c>
      <c r="AA189">
        <v>67.44</v>
      </c>
      <c r="AB189">
        <v>51.45</v>
      </c>
      <c r="AC189">
        <v>36.65</v>
      </c>
      <c r="AD189">
        <v>457.99</v>
      </c>
      <c r="AE189">
        <v>537.61</v>
      </c>
      <c r="AF189">
        <v>39</v>
      </c>
      <c r="AG189">
        <v>46.89</v>
      </c>
      <c r="AH189">
        <v>41.39</v>
      </c>
      <c r="AI189">
        <v>41.54</v>
      </c>
    </row>
    <row r="190" spans="1:35" x14ac:dyDescent="0.45">
      <c r="A190" s="2">
        <v>45761</v>
      </c>
      <c r="B190">
        <v>26.96</v>
      </c>
      <c r="C190">
        <v>29.13</v>
      </c>
      <c r="D190">
        <v>16.09</v>
      </c>
      <c r="E190">
        <v>25.19</v>
      </c>
      <c r="F190">
        <v>27.59</v>
      </c>
      <c r="G190">
        <v>43.14</v>
      </c>
      <c r="H190">
        <v>22.65</v>
      </c>
      <c r="I190">
        <v>45.77</v>
      </c>
      <c r="J190">
        <v>51.91</v>
      </c>
      <c r="K190">
        <v>54.35</v>
      </c>
      <c r="L190">
        <v>25.01</v>
      </c>
      <c r="M190">
        <v>47.22</v>
      </c>
      <c r="N190">
        <v>46.92</v>
      </c>
      <c r="O190">
        <v>51.03</v>
      </c>
      <c r="P190">
        <v>50.56</v>
      </c>
      <c r="Q190">
        <v>17.79</v>
      </c>
      <c r="R190">
        <v>1128.6600000000001</v>
      </c>
      <c r="S190">
        <v>32.130000000000003</v>
      </c>
      <c r="T190">
        <v>16.71</v>
      </c>
      <c r="U190">
        <v>11.93</v>
      </c>
      <c r="V190">
        <v>40.01</v>
      </c>
      <c r="W190">
        <v>43.1</v>
      </c>
      <c r="X190">
        <v>23.29</v>
      </c>
      <c r="Y190">
        <v>40.44</v>
      </c>
      <c r="Z190">
        <v>36.82</v>
      </c>
      <c r="AA190">
        <v>66.900000000000006</v>
      </c>
      <c r="AB190">
        <v>51.2</v>
      </c>
      <c r="AC190">
        <v>36.15</v>
      </c>
      <c r="AD190">
        <v>457.48</v>
      </c>
      <c r="AE190">
        <v>539.12</v>
      </c>
      <c r="AF190">
        <v>38.85</v>
      </c>
      <c r="AG190">
        <v>46.61</v>
      </c>
      <c r="AH190">
        <v>40.72</v>
      </c>
      <c r="AI190">
        <v>40.92</v>
      </c>
    </row>
    <row r="191" spans="1:35" x14ac:dyDescent="0.45">
      <c r="A191" s="2">
        <v>45758</v>
      </c>
      <c r="B191">
        <v>27.09</v>
      </c>
      <c r="C191">
        <v>28.39</v>
      </c>
      <c r="D191">
        <v>15.87</v>
      </c>
      <c r="E191">
        <v>24.96</v>
      </c>
      <c r="F191">
        <v>27.25</v>
      </c>
      <c r="G191">
        <v>42.085000000000001</v>
      </c>
      <c r="H191">
        <v>22.46</v>
      </c>
      <c r="I191">
        <v>45.62</v>
      </c>
      <c r="J191">
        <v>50.68</v>
      </c>
      <c r="K191">
        <v>54.31</v>
      </c>
      <c r="L191">
        <v>24.69</v>
      </c>
      <c r="M191">
        <v>45.62</v>
      </c>
      <c r="N191">
        <v>45.92</v>
      </c>
      <c r="O191">
        <v>50.76</v>
      </c>
      <c r="P191">
        <v>49.68</v>
      </c>
      <c r="Q191">
        <v>17.61</v>
      </c>
      <c r="R191">
        <v>1128.6600000000001</v>
      </c>
      <c r="S191">
        <v>32.08</v>
      </c>
      <c r="T191">
        <v>16.510000000000002</v>
      </c>
      <c r="U191">
        <v>11.87</v>
      </c>
      <c r="V191">
        <v>39.58</v>
      </c>
      <c r="W191">
        <v>42.39</v>
      </c>
      <c r="X191">
        <v>22.77</v>
      </c>
      <c r="Y191">
        <v>39.869999999999997</v>
      </c>
      <c r="Z191">
        <v>36.369999999999997</v>
      </c>
      <c r="AA191">
        <v>65.819999999999993</v>
      </c>
      <c r="AB191">
        <v>51.05</v>
      </c>
      <c r="AC191">
        <v>35.57</v>
      </c>
      <c r="AD191">
        <v>454.4</v>
      </c>
      <c r="AE191">
        <v>533.94000000000005</v>
      </c>
      <c r="AF191">
        <v>38.97</v>
      </c>
      <c r="AG191">
        <v>45.81</v>
      </c>
      <c r="AH191">
        <v>40.31</v>
      </c>
      <c r="AI191">
        <v>40.53</v>
      </c>
    </row>
    <row r="192" spans="1:35" x14ac:dyDescent="0.45">
      <c r="A192" s="2">
        <v>45757</v>
      </c>
      <c r="B192">
        <v>26.64</v>
      </c>
      <c r="C192">
        <v>27.51</v>
      </c>
      <c r="D192">
        <v>15.45</v>
      </c>
      <c r="E192">
        <v>24.18</v>
      </c>
      <c r="F192">
        <v>26.93</v>
      </c>
      <c r="G192">
        <v>40.805900000000001</v>
      </c>
      <c r="H192">
        <v>22.05</v>
      </c>
      <c r="I192">
        <v>43.32</v>
      </c>
      <c r="J192">
        <v>50.3</v>
      </c>
      <c r="K192">
        <v>51.82</v>
      </c>
      <c r="L192">
        <v>24.19</v>
      </c>
      <c r="M192">
        <v>43.94</v>
      </c>
      <c r="N192">
        <v>44.76</v>
      </c>
      <c r="O192">
        <v>50.52</v>
      </c>
      <c r="P192">
        <v>47.98</v>
      </c>
      <c r="Q192">
        <v>17.52</v>
      </c>
      <c r="R192">
        <v>1133.95</v>
      </c>
      <c r="S192">
        <v>31.9</v>
      </c>
      <c r="T192">
        <v>16.170000000000002</v>
      </c>
      <c r="U192">
        <v>11.31</v>
      </c>
      <c r="V192">
        <v>39.340000000000003</v>
      </c>
      <c r="W192">
        <v>41.79</v>
      </c>
      <c r="X192">
        <v>22.35</v>
      </c>
      <c r="Y192">
        <v>38.74</v>
      </c>
      <c r="Z192">
        <v>35.799999999999997</v>
      </c>
      <c r="AA192">
        <v>64.22</v>
      </c>
      <c r="AB192">
        <v>49.7</v>
      </c>
      <c r="AC192">
        <v>34.67</v>
      </c>
      <c r="AD192">
        <v>446.18</v>
      </c>
      <c r="AE192">
        <v>524.58000000000004</v>
      </c>
      <c r="AF192">
        <v>37.99</v>
      </c>
      <c r="AG192">
        <v>44.67</v>
      </c>
      <c r="AH192">
        <v>39.65</v>
      </c>
      <c r="AI192">
        <v>39.659999999999997</v>
      </c>
    </row>
    <row r="193" spans="1:35" x14ac:dyDescent="0.45">
      <c r="A193" s="2">
        <v>45756</v>
      </c>
      <c r="B193">
        <v>26.4</v>
      </c>
      <c r="C193">
        <v>28.24</v>
      </c>
      <c r="D193">
        <v>15.56</v>
      </c>
      <c r="E193">
        <v>25.16</v>
      </c>
      <c r="F193">
        <v>27.69</v>
      </c>
      <c r="G193">
        <v>41.46</v>
      </c>
      <c r="H193">
        <v>22.14</v>
      </c>
      <c r="I193">
        <v>44.79</v>
      </c>
      <c r="J193">
        <v>51.86</v>
      </c>
      <c r="K193">
        <v>53.28</v>
      </c>
      <c r="L193">
        <v>24.71</v>
      </c>
      <c r="M193">
        <v>44.27</v>
      </c>
      <c r="N193">
        <v>44.85</v>
      </c>
      <c r="O193">
        <v>51.22</v>
      </c>
      <c r="P193">
        <v>48.06</v>
      </c>
      <c r="Q193">
        <v>17.57</v>
      </c>
      <c r="R193">
        <v>1088.18</v>
      </c>
      <c r="S193">
        <v>32.83</v>
      </c>
      <c r="T193">
        <v>16.46</v>
      </c>
      <c r="U193">
        <v>11.46</v>
      </c>
      <c r="V193">
        <v>40.200000000000003</v>
      </c>
      <c r="W193">
        <v>41.36</v>
      </c>
      <c r="X193">
        <v>22.81</v>
      </c>
      <c r="Y193">
        <v>39.54</v>
      </c>
      <c r="Z193">
        <v>36.22</v>
      </c>
      <c r="AA193">
        <v>66.34</v>
      </c>
      <c r="AB193">
        <v>49.71</v>
      </c>
      <c r="AC193">
        <v>35.11</v>
      </c>
      <c r="AD193">
        <v>466</v>
      </c>
      <c r="AE193">
        <v>548.62</v>
      </c>
      <c r="AF193">
        <v>38.61</v>
      </c>
      <c r="AG193">
        <v>46.05</v>
      </c>
      <c r="AH193">
        <v>39.92</v>
      </c>
      <c r="AI193">
        <v>40.22</v>
      </c>
    </row>
    <row r="194" spans="1:35" x14ac:dyDescent="0.45">
      <c r="A194" s="2">
        <v>45755</v>
      </c>
      <c r="B194">
        <v>24.95</v>
      </c>
      <c r="C194">
        <v>26.5</v>
      </c>
      <c r="D194">
        <v>14.36</v>
      </c>
      <c r="E194">
        <v>24.13</v>
      </c>
      <c r="F194">
        <v>24.7</v>
      </c>
      <c r="G194">
        <v>38.53</v>
      </c>
      <c r="H194">
        <v>21.2</v>
      </c>
      <c r="I194">
        <v>40.950000000000003</v>
      </c>
      <c r="J194">
        <v>48.06</v>
      </c>
      <c r="K194">
        <v>48.92</v>
      </c>
      <c r="L194">
        <v>23.44</v>
      </c>
      <c r="M194">
        <v>40.54</v>
      </c>
      <c r="N194">
        <v>42.65</v>
      </c>
      <c r="O194">
        <v>49.16</v>
      </c>
      <c r="P194">
        <v>45.22</v>
      </c>
      <c r="Q194">
        <v>17.23</v>
      </c>
      <c r="R194">
        <v>1074.5899999999999</v>
      </c>
      <c r="S194">
        <v>31.83</v>
      </c>
      <c r="T194">
        <v>15.58</v>
      </c>
      <c r="U194">
        <v>10.130000000000001</v>
      </c>
      <c r="V194">
        <v>38.17</v>
      </c>
      <c r="W194">
        <v>39.479999999999997</v>
      </c>
      <c r="X194">
        <v>20.82</v>
      </c>
      <c r="Y194">
        <v>37.17</v>
      </c>
      <c r="Z194">
        <v>33.22</v>
      </c>
      <c r="AA194">
        <v>61.65</v>
      </c>
      <c r="AB194">
        <v>47.12</v>
      </c>
      <c r="AC194">
        <v>33.19</v>
      </c>
      <c r="AD194">
        <v>416.06</v>
      </c>
      <c r="AE194">
        <v>496.48</v>
      </c>
      <c r="AF194">
        <v>35.65</v>
      </c>
      <c r="AG194">
        <v>41.88</v>
      </c>
      <c r="AH194">
        <v>37.07</v>
      </c>
      <c r="AI194">
        <v>36.6</v>
      </c>
    </row>
    <row r="195" spans="1:35" x14ac:dyDescent="0.45">
      <c r="A195" s="2">
        <v>45754</v>
      </c>
      <c r="B195">
        <v>24.71</v>
      </c>
      <c r="C195">
        <v>27.09</v>
      </c>
      <c r="D195">
        <v>15.15</v>
      </c>
      <c r="E195">
        <v>24.14</v>
      </c>
      <c r="F195">
        <v>24.54</v>
      </c>
      <c r="G195">
        <v>39.07</v>
      </c>
      <c r="H195">
        <v>21.75</v>
      </c>
      <c r="I195">
        <v>42.03</v>
      </c>
      <c r="J195">
        <v>48.52</v>
      </c>
      <c r="K195">
        <v>50.78</v>
      </c>
      <c r="L195">
        <v>23.95</v>
      </c>
      <c r="M195">
        <v>40.770000000000003</v>
      </c>
      <c r="N195">
        <v>40.770000000000003</v>
      </c>
      <c r="O195">
        <v>49.13</v>
      </c>
      <c r="P195">
        <v>46</v>
      </c>
      <c r="Q195">
        <v>17.16</v>
      </c>
      <c r="R195">
        <v>1125.21</v>
      </c>
      <c r="S195">
        <v>31.86</v>
      </c>
      <c r="T195">
        <v>15.88</v>
      </c>
      <c r="U195">
        <v>11.16</v>
      </c>
      <c r="V195">
        <v>38.75</v>
      </c>
      <c r="W195">
        <v>39.39</v>
      </c>
      <c r="X195">
        <v>20.85</v>
      </c>
      <c r="Y195">
        <v>37.79</v>
      </c>
      <c r="Z195">
        <v>33.549999999999997</v>
      </c>
      <c r="AA195">
        <v>61.32</v>
      </c>
      <c r="AB195">
        <v>47.04</v>
      </c>
      <c r="AC195">
        <v>33.29</v>
      </c>
      <c r="AD195">
        <v>423.69</v>
      </c>
      <c r="AE195">
        <v>504.38</v>
      </c>
      <c r="AF195">
        <v>35.97</v>
      </c>
      <c r="AG195">
        <v>42.58</v>
      </c>
      <c r="AH195">
        <v>37.340000000000003</v>
      </c>
      <c r="AI195">
        <v>37.06</v>
      </c>
    </row>
    <row r="196" spans="1:35" x14ac:dyDescent="0.45">
      <c r="A196" s="2">
        <v>45751</v>
      </c>
      <c r="B196">
        <v>26.56</v>
      </c>
      <c r="C196">
        <v>28.19</v>
      </c>
      <c r="D196">
        <v>15.09</v>
      </c>
      <c r="E196">
        <v>23.83</v>
      </c>
      <c r="F196">
        <v>25.14</v>
      </c>
      <c r="G196">
        <v>40.049999999999997</v>
      </c>
      <c r="H196">
        <v>21.91</v>
      </c>
      <c r="I196">
        <v>43.82</v>
      </c>
      <c r="J196">
        <v>49.92</v>
      </c>
      <c r="K196">
        <v>51.25</v>
      </c>
      <c r="L196">
        <v>24.5</v>
      </c>
      <c r="M196">
        <v>41.29</v>
      </c>
      <c r="N196">
        <v>43.59</v>
      </c>
      <c r="O196">
        <v>49.19</v>
      </c>
      <c r="P196">
        <v>50</v>
      </c>
      <c r="Q196">
        <v>16.829999999999998</v>
      </c>
      <c r="R196">
        <v>1125.21</v>
      </c>
      <c r="S196">
        <v>31.67</v>
      </c>
      <c r="T196">
        <v>15.6</v>
      </c>
      <c r="U196">
        <v>11.64</v>
      </c>
      <c r="V196">
        <v>38.979999999999997</v>
      </c>
      <c r="W196">
        <v>40.130000000000003</v>
      </c>
      <c r="X196">
        <v>21.15</v>
      </c>
      <c r="Y196">
        <v>38.409999999999997</v>
      </c>
      <c r="Z196">
        <v>34.32</v>
      </c>
      <c r="AA196">
        <v>61.51</v>
      </c>
      <c r="AB196">
        <v>48.36</v>
      </c>
      <c r="AC196">
        <v>34.619999999999997</v>
      </c>
      <c r="AD196">
        <v>422.67</v>
      </c>
      <c r="AE196">
        <v>505.28</v>
      </c>
      <c r="AF196">
        <v>37.21</v>
      </c>
      <c r="AG196">
        <v>43.14</v>
      </c>
      <c r="AH196">
        <v>38.17</v>
      </c>
      <c r="AI196">
        <v>38.49</v>
      </c>
    </row>
    <row r="197" spans="1:35" x14ac:dyDescent="0.45">
      <c r="A197" s="2">
        <v>45750</v>
      </c>
      <c r="B197">
        <v>27.65</v>
      </c>
      <c r="C197">
        <v>30.07</v>
      </c>
      <c r="D197">
        <v>15.88</v>
      </c>
      <c r="E197">
        <v>25.04</v>
      </c>
      <c r="F197">
        <v>27.51</v>
      </c>
      <c r="G197">
        <v>43.42</v>
      </c>
      <c r="H197">
        <v>23.01</v>
      </c>
      <c r="I197">
        <v>46.05</v>
      </c>
      <c r="J197">
        <v>54.26</v>
      </c>
      <c r="K197">
        <v>53.14</v>
      </c>
      <c r="L197">
        <v>26.33</v>
      </c>
      <c r="M197">
        <v>44.88</v>
      </c>
      <c r="N197">
        <v>47.32</v>
      </c>
      <c r="O197">
        <v>51.18</v>
      </c>
      <c r="P197">
        <v>53.67</v>
      </c>
      <c r="Q197">
        <v>17.66</v>
      </c>
      <c r="R197">
        <v>1161.81</v>
      </c>
      <c r="S197">
        <v>32.200000000000003</v>
      </c>
      <c r="T197">
        <v>16.350000000000001</v>
      </c>
      <c r="U197">
        <v>11.4</v>
      </c>
      <c r="V197">
        <v>40.61</v>
      </c>
      <c r="W197">
        <v>42.72</v>
      </c>
      <c r="X197">
        <v>23.25</v>
      </c>
      <c r="Y197">
        <v>40.619999999999997</v>
      </c>
      <c r="Z197">
        <v>36.729999999999997</v>
      </c>
      <c r="AA197">
        <v>65.41</v>
      </c>
      <c r="AB197">
        <v>51.41</v>
      </c>
      <c r="AC197">
        <v>37.28</v>
      </c>
      <c r="AD197">
        <v>450.66</v>
      </c>
      <c r="AE197">
        <v>536.70000000000005</v>
      </c>
      <c r="AF197">
        <v>39.479999999999997</v>
      </c>
      <c r="AG197">
        <v>45.71</v>
      </c>
      <c r="AH197">
        <v>41.47</v>
      </c>
      <c r="AI197">
        <v>41.77</v>
      </c>
    </row>
    <row r="198" spans="1:35" x14ac:dyDescent="0.45">
      <c r="A198" s="2">
        <v>45749</v>
      </c>
      <c r="B198">
        <v>27.91</v>
      </c>
      <c r="C198">
        <v>29.91</v>
      </c>
      <c r="D198">
        <v>16.329999999999998</v>
      </c>
      <c r="E198">
        <v>25.56</v>
      </c>
      <c r="F198">
        <v>28.79</v>
      </c>
      <c r="G198">
        <v>44.85</v>
      </c>
      <c r="H198">
        <v>23.32</v>
      </c>
      <c r="I198">
        <v>48.48</v>
      </c>
      <c r="J198">
        <v>52.16</v>
      </c>
      <c r="K198">
        <v>54.63</v>
      </c>
      <c r="L198">
        <v>26.14</v>
      </c>
      <c r="M198">
        <v>46.65</v>
      </c>
      <c r="N198">
        <v>48.1</v>
      </c>
      <c r="O198">
        <v>51.56</v>
      </c>
      <c r="P198">
        <v>54.16</v>
      </c>
      <c r="Q198">
        <v>17.86</v>
      </c>
      <c r="R198">
        <v>1172.69</v>
      </c>
      <c r="S198">
        <v>32.44</v>
      </c>
      <c r="T198">
        <v>17</v>
      </c>
      <c r="U198">
        <v>12.7</v>
      </c>
      <c r="V198">
        <v>41.52</v>
      </c>
      <c r="W198">
        <v>42.67</v>
      </c>
      <c r="X198">
        <v>23.89</v>
      </c>
      <c r="Y198">
        <v>41.59</v>
      </c>
      <c r="Z198">
        <v>37.380000000000003</v>
      </c>
      <c r="AA198">
        <v>68.22</v>
      </c>
      <c r="AB198">
        <v>51.49</v>
      </c>
      <c r="AC198">
        <v>37.61</v>
      </c>
      <c r="AD198">
        <v>476.15</v>
      </c>
      <c r="AE198">
        <v>564.52</v>
      </c>
      <c r="AF198">
        <v>40.18</v>
      </c>
      <c r="AG198">
        <v>46.87</v>
      </c>
      <c r="AH198">
        <v>42.61</v>
      </c>
      <c r="AI198">
        <v>42.66</v>
      </c>
    </row>
    <row r="199" spans="1:35" x14ac:dyDescent="0.45">
      <c r="A199" s="2">
        <v>45748</v>
      </c>
      <c r="B199">
        <v>27.92</v>
      </c>
      <c r="C199">
        <v>30.2</v>
      </c>
      <c r="D199">
        <v>16.25</v>
      </c>
      <c r="E199">
        <v>25.26</v>
      </c>
      <c r="F199">
        <v>28.28</v>
      </c>
      <c r="G199">
        <v>44.57</v>
      </c>
      <c r="H199">
        <v>23.03</v>
      </c>
      <c r="I199">
        <v>48.2</v>
      </c>
      <c r="J199">
        <v>52.05</v>
      </c>
      <c r="K199">
        <v>54.85</v>
      </c>
      <c r="L199">
        <v>26.14</v>
      </c>
      <c r="M199">
        <v>48.1</v>
      </c>
      <c r="N199">
        <v>47.63</v>
      </c>
      <c r="O199">
        <v>51.05</v>
      </c>
      <c r="P199">
        <v>54.55</v>
      </c>
      <c r="Q199">
        <v>17.88</v>
      </c>
      <c r="R199">
        <v>1168.02</v>
      </c>
      <c r="S199">
        <v>32.89</v>
      </c>
      <c r="T199">
        <v>16.93</v>
      </c>
      <c r="U199">
        <v>12.56</v>
      </c>
      <c r="V199">
        <v>41.34</v>
      </c>
      <c r="W199">
        <v>42.39</v>
      </c>
      <c r="X199">
        <v>23.71</v>
      </c>
      <c r="Y199">
        <v>41.13</v>
      </c>
      <c r="Z199">
        <v>37.29</v>
      </c>
      <c r="AA199">
        <v>68.2</v>
      </c>
      <c r="AB199">
        <v>51.76</v>
      </c>
      <c r="AC199">
        <v>37.44</v>
      </c>
      <c r="AD199">
        <v>472.7</v>
      </c>
      <c r="AE199">
        <v>560.97</v>
      </c>
      <c r="AF199">
        <v>40.049999999999997</v>
      </c>
      <c r="AG199">
        <v>46.7</v>
      </c>
      <c r="AH199">
        <v>42.25</v>
      </c>
      <c r="AI199">
        <v>42.46</v>
      </c>
    </row>
    <row r="200" spans="1:35" x14ac:dyDescent="0.45">
      <c r="A200" s="2">
        <v>45747</v>
      </c>
      <c r="B200">
        <v>28.03</v>
      </c>
      <c r="C200">
        <v>29.82</v>
      </c>
      <c r="D200">
        <v>16.3</v>
      </c>
      <c r="E200">
        <v>25.3</v>
      </c>
      <c r="F200">
        <v>28.01</v>
      </c>
      <c r="G200">
        <v>43.89</v>
      </c>
      <c r="H200">
        <v>23.08</v>
      </c>
      <c r="I200">
        <v>47.48</v>
      </c>
      <c r="J200">
        <v>50.96</v>
      </c>
      <c r="K200">
        <v>54.04</v>
      </c>
      <c r="L200">
        <v>25.85</v>
      </c>
      <c r="M200">
        <v>48.13</v>
      </c>
      <c r="N200">
        <v>46.97</v>
      </c>
      <c r="O200">
        <v>51.48</v>
      </c>
      <c r="P200">
        <v>54.4</v>
      </c>
      <c r="Q200">
        <v>17.84</v>
      </c>
      <c r="R200">
        <v>1158.0899999999999</v>
      </c>
      <c r="S200">
        <v>32.82</v>
      </c>
      <c r="T200">
        <v>16.97</v>
      </c>
      <c r="U200">
        <v>12.48</v>
      </c>
      <c r="V200">
        <v>41.37</v>
      </c>
      <c r="W200">
        <v>42.08</v>
      </c>
      <c r="X200">
        <v>23.44</v>
      </c>
      <c r="Y200">
        <v>40.75</v>
      </c>
      <c r="Z200">
        <v>37.08</v>
      </c>
      <c r="AA200">
        <v>68.56</v>
      </c>
      <c r="AB200">
        <v>51.79</v>
      </c>
      <c r="AC200">
        <v>37.47</v>
      </c>
      <c r="AD200">
        <v>468.92</v>
      </c>
      <c r="AE200">
        <v>559.39</v>
      </c>
      <c r="AF200">
        <v>39.799999999999997</v>
      </c>
      <c r="AG200">
        <v>46.73</v>
      </c>
      <c r="AH200">
        <v>42.08</v>
      </c>
      <c r="AI200">
        <v>42.32</v>
      </c>
    </row>
    <row r="201" spans="1:35" x14ac:dyDescent="0.45">
      <c r="A201" s="2">
        <v>45744</v>
      </c>
      <c r="B201">
        <v>28.08</v>
      </c>
      <c r="C201">
        <v>29.76</v>
      </c>
      <c r="D201">
        <v>16.37</v>
      </c>
      <c r="E201">
        <v>24.98</v>
      </c>
      <c r="F201">
        <v>28.43</v>
      </c>
      <c r="G201">
        <v>44.200800000000001</v>
      </c>
      <c r="H201">
        <v>23</v>
      </c>
      <c r="I201">
        <v>47.82</v>
      </c>
      <c r="J201">
        <v>51.62</v>
      </c>
      <c r="K201">
        <v>54.79</v>
      </c>
      <c r="L201">
        <v>25.96</v>
      </c>
      <c r="M201">
        <v>47.6</v>
      </c>
      <c r="N201">
        <v>48.470100000000002</v>
      </c>
      <c r="O201">
        <v>51.28</v>
      </c>
      <c r="P201">
        <v>54.57</v>
      </c>
      <c r="Q201">
        <v>17.75</v>
      </c>
      <c r="R201">
        <v>1175.45</v>
      </c>
      <c r="S201">
        <v>32.67</v>
      </c>
      <c r="T201">
        <v>16.850000000000001</v>
      </c>
      <c r="U201">
        <v>12.38</v>
      </c>
      <c r="V201">
        <v>41.07</v>
      </c>
      <c r="W201">
        <v>42.05</v>
      </c>
      <c r="X201">
        <v>23.47</v>
      </c>
      <c r="Y201">
        <v>40.57</v>
      </c>
      <c r="Z201">
        <v>37.39</v>
      </c>
      <c r="AA201">
        <v>69.22</v>
      </c>
      <c r="AB201">
        <v>52.48</v>
      </c>
      <c r="AC201">
        <v>37.590000000000003</v>
      </c>
      <c r="AD201">
        <v>468.94</v>
      </c>
      <c r="AE201">
        <v>555.66</v>
      </c>
      <c r="AF201">
        <v>40.35</v>
      </c>
      <c r="AG201">
        <v>47.34</v>
      </c>
      <c r="AH201">
        <v>42.94</v>
      </c>
      <c r="AI201">
        <v>42.8</v>
      </c>
    </row>
    <row r="202" spans="1:35" x14ac:dyDescent="0.45">
      <c r="A202" s="2">
        <v>45743</v>
      </c>
      <c r="B202">
        <v>28.34</v>
      </c>
      <c r="C202">
        <v>30.17</v>
      </c>
      <c r="D202">
        <v>16.420000000000002</v>
      </c>
      <c r="E202">
        <v>25.1</v>
      </c>
      <c r="F202">
        <v>28.69</v>
      </c>
      <c r="G202">
        <v>44.86</v>
      </c>
      <c r="H202">
        <v>23.55</v>
      </c>
      <c r="I202">
        <v>49.2</v>
      </c>
      <c r="J202">
        <v>52.15</v>
      </c>
      <c r="K202">
        <v>56.49</v>
      </c>
      <c r="L202">
        <v>26.33</v>
      </c>
      <c r="M202">
        <v>48.21</v>
      </c>
      <c r="N202">
        <v>48.9</v>
      </c>
      <c r="O202">
        <v>51.79</v>
      </c>
      <c r="P202">
        <v>55.81</v>
      </c>
      <c r="Q202">
        <v>17.87</v>
      </c>
      <c r="R202">
        <v>1187.9000000000001</v>
      </c>
      <c r="S202">
        <v>32.31</v>
      </c>
      <c r="T202">
        <v>17.05</v>
      </c>
      <c r="U202">
        <v>12.56</v>
      </c>
      <c r="V202">
        <v>41.39</v>
      </c>
      <c r="W202">
        <v>42.6</v>
      </c>
      <c r="X202">
        <v>23.75</v>
      </c>
      <c r="Y202">
        <v>41.25</v>
      </c>
      <c r="Z202">
        <v>37.590000000000003</v>
      </c>
      <c r="AA202">
        <v>70.650000000000006</v>
      </c>
      <c r="AB202">
        <v>52.59</v>
      </c>
      <c r="AC202">
        <v>37.659999999999997</v>
      </c>
      <c r="AD202">
        <v>481.62</v>
      </c>
      <c r="AE202">
        <v>567.08000000000004</v>
      </c>
      <c r="AF202">
        <v>40.549999999999997</v>
      </c>
      <c r="AG202">
        <v>47.817599999999999</v>
      </c>
      <c r="AH202">
        <v>43.53</v>
      </c>
      <c r="AI202">
        <v>43.07</v>
      </c>
    </row>
    <row r="204" spans="1:35" x14ac:dyDescent="0.45">
      <c r="A204" t="s">
        <v>78</v>
      </c>
      <c r="B204">
        <f>AVERAGE(_xlfn.ANCHORARRAY(B2))</f>
        <v>31.073295522388044</v>
      </c>
      <c r="C204">
        <f t="shared" ref="C204:AI204" si="0">AVERAGE(_xlfn.ANCHORARRAY(C2))</f>
        <v>33.112562189054721</v>
      </c>
      <c r="D204">
        <f t="shared" si="0"/>
        <v>17.845373134328351</v>
      </c>
      <c r="E204">
        <f t="shared" si="0"/>
        <v>25.913607462686581</v>
      </c>
      <c r="F204">
        <f t="shared" si="0"/>
        <v>31.936965174129352</v>
      </c>
      <c r="G204">
        <f t="shared" si="0"/>
        <v>54.326862189054737</v>
      </c>
      <c r="H204">
        <f t="shared" si="0"/>
        <v>24.978258706467667</v>
      </c>
      <c r="I204">
        <f t="shared" si="0"/>
        <v>58.464527363184068</v>
      </c>
      <c r="J204">
        <f t="shared" si="0"/>
        <v>62.432238805970151</v>
      </c>
      <c r="K204">
        <f t="shared" si="0"/>
        <v>75.17134328358209</v>
      </c>
      <c r="L204">
        <f t="shared" si="0"/>
        <v>29.074875621890531</v>
      </c>
      <c r="M204">
        <f t="shared" si="0"/>
        <v>57.861243781094494</v>
      </c>
      <c r="N204">
        <f t="shared" si="0"/>
        <v>59.962575124378084</v>
      </c>
      <c r="O204">
        <f t="shared" si="0"/>
        <v>53.580920398009965</v>
      </c>
      <c r="P204">
        <f t="shared" si="0"/>
        <v>58.575646766169228</v>
      </c>
      <c r="Q204">
        <f t="shared" si="0"/>
        <v>18.990587064676621</v>
      </c>
      <c r="R204">
        <f t="shared" si="0"/>
        <v>1220.5820895522381</v>
      </c>
      <c r="S204">
        <f t="shared" si="0"/>
        <v>33.092610945273591</v>
      </c>
      <c r="T204">
        <f t="shared" si="0"/>
        <v>18.836748756218917</v>
      </c>
      <c r="U204">
        <f t="shared" si="0"/>
        <v>15.870422885572136</v>
      </c>
      <c r="V204">
        <f t="shared" si="0"/>
        <v>38.649154228855721</v>
      </c>
      <c r="W204">
        <f t="shared" si="0"/>
        <v>45.137556716417876</v>
      </c>
      <c r="X204">
        <f t="shared" si="0"/>
        <v>25.994676616915442</v>
      </c>
      <c r="Y204">
        <f t="shared" si="0"/>
        <v>47.591442786069692</v>
      </c>
      <c r="Z204">
        <f t="shared" si="0"/>
        <v>41.027164179104503</v>
      </c>
      <c r="AA204">
        <f t="shared" si="0"/>
        <v>76.815422885572161</v>
      </c>
      <c r="AB204">
        <f t="shared" si="0"/>
        <v>55.210099502487616</v>
      </c>
      <c r="AC204">
        <f t="shared" si="0"/>
        <v>40.717810945273619</v>
      </c>
      <c r="AD204">
        <f t="shared" si="0"/>
        <v>560.38298507462673</v>
      </c>
      <c r="AE204">
        <f t="shared" si="0"/>
        <v>629.0119402985074</v>
      </c>
      <c r="AF204">
        <f t="shared" si="0"/>
        <v>42.942238805970149</v>
      </c>
      <c r="AG204">
        <f t="shared" si="0"/>
        <v>54.094762686567186</v>
      </c>
      <c r="AH204">
        <f t="shared" si="0"/>
        <v>45.989552238805956</v>
      </c>
      <c r="AI204">
        <f t="shared" si="0"/>
        <v>49.212089552238794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67336538"><![CDATA[{"EWI^FG_PRICE(0,-200D)":[54.33,54.33,54.59,54.16,54.62,54.56,54.56,54.4,54.24,54.21,53.81,53.51,53.58,54.35,53.66,53.95,53.55,53.02,52.98,52.98,53.15,53.29,53.0,52.66,52.93,52.54,52.54,52.16,51.19,51.47,50.81,51.34,51.81,52.56,53.2,53.98,54.12,53.75,53.15,52.19,51.75,52.0,51.38,51.79,51.81,51.82,52.11,52.18,51.93,51.27,51.17,50.66,51.1,51.24,50.77,50.88,50.47,50.79,50.5,50.31,51.13,52.29,51.94,52.26,52.61,52.33,52.41,51.95,51.5,51.54,50.94,51.29,51.51,51.74,51.37,51.44,51.33,52.15,52.39,51.72,51.6,50.93,50.86,50.64,50.46,50.65,50.38,50.4,51.05,51.05,51.19,50.91,51.42,51.76,52.34,51.53,51.69,51.62,51.54,51.79,51.56,51.1,50.64,49.99,50.16,49.95,49.52,48.74,48.57,47.83,48.25,49.13,49.06,48.78,49.56,49.12,49.84,48.55,48.03,47.79,47.75,47.76,47.32,48.16,47.99,48.53,49.17,48.34,47.87,48.21,48.21,48.29,48.05,48.14,47.86,47.5,47.17,47.2,46.45,46.36,46.46,46.46,46.26,47.21,47.43,48.25,47.93,47.93,48.18,48.3,47.98,47.74,47.87,48.32,47.77,47.58,47.55,47.66,46.96,46.96,47.54,47.65,47.84,47.3,46.85,46.53,46.26,46.0,45.66,45.81,45.36,44.99,45.22,45.07,44.99,44.26,44.21,44.67,44.23,44.04,43.48,42.69,42.81,41.94,42.13,42.13,41.76,41.54,40.92,40.53,39.66,40.22,36.6,37.06,38.49,41.77,42.66,42.46,42.32,42.8,43.07],"EWD^FG_PRICE(0,-200D)":[49.23,49.23,49.55,49.32,49.65,49.31,49.31,49.21,48.8,48.55,48.18,47.62,48.23,49.11,49.38,49.67,49.36,48.55,48.4,48.37,48.09,47.77,47.61,47.58,47.91,47.43,47.43,47.06,46.26,46.06,45.38,46.17,46.49,47.22,47.65,48.27,48.82,48.48,47.74,47.24,46.98,47.29,46.87,47.7,47.99,48.49,48.74,49.07,49.23,48.86,48.65,48.36,48.54,48.09,47.79,47.8,47.58,47.45,47.32,46.92,47.2,47.88,47.82,48.26,48.2,47.94,47.61,47.2,47.22,47.2,46.62,47.01,47.85,47.63,47.43,47.56,47.17,47.46,47.61,47.24,47.33,47.1,47.3,47.42,47.01,46.26,46.18,45.89,46.39,46.39,46.63,46.46,46.64,46.57,47.24,46.08,46.45,46.56,46.28,46.61,46.06,46.02,45.99,45.23,45.88,45.6,44.82,44.45,44.3,43.68,43.86,44.54,44.96,45.78,46.38,45.9,46.3,45.21,45.25,44.65,44.98,44.63,44.69,45.3,45.57,46.39,46.05,45.55,45.52,45.62,45.62,45.51,45.19,45.74,46.02,45.33,44.67,44.95,43.96,43.81,43.98,43.98,44.43,44.91,45.49,46.02,45.9,45.94,45.91,46.14,46.17,45.93,45.2,45.62,45.45,45.36,45.24,45.55,45.32,45.32,45.09,45.94,46.35,46.19,45.61,45.62,45.11,45.23,45.09,44.38,44.26,44.38,44.18,44.28,44.55,43.12,43.64,43.0,43.61,43.62,43.32,42.43,42.68,41.77,41.9,41.9,41.07,41.39,40.72,40.31,39.65,39.92,37.07,37.34,38.17,41.47,42.61,42.25,42.08,42.94,43.53],"EWN^FG_PRICE(0,-200D)":[57.03,57.03,57.227,57.0,57.16,57.1,57.1,56.84,57.01,56.61,56.02,55.57,56.41,58.76,58.6,59.5,58.8,58.55,58.7224,58.55,58.78,59.18,58.57,58.32,58.17,57.79,57.79,56.872,55.95,55.92,55.52,57.05,56.63,57.36,58.13,58.61,59.03,58.73,58.56,57.74,57.96,58.26,57.82,58.68,58.8,59.48,59.366,59.01,59.565,58.91,58.87,58.12,58.35,58.85,58.65,58.49,58.27,57.76,57.75,56.64,57.89,58.41,58.56,59.68,59.62,59.51,58.84,58.01,57.67,57.12,57.02,57.27,57.62,57.36,56.84,56.97,55.8782,55.71,55.75,54.66,54.46,53.79,54.12,54.17,53.47,52.87,52.22,51.94,53.0,53.0,53.5,53.59,53.77,53.84,54.188,53.08,53.58,53.215,53.13,53.16,53.3,53.36,52.9674,52.37,52.52,52.2,51.43,51.33,51.35,50.85,51.26,52.2,52.69,52.91,53.5,53.93,54.25,53.37,53.41,53.46,53.51,53.47,54.45,54.4,54.41,54.63,54.58,54.33,53.98,54.29,54.29,54.3,54.07,54.5,54.36,53.97,53.8,54.16,53.03,51.8927,52.2476,52.2476,52.33,53.08,53.54,54.73,54.37,54.57,54.02,53.63,53.36,53.23,52.95,53.2858,52.85,52.94,52.59,53.0,52.26,52.26,52.54,52.48,52.8,52.645,52.19,52.25,52.2,52.04,51.6,50.79,50.32,50.21,49.98,50.14,50.27,48.78,48.85,48.92,48.79,48.78,48.41,47.77,47.1,46.09,46.55,46.55,46.26,46.89,46.61,45.81,44.67,46.05,41.88,42.58,43.14,45.71,46.87,46.7,46.73,47.34,47.8176],"EWQ^FG_PRICE(0,-200D)":[44.99,44.99,45.14,44.99,45.18,44.98,44.98,44.9,44.96,44.91,44.8,44.62,44.94,45.18,44.88,45.0,44.58,44.21,44.65,44.62,44.75,44.79,44.44,44.41,44.57,44.43,44.43,44.06,43.33,43.69,42.99,43.44,43.63,44.2,44.84,45.04,45.14,44.71,44.19,43.78,43.42,43.88,43.63,44.07,44.28,44.44,44.86,45.14,45.33,45.11,45.27,44.91,44.98,45.2,45.23,45.15,44.42,44.13,43.35,43.29,43.89,44.3,43.79,44.19,44.91,44.77,44.49,43.93,43.78,43.59,43.05,43.41,43.89,43.78,43.68,43.84,43.53,43.82,43.89,43.49,43.53,42.9,43.06,42.99,42.56,42.56,42.54,42.29,42.59,42.59,42.9,42.56,42.58,42.96,44.18,43.55,43.97,43.82,43.55,43.89,43.5,43.31,42.89,42.35,42.68,42.49,42.02,41.83,41.86,41.43,41.94,42.47,42.91,42.8,43.72,43.4,44.4,43.16,43.03,42.92,42.98,42.74,42.56,43.12,43.28,43.75,43.84,43.27,42.68,43.08,43.08,43.27,42.87,42.8,42.61,42.14,41.89,42.04,41.57,41.29,41.67,41.67,41.74,42.21,42.83,43.57,43.11,43.21,43.08,43.04,43.04,43.08,42.84,43.14,42.49,42.76,42.47,42.92,42.4,42.4,42.65,42.71,43.1,42.73,42.25,42.09,41.88,42.1,41.81,41.68,41.32,41.32,41.62,41.84,41.86,41.07,41.04,40.94,41.04,40.95,40.72,40.12,39.84,38.97,39.22,39.22,38.96,39.0,38.85,38.97,37.99,38.61,35.65,35.97,37.21,39.48,40.18,40.05,39.8,40.35,40.55],"SPY^FG_PRICE(0,-200D)":[681.92,681.92,687.01,687.85,690.31,690.38,690.38,687.96,684.83,680.59,676.47,671.4,678.87,680.73,681.76,689.17,687.57,683.04,683.63,685.69,684.39,683.89,681.53,680.27,683.39,679.68,679.68,675.02,668.73,659.03,652.53,662.63,660.08,665.67,671.93,672.04,683.38,683.0,681.44,670.97,670.31,677.58,675.24,683.34,682.06,679.83,687.39,687.06,685.24,677.25,671.76,667.8,671.29,671.3,664.39,660.64,665.17,662.23,663.04,653.02,671.16,673.11,669.12,671.61,669.21,669.22,668.45,666.18,663.68,661.82,658.05,661.1,663.21,666.84,663.7,662.26,659.18,660.0,660.91,657.41,657.63,652.21,650.33,648.83,647.24,649.12,643.74,640.27,645.05,645.05,648.92,646.63,645.16,642.47,645.31,635.55,638.11,639.81,643.3,643.44,644.95,644.89,642.69,635.92,637.18,632.25,632.78,627.97,631.17,621.72,632.08,634.46,635.26,636.94,637.1,634.42,634.21,628.86,628.77,627.58,628.04,624.22,622.14,624.81,623.62,625.82,624.06,620.34,620.68,625.34,625.34,620.45,617.65,617.85,614.91,611.87,607.12,606.78,600.15,594.28,597.44,597.44,597.53,602.68,597.0,603.75,601.36,603.08,599.68,599.14,593.05,595.93,596.09,592.71,589.39,590.05,587.73,591.15,579.11,579.11,583.09,582.86,592.85,594.85,594.2,590.46,587.59,586.84,582.99,564.34,565.06,561.15,558.8,563.51,566.76,558.47,554.54,554.32,550.85,550.64,546.69,535.42,527.25,513.88,526.41,526.41,525.66,537.61,539.12,533.94,524.58,548.62,496.48,504.38,505.28,536.7,564.52,560.97,559.39,555.66,567.08],"QQQ^FG_PRICE(0,-200D)":[614.31,614.31,619.43,620.87,623.89,623.93,623.93,622.11,619.21,617.05,609.11,600.41,611.75,610.54,613.62,625.58,627.61,625.05,624.28,625.48,622.94,623.52,622.0,617.17,619.25,614.27,614.27,608.89,605.16,590.07,585.67,599.87,596.31,603.66,608.86,608.4,621.08,621.57,623.23,609.74,611.67,623.28,619.25,632.08,629.07,626.05,635.77,632.92,628.09,617.1,610.58,605.49,611.38,611.54,603.93,599.99,602.22,598.0,602.01,589.5,610.7,611.44,604.51,607.71,603.18,605.73,603.25,600.37,598.73,595.97,593.53,596.1,598.2,602.2,599.35,595.32,590.0,591.18,591.68,586.66,584.08,580.7,580.51,578.87,576.06,575.23,570.07,565.62,570.4,570.4,577.08,573.49,572.61,570.32,571.97,563.28,565.9,569.28,577.11,577.34,579.89,580.34,580.05,572.85,574.55,569.24,567.32,560.27,564.1,553.88,565.01,568.02,567.26,568.14,566.37,565.01,563.81,561.25,564.17,561.26,561.8,557.29,556.72,556.21,554.2,555.45,556.25,552.34,552.03,556.22,556.22,550.8,546.99,551.64,548.09,546.22,541.16,539.78,531.65,526.83,528.99,528.99,529.08,534.29,526.96,533.66,532.41,534.21,530.7,529.92,524.79,528.77,527.3,523.21,519.11,519.93,518.91,521.22,509.24,509.24,514.0,513.04,520.27,522.01,521.51,519.25,518.68,515.59,507.85,487.97,488.29,483.3,481.41,485.93,488.83,481.68,475.47,475.53,472.41,472.56,467.35,454.56,444.48,433.11,444.1,444.1,444.18,457.99,457.48,454.4,446.18,466.0,416.06,423.69,422.67,450.66,476.15,472.7,468.92,468.94,481.62],"EWU^FG_PRICE(0,-200D)":[43.98,43.98,44.22,44.02,44.24,44.08,44.08,43.98,43.79,43.54,43.13,42.94,42.73,43.75,43.28,43.65,43.46,42.88,43.08,43.22,43.42,43.46,43.01,42.93,43.15,42.99,42.99,42.52,41.92,42.06,41.34,41.73,42.19,42.44,42.77,43.04,43.51,43.65,43.44,42.87,42.62,42.61,42.18,42.53,42.67,42.75,42.83,42.92,42.98,42.78,42.6,42.41,41.96,42.16,42.07,41.99,42.02,42.06,41.99,41.73,42.07,42.68,42.45,42.58,42.64,42.26,42.5,41.97,41.63,41.58,41.04,41.35,41.47,41.61,41.36,41.66,41.79,41.89,42.09,41.94,42.19,41.74,41.75,41.71,41.55,41.39,41.18,40.9,41.46,41.46,41.57,41.66,41.74,41.79,42.08,41.66,41.72,41.29,41.29,41.27,41.5,41.36,41.03,40.64,40.53,40.49,40.38,40.23,40.21,39.94,39.81,40.04,40.39,40.12,40.64,40.77,40.9,40.43,40.01,39.8,39.83,39.85,39.59,40.03,39.92,40.27,40.01,39.79,39.42,39.82,39.82,39.61,39.85,39.72,39.72,39.69,39.28,39.41,39.17,38.9,39.22,39.22,39.2,39.62,40.42,40.78,40.41,40.31,40.34,40.35,40.22,40.19,40.06,40.29,39.92,39.79,39.67,40.07,39.88,39.88,39.53,39.43,39.61,39.33,38.9,38.8,38.25,38.42,38.24,38.29,38.11,38.43,38.57,38.64,38.6,37.88,38.1,38.35,38.19,37.94,37.89,37.55,37.58,36.82,36.97,36.97,36.55,36.65,36.15,35.57,34.67,35.11,33.19,33.29,34.62,37.28,37.61,37.44,37.47,37.59,37.66],"EWL^FG_PRICE(0,-200D)":[59.96,59.96,60.17,60.35,60.54,60.53,60.53,60.4,59.93,59.57,59.47,58.84,59.02,59.06,58.37,58.49,58.38,57.69,57.76,58.03,57.91,58.07,57.94,57.42,57.82,57.55,57.55,57.26,56.39,56.69,55.69,56.36,56.58,56.81,57.55,57.85,58.06,57.67,56.36,55.74,55.22,55.4,55.06,55.12,55.36,55.6,55.66,56.17,56.94,57.12,57.17,57.14,57.11,57.68,57.78,57.47,56.64,56.33,56.08,56.1,56.36,56.83,56.55,56.72,56.66,56.25,55.94,55.24,54.57,54.26,53.86,54.51,55.24,55.57,55.26,55.21,55.29,55.48,55.56,55.65,56.12,55.62,56.02,56.33,56.25,55.71,55.08,54.67,55.33,55.33,55.33,55.24,55.11,54.97,55.64,54.94,55.52,54.9,54.35,54.5,54.1,54.2,53.81,53.2,53.6,53.68,52.98,53.48,53.31,52.43,52.72,53.48,54.12,54.16,55.16,55.12,56.2,54.96,54.51,54.48,54.36,54.55,54.18,54.71,54.7,55.45,55.28,54.82,54.53,54.9,54.9,55.27,54.98,54.81,54.63,54.26,53.75,54.32,53.46,52.68,53.25,53.25,53.42,53.77,55.22,56.27,55.43,55.67,55.62,55.64,55.47,55.56,55.03,55.54,55.18,54.9,54.62,55.2,55.03,55.03,54.77,55.04,55.17,55.02,54.41,54.02,52.94,53.19,53.53,53.58,53.58,54.15,54.34,54.64,54.47,53.52,53.86,53.67,53.71,53.04,52.96,52.23,52.45,51.82,51.95,51.95,51.29,51.45,51.2,51.05,49.7,49.71,47.12,47.04,48.36,51.41,51.49,51.76,51.79,52.48,52.59],"EWJ^FG_PRICE(0,-200D)":[80.74,80.74,80.98,81.09,80.97,81.0,81.0,81.14,80.46,80.58,79.97,79.74,80.85,84.87,84.0,84.22,83.91,83.31,83.19,83.7,83.62,82.61,82.47,82.53,83.01,83.26,83.26,81.92,81.74,81.19,79.49,80.68,80.78,82.47,83.98,83.01,84.34,83.75,83.68,83.29,82.96,82.8,82.83,83.64,83.45,83.21,83.23,83.93,83.53,82.5,82.22,82.18,82.57,83.54,82.0,81.55,81.29,80.04,79.29,78.36,81.55,81.75,81.96,83.27,81.78,80.15,80.21,80.21,80.51,80.44,80.46,80.85,81.09,81.25,80.79,81.49,81.17,81.35,81.35,80.76,81.32,80.36,80.06,80.96,79.18,78.73,77.93,78.15,78.28,78.28,79.29,78.63,78.92,79.05,80.02,78.7,79.64,80.02,80.3,80.15,78.8,79.27,79.23,77.79,77.93,76.62,76.03,75.03,75.29,74.07,73.62,73.98,73.88,74.27,75.68,76.55,76.49,72.98,72.61,71.81,72.39,72.02,71.69,72.41,72.36,72.94,73.3,73.19,72.82,74.6,74.6,74.46,74.42,74.97,75.28,73.97,72.44,72.74,72.02,71.76,73.05,73.05,72.28,73.15,73.6,74.21,73.67,73.88,73.93,73.82,73.39,74.08,74.13,75.04,74.12,74.03,73.61,74.95,73.03,73.03,72.37,72.31,72.99,72.57,72.49,72.3,71.45,72.25,72.8,72.01,71.83,71.98,72.43,72.39,71.89,71.17,71.43,72.02,71.74,70.77,70.28,69.48,69.27,67.92,68.07,68.07,66.78,67.44,66.9,65.82,64.22,66.34,61.65,61.32,61.51,65.41,68.22,68.2,68.56,69.22,70.65],"EWG^FG_PRICE(0,-200D)":[42.5,42.5,42.75,42.51,42.65,42.57,42.57,42.44,42.34,42.1,41.94,41.61,42.03,42.1,42.18,42.39,41.94,41.53,41.34,41.41,41.14,40.95,40.89,40.52,40.92,40.6,40.6,40.19,39.47,39.4,38.89,39.51,39.53,40.01,40.86,41.25,41.68,41.23,40.96,40.48,40.39,40.73,40.34,40.91,40.73,41.0,41.27,41.72,41.78,41.59,41.55,41.44,41.69,41.88,41.38,41.59,41.53,41.67,41.78,41.52,42.09,42.34,42.07,42.42,42.43,42.47,42.13,41.61,41.31,41.2,40.75,41.24,41.27,41.24,41.22,41.45,41.06,41.15,41.42,41.31,41.39,41.07,41.48,41.69,41.34,41.34,41.05,41.04,41.88,41.88,42.02,41.89,42.13,42.12,42.66,42.08,42.39,42.39,42.45,42.58,42.5,42.38,42.15,41.94,42.34,42.33,41.84,41.49,41.3,40.75,41.15,41.63,41.89,41.67,42.81,42.7,43.21,42.42,42.42,42.13,42.35,42.18,41.82,42.35,42.45,42.86,43.26,42.59,42.23,42.21,42.21,42.17,42.01,42.31,42.3,41.64,41.15,41.39,40.75,40.34,40.28,40.28,40.4,41.13,41.51,42.22,42.11,42.12,42.31,42.52,42.57,42.46,42.12,42.34,41.97,41.85,41.77,42.31,41.26,41.26,41.64,41.68,41.77,41.56,40.85,40.86,40.34,40.59,40.38,40.77,40.46,40.44,40.67,40.72,40.34,39.46,39.49,39.67,39.47,39.36,39.03,38.44,38.03,37.03,37.4,37.4,37.22,37.2,36.82,36.37,35.8,36.22,33.22,33.55,34.32,36.73,37.38,37.29,37.08,37.39,37.59],"EWC^FG_PRICE(0,-200D)":[53.93,53.93,54.3,54.33,54.8,54.6,54.6,54.54,54.17,53.68,53.22,52.81,52.98,53.8,53.89,54.08,53.72,53.07,52.95,53.29,53.07,52.47,52.14,52.18,52.7,52.25,52.25,51.56,51.05,50.43,49.91,50.62,50.53,50.34,50.89,50.64,51.75,51.04,50.89,50.1,49.75,50.26,49.72,50.67,50.74,50.67,50.75,51.41,50.79,50.84,50.58,50.2,49.99,50.72,50.28,50.62,50.96,50.53,50.59,49.86,50.53,51.14,50.94,51.3,51.24,50.59,50.57,50.55,50.46,50.02,50.05,50.24,50.53,50.88,50.73,50.18,49.98,50.08,50.13,49.6,49.92,49.42,49.27,49.3,49.17,49.12,48.87,48.59,48.79,48.79,48.46,48.37,48.02,47.55,48.03,47.28,47.11,47.0,47.35,47.27,47.33,47.64,47.51,47.28,47.34,47.34,47.73,46.93,46.58,45.86,46.18,46.38,46.79,46.72,47.01,46.97,47.17,47.09,46.71,46.59,46.71,46.47,46.04,46.44,46.13,46.41,46.13,46.0,46.18,46.67,46.67,46.33,46.19,46.2,45.58,45.92,45.32,45.62,45.33,45.1,45.32,45.32,45.45,45.76,45.88,46.0,45.66,45.43,45.3,45.39,45.32,45.25,45.34,45.39,44.96,44.78,44.76,44.82,44.44,44.44,44.0,43.94,44.19,44.05,43.89,43.83,43.44,43.4,43.08,42.85,42.81,42.89,42.77,42.66,42.84,42.31,42.45,42.45,42.37,42.04,42.06,41.52,41.39,40.77,41.1,41.1,40.83,40.53,40.44,39.87,38.74,39.54,37.17,37.79,38.41,40.62,41.59,41.13,40.75,40.57,41.25],"EWA^FG_PRICE(0,-200D)":[26.19,26.19,26.41,26.48,26.68,26.6,26.6,26.61,26.15,25.88,25.81,25.58,25.82,26.42,26.52,26.64,26.65,26.35,26.24,26.34,26.29,26.13,25.93,25.73,25.85,25.82,25.82,25.62,25.44,25.33,24.95,25.3,25.4,25.64,25.95,25.94,26.58,26.63,26.81,26.44,26.46,26.67,26.41,26.84,26.77,26.89,27.0,27.52,27.37,27.18,27.19,27.07,27.11,27.26,26.92,26.97,26.89,26.7,26.66,26.44,26.92,27.23,27.14,27.36,27.43,27.18,27.15,27.0,26.98,26.67,26.47,26.47,26.87,26.92,26.89,26.89,27.14,27.38,27.57,27.24,27.41,27.11,26.89,27.0,26.93,26.9,26.6,26.77,27.08,27.08,27.09,27.0,26.97,26.83,27.26,26.86,26.7,26.61,26.84,26.83,26.74,26.91,26.96,26.65,26.63,26.6,26.66,26.41,26.28,25.91,26.02,26.15,26.37,26.22,26.48,26.58,26.82,26.55,26.37,26.45,26.28,26.19,26.07,26.39,26.36,26.58,26.24,26.14,25.98,26.48,26.48,26.54,26.35,26.32,26.09,26.43,26.03,26.05,25.79,25.55,25.86,25.86,25.77,26.09,26.32,26.64,26.6,26.71,26.44,26.37,26.36,26.33,26.07,26.15,25.81,25.64,25.56,25.87,25.65,25.65,25.41,25.41,25.63,25.63,25.47,25.55,25.16,25.42,25.18,25.01,24.83,24.89,25.05,24.99,25.31,24.65,24.67,24.55,24.52,24.51,24.51,24.0,23.96,23.48,23.61,23.61,23.42,23.36,23.29,22.77,22.35,22.81,20.82,20.85,21.15,23.25,23.89,23.71,23.44,23.47,23.75],"ENZL^FG_PRICE(0,-200D)":[45.2715,45.2715,45.41,45.41,45.73,45.74,45.74,45.54,45.18,44.82,44.6999,44.635,45.1265,45.75,45.71,46.35,46.2943,45.9504,46.0267,45.995,46.005,46.1656,45.8184,45.48,45.6257,45.47,45.47,44.6994,44.47,44.33,43.75,43.6663,44.2359,44.4932,44.845,44.9434,45.6572,45.675,45.6841,45.5808,45.3331,45.91,45.38,45.7056,45.89,45.755,45.675,45.845,45.99,45.615,45.52,45.2309,45.325,45.56,45.175,45.42,45.14,45.0665,45.45,45.805,46.575,47.095,47.05,47.135,47.1883,46.68,46.7116,45.9334,45.485,45.365,45.1969,45.5963,45.8659,46.2872,46.41,46.255,47.045,47.0204,47.1072,46.74,47.225,46.85,46.655,46.74,46.13,45.37,45.495,45.3801,44.86,44.86,44.87,44.67,45.19,45.62,45.7829,45.58,45.675,45.605,45.845,45.684,45.57,45.82,45.659,45.79,45.745,45.795,45.63,45.255,44.93,44.69,45.05,45.19,45.8343,45.64,46.0511,45.98,46.135,46.155,46.3676,45.695,45.872,45.56,44.89,45.49,45.76,46.01,46.07,45.98,45.5,45.96,45.96,46.265,45.96,45.61,45.37,45.32,44.6,44.79,44.86,44.6,45.08,45.08,45.09,45.97,45.19,46.07,45.76,45.65,45.32,45.31,45.53,45.25,44.61,45.04,44.39,43.97,44.23,45.38,45.36,45.36,45.08,45.22,45.2,45.15,45.41,45.6,45.33,45.62,44.75,45.17,44.23,44.56,44.82,44.49,44.29,43.06,42.61,43.35,43.6,43.76,43.805,42.8238,43.095,43.38,43.5,43.5,43.03,42.68,43.1,42.39,41.79,41.36,39.48,39.39,40.13,42.72,42.67,42.39,42.08,42.05,42.6],"KSA^FG_PRICE(0,-200D)":[36.41,36.41,36.05,36.39,36.57,36.6,36.6,36.76,36.55,36.36,36.3,35.83,36.09,36.81,37.4,37.62,37.66,37.43,37.19,37.2,37.17,37.04,36.98,37.06,37.44,37.38,37.38,37.59,38.16,38.28,38.19,38.43,38.79,38.45,38.83,38.73,39.17,39.39,39.32,39.28,39.3,39.35,39.68,40.0,40.28,40.23,41.03,40.89,40.61,40.73,40.67,40.51,40.47,40.89,40.78,40.78,40.89,40.75,40.69,39.81,40.68,40.55,40.59,40.77,40.49,40.48,40.25,40.58,40.15,39.95,39.84,40.54,40.78,38.18,37.83,37.77,37.43,36.9,36.71,36.72,36.8,36.8,36.76,36.69,37.2,37.35,37.11,37.21,37.36,37.36,37.47,37.68,38.02,38.08,38.13,37.94,37.89,37.84,37.83,37.55,37.59,37.44,37.49,37.43,37.83,37.83,38.04,37.78,37.63,37.32,37.56,37.62,37.39,37.61,37.72,37.68,37.97,37.5,37.82,38.13,38.17,38.1,38.09,38.65,38.89,39.0,38.89,38.9,39.08,38.89,38.89,38.44,38.25,38.54,38.26,38.16,37.82,37.72,37.1,36.56,36.36,36.36,36.83,37.48,37.13,38.07,38.46,38.72,38.57,38.51,38.48,38.38,38.0,38.16,38.33,38.39,38.6,38.21,39.17,39.17,39.28,39.3,39.89,39.91,40.19,40.13,40.21,40.3,40.04,39.54,39.44,39.53,39.72,39.71,40.33,40.01,40.43,40.74,40.85,41.16,41.05,40.37,40.41,39.9,40.19,40.19,40.04,40.24,40.01,39.58,39.34,40.2,38.17,38.75,38.98,40.61,41.52,41.34,41.37,41.07,41.39],"VNM^FG_PRICE(0,-200D)":[19.08,19.08,19.01,18.92,18.4,19.01,19.01,19.08,18.61,18.39,17.88,17.54,17.85,17.42,17.49,18.27,18.28,18.65,18.72,18.65,18.59,18.69,18.65,18.38,18.34,18.24,18.24,17.75,17.91,17.72,17.45,17.61,17.73,17.66,17.59,17.42,17.53,16.93,16.71,16.88,17.32,17.57,17.53,17.09,17.43,17.71,18.15,18.18,17.74,18.21,18.29,18.17,18.045,18.2,19.2,19.64,19.42,19.69,19.59,18.98,18.75,18.43,18.23,18.435,17.53,17.515,18.04,17.84,17.69,17.55,17.67,17.58,17.29,17.53,17.68,17.8,17.88,18.06,18.4,17.97,18.03,17.75,17.67,17.37,17.97,18.43,18.25,18.14,18.29,18.29,18.315,18.02,17.96,17.22,17.36,17.6,17.69,17.9,17.84,17.71,17.76,17.46,17.44,17.27,17.18,16.8,17.09,16.67,16.58,15.95,16.01,16.03,15.9,16.78,16.47,15.995,16.0,15.82,15.35,15.575,15.67,15.41,15.04,15.24,15.22,15.12,14.89,14.51,14.18,13.96,13.96,13.76,13.72,13.75,13.73,13.61,13.54,13.62,13.4,13.345,13.36,13.36,13.31,13.26,13.02,13.36,13.32,13.4,13.26,13.64,13.74,13.86,13.96,13.81,13.59,13.51,13.71,13.585,13.14,13.14,13.17,13.21,13.09,12.865,12.75,12.81,12.82,12.74,12.69,12.49,12.6,12.42,12.22,12.27,12.24,12.11,12.07,12.05,11.95,12.01,12.0,11.62,11.64,11.51,11.73,11.73,11.5,11.74,11.93,11.87,11.31,11.46,10.13,11.16,11.64,11.4,12.7,12.56,12.48,12.38,12.56],"UAE^FG_PRICE(0,-200D)":[19.12,19.12,19.05,19.6,19.54,19.52,19.52,19.56,19.45,19.25,19.31,19.1129,19.24,19.38,19.35,19.51,19.4401,19.38,19.08,19.22,19.05,18.85,18.53,18.4941,18.58,18.53,18.53,18.71,18.75,18.68,18.7582,18.87,18.85,18.93,19.17,19.19,19.48,19.69,19.53,19.43,19.31,19.35,19.36,19.58,19.68,20.15,20.0,20.01,19.97,19.98,19.92,19.69,19.58,19.57,19.63,19.47,19.47,19.57,19.16,19.0,19.25,19.29,19.13,19.04,19.11,19.08,18.99,18.89,18.82,18.98,18.84,18.68,19.14,19.55,19.47,19.36,19.16,19.32,19.2,19.17,19.01,18.85,18.91,18.94,19.16,19.2,19.03,19.14,19.38,19.38,19.53,19.68,19.75,19.83,19.96,19.753,19.8,19.8383,19.965,19.905,19.98,19.93,20.15,20.08,20.14,20.1,20.25,20.01,20.21,19.95,20.0399,20.26,20.145,20.32,20.35,20.11,20.105,19.795,19.9,19.98,20.05,19.86,19.41,19.37,19.21,19.08,19.13,18.84,18.86,18.84,18.84,18.6,18.66,18.72,18.57,18.5,18.22,18.3,17.66,17.26,16.99,16.99,17.24,17.56,17.88,18.395,18.72,18.78,18.71,18.67,18.61,18.59,18.59,18.45,18.57,18.59,18.66,18.62,18.45,18.45,18.53,18.57,18.71,18.65,18.48,18.3,18.16,18.36,18.13,18.15,18.14,18.18,18.31,18.23,18.14,17.96,17.88,17.99,17.64,17.47,17.57,17.23,17.01,16.76,16.76,16.76,16.68,16.79,16.71,16.51,16.17,16.46,15.58,15.88,15.6,16.35,17.0,16.93,16.97,16.85,17.05],"TUR^FG_PRICE(0,-200D)":[34.42,34.42,34.42,34.41,34.76,34.87,34.87,34.815,34.61,34.86,34.82,34.735,34.71,35.29,34.82,34.82,34.73,34.66,34.42,33.84,33.55,33.87,34.1,34.03,33.5,33.59,33.59,33.54,33.76,33.78,33.58,33.66,33.3,33.08,32.85,32.78,33.03,32.85,33.55,33.86,34.25,34.13,33.91,34.45,34.15,33.64,33.91,33.98,33.89,34.04,33.11,32.96,32.72,32.76,31.9,32.34,32.56,32.35,33.04,32.84,33.37,33.615,33.69,33.47,33.74,34.45,34.96,34.23,34.57,34.77,35.19,35.3,35.06,35.58,35.38,34.35,34.75,34.82,34.24,32.27,32.32,32.92,32.68,32.54,33.33,33.73,33.51,33.97,35.29,35.29,35.54,35.51,35.97,35.93,35.69,35.51,35.04,34.5,34.47,34.24,34.11,34.47,34.54,34.8448,34.68,34.61,34.46,34.29,34.32,33.92,33.85,33.66,33.28,33.43,33.79,33.95,33.86,33.87,33.93,32.995,33.15,32.5,32.84,32.97,33.17,33.25,32.79,32.12,32.44,33.04,33.04,33.07,32.48,32.26,30.49,30.19,30.68,30.86,30.08,29.96,30.11,30.11,30.21,30.63,30.75,31.57,32.11,32.17,31.66,31.61,31.44,31.36,30.84,30.05,29.99,30.54,30.56,30.86,31.24,31.24,31.7,31.42,31.86,32.49,32.43,31.91,32.48,32.46,32.62,31.41,31.19,30.31,30.76,30.7,30.94,30.66,30.67,31.18,31.48,31.96,32.18,31.77,31.66,31.71,31.91,31.91,31.21,31.85,32.13,32.08,31.9,32.83,31.83,31.86,31.67,32.2,32.44,32.89,32.82,32.67,32.31],"SET-BKK^FG_PRICE(0,-200D)":[1259.67,1259.67,1259.67,1254.03,1259.25,1264.77,1275.33,1271.11,1269.68,1252.19,1250.07,1256.85,1260.68,1273.4,1254.1,1253.54,1269.87,1269.87,1261.39,1273.77,1273.77,1274.82,1277.58,1276.57,1256.69,1252.71,1261.18,1268.78,1252.73,1254.4,1281.81,1272.17,1270.04,1280.07,1269.26,1287.44,1284.81,1300.47,1306.26,1302.91,1313.31,1295.29,1298.6,1308.86,1309.5,1314.65,1315.64,1314.28,1323.52,1313.91,1302.35,1302.35,1290.72,1284.47,1274.61,1291.46,1286.69,1266.38,1286.98,1286.98,1313.99,1304.92,1305.24,1285.64,1293.61,1288.29,1275.03,1274.17,1288.07,1278.74,1288.26,1278.41,1273.2,1282.54,1292.72,1297.01,1306.69,1308.19,1299.78,1293.62,1288.03,1278.05,1276.08,1266.11,1264.8,1252.55,1259.31,1248.78,1244.48,1236.61,1250.09,1248.03,1251.26,1262.67,1253.39,1244.79,1248.13,1235.76,1242.31,1259.42,1266.67,1277.43,1259.07,1259.07,1259.07,1265.15,1264.47,1246.96,1229.4,1218.33,1242.35,1244.14,1233.68,1217.15,1217.15,1212.49,1219.62,1191.75,1208.13,1206.58,1198.11,1157.63,1161.01,1143.31,1121.13,1110.4,1110.4,1115.65,1123.0,1119.94,1127.21,1115.69,1110.01,1089.56,1082.42,1106.73,1107.69,1100.01,1062.78,1067.63,1068.73,1094.58,1113.58,1114.49,1122.7,1128.62,1141.58,1139.16,1135.24,1136.43,1140.63,1132.02,1149.18,1149.18,1149.18,1164.01,1160.74,1163.42,1178.43,1176.36,1173.37,1179.81,1189.14,1187.06,1195.77,1194.49,1216.71,1214.39,1210.94,1210.94,1206.59,1220.27,1187.86,1198.98,1198.98,1197.26,1197.26,1171.12,1159.53,1159.0,1146.86,1153.77,1144.05,1134.71,1150.95,1141.28,1138.9,1128.66,1128.66,1128.66,1133.95,1088.18,1074.59,1125.21,1125.21,1161.81,1172.69,1168.02,1158.09,1175.45,1187.9],"QAT^FG_PRICE(0,-200D)":[18.8183,18.8183,18.95,18.8751,18.865,18.96,18.96,18.9302,18.8396,18.775,18.74,18.6081,18.6969,19.01,19.32,19.315,19.1685,19.0414,18.9554,18.9304,18.9402,18.9302,18.775,18.71,18.88,18.885,18.885,18.77,18.85,18.68,18.615,18.955,18.815,18.89,19.285,19.25,19.555,19.6479,19.48,19.42,19.46,19.415,19.435,19.315,19.3,19.2891,19.25,19.195,19.195,19.29,19.26,19.14,19.09,19.135,19.085,19.1356,19.0707,19.205,19.255,19.23,19.33,19.31,19.26,19.215,19.295,19.275,19.39,19.53,19.425,19.42,19.37,19.565,19.785,19.94,19.94,19.94,19.85,19.77,19.55,19.54,19.58,19.53,19.37,19.63,19.69,19.7,19.86,19.73,20.0,20.0,19.96,20.13,20.14,20.0026,20.1896,20.065,20.08,20.24,20.38,20.54,20.52,20.56,20.27,20.0346,19.93,19.946,19.85,19.785,19.71,19.665,19.655,19.66,19.6,19.6,19.63,19.61,19.54,19.34,19.12,18.91,18.96,18.779,18.69,18.71,18.73,18.75,18.75,18.73,18.68,18.63,18.63,18.56,18.58,18.62,18.57,18.53,18.36,18.25,17.96,17.72,17.82,17.82,17.895,18.045,18.2,18.9,18.96,18.92,18.83,18.83,18.78,18.91,19.08,18.8,18.75,18.83,18.94,18.91,19.15,19.15,19.11,19.18,19.06,19.05,18.88,18.84,18.83,18.7553,18.7,18.69,18.615,18.51,18.55,18.55,18.54,18.34,18.31,18.2,18.14,18.16,18.12,17.9,17.91,17.78,17.72,17.72,17.78,17.89,17.79,17.61,17.52,17.57,17.23,17.16,16.83,17.66,17.86,17.88,17.84,17.75,17.87],"MCHI^FG_PRICE(0,-200D)":[60.07,60.07,60.58,60.37,61.27,60.61,60.61,60.67,60.89,60.63,59.99,59.47,59.7,60.87,61.52,61.69,61.81,61.35,62.22,62.66,61.98,61.88,62.24,62.66,62.2,61.91,61.91,62.2,61.96,60.92,60.88,61.91,62.42,62.78,63.5,64.46,64.58,64.53,64.7,63.61,63.97,63.36,62.73,63.55,63.57,64.38,65.49,65.12,65.59,64.51,64.11,63.03,63.44,64.12,63.31,63.4,63.25,62.58,63.3,61.39,65.12,66.13,65.81,66.64,66.55,66.99,66.25,65.85,65.53,64.32,64.76,64.58,63.66,64.43,64.44,64.75,65.8,64.86,64.43,63.95,64.21,62.54,62.97,62.3,61.35,60.3,61.33,61.64,61.31,61.31,60.45,60.02,61.62,61.54,61.57,60.0,59.92,59.59,60.04,59.68,59.3,60.56,58.73,57.82,58.19,58.2,58.36,57.86,57.47,56.52,57.43,57.89,58.56,58.7,58.93,59.18,59.25,58.665,57.81,57.45,56.92,56.51,56.68,55.55,54.95,55.01,54.58,55.13,54.62,54.72,54.72,55.0,55.27,55.1,55.18,55.54,55.53,55.57,54.13,53.5,53.93,53.93,54.44,55.01,54.77,55.79,55.86,55.69,55.52,54.92,54.99,54.79,53.76,53.26,52.82,53.86,53.33,54.04,54.78,54.78,54.75,54.99,55.2,54.7,54.42,54.57,55.6,54.7,55.06,53.25,53.45,52.69,53.95,53.4,53.42,51.59,51.66,51.68,51.85,51.91,51.97,51.66,50.9,49.39,49.29,49.29,49.16,50.17,50.56,49.68,47.98,48.06,45.22,46.0,50.0,53.67,54.16,54.55,54.4,54.57,55.81],"INDA^FG_PRICE(0,-200D)":[54.05,54.05,53.64,53.47,53.84,54.01,54.01,54.47,54.19,54.15,53.28,52.97,52.95,53.1,53.14,53.57,53.36,53.27,53.08,53.97,53.76,53.41,53.88,54.33,54.71,54.67,54.67,54.28,54.22,54.21,54.72,54.83,54.61,54.65,54.62,54.2,54.56,54.74,54.15,53.75,53.62,54.3,54.02,54.24,53.97,54.27,54.61,54.54,54.72,54.51,54.76,55.29,54.48,54.74,54.45,54.065,53.76,52.78,52.97,52.77,52.81,52.63,52.88,52.76,52.45,52.3,52.39,52.06,52.16,52.25,52.49,52.74,53.06,53.5,53.94,53.74,54.02,53.87,53.43,53.15,53.24,53.16,52.71,52.89,52.48,52.59,52.62,52.35,51.98,51.98,52.54,52.68,52.55,53.23,53.58,53.57,53.8,53.65,53.5,52.71,52.41,52.71,52.465,52.27,52.12,52.53,52.255,52.41,52.48,52.72,52.64,52.7,53.49,53.23,53.8,54.06,54.73,54.61,54.75,54.5,55.01,55.27,54.875,54.92,54.88,55.27,55.66,55.69,55.36,55.79,55.79,55.6,55.84,55.68,55.86,55.71,55.0,54.8,54.31,53.9,53.79,53.79,53.83,54.56,54.04,54.8,55.33,55.26,55.24,54.91,54.18,53.92,53.96,54.54,54.31,54.59,54.285,54.53,54.58,54.58,53.79,54.03,54.07,54.78,54.66,54.77,53.97,54.01,54.32,52.39,51.54,53.22,53.68,54.32,53.91,53.54,53.57,53.54,53.29,52.85,53.74,53.18,53.5,53.0,52.26,52.26,51.13,51.13,51.03,50.76,50.52,51.22,49.16,49.13,49.19,51.18,51.56,51.05,51.48,51.28,51.79],"GREK^FG_PRICE(0,-200D)":[65.91,65.91,66.5,68.0,68.61,68.16,68.16,68.21,68.39,67.25,66.94,66.25,66.81,67.45,67.24,67.67,66.77,65.8,66.97,66.45,66.3,66.37,66.64,66.28,65.32,66.15,66.15,65.48,63.99,64.64,62.76,63.34,63.2,64.5,65.0,64.67,64.32,63.63,63.69,62.35,62.47,62.68,62.17,63.18,62.22,62.69,63.76,62.89,63.03,63.27,64.06,63.56,63.28,62.99,62.75,63.87,64.67,64.83,65.61,65.45,65.7,65.62,65.33,65.38,66.17,65.25,65.56,64.4,64.27,63.82,63.96,65.0,65.23,64.76,64.14,64.3,64.1,64.77,65.23,65.17,64.22,63.64,63.6,63.86,63.4,63.26,63.4,62.28,63.09,63.09,63.94,64.49,64.98,65.62,65.995,65.2,65.4,65.15,65.58,66.89,66.53,66.81,66.35,65.68,65.0692,64.58,64.2,62.98,62.02,60.34,60.51,60.44,60.98,60.45,62.15,62.0,62.58,61.43,61.53,61.2,61.52,60.8,60.25,60.82,60.99,61.32,61.08,60.9,59.12,59.72,59.72,59.34,58.63,58.04,58.17,59.31,58.42,57.86,56.55,54.71,54.58,54.58,54.88,55.79,56.0,56.89,56.52,56.48,55.85,55.46,55.77,55.24,55.29,55.7,55.0,55.71,55.85,55.02,53.23,53.23,53.88,54.14,53.89,52.9,52.5,52.15,52.22,52.07,51.6,51.0483,50.26,50.37,50.13,50.44,50.1,49.3,49.52,49.99,49.71,49.52,49.95,49.35,49.05,47.02,47.34,47.34,47.35,47.415,46.92,45.92,44.76,44.85,42.65,40.77,43.59,47.32,48.1,47.63,46.97,48.4701,48.9],"EZA^FG_PRICE(0,-200D)":[68.8,68.8,69.23,68.43,70.31,69.92,69.92,69.54,68.79,67.6,67.51,66.64,65.7,69.61,68.63,69.5,68.18,66.91,66.39,67.88,67.05,66.92,66.5,67.45,66.74,67.83,67.83,66.3,65.89,64.86,64.93,66.57,66.16,66.13,66.99,67.83,68.08,66.53,66.62,64.24,63.7,63.4,61.44,63.76,63.77,64.37,64.75,65.23,64.2,65.18,64.93,63.58,63.27,66.21,65.41,67.33,66.03,65.31,66.01,63.32,65.06,66.8,64.79,65.32,65.06,64.21,64.75,64.1,63.42,63.3,61.67,61.97,62.87,62.46,62.54,61.48,60.86,61.0,60.93,60.57,60.56,59.73,59.03,59.34,57.92,56.57,57.7,57.25,57.67,57.67,57.15,57.38,58.1,58.35,58.8,56.91,57.11,56.67,57.11,57.62,57.64,58.36,57.5,56.36,56.45,56.66,56.17,55.4,55.05,53.43,53.05,53.99,54.54,54.22,54.74,55.44,56.27,55.74,55.7,54.81,53.57,53.43,52.86,52.99,52.98,53.95,54.0,53.81,53.84,54.79,54.79,54.31,54.21,53.75,52.64,52.98,52.89,53.46,52.35,51.73,51.8,51.8,51.56,53.04,53.3,54.77,54.08,54.66,54.44,53.94,54.03,53.46,53.13,53.27,52.21,53.05,52.03,51.91,52.52,52.52,51.43,51.45,51.61,51.08,51.24,51.09,50.22,50.41,50.19,50.64,49.85,50.23,50.71,50.44,50.19,49.27,49.52,49.14,49.09,48.38,47.96,47.55,48.16,47.6,47.9,47.9,47.43,47.1,47.22,45.62,43.94,44.27,40.54,40.77,41.29,44.88,46.65,48.1,48.13,47.6,48.21],"EWZ^FG_PRICE(0,-200D)":[31.77,31.77,31.99,31.42,31.73,31.55,31.55,31.65,30.97,31.17,31.17,31.0,31.6,33.58,33.32,33.16,32.77,32.74,32.75,32.53,34.72,34.2,34.03,33.4,33.61,33.47,33.47,32.55,32.2,32.03,31.9,32.49,32.71,32.78,33.18,32.98,33.22,33.49,32.72,32.3,32.04,32.1,31.18,31.52,31.17,31.05,31.18,30.92,30.77,30.48,30.47,30.03,29.94,30.22,29.71,29.24,29.32,29.1,29.18,28.79,29.67,29.87,29.68,30.31,30.33,30.24,30.58,31.0,30.99,30.73,30.58,31.05,31.32,30.79,30.93,30.82,30.94,30.69,30.51,30.03,30.05,29.79,29.54,29.58,29.63,29.17,28.99,29.0,29.5,29.5,29.49,29.02,28.61,28.74,28.61,27.66,27.69,27.36,28.29,28.2,27.89,28.18,28.39,27.64,27.81,28.05,27.45,27.02,26.93,26.65,26.55,26.88,26.76,26.52,26.94,27.13,27.48,27.0,27.08,26.85,27.69,27.57,27.47,27.31,27.53,27.72,28.16,28.71,28.6,29.31,29.31,28.91,28.79,28.85,28.14,28.13,27.57,27.98,27.66,27.67,28.08,28.08,28.11,28.31,28.14,28.15,28.22,27.72,27.62,27.72,27.6,27.44,27.58,27.27,27.21,27.7,27.69,27.99,27.65,27.65,27.52,27.67,28.16,28.18,28.0,28.01,28.2,28.33,27.49,27.56,27.48,26.4,26.61,26.71,27.12,26.88,27.04,27.36,27.21,26.94,26.74,26.31,25.86,25.2,25.22,25.22,24.79,24.86,25.01,24.69,24.19,24.71,23.44,23.95,24.5,26.33,26.14,26.14,25.85,25.96,26.33],"EWY^FG_PRICE(0,-200D)":[97.22,97.22,98.62,98.72,95.84,94.6,94.6,92.7,91.75,91.34,90.07,88.58,89.52,92.73,92.67,94.96,96.75,95.57,95.07,94.3,91.87,93.0,92.07,90.62,90.87,91.55,91.55,89.79,90.3,89.22,88.53,90.56,91.59,93.02,94.13,94.07,95.92,95.29,95.67,91.8,93.51,96.62,95.76,100.78,97.0,95.26,96.9,94.45,94.31,92.05,90.07,89.45,88.64,90.43,88.52,87.88,85.17,82.69,83.62,80.72,83.43,84.19,83.35,84.78,83.85,83.53,81.89,80.1,80.24,78.87,79.89,80.04,81.45,81.56,80.05,80.75,79.83,80.69,79.19,78.66,77.86,76.65,74.92,74.19,73.63,73.07,72.91,71.92,72.24,72.24,73.64,72.47,72.39,72.73,73.51,71.22,71.36,71.44,72.8,73.39,73.66,74.72,74.1,73.03,73.5,73.44,73.18,72.89,72.33,70.65,72.81,73.68,73.49,72.71,73.21,73.31,73.85,72.89,73.87,72.39,73.06,73.08,73.07,73.2,72.56,73.14,72.08,72.08,70.07,72.7,72.7,71.95,71.64,71.78,70.74,71.94,72.37,72.65,69.42,68.53,67.87,67.87,66.63,68.19,66.42,67.69,66.99,66.16,66.48,65.57,65.36,63.98,61.89,61.74,60.63,61.8,60.75,59.98,58.96,58.96,58.29,59.1,58.4,58.82,58.79,58.8,58.61,58.12,58.04,57.69,57.2,57.79,58.5,58.38,57.71,55.6,56.19,56.1,55.65,55.81,55.95,55.6,54.81,54.39,54.31,54.31,54.06,54.38,54.35,54.31,51.82,53.28,48.92,50.78,51.25,53.14,54.63,54.85,54.04,54.79,56.49],"EWW^FG_PRICE(0,-200D)":[69.33,69.33,69.49,70.51,71.15,70.95,70.95,71.04,69.95,68.85,68.75,67.45,68.28,70.48,70.69,71.06,69.04,69.27,68.64,68.68,68.82,68.43,68.71,68.46,68.42,67.88,67.88,67.75,66.55,66.04,66.02,66.77,66.67,65.87,67.22,67.38,68.16,69.34,67.91,67.82,66.97,67.18,65.65,66.23,66.53,66.73,67.43,67.1,66.33,65.37,66.02,65.51,65.07,65.94,66.13,67.05,65.87,64.84,65.47,64.39,65.42,65.73,65.04,65.44,66.81,66.9,66.78,68.21,67.46,67.14,66.18,66.47,67.43,66.9,66.1,65.95,66.53,66.8,66.77,66.12,65.71,64.28,64.26,64.15,63.83,63.07,62.8,62.91,61.94,61.94,62.52,61.94,61.44,61.71,62.8,61.55,61.17,61.25,61.19,61.34,60.99,61.99,62.33,61.54,61.64,61.65,60.76,60.19,59.23,59.6,60.14,60.17,60.93,60.06,61.05,60.85,60.47,59.03,59.24,59.46,59.79,59.77,59.38,59.61,60.13,60.29,60.28,60.89,61.11,61.7,61.7,61.59,61.12,60.56,60.32,60.31,59.68,59.21,57.94,58.11,58.97,58.97,58.91,59.82,61.06,61.57,61.56,61.36,61.09,61.24,60.72,60.25,60.39,60.64,60.17,61.23,60.9,61.13,60.67,60.67,59.83,60.32,60.53,60.57,59.51,59.26,59.36,59.08,57.84,58.12,58.11,59.09,58.39,56.68,56.94,56.67,56.97,56.42,58.12,57.94,57.34,56.51,55.51,54.34,54.93,54.93,53.02,52.19,51.91,50.68,50.3,51.86,48.06,48.52,49.92,54.26,52.16,52.05,50.96,51.62,52.15],"EWT^FG_PRICE(0,-200D)":[63.53,63.53,63.71,63.33,63.02,62.53,62.53,62.5,61.98,61.64,60.87,60.03,61.12,64.11,64.1,65.92,66.8,65.72,65.57,65.35,64.51,64.85,64.63,64.13,64.51,63.66,63.66,62.8,62.51,61.8,61.68,62.5,62.67,63.16,65.17,63.99,65.41,65.39,65.75,64.61,64.94,66.03,65.43,66.9,66.65,66.54,67.13,67.09,66.98,66.48,65.71,65.03,65.78,66.17,65.09,65.17,64.99,63.7,64.56,61.62,64.83,65.65,64.81,65.03,64.64,64.0,64.14,63.62,63.08,62.74,63.06,63.57,64.29,64.02,63.38,63.77,63.21,63.32,63.02,62.83,62.74,62.56,61.62,60.98,60.21,59.3,58.73,58.05,58.82,58.82,59.9,59.77,59.5,59.26,59.66,58.57,58.78,60.09,61.04,60.42,60.65,61.03,61.09,60.28,60.29,60.36,59.14,58.92,58.84,58.39,58.36,58.35,58.62,59.06,59.43,59.39,59.8,58.72,59.36,59.24,59.48,58.98,58.27,57.81,58.3,58.38,58.03,57.66,57.63,59.44,59.44,58.75,57.58,57.4,57.85,57.85,57.31,56.82,55.18,54.84,56.03,56.03,55.65,56.46,55.85,56.74,55.83,55.8,54.71,54.11,53.74,53.96,53.15,52.84,52.38,52.87,53.26,53.58,53.52,53.52,53.7,53.72,53.48,53.82,54.01,53.99,53.77,53.28,52.95,51.75,51.16,51.0,51.56,52.96,50.95,47.82,47.48,47.15,46.47,46.34,46.18,45.5,44.33,44.22,44.88,44.88,44.99,46.05,45.77,45.62,43.32,44.79,40.95,42.03,43.82,46.05,48.48,48.2,47.48,47.82,49.2],"EWM^FG_PRICE(0,-200D)":[27.36,27.36,27.57,27.53,27.64,27.69,27.69,27.53,27.41,27.2,26.88,26.6,26.79,27.09,26.98,26.87,26.52,26.37,26.32,26.64,26.59,26.73,26.67,26.6,26.43,26.64,26.64,26.49,26.47,26.29,26.05,26.33,26.16,26.23,26.45,26.5,26.53,26.78,26.47,26.23,26.01,26.2,25.98,26.06,25.85,25.88,25.91,26.01,25.96,25.69,25.65,25.47,25.74,25.82,25.7,25.58,25.66,25.72,25.71,25.33,25.98,26.02,25.99,26.09,26.2,26.27,26.21,25.92,25.78,25.73,25.27,25.33,25.74,25.79,25.59,25.6,25.95,25.54,25.55,25.47,25.33,25.17,25.17,25.12,25.03,24.97,24.87,24.73,24.87,24.87,25.13,25.05,25.13,25.5,25.72,25.19,25.19,25.18,25.13,24.98,25.03,25.27,24.94,24.6,24.51,24.38,24.4,24.24,24.13,23.98,23.49,23.84,24.04,24.05,24.19,24.3,24.21,23.99,24.03,23.93,23.93,23.71,23.8,24.09,24.08,24.11,23.98,23.95,23.93,24.41,24.41,24.41,24.38,24.34,24.07,24.07,23.82,23.77,23.53,23.41,23.59,23.59,23.53,23.93,24.26,24.54,24.45,24.28,24.32,24.25,24.31,24.14,24.09,24.15,23.96,24.3,24.47,24.52,24.58,24.58,24.24,24.49,24.5,24.69,24.87,25.08,25.07,24.87,24.5,24.45,24.31,24.68,24.64,24.86,24.85,24.12,24.17,23.7,23.71,23.43,23.43,23.07,22.91,23.04,22.77,22.77,22.44,22.63,22.65,22.46,22.05,22.14,21.2,21.75,21.91,23.01,23.32,23.03,23.08,23.0,23.55],"EPU^FG_PRICE(0,-200D)":[72.35,72.35,72.91,71.95,73.77,72.74,72.74,72.78,72.08,71.2,69.98,69.18,69.3,69.25,69.3,69.68,68.29,67.48,66.53,67.03,67.0,66.03,64.67,64.57,64.47,63.1,63.1,61.56,61.02,59.64,59.5,61.25,60.32,61.1636,62.34,62.52,64.38,63.04,63.13,61.77,61.75,61.39,60.31,62.16,62.78,63.11,63.12,62.53,61.55,61.62,61.61,60.71,61.35,64.0,62.97,64.55,64.1,63.3,63.41,60.91,62.65,63.53,61.87,62.71,62.31,61.33,61.05,61.5,60.8036,59.3,59.78,59.89,58.88,58.59,57.8112,57.14,57.8745,57.9154,58.4354,57.768,57.5472,56.45,56.0,56.6475,56.5,55.73,56.01,54.91,53.8,53.8,53.4188,52.9672,53.39,52.93,53.23,52.009,51.75,51.68,52.3821,52.1916,51.95,52.16,51.75,51.1309,51.72,50.7055,50.1833,49.7,49.27,48.35,48.65,47.99,49.44,49.15,49.61,49.98,50.3,49.55,48.93,48.32,48.2014,48.0038,48.12,48.69,48.83,49.12,48.81,49.3,49.62,50.06,50.06,49.75,48.8572,48.59,48.49,49.1078,47.3159,47.313,46.97,47.08,47.4137,47.4137,47.62,47.7117,48.2913,48.5848,48.44,48.2311,48.53,48.5916,48.7961,48.065,47.95,47.72,46.64,46.6136,46.5428,46.83,46.76,46.76,45.76,45.66,45.57,45.16,44.57,45.06,44.95,45.11,44.74,45.3303,45.02,44.79,45.45,44.7003,44.44,43.74,44.33,44.8,44.6021,44.4285,44.55,43.98,43.836,43.48,43.2,43.2,43.3511,43.15,43.14,42.085,40.8059,41.46,38.53,39.07,40.05,43.42,44.85,44.57,43.89,44.2008,44.86],"EPOL^FG_PRICE(0,-200D)":[35.19,35.19,35.16,34.96,35.2,35.15,35.15,34.99,35.2,34.78,34.41,34.27,34.41,35.9,35.2,35.27,34.88,34.25,33.51,33.44,33.53,33.61,33.65,33.9,34.07,34.07,34.07,33.73,32.94,33.04,32.56,33.29,32.87,33.39,34.16,34.13,34.42,34.56,34.44,33.84,33.95,33.51,33.31,33.78,33.71,34.22,34.53,34.85,34.2,33.91,34.17,33.83,33.1,33.49,32.92,32.83,32.9,32.22,32.41,31.78,32.28,32.62,32.58,32.51,32.92,32.81,32.6,32.2,32.11,32.17,31.57,32.09,32.04,32.0,31.76,32.07,32.32,32.51,32.81,32.28,32.6,31.83,32.38,32.88,32.14,32.13,31.52,31.29,31.7,31.7,32.07,32.34,32.86,32.59,32.7,33.38,33.78,33.79,33.64,33.45,33.27,34.07,33.99,33.44,33.97,33.53,32.84,31.79,31.94,31.7,31.75,32.21,32.25,32.13,33.35,33.29,33.45,32.93,32.9,32.86,32.34,31.97,31.66,32.14,31.95,32.05,32.72,32.62,32.25,32.82,32.82,32.19,32.06,32.26,31.69,31.65,30.57,30.56,29.51,29.72,29.36,29.36,29.39,29.38,29.86,30.63,30.62,30.83,30.0,29.46,29.75,30.22,29.92,30.49,30.37,30.72,31.25,30.82,29.85,29.85,29.99,30.09,30.77,30.53,30.32,30.49,30.68,30.8,30.5,30.88,29.94,29.66,29.48,29.83,30.09,29.45,29.48,30.3,30.3,30.04,30.19,29.43,29.25,28.63,28.29,28.29,27.74,27.58,27.59,27.25,26.93,27.69,24.7,24.54,25.14,27.51,28.79,28.28,28.01,28.43,28.69],"EPHE^FG_PRICE(0,-200D)":[24.92,24.92,25.06,25.09,25.08,24.94,24.94,24.93,24.96,24.66,25.01,25.1,25.19,24.95,24.9,25.02,24.73,24.67,24.58,24.73,24.2,24.68,25.06,25.24,25.21,25.02,25.02,25.0,24.97,25.06,24.37,24.23,24.02,23.95,23.28,23.69,23.6,23.41,23.7,23.79,24.11,24.19,24.38,24.15,24.55,24.4,24.74,24.44,24.4,24.7,24.99,24.82,25.11,25.33,25.41,25.42,25.44,25.45,25.3,24.87,25.2,25.67,25.36,25.1,25.59,25.22,25.2,24.84,25.04,25.12,25.09,25.69,26.16,26.6,26.8,26.46,26.55,26.22,25.71,25.8,26.0,25.92,26.09,26.09,26.06,25.78,25.58,25.68,26.15,26.15,26.39,26.56,26.12,26.69,26.63,26.15,26.35,26.25,26.34,26.39,26.28,26.72,26.55,26.19,26.63,26.49,26.41,26.16,26.35,25.78,25.42,26.175,26.37,26.55,26.7522,27.0,27.09,26.52,26.34,26.11,26.08,26.35,26.96,27.36,27.13,27.19,27.15,26.78,26.72,27.08,27.08,27.0,27.14,27.12,27.23,26.85,26.81,26.61,25.96,26.5,26.7,26.7,26.98,27.35,27.66,28.08,27.93,27.82,28.12,27.95,27.96,27.66,27.78,27.6,27.24,27.84,27.93,27.78,27.81,27.81,27.27,27.46,27.36,27.9,27.69,27.62,28.01,28.06,27.75,27.62,27.16,27.56,27.35,27.03,27.27,26.86,26.89,26.41,26.18,26.26,25.96,25.59,25.55,25.17,25.3019,25.3019,25.25,25.4141,25.19,24.96,24.18,25.16,24.13,24.14,23.83,25.04,25.56,25.26,25.3,24.98,25.1],"EIDO^FG_PRICE(0,-200D)":[18.7,18.7,18.67,18.67,18.47,18.45,18.45,18.56,18.68,18.58,18.63,18.6,18.67,18.86,18.76,18.68,18.86,18.68,18.87,18.82,18.79,18.83,18.92,18.79,18.67,18.87,18.87,18.73,18.78,18.37,18.33,18.48,18.26,18.38,18.38,18.28,18.44,18.45,18.55,18.53,18.44,18.54,18.36,18.45,18.28,18.27,18.32,18.05,18.09,18.3,18.3,17.89,18.17,17.82,17.3,17.36,17.21,17.22,17.57,17.31,17.65,17.45,17.43,17.42,17.43,17.44,17.46,17.55,17.69,17.6,17.41,17.68,17.76,17.73,17.79,17.72,17.98,17.85,17.96,17.83,17.64,17.33,17.06,17.5,17.93,17.77,17.81,17.74,17.67,17.67,18.19,18.16,18.38,18.61,18.65,18.44,18.6,18.31,18.43,18.5,18.63,18.83,18.61,17.98,17.83,17.72,17.66,17.62,17.59,17.61,17.27,17.58,17.8,17.75,17.6,17.81,17.81,17.56,17.73,17.69,17.76,17.7,17.72,17.63,17.87,17.76,17.47,17.31,17.34,17.47,17.47,17.48,17.49,17.63,17.49,17.51,17.18,17.38,16.89,17.18,17.87,17.87,18.02,18.01,18.62,18.9,18.91,18.84,18.59,18.51,18.56,18.45,18.42,18.56,18.88,18.95,18.91,19.04,19.16,19.16,18.91,18.79,18.53,18.74,18.39,18.27,17.97,17.54,17.4,17.41,17.45,17.71,17.74,17.65,17.63,17.3,17.31,17.1,16.93,16.77,16.76,16.61,16.36,16.03,16.13,16.13,15.93,16.14,16.09,15.87,15.45,15.56,14.36,15.15,15.09,15.88,16.33,16.25,16.3,16.37,16.42],"ECH^FG_PRICE(0,-200D)":[40.4,40.4,40.54,40.15,40.29,40.03,40.03,39.92,39.79,39.31,38.69,38.28,38.84,38.995,39.78,39.28,38.75,38.34,38.24,38.18,38.51,38.62,38.29,37.69,37.86,37.61,37.61,37.27,36.61,36.34,36.59,37.11,36.83,37.31,36.37,36.71,37.26,36.5,36.3,35.8,35.25,35.3,34.5,35.93,35.32,35.34,34.97,34.63,34.59,34.37,34.2,33.47,33.5,33.85,33.36,33.4,33.41,32.8,32.12,31.5,32.52,32.79,32.27,32.05,32.32,32.4,32.71,32.96,32.85,33.17,33.21,33.63,33.68,33.5,33.59,33.6,33.4,33.76,33.8,33.22,34.02,32.89,32.695,33.23,33.83,33.4,33.05,32.73,32.81,32.81,32.58,32.55,32.44,32.71,32.8,31.9,32.04,32.19,32.55,32.4,32.27,32.54,31.97,31.47,31.41,30.74,30.09,30.26,30.24,29.98,29.83,29.48,29.83,29.78,30.34,30.49,30.41,30.39,30.3,30.16,30.23,29.77,29.89,30.21,30.51,31.1,31.04,31.41,31.02,31.82,31.82,31.85,31.51,31.45,31.05,31.26,30.86,30.96,30.03,30.1,30.34,30.34,30.45,31.11,31.83,32.51,32.54,31.82,31.75,31.84,32.17,31.88,31.58,31.53,31.5,32.08,32.17,32.75,32.85,32.85,32.635,32.69,32.75,32.96,32.61,33.07,33.24,32.56,32.35,32.2,32.15,31.75,31.62,31.58,31.35,31.07,31.13,31.44,31.24,31.67,31.7,31.19,30.91,30.05,29.95,29.95,29.43,29.35,29.13,28.39,27.51,28.24,26.5,27.09,28.19,30.07,29.91,30.2,29.82,29.76,30.17],"CNYA^FG_PRICE(0,-200D)":[34.58,34.58,34.59,34.37,34.71,34.44,34.44,34.31,34.24,33.89,33.58,33.63,33.197,34.05,34.08,34.09,34.34,34.225,34.36,34.21,33.74,33.76,33.81,34.25,33.95,33.59,33.59,33.51,33.11,33.06,33.46,33.88,33.93,33.89,34.19,34.64,34.43,34.47,34.77,34.6,34.59,34.38,33.97,34.3771,34.3,34.9,35.27,34.95,34.95,34.48,34.06,33.86,33.88,33.64,33.61,34.02,33.99,33.55,33.94,32.92,34.44,34.21,34.26,34.37,34.39,34.5182,34.3695,34.34,34.2,33.54,33.88,33.6806,33.47,33.67,33.45,33.48,33.96,33.77,33.81,33.6,33.94,32.84,32.94,33.14,33.02,32.23,32.94,33.2,33.47,33.47,33.16,32.26,32.91,32.91,32.71,31.62,31.74,31.02,31.32,30.97,30.72,31.01,30.73,30.295,30.27,30.3,30.33,30.17,29.9,29.6,29.68,30.24,30.44,30.29,30.31,30.45,30.35,30.365,29.98,29.73,29.6,29.26,29.29,29.395,29.2,29.32,29.07,29.12,28.86,28.91,28.91,28.7,28.71,28.71,28.46,28.79,28.805,28.55,28.03,27.925,27.96,27.96,28.0,28.12,28.15,28.42,28.29,28.1,28.3,28.22,28.29,28.18,27.96,27.72,27.67,28.02,27.83,27.9,28.2,28.2,28.3,28.4,28.28,28.14,28.24,28.25,28.58,28.34,28.45,27.78,27.85,27.58,27.82,27.7,27.66,26.92,27.06,27.14,27.14,27.25,27.29,27.2,27.16,27.04,26.82,26.82,26.92,26.7,26.96,27.09,26.64,26.4,24.95,24.71,26.56,27.65,27.91,27.92,28.03,28.08,28.34],"CNYA^JULIAN(FG_PRICE(0,-200D).DATES)":[46023,46022,46021,46020,46017,46016,46015,46014,46013,46010,46009,46008,46007,46006,46003,46002,46001,46000,45999,45996,45995,45994,45993,45992,45989,45988,45987,45986,45985,45982,45981,45980,45979,45978,45975,45974,45973,45972,45971,45968,45967,45966,45965,45964,45961,45960,45959,45958,45957,45954,45953,45952,45951,45950,45947,45946,45945,45944,45943,45940,45939,45938,45937,45936,45933,45932,45931,45930,45929,45926,45925,45924,45923,45922,45919,45918,45917,45916,45915,45912,45911,45910,45909,45908,45905,45904,45903,45902,45901,45898,45897,45896,45895,45894,45891,45890,45889,45888,45887,45884,45883,45882,45881,45880,45877,45876,45875,45874,45873,45870,45869,45868,45867,45866,45863,45862,45861,45860,45859,45856,45855,45854,45853,45852,45849,45848,45847,45846,45845,45842,45841,45840,45839,45838,45835,45834,45833,45832,45831,45828,45827,45826,45825,45824,45821,45820,45819,45818,45817,45814,45813,45812,45811,45810,45807,45806,45805,45804,45803,45800,45799,45798,45797,45796,45793,45792,45791,45790,45789,45786,45785,45784,45783,45782,45779,45778,45777,45776,45775,45772,45771,45770,45769,45768,45765,45764,45763,45762,45761,45758,45757,45756,45755,45754,45751,45750,45749,45748,45747,45744,45743],"EWI^FG_TOTAL_RETURNC(-5AY,0,AM)":[2.1092534,-2.445656,6.1281323,4.3963313,-0.6599605,7.149625,-2.7254999,-0.1843214,2.185285,-3.9156675,6.614411,-7.9682407,6.3168883,0.15238523,-11.65551,3.2380223,-8.475137,3.2446146,-11.888731,1.776123,-6.899345,-6.2772455,12.976753,15.232599,-2.3040473,13.734221,-1.631856,0.96217394,4.173517,-4.16404,7.3437214,3.9271235,-3.7484944,-4.4597983,-0.82182884,9.877372,3.644228,-0.058948994,5.897963,4.8454523,-3.0013323,6.3253045,-3.7781596,-1.1245191,7.766986,-1.5186608,-0.13068318,-4.8940063,0.49852133,7.172632,5.8365703,4.068625,4.239285,7.930422,2.336657,-0.45785308,6.732166,2.6640534,-1.1448145,1.6406059,4.523289],"EWD^FG_TOTAL_RETURNC(-5AY,0,AM)":[0.74840784,3.7688494,4.2615056,5.0859213,2.5856256,5.8164597,-2.9418886,3.906417,-0.43379068,-6.0166,6.7549706,-7.6716304,7.0250154,-7.57609,-15.086407,9.295929,-9.637648,0.2784729,-12.735361,9.65947,-12.391764,-7.1233807,9.027517,15.516663,-5.259812,10.702133,-1.3132215,0.62288046,4.5582414,-6.8083944,2.2812486,-0.16939044,-6.25,-0.5429864,-4.913563,17.352474,9.933901,-4.003042,5.5423617,-0.575155,-3.0935585,8.824301,-2.217567,-2.6517987,7.3574305,1.2331009,-6.512064,-3.1320453,-3.440243,9.509778,5.5283666,-2.063048,2.0591736,5.4035306,1.6650319,-3.3414423,6.2042117,2.6298761,0.7981539,-0.8543432,4.757595],"EWN^FG_TOTAL_RETURNC(-5AY,0,AM)":[3.8176656,4.644406,3.6523342,5.642283,1.4777303,3.8901567,-2.623278,3.4154415,6.665337,-7.2996798,5.9311748,-6.745654,3.292954,-6.770211,-11.8539095,3.561914,-10.084236,0.70257187,-9.057373,9.067345,-11.770916,-8.555192,7.8508377,19.593561,-4.96763,15.950584,-4.955995,2.8265119,0.142169,0.26029348,3.2921672,2.6571155,-7.4724255,-7.51642,-0.8679688,12.655878,5.903721,3.2713413,4.8600554,3.1657338,-4.532695,7.542014,-0.33378005,-5.1337957,6.122029,-1.0435164,-7.1030617,-2.3988008,-1.5230119,4.1807055,1.7691493,-0.99639297,4.453957,8.343577,3.6741734,-5.955243,4.228127,11.018872,-0.06798506,-0.81632733,1.5340209],"EWQ^FG_TOTAL_RETURNC(-5AY,0,AM)":[0.16372204,-1.5935004,5.0412536,2.937746,4.4927955,6.0843706,-1.872915,0.70922375,2.8168917,-4.6423078,5.772805,-5.583495,6.4346433,-1.1831343,-11.426342,4.7311187,-7.547694,2.4582624,-8.180868,5.7788134,-8.226061,-8.313375,11.977613,13.228917,-2.1793365,12.801933,-1.6059995,2.8291702,4.7090054,-5.6594253,5.4938197,0.33739805,-3.1815827,-4.9158454,-2.500701,8.789623,4.464054,-0.5615115,3.2854319,2.8329968,-3.6007762,4.537487,-6.0688853,-2.194357,6.5171003,-0.20060539,-4.623115,-4.50474,-0.2802968,7.664442,2.3556828,1.2898326,2.546823,3.4575105,3.1754851,-3.35899,2.7999043,4.4611454,-0.4720211,0.29358864,1.8201828],"SPY^FG_TOTAL_RETURNC(-5AY,0,AM)":[2.5845885,0.6285429,3.5483599,3.1686187,4.16615,0.5679488,2.9040217,1.8772006,3.0307174,-3.5757065,5.941415,-2.073735,5.8046937,-4.6340704,-5.071199,5.658829,-9.034711,-0.584954,-6.520385,7.7457786,-3.4934342,-9.5255375,7.6544046,5.9450746,-5.6881847,7.4183464,-3.9094448,4.111862,1.4949083,1.5186191,5.4792523,2.9778004,-1.1588693,-4.9166737,-1.1275411,8.621586,3.9512873,2.9223084,4.8344135,2.1338582,-4.176873,5.4002166,3.7415385,-0.427258,3.8065553,1.1862516,0.42558908,5.5180073,-2.4099708,2.6856422,-1.2694836,-5.3053856,-0.44565797,5.536568,5.1053405,0.65894127,3.7524939,3.9135337,2.036047,-0.26243925,0.5361438],"QQQ^FG_TOTAL_RETURNC(-5AY,0,AM)":[3.575468,2.766633,0.36287308,0.42710304,4.1346908,-1.529628,6.657815,2.820313,4.3914676,-5.253124,7.5656652,-0.080013275,2.9044032,-8.126182,-6.574196,6.093383,-13.430983,-2.3144424,-7.627654,11.746347,-5.033779,-10.575753,2.9372096,6.764579,-9.121961,13.008869,-3.230095,10.379577,0.3926158,9.255409,5.090022,3.619182,-1.3584495,-4.9795685,-0.3656447,9.239138,5.284989,3.0181766,5.624819,-0.017225742,-5.265766,6.924939,7.0964336,-4.619026,3.6135316,1.1914253,1.2799501,4.5770645,0.45241117,2.1633983,-2.70347,-6.8442583,1.8997192,7.770717,5.487895,1.259625,2.9826045,5.8809876,4.28015,-1.8916845,-0.33575892],"EWU^FG_TOTAL_RETURNC(-5AY,0,AM)":[1.8411517,1.0242343,4.3257833,2.5915146,2.7155042,4.6418786,-1.6860425,-0.36462545,1.280868,-2.4691343,4.6310544,-6.137502,7.0490837,3.439951,-3.7047863,2.7870417,-4.8040094,1.2693524,-6.9435415,3.3790588,-8.02589,-7.7762184,8.202982,12.200284,-2.2037685,6.5883875,-0.61199665,-0.6773412,4.835713,-4.4648113,2.068746,2.0401835,-2.877909,-1.3100505,-3.1605542,7.3107123,2.8310895,-0.8169472,0.42709112,3.5844445,1.4369607,5.0014496,-2.2524953,2.4124026,5.243969,-0.506258,-4.2581677,0.13985634,-3.3195734,5.0442457,4.015732,1.079905,1.1752248,5.3854227,1.868093,0.225842,3.805709,2.5084496,0.39999485,0.6093383,4.4336557],"EWL^FG_TOTAL_RETURNC(-5AY,0,AM)":[3.4081578,-0.51476955,-1.5298069,2.6959062,2.9810905,5.9624076,1.2838721,2.9930353,1.4729261,-7.8462124,7.492554,-3.0296981,7.678163,-5.1393867,-5.1979246,4.407418,-6.2815547,-3.8793147,-4.869169,4.54545,-7.7294707,-6.6317616,4.2456627,11.424171,-3.6091924,8.44264,-4.596436,4.4721007,6.1120987,-2.9320002,1.2154818,2.1856785,-2.7318954,-5.138254,-2.5935292,7.9877496,5.324018,-0.84939003,-1.6088605,0.7220268,-4.5962453,8.640885,-0.062185526,4.1147113,5.4890275,-1.911068,-4.1859627,-2.979666,-4.627514,7.8546524,4.357469,0.05799532,3.4003139,3.101647,1.5337586,-4.6380463,5.531192,1.1024714,-1.0368228,3.7210941,4.423547],"EWJ^FG_TOTAL_RETURNC(-5AY,0,AM)":[3.2182932,0.19242764,2.4523497,-0.30280948,-2.4877071,1.082766,-0.24154782,-0.56304336,3.576219,0.6042242,-0.71499944,-4.9690304,2.8327703,-4.2712092,-3.1513214,-0.24162531,-8.5742,1.783824,-7.0466876,7.2007537,-6.8929076,-7.743156,3.111565,11.534643,-2.881825,8.137405,-4.824191,4.7474623,0.13631582,3.5051942,2.4773955,1.243937,-1.0052621,-2.82076,-0.53076744,5.402696,2.9015183,4.334271,5.095637,-0.07109642,-4.5105276,2.7715683,-0.9763181,-0.3540337,6.5433025,-0.4585266,-5.1088753,2.5154471,-2.2066057,1.8032789,0.23423433,-0.39433837,4.3548465,4.1450143,1.2161732,-0.4703045,5.6838155,2.4655104,4.039395,-1.1024535,1.5354514],"EWG^FG_TOTAL_RETURNC(-5AY,0,AM)":[3.2090545,0.0,2.2033334,4.5580506,1.973486,4.274988,-2.301234,-0.46135783,1.5063763,-5.9931574,3.7644267,-7.0509076,4.071772,-1.5253186,-13.16604,2.069211,-9.087735,3.8446784,-12.098866,2.3447633,-8.612638,-8.356553,11.347521,16.378534,-3.2904148,15.325522,-3.611505,3.5285592,3.4083009,-3.397894,3.2518387,1.1550546,-4.463667,-5.1068425,-3.20611,13.288641,3.3468723,-0.63994527,4.3389797,3.086412,-4.223132,5.4952383,-1.6883314,-1.332897,7.512355,2.2678494,-2.7869344,-0.5240381,-1.3944864,8.830929,4.1582346,3.3823133,5.819249,6.3608766,1.7485023,-2.999282,2.7730107,0.5969405,-3.3230484,-0.51558614,4.886472],"EWC^FG_TOTAL_RETURNC(-5AY,0,AM)":[2.548349,0.3242612,6.3025117,5.3207636,2.8002381,7.0766687,-0.7038474,-0.79723597,0.66970587,-2.5279403,8.2172985,-7.013112,5.6088924,0.650537,-2.5336087,6.684351,-7.8816533,1.8893361,-9.155643,2.702701,-4.5766535,-7.793766,7.8023434,6.7852855,-6.221628,9.47144,-4.437619,-0.17523766,2.8086543,-4.012519,4.7865987,1.8005013,-1.9371092,-4.2084217,-4.154211,10.664177,4.761255,-0.21810532,1.3934493,2.9911041,-3.349036,3.573358,-2.5622904,3.0327559,6.4126253,2.840197,-2.3294926,6.343746,-5.5702267,2.2828817,0.02425909,-0.24253726,2.8689504,6.263292,3.422618,-0.7144332,6.38901,3.648281,0.3361702,2.8379917,4.2802453],"EWA^FG_TOTAL_RETURNC(-5AY,0,AM)":[4.2436004,0.8768201,5.0082803,-0.9460032,2.984476,3.7867188,-2.2678673,-0.46349764,1.590991,-4.7364416,6.1347127,-8.38685,6.123388,-6.806284,3.0250669,11.9547,-7.9055843,0.73230267,-12.070465,7.776189,-4.399472,-9.710073,7.084608,12.946213,-4.576671,13.000452,-8.081216,-0.649631,0.5666971,-3.03424,2.7100205,1.552105,-2.8384268,-3.3258438,-1.8131077,8.570075,8.336174,-2.4650812,1.895535,1.6122341,-4.8413334,5.386913,0.6664872,0.36976337,5.8943987,4.020095,-5.425489,3.8506866,-8.207822,3.1433344,-2.5193036,-1.1671543,3.964579,4.705882,3.6470413,-1.6698301,4.515636,0.25849342,-1.3996303,-3.8849473,3.5366774],"ENZL^FG_TOTAL_RETURNC(-5AY,0,AM)":[2.6886106,-0.54356456,-5.465281,-2.5781274,3.560543,-2.8496206,-2.167344,-0.62479377,5.195236,-1.4469981,1.7397046,-8.253789,2.2116065,-9.680706,3.1402707,0.8568883,-9.689081,-3.1024814,-7.3117733,9.334839,-4.413289,-11.154259,6.5080166,13.155497,-1.701796,8.589088,-6.050837,0.80759525,-0.3687203,-1.941669,1.4151216,-0.081670284,-7.0290146,-2.6593387,-4.0867033,11.134648,4.859531,-3.2271326,-2.897936,-1.0972142,-2.2409558,5.878353,-2.5386155,1.5735865,7.4623585,0.40609837,-4.6916065,3.564608,-6.198758,-0.4869461,-5.7606754,0.04720688,1.5805602,3.0887127,4.517174,-2.7632713,0.38039684,4.1275144,-1.7588794,-0.89343786,0.8104205],"KSA^FG_TOTAL_RETURNC(-5AY,0,AM)":[-0.9366214,-0.19286871,5.8293104,9.403526,5.0904036,2.69984,3.1542659,0.22698641,4.5294404,1.035142,2.978313,-8.583993,4.2282224,10.516012,3.4520984,2.3101687,5.9376836,-9.374386,-8.958846,6.7469835,-0.47403574,-7.0083914,2.7804852,-7.2140512,-2.4937034,3.3934236,-5.6923094,5.3017974,5.80945,-1.1469066,3.235662,0.62907934,-1.5147924,-5.419916,-0.36138892,2.7720213,8.121765,-0.3307402,6.233704,-3.0789852,-1.0819435,-6.6558065,2.3340821,2.324438,2.392459,-0.6136358,-0.21372437,-2.2846222,1.395297,3.4769773,-2.673918,0.5105734,-3.2172263,-4.1989446,1.4776349,-2.4313748,0.10718107,7.7355385,0.07452965,-7.9940376,-0.5574584],"VNM^FG_TOTAL_RETURNC(-5AY,0,AM)":[8.747649,-2.5157273,5.865097,2.7700782,1.6172528,4.509282,5.9390903,-6.3248754,1.8925905,-3.9156675,6.4263344,2.1109343,2.6264668,-6.6384196,-2.0171463,-1.2352049,-11.203748,-5.7570457,-9.832496,3.7983418,1.3972044,-12.729656,-13.233084,7.3656917,-3.5415113,7.1790457,-8.668238,5.0905943,-1.0673225,6.3070536,3.82514,11.2782,2.2297263,-10.5089245,-12.629247,12.510574,2.350545,-0.23219585,5.5081487,0.36764145,-10.769224,3.5303712,-2.4583638,-4.796749,7.1733594,2.3107529,-8.021802,-0.4233718,-2.3809552,0.69687366,4.1522503,4.3189406,-3.5828114,12.2213125,0.956583,16.25364,14.670849,-1.3668656,-3.3813775,5.450368,4.0204525],"UAE^FG_TOTAL_RETURNC(-5AY,0,AM)":[0.48816204,12.04915,-2.2825897,4.4891596,-0.37037134,10.92937,-1.6234338,-0.28208494,5.516267,-0.8378029,1.5883684,9.913516,-0.56483746,3.1559467,8.8182335,4.8974752,-1.0952115,-8.87354,-7.631463,6.455779,-3.517282,-4.525459,2.172482,0.8376241,-4.392475,-3.4159422,1.9417405,-3.67347,7.3446274,-3.6184251,2.721548,4.9829364,-1.6905069,1.1243343,-7.4558554,4.4523,1.1978984,-0.40376782,-0.67567825,0.612247,-2.6369214,-3.7500024,3.412199,5.221176,3.3769846,0.40000677,1.3944268,1.8624783,5.943465,3.4629464,2.4662375,-2.9799461,6.08387,3.3964396,3.8950682,6.913185,-2.8571486,-2.012378,3.6334991,-6.0259104,4.3963313],"TUR^FG_TOTAL_RETURNC(-5AY,0,AM)":[15.745628,4.6037674,1.1183262,-15.162325,-1.9764543,-0.8150935,-4.775703,3.6482692,8.167863,-10.805172,1.8709183,-14.32507,0.01590252,9.795475,-6.2745037,9.571123,6.3961864,-3.813368,-7.666463,2.0779252,13.791359,-1.25224,24.5471,24.545456,8.568155,-13.486492,13.027191,-9.839696,-5.426115,0.16207695,-5.2873554,18.017696,14.367127,1.1277199,-11.877596,5.0029397,-8.5701885,13.073111,1.4520526,-1.4042675,9.969878,5.3050995,-1.9947767,2.5409222,-11.69883,-5.288726,-4.6723604,9.025705,-1.3118029,0.22308826,-4.6188116,-4.054838,-6.780177,-2.1852553,9.9511385,4.433489,4.038918,-0.93511343,-2.316928,-0.35139918,2.1930337],"SET-BKK^FG_TOTAL_RETURNC(-5AY,0,AM)":[2.0044088,1.9801974,1.5473127,6.2761426,-0.7516682,2.239859,-1.5346646,-4.506975,7.395911,-1.7932296,0.5363941,-1.4233649,4.1997433,0.24914742,1.9575715,0.41493177,-1.9908249,-0.44558644,-5.2614093,1.3079643,1.8019915,-2.0000577,2.2786856,1.3969064,1.2266159,1.0241747,-3.9015293,-0.6672859,-4.9746156,-0.50486326,-1.2028456,3.5233855,0.3502369,-5.76877,-6.216407,0.025367737,2.5747776,-3.3824205,-0.039470196,0.8819461,-0.835824,-1.629442,-3.441441,1.8009067,2.7457952,7.7692866,-0.033456087,-2.501762,-1.9144893,-6.1212244,-8.427543,-2.965802,2.5033832,-4.015833,-3.4085214,9.758461,2.146387,2.4548411,2.703464,-2.514702,-1.3238549],"QAT^FG_TOTAL_RETURNC(-5AY,0,AM)":[1.5410066,-1.4634192,0.44004917,4.4906855,2.777779,-1.4482439,0.45078993,-0.5265951,3.9703608,3.2586575,2.4654865,-0.8180976,-0.53794384,8.855188,6.426966,1.6047239,0.4156351,-6.9536448,-3.9528549,7.4748397,-0.8916676,-5.1992774,0.31223297,-3.405863,-9.586567,2.0408154,-2.2435904,-0.65573454,2.4202466,0.8055806,-0.8903265,7.1508408,-6.4129295,-3.1197846,-5.002868,5.0242066,4.4956684,-4.82294,5.009389,-4.249448,-0.23055077,-3.8128257,7.2146535,0.46920776,2.9188514,4.0272355,-0.327152,-0.38294196,0.032556057,1.0039091,-0.60740113,-0.666672,2.5727153,2.2355556,1.4759898,5.839622,1.7035246,-3.0500054,-0.46415925,-3.056997,1.7981052],"MCHI^FG_TOTAL_RETURNC(-5AY,0,AM)":[1.4327168,11.26343,-0.3107965,-7.6717496,-1.1336148,2.561593,-2.5363803,-12.840897,1.8661499,-7.892555,5.159259,-7.920933,-2.3385942,0.35048723,-6.985235,-6.5540195,-7.835621,1.6448736,9.488546,-12.036544,0.22398233,-13.531083,-12.78196,25.592672,3.397274,15.41053,-9.321415,0.36209822,-4.7304096,-6.711549,1.8640518,8.8734865,-5.7893634,-5.6657195,-3.441906,1.2200952,-1.2737393,-9.941095,8.013094,1.8925071,4.432881,3.912735,-2.86057,-3.3506393,2.1240354,26.655506,-6.606269,-4.365402,0.89662075,3.307724,10.679615,1.8103719,-5.4262104,2.3841858,5.6571245,2.2616267,8.4748745,8.057415,-4.045284,-1.431495,-2.953136],"INDA^FG_TOTAL_RETURNC(-5AY,0,AM)":[6.999111,1.2431622,3.2416463,0.8087516,-3.2090604,8.922482,-1.1846125,1.3148904,9.353328,0.5729556,0.5900264,-3.741908,2.5837898,0.1090765,-7.1475267,6.5712214,-3.897822,-5.0412474,-4.7297297,8.890581,0.721097,-5.8198633,4.021573,4.266858,-5.6296587,-3.7613869,-2.3898423,0.38255453,4.4715405,2.4440646,3.9350986,1.7848969,-0.5395651,-0.045210123,-1.8543661,6.912446,5.1939607,2.9092312,3.3645153,-0.82818866,1.7867565,1.1448145,5.980003,1.085794,1.6376138,0.79694986,-5.7064295,-0.14582872,-3.2032669,-3.134495,-5.667782,6.1330557,4.877579,1.4381766,2.817154,-5.587393,-1.4036477,0.7887602,3.015852,0.6670356,-0.51537156],"GREK^FG_TOTAL_RETURNC(-5AY,0,AM)":[5.4713845,-7.8554573,7.75789,6.566453,5.8648825,1.1220217,-2.7392566,-1.2477636,4.6209335,-4.968941,3.0138016,-7.6489267,3.1603336,8.809078,-10.59764,5.402255,-3.6504507,1.722157,-12.342673,5.12048,-4.8301277,-8.774197,13.201321,12.078297,1.5687585,15.653157,6.3291073,-7.326001,3.524375,9.513199,8.506894,3.7166595,-3.7652493,-10.334599,1.4444709,11.124301,0.9095788,6.72065,2.5290847,-1.603359,1.0779619,2.1081328,-1.9336283,4.795027,-0.7112384,2.5549173,-7.613504,-1.9909322,4.029608,6.651199,2.9248357,11.860025,3.5061955,11.561871,8.217287,2.9165983,4.5575023,3.9150357,-5.094564,6.5252304,1.537025],"EZA^FG_TOTAL_RETURNC(-5AY,0,AM)":[7.3497295,2.3494482,7.0202827,4.7688484,-1.9479215,10.196627,-9.717167,-0.45239925,2.437508,-4.9001813,-0.21204352,-4.9936295,4.8515797,9.353447,3.9219499,7.1117043,-15.120399,-0.7509291,-8.955985,-0.14160275,-6.2160254,-9.173388,6.4927816,10.39604,1.6237259,9.219527,-8.743525,-0.11828542,1.0421515,-10.736048,6.276989,8.421326,-8.648271,-4.5177755,0.5847931,7.8224063,3.7048578,-4.426903,-4.732096,2.5755525,3.7919521,0.19748211,8.050978,3.0569673,5.5280924,6.814313,-1.4154673,-4.044491,-6.9639087,4.390359,1.4857173,8.333325,2.4324417,5.9671164,5.0555944,-1.4388442,7.9356074,12.276745,-1.513511,5.770731,7.60839],"EWZ^FG_TOTAL_RETURNC(-5AY,0,AM)":[7.058382,-5.799842,-8.820152,2.449739,9.012878,13.413954,-0.08012056,-5.769706,-2.0053446,-9.7407875,-9.945589,-4.2631745,5.9027195,14.570713,2.3010015,18.966557,-16.274906,7.1101546,-19.204807,5.910599,6.2434554,-2.724886,11.879862,-5.8220267,-3.5750508,7.2220206,-8.336115,-0.40014982,2.410531,5.991435,11.796724,2.436018,-5.358219,-2.4491131,-0.03260374,12.263525,5.240035,-4.776883,-0.27035475,-4.126507,-2.1363497,-4.9759207,-5.30051,0.84745884,9.13409,-1.2052238,-8.471704,-5.5164757,-7.781434,12.527763,-4.8164186,8.419741,2.8309107,1.2276769,7.732177,-7.4331403,10.694181,3.6610126,1.9293666,7.1543217,-1.4635086],"EWY^FG_TOTAL_RETURNC(-5AY,0,AM)":[11.303663,6.5427065,-1.4834225,0.40966272,-0.14334917,3.2022953,-0.92018247,-4.157668,-1.2056351,-8.200275,-0.8075535,-3.1437814,2.8644443,-6.279695,-2.0416617,-0.65743923,-6.1672745,1.4555812,-15.101314,4.285717,-5.312395,-16.443188,11.296452,14.418518,-5.2292767,15.279746,-8.431888,2.6836634,-1.5517831,5.790603,-0.5959809,6.5951347,-6.43872,-6.7552624,-4.5639634,12.568892,6.1971784,-6.455058,5.9216976,2.572,-5.2702665,-1.4423847,6.3364506,-1.2099266,0.2755642,-3.0839682,-5.450535,-4.3152275,-9.240484,6.0522676,1.297009,0.32924414,1.3673663,9.046769,18.15933,-1.3819039,2.2505283,13.358248,18.451584,-6.577319,9.724438],"EWW^FG_TOTAL_RETURNC(-5AY,0,AM)":[3.4242392,-2.8378725,-0.7182181,7.475281,1.9968629,7.0611477,-0.6659627,2.1888614,2.6927829,-3.5955548,-0.70059896,-5.4575562,12.635541,-2.8063178,1.1183381,11.321139,-10.711706,4.491198,-8.668625,-0.88247657,-2.9750228,-1.0071635,16.640293,5.09789,-6.92957,19.191097,0.2714634,0.727582,2.6037335,-1.5062273,4.12277,2.3480177,-3.4255207,-5.255449,-2.9709756,12.920356,7.9892874,-0.30950308,-2.9568315,4.9969554,-4.33836,-1.5622616,-11.434889,-3.2105267,-3.8607895,1.338613,-4.9116254,-1.6435146,-3.8966596,4.6134114,3.144145,3.0285,8.876074,6.176102,3.4183502,-2.4869144,3.9261699,7.814014,-0.37436485,2.9009461,3.2391667],"EWT^FG_TOTAL_RETURNC(-5AY,0,AM)":[7.4644804,6.6503406,5.423069,1.055634,7.013762,-0.94515085,-0.12513995,-0.40720105,2.4217606,-5.0053716,2.48909,3.106761,4.6860933,-2.2068799,-2.3334384,-3.3479989,-9.074646,1.1625886,-13.224894,2.5876045,-1.7874837,-12.841261,-2.3201883,20.546318,-6.6071453,13.894426,-3.3450007,2.5333643,-3.5958529,6.7048073,0.8363724,1.4887333,-4.1072965,-2.644229,-1.1447787,11.307896,5.8503747,-2.3245692,4.225981,4.1826725,-3.9123297,7.2692394,7.412553,-4.273814,3.9814353,-0.5390346,2.4107695,-3.0109465,0.56757927,-0.59891343,-1.2439251,-5.136788,-0.7883847,9.535766,9.927452,1.4067292,0.7364273,9.04454,3.913319,-3.780949,3.628862],"EWM^FG_TOTAL_RETURNC(-5AY,0,AM)":[2.163887,-4.6874943,-0.6557405,-0.11001229,2.0558,-1.0431647,-4.5367956,-3.0243456,7.168889,-4.535145,1.6627073,-4.5950174,5.5213094,-1.837796,3.6630034,1.8453121,-4.3562117,-3.1841934,-6.409502,2.8597355,-2.162397,-8.930987,2.8727055,10.54405,0.44033527,4.816115,-9.1061,1.8841863,-1.8042386,-5.09876,-1.394105,7.995999,-1.7584503,-3.0146003,0.09713173,3.6390066,1.2434244,0.094115734,1.7395377,1.0628581,1.1888385,3.795755,-0.43296218,5.197692,9.459459,3.9737701,-8.0519495,-0.68603754,1.5455127,-4.525071,1.0674596,-2.7038395,4.7329545,-0.663358,3.9127707,-1.6406894,3.7114263,5.3880095,-1.3735175,2.9013515,4.4905424],"EPU^FG_TOTAL_RETURNC(-5AY,0,AM)":[2.5888205,3.2295227,3.9944172,-6.956756,-8.40069,4.254651,-11.288971,-7.7319565,-0.7821262,-0.90090036,15.00001,-9.354412,10.185933,8.575285,8.333338,7.921922,-15.026593,-3.630674,-12.67671,-1.1183977,-4.407173,0.1224041,11.369192,9.07427,-2.133119,9.626794,-4.6452465,1.7017007,1.6076088,-2.9118478,4.3649673,9.461665,-3.934425,-6.360531,-3.2140553,7.80555,11.465907,-0.6689906,3.8430333,10.230279,3.8365006,8.031535,-6.3041687,0.09975433,1.3452888,6.2930226,0.2543807,-1.6378284,-4.1636887,1.6863585,1.6422629,8.862638,-1.8622339,6.630087,6.7210793,-1.0381341,11.271977,13.475836,2.8337479,2.851224,12.508833],"EPOL^FG_TOTAL_RETURNC(-5AY,0,AM)":[5.5130362999999996,0.68348646,-0.31331182,-2.7239442,6.8389893,14.516127,-3.4809291,-0.3200829,7.0183516,-3.5576522,3.8222194,-11.815071,3.3313274,-1.1870861,-17.443531,12.8637905,-18.617844,2.7249694,-9.3615055,-0.13736486,-16.299862,-11.503696,17.270195,20.90261,3.020513,8.47348,-4.412639,-3.4310758,13.3075,0.45609474,8.853567,8.029186,-6.998062,-11.20913,16.48159,13.146008,3.3796072,-0.7063985,4.535353,0.042533875,0.25509596,6.7854166,-0.59083104,-5.575901,5.9051633,-2.5640965,-7.309943,-0.45065284,-1.8415749,13.224721,6.9826603,11.867094,4.137194,3.123939,7.406676,-1.1228979,0.0,2.8391123,3.4049153,0.56363344,7.333076],"EPHE^FG_TOTAL_RETURNC(-5AY,0,AM)":[2.2829056,-6.2691154,0.75041056,-5.3756475,-1.060915,6.433761,1.5307188,-9.861427,7.901323,0.099396706,4.534924,-1.3299584,1.9138455,2.0543694,0.8361697,-4.29976,-7.477534,0.0,-10.438538,0.47022104,1.4040589,-15.076923,9.510875,10.008276,-1.0835052,11.798393,-8.777327,0.93598366,-0.33382177,-4.652029,2.8681993,2.9953837,-8.650261,1.6734719,-5.419511,7.4278474,3.52993,2.000773,4.3002605,0.18084049,-7.039714,-4.854369,-0.022011995,4.3928742,9.408485,5.986941,-6.0938,-6.4163327,-1.6446888,-6.831807,2.9159546,5.250001,6.334126,1.4147401,0.82035065,-5.011052,1.4352202,-3.6328852,-2.5793731,2.8105974,-0.48617125],"EIDO^FG_TOTAL_RETURNC(-5AY,0,AM)":[4.862666,0.64047575,0.84854364,-7.7408495,-1.3223946,1.8022299,-7.2679462,-1.0344803,6.172228,2.5316477,8.0475445,-2.4968207,0.40063858,0.9577751,5.131519,1.7227292,1.6935468,-1.4274359,-9.88909,5.1607013,3.1855345,-2.7117193,1.2435675,1.5671253,-5.6878624,5.404198,-3.3898354,3.2017589,4.887378,-4.8217177,0.16138554,0.7809162,-0.043046474,-4.0912986,-9.654242,9.294224,2.3212433,-1.2992799,2.042663,-2.268684,-5.1888943,-5.136818,1.8396616,3.8580298,7.8256607,4.088187,-6.8843784,-5.734605,-5.631858,-0.9740293,-12.786883,1.8170476,6.461537,9.132946,-4.8692045,0.68610907,0.34071207,-1.188463,4.6964526,2.7899384,0.48584938],"ECH^FG_TOTAL_RETURNC(-5AY,0,AM)":[7.68404,1.0261536,6.2909484,5.733669,-6.9970846,-5.8934155,-2.3658752,-5.10062,4.497254,-7.9776106,-4.676807,-0.95731616,-3.9505124,14.205289,-4.5885506,17.44833,-14.077836,17.447817,-16.288387,10.166669,3.7821531,-12.536442,3.0833364,9.458363,2.6112556,7.788849,-1.1986315,-0.24263263,-2.1890223,2.8064013,4.848981,5.9629917,-7.956016,-7.976103,-6.681937,13.338793,2.496338,-9.181136,3.3567429,-0.18882155,0.52969456,6.2476516,-7.0377707,-1.290071,5.5841565,1.1252761,-5.00741,-1.015228,-0.8948624,9.145367,4.720092,5.520618,2.8807878,1.3839722,2.1936417,-4.855603,9.439635,-0.3047943,7.979214,6.7100763,7.5704217],"CNYA^FG_TOTAL_RETURNC(-5AY,0,AM)":[4.3846846,4.8155904,0.15687943,-6.7800403,1.9443154,7.063806,-3.0525267,-4.88525,1.9350171,-1.230365,3.001535,-0.69108605,2.068162,-7.844031,1.6674876,-7.9559383,-11.941486,3.3524632,11.078525,-7.5909257,-3.9931595,-9.001785,-6.4642487,11.378706,0.2240777,12.04356,-4.34534,-2.3610294,-2.050805,-6.8750024,-1.8777788,5.4146647,-5.8517575,-2.5034487,-3.8427532,0.44199228,-1.3714492,-8.4818,10.960638,0.91533659999999994,0.51020384,-1.0340273,-2.8274655,-1.4901936,-0.35828352,24.170994,-5.952382,-0.30790567,-2.1502376,-1.5412211,1.7837644,-0.14305711,-3.581661,2.7860284,4.1721344,3.099966,13.0743265,2.687478,-0.20221472,-0.14576912,2.6375651],"ECH^JULIAN(FG_TOTAL_RETURNC(-5AY,0,AM).DATES)":[44197,44228,44256,44287,44316,44348,44378,44407,44440,44470,44501,44531,44561,44593,44621,44652,44680,44713,44743,44774,44805,44834,44866,44896,44925,44958,44986,45016,45047,45078,45107,45139,45170,45198,45231,45261,45292,45323,45352,45383,45413,45443,45474,45505,45534,45566,45597,45625,45658,45688,45716,45748,45778,45807,45839,45870,45901,45931,45961,45992,46023]}]]></FdsFormulaCache>
</file>

<file path=customXml/itemProps1.xml><?xml version="1.0" encoding="utf-8"?>
<ds:datastoreItem xmlns:ds="http://schemas.openxmlformats.org/officeDocument/2006/customXml" ds:itemID="{F9138D29-9A8E-4563-82D7-06F861FF5C71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FILTER1</vt:lpstr>
      <vt:lpstr>FILTER2</vt:lpstr>
      <vt:lpstr>MONTHLY_RETURNS</vt:lpstr>
      <vt:lpstr>PRICE_DATA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TDS</dc:creator>
  <cp:lastModifiedBy>prasham jain</cp:lastModifiedBy>
  <dcterms:created xsi:type="dcterms:W3CDTF">2025-08-18T07:31:08Z</dcterms:created>
  <dcterms:modified xsi:type="dcterms:W3CDTF">2026-01-02T06:48:59Z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</Properties>
</file>