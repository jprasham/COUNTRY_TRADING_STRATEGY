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Weekly Refresh\COUNTRY\"/>
    </mc:Choice>
  </mc:AlternateContent>
  <xr:revisionPtr revIDLastSave="0" documentId="13_ncr:1_{2F81416C-11DC-45D1-883B-FDE1D8FEA8E2}" xr6:coauthVersionLast="47" xr6:coauthVersionMax="47" xr10:uidLastSave="{00000000-0000-0000-0000-000000000000}"/>
  <bookViews>
    <workbookView xWindow="25620" yWindow="-98" windowWidth="22140" windowHeight="11821" firstSheet="1" activeTab="2" xr2:uid="{AF2DC00A-F2B3-4A84-B5F7-D95E8D6DDD24}"/>
  </bookViews>
  <sheets>
    <sheet name="__FDSCACHE__" sheetId="3" state="veryHidden" r:id="rId1"/>
    <sheet name="FILTER1" sheetId="4" r:id="rId2"/>
    <sheet name="FILTER2" sheetId="5" r:id="rId3"/>
    <sheet name="MONTHLY_RETURNS" sheetId="1" r:id="rId4"/>
    <sheet name="PRICE_DATA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64" i="1" l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C2" i="6" a="1"/>
  <c r="V2" i="1" a="1"/>
  <c r="J2" i="6" a="1"/>
  <c r="M2" i="1" a="1"/>
  <c r="O2" i="6" a="1"/>
  <c r="Z2" i="1" a="1"/>
  <c r="J2" i="1" a="1"/>
  <c r="F2" i="6" a="1"/>
  <c r="Q2" i="1" a="1"/>
  <c r="AC2" i="6" a="1"/>
  <c r="P2" i="1" a="1"/>
  <c r="AB2" i="6" a="1"/>
  <c r="AE2" i="1" a="1"/>
  <c r="G2" i="1" a="1"/>
  <c r="AI2" i="6" a="1"/>
  <c r="AA2" i="6" a="1"/>
  <c r="S2" i="6" a="1"/>
  <c r="K2" i="6" a="1"/>
  <c r="AD2" i="1" a="1"/>
  <c r="N2" i="1" a="1"/>
  <c r="F2" i="1" a="1"/>
  <c r="R2" i="6" a="1"/>
  <c r="AC2" i="1" a="1"/>
  <c r="U2" i="1" a="1"/>
  <c r="E2" i="1" a="1"/>
  <c r="K2" i="1" a="1"/>
  <c r="V2" i="6" a="1"/>
  <c r="N2" i="6" a="1"/>
  <c r="Y2" i="1" a="1"/>
  <c r="U2" i="6" a="1"/>
  <c r="M2" i="6" a="1"/>
  <c r="E2" i="6" a="1"/>
  <c r="X2" i="1" a="1"/>
  <c r="AH2" i="6" a="1"/>
  <c r="Z2" i="6" a="1"/>
  <c r="B2" i="6" a="1"/>
  <c r="L2" i="6" a="1"/>
  <c r="W2" i="1" a="1"/>
  <c r="AG2" i="6" a="1"/>
  <c r="Y2" i="6" a="1"/>
  <c r="Q2" i="6" a="1"/>
  <c r="I2" i="6" a="1"/>
  <c r="A2" i="6" a="1"/>
  <c r="AB2" i="1" a="1"/>
  <c r="T2" i="1" a="1"/>
  <c r="L2" i="1" a="1"/>
  <c r="D2" i="1" a="1"/>
  <c r="AF2" i="6" a="1"/>
  <c r="X2" i="6" a="1"/>
  <c r="P2" i="6" a="1"/>
  <c r="H2" i="6" a="1"/>
  <c r="AI2" i="1" a="1"/>
  <c r="AA2" i="1" a="1"/>
  <c r="S2" i="1" a="1"/>
  <c r="C2" i="1" a="1"/>
  <c r="AE2" i="6" a="1"/>
  <c r="W2" i="6" a="1"/>
  <c r="G2" i="6" a="1"/>
  <c r="AH2" i="1" a="1"/>
  <c r="R2" i="1" a="1"/>
  <c r="B2" i="1" a="1"/>
  <c r="AD2" i="6" a="1"/>
  <c r="AG2" i="1" a="1"/>
  <c r="I2" i="1" a="1"/>
  <c r="A2" i="1" a="1"/>
  <c r="AF2" i="1" a="1"/>
  <c r="H2" i="1" a="1"/>
  <c r="T2" i="6" a="1"/>
  <c r="D2" i="6" a="1"/>
  <c r="O2" i="1" a="1"/>
  <c r="O2" i="1" l="1"/>
  <c r="D2" i="6"/>
  <c r="T2" i="6"/>
  <c r="H2" i="1"/>
  <c r="AF2" i="1"/>
  <c r="A2" i="1"/>
  <c r="I2" i="1"/>
  <c r="AG2" i="1"/>
  <c r="AD2" i="6"/>
  <c r="B2" i="1"/>
  <c r="R2" i="1"/>
  <c r="AH2" i="1"/>
  <c r="G2" i="6"/>
  <c r="W2" i="6"/>
  <c r="AE2" i="6"/>
  <c r="C2" i="1"/>
  <c r="S2" i="1"/>
  <c r="AA2" i="1"/>
  <c r="AI2" i="1"/>
  <c r="H2" i="6"/>
  <c r="P2" i="6"/>
  <c r="X2" i="6"/>
  <c r="AF2" i="6"/>
  <c r="D2" i="1"/>
  <c r="L2" i="1"/>
  <c r="T2" i="1"/>
  <c r="AB2" i="1"/>
  <c r="A2" i="6"/>
  <c r="I2" i="6"/>
  <c r="Q2" i="6"/>
  <c r="Y2" i="6"/>
  <c r="AG2" i="6"/>
  <c r="W2" i="1"/>
  <c r="L2" i="6"/>
  <c r="B2" i="6"/>
  <c r="Z2" i="6"/>
  <c r="AH2" i="6"/>
  <c r="X2" i="1"/>
  <c r="E2" i="6"/>
  <c r="M2" i="6"/>
  <c r="U2" i="6"/>
  <c r="Y2" i="1"/>
  <c r="N2" i="6"/>
  <c r="V2" i="6"/>
  <c r="K2" i="1"/>
  <c r="E2" i="1"/>
  <c r="U2" i="1"/>
  <c r="AC2" i="1"/>
  <c r="AC68" i="1" s="1"/>
  <c r="R2" i="6"/>
  <c r="F2" i="1"/>
  <c r="N2" i="1"/>
  <c r="AD2" i="1"/>
  <c r="K2" i="6"/>
  <c r="S2" i="6"/>
  <c r="AA2" i="6"/>
  <c r="AI2" i="6"/>
  <c r="G2" i="1"/>
  <c r="AE2" i="1"/>
  <c r="AB2" i="6"/>
  <c r="P2" i="1"/>
  <c r="AC2" i="6"/>
  <c r="Q2" i="1"/>
  <c r="F2" i="6"/>
  <c r="J2" i="1"/>
  <c r="Z2" i="1"/>
  <c r="O2" i="6"/>
  <c r="M2" i="1"/>
  <c r="J2" i="6"/>
  <c r="V2" i="1"/>
  <c r="C2" i="6"/>
  <c r="AA68" i="1"/>
  <c r="AG68" i="1"/>
  <c r="AF68" i="1"/>
  <c r="W68" i="1"/>
  <c r="Z68" i="1"/>
  <c r="AE68" i="1"/>
  <c r="Y68" i="1"/>
  <c r="AB68" i="1"/>
  <c r="AI68" i="1"/>
  <c r="X68" i="1"/>
  <c r="V67" i="1"/>
  <c r="W67" i="1"/>
  <c r="Y67" i="1"/>
  <c r="AA67" i="1"/>
  <c r="AC67" i="1"/>
  <c r="AE67" i="1"/>
  <c r="AG67" i="1"/>
  <c r="AI67" i="1"/>
  <c r="X67" i="1"/>
  <c r="Z67" i="1"/>
  <c r="AB67" i="1"/>
  <c r="AD67" i="1"/>
  <c r="AF67" i="1"/>
  <c r="AH67" i="1"/>
  <c r="W69" i="1"/>
  <c r="W70" i="1" s="1"/>
  <c r="Y69" i="1"/>
  <c r="Y70" i="1" s="1"/>
  <c r="AA69" i="1"/>
  <c r="AA70" i="1" s="1"/>
  <c r="AC69" i="1"/>
  <c r="AC70" i="1" s="1"/>
  <c r="AE69" i="1"/>
  <c r="AE70" i="1" s="1"/>
  <c r="AG69" i="1"/>
  <c r="AG70" i="1" s="1"/>
  <c r="AI69" i="1"/>
  <c r="AI70" i="1" s="1"/>
  <c r="X69" i="1"/>
  <c r="X70" i="1" s="1"/>
  <c r="Z69" i="1"/>
  <c r="Z70" i="1" s="1"/>
  <c r="AB69" i="1"/>
  <c r="AB70" i="1" s="1"/>
  <c r="AD69" i="1"/>
  <c r="AD70" i="1" s="1"/>
  <c r="AD68" i="1"/>
  <c r="AF69" i="1"/>
  <c r="AF70" i="1" s="1"/>
  <c r="AH69" i="1"/>
  <c r="AH70" i="1" s="1"/>
  <c r="AH68" i="1"/>
  <c r="V69" i="1"/>
  <c r="V70" i="1" s="1"/>
  <c r="V68" i="1"/>
  <c r="R204" i="6" l="1"/>
  <c r="R72" i="1" s="1"/>
  <c r="R71" i="1"/>
  <c r="E204" i="6"/>
  <c r="E72" i="1" s="1"/>
  <c r="E71" i="1"/>
  <c r="N204" i="6"/>
  <c r="N72" i="1" s="1"/>
  <c r="N71" i="1"/>
  <c r="AG71" i="1"/>
  <c r="AG204" i="6"/>
  <c r="AG72" i="1" s="1"/>
  <c r="X204" i="6"/>
  <c r="X72" i="1" s="1"/>
  <c r="X71" i="1"/>
  <c r="AI204" i="6"/>
  <c r="AI72" i="1" s="1"/>
  <c r="AI71" i="1"/>
  <c r="J204" i="6"/>
  <c r="J72" i="1" s="1"/>
  <c r="J71" i="1"/>
  <c r="AC204" i="6"/>
  <c r="AC72" i="1" s="1"/>
  <c r="AC71" i="1"/>
  <c r="T204" i="6"/>
  <c r="T72" i="1" s="1"/>
  <c r="T71" i="1"/>
  <c r="AE204" i="6"/>
  <c r="AE72" i="1" s="1"/>
  <c r="AE71" i="1"/>
  <c r="W204" i="6"/>
  <c r="W72" i="1" s="1"/>
  <c r="W71" i="1"/>
  <c r="F204" i="6"/>
  <c r="F72" i="1" s="1"/>
  <c r="F71" i="1"/>
  <c r="Y71" i="1"/>
  <c r="Y204" i="6"/>
  <c r="Y72" i="1" s="1"/>
  <c r="P71" i="1"/>
  <c r="P204" i="6"/>
  <c r="P72" i="1" s="1"/>
  <c r="AA204" i="6"/>
  <c r="AA72" i="1" s="1"/>
  <c r="AA71" i="1"/>
  <c r="S204" i="6"/>
  <c r="S72" i="1" s="1"/>
  <c r="S71" i="1"/>
  <c r="AH204" i="6"/>
  <c r="AH72" i="1" s="1"/>
  <c r="AH71" i="1"/>
  <c r="B71" i="1"/>
  <c r="B204" i="6"/>
  <c r="B72" i="1" s="1"/>
  <c r="U204" i="6"/>
  <c r="U72" i="1" s="1"/>
  <c r="U71" i="1"/>
  <c r="L204" i="6"/>
  <c r="L72" i="1" s="1"/>
  <c r="L71" i="1"/>
  <c r="O204" i="6"/>
  <c r="O72" i="1" s="1"/>
  <c r="O71" i="1"/>
  <c r="K204" i="6"/>
  <c r="K72" i="1" s="1"/>
  <c r="K71" i="1"/>
  <c r="AD204" i="6"/>
  <c r="AD72" i="1" s="1"/>
  <c r="AD71" i="1"/>
  <c r="Q71" i="1"/>
  <c r="Q204" i="6"/>
  <c r="Q72" i="1" s="1"/>
  <c r="H204" i="6"/>
  <c r="H72" i="1" s="1"/>
  <c r="H71" i="1"/>
  <c r="D204" i="6"/>
  <c r="D72" i="1" s="1"/>
  <c r="D71" i="1"/>
  <c r="C204" i="6"/>
  <c r="C72" i="1" s="1"/>
  <c r="C71" i="1"/>
  <c r="G204" i="6"/>
  <c r="G72" i="1" s="1"/>
  <c r="G71" i="1"/>
  <c r="Z71" i="1"/>
  <c r="Z204" i="6"/>
  <c r="Z72" i="1" s="1"/>
  <c r="M204" i="6"/>
  <c r="M72" i="1" s="1"/>
  <c r="M71" i="1"/>
  <c r="V204" i="6"/>
  <c r="V72" i="1" s="1"/>
  <c r="V71" i="1"/>
  <c r="I71" i="1"/>
  <c r="I204" i="6"/>
  <c r="I72" i="1" s="1"/>
  <c r="AF204" i="6"/>
  <c r="AF72" i="1" s="1"/>
  <c r="AF71" i="1"/>
  <c r="AB71" i="1"/>
  <c r="AB204" i="6"/>
  <c r="AB72" i="1" s="1"/>
  <c r="AD74" i="1"/>
  <c r="AD73" i="1"/>
  <c r="AI74" i="1"/>
  <c r="AI73" i="1"/>
  <c r="AA74" i="1"/>
  <c r="AA73" i="1"/>
  <c r="AB73" i="1"/>
  <c r="AB74" i="1"/>
  <c r="AG73" i="1"/>
  <c r="AG74" i="1"/>
  <c r="Y73" i="1"/>
  <c r="Y74" i="1"/>
  <c r="AH74" i="1"/>
  <c r="AH73" i="1"/>
  <c r="Z74" i="1"/>
  <c r="Z73" i="1"/>
  <c r="AE74" i="1"/>
  <c r="AE73" i="1"/>
  <c r="W74" i="1"/>
  <c r="W73" i="1"/>
  <c r="AF73" i="1"/>
  <c r="AF74" i="1"/>
  <c r="X73" i="1"/>
  <c r="X74" i="1"/>
  <c r="AC73" i="1"/>
  <c r="AC74" i="1"/>
  <c r="V74" i="1"/>
  <c r="V73" i="1"/>
  <c r="U67" i="1"/>
  <c r="U69" i="1"/>
  <c r="U70" i="1" s="1"/>
  <c r="U68" i="1"/>
  <c r="U73" i="1" l="1"/>
  <c r="U74" i="1"/>
  <c r="T67" i="1"/>
  <c r="T69" i="1"/>
  <c r="T70" i="1" s="1"/>
  <c r="T68" i="1"/>
  <c r="T73" i="1" l="1"/>
  <c r="T74" i="1"/>
  <c r="S67" i="1"/>
  <c r="S69" i="1"/>
  <c r="S70" i="1" s="1"/>
  <c r="S68" i="1"/>
  <c r="S74" i="1" l="1"/>
  <c r="S73" i="1"/>
  <c r="R67" i="1"/>
  <c r="R69" i="1"/>
  <c r="R70" i="1" s="1"/>
  <c r="R68" i="1"/>
  <c r="R74" i="1" l="1"/>
  <c r="R73" i="1"/>
  <c r="Q67" i="1"/>
  <c r="Q69" i="1"/>
  <c r="Q70" i="1" s="1"/>
  <c r="Q68" i="1"/>
  <c r="Q73" i="1" l="1"/>
  <c r="Q74" i="1"/>
  <c r="P67" i="1"/>
  <c r="P69" i="1"/>
  <c r="P70" i="1" s="1"/>
  <c r="P68" i="1"/>
  <c r="P73" i="1" l="1"/>
  <c r="P74" i="1"/>
  <c r="O67" i="1"/>
  <c r="O69" i="1"/>
  <c r="O70" i="1" s="1"/>
  <c r="O68" i="1"/>
  <c r="O74" i="1" l="1"/>
  <c r="O73" i="1"/>
  <c r="N67" i="1"/>
  <c r="N69" i="1"/>
  <c r="N70" i="1" s="1"/>
  <c r="N68" i="1"/>
  <c r="N74" i="1" l="1"/>
  <c r="N73" i="1"/>
  <c r="M67" i="1"/>
  <c r="M69" i="1"/>
  <c r="M70" i="1" s="1"/>
  <c r="M68" i="1"/>
  <c r="M73" i="1" l="1"/>
  <c r="M74" i="1"/>
  <c r="L67" i="1"/>
  <c r="L69" i="1"/>
  <c r="L70" i="1" s="1"/>
  <c r="L68" i="1"/>
  <c r="L73" i="1" l="1"/>
  <c r="L74" i="1"/>
  <c r="K67" i="1"/>
  <c r="K69" i="1"/>
  <c r="K70" i="1" s="1"/>
  <c r="K68" i="1"/>
  <c r="K74" i="1" l="1"/>
  <c r="K73" i="1"/>
  <c r="J67" i="1"/>
  <c r="J69" i="1"/>
  <c r="J70" i="1" s="1"/>
  <c r="J68" i="1"/>
  <c r="J74" i="1" l="1"/>
  <c r="J73" i="1"/>
  <c r="I67" i="1"/>
  <c r="I69" i="1"/>
  <c r="I70" i="1" s="1"/>
  <c r="I68" i="1"/>
  <c r="I73" i="1" l="1"/>
  <c r="I74" i="1"/>
  <c r="H67" i="1"/>
  <c r="H69" i="1"/>
  <c r="H70" i="1" s="1"/>
  <c r="H68" i="1"/>
  <c r="H73" i="1" l="1"/>
  <c r="H74" i="1"/>
  <c r="G67" i="1"/>
  <c r="G69" i="1"/>
  <c r="G70" i="1" s="1"/>
  <c r="G68" i="1"/>
  <c r="G74" i="1" l="1"/>
  <c r="G73" i="1"/>
  <c r="F67" i="1"/>
  <c r="F69" i="1"/>
  <c r="F70" i="1" s="1"/>
  <c r="F68" i="1"/>
  <c r="F74" i="1" l="1"/>
  <c r="F73" i="1"/>
  <c r="E67" i="1"/>
  <c r="E69" i="1"/>
  <c r="E70" i="1" s="1"/>
  <c r="E68" i="1"/>
  <c r="E73" i="1" l="1"/>
  <c r="E74" i="1"/>
  <c r="D67" i="1"/>
  <c r="D69" i="1"/>
  <c r="D70" i="1" s="1"/>
  <c r="D68" i="1"/>
  <c r="D73" i="1" l="1"/>
  <c r="D74" i="1"/>
  <c r="C67" i="1"/>
  <c r="C69" i="1"/>
  <c r="C70" i="1" s="1"/>
  <c r="C68" i="1"/>
  <c r="C74" i="1" l="1"/>
  <c r="C73" i="1"/>
  <c r="B67" i="1"/>
  <c r="B69" i="1"/>
  <c r="B70" i="1" s="1"/>
  <c r="B68" i="1"/>
  <c r="B74" i="1" l="1"/>
  <c r="B73" i="1"/>
  <c r="E2" i="4" l="1" a="1"/>
  <c r="E2" i="4" s="1"/>
  <c r="D2" i="4" a="1"/>
  <c r="D2" i="4" s="1"/>
  <c r="C2" i="4" a="1"/>
  <c r="C2" i="4" s="1"/>
  <c r="B2" i="4" a="1"/>
  <c r="B2" i="4" s="1"/>
  <c r="F2" i="4" a="1"/>
  <c r="F2" i="4" s="1"/>
  <c r="I2" i="4" a="1"/>
  <c r="I2" i="4" s="1"/>
  <c r="A2" i="4" a="1"/>
  <c r="A2" i="4" s="1"/>
  <c r="H2" i="4" a="1"/>
  <c r="H2" i="4" s="1"/>
  <c r="G2" i="4" a="1"/>
  <c r="G2" i="4" s="1"/>
  <c r="I2" i="5" a="1"/>
  <c r="I2" i="5" s="1"/>
  <c r="H2" i="5" a="1"/>
  <c r="H2" i="5" s="1"/>
  <c r="D2" i="5" a="1"/>
  <c r="D2" i="5" s="1"/>
  <c r="G2" i="5" a="1"/>
  <c r="G2" i="5" s="1"/>
  <c r="C2" i="5" a="1"/>
  <c r="C2" i="5" s="1"/>
  <c r="F2" i="5" a="1"/>
  <c r="F2" i="5" s="1"/>
  <c r="B2" i="5" a="1"/>
  <c r="B2" i="5" s="1"/>
  <c r="E2" i="5" a="1"/>
  <c r="E2" i="5" s="1"/>
  <c r="A2" i="5" a="1"/>
  <c r="A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Prasham Jain</author>
  </authors>
  <commentList>
    <comment ref="A1" authorId="0" shapeId="0" xr:uid="{BBA4E153-5E99-4A48-B1E9-02E1B2E5EB1E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Timestamp="1768547121"&gt;&lt;FQL&gt;&lt;Q&gt;ECH^FG_PRICE(0,-200D)&lt;/Q&gt;&lt;R&gt;201&lt;/R&gt;&lt;C&gt;1&lt;/C&gt;&lt;D xsi:type="xsd:double"&gt;44.15&lt;/D&gt;&lt;D xsi:type="xsd:double"&gt;44.51&lt;/D&gt;&lt;D xsi:type="xsd:double"&gt;44.34&lt;/D&gt;&lt;D xsi:type="xsd:double"&gt;43.87&lt;/D&gt;&lt;D xsi:type="xsd:double"&gt;42.85&lt;/D&gt;&lt;D xsi:type="xsd:double"&gt;42.75&lt;/D&gt;&lt;D xsi:type="xsd:double"&gt;42.39&lt;/D&gt;&lt;D xsi:type="xsd:double"&gt;42.55&lt;/D&gt;&lt;D xsi:type="xsd:double"&gt;41.6&lt;/D&gt;&lt;D xsi:type="xsd:double"&gt;40.37&lt;/D&gt;&lt;D xsi:type="xsd:double"&gt;40.4&lt;/D&gt;&lt;D xsi:type="xsd:double"&gt;40.54&lt;/D&gt;&lt;D xsi:type="xsd:double"&gt;40.15&lt;/D&gt;&lt;D xsi:type="xsd:double"&gt;40.29&lt;/D&gt;&lt;D xsi:type="xsd:double"&gt;40.03&lt;/D&gt;&lt;D xsi:type="xsd:double"&gt;39.92&lt;/D&gt;&lt;D xsi:type="xsd:double"&gt;39.79&lt;/D&gt;&lt;D xsi:type="xsd:double"&gt;39.31&lt;/D&gt;&lt;D xsi:type="xsd:double"&gt;38.69&lt;/D&gt;&lt;D xsi:type="xsd:double"&gt;38.28&lt;/D&gt;&lt;D xsi:type="xsd:double"&gt;38.84&lt;/D&gt;&lt;D xsi:type="xsd:double"&gt;38.995&lt;/D&gt;&lt;D xsi:type="xsd:double"&gt;39.78&lt;/D&gt;&lt;D xsi:type="xsd:double"&gt;39.28&lt;/D&gt;&lt;D xsi:type="xsd:double"&gt;38.75&lt;/D&gt;&lt;D xsi:type="xsd:double"&gt;38.34&lt;/D&gt;&lt;D xsi:type="xsd:double"&gt;38.24&lt;/D&gt;&lt;D xsi:type="xsd:double"&gt;38.18&lt;/D&gt;&lt;D xsi:type="xsd:double"&gt;38.51&lt;/D&gt;&lt;D xsi:type="xsd:double"&gt;38.62&lt;/D&gt;&lt;D xsi:type="xsd:double"&gt;38.29&lt;/D&gt;&lt;D xsi:type="xsd:double"&gt;37.69&lt;/D&gt;&lt;D xsi:type="xsd:double"&gt;37.86&lt;/D&gt;&lt;D xsi:type="xsd:double"&gt;37.61&lt;/D&gt;&lt;D xsi:type="xsd:double"&gt;37.27&lt;/D&gt;&lt;D xsi:type="xsd:double"&gt;36.61&lt;/D&gt;&lt;D xsi:type="xsd:double"&gt;36.34&lt;/D&gt;&lt;D xsi:type="xsd:double"&gt;36.59&lt;/D&gt;&lt;D xsi:type="xsd:double"&gt;37.11&lt;/D&gt;&lt;D xsi:type="xsd:double"&gt;36.83&lt;/D&gt;&lt;D xsi:type="xsd:double"&gt;37.31&lt;/D&gt;&lt;D xsi:type="xsd:double"&gt;36.37&lt;/D&gt;&lt;D xsi:type="xsd:double"&gt;36.71&lt;/D&gt;&lt;D xsi:type="xsd:double"&gt;37.26&lt;/D&gt;&lt;D xsi:type="xsd:double"&gt;36.5&lt;/D&gt;&lt;D xsi:type="xsd:double"&gt;36.3&lt;/D&gt;&lt;D xsi:type="xsd:double"&gt;35.8&lt;/D&gt;&lt;D xsi:type="xsd:double"&gt;35.25&lt;/D&gt;&lt;D xsi:type="xsd:double"&gt;35.3&lt;/D&gt;&lt;D xsi:type="xsd:double"&gt;34.5&lt;/D&gt;&lt;D xsi:type="xsd:double"&gt;35.93&lt;/D&gt;&lt;D xsi:type="xsd:double"&gt;35.32&lt;/D&gt;&lt;D xsi:type="xsd:double"&gt;35.34&lt;/D&gt;&lt;D xsi:type="xsd:double"&gt;34.97&lt;/D&gt;&lt;D xsi:type="xsd:double"&gt;34.63&lt;/D&gt;&lt;D xsi:type="xsd:double"&gt;34.59&lt;/D&gt;&lt;D xsi:type="xsd:double"&gt;34.37&lt;/D&gt;&lt;D xsi:type="xsd:double"&gt;34.2&lt;/D&gt;&lt;D xsi:type="xsd:double"&gt;33.47&lt;/D&gt;&lt;D xsi:type="xsd:double"&gt;33.5&lt;/D&gt;&lt;D xsi:type="xsd:double"&gt;33.85&lt;/D&gt;&lt;D xsi:type="xsd:double"&gt;33.36&lt;/D&gt;&lt;D xsi:type="xsd:double"&gt;33.4&lt;/D&gt;&lt;D xsi:type="xsd:double"&gt;33.41&lt;/D&gt;&lt;D xsi:type="xsd:double"&gt;32.8&lt;/D&gt;&lt;D xsi:type="xsd:double"&gt;32.12&lt;/D&gt;&lt;D xsi:type="xsd:double"&gt;31.5&lt;/D&gt;&lt;D xsi:type="xsd:double"&gt;32.52&lt;/D&gt;&lt;D xsi:type="xsd:double"&gt;32.79&lt;/D&gt;&lt;D xsi:type="xsd:double"&gt;32.27&lt;/D&gt;&lt;D xsi:type="xsd:double"&gt;32.05&lt;/D&gt;&lt;D xsi:type="xsd:double"&gt;32.32&lt;/D&gt;&lt;D xsi:type="xsd:double"&gt;32.4&lt;/D&gt;&lt;D xsi:type="xsd:double"&gt;32.71&lt;/D&gt;&lt;D xsi:type="xsd:double"&gt;32.96&lt;/D&gt;&lt;D xsi:type="xsd:double"&gt;32.85&lt;/D&gt;&lt;D xsi:type="xsd:double"&gt;33.17&lt;/D&gt;&lt;D xsi:type="xsd:double"&gt;33.21&lt;/D&gt;&lt;D xsi:type="xsd:double"&gt;33.63&lt;/D&gt;&lt;D xsi:type="xsd:double"&gt;33.68&lt;/D&gt;&lt;D xsi:type="xsd:double"&gt;33.5&lt;/D&gt;&lt;D xsi:type="xsd:double"&gt;33.59&lt;/D&gt;&lt;D xsi:type="xsd:double"&gt;33.6&lt;/D&gt;&lt;D xsi:type="xsd:double"&gt;33.4&lt;/D&gt;&lt;D xsi:type="xsd:double"&gt;33.76&lt;/D&gt;&lt;D xsi:type="xsd:double"&gt;33.8&lt;/D&gt;&lt;D xsi:type="xsd:double"&gt;33.22&lt;/D&gt;&lt;D xsi:type="xsd:double"&gt;34.02&lt;/D&gt;&lt;D xsi:type="xsd:double"&gt;32.89&lt;/D&gt;&lt;D xsi:type="xsd:double"&gt;32.695&lt;/D&gt;&lt;D xsi:type="xsd:double"&gt;33.23&lt;/D&gt;&lt;D xsi:type="xsd:double"&gt;33.83&lt;/D&gt;&lt;D xsi:type="xsd:double"&gt;33.4&lt;/D&gt;&lt;D xsi:type="xsd:double"&gt;33.05&lt;/D&gt;&lt;D xsi:type="xsd:double"&gt;32.73&lt;/D&gt;&lt;D xsi:type="xsd:double"&gt;32.81&lt;/D&gt;&lt;D xsi:type="xsd:double"&gt;32.58&lt;/D&gt;&lt;D xsi:type="xsd:double"&gt;32.55&lt;/D&gt;&lt;D xsi:type="xsd:double"&gt;32.44&lt;/D&gt;&lt;D xsi:type="xsd:double"&gt;32.71&lt;/D&gt;&lt;D xsi:type="xsd:double"&gt;32.8&lt;/D&gt;&lt;D xsi:type="xsd:double"&gt;31.9&lt;/D&gt;&lt;D xsi:type="xsd:double"&gt;32.04&lt;/D&gt;&lt;D xsi:type="xsd:double"&gt;32.19&lt;/D&gt;&lt;D xsi:type="xsd:double"&gt;32.55&lt;/D&gt;&lt;D xsi:type="xsd:double"&gt;32.4&lt;/D&gt;&lt;D xsi:type="xsd:double"&gt;32.27&lt;/D&gt;&lt;D xsi:type="xsd:double"&gt;32.54&lt;/D&gt;&lt;D xsi:type="xsd:double"&gt;31.97&lt;/D&gt;&lt;D xsi:type="xsd:double"&gt;31.47&lt;/D&gt;&lt;D xsi:type="xsd:double"&gt;31.41&lt;/D&gt;&lt;D xsi:type="xsd:double"&gt;30.74&lt;/D&gt;&lt;D xsi:type="xsd:double"&gt;30.09&lt;/D&gt;&lt;D xsi:type="xsd:double"&gt;30.26&lt;/D&gt;&lt;D xsi:type="xsd:double"&gt;30.24&lt;/D&gt;&lt;D xsi:type="xsd:double"&gt;29.98&lt;/D&gt;&lt;D xsi:type="xsd:double"&gt;29.83&lt;/D&gt;&lt;D xsi:type="xsd:double"&gt;29.48&lt;/D&gt;&lt;D xsi:type="xsd:double"&gt;29.83&lt;/D&gt;&lt;D xsi:type="xsd:double"&gt;29.78&lt;/D&gt;&lt;D xsi:type="xsd:double"&gt;30.34&lt;/D&gt;&lt;D xsi:type="xsd:double"&gt;30.49&lt;/D&gt;&lt;D xsi:type="xsd:double"&gt;30.41&lt;/D&gt;&lt;D xsi:type="xsd:double"&gt;30.39&lt;/D&gt;&lt;D xsi:type="xsd:double"&gt;30.3&lt;/D&gt;&lt;D xsi:type="xsd:double"&gt;30.16&lt;/D&gt;&lt;D xsi:type="xsd:double"&gt;30.23&lt;/D&gt;&lt;D xsi:type="xsd:double"&gt;29.77&lt;/D&gt;&lt;D xsi:type="xsd:double"&gt;29.89&lt;/D&gt;&lt;D xsi:type="xsd:double"&gt;30.21&lt;/D&gt;&lt;D xsi:type="xsd:double"&gt;30.51&lt;/D&gt;&lt;D xsi:type="xsd:double"&gt;31.1&lt;/D&gt;&lt;D xsi:type="xsd:double"&gt;31.04&lt;/D&gt;&lt;D xsi:type="xsd:double"&gt;31.41&lt;/D&gt;&lt;D xsi:type="xsd:double"&gt;31.02&lt;/D&gt;&lt;D xsi:type="xsd:double"&gt;31.82&lt;/D&gt;&lt;D xsi:type="xsd:double"&gt;31.85&lt;/D&gt;&lt;D xsi:type="xsd:double"&gt;31.51&lt;/D&gt;&lt;D xsi:type="xsd:double"&gt;31.45&lt;/D&gt;&lt;D xsi:type="xsd:double"&gt;31.05&lt;/D&gt;&lt;D xsi:type="xsd:double"&gt;31.26&lt;/D&gt;&lt;D xsi:type="xsd:double"&gt;30.86&lt;/D&gt;&lt;D xsi:type="xsd:double"&gt;30.96&lt;/D&gt;&lt;D xsi:type="xsd:double"&gt;30.03&lt;/D&gt;&lt;D xsi:type="xsd:double"&gt;30.1&lt;/D&gt;&lt;D xsi:type="xsd:double"&gt;30.34&lt;/D&gt;&lt;D xsi:type="xsd:double"&gt;30.45&lt;/D&gt;&lt;D xsi:type="xsd:double"&gt;31.11&lt;/D&gt;&lt;D xsi:type="xsd:double"&gt;31.83&lt;/D&gt;&lt;D xsi:type="xsd:double"&gt;32.51&lt;/D&gt;&lt;D xsi:type="xsd:double"&gt;32.54&lt;/D&gt;&lt;D xsi:type="xsd:double"&gt;31.82&lt;/D&gt;&lt;D xsi:type="xsd:double"&gt;31.75&lt;/D&gt;&lt;D xsi:type="xsd:double"&gt;31.84&lt;/D&gt;&lt;D xsi:type="xsd:double"&gt;32.17&lt;/D&gt;&lt;D xsi:type="xsd:double"&gt;31.88&lt;/D&gt;&lt;D xsi:type="xsd:double"&gt;31.58&lt;/D&gt;&lt;D xsi:type="xsd:double"&gt;31.53&lt;/D&gt;&lt;D xsi:type="xsd:double"&gt;31.5&lt;/D&gt;&lt;D xsi:type="xsd:double"&gt;32.08&lt;/D&gt;&lt;D xsi:type="xsd:double"&gt;32.17&lt;/D&gt;&lt;D xsi:type="xsd:double"&gt;32.75&lt;/D&gt;&lt;D xsi:type="xsd:double"&gt;32.85&lt;/D&gt;&lt;D xsi:type="xsd:double"&gt;32.635&lt;/D&gt;&lt;D xsi:type="xsd:double"&gt;32.69&lt;/D&gt;&lt;D xsi:type="xsd:double"&gt;32.75&lt;/D&gt;&lt;D xsi:type="xsd:double"&gt;32.96&lt;/D&gt;&lt;D xsi:type="xsd:double"&gt;32.61&lt;/D&gt;&lt;D xsi:type="xsd:double"&gt;33.07&lt;/D&gt;&lt;D xsi:type="xsd:double"&gt;33.24&lt;/D&gt;&lt;D xsi:type="xsd:double"&gt;32.56&lt;/D&gt;&lt;D xsi:type="xsd:double"&gt;32.35&lt;/D&gt;&lt;D xsi:type="xsd:double"&gt;32.2&lt;/D&gt;&lt;D xsi:type="xsd:double"&gt;32.15&lt;/D&gt;&lt;D xsi:type="xsd:double"&gt;31.75&lt;/D&gt;&lt;D xsi:type="xsd:double"&gt;31.62&lt;/D&gt;&lt;D xsi:type="xsd:double"&gt;31.58&lt;/D&gt;&lt;D xsi:type="xsd:double"&gt;31.35&lt;/D&gt;&lt;D xsi:type="xsd:double"&gt;31.07&lt;/D&gt;&lt;D xsi:type="xsd:double"&gt;31.13&lt;/D&gt;&lt;D xsi:type="xsd:double"&gt;31.44&lt;/D&gt;&lt;D xsi:type="xsd:double"&gt;31.24&lt;/D&gt;&lt;D xsi:type="xsd:double"&gt;31.67&lt;/D&gt;&lt;D xsi:type="xsd:double"&gt;31.7&lt;/D&gt;&lt;D xsi:type="xsd:double"&gt;31.19&lt;/D&gt;&lt;D xsi:type="xsd:double"&gt;30.91&lt;/D&gt;&lt;D xsi:type="xsd:double"&gt;30.05&lt;/D&gt;&lt;D xsi:type="xsd:double"&gt;29.95&lt;/D&gt;&lt;D xsi:type="xsd:double"&gt;29.43&lt;/D&gt;&lt;D xsi:type="xsd:double"&gt;29.35&lt;/D&gt;&lt;D xsi:type="xsd:double"&gt;29.13&lt;/D&gt;&lt;D xsi:type="xsd:double"&gt;28.39&lt;/D&gt;&lt;D xsi:type="xsd:double"&gt;27.51&lt;/D&gt;&lt;D xsi:type="xsd:double"&gt;28.24&lt;/D&gt;&lt;D xsi:type="xsd:double"&gt;26.5&lt;/D&gt;&lt;D xsi:type="xsd:double"&gt;27.09&lt;/D&gt;&lt;D xsi:type="xsd:double"&gt;28.19&lt;/D&gt;&lt;D xsi:type="xsd:double"&gt;30.07&lt;/D&gt;&lt;D xsi:type="xsd:double"&gt;29.91&lt;/D&gt;&lt;D xsi:type="xsd:double"&gt;30.2&lt;/D&gt;&lt;D xsi:type="xsd:double"&gt;29.82&lt;/D&gt;&lt;/FQL&gt;&lt;FQL&gt;&lt;Q&gt;KSA^FG_TOTAL_RETURNC(-5AY,0,AM)&lt;/Q&gt;&lt;R&gt;61&lt;/R&gt;&lt;C&gt;1&lt;/C&gt;&lt;D xsi:type="xsd:double"&gt;2.6653767&lt;/D&gt;&lt;D xsi:type="xsd:double"&gt;0.15640259&lt;/D&gt;&lt;D xsi:type="xsd:double"&gt;8.650839&lt;/D&gt;&lt;D xsi:type="xsd:double"&gt;5.288875&lt;/D&gt;&lt;D xsi:type="xsd:double"&gt;2.1293998&lt;/D&gt;&lt;D xsi:type="xsd:double"&gt;4.531622&lt;/D&gt;&lt;D xsi:type="xsd:double"&gt;0.9808898&lt;/D&gt;&lt;D xsi:type="xsd:double"&gt;5.214727&lt;/D&gt;&lt;D xsi:type="xsd:double"&gt;1.943636&lt;/D&gt;&lt;D xsi:type="xsd:double"&gt;3.670168&lt;/D&gt;&lt;D xsi:type="xsd:double"&gt;0.64367056&lt;/D&gt;&lt;D xsi:type="xsd:double"&gt;-7.242465&lt;/D&gt;&lt;D xsi:type="xsd:double"&gt;9.764444&lt;/D&gt;&lt;D xsi:type="xsd:double"&gt;2.7338505&lt;/D&gt;&lt;D xsi:type="xsd:double"&gt;1.4295101&lt;/D&gt;&lt;D xsi:type="xsd:double"&gt;8.651352&lt;/D&gt;&lt;D xsi:type="xsd:double"&gt;-5.467975&lt;/D&gt;&lt;D xsi:type="xsd:double"&gt;-7.7475967&lt;/D&gt;&lt;D xsi:type="xsd:double"&gt;-6.8234262&lt;/D&gt;&lt;D xsi:type="xsd:double"&gt;13.11233&lt;/D&gt;&lt;D xsi:type="xsd:double"&gt;-6.3210845&lt;/D&gt;&lt;D xsi:type="xsd:double"&gt;-2.9418707&lt;/D&gt;&lt;D xsi:type="xsd:double"&gt;-3.3678174&lt;/D&gt;&lt;D xsi:type="xsd:double"&gt;-6.9025936&lt;/D&gt;&lt;D xsi:type="xsd:double"&gt;6.2432528&lt;/D&gt;&lt;D xsi:type="xsd:double"&gt;-2.7982771&lt;/D&gt;&lt;D xsi:type="xsd:double"&gt;-5.600625&lt;/D&gt;&lt;D xsi:type="xsd:double"&gt;11.034096&lt;/D&gt;&lt;D xsi:type="xsd:double"&gt;2.4219751&lt;/D&gt;&lt;D xsi:type="xsd:double"&gt;3.1608582&lt;/D&gt;&lt;D xsi:type="xsd:double"&gt;1.3869047&lt;/D&gt;&lt;D xsi:type="xsd:double"&gt;-4.528308&lt;/D&gt;&lt;D xsi:type="xsd:double"&gt;-1.9762814&lt;/D&gt;&lt;D xsi:type="xsd:double"&gt;-7.510078&lt;/D&gt;&lt;D xsi:type="xsd:double"&gt;7.901895&lt;/D&gt;&lt;D xsi:type="xsd:double"&gt;4.5707107&lt;/D&gt;&lt;D xsi:type="xsd:double"&gt;4.6307683&lt;/D&gt;&lt;D xsi:type="xsd:double"&gt;4.022455&lt;/D&gt;&lt;D xsi:type="xsd:double"&gt;0.022482872&lt;/D&gt;&lt;D xsi:type="xsd:double"&gt;-0.8990824&lt;/D&gt;&lt;D xsi:type="xsd:double"&gt;-3.901112&lt;/D&gt;&lt;D xsi:type="xsd:double"&gt;-3.6993027&lt;/D&gt;&lt;D xsi:type="xsd:double"&gt;3.4079552&lt;/D&gt;&lt;D xsi:type="xsd:double"&gt;-0.09622574&lt;/D&gt;&lt;D xsi:type="xsd:double"&gt;-0.674206&lt;/D&gt;&lt;D xsi:type="xsd:double"&gt;1.4060616&lt;/D&gt;&lt;D xsi:type="xsd:double"&gt;-2.605784&lt;/D&gt;&lt;D xsi:type="xsd:double"&gt;3.5836935&lt;/D&gt;&lt;D xsi:type="xsd:double"&gt;1.0718465&lt;/D&gt;&lt;D xsi:type="xsd:double"&gt;1.5774369&lt;/D&gt;&lt;D xsi:type="xsd:double"&gt;-4.75294&lt;/D&gt;&lt;D xsi:type="xsd:double"&gt;-0.59288144&lt;/D&gt;&lt;D xsi:type="xsd:double"&gt;-0.27335882&lt;/D&gt;&lt;D xsi:type="xsd:double"&gt;-7.475704&lt;/D&gt;&lt;D xsi:type="xsd:double"&gt;4.3190837&lt;/D&gt;&lt;D xsi:type="xsd:double"&gt;-1.4176965&lt;/D&gt;&lt;D xsi:type="xsd:double"&gt;-2.237016&lt;/D&gt;&lt;D xsi:type="xsd:double"&gt;11.386549&lt;/D&gt;&lt;D xsi:type="xsd:double"&gt;-5.037898&lt;/D&gt;&lt;D xsi:type="xsd:double"&gt;-5.2021623&lt;/D&gt;&lt;D xsi:type="xsd:double"&gt;4.4625163&lt;/D&gt;&lt;/FQL&gt;&lt;FQL&gt;&lt;Q&gt;EWW^FG_PRICE(0,-200D)&lt;/Q&gt;&lt;R&gt;201&lt;/R&gt;&lt;C&gt;1&lt;/C&gt;&lt;D xsi:type="xsd:double"&gt;73.25&lt;/D&gt;&lt;D xsi:type="xsd:double"&gt;73.38&lt;/D&gt;&lt;D xsi:type="xsd:double"&gt;71.97&lt;/D&gt;&lt;D xsi:type="xsd:double"&gt;72.06&lt;/D&gt;&lt;D xsi:type="xsd:double"&gt;71.06&lt;/D&gt;&lt;D xsi:type="xsd:double"&gt;70.48&lt;/D&gt;&lt;D xsi:type="xsd:double"&gt;69.92&lt;/D&gt;&lt;D xsi:type="xsd:double"&gt;70.04&lt;/D&gt;&lt;D xsi:type="xsd:double"&gt;70.58&lt;/D&gt;&lt;D xsi:type="xsd:double"&gt;69.66&lt;/D&gt;&lt;D xsi:type="xsd:double"&gt;69.33&lt;/D&gt;&lt;D xsi:type="xsd:double"&gt;69.49&lt;/D&gt;&lt;D xsi:type="xsd:double"&gt;70.51&lt;/D&gt;&lt;D xsi:type="xsd:double"&gt;71.15&lt;/D&gt;&lt;D xsi:type="xsd:double"&gt;70.95&lt;/D&gt;&lt;D xsi:type="xsd:double"&gt;71.04&lt;/D&gt;&lt;D xsi:type="xsd:double"&gt;69.95&lt;/D&gt;&lt;D xsi:type="xsd:double"&gt;68.85&lt;/D&gt;&lt;D xsi:type="xsd:double"&gt;68.75&lt;/D&gt;&lt;D xsi:type="xsd:double"&gt;67.45&lt;/D&gt;&lt;D xsi:type="xsd:double"&gt;68.28&lt;/D&gt;&lt;D xsi:type="xsd:double"&gt;70.48&lt;/D&gt;&lt;D xsi:type="xsd:double"&gt;70.69&lt;/D&gt;&lt;D xsi:type="xsd:double"&gt;71.06&lt;/D&gt;&lt;D xsi:type="xsd:double"&gt;69.04&lt;/D&gt;&lt;D xsi:type="xsd:double"&gt;69.27&lt;/D&gt;&lt;D xsi:type="xsd:double"&gt;68.64&lt;/D&gt;&lt;D xsi:type="xsd:double"&gt;68.68&lt;/D&gt;&lt;D xsi:type="xsd:double"&gt;68.82&lt;/D&gt;&lt;D xsi:type="xsd:double"&gt;68.43&lt;/D&gt;&lt;D xsi:type="xsd:double"&gt;68.71&lt;/D&gt;&lt;D xsi:type="xsd:double"&gt;68.46&lt;/D&gt;&lt;D xsi:type="xsd:double"&gt;68.42&lt;/D&gt;&lt;D xsi:type="xsd:double"&gt;67.88&lt;/D&gt;&lt;D xsi:type="xsd:double"&gt;67.75&lt;/D&gt;&lt;D xsi:type="xsd:double"&gt;66.55&lt;/D&gt;&lt;D xsi:type="xsd:double"&gt;66.04&lt;/D&gt;&lt;D xsi:type="xsd:double"&gt;66.02&lt;/D&gt;&lt;D xsi:type="xsd:double"&gt;66.77&lt;/D&gt;&lt;D xsi:type="xsd:double"&gt;66.67&lt;/D&gt;&lt;D xsi:type="xsd:double"&gt;65.87&lt;/D&gt;&lt;D xsi:type="xsd:double"&gt;67.22&lt;/D&gt;&lt;D xsi:type="xsd:double"&gt;67.38&lt;/D&gt;&lt;D xsi:type="xsd:double"&gt;68.16&lt;/D&gt;&lt;D xsi:type="xsd:double"&gt;69.34&lt;/D&gt;&lt;D xsi:type="xsd:double"&gt;67.91&lt;/D&gt;&lt;D xsi:type="xsd:double"&gt;67.82&lt;/D&gt;&lt;D xsi:type="xsd:double"&gt;66.97&lt;/D&gt;&lt;D xsi:type="xsd:double"&gt;67.18&lt;/D&gt;&lt;D xsi:type="xsd:double"&gt;65.65&lt;/D&gt;&lt;D xsi:type="xsd:double"&gt;66.23&lt;/D&gt;&lt;D xsi:type="xsd:double"&gt;66.53&lt;/D&gt;&lt;D xsi:type="xsd:double"&gt;66.73&lt;/D&gt;&lt;D xsi:type="xsd:double"&gt;67.43&lt;/D&gt;&lt;D xsi:type="xsd:double"&gt;67.1&lt;/D&gt;&lt;D xsi:type="xsd:double"&gt;66.33&lt;/D&gt;&lt;D xsi:type="xsd:double"&gt;65.37&lt;/D&gt;&lt;D xsi:type="xsd:double"&gt;66.02&lt;/D&gt;&lt;D xsi:type="xsd:double"&gt;65.51&lt;/D&gt;&lt;D xsi:type="xsd:double"&gt;65.07&lt;/D&gt;&lt;D xsi:type="xsd:double"&gt;65.94&lt;/D&gt;&lt;D xsi:type="xsd:double"&gt;66.13&lt;/D&gt;&lt;D xsi:type="xsd:double"&gt;67.05&lt;/D&gt;&lt;D xsi:type="xsd:double"&gt;65.87&lt;/D&gt;&lt;D xsi:type="xsd:double"&gt;64.84&lt;/D&gt;&lt;D xsi:type="xsd:double"&gt;65.47&lt;/D&gt;&lt;D xsi:type="xsd:double"&gt;64.39&lt;/D&gt;&lt;D xsi:type="xsd:double"&gt;65.42&lt;/D&gt;&lt;D xsi:type="xsd:double"&gt;65.73&lt;/D&gt;&lt;D xsi:type="xsd:double"&gt;65.04&lt;/D&gt;&lt;D xsi:type="xsd:double"&gt;65.44&lt;/D&gt;&lt;D xsi:type="xsd:double"&gt;66.81&lt;/D&gt;&lt;D xsi:type="xsd:double"&gt;66.9&lt;/D&gt;&lt;D xsi:type="xsd:double"&gt;66.78&lt;/D&gt;&lt;D xsi:type="xsd:double"&gt;68.21&lt;/D&gt;&lt;D xsi:type="xsd:double"&gt;67.46&lt;/D&gt;&lt;D xsi:type="xsd:double"&gt;67.14&lt;/D&gt;&lt;D xsi:type="xsd:double"&gt;66.18&lt;/D&gt;&lt;D xsi:type="xsd:double"&gt;66.47&lt;/D&gt;&lt;D xsi:type="xsd:double"&gt;67.43&lt;/D&gt;&lt;D xsi:type="xsd:double"&gt;66.9&lt;/D&gt;&lt;D xsi:type="xsd:double"&gt;66.1&lt;/D&gt;&lt;D xsi:type="xsd:double"&gt;65.95&lt;/D&gt;&lt;D xsi:type="xsd:double"&gt;66.53&lt;/D&gt;&lt;D xsi:type="xsd:double"&gt;66.8&lt;/D&gt;&lt;D xsi:type="xsd:double"&gt;66.77&lt;/D&gt;&lt;D xsi:type="xsd:double"&gt;66.12&lt;/D&gt;&lt;D xsi:type="xsd:double"&gt;65.71&lt;/D&gt;&lt;D xsi:type="xsd:double"&gt;64.28&lt;/D&gt;&lt;D xsi:type="xsd:double"&gt;64.26&lt;/D&gt;&lt;D xsi:type="xsd:double"&gt;64.15&lt;/D&gt;&lt;D xsi:type="xsd:double"&gt;63.83&lt;/D&gt;&lt;D xsi:type="xsd:double"&gt;63.07&lt;/D&gt;&lt;D xsi:type="xsd:double"&gt;62.8&lt;/D&gt;&lt;D xsi:type="xsd:double"&gt;62.91&lt;/D&gt;&lt;D xsi:type="xsd:double"&gt;61.94&lt;/D&gt;&lt;D xsi:type="xsd:double"&gt;62.52&lt;/D&gt;&lt;D xsi:type="xsd:double"&gt;61.94&lt;/D&gt;&lt;D xsi:type="xsd:double"&gt;61.44&lt;/D&gt;&lt;D xsi:type="xsd:double"&gt;61.71&lt;/D&gt;&lt;D xsi:type="xsd:double"&gt;62.8&lt;/D&gt;&lt;D xsi:type="xsd:double"&gt;61.55&lt;/D&gt;&lt;D xsi:type="xsd:double"&gt;61.17&lt;/D&gt;&lt;D xsi:type="xsd:double"&gt;61.25&lt;/D&gt;&lt;D xsi:type="xsd:double"&gt;61.19&lt;/D&gt;&lt;D xsi:type="xsd:double"&gt;61.34&lt;/D&gt;&lt;D xsi:type="xsd:double"&gt;60.99&lt;/D&gt;&lt;D xsi:type="xsd:double"&gt;61.99&lt;/D&gt;&lt;D xsi:type="xsd:double"&gt;62.33&lt;/D&gt;&lt;D xsi:type="xsd:double"&gt;61.54&lt;/D&gt;&lt;D xsi:type="xsd:double"&gt;61.64&lt;/D&gt;&lt;D xsi:type="xsd:double"&gt;61.65&lt;/D&gt;&lt;D xsi:type="xsd:double"&gt;60.76&lt;/D&gt;&lt;D xsi:type="xsd:double"&gt;60.19&lt;/D&gt;&lt;D xsi:type="xsd:double"&gt;59.23&lt;/D&gt;&lt;D xsi:type="xsd:double"&gt;59.6&lt;/D&gt;&lt;D xsi:type="xsd:double"&gt;60.14&lt;/D&gt;&lt;D xsi:type="xsd:double"&gt;60.17&lt;/D&gt;&lt;D xsi:type="xsd:double"&gt;60.93&lt;/D&gt;&lt;D xsi:type="xsd:double"&gt;60.06&lt;/D&gt;&lt;D xsi:type="xsd:double"&gt;61.05&lt;/D&gt;&lt;D xsi:type="xsd:double"&gt;60.85&lt;/D&gt;&lt;D xsi:type="xsd:double"&gt;60.47&lt;/D&gt;&lt;D xsi:type="xsd:double"&gt;59.03&lt;/D&gt;&lt;D xsi:type="xsd:double"&gt;59.24&lt;/D&gt;&lt;D xsi:type="xsd:double"&gt;59.46&lt;/D&gt;&lt;D xsi:type="xsd:double"&gt;59.79&lt;/D&gt;&lt;D xsi:type="xsd:double"&gt;59.77&lt;/D&gt;&lt;D xsi:type="xsd:double"&gt;59.38&lt;/D&gt;&lt;D xsi:type="xsd:double"&gt;59.61&lt;/D&gt;&lt;D xsi:type="xsd:double"&gt;60.13&lt;/D&gt;&lt;D xsi:type="xsd:double"&gt;60.29&lt;/D&gt;&lt;D xsi:type="xsd:double"&gt;60.28&lt;/D&gt;&lt;D xsi:type="xsd:double"&gt;60.89&lt;/D&gt;&lt;D xsi:type="xsd:double"&gt;61.11&lt;/D&gt;&lt;D xsi:type="xsd:double"&gt;61.7&lt;/D&gt;&lt;D xsi:type="xsd:double"&gt;61.59&lt;/D&gt;&lt;D xsi:type="xsd:double"&gt;61.12&lt;/D&gt;&lt;D xsi:type="xsd:double"&gt;60.56&lt;/D&gt;&lt;D xsi:type="xsd:double"&gt;60.32&lt;/D&gt;&lt;D xsi:type="xsd:double"&gt;60.31&lt;/D&gt;&lt;D xsi:type="xsd:double"&gt;59.68&lt;/D&gt;&lt;D xsi:type="xsd:double"&gt;59.21&lt;/D&gt;&lt;D xsi:type="xsd:double"&gt;57.94&lt;/D&gt;&lt;D xsi:type="xsd:double"&gt;58.11&lt;/D&gt;&lt;D xsi:type="xsd:double"&gt;58.97&lt;/D&gt;&lt;D xsi:type="xsd:double"&gt;58.91&lt;/D&gt;&lt;D xsi:type="xsd:double"&gt;59.82&lt;/D&gt;&lt;D xsi:type="xsd:double"&gt;61.06&lt;/D&gt;&lt;D xsi:type="xsd:double"&gt;61.57&lt;/D&gt;&lt;D xsi:type="xsd:double"&gt;61.56&lt;/D&gt;&lt;D xsi:type="xsd:double"&gt;61.36&lt;/D&gt;&lt;D xsi:type="xsd:double"&gt;61.09&lt;/D&gt;&lt;D xsi:type="xsd:double"&gt;61.24&lt;/D&gt;&lt;D xsi:type="xsd:double"&gt;60.72&lt;/D&gt;&lt;D xsi:type="xsd:double"&gt;60.25&lt;/D&gt;&lt;D xsi:type="xsd:double"&gt;60.39&lt;/D&gt;&lt;D xsi:type="xsd:double"&gt;60.64&lt;/D&gt;&lt;D xsi:type="xsd:double"&gt;60.17&lt;/D&gt;&lt;D xsi:type="xsd:double"&gt;61.23&lt;/D&gt;&lt;D xsi:type="xsd:double"&gt;60.9&lt;/D&gt;&lt;D xsi:type="xsd:double"&gt;61.13&lt;/D&gt;&lt;D xsi:type="xsd:double"&gt;60.67&lt;/D&gt;&lt;D xsi:type="xsd:double"&gt;59.83&lt;/D&gt;&lt;D xsi:type="xsd:double"&gt;60.32&lt;/D&gt;&lt;D xsi:type="xsd:double"&gt;60.53&lt;/D&gt;&lt;D xsi:type="xsd:double"&gt;60.57&lt;/D&gt;&lt;D xsi:type="xsd:double"&gt;59.51&lt;/D&gt;&lt;D xsi:type="xsd:double"&gt;59.26&lt;/D&gt;&lt;D xsi:type="xsd:double"&gt;59.36&lt;/D&gt;&lt;D xsi:type="xsd:double"&gt;59.08&lt;/D&gt;&lt;D xsi:type="xsd:double"&gt;57.84&lt;/D&gt;&lt;D xsi:type="xsd:double"&gt;58.12&lt;/D&gt;&lt;D xsi:type="xsd:double"&gt;58.11&lt;/D&gt;&lt;D xsi:type="xsd:double"&gt;59.09&lt;/D&gt;&lt;D xsi:type="xsd:double"&gt;58.39&lt;/D&gt;&lt;D xsi:type="xsd:double"&gt;56.68&lt;/D&gt;&lt;D xsi:type="xsd:double"&gt;56.94&lt;/D&gt;&lt;D xsi:type="xsd:double"&gt;56.67&lt;/D&gt;&lt;D xsi:type="xsd:double"&gt;56.97&lt;/D&gt;&lt;D xsi:type="xsd:double"&gt;56.42&lt;/D&gt;&lt;D xsi:type="xsd:double"&gt;58.12&lt;/D&gt;&lt;D xsi:type="xsd:double"&gt;57.94&lt;/D&gt;&lt;D xsi:type="xsd:double"&gt;57.34&lt;/D&gt;&lt;D xsi:type="xsd:double"&gt;56.51&lt;/D&gt;&lt;D xsi:type="xsd:double"&gt;55.51&lt;/D&gt;&lt;D xsi:type="xsd:double"&gt;54.34&lt;/D&gt;&lt;D xsi:type="xsd:double"&gt;54.93&lt;/D&gt;&lt;D xsi:type="xsd:double"&gt;53.02&lt;/D&gt;&lt;D xsi:type="xsd:double"&gt;52.19&lt;/D&gt;&lt;D xsi:type="xsd:double"&gt;51.91&lt;/D&gt;&lt;D xsi:type="xsd:double"&gt;50.68&lt;/D&gt;&lt;D xsi:type="xsd:double"&gt;50.3&lt;/D&gt;&lt;D xsi:type="xsd:double"&gt;51.86&lt;/D&gt;&lt;D xsi:type="xsd:double"&gt;48.06&lt;/D&gt;&lt;D xsi:type="xsd:double"&gt;48.52&lt;/D&gt;&lt;D xsi:type="xsd:double"&gt;49.92&lt;/D&gt;&lt;D xsi:type="xsd:double"&gt;54.26&lt;/D&gt;&lt;D xsi:type="xsd:double"&gt;52.16&lt;/D&gt;&lt;D xsi:type="xsd:double"&gt;52.05&lt;/D&gt;&lt;D xsi:type="xsd:double"&gt;50.96&lt;/D&gt;&lt;/FQL&gt;&lt;FQL&gt;&lt;Q&gt;EZA^FG_TOTAL_RETURNC(-5AY,0,AM)&lt;/Q&gt;&lt;R&gt;61&lt;/R&gt;&lt;C&gt;1&lt;/C&gt;&lt;D xsi:type="xsd:double"&gt;0.41142702&lt;/D&gt;&lt;D xsi:type="xsd:double"&gt;12.428867&lt;/D&gt;&lt;D xsi:type="xsd:double"&gt;-0.121474266&lt;/D&gt;&lt;D xsi:type="xsd:double"&gt;5.7774186&lt;/D&gt;&lt;D xsi:type="xsd:double"&gt;-2.5871933&lt;/D&gt;&lt;D xsi:type="xsd:double"&gt;2.6083589&lt;/D&gt;&lt;D xsi:type="xsd:double"&gt;-6.5595984&lt;/D&gt;&lt;D xsi:type="xsd:double"&gt;0.3313303&lt;/D&gt;&lt;D xsi:type="xsd:double"&gt;-0.5779207&lt;/D&gt;&lt;D xsi:type="xsd:double"&gt;3.6744833&lt;/D&gt;&lt;D xsi:type="xsd:double"&gt;-3.0436516&lt;/D&gt;&lt;D xsi:type="xsd:double"&gt;-5.8113933&lt;/D&gt;&lt;D xsi:type="xsd:double"&gt;9.7474575&lt;/D&gt;&lt;D xsi:type="xsd:double"&gt;4.985869&lt;/D&gt;&lt;D xsi:type="xsd:double"&gt;-1.2305319&lt;/D&gt;&lt;D xsi:type="xsd:double"&gt;2.569592&lt;/D&gt;&lt;D xsi:type="xsd:double"&gt;-13.873595&lt;/D&gt;&lt;D xsi:type="xsd:double"&gt;-1.3655543&lt;/D&gt;&lt;D xsi:type="xsd:double"&gt;-8.725447&lt;/D&gt;&lt;D xsi:type="xsd:double"&gt;12.387395&lt;/D&gt;&lt;D xsi:type="xsd:double"&gt;-12.113112&lt;/D&gt;&lt;D xsi:type="xsd:double"&gt;-8.8674965&lt;/D&gt;&lt;D xsi:type="xsd:double"&gt;20.4615&lt;/D&gt;&lt;D xsi:type="xsd:double"&gt;-3.8847566&lt;/D&gt;&lt;D xsi:type="xsd:double"&gt;16.211594&lt;/D&gt;&lt;D xsi:type="xsd:double"&gt;-9.188164&lt;/D&gt;&lt;D xsi:type="xsd:double"&gt;-9.7944145&lt;/D&gt;&lt;D xsi:type="xsd:double"&gt;10.985923&lt;/D&gt;&lt;D xsi:type="xsd:double"&gt;-7.360405&lt;/D&gt;&lt;D xsi:type="xsd:double"&gt;7.3097825&lt;/D&gt;&lt;D xsi:type="xsd:double"&gt;0.1180768&lt;/D&gt;&lt;D xsi:type="xsd:double"&gt;-6.674534&lt;/D&gt;&lt;D xsi:type="xsd:double"&gt;-2.501887&lt;/D&gt;&lt;D xsi:type="xsd:double"&gt;-0.28512478&lt;/D&gt;&lt;D xsi:type="xsd:double"&gt;7.616329&lt;/D&gt;&lt;D xsi:type="xsd:double"&gt;1.0386467&lt;/D&gt;&lt;D xsi:type="xsd:double"&gt;-4.1737437&lt;/D&gt;&lt;D xsi:type="xsd:double"&gt;-3.586769&lt;/D&gt;&lt;D xsi:type="xsd:double"&gt;0.39298534&lt;/D&gt;&lt;D xsi:type="xsd:double"&gt;1.6962409&lt;/D&gt;&lt;D xsi:type="xsd:double"&gt;12.368488&lt;/D&gt;&lt;D xsi:type="xsd:double"&gt;-4.1823745&lt;/D&gt;&lt;D xsi:type="xsd:double"&gt;7.35898&lt;/D&gt;&lt;D xsi:type="xsd:double"&gt;3.7204146&lt;/D&gt;&lt;D xsi:type="xsd:double"&gt;0.80434084&lt;/D&gt;&lt;D xsi:type="xsd:double"&gt;5.844307&lt;/D&gt;&lt;D xsi:type="xsd:double"&gt;-5.460471&lt;/D&gt;&lt;D xsi:type="xsd:double"&gt;5.6465507&lt;/D&gt;&lt;D xsi:type="xsd:double"&gt;-8.847761&lt;/D&gt;&lt;D xsi:type="xsd:double"&gt;8.934462&lt;/D&gt;&lt;D xsi:type="xsd:double"&gt;1.7095923&lt;/D&gt;&lt;D xsi:type="xsd:double"&gt;0.21276474&lt;/D&gt;&lt;D xsi:type="xsd:double"&gt;8.471346&lt;/D&gt;&lt;D xsi:type="xsd:double"&gt;4.3257&lt;/D&gt;&lt;D xsi:type="xsd:double"&gt;0.34445524&lt;/D&gt;&lt;D xsi:type="xsd:double"&gt;9.004915&lt;/D&gt;&lt;D xsi:type="xsd:double"&gt;5.7445407&lt;/D&gt;&lt;D xsi:type="xsd:double"&gt;8.370256&lt;/D&gt;&lt;D xsi:type="xsd:double"&gt;1.4538884&lt;/D&gt;&lt;D xsi:type="xsd:double"&gt;3.9110303&lt;/D&gt;&lt;D xsi:type="xsd:double"&gt;11.75605&lt;/D&gt;&lt;/FQL&gt;&lt;FQL&gt;&lt;Q&gt;INDA^FG_PRICE(0,-200D)&lt;/Q&gt;&lt;R&gt;201&lt;/R&gt;&lt;C&gt;1&lt;/C&gt;&lt;D xsi:type="xsd:double"&gt;53.22&lt;/D&gt;&lt;D xsi:type="xsd:double"&gt;53.25&lt;/D&gt;&lt;D xsi:type="xsd:double"&gt;53.04&lt;/D&gt;&lt;D xsi:type="xsd:double"&gt;53.4&lt;/D&gt;&lt;D xsi:type="xsd:double"&gt;53.175&lt;/D&gt;&lt;D xsi:type="xsd:double"&gt;53.72&lt;/D&gt;&lt;D xsi:type="xsd:double"&gt;54.2&lt;/D&gt;&lt;D xsi:type="xsd:double"&gt;54.08&lt;/D&gt;&lt;D xsi:type="xsd:double"&gt;54.29&lt;/D&gt;&lt;D xsi:type="xsd:double"&gt;54.56&lt;/D&gt;&lt;D xsi:type="xsd:double"&gt;54.05&lt;/D&gt;&lt;D xsi:type="xsd:double"&gt;53.64&lt;/D&gt;&lt;D xsi:type="xsd:double"&gt;53.47&lt;/D&gt;&lt;D xsi:type="xsd:double"&gt;53.84&lt;/D&gt;&lt;D xsi:type="xsd:double"&gt;54.01&lt;/D&gt;&lt;D xsi:type="xsd:double"&gt;54.47&lt;/D&gt;&lt;D xsi:type="xsd:double"&gt;54.19&lt;/D&gt;&lt;D xsi:type="xsd:double"&gt;54.15&lt;/D&gt;&lt;D xsi:type="xsd:double"&gt;53.28&lt;/D&gt;&lt;D xsi:type="xsd:double"&gt;52.97&lt;/D&gt;&lt;D xsi:type="xsd:double"&gt;52.95&lt;/D&gt;&lt;D xsi:type="xsd:double"&gt;53.1&lt;/D&gt;&lt;D xsi:type="xsd:double"&gt;53.14&lt;/D&gt;&lt;D xsi:type="xsd:double"&gt;53.57&lt;/D&gt;&lt;D xsi:type="xsd:double"&gt;53.36&lt;/D&gt;&lt;D xsi:type="xsd:double"&gt;53.27&lt;/D&gt;&lt;D xsi:type="xsd:double"&gt;53.08&lt;/D&gt;&lt;D xsi:type="xsd:double"&gt;53.97&lt;/D&gt;&lt;D xsi:type="xsd:double"&gt;53.76&lt;/D&gt;&lt;D xsi:type="xsd:double"&gt;53.41&lt;/D&gt;&lt;D xsi:type="xsd:double"&gt;53.88&lt;/D&gt;&lt;D xsi:type="xsd:double"&gt;54.33&lt;/D&gt;&lt;D xsi:type="xsd:double"&gt;54.71&lt;/D&gt;&lt;D xsi:type="xsd:double"&gt;54.67&lt;/D&gt;&lt;D xsi:type="xsd:double"&gt;54.28&lt;/D&gt;&lt;D xsi:type="xsd:double"&gt;54.22&lt;/D&gt;&lt;D xsi:type="xsd:double"&gt;54.21&lt;/D&gt;&lt;D xsi:type="xsd:double"&gt;54.72&lt;/D&gt;&lt;D xsi:type="xsd:double"&gt;54.83&lt;/D&gt;&lt;D xsi:type="xsd:double"&gt;54.61&lt;/D&gt;&lt;D xsi:type="xsd:double"&gt;54.65&lt;/D&gt;&lt;D xsi:type="xsd:double"&gt;54.62&lt;/D&gt;&lt;D xsi:type="xsd:double"&gt;54.2&lt;/D&gt;&lt;D xsi:type="xsd:double"&gt;54.56&lt;/D&gt;&lt;D xsi:type="xsd:double"&gt;54.74&lt;/D&gt;&lt;D xsi:type="xsd:double"&gt;54.15&lt;/D&gt;&lt;D xsi:type="xsd:double"&gt;53.75&lt;/D&gt;&lt;D xsi:type="xsd:double"&gt;53.62&lt;/D&gt;&lt;D xsi:type="xsd:double"&gt;54.3&lt;/D&gt;&lt;D xsi:type="xsd:double"&gt;54.02&lt;/D&gt;&lt;D xsi:type="xsd:double"&gt;54.24&lt;/D&gt;&lt;D xsi:type="xsd:double"&gt;53.97&lt;/D&gt;&lt;D xsi:type="xsd:double"&gt;54.27&lt;/D&gt;&lt;D xsi:type="xsd:double"&gt;54.61&lt;/D&gt;&lt;D xsi:type="xsd:double"&gt;54.54&lt;/D&gt;&lt;D xsi:type="xsd:double"&gt;54.72&lt;/D&gt;&lt;D xsi:type="xsd:double"&gt;54.51&lt;/D&gt;&lt;D xsi:type="xsd:double"&gt;54.76&lt;/D&gt;&lt;D xsi:type="xsd:double"&gt;55.29&lt;/D&gt;&lt;D xsi:type="xsd:double"&gt;54.48&lt;/D&gt;&lt;D xsi:type="xsd:double"&gt;54.74&lt;/D&gt;&lt;D xsi:type="xsd:double"&gt;54.45&lt;/D&gt;&lt;D xsi:type="xsd:double"&gt;54.065&lt;/D&gt;&lt;D xsi:type="xsd:double"&gt;53.76&lt;/D&gt;&lt;D xsi:type="xsd:double"&gt;52.78&lt;/D&gt;&lt;D xsi:type="xsd:double"&gt;52.97&lt;/D&gt;&lt;D xsi:type="xsd:double"&gt;52.77&lt;/D&gt;&lt;D xsi:type="xsd:double"&gt;52.81&lt;/D&gt;&lt;D xsi:type="xsd:double"&gt;52.63&lt;/D&gt;&lt;D xsi:type="xsd:double"&gt;52.88&lt;/D&gt;&lt;D xsi:type="xsd:double"&gt;52.76&lt;/D&gt;&lt;D xsi:type="xsd:double"&gt;52.45&lt;/D&gt;&lt;D xsi:type="xsd:double"&gt;52.3&lt;/D&gt;&lt;D xsi:type="xsd:double"&gt;52.39&lt;/D&gt;&lt;D xsi:type="xsd:double"&gt;52.06&lt;/D&gt;&lt;D xsi:type="xsd:double"&gt;52.16&lt;/D&gt;&lt;D xsi:type="xsd:double"&gt;52.25&lt;/D&gt;&lt;D xsi:type="xsd:double"&gt;52.49&lt;/D&gt;&lt;D xsi:type="xsd:double"&gt;52.74&lt;/D&gt;&lt;D xsi:type="xsd:double"&gt;53.06&lt;/D&gt;&lt;D xsi:type="xsd:double"&gt;53.5&lt;/D&gt;&lt;D xsi:type="xsd:double"&gt;53.94&lt;/D&gt;&lt;D xsi:type="xsd:double"&gt;53.74&lt;/D&gt;&lt;D xsi:type="xsd:double"&gt;54.02&lt;/D&gt;&lt;D xsi:type="xsd:double"&gt;53.87&lt;/D&gt;&lt;D xsi:type="xsd:double"&gt;53.43&lt;/D&gt;&lt;D xsi:type="xsd:double"&gt;53.15&lt;/D&gt;&lt;D xsi:type="xsd:double"&gt;53.24&lt;/D&gt;&lt;D xsi:type="xsd:double"&gt;53.16&lt;/D&gt;&lt;D xsi:type="xsd:double"&gt;52.71&lt;/D&gt;&lt;D xsi:type="xsd:double"&gt;52.89&lt;/D&gt;&lt;D xsi:type="xsd:double"&gt;52.48&lt;/D&gt;&lt;D xsi:type="xsd:double"&gt;52.59&lt;/D&gt;&lt;D xsi:type="xsd:double"&gt;52.62&lt;/D&gt;&lt;D xsi:type="xsd:double"&gt;52.35&lt;/D&gt;&lt;D xsi:type="xsd:double"&gt;51.98&lt;/D&gt;&lt;D xsi:type="xsd:double"&gt;52.54&lt;/D&gt;&lt;D xsi:type="xsd:double"&gt;52.68&lt;/D&gt;&lt;D xsi:type="xsd:double"&gt;52.55&lt;/D&gt;&lt;D xsi:type="xsd:double"&gt;53.23&lt;/D&gt;&lt;D xsi:type="xsd:double"&gt;53.58&lt;/D&gt;&lt;D xsi:type="xsd:double"&gt;53.57&lt;/D&gt;&lt;D xsi:type="xsd:double"&gt;53.8&lt;/D&gt;&lt;D xsi:type="xsd:double"&gt;53.65&lt;/D&gt;&lt;D xsi:type="xsd:double"&gt;53.5&lt;/D&gt;&lt;D xsi:type="xsd:double"&gt;52.71&lt;/D&gt;&lt;D xsi:type="xsd:double"&gt;52.41&lt;/D&gt;&lt;D xsi:type="xsd:double"&gt;52.71&lt;/D&gt;&lt;D xsi:type="xsd:double"&gt;52.465&lt;/D&gt;&lt;D xsi:type="xsd:double"&gt;52.27&lt;/D&gt;&lt;D xsi:type="xsd:double"&gt;52.12&lt;/D&gt;&lt;D xsi:type="xsd:double"&gt;52.53&lt;/D&gt;&lt;D xsi:type="xsd:double"&gt;52.255&lt;/D&gt;&lt;D xsi:type="xsd:double"&gt;52.41&lt;/D&gt;&lt;D xsi:type="xsd:double"&gt;52.48&lt;/D&gt;&lt;D xsi:type="xsd:double"&gt;52.72&lt;/D&gt;&lt;D xsi:type="xsd:double"&gt;52.64&lt;/D&gt;&lt;D xsi:type="xsd:double"&gt;52.7&lt;/D&gt;&lt;D xsi:type="xsd:double"&gt;53.49&lt;/D&gt;&lt;D xsi:type="xsd:double"&gt;53.23&lt;/D&gt;&lt;D xsi:type="xsd:double"&gt;53.8&lt;/D&gt;&lt;D xsi:type="xsd:double"&gt;54.06&lt;/D&gt;&lt;D xsi:type="xsd:double"&gt;54.73&lt;/D&gt;&lt;D xsi:type="xsd:double"&gt;54.61&lt;/D&gt;&lt;D xsi:type="xsd:double"&gt;54.75&lt;/D&gt;&lt;D xsi:type="xsd:double"&gt;54.5&lt;/D&gt;&lt;D xsi:type="xsd:double"&gt;55.01&lt;/D&gt;&lt;D xsi:type="xsd:double"&gt;55.27&lt;/D&gt;&lt;D xsi:type="xsd:double"&gt;54.875&lt;/D&gt;&lt;D xsi:type="xsd:double"&gt;54.92&lt;/D&gt;&lt;D xsi:type="xsd:double"&gt;54.88&lt;/D&gt;&lt;D xsi:type="xsd:double"&gt;55.27&lt;/D&gt;&lt;D xsi:type="xsd:double"&gt;55.66&lt;/D&gt;&lt;D xsi:type="xsd:double"&gt;55.69&lt;/D&gt;&lt;D xsi:type="xsd:double"&gt;55.36&lt;/D&gt;&lt;D xsi:type="xsd:double"&gt;55.79&lt;/D&gt;&lt;D xsi:type="xsd:double"&gt;55.6&lt;/D&gt;&lt;D xsi:type="xsd:double"&gt;55.84&lt;/D&gt;&lt;D xsi:type="xsd:double"&gt;55.68&lt;/D&gt;&lt;D xsi:type="xsd:double"&gt;55.86&lt;/D&gt;&lt;D xsi:type="xsd:double"&gt;55.71&lt;/D&gt;&lt;D xsi:type="xsd:double"&gt;55&lt;/D&gt;&lt;D xsi:type="xsd:double"&gt;54.8&lt;/D&gt;&lt;D xsi:type="xsd:double"&gt;54.31&lt;/D&gt;&lt;D xsi:type="xsd:double"&gt;53.9&lt;/D&gt;&lt;D xsi:type="xsd:double"&gt;53.79&lt;/D&gt;&lt;D xsi:type="xsd:double"&gt;53.83&lt;/D&gt;&lt;D xsi:type="xsd:double"&gt;54.56&lt;/D&gt;&lt;D xsi:type="xsd:double"&gt;54.04&lt;/D&gt;&lt;D xsi:type="xsd:double"&gt;54.8&lt;/D&gt;&lt;D xsi:type="xsd:double"&gt;55.33&lt;/D&gt;&lt;D xsi:type="xsd:double"&gt;55.26&lt;/D&gt;&lt;D xsi:type="xsd:double"&gt;55.24&lt;/D&gt;&lt;D xsi:type="xsd:double"&gt;54.91&lt;/D&gt;&lt;D xsi:type="xsd:double"&gt;54.18&lt;/D&gt;&lt;D xsi:type="xsd:double"&gt;53.92&lt;/D&gt;&lt;D xsi:type="xsd:double"&gt;53.96&lt;/D&gt;&lt;D xsi:type="xsd:double"&gt;54.54&lt;/D&gt;&lt;D xsi:type="xsd:double"&gt;54.31&lt;/D&gt;&lt;D xsi:type="xsd:double"&gt;54.59&lt;/D&gt;&lt;D xsi:type="xsd:double"&gt;54.285&lt;/D&gt;&lt;D xsi:type="xsd:double"&gt;54.53&lt;/D&gt;&lt;D xsi:type="xsd:double"&gt;54.58&lt;/D&gt;&lt;D xsi:type="xsd:double"&gt;53.79&lt;/D&gt;&lt;D xsi:type="xsd:double"&gt;54.03&lt;/D&gt;&lt;D xsi:type="xsd:double"&gt;54.07&lt;/D&gt;&lt;D xsi:type="xsd:double"&gt;54.78&lt;/D&gt;&lt;D xsi:type="xsd:double"&gt;54.66&lt;/D&gt;&lt;D xsi:type="xsd:double"&gt;54.77&lt;/D&gt;&lt;D xsi:type="xsd:double"&gt;53.97&lt;/D&gt;&lt;D xsi:type="xsd:double"&gt;54.01&lt;/D&gt;&lt;D xsi:type="xsd:double"&gt;54.32&lt;/D&gt;&lt;D xsi:type="xsd:double"&gt;52.39&lt;/D&gt;&lt;D xsi:type="xsd:double"&gt;51.54&lt;/D&gt;&lt;D xsi:type="xsd:double"&gt;53.22&lt;/D&gt;&lt;D xsi:type="xsd:double"&gt;53.68&lt;/D&gt;&lt;D xsi:type="xsd:double"&gt;54.32&lt;/D&gt;&lt;D xsi:type="xsd:double"&gt;53.91&lt;/D&gt;&lt;D xsi:type="xsd:double"&gt;53.54&lt;/D&gt;&lt;D xsi:type="xsd:double"&gt;53.57&lt;/D&gt;&lt;D xsi:type="xsd:double"&gt;53.54&lt;/D&gt;&lt;D xsi:type="xsd:double"&gt;53.29&lt;/D&gt;&lt;D xsi:type="xsd:double"&gt;52.85&lt;/D&gt;&lt;D xsi:type="xsd:double"&gt;53.74&lt;/D&gt;&lt;D xsi:type="xsd:double"&gt;53.18&lt;/D&gt;&lt;D xsi:type="xsd:double"&gt;53.5&lt;/D&gt;&lt;D xsi:type="xsd:double"&gt;53&lt;/D&gt;&lt;D xsi:type="xsd:double"&gt;52.26&lt;/D&gt;&lt;D xsi:type="xsd:double"&gt;51.13&lt;/D&gt;&lt;D xsi:type="xsd:double"&gt;51.13&lt;/D&gt;&lt;D xsi:type="xsd:double"&gt;51.03&lt;/D&gt;&lt;D xsi:type="xsd:double"&gt;50.76&lt;/D&gt;&lt;D xsi:type="xsd:double"&gt;50.52&lt;/D&gt;&lt;D xsi:type="xsd:double"&gt;51.22&lt;/D&gt;&lt;D xsi:type="xsd:double"&gt;49.16&lt;/D&gt;&lt;D xsi:type="xsd:double"&gt;49.13&lt;/D&gt;&lt;D xsi:type="xsd:double"&gt;49.19&lt;/D&gt;&lt;D xsi:type="xsd:double"&gt;51.18&lt;/D&gt;&lt;D xsi:type="xsd:double"&gt;51.56&lt;/D&gt;&lt;D xsi:type="xsd:double"&gt;51.05&lt;/D&gt;&lt;D xsi:type="xsd:double"&gt;51.48&lt;/D&gt;&lt;/FQL&gt;&lt;FQL&gt;&lt;Q&gt;EWG^FG_TOTAL_RETURNC(-5AY,0,AM)&lt;/Q&gt;&lt;R&gt;61&lt;/R&gt;&lt;C&gt;1&lt;/C&gt;&lt;D xsi:type="xsd:double"&gt;1.9206166&lt;/D&gt;&lt;D xsi:type="xsd:double"&gt;3.4861803&lt;/D&gt;&lt;D xsi:type="xsd:double"&gt;0.27314425&lt;/D&gt;&lt;D xsi:type="xsd:double"&gt;5.5084705&lt;/D&gt;&lt;D xsi:type="xsd:double"&gt;1.6064167&lt;/D&gt;&lt;D xsi:type="xsd:double"&gt;2.6179194&lt;/D&gt;&lt;D xsi:type="xsd:double"&gt;-3.2176852&lt;/D&gt;&lt;D xsi:type="xsd:double"&gt;2.168262&lt;/D&gt;&lt;D xsi:type="xsd:double"&gt;-1.9524574&lt;/D&gt;&lt;D xsi:type="xsd:double"&gt;-2.9437244&lt;/D&gt;&lt;D xsi:type="xsd:double"&gt;0.98125935&lt;/D&gt;&lt;D xsi:type="xsd:double"&gt;-3.8401425&lt;/D&gt;&lt;D xsi:type="xsd:double"&gt;2.9782176&lt;/D&gt;&lt;D xsi:type="xsd:double"&gt;-3.509307&lt;/D&gt;&lt;D xsi:type="xsd:double"&gt;-13.801676&lt;/D&gt;&lt;D xsi:type="xsd:double"&gt;-2.019471&lt;/D&gt;&lt;D xsi:type="xsd:double"&gt;-5.1159325&lt;/D&gt;&lt;D xsi:type="xsd:double"&gt;-2.78638&lt;/D&gt;&lt;D xsi:type="xsd:double"&gt;-9.378851&lt;/D&gt;&lt;D xsi:type="xsd:double"&gt;8.352243&lt;/D&gt;&lt;D xsi:type="xsd:double"&gt;-8.42061&lt;/D&gt;&lt;D xsi:type="xsd:double"&gt;-8.051234&lt;/D&gt;&lt;D xsi:type="xsd:double"&gt;23.134327&lt;/D&gt;&lt;D xsi:type="xsd:double"&gt;0.47819614&lt;/D&gt;&lt;D xsi:type="xsd:double"&gt;11.786008&lt;/D&gt;&lt;D xsi:type="xsd:double"&gt;1.3673902&lt;/D&gt;&lt;D xsi:type="xsd:double"&gt;-6.070292&lt;/D&gt;&lt;D xsi:type="xsd:double"&gt;10.128498&lt;/D&gt;&lt;D xsi:type="xsd:double"&gt;-0.549072&lt;/D&gt;&lt;D xsi:type="xsd:double"&gt;2.5686145&lt;/D&gt;&lt;D xsi:type="xsd:double"&gt;0.9678483&lt;/D&gt;&lt;D xsi:type="xsd:double"&gt;-4.827112&lt;/D&gt;&lt;D xsi:type="xsd:double"&gt;-1.690644&lt;/D&gt;&lt;D xsi:type="xsd:double"&gt;-6.0373187&lt;/D&gt;&lt;D xsi:type="xsd:double"&gt;7.1261644&lt;/D&gt;&lt;D xsi:type="xsd:double"&gt;6.3976765&lt;/D&gt;&lt;D xsi:type="xsd:double"&gt;-0.16559958&lt;/D&gt;&lt;D xsi:type="xsd:double"&gt;0.889802&lt;/D&gt;&lt;D xsi:type="xsd:double"&gt;5.732703&lt;/D&gt;&lt;D xsi:type="xsd:double"&gt;-2.9194713&lt;/D&gt;&lt;D xsi:type="xsd:double"&gt;8.195639&lt;/D&gt;&lt;D xsi:type="xsd:double"&gt;-6.07751&lt;/D&gt;&lt;D xsi:type="xsd:double"&gt;5.298233&lt;/D&gt;&lt;D xsi:type="xsd:double"&gt;-1.7088652&lt;/D&gt;&lt;D xsi:type="xsd:double"&gt;4.314232&lt;/D&gt;&lt;D xsi:type="xsd:double"&gt;2.3456693&lt;/D&gt;&lt;D xsi:type="xsd:double"&gt;-4.764777&lt;/D&gt;&lt;D xsi:type="xsd:double"&gt;4.8765063&lt;/D&gt;&lt;D xsi:type="xsd:double"&gt;-0.9963691&lt;/D&gt;&lt;D xsi:type="xsd:double"&gt;11.070442&lt;/D&gt;&lt;D xsi:type="xsd:double"&gt;6.0406446&lt;/D&gt;&lt;D xsi:type="xsd:double"&gt;-3.6768496&lt;/D&gt;&lt;D xsi:type="xsd:double"&gt;9.838713&lt;/D&gt;&lt;D xsi:type="xsd:double"&gt;1.5907884&lt;/D&gt;&lt;D xsi:type="xsd:double"&gt;2.4107695&lt;/D&gt;&lt;D xsi:type="xsd:double"&gt;1.8173218&lt;/D&gt;&lt;D xsi:type="xsd:double"&gt;-2.72429&lt;/D&gt;&lt;D xsi:type="xsd:double"&gt;0.26557446&lt;/D&gt;&lt;D xsi:type="xsd:double"&gt;-1.6132891&lt;/D&gt;&lt;D xsi:type="xsd:double"&gt;3.0347466&lt;/D&gt;&lt;D xsi:type="xsd:double"&gt;2.707851&lt;/D&gt;&lt;/FQL&gt;&lt;FQL&gt;&lt;Q&gt;EWW^FG_TOTAL_RETURNC(-5AY,0,AM)&lt;/Q&gt;&lt;R&gt;61&lt;/R&gt;&lt;C&gt;1&lt;/C&gt;&lt;D xsi:type="xsd:double"&gt;5.2026033&lt;/D&gt;&lt;D xsi:type="xsd:double"&gt;-4.428959&lt;/D&gt;&lt;D xsi:type="xsd:double"&gt;4.257822&lt;/D&gt;&lt;D xsi:type="xsd:double"&gt;4.715705&lt;/D&gt;&lt;D xsi:type="xsd:double"&gt;1.5082955&lt;/D&gt;&lt;D xsi:type="xsd:double"&gt;4.1422963&lt;/D&gt;&lt;D xsi:type="xsd:double"&gt;-0.5751848&lt;/D&gt;&lt;D xsi:type="xsd:double"&gt;2.5206566&lt;/D&gt;&lt;D xsi:type="xsd:double"&gt;2.7811408&lt;/D&gt;&lt;D xsi:type="xsd:double"&gt;-1.8039167&lt;/D&gt;&lt;D xsi:type="xsd:double"&gt;-3.1349897&lt;/D&gt;&lt;D xsi:type="xsd:double"&gt;-1.0295212&lt;/D&gt;&lt;D xsi:type="xsd:double"&gt;8.301651&lt;/D&gt;&lt;D xsi:type="xsd:double"&gt;-1.0727525&lt;/D&gt;&lt;D xsi:type="xsd:double"&gt;-2.5433779&lt;/D&gt;&lt;D xsi:type="xsd:double"&gt;6.534493&lt;/D&gt;&lt;D xsi:type="xsd:double"&gt;-7.1401415&lt;/D&gt;&lt;D xsi:type="xsd:double"&gt;-3.8230956&lt;/D&gt;&lt;D xsi:type="xsd:double"&gt;-1.8782377&lt;/D&gt;&lt;D xsi:type="xsd:double"&gt;6.512654&lt;/D&gt;&lt;D xsi:type="xsd:double"&gt;-4.565173&lt;/D&gt;&lt;D xsi:type="xsd:double"&gt;-2.1428585&lt;/D&gt;&lt;D xsi:type="xsd:double"&gt;18.557835&lt;/D&gt;&lt;D xsi:type="xsd:double"&gt;-5.5674314&lt;/D&gt;&lt;D xsi:type="xsd:double"&gt;14.274192&lt;/D&gt;&lt;D xsi:type="xsd:double"&gt;1.3408542&lt;/D&gt;&lt;D xsi:type="xsd:double"&gt;-4.6309175&lt;/D&gt;&lt;D xsi:type="xsd:double"&gt;9.255207&lt;/D&gt;&lt;D xsi:type="xsd:double"&gt;5.480373&lt;/D&gt;&lt;D xsi:type="xsd:double"&gt;2.671051&lt;/D&gt;&lt;D xsi:type="xsd:double"&gt;-0.6683171&lt;/D&gt;&lt;D xsi:type="xsd:double"&gt;-2.8164566&lt;/D&gt;&lt;D xsi:type="xsd:double"&gt;-3.5421014&lt;/D&gt;&lt;D xsi:type="xsd:double"&gt;-8.462691&lt;/D&gt;&lt;D xsi:type="xsd:double"&gt;12.837351&lt;/D&gt;&lt;D xsi:type="xsd:double"&gt;9.421455&lt;/D&gt;&lt;D xsi:type="xsd:double"&gt;-0.49622655&lt;/D&gt;&lt;D xsi:type="xsd:double"&gt;1.8538117&lt;/D&gt;&lt;D xsi:type="xsd:double"&gt;-0.9322345&lt;/D&gt;&lt;D xsi:type="xsd:double"&gt;-0.61239004&lt;/D&gt;&lt;D xsi:type="xsd:double"&gt;3.1259418&lt;/D&gt;&lt;D xsi:type="xsd:double"&gt;-18.278812&lt;/D&gt;&lt;D xsi:type="xsd:double"&gt;8.811367&lt;/D&gt;&lt;D xsi:type="xsd:double"&gt;-5.057013&lt;/D&gt;&lt;D xsi:type="xsd:double"&gt;-5.3437767&lt;/D&gt;&lt;D xsi:type="xsd:double"&gt;-1.0849595&lt;/D&gt;&lt;D xsi:type="xsd:double"&gt;-6.1535597&lt;/D&gt;&lt;D xsi:type="xsd:double"&gt;3.8629174&lt;/D&gt;&lt;D xsi:type="xsd:double"&gt;-4.4708548&lt;/D&gt;&lt;D xsi:type="xsd:double"&gt;8.508444&lt;/D&gt;&lt;D xsi:type="xsd:double"&gt;-0.58856606&lt;/D&gt;&lt;D xsi:type="xsd:double"&gt;-0.32467842&lt;/D&gt;&lt;D xsi:type="xsd:double"&gt;13.546658&lt;/D&gt;&lt;D xsi:type="xsd:double"&gt;3.0374646&lt;/D&gt;&lt;D xsi:type="xsd:double"&gt;-0.99031925&lt;/D&gt;&lt;D xsi:type="xsd:double"&gt;3.300774&lt;/D&gt;&lt;D xsi:type="xsd:double"&gt;8.852291&lt;/D&gt;&lt;D xsi:type="xsd:double"&gt;-1.3478994&lt;/D&gt;&lt;D xsi:type="xsd:double"&gt;2.0494938&lt;/D&gt;&lt;D xsi:type="xsd:double"&gt;4.849756&lt;/D&gt;&lt;D xsi:type="xsd:double"&gt;5.9502363&lt;/D&gt;&lt;/FQL&gt;&lt;FQL&gt;&lt;Q&gt;EPOL^FG_PRICE(0,-200D)&lt;/Q&gt;&lt;R&gt;201&lt;/R&gt;&lt;C&gt;1&lt;/C&gt;&lt;D xsi:type="xsd:double"&gt;36.15&lt;/D&gt;&lt;D xsi:type="xsd:double"&gt;36.03&lt;/D&gt;&lt;D xsi:type="xsd:double"&gt;36.09&lt;/D&gt;&lt;D xsi:type="xsd:double"&gt;36.38&lt;/D&gt;&lt;D xsi:type="xsd:double"&gt;36.2&lt;/D&gt;&lt;D xsi:type="xsd:double"&gt;35.82&lt;/D&gt;&lt;D xsi:type="xsd:double"&gt;36.6&lt;/D&gt;&lt;D xsi:type="xsd:double"&gt;36.26&lt;/D&gt;&lt;D xsi:type="xsd:double"&gt;36.17&lt;/D&gt;&lt;D xsi:type="xsd:double"&gt;36.25&lt;/D&gt;&lt;D xsi:type="xsd:double"&gt;35.19&lt;/D&gt;&lt;D xsi:type="xsd:double"&gt;35.16&lt;/D&gt;&lt;D xsi:type="xsd:double"&gt;34.96&lt;/D&gt;&lt;D xsi:type="xsd:double"&gt;35.2&lt;/D&gt;&lt;D xsi:type="xsd:double"&gt;35.15&lt;/D&gt;&lt;D xsi:type="xsd:double"&gt;34.99&lt;/D&gt;&lt;D xsi:type="xsd:double"&gt;35.2&lt;/D&gt;&lt;D xsi:type="xsd:double"&gt;34.78&lt;/D&gt;&lt;D xsi:type="xsd:double"&gt;34.41&lt;/D&gt;&lt;D xsi:type="xsd:double"&gt;34.27&lt;/D&gt;&lt;D xsi:type="xsd:double"&gt;34.41&lt;/D&gt;&lt;D xsi:type="xsd:double"&gt;35.9&lt;/D&gt;&lt;D xsi:type="xsd:double"&gt;35.2&lt;/D&gt;&lt;D xsi:type="xsd:double"&gt;35.27&lt;/D&gt;&lt;D xsi:type="xsd:double"&gt;34.88&lt;/D&gt;&lt;D xsi:type="xsd:double"&gt;34.25&lt;/D&gt;&lt;D xsi:type="xsd:double"&gt;33.51&lt;/D&gt;&lt;D xsi:type="xsd:double"&gt;33.44&lt;/D&gt;&lt;D xsi:type="xsd:double"&gt;33.53&lt;/D&gt;&lt;D xsi:type="xsd:double"&gt;33.61&lt;/D&gt;&lt;D xsi:type="xsd:double"&gt;33.65&lt;/D&gt;&lt;D xsi:type="xsd:double"&gt;33.9&lt;/D&gt;&lt;D xsi:type="xsd:double"&gt;34.07&lt;/D&gt;&lt;D xsi:type="xsd:double"&gt;34.07&lt;/D&gt;&lt;D xsi:type="xsd:double"&gt;33.73&lt;/D&gt;&lt;D xsi:type="xsd:double"&gt;32.94&lt;/D&gt;&lt;D xsi:type="xsd:double"&gt;33.04&lt;/D&gt;&lt;D xsi:type="xsd:double"&gt;32.56&lt;/D&gt;&lt;D xsi:type="xsd:double"&gt;33.29&lt;/D&gt;&lt;D xsi:type="xsd:double"&gt;32.87&lt;/D&gt;&lt;D xsi:type="xsd:double"&gt;33.39&lt;/D&gt;&lt;D xsi:type="xsd:double"&gt;34.16&lt;/D&gt;&lt;D xsi:type="xsd:double"&gt;34.13&lt;/D&gt;&lt;D xsi:type="xsd:double"&gt;34.42&lt;/D&gt;&lt;D xsi:type="xsd:double"&gt;34.56&lt;/D&gt;&lt;D xsi:type="xsd:double"&gt;34.44&lt;/D&gt;&lt;D xsi:type="xsd:double"&gt;33.84&lt;/D&gt;&lt;D xsi:type="xsd:double"&gt;33.95&lt;/D&gt;&lt;D xsi:type="xsd:double"&gt;33.51&lt;/D&gt;&lt;D xsi:type="xsd:double"&gt;33.31&lt;/D&gt;&lt;D xsi:type="xsd:double"&gt;33.78&lt;/D&gt;&lt;D xsi:type="xsd:double"&gt;33.71&lt;/D&gt;&lt;D xsi:type="xsd:double"&gt;34.22&lt;/D&gt;&lt;D xsi:type="xsd:double"&gt;34.53&lt;/D&gt;&lt;D xsi:type="xsd:double"&gt;34.85&lt;/D&gt;&lt;D xsi:type="xsd:double"&gt;34.2&lt;/D&gt;&lt;D xsi:type="xsd:double"&gt;33.91&lt;/D&gt;&lt;D xsi:type="xsd:double"&gt;34.17&lt;/D&gt;&lt;D xsi:type="xsd:double"&gt;33.83&lt;/D&gt;&lt;D xsi:type="xsd:double"&gt;33.1&lt;/D&gt;&lt;D xsi:type="xsd:double"&gt;33.49&lt;/D&gt;&lt;D xsi:type="xsd:double"&gt;32.92&lt;/D&gt;&lt;D xsi:type="xsd:double"&gt;32.83&lt;/D&gt;&lt;D xsi:type="xsd:double"&gt;32.9&lt;/D&gt;&lt;D xsi:type="xsd:double"&gt;32.22&lt;/D&gt;&lt;D xsi:type="xsd:double"&gt;32.41&lt;/D&gt;&lt;D xsi:type="xsd:double"&gt;31.78&lt;/D&gt;&lt;D xsi:type="xsd:double"&gt;32.28&lt;/D&gt;&lt;D xsi:type="xsd:double"&gt;32.62&lt;/D&gt;&lt;</t>
        </r>
      </text>
    </comment>
    <comment ref="A2" authorId="0" shapeId="0" xr:uid="{A09FE780-E3CD-4336-B4DD-9FB4D39A993C}">
      <text>
        <r>
          <rPr>
            <b/>
            <sz val="9"/>
            <color indexed="81"/>
            <rFont val="Tahoma"/>
            <charset val="1"/>
          </rPr>
          <t>D xsi:type="xsd:double"&gt;32.58&lt;/D&gt;&lt;D xsi:type="xsd:double"&gt;32.51&lt;/D&gt;&lt;D xsi:type="xsd:double"&gt;32.92&lt;/D&gt;&lt;D xsi:type="xsd:double"&gt;32.81&lt;/D&gt;&lt;D xsi:type="xsd:double"&gt;32.6&lt;/D&gt;&lt;D xsi:type="xsd:double"&gt;32.2&lt;/D&gt;&lt;D xsi:type="xsd:double"&gt;32.11&lt;/D&gt;&lt;D xsi:type="xsd:double"&gt;32.17&lt;/D&gt;&lt;D xsi:type="xsd:double"&gt;31.57&lt;/D&gt;&lt;D xsi:type="xsd:double"&gt;32.09&lt;/D&gt;&lt;D xsi:type="xsd:double"&gt;32.04&lt;/D&gt;&lt;D xsi:type="xsd:double"&gt;32&lt;/D&gt;&lt;D xsi:type="xsd:double"&gt;31.76&lt;/D&gt;&lt;D xsi:type="xsd:double"&gt;32.07&lt;/D&gt;&lt;D xsi:type="xsd:double"&gt;32.32&lt;/D&gt;&lt;D xsi:type="xsd:double"&gt;32.51&lt;/D&gt;&lt;D xsi:type="xsd:double"&gt;32.81&lt;/D&gt;&lt;D xsi:type="xsd:double"&gt;32.28&lt;/D&gt;&lt;D xsi:type="xsd:double"&gt;32.6&lt;/D&gt;&lt;D xsi:type="xsd:double"&gt;31.83&lt;/D&gt;&lt;D xsi:type="xsd:double"&gt;32.38&lt;/D&gt;&lt;D xsi:type="xsd:double"&gt;32.88&lt;/D&gt;&lt;D xsi:type="xsd:double"&gt;32.14&lt;/D&gt;&lt;D xsi:type="xsd:double"&gt;32.13&lt;/D&gt;&lt;D xsi:type="xsd:double"&gt;31.52&lt;/D&gt;&lt;D xsi:type="xsd:double"&gt;31.29&lt;/D&gt;&lt;D xsi:type="xsd:double"&gt;31.7&lt;/D&gt;&lt;D xsi:type="xsd:double"&gt;32.07&lt;/D&gt;&lt;D xsi:type="xsd:double"&gt;32.34&lt;/D&gt;&lt;D xsi:type="xsd:double"&gt;32.86&lt;/D&gt;&lt;D xsi:type="xsd:double"&gt;32.59&lt;/D&gt;&lt;D xsi:type="xsd:double"&gt;32.7&lt;/D&gt;&lt;D xsi:type="xsd:double"&gt;33.38&lt;/D&gt;&lt;D xsi:type="xsd:double"&gt;33.78&lt;/D&gt;&lt;D xsi:type="xsd:double"&gt;33.79&lt;/D&gt;&lt;D xsi:type="xsd:double"&gt;33.64&lt;/D&gt;&lt;D xsi:type="xsd:double"&gt;33.45&lt;/D&gt;&lt;D xsi:type="xsd:double"&gt;33.27&lt;/D&gt;&lt;D xsi:type="xsd:double"&gt;34.07&lt;/D&gt;&lt;D xsi:type="xsd:double"&gt;33.99&lt;/D&gt;&lt;D xsi:type="xsd:double"&gt;33.44&lt;/D&gt;&lt;D xsi:type="xsd:double"&gt;33.97&lt;/D&gt;&lt;D xsi:type="xsd:double"&gt;33.53&lt;/D&gt;&lt;D xsi:type="xsd:double"&gt;32.84&lt;/D&gt;&lt;D xsi:type="xsd:double"&gt;31.79&lt;/D&gt;&lt;D xsi:type="xsd:double"&gt;31.94&lt;/D&gt;&lt;D xsi:type="xsd:double"&gt;31.7&lt;/D&gt;&lt;D xsi:type="xsd:double"&gt;31.75&lt;/D&gt;&lt;D xsi:type="xsd:double"&gt;32.21&lt;/D&gt;&lt;D xsi:type="xsd:double"&gt;32.25&lt;/D&gt;&lt;D xsi:type="xsd:double"&gt;32.13&lt;/D&gt;&lt;D xsi:type="xsd:double"&gt;33.35&lt;/D&gt;&lt;D xsi:type="xsd:double"&gt;33.29&lt;/D&gt;&lt;D xsi:type="xsd:double"&gt;33.45&lt;/D&gt;&lt;D xsi:type="xsd:double"&gt;32.93&lt;/D&gt;&lt;D xsi:type="xsd:double"&gt;32.9&lt;/D&gt;&lt;D xsi:type="xsd:double"&gt;32.86&lt;/D&gt;&lt;D xsi:type="xsd:double"&gt;32.34&lt;/D&gt;&lt;D xsi:type="xsd:double"&gt;31.97&lt;/D&gt;&lt;D xsi:type="xsd:double"&gt;31.66&lt;/D&gt;&lt;D xsi:type="xsd:double"&gt;32.14&lt;/D&gt;&lt;D xsi:type="xsd:double"&gt;31.95&lt;/D&gt;&lt;D xsi:type="xsd:double"&gt;32.05&lt;/D&gt;&lt;D xsi:type="xsd:double"&gt;32.72&lt;/D&gt;&lt;D xsi:type="xsd:double"&gt;32.62&lt;/D&gt;&lt;D xsi:type="xsd:double"&gt;32.25&lt;/D&gt;&lt;D xsi:type="xsd:double"&gt;32.82&lt;/D&gt;&lt;D xsi:type="xsd:double"&gt;32.19&lt;/D&gt;&lt;D xsi:type="xsd:double"&gt;32.06&lt;/D&gt;&lt;D xsi:type="xsd:double"&gt;32.26&lt;/D&gt;&lt;D xsi:type="xsd:double"&gt;31.69&lt;/D&gt;&lt;D xsi:type="xsd:double"&gt;31.65&lt;/D&gt;&lt;D xsi:type="xsd:double"&gt;30.57&lt;/D&gt;&lt;D xsi:type="xsd:double"&gt;30.56&lt;/D&gt;&lt;D xsi:type="xsd:double"&gt;29.51&lt;/D&gt;&lt;D xsi:type="xsd:double"&gt;29.72&lt;/D&gt;&lt;D xsi:type="xsd:double"&gt;29.36&lt;/D&gt;&lt;D xsi:type="xsd:double"&gt;29.39&lt;/D&gt;&lt;D xsi:type="xsd:double"&gt;29.38&lt;/D&gt;&lt;D xsi:type="xsd:double"&gt;29.86&lt;/D&gt;&lt;D xsi:type="xsd:double"&gt;30.63&lt;/D&gt;&lt;D xsi:type="xsd:double"&gt;30.62&lt;/D&gt;&lt;D xsi:type="xsd:double"&gt;30.83&lt;/D&gt;&lt;D xsi:type="xsd:double"&gt;30&lt;/D&gt;&lt;D xsi:type="xsd:double"&gt;29.46&lt;/D&gt;&lt;D xsi:type="xsd:double"&gt;29.75&lt;/D&gt;&lt;D xsi:type="xsd:double"&gt;30.22&lt;/D&gt;&lt;D xsi:type="xsd:double"&gt;29.92&lt;/D&gt;&lt;D xsi:type="xsd:double"&gt;30.49&lt;/D&gt;&lt;D xsi:type="xsd:double"&gt;30.37&lt;/D&gt;&lt;D xsi:type="xsd:double"&gt;30.72&lt;/D&gt;&lt;D xsi:type="xsd:double"&gt;31.25&lt;/D&gt;&lt;D xsi:type="xsd:double"&gt;30.82&lt;/D&gt;&lt;D xsi:type="xsd:double"&gt;29.85&lt;/D&gt;&lt;D xsi:type="xsd:double"&gt;29.99&lt;/D&gt;&lt;D xsi:type="xsd:double"&gt;30.09&lt;/D&gt;&lt;D xsi:type="xsd:double"&gt;30.77&lt;/D&gt;&lt;D xsi:type="xsd:double"&gt;30.53&lt;/D&gt;&lt;D xsi:type="xsd:double"&gt;30.32&lt;/D&gt;&lt;D xsi:type="xsd:double"&gt;30.49&lt;/D&gt;&lt;D xsi:type="xsd:double"&gt;30.68&lt;/D&gt;&lt;D xsi:type="xsd:double"&gt;30.8&lt;/D&gt;&lt;D xsi:type="xsd:double"&gt;30.5&lt;/D&gt;&lt;D xsi:type="xsd:double"&gt;30.88&lt;/D&gt;&lt;D xsi:type="xsd:double"&gt;29.94&lt;/D&gt;&lt;D xsi:type="xsd:double"&gt;29.66&lt;/D&gt;&lt;D xsi:type="xsd:double"&gt;29.48&lt;/D&gt;&lt;D xsi:type="xsd:double"&gt;29.83&lt;/D&gt;&lt;D xsi:type="xsd:double"&gt;30.09&lt;/D&gt;&lt;D xsi:type="xsd:double"&gt;29.45&lt;/D&gt;&lt;D xsi:type="xsd:double"&gt;29.48&lt;/D&gt;&lt;D xsi:type="xsd:double"&gt;30.3&lt;/D&gt;&lt;D xsi:type="xsd:double"&gt;30.3&lt;/D&gt;&lt;D xsi:type="xsd:double"&gt;30.04&lt;/D&gt;&lt;D xsi:type="xsd:double"&gt;30.19&lt;/D&gt;&lt;D xsi:type="xsd:double"&gt;29.43&lt;/D&gt;&lt;D xsi:type="xsd:double"&gt;29.25&lt;/D&gt;&lt;D xsi:type="xsd:double"&gt;28.63&lt;/D&gt;&lt;D xsi:type="xsd:double"&gt;28.29&lt;/D&gt;&lt;D xsi:type="xsd:double"&gt;27.74&lt;/D&gt;&lt;D xsi:type="xsd:double"&gt;27.58&lt;/D&gt;&lt;D xsi:type="xsd:double"&gt;27.59&lt;/D&gt;&lt;D xsi:type="xsd:double"&gt;27.25&lt;/D&gt;&lt;D xsi:type="xsd:double"&gt;26.93&lt;/D&gt;&lt;D xsi:type="xsd:double"&gt;27.69&lt;/D&gt;&lt;D xsi:type="xsd:double"&gt;24.7&lt;/D&gt;&lt;D xsi:type="xsd:double"&gt;24.54&lt;/D&gt;&lt;D xsi:type="xsd:double"&gt;25.14&lt;/D&gt;&lt;D xsi:type="xsd:double"&gt;27.51&lt;/D&gt;&lt;D xsi:type="xsd:double"&gt;28.79&lt;/D&gt;&lt;D xsi:type="xsd:double"&gt;28.28&lt;/D&gt;&lt;D xsi:type="xsd:double"&gt;28.01&lt;/D&gt;&lt;/FQL&gt;&lt;FQL&gt;&lt;Q&gt;QAT^FG_TOTAL_RETURNC(-5AY,0,AM)&lt;/Q&gt;&lt;R&gt;61&lt;/R&gt;&lt;C&gt;1&lt;/C&gt;&lt;D xsi:type="xsd:double"&gt;3.5755515&lt;/D&gt;&lt;D xsi:type="xsd:double"&gt;-1.8838346&lt;/D&gt;&lt;D xsi:type="xsd:double"&gt;-0.3733337&lt;/D&gt;&lt;D xsi:type="xsd:double"&gt;4.5235515&lt;/D&gt;&lt;D xsi:type="xsd:double"&gt;0.537765&lt;/D&gt;&lt;D xsi:type="xsd:double"&gt;-0.92256665&lt;/D&gt;&lt;D xsi:type="xsd:double"&gt;-0.0783205&lt;/D&gt;&lt;D xsi:type="xsd:double"&gt;1.8669009&lt;/D&gt;&lt;D xsi:type="xsd:double"&gt;2.1430492&lt;/D&gt;&lt;D xsi:type="xsd:double"&gt;5.459547&lt;/D&gt;&lt;D xsi:type="xsd:double"&gt;2.157724&lt;/D&gt;&lt;D xsi:type="xsd:double"&gt;-3.8757145&lt;/D&gt;&lt;D xsi:type="xsd:double"&gt;4.9605966&lt;/D&gt;&lt;D xsi:type="xsd:double"&gt;5.885756&lt;/D&gt;&lt;D xsi:type="xsd:double"&gt;2.9515386&lt;/D&gt;&lt;D xsi:type="xsd:double"&gt;6.216514&lt;/D&gt;&lt;D xsi:type="xsd:double"&gt;-5.2886844&lt;/D&gt;&lt;D xsi:type="xsd:double"&gt;-5.124426&lt;/D&gt;&lt;D xsi:type="xsd:double"&gt;-6.5862713&lt;/D&gt;&lt;D xsi:type="xsd:double"&gt;15.392256&lt;/D&gt;&lt;D xsi:type="xsd:double"&gt;-4.087776&lt;/D&gt;&lt;D xsi:type="xsd:double"&gt;-3.404671&lt;/D&gt;&lt;D xsi:type="xsd:double"&gt;-0.23732781&lt;/D&gt;&lt;D xsi:type="xsd:double"&gt;-12.387896&lt;/D&gt;&lt;D xsi:type="xsd:double"&gt;1.9786&lt;/D&gt;&lt;D xsi:type="xsd:double"&gt;-5.0865173&lt;/D&gt;&lt;D xsi:type="xsd:double"&gt;-2.872932&lt;/D&gt;&lt;D xsi:type="xsd:double"&gt;3.4129739&lt;/D&gt;&lt;D xsi:type="xsd:double"&gt;4.8404813&lt;/D&gt;&lt;D xsi:type="xsd:double"&gt;-0.16272664&lt;/D&gt;&lt;D xsi:type="xsd:double"&gt;-1.9661307&lt;/D&gt;&lt;D xsi:type="xsd:double"&gt;3.621173&lt;/D&gt;&lt;D xsi:type="xsd:double"&gt;-5.3763447&lt;/D&gt;&lt;D xsi:type="xsd:double"&gt;-3.0113697&lt;/D&gt;&lt;D xsi:type="xsd:double"&gt;2.5190353&lt;/D&gt;&lt;D xsi:type="xsd:double"&gt;-1.6571462&lt;/D&gt;&lt;D xsi:type="xsd:double"&gt;4.5903563&lt;/D&gt;&lt;D xsi:type="xsd:double"&gt;-2.8333366&lt;/D&gt;&lt;D xsi:type="xsd:double"&gt;2.8130412&lt;/D&gt;&lt;D xsi:type="xsd:double"&gt;-3.292185&lt;/D&gt;&lt;D xsi:type="xsd:double"&gt;-0.6325424&lt;/D&gt;&lt;D xsi:type="xsd:double"&gt;-0.6931484&lt;/D&gt;&lt;D xsi:type="xsd:double"&gt;5.796218&lt;/D&gt;&lt;D xsi:type="xsd:double"&gt;1.6147733&lt;/D&gt;&lt;D xsi:type="xsd:double"&gt;2.951181&lt;/D&gt;&lt;D xsi:type="xsd:double"&gt;1.433301&lt;/D&gt;&lt;D xsi:type="xsd:double"&gt;-0.5434811&lt;/D&gt;&lt;D xsi:type="xsd:double"&gt;-0.2185762&lt;/D&gt;&lt;D xsi:type="xsd:double"&gt;-1.1872053&lt;/D&gt;&lt;D xsi:type="xsd:double"&gt;1.2387395&lt;/D&gt;&lt;D xsi:type="xsd:double"&gt;0.77865124&lt;/D&gt;&lt;D xsi:type="xsd:double"&gt;-1.2693226&lt;/D&gt;&lt;D xsi:type="xsd:double"&gt;5.3102374&lt;/D&gt;&lt;D xsi:type="xsd:double"&gt;-3.3970237&lt;/D&gt;&lt;D xsi:type="xsd:double"&gt;5.161488&lt;/D&gt;&lt;D xsi:type="xsd:double"&gt;9.89834&lt;/D&gt;&lt;D xsi:type="xsd:double"&gt;-4.81987&lt;/D&gt;&lt;D xsi:type="xsd:double"&gt;-2.4516582&lt;/D&gt;&lt;D xsi:type="xsd:double"&gt;1.1237144&lt;/D&gt;&lt;D xsi:type="xsd:double"&gt;-1.4259756&lt;/D&gt;&lt;D xsi:type="xsd:double"&gt;3.4217596&lt;/D&gt;&lt;/FQL&gt;&lt;FQL&gt;&lt;Q&gt;EWU^FG_PRICE(0,-200D)&lt;/Q&gt;&lt;R&gt;201&lt;/R&gt;&lt;C&gt;1&lt;/C&gt;&lt;D xsi:type="xsd:double"&gt;45.09&lt;/D&gt;&lt;D xsi:type="xsd:double"&gt;45.28&lt;/D&gt;&lt;D xsi:type="xsd:double"&gt;44.98&lt;/D&gt;&lt;D xsi:type="xsd:double"&gt;45.09&lt;/D&gt;&lt;D xsi:type="xsd:double"&gt;44.79&lt;/D&gt;&lt;D xsi:type="xsd:double"&gt;44.6&lt;/D&gt;&lt;D xsi:type="xsd:double"&gt;44.49&lt;/D&gt;&lt;D xsi:type="xsd:double"&gt;45.05&lt;/D&gt;&lt;D xsi:type="xsd:double"&gt;44.81&lt;/D&gt;&lt;D xsi:type="xsd:double"&gt;44.46&lt;/D&gt;&lt;D xsi:type="xsd:double"&gt;43.98&lt;/D&gt;&lt;D xsi:type="xsd:double"&gt;44.22&lt;/D&gt;&lt;D xsi:type="xsd:double"&gt;44.02&lt;/D&gt;&lt;D xsi:type="xsd:double"&gt;44.24&lt;/D&gt;&lt;D xsi:type="xsd:double"&gt;44.08&lt;/D&gt;&lt;D xsi:type="xsd:double"&gt;43.98&lt;/D&gt;&lt;D xsi:type="xsd:double"&gt;43.79&lt;/D&gt;&lt;D xsi:type="xsd:double"&gt;43.54&lt;/D&gt;&lt;D xsi:type="xsd:double"&gt;43.13&lt;/D&gt;&lt;D xsi:type="xsd:double"&gt;42.94&lt;/D&gt;&lt;D xsi:type="xsd:double"&gt;42.73&lt;/D&gt;&lt;D xsi:type="xsd:double"&gt;43.75&lt;/D&gt;&lt;D xsi:type="xsd:double"&gt;43.28&lt;/D&gt;&lt;D xsi:type="xsd:double"&gt;43.65&lt;/D&gt;&lt;D xsi:type="xsd:double"&gt;43.46&lt;/D&gt;&lt;D xsi:type="xsd:double"&gt;42.88&lt;/D&gt;&lt;D xsi:type="xsd:double"&gt;43.08&lt;/D&gt;&lt;D xsi:type="xsd:double"&gt;43.22&lt;/D&gt;&lt;D xsi:type="xsd:double"&gt;43.42&lt;/D&gt;&lt;D xsi:type="xsd:double"&gt;43.46&lt;/D&gt;&lt;D xsi:type="xsd:double"&gt;43.01&lt;/D&gt;&lt;D xsi:type="xsd:double"&gt;42.93&lt;/D&gt;&lt;D xsi:type="xsd:double"&gt;43.15&lt;/D&gt;&lt;D xsi:type="xsd:double"&gt;42.99&lt;/D&gt;&lt;D xsi:type="xsd:double"&gt;42.52&lt;/D&gt;&lt;D xsi:type="xsd:double"&gt;41.92&lt;/D&gt;&lt;D xsi:type="xsd:double"&gt;42.06&lt;/D&gt;&lt;D xsi:type="xsd:double"&gt;41.34&lt;/D&gt;&lt;D xsi:type="xsd:double"&gt;41.73&lt;/D&gt;&lt;D xsi:type="xsd:double"&gt;42.19&lt;/D&gt;&lt;D xsi:type="xsd:double"&gt;42.44&lt;/D&gt;&lt;D xsi:type="xsd:double"&gt;42.77&lt;/D&gt;&lt;D xsi:type="xsd:double"&gt;43.04&lt;/D&gt;&lt;D xsi:type="xsd:double"&gt;43.51&lt;/D&gt;&lt;D xsi:type="xsd:double"&gt;43.65&lt;/D&gt;&lt;D xsi:type="xsd:double"&gt;43.44&lt;/D&gt;&lt;D xsi:type="xsd:double"&gt;42.87&lt;/D&gt;&lt;D xsi:type="xsd:double"&gt;42.62&lt;/D&gt;&lt;D xsi:type="xsd:double"&gt;42.61&lt;/D&gt;&lt;D xsi:type="xsd:double"&gt;42.18&lt;/D&gt;&lt;D xsi:type="xsd:double"&gt;42.53&lt;/D&gt;&lt;D xsi:type="xsd:double"&gt;42.67&lt;/D&gt;&lt;D xsi:type="xsd:double"&gt;42.75&lt;/D&gt;&lt;D xsi:type="xsd:double"&gt;42.83&lt;/D&gt;&lt;D xsi:type="xsd:double"&gt;42.92&lt;/D&gt;&lt;D xsi:type="xsd:double"&gt;42.98&lt;/D&gt;&lt;D xsi:type="xsd:double"&gt;42.78&lt;/D&gt;&lt;D xsi:type="xsd:double"&gt;42.6&lt;/D&gt;&lt;D xsi:type="xsd:double"&gt;42.41&lt;/D&gt;&lt;D xsi:type="xsd:double"&gt;41.96&lt;/D&gt;&lt;D xsi:type="xsd:double"&gt;42.16&lt;/D&gt;&lt;D xsi:type="xsd:double"&gt;42.07&lt;/D&gt;&lt;D xsi:type="xsd:double"&gt;41.99&lt;/D&gt;&lt;D xsi:type="xsd:double"&gt;42.02&lt;/D&gt;&lt;D xsi:type="xsd:double"&gt;42.06&lt;/D&gt;&lt;D xsi:type="xsd:double"&gt;41.99&lt;/D&gt;&lt;D xsi:type="xsd:double"&gt;41.73&lt;/D&gt;&lt;D xsi:type="xsd:double"&gt;42.07&lt;/D&gt;&lt;D xsi:type="xsd:double"&gt;42.68&lt;/D&gt;&lt;D xsi:type="xsd:double"&gt;42.45&lt;/D&gt;&lt;D xsi:type="xsd:double"&gt;42.58&lt;/D&gt;&lt;D xsi:type="xsd:double"&gt;42.64&lt;/D&gt;&lt;D xsi:type="xsd:double"&gt;42.26&lt;/D&gt;&lt;D xsi:type="xsd:double"&gt;42.5&lt;/D&gt;&lt;D xsi:type="xsd:double"&gt;41.97&lt;/D&gt;&lt;D xsi:type="xsd:double"&gt;41.63&lt;/D&gt;&lt;D xsi:type="xsd:double"&gt;41.58&lt;/D&gt;&lt;D xsi:type="xsd:double"&gt;41.04&lt;/D&gt;&lt;D xsi:type="xsd:double"&gt;41.35&lt;/D&gt;&lt;D xsi:type="xsd:double"&gt;41.47&lt;/D&gt;&lt;D xsi:type="xsd:double"&gt;41.61&lt;/D&gt;&lt;D xsi:type="xsd:double"&gt;41.36&lt;/D&gt;&lt;D xsi:type="xsd:double"&gt;41.66&lt;/D&gt;&lt;D xsi:type="xsd:double"&gt;41.79&lt;/D&gt;&lt;D xsi:type="xsd:double"&gt;41.89&lt;/D&gt;&lt;D xsi:type="xsd:double"&gt;42.09&lt;/D&gt;&lt;D xsi:type="xsd:double"&gt;41.94&lt;/D&gt;&lt;D xsi:type="xsd:double"&gt;42.19&lt;/D&gt;&lt;D xsi:type="xsd:double"&gt;41.74&lt;/D&gt;&lt;D xsi:type="xsd:double"&gt;41.75&lt;/D&gt;&lt;D xsi:type="xsd:double"&gt;41.71&lt;/D&gt;&lt;D xsi:type="xsd:double"&gt;41.55&lt;/D&gt;&lt;D xsi:type="xsd:double"&gt;41.39&lt;/D&gt;&lt;D xsi:type="xsd:double"&gt;41.18&lt;/D&gt;&lt;D xsi:type="xsd:double"&gt;40.9&lt;/D&gt;&lt;D xsi:type="xsd:double"&gt;41.46&lt;/D&gt;&lt;D xsi:type="xsd:double"&gt;41.57&lt;/D&gt;&lt;D xsi:type="xsd:double"&gt;41.66&lt;/D&gt;&lt;D xsi:type="xsd:double"&gt;41.74&lt;/D&gt;&lt;D xsi:type="xsd:double"&gt;41.79&lt;/D&gt;&lt;D xsi:type="xsd:double"&gt;42.08&lt;/D&gt;&lt;D xsi:type="xsd:double"&gt;41.66&lt;/D&gt;&lt;D xsi:type="xsd:double"&gt;41.72&lt;/D&gt;&lt;D xsi:type="xsd:double"&gt;41.29&lt;/D&gt;&lt;D xsi:type="xsd:double"&gt;41.29&lt;/D&gt;&lt;D xsi:type="xsd:double"&gt;41.27&lt;/D&gt;&lt;D xsi:type="xsd:double"&gt;41.5&lt;/D&gt;&lt;D xsi:type="xsd:double"&gt;41.36&lt;/D&gt;&lt;D xsi:type="xsd:double"&gt;41.03&lt;/D&gt;&lt;D xsi:type="xsd:double"&gt;40.64&lt;/D&gt;&lt;D xsi:type="xsd:double"&gt;40.53&lt;/D&gt;&lt;D xsi:type="xsd:double"&gt;40.49&lt;/D&gt;&lt;D xsi:type="xsd:double"&gt;40.38&lt;/D&gt;&lt;D xsi:type="xsd:double"&gt;40.23&lt;/D&gt;&lt;D xsi:type="xsd:double"&gt;40.21&lt;/D&gt;&lt;D xsi:type="xsd:double"&gt;39.94&lt;/D&gt;&lt;D xsi:type="xsd:double"&gt;39.81&lt;/D&gt;&lt;D xsi:type="xsd:double"&gt;40.04&lt;/D&gt;&lt;D xsi:type="xsd:double"&gt;40.39&lt;/D&gt;&lt;D xsi:type="xsd:double"&gt;40.12&lt;/D&gt;&lt;D xsi:type="xsd:double"&gt;40.64&lt;/D&gt;&lt;D xsi:type="xsd:double"&gt;40.77&lt;/D&gt;&lt;D xsi:type="xsd:double"&gt;40.9&lt;/D&gt;&lt;D xsi:type="xsd:double"&gt;40.43&lt;/D&gt;&lt;D xsi:type="xsd:double"&gt;40.01&lt;/D&gt;&lt;D xsi:type="xsd:double"&gt;39.8&lt;/D&gt;&lt;D xsi:type="xsd:double"&gt;39.83&lt;/D&gt;&lt;D xsi:type="xsd:double"&gt;39.85&lt;/D&gt;&lt;D xsi:type="xsd:double"&gt;39.59&lt;/D&gt;&lt;D xsi:type="xsd:double"&gt;40.03&lt;/D&gt;&lt;D xsi:type="xsd:double"&gt;39.92&lt;/D&gt;&lt;D xsi:type="xsd:double"&gt;40.27&lt;/D&gt;&lt;D xsi:type="xsd:double"&gt;40.01&lt;/D&gt;&lt;D xsi:type="xsd:double"&gt;39.79&lt;/D&gt;&lt;D xsi:type="xsd:double"&gt;39.42&lt;/D&gt;&lt;D xsi:type="xsd:double"&gt;39.82&lt;/D&gt;&lt;D xsi:type="xsd:double"&gt;39.61&lt;/D&gt;&lt;D xsi:type="xsd:double"&gt;39.85&lt;/D&gt;&lt;D xsi:type="xsd:double"&gt;39.72&lt;/D&gt;&lt;D xsi:type="xsd:double"&gt;39.72&lt;/D&gt;&lt;D xsi:type="xsd:double"&gt;39.69&lt;/D&gt;&lt;D xsi:type="xsd:double"&gt;39.28&lt;/D&gt;&lt;D xsi:type="xsd:double"&gt;39.41&lt;/D&gt;&lt;D xsi:type="xsd:double"&gt;39.17&lt;/D&gt;&lt;D xsi:type="xsd:double"&gt;38.9&lt;/D&gt;&lt;D xsi:type="xsd:double"&gt;39.22&lt;/D&gt;&lt;D xsi:type="xsd:double"&gt;39.2&lt;/D&gt;&lt;D xsi:type="xsd:double"&gt;39.62&lt;/D&gt;&lt;D xsi:type="xsd:double"&gt;40.42&lt;/D&gt;&lt;D xsi:type="xsd:double"&gt;40.78&lt;/D&gt;&lt;D xsi:type="xsd:double"&gt;40.41&lt;/D&gt;&lt;D xsi:type="xsd:double"&gt;40.31&lt;/D&gt;&lt;D xsi:type="xsd:double"&gt;40.34&lt;/D&gt;&lt;D xsi:type="xsd:double"&gt;40.35&lt;/D&gt;&lt;D xsi:type="xsd:double"&gt;40.22&lt;/D&gt;&lt;D xsi:type="xsd:double"&gt;40.19&lt;/D&gt;&lt;D xsi:type="xsd:double"&gt;40.06&lt;/D&gt;&lt;D xsi:type="xsd:double"&gt;40.29&lt;/D&gt;&lt;D xsi:type="xsd:double"&gt;39.92&lt;/D&gt;&lt;D xsi:type="xsd:double"&gt;39.79&lt;/D&gt;&lt;D xsi:type="xsd:double"&gt;39.67&lt;/D&gt;&lt;D xsi:type="xsd:double"&gt;40.07&lt;/D&gt;&lt;D xsi:type="xsd:double"&gt;39.88&lt;/D&gt;&lt;D xsi:type="xsd:double"&gt;39.53&lt;/D&gt;&lt;D xsi:type="xsd:double"&gt;39.43&lt;/D&gt;&lt;D xsi:type="xsd:double"&gt;39.61&lt;/D&gt;&lt;D xsi:type="xsd:double"&gt;39.33&lt;/D&gt;&lt;D xsi:type="xsd:double"&gt;38.9&lt;/D&gt;&lt;D xsi:type="xsd:double"&gt;38.8&lt;/D&gt;&lt;D xsi:type="xsd:double"&gt;38.25&lt;/D&gt;&lt;D xsi:type="xsd:double"&gt;38.42&lt;/D&gt;&lt;D xsi:type="xsd:double"&gt;38.24&lt;/D&gt;&lt;D xsi:type="xsd:double"&gt;38.29&lt;/D&gt;&lt;D xsi:type="xsd:double"&gt;38.11&lt;/D&gt;&lt;D xsi:type="xsd:double"&gt;38.43&lt;/D&gt;&lt;D xsi:type="xsd:double"&gt;38.57&lt;/D&gt;&lt;D xsi:type="xsd:double"&gt;38.64&lt;/D&gt;&lt;D xsi:type="xsd:double"&gt;38.6&lt;/D&gt;&lt;D xsi:type="xsd:double"&gt;37.88&lt;/D&gt;&lt;D xsi:type="xsd:double"&gt;38.1&lt;/D&gt;&lt;D xsi:type="xsd:double"&gt;38.35&lt;/D&gt;&lt;D xsi:type="xsd:double"&gt;38.19&lt;/D&gt;&lt;D xsi:type="xsd:double"&gt;37.94&lt;/D&gt;&lt;D xsi:type="xsd:double"&gt;37.89&lt;/D&gt;&lt;D xsi:type="xsd:double"&gt;37.55&lt;/D&gt;&lt;D xsi:type="xsd:double"&gt;37.58&lt;/D&gt;&lt;D xsi:type="xsd:double"&gt;36.82&lt;/D&gt;&lt;D xsi:type="xsd:double"&gt;36.97&lt;/D&gt;&lt;D xsi:type="xsd:double"&gt;36.55&lt;/D&gt;&lt;D xsi:type="xsd:double"&gt;36.65&lt;/D&gt;&lt;D xsi:type="xsd:double"&gt;36.15&lt;/D&gt;&lt;D xsi:type="xsd:double"&gt;35.57&lt;/D&gt;&lt;D xsi:type="xsd:double"&gt;34.67&lt;/D&gt;&lt;D xsi:type="xsd:double"&gt;35.11&lt;/D&gt;&lt;D xsi:type="xsd:double"&gt;33.19&lt;/D&gt;&lt;D xsi:type="xsd:double"&gt;33.29&lt;/D&gt;&lt;D xsi:type="xsd:double"&gt;34.62&lt;/D&gt;&lt;D xsi:type="xsd:double"&gt;37.28&lt;/D&gt;&lt;D xsi:type="xsd:double"&gt;37.61&lt;/D&gt;&lt;D xsi:type="xsd:double"&gt;37.44&lt;/D&gt;&lt;D xsi:type="xsd:double"&gt;37.47&lt;/D&gt;&lt;/FQL&gt;&lt;FQL&gt;&lt;Q&gt;MCHI^FG_TOTAL_RETURNC(-5AY,0,AM)&lt;/Q&gt;&lt;R&gt;61&lt;/R&gt;&lt;C&gt;1&lt;/C&gt;&lt;D xsi:type="xsd:double"&gt;8.59642&lt;/D&gt;&lt;D xsi:type="xsd:double"&gt;12.527728&lt;/D&gt;&lt;D xsi:type="xsd:double"&gt;-12.471461&lt;/D&gt;&lt;D xsi:type="xsd:double"&gt;-3.0346096&lt;/D&gt;&lt;D xsi:type="xsd:double"&gt;-4.352087&lt;/D&gt;&lt;D xsi:type="xsd:double"&gt;3.0221343&lt;/D&gt;&lt;D xsi:type="xsd:double"&gt;-1.8401146&lt;/D&gt;&lt;D xsi:type="xsd:double"&gt;-9.816342&lt;/D&gt;&lt;D xsi:type="xsd:double"&gt;-2.5983155&lt;/D&gt;&lt;D xsi:type="xsd:double"&gt;1.5573263&lt;/D&gt;&lt;D xsi:type="xsd:double"&gt;-0.41175485&lt;/D&gt;&lt;D xsi:type="xsd:double"&gt;-10.001511&lt;/D&gt;&lt;D xsi:type="xsd:double"&gt;1.6278386&lt;/D&gt;&lt;D xsi:type="xsd:double"&gt;-0.81658363&lt;/D&gt;&lt;D xsi:type="xsd:double"&gt;-28.38822&lt;/D&gt;&lt;D xsi:type="xsd:double"&gt;15.432239&lt;/D&gt;&lt;D xsi:type="xsd:double"&gt;-7.450676&lt;/D&gt;&lt;D xsi:type="xsd:double"&gt;11.992538&lt;/D&gt;&lt;D xsi:type="xsd:double"&gt;-4.6282473&lt;/D&gt;&lt;D xsi:type="xsd:double"&gt;-3.0403435&lt;/D&gt;&lt;D xsi:type="xsd:double"&gt;-5.286437&lt;/D&gt;&lt;D xsi:type="xsd:double"&gt;-15.195245&lt;/D&gt;&lt;D xsi:type="xsd:double"&gt;13.388395&lt;/D&gt;&lt;D xsi:type="xsd:double"&gt;5.916357&lt;/D&gt;&lt;D xsi:type="xsd:double"&gt;13.935291&lt;/D&gt;&lt;D xsi:type="xsd:double"&gt;-4.714179&lt;/D&gt;&lt;D xsi:type="xsd:double"&gt;-9.154659&lt;/D&gt;&lt;D xsi:type="xsd:double"&gt;4.7169805&lt;/D&gt;&lt;D xsi:type="xsd:double"&gt;-1.5560985&lt;/D&gt;&lt;D xsi:type="xsd:double"&gt;0.30242205&lt;/D&gt;&lt;D xsi:type="xsd:double"&gt;-2.3655057&lt;/D&gt;&lt;D xsi:type="xsd:double"&gt;-4.030877&lt;/D&gt;&lt;D xsi:type="xsd:double"&gt;-1.2064278&lt;/D&gt;&lt;D xsi:type="xsd:double"&gt;-2.3745&lt;/D&gt;&lt;D xsi:type="xsd:double"&gt;3.9610863&lt;/D&gt;&lt;D xsi:type="xsd:double"&gt;-8.199644&lt;/D&gt;&lt;D xsi:type="xsd:double"&gt;-3.4915686&lt;/D&gt;&lt;D xsi:type="xsd:double"&gt;-1.5214026&lt;/D&gt;&lt;D xsi:type="xsd:double"&gt;4.870391&lt;/D&gt;&lt;D xsi:type="xsd:double"&gt;-1.5480638&lt;/D&gt;&lt;D xsi:type="xsd:double"&gt;17.321836&lt;/D&gt;&lt;D xsi:type="xsd:double"&gt;-6.35581&lt;/D&gt;&lt;D xsi:type="xsd:double"&gt;-0.11592507&lt;/D&gt;&lt;D xsi:type="xsd:double"&gt;-2.6926756&lt;/D&gt;&lt;D xsi:type="xsd:double"&gt;-2.4331987&lt;/D&gt;&lt;D xsi:type="xsd:double"&gt;19.902193&lt;/D&gt;&lt;D xsi:type="xsd:double"&gt;-3.3849895&lt;/D&gt;&lt;D xsi:type="xsd:double"&gt;1.7729044&lt;/D&gt;&lt;D xsi:type="xsd:double"&gt;-4.261655&lt;/D&gt;&lt;D xsi:type="xsd:double"&gt;17.987192&lt;/D&gt;&lt;D xsi:type="xsd:double"&gt;7.3138833&lt;/D&gt;&lt;D xsi:type="xsd:double"&gt;-12.550116&lt;/D&gt;&lt;D xsi:type="xsd:double"&gt;8.77018&lt;/D&gt;&lt;D xsi:type="xsd:double"&gt;0.36650896&lt;/D&gt;&lt;D xsi:type="xsd:double"&gt;4.494834&lt;/D&gt;&lt;D xsi:type="xsd:double"&gt;5.2928686&lt;/D&gt;&lt;D xsi:type="xsd:double"&gt;7.9591155&lt;/D&gt;&lt;D xsi:type="xsd:double"&gt;-1.8314481&lt;/D&gt;&lt;D xsi:type="xsd:double"&gt;0.39526224&lt;/D&gt;&lt;D xsi:type="xsd:double"&gt;-4.141736&lt;/D&gt;&lt;D xsi:type="xsd:double"&gt;5.754721&lt;/D&gt;&lt;/FQL&gt;&lt;FQL&gt;&lt;Q&gt;EWL^FG_PRICE(0,-200D)&lt;/Q&gt;&lt;R&gt;201&lt;/R&gt;&lt;C&gt;1&lt;/C&gt;&lt;D xsi:type="xsd:double"&gt;60.52&lt;/D&gt;&lt;D xsi:type="xsd:double"&gt;60.87&lt;/D&gt;&lt;D xsi:type="xsd:double"&gt;60.17&lt;/D&gt;&lt;D xsi:type="xsd:double"&gt;60.63&lt;/D&gt;&lt;D xsi:type="xsd:double"&gt;60.58&lt;/D&gt;&lt;D xsi:type="xsd:double"&gt;60.21&lt;/D&gt;&lt;D xsi:type="xsd:double"&gt;60.31&lt;/D&gt;&lt;D xsi:type="xsd:double"&gt;60.55&lt;/D&gt;&lt;D xsi:type="xsd:double"&gt;60.43&lt;/D&gt;&lt;D xsi:type="xsd:double"&gt;60.34&lt;/D&gt;&lt;D xsi:type="xsd:double"&gt;59.96&lt;/D&gt;&lt;D xsi:type="xsd:double"&gt;60.17&lt;/D&gt;&lt;D xsi:type="xsd:double"&gt;60.35&lt;/D&gt;&lt;D xsi:type="xsd:double"&gt;60.54&lt;/D&gt;&lt;D xsi:type="xsd:double"&gt;60.53&lt;/D&gt;&lt;D xsi:type="xsd:double"&gt;60.4&lt;/D&gt;&lt;D xsi:type="xsd:double"&gt;59.93&lt;/D&gt;&lt;D xsi:type="xsd:double"&gt;59.57&lt;/D&gt;&lt;D xsi:type="xsd:double"&gt;59.47&lt;/D&gt;&lt;D xsi:type="xsd:double"&gt;58.84&lt;/D&gt;&lt;D xsi:type="xsd:double"&gt;59.02&lt;/D&gt;&lt;D xsi:type="xsd:double"&gt;59.06&lt;/D&gt;&lt;D xsi:type="xsd:double"&gt;58.37&lt;/D&gt;&lt;D xsi:type="xsd:double"&gt;58.49&lt;/D&gt;&lt;D xsi:type="xsd:double"&gt;58.38&lt;/D&gt;&lt;D xsi:type="xsd:double"&gt;57.69&lt;/D&gt;&lt;D xsi:type="xsd:double"&gt;57.76&lt;/D&gt;&lt;D xsi:type="xsd:double"&gt;58.03&lt;/D&gt;&lt;D xsi:type="xsd:double"&gt;57.91&lt;/D&gt;&lt;D xsi:type="xsd:double"&gt;58.07&lt;/D&gt;&lt;D xsi:type="xsd:double"&gt;57.94&lt;/D&gt;&lt;D xsi:type="xsd:double"&gt;57.42&lt;/D&gt;&lt;D xsi:type="xsd:double"&gt;57.82&lt;/D&gt;&lt;D xsi:type="xsd:double"&gt;57.55&lt;/D&gt;&lt;D xsi:type="xsd:double"&gt;57.26&lt;/D&gt;&lt;D xsi:type="xsd:double"&gt;56.39&lt;/D&gt;&lt;D xsi:type="xsd:double"&gt;56.69&lt;/D&gt;&lt;D xsi:type="xsd:double"&gt;55.69&lt;/D&gt;&lt;D xsi:type="xsd:double"&gt;56.36&lt;/D&gt;&lt;D xsi:type="xsd:double"&gt;56.58&lt;/D&gt;&lt;D xsi:type="xsd:double"&gt;56.81&lt;/D&gt;&lt;D xsi:type="xsd:double"&gt;57.55&lt;/D&gt;&lt;D xsi:type="xsd:double"&gt;57.85&lt;/D&gt;&lt;D xsi:type="xsd:double"&gt;58.06&lt;/D&gt;&lt;D xsi:type="xsd:double"&gt;57.67&lt;/D&gt;&lt;D xsi:type="xsd:double"&gt;56.36&lt;/D&gt;&lt;D xsi:type="xsd:double"&gt;55.74&lt;/D&gt;&lt;D xsi:type="xsd:double"&gt;55.22&lt;/D&gt;&lt;D xsi:type="xsd:double"&gt;55.4&lt;/D&gt;&lt;D xsi:type="xsd:double"&gt;55.06&lt;/D&gt;&lt;D xsi:type="xsd:double"&gt;55.12&lt;/D&gt;&lt;D xsi:type="xsd:double"&gt;55.36&lt;/D&gt;&lt;D xsi:type="xsd:double"&gt;55.6&lt;/D&gt;&lt;D xsi:type="xsd:double"&gt;55.66&lt;/D&gt;&lt;D xsi:type="xsd:double"&gt;56.17&lt;/D&gt;&lt;D xsi:type="xsd:double"&gt;56.94&lt;/D&gt;&lt;D xsi:type="xsd:double"&gt;57.12&lt;/D&gt;&lt;D xsi:type="xsd:double"&gt;57.17&lt;/D&gt;&lt;D xsi:type="xsd:double"&gt;57.14&lt;/D&gt;&lt;D xsi:type="xsd:double"&gt;57.11&lt;/D&gt;&lt;D xsi:type="xsd:double"&gt;57.68&lt;/D&gt;&lt;D xsi:type="xsd:double"&gt;57.78&lt;/D&gt;&lt;D xsi:type="xsd:double"&gt;57.47&lt;/D&gt;&lt;D xsi:type="xsd:double"&gt;56.64&lt;/D&gt;&lt;D xsi:type="xsd:double"&gt;56.33&lt;/D&gt;&lt;D xsi:type="xsd:double"&gt;56.08&lt;/D&gt;&lt;D xsi:type="xsd:double"&gt;56.1&lt;/D&gt;&lt;D xsi:type="xsd:double"&gt;56.36&lt;/D&gt;&lt;D xsi:type="xsd:double"&gt;56.83&lt;/D&gt;&lt;D xsi:type="xsd:double"&gt;56.55&lt;/D&gt;&lt;D xsi:type="xsd:double"&gt;56.72&lt;/D&gt;&lt;D xsi:type="xsd:double"&gt;56.66&lt;/D&gt;&lt;D xsi:type="xsd:double"&gt;56.25&lt;/D&gt;&lt;D xsi:type="xsd:double"&gt;55.94&lt;/D&gt;&lt;D xsi:type="xsd:double"&gt;55.24&lt;/D&gt;&lt;D xsi:type="xsd:double"&gt;54.57&lt;/D&gt;&lt;D xsi:type="xsd:double"&gt;54.26&lt;/D&gt;&lt;D xsi:type="xsd:double"&gt;53.86&lt;/D&gt;&lt;D xsi:type="xsd:double"&gt;54.51&lt;/D&gt;&lt;D xsi:type="xsd:double"&gt;55.24&lt;/D&gt;&lt;D xsi:type="xsd:double"&gt;55.57&lt;/D&gt;&lt;D xsi:type="xsd:double"&gt;55.26&lt;/D&gt;&lt;D xsi:type="xsd:double"&gt;55.21&lt;/D&gt;&lt;D xsi:type="xsd:double"&gt;55.29&lt;/D&gt;&lt;D xsi:type="xsd:double"&gt;55.48&lt;/D&gt;&lt;D xsi:type="xsd:double"&gt;55.56&lt;/D&gt;&lt;D xsi:type="xsd:double"&gt;55.65&lt;/D&gt;&lt;D xsi:type="xsd:double"&gt;56.12&lt;/D&gt;&lt;D xsi:type="xsd:double"&gt;55.62&lt;/D&gt;&lt;D xsi:type="xsd:double"&gt;56.02&lt;/D&gt;&lt;D xsi:type="xsd:double"&gt;56.33&lt;/D&gt;&lt;D xsi:type="xsd:double"&gt;56.25&lt;/D&gt;&lt;D xsi:type="xsd:double"&gt;55.71&lt;/D&gt;&lt;D xsi:type="xsd:double"&gt;55.08&lt;/D&gt;&lt;D xsi:type="xsd:double"&gt;54.67&lt;/D&gt;&lt;D xsi:type="xsd:double"&gt;55.33&lt;/D&gt;&lt;D xsi:type="xsd:double"&gt;55.33&lt;/D&gt;&lt;D xsi:type="xsd:double"&gt;55.24&lt;/D&gt;&lt;D xsi:type="xsd:double"&gt;55.11&lt;/D&gt;&lt;D xsi:type="xsd:double"&gt;54.97&lt;/D&gt;&lt;D xsi:type="xsd:double"&gt;55.64&lt;/D&gt;&lt;D xsi:type="xsd:double"&gt;54.94&lt;/D&gt;&lt;D xsi:type="xsd:double"&gt;55.52&lt;/D&gt;&lt;D xsi:type="xsd:double"&gt;54.9&lt;/D&gt;&lt;D xsi:type="xsd:double"&gt;54.35&lt;/D&gt;&lt;D xsi:type="xsd:double"&gt;54.5&lt;/D&gt;&lt;D xsi:type="xsd:double"&gt;54.1&lt;/D&gt;&lt;D xsi:type="xsd:double"&gt;54.2&lt;/D&gt;&lt;D xsi:type="xsd:double"&gt;53.81&lt;/D&gt;&lt;D xsi:type="xsd:double"&gt;53.2&lt;/D&gt;&lt;D xsi:type="xsd:double"&gt;53.6&lt;/D&gt;&lt;D xsi:type="xsd:double"&gt;53.68&lt;/D&gt;&lt;D xsi:type="xsd:double"&gt;52.98&lt;/D&gt;&lt;D xsi:type="xsd:double"&gt;53.48&lt;/D&gt;&lt;D xsi:type="xsd:double"&gt;53.31&lt;/D&gt;&lt;D xsi:type="xsd:double"&gt;52.43&lt;/D&gt;&lt;D xsi:type="xsd:double"&gt;52.72&lt;/D&gt;&lt;D xsi:type="xsd:double"&gt;53.48&lt;/D&gt;&lt;D xsi:type="xsd:double"&gt;54.12&lt;/D&gt;&lt;D xsi:type="xsd:double"&gt;54.16&lt;/D&gt;&lt;D xsi:type="xsd:double"&gt;55.16&lt;/D&gt;&lt;D xsi:type="xsd:double"&gt;55.12&lt;/D&gt;&lt;D xsi:type="xsd:double"&gt;56.2&lt;/D&gt;&lt;D xsi:type="xsd:double"&gt;54.96&lt;/D&gt;&lt;D xsi:type="xsd:double"&gt;54.51&lt;/D&gt;&lt;D xsi:type="xsd:double"&gt;54.48&lt;/D&gt;&lt;D xsi:type="xsd:double"&gt;54.36&lt;/D&gt;&lt;D xsi:type="xsd:double"&gt;54.55&lt;/D&gt;&lt;D xsi:type="xsd:double"&gt;54.18&lt;/D&gt;&lt;D xsi:type="xsd:double"&gt;54.71&lt;/D&gt;&lt;D xsi:type="xsd:double"&gt;54.7&lt;/D&gt;&lt;D xsi:type="xsd:double"&gt;55.45&lt;/D&gt;&lt;D xsi:type="xsd:double"&gt;55.28&lt;/D&gt;&lt;D xsi:type="xsd:double"&gt;54.82&lt;/D&gt;&lt;D xsi:type="xsd:double"&gt;54.53&lt;/D&gt;&lt;D xsi:type="xsd:double"&gt;54.9&lt;/D&gt;&lt;D xsi:type="xsd:double"&gt;55.27&lt;/D&gt;&lt;D xsi:type="xsd:double"&gt;54.98&lt;/D&gt;&lt;D xsi:type="xsd:double"&gt;54.81&lt;/D&gt;&lt;D xsi:type="xsd:double"&gt;54.63&lt;/D&gt;&lt;D xsi:type="xsd:double"&gt;54.26&lt;/D&gt;&lt;D xsi:type="xsd:double"&gt;53.75&lt;/D&gt;&lt;D xsi:type="xsd:double"&gt;54.32&lt;/D&gt;&lt;D xsi:type="xsd:double"&gt;53.46&lt;/D&gt;&lt;D xsi:type="xsd:double"&gt;52.68&lt;/D&gt;&lt;D xsi:type="xsd:double"&gt;53.25&lt;/D&gt;&lt;D xsi:type="xsd:double"&gt;53.42&lt;/D&gt;&lt;D xsi:type="xsd:double"&gt;53.77&lt;/D&gt;&lt;D xsi:type="xsd:double"&gt;55.22&lt;/D&gt;&lt;D xsi:type="xsd:double"&gt;56.27&lt;/D&gt;&lt;D xsi:type="xsd:double"&gt;55.43&lt;/D&gt;&lt;D xsi:type="xsd:double"&gt;55.67&lt;/D&gt;&lt;D xsi:type="xsd:double"&gt;55.62&lt;/D&gt;&lt;D xsi:type="xsd:double"&gt;55.64&lt;/D&gt;&lt;D xsi:type="xsd:double"&gt;55.47&lt;/D&gt;&lt;D xsi:type="xsd:double"&gt;55.56&lt;/D&gt;&lt;D xsi:type="xsd:double"&gt;55.03&lt;/D&gt;&lt;D xsi:type="xsd:double"&gt;55.54&lt;/D&gt;&lt;D xsi:type="xsd:double"&gt;55.18&lt;/D&gt;&lt;D xsi:type="xsd:double"&gt;54.9&lt;/D&gt;&lt;D xsi:type="xsd:double"&gt;54.62&lt;/D&gt;&lt;D xsi:type="xsd:double"&gt;55.2&lt;/D&gt;&lt;D xsi:type="xsd:double"&gt;55.03&lt;/D&gt;&lt;D xsi:type="xsd:double"&gt;54.77&lt;/D&gt;&lt;D xsi:type="xsd:double"&gt;55.04&lt;/D&gt;&lt;D xsi:type="xsd:double"&gt;55.17&lt;/D&gt;&lt;D xsi:type="xsd:double"&gt;55.02&lt;/D&gt;&lt;D xsi:type="xsd:double"&gt;54.41&lt;/D&gt;&lt;D xsi:type="xsd:double"&gt;54.02&lt;/D&gt;&lt;D xsi:type="xsd:double"&gt;52.94&lt;/D&gt;&lt;D xsi:type="xsd:double"&gt;53.19&lt;/D&gt;&lt;D xsi:type="xsd:double"&gt;53.53&lt;/D&gt;&lt;D xsi:type="xsd:double"&gt;53.58&lt;/D&gt;&lt;D xsi:type="xsd:double"&gt;53.58&lt;/D&gt;&lt;D xsi:type="xsd:double"&gt;54.15&lt;/D&gt;&lt;D xsi:type="xsd:double"&gt;54.34&lt;/D&gt;&lt;D xsi:type="xsd:double"&gt;54.64&lt;/D&gt;&lt;D xsi:type="xsd:double"&gt;54.47&lt;/D&gt;&lt;D xsi:type="xsd:double"&gt;53.52&lt;/D&gt;&lt;D xsi:type="xsd:double"&gt;53.86&lt;/D&gt;&lt;D xsi:type="xsd:double"&gt;53.67&lt;/D&gt;&lt;D xsi:type="xsd:double"&gt;53.71&lt;/D&gt;&lt;D xsi:type="xsd:double"&gt;53.04&lt;/D&gt;&lt;D xsi:type="xsd:double"&gt;52.96&lt;/D&gt;&lt;D xsi:type="xsd:double"&gt;52.23&lt;/D&gt;&lt;D xsi:type="xsd:double"&gt;52.45&lt;/D&gt;&lt;D xsi:type="xsd:double"&gt;51.82&lt;/D&gt;&lt;D xsi:type="xsd:double"&gt;51.95&lt;/D&gt;&lt;D xsi:type="xsd:double"&gt;51.29&lt;/D&gt;&lt;D xsi:type="xsd:double"&gt;51.45&lt;/D&gt;&lt;D xsi:type="xsd:double"&gt;51.2&lt;/D&gt;&lt;D xsi:type="xsd:double"&gt;51.05&lt;/D&gt;&lt;D xsi:type="xsd:double"&gt;49.7&lt;/D&gt;&lt;D xsi:type="xsd:double"&gt;49.71&lt;/D&gt;&lt;D xsi:type="xsd:double"&gt;47.12&lt;/D&gt;&lt;D xsi:type="xsd:double"&gt;47.04&lt;/D&gt;&lt;D xsi:type="xsd:double"&gt;48.36&lt;/D&gt;&lt;D xsi:type="xsd:double"&gt;51.41&lt;/D&gt;&lt;D xsi:type="xsd:double"&gt;51.49&lt;/D&gt;&lt;D xsi:type="xsd:double"&gt;51.76&lt;/D&gt;&lt;D xsi:type="xsd:double"&gt;51.79&lt;/D&gt;&lt;/FQL&gt;&lt;FQL&gt;&lt;Q&gt;SPY^FG_TOTAL_RETURNC(-5AY,0,AM)&lt;/Q&gt;&lt;R&gt;61&lt;/R&gt;&lt;C&gt;1&lt;/C&gt;&lt;D xsi:type="xsd:double"&gt;2.0882368&lt;/D&gt;&lt;D xsi:type="xsd:double"&gt;4.5089126&lt;/D&gt;&lt;D xsi:type="xsd:double"&gt;0.9601593&lt;/D&gt;&lt;D xsi:type="xsd:double"&gt;5.2532434&lt;/D&gt;&lt;D xsi:type="xsd:double"&gt;0.17071962&lt;/D&gt;&lt;D xsi:type="xsd:double"&gt;1.8964052&lt;/D&gt;&lt;D xsi:type="xsd:double"&gt;2.7590513&lt;/D&gt;&lt;D xsi:type="xsd:double"&gt;2.569294&lt;/D&gt;&lt;D xsi:type="xsd:double"&gt;0.43953657&lt;/D&gt;&lt;D xsi:type="xsd:double"&gt;-0.12669563&lt;/D&gt;&lt;D xsi:type="xsd:double"&gt;4.8354864&lt;/D&gt;&lt;D xsi:type="xsd:double"&gt;0.67818165&lt;/D&gt;&lt;D xsi:type="xsd:double"&gt;-0.89806914&lt;/D&gt;&lt;D xsi:type="xsd:double"&gt;-4.006714&lt;/D&gt;&lt;D xsi:type="xsd:double"&gt;-4.4676065&lt;/D&gt;&lt;D xsi:type="xsd:double"&gt;3.0422926&lt;/D&gt;&lt;D xsi:type="xsd:double"&gt;-8.239115&lt;/D&gt;&lt;D xsi:type="xsd:double"&gt;-5.605894&lt;/D&gt;&lt;D xsi:type="xsd:double"&gt;2.0015597&lt;/D&gt;&lt;D xsi:type="xsd:double"&gt;11.354601&lt;/D&gt;&lt;D xsi:type="xsd:double"&gt;-9.033251&lt;/D&gt;&lt;D xsi:type="xsd:double"&gt;-7.9486427&lt;/D&gt;&lt;D xsi:type="xsd:double"&gt;11.425209&lt;/D&gt;&lt;D xsi:type="xsd:double"&gt;-2.2233903&lt;/D&gt;&lt;D xsi:type="xsd:double"&gt;2.7518868&lt;/D&gt;&lt;D xsi:type="xsd:double"&gt;3.8845658&lt;/D&gt;&lt;D xsi:type="xsd:double"&gt;-5.9664726&lt;/D&gt;&lt;D xsi:type="xsd:double"&gt;6.363797&lt;/D&gt;&lt;D xsi:type="xsd:double"&gt;0.13334751&lt;/D&gt;&lt;D xsi:type="xsd:double"&gt;7.1644783&lt;/D&gt;&lt;D xsi:type="xsd:double"&gt;1.887703&lt;/D&gt;&lt;D xsi:type="xsd:double"&gt;-1.4222741&lt;/D&gt;&lt;D xsi:type="xsd:double"&gt;0.46583414&lt;/D&gt;&lt;D xsi:type="xsd:double"&gt;-2.67722&lt;/D&gt;&lt;D xsi:type="xsd:double"&gt;4.213214&lt;/D&gt;&lt;D xsi:type="xsd:double"&gt;4.793644&lt;/D&gt;&lt;D xsi:type="xsd:double"&gt;1.5660644&lt;/D&gt;&lt;D xsi:type="xsd:double"&gt;5.3138375&lt;/D&gt;&lt;D xsi:type="xsd:double"&gt;1.8754363&lt;/D&gt;&lt;D xsi:type="xsd:double"&gt;-1.0552466&lt;/D&gt;&lt;D xsi:type="xsd:double"&gt;5.02131&lt;/D&gt;&lt;D xsi:type="xsd:double"&gt;2.4538517&lt;/D&gt;&lt;D xsi:type="xsd:double"&gt;3.78865&lt;/D&gt;&lt;D xsi:type="xsd:double"&gt;-1.5066028&lt;/D&gt;&lt;D xsi:type="xsd:double"&gt;1.6164303&lt;/D&gt;&lt;D xsi:type="xsd:double"&gt;3.4787536&lt;/D&gt;&lt;D xsi:type="xsd:double"&gt;1.0296941&lt;/D&gt;&lt;D xsi:type="xsd:double"&gt;3.151524&lt;/D&gt;&lt;D xsi:type="xsd:double"&gt;-1.565522&lt;/D&gt;&lt;D xsi:type="xsd:double"&gt;2.8543472&lt;/D&gt;&lt;D xsi:type="xsd:double"&gt;-7.690668&lt;/D&gt;&lt;D xsi:type="xsd:double"&gt;-4.1903677&lt;/D&gt;&lt;D xsi:type="xsd:double"&gt;9.830559&lt;/D&gt;&lt;D xsi:type="xsd:double"&gt;1.1076093&lt;/D&gt;&lt;D xsi:type="xsd:double"&gt;4.51988&lt;/D&gt;&lt;D xsi:type="xsd:double"&gt;3.423667&lt;/D&gt;&lt;D xsi:type="xsd:double"&gt;2.715087&lt;/D&gt;&lt;D xsi:type="xsd:double"&gt;0.9222388&lt;/D&gt;&lt;D xsi:type="xsd:double"&gt;1.016283&lt;/D&gt;&lt;D xsi:type="xsd:double"&gt;1.3096571&lt;/D&gt;&lt;D xsi:type="xsd:double"&gt;1.9886851&lt;/D&gt;&lt;/FQL&gt;&lt;FQL&gt;&lt;Q&gt;EPU^FG_TOTAL_RETURNC(-5AY,0,AM)&lt;/Q&gt;&lt;R&gt;61&lt;/R&gt;&lt;C&gt;1&lt;/C&gt;&lt;D xsi:type="xsd:double"&gt;2.7066708&lt;/D&gt;&lt;D xsi:type="xsd:double"&gt;7.8773975&lt;/D&gt;&lt;D xsi:type="xsd:double"&gt;-2.6255965&lt;/D&gt;&lt;D xsi:type="xsd:double"&gt;-2.784741&lt;/D&gt;&lt;D xsi:type="xsd:double"&gt;-0.7573664&lt;/D&gt;&lt;D xsi:type="xsd:double"&gt;-14.804191&lt;/D&gt;&lt;D xsi:type="xsd:double"&gt;-4.4161916&lt;/D&gt;&lt;D xsi:type="xsd:double"&gt;-7.0703564&lt;/D&gt;&lt;D xsi:type="xsd:double"&gt;2.7871966&lt;/D&gt;&lt;D xsi:type="xsd:double"&gt;10.589957&lt;/D&gt;&lt;D xsi:type="xsd:double"&gt;0.13253689&lt;/D&gt;&lt;D xsi:type="xsd:double"&gt;-8.059913&lt;/D&gt;&lt;D xsi:type="xsd:double"&gt;23.176134&lt;/D&gt;&lt;D xsi:type="xsd:double"&gt;3.4400344&lt;/D&gt;&lt;D xsi:type="xsd:double"&gt;2.81955&lt;/D&gt;&lt;D xsi:type="xsd:double"&gt;-1.7297208&lt;/D&gt;&lt;D xsi:type="xsd:double"&gt;-17.973667&lt;/D&gt;&lt;D xsi:type="xsd:double"&gt;3.0026913&lt;/D&gt;&lt;D xsi:type="xsd:double"&gt;-16.649103&lt;/D&gt;&lt;D xsi:type="xsd:double"&gt;13.232195&lt;/D&gt;&lt;D xsi:type="xsd:double"&gt;-4.7636805&lt;/D&gt;&lt;D xsi:type="xsd:double"&gt;-2.8135955&lt;/D&gt;&lt;D xsi:type="xsd:double"&gt;19.380783&lt;/D&gt;&lt;D xsi:type="xsd:double"&gt;-4.068178&lt;/D&gt;&lt;D xsi:type="xsd:double"&gt;14.75526&lt;/D&gt;&lt;D xsi:type="xsd:double"&gt;-7.50311&lt;/D&gt;&lt;D xsi:type="xsd:double"&gt;-3.8707495&lt;/D&gt;&lt;D xsi:type="xsd:double"&gt;10.959387&lt;/D&gt;&lt;D xsi:type="xsd:double"&gt;-3.1375825&lt;/D&gt;&lt;D xsi:type="xsd:double"&gt;3.933227&lt;/D&gt;&lt;D xsi:type="xsd:double"&gt;4.118073&lt;/D&gt;&lt;D xsi:type="xsd:double"&gt;-1.6749203&lt;/D&gt;&lt;D xsi:type="xsd:double"&gt;-0.7545471&lt;/D&gt;&lt;D xsi:type="xsd:double"&gt;-8.020705&lt;/D&gt;&lt;D xsi:type="xsd:double"&gt;3.9835215&lt;/D&gt;&lt;D xsi:type="xsd:double"&gt;11.7041&lt;/D&gt;&lt;D xsi:type="xsd:double"&gt;2.6272774&lt;/D&gt;&lt;D xsi:type="xsd:double"&gt;2.4999976&lt;/D&gt;&lt;D xsi:type="xsd:double"&gt;12.367296&lt;/D&gt;&lt;D xsi:type="xsd:double"&gt;0.5617976&lt;/D&gt;&lt;D xsi:type="xsd:double"&gt;10.111225&lt;/D&gt;&lt;D xsi:type="xsd:double"&gt;-5.839986&lt;/D&gt;&lt;D xsi:type="xsd:double"&gt;4.7929764&lt;/D&gt;&lt;D xsi:type="xsd:double"&gt;-3.6877334&lt;/D&gt;&lt;D xsi:type="xsd:double"&gt;0.83117485&lt;/D&gt;&lt;D xsi:type="xsd:double"&gt;5.8654666&lt;/D&gt;&lt;D xsi:type="xsd:double"&gt;-1.352334&lt;/D&gt;&lt;D xsi:type="xsd:double"&gt;1.2221217&lt;/D&gt;&lt;D xsi:type="xsd:double"&gt;-1.6506076&lt;/D&gt;&lt;D xsi:type="xsd:double"&gt;3.4499645&lt;/D&gt;&lt;D xsi:type="xsd:double"&gt;2.5780559&lt;/D&gt;&lt;D xsi:type="xsd:double"&gt;-0.50725937&lt;/D&gt;&lt;D xsi:type="xsd:double"&gt;4.4264197&lt;/D&gt;&lt;D xsi:type="xsd:double"&gt;7.1711063&lt;/D&gt;&lt;D xsi:type="xsd:double"&gt;1.5165567&lt;/D&gt;&lt;D xsi:type="xsd:double"&gt;8.461356&lt;/D&gt;&lt;D xsi:type="xsd:double"&gt;11.963224&lt;/D&gt;&lt;D xsi:type="xsd:double"&gt;9.693777&lt;/D&gt;&lt;D xsi:type="xsd:double"&gt;-2.7457058&lt;/D&gt;&lt;D xsi:type="xsd:double"&gt;11.084377&lt;/D&gt;&lt;D xsi:type="xsd:double"&gt;20.362032&lt;/D&gt;&lt;/FQL&gt;&lt;FQL&gt;&lt;Q&gt;EWI^FG_PRICE(0,-200D)&lt;/Q&gt;&lt;R&gt;201&lt;/R&gt;&lt;C&gt;1&lt;/C&gt;&lt;D xsi:type="xsd:double"&gt;54.8&lt;/D&gt;&lt;D xsi:type="xsd:double"&gt;55.04&lt;/D&gt;&lt;D xsi:type="xsd:double"&gt;54.81&lt;/D&gt;&lt;D xsi:type="xsd:double"&gt;55.32&lt;/D&gt;&lt;D xsi:type="xsd:double"&gt;55.03&lt;/D&gt;&lt;D xsi:type="xsd:double"&gt;55.24&lt;/D&gt;&lt;D xsi:type="xsd:double"&gt;54.97&lt;/D&gt;&lt;D xsi:type="xsd:double"&gt;55.29&lt;/D&gt;&lt;D xsi:type="xsd:double"&gt;55.67&lt;/D&gt;&lt;D xsi:type="xsd:double"&gt;55.16&lt;/D&gt;&lt;D xsi:type="xsd:double"&gt;54.33&lt;/D&gt;&lt;D xsi:type="xsd:double"&gt;54.59&lt;/D&gt;&lt;D xsi:type="xsd:double"&gt;54.16&lt;/D&gt;&lt;D xsi:type="xsd:double"&gt;54.62&lt;/D&gt;&lt;D xsi:type="xsd:double"&gt;54.56&lt;/D&gt;&lt;D xsi:type="xsd:double"&gt;54.4&lt;/D&gt;&lt;D xsi:type="xsd:double"&gt;54.24&lt;/D&gt;&lt;D xsi:type="xsd:double"&gt;54.21&lt;/D&gt;&lt;D xsi:type="xsd:double"&gt;53.81&lt;/D&gt;&lt;D xsi:type="xsd:double"&gt;53.51&lt;/D&gt;&lt;D xsi:type="xsd:double"&gt;53.58&lt;/D&gt;&lt;D xsi:type="xsd:double"&gt;54.35&lt;/D&gt;&lt;D xsi:type="xsd:double"&gt;53.66&lt;/D&gt;&lt;D xsi:type="xsd:double"&gt;53.95&lt;/D&gt;&lt;D xsi:type="xsd:double"&gt;53.55&lt;/D&gt;&lt;D xsi:type="xsd:double"&gt;53.02&lt;/D&gt;&lt;D xsi:type="xsd:double"&gt;52.98&lt;/D&gt;&lt;D xsi:type="xsd:double"&gt;52.98&lt;/D&gt;&lt;D xsi:type="xsd:double"&gt;53.15&lt;/D&gt;&lt;D xsi:type="xsd:double"&gt;53.29&lt;/D&gt;&lt;D xsi:type="xsd:double"&gt;53&lt;/D&gt;&lt;D xsi:type="xsd:double"&gt;52.66&lt;/D&gt;&lt;D xsi:type="xsd:double"&gt;52.93&lt;/D&gt;&lt;D xsi:type="xsd:double"&gt;52.54&lt;/D&gt;&lt;D xsi:type="xsd:double"&gt;52.16&lt;/D&gt;&lt;D xsi:type="xsd:double"&gt;51.19&lt;/D&gt;&lt;D xsi:type="xsd:double"&gt;51.47&lt;/D&gt;&lt;D xsi:type="xsd:double"&gt;50.81&lt;/D&gt;&lt;D xsi:type="xsd:double"&gt;51.34&lt;/D&gt;&lt;D xsi:type="xsd:double"&gt;51.81&lt;/D&gt;&lt;D xsi:type="xsd:double"&gt;52.56&lt;/D&gt;&lt;D xsi:type="xsd:double"&gt;53.2&lt;/D&gt;&lt;D xsi:type="xsd:double"&gt;53.98&lt;/D&gt;&lt;D xsi:type="xsd:double"&gt;54.12&lt;/D&gt;&lt;D xsi:type="xsd:double"&gt;53.75&lt;/D&gt;&lt;D xsi:type="xsd:double"&gt;53.15&lt;/D&gt;&lt;D xsi:type="xsd:double"&gt;52.19&lt;/D&gt;&lt;D xsi:type="xsd:double"&gt;51.75&lt;/D&gt;&lt;D xsi:type="xsd:double"&gt;52&lt;/D&gt;&lt;D xsi:type="xsd:double"&gt;51.38&lt;/D&gt;&lt;D xsi:type="xsd:double"&gt;51.79&lt;/D&gt;&lt;D xsi:type="xsd:double"&gt;51.81&lt;/D&gt;&lt;D xsi:type="xsd:double"&gt;51.82&lt;/D&gt;&lt;D xsi:type="xsd:double"&gt;52.11&lt;/D&gt;&lt;D xsi:type="xsd:double"&gt;52.18&lt;/D&gt;&lt;D xsi:type="xsd:double"&gt;51.93&lt;/D&gt;&lt;D xsi:type="xsd:double"&gt;51.27&lt;/D&gt;&lt;D xsi:type="xsd:double"&gt;51.17&lt;/D&gt;&lt;D xsi:type="xsd:double"&gt;50.66&lt;/D&gt;&lt;D xsi:type="xsd:double"&gt;51.1&lt;/D&gt;&lt;D xsi:type="xsd:double"&gt;51.24&lt;/D&gt;&lt;D xsi:type="xsd:double"&gt;50.77&lt;/D&gt;&lt;D xsi:type="xsd:double"&gt;50.88&lt;/D&gt;&lt;D xsi:type="xsd:double"&gt;50.47&lt;/D&gt;&lt;D xsi:type="xsd:double"&gt;50.79&lt;/D&gt;&lt;D xsi:type="xsd:double"&gt;50.5&lt;/D&gt;&lt;D xsi:type="xsd:double"&gt;50.31&lt;/D&gt;&lt;D xsi:type="xsd:double"&gt;51.13&lt;/D&gt;&lt;D xsi:type="xsd:double"&gt;52.29&lt;/D&gt;&lt;D xsi:type="xsd:double"&gt;51.94&lt;/D&gt;&lt;D xsi:type="xsd:double"&gt;52.26&lt;/D&gt;&lt;D xsi:type="xsd:double"&gt;52.61&lt;/D&gt;&lt;D xsi:type="xsd:double"&gt;52.33&lt;/D&gt;&lt;D xsi:type="xsd:double"&gt;52.41&lt;/D&gt;&lt;D xsi:type="xsd:double"&gt;51.95&lt;/D&gt;&lt;D xsi:type="xsd:double"&gt;51.5&lt;/D&gt;&lt;D xsi:type="xsd:double"&gt;51.54&lt;/D&gt;&lt;D xsi:type="xsd:double"&gt;50.94&lt;/D&gt;&lt;D xsi:type="xsd:double"&gt;51.29&lt;/D&gt;&lt;D xsi:type="xsd:double"&gt;51.51&lt;/D&gt;&lt;D xsi:type="xsd:double"&gt;51.74&lt;/D&gt;&lt;D xsi:type="xsd:double"&gt;51.37&lt;/D&gt;&lt;D xsi:type="xsd:double"&gt;51.44&lt;/D&gt;&lt;D xsi:type="xsd:double"&gt;51.33&lt;/D&gt;&lt;D xsi:type="xsd:double"&gt;52.15&lt;/D&gt;&lt;D xsi:type="xsd:double"&gt;52.39&lt;/D&gt;&lt;D xsi:type="xsd:double"&gt;51.72&lt;/D&gt;&lt;D xsi:type="xsd:double"&gt;51.6&lt;/D&gt;&lt;D xsi:type="xsd:double"&gt;50.93&lt;/D&gt;&lt;D xsi:type="xsd:double"&gt;50.86&lt;/D&gt;&lt;D xsi:type="xsd:double"&gt;50.64&lt;/D&gt;&lt;D xsi:type="xsd:double"&gt;50.46&lt;/D&gt;&lt;D xsi:type="xsd:double"&gt;50.65&lt;/D&gt;&lt;D xsi:type="xsd:double"&gt;50.38&lt;/D&gt;&lt;D xsi:type="xsd:double"&gt;50.4&lt;/D&gt;&lt;D xsi:type="xsd:double"&gt;51.05&lt;/D&gt;&lt;D xsi:type="xsd:double"&gt;51.19&lt;/D&gt;&lt;D xsi:type="xsd:double"&gt;50.91&lt;/D&gt;&lt;D xsi:type="xsd:double"&gt;51.42&lt;/D&gt;&lt;D xsi:type="xsd:double"&gt;51.76&lt;/D&gt;&lt;D xsi:type="xsd:double"&gt;52.34&lt;/D&gt;&lt;D xsi:type="xsd:double"&gt;51.53&lt;/D&gt;&lt;D xsi:type="xsd:double"&gt;51.69&lt;/D&gt;&lt;D xsi:type="xsd:double"&gt;51.62&lt;/D&gt;&lt;D xsi:type="xsd:double"&gt;51.54&lt;/D&gt;&lt;D xsi:type="xsd:double"&gt;51.79&lt;/D&gt;&lt;D xsi:type="xsd:double"&gt;51.56&lt;/D&gt;&lt;D xsi:type="xsd:double"&gt;51.1&lt;/D&gt;&lt;D xsi:type="xsd:double"&gt;50.64&lt;/D&gt;&lt;D xsi:type="xsd:double"&gt;49.99&lt;/D&gt;&lt;D xsi:type="xsd:double"&gt;50.16&lt;/D&gt;&lt;D xsi:type="xsd:double"&gt;49.95&lt;/D&gt;&lt;D xsi:type="xsd:double"&gt;49.52&lt;/D&gt;&lt;D xsi:type="xsd:double"&gt;48.74&lt;/D&gt;&lt;D xsi:type="xsd:double"&gt;48.57&lt;/D&gt;&lt;D xsi:type="xsd:double"&gt;47.83&lt;/D&gt;&lt;D xsi:type="xsd:double"&gt;48.25&lt;/D&gt;&lt;D xsi:type="xsd:double"&gt;49.13&lt;/D&gt;&lt;D xsi:type="xsd:double"&gt;49.06&lt;/D&gt;&lt;D xsi:type="xsd:double"&gt;48.78&lt;/D&gt;&lt;D xsi:type="xsd:double"&gt;49.56&lt;/D&gt;&lt;D xsi:type="xsd:double"&gt;49.12&lt;/D&gt;&lt;D xsi:type="xsd:double"&gt;49.84&lt;/D&gt;&lt;D xsi:type="xsd:double"&gt;48.55&lt;/D&gt;&lt;D xsi:type="xsd:double"&gt;48.03&lt;/D&gt;&lt;D xsi:type="xsd:double"&gt;47.79&lt;/D&gt;&lt;D xsi:type="xsd:double"&gt;47.75&lt;/D&gt;&lt;D xsi:type="xsd:double"&gt;47.76&lt;/D&gt;&lt;D xsi:type="xsd:double"&gt;47.32&lt;/D&gt;&lt;D xsi:type="xsd:double"&gt;48.16&lt;/D&gt;&lt;D xsi:type="xsd:double"&gt;47.99&lt;/D&gt;&lt;D xsi:type="xsd:double"&gt;48.53&lt;/D&gt;&lt;D xsi:type="xsd:double"&gt;49.17&lt;/D&gt;&lt;D xsi:type="xsd:double"&gt;48.34&lt;/D&gt;&lt;D xsi:type="xsd:double"&gt;47.87&lt;/D&gt;&lt;D xsi:type="xsd:double"&gt;48.21&lt;/D&gt;&lt;D xsi:type="xsd:double"&gt;48.29&lt;/D&gt;&lt;D xsi:type="xsd:double"&gt;48.05&lt;/D&gt;&lt;D xsi:type="xsd:double"&gt;48.14&lt;/D&gt;&lt;D xsi:type="xsd:double"&gt;47.86&lt;/D&gt;&lt;D xsi:type="xsd:double"&gt;47.5&lt;/D&gt;&lt;D xsi:type="xsd:double"&gt;47.17&lt;/D&gt;&lt;D xsi:type="xsd:double"&gt;47.2&lt;/D&gt;&lt;D xsi:type="xsd:double"&gt;46.45&lt;/D&gt;&lt;D xsi:type="xsd:double"&gt;46.36&lt;</t>
        </r>
      </text>
    </comment>
    <comment ref="A3" authorId="0" shapeId="0" xr:uid="{526BBC31-BB8E-4D39-8F73-5D4CF88FCD59}">
      <text>
        <r>
          <rPr>
            <b/>
            <sz val="9"/>
            <color indexed="81"/>
            <rFont val="Tahoma"/>
            <charset val="1"/>
          </rPr>
          <t>/D&gt;&lt;D xsi:type="xsd:double"&gt;46.46&lt;/D&gt;&lt;D xsi:type="xsd:double"&gt;46.26&lt;/D&gt;&lt;D xsi:type="xsd:double"&gt;47.21&lt;/D&gt;&lt;D xsi:type="xsd:double"&gt;47.43&lt;/D&gt;&lt;D xsi:type="xsd:double"&gt;48.25&lt;/D&gt;&lt;D xsi:type="xsd:double"&gt;47.93&lt;/D&gt;&lt;D xsi:type="xsd:double"&gt;47.93&lt;/D&gt;&lt;D xsi:type="xsd:double"&gt;48.18&lt;/D&gt;&lt;D xsi:type="xsd:double"&gt;48.3&lt;/D&gt;&lt;D xsi:type="xsd:double"&gt;47.98&lt;/D&gt;&lt;D xsi:type="xsd:double"&gt;47.74&lt;/D&gt;&lt;D xsi:type="xsd:double"&gt;47.87&lt;/D&gt;&lt;D xsi:type="xsd:double"&gt;48.32&lt;/D&gt;&lt;D xsi:type="xsd:double"&gt;47.77&lt;/D&gt;&lt;D xsi:type="xsd:double"&gt;47.58&lt;/D&gt;&lt;D xsi:type="xsd:double"&gt;47.55&lt;/D&gt;&lt;D xsi:type="xsd:double"&gt;47.66&lt;/D&gt;&lt;D xsi:type="xsd:double"&gt;46.96&lt;/D&gt;&lt;D xsi:type="xsd:double"&gt;47.54&lt;/D&gt;&lt;D xsi:type="xsd:double"&gt;47.65&lt;/D&gt;&lt;D xsi:type="xsd:double"&gt;47.84&lt;/D&gt;&lt;D xsi:type="xsd:double"&gt;47.3&lt;/D&gt;&lt;D xsi:type="xsd:double"&gt;46.85&lt;/D&gt;&lt;D xsi:type="xsd:double"&gt;46.53&lt;/D&gt;&lt;D xsi:type="xsd:double"&gt;46.26&lt;/D&gt;&lt;D xsi:type="xsd:double"&gt;46&lt;/D&gt;&lt;D xsi:type="xsd:double"&gt;45.66&lt;/D&gt;&lt;D xsi:type="xsd:double"&gt;45.81&lt;/D&gt;&lt;D xsi:type="xsd:double"&gt;45.36&lt;/D&gt;&lt;D xsi:type="xsd:double"&gt;44.99&lt;/D&gt;&lt;D xsi:type="xsd:double"&gt;45.22&lt;/D&gt;&lt;D xsi:type="xsd:double"&gt;45.07&lt;/D&gt;&lt;D xsi:type="xsd:double"&gt;44.99&lt;/D&gt;&lt;D xsi:type="xsd:double"&gt;44.26&lt;/D&gt;&lt;D xsi:type="xsd:double"&gt;44.21&lt;/D&gt;&lt;D xsi:type="xsd:double"&gt;44.67&lt;/D&gt;&lt;D xsi:type="xsd:double"&gt;44.23&lt;/D&gt;&lt;D xsi:type="xsd:double"&gt;44.04&lt;/D&gt;&lt;D xsi:type="xsd:double"&gt;43.48&lt;/D&gt;&lt;D xsi:type="xsd:double"&gt;42.69&lt;/D&gt;&lt;D xsi:type="xsd:double"&gt;42.81&lt;/D&gt;&lt;D xsi:type="xsd:double"&gt;41.94&lt;/D&gt;&lt;D xsi:type="xsd:double"&gt;42.13&lt;/D&gt;&lt;D xsi:type="xsd:double"&gt;41.76&lt;/D&gt;&lt;D xsi:type="xsd:double"&gt;41.54&lt;/D&gt;&lt;D xsi:type="xsd:double"&gt;40.92&lt;/D&gt;&lt;D xsi:type="xsd:double"&gt;40.53&lt;/D&gt;&lt;D xsi:type="xsd:double"&gt;39.66&lt;/D&gt;&lt;D xsi:type="xsd:double"&gt;40.22&lt;/D&gt;&lt;D xsi:type="xsd:double"&gt;36.6&lt;/D&gt;&lt;D xsi:type="xsd:double"&gt;37.06&lt;/D&gt;&lt;D xsi:type="xsd:double"&gt;38.49&lt;/D&gt;&lt;D xsi:type="xsd:double"&gt;41.77&lt;/D&gt;&lt;D xsi:type="xsd:double"&gt;42.66&lt;/D&gt;&lt;D xsi:type="xsd:double"&gt;42.46&lt;/D&gt;&lt;D xsi:type="xsd:double"&gt;42.32&lt;/D&gt;&lt;/FQL&gt;&lt;FQL&gt;&lt;Q&gt;EWJ^FG_PRICE(0,-200D)&lt;/Q&gt;&lt;R&gt;201&lt;/R&gt;&lt;C&gt;1&lt;/C&gt;&lt;D xsi:type="xsd:double"&gt;85.42&lt;/D&gt;&lt;D xsi:type="xsd:double"&gt;85.04&lt;/D&gt;&lt;D xsi:type="xsd:double"&gt;84.45&lt;/D&gt;&lt;D xsi:type="xsd:double"&gt;85.29&lt;/D&gt;&lt;D xsi:type="xsd:double"&gt;84.61&lt;/D&gt;&lt;D xsi:type="xsd:double"&gt;82.86&lt;/D&gt;&lt;D xsi:type="xsd:double"&gt;82.92&lt;/D&gt;&lt;D xsi:type="xsd:double"&gt;83.07&lt;/D&gt;&lt;D xsi:type="xsd:double"&gt;83.13&lt;/D&gt;&lt;D xsi:type="xsd:double"&gt;81.33&lt;/D&gt;&lt;D xsi:type="xsd:double"&gt;80.74&lt;/D&gt;&lt;D xsi:type="xsd:double"&gt;80.98&lt;/D&gt;&lt;D xsi:type="xsd:double"&gt;81.09&lt;/D&gt;&lt;D xsi:type="xsd:double"&gt;80.97&lt;/D&gt;&lt;D xsi:type="xsd:double"&gt;81&lt;/D&gt;&lt;D xsi:type="xsd:double"&gt;81.14&lt;/D&gt;&lt;D xsi:type="xsd:double"&gt;80.46&lt;/D&gt;&lt;D xsi:type="xsd:double"&gt;80.58&lt;/D&gt;&lt;D xsi:type="xsd:double"&gt;79.97&lt;/D&gt;&lt;D xsi:type="xsd:double"&gt;79.74&lt;/D&gt;&lt;D xsi:type="xsd:double"&gt;80.85&lt;/D&gt;&lt;D xsi:type="xsd:double"&gt;84.87&lt;/D&gt;&lt;D xsi:type="xsd:double"&gt;84&lt;/D&gt;&lt;D xsi:type="xsd:double"&gt;84.22&lt;/D&gt;&lt;D xsi:type="xsd:double"&gt;83.91&lt;/D&gt;&lt;D xsi:type="xsd:double"&gt;83.31&lt;/D&gt;&lt;D xsi:type="xsd:double"&gt;83.19&lt;/D&gt;&lt;D xsi:type="xsd:double"&gt;83.7&lt;/D&gt;&lt;D xsi:type="xsd:double"&gt;83.62&lt;/D&gt;&lt;D xsi:type="xsd:double"&gt;82.61&lt;/D&gt;&lt;D xsi:type="xsd:double"&gt;82.47&lt;/D&gt;&lt;D xsi:type="xsd:double"&gt;82.53&lt;/D&gt;&lt;D xsi:type="xsd:double"&gt;83.01&lt;/D&gt;&lt;D xsi:type="xsd:double"&gt;83.26&lt;/D&gt;&lt;D xsi:type="xsd:double"&gt;81.92&lt;/D&gt;&lt;D xsi:type="xsd:double"&gt;81.74&lt;/D&gt;&lt;D xsi:type="xsd:double"&gt;81.19&lt;/D&gt;&lt;D xsi:type="xsd:double"&gt;79.49&lt;/D&gt;&lt;D xsi:type="xsd:double"&gt;80.68&lt;/D&gt;&lt;D xsi:type="xsd:double"&gt;80.78&lt;/D&gt;&lt;D xsi:type="xsd:double"&gt;82.47&lt;/D&gt;&lt;D xsi:type="xsd:double"&gt;83.98&lt;/D&gt;&lt;D xsi:type="xsd:double"&gt;83.01&lt;/D&gt;&lt;D xsi:type="xsd:double"&gt;84.34&lt;/D&gt;&lt;D xsi:type="xsd:double"&gt;83.75&lt;/D&gt;&lt;D xsi:type="xsd:double"&gt;83.68&lt;/D&gt;&lt;D xsi:type="xsd:double"&gt;83.29&lt;/D&gt;&lt;D xsi:type="xsd:double"&gt;82.96&lt;/D&gt;&lt;D xsi:type="xsd:double"&gt;82.8&lt;/D&gt;&lt;D xsi:type="xsd:double"&gt;82.83&lt;/D&gt;&lt;D xsi:type="xsd:double"&gt;83.64&lt;/D&gt;&lt;D xsi:type="xsd:double"&gt;83.45&lt;/D&gt;&lt;D xsi:type="xsd:double"&gt;83.21&lt;/D&gt;&lt;D xsi:type="xsd:double"&gt;83.23&lt;/D&gt;&lt;D xsi:type="xsd:double"&gt;83.93&lt;/D&gt;&lt;D xsi:type="xsd:double"&gt;83.53&lt;/D&gt;&lt;D xsi:type="xsd:double"&gt;82.5&lt;/D&gt;&lt;D xsi:type="xsd:double"&gt;82.22&lt;/D&gt;&lt;D xsi:type="xsd:double"&gt;82.18&lt;/D&gt;&lt;D xsi:type="xsd:double"&gt;82.57&lt;/D&gt;&lt;D xsi:type="xsd:double"&gt;83.54&lt;/D&gt;&lt;D xsi:type="xsd:double"&gt;82&lt;/D&gt;&lt;D xsi:type="xsd:double"&gt;81.55&lt;/D&gt;&lt;D xsi:type="xsd:double"&gt;81.29&lt;/D&gt;&lt;D xsi:type="xsd:double"&gt;80.04&lt;/D&gt;&lt;D xsi:type="xsd:double"&gt;79.29&lt;/D&gt;&lt;D xsi:type="xsd:double"&gt;78.36&lt;/D&gt;&lt;D xsi:type="xsd:double"&gt;81.55&lt;/D&gt;&lt;D xsi:type="xsd:double"&gt;81.75&lt;/D&gt;&lt;D xsi:type="xsd:double"&gt;81.96&lt;/D&gt;&lt;D xsi:type="xsd:double"&gt;83.27&lt;/D&gt;&lt;D xsi:type="xsd:double"&gt;81.78&lt;/D&gt;&lt;D xsi:type="xsd:double"&gt;80.15&lt;/D&gt;&lt;D xsi:type="xsd:double"&gt;80.21&lt;/D&gt;&lt;D xsi:type="xsd:double"&gt;80.21&lt;/D&gt;&lt;D xsi:type="xsd:double"&gt;80.51&lt;/D&gt;&lt;D xsi:type="xsd:double"&gt;80.44&lt;/D&gt;&lt;D xsi:type="xsd:double"&gt;80.46&lt;/D&gt;&lt;D xsi:type="xsd:double"&gt;80.85&lt;/D&gt;&lt;D xsi:type="xsd:double"&gt;81.09&lt;/D&gt;&lt;D xsi:type="xsd:double"&gt;81.25&lt;/D&gt;&lt;D xsi:type="xsd:double"&gt;80.79&lt;/D&gt;&lt;D xsi:type="xsd:double"&gt;81.49&lt;/D&gt;&lt;D xsi:type="xsd:double"&gt;81.17&lt;/D&gt;&lt;D xsi:type="xsd:double"&gt;81.35&lt;/D&gt;&lt;D xsi:type="xsd:double"&gt;81.35&lt;/D&gt;&lt;D xsi:type="xsd:double"&gt;80.76&lt;/D&gt;&lt;D xsi:type="xsd:double"&gt;81.32&lt;/D&gt;&lt;D xsi:type="xsd:double"&gt;80.36&lt;/D&gt;&lt;D xsi:type="xsd:double"&gt;80.06&lt;/D&gt;&lt;D xsi:type="xsd:double"&gt;80.96&lt;/D&gt;&lt;D xsi:type="xsd:double"&gt;79.18&lt;/D&gt;&lt;D xsi:type="xsd:double"&gt;78.73&lt;/D&gt;&lt;D xsi:type="xsd:double"&gt;77.93&lt;/D&gt;&lt;D xsi:type="xsd:double"&gt;78.15&lt;/D&gt;&lt;D xsi:type="xsd:double"&gt;78.28&lt;/D&gt;&lt;D xsi:type="xsd:double"&gt;79.29&lt;/D&gt;&lt;D xsi:type="xsd:double"&gt;78.63&lt;/D&gt;&lt;D xsi:type="xsd:double"&gt;78.92&lt;/D&gt;&lt;D xsi:type="xsd:double"&gt;79.05&lt;/D&gt;&lt;D xsi:type="xsd:double"&gt;80.02&lt;/D&gt;&lt;D xsi:type="xsd:double"&gt;78.7&lt;/D&gt;&lt;D xsi:type="xsd:double"&gt;79.64&lt;/D&gt;&lt;D xsi:type="xsd:double"&gt;80.02&lt;/D&gt;&lt;D xsi:type="xsd:double"&gt;80.3&lt;/D&gt;&lt;D xsi:type="xsd:double"&gt;80.15&lt;/D&gt;&lt;D xsi:type="xsd:double"&gt;78.8&lt;/D&gt;&lt;D xsi:type="xsd:double"&gt;79.27&lt;/D&gt;&lt;D xsi:type="xsd:double"&gt;79.23&lt;/D&gt;&lt;D xsi:type="xsd:double"&gt;77.79&lt;/D&gt;&lt;D xsi:type="xsd:double"&gt;77.93&lt;/D&gt;&lt;D xsi:type="xsd:double"&gt;76.62&lt;/D&gt;&lt;D xsi:type="xsd:double"&gt;76.03&lt;/D&gt;&lt;D xsi:type="xsd:double"&gt;75.03&lt;/D&gt;&lt;D xsi:type="xsd:double"&gt;75.29&lt;/D&gt;&lt;D xsi:type="xsd:double"&gt;74.07&lt;/D&gt;&lt;D xsi:type="xsd:double"&gt;73.62&lt;/D&gt;&lt;D xsi:type="xsd:double"&gt;73.98&lt;/D&gt;&lt;D xsi:type="xsd:double"&gt;73.88&lt;/D&gt;&lt;D xsi:type="xsd:double"&gt;74.27&lt;/D&gt;&lt;D xsi:type="xsd:double"&gt;75.68&lt;/D&gt;&lt;D xsi:type="xsd:double"&gt;76.55&lt;/D&gt;&lt;D xsi:type="xsd:double"&gt;76.49&lt;/D&gt;&lt;D xsi:type="xsd:double"&gt;72.98&lt;/D&gt;&lt;D xsi:type="xsd:double"&gt;72.61&lt;/D&gt;&lt;D xsi:type="xsd:double"&gt;71.81&lt;/D&gt;&lt;D xsi:type="xsd:double"&gt;72.39&lt;/D&gt;&lt;D xsi:type="xsd:double"&gt;72.02&lt;/D&gt;&lt;D xsi:type="xsd:double"&gt;71.69&lt;/D&gt;&lt;D xsi:type="xsd:double"&gt;72.41&lt;/D&gt;&lt;D xsi:type="xsd:double"&gt;72.36&lt;/D&gt;&lt;D xsi:type="xsd:double"&gt;72.94&lt;/D&gt;&lt;D xsi:type="xsd:double"&gt;73.3&lt;/D&gt;&lt;D xsi:type="xsd:double"&gt;73.19&lt;/D&gt;&lt;D xsi:type="xsd:double"&gt;72.82&lt;/D&gt;&lt;D xsi:type="xsd:double"&gt;74.6&lt;/D&gt;&lt;D xsi:type="xsd:double"&gt;74.46&lt;/D&gt;&lt;D xsi:type="xsd:double"&gt;74.42&lt;/D&gt;&lt;D xsi:type="xsd:double"&gt;74.97&lt;/D&gt;&lt;D xsi:type="xsd:double"&gt;75.28&lt;/D&gt;&lt;D xsi:type="xsd:double"&gt;73.97&lt;/D&gt;&lt;D xsi:type="xsd:double"&gt;72.44&lt;/D&gt;&lt;D xsi:type="xsd:double"&gt;72.74&lt;/D&gt;&lt;D xsi:type="xsd:double"&gt;72.02&lt;/D&gt;&lt;D xsi:type="xsd:double"&gt;71.76&lt;/D&gt;&lt;D xsi:type="xsd:double"&gt;73.05&lt;/D&gt;&lt;D xsi:type="xsd:double"&gt;72.28&lt;/D&gt;&lt;D xsi:type="xsd:double"&gt;73.15&lt;/D&gt;&lt;D xsi:type="xsd:double"&gt;73.6&lt;/D&gt;&lt;D xsi:type="xsd:double"&gt;74.21&lt;/D&gt;&lt;D xsi:type="xsd:double"&gt;73.67&lt;/D&gt;&lt;D xsi:type="xsd:double"&gt;73.88&lt;/D&gt;&lt;D xsi:type="xsd:double"&gt;73.93&lt;/D&gt;&lt;D xsi:type="xsd:double"&gt;73.82&lt;/D&gt;&lt;D xsi:type="xsd:double"&gt;73.39&lt;/D&gt;&lt;D xsi:type="xsd:double"&gt;74.08&lt;/D&gt;&lt;D xsi:type="xsd:double"&gt;74.13&lt;/D&gt;&lt;D xsi:type="xsd:double"&gt;75.04&lt;/D&gt;&lt;D xsi:type="xsd:double"&gt;74.12&lt;/D&gt;&lt;D xsi:type="xsd:double"&gt;74.03&lt;/D&gt;&lt;D xsi:type="xsd:double"&gt;73.61&lt;/D&gt;&lt;D xsi:type="xsd:double"&gt;74.95&lt;/D&gt;&lt;D xsi:type="xsd:double"&gt;73.03&lt;/D&gt;&lt;D xsi:type="xsd:double"&gt;72.37&lt;/D&gt;&lt;D xsi:type="xsd:double"&gt;72.31&lt;/D&gt;&lt;D xsi:type="xsd:double"&gt;72.99&lt;/D&gt;&lt;D xsi:type="xsd:double"&gt;72.57&lt;/D&gt;&lt;D xsi:type="xsd:double"&gt;72.49&lt;/D&gt;&lt;D xsi:type="xsd:double"&gt;72.3&lt;/D&gt;&lt;D xsi:type="xsd:double"&gt;71.45&lt;/D&gt;&lt;D xsi:type="xsd:double"&gt;72.25&lt;/D&gt;&lt;D xsi:type="xsd:double"&gt;72.8&lt;/D&gt;&lt;D xsi:type="xsd:double"&gt;72.01&lt;/D&gt;&lt;D xsi:type="xsd:double"&gt;71.83&lt;/D&gt;&lt;D xsi:type="xsd:double"&gt;71.98&lt;/D&gt;&lt;D xsi:type="xsd:double"&gt;72.43&lt;/D&gt;&lt;D xsi:type="xsd:double"&gt;72.39&lt;/D&gt;&lt;D xsi:type="xsd:double"&gt;71.89&lt;/D&gt;&lt;D xsi:type="xsd:double"&gt;71.17&lt;/D&gt;&lt;D xsi:type="xsd:double"&gt;71.43&lt;/D&gt;&lt;D xsi:type="xsd:double"&gt;72.02&lt;/D&gt;&lt;D xsi:type="xsd:double"&gt;71.74&lt;/D&gt;&lt;D xsi:type="xsd:double"&gt;70.77&lt;/D&gt;&lt;D xsi:type="xsd:double"&gt;70.28&lt;/D&gt;&lt;D xsi:type="xsd:double"&gt;69.48&lt;/D&gt;&lt;D xsi:type="xsd:double"&gt;69.27&lt;/D&gt;&lt;D xsi:type="xsd:double"&gt;67.92&lt;/D&gt;&lt;D xsi:type="xsd:double"&gt;68.07&lt;/D&gt;&lt;D xsi:type="xsd:double"&gt;66.78&lt;/D&gt;&lt;D xsi:type="xsd:double"&gt;67.44&lt;/D&gt;&lt;D xsi:type="xsd:double"&gt;66.9&lt;/D&gt;&lt;D xsi:type="xsd:double"&gt;65.82&lt;/D&gt;&lt;D xsi:type="xsd:double"&gt;64.22&lt;/D&gt;&lt;D xsi:type="xsd:double"&gt;66.34&lt;/D&gt;&lt;D xsi:type="xsd:double"&gt;61.65&lt;/D&gt;&lt;D xsi:type="xsd:double"&gt;61.32&lt;/D&gt;&lt;D xsi:type="xsd:double"&gt;61.51&lt;/D&gt;&lt;D xsi:type="xsd:double"&gt;65.41&lt;/D&gt;&lt;D xsi:type="xsd:double"&gt;68.22&lt;/D&gt;&lt;D xsi:type="xsd:double"&gt;68.2&lt;/D&gt;&lt;D xsi:type="xsd:double"&gt;68.56&lt;/D&gt;&lt;/FQL&gt;&lt;FQL&gt;&lt;Q&gt;TUR^FG_PRICE(0,-200D)&lt;/Q&gt;&lt;R&gt;201&lt;/R&gt;&lt;C&gt;1&lt;/C&gt;&lt;D xsi:type="xsd:double"&gt;37.94&lt;/D&gt;&lt;D xsi:type="xsd:double"&gt;37.59&lt;/D&gt;&lt;D xsi:type="xsd:double"&gt;37.73&lt;/D&gt;&lt;D xsi:type="xsd:double"&gt;37.54&lt;/D&gt;&lt;D xsi:type="xsd:double"&gt;37.16&lt;/D&gt;&lt;D xsi:type="xsd:double"&gt;36.73&lt;/D&gt;&lt;D xsi:type="xsd:double"&gt;36.63&lt;/D&gt;&lt;D xsi:type="xsd:double"&gt;36.77&lt;/D&gt;&lt;D xsi:type="xsd:double"&gt;35.81&lt;/D&gt;&lt;D xsi:type="xsd:double"&gt;34.92&lt;/D&gt;&lt;D xsi:type="xsd:double"&gt;34.42&lt;/D&gt;&lt;D xsi:type="xsd:double"&gt;34.42&lt;/D&gt;&lt;D xsi:type="xsd:double"&gt;34.41&lt;/D&gt;&lt;D xsi:type="xsd:double"&gt;34.76&lt;/D&gt;&lt;D xsi:type="xsd:double"&gt;34.87&lt;/D&gt;&lt;D xsi:type="xsd:double"&gt;34.815&lt;/D&gt;&lt;D xsi:type="xsd:double"&gt;34.61&lt;/D&gt;&lt;D xsi:type="xsd:double"&gt;34.86&lt;/D&gt;&lt;D xsi:type="xsd:double"&gt;34.82&lt;/D&gt;&lt;D xsi:type="xsd:double"&gt;34.735&lt;/D&gt;&lt;D xsi:type="xsd:double"&gt;34.71&lt;/D&gt;&lt;D xsi:type="xsd:double"&gt;35.29&lt;/D&gt;&lt;D xsi:type="xsd:double"&gt;34.82&lt;/D&gt;&lt;D xsi:type="xsd:double"&gt;34.82&lt;/D&gt;&lt;D xsi:type="xsd:double"&gt;34.73&lt;/D&gt;&lt;D xsi:type="xsd:double"&gt;34.66&lt;/D&gt;&lt;D xsi:type="xsd:double"&gt;34.42&lt;/D&gt;&lt;D xsi:type="xsd:double"&gt;33.84&lt;/D&gt;&lt;D xsi:type="xsd:double"&gt;33.55&lt;/D&gt;&lt;D xsi:type="xsd:double"&gt;33.87&lt;/D&gt;&lt;D xsi:type="xsd:double"&gt;34.1&lt;/D&gt;&lt;D xsi:type="xsd:double"&gt;34.03&lt;/D&gt;&lt;D xsi:type="xsd:double"&gt;33.5&lt;/D&gt;&lt;D xsi:type="xsd:double"&gt;33.59&lt;/D&gt;&lt;D xsi:type="xsd:double"&gt;33.54&lt;/D&gt;&lt;D xsi:type="xsd:double"&gt;33.76&lt;/D&gt;&lt;D xsi:type="xsd:double"&gt;33.78&lt;/D&gt;&lt;D xsi:type="xsd:double"&gt;33.58&lt;/D&gt;&lt;D xsi:type="xsd:double"&gt;33.66&lt;/D&gt;&lt;D xsi:type="xsd:double"&gt;33.3&lt;/D&gt;&lt;D xsi:type="xsd:double"&gt;33.08&lt;/D&gt;&lt;D xsi:type="xsd:double"&gt;32.85&lt;/D&gt;&lt;D xsi:type="xsd:double"&gt;32.78&lt;/D&gt;&lt;D xsi:type="xsd:double"&gt;33.03&lt;/D&gt;&lt;D xsi:type="xsd:double"&gt;32.85&lt;/D&gt;&lt;D xsi:type="xsd:double"&gt;33.55&lt;/D&gt;&lt;D xsi:type="xsd:double"&gt;33.86&lt;/D&gt;&lt;D xsi:type="xsd:double"&gt;34.25&lt;/D&gt;&lt;D xsi:type="xsd:double"&gt;34.13&lt;/D&gt;&lt;D xsi:type="xsd:double"&gt;33.91&lt;/D&gt;&lt;D xsi:type="xsd:double"&gt;34.45&lt;/D&gt;&lt;D xsi:type="xsd:double"&gt;34.15&lt;/D&gt;&lt;D xsi:type="xsd:double"&gt;33.64&lt;/D&gt;&lt;D xsi:type="xsd:double"&gt;33.91&lt;/D&gt;&lt;D xsi:type="xsd:double"&gt;33.98&lt;/D&gt;&lt;D xsi:type="xsd:double"&gt;33.89&lt;/D&gt;&lt;D xsi:type="xsd:double"&gt;34.04&lt;/D&gt;&lt;D xsi:type="xsd:double"&gt;33.11&lt;/D&gt;&lt;D xsi:type="xsd:double"&gt;32.96&lt;/D&gt;&lt;D xsi:type="xsd:double"&gt;32.72&lt;/D&gt;&lt;D xsi:type="xsd:double"&gt;32.76&lt;/D&gt;&lt;D xsi:type="xsd:double"&gt;31.9&lt;/D&gt;&lt;D xsi:type="xsd:double"&gt;32.34&lt;/D&gt;&lt;D xsi:type="xsd:double"&gt;32.56&lt;/D&gt;&lt;D xsi:type="xsd:double"&gt;32.35&lt;/D&gt;&lt;D xsi:type="xsd:double"&gt;33.04&lt;/D&gt;&lt;D xsi:type="xsd:double"&gt;32.84&lt;/D&gt;&lt;D xsi:type="xsd:double"&gt;33.37&lt;/D&gt;&lt;D xsi:type="xsd:double"&gt;33.615&lt;/D&gt;&lt;D xsi:type="xsd:double"&gt;33.69&lt;/D&gt;&lt;D xsi:type="xsd:double"&gt;33.47&lt;/D&gt;&lt;D xsi:type="xsd:double"&gt;33.74&lt;/D&gt;&lt;D xsi:type="xsd:double"&gt;34.45&lt;/D&gt;&lt;D xsi:type="xsd:double"&gt;34.96&lt;/D&gt;&lt;D xsi:type="xsd:double"&gt;34.23&lt;/D&gt;&lt;D xsi:type="xsd:double"&gt;34.57&lt;/D&gt;&lt;D xsi:type="xsd:double"&gt;34.77&lt;/D&gt;&lt;D xsi:type="xsd:double"&gt;35.19&lt;/D&gt;&lt;D xsi:type="xsd:double"&gt;35.3&lt;/D&gt;&lt;D xsi:type="xsd:double"&gt;35.06&lt;/D&gt;&lt;D xsi:type="xsd:double"&gt;35.58&lt;/D&gt;&lt;D xsi:type="xsd:double"&gt;35.38&lt;/D&gt;&lt;D xsi:type="xsd:double"&gt;34.35&lt;/D&gt;&lt;D xsi:type="xsd:double"&gt;34.75&lt;/D&gt;&lt;D xsi:type="xsd:double"&gt;34.82&lt;/D&gt;&lt;D xsi:type="xsd:double"&gt;34.24&lt;/D&gt;&lt;D xsi:type="xsd:double"&gt;32.27&lt;/D&gt;&lt;D xsi:type="xsd:double"&gt;32.32&lt;/D&gt;&lt;D xsi:type="xsd:double"&gt;32.92&lt;/D&gt;&lt;D xsi:type="xsd:double"&gt;32.68&lt;/D&gt;&lt;D xsi:type="xsd:double"&gt;32.54&lt;/D&gt;&lt;D xsi:type="xsd:double"&gt;33.33&lt;/D&gt;&lt;D xsi:type="xsd:double"&gt;33.73&lt;/D&gt;&lt;D xsi:type="xsd:double"&gt;33.51&lt;/D&gt;&lt;D xsi:type="xsd:double"&gt;33.97&lt;/D&gt;&lt;D xsi:type="xsd:double"&gt;35.29&lt;/D&gt;&lt;D xsi:type="xsd:double"&gt;35.54&lt;/D&gt;&lt;D xsi:type="xsd:double"&gt;35.51&lt;/D&gt;&lt;D xsi:type="xsd:double"&gt;35.97&lt;/D&gt;&lt;D xsi:type="xsd:double"&gt;35.93&lt;/D&gt;&lt;D xsi:type="xsd:double"&gt;35.69&lt;/D&gt;&lt;D xsi:type="xsd:double"&gt;35.51&lt;/D&gt;&lt;D xsi:type="xsd:double"&gt;35.04&lt;/D&gt;&lt;D xsi:type="xsd:double"&gt;34.5&lt;/D&gt;&lt;D xsi:type="xsd:double"&gt;34.47&lt;/D&gt;&lt;D xsi:type="xsd:double"&gt;34.24&lt;/D&gt;&lt;D xsi:type="xsd:double"&gt;34.11&lt;/D&gt;&lt;D xsi:type="xsd:double"&gt;34.47&lt;/D&gt;&lt;D xsi:type="xsd:double"&gt;34.54&lt;/D&gt;&lt;D xsi:type="xsd:double"&gt;34.8448&lt;/D&gt;&lt;D xsi:type="xsd:double"&gt;34.68&lt;/D&gt;&lt;D xsi:type="xsd:double"&gt;34.61&lt;/D&gt;&lt;D xsi:type="xsd:double"&gt;34.46&lt;/D&gt;&lt;D xsi:type="xsd:double"&gt;34.29&lt;/D&gt;&lt;D xsi:type="xsd:double"&gt;34.32&lt;/D&gt;&lt;D xsi:type="xsd:double"&gt;33.92&lt;/D&gt;&lt;D xsi:type="xsd:double"&gt;33.85&lt;/D&gt;&lt;D xsi:type="xsd:double"&gt;33.66&lt;/D&gt;&lt;D xsi:type="xsd:double"&gt;33.28&lt;/D&gt;&lt;D xsi:type="xsd:double"&gt;33.43&lt;/D&gt;&lt;D xsi:type="xsd:double"&gt;33.79&lt;/D&gt;&lt;D xsi:type="xsd:double"&gt;33.95&lt;/D&gt;&lt;D xsi:type="xsd:double"&gt;33.86&lt;/D&gt;&lt;D xsi:type="xsd:double"&gt;33.87&lt;/D&gt;&lt;D xsi:type="xsd:double"&gt;33.93&lt;/D&gt;&lt;D xsi:type="xsd:double"&gt;32.995&lt;/D&gt;&lt;D xsi:type="xsd:double"&gt;33.15&lt;/D&gt;&lt;D xsi:type="xsd:double"&gt;32.5&lt;/D&gt;&lt;D xsi:type="xsd:double"&gt;32.84&lt;/D&gt;&lt;D xsi:type="xsd:double"&gt;32.97&lt;/D&gt;&lt;D xsi:type="xsd:double"&gt;33.17&lt;/D&gt;&lt;D xsi:type="xsd:double"&gt;33.25&lt;/D&gt;&lt;D xsi:type="xsd:double"&gt;32.79&lt;/D&gt;&lt;D xsi:type="xsd:double"&gt;32.12&lt;/D&gt;&lt;D xsi:type="xsd:double"&gt;32.44&lt;/D&gt;&lt;D xsi:type="xsd:double"&gt;33.04&lt;/D&gt;&lt;D xsi:type="xsd:double"&gt;33.07&lt;/D&gt;&lt;D xsi:type="xsd:double"&gt;32.48&lt;/D&gt;&lt;D xsi:type="xsd:double"&gt;32.26&lt;/D&gt;&lt;D xsi:type="xsd:double"&gt;30.49&lt;/D&gt;&lt;D xsi:type="xsd:double"&gt;30.19&lt;/D&gt;&lt;D xsi:type="xsd:double"&gt;30.68&lt;/D&gt;&lt;D xsi:type="xsd:double"&gt;30.86&lt;/D&gt;&lt;D xsi:type="xsd:double"&gt;30.08&lt;/D&gt;&lt;D xsi:type="xsd:double"&gt;29.96&lt;/D&gt;&lt;D xsi:type="xsd:double"&gt;30.11&lt;/D&gt;&lt;D xsi:type="xsd:double"&gt;30.21&lt;/D&gt;&lt;D xsi:type="xsd:double"&gt;30.63&lt;/D&gt;&lt;D xsi:type="xsd:double"&gt;30.75&lt;/D&gt;&lt;D xsi:type="xsd:double"&gt;31.57&lt;/D&gt;&lt;D xsi:type="xsd:double"&gt;32.11&lt;/D&gt;&lt;D xsi:type="xsd:double"&gt;32.17&lt;/D&gt;&lt;D xsi:type="xsd:double"&gt;31.66&lt;/D&gt;&lt;D xsi:type="xsd:double"&gt;31.61&lt;/D&gt;&lt;D xsi:type="xsd:double"&gt;31.44&lt;/D&gt;&lt;D xsi:type="xsd:double"&gt;31.36&lt;/D&gt;&lt;D xsi:type="xsd:double"&gt;30.84&lt;/D&gt;&lt;D xsi:type="xsd:double"&gt;30.05&lt;/D&gt;&lt;D xsi:type="xsd:double"&gt;29.99&lt;/D&gt;&lt;D xsi:type="xsd:double"&gt;30.54&lt;/D&gt;&lt;D xsi:type="xsd:double"&gt;30.56&lt;/D&gt;&lt;D xsi:type="xsd:double"&gt;30.86&lt;/D&gt;&lt;D xsi:type="xsd:double"&gt;31.24&lt;/D&gt;&lt;D xsi:type="xsd:double"&gt;31.7&lt;/D&gt;&lt;D xsi:type="xsd:double"&gt;31.42&lt;/D&gt;&lt;D xsi:type="xsd:double"&gt;31.86&lt;/D&gt;&lt;D xsi:type="xsd:double"&gt;32.49&lt;/D&gt;&lt;D xsi:type="xsd:double"&gt;32.43&lt;/D&gt;&lt;D xsi:type="xsd:double"&gt;31.91&lt;/D&gt;&lt;D xsi:type="xsd:double"&gt;32.48&lt;/D&gt;&lt;D xsi:type="xsd:double"&gt;32.46&lt;/D&gt;&lt;D xsi:type="xsd:double"&gt;32.62&lt;/D&gt;&lt;D xsi:type="xsd:double"&gt;31.41&lt;/D&gt;&lt;D xsi:type="xsd:double"&gt;31.19&lt;/D&gt;&lt;D xsi:type="xsd:double"&gt;30.31&lt;/D&gt;&lt;D xsi:type="xsd:double"&gt;30.76&lt;/D&gt;&lt;D xsi:type="xsd:double"&gt;30.7&lt;/D&gt;&lt;D xsi:type="xsd:double"&gt;30.94&lt;/D&gt;&lt;D xsi:type="xsd:double"&gt;30.66&lt;/D&gt;&lt;D xsi:type="xsd:double"&gt;30.67&lt;/D&gt;&lt;D xsi:type="xsd:double"&gt;31.18&lt;/D&gt;&lt;D xsi:type="xsd:double"&gt;31.48&lt;/D&gt;&lt;D xsi:type="xsd:double"&gt;31.96&lt;/D&gt;&lt;D xsi:type="xsd:double"&gt;32.18&lt;/D&gt;&lt;D xsi:type="xsd:double"&gt;31.77&lt;/D&gt;&lt;D xsi:type="xsd:double"&gt;31.66&lt;/D&gt;&lt;D xsi:type="xsd:double"&gt;31.71&lt;/D&gt;&lt;D xsi:type="xsd:double"&gt;31.91&lt;/D&gt;&lt;D xsi:type="xsd:double"&gt;31.21&lt;/D&gt;&lt;D xsi:type="xsd:double"&gt;31.85&lt;/D&gt;&lt;D xsi:type="xsd:double"&gt;32.13&lt;/D&gt;&lt;D xsi:type="xsd:double"&gt;32.08&lt;/D&gt;&lt;D xsi:type="xsd:double"&gt;31.9&lt;/D&gt;&lt;D xsi:type="xsd:double"&gt;32.83&lt;/D&gt;&lt;D xsi:type="xsd:double"&gt;31.83&lt;/D&gt;&lt;D xsi:type="xsd:double"&gt;31.86&lt;/D&gt;&lt;D xsi:type="xsd:double"&gt;31.67&lt;/D&gt;&lt;D xsi:type="xsd:double"&gt;32.2&lt;/D&gt;&lt;D xsi:type="xsd:double"&gt;32.44&lt;/D&gt;&lt;D xsi:type="xsd:double"&gt;32.89&lt;/D&gt;&lt;D xsi:type="xsd:double"&gt;32.82&lt;/D&gt;&lt;/FQL&gt;&lt;FQL&gt;&lt;Q&gt;EWY^FG_PRICE(0,-200D)&lt;/Q&gt;&lt;R&gt;201&lt;/R&gt;&lt;C&gt;1&lt;/C&gt;&lt;D xsi:type="xsd:double"&gt;111.05&lt;/D&gt;&lt;D xsi:type="xsd:double"&gt;109.64&lt;/D&gt;&lt;D xsi:type="xsd:double"&gt;107.54&lt;/D&gt;&lt;D xsi:type="xsd:double"&gt;108.93&lt;/D&gt;&lt;D xsi:type="xsd:double"&gt;108.89&lt;/D&gt;&lt;D xsi:type="xsd:double"&gt;106.59&lt;/D&gt;&lt;D xsi:type="xsd:double"&gt;107.03&lt;/D&gt;&lt;D xsi:type="xsd:double"&gt;107.61&lt;/D&gt;&lt;D xsi:type="xsd:double"&gt;104.83&lt;/D&gt;&lt;D xsi:type="xsd:double"&gt;102.22&lt;/D&gt;&lt;D xsi:type="xsd:double"&gt;97.22&lt;/D&gt;&lt;D xsi:type="xsd:double"&gt;98.62&lt;/D&gt;&lt;D xsi:type="xsd:double"&gt;98.72&lt;/D&gt;&lt;D xsi:type="xsd:double"&gt;95.84&lt;/D&gt;&lt;D xsi:type="xsd:double"&gt;94.6&lt;/D&gt;&lt;D xsi:type="xsd:double"&gt;92.7&lt;/D&gt;&lt;D xsi:type="xsd:double"&gt;91.75&lt;/D&gt;&lt;D xsi:type="xsd:double"&gt;91.34&lt;/D&gt;&lt;D xsi:type="xsd:double"&gt;90.07&lt;/D&gt;&lt;D xsi:type="xsd:double"&gt;88.58&lt;/D&gt;&lt;D xsi:type="xsd:double"&gt;89.52&lt;/D&gt;&lt;D xsi:type="xsd:double"&gt;92.73&lt;/D&gt;&lt;D xsi:type="xsd:double"&gt;92.67&lt;/D&gt;&lt;D xsi:type="xsd:double"&gt;94.96&lt;/D&gt;&lt;D xsi:type="xsd:double"&gt;96.75&lt;/D&gt;&lt;D xsi:type="xsd:double"&gt;95.57&lt;/D&gt;&lt;D xsi:type="xsd:double"&gt;95.07&lt;/D&gt;&lt;D xsi:type="xsd:double"&gt;94.3&lt;/D&gt;&lt;D xsi:type="xsd:double"&gt;91.87&lt;/D&gt;&lt;D xsi:type="xsd:double"&gt;93&lt;/D&gt;&lt;D xsi:type="xsd:double"&gt;92.07&lt;/D&gt;&lt;D xsi:type="xsd:double"&gt;90.62&lt;/D&gt;&lt;D xsi:type="xsd:double"&gt;90.87&lt;/D&gt;&lt;D xsi:type="xsd:double"&gt;91.55&lt;/D&gt;&lt;D xsi:type="xsd:double"&gt;89.79&lt;/D&gt;&lt;D xsi:type="xsd:double"&gt;90.3&lt;/D&gt;&lt;D xsi:type="xsd:double"&gt;89.22&lt;/D&gt;&lt;D xsi:type="xsd:double"&gt;88.53&lt;/D&gt;&lt;D xsi:type="xsd:double"&gt;90.56&lt;/D&gt;&lt;D xsi:type="xsd:double"&gt;91.59&lt;/D&gt;&lt;D xsi:type="xsd:double"&gt;93.02&lt;/D&gt;&lt;D xsi:type="xsd:double"&gt;94.13&lt;/D&gt;&lt;D xsi:type="xsd:double"&gt;94.07&lt;/D&gt;&lt;D xsi:type="xsd:double"&gt;95.92&lt;/D&gt;&lt;D xsi:type="xsd:double"&gt;95.29&lt;/D&gt;&lt;D xsi:type="xsd:double"&gt;95.67&lt;/D&gt;&lt;D xsi:type="xsd:double"&gt;91.8&lt;/D&gt;&lt;D xsi:type="xsd:double"&gt;93.51&lt;/D&gt;&lt;D xsi:type="xsd:double"&gt;96.62&lt;/D&gt;&lt;D xsi:type="xsd:double"&gt;95.76&lt;/D&gt;&lt;D xsi:type="xsd:double"&gt;100.78&lt;/D&gt;&lt;D xsi:type="xsd:double"&gt;97&lt;/D&gt;&lt;D xsi:type="xsd:double"&gt;95.26&lt;/D&gt;&lt;D xsi:type="xsd:double"&gt;96.9&lt;/D&gt;&lt;D xsi:type="xsd:double"&gt;94.45&lt;/D&gt;&lt;D xsi:type="xsd:double"&gt;94.31&lt;/D&gt;&lt;D xsi:type="xsd:double"&gt;92.05&lt;/D&gt;&lt;D xsi:type="xsd:double"&gt;90.07&lt;/D&gt;&lt;D xsi:type="xsd:double"&gt;89.45&lt;/D&gt;&lt;D xsi:type="xsd:double"&gt;88.64&lt;/D&gt;&lt;D xsi:type="xsd:double"&gt;90.43&lt;/D&gt;&lt;D xsi:type="xsd:double"&gt;88.52&lt;/D&gt;&lt;D xsi:type="xsd:double"&gt;87.88&lt;/D&gt;&lt;D xsi:type="xsd:double"&gt;85.17&lt;/D&gt;&lt;D xsi:type="xsd:double"&gt;82.69&lt;/D&gt;&lt;D xsi:type="xsd:double"&gt;83.62&lt;/D&gt;&lt;D xsi:type="xsd:double"&gt;80.72&lt;/D&gt;&lt;D xsi:type="xsd:double"&gt;83.43&lt;/D&gt;&lt;D xsi:type="xsd:double"&gt;84.19&lt;/D&gt;&lt;D xsi:type="xsd:double"&gt;83.35&lt;/D&gt;&lt;D xsi:type="xsd:double"&gt;84.78&lt;/D&gt;&lt;D xsi:type="xsd:double"&gt;83.85&lt;/D&gt;&lt;D xsi:type="xsd:double"&gt;83.53&lt;/D&gt;&lt;D xsi:type="xsd:double"&gt;81.89&lt;/D&gt;&lt;D xsi:type="xsd:double"&gt;80.1&lt;/D&gt;&lt;D xsi:type="xsd:double"&gt;80.24&lt;/D&gt;&lt;D xsi:type="xsd:double"&gt;78.87&lt;/D&gt;&lt;D xsi:type="xsd:double"&gt;79.89&lt;/D&gt;&lt;D xsi:type="xsd:double"&gt;80.04&lt;/D&gt;&lt;D xsi:type="xsd:double"&gt;81.45&lt;/D&gt;&lt;D xsi:type="xsd:double"&gt;81.56&lt;/D&gt;&lt;D xsi:type="xsd:double"&gt;80.05&lt;/D&gt;&lt;D xsi:type="xsd:double"&gt;80.75&lt;/D&gt;&lt;D xsi:type="xsd:double"&gt;79.83&lt;/D&gt;&lt;D xsi:type="xsd:double"&gt;80.69&lt;/D&gt;&lt;D xsi:type="xsd:double"&gt;79.19&lt;/D&gt;&lt;D xsi:type="xsd:double"&gt;78.66&lt;/D&gt;&lt;D xsi:type="xsd:double"&gt;77.86&lt;/D&gt;&lt;D xsi:type="xsd:double"&gt;76.65&lt;/D&gt;&lt;D xsi:type="xsd:double"&gt;74.92&lt;/D&gt;&lt;D xsi:type="xsd:double"&gt;74.19&lt;/D&gt;&lt;D xsi:type="xsd:double"&gt;73.63&lt;/D&gt;&lt;D xsi:type="xsd:double"&gt;73.07&lt;/D&gt;&lt;D xsi:type="xsd:double"&gt;72.91&lt;/D&gt;&lt;D xsi:type="xsd:double"&gt;71.92&lt;/D&gt;&lt;D xsi:type="xsd:double"&gt;72.24&lt;/D&gt;&lt;D xsi:type="xsd:double"&gt;73.64&lt;/D&gt;&lt;D xsi:type="xsd:double"&gt;72.47&lt;/D&gt;&lt;D xsi:type="xsd:double"&gt;72.39&lt;/D&gt;&lt;D xsi:type="xsd:double"&gt;72.73&lt;/D&gt;&lt;D xsi:type="xsd:double"&gt;73.51&lt;/D&gt;&lt;D xsi:type="xsd:double"&gt;71.22&lt;/D&gt;&lt;D xsi:type="xsd:double"&gt;71.36&lt;/D&gt;&lt;D xsi:type="xsd:double"&gt;71.44&lt;/D&gt;&lt;D xsi:type="xsd:double"&gt;72.8&lt;/D&gt;&lt;D xsi:type="xsd:double"&gt;73.39&lt;/D&gt;&lt;D xsi:type="xsd:double"&gt;73.66&lt;/D&gt;&lt;D xsi:type="xsd:double"&gt;74.72&lt;/D&gt;&lt;D xsi:type="xsd:double"&gt;74.1&lt;/D&gt;&lt;D xsi:type="xsd:double"&gt;73.03&lt;/D&gt;&lt;D xsi:type="xsd:double"&gt;73.5&lt;/D&gt;&lt;D xsi:type="xsd:double"&gt;73.44&lt;/D&gt;&lt;D xsi:type="xsd:double"&gt;73.18&lt;/D&gt;&lt;D xsi:type="xsd:double"&gt;72.89&lt;/D&gt;&lt;D xsi:type="xsd:double"&gt;72.33&lt;/D&gt;&lt;D xsi:type="xsd:double"&gt;70.65&lt;/D&gt;&lt;D xsi:type="xsd:double"&gt;72.81&lt;/D&gt;&lt;D xsi:type="xsd:double"&gt;73.68&lt;/D&gt;&lt;D xsi:type="xsd:double"&gt;73.49&lt;/D&gt;&lt;D xsi:type="xsd:double"&gt;72.71&lt;/D&gt;&lt;D xsi:type="xsd:double"&gt;73.21&lt;/D&gt;&lt;D xsi:type="xsd:double"&gt;73.31&lt;/D&gt;&lt;D xsi:type="xsd:double"&gt;73.85&lt;/D&gt;&lt;D xsi:type="xsd:double"&gt;72.89&lt;/D&gt;&lt;D xsi:type="xsd:double"&gt;73.87&lt;/D&gt;&lt;D xsi:type="xsd:double"&gt;72.39&lt;/D&gt;&lt;D xsi:type="xsd:double"&gt;73.06&lt;/D&gt;&lt;D xsi:type="xsd:double"&gt;73.08&lt;/D&gt;&lt;D xsi:type="xsd:double"&gt;73.07&lt;/D&gt;&lt;D xsi:type="xsd:double"&gt;73.2&lt;/D&gt;&lt;D xsi:type="xsd:double"&gt;72.56&lt;/D&gt;&lt;D xsi:type="xsd:double"&gt;73.14&lt;/D&gt;&lt;D xsi:type="xsd:double"&gt;72.08&lt;/D&gt;&lt;D xsi:type="xsd:double"&gt;72.08&lt;/D&gt;&lt;D xsi:type="xsd:double"&gt;70.07&lt;/D&gt;&lt;D xsi:type="xsd:double"&gt;72.7&lt;/D&gt;&lt;D xsi:type="xsd:double"&gt;71.95&lt;/D&gt;&lt;D xsi:type="xsd:double"&gt;71.64&lt;/D&gt;&lt;D xsi:type="xsd:double"&gt;71.78&lt;/D&gt;&lt;D xsi:type="xsd:double"&gt;70.74&lt;/D&gt;&lt;D xsi:type="xsd:double"&gt;71.94&lt;/D&gt;&lt;D xsi:type="xsd:double"&gt;72.37&lt;/D&gt;&lt;D xsi:type="xsd:double"&gt;72.65&lt;/D&gt;&lt;D xsi:type="xsd:double"&gt;69.42&lt;/D&gt;&lt;D xsi:type="xsd:double"&gt;68.53&lt;/D&gt;&lt;D xsi:type="xsd:double"&gt;67.87&lt;/D&gt;&lt;D xsi:type="xsd:double"&gt;66.63&lt;/D&gt;&lt;D xsi:type="xsd:double"&gt;68.19&lt;/D&gt;&lt;D xsi:type="xsd:double"&gt;66.42&lt;/D&gt;&lt;D xsi:type="xsd:double"&gt;67.69&lt;/D&gt;&lt;D xsi:type="xsd:double"&gt;66.99&lt;/D&gt;&lt;D xsi:type="xsd:double"&gt;66.16&lt;/D&gt;&lt;D xsi:type="xsd:double"&gt;66.48&lt;/D&gt;&lt;D xsi:type="xsd:double"&gt;65.57&lt;/D&gt;&lt;D xsi:type="xsd:double"&gt;65.36&lt;/D&gt;&lt;D xsi:type="xsd:double"&gt;63.98&lt;/D&gt;&lt;D xsi:type="xsd:double"&gt;61.89&lt;/D&gt;&lt;D xsi:type="xsd:double"&gt;61.74&lt;/D&gt;&lt;D xsi:type="xsd:double"&gt;60.63&lt;/D&gt;&lt;D xsi:type="xsd:double"&gt;61.8&lt;/D&gt;&lt;D xsi:type="xsd:double"&gt;60.75&lt;/D&gt;&lt;D xsi:type="xsd:double"&gt;59.98&lt;/D&gt;&lt;D xsi:type="xsd:double"&gt;58.96&lt;/D&gt;&lt;D xsi:type="xsd:double"&gt;58.29&lt;/D&gt;&lt;D xsi:type="xsd:double"&gt;59.1&lt;/D&gt;&lt;D xsi:type="xsd:double"&gt;58.4&lt;/D&gt;&lt;D xsi:type="xsd:double"&gt;58.82&lt;/D&gt;&lt;D xsi:type="xsd:double"&gt;58.79&lt;/D&gt;&lt;D xsi:type="xsd:double"&gt;58.8&lt;/D&gt;&lt;D xsi:type="xsd:double"&gt;58.61&lt;/D&gt;&lt;D xsi:type="xsd:double"&gt;58.12&lt;/D&gt;&lt;D xsi:type="xsd:double"&gt;58.04&lt;/D&gt;&lt;D xsi:type="xsd:double"&gt;57.69&lt;/D&gt;&lt;D xsi:type="xsd:double"&gt;57.2&lt;/D&gt;&lt;D xsi:type="xsd:double"&gt;57.79&lt;/D&gt;&lt;D xsi:type="xsd:double"&gt;58.5&lt;/D&gt;&lt;D xsi:type="xsd:double"&gt;58.38&lt;/D&gt;&lt;D xsi:type="xsd:double"&gt;57.71&lt;/D&gt;&lt;D xsi:type="xsd:double"&gt;55.6&lt;/D&gt;&lt;D xsi:type="xsd:double"&gt;56.19&lt;/D&gt;&lt;D xsi:type="xsd:double"&gt;56.1&lt;/D&gt;&lt;D xsi:type="xsd:double"&gt;55.65&lt;/D&gt;&lt;D xsi:type="xsd:double"&gt;55.81&lt;/D&gt;&lt;D xsi:type="xsd:double"&gt;55.95&lt;/D&gt;&lt;D xsi:type="xsd:double"&gt;55.6&lt;/D&gt;&lt;D xsi:type="xsd:double"&gt;54.81&lt;/D&gt;&lt;D xsi:type="xsd:double"&gt;54.39&lt;/D&gt;&lt;D xsi:type="xsd:double"&gt;54.31&lt;/D&gt;&lt;D xsi:type="xsd:double"&gt;54.06&lt;/D&gt;&lt;D xsi:type="xsd:double"&gt;54.38&lt;/D&gt;&lt;D xsi:type="xsd:double"&gt;54.35&lt;/D&gt;&lt;D xsi:type="xsd:double"&gt;54.31&lt;/D&gt;&lt;D xsi:type="xsd:double"&gt;51.82&lt;/D&gt;&lt;D xsi:type="xsd:double"&gt;53.28&lt;/D&gt;&lt;D xsi:type="xsd:double"&gt;48.92&lt;/D&gt;&lt;D xsi:type="xsd:double"&gt;50.78&lt;/D&gt;&lt;D xsi:type="xsd:double"&gt;51.25&lt;/D&gt;&lt;D xsi:type="xsd:double"&gt;53.14&lt;/D&gt;&lt;D xsi:type="xsd:double"&gt;54.63&lt;/D&gt;&lt;D xsi:type="xsd:double"&gt;54.85&lt;/D&gt;&lt;D xsi:type="xsd:double"&gt;54.04&lt;/D&gt;&lt;/FQL&gt;&lt;FQL&gt;&lt;Q&gt;QQQ^FG_TOTAL_RETURNC(-5AY,0,AM)&lt;/Q&gt;&lt;R&gt;61&lt;/R&gt;&lt;C&gt;1&lt;/C&gt;&lt;D xsi:type="xsd:double"&gt;1.6716003&lt;/D&gt;&lt;D xsi:type="xsd:double"&gt;7.8849554&lt;/D&gt;&lt;D xsi:type="xsd:double"&gt;-5.237043&lt;/D&gt;&lt;D xsi:type="xsd:double"&gt;7.277608&lt;/D&gt;&lt;D xsi:type="xsd:double"&gt;-4.4553638&lt;/D&gt;&lt;D xsi:type="xsd:double"&gt;4.8622847&lt;/D&gt;&lt;D xsi:type="xsd:double"&gt;5.4564953&lt;/D&gt;&lt;D xsi:type="xsd:double"&gt;2.3022294&lt;/D&gt;&lt;D xsi:type="xsd:double"&gt;2.5025725&lt;/D&gt;&lt;D xsi:type="xsd:double"&gt;-2.299267&lt;/D&gt;&lt;D xsi:type="xsd:double"&gt;6.9577694&lt;/D&gt;&lt;D xsi:type="xsd:double"&gt;0.6183386&lt;/D&gt;&lt;D xsi:type="xsd:double"&gt;-4.168105&lt;/D&gt;&lt;D xsi:type="xsd:double"&gt;-6.284046&lt;/D&gt;&lt;D xsi:type="xsd:double"&gt;-7.8566847&lt;/D&gt;&lt;D xsi:type="xsd:double"&gt;3.2604814&lt;/D&gt;&lt;D xsi:type="xsd:double"&gt;-10.782141&lt;/D&gt;&lt;D xsi:type="xsd:double"&gt;-6.3390136&lt;/D&gt;&lt;D xsi:type="xsd:double"&gt;3.4008622&lt;/D&gt;&lt;D xsi:type="xsd:double"&gt;14.112449&lt;/D&gt;&lt;D xsi:type="xsd:double"&gt;-12.59833&lt;/D&gt;&lt;D xsi:type="xsd:double"&gt;-10.269827&lt;/D&gt;&lt;D xsi:type="xsd:double"&gt;10.987961&lt;/D&gt;&lt;D xsi:type="xsd:double"&gt;-4.3194294&lt;/D&gt;&lt;D xsi:type="xsd:double"&gt;1.720047&lt;/D&gt;&lt;D xsi:type="xsd:double"&gt;10.0117445&lt;/D&gt;&lt;D xsi:type="xsd:double"&gt;-3.2902002&lt;/D&gt;&lt;D xsi:type="xsd:double"&gt;6.734586&lt;/D&gt;&lt;D xsi:type="xsd:double"&gt;2.580285&lt;/D&gt;&lt;D xsi:type="xsd:double"&gt;13.302124&lt;/D&gt;&lt;D xsi:type="xsd:double"&gt;2.5200367&lt;/D&gt;&lt;D xsi:type="xsd:double"&gt;-3.337115&lt;/D&gt;&lt;D xsi:type="xsd:double"&gt;1.1980772&lt;/D&gt;&lt;D xsi:type="xsd:double"&gt;-1.3489962&lt;/D&gt;&lt;D xsi:type="xsd:double"&gt;5.5683255&lt;/D&gt;&lt;D xsi:type="xsd:double"&gt;5.11384&lt;/D&gt;&lt;D xsi:type="xsd:double"&gt;1.2948275&lt;/D&gt;&lt;D xsi:type="xsd:double"&gt;6.0919046&lt;/D&gt;&lt;D xsi:type="xsd:double"&gt;-0.13578534&lt;/D&gt;&lt;D xsi:type="xsd:double"&gt;-0.52889585&lt;/D&gt;&lt;D xsi:type="xsd:double"&gt;5.0665736&lt;/D&gt;&lt;D xsi:type="xsd:double"&gt;5.804813&lt;/D&gt;&lt;D xsi:type="xsd:double"&gt;3.7056565&lt;/D&gt;&lt;D xsi:type="xsd:double"&gt;-4.3797197&lt;/D&gt;&lt;D xsi:type="xsd:double"&gt;0.19391775&lt;/D&gt;&lt;D xsi:type="xsd:double"&gt;3.4076333&lt;/D&gt;&lt;D xsi:type="xsd:double"&gt;1.1653304&lt;/D&gt;&lt;D xsi:type="xsd:double"&gt;6.8389177&lt;/D&gt;&lt;D xsi:type="xsd:double"&gt;-2.4513602&lt;/D&gt;&lt;D xsi:type="xsd:double"&gt;4.1513443&lt;/D&gt;&lt;D xsi:type="xsd:double"&gt;-10.868722&lt;/D&gt;&lt;D xsi:type="xsd:double"&gt;-4.3785095&lt;/D&gt;&lt;D xsi:type="xsd:double"&gt;13.375843&lt;/D&gt;&lt;D xsi:type="xsd:double"&gt;1.4848351&lt;/D&gt;&lt;D xsi:type="xsd:double"&gt;5.7649493&lt;/D&gt;&lt;D xsi:type="xsd:double"&gt;3.7038445&lt;/D&gt;&lt;D xsi:type="xsd:double"&gt;2.483797&lt;/D&gt;&lt;D xsi:type="xsd:double"&gt;1.8986583&lt;/D&gt;&lt;D xsi:type="xsd:double"&gt;1.1025906&lt;/D&gt;&lt;D xsi:type="xsd:double"&gt;0.27592182&lt;/D&gt;&lt;D xsi:type="xsd:double"&gt;1.9716024&lt;/D&gt;&lt;/FQL&gt;&lt;FQL&gt;&lt;Q&gt;GREK^FG_TOTAL_RETURNC(-5AY,0,AM)&lt;/Q&gt;&lt;R&gt;61&lt;/R&gt;&lt;C&gt;1&lt;/C&gt;&lt;D xsi:type="xsd:double"&gt;-1.346612&lt;/D&gt;&lt;D xsi:type="xsd:double"&gt;-2.298385&lt;/D&gt;&lt;D xsi:type="xsd:double"&gt;9.781265&lt;/D&gt;&lt;D xsi:type="xsd:double"&gt;6.35339&lt;/D&gt;&lt;D xsi:type="xsd:double"&gt;3.2166839&lt;/D&gt;&lt;D xsi:type="xsd:double"&gt;1.1986256&lt;/D&gt;&lt;D xsi:type="xsd:double"&gt;-9.035534&lt;/D&gt;&lt;D xsi:type="xsd:double"&gt;4.055059&lt;/D&gt;&lt;D xsi:type="xsd:double"&gt;2.1451592&lt;/D&gt;&lt;D xsi:type="xsd:double"&gt;-2.2051096&lt;/D&gt;&lt;D xsi:type="xsd:double"&gt;0.03578663&lt;/D&gt;&lt;D xsi:type="xsd:double"&gt;-3.9355993&lt;/D&gt;&lt;D xsi:type="xsd:double"&gt;8.769274&lt;/D&gt;&lt;D xsi:type="xsd:double"&gt;4.0237904&lt;/D&gt;&lt;D xsi:type="xsd:double"&gt;-16.380756&lt;/D&gt;&lt;D xsi:type="xsd:double"&gt;9.49316&lt;/D&gt;&lt;D xsi:type="xsd:double"&gt;-7.935339&lt;/D&gt;&lt;D xsi:type="xsd:double"&gt;-2.5538683&lt;/D&gt;&lt;D xsi:type="xsd:double"&gt;-9.638906&lt;/D&gt;&lt;D xsi:type="xsd:double"&gt;12.857795&lt;/D&gt;&lt;D xsi:type="xsd:double"&gt;-6.6022515&lt;/D&gt;&lt;D xsi:type="xsd:double"&gt;-4.439658&lt;/D&gt;&lt;D xsi:type="xsd:double"&gt;16.28778&lt;/D&gt;&lt;D xsi:type="xsd:double"&gt;4.8834443&lt;/D&gt;&lt;D xsi:type="xsd:double"&gt;8.555233&lt;/D&gt;&lt;D xsi:type="xsd:double"&gt;11.569381&lt;/D&gt;&lt;D xsi:type="xsd:double"&gt;-8.677948&lt;/D&gt;&lt;D xsi:type="xsd:double"&gt;10.600352&lt;/D&gt;&lt;D xsi:type="xsd:double"&gt;-0.58933496&lt;/D&gt;&lt;D xsi:type="xsd:double"&gt;14.726996&lt;/D&gt;&lt;D xsi:type="xsd:double"&gt;6.7697167&lt;/D&gt;&lt;D xsi:type="xsd:double"&gt;-5.66231&lt;/D&gt;&lt;D xsi:type="xsd:double"&gt;-4.725689&lt;/D&gt;&lt;D xsi:type="xsd:double"&gt;-7.5256643&lt;/D&gt;&lt;D xsi:type="xsd:double"&gt;11.683106&lt;/D&gt;&lt;D xsi:type="xsd:double"&gt;2.484405&lt;/D&gt;&lt;D xsi:type="xsd:double"&gt;7.2193384&lt;/D&gt;&lt;D xsi:type="xsd:double"&gt;2.280879&lt;/D&gt;&lt;D xsi:type="xsd:double"&gt;1.002264&lt;/D&gt;&lt;D xsi:type="xsd:double"&gt;-5.1352024&lt;/D&gt;&lt;D xsi:type="xsd:double"&gt;11.8723755&lt;/D&gt;&lt;D xsi:type="xsd:double"&gt;-7.5736284&lt;/D&gt;&lt;D xsi:type="xsd:double"&gt;7.2335362&lt;/D&gt;&lt;D xsi:type="xsd:double"&gt;-0.16559958&lt;/D&gt;&lt;D xsi:type="xsd:double"&gt;-1.2796223&lt;/D&gt;&lt;D xsi:type="xsd:double"&gt;-2.3523748&lt;/D&gt;&lt;D xsi:type="xsd:double"&gt;-3.9085567&lt;/D&gt;&lt;D xsi:type="xsd:double"&gt;5.1455617&lt;/D&gt;&lt;D xsi:type="xsd:double"&gt;1.122272&lt;/D&gt;&lt;D xsi:type="xsd:double"&gt;7.728994&lt;/D&gt;&lt;D xsi:type="xsd:double"&gt;11.693454&lt;/D&gt;&lt;D xsi:type="xsd:double"&gt;-1.1157453&lt;/D&gt;&lt;D xsi:type="xsd:double"&gt;9.986294&lt;/D&gt;&lt;D xsi:type="xsd:double"&gt;7.382548&lt;/D&gt;&lt;D xsi:type="xsd:double"&gt;9.221578&lt;/D&gt;&lt;D xsi:type="xsd:double"&gt;11.020744&lt;/D&gt;&lt;D xsi:type="xsd:double"&gt;-2.481681&lt;/D&gt;&lt;D xsi:type="xsd:double"&gt;-0.85850954&lt;/D&gt;&lt;D xsi:type="xsd:double"&gt;0.5102873&lt;/D&gt;&lt;D xsi:type="xsd:double"&gt;3.7692308&lt;/D&gt;&lt;D xsi:type="xsd:double"&gt;5.72505&lt;/D&gt;&lt;/FQL&gt;&lt;FQL&gt;&lt;Q&gt;EPOL^FG_TOTAL_RETURNC(-5AY,0,AM)&lt;/Q&gt;&lt;R&gt;61&lt;/R&gt;&lt;C&gt;1&lt;/C&gt;&lt;D xsi:type="xsd:double"&gt;0.4184127&lt;/D&gt;&lt;D xsi:type="xsd:double"&gt;-0.2604246&lt;/D&gt;&lt;D xsi:type="xsd:double"&gt;0.15666485&lt;/D&gt;&lt;D xsi:type="xsd:double"&gt;2.6590228&lt;/D&gt;&lt;D xsi:type="xsd:double"&gt;6.0944557&lt;/D&gt;&lt;D xsi:type="xsd:double"&gt;5.9822917&lt;/D&gt;&lt;D xsi:type="xsd:double"&gt;-2.2644937&lt;/D&gt;&lt;D xsi:type="xsd:double"&gt;3.1047225&lt;/D&gt;&lt;D xsi:type="xsd:double"&gt;4.808986&lt;/D&gt;&lt;D xsi:type="xsd:double"&gt;2.3584962&lt;/D&gt;&lt;D xsi:type="xsd:double"&gt;-7.289493&lt;/D&gt;&lt;D xsi:type="xsd:double"&gt;-8.060265&lt;/D&gt;&lt;D xsi:type="xsd:double"&gt;12.767029&lt;/D&gt;&lt;D xsi:type="xsd:double"&gt;-6.4317226&lt;/D&gt;&lt;D xsi:type="xsd:double"&gt;-16.902071&lt;/D&gt;&lt;D xsi:type="xsd:double"&gt;4.305947&lt;/D&gt;&lt;D xsi:type="xsd:double"&gt;-18.305265&lt;/D&gt;&lt;D xsi:type="xsd:double"&gt;-1.6395748&lt;/D&gt;&lt;D xsi:type="xsd:double"&gt;-10.231924&lt;/D&gt;&lt;D xsi:type="xsd:double"&gt;11.246204&lt;/D&gt;&lt;D xsi:type="xsd:double"&gt;-13.7295065&lt;/D&gt;&lt;D xsi:type="xsd:double"&gt;-13.460016&lt;/D&gt;&lt;D xsi:type="xsd:double"&gt;33.028366&lt;/D&gt;&lt;D xsi:type="xsd:double"&gt;4.693687&lt;/D&gt;&lt;D xsi:type="xsd:double"&gt;13.168454&lt;/D&gt;&lt;D xsi:type="xsd:double"&gt;-5.316007&lt;/D&gt;&lt;D xsi:type="xsd:double"&gt;-8.359331&lt;/D&gt;&lt;D xsi:type="xsd:double"&gt;13.546634&lt;/D&gt;&lt;D xsi:type="xsd:double"&gt;7.3141456&lt;/D&gt;&lt;D xsi:type="xsd:double"&gt;8.938551&lt;/D&gt;&lt;D xsi:type="xsd:double"&gt;4.358971&lt;/D&gt;&lt;D xsi:type="xsd:double"&gt;-3.6855042&lt;/D&gt;&lt;D xsi:type="xsd:double"&gt;-9.438777&lt;/D&gt;&lt;D xsi:type="xsd:double"&gt;0.90141296&lt;/D&gt;&lt;D xsi:type="xsd:double"&gt;18.369627&lt;/D&gt;&lt;D xsi:type="xsd:double"&gt;7.122636&lt;/D&gt;&lt;D xsi:type="xsd:double"&gt;-2.0620823&lt;/D&gt;&lt;D xsi:type="xsd:double"&gt;4.1647315&lt;/D&gt;&lt;D xsi:type="xsd:double"&gt;2.532208&lt;/D&gt;&lt;D xsi:type="xsd:double"&gt;0.21663904&lt;/D&gt;&lt;D xsi:type="xsd:double"&gt;11.197578&lt;/D&gt;&lt;D xsi:type="xsd:double"&gt;-9.728557&lt;/D&gt;&lt;D xsi:type="xsd:double"&gt;11.627901&lt;/D&gt;&lt;D xsi:type="xsd:double"&gt;-5.5817604&lt;/D&gt;&lt;D xsi:type="xsd:double"&gt;-0.33305287&lt;/D&gt;&lt;D xsi:type="xsd:double"&gt;-1.6290784&lt;/D&gt;&lt;D xsi:type="xsd:double"&gt;-7.707&lt;/D&gt;&lt;D xsi:type="xsd:double"&gt;4.4858456&lt;/D&gt;&lt;D xsi:type="xsd:double"&gt;0.4652977&lt;/D&gt;&lt;D xsi:type="xsd:double"&gt;17.349731&lt;/D&gt;&lt;D xsi:type="xsd:double"&gt;10.593712&lt;/D&gt;&lt;D xsi:type="xsd:double"&gt;-3.2280684&lt;/D&gt;&lt;D xsi:type="xsd:double"&gt;10.551119&lt;/D&gt;&lt;D xsi:type="xsd:double"&gt;-2.0662487&lt;/D&gt;&lt;D xsi:type="xsd:double"&gt;7.8781843&lt;/D&gt;&lt;D xsi:type="xsd:double"&gt;5.6538224&lt;/D&gt;&lt;D xsi:type="xsd:double"&gt;-1.9133031&lt;/D&gt;&lt;D xsi:type="xsd:double"&gt;0.2743125&lt;/D&gt;&lt;D xsi:type="xsd:double"&gt;3.8297772&lt;/D&gt;&lt;D xsi:type="xsd:double"&gt;5.093682&lt;/D&gt;&lt;D xsi:type="xsd:double"&gt;4.118502&lt;/D&gt;&lt;/FQL&gt;&lt;FQL&gt;&lt;Q&gt;SET-BKK^FG_PRICE(0,-200D)&lt;/Q&gt;&lt;R&gt;201&lt;/R&gt;&lt;C&gt;1&lt;/C&gt;&lt;D xsi:type="xsd:double"&gt;1261.39&lt;/D&gt;&lt;D xsi:type="xsd:double"&gt;1244.3&lt;/D&gt;&lt;D xsi:type="xsd:double"&gt;1235.3&lt;/D&gt;&lt;D xsi:type="xsd:double"&gt;1242.2&lt;/D&gt;&lt;D xsi:type="xsd:double"&gt;1254.09&lt;/D&gt;&lt;D xsi:type="xsd:double"&gt;1253.6&lt;/D&gt;&lt;D xsi:type="xsd:double"&gt;1280.82&lt;/D&gt;&lt;D xsi:type="xsd:double"&gt;1274.75&lt;/D&gt;&lt;D xsi:type="xsd:double"&gt;1280.05&lt;/D&gt;&lt;D xsi:type="xsd:double"&gt;1259.67&lt;/D&gt;&lt;D xsi:type="xsd:double"&gt;1254.03&lt;/D&gt;&lt;D xsi:type="xsd:double"&gt;1259.25&lt;/D&gt;&lt;D xsi:type="xsd:double"&gt;1264.77&lt;/D&gt;&lt;D xsi:type="xsd:double"&gt;1275.33&lt;/D&gt;&lt;D xsi:type="xsd:double"&gt;1271.11&lt;/D&gt;&lt;D xsi:type="xsd:double"&gt;1269.68&lt;/D&gt;&lt;D xsi:type="xsd:double"&gt;1252.19&lt;/D&gt;&lt;D xsi:type="xsd:double"&gt;1250.07&lt;/D&gt;&lt;D xsi:type="xsd:double"&gt;1256.85&lt;/D&gt;&lt;D xsi:type="xsd:double"&gt;1260.68&lt;/D&gt;&lt;D xsi:type="xsd:double"&gt;1273.4&lt;/D&gt;&lt;D xsi:type="xsd:double"&gt;1254.1&lt;/D&gt;&lt;D xsi:type="xsd:double"&gt;1253.54&lt;/D&gt;&lt;D xsi:type="xsd:double"&gt;1269.87&lt;/D&gt;&lt;D xsi:type="xsd:double"&gt;1261.39&lt;/D&gt;&lt;D xsi:type="xsd:double"&gt;1273.77&lt;/D&gt;&lt;D xsi:type="xsd:double"&gt;1274.82&lt;/D&gt;&lt;D xsi:type="xsd:double"&gt;1277.58&lt;/D&gt;&lt;D xsi:type="xsd:double"&gt;1276.57&lt;/D&gt;&lt;D xsi:type="xsd:double"&gt;1256.69&lt;/D&gt;&lt;D xsi:type="xsd:double"&gt;1252.71&lt;/D&gt;&lt;D xsi:type="xsd:double"&gt;1261.18&lt;/D&gt;&lt;D xsi:type="xsd:double"&gt;1268.78&lt;/D&gt;&lt;D xsi:type="xsd:double"&gt;1252.73&lt;/D&gt;&lt;D xsi:type="xsd:double"&gt;1254.4&lt;/D&gt;&lt;D xsi:type="xsd:double"&gt;1281.81&lt;/D&gt;&lt;D xsi:type="xsd:double"&gt;1272.17&lt;/D&gt;&lt;D xsi:type="xsd:double"&gt;1270.04&lt;/D&gt;&lt;D xsi:type="xsd:double"&gt;1280.07&lt;/D&gt;&lt;D xsi:type="xsd:double"&gt;1269.26&lt;/D&gt;&lt;D xsi:type="xsd:double"&gt;1287.44&lt;/D&gt;&lt;D xsi:type="xsd:double"&gt;1284.81&lt;/D&gt;&lt;D xsi:type="xsd:double"&gt;1300.47&lt;/D&gt;&lt;D xsi:type="xsd:double"&gt;1306.26&lt;/D&gt;&lt;D xsi:type="xsd:double"&gt;1302.91&lt;/D&gt;&lt;D xsi:type="xsd:double"&gt;1313.31&lt;/D&gt;&lt;D xsi:type="xsd:double"&gt;1295.29&lt;/D&gt;&lt;D xsi:type="xsd:double"&gt;1298.6&lt;/D&gt;&lt;D xsi:type="xsd:double"&gt;1308.86&lt;/D&gt;&lt;D xsi:type="xsd:double"&gt;1309.5&lt;/D&gt;&lt;D xsi:type="xsd:double"&gt;1314.65&lt;/D&gt;&lt;D xsi:type="xsd:double"&gt;1315.64&lt;/D&gt;&lt;D xsi:type="xsd:double"&gt;1314.28&lt;/D&gt;&lt;D xsi:type="xsd:double"&gt;1323.52&lt;/D&gt;&lt;D xsi:type="xsd:double"&gt;1313.91&lt;/D&gt;&lt;D xsi:type="xsd:double"&gt;1302.35&lt;/D&gt;&lt;D xsi:type="xsd:double"&gt;1290.72&lt;/D&gt;&lt;D xsi:type="xsd:double"&gt;1284.47&lt;/D&gt;&lt;D xsi:type="xsd:double"&gt;1274.61&lt;/D&gt;&lt;D xsi:type="xsd:double"&gt;1291.46&lt;/D&gt;&lt;D xsi:type="xsd:double"&gt;1286.69&lt;/D&gt;&lt;D xsi:type="xsd:double"&gt;1266.38&lt;/D&gt;&lt;D xsi:type="xsd:double"&gt;1286.98&lt;/D&gt;&lt;D xsi:type="xsd:double"&gt;1313.99&lt;/D&gt;&lt;D xsi:type="xsd:double"&gt;1304.92&lt;/D&gt;&lt;D xsi:type="xsd:double"&gt;1305.24&lt;/D&gt;&lt;D xsi:type="xsd:double"&gt;1285.64&lt;/D&gt;&lt;D xsi:type="xsd:double"&gt;1293.61&lt;/D&gt;&lt;D xsi:type="xsd:double"&gt;1288.29&lt;/D&gt;&lt;D xsi:type="xsd:double"&gt;1275.03&lt;/D&gt;&lt;D xsi:type="xsd:double"&gt;1274.17&lt;/D&gt;&lt;D xsi:type="xsd:double"&gt;1288.07&lt;/D&gt;&lt;D xsi:type="xsd:double"&gt;1278.74&lt;/D&gt;&lt;D xsi:type="xsd:double"&gt;1288.26&lt;/D&gt;&lt;D xsi:type="xsd:double"&gt;1278.41&lt;/D&gt;&lt;D xsi:type="xsd:double"&gt;1273.2&lt;/D&gt;&lt;D xsi:type="xsd:double"&gt;1282.54&lt;/D&gt;&lt;D xsi:type="xsd:double"&gt;1292.72&lt;/D&gt;&lt;D xsi:type="xsd:double"&gt;1297.01&lt;/D&gt;&lt;D xsi:type="xsd:double"&gt;1306.69&lt;/D&gt;&lt;D xsi:type="xsd:double"&gt;1308.19&lt;/D&gt;&lt;D xsi:type="xsd:double"&gt;1299.78&lt;/D&gt;&lt;D xsi:type="xsd:double"&gt;1293.62&lt;/D&gt;&lt;D xsi:type="xsd:doub</t>
        </r>
      </text>
    </comment>
    <comment ref="A4" authorId="0" shapeId="0" xr:uid="{52FE720C-B1A3-4BD6-A0A2-ED8349A34CE4}">
      <text>
        <r>
          <rPr>
            <b/>
            <sz val="9"/>
            <color indexed="81"/>
            <rFont val="Tahoma"/>
            <charset val="1"/>
          </rPr>
          <t xml:space="preserve">le"&gt;1288.03&lt;/D&gt;&lt;D xsi:type="xsd:double"&gt;1278.05&lt;/D&gt;&lt;D xsi:type="xsd:double"&gt;1276.08&lt;/D&gt;&lt;D xsi:type="xsd:double"&gt;1266.11&lt;/D&gt;&lt;D xsi:type="xsd:double"&gt;1264.8&lt;/D&gt;&lt;D xsi:type="xsd:double"&gt;1252.55&lt;/D&gt;&lt;D xsi:type="xsd:double"&gt;1259.31&lt;/D&gt;&lt;D xsi:type="xsd:double"&gt;1248.78&lt;/D&gt;&lt;D xsi:type="xsd:double"&gt;1244.48&lt;/D&gt;&lt;D xsi:type="xsd:double"&gt;1236.61&lt;/D&gt;&lt;D xsi:type="xsd:double"&gt;1250.09&lt;/D&gt;&lt;D xsi:type="xsd:double"&gt;1248.03&lt;/D&gt;&lt;D xsi:type="xsd:double"&gt;1251.26&lt;/D&gt;&lt;D xsi:type="xsd:double"&gt;1262.67&lt;/D&gt;&lt;D xsi:type="xsd:double"&gt;1253.39&lt;/D&gt;&lt;D xsi:type="xsd:double"&gt;1244.79&lt;/D&gt;&lt;D xsi:type="xsd:double"&gt;1248.13&lt;/D&gt;&lt;D xsi:type="xsd:double"&gt;1235.76&lt;/D&gt;&lt;D xsi:type="xsd:double"&gt;1242.31&lt;/D&gt;&lt;D xsi:type="xsd:double"&gt;1259.42&lt;/D&gt;&lt;D xsi:type="xsd:double"&gt;1266.67&lt;/D&gt;&lt;D xsi:type="xsd:double"&gt;1277.43&lt;/D&gt;&lt;D xsi:type="xsd:double"&gt;1259.07&lt;/D&gt;&lt;D xsi:type="xsd:double"&gt;1265.15&lt;/D&gt;&lt;D xsi:type="xsd:double"&gt;1264.47&lt;/D&gt;&lt;D xsi:type="xsd:double"&gt;1246.96&lt;/D&gt;&lt;D xsi:type="xsd:double"&gt;1229.4&lt;/D&gt;&lt;D xsi:type="xsd:double"&gt;1218.33&lt;/D&gt;&lt;D xsi:type="xsd:double"&gt;1242.35&lt;/D&gt;&lt;D xsi:type="xsd:double"&gt;1244.14&lt;/D&gt;&lt;D xsi:type="xsd:double"&gt;1233.68&lt;/D&gt;&lt;D xsi:type="xsd:double"&gt;1217.15&lt;/D&gt;&lt;D xsi:type="xsd:double"&gt;1212.49&lt;/D&gt;&lt;D xsi:type="xsd:double"&gt;1219.62&lt;/D&gt;&lt;D xsi:type="xsd:double"&gt;1191.75&lt;/D&gt;&lt;D xsi:type="xsd:double"&gt;1208.13&lt;/D&gt;&lt;D xsi:type="xsd:double"&gt;1206.58&lt;/D&gt;&lt;D xsi:type="xsd:double"&gt;1198.11&lt;/D&gt;&lt;D xsi:type="xsd:double"&gt;1157.63&lt;/D&gt;&lt;D xsi:type="xsd:double"&gt;1161.01&lt;/D&gt;&lt;D xsi:type="xsd:double"&gt;1143.31&lt;/D&gt;&lt;D xsi:type="xsd:double"&gt;1121.13&lt;/D&gt;&lt;D xsi:type="xsd:double"&gt;1110.4&lt;/D&gt;&lt;D xsi:type="xsd:double"&gt;1115.65&lt;/D&gt;&lt;D xsi:type="xsd:double"&gt;1123&lt;/D&gt;&lt;D xsi:type="xsd:double"&gt;1119.94&lt;/D&gt;&lt;D xsi:type="xsd:double"&gt;1127.21&lt;/D&gt;&lt;D xsi:type="xsd:double"&gt;1115.69&lt;/D&gt;&lt;D xsi:type="xsd:double"&gt;1110.01&lt;/D&gt;&lt;D xsi:type="xsd:double"&gt;1089.56&lt;/D&gt;&lt;D xsi:type="xsd:double"&gt;1082.42&lt;/D&gt;&lt;D xsi:type="xsd:double"&gt;1106.73&lt;/D&gt;&lt;D xsi:type="xsd:double"&gt;1107.69&lt;/D&gt;&lt;D xsi:type="xsd:double"&gt;1100.01&lt;/D&gt;&lt;D xsi:type="xsd:double"&gt;1062.78&lt;/D&gt;&lt;D xsi:type="xsd:double"&gt;1067.63&lt;/D&gt;&lt;D xsi:type="xsd:double"&gt;1068.73&lt;/D&gt;&lt;D xsi:type="xsd:double"&gt;1094.58&lt;/D&gt;&lt;D xsi:type="xsd:double"&gt;1113.58&lt;/D&gt;&lt;D xsi:type="xsd:double"&gt;1114.49&lt;/D&gt;&lt;D xsi:type="xsd:double"&gt;1122.7&lt;/D&gt;&lt;D xsi:type="xsd:double"&gt;1128.62&lt;/D&gt;&lt;D xsi:type="xsd:double"&gt;1141.58&lt;/D&gt;&lt;D xsi:type="xsd:double"&gt;1139.16&lt;/D&gt;&lt;D xsi:type="xsd:double"&gt;1135.24&lt;/D&gt;&lt;D xsi:type="xsd:double"&gt;1136.43&lt;/D&gt;&lt;D xsi:type="xsd:double"&gt;1140.63&lt;/D&gt;&lt;D xsi:type="xsd:double"&gt;1132.02&lt;/D&gt;&lt;D xsi:type="xsd:double"&gt;1149.18&lt;/D&gt;&lt;D xsi:type="xsd:double"&gt;1164.01&lt;/D&gt;&lt;D xsi:type="xsd:double"&gt;1160.74&lt;/D&gt;&lt;D xsi:type="xsd:double"&gt;1163.42&lt;/D&gt;&lt;D xsi:type="xsd:double"&gt;1178.43&lt;/D&gt;&lt;D xsi:type="xsd:double"&gt;1176.36&lt;/D&gt;&lt;D xsi:type="xsd:double"&gt;1173.37&lt;/D&gt;&lt;D xsi:type="xsd:double"&gt;1179.81&lt;/D&gt;&lt;D xsi:type="xsd:double"&gt;1189.14&lt;/D&gt;&lt;D xsi:type="xsd:double"&gt;1187.06&lt;/D&gt;&lt;D xsi:type="xsd:double"&gt;1195.77&lt;/D&gt;&lt;D xsi:type="xsd:double"&gt;1194.49&lt;/D&gt;&lt;D xsi:type="xsd:double"&gt;1216.71&lt;/D&gt;&lt;D xsi:type="xsd:double"&gt;1214.39&lt;/D&gt;&lt;D xsi:type="xsd:double"&gt;1210.94&lt;/D&gt;&lt;D xsi:type="xsd:double"&gt;1206.59&lt;/D&gt;&lt;D xsi:type="xsd:double"&gt;1220.27&lt;/D&gt;&lt;D xsi:type="xsd:double"&gt;1187.86&lt;/D&gt;&lt;D xsi:type="xsd:double"&gt;1198.98&lt;/D&gt;&lt;D xsi:type="xsd:double"&gt;1197.26&lt;/D&gt;&lt;D xsi:type="xsd:double"&gt;1171.12&lt;/D&gt;&lt;D xsi:type="xsd:double"&gt;1159.53&lt;/D&gt;&lt;D xsi:type="xsd:double"&gt;1159&lt;/D&gt;&lt;D xsi:type="xsd:double"&gt;1146.86&lt;/D&gt;&lt;D xsi:type="xsd:double"&gt;1153.77&lt;/D&gt;&lt;D xsi:type="xsd:double"&gt;1144.05&lt;/D&gt;&lt;D xsi:type="xsd:double"&gt;1134.71&lt;/D&gt;&lt;D xsi:type="xsd:double"&gt;1150.95&lt;/D&gt;&lt;D xsi:type="xsd:double"&gt;1141.28&lt;/D&gt;&lt;D xsi:type="xsd:double"&gt;1138.9&lt;/D&gt;&lt;D xsi:type="xsd:double"&gt;1128.66&lt;/D&gt;&lt;D xsi:type="xsd:double"&gt;1133.95&lt;/D&gt;&lt;D xsi:type="xsd:double"&gt;1088.18&lt;/D&gt;&lt;D xsi:type="xsd:double"&gt;1074.59&lt;/D&gt;&lt;D xsi:type="xsd:double"&gt;1125.21&lt;/D&gt;&lt;D xsi:type="xsd:double"&gt;1161.81&lt;/D&gt;&lt;D xsi:type="xsd:double"&gt;1172.69&lt;/D&gt;&lt;D xsi:type="xsd:double"&gt;1168.02&lt;/D&gt;&lt;D xsi:type="xsd:double"&gt;1158.09&lt;/D&gt;&lt;D xsi:type="xsd:double"&gt;1175.45&lt;/D&gt;&lt;D xsi:type="xsd:double"&gt;1187.9&lt;/D&gt;&lt;D xsi:type="xsd:double"&gt;1190.36&lt;/D&gt;&lt;D xsi:type="xsd:double"&gt;1184.93&lt;/D&gt;&lt;D xsi:type="xsd:double"&gt;1190.06&lt;/D&gt;&lt;D xsi:type="xsd:double"&gt;1186.61&lt;/D&gt;&lt;D xsi:type="xsd:double"&gt;1181.71&lt;/D&gt;&lt;D xsi:type="xsd:double"&gt;1189.66&lt;/D&gt;&lt;D xsi:type="xsd:double"&gt;1176.17&lt;/D&gt;&lt;D xsi:type="xsd:double"&gt;1170.2&lt;/D&gt;&lt;D xsi:type="xsd:double"&gt;1173.76&lt;/D&gt;&lt;/FQL&gt;&lt;FQL&gt;&lt;Q&gt;EWU^FG_TOTAL_RETURNC(-5AY,0,AM)&lt;/Q&gt;&lt;R&gt;61&lt;/R&gt;&lt;C&gt;1&lt;/C&gt;&lt;D xsi:type="xsd:double"&gt;3.9469242&lt;/D&gt;&lt;D xsi:type="xsd:double"&gt;-0.03272891&lt;/D&gt;&lt;D xsi:type="xsd:double"&gt;3.8310409&lt;/D&gt;&lt;D xsi:type="xsd:double"&gt;2.8066874&lt;/D&gt;&lt;D xsi:type="xsd:double"&gt;3.8036823&lt;/D&gt;&lt;D xsi:type="xsd:double"&gt;1.6596317&lt;/D&gt;&lt;D xsi:type="xsd:double"&gt;-3.6358356&lt;/D&gt;&lt;D xsi:type="xsd:double"&gt;3.435588&lt;/D&gt;&lt;D xsi:type="xsd:double"&gt;-2.1945477&lt;/D&gt;&lt;D xsi:type="xsd:double"&gt;2.3347497&lt;/D&gt;&lt;D xsi:type="xsd:double"&gt;-0.8000016&lt;/D&gt;&lt;D xsi:type="xsd:double"&gt;-2.0348608&lt;/D&gt;&lt;D xsi:type="xsd:double"&gt;8.333338&lt;/D&gt;&lt;D xsi:type="xsd:double"&gt;-0.28918982&lt;/D&gt;&lt;D xsi:type="xsd:double"&gt;-7.3955894&lt;/D&gt;&lt;D xsi:type="xsd:double"&gt;6.7961097&lt;/D&gt;&lt;D xsi:type="xsd:double"&gt;-7.5366497&lt;/D&gt;&lt;D xsi:type="xsd:double"&gt;-2.2336066&lt;/D&gt;&lt;D xsi:type="xsd:double"&gt;-4.0634274&lt;/D&gt;&lt;D xsi:type="xsd:double"&gt;6.7837477&lt;/D&gt;&lt;D xsi:type="xsd:double"&gt;-7.868433&lt;/D&gt;&lt;D xsi:type="xsd:double"&gt;-8.0504&lt;/D&gt;&lt;D xsi:type="xsd:double"&gt;13.8941765&lt;/D&gt;&lt;D xsi:type="xsd:double"&gt;4.8546195&lt;/D&gt;&lt;D xsi:type="xsd:double"&gt;5.532193&lt;/D&gt;&lt;D xsi:type="xsd:double"&gt;0.5518079&lt;/D&gt;&lt;D xsi:type="xsd:double"&gt;-7.0121946&lt;/D&gt;&lt;D xsi:type="xsd:double"&gt;10.065567&lt;/D&gt;&lt;D xsi:type="xsd:double"&gt;-0.08935928&lt;/D&gt;&lt;D xsi:type="xsd:double"&gt;0.14927387&lt;/D&gt;&lt;D xsi:type="xsd:double"&gt;-0.6676793&lt;/D&gt;&lt;D xsi:type="xsd:double"&gt;-2.6275575&lt;/D&gt;&lt;D xsi:type="xsd:double"&gt;1.9454002&lt;/D&gt;&lt;D xsi:type="xsd:double"&gt;-2.5238574&lt;/D&gt;&lt;D xsi:type="xsd:double"&gt;0.41048527&lt;/D&gt;&lt;D xsi:type="xsd:double"&gt;3.3647776&lt;/D&gt;&lt;D xsi:type="xsd:double"&gt;1.9598007&lt;/D&gt;&lt;D xsi:type="xsd:double"&gt;-1.1904716&lt;/D&gt;&lt;D xsi:type="xsd:double"&gt;3.2437444&lt;/D&gt;&lt;D xsi:type="xsd:double"&gt;0.59844255&lt;/D&gt;&lt;D xsi:type="xsd:double"&gt;9.131468&lt;/D&gt;&lt;D xsi:type="xsd:double"&gt;-2.988118&lt;/D&gt;&lt;D xsi:type="xsd:double"&gt;2.3202538&lt;/D&gt;&lt;D xsi:type="xsd:double"&gt;2.0436764&lt;/D&gt;&lt;D xsi:type="xsd:double"&gt;1.2345672&lt;/D&gt;&lt;D xsi:type="xsd:double"&gt;-1.0569215&lt;/D&gt;&lt;D xsi:type="xsd:double"&gt;-5.5327234&lt;/D&gt;&lt;D xsi:type="xsd:double"&gt;2.957368&lt;/D&gt;&lt;D xsi:type="xsd:double"&gt;-2.5300086&lt;/D&gt;&lt;D xsi:type="xsd:double"&gt;7.8171015&lt;/D&gt;&lt;D xsi:type="xsd:double"&gt;3.1737328&lt;/D&gt;&lt;D xsi:type="xsd:double"&gt;-2.8109193&lt;/D&gt;&lt;D xsi:type="xsd:double"&gt;5.866301&lt;/D&gt;&lt;D xsi:type="xsd:double"&gt;4.1752577&lt;/D&gt;&lt;D xsi:type="xsd:double"&gt;-0.048434734&lt;/D&gt;&lt;D xsi:type="xsd:double"&gt;4.243493&lt;/D&gt;&lt;D xsi:type="xsd:double"&gt;1.9869089&lt;/D&gt;&lt;D xsi:type="xsd:double"&gt;-0.16630888&lt;/D&gt;&lt;D xsi:type="xsd:double"&gt;1.7848611&lt;/D&gt;&lt;D xsi:type="xsd:double"&gt;2.2913218&lt;/D&gt;&lt;D xsi:type="xsd:double"&gt;5.0626397&lt;/D&gt;&lt;/FQL&gt;&lt;FQL&gt;&lt;Q&gt;VNM^FG_TOTAL_RETURNC(-5AY,0,AM)&lt;/Q&gt;&lt;R&gt;61&lt;/R&gt;&lt;C&gt;1&lt;/C&gt;&lt;D xsi:type="xsd:double"&gt;8.985865&lt;/D&gt;&lt;D xsi:type="xsd:double"&gt;-2.3318887&lt;/D&gt;&lt;D xsi:type="xsd:double"&gt;-0.8328676&lt;/D&gt;&lt;D xsi:type="xsd:double"&gt;7.390821&lt;/D&gt;&lt;D xsi:type="xsd:double"&gt;-1.199162&lt;/D&gt;&lt;D xsi:type="xsd:double"&gt;6.385219&lt;/D&gt;&lt;D xsi:type="xsd:double"&gt;-3.9186478&lt;/D&gt;&lt;D xsi:type="xsd:double"&gt;2.4264336&lt;/D&gt;&lt;D xsi:type="xsd:double"&gt;-0.100809336&lt;/D&gt;&lt;D xsi:type="xsd:double"&gt;-1.6145289&lt;/D&gt;&lt;D xsi:type="xsd:double"&gt;6.410253&lt;/D&gt;&lt;D xsi:type="xsd:double"&gt;-0.048196316&lt;/D&gt;&lt;D xsi:type="xsd:double"&gt;0.5004883&lt;/D&gt;&lt;D xsi:type="xsd:double"&gt;-5.255544&lt;/D&gt;&lt;D xsi:type="xsd:double"&gt;-6.3613234&lt;/D&gt;&lt;D xsi:type="xsd:double"&gt;0.76087713&lt;/D&gt;&lt;D xsi:type="xsd:double"&gt;-17.853296&lt;/D&gt;&lt;D xsi:type="xsd:double"&gt;-1.6415&lt;/D&gt;&lt;D xsi:type="xsd:double"&gt;-3.6715567&lt;/D&gt;&lt;D xsi:type="xsd:double"&gt;8.870411&lt;/D&gt;&lt;D xsi:type="xsd:double"&gt;-6.747299&lt;/D&gt;&lt;D xsi:type="xsd:double"&gt;-16.177475&lt;/D&gt;&lt;D xsi:type="xsd:double"&gt;-11.237788&lt;/D&gt;&lt;D xsi:type="xsd:double"&gt;15.688074&lt;/D&gt;&lt;D xsi:type="xsd:double"&gt;-0.021320581&lt;/D&gt;&lt;D xsi:type="xsd:double"&gt;-5.044037&lt;/D&gt;&lt;D xsi:type="xsd:double"&gt;-1.4333904&lt;/D&gt;&lt;D xsi:type="xsd:double"&gt;3.3361912&lt;/D&gt;&lt;D xsi:type="xsd:double"&gt;3.2284856&lt;/D&gt;&lt;D xsi:type="xsd:double"&gt;5.61347&lt;/D&gt;&lt;D xsi:type="xsd:double"&gt;6.6818476&lt;/D&gt;&lt;D xsi:type="xsd:double"&gt;8.185053&lt;/D&gt;&lt;D xsi:type="xsd:double"&gt;-1.6447365&lt;/D&gt;&lt;D xsi:type="xsd:double"&gt;-8.361202&lt;/D&gt;&lt;D xsi:type="xsd:double"&gt;-2.1167874&lt;/D&gt;&lt;D xsi:type="xsd:double"&gt;-2.013421&lt;/D&gt;&lt;D xsi:type="xsd:double"&gt;2.1500826&lt;/D&gt;&lt;D xsi:type="xsd:double"&gt;2.7494192&lt;/D&gt;&lt;D xsi:type="xsd:double"&gt;3.3639193&lt;/D&gt;&lt;D xsi:type="xsd:double"&gt;-7.1745577&lt;/D&gt;&lt;D xsi:type="xsd:double"&gt;2.151394&lt;/D&gt;&lt;D xsi:type="xsd:double"&gt;-0.9360373&lt;/D&gt;&lt;D xsi:type="xsd:double"&gt;-2.7558982&lt;/D&gt;&lt;D xsi:type="xsd:double"&gt;-4.1295586&lt;/D&gt;&lt;D xsi:type="xsd:double"&gt;4.5608163&lt;/D&gt;&lt;D xsi:type="xsd:double"&gt;-0.24232268&lt;/D&gt;&lt;D xsi:type="xsd:double"&gt;-7.692313&lt;/D&gt;&lt;D xsi:type="xsd:double"&gt;2.8947353&lt;/D&gt;&lt;D xsi:type="xsd:double"&gt;-3.4953117&lt;/D&gt;&lt;D xsi:type="xsd:double"&gt;1.4134288&lt;/D&gt;&lt;D xsi:type="xsd:double"&gt;10.278749&lt;/D&gt;&lt;D xsi:type="xsd:double"&gt;-7.26698&lt;/D&gt;&lt;D xsi:type="xsd:double"&gt;9.114146&lt;/D&gt;&lt;D xsi:type="xsd:double"&gt;1.6393423&lt;/D&gt;&lt;D xsi:type="xsd:double"&gt;15.514588&lt;/D&gt;&lt;D xsi:type="xsd:double"&gt;17.752659&lt;/D&gt;&lt;D xsi:type="xsd:double"&gt;3.8961053&lt;/D&gt;&lt;D xsi:type="xsd:double"&gt;5.5434823&lt;/D&gt;&lt;D xsi:type="xsd:double"&gt;-9.423274&lt;/D&gt;&lt;D xsi:type="xsd:double"&gt;-0.9664595&lt;/D&gt;&lt;D xsi:type="xsd:double"&gt;12.341428&lt;/D&gt;&lt;/FQL&gt;&lt;FQL&gt;&lt;Q&gt;EPHE^FG_TOTAL_RETURNC(-5AY,0,AM)&lt;/Q&gt;&lt;R&gt;61&lt;/R&gt;&lt;C&gt;1&lt;/C&gt;&lt;D xsi:type="xsd:double"&gt;0&lt;/D&gt;&lt;D xsi:type="xsd:double"&gt;-4.1843534&lt;/D&gt;&lt;D xsi:type="xsd:double"&gt;-6.7405105&lt;/D&gt;&lt;D xsi:type="xsd:double"&gt;0.88225603&lt;/D&gt;&lt;D xsi:type="xsd:double"&gt;-3.6663294&lt;/D&gt;&lt;D xsi:type="xsd:double"&gt;11.683083&lt;/D&gt;&lt;D xsi:type="xsd:double"&gt;-7.145107&lt;/D&gt;&lt;D xsi:type="xsd:double"&gt;-4.203391&lt;/D&gt;&lt;D xsi:type="xsd:double"&gt;7.6786995&lt;/D&gt;&lt;D xsi:type="xsd:double"&gt;6.506741&lt;/D&gt;&lt;D xsi:type="xsd:double"&gt;1.5427351&lt;/D&gt;&lt;D xsi:type="xsd:double"&gt;-2.9870093&lt;/D&gt;&lt;D xsi:type="xsd:double"&gt;0&lt;/D&gt;&lt;D xsi:type="xsd:double"&gt;2.0433784&lt;/D&gt;&lt;D xsi:type="xsd:double"&gt;-8.040661&lt;/D&gt;&lt;D xsi:type="xsd:double"&gt;-0.06700158&lt;/D&gt;&lt;D xsi:type="xsd:double"&gt;-6.537044&lt;/D&gt;&lt;D xsi:type="xsd:double"&gt;-3.5399795&lt;/D&gt;&lt;D xsi:type="xsd:double"&gt;-6.7720056&lt;/D&gt;&lt;D xsi:type="xsd:double"&gt;10.290551&lt;/D&gt;&lt;D xsi:type="xsd:double"&gt;-6.1105013&lt;/D&gt;&lt;D xsi:type="xsd:double"&gt;-12.860483&lt;/D&gt;&lt;D xsi:type="xsd:double"&gt;12.56708&lt;/D&gt;&lt;D xsi:type="xsd:double"&gt;3.4985185&lt;/D&gt;&lt;D xsi:type="xsd:double"&gt;10.759735&lt;/D&gt;&lt;D xsi:type="xsd:double"&gt;-2.994424&lt;/D&gt;&lt;D xsi:type="xsd:double"&gt;-7.537687&lt;/D&gt;&lt;D xsi:type="xsd:double"&gt;1.6304374&lt;/D&gt;&lt;D xsi:type="xsd:double"&gt;0.1909852&lt;/D&gt;&lt;D xsi:type="xsd:double"&gt;-1.7234504&lt;/D&gt;&lt;D xsi:type="xsd:double"&gt;5.8892846&lt;/D&gt;&lt;D xsi:type="xsd:double"&gt;-8.194285&lt;/D&gt;&lt;D xsi:type="xsd:double"&gt;-2.5040448&lt;/D&gt;&lt;D xsi:type="xsd:double"&gt;2.2369504&lt;/D&gt;&lt;D xsi:type="xsd:double"&gt;-0.36466718&lt;/D&gt;&lt;D xsi:type="xsd:double"&gt;4.595363&lt;/D&gt;&lt;D xsi:type="xsd:double"&gt;4.3099403&lt;/D&gt;&lt;D xsi:type="xsd:double"&gt;3.7955642&lt;/D&gt;&lt;D xsi:type="xsd:double"&gt;-0.86894035&lt;/D&gt;&lt;D xsi:type="xsd:double"&gt;-7.048935&lt;/D&gt;&lt;D xsi:type="xsd:double"&gt;1.6110063&lt;/D&gt;&lt;D xsi:type="xsd:double"&gt;-5.7902517&lt;/D&gt;&lt;D xsi:type="xsd:double"&gt;5.4999948&lt;/D&gt;&lt;D xsi:type="xsd:double"&gt;3.9889455&lt;/D&gt;&lt;D xsi:type="xsd:double"&gt;6.9502473&lt;/D&gt;&lt;D xsi:type="xsd:double"&gt;1.8821001&lt;/D&gt;&lt;D xsi:type="xsd:double"&gt;-11.432558&lt;/D&gt;&lt;D xsi:type="xsd:double"&gt;0.5509615&lt;/D&gt;&lt;D xsi:type="xsd:double"&gt;-2.5645316&lt;/D&gt;&lt;D xsi:type="xsd:double"&gt;-1.5802264&lt;/D&gt;&lt;D xsi:type="xsd:double"&gt;6.1547875&lt;/D&gt;&lt;D xsi:type="xsd:double"&gt;-1.4384329&lt;/D&gt;&lt;D xsi:type="xsd:double"&gt;8.679831&lt;/D&gt;&lt;D xsi:type="xsd:double"&gt;0.14481544&lt;/D&gt;&lt;D xsi:type="xsd:double"&gt;-1.369065&lt;/D&gt;&lt;D xsi:type="xsd:double"&gt;-2.1142423&lt;/D&gt;&lt;D xsi:type="xsd:double"&gt;-2.5767326&lt;/D&gt;&lt;D xsi:type="xsd:double"&gt;-1.0501683&lt;/D&gt;&lt;D xsi:type="xsd:double"&gt;-8.490562&lt;/D&gt;&lt;D xsi:type="xsd:double"&gt;7.173538&lt;/D&gt;&lt;D xsi:type="xsd:double"&gt;6.568539&lt;/D&gt;&lt;/FQL&gt;&lt;FQL&gt;&lt;Q&gt;EWY^FG_TOTAL_RETURNC(-5AY,0,AM)&lt;/Q&gt;&lt;R&gt;61&lt;/R&gt;&lt;C&gt;1&lt;/C&gt;&lt;D xsi:type="xsd:double"&gt;11.753309&lt;/D&gt;&lt;D xsi:type="xsd:double"&gt;2.0275354&lt;/D&gt;&lt;D xsi:type="xsd:double"&gt;-5.1222086&lt;/D&gt;&lt;D xsi:type="xsd:double"&gt;5.264342&lt;/D&gt;&lt;D xsi:type="xsd:double"&gt;-3.6709964&lt;/D&gt;&lt;D xsi:type="xsd:double"&gt;2.5847793&lt;/D&gt;&lt;D xsi:type="xsd:double"&gt;-1.3028979&lt;/D&gt;&lt;D xsi:type="xsd:double"&gt;-5.7931542&lt;/D&gt;&lt;D xsi:type="xsd:double"&gt;-1.3202071&lt;/D&gt;&lt;D xsi:type="xsd:double"&gt;-5.6800785&lt;/D&gt;&lt;D xsi:type="xsd:double"&gt;-0.6345689&lt;/D&gt;&lt;D xsi:type="xsd:double"&gt;0.6673217&lt;/D&gt;&lt;D xsi:type="xsd:double"&gt;-1.804316&lt;/D&gt;&lt;D xsi:type="xsd:double"&gt;-5.7970943&lt;/D&gt;&lt;D xsi:type="xsd:double"&gt;-7.197809&lt;/D&gt;&lt;D xsi:type="xsd:double"&gt;1.731801&lt;/D&gt;&lt;D xsi:type="xsd:double"&gt;-4.7141075&lt;/D&gt;&lt;D xsi:type="xsd:double"&gt;-6.8560066&lt;/D&gt;&lt;D xsi:type="xsd:double"&gt;-6.80328&lt;/D&gt;&lt;D xsi:type="xsd:double"&gt;8.284962&lt;/D&gt;&lt;D xsi:type="xsd:double"&gt;-12.361926&lt;/D&gt;&lt;D xsi:type="xsd:double"&gt;-9.898054&lt;/D&gt;&lt;D xsi:type="xsd:double"&gt;24.171984&lt;/D&gt;&lt;D xsi:type="xsd:double"&gt;-6.9508133&lt;/D&gt;&lt;D xsi:type="xsd:double"&gt;12.46847&lt;/D&gt;&lt;D xsi:type="xsd:double"&gt;-2.611339&lt;/D&gt;&lt;D xsi:type="xsd:double"&gt;-5.7410774&lt;/D&gt;&lt;D xsi:type="xsd:double"&gt;10.558462&lt;/D&gt;&lt;D xsi:type="xsd:double"&gt;-4.9408016&lt;/D&gt;&lt;D xsi:type="xsd:double"&gt;11.325145&lt;/D&gt;&lt;D xsi:type="xsd:double"&gt;0.20883083&lt;/D&gt;&lt;D xsi:type="xsd:double"&gt;-7.6957464&lt;/D&gt;&lt;D xsi:type="xsd:double"&gt;1.7900348&lt;/D&gt;&lt;D xsi:type="xsd:double"&gt;-6.907481&lt;/D&gt;&lt;D xsi:type="xsd:double"&gt;6.092584&lt;/D&gt;&lt;D xsi:type="xsd:double"&gt;2.566564&lt;/D&gt;&lt;D xsi:type="xsd:double"&gt;-1.5248895&lt;/D&gt;&lt;D xsi:type="xsd:double"&gt;3.96024&lt;/D&gt;&lt;D xsi:type="xsd:double"&gt;2.8217554&lt;/D&gt;&lt;D xsi:type="xsd:double"&gt;-5.0769925&lt;/D&gt;&lt;D xsi:type="xsd:double"&gt;7.484746&lt;/D&gt;&lt;D xsi:type="xsd:double"&gt;-3.5863757&lt;/D&gt;&lt;D xsi:type="xsd:double"&gt;4.7892213&lt;/D&gt;&lt;D xsi:type="xsd:double"&gt;-4.836571&lt;/D&gt;&lt;D xsi:type="xsd:double"&gt;-1.6164064&lt;/D&gt;&lt;D xsi:type="xsd:double"&gt;-1.8957376&lt;/D&gt;&lt;D xsi:type="xsd:double"&gt;-9.500801&lt;/D&gt;&lt;D xsi:type="xsd:double"&gt;-0.37366152&lt;/D&gt;&lt;D xsi:type="xsd:double"&gt;0.22808313&lt;/D&gt;&lt;D xsi:type="xsd:double"&gt;3.4495354&lt;/D&gt;&lt;D xsi:type="xsd:double"&gt;-0.95272064&lt;/D&gt;&lt;D xsi:type="xsd:double"&gt;-3.1350195&lt;/D&gt;&lt;D xsi:type="xsd:double"&gt;8.127987&lt;/D&gt;&lt;D xsi:type="xsd:double"&gt;12.959183&lt;/D&gt;&lt;D xsi:type="xsd:double"&gt;10.012043&lt;/D&gt;&lt;D xsi:type="xsd:double"&gt;0.43793917&lt;/D&gt;&lt;D xsi:type="xsd:double"&gt;7.902992&lt;/D&gt;&lt;D xsi:type="xsd:double"&gt;7.5514555&lt;/D&gt;&lt;D xsi:type="xsd:double"&gt;10.520136&lt;/D&gt;&lt;D xsi:type="xsd:double"&gt;-1.4872968&lt;/D&gt;&lt;D xsi:type="xsd:double"&gt;22.481394&lt;/D&gt;&lt;/FQL&gt;&lt;FQL&gt;&lt;Q&gt;KSA^FG_PRICE(0,-200D)&lt;/Q&gt;&lt;R&gt;201&lt;/R&gt;&lt;C&gt;1&lt;/C&gt;&lt;D xsi:type="xsd:double"&gt;37.99&lt;/D&gt;&lt;D xsi:type="xsd:double"&gt;38.21&lt;/D&gt;&lt;D xsi:type="xsd:double"&gt;38.21&lt;/D&gt;&lt;D xsi:type="xsd:double"&gt;37.82&lt;/D&gt;&lt;D xsi:type="xsd:double"&gt;36.87&lt;/D&gt;&lt;D xsi:type="xsd:double"&gt;36.82&lt;/D&gt;&lt;D xsi:type="xsd:double"&gt;36.32&lt;/D&gt;&lt;D xsi:type="xsd:double"&gt;37.03&lt;/D&gt;&lt;D xsi:type="xsd:double"&gt;36&lt;/D&gt;&lt;D xsi:type="xsd:double"&gt;36.77&lt;/D&gt;&lt;D xsi:type="xsd:double"&gt;36.41&lt;/D&gt;&lt;D xsi:type="xsd:double"&gt;36.05&lt;/D&gt;&lt;D xsi:type="xsd:double"&gt;36.39&lt;/D&gt;&lt;D xsi:type="xsd:double"&gt;36.57&lt;/D&gt;&lt;D xsi:type="xsd:double"&gt;36.6&lt;/D&gt;&lt;D xsi:type="xsd:double"&gt;36.76&lt;/D&gt;&lt;D xsi:type="xsd:double"&gt;36.55&lt;/D&gt;&lt;D xsi:type="xsd:double"&gt;36.36&lt;/D&gt;&lt;D xsi:type="xsd:double"&gt;36.3&lt;/D&gt;&lt;D xsi:type="xsd:double"&gt;35.83&lt;/D&gt;&lt;D xsi:type="xsd:double"&gt;36.09&lt;/D&gt;&lt;D xsi:type="xsd:double"&gt;36.81&lt;/D&gt;&lt;D xsi:type="xsd:double"&gt;37.4&lt;/D&gt;&lt;D xsi:type="xsd:double"&gt;37.62&lt;/D&gt;&lt;D xsi:type="xsd:double"&gt;37.66&lt;/D&gt;&lt;D xsi:type="xsd:double"&gt;37.43&lt;/D&gt;&lt;D xsi:type="xsd:double"&gt;37.19&lt;/D&gt;&lt;D xsi:type="xsd:double"&gt;37.2&lt;/D&gt;&lt;D xsi:type="xsd:double"&gt;37.17&lt;/D&gt;&lt;D xsi:type="xsd:double"&gt;37.04&lt;/D&gt;&lt;D xsi:type="xsd:double"&gt;36.98&lt;/D&gt;&lt;D xsi:type="xsd:double"&gt;37.06&lt;/D&gt;&lt;D xsi:type="xsd:double"&gt;37.44&lt;/D&gt;&lt;D xsi:type="xsd:double"&gt;37.38&lt;/D&gt;&lt;D xsi:type="xsd:double"&gt;37.59&lt;/D&gt;&lt;D xsi:type="xsd:double"&gt;38.16&lt;/D&gt;&lt;D xsi:type="xsd:double"&gt;38.28&lt;/D&gt;&lt;D xsi:type="xsd:double"&gt;38.19&lt;/D&gt;&lt;D xsi:type="xsd:double"&gt;38.43&lt;/D&gt;&lt;D xsi:type="xsd:double"&gt;38.79&lt;/D&gt;&lt;D xsi:type="xsd:double"&gt;38.45&lt;/D&gt;&lt;D xsi:type="xsd:double"&gt;38.83&lt;/D&gt;&lt;D xsi:type="xsd:double"&gt;38.73&lt;/D&gt;&lt;D xsi:type="xsd:double"&gt;39.17&lt;/D&gt;&lt;D xsi:type="xsd:double"&gt;39.39&lt;/D&gt;&lt;D xsi:type="xsd:double"&gt;39.32&lt;/D&gt;&lt;D xsi:type="xsd:double"&gt;39.28&lt;/D&gt;&lt;D xsi:type="xsd:double"&gt;39.3&lt;/D&gt;&lt;D xsi:type="xsd:double"&gt;39.35&lt;/D&gt;&lt;D xsi:type="xsd:double"&gt;39.68&lt;/D&gt;&lt;D xsi:type="xsd:double"&gt;40&lt;/D&gt;&lt;D xsi:type="xsd:double"&gt;40.28&lt;/D&gt;&lt;D xsi:type="xsd:double"&gt;40.23&lt;/D&gt;&lt;D xsi:type="xsd:double"&gt;41.03&lt;/D&gt;&lt;D xsi:type="xsd:double"&gt;40.89&lt;/D&gt;&lt;D xsi:type="xsd:double"&gt;40.61&lt;/D&gt;&lt;D xsi:type="xsd:double"&gt;40.73&lt;/D&gt;&lt;D xsi:type="xsd:double"&gt;40.67&lt;/D&gt;&lt;D xsi:type="xsd:double"&gt;40.51&lt;/D&gt;&lt;D xsi:type="xsd:double"&gt;40.47&lt;/D&gt;&lt;D xsi:type="xsd:double"&gt;40.89&lt;/D&gt;&lt;D xsi:type="xsd:double"&gt;40.78&lt;/D&gt;&lt;D xsi:type="xsd:double"&gt;40.78&lt;/D&gt;&lt;D xsi:type="xsd:double"&gt;40.89&lt;/D&gt;&lt;D xsi:type="xsd:double"&gt;40.75&lt;/D&gt;&lt;D xsi:type="xsd:double"&gt;40.69&lt;/D&gt;&lt;D xsi:type="xsd:double"&gt;39.81&lt;/D&gt;&lt;D xsi:type="xsd:double"&gt;40.68&lt;/D&gt;&lt;D xsi:type="xsd:double"&gt;40.55&lt;/D&gt;&lt;D xsi:type="xsd:double"&gt;40.59&lt;/D&gt;&lt;D xsi:type="xsd:double"&gt;40.77&lt;/D&gt;&lt;D xsi:type="xsd:double"&gt;40.49&lt;/D&gt;&lt;D xsi:type="xsd:double"&gt;40.48&lt;/D&gt;&lt;D xsi:type="xsd:double"&gt;40.25&lt;/D&gt;&lt;D xsi:type="xsd:double"&gt;40.58&lt;/D&gt;&lt;D xsi:type="xsd:double"&gt;40.15&lt;/D&gt;&lt;D xsi:type="xsd:double"&gt;39.95&lt;/D&gt;&lt;D xsi:type="xsd:double"&gt;39.84&lt;/D&gt;&lt;D xsi:type="xsd:double"&gt;40.54&lt;/D&gt;&lt;D xsi:type="xsd:double"&gt;40.78&lt;/D&gt;&lt;D xsi:type="xsd:double"&gt;38.18&lt;/D&gt;&lt;D xsi:type="xsd:double"&gt;37.83&lt;/D&gt;&lt;D xsi:type="xsd:double"&gt;37.77&lt;/D&gt;&lt;D xsi:type="xsd:double"&gt;37.43&lt;/D&gt;&lt;D xsi:type="xsd:double"&gt;36.9&lt;/D&gt;&lt;D xsi:type="xsd:double"&gt;36.71&lt;/D&gt;&lt;D xsi:type="xsd:double"&gt;36.72&lt;/D&gt;&lt;D xsi:type="xsd:double"&gt;36.8&lt;/D&gt;&lt;D xsi:type="xsd:double"&gt;36.8&lt;/D&gt;&lt;D xsi:type="xsd:double"&gt;36.76&lt;/D&gt;&lt;D xsi:type="xsd:double"&gt;36.69&lt;/D&gt;&lt;D xsi:type="xsd:double"&gt;37.2&lt;/D&gt;&lt;D xsi:type="xsd:double"&gt;37.35&lt;/D&gt;&lt;D xsi:type="xsd:double"&gt;37.11&lt;/D&gt;&lt;D xsi:type="xsd:double"&gt;37.21&lt;/D&gt;&lt;D xsi:type="xsd:double"&gt;37.36&lt;/D&gt;&lt;D xsi:type="xsd:double"&gt;37.47&lt;/D&gt;&lt;D xsi:type="xsd:double"&gt;37.68&lt;/D&gt;&lt;D xsi:type="xsd:double"&gt;38.02&lt;/D&gt;&lt;D xsi:type="xsd:double"&gt;38.08&lt;/D&gt;&lt;D xsi:type="xsd:double"&gt;38.13&lt;/D&gt;&lt;D xsi:type="xsd:double"&gt;37.94&lt;/D&gt;&lt;D xsi:type="xsd:double"&gt;37.89&lt;/D&gt;&lt;D xsi:type="xsd:double"&gt;37.84&lt;/D&gt;&lt;D xsi:type="xsd:double"&gt;37.83&lt;/D&gt;&lt;D xsi:type="xsd:double"&gt;37.55&lt;/D&gt;&lt;D xsi:type="xsd:double"&gt;37.59&lt;/D&gt;&lt;D xsi:type="xsd:double"&gt;37.44&lt;/D&gt;&lt;D xsi:type="xsd:double"&gt;37.49&lt;/D&gt;&lt;D xsi:type="xsd:double"&gt;37.43&lt;/D&gt;&lt;D xsi:type="xsd:double"&gt;37.83&lt;/D&gt;&lt;D xsi:type="xsd:double"&gt;37.83&lt;/D&gt;&lt;D xsi:type="xsd:double"&gt;38.04&lt;/D&gt;&lt;D xsi:type="xsd:double"&gt;37.78&lt;/D&gt;&lt;D xsi:type="xsd:double"&gt;37.63&lt;/D&gt;&lt;D xsi:type="xsd:double"&gt;37.32&lt;/D&gt;&lt;D xsi:type="xsd:double"&gt;37.56&lt;/D&gt;&lt;D xsi:type="xsd:double"&gt;37.62&lt;/D&gt;&lt;D xsi:type="xsd:double"&gt;37.39&lt;/D&gt;&lt;D xsi:type="xsd:double"&gt;37.61&lt;/D&gt;&lt;D xsi:type="xsd:double"&gt;37.72&lt;/D&gt;&lt;D xsi:type="xsd:double"&gt;37.68&lt;/D&gt;&lt;D xsi:type="xsd:double"&gt;37.97&lt;/D&gt;&lt;D xsi:type="xsd:double"&gt;37.5&lt;/D&gt;&lt;D xsi:type="xsd:double"&gt;37.82&lt;/D&gt;&lt;D xsi:type="xsd:double"&gt;38.13&lt;/D&gt;&lt;D xsi:type="xsd:double"&gt;38.17&lt;/D&gt;&lt;D xsi:type="xsd:double"&gt;38.1&lt;/D&gt;&lt;D xsi:type="xsd:double"&gt;38.09&lt;/D&gt;&lt;D xsi:type="xsd:double"&gt;38.65&lt;/D&gt;&lt;D xsi:type="xsd:double"&gt;38.89&lt;/D&gt;&lt;D xsi:type="xsd:double"&gt;39&lt;/D&gt;&lt;D xsi:type="xsd:double"&gt;38.89&lt;/D&gt;&lt;D xsi:type="xsd:double"&gt;38.9&lt;/D&gt;&lt;D xsi:type="xsd:double"&gt;39.08&lt;/D&gt;&lt;D xsi:type="xsd:double"&gt;38.89&lt;/D&gt;&lt;D xsi:type="xsd:double"&gt;38.44&lt;/D&gt;&lt;D xsi:type="xsd:double"&gt;38.25&lt;/D&gt;&lt;D xsi:type="xsd:double"&gt;38.54&lt;/D&gt;&lt;D xsi:type="xsd:double"&gt;38.26&lt;/D&gt;&lt;D xsi:type="xsd:double"&gt;38.16&lt;/D&gt;&lt;D xsi:type="xsd:double"&gt;37.82&lt;/D&gt;&lt;D xsi:type="xsd:double"&gt;37.72&lt;/D&gt;&lt;D xsi:type="xsd:double"&gt;37.1&lt;/D&gt;&lt;D xsi:type="xsd:double"&gt;36.56&lt;/D&gt;&lt;D xsi:type="xsd:double"&gt;36.36&lt;/D&gt;&lt;D xsi:type="xsd:double"&gt;36.83&lt;/D&gt;&lt;D xsi:type="xsd:double"&gt;37.48&lt;/D&gt;&lt;D xsi:type="xsd:double"&gt;37.13&lt;/D&gt;&lt;D xsi:type="xsd:double"&gt;38.07&lt;/D&gt;&lt;D xsi:type="xsd:double"&gt;38.46&lt;/D&gt;&lt;D xsi:type="xsd:double"&gt;38.72&lt;/D&gt;&lt;D xsi:type="xsd:double"&gt;38.57&lt;/D&gt;&lt;D xsi:type="xsd:double"&gt;38.51&lt;/D&gt;&lt;D xsi:type="xsd:double"&gt;38.48&lt;/D&gt;&lt;D xsi:type="xsd:double"&gt;38.38&lt;/D&gt;&lt;D xsi:type="xsd:double"&gt;38&lt;/D&gt;&lt;D xsi:type="xsd:double"&gt;38.16&lt;/D&gt;&lt;D xsi:type="xsd:double"&gt;38.33&lt;/D&gt;&lt;D xsi:type="xsd:double"&gt;38.39&lt;/D&gt;&lt;D xsi:type="xsd:double"&gt;38.6&lt;/D&gt;&lt;D xsi:type="xsd:double"&gt;38.21&lt;/D&gt;&lt;D xsi:type="xsd:double"&gt;39.17&lt;/D&gt;&lt;D xsi:type="xsd:double"&gt;39.28&lt;/D&gt;&lt;D xsi:type="xsd:double"&gt;39.3&lt;/D&gt;&lt;D xsi:type="xsd:double"&gt;39.89&lt;/D&gt;&lt;D xsi:type="xsd:double"&gt;39.91&lt;/D&gt;&lt;D xsi:type="xsd:double"&gt;40.19&lt;/D&gt;&lt;D xsi:type="xsd:double"&gt;40.13&lt;/D&gt;&lt;D xsi:type="xsd:double"&gt;40.21&lt;/D&gt;&lt;D xsi:type="xsd:double"&gt;40.3&lt;/D&gt;&lt;D xsi:type="xsd:double"&gt;40.04&lt;/D&gt;&lt;D xsi:type="xsd:double"&gt;39.54&lt;/D&gt;&lt;D xsi:type="xsd:double"&gt;39.44&lt;/D&gt;&lt;D xsi:type="xsd:double"&gt;39.53&lt;/D&gt;&lt;D xsi:type="xsd:double"&gt;39.72&lt;/D&gt;&lt;D xsi:type="xsd:double"&gt;39.71&lt;/D&gt;&lt;D xsi:type="xsd:double"&gt;40.33&lt;/D&gt;&lt;D xsi:type="xsd:double"&gt;40.01&lt;/D&gt;&lt;D xsi:type="xsd:double"&gt;40.43&lt;/D&gt;&lt;D xsi:type="xsd:double"&gt;40.74&lt;/D&gt;&lt;D xsi:type="xsd:double"&gt;40.85&lt;/D&gt;&lt;D xsi:type="xsd:double"&gt;41.16&lt;/D&gt;&lt;D xsi:type="xsd:double"&gt;41.05&lt;/D&gt;&lt;D xsi:type="xsd:double"&gt;40.37&lt;/D&gt;&lt;D xsi:type="xsd:double"&gt;40.41&lt;/D&gt;&lt;D xsi:type="xsd:double"&gt;39.9&lt;/D&gt;&lt;D xsi:type="xsd:double"&gt;40.19&lt;/D&gt;&lt;D xsi:type="xsd:double"&gt;40.04&lt;/D&gt;&lt;D xsi:type="xsd:double"&gt;40.24&lt;/D&gt;&lt;D xsi:type="xsd:double"&gt;40.01&lt;/D&gt;&lt;D xsi:type="xsd:double"&gt;39.58&lt;/D&gt;&lt;D xsi:type="xsd:double"&gt;39.34&lt;/D&gt;&lt;D xsi:type="xsd:double"&gt;40.2&lt;/D&gt;&lt;D xsi:type="xsd:double"&gt;38.17&lt;/D&gt;&lt;D xsi:type="xsd:double"&gt;38.75&lt;/D&gt;&lt;D xsi:type="xsd:double"&gt;38.98&lt;/D&gt;&lt;D xsi:type="xsd:double"&gt;40.61&lt;/D&gt;&lt;D xsi:type="xsd:double"&gt;41.52&lt;/D&gt;&lt;D xsi:type="xsd:double"&gt;41.34&lt;/D&gt;&lt;D xsi:type="xsd:double"&gt;41.37&lt;/D&gt;&lt;/FQL&gt;&lt;FQL&gt;&lt;Q&gt;GREK^FG_PRICE(0,-200D)&lt;/Q&gt;&lt;R&gt;201&lt;/R&gt;&lt;C&gt;1&lt;/C&gt;&lt;D xsi:type="xsd:double"&gt;69.84&lt;/D&gt;&lt;D xsi:type="xsd:double"&gt;69.15&lt;/D&gt;&lt;D xsi:type="xsd:double"&gt;69&lt;/D&gt;&lt;D xsi:type="xsd:double"&gt;69.49&lt;/D&gt;&lt;D xsi:type="xsd:double"&gt;68.98&lt;/D&gt;&lt;D xsi:type="xsd:double"&gt;69.19&lt;/D&gt;&lt;D xsi:type="xsd:double"&gt;67.98&lt;/D&gt;&lt;D xsi:type="xsd:double"&gt;67.39&lt;/D&gt;&lt;D xsi:type="xsd:double"&gt;67.61&lt;/D&gt;&lt;D xsi:type="xsd:double"&gt;67.4446&lt;/D&gt;&lt;D xsi:type="xsd:double"&gt;65.91&lt;/D&gt;&lt;D xsi:type="xsd:double"&gt;66.5&lt;/D&gt;&lt;D xsi:type="xsd:double"&gt;68&lt;/D&gt;&lt;D xsi:type="xsd:double"&gt;68.61&lt;/D&gt;&lt;D xsi:type="xsd:double"&gt;68.16&lt;/D&gt;&lt;D xsi:type="xsd:double"&gt;68.21&lt;/D&gt;&lt;D xsi:type="xsd:double"&gt;68.39&lt;/D&gt;&lt;D xsi:type="xsd:double"&gt;67.25&lt;/D&gt;&lt;D xsi:type="xsd:double"&gt;66.94&lt;/D&gt;&lt;D xsi:type="xsd:double"&gt;66.25&lt;/D&gt;&lt;D xsi:type="xsd:double"&gt;66.81&lt;/D&gt;&lt;D xsi:type="xsd:double"&gt;67.45&lt;/D&gt;&lt;D xsi:type="xsd:double"&gt;67.24&lt;/D&gt;&lt;D xsi:type="xsd:double"&gt;67.67&lt;/D&gt;&lt;D xsi:type="xsd:double"&gt;66.77&lt;/D&gt;&lt;D xsi:type="xsd:double"&gt;65.8&lt;/D&gt;&lt;D xsi:type="xsd:double"&gt;66.97&lt;/D&gt;&lt;D xsi:type="xsd:double"&gt;66.45&lt;/D&gt;&lt;D xsi:type="xsd:double"&gt;66.3&lt;/D&gt;&lt;D xsi:type="xsd:double"&gt;66.37&lt;/D&gt;&lt;D xsi:type="xsd:double"&gt;66.64&lt;/D&gt;&lt;D xsi:type="xsd:double"&gt;66.28&lt;/D&gt;&lt;D xsi:type="xsd:double"&gt;65.32&lt;/D&gt;&lt;D xsi:type="xsd:double"&gt;66.15&lt;/D&gt;&lt;D xsi:type="xsd:double"&gt;65.48&lt;/D&gt;&lt;D xsi:type="xsd:double"&gt;63.99&lt;/D&gt;&lt;D xsi:type="xsd:double"&gt;64.64&lt;/D&gt;&lt;D xsi:type="xsd:double"&gt;62.76&lt;/D&gt;&lt;D xsi:type="xsd:double"&gt;63.34&lt;/D&gt;&lt;D xsi:type="xsd:double"&gt;63.2&lt;/D&gt;&lt;D xsi:type="xsd:double"&gt;64.5&lt;/D&gt;&lt;D xsi:type="xsd:double"&gt;65&lt;/D&gt;&lt;D xsi:type="xsd:double"&gt;64.67&lt;/D&gt;&lt;D xsi:type="xsd:double"&gt;64.32&lt;/D&gt;&lt;D xsi:type="xsd:double"&gt;63.63&lt;/D&gt;&lt;D xsi:type="xsd:double"&gt;63.69&lt;/D&gt;&lt;D xsi:type="xsd:double"&gt;62.35&lt;/D&gt;&lt;D xsi:type="xsd:double"&gt;62.47&lt;/D&gt;&lt;D xsi:type="xsd:double"&gt;62.68&lt;/D&gt;&lt;D xsi:type="xsd:double"&gt;62.17&lt;/D&gt;&lt;D xsi:type="xsd:double"&gt;63.18&lt;/D&gt;&lt;D xsi:type="xsd:double"&gt;62.22&lt;/D&gt;&lt;D xsi:type="xsd:double"&gt;62.69&lt;/D&gt;&lt;D xsi:type="xsd:double"&gt;63.76&lt;/D&gt;&lt;D xsi:type="xsd:double"&gt;62.89&lt;/D&gt;&lt;D xsi:type="xsd:double"&gt;63.03&lt;/D&gt;&lt;D xsi:type="xsd:double"&gt;63.27&lt;/D&gt;&lt;D xsi:type="xsd:double"&gt;64.06&lt;/D&gt;&lt;D xsi:type="xsd:double"&gt;63.56&lt;/D&gt;&lt;D xsi:type="xsd:double"&gt;63.28&lt;/D&gt;&lt;D xsi:type="xsd:double"&gt;62.99&lt;/D&gt;&lt;D xsi:type="xsd:double"&gt;62.75&lt;/D&gt;&lt;D xsi:type="xsd:double"&gt;63.87&lt;/D&gt;&lt;D xsi:type="xsd:double"&gt;64.67&lt;/D&gt;&lt;D xsi:type="xsd:double"&gt;64.83&lt;/D&gt;&lt;D xsi:type="xsd:double"&gt;65.61&lt;/D&gt;&lt;D xsi:type="xsd:double"&gt;65.45&lt;/D&gt;&lt;D xsi:type="xsd:double"&gt;65.7&lt;/D&gt;&lt;D xsi:type="xsd:double"&gt;65.62&lt;/D&gt;&lt;D xsi:type="xsd:double"&gt;65.33&lt;/D&gt;&lt;D xsi:type="xsd:double"&gt;65.38&lt;/D&gt;&lt;D xsi:type="xsd:double"&gt;66.17&lt;/D&gt;&lt;D xsi:type="xsd:double"&gt;65.25&lt;/D&gt;&lt;D xsi:type="xsd:double"&gt;65.56&lt;/D&gt;&lt;D xsi:type="xsd:double"&gt;64.4&lt;/D&gt;&lt;D xsi:type="xsd:double"&gt;64.27&lt;/D&gt;&lt;D xsi:type="xsd:double"&gt;63.82&lt;/D&gt;&lt;D xsi:type="xsd:double"&gt;63.96&lt;/D&gt;&lt;D xsi:type="xsd:double"&gt;65&lt;/D&gt;&lt;D xsi:type="xsd:double"&gt;65.23&lt;/D&gt;&lt;D xsi:type="xsd:double"&gt;64.76&lt;/D&gt;&lt;D xsi:type="xsd:double"&gt;64.14&lt;/D&gt;&lt;D xsi:type="xsd:double"&gt;64.3&lt;/D&gt;&lt;D xsi:type="xsd:double"&gt;64.1&lt;/D&gt;&lt;D xsi:type="xsd:double"&gt;64.77&lt;/D&gt;&lt;D xsi:type="xsd:double"&gt;65.23&lt;/D&gt;&lt;D xsi:type="xsd:double"&gt;65.17&lt;/D&gt;&lt;D xsi:type="xsd:double"&gt;64.22&lt;/D&gt;&lt;D xsi:type="xsd:double"&gt;63.64&lt;/D&gt;&lt;D xsi:type="xsd:double"&gt;63.6&lt;/D&gt;&lt;D xsi:type="xsd:double"&gt;63.86&lt;/D&gt;&lt;D xsi:type="xsd:double"&gt;63.4&lt;/D&gt;&lt;D xsi:type="xsd:double"&gt;63.26&lt;/D&gt;&lt;D xsi:type="xsd:double"&gt;63.4&lt;/D&gt;&lt;D xsi:type="xsd:double"&gt;62.28&lt;/D&gt;&lt;D xsi:type="xsd:double"&gt;63.09&lt;/D&gt;&lt;D xsi:type="xsd:double"&gt;63.94&lt;/D&gt;&lt;D xsi:type="xsd:double"&gt;64.49&lt;/D&gt;&lt;D xsi:type="xsd:double"&gt;64.98&lt;/D&gt;&lt;D xsi:type="xsd:double"&gt;65.62&lt;/D&gt;&lt;D xsi:type="xsd:double"&gt;65.995&lt;/D&gt;&lt;D xsi:type="xsd:double"&gt;65.2&lt;/D&gt;&lt;D xsi:type="xsd:double"&gt;65.4&lt;/D&gt;&lt;D xsi:type="xsd:double"&gt;65.15&lt;/D&gt;&lt;D xsi:type="xsd:double"&gt;65.58&lt;/D&gt;&lt;D xsi:type="xsd:double"&gt;66.89&lt;/D&gt;&lt;D xsi:type="xsd:double"&gt;66.53&lt;/D&gt;&lt;D xsi:type="xsd:double"&gt;66.81&lt;/D&gt;&lt;D xsi:type="xsd:double"&gt;66.35&lt;/D&gt;&lt;D xsi:type="xsd:double"&gt;65.68&lt;/D&gt;&lt;D xsi:type="xsd:double"&gt;65.0692&lt;/D&gt;&lt;D xsi:type="xsd:double"&gt;64.58&lt;/D&gt;&lt;D xsi:type="xsd:double"&gt;64.2&lt;/D&gt;&lt;D xsi:type="xsd:double"&gt;62.98&lt;/D&gt;&lt;D xsi:type="xsd:double"&gt;62.02&lt;/D&gt;&lt;D xsi:type="xsd:double"&gt;60.34&lt;/D&gt;&lt;D xsi:type="xsd:double"&gt;60.51&lt;/D&gt;&lt;D xsi:type="xsd:double"&gt;60.44&lt;/D&gt;&lt;D xsi:type="xsd:double"&gt;60.98&lt;/D&gt;&lt;D xsi:type="xsd:double"&gt;60.45&lt;/D&gt;&lt;D xsi:type="xsd:double"&gt;62.15&lt;/D&gt;&lt;D xsi:type="xsd:double"&gt;62&lt;/D&gt;&lt;D xsi:type="xsd:double"&gt;62.58&lt;/D&gt;&lt;D xsi:type="xsd:double"&gt;61.43&lt;/D&gt;&lt;D xsi:type="xsd:double"&gt;61.53&lt;/D&gt;&lt;D xsi:type="xsd:double"&gt;61.2&lt;/D&gt;&lt;D xsi:type="xsd:double"&gt;61.52&lt;/D&gt;&lt;D xsi:type="xsd:double"&gt;60.8&lt;/D&gt;&lt;D xsi:type="xsd:double"&gt;60.25&lt;/D&gt;&lt;D xsi:type="xsd:double"&gt;60.82&lt;/D&gt;&lt;D xsi:type="xsd:double"&gt;60.99&lt;/D&gt;&lt;D xsi:type="xsd:double"&gt;61.32&lt;/D&gt;&lt;D xsi:type="xsd:double"&gt;61.08&lt;/D&gt;&lt;D xsi:type="xsd:double"&gt;60.9&lt;/D&gt;&lt;D xsi:type="xsd:double"&gt;59.12&lt;/D&gt;&lt;D xsi:type="xsd:double"&gt;59.72&lt;/D&gt;&lt;D xsi:type="xsd:double"&gt;59.34&lt;/D&gt;&lt;D xsi:type="xsd:double"&gt;58.63&lt;/D&gt;&lt;D xsi:type="xsd:double"&gt;58.04&lt;/D&gt;&lt;D xsi:type="xsd:double"&gt;58.17&lt;/D&gt;&lt;D xsi:type="xsd:double"&gt;59.31&lt;/D&gt;&lt;D xsi:type="xsd:double"&gt;58.42&lt;/D&gt;&lt;D xsi:type="xsd:double"&gt;57.86&lt;/D&gt;&lt;D xsi:type="xsd:double"&gt;56.55&lt;/D&gt;&lt;D xsi:type="xsd:double"&gt;54.71&lt;/D&gt;&lt;D xsi:type="xsd:double"&gt;54.58&lt;/D&gt;&lt;D xsi:type="xsd:double"&gt;54.88&lt;/D&gt;&lt;D xsi:type="xsd:double"&gt;55.79&lt;/D&gt;&lt;D xsi:type="xsd:double"&gt;56&lt;/D&gt;&lt;D xsi:type="xsd:double"&gt;56.89&lt;/D&gt;&lt;D xsi:type="xsd:double"&gt;56.52&lt;/D&gt;&lt;D xsi:type="xsd:double"&gt;56.48&lt;/D&gt;&lt;D xsi:type="xsd:double"&gt;55.85&lt;/D&gt;&lt;D xsi:type="xsd:double"&gt;55.46&lt;/D&gt;&lt;D xsi:type="xsd:double"&gt;55.77&lt;/D&gt;&lt;D xsi:type="xsd:double"&gt;55.24&lt;/D&gt;&lt;D xsi:type="xsd:double"&gt;55.29&lt;/D&gt;&lt;D xsi:type="xsd:double"&gt;55.7&lt;/D&gt;&lt;D xsi:type="xsd:double"&gt;55&lt;/D&gt;&lt;D xsi:type="xsd:double"&gt;55.71&lt;/D&gt;&lt;D xsi:type="xsd:double"&gt;55.85&lt;/D&gt;&lt;D xsi:type="xsd:double"&gt;55.02&lt;/D&gt;&lt;D xsi:type="xsd:double"&gt;53.23&lt;/D&gt;&lt;D xsi:type="xsd:double"&gt;53.88&lt;/D&gt;&lt;D xsi:type="xsd:double"&gt;54.14&lt;/D&gt;&lt;D xsi:type="xsd:double"&gt;53.89&lt;/D&gt;&lt;D xsi:type="xsd:double"&gt;52.9&lt;/D&gt;&lt;D xsi:type="xsd:double"&gt;52.5&lt;/D&gt;&lt;D xsi:type="xsd:double"&gt;52.15&lt;/D&gt;&lt;D xsi:type="xsd:double"&gt;52.22&lt;/D&gt;&lt;D xsi:type="xsd:double"&gt;52.07&lt;/D&gt;&lt;D xsi:type="xsd:double"&gt;51.6&lt;/D&gt;&lt;D xsi:type="xsd:double"&gt;51.0483&lt;/D&gt;&lt;D xsi:type="xsd:double"&gt;50.26&lt;/D&gt;&lt;D xsi:type="xsd:double"&gt;50.37&lt;/D&gt;&lt;D xsi:type="xsd:double"&gt;50.13&lt;/D&gt;&lt;D xsi:type="xsd:double"&gt;50.44&lt;/D&gt;&lt;D xsi:type="xsd:double"&gt;50.1&lt;/D&gt;&lt;D xsi:type="xsd:double"&gt;49.3&lt;/D&gt;&lt;D xsi:type="xsd:double"&gt;49.52&lt;/D&gt;&lt;D xsi:type="xsd:double"&gt;49.99&lt;/D&gt;&lt;D xsi:type="xsd:double"&gt;49.71&lt;/D&gt;&lt;D xsi:type="xsd:double"&gt;49.52&lt;/D&gt;&lt;D xsi:type="xsd:double"&gt;49.95&lt;/D&gt;&lt;D xsi:type="xsd:double"&gt;49.35&lt;/D&gt;&lt;D xsi:type="xsd:double"&gt;49.05&lt;/D&gt;&lt;D xsi:type="xsd:double"&gt;47.02&lt;/D&gt;&lt;D xsi:type="xsd:double"&gt;47.34&lt;/D&gt;&lt;D xsi:type="xsd:double"&gt;47.35&lt;/D&gt;&lt;D xsi:type="xsd:double"&gt;47.415&lt;/D&gt;&lt;D xsi:type="xsd:double"&gt;46.92&lt;/D&gt;&lt;D xsi:type="xsd:double"&gt;45.92&lt;/D&gt;&lt;D xsi:type="xsd:double"&gt;44.76&lt;/D&gt;&lt;D xsi:type="xsd:double"&gt;44.85&lt;/D&gt;&lt;D xsi:type="xsd:double"&gt;42.65&lt;/D&gt;&lt;D xsi:type="xsd:double"&gt;40.77&lt;/D&gt;&lt;D xsi:type="xsd:double"&gt;43.59&lt;/D&gt;&lt;D xsi:type="xsd:double"&gt;47.32&lt;/D&gt;&lt;D xsi:type="xsd:double"&gt;48.1&lt;/D&gt;&lt;D xsi:type="xsd:double"&gt;47.63&lt;/D&gt;&lt;D xsi:type="xsd:double"&gt;46.97&lt;/D&gt;&lt;/FQL&gt;&lt;FQL&gt;&lt;Q&gt;EWC^FG_TOTAL_RETURNC(-5AY,0,AM)&lt;/Q&gt;&lt;R&gt;61&lt;/R&gt;&lt;C&gt;1&lt;/C&gt;&lt;D xsi:type="xsd:double"&gt;2.2158027&lt;/D&gt;&lt;D xsi:type="xsd:double"&gt;3.2987833&lt;/D&gt;&lt;D xsi:type="xsd:double"&gt;5.5352807&lt;/D&gt;&lt;D xsi:type="xsd:double"&gt;1.7291069&lt;/D&gt;&lt;D xsi:type="xsd:double"&gt;4.362607&lt;/D&gt;&lt;D xsi:type="xsd:double"&gt;3.8382888&lt;/D&gt;&lt;D xsi:type="xsd:double"&gt;-3.314048&lt;/D&gt;&lt;D xsi:type="xsd:double"&gt;2.5843382&lt;/D&gt;&lt;D xsi:type="xsd:double"&gt;-0.3712535&lt;/D&gt;&lt;D xsi:type="xsd:double"&gt;3.779614&lt;/D&gt;&lt;D xsi:type="xsd:double"&gt;2.3339272&lt;/D&gt;&lt;D xsi:type="xsd:double"&gt;-5.8901367&lt;/D&gt;&lt;D xsi:type="xsd:double"&gt;5.5570602&lt;/D&gt;&lt;D xsi:type="xsd:double"&gt;-0.71557164&lt;/D&gt;&lt;D xsi:type="xsd:double"&gt;-1.9304991&lt;/D&gt;&lt;D xsi:type="xsd:double"&gt;4.1469812&lt;/D&gt;&lt;D xsi:type="xsd:double"&gt;-9.526205&lt;/D&gt;&lt;D xsi:type="xsd:double"&gt;-2.0889103&lt;/D&gt;&lt;D xsi:type="xsd:double"&gt;-7.1653786&lt;/D&gt;&lt;D xsi:type="xsd:double"&gt;10.682308&lt;/D&gt;&lt;D xsi:type="xsd:double"&gt;-5.216175&lt;/D&gt;&lt;D xsi:type="xsd:double"&gt;-10.329604&lt;/D&gt;&lt;D xsi:type="xsd:double"&gt;14.243531&lt;/D&gt;&lt;D xsi:type="xsd:double"&gt;-4.459506&lt;/D&gt;&lt;D xsi:type="xsd:double"&gt;6.1928034&lt;/D&gt;&lt;D xsi:type="xsd:double"&gt;2.1832705&lt;/D&gt;&lt;D xsi:type="xsd:double"&gt;-9.136915&lt;/D&gt;&lt;D xsi:type="xsd:double"&gt;9.684408&lt;/D&gt;&lt;D xsi:type="xsd:double"&gt;-0.59238076&lt;/D&gt;&lt;D xsi:type="xsd:double"&gt;-0.3340304&lt;/D&gt;&lt;D xsi:type="xsd:double"&gt;1.351738&lt;/D&gt;&lt;D xsi:type="xsd:double"&gt;-3.5187304&lt;/D&gt;&lt;D xsi:type="xsd:double"&gt;3.735292&lt;/D&gt;&lt;D xsi:type="xsd:double"&gt;-5.925715&lt;/D&gt;&lt;D xsi:type="xsd:double"&gt;3.3453941&lt;/D&gt;&lt;D xsi:type="xsd:double"&gt;4.8410654&lt;/D&gt;&lt;D xsi:type="xsd:double"&gt;2.3775458&lt;/D&gt;&lt;D xsi:type="xsd:double"&gt;1.0740876&lt;/D&gt;&lt;D xsi:type="xsd:double"&gt;2.8065324&lt;/D&gt;&lt;D xsi:type="xsd:double"&gt;-2.252847&lt;/D&gt;&lt;D xsi:type="xsd:double"&gt;3.850317&lt;/D&gt;&lt;D xsi:type="xsd:double"&gt;-3.6919713&lt;/D&gt;&lt;D xsi:type="xsd:double"&gt;5.6376457&lt;/D&gt;&lt;D xsi:type="xsd:double"&gt;1.2953401&lt;/D&gt;&lt;D xsi:type="xsd:double"&gt;3.6828756&lt;/D&gt;&lt;D xsi:type="xsd:double"&gt;2.3186922&lt;/D&gt;&lt;D xsi:type="xsd:double"&gt;0.5785942&lt;/D&gt;&lt;D xsi:type="xsd:double"&gt;0.69509745&lt;/D&gt;&lt;D xsi:type="xsd:double"&gt;-2.300483&lt;/D&gt;&lt;D xsi:type="xsd:double"&gt;4.1234493&lt;/D&gt;&lt;D xsi:type="xsd:double"&gt;-4.884982&lt;/D&gt;&lt;D xsi:type="xsd:double"&gt;1.0471106&lt;/D&gt;&lt;D xsi:type="xsd:double"&gt;8.142126&lt;/D&gt;&lt;D xsi:type="xsd:double"&gt;4.6771646&lt;/D&gt;&lt;D xsi:type="xsd:double"&gt;1.0196209&lt;/D&gt;&lt;D xsi:type="xsd:double"&gt;2.6715875&lt;/D&gt;&lt;D xsi:type="xsd:double"&gt;6.0503483&lt;/D&gt;&lt;D xsi:type="xsd:double"&gt;1.6556859&lt;/D&gt;&lt;D xsi:type="xsd:double"&gt;-0.13736486&lt;/D&gt;&lt;D xsi:type="xsd:double"&gt;5.7182193&lt;/D&gt;&lt;D xsi:type="xsd:double"&gt;3.559482&lt;/D&gt;&lt;/FQL&gt;&lt;FQL&gt;&lt;Q&gt;VNM^FG_PRICE(0,-200D)&lt;/Q&gt;&lt;R&gt;201&lt;/R&gt;&lt;C&gt;1&lt;/C&gt;&lt;D xsi:type="xsd:double"&gt;19.53&lt;/D&gt;&lt;D xsi:type="xsd:double"&gt;19.69&lt;/D&gt;&lt;D xsi:type="xsd:double"&gt;19.8&lt;/D&gt;&lt;D xsi:type="xsd:double"&gt;19.67&lt;/D&gt;&lt;D xsi:type="xsd:double"&gt;19.28&lt;/D&gt;&lt;D xsi:type="xsd:double"&gt;19.31&lt;/D&gt;&lt;D xsi:type="xsd:double"&gt;19.44&lt;/D&gt;&lt;D xsi:type="xsd:double"&gt;19.43&lt;/D&gt;&lt;D xsi:type="xsd:double"&gt;19.02&lt;/D&gt;&lt;D xsi:type="xsd:double"&gt;19.11&lt;/D&gt;&lt;D xsi:type="xsd:double"&gt;19.08&lt;/D&gt;&lt;D xsi:type="xsd:double"&gt;19.01&lt;/D&gt;&lt;D xsi:type="xsd:double"&gt;18.92&lt;/D&gt;&lt;D xsi:type="xsd:double"&gt;18.4&lt;/D&gt;&lt;D xsi:type="xsd:double"&gt;19.01&lt;/D&gt;&lt;D xsi:type="xsd:double"&gt;19.08&lt;/D&gt;&lt;D xsi:type="xsd:double"&gt;18.61&lt;/D&gt;&lt;D xsi:type="xsd:double"&gt;18.39&lt;/D&gt;&lt;D xsi:type="xsd:double"&gt;17.88&lt;/D&gt;&lt;D xsi:type="xsd:double"&gt;17.54&lt;/D&gt;&lt;D xsi:type="xsd:double"&gt;17.85&lt;/D&gt;&lt;D xsi:type="xsd:double"&gt;17.42&lt;/D&gt;&lt;D xsi:type="xsd:double"&gt;17.49&lt;/D&gt;&lt;D xsi:type="xsd:double"&gt;18.27&lt;/D&gt;&lt;D xsi:type="xsd:double"&gt;18.28&lt;/D&gt;&lt;D xsi:type="xsd:double"&gt;18.65&lt;/D&gt;&lt;D xsi:type="xsd:double"&gt;18.72&lt;/D&gt;&lt;D xsi:type="xsd:double"&gt;18.65&lt;/D&gt;&lt;D xsi:type="xsd:double"&gt;18.59&lt;/D&gt;&lt;D xsi:type="xsd:double"&gt;18.69&lt;/D&gt;&lt;D xsi:type="xsd:double"&gt;18.65&lt;/D&gt;&lt;D xsi:type="xsd:double"&gt;18.38&lt;/D&gt;&lt;D xsi:type="xsd:double"&gt;18.34&lt;/D&gt;&lt;D xsi:type="xsd:double"&gt;18.24&lt;/D&gt;&lt;D xsi:type="xsd:double"&gt;17.75&lt;/D&gt;&lt;D xsi:type="xsd:double"&gt;17.91&lt;/D&gt;&lt;D xsi:type="xsd:double"&gt;17.72&lt;/D&gt;&lt;D xsi:type="xsd:double"&gt;17.45&lt;/D&gt;&lt;D xsi:type="xsd:double"&gt;17.61&lt;/D&gt;&lt;D xsi:type="xsd:double"&gt;17.73&lt;/D&gt;&lt;D xsi:type="xsd:double"&gt;17.66&lt;/D&gt;&lt;D xsi:type="xsd:double"&gt;17.59&lt;/D&gt;&lt;D xsi:type="xsd:double"&gt;17.42&lt;/D&gt;&lt;D xsi:type="xsd:double"&gt;17.53&lt;/D&gt;&lt;D xsi:type="xsd:double"&gt;16.93&lt;/D&gt;&lt;D xsi:type="xsd:double"&gt;16.71&lt;/D&gt;&lt;D xsi:type="xsd:double"&gt;16.88&lt;/D&gt;&lt;D xsi:type="xsd:double"&gt;17.32&lt;/D&gt;&lt;D xsi:type="xsd:double"&gt;17.57&lt;/D&gt;&lt;D xsi:type="xsd:double"&gt;17.53&lt;/D&gt;&lt;D xsi:type="xsd:double"&gt;17.09&lt;/D&gt;&lt;D xsi:type="xsd:double"&gt;17.43&lt;/D&gt;&lt;D xsi:type="xsd:double"&gt;17.71&lt;/D&gt;&lt;D xsi:type="xsd:double"&gt;18.15&lt;/D&gt;&lt;D xsi:type="xsd:double"&gt;18.18&lt;/D&gt;&lt;D xsi:type="xsd:double"&gt;17.74&lt;/D&gt;&lt;D xsi:type="xsd:double"&gt;18.21&lt;/D&gt;&lt;D xsi:type="xsd:double"&gt;18.29&lt;/D&gt;&lt;D xsi:type="xsd:double"&gt;18.17&lt;/D&gt;&lt;D xsi:type="xsd:double"&gt;18.045&lt;/D&gt;&lt;D xsi:type="xsd:double"&gt;18.2&lt;/D&gt;&lt;D xsi:type="xsd:double"&gt;19.2&lt;/D&gt;&lt;D xsi:type="xsd:double"&gt;19.64&lt;/D&gt;&lt;D xsi:type="xsd:double"&gt;19.42&lt;/D&gt;&lt;D xsi:type="xsd:double"&gt;19.69&lt;/D&gt;&lt;D xsi:type="xsd:double"&gt;19.59&lt;/D&gt;&lt;D xsi:type="xsd:double"&gt;18.98&lt;/D&gt;&lt;D xsi:type="xsd:double"&gt;18.75&lt;/D&gt;&lt;D xsi:type="xsd:double"&gt;18.43&lt;/D&gt;&lt;D xsi:type="xsd:double"&gt;18.23&lt;/D&gt;&lt;D xsi:type="xsd:double"&gt;18.435&lt;/D&gt;&lt;D xsi:type="xsd:double"&gt;17.53&lt;/D&gt;&lt;D xsi:type="xsd:double"&gt;17.515&lt;/D&gt;&lt;D xsi:type="xsd:double"&gt;18.04&lt;/D&gt;&lt;D xsi:type="xsd:double"&gt;17.84&lt;/D&gt;&lt;D xsi:type="xsd:double"&gt;17.69&lt;/D&gt;&lt;D xsi:type="xsd:double"&gt;17.55&lt;/D&gt;&lt;D xsi:type="xsd:double"&gt;17.67&lt;/D&gt;&lt;D xsi:type="xsd:double"&gt;17.58&lt;/D&gt;&lt;D xsi:type="xsd:double"&gt;17.29&lt;/D&gt;&lt;D xsi:type="xsd:double"&gt;17.53&lt;/D&gt;&lt;D xsi:type="xsd:double"&gt;17.68&lt;/D&gt;&lt;D </t>
        </r>
      </text>
    </comment>
    <comment ref="A5" authorId="0" shapeId="0" xr:uid="{37D58589-B9D8-4642-A078-CE282B436333}">
      <text>
        <r>
          <rPr>
            <b/>
            <sz val="9"/>
            <color indexed="81"/>
            <rFont val="Tahoma"/>
            <charset val="1"/>
          </rPr>
          <t>xsi:type="xsd:double"&gt;17.8&lt;/D&gt;&lt;D xsi:type="xsd:double"&gt;17.88&lt;/D&gt;&lt;D xsi:type="xsd:double"&gt;18.06&lt;/D&gt;&lt;D xsi:type="xsd:double"&gt;18.4&lt;/D&gt;&lt;D xsi:type="xsd:double"&gt;17.97&lt;/D&gt;&lt;D xsi:type="xsd:double"&gt;18.03&lt;/D&gt;&lt;D xsi:type="xsd:double"&gt;17.75&lt;/D&gt;&lt;D xsi:type="xsd:double"&gt;17.67&lt;/D&gt;&lt;D xsi:type="xsd:double"&gt;17.37&lt;/D&gt;&lt;D xsi:type="xsd:double"&gt;17.97&lt;/D&gt;&lt;D xsi:type="xsd:double"&gt;18.43&lt;/D&gt;&lt;D xsi:type="xsd:double"&gt;18.25&lt;/D&gt;&lt;D xsi:type="xsd:double"&gt;18.14&lt;/D&gt;&lt;D xsi:type="xsd:double"&gt;18.29&lt;/D&gt;&lt;D xsi:type="xsd:double"&gt;18.315&lt;/D&gt;&lt;D xsi:type="xsd:double"&gt;18.02&lt;/D&gt;&lt;D xsi:type="xsd:double"&gt;17.96&lt;/D&gt;&lt;D xsi:type="xsd:double"&gt;17.22&lt;/D&gt;&lt;D xsi:type="xsd:double"&gt;17.36&lt;/D&gt;&lt;D xsi:type="xsd:double"&gt;17.6&lt;/D&gt;&lt;D xsi:type="xsd:double"&gt;17.69&lt;/D&gt;&lt;D xsi:type="xsd:double"&gt;17.9&lt;/D&gt;&lt;D xsi:type="xsd:double"&gt;17.84&lt;/D&gt;&lt;D xsi:type="xsd:double"&gt;17.71&lt;/D&gt;&lt;D xsi:type="xsd:double"&gt;17.76&lt;/D&gt;&lt;D xsi:type="xsd:double"&gt;17.46&lt;/D&gt;&lt;D xsi:type="xsd:double"&gt;17.44&lt;/D&gt;&lt;D xsi:type="xsd:double"&gt;17.27&lt;/D&gt;&lt;D xsi:type="xsd:double"&gt;17.18&lt;/D&gt;&lt;D xsi:type="xsd:double"&gt;16.8&lt;/D&gt;&lt;D xsi:type="xsd:double"&gt;17.09&lt;/D&gt;&lt;D xsi:type="xsd:double"&gt;16.67&lt;/D&gt;&lt;D xsi:type="xsd:double"&gt;16.58&lt;/D&gt;&lt;D xsi:type="xsd:double"&gt;15.95&lt;/D&gt;&lt;D xsi:type="xsd:double"&gt;16.01&lt;/D&gt;&lt;D xsi:type="xsd:double"&gt;16.03&lt;/D&gt;&lt;D xsi:type="xsd:double"&gt;15.9&lt;/D&gt;&lt;D xsi:type="xsd:double"&gt;16.78&lt;/D&gt;&lt;D xsi:type="xsd:double"&gt;16.47&lt;/D&gt;&lt;D xsi:type="xsd:double"&gt;15.995&lt;/D&gt;&lt;D xsi:type="xsd:double"&gt;16&lt;/D&gt;&lt;D xsi:type="xsd:double"&gt;15.82&lt;/D&gt;&lt;D xsi:type="xsd:double"&gt;15.35&lt;/D&gt;&lt;D xsi:type="xsd:double"&gt;15.575&lt;/D&gt;&lt;D xsi:type="xsd:double"&gt;15.67&lt;/D&gt;&lt;D xsi:type="xsd:double"&gt;15.41&lt;/D&gt;&lt;D xsi:type="xsd:double"&gt;15.04&lt;/D&gt;&lt;D xsi:type="xsd:double"&gt;15.24&lt;/D&gt;&lt;D xsi:type="xsd:double"&gt;15.22&lt;/D&gt;&lt;D xsi:type="xsd:double"&gt;15.12&lt;/D&gt;&lt;D xsi:type="xsd:double"&gt;14.89&lt;/D&gt;&lt;D xsi:type="xsd:double"&gt;14.51&lt;/D&gt;&lt;D xsi:type="xsd:double"&gt;14.18&lt;/D&gt;&lt;D xsi:type="xsd:double"&gt;13.96&lt;/D&gt;&lt;D xsi:type="xsd:double"&gt;13.76&lt;/D&gt;&lt;D xsi:type="xsd:double"&gt;13.72&lt;/D&gt;&lt;D xsi:type="xsd:double"&gt;13.75&lt;/D&gt;&lt;D xsi:type="xsd:double"&gt;13.73&lt;/D&gt;&lt;D xsi:type="xsd:double"&gt;13.61&lt;/D&gt;&lt;D xsi:type="xsd:double"&gt;13.54&lt;/D&gt;&lt;D xsi:type="xsd:double"&gt;13.62&lt;/D&gt;&lt;D xsi:type="xsd:double"&gt;13.4&lt;/D&gt;&lt;D xsi:type="xsd:double"&gt;13.345&lt;/D&gt;&lt;D xsi:type="xsd:double"&gt;13.36&lt;/D&gt;&lt;D xsi:type="xsd:double"&gt;13.31&lt;/D&gt;&lt;D xsi:type="xsd:double"&gt;13.26&lt;/D&gt;&lt;D xsi:type="xsd:double"&gt;13.02&lt;/D&gt;&lt;D xsi:type="xsd:double"&gt;13.36&lt;/D&gt;&lt;D xsi:type="xsd:double"&gt;13.32&lt;/D&gt;&lt;D xsi:type="xsd:double"&gt;13.4&lt;/D&gt;&lt;D xsi:type="xsd:double"&gt;13.26&lt;/D&gt;&lt;D xsi:type="xsd:double"&gt;13.64&lt;/D&gt;&lt;D xsi:type="xsd:double"&gt;13.74&lt;/D&gt;&lt;D xsi:type="xsd:double"&gt;13.86&lt;/D&gt;&lt;D xsi:type="xsd:double"&gt;13.96&lt;/D&gt;&lt;D xsi:type="xsd:double"&gt;13.81&lt;/D&gt;&lt;D xsi:type="xsd:double"&gt;13.59&lt;/D&gt;&lt;D xsi:type="xsd:double"&gt;13.51&lt;/D&gt;&lt;D xsi:type="xsd:double"&gt;13.71&lt;/D&gt;&lt;D xsi:type="xsd:double"&gt;13.585&lt;/D&gt;&lt;D xsi:type="xsd:double"&gt;13.14&lt;/D&gt;&lt;D xsi:type="xsd:double"&gt;13.17&lt;/D&gt;&lt;D xsi:type="xsd:double"&gt;13.21&lt;/D&gt;&lt;D xsi:type="xsd:double"&gt;13.09&lt;/D&gt;&lt;D xsi:type="xsd:double"&gt;12.865&lt;/D&gt;&lt;D xsi:type="xsd:double"&gt;12.75&lt;/D&gt;&lt;D xsi:type="xsd:double"&gt;12.81&lt;/D&gt;&lt;D xsi:type="xsd:double"&gt;12.82&lt;/D&gt;&lt;D xsi:type="xsd:double"&gt;12.74&lt;/D&gt;&lt;D xsi:type="xsd:double"&gt;12.69&lt;/D&gt;&lt;D xsi:type="xsd:double"&gt;12.49&lt;/D&gt;&lt;D xsi:type="xsd:double"&gt;12.6&lt;/D&gt;&lt;D xsi:type="xsd:double"&gt;12.42&lt;/D&gt;&lt;D xsi:type="xsd:double"&gt;12.22&lt;/D&gt;&lt;D xsi:type="xsd:double"&gt;12.27&lt;/D&gt;&lt;D xsi:type="xsd:double"&gt;12.24&lt;/D&gt;&lt;D xsi:type="xsd:double"&gt;12.11&lt;/D&gt;&lt;D xsi:type="xsd:double"&gt;12.07&lt;/D&gt;&lt;D xsi:type="xsd:double"&gt;12.05&lt;/D&gt;&lt;D xsi:type="xsd:double"&gt;11.95&lt;/D&gt;&lt;D xsi:type="xsd:double"&gt;12.01&lt;/D&gt;&lt;D xsi:type="xsd:double"&gt;12&lt;/D&gt;&lt;D xsi:type="xsd:double"&gt;11.62&lt;/D&gt;&lt;D xsi:type="xsd:double"&gt;11.64&lt;/D&gt;&lt;D xsi:type="xsd:double"&gt;11.51&lt;/D&gt;&lt;D xsi:type="xsd:double"&gt;11.73&lt;/D&gt;&lt;D xsi:type="xsd:double"&gt;11.5&lt;/D&gt;&lt;D xsi:type="xsd:double"&gt;11.74&lt;/D&gt;&lt;D xsi:type="xsd:double"&gt;11.93&lt;/D&gt;&lt;D xsi:type="xsd:double"&gt;11.87&lt;/D&gt;&lt;D xsi:type="xsd:double"&gt;11.31&lt;/D&gt;&lt;D xsi:type="xsd:double"&gt;11.46&lt;/D&gt;&lt;D xsi:type="xsd:double"&gt;10.13&lt;/D&gt;&lt;D xsi:type="xsd:double"&gt;11.16&lt;/D&gt;&lt;D xsi:type="xsd:double"&gt;11.64&lt;/D&gt;&lt;D xsi:type="xsd:double"&gt;11.4&lt;/D&gt;&lt;D xsi:type="xsd:double"&gt;12.7&lt;/D&gt;&lt;D xsi:type="xsd:double"&gt;12.56&lt;/D&gt;&lt;D xsi:type="xsd:double"&gt;12.48&lt;/D&gt;&lt;/FQL&gt;&lt;FQL&gt;&lt;Q&gt;EZA^FG_PRICE(0,-200D)&lt;/Q&gt;&lt;R&gt;201&lt;/R&gt;&lt;C&gt;1&lt;/C&gt;&lt;D xsi:type="xsd:double"&gt;73.74&lt;/D&gt;&lt;D xsi:type="xsd:double"&gt;73.39&lt;/D&gt;&lt;D xsi:type="xsd:double"&gt;73.09&lt;/D&gt;&lt;D xsi:type="xsd:double"&gt;72.78&lt;/D&gt;&lt;D xsi:type="xsd:double"&gt;70.69&lt;/D&gt;&lt;D xsi:type="xsd:double"&gt;70.34&lt;/D&gt;&lt;D xsi:type="xsd:double"&gt;71.45&lt;/D&gt;&lt;D xsi:type="xsd:double"&gt;72.74&lt;/D&gt;&lt;D xsi:type="xsd:double"&gt;70.24&lt;/D&gt;&lt;D xsi:type="xsd:double"&gt;69.4&lt;/D&gt;&lt;D xsi:type="xsd:double"&gt;68.8&lt;/D&gt;&lt;D xsi:type="xsd:double"&gt;69.23&lt;/D&gt;&lt;D xsi:type="xsd:double"&gt;68.43&lt;/D&gt;&lt;D xsi:type="xsd:double"&gt;70.31&lt;/D&gt;&lt;D xsi:type="xsd:double"&gt;69.92&lt;/D&gt;&lt;D xsi:type="xsd:double"&gt;69.54&lt;/D&gt;&lt;D xsi:type="xsd:double"&gt;68.79&lt;/D&gt;&lt;D xsi:type="xsd:double"&gt;67.6&lt;/D&gt;&lt;D xsi:type="xsd:double"&gt;67.51&lt;/D&gt;&lt;D xsi:type="xsd:double"&gt;66.64&lt;/D&gt;&lt;D xsi:type="xsd:double"&gt;65.7&lt;/D&gt;&lt;D xsi:type="xsd:double"&gt;69.61&lt;/D&gt;&lt;D xsi:type="xsd:double"&gt;68.63&lt;/D&gt;&lt;D xsi:type="xsd:double"&gt;69.5&lt;/D&gt;&lt;D xsi:type="xsd:double"&gt;68.18&lt;/D&gt;&lt;D xsi:type="xsd:double"&gt;66.91&lt;/D&gt;&lt;D xsi:type="xsd:double"&gt;66.39&lt;/D&gt;&lt;D xsi:type="xsd:double"&gt;67.88&lt;/D&gt;&lt;D xsi:type="xsd:double"&gt;67.05&lt;/D&gt;&lt;D xsi:type="xsd:double"&gt;66.92&lt;/D&gt;&lt;D xsi:type="xsd:double"&gt;66.5&lt;/D&gt;&lt;D xsi:type="xsd:double"&gt;67.45&lt;/D&gt;&lt;D xsi:type="xsd:double"&gt;66.74&lt;/D&gt;&lt;D xsi:type="xsd:double"&gt;67.83&lt;/D&gt;&lt;D xsi:type="xsd:double"&gt;66.3&lt;/D&gt;&lt;D xsi:type="xsd:double"&gt;65.89&lt;/D&gt;&lt;D xsi:type="xsd:double"&gt;64.86&lt;/D&gt;&lt;D xsi:type="xsd:double"&gt;64.93&lt;/D&gt;&lt;D xsi:type="xsd:double"&gt;66.57&lt;/D&gt;&lt;D xsi:type="xsd:double"&gt;66.16&lt;/D&gt;&lt;D xsi:type="xsd:double"&gt;66.13&lt;/D&gt;&lt;D xsi:type="xsd:double"&gt;66.99&lt;/D&gt;&lt;D xsi:type="xsd:double"&gt;67.83&lt;/D&gt;&lt;D xsi:type="xsd:double"&gt;68.08&lt;/D&gt;&lt;D xsi:type="xsd:double"&gt;66.53&lt;/D&gt;&lt;D xsi:type="xsd:double"&gt;66.62&lt;/D&gt;&lt;D xsi:type="xsd:double"&gt;64.24&lt;/D&gt;&lt;D xsi:type="xsd:double"&gt;63.7&lt;/D&gt;&lt;D xsi:type="xsd:double"&gt;63.4&lt;/D&gt;&lt;D xsi:type="xsd:double"&gt;61.44&lt;/D&gt;&lt;D xsi:type="xsd:double"&gt;63.76&lt;/D&gt;&lt;D xsi:type="xsd:double"&gt;63.77&lt;/D&gt;&lt;D xsi:type="xsd:double"&gt;64.37&lt;/D&gt;&lt;D xsi:type="xsd:double"&gt;64.75&lt;/D&gt;&lt;D xsi:type="xsd:double"&gt;65.23&lt;/D&gt;&lt;D xsi:type="xsd:double"&gt;64.2&lt;/D&gt;&lt;D xsi:type="xsd:double"&gt;65.18&lt;/D&gt;&lt;D xsi:type="xsd:double"&gt;64.93&lt;/D&gt;&lt;D xsi:type="xsd:double"&gt;63.58&lt;/D&gt;&lt;D xsi:type="xsd:double"&gt;63.27&lt;/D&gt;&lt;D xsi:type="xsd:double"&gt;66.21&lt;/D&gt;&lt;D xsi:type="xsd:double"&gt;65.41&lt;/D&gt;&lt;D xsi:type="xsd:double"&gt;67.33&lt;/D&gt;&lt;D xsi:type="xsd:double"&gt;66.03&lt;/D&gt;&lt;D xsi:type="xsd:double"&gt;65.31&lt;/D&gt;&lt;D xsi:type="xsd:double"&gt;66.01&lt;/D&gt;&lt;D xsi:type="xsd:double"&gt;63.32&lt;/D&gt;&lt;D xsi:type="xsd:double"&gt;65.06&lt;/D&gt;&lt;D xsi:type="xsd:double"&gt;66.8&lt;/D&gt;&lt;D xsi:type="xsd:double"&gt;64.79&lt;/D&gt;&lt;D xsi:type="xsd:double"&gt;65.32&lt;/D&gt;&lt;D xsi:type="xsd:double"&gt;65.06&lt;/D&gt;&lt;D xsi:type="xsd:double"&gt;64.21&lt;/D&gt;&lt;D xsi:type="xsd:double"&gt;64.75&lt;/D&gt;&lt;D xsi:type="xsd:double"&gt;64.1&lt;/D&gt;&lt;D xsi:type="xsd:double"&gt;63.42&lt;/D&gt;&lt;D xsi:type="xsd:double"&gt;63.3&lt;/D&gt;&lt;D xsi:type="xsd:double"&gt;61.67&lt;/D&gt;&lt;D xsi:type="xsd:double"&gt;61.97&lt;/D&gt;&lt;D xsi:type="xsd:double"&gt;62.87&lt;/D&gt;&lt;D xsi:type="xsd:double"&gt;62.46&lt;/D&gt;&lt;D xsi:type="xsd:double"&gt;62.54&lt;/D&gt;&lt;D xsi:type="xsd:double"&gt;61.48&lt;/D&gt;&lt;D xsi:type="xsd:double"&gt;60.86&lt;/D&gt;&lt;D xsi:type="xsd:double"&gt;61&lt;/D&gt;&lt;D xsi:type="xsd:double"&gt;60.93&lt;/D&gt;&lt;D xsi:type="xsd:double"&gt;60.57&lt;/D&gt;&lt;D xsi:type="xsd:double"&gt;60.56&lt;/D&gt;&lt;D xsi:type="xsd:double"&gt;59.73&lt;/D&gt;&lt;D xsi:type="xsd:double"&gt;59.03&lt;/D&gt;&lt;D xsi:type="xsd:double"&gt;59.34&lt;/D&gt;&lt;D xsi:type="xsd:double"&gt;57.92&lt;/D&gt;&lt;D xsi:type="xsd:double"&gt;56.57&lt;/D&gt;&lt;D xsi:type="xsd:double"&gt;57.7&lt;/D&gt;&lt;D xsi:type="xsd:double"&gt;57.25&lt;/D&gt;&lt;D xsi:type="xsd:double"&gt;57.67&lt;/D&gt;&lt;D xsi:type="xsd:double"&gt;57.15&lt;/D&gt;&lt;D xsi:type="xsd:double"&gt;57.38&lt;/D&gt;&lt;D xsi:type="xsd:double"&gt;58.1&lt;/D&gt;&lt;D xsi:type="xsd:double"&gt;58.35&lt;/D&gt;&lt;D xsi:type="xsd:double"&gt;58.8&lt;/D&gt;&lt;D xsi:type="xsd:double"&gt;56.91&lt;/D&gt;&lt;D xsi:type="xsd:double"&gt;57.11&lt;/D&gt;&lt;D xsi:type="xsd:double"&gt;56.67&lt;/D&gt;&lt;D xsi:type="xsd:double"&gt;57.11&lt;/D&gt;&lt;D xsi:type="xsd:double"&gt;57.62&lt;/D&gt;&lt;D xsi:type="xsd:double"&gt;57.64&lt;/D&gt;&lt;D xsi:type="xsd:double"&gt;58.36&lt;/D&gt;&lt;D xsi:type="xsd:double"&gt;57.5&lt;/D&gt;&lt;D xsi:type="xsd:double"&gt;56.36&lt;/D&gt;&lt;D xsi:type="xsd:double"&gt;56.45&lt;/D&gt;&lt;D xsi:type="xsd:double"&gt;56.66&lt;/D&gt;&lt;D xsi:type="xsd:double"&gt;56.17&lt;/D&gt;&lt;D xsi:type="xsd:double"&gt;55.4&lt;/D&gt;&lt;D xsi:type="xsd:double"&gt;55.05&lt;/D&gt;&lt;D xsi:type="xsd:double"&gt;53.43&lt;/D&gt;&lt;D xsi:type="xsd:double"&gt;53.05&lt;/D&gt;&lt;D xsi:type="xsd:double"&gt;53.99&lt;/D&gt;&lt;D xsi:type="xsd:double"&gt;54.54&lt;/D&gt;&lt;D xsi:type="xsd:double"&gt;54.22&lt;/D&gt;&lt;D xsi:type="xsd:double"&gt;54.74&lt;/D&gt;&lt;D xsi:type="xsd:double"&gt;55.44&lt;/D&gt;&lt;D xsi:type="xsd:double"&gt;56.27&lt;/D&gt;&lt;D xsi:type="xsd:double"&gt;55.74&lt;/D&gt;&lt;D xsi:type="xsd:double"&gt;55.7&lt;/D&gt;&lt;D xsi:type="xsd:double"&gt;54.81&lt;/D&gt;&lt;D xsi:type="xsd:double"&gt;53.57&lt;/D&gt;&lt;D xsi:type="xsd:double"&gt;53.43&lt;/D&gt;&lt;D xsi:type="xsd:double"&gt;52.86&lt;/D&gt;&lt;D xsi:type="xsd:double"&gt;52.99&lt;/D&gt;&lt;D xsi:type="xsd:double"&gt;52.98&lt;/D&gt;&lt;D xsi:type="xsd:double"&gt;53.95&lt;/D&gt;&lt;D xsi:type="xsd:double"&gt;54&lt;/D&gt;&lt;D xsi:type="xsd:double"&gt;53.81&lt;/D&gt;&lt;D xsi:type="xsd:double"&gt;53.84&lt;/D&gt;&lt;D xsi:type="xsd:double"&gt;54.79&lt;/D&gt;&lt;D xsi:type="xsd:double"&gt;54.31&lt;/D&gt;&lt;D xsi:type="xsd:double"&gt;54.21&lt;/D&gt;&lt;D xsi:type="xsd:double"&gt;53.75&lt;/D&gt;&lt;D xsi:type="xsd:double"&gt;52.64&lt;/D&gt;&lt;D xsi:type="xsd:double"&gt;52.98&lt;/D&gt;&lt;D xsi:type="xsd:double"&gt;52.89&lt;/D&gt;&lt;D xsi:type="xsd:double"&gt;53.46&lt;/D&gt;&lt;D xsi:type="xsd:double"&gt;52.35&lt;/D&gt;&lt;D xsi:type="xsd:double"&gt;51.73&lt;/D&gt;&lt;D xsi:type="xsd:double"&gt;51.8&lt;/D&gt;&lt;D xsi:type="xsd:double"&gt;51.56&lt;/D&gt;&lt;D xsi:type="xsd:double"&gt;53.04&lt;/D&gt;&lt;D xsi:type="xsd:double"&gt;53.3&lt;/D&gt;&lt;D xsi:type="xsd:double"&gt;54.77&lt;/D&gt;&lt;D xsi:type="xsd:double"&gt;54.08&lt;/D&gt;&lt;D xsi:type="xsd:double"&gt;54.66&lt;/D&gt;&lt;D xsi:type="xsd:double"&gt;54.44&lt;/D&gt;&lt;D xsi:type="xsd:double"&gt;53.94&lt;/D&gt;&lt;D xsi:type="xsd:double"&gt;54.03&lt;/D&gt;&lt;D xsi:type="xsd:double"&gt;53.46&lt;/D&gt;&lt;D xsi:type="xsd:double"&gt;53.13&lt;/D&gt;&lt;D xsi:type="xsd:double"&gt;53.27&lt;/D&gt;&lt;D xsi:type="xsd:double"&gt;52.21&lt;/D&gt;&lt;D xsi:type="xsd:double"&gt;53.05&lt;/D&gt;&lt;D xsi:type="xsd:double"&gt;52.03&lt;/D&gt;&lt;D xsi:type="xsd:double"&gt;51.91&lt;/D&gt;&lt;D xsi:type="xsd:double"&gt;52.52&lt;/D&gt;&lt;D xsi:type="xsd:double"&gt;51.43&lt;/D&gt;&lt;D xsi:type="xsd:double"&gt;51.45&lt;/D&gt;&lt;D xsi:type="xsd:double"&gt;51.61&lt;/D&gt;&lt;D xsi:type="xsd:double"&gt;51.08&lt;/D&gt;&lt;D xsi:type="xsd:double"&gt;51.24&lt;/D&gt;&lt;D xsi:type="xsd:double"&gt;51.09&lt;/D&gt;&lt;D xsi:type="xsd:double"&gt;50.22&lt;/D&gt;&lt;D xsi:type="xsd:double"&gt;50.41&lt;/D&gt;&lt;D xsi:type="xsd:double"&gt;50.19&lt;/D&gt;&lt;D xsi:type="xsd:double"&gt;50.64&lt;/D&gt;&lt;D xsi:type="xsd:double"&gt;49.85&lt;/D&gt;&lt;D xsi:type="xsd:double"&gt;50.23&lt;/D&gt;&lt;D xsi:type="xsd:double"&gt;50.71&lt;/D&gt;&lt;D xsi:type="xsd:double"&gt;50.44&lt;/D&gt;&lt;D xsi:type="xsd:double"&gt;50.19&lt;/D&gt;&lt;D xsi:type="xsd:double"&gt;49.27&lt;/D&gt;&lt;D xsi:type="xsd:double"&gt;49.52&lt;/D&gt;&lt;D xsi:type="xsd:double"&gt;49.14&lt;/D&gt;&lt;D xsi:type="xsd:double"&gt;49.09&lt;/D&gt;&lt;D xsi:type="xsd:double"&gt;48.38&lt;/D&gt;&lt;D xsi:type="xsd:double"&gt;47.96&lt;/D&gt;&lt;D xsi:type="xsd:double"&gt;47.55&lt;/D&gt;&lt;D xsi:type="xsd:double"&gt;48.16&lt;/D&gt;&lt;D xsi:type="xsd:double"&gt;47.6&lt;/D&gt;&lt;D xsi:type="xsd:double"&gt;47.9&lt;/D&gt;&lt;D xsi:type="xsd:double"&gt;47.43&lt;/D&gt;&lt;D xsi:type="xsd:double"&gt;47.1&lt;/D&gt;&lt;D xsi:type="xsd:double"&gt;47.22&lt;/D&gt;&lt;D xsi:type="xsd:double"&gt;45.62&lt;/D&gt;&lt;D xsi:type="xsd:double"&gt;43.94&lt;/D&gt;&lt;D xsi:type="xsd:double"&gt;44.27&lt;/D&gt;&lt;D xsi:type="xsd:double"&gt;40.54&lt;/D&gt;&lt;D xsi:type="xsd:double"&gt;40.77&lt;/D&gt;&lt;D xsi:type="xsd:double"&gt;41.29&lt;/D&gt;&lt;D xsi:type="xsd:double"&gt;44.88&lt;/D&gt;&lt;D xsi:type="xsd:double"&gt;46.65&lt;/D&gt;&lt;D xsi:type="xsd:double"&gt;48.1&lt;/D&gt;&lt;D xsi:type="xsd:double"&gt;48.13&lt;/D&gt;&lt;/FQL&gt;&lt;FQL&gt;&lt;Q&gt;EPHE^FG_PRICE(0,-200D)&lt;/Q&gt;&lt;R&gt;201&lt;/R&gt;&lt;C&gt;1&lt;/C&gt;&lt;D xsi:type="xsd:double"&gt;26.38&lt;/D&gt;&lt;D xsi:type="xsd:double"&gt;26.04&lt;/D&gt;&lt;D xsi:type="xsd:double"&gt;26.24&lt;/D&gt;&lt;D xsi:type="xsd:double"&gt;26.41&lt;/D&gt;&lt;D xsi:type="xsd:double"&gt;26.13&lt;/D&gt;&lt;D xsi:type="xsd:double"&gt;26.08&lt;/D&gt;&lt;D xsi:type="xsd:double"&gt;25.92&lt;/D&gt;&lt;D xsi:type="xsd:double"&gt;25.98&lt;/D&gt;&lt;D xsi:type="xsd:double"&gt;25.46&lt;/D&gt;&lt;D xsi:type="xsd:double"&gt;25.3&lt;/D&gt;&lt;D xsi:type="xsd:double"&gt;24.92&lt;/D&gt;&lt;D xsi:type="xsd:double"&gt;25.06&lt;/D&gt;&lt;D xsi:type="xsd:double"&gt;25.09&lt;/D&gt;&lt;D xsi:type="xsd:double"&gt;25.08&lt;/D&gt;&lt;D xsi:type="xsd:double"&gt;24.94&lt;/D&gt;&lt;D xsi:type="xsd:double"&gt;24.93&lt;/D&gt;&lt;D xsi:type="xsd:double"&gt;24.96&lt;/D&gt;&lt;D xsi:type="xsd:double"&gt;24.66&lt;/D&gt;&lt;D xsi:type="xsd:double"&gt;25.01&lt;/D&gt;&lt;D xsi:type="xsd:double"&gt;25.1&lt;/D&gt;&lt;D xsi:type="xsd:double"&gt;25.19&lt;/D&gt;&lt;D xsi:type="xsd:double"&gt;24.95&lt;/D&gt;&lt;D xsi:type="xsd:double"&gt;24.9&lt;/D&gt;&lt;D xsi:type="xsd:double"&gt;25.02&lt;/D&gt;&lt;D xsi:type="xsd:double"&gt;24.73&lt;/D&gt;&lt;D xsi:type="xsd:double"&gt;24.67&lt;/D&gt;&lt;D xsi:type="xsd:double"&gt;24.58&lt;/D&gt;&lt;D xsi:type="xsd:double"&gt;24.73&lt;/D&gt;&lt;D xsi:type="xsd:double"&gt;24.2&lt;/D&gt;&lt;D xsi:type="xsd:double"&gt;24.68&lt;/D&gt;&lt;D xsi:type="xsd:double"&gt;25.06&lt;/D&gt;&lt;D xsi:type="xsd:double"&gt;25.24&lt;/D&gt;&lt;D xsi:type="xsd:double"&gt;25.21&lt;/D&gt;&lt;D xsi:type="xsd:double"&gt;25.02&lt;/D&gt;&lt;D xsi:type="xsd:double"&gt;25&lt;/D&gt;&lt;D xsi:type="xsd:double"&gt;24.97&lt;/D&gt;&lt;D xsi:type="xsd:double"&gt;25.06&lt;/D&gt;&lt;D xsi:type="xsd:double"&gt;24.37&lt;/D&gt;&lt;D xsi:type="xsd:double"&gt;24.23&lt;/D&gt;&lt;D xsi:type="xsd:double"&gt;24.02&lt;/D&gt;&lt;D xsi:type="xsd:double"&gt;23.95&lt;/D&gt;&lt;D xsi:type="xsd:double"&gt;23.28&lt;/D&gt;&lt;D xsi:type="xsd:double"&gt;23.69&lt;/D&gt;&lt;D xsi:type="xsd:double"&gt;23.6&lt;/D&gt;&lt;D xsi:type="xsd:double"&gt;23.41&lt;/D&gt;&lt;D xsi:type="xsd:double"&gt;23.7&lt;/D&gt;&lt;D xsi:type="xsd:double"&gt;23.79&lt;/D&gt;&lt;D xsi:type="xsd:double"&gt;24.11&lt;/D&gt;&lt;D xsi:type="xsd:double"&gt;24.19&lt;/D&gt;&lt;D xsi:type="xsd:double"&gt;24.38&lt;/D&gt;&lt;D xsi:type="xsd:double"&gt;24.15&lt;/D&gt;&lt;D xsi:type="xsd:double"&gt;24.55&lt;/D&gt;&lt;D xsi:type="xsd:double"&gt;24.4&lt;/D&gt;&lt;D xsi:type="xsd:double"&gt;24.74&lt;/D&gt;&lt;D xsi:type="xsd:double"&gt;24.44&lt;/D&gt;&lt;D xsi:type="xsd:double"&gt;24.4&lt;/D&gt;&lt;D xsi:type="xsd:double"&gt;24.7&lt;/D&gt;&lt;D xsi:type="xsd:double"&gt;24.99&lt;/D&gt;&lt;D xsi:type="xsd:double"&gt;24.82&lt;/D&gt;&lt;D xsi:type="xsd:double"&gt;25.11&lt;/D&gt;&lt;D xsi:type="xsd:double"&gt;25.33&lt;/D&gt;&lt;D xsi:type="xsd:double"&gt;25.41&lt;/D&gt;&lt;D xsi:type="xsd:double"&gt;25.42&lt;/D&gt;&lt;D xsi:type="xsd:double"&gt;25.44&lt;/D&gt;&lt;D xsi:type="xsd:double"&gt;25.45&lt;/D&gt;&lt;D xsi:type="xsd:double"&gt;25.3&lt;/D&gt;&lt;D xsi:type="xsd:double"&gt;24.87&lt;/D&gt;&lt;D xsi:type="xsd:double"&gt;25.2&lt;/D&gt;&lt;D xsi:type="xsd:double"&gt;25.67&lt;/D&gt;&lt;D xsi:type="xsd:double"&gt;25.36&lt;/D&gt;&lt;D xsi:type="xsd:double"&gt;25.1&lt;/D&gt;&lt;D xsi:type="xsd:double"&gt;25.59&lt;/D&gt;&lt;D xsi:type="xsd:double"&gt;25.22&lt;/D&gt;&lt;D xsi:type="xsd:double"&gt;25.2&lt;/D&gt;&lt;D xsi:type="xsd:double"&gt;24.84&lt;/D&gt;&lt;D xsi:type="xsd:double"&gt;25.04&lt;/D&gt;&lt;D xsi:type="xsd:double"&gt;25.12&lt;/D&gt;&lt;D xsi:type="xsd:double"&gt;25.09&lt;/D&gt;&lt;D xsi:type="xsd:double"&gt;25.69&lt;/D&gt;&lt;D xsi:type="xsd:double"&gt;26.16&lt;/D&gt;&lt;D xsi:type="xsd:double"&gt;26.6&lt;/D&gt;&lt;D xsi:type="xsd:double"&gt;26.8&lt;/D&gt;&lt;D xsi:type="xsd:double"&gt;26.46&lt;/D&gt;&lt;D xsi:type="xsd:double"&gt;26.55&lt;/D&gt;&lt;D xsi:type="xsd:double"&gt;26.22&lt;/D&gt;&lt;D xsi:type="xsd:double"&gt;25.71&lt;/D&gt;&lt;D xsi:type="xsd:double"&gt;25.8&lt;/D&gt;&lt;D xsi:type="xsd:double"&gt;26&lt;/D&gt;&lt;D xsi:type="xsd:double"&gt;25.92&lt;/D&gt;&lt;D xsi:type="xsd:double"&gt;26.09&lt;/D&gt;&lt;D xsi:type="xsd:double"&gt;26.09&lt;/D&gt;&lt;D xsi:type="xsd:double"&gt;26.06&lt;/D&gt;&lt;D xsi:type="xsd:double"&gt;25.78&lt;/D&gt;&lt;D xsi:type="xsd:double"&gt;25.58&lt;/D&gt;&lt;D xsi:type="xsd:double"&gt;25.68&lt;/D&gt;&lt;D xsi:type="xsd:double"&gt;26.15&lt;/D&gt;&lt;D xsi:type="xsd:double"&gt;26.39&lt;/D&gt;&lt;D xsi:type="xsd:double"&gt;26.56&lt;/D&gt;&lt;D xsi:type="xsd:double"&gt;26.12&lt;/D&gt;&lt;D xsi:type="xsd:double"&gt;26.69&lt;/D&gt;&lt;D xsi:type="xsd:double"&gt;26.63&lt;/D&gt;&lt;D xsi:type="xsd:double"&gt;26.15&lt;/D&gt;&lt;D xsi:type="xsd:double"&gt;26.35&lt;/D&gt;&lt;D xsi:type="xsd:double"&gt;26.25&lt;/D&gt;&lt;D xsi:type="xsd:double"&gt;26.34&lt;/D&gt;&lt;D xsi:type="xsd:double"&gt;26.39&lt;/D&gt;&lt;D xsi:type="xsd:double"&gt;26.28&lt;/D&gt;&lt;D xsi:type="xsd:double"&gt;26.72&lt;/D&gt;&lt;D xsi:type="xsd:double"&gt;26.55&lt;/D&gt;&lt;D xsi:type="xsd:double"&gt;26.19&lt;/D&gt;&lt;D xsi:type="xsd:double"&gt;26.63&lt;/D&gt;&lt;D xsi:type="xsd:double"&gt;26.49&lt;/D&gt;&lt;D xsi:type="xsd:double"&gt;26.41&lt;/D&gt;&lt;D xsi:type="xsd:double"&gt;26.16&lt;/D&gt;&lt;D xsi:type="xsd:double"&gt;26.35&lt;/D&gt;&lt;D xsi:type="xsd:double"&gt;25.78&lt;/D&gt;&lt;D xsi:type="xsd:double"&gt;25.42&lt;/D&gt;&lt;D xsi:type="xsd:double"&gt;26.175&lt;/D&gt;&lt;D xsi:type="xsd:double"&gt;26.37&lt;/D&gt;&lt;D xsi:type="xsd:double"&gt;26.55&lt;/D&gt;&lt;D xsi:type="xsd:double"&gt;26.7522&lt;/D&gt;&lt;D xsi:type="xsd:double"&gt;27&lt;/D&gt;&lt;D xsi:type="xsd:double"&gt;27.09&lt;/D&gt;&lt;D xsi:type="xsd:double"&gt;26.52&lt;/D&gt;&lt;D xsi:type="xsd:double"&gt;26.34&lt;/D&gt;&lt;D xsi:type="xsd:double"&gt;26.11&lt;/D&gt;&lt;D xsi:type="xsd:double"&gt;26.08&lt;/D&gt;&lt;D xsi:type="xsd:double"&gt;26.35&lt;/D&gt;&lt;D xsi:type="xsd:double"&gt;26.96&lt;/D&gt;&lt;D xsi:type="xsd:double"&gt;27.36&lt;/D&gt;&lt;D xsi:type="xsd:double"&gt;27.13&lt;/D&gt;&lt;D xsi:type="xsd:double"&gt;27.19&lt;/D&gt;&lt;D xsi:type="xsd:double"&gt;27.15&lt;/D&gt;&lt;D xsi:type="xsd:double"&gt;26.78&lt;/D&gt;&lt;D xsi:type="xsd:double"&gt;26.72&lt;/D&gt;&lt;D xsi:type="xsd:double"&gt;27.08&lt;/D&gt;&lt;D xsi:type="xsd:double"&gt;27&lt;/D&gt;&lt;D xsi:type="xsd:double"&gt;27.14&lt;/D&gt;&lt;D xsi:type="xsd:double"&gt;27.12&lt;/D&gt;&lt;D xsi:type="xsd:double"&gt;27.23&lt;/D&gt;&lt;D xsi:type="xsd:double"&gt;26.85&lt;/D&gt;&lt;D xsi:type="xsd:double"&gt;26.81&lt;/D&gt;&lt;D xsi:type="xsd:double"&gt;26.61&lt;/D&gt;&lt;D xsi:type="xsd:double"&gt;25.96&lt;/D&gt;&lt;D xsi:type="xsd:double"&gt;26.5&lt;/D&gt;&lt;D xsi:type="xsd:double"&gt;26.7&lt;/D&gt;&lt;D xsi:type="xsd:double"&gt;26.98&lt;/D&gt;&lt;D xsi:type="xsd:double"&gt;27.35&lt;/D&gt;&lt;D xsi:type="xsd:double"&gt;27.66&lt;/D&gt;&lt;D xsi:type="xsd:double"&gt;28.08&lt;/D&gt;&lt;D xsi:type="xsd:double"&gt;27.93&lt;/D&gt;&lt;D xsi:type="xsd:double"&gt;27.82&lt;/D&gt;&lt;D xsi:type="xsd:double"&gt;28.12&lt;/D&gt;&lt;D xsi:type="xsd:double"&gt;27.95&lt;/D&gt;&lt;D xsi:type="xsd:double"&gt;27.96&lt;/D&gt;&lt;D xsi:type="xsd:double"&gt;27.66&lt;/D&gt;&lt;D xsi:type="xsd:double"&gt;27.78&lt;/D&gt;&lt;D xsi:type="xsd:double"&gt;27.6&lt;/D&gt;&lt;D xsi:type="xsd:double"&gt;27.24&lt;/D&gt;&lt;D xsi:type="xsd:double"&gt;27.84&lt;/D&gt;&lt;D xsi:type="xsd:double"&gt;27.93&lt;/D&gt;&lt;D xsi:type="xsd:double"&gt;27.78&lt;/D&gt;&lt;D xsi:type="xsd:double"&gt;27.81&lt;/D&gt;&lt;D xsi:type="xsd:double"&gt;27.27&lt;/D&gt;&lt;D xsi:type="xsd:double"&gt;27.46&lt;/D&gt;&lt;D xsi:type="xsd:double"&gt;27.36&lt;/D&gt;&lt;D xsi:type="xsd:double"&gt;27.9&lt;/D&gt;&lt;D xsi:type="xsd:double"&gt;27.69&lt;/D&gt;&lt;D xsi:type="xsd:double"&gt;27.62&lt;/D&gt;&lt;D xsi:type="xsd:double"&gt;28.01&lt;/D&gt;&lt;D xsi:type="xsd:double"&gt;28.06&lt;/D&gt;&lt;D xsi:type="xsd:double"&gt;27.75&lt;/D&gt;&lt;D xsi:type="xsd:double"&gt;27.62&lt;/D&gt;&lt;D xsi:type="xsd:double"&gt;27.16&lt;/D&gt;&lt;D xsi:type="xsd:double"&gt;27.56&lt;/D&gt;&lt;D xsi:type="xsd:double"&gt;27.35&lt;/D&gt;&lt;D xsi:type="xsd:double"&gt;27.03&lt;/D&gt;&lt;D xsi:type="xsd:double"&gt;27.27&lt;/D&gt;&lt;D xsi:type="xsd:double"&gt;26.86&lt;/D&gt;&lt;D xsi:type="xsd:double"&gt;26.89&lt;/D&gt;&lt;D xsi:type="xsd:double"&gt;26.41&lt;/D&gt;&lt;D xsi:type="xsd:double"&gt;26.18&lt;/D&gt;&lt;D xsi:type="xsd:double"&gt;26.26&lt;/D&gt;&lt;D xsi:type="xsd:double"&gt;25.96&lt;/D&gt;&lt;D xsi:type="xsd:double"&gt;25.59&lt;/D&gt;&lt;D xsi:type="xsd:double"&gt;25.55&lt;/D&gt;&lt;D xsi:type="xsd:double"&gt;25.17&lt;/D&gt;&lt;D xsi:type="xsd:double"&gt;25.3019&lt;/D&gt;&lt;D xsi:type="xsd:double"&gt;25.25&lt;/D&gt;&lt;D xsi:type="xsd:double"&gt;25.4141&lt;/D&gt;&lt;D xsi:type="xsd:double"&gt;25.19&lt;/D&gt;&lt;D xsi:type="xsd:double"&gt;24.96&lt;/D&gt;&lt;D xsi:type="xsd:double"&gt;24.18&lt;/D&gt;&lt;D xsi:type="xsd:double"&gt;25.16&lt;/D&gt;&lt;D xsi:type="xsd:double"&gt;24.13&lt;/D&gt;&lt;D xsi:type="xsd:double"&gt;24.14&lt;/D&gt;&lt;D xsi:type="xsd:double"&gt;23.83&lt;/D&gt;&lt;D xsi:type="xsd:double"&gt;25.04&lt;/D&gt;&lt;D xsi:type="xsd:double"&gt;25.56&lt;/D&gt;&lt;D xsi:type="xsd:double"&gt;25.26&lt;/D&gt;&lt;D xsi:type="xsd:double"&gt;25.3&lt;/D&gt;&lt;/FQL&gt;&lt;FQL&gt;&lt;Q&gt;EWA^FG_TOTAL_RETURNC(-5AY,0,AM)&lt;/Q&gt;&lt;R&gt;61&lt;/R&gt;&lt;C&gt;1&lt;/C&gt;&lt;D xsi:type="xsd:double"&gt;2.3012638&lt;/D&gt;&lt;D xsi:type="xsd:double"&gt;2.7811766&lt;/D&gt;&lt;D xsi:type="xsd:double"&gt;0.35814047&lt;/D&gt;&lt;D xsi:type="xsd:double"&gt;4.0047646&lt;/D&gt;&lt;D xsi:type="xsd:double"&gt;1.0293603&lt;/D&gt;&lt;D xsi:type="xsd:double"&gt;3.3451438&lt;/D&gt;&lt;D xsi:type="xsd:double"&gt;-4.5538664&lt;/D&gt;&lt;D xsi:type="xsd:double"&gt;3.219545&lt;/D&gt;&lt;D xsi:type="xsd:double"&gt;-2.2923708&lt;/D&gt;&lt;D xsi:type="xsd:double"&gt;0.6153822&lt;/D&gt;&lt;D xsi:type="xsd:double"&gt;-0.26758313&lt;/D&gt;&lt;D xsi:type="xsd:double"&gt;-3.63667&lt;/D&gt;&lt;D xsi:type="xsd:double"&gt;1.4134169&lt;/D&gt;&lt;D xsi:type="xsd:double"&gt;-2.0325184&lt;/D&gt;&lt;D xsi:type="xsd:double"&gt;0.8713603&lt;/D&gt;&lt;D xsi:type="xsd:double"&gt;8.556151&lt;/D&gt;&lt;D xsi:type="xsd:double"&gt;-10.458506&lt;/D&gt;&lt;D xsi:type="xsd:double"&gt;-5.3318143&lt;/D&gt;&lt;D xsi:type="xsd:double"&gt;-2.7688086&lt;/D&gt;&lt;D xsi:type="xsd:double"&gt;9.06502&lt;/D&gt;&lt;D xsi:type="xsd:double"&gt;-6.8320274&lt;/D&gt;&lt;D xsi:type="xsd:double"&gt;-8.547407&lt;/D&gt;&lt;D xsi:type="xsd:double"&gt;16.853928&lt;/D&gt;&lt;D xsi:type="xsd:double"&gt;-0.7200241&lt;/D&gt;&lt;D xsi:type="xsd:double"&gt;7.6681614&lt;/D&gt;&lt;D xsi:type="xsd:double"&gt;-0.2915442&lt;/D&gt;&lt;D xsi:type="xsd:double"&gt;-8.771933&lt;/D&gt;&lt;D xsi:type="xsd:double"&gt;7.4175715&lt;/D&gt;&lt;D xsi:type="xsd:double"&gt;-1.3213933&lt;/D&gt;&lt;D xsi:type="xsd:double"&gt;2.2422671&lt;/D&gt;&lt;D xsi:type="xsd:double"&gt;0.30133724&lt;/D&gt;&lt;D xsi:type="xsd:double"&gt;-6.1373353&lt;/D&gt;&lt;D xsi:type="xsd:double"&gt;1.6918063&lt;/D&gt;&lt;D xsi:type="xsd:double"&gt;-4.8561153&lt;/D&gt;&lt;D xsi:type="xsd:double"&gt;4.867673&lt;/D&gt;&lt;D xsi:type="xsd:double"&gt;7.3907137&lt;/D&gt;&lt;D xsi:type="xsd:double"&gt;1.5463948&lt;/D&gt;&lt;D xsi:type="xsd:double"&gt;0.16870499&lt;/D&gt;&lt;D xsi:type="xsd:double"&gt;1.178956&lt;/D&gt;&lt;D xsi:type="xsd:double"&gt;-1.2484431&lt;/D&gt;&lt;D xsi:type="xsd:double"&gt;5.436158&lt;/D&gt;&lt;D xsi:type="xsd:double"&gt;-1.8408597&lt;/D&gt;&lt;D xsi:type="xsd:double"&gt;6.0191035&lt;/D&gt;&lt;D xsi:type="xsd:double"&gt;-3.2889605&lt;/D&gt;&lt;D xsi:type="xsd:double"&gt;5.101204&lt;/D&gt;&lt;D xsi:type="xsd:double"&gt;1.5793562&lt;/D&gt;&lt;D xsi:type="xsd:double"&gt;-3.0337572&lt;/D&gt;&lt;D xsi:type="xsd:double"&gt;-1.838088&lt;/D&gt;&lt;D xsi:type="xsd:double"&gt;-1.358962&lt;/D&gt;&lt;D xsi:type="xsd:double"&gt;4.599583&lt;/D&gt;&lt;D xsi:type="xsd:double"&gt;-7.734585&lt;/D&gt;&lt;D xsi:type="xsd:double"&gt;-0.59574246&lt;/D&gt;&lt;D xsi:type="xsd:double"&gt;9.374989&lt;/D&gt;&lt;D xsi:type="xsd:double"&gt;3.0137062&lt;/D&gt;&lt;D xsi:type="xsd:double"&gt;0.5586386&lt;/D&gt;&lt;D xsi:type="xsd:double"&gt;2.9152274&lt;/D&gt;&lt;D xsi:type="xsd:double"&gt;2.7581096&lt;/D&gt;&lt;D xsi:type="xsd:double"&gt;-2.4664521&lt;/D&gt;&lt;D xsi:type="xsd:double"&gt;-3.495717&lt;/D&gt;&lt;D xsi:type="xsd:double"&gt;1.8111706&lt;/D&gt;&lt;D xsi:type="xsd:double"&gt;2.603662&lt;/D&gt;&lt;/FQL&gt;&lt;FQL&gt;&lt;Q&gt;EWD^FG_PRICE(0,-200D)&lt;/Q&gt;&lt;R&gt;201&lt;/R&gt;&lt;C&gt;1&lt;/C&gt;&lt;D xsi:type="xsd:double"&gt;51.05&lt;/D&gt;&lt;D xsi:type="xsd:double"&gt;50.61&lt;/D&gt;&lt;D xsi:type="xsd:double"&gt;50.7&lt;/D&gt;&lt;D xsi:type="xsd:double"&gt;50.91&lt;/D&gt;&lt;D xsi:type="xsd:double"&gt;50.78&lt;/D&gt;&lt;D xsi:type="xsd:double"&gt;50.28&lt;/D&gt;&lt;D xsi:type="xsd:double"&gt;50.87&lt;/D&gt;&lt;D xsi:type="xsd:double"&gt;50.11&lt;/D&gt;&lt;D xsi:type="xsd:double"&gt;50.39&lt;/D&gt;&lt;D xsi:type="xsd:double"&gt;49.6&lt;/D&gt;&lt;D xsi:type="xsd:double"&gt;49.23&lt;/D&gt;&lt;D xsi:type="xsd:double"&gt;49.55&lt;/D&gt;&lt;D xsi:type="xsd:double"&gt;49.32&lt;/D&gt;&lt;D xsi:type="xsd:double"&gt;49.65&lt;/D&gt;&lt;D xsi:type="xsd:double"&gt;49.31&lt;/D&gt;&lt;D xsi:type="xsd:double"&gt;49.21&lt;/D&gt;&lt;D xsi:type="xsd:double"&gt;48.8&lt;/D&gt;&lt;D xsi:type="xsd:double"&gt;48.55&lt;/D&gt;&lt;D xsi:type="xsd:double"&gt;48.18&lt;/D&gt;&lt;D xsi:type="xsd:double"&gt;47.62&lt;/D&gt;&lt;D xsi:type="xsd:double"&gt;48.23&lt;/D&gt;&lt;D xsi:type="xsd:double"&gt;49.11&lt;/D&gt;&lt;D xsi:type="xsd:double"&gt;49.38&lt;/D&gt;&lt;D xsi:type="xsd:double"&gt;49.67&lt;/D&gt;&lt;D xsi:type="xsd:double"&gt;49.36&lt;/D&gt;&lt;D xsi:type="xsd:double"&gt;48.55&lt;/D&gt;&lt;D xsi:type="xsd:double"&gt;48.4&lt;/D&gt;&lt;D xsi:type="xsd:double"&gt;48.37&lt;/D&gt;&lt;D xsi:type="xsd:double"&gt;48.09&lt;/D&gt;&lt;D xsi:type="xsd:double"&gt;47.77&lt;/D&gt;&lt;D xsi:type="xsd:double"&gt;47.61&lt;/D&gt;&lt;D xsi:type="xsd:double"&gt;47.58&lt;/D&gt;&lt;D xsi:type="xsd:double"&gt;47.91&lt;/D&gt;&lt;D xsi:type="xsd:double"&gt;47.43&lt;/D&gt;&lt;D xsi:type="xsd:double"&gt;47.06&lt;/D&gt;&lt;D xsi:type="xsd:double"&gt;46.26&lt;/D&gt;&lt;D xsi:type="xsd:double"&gt;46.06&lt;/D&gt;&lt;D xsi:type="xsd:double"&gt;45.38&lt;/D&gt;&lt;D xsi:type="xsd:double"&gt;46.17&lt;/D&gt;&lt;D xsi:type="xsd:double"&gt;46.49&lt;/D&gt;&lt;D xsi:type="xsd:double"&gt;47.22&lt;/D&gt;&lt;D xsi:type="xsd:double"&gt;47.65&lt;/D&gt;&lt;D xsi:type="xsd:double"&gt;48.27&lt;/D&gt;&lt;D xsi:type="xsd:double"&gt;48.82&lt;/D&gt;&lt;D xsi:type="xsd:double"&gt;48.48&lt;/D&gt;&lt;D xsi:type="xsd:double"&gt;47.74&lt;/D&gt;&lt;D xsi:type="xsd:double"&gt;47.24&lt;/D&gt;&lt;D xsi:type="xsd:double"&gt;46.98&lt;/D&gt;&lt;D xsi:type="xsd:double"&gt;47.29&lt;/D&gt;&lt;D xsi:type="xsd:double"&gt;46.87&lt;/D&gt;&lt;D xsi:type="xsd:double"&gt;47.7&lt;/D&gt;&lt;D xsi:type="xsd:double"&gt;47.99&lt;/D&gt;&lt;D xsi:type="xsd:double"&gt;48.49&lt;/D&gt;&lt;D xsi:type="xsd:double"&gt;48.74&lt;/D&gt;&lt;D xsi:type="xsd:double"&gt;49.07&lt;/D&gt;&lt;D xsi:type="xsd:double"&gt;49.23&lt;/D&gt;&lt;D xsi:type="xsd:double"&gt;48.86&lt;/D&gt;&lt;D xsi:type="xsd:double"&gt;48.65&lt;/D&gt;&lt;D xsi:type="xsd:double"&gt;48.36&lt;/D&gt;&lt;D xsi:type="xsd:double"&gt;48.54&lt;/D&gt;&lt;D xsi:type="xsd:double"&gt;48.09&lt;/D&gt;&lt;D xsi:type="xsd:double"&gt;47.79&lt;/D&gt;&lt;D xsi:type="xsd:double"&gt;47.8&lt;/D&gt;&lt;D xsi:type="xsd:double"&gt;47.58&lt;/D&gt;&lt;D xsi:type="xsd:double"&gt;47.45&lt;/D&gt;&lt;D xsi:type="xsd:double"&gt;47.32&lt;/D&gt;&lt;D xsi:type="xsd:double"&gt;46.92&lt;/D&gt;&lt;D xsi:type="xsd:double"&gt;47.2&lt;/D&gt;&lt;D xsi:type="xsd:double"&gt;47.88&lt;/D&gt;&lt;D xsi:type="xsd:double"&gt;47.82&lt;/D&gt;&lt;D xsi:type="xsd:double"&gt;48.26&lt;/D&gt;&lt;D xsi:type="xsd:double"&gt;48.2&lt;/D&gt;&lt;D xsi:type="xsd:double"&gt;47.94&lt;/D&gt;&lt;D xsi:type="xsd:double"&gt;47.61&lt;/D&gt;&lt;D xsi:type="xsd:double"&gt;47.2&lt;/D&gt;&lt;D xsi:type="xsd:double"&gt;47.22&lt;/D&gt;&lt;D xsi:type="xsd:double"&gt;47.2&lt;/D&gt;&lt;D xsi:type="xsd:double"&gt;46.62&lt;/D&gt;&lt;D xsi:type="xsd:double"&gt;47.01&lt;/D&gt;&lt;D xsi:type="xsd:double"&gt;47.85&lt;/D&gt;&lt;D xsi:type="xsd:double"&gt;47.63&lt;/D&gt;&lt;D xsi:type="xsd:double"&gt;47.43&lt;/D&gt;&lt;D xsi:type="xsd:double"&gt;47.56&lt;/D&gt;&lt;D xsi:type="xsd:double"&gt;47.17&lt;/D&gt;&lt;D xsi:type="xsd:double"&gt;47.46&lt;/D&gt;&lt;D xsi:type="xsd:double"&gt;47.61&lt;/D&gt;&lt;D xsi:type="xsd:double"&gt;47.24&lt;/D&gt;&lt;D xsi:type="xsd:double"&gt;47.33&lt;/D&gt;&lt;D xsi:type="xsd:double"&gt;47.1&lt;/D&gt;&lt;D xsi:type="xsd:double"&gt;47.3&lt;/D&gt;&lt;D xsi:type="xsd:double"&gt;47.42&lt;/D&gt;&lt;D xsi:type="xsd:double"&gt;47.01&lt;/D&gt;&lt;D xsi:type="xsd:double"&gt;46.26&lt;/D&gt;&lt;D xsi:type="xsd:double"&gt;46.18&lt;/D&gt;&lt;D xsi:type="xsd:double"&gt;45.89&lt;/D&gt;&lt;D xsi:type="xsd:double"&gt;46.39&lt;/D&gt;&lt;D xsi:type="xsd:double"&gt;46.63&lt;/D&gt;&lt;D xsi:type="xsd:double"&gt;46.46&lt;/D&gt;&lt;D xsi:type="xsd:double"&gt;46.64&lt;/D&gt;&lt;D xsi:type="xsd:double"&gt;46.57&lt;/D&gt;&lt;D xsi:type="xsd:double"&gt;47.24&lt;/D&gt;&lt;D xsi:type="xsd:double"&gt;46.08&lt;/D&gt;&lt;D xsi:type="xsd:double"&gt;46.45&lt;/D&gt;&lt;D xsi:type="xsd:double"&gt;46.56&lt;/D&gt;&lt;D xsi:type="xsd:double"&gt;46.28&lt;/D&gt;&lt;D xsi:type="xsd:double"&gt;46.61&lt;/D&gt;&lt;D xsi:type="xsd:double"&gt;46.06&lt;/D&gt;&lt;D xsi:type="xsd:double"&gt;46.02&lt;/D&gt;&lt;D xsi:type="xsd:double"&gt;45.99&lt;/D&gt;&lt;D xsi:type="xsd:double"&gt;45.23&lt;/D&gt;&lt;D xsi:type="xsd:double"&gt;45.88&lt;/D&gt;&lt;D xsi:type="xsd:double"&gt;45.6&lt;/D&gt;&lt;D xsi:type="xsd:double"&gt;44.82&lt;/D&gt;&lt;D xsi:type="xsd:double"&gt;44.45&lt;/D&gt;&lt;D xsi:type="xsd:double"&gt;44.3&lt;/D&gt;&lt;D xsi:type="xsd:double"&gt;43.68&lt;/D&gt;&lt;D xsi:type="xsd:double"&gt;43.86&lt;/D&gt;&lt;D xsi:type="xsd:double"&gt;44.54&lt;/D&gt;&lt;D xsi:type="xsd:double"&gt;44.96&lt;/D&gt;&lt;D xsi:type="xsd:double"&gt;45.78&lt;/D&gt;&lt;D xsi:type="xsd:double"&gt;46.38&lt;/D&gt;&lt;D xsi:type="xsd:double"&gt;45.9&lt;/D&gt;&lt;D xsi:type="xsd:double"&gt;46.3&lt;/D&gt;&lt;D xsi:type="xsd:double"&gt;45.21&lt;/D&gt;&lt;D xsi:type="xsd:double"&gt;45.25&lt;/D&gt;&lt;D xsi:type="xsd:double"&gt;44.65&lt;/D&gt;&lt;D xsi:type="xsd:double"&gt;44.98&lt;/D&gt;&lt;D xsi:type="xsd:double"&gt;44.63&lt;/D&gt;&lt;D xsi:type="xsd:double"&gt;44.69&lt;/D&gt;&lt;D xsi:type="xsd:double"&gt;45.3&lt;/D&gt;&lt;D xsi:type="xsd:double"&gt;45.57&lt;/D&gt;&lt;D xsi:type="xsd:double"&gt;46.39&lt;/D&gt;&lt;D xsi:type="xsd:double"&gt;46.05&lt;/D&gt;&lt;D xsi:type="xsd:double"&gt;45.55&lt;/D&gt;&lt;D xsi:type="xsd:double"&gt;45.52&lt;/D&gt;&lt;D xsi:type="xsd:double"&gt;45.62&lt;/D&gt;&lt;D xsi:type="xsd:double"&gt;45.51&lt;/D&gt;&lt;D xsi:type="xsd:double"&gt;45.19&lt;/D&gt;&lt;D xsi:type="xsd:double"&gt;45.74&lt;/D&gt;&lt;D xsi:type="xsd:double"&gt;46.02&lt;/D&gt;&lt;D xsi:type="xsd:double"&gt;45.33&lt;/D&gt;&lt;D xsi:type="xsd:double"&gt;44.67&lt;/D&gt;&lt;D xsi:type="xsd:double"&gt;44.95&lt;/D&gt;&lt;D xsi:type="xsd:double"&gt;43.96&lt;/D&gt;&lt;D xsi:type="xsd:double"&gt;43.81&lt;/D&gt;&lt;D xsi:type="xsd:double"&gt;43.98&lt;/D&gt;&lt;D xsi:type="xsd:double"&gt;44.43&lt;/D&gt;&lt;D xsi:type="xsd:double"&gt;44.91&lt;/D&gt;&lt;D xsi:type="xsd:double"&gt;45.49&lt;/D&gt;&lt;D xsi:type="xsd:double"&gt;46.02&lt;/D&gt;&lt;D xsi:type="xsd:double"&gt;45.9&lt;/D&gt;&lt;D xsi:type="xsd:double"&gt;45.94&lt;/D&gt;&lt;D xsi:type="xsd:double"&gt;45.91&lt;/D&gt;&lt;D xsi:type="xsd:double"&gt;46.14&lt;/D&gt;&lt;D xsi:type="xsd:double"&gt;46.17&lt;/D&gt;&lt;D xsi:type="xsd:double"&gt;45.93&lt;/D&gt;&lt;D xsi:type="xsd:double"&gt;45.2&lt;/D&gt;&lt;D xsi:type="xsd:double"&gt;45.62&lt;/D&gt;&lt;D xsi:type="xsd:double"&gt;45.45&lt;/D&gt;&lt;D xsi:type="xsd:double"&gt;45.36&lt;/D&gt;&lt;D xsi:type="xsd:double"&gt;45.24&lt;/D&gt;&lt;D xsi:type="xsd:double"&gt;45.55&lt;/D&gt;&lt;D xsi:type="xsd:double"&gt;45.32&lt;/D&gt;&lt;D xsi:type="xsd:double"&gt;45.09&lt;/D&gt;&lt;D xsi:type="xsd:double"&gt;45.94&lt;/D&gt;&lt;D xsi:type="xsd:double"&gt;46.35&lt;/D&gt;&lt;D xsi:type="xsd:double"&gt;46.19&lt;/D&gt;&lt;D xsi:type="xsd:double"&gt;45.61&lt;/D&gt;&lt;D xsi:type="xsd:double"&gt;45.62&lt;/D&gt;&lt;D xsi:type="xsd:double"&gt;45.11&lt;/D&gt;&lt;D xsi:type="xsd:double"&gt;45.23&lt;/D&gt;&lt;D xsi:type="xsd:double"&gt;45.09&lt;/D&gt;&lt;D xsi:type="xsd:double"&gt;44.38&lt;/D&gt;&lt;D xsi:type="xsd:double"&gt;44.26&lt;/D&gt;&lt;D xsi:type="xsd:double"&gt;44.38&lt;/D&gt;&lt;D xsi:type="xsd:double"&gt;44.18&lt;/D&gt;&lt;D xsi:type="xsd:double"&gt;44.28&lt;/D&gt;&lt;D xsi:type="xsd:double"&gt;44.55&lt;/D&gt;&lt;D xsi:type="xsd:double"&gt;43.12&lt;/D&gt;&lt;D xsi:type="xsd:double"&gt;43.64&lt;/D&gt;&lt;D xsi:type="xsd:double"&gt;43&lt;/D&gt;&lt;D xsi:type="xsd:double"&gt;43.61&lt;/D&gt;&lt;D xsi:type="xsd:double"&gt;43.62&lt;/D&gt;&lt;D xsi:type="xsd:double"&gt;43.32&lt;/D&gt;&lt;D xsi:type="xsd:double"&gt;42.43&lt;/D&gt;&lt;D xsi:type="xsd:double"&gt;42.68&lt;/D&gt;&lt;D xsi:type="xsd:double"&gt;41.77&lt;/D&gt;&lt;D xsi:type="xsd:double"&gt;41.9&lt;/D&gt;&lt;D xsi:type="xsd:double"&gt;41.07&lt;/D&gt;&lt;D xsi:type="xsd:double"&gt;41.39&lt;/D&gt;&lt;D xsi:type="xsd:double"&gt;40.72&lt;/D&gt;&lt;D xsi:type="xsd:double"&gt;40.31&lt;/D&gt;&lt;D xsi:type="xsd:double"&gt;39.65&lt;/D&gt;&lt;D xsi:type="xsd:double"&gt;39.92&lt;/D&gt;&lt;D xsi:type="xsd:double"&gt;37.07&lt;/D&gt;&lt;D xsi:type="xsd:double"&gt;37.34&lt;/D&gt;&lt;D xsi:type="xsd:double"&gt;38.17&lt;/D&gt;&lt;D xsi:type="xsd:double"&gt;41.47&lt;/D&gt;&lt;D xsi:type="xsd:double"&gt;42.61&lt;/D&gt;&lt;D xsi:type="xsd:double"&gt;42.25&lt;/D&gt;&lt;D xsi:type="xsd:double"&gt;42.08&lt;/D&gt;&lt;/FQL&gt;&lt;FQL&gt;&lt;Q&gt;EWG^FG_PRICE(0,-200D)&lt;/Q&gt;&lt;R&gt;201&lt;/R&gt;&lt;C&gt;1&lt;/C&gt;&lt;D xsi:type="xsd:double"&gt;43.24&lt;/D&gt;&lt;D xsi:type="xsd:double"&gt;43.49&lt;/D&gt;&lt;D xsi:type="xsd:double"&gt;43.57&lt;/D&gt;&lt;D xsi:type="xsd:double"&gt;43.83&lt;/D&gt;&lt;D xsi:type="xsd:double"&gt;43.41&lt;/D&gt;&lt;D xsi:type="xsd:double"&gt;43.31&lt;/D&gt;&lt;D xsi:type="xsd:double"&gt;43.26&lt;/D&gt;&lt;D xsi:type="xsd:double"&gt;43.13&lt;/D&gt;&lt;D xsi:type="xsd:double"&gt;43.05&lt;/D&gt;&lt;D xsi:type="xsd:double"&gt;42.56&lt;/D&gt;&lt;D xsi:type="xsd:double"&gt;42.5&lt;/D&gt;&lt;D xsi:type="xsd:double"&gt;42.75&lt;/D&gt;&lt;D xsi:type="xsd:double"&gt;42.51&lt;/D&gt;&lt;D xsi:type="xsd:double"&gt;42.65&lt;/D&gt;&lt;D xsi:type="xsd:double"&gt;42.57&lt;/D&gt;&lt;D xsi:type="xsd:double"&gt;42.44&lt;/D&gt;&lt;D xsi:type="xsd:double"&gt;42.34&lt;/D&gt;&lt;D xsi:type="xsd:double"&gt;42.1&lt;/D&gt;&lt;D xsi:type="xsd:double"&gt;41.94&lt;/D&gt;&lt;D xsi:type="xsd:double"&gt;41.61&lt;/D&gt;&lt;D xsi:type="xsd:double"&gt;42.03&lt;/D&gt;&lt;D xsi:type="xsd:double"&gt;42.1&lt;/D&gt;&lt;D xsi:type="xsd:double"&gt;42.18&lt;/D&gt;&lt;D xsi:type="xsd:double"&gt;42.39&lt;/D&gt;&lt;D xsi:type="xsd:double"&gt;41.94&lt;/D&gt;&lt;D xsi:type="xsd:double"&gt;41.53&lt;/D&gt;&lt;D xsi:type="xsd:double"&gt;41.34&lt;/D&gt;&lt;D xsi:type="xsd:double"&gt;41.41&lt;/D&gt;&lt;D xsi:type="xsd:double"&gt;41.14&lt;/D&gt;&lt;D xsi:type="xsd:double"&gt;40.95&lt;/D&gt;&lt;D xsi:type="xsd:double"&gt;40.89&lt;/D&gt;&lt;D xsi:type="xsd:double"&gt;40.52&lt;/D&gt;&lt;D xsi:type="xsd:double"&gt;40.92&lt;/D&gt;&lt;D xsi:type="xsd:double"&gt;40.6&lt;/D&gt;&lt;D xsi:type="xsd:double"&gt;40.19&lt;/D&gt;&lt;D xsi:type="xsd:double"&gt;39.47&lt;/D&gt;&lt;D xsi:type="xsd:double"&gt;39.4&lt;/D&gt;&lt;D xsi:type="xsd:double"&gt;38.89&lt;/D&gt;&lt;D xsi:type="xsd:double"&gt;39.51&lt;/D&gt;&lt;D xsi:type="xsd:double"&gt;39.53&lt;/D&gt;&lt;D xsi:type="xsd:double"&gt;40.01&lt;/D&gt;&lt;D xsi:type="xsd:double"&gt;40.86&lt;/D&gt;&lt;D xsi:type="xsd:double"&gt;41.25&lt;/D&gt;&lt;D xsi:type="xsd:double"&gt;41.68&lt;/D&gt;&lt;D xsi:type="xsd:double"&gt;41.23&lt;/D&gt;&lt;D xsi:type="xsd:double"&gt;40.96&lt;/D&gt;&lt;D xsi:type="xsd:double"&gt;40.48&lt;/D&gt;&lt;D xsi:type="xsd:double"&gt;40.39&lt;/D&gt;&lt;D xsi:type="xsd:double"&gt;40.73&lt;/D&gt;&lt;D xsi:type="xsd:double"&gt;40.34&lt;/D&gt;&lt;D xsi:type="xsd:double"&gt;40.91&lt;/D&gt;&lt;D xsi:type="xsd:double"&gt;40.73&lt;/D&gt;&lt;D xsi:type="xsd:double"&gt;41&lt;/D&gt;&lt;D xsi:type="xsd:double"&gt;41.27&lt;/D&gt;&lt;D xsi:type="xsd:double"&gt;41.72&lt;/D&gt;&lt;D xsi:type="xsd:double"&gt;41.78&lt;/D&gt;&lt;D xsi:type="xsd:double"&gt;41.59&lt;/D&gt;&lt;D xsi:type="xsd:double"&gt;41.55&lt;/D&gt;&lt;D xsi:type="xsd:double"&gt;41.44&lt;/D&gt;&lt;D xsi:type="xsd:double"&gt;41.69&lt;/D&gt;&lt;D xsi:type="xsd:double"&gt;41.88&lt;/D&gt;&lt;D xsi:type="xsd:double"&gt;41.38&lt;/D&gt;&lt;D xsi:type="xsd:double"&gt;41.59&lt;/D&gt;&lt;D xsi:type="xsd:double"&gt;41.53&lt;/D&gt;&lt;D xsi:type="xsd:double"&gt;41.67&lt;/D&gt;&lt;D xsi:type="xsd:double"&gt;41.78&lt;/D&gt;&lt;D xsi:type="xsd:double"&gt;41.52&lt;/D&gt;&lt;D xsi:type="xsd:double"&gt;42.09&lt;/D&gt;&lt;D xsi:type="xsd:double"&gt;42.34&lt;/D&gt;&lt;D xsi:type="xsd:double"&gt;42.07&lt;/D&gt;&lt;D xsi:type="xsd:double"&gt;42.42&lt;/D&gt;&lt;D xsi:type="xsd:double"&gt;42.43&lt;/D&gt;&lt;D xsi:type="xsd:double"&gt;42.47&lt;/D&gt;&lt;D xsi:type="xsd:double"&gt;42.13&lt;/D&gt;&lt;D xsi:type="xsd:double"&gt;41.61&lt;/D&gt;&lt;D xsi:type="xsd:double"&gt;41.31&lt;/D&gt;&lt;D xsi:type="xsd:double"&gt;41.2&lt;/D&gt;&lt;D xsi:type="xsd:double"&gt;40.75&lt;/D&gt;&lt;D xsi:type="xsd:double"&gt;41.24&lt;/D&gt;&lt;D xsi:type="xsd:double"&gt;41.27&lt;/D&gt;&lt;D xsi:type="xsd:double"&gt;41.24&lt;/D&gt;&lt;D xsi:type="xsd:double"&gt;41.22&lt;/D&gt;&lt;D xsi:type="xsd:double"&gt;41.45&lt;/D&gt;&lt;D xsi:type="xsd:double"&gt;41.06&lt;/D&gt;&lt;D xsi:type="xsd:double"&gt;41.15&lt;/D&gt;&lt;D xsi:type="xsd:double"&gt;41.42&lt;/D&gt;&lt;D xsi:type="xsd:double"&gt;41.31&lt;/D&gt;&lt;D xsi:type="xsd:double"&gt;41.39&lt;/D&gt;&lt;D xsi:type="xsd:double"&gt;41.07&lt;/D&gt;&lt;D xsi:type="xsd:double"&gt;41.48&lt;/D&gt;&lt;D xsi:type="xsd:double"&gt;41.69&lt;/D&gt;&lt;D xsi:type="xsd:double"&gt;41.34&lt;/D&gt;&lt;D xsi:type="xsd:double"&gt;41.34&lt;/D&gt;&lt;D xsi:type="xsd:double"&gt;41.05&lt;/D&gt;&lt;D xsi:type="xsd:double"&gt;41.04&lt;/D&gt;&lt;D xsi:type="xsd:double"&gt;41.88&lt;/D&gt;&lt;D xsi:type="xsd:double"&gt;42.02&lt;/D&gt;&lt;D xsi:type="xsd:double"&gt;41.89&lt;/D&gt;&lt;D xsi:type="xsd:double"&gt;42.13&lt;/D&gt;&lt;D xsi:type="xsd:double"&gt;42.12&lt;/D&gt;&lt;D xsi:type="xsd:double"&gt;42.66&lt;/D&gt;&lt;D xsi:type="xsd:double"&gt;42.08&lt;/D&gt;&lt;D xsi:type="xsd:double"&gt;42.39&lt;/D&gt;&lt;D xsi:type="xsd:double"&gt;42.39&lt;/D&gt;&lt;D xsi:type="xsd:double"&gt;42.45&lt;/D&gt;&lt;D xsi:type="xsd:double"&gt;42.58&lt;/D&gt;&lt;D xsi:type="xsd:double"&gt;42.5&lt;/D&gt;&lt;D xsi:type="xsd:double"&gt;42.38&lt;/D&gt;&lt;D xsi:type="xsd:double"&gt;42.15&lt;/D&gt;&lt;D xsi:type="xsd:double"&gt;41.94&lt;/D&gt;&lt;D xsi:type="xsd:double"&gt;42.34&lt;/D&gt;&lt;D xsi:type="xsd:double"&gt;42.33&lt;/D&gt;&lt;D xsi:type="xsd:double"&gt;41.84&lt;/D&gt;&lt;D xsi:type="xsd:double"&gt;41.49&lt;/D&gt;&lt;D xsi:type="xsd:double"&gt;41.3&lt;/D&gt;&lt;D xsi:type="xsd:double"&gt;40.75&lt;/D&gt;&lt;D xsi:type="xsd:double"&gt;41.15&lt;/D&gt;&lt;D xsi:type="xsd:double"&gt;41.63&lt;/D&gt;&lt;D xsi:type="xsd:double"&gt;41.89&lt;/D&gt;&lt;D xsi:type="xsd:double"&gt;41.67&lt;/D&gt;&lt;D xsi:type="xsd:double"&gt;42.81&lt;/D&gt;&lt;D xsi:type="xsd:double"&gt;42.7&lt;/D&gt;&lt;D xsi:type="xsd:double"&gt;43.21&lt;/D&gt;&lt;D xsi:type="xsd:double"&gt;42.42&lt;/D&gt;&lt;D xsi:type="xsd:double"&gt;42.42&lt;/D&gt;&lt;D xsi:type="xsd:double"&gt;42.13&lt;/D&gt;&lt;D xsi:type="xsd:double"&gt;42.35&lt;/D&gt;&lt;D xsi:type="xsd:double"&gt;42.18&lt;/D&gt;&lt;D xsi:type="xsd:double"&gt;41.82&lt;/D&gt;&lt;D xsi:type="xsd:double"&gt;42.35&lt;/D&gt;&lt;D xsi:type="xsd:double"&gt;42.45&lt;/D&gt;&lt;D xsi:type="xsd:double"&gt;42.86&lt;/D&gt;&lt;D xsi:type="xsd:double"&gt;43.26&lt;/D&gt;&lt;D xsi:type="xsd:double"&gt;42.59&lt;/D&gt;&lt;D xsi:type="xsd:double"&gt;42.23&lt;/D&gt;&lt;D xsi:type="xsd:double"&gt;42.21&lt;/D&gt;&lt;D xsi:type="xsd:double"&gt;42.17&lt;/D&gt;&lt;D xsi:type="xsd:double"&gt;42.01&lt;/D&gt;&lt;D xsi:type="xsd:double"&gt;42.31&lt;/D&gt;&lt;D xsi:type="xsd:double"&gt;42.3&lt;/D&gt;&lt;D xsi:type="xsd:double"&gt;41.64&lt;/D&gt;&lt;D xsi:type="xsd:double"&gt;41.15&lt;/D&gt;&lt;D xsi:type="xsd:double"&gt;41.39&lt;/D&gt;&lt;D xsi:type="xsd:double"&gt;40.75&lt;/D&gt;&lt;D xsi:type="xsd:double"&gt;40.34&lt;/D&gt;&lt;D xsi:type="xsd:double"&gt;40.28&lt;/D&gt;&lt;D xsi:type="xsd:double"&gt;40.4&lt;/D&gt;&lt;D xsi:type="xsd:double"&gt;41.13&lt;/D&gt;&lt;D xsi:type="xsd:double"&gt;41.51&lt;/D&gt;&lt;D xsi:type="xsd:double"&gt;42.22&lt;/D&gt;&lt;D xsi:type="xsd:double"&gt;42.11&lt;/D&gt;&lt;D xsi:type="xsd:double"&gt;42.12&lt;/D&gt;&lt;D xsi:type="xsd:double"&gt;42.31&lt;/D&gt;&lt;D xsi:type="xsd:double"&gt;42.52&lt;/D&gt;&lt;D xsi:type="xsd:double"&gt;42.57&lt;/D&gt;&lt;D xsi:type="xsd:double"&gt;42.46&lt;/D&gt;&lt;D xsi:type="xsd:double"&gt;42.12&lt;/D&gt;&lt;D xsi:type="xsd:double"&gt;42.34&lt;/D&gt;&lt;D xsi:type="xsd:double"&gt;41.97&lt;/D&gt;&lt;D xsi:type="xsd:double"&gt;41.85&lt;/D&gt;&lt;D xsi:type="xsd:double"&gt;41.77&lt;/D&gt;&lt;D xsi:type="xsd:double"&gt;42.31&lt;/D&gt;&lt;D xsi:type="xsd:double"&gt;41.26&lt;/D&gt;&lt;D xsi:type="xsd:double"&gt;41.64&lt;/D&gt;&lt;D xsi:type="xsd:double"&gt;41.68&lt;/D&gt;&lt;D xsi:type="xsd:double"&gt;41.77&lt;/D&gt;&lt;D xsi:type="xsd:double"&gt;41.56&lt;/D&gt;&lt;D xsi:type="xsd:double"</t>
        </r>
      </text>
    </comment>
    <comment ref="A6" authorId="0" shapeId="0" xr:uid="{2367ED8D-2ABE-4C96-9C95-D1AA572E1E00}">
      <text>
        <r>
          <rPr>
            <b/>
            <sz val="9"/>
            <color indexed="81"/>
            <rFont val="Tahoma"/>
            <charset val="1"/>
          </rPr>
          <t>&gt;40.85&lt;/D&gt;&lt;D xsi:type="xsd:double"&gt;40.86&lt;/D&gt;&lt;D xsi:type="xsd:double"&gt;40.34&lt;/D&gt;&lt;D xsi:type="xsd:double"&gt;40.59&lt;/D&gt;&lt;D xsi:type="xsd:double"&gt;40.38&lt;/D&gt;&lt;D xsi:type="xsd:double"&gt;40.77&lt;/D&gt;&lt;D xsi:type="xsd:double"&gt;40.46&lt;/D&gt;&lt;D xsi:type="xsd:double"&gt;40.44&lt;/D&gt;&lt;D xsi:type="xsd:double"&gt;40.67&lt;/D&gt;&lt;D xsi:type="xsd:double"&gt;40.72&lt;/D&gt;&lt;D xsi:type="xsd:double"&gt;40.34&lt;/D&gt;&lt;D xsi:type="xsd:double"&gt;39.46&lt;/D&gt;&lt;D xsi:type="xsd:double"&gt;39.49&lt;/D&gt;&lt;D xsi:type="xsd:double"&gt;39.67&lt;/D&gt;&lt;D xsi:type="xsd:double"&gt;39.47&lt;/D&gt;&lt;D xsi:type="xsd:double"&gt;39.36&lt;/D&gt;&lt;D xsi:type="xsd:double"&gt;39.03&lt;/D&gt;&lt;D xsi:type="xsd:double"&gt;38.44&lt;/D&gt;&lt;D xsi:type="xsd:double"&gt;38.03&lt;/D&gt;&lt;D xsi:type="xsd:double"&gt;37.03&lt;/D&gt;&lt;D xsi:type="xsd:double"&gt;37.4&lt;/D&gt;&lt;D xsi:type="xsd:double"&gt;37.22&lt;/D&gt;&lt;D xsi:type="xsd:double"&gt;37.2&lt;/D&gt;&lt;D xsi:type="xsd:double"&gt;36.82&lt;/D&gt;&lt;D xsi:type="xsd:double"&gt;36.37&lt;/D&gt;&lt;D xsi:type="xsd:double"&gt;35.8&lt;/D&gt;&lt;D xsi:type="xsd:double"&gt;36.22&lt;/D&gt;&lt;D xsi:type="xsd:double"&gt;33.22&lt;/D&gt;&lt;D xsi:type="xsd:double"&gt;33.55&lt;/D&gt;&lt;D xsi:type="xsd:double"&gt;34.32&lt;/D&gt;&lt;D xsi:type="xsd:double"&gt;36.73&lt;/D&gt;&lt;D xsi:type="xsd:double"&gt;37.38&lt;/D&gt;&lt;D xsi:type="xsd:double"&gt;37.29&lt;/D&gt;&lt;D xsi:type="xsd:double"&gt;37.08&lt;/D&gt;&lt;/FQL&gt;&lt;FQL&gt;&lt;Q&gt;CNYA^FG_PRICE(0,-200D)&lt;/Q&gt;&lt;R&gt;201&lt;/R&gt;&lt;C&gt;1&lt;/C&gt;&lt;D xsi:type="xsd:double"&gt;35.87&lt;/D&gt;&lt;D xsi:type="xsd:double"&gt;35.6&lt;/D&gt;&lt;D xsi:type="xsd:double"&gt;35.59&lt;/D&gt;&lt;D xsi:type="xsd:double"&gt;36.23&lt;/D&gt;&lt;D xsi:type="xsd:double"&gt;35.83&lt;/D&gt;&lt;D xsi:type="xsd:double"&gt;35.49&lt;/D&gt;&lt;D xsi:type="xsd:double"&gt;35.5&lt;/D&gt;&lt;D xsi:type="xsd:double"&gt;35.64&lt;/D&gt;&lt;D xsi:type="xsd:double"&gt;35.21&lt;/D&gt;&lt;D xsi:type="xsd:double"&gt;34.91&lt;/D&gt;&lt;D xsi:type="xsd:double"&gt;34.58&lt;/D&gt;&lt;D xsi:type="xsd:double"&gt;34.59&lt;/D&gt;&lt;D xsi:type="xsd:double"&gt;34.37&lt;/D&gt;&lt;D xsi:type="xsd:double"&gt;34.71&lt;/D&gt;&lt;D xsi:type="xsd:double"&gt;34.44&lt;/D&gt;&lt;D xsi:type="xsd:double"&gt;34.31&lt;/D&gt;&lt;D xsi:type="xsd:double"&gt;34.24&lt;/D&gt;&lt;D xsi:type="xsd:double"&gt;33.89&lt;/D&gt;&lt;D xsi:type="xsd:double"&gt;33.58&lt;/D&gt;&lt;D xsi:type="xsd:double"&gt;33.63&lt;/D&gt;&lt;D xsi:type="xsd:double"&gt;33.197&lt;/D&gt;&lt;D xsi:type="xsd:double"&gt;34.05&lt;/D&gt;&lt;D xsi:type="xsd:double"&gt;34.08&lt;/D&gt;&lt;D xsi:type="xsd:double"&gt;34.09&lt;/D&gt;&lt;D xsi:type="xsd:double"&gt;34.34&lt;/D&gt;&lt;D xsi:type="xsd:double"&gt;34.225&lt;/D&gt;&lt;D xsi:type="xsd:double"&gt;34.36&lt;/D&gt;&lt;D xsi:type="xsd:double"&gt;34.21&lt;/D&gt;&lt;D xsi:type="xsd:double"&gt;33.74&lt;/D&gt;&lt;D xsi:type="xsd:double"&gt;33.76&lt;/D&gt;&lt;D xsi:type="xsd:double"&gt;33.81&lt;/D&gt;&lt;D xsi:type="xsd:double"&gt;34.25&lt;/D&gt;&lt;D xsi:type="xsd:double"&gt;33.95&lt;/D&gt;&lt;D xsi:type="xsd:double"&gt;33.59&lt;/D&gt;&lt;D xsi:type="xsd:double"&gt;33.51&lt;/D&gt;&lt;D xsi:type="xsd:double"&gt;33.11&lt;/D&gt;&lt;D xsi:type="xsd:double"&gt;33.06&lt;/D&gt;&lt;D xsi:type="xsd:double"&gt;33.46&lt;/D&gt;&lt;D xsi:type="xsd:double"&gt;33.88&lt;/D&gt;&lt;D xsi:type="xsd:double"&gt;33.93&lt;/D&gt;&lt;D xsi:type="xsd:double"&gt;33.89&lt;/D&gt;&lt;D xsi:type="xsd:double"&gt;34.19&lt;/D&gt;&lt;D xsi:type="xsd:double"&gt;34.64&lt;/D&gt;&lt;D xsi:type="xsd:double"&gt;34.43&lt;/D&gt;&lt;D xsi:type="xsd:double"&gt;34.47&lt;/D&gt;&lt;D xsi:type="xsd:double"&gt;34.77&lt;/D&gt;&lt;D xsi:type="xsd:double"&gt;34.6&lt;/D&gt;&lt;D xsi:type="xsd:double"&gt;34.59&lt;/D&gt;&lt;D xsi:type="xsd:double"&gt;34.38&lt;/D&gt;&lt;D xsi:type="xsd:double"&gt;33.97&lt;/D&gt;&lt;D xsi:type="xsd:double"&gt;34.3771&lt;/D&gt;&lt;D xsi:type="xsd:double"&gt;34.3&lt;/D&gt;&lt;D xsi:type="xsd:double"&gt;34.9&lt;/D&gt;&lt;D xsi:type="xsd:double"&gt;35.27&lt;/D&gt;&lt;D xsi:type="xsd:double"&gt;34.95&lt;/D&gt;&lt;D xsi:type="xsd:double"&gt;34.95&lt;/D&gt;&lt;D xsi:type="xsd:double"&gt;34.48&lt;/D&gt;&lt;D xsi:type="xsd:double"&gt;34.06&lt;/D&gt;&lt;D xsi:type="xsd:double"&gt;33.86&lt;/D&gt;&lt;D xsi:type="xsd:double"&gt;33.88&lt;/D&gt;&lt;D xsi:type="xsd:double"&gt;33.64&lt;/D&gt;&lt;D xsi:type="xsd:double"&gt;33.61&lt;/D&gt;&lt;D xsi:type="xsd:double"&gt;34.02&lt;/D&gt;&lt;D xsi:type="xsd:double"&gt;33.99&lt;/D&gt;&lt;D xsi:type="xsd:double"&gt;33.55&lt;/D&gt;&lt;D xsi:type="xsd:double"&gt;33.94&lt;/D&gt;&lt;D xsi:type="xsd:double"&gt;32.92&lt;/D&gt;&lt;D xsi:type="xsd:double"&gt;34.44&lt;/D&gt;&lt;D xsi:type="xsd:double"&gt;34.21&lt;/D&gt;&lt;D xsi:type="xsd:double"&gt;34.26&lt;/D&gt;&lt;D xsi:type="xsd:double"&gt;34.37&lt;/D&gt;&lt;D xsi:type="xsd:double"&gt;34.39&lt;/D&gt;&lt;D xsi:type="xsd:double"&gt;34.5182&lt;/D&gt;&lt;D xsi:type="xsd:double"&gt;34.3695&lt;/D&gt;&lt;D xsi:type="xsd:double"&gt;34.34&lt;/D&gt;&lt;D xsi:type="xsd:double"&gt;34.2&lt;/D&gt;&lt;D xsi:type="xsd:double"&gt;33.54&lt;/D&gt;&lt;D xsi:type="xsd:double"&gt;33.88&lt;/D&gt;&lt;D xsi:type="xsd:double"&gt;33.6806&lt;/D&gt;&lt;D xsi:type="xsd:double"&gt;33.47&lt;/D&gt;&lt;D xsi:type="xsd:double"&gt;33.67&lt;/D&gt;&lt;D xsi:type="xsd:double"&gt;33.45&lt;/D&gt;&lt;D xsi:type="xsd:double"&gt;33.48&lt;/D&gt;&lt;D xsi:type="xsd:double"&gt;33.96&lt;/D&gt;&lt;D xsi:type="xsd:double"&gt;33.77&lt;/D&gt;&lt;D xsi:type="xsd:double"&gt;33.81&lt;/D&gt;&lt;D xsi:type="xsd:double"&gt;33.6&lt;/D&gt;&lt;D xsi:type="xsd:double"&gt;33.94&lt;/D&gt;&lt;D xsi:type="xsd:double"&gt;32.84&lt;/D&gt;&lt;D xsi:type="xsd:double"&gt;32.94&lt;/D&gt;&lt;D xsi:type="xsd:double"&gt;33.14&lt;/D&gt;&lt;D xsi:type="xsd:double"&gt;33.02&lt;/D&gt;&lt;D xsi:type="xsd:double"&gt;32.23&lt;/D&gt;&lt;D xsi:type="xsd:double"&gt;32.94&lt;/D&gt;&lt;D xsi:type="xsd:double"&gt;33.2&lt;/D&gt;&lt;D xsi:type="xsd:double"&gt;33.47&lt;/D&gt;&lt;D xsi:type="xsd:double"&gt;33.16&lt;/D&gt;&lt;D xsi:type="xsd:double"&gt;32.26&lt;/D&gt;&lt;D xsi:type="xsd:double"&gt;32.91&lt;/D&gt;&lt;D xsi:type="xsd:double"&gt;32.91&lt;/D&gt;&lt;D xsi:type="xsd:double"&gt;32.71&lt;/D&gt;&lt;D xsi:type="xsd:double"&gt;31.62&lt;/D&gt;&lt;D xsi:type="xsd:double"&gt;31.74&lt;/D&gt;&lt;D xsi:type="xsd:double"&gt;31.02&lt;/D&gt;&lt;D xsi:type="xsd:double"&gt;31.32&lt;/D&gt;&lt;D xsi:type="xsd:double"&gt;30.97&lt;/D&gt;&lt;D xsi:type="xsd:double"&gt;30.72&lt;/D&gt;&lt;D xsi:type="xsd:double"&gt;31.01&lt;/D&gt;&lt;D xsi:type="xsd:double"&gt;30.73&lt;/D&gt;&lt;D xsi:type="xsd:double"&gt;30.295&lt;/D&gt;&lt;D xsi:type="xsd:double"&gt;30.27&lt;/D&gt;&lt;D xsi:type="xsd:double"&gt;30.3&lt;/D&gt;&lt;D xsi:type="xsd:double"&gt;30.33&lt;/D&gt;&lt;D xsi:type="xsd:double"&gt;30.17&lt;/D&gt;&lt;D xsi:type="xsd:double"&gt;29.9&lt;/D&gt;&lt;D xsi:type="xsd:double"&gt;29.6&lt;/D&gt;&lt;D xsi:type="xsd:double"&gt;29.68&lt;/D&gt;&lt;D xsi:type="xsd:double"&gt;30.24&lt;/D&gt;&lt;D xsi:type="xsd:double"&gt;30.44&lt;/D&gt;&lt;D xsi:type="xsd:double"&gt;30.29&lt;/D&gt;&lt;D xsi:type="xsd:double"&gt;30.31&lt;/D&gt;&lt;D xsi:type="xsd:double"&gt;30.45&lt;/D&gt;&lt;D xsi:type="xsd:double"&gt;30.35&lt;/D&gt;&lt;D xsi:type="xsd:double"&gt;30.365&lt;/D&gt;&lt;D xsi:type="xsd:double"&gt;29.98&lt;/D&gt;&lt;D xsi:type="xsd:double"&gt;29.73&lt;/D&gt;&lt;D xsi:type="xsd:double"&gt;29.6&lt;/D&gt;&lt;D xsi:type="xsd:double"&gt;29.26&lt;/D&gt;&lt;D xsi:type="xsd:double"&gt;29.29&lt;/D&gt;&lt;D xsi:type="xsd:double"&gt;29.395&lt;/D&gt;&lt;D xsi:type="xsd:double"&gt;29.2&lt;/D&gt;&lt;D xsi:type="xsd:double"&gt;29.32&lt;/D&gt;&lt;D xsi:type="xsd:double"&gt;29.07&lt;/D&gt;&lt;D xsi:type="xsd:double"&gt;29.12&lt;/D&gt;&lt;D xsi:type="xsd:double"&gt;28.86&lt;/D&gt;&lt;D xsi:type="xsd:double"&gt;28.91&lt;/D&gt;&lt;D xsi:type="xsd:double"&gt;28.7&lt;/D&gt;&lt;D xsi:type="xsd:double"&gt;28.71&lt;/D&gt;&lt;D xsi:type="xsd:double"&gt;28.71&lt;/D&gt;&lt;D xsi:type="xsd:double"&gt;28.46&lt;/D&gt;&lt;D xsi:type="xsd:double"&gt;28.79&lt;/D&gt;&lt;D xsi:type="xsd:double"&gt;28.805&lt;/D&gt;&lt;D xsi:type="xsd:double"&gt;28.55&lt;/D&gt;&lt;D xsi:type="xsd:double"&gt;28.03&lt;/D&gt;&lt;D xsi:type="xsd:double"&gt;27.925&lt;/D&gt;&lt;D xsi:type="xsd:double"&gt;27.96&lt;/D&gt;&lt;D xsi:type="xsd:double"&gt;28&lt;/D&gt;&lt;D xsi:type="xsd:double"&gt;28.12&lt;/D&gt;&lt;D xsi:type="xsd:double"&gt;28.15&lt;/D&gt;&lt;D xsi:type="xsd:double"&gt;28.42&lt;/D&gt;&lt;D xsi:type="xsd:double"&gt;28.29&lt;/D&gt;&lt;D xsi:type="xsd:double"&gt;28.1&lt;/D&gt;&lt;D xsi:type="xsd:double"&gt;28.3&lt;/D&gt;&lt;D xsi:type="xsd:double"&gt;28.22&lt;/D&gt;&lt;D xsi:type="xsd:double"&gt;28.29&lt;/D&gt;&lt;D xsi:type="xsd:double"&gt;28.18&lt;/D&gt;&lt;D xsi:type="xsd:double"&gt;27.96&lt;/D&gt;&lt;D xsi:type="xsd:double"&gt;27.72&lt;/D&gt;&lt;D xsi:type="xsd:double"&gt;27.67&lt;/D&gt;&lt;D xsi:type="xsd:double"&gt;28.02&lt;/D&gt;&lt;D xsi:type="xsd:double"&gt;27.83&lt;/D&gt;&lt;D xsi:type="xsd:double"&gt;27.9&lt;/D&gt;&lt;D xsi:type="xsd:double"&gt;28.2&lt;/D&gt;&lt;D xsi:type="xsd:double"&gt;28.3&lt;/D&gt;&lt;D xsi:type="xsd:double"&gt;28.4&lt;/D&gt;&lt;D xsi:type="xsd:double"&gt;28.28&lt;/D&gt;&lt;D xsi:type="xsd:double"&gt;28.14&lt;/D&gt;&lt;D xsi:type="xsd:double"&gt;28.24&lt;/D&gt;&lt;D xsi:type="xsd:double"&gt;28.25&lt;/D&gt;&lt;D xsi:type="xsd:double"&gt;28.58&lt;/D&gt;&lt;D xsi:type="xsd:double"&gt;28.34&lt;/D&gt;&lt;D xsi:type="xsd:double"&gt;28.45&lt;/D&gt;&lt;D xsi:type="xsd:double"&gt;27.78&lt;/D&gt;&lt;D xsi:type="xsd:double"&gt;27.85&lt;/D&gt;&lt;D xsi:type="xsd:double"&gt;27.58&lt;/D&gt;&lt;D xsi:type="xsd:double"&gt;27.82&lt;/D&gt;&lt;D xsi:type="xsd:double"&gt;27.7&lt;/D&gt;&lt;D xsi:type="xsd:double"&gt;27.66&lt;/D&gt;&lt;D xsi:type="xsd:double"&gt;26.92&lt;/D&gt;&lt;D xsi:type="xsd:double"&gt;27.06&lt;/D&gt;&lt;D xsi:type="xsd:double"&gt;27.14&lt;/D&gt;&lt;D xsi:type="xsd:double"&gt;27.14&lt;/D&gt;&lt;D xsi:type="xsd:double"&gt;27.25&lt;/D&gt;&lt;D xsi:type="xsd:double"&gt;27.29&lt;/D&gt;&lt;D xsi:type="xsd:double"&gt;27.2&lt;/D&gt;&lt;D xsi:type="xsd:double"&gt;27.16&lt;/D&gt;&lt;D xsi:type="xsd:double"&gt;27.04&lt;/D&gt;&lt;D xsi:type="xsd:double"&gt;26.82&lt;/D&gt;&lt;D xsi:type="xsd:double"&gt;26.92&lt;/D&gt;&lt;D xsi:type="xsd:double"&gt;26.7&lt;/D&gt;&lt;D xsi:type="xsd:double"&gt;26.96&lt;/D&gt;&lt;D xsi:type="xsd:double"&gt;27.09&lt;/D&gt;&lt;D xsi:type="xsd:double"&gt;26.64&lt;/D&gt;&lt;D xsi:type="xsd:double"&gt;26.4&lt;/D&gt;&lt;D xsi:type="xsd:double"&gt;24.95&lt;/D&gt;&lt;D xsi:type="xsd:double"&gt;24.71&lt;/D&gt;&lt;D xsi:type="xsd:double"&gt;26.56&lt;/D&gt;&lt;D xsi:type="xsd:double"&gt;27.65&lt;/D&gt;&lt;D xsi:type="xsd:double"&gt;27.91&lt;/D&gt;&lt;D xsi:type="xsd:double"&gt;27.92&lt;/D&gt;&lt;D xsi:type="xsd:double"&gt;28.03&lt;/D&gt;&lt;/FQL&gt;&lt;FQL&gt;&lt;Q&gt;EWZ^FG_PRICE(0,-200D)&lt;/Q&gt;&lt;R&gt;201&lt;/R&gt;&lt;C&gt;1&lt;/C&gt;&lt;D xsi:type="xsd:double"&gt;33.36&lt;/D&gt;&lt;D xsi:type="xsd:double"&gt;33.16&lt;/D&gt;&lt;D xsi:type="xsd:double"&gt;32.63&lt;/D&gt;&lt;D xsi:type="xsd:double"&gt;32.93&lt;/D&gt;&lt;D xsi:type="xsd:double"&gt;33.06&lt;/D&gt;&lt;D xsi:type="xsd:double"&gt;32.88&lt;/D&gt;&lt;D xsi:type="xsd:double"&gt;32.7&lt;/D&gt;&lt;D xsi:type="xsd:double"&gt;33.11&lt;/D&gt;&lt;D xsi:type="xsd:double"&gt;32.79&lt;/D&gt;&lt;D xsi:type="xsd:double"&gt;32.2&lt;/D&gt;&lt;D xsi:type="xsd:double"&gt;31.77&lt;/D&gt;&lt;D xsi:type="xsd:double"&gt;31.99&lt;/D&gt;&lt;D xsi:type="xsd:double"&gt;31.42&lt;/D&gt;&lt;D xsi:type="xsd:double"&gt;31.73&lt;/D&gt;&lt;D xsi:type="xsd:double"&gt;31.55&lt;/D&gt;&lt;D xsi:type="xsd:double"&gt;31.65&lt;/D&gt;&lt;D xsi:type="xsd:double"&gt;30.97&lt;/D&gt;&lt;D xsi:type="xsd:double"&gt;31.17&lt;/D&gt;&lt;D xsi:type="xsd:double"&gt;31.17&lt;/D&gt;&lt;D xsi:type="xsd:double"&gt;31&lt;/D&gt;&lt;D xsi:type="xsd:double"&gt;31.6&lt;/D&gt;&lt;D xsi:type="xsd:double"&gt;33.58&lt;/D&gt;&lt;D xsi:type="xsd:double"&gt;33.32&lt;/D&gt;&lt;D xsi:type="xsd:double"&gt;33.16&lt;/D&gt;&lt;D xsi:type="xsd:double"&gt;32.77&lt;/D&gt;&lt;D xsi:type="xsd:double"&gt;32.74&lt;/D&gt;&lt;D xsi:type="xsd:double"&gt;32.75&lt;/D&gt;&lt;D xsi:type="xsd:double"&gt;32.53&lt;/D&gt;&lt;D xsi:type="xsd:double"&gt;34.72&lt;/D&gt;&lt;D xsi:type="xsd:double"&gt;34.2&lt;/D&gt;&lt;D xsi:type="xsd:double"&gt;34.03&lt;/D&gt;&lt;D xsi:type="xsd:double"&gt;33.4&lt;/D&gt;&lt;D xsi:type="xsd:double"&gt;33.61&lt;/D&gt;&lt;D xsi:type="xsd:double"&gt;33.47&lt;/D&gt;&lt;D xsi:type="xsd:double"&gt;32.55&lt;/D&gt;&lt;D xsi:type="xsd:double"&gt;32.2&lt;/D&gt;&lt;D xsi:type="xsd:double"&gt;32.03&lt;/D&gt;&lt;D xsi:type="xsd:double"&gt;31.9&lt;/D&gt;&lt;D xsi:type="xsd:double"&gt;32.49&lt;/D&gt;&lt;D xsi:type="xsd:double"&gt;32.71&lt;/D&gt;&lt;D xsi:type="xsd:double"&gt;32.78&lt;/D&gt;&lt;D xsi:type="xsd:double"&gt;33.18&lt;/D&gt;&lt;D xsi:type="xsd:double"&gt;32.98&lt;/D&gt;&lt;D xsi:type="xsd:double"&gt;33.22&lt;/D&gt;&lt;D xsi:type="xsd:double"&gt;33.49&lt;/D&gt;&lt;D xsi:type="xsd:double"&gt;32.72&lt;/D&gt;&lt;D xsi:type="xsd:double"&gt;32.3&lt;/D&gt;&lt;D xsi:type="xsd:double"&gt;32.04&lt;/D&gt;&lt;D xsi:type="xsd:double"&gt;32.1&lt;/D&gt;&lt;D xsi:type="xsd:double"&gt;31.18&lt;/D&gt;&lt;D xsi:type="xsd:double"&gt;31.52&lt;/D&gt;&lt;D xsi:type="xsd:double"&gt;31.17&lt;/D&gt;&lt;D xsi:type="xsd:double"&gt;31.05&lt;/D&gt;&lt;D xsi:type="xsd:double"&gt;31.18&lt;/D&gt;&lt;D xsi:type="xsd:double"&gt;30.92&lt;/D&gt;&lt;D xsi:type="xsd:double"&gt;30.77&lt;/D&gt;&lt;D xsi:type="xsd:double"&gt;30.48&lt;/D&gt;&lt;D xsi:type="xsd:double"&gt;30.47&lt;/D&gt;&lt;D xsi:type="xsd:double"&gt;30.03&lt;/D&gt;&lt;D xsi:type="xsd:double"&gt;29.94&lt;/D&gt;&lt;D xsi:type="xsd:double"&gt;30.22&lt;/D&gt;&lt;D xsi:type="xsd:double"&gt;29.71&lt;/D&gt;&lt;D xsi:type="xsd:double"&gt;29.24&lt;/D&gt;&lt;D xsi:type="xsd:double"&gt;29.32&lt;/D&gt;&lt;D xsi:type="xsd:double"&gt;29.1&lt;/D&gt;&lt;D xsi:type="xsd:double"&gt;29.18&lt;/D&gt;&lt;D xsi:type="xsd:double"&gt;28.79&lt;/D&gt;&lt;D xsi:type="xsd:double"&gt;29.67&lt;/D&gt;&lt;D xsi:type="xsd:double"&gt;29.87&lt;/D&gt;&lt;D xsi:type="xsd:double"&gt;29.68&lt;/D&gt;&lt;D xsi:type="xsd:double"&gt;30.31&lt;/D&gt;&lt;D xsi:type="xsd:double"&gt;30.33&lt;/D&gt;&lt;D xsi:type="xsd:double"&gt;30.24&lt;/D&gt;&lt;D xsi:type="xsd:double"&gt;30.58&lt;/D&gt;&lt;D xsi:type="xsd:double"&gt;31&lt;/D&gt;&lt;D xsi:type="xsd:double"&gt;30.99&lt;/D&gt;&lt;D xsi:type="xsd:double"&gt;30.73&lt;/D&gt;&lt;D xsi:type="xsd:double"&gt;30.58&lt;/D&gt;&lt;D xsi:type="xsd:double"&gt;31.05&lt;/D&gt;&lt;D xsi:type="xsd:double"&gt;31.32&lt;/D&gt;&lt;D xsi:type="xsd:double"&gt;30.79&lt;/D&gt;&lt;D xsi:type="xsd:double"&gt;30.93&lt;/D&gt;&lt;D xsi:type="xsd:double"&gt;30.82&lt;/D&gt;&lt;D xsi:type="xsd:double"&gt;30.94&lt;/D&gt;&lt;D xsi:type="xsd:double"&gt;30.69&lt;/D&gt;&lt;D xsi:type="xsd:double"&gt;30.51&lt;/D&gt;&lt;D xsi:type="xsd:double"&gt;30.03&lt;/D&gt;&lt;D xsi:type="xsd:double"&gt;30.05&lt;/D&gt;&lt;D xsi:type="xsd:double"&gt;29.79&lt;/D&gt;&lt;D xsi:type="xsd:double"&gt;29.54&lt;/D&gt;&lt;D xsi:type="xsd:double"&gt;29.58&lt;/D&gt;&lt;D xsi:type="xsd:double"&gt;29.63&lt;/D&gt;&lt;D xsi:type="xsd:double"&gt;29.17&lt;/D&gt;&lt;D xsi:type="xsd:double"&gt;28.99&lt;/D&gt;&lt;D xsi:type="xsd:double"&gt;29&lt;/D&gt;&lt;D xsi:type="xsd:double"&gt;29.5&lt;/D&gt;&lt;D xsi:type="xsd:double"&gt;29.49&lt;/D&gt;&lt;D xsi:type="xsd:double"&gt;29.02&lt;/D&gt;&lt;D xsi:type="xsd:double"&gt;28.61&lt;/D&gt;&lt;D xsi:type="xsd:double"&gt;28.74&lt;/D&gt;&lt;D xsi:type="xsd:double"&gt;28.61&lt;/D&gt;&lt;D xsi:type="xsd:double"&gt;27.66&lt;/D&gt;&lt;D xsi:type="xsd:double"&gt;27.69&lt;/D&gt;&lt;D xsi:type="xsd:double"&gt;27.36&lt;/D&gt;&lt;D xsi:type="xsd:double"&gt;28.29&lt;/D&gt;&lt;D xsi:type="xsd:double"&gt;28.2&lt;/D&gt;&lt;D xsi:type="xsd:double"&gt;27.89&lt;/D&gt;&lt;D xsi:type="xsd:double"&gt;28.18&lt;/D&gt;&lt;D xsi:type="xsd:double"&gt;28.39&lt;/D&gt;&lt;D xsi:type="xsd:double"&gt;27.64&lt;/D&gt;&lt;D xsi:type="xsd:double"&gt;27.81&lt;/D&gt;&lt;D xsi:type="xsd:double"&gt;28.05&lt;/D&gt;&lt;D xsi:type="xsd:double"&gt;27.45&lt;/D&gt;&lt;D xsi:type="xsd:double"&gt;27.02&lt;/D&gt;&lt;D xsi:type="xsd:double"&gt;26.93&lt;/D&gt;&lt;D xsi:type="xsd:double"&gt;26.65&lt;/D&gt;&lt;D xsi:type="xsd:double"&gt;26.55&lt;/D&gt;&lt;D xsi:type="xsd:double"&gt;26.88&lt;/D&gt;&lt;D xsi:type="xsd:double"&gt;26.76&lt;/D&gt;&lt;D xsi:type="xsd:double"&gt;26.52&lt;/D&gt;&lt;D xsi:type="xsd:double"&gt;26.94&lt;/D&gt;&lt;D xsi:type="xsd:double"&gt;27.13&lt;/D&gt;&lt;D xsi:type="xsd:double"&gt;27.48&lt;/D&gt;&lt;D xsi:type="xsd:double"&gt;27&lt;/D&gt;&lt;D xsi:type="xsd:double"&gt;27.08&lt;/D&gt;&lt;D xsi:type="xsd:double"&gt;26.85&lt;/D&gt;&lt;D xsi:type="xsd:double"&gt;27.69&lt;/D&gt;&lt;D xsi:type="xsd:double"&gt;27.57&lt;/D&gt;&lt;D xsi:type="xsd:double"&gt;27.47&lt;/D&gt;&lt;D xsi:type="xsd:double"&gt;27.31&lt;/D&gt;&lt;D xsi:type="xsd:double"&gt;27.53&lt;/D&gt;&lt;D xsi:type="xsd:double"&gt;27.72&lt;/D&gt;&lt;D xsi:type="xsd:double"&gt;28.16&lt;/D&gt;&lt;D xsi:type="xsd:double"&gt;28.71&lt;/D&gt;&lt;D xsi:type="xsd:double"&gt;28.6&lt;/D&gt;&lt;D xsi:type="xsd:double"&gt;29.31&lt;/D&gt;&lt;D xsi:type="xsd:double"&gt;28.91&lt;/D&gt;&lt;D xsi:type="xsd:double"&gt;28.79&lt;/D&gt;&lt;D xsi:type="xsd:double"&gt;28.85&lt;/D&gt;&lt;D xsi:type="xsd:double"&gt;28.14&lt;/D&gt;&lt;D xsi:type="xsd:double"&gt;28.13&lt;/D&gt;&lt;D xsi:type="xsd:double"&gt;27.57&lt;/D&gt;&lt;D xsi:type="xsd:double"&gt;27.98&lt;/D&gt;&lt;D xsi:type="xsd:double"&gt;27.66&lt;/D&gt;&lt;D xsi:type="xsd:double"&gt;27.67&lt;/D&gt;&lt;D xsi:type="xsd:double"&gt;28.08&lt;/D&gt;&lt;D xsi:type="xsd:double"&gt;28.11&lt;/D&gt;&lt;D xsi:type="xsd:double"&gt;28.31&lt;/D&gt;&lt;D xsi:type="xsd:double"&gt;28.14&lt;/D&gt;&lt;D xsi:type="xsd:double"&gt;28.15&lt;/D&gt;&lt;D xsi:type="xsd:double"&gt;28.22&lt;/D&gt;&lt;D xsi:type="xsd:double"&gt;27.72&lt;/D&gt;&lt;D xsi:type="xsd:double"&gt;27.62&lt;/D&gt;&lt;D xsi:type="xsd:double"&gt;27.72&lt;/D&gt;&lt;D xsi:type="xsd:double"&gt;27.6&lt;/D&gt;&lt;D xsi:type="xsd:double"&gt;27.44&lt;/D&gt;&lt;D xsi:type="xsd:double"&gt;27.58&lt;/D&gt;&lt;D xsi:type="xsd:double"&gt;27.27&lt;/D&gt;&lt;D xsi:type="xsd:double"&gt;27.21&lt;/D&gt;&lt;D xsi:type="xsd:double"&gt;27.7&lt;/D&gt;&lt;D xsi:type="xsd:double"&gt;27.69&lt;/D&gt;&lt;D xsi:type="xsd:double"&gt;27.99&lt;/D&gt;&lt;D xsi:type="xsd:double"&gt;27.65&lt;/D&gt;&lt;D xsi:type="xsd:double"&gt;27.52&lt;/D&gt;&lt;D xsi:type="xsd:double"&gt;27.67&lt;/D&gt;&lt;D xsi:type="xsd:double"&gt;28.16&lt;/D&gt;&lt;D xsi:type="xsd:double"&gt;28.18&lt;/D&gt;&lt;D xsi:type="xsd:double"&gt;28&lt;/D&gt;&lt;D xsi:type="xsd:double"&gt;28.01&lt;/D&gt;&lt;D xsi:type="xsd:double"&gt;28.2&lt;/D&gt;&lt;D xsi:type="xsd:double"&gt;28.33&lt;/D&gt;&lt;D xsi:type="xsd:double"&gt;27.49&lt;/D&gt;&lt;D xsi:type="xsd:double"&gt;27.56&lt;/D&gt;&lt;D xsi:type="xsd:double"&gt;27.48&lt;/D&gt;&lt;D xsi:type="xsd:double"&gt;26.4&lt;/D&gt;&lt;D xsi:type="xsd:double"&gt;26.61&lt;/D&gt;&lt;D xsi:type="xsd:double"&gt;26.71&lt;/D&gt;&lt;D xsi:type="xsd:double"&gt;27.12&lt;/D&gt;&lt;D xsi:type="xsd:double"&gt;26.88&lt;/D&gt;&lt;D xsi:type="xsd:double"&gt;27.04&lt;/D&gt;&lt;D xsi:type="xsd:double"&gt;27.36&lt;/D&gt;&lt;D xsi:type="xsd:double"&gt;27.21&lt;/D&gt;&lt;D xsi:type="xsd:double"&gt;26.94&lt;/D&gt;&lt;D xsi:type="xsd:double"&gt;26.74&lt;/D&gt;&lt;D xsi:type="xsd:double"&gt;26.31&lt;/D&gt;&lt;D xsi:type="xsd:double"&gt;25.86&lt;/D&gt;&lt;D xsi:type="xsd:double"&gt;25.2&lt;/D&gt;&lt;D xsi:type="xsd:double"&gt;25.22&lt;/D&gt;&lt;D xsi:type="xsd:double"&gt;24.79&lt;/D&gt;&lt;D xsi:type="xsd:double"&gt;24.86&lt;/D&gt;&lt;D xsi:type="xsd:double"&gt;25.01&lt;/D&gt;&lt;D xsi:type="xsd:double"&gt;24.69&lt;/D&gt;&lt;D xsi:type="xsd:double"&gt;24.19&lt;/D&gt;&lt;D xsi:type="xsd:double"&gt;24.71&lt;/D&gt;&lt;D xsi:type="xsd:double"&gt;23.44&lt;/D&gt;&lt;D xsi:type="xsd:double"&gt;23.95&lt;/D&gt;&lt;D xsi:type="xsd:double"&gt;24.5&lt;/D&gt;&lt;D xsi:type="xsd:double"&gt;26.33&lt;/D&gt;&lt;D xsi:type="xsd:double"&gt;26.14&lt;/D&gt;&lt;D xsi:type="xsd:double"&gt;26.14&lt;/D&gt;&lt;D xsi:type="xsd:double"&gt;25.85&lt;/D&gt;&lt;/FQL&gt;&lt;FQL&gt;&lt;Q&gt;ENZL^FG_TOTAL_RETURNC(-5AY,0,AM)&lt;/Q&gt;&lt;R&gt;61&lt;/R&gt;&lt;C&gt;1&lt;/C&gt;&lt;D xsi:type="xsd:double"&gt;0.21113157&lt;/D&gt;&lt;D xsi:type="xsd:double"&gt;-1.2490511&lt;/D&gt;&lt;D xsi:type="xsd:double"&gt;-0.77720284&lt;/D&gt;&lt;D xsi:type="xsd:double"&gt;-1.5650392&lt;/D&gt;&lt;D xsi:type="xsd:double"&gt;-1.8114924&lt;/D&gt;&lt;D xsi:type="xsd:double"&gt;-0.7625818&lt;/D&gt;&lt;D xsi:type="xsd:double"&gt;-1.1143982&lt;/D&gt;&lt;D xsi:type="xsd:double"&gt;0.6857872&lt;/D&gt;&lt;D xsi:type="xsd:double"&gt;2.726388&lt;/D&gt;&lt;D xsi:type="xsd:double"&gt;-0.34754872&lt;/D&gt;&lt;D xsi:type="xsd:double"&gt;-1.7121136&lt;/D&gt;&lt;D xsi:type="xsd:double"&gt;-5.035162&lt;/D&gt;&lt;D xsi:type="xsd:double"&gt;-0.46559572&lt;/D&gt;&lt;D xsi:type="xsd:double"&gt;-8.021486&lt;/D&gt;&lt;D xsi:type="xsd:double"&gt;1.3373494&lt;/D&gt;&lt;D xsi:type="xsd:double"&gt;-1.2267649&lt;/D&gt;&lt;D xsi:type="xsd:double"&gt;-12.909299&lt;/D&gt;&lt;D xsi:type="xsd:double"&gt;-4.7947526&lt;/D&gt;&lt;D xsi:type="xsd:double"&gt;3.8346767&lt;/D&gt;&lt;D xsi:type="xsd:double"&gt;10.238827&lt;/D&gt;&lt;D xsi:type="xsd:double"&gt;-8.044129&lt;/D&gt;&lt;D xsi:type="xsd:double"&gt;-13.132638&lt;/D&gt;&lt;D xsi:type="xsd:double"&gt;15.092921&lt;/D&gt;&lt;D xsi:type="xsd:double"&gt;6.5582395&lt;/D&gt;&lt;D xsi:type="xsd:double"&gt;3.9711952&lt;/D&gt;&lt;D xsi:type="xsd:double"&gt;1.5238523&lt;/D&gt;&lt;D xsi:type="xsd:double"&gt;-7.3684216&lt;/D&gt;&lt;D xsi:type="xsd:double"&gt;3.7668347&lt;/D&gt;&lt;D xsi:type="xsd:double"&gt;1.7643452&lt;/D&gt;&lt;D xsi:type="xsd:double"&gt;-2.0785153&lt;/D&gt;&lt;D xsi:type="xsd:double"&gt;4.665971&lt;/D&gt;&lt;D xsi:type="xsd:double"&gt;-8.483898&lt;/D&gt;&lt;D xsi:type="xsd:double"&gt;-5.386263&lt;/D&gt;&lt;D xsi:type="xsd:double"&gt;-1.4288962&lt;/D&gt;&lt;D xsi:type="xsd:double"&gt;3.842616&lt;/D&gt;&lt;D xsi:type="xsd:double"&gt;4.8748136&lt;/D&gt;&lt;D xsi:type="xsd:double"&gt;3.7848592&lt;/D&gt;&lt;D xsi:type="xsd:double"&gt;-6.1720667&lt;/D&gt;&lt;D xsi:type="xsd:double"&gt;-0.11075139&lt;/D&gt;&lt;D xsi:type="xsd:double"&gt;-1.7738342&lt;/D&gt;&lt;D xsi:type="xsd:double"&gt;2.48307&lt;/D&gt;&lt;D xsi:type="xsd:double"&gt;1.4389873&lt;/D&gt;&lt;D xsi:type="xsd:double"&gt;1.9186974&lt;/D&gt;&lt;D xsi:type="xsd:double"&gt;2.8338313&lt;/D&gt;&lt;D xsi:type="xsd:double"&gt;4.300618&lt;/D&gt;&lt;D xsi:type="xsd:double"&gt;-1.9815803&lt;/D&gt;&lt;D xsi:type="xsd:double"&gt;-4.084134&lt;/D&gt;&lt;D xsi:type="xsd:double"&gt;-2.5335371&lt;/D&gt;&lt;D xsi:type="xsd:double"&gt;0.27520657&lt;/D&gt;&lt;D xsi:type="xsd:double"&gt;0.81677437&lt;/D&gt;&lt;D xsi:type="xsd:double"&gt;-7.050574&lt;/D&gt;&lt;D xsi:type="xsd:double"&gt;0.54181814&lt;/D&gt;&lt;D xsi:type="xsd:double"&gt;6.841612&lt;/D&gt;&lt;D xsi:type="xsd:double"&gt;-0.89912415&lt;/D&gt;&lt;D xsi:type="xsd:double"&gt;0.27669668&lt;/D&gt;&lt;D xsi:type="xsd:double"&gt;1.7687678&lt;/D&gt;&lt;D xsi:type="xsd:double"&gt;3.1153202&lt;/D&gt;&lt;D xsi:type="xsd:double"&gt;-4.1760087&lt;/D&gt;&lt;D xsi:type="xsd:double"&gt;-0.65351725&lt;/D&gt;&lt;D xsi:type="xsd:double"&gt;2.0180583&lt;/D&gt;&lt;D xsi:type="xsd:double"&gt;1.0092974&lt;/D&gt;&lt;/FQL&gt;&lt;FQL&gt;&lt;Q&gt;EWN^FG_PRICE(0,-200D)&lt;/Q&gt;&lt;R&gt;201&lt;/R&gt;&lt;C&gt;1&lt;/C&gt;&lt;D xsi:type="xsd:double"&gt;61.6&lt;/D&gt;&lt;D xsi:type="xsd:double"&gt;60.67&lt;/D&gt;&lt;D xsi:type="xsd:double"&gt;60.78&lt;/D&gt;&lt;D xsi:type="xsd:double"&gt;61.04&lt;/D&gt;&lt;D xsi:type="xsd:double"&gt;60.4&lt;/D&gt;&lt;D xsi:type="xsd:double"&gt;59.21&lt;/D&gt;&lt;D xsi:type="xsd:double"&gt;59.8&lt;/D&gt;&lt;D xsi:type="xsd:double"&gt;60.44&lt;/D&gt;&lt;D xsi:type="xsd:double"&gt;60.14&lt;/D&gt;&lt;D xsi:type="xsd:double"&gt;58.64&lt;/D&gt;&lt;D xsi:type="xsd:double"&gt;57.03&lt;/D&gt;&lt;D xsi:type="xsd:double"&gt;57.227&lt;/D&gt;&lt;D xsi:type="xsd:double"&gt;57&lt;/D&gt;&lt;D xsi:type="xsd:double"&gt;57.16&lt;/D&gt;&lt;D xsi:type="xsd:double"&gt;57.1&lt;/D&gt;&lt;D xsi:type="xsd:double"&gt;56.84&lt;/D&gt;&lt;D xsi:type="xsd:double"&gt;57.01&lt;/D&gt;&lt;D xsi:type="xsd:double"&gt;56.61&lt;/D&gt;&lt;D xsi:type="xsd:double"&gt;56.02&lt;/D&gt;&lt;D xsi:type="xsd:double"&gt;55.57&lt;/D&gt;&lt;D xsi:type="xsd:double"&gt;56.41&lt;/D&gt;&lt;D xsi:type="xsd:double"&gt;58.76&lt;/D&gt;&lt;D xsi:type="xsd:double"&gt;58.6&lt;/D&gt;&lt;D xsi:type="xsd:double"&gt;59.5&lt;/D&gt;&lt;D xsi:type="xsd:double"&gt;58.8&lt;/D&gt;&lt;D xsi:type="xsd:double"&gt;58.55&lt;/D&gt;&lt;D xsi:type="xsd:double"&gt;58.7224&lt;/D&gt;&lt;D xsi:type="xsd:double"&gt;58.55&lt;/D&gt;&lt;D xsi:type="xsd:double"&gt;58.78&lt;/D&gt;&lt;D xsi:type="xsd:double"&gt;59.18&lt;/D&gt;&lt;D xsi:type="xsd:double"&gt;58.57&lt;/D&gt;&lt;D xsi:type="xsd:double"&gt;58.32&lt;/D&gt;&lt;D xsi:type="xsd:double"&gt;58.17&lt;/D&gt;&lt;D xsi:type="xsd:double"&gt;57.79&lt;/D&gt;&lt;D xsi:type="xsd:double"&gt;56.872&lt;/D&gt;&lt;D xsi:type="xsd:double"&gt;55.95&lt;/D&gt;&lt;D xsi:type="xsd:double"&gt;55.92&lt;/D&gt;&lt;D xsi:type="xsd:double"&gt;55.52&lt;/D&gt;&lt;D xsi:type="xsd:double"&gt;57.05&lt;/D&gt;&lt;D xsi:type="xsd:double"&gt;56.63&lt;/D&gt;&lt;D xsi:type="xsd:double"&gt;57.36&lt;/D&gt;&lt;D xsi:type="xsd:double"&gt;58.13&lt;/D&gt;&lt;D xsi:type="xsd:double"&gt;58.61&lt;/D&gt;&lt;D xsi:type="xsd:double"&gt;59.03&lt;/D&gt;&lt;D xsi:type="xsd:double"&gt;58.73&lt;/D&gt;&lt;D xsi:type="xsd:double"&gt;58.56&lt;/D&gt;&lt;D xsi:type="xsd:double"&gt;57.74&lt;/D&gt;&lt;D xsi:type="xsd:double"&gt;57.96&lt;/D&gt;&lt;D xsi:type="xsd:double"&gt;58.26&lt;/D&gt;&lt;D xsi:type="xsd:double"&gt;57.82&lt;/D&gt;&lt;D xsi:type="xsd:double"&gt;58.68&lt;/D&gt;&lt;D xsi:type="xsd:double"&gt;58.8&lt;/D&gt;&lt;D xsi:type="xsd:double"&gt;59.48&lt;/D&gt;&lt;D xsi:type="xsd:double"&gt;59.366&lt;/D&gt;&lt;D xsi:type="xsd:double"&gt;59.01&lt;/D&gt;&lt;D xsi:type="xsd:double"&gt;59.565&lt;/D&gt;&lt;D xsi:type="xsd:double"&gt;58.91&lt;/D&gt;&lt;D xsi:type="xsd:double"&gt;58.87&lt;/D&gt;&lt;D xsi:type="xsd:double"&gt;58.12&lt;/D&gt;&lt;D xsi:type="xsd:double"&gt;58.35&lt;/D&gt;&lt;D xsi:type="xsd:double"&gt;58.85&lt;/D&gt;&lt;D xsi:type="xsd:double"&gt;58.65&lt;/D&gt;&lt;D xsi:type="xsd:double"&gt;58.49&lt;/D&gt;&lt;D xsi:type="xsd:double"&gt;58.27&lt;/D&gt;&lt;D xsi:type="xsd:double"&gt;57.76&lt;/D&gt;&lt;D xsi:type="xsd:double"&gt;57.75&lt;/D&gt;&lt;D xsi:type="xsd:double"&gt;56.64&lt;/D&gt;&lt;D xsi:type="xsd:double"&gt;57.89&lt;/D&gt;&lt;D xsi:type="xsd:double"&gt;58.41&lt;/D&gt;&lt;D xsi:type="xsd:double"&gt;58.56&lt;/D&gt;&lt;D xsi:type="xsd:double"&gt;59.68&lt;/D&gt;&lt;D xsi:type="xsd:double"&gt;59.62&lt;/D&gt;&lt;D xsi:type="xsd:double"&gt;59.51&lt;/D&gt;&lt;D xsi:type="xsd:double"&gt;58.84&lt;/D&gt;&lt;D xsi:type="xsd:double"&gt;58.01&lt;/D&gt;&lt;D xsi:type="xsd:double"&gt;57.67&lt;/D&gt;&lt;D xsi:type="xsd:double"&gt;57.12&lt;/D&gt;&lt;D xsi:type="xsd:double"&gt;57.02&lt;/D&gt;&lt;D xsi:type="xsd:double"&gt;57.27&lt;/D&gt;&lt;D xsi:type="xsd:double"&gt;57.62&lt;/D&gt;&lt;D xsi:type="xsd:double"&gt;57.36&lt;/D&gt;&lt;D xsi:type="xsd:double"&gt;56.84&lt;/D&gt;&lt;D xsi:type="xsd:double"&gt;56.97&lt;/D&gt;&lt;D xsi:type="xsd:double"&gt;55.8782&lt;/D&gt;&lt;D xsi:type="xsd:double"&gt;55.71&lt;/D&gt;&lt;D xsi:type="xsd:double"&gt;55.75&lt;/D&gt;&lt;D xsi:type="xsd:double"&gt;54.66&lt;/D&gt;&lt;D xsi:type="xsd:double"&gt;54.46&lt;/D&gt;&lt;D xsi:type="xsd:double"&gt;53.79&lt;/D&gt;&lt;D xsi:type="xsd:double"&gt;54.12&lt;/D&gt;&lt;D xsi:type="xsd:double"&gt;54.17&lt;/D&gt;&lt;D xsi:type="xsd:double"&gt;53.47&lt;/D&gt;&lt;D xsi:type="xsd:double"&gt;52.87&lt;/D&gt;&lt;D xsi:type="xsd:double"&gt;52.22&lt;/D&gt;&lt;D xsi:type="xsd:double"&gt;51.94&lt;/D&gt;&lt;D xsi:type="xsd:double"&gt;53&lt;/D&gt;&lt;D xsi:type="xsd:double"&gt;53.5&lt;/D&gt;&lt;D xsi:type="xsd:double"&gt;53.59&lt;/D&gt;&lt;D xsi:type="xsd:double"&gt;53.77&lt;/D&gt;&lt;D xsi:type="xsd:double"&gt;53.84&lt;/D&gt;&lt;D xsi:type="xsd:double"&gt;54.188&lt;/D&gt;&lt;D xsi:type="xsd:double"&gt;53.08&lt;/D&gt;&lt;D xsi:type="xsd:double"&gt;53.58&lt;/D&gt;&lt;D xsi:type="xsd:double"&gt;53.215&lt;/D&gt;&lt;D xsi:type="xsd:double"&gt;53.13&lt;/D&gt;&lt;D xsi:type="xsd:double"&gt;53.16&lt;/D&gt;&lt;D xsi:type="xsd:double"&gt;53.3&lt;/D&gt;&lt;D xsi:type="xsd:double"&gt;53.36&lt;/D&gt;&lt;D xsi:type="xsd:double"&gt;52.9674&lt;/D&gt;&lt;D xsi:type="xsd:double"&gt;52.37&lt;/D&gt;&lt;D xsi:type="xsd:double"&gt;52.52&lt;/D&gt;&lt;D xsi:type="xsd:double"&gt;52.2&lt;/D&gt;&lt;D xsi:type="xsd:double"&gt;51.43&lt;/D&gt;&lt;D xsi:type="xsd:double"&gt;51.33&lt;/D&gt;&lt;D xsi:type="xsd:double"&gt;51.35&lt;/D&gt;&lt;D xsi:type="xsd:double"&gt;50.85&lt;/D&gt;&lt;D xsi:type="xsd:double"&gt;51.26&lt;/D&gt;&lt;D xsi:type="xsd:double"&gt;52.2&lt;/D&gt;&lt;D xsi:type="xsd:double"&gt;52.69&lt;/D&gt;&lt;D xsi:type="xsd:double"&gt;52.91&lt;/D&gt;&lt;D xsi:type="xsd:double"&gt;53.5&lt;/D&gt;&lt;D xsi:type="xsd:double"&gt;53.93&lt;/D&gt;&lt;D xsi:type="xsd:double"&gt;54.25&lt;/D&gt;&lt;D xsi:type="xsd:double"&gt;53.37&lt;/D&gt;&lt;D xsi:type="xsd:double"&gt;53.41&lt;/D&gt;&lt;D xsi:type="xsd:double"&gt;53.46&lt;/D&gt;&lt;D xsi:type="xsd:double"&gt;53.51&lt;/D&gt;&lt;D xsi:type="xsd:double"&gt;53.47&lt;/D&gt;&lt;D xsi:type="xsd:double"&gt;54.45&lt;/D&gt;&lt;D xsi:type="xsd:double"&gt;54.4&lt;/D&gt;&lt;D xsi:type="xsd:double"&gt;54.41&lt;/D&gt;&lt;D xsi:type="xsd:double"&gt;54.63&lt;/D&gt;&lt;D xsi:type="xsd:double"&gt;54.58&lt;/D&gt;&lt;D xsi:type="xsd:double"&gt;54.33&lt;/D&gt;&lt;D xsi:type="xsd:double"&gt;53.98&lt;/D&gt;&lt;D xsi:type="xsd:double"&gt;54.29&lt;/D&gt;&lt;D xsi:type="xsd:double"&gt;54.3&lt;/D&gt;&lt;D xsi:type="xsd:double"&gt;54.07&lt;/D&gt;&lt;D xsi:type="xsd:double"&gt;54.5&lt;/D&gt;&lt;D xsi:type="xsd:double"&gt;54.36&lt;/D&gt;&lt;D xsi:type="xsd:double"&gt;53.97&lt;/D&gt;&lt;D xsi:type="xsd:double"&gt;53.8&lt;/D&gt;&lt;D xsi:type="xsd:double"&gt;54.16&lt;/D&gt;&lt;D xsi:type="xsd:double"&gt;53.03&lt;/D&gt;&lt;D xsi:type="xsd:double"&gt;51.8927&lt;/D&gt;&lt;D xsi:type="xsd:double"&gt;52.2476&lt;/D&gt;&lt;D xsi:type="xsd:double"&gt;52.33&lt;/D&gt;&lt;D xsi:type="xsd:double"&gt;53.08&lt;/D&gt;&lt;D xsi:type="xsd:double"&gt;53.54&lt;/D&gt;&lt;D xsi:type="xsd:double"&gt;54.73&lt;/D&gt;&lt;D xsi:type="xsd:double"&gt;54.37&lt;/D&gt;&lt;D xsi:type="xsd:double"&gt;54.57&lt;/D&gt;&lt;D xsi:type="xsd:double"&gt;54.02&lt;/D&gt;&lt;D xsi:type="xsd:double"&gt;53.63&lt;/D&gt;&lt;D xsi:type="xsd:double"&gt;53.36&lt;/D&gt;&lt;D xsi:type="xsd:double"&gt;53.23&lt;/D&gt;&lt;D xsi:type="xsd:double"&gt;52.95&lt;/D&gt;&lt;D xsi:type="xsd:double"&gt;53.2858&lt;/D&gt;&lt;D xsi:type="xsd:double"&gt;52.85&lt;/D&gt;&lt;D xsi:type="xsd:double"&gt;52.94&lt;/D&gt;&lt;D xsi:type="xsd:double"&gt;52.59&lt;/D&gt;&lt;D xsi:type="xsd:double"&gt;53&lt;/D&gt;&lt;D xsi:type="xsd:double"&gt;52.26&lt;/D&gt;&lt;D xsi:type="xsd:double"&gt;52.54&lt;/D&gt;&lt;D xsi:type="xsd:double"&gt;52.48&lt;/D&gt;&lt;D xsi:type="xsd:double"&gt;52.8&lt;/D&gt;&lt;D xsi:type="xsd:double"&gt;52.645&lt;/D&gt;&lt;D xsi:type="xsd:double"&gt;52.19&lt;/D&gt;&lt;D xsi:type="xsd:double"&gt;52.25&lt;/D&gt;&lt;D xsi:type="xsd:double"&gt;52.2&lt;/D&gt;&lt;D xsi:type="xsd:double"&gt;52.04&lt;/D&gt;&lt;D xsi:type="xsd:double"&gt;51.6&lt;/D&gt;&lt;D xsi:type="xsd:double"&gt;50.79&lt;/D&gt;&lt;D xsi:type="xsd:double"&gt;50.32&lt;/D&gt;&lt;D xsi:type="xsd:double"&gt;50.21&lt;/D&gt;&lt;D xsi:type="xsd:double"&gt;49.98&lt;/D&gt;&lt;D xsi:type="xsd:double"&gt;50.14&lt;/D&gt;&lt;D xsi:type="xsd:double"&gt;50.27&lt;/D&gt;&lt;D xsi:type="xsd:double"&gt;48.78&lt;/D&gt;&lt;D xsi:type="xsd:double"&gt;48.85&lt;/D&gt;&lt;D xsi:type="xsd:double"&gt;48.92&lt;/D&gt;&lt;D xsi:type="xsd:double"&gt;48.79&lt;/D&gt;&lt;D xsi:type="xsd:double"&gt;48.78&lt;/D&gt;&lt;D xsi:type="xsd:double"&gt;48.41&lt;/D&gt;&lt;D xsi:type="xsd:double"&gt;47.77&lt;/D&gt;&lt;D xsi:type="xsd:double"&gt;47.1&lt;/D&gt;&lt;D xsi:type="xsd:double"&gt;46.09&lt;/D&gt;&lt;D xsi:type="xsd:double"&gt;46.55&lt;/D&gt;&lt;D xsi:type="xsd:double"&gt;46.26&lt;/D&gt;&lt;D xsi:type="xsd:double"&gt;46.89&lt;/D&gt;&lt;D xsi:type="xsd:double"&gt;46.61&lt;/D&gt;&lt;D xsi:type="xsd:double"&gt;45.81&lt;/D&gt;&lt;D xsi:type="xsd:double"&gt;44.67&lt;/D&gt;&lt;D xsi:type="xsd:double"&gt;46.05&lt;/D&gt;&lt;D xsi:type="xsd:double"&gt;41.88&lt;/D&gt;&lt;D xsi:type="xsd:double"&gt;42.58&lt;/D&gt;&lt;D xsi:type="xsd:double"&gt;43.14&lt;/D&gt;&lt;D xsi:type="xsd:double"&gt;45.71&lt;/D&gt;&lt;D xsi:type="xsd:double"&gt;46.87&lt;/D&gt;&lt;D xsi:type="xsd:double"&gt;46.7&lt;/D&gt;&lt;D xsi:type="xsd:double"&gt;46.73&lt;/D&gt;&lt;/FQL&gt;&lt;FQL&gt;&lt;Q&gt;EWC^FG_PRICE(0,-200D)&lt;/Q&gt;&lt;R&gt;201&lt;/R&gt;&lt;C&gt;1&lt;/C&gt;&lt;D xsi:type="xsd:double"&gt;55.22&lt;/D&gt;&lt;D xsi:type="xsd:double"&gt;55.18&lt;/D&gt;&lt;D xsi:type="xsd:double"&gt;55.12&lt;/D&gt;&lt;D xsi:type="xsd:double"&gt;55.09&lt;/D&gt;&lt;D xsi:type="xsd:double"&gt;54.63&lt;/D&gt;&lt;D xsi:type="xsd:double"&gt;54.46&lt;/D&gt;&lt;D xsi:type="xsd:double"&gt;54.01&lt;/D&gt;&lt;D xsi:type="xsd:double"&gt;54.65&lt;/D&gt;&lt;D xsi:type="xsd:double"&gt;54.59&lt;/D&gt;&lt;D xsi:type="xsd:double"&gt;54.19&lt;/D&gt;&lt;D xsi:type="xsd:double"&gt;53.93&lt;/D&gt;&lt;D xsi:type="xsd:double"&gt;54.3&lt;/D&gt;&lt;D xsi:type="xsd:double"&gt;54.33&lt;/D&gt;&lt;D xsi:type="xsd:double"&gt;54.8&lt;/D&gt;&lt;D xsi:type="xsd:double"&gt;54.6&lt;/D&gt;&lt;D xsi:type="xsd:double"&gt;54.54&lt;/D&gt;&lt;D xsi:type="xsd:double"&gt;54.17&lt;/D&gt;&lt;D xsi:type="xsd:double"&gt;53.68&lt;/D&gt;&lt;D xsi:type="xsd:double"&gt;53.22&lt;/D&gt;&lt;D xsi:type="xsd:double"&gt;52.81&lt;/D&gt;&lt;D xsi:type="xsd:double"&gt;52.98&lt;/D&gt;&lt;D xsi:type="xsd:double"&gt;53.8&lt;/D&gt;&lt;D xsi:type="xsd:double"&gt;53.89&lt;/D&gt;&lt;D xsi:type="xsd:double"&gt;54.08&lt;/D&gt;&lt;D xsi:type="xsd:double"&gt;53.72&lt;/D&gt;&lt;D xsi:type="xsd:double"&gt;53.07&lt;/D&gt;&lt;D xsi:type="xsd:double"&gt;52.95&lt;/D&gt;&lt;D xsi:type="xsd:double"&gt;53.29&lt;/D&gt;&lt;D xsi:type="xsd:double"&gt;53.07&lt;/D&gt;&lt;D xsi:type="xsd:double"&gt;52.47&lt;/D&gt;&lt;D xsi:type="xsd:double"&gt;52.14&lt;/D&gt;&lt;D xsi:type="xsd:double"&gt;52.18&lt;/D&gt;&lt;D xsi:type="xsd:double"&gt;52.7&lt;/D&gt;&lt;D xsi:type="xsd:double"&gt;52.25&lt;/D&gt;&lt;D xsi:type="xsd:double"&gt;51.56&lt;/D&gt;&lt;D xsi:type="xsd:double"&gt;51.05&lt;/D&gt;&lt;D xsi:type="xsd:double"&gt;50.43&lt;/D&gt;&lt;D xsi:type="xsd:double"&gt;49.91&lt;/D&gt;&lt;D xsi:type="xsd:double"&gt;50.62&lt;/D&gt;&lt;D xsi:type="xsd:double"&gt;50.53&lt;/D&gt;&lt;D xsi:type="xsd:double"&gt;50.34&lt;/D&gt;&lt;D xsi:type="xsd:double"&gt;50.89&lt;/D&gt;&lt;D xsi:type="xsd:double"&gt;50.64&lt;/D&gt;&lt;D xsi:type="xsd:double"&gt;51.75&lt;/D&gt;&lt;D xsi:type="xsd:double"&gt;51.04&lt;/D&gt;&lt;D xsi:type="xsd:double"&gt;50.89&lt;/D&gt;&lt;D xsi:type="xsd:double"&gt;50.1&lt;/D&gt;&lt;D xsi:type="xsd:double"&gt;49.75&lt;/D&gt;&lt;D xsi:type="xsd:double"&gt;50.26&lt;/D&gt;&lt;D xsi:type="xsd:double"&gt;49.72&lt;/D&gt;&lt;D xsi:type="xsd:double"&gt;50.67&lt;/D&gt;&lt;D xsi:type="xsd:double"&gt;50.74&lt;/D&gt;&lt;D xsi:type="xsd:double"&gt;50.67&lt;/D&gt;&lt;D xsi:type="xsd:double"&gt;50.75&lt;/D&gt;&lt;D xsi:type="xsd:double"&gt;51.41&lt;/D&gt;&lt;D xsi:type="xsd:double"&gt;50.79&lt;/D&gt;&lt;D xsi:type="xsd:double"&gt;50.84&lt;/D&gt;&lt;D xsi:type="xsd:double"&gt;50.58&lt;/D&gt;&lt;D xsi:type="xsd:double"&gt;50.2&lt;/D&gt;&lt;D xsi:type="xsd:double"&gt;49.99&lt;/D&gt;&lt;D xsi:type="xsd:double"&gt;50.72&lt;/D&gt;&lt;D xsi:type="xsd:double"&gt;50.28&lt;/D&gt;&lt;D xsi:type="xsd:double"&gt;50.62&lt;/D&gt;&lt;D xsi:type="xsd:double"&gt;50.96&lt;/D&gt;&lt;D xsi:type="xsd:double"&gt;50.53&lt;/D&gt;&lt;D xsi:type="xsd:double"&gt;50.59&lt;/D&gt;&lt;D xsi:type="xsd:double"&gt;49.86&lt;/D&gt;&lt;D xsi:type="xsd:double"&gt;50.53&lt;/D&gt;&lt;D xsi:type="xsd:double"&gt;51.14&lt;/D&gt;&lt;D xsi:type="xsd:double"&gt;50.94&lt;/D&gt;&lt;D xsi:type="xsd:double"&gt;51.3&lt;/D&gt;&lt;D xsi:type="xsd:double"&gt;51.24&lt;/D&gt;&lt;D xsi:type="xsd:double"&gt;50.59&lt;/D&gt;&lt;D xsi:type="xsd:double"&gt;50.57&lt;/D&gt;&lt;D xsi:type="xsd:double"&gt;50.55&lt;/D&gt;&lt;D xsi:type="xsd:double"&gt;50.46&lt;/D&gt;&lt;D xsi:type="xsd:double"&gt;50.02&lt;/D&gt;&lt;D xsi:type="xsd:double"&gt;50.05&lt;/D&gt;&lt;D xsi:type="xsd:double"&gt;50.24&lt;/D&gt;&lt;D xsi:type="xsd:double"&gt;50.53&lt;/D&gt;&lt;D xsi:type="xsd:double"&gt;50.88&lt;/D&gt;&lt;D xsi:type="xsd:double"&gt;50.73&lt;/D&gt;&lt;D xsi:type="xsd:double"&gt;50.18&lt;/D&gt;&lt;D xsi:type="xsd:double"&gt;49.98&lt;/D&gt;&lt;D xsi:type="xsd:double"&gt;50.08&lt;/D&gt;&lt;D xsi:type="xsd:double"&gt;50.13&lt;/D&gt;&lt;D xsi:type="xsd:double"&gt;49.6&lt;/D&gt;&lt;D xsi:type="xsd:double"&gt;49.92&lt;/D&gt;&lt;D xsi:type="xsd:double"&gt;49.42&lt;/D&gt;&lt;D xsi:type="xsd:double"&gt;49.27&lt;/D&gt;&lt;D xsi:type="xsd:double"&gt;49.3&lt;/D&gt;&lt;D xsi:type="xsd:double"&gt;49.17&lt;/D&gt;&lt;D xsi:type="xsd:double"&gt;49.12&lt;/D&gt;&lt;D xsi:type="xsd:double"&gt;48.87&lt;/D&gt;&lt;D xsi:type="xsd:double"&gt;48.59&lt;/D&gt;&lt;D xsi:type="xsd:double"&gt;48.79&lt;/D&gt;&lt;D xsi:type="xsd:double"&gt;48.46&lt;/D&gt;&lt;D xsi:type="xsd:double"&gt;48.37&lt;/D&gt;&lt;D xsi:type="xsd:double"&gt;48.02&lt;/D&gt;&lt;D xsi:type="xsd:double"&gt;47.55&lt;/D&gt;&lt;D xsi:type="xsd:double"&gt;48.03&lt;/D&gt;&lt;D xsi:type="xsd:double"&gt;47.28&lt;/D&gt;&lt;D xsi:type="xsd:double"&gt;47.11&lt;/D&gt;&lt;D xsi:type="xsd:double"&gt;47&lt;/D&gt;&lt;D xsi:type="xsd:double"&gt;47.35&lt;/D&gt;&lt;D xsi:type="xsd:double"&gt;47.27&lt;/D&gt;&lt;D xsi:type="xsd:double"&gt;47.33&lt;/D&gt;&lt;D xsi:type="xsd:double"&gt;47.64&lt;/D&gt;&lt;D xsi:type="xsd:double"&gt;47.51&lt;/D&gt;&lt;D xsi:type="xsd:double"&gt;47.28&lt;/D&gt;&lt;D xsi:type="xsd:double"&gt;47.34&lt;/D&gt;&lt;D xsi:type="xsd:double"&gt;47.34&lt;/D&gt;&lt;D xsi:type="xsd:double"&gt;47.73&lt;/D&gt;&lt;D xsi:type="xsd:double"&gt;46.93&lt;/D&gt;&lt;D xsi:type="xsd:double"&gt;46.58&lt;/D&gt;&lt;D xsi:type="xsd:double"&gt;45.86&lt;/D&gt;&lt;D xsi:type="xsd:double"&gt;46.18&lt;/D&gt;&lt;D xsi:type="xsd:double"&gt;46.38&lt;/D&gt;&lt;D xsi:type="xsd:double"&gt;46.79&lt;/D&gt;&lt;D xsi:type="xsd:double"&gt;46.72&lt;/D&gt;&lt;D xsi:type="xsd:double"&gt;47.01&lt;/D&gt;&lt;D xsi:type="xsd:double"&gt;46.97&lt;/D&gt;&lt;D xsi:type="xsd:double"&gt;47.17&lt;/D&gt;&lt;D xsi:type="xsd:double"&gt;47.09&lt;/D&gt;&lt;D xsi:type="xsd:double"&gt;46.71&lt;/D&gt;&lt;D xsi:type="xsd:double"&gt;46.59&lt;/D&gt;&lt;D xsi:type="xsd:double"&gt;46.71&lt;/D&gt;&lt;D xsi:type="xsd:double"&gt;46.47&lt;/D&gt;&lt;D xsi:type="xsd:double"&gt;46.04&lt;/D&gt;&lt;D xsi:type="xsd:double"&gt;46.44&lt;/D&gt;&lt;D xsi:type="xsd:double"&gt;46.13&lt;/D&gt;&lt;D xsi:type="xsd:double"&gt;46.41&lt;/D&gt;&lt;D xsi:type="xsd:double"&gt;46.13&lt;/D&gt;&lt;D xsi:type="xsd:double"&gt;46&lt;/D&gt;&lt;D xsi:type="xsd:double"&gt;46.18&lt;/D&gt;&lt;D xsi:type="xsd:double"&gt;46.67&lt;/D&gt;&lt;D xsi:type="xsd:double"&gt;46.33&lt;/D&gt;&lt;D xsi:type="xsd:double"&gt;46.19&lt;/D&gt;&lt;D xsi:type="xsd:double"&gt;46.2&lt;/D&gt;&lt;D xsi:type="xsd:double"&gt;45.58&lt;/D&gt;&lt;D xsi:type="xsd:double"&gt;45.92&lt;/D&gt;&lt;D xsi:type="xsd:double"&gt;45.32&lt;/D&gt;&lt;D xsi:type="xsd:double"&gt;45.62&lt;/D&gt;&lt;D xsi:type="xsd:double"&gt;45.33&lt;/D&gt;&lt;D xsi:type="xsd:double"&gt;45.1&lt;/D&gt;&lt;D xsi:type="xsd:double"&gt;45.32&lt;/D&gt;&lt;D xsi:type="xsd:double"&gt;45.45&lt;/D&gt;&lt;D xsi:type="xsd:double"&gt;45.76&lt;/D&gt;&lt;D xsi:type="xsd:double"&gt;45.88&lt;/D&gt;&lt;D xsi:type="xsd:double"&gt;46&lt;/D&gt;&lt;D xsi:type="xsd:double"&gt;45.66&lt;/D&gt;&lt;D xsi:type="xsd:double"&gt;45.43&lt;/D&gt;&lt;D xsi:type="xsd:double"&gt;45.3&lt;/D&gt;&lt;D xsi:type="xsd:double"&gt;45.39&lt;/D&gt;&lt;D xsi:type="xsd:double"&gt;45.32&lt;/D&gt;&lt;D xsi:type="xsd:double"&gt;45.25&lt;/D&gt;&lt;D xsi:type="xsd:double"&gt;45.34&lt;/D&gt;&lt;D xsi:type="xsd:double"&gt;45.39&lt;/D&gt;&lt;D xsi:type="xsd:double"&gt;44.96&lt;/D&gt;&lt;D xsi:type="xsd:double"&gt;44.78&lt;/D&gt;&lt;D xsi:type="xsd:double"&gt;44.76&lt;/D&gt;&lt;D xsi:type="xsd:double"&gt;44.82&lt;/D&gt;&lt;D xsi:type="xsd:double"&gt;44.44&lt;/D&gt;&lt;D xsi:type="xsd:double"&gt;44&lt;/D&gt;&lt;D xsi:type="xsd:double"&gt;43.94&lt;/D&gt;&lt;D xsi:type="xsd:double"&gt;44.19&lt;/D&gt;&lt;D xsi:type="xsd:double"&gt;44.05&lt;/D&gt;&lt;D xsi:type="xsd:double"&gt;43.89&lt;/D&gt;&lt;D xsi:type="xsd:double"&gt;43.83&lt;/D&gt;&lt;D xsi:type="xsd:double"&gt;43.44&lt;/D&gt;&lt;D xsi:type="xsd:double"&gt;43.4&lt;/D&gt;&lt;D xsi:type="xsd:double"&gt;43.08&lt;/D&gt;&lt;D xsi:type="xsd:double"&gt;42.85&lt;/D&gt;&lt;D xsi:type="xsd:double"&gt;42.81&lt;/D&gt;&lt;D xsi:type="xsd:double"&gt;42.89&lt;/D&gt;&lt;D xsi:type="xsd:double"&gt;42.77&lt;/D&gt;&lt;D xsi:type="xsd:double"&gt;42.66&lt;/D&gt;&lt;D xsi:type="xsd:double"&gt;42.84&lt;/D&gt;&lt;D xsi:type="xsd:double"&gt;42.31&lt;/D&gt;&lt;D xsi:type="xsd:double"&gt;42.45&lt;/D&gt;&lt;D xsi:type="xsd:double"&gt;42.45&lt;/D&gt;&lt;D xsi:type="xsd:double"&gt;42.37&lt;/D&gt;&lt;D xsi:type="xsd:double"&gt;42.04&lt;/D&gt;&lt;D xsi:type="xsd:double"&gt;42.06&lt;/D&gt;&lt;D xsi:type="xsd:double"&gt;41.52&lt;/D&gt;&lt;D xsi:type="xsd:double"&gt;41.39&lt;/D&gt;&lt;D xsi:type="xsd:double"&gt;40.77&lt;/D&gt;&lt;D xsi:type="xsd:double"&gt;41.1&lt;/D&gt;&lt;D xsi:type="xsd:double"&gt;40.83&lt;/D&gt;&lt;D xsi:type="xsd:double"&gt;40.53&lt;/D&gt;&lt;D xsi:type="xsd:double"&gt;40.44&lt;/D&gt;&lt;D xsi:type="xsd:double"&gt;39.87&lt;/D&gt;&lt;D xsi:type="xsd:double"&gt;38.74&lt;/D&gt;&lt;D xsi:type="xsd:double"&gt;39.54&lt;/D&gt;&lt;D xsi:type="xsd:double"&gt;37.17&lt;/D&gt;&lt;D xsi:type="xsd:double"&gt;37.79&lt;/D&gt;&lt;D xsi:type="xsd:double"&gt;38.41&lt;/D&gt;&lt;D xsi:type="xsd:double"&gt;40.62&lt;/D&gt;&lt;D xsi:type="xsd:double"&gt;41.59&lt;/D&gt;&lt;D xsi:type="xsd:double"&gt;41.13&lt;/D&gt;&lt;D xsi:type="xsd:double"&gt;40.75&lt;/D&gt;&lt;/FQL&gt;&lt;FQL&gt;&lt;Q&gt;QAT^FG_PRICE(0,-200D)&lt;/Q&gt;&lt;R&gt;201&lt;/R&gt;&lt;C&gt;1&lt;/C&gt;&lt;D xsi:type="xsd:double"&gt;19.425&lt;/D&gt;&lt;D xsi:type="xsd:double"&gt;19.6596&lt;/D&gt;&lt;D xsi:type="xsd:double"&gt;19.71&lt;/D&gt;&lt;D xsi:type="xsd:double"&gt;19.6099&lt;/D&gt;&lt;D xsi:type="xsd:double"&gt;19.36&lt;/D&gt;&lt;D xsi:type="xsd:double"&gt;19.28&lt;/D&gt;&lt;D xsi:type="xsd:double"&gt;19.405&lt;/D&gt;&lt;D xsi:type="xsd:double"&gt;19.3551&lt;/D&gt;&lt;D xsi:type="xsd:double"&gt;19.19&lt;/D&gt;&lt;D xsi:type="xsd:double"&gt;18.825&lt;/D&gt;&lt;D xsi:type="xsd:double"&gt;18.8183&lt;/D&gt;&lt;D xsi:type="xsd:double"&gt;18.95&lt;/D&gt;&lt;D xsi:type="xsd:double"&gt;18.8751&lt;/D&gt;&lt;D xsi:type="xsd:double"&gt;18.865&lt;/D&gt;&lt;D xsi:type="xsd:double"&gt;18.96&lt;/D&gt;&lt;D xsi:type="xsd:double"&gt;18.9302&lt;/D&gt;&lt;D xsi:type="xsd:double"&gt;18.8396&lt;/D&gt;&lt;D xsi:type="xsd:double"&gt;18.775&lt;/D&gt;&lt;D xsi:type="xsd:double"&gt;18.74&lt;/D&gt;&lt;D xsi:type="xsd:double"&gt;18.6081&lt;/D&gt;&lt;D xsi:type="xsd:double"&gt;18.6969&lt;/D&gt;&lt;D xsi:type="xsd:double"&gt;19.01&lt;/D&gt;&lt;D xsi:type="xsd:double"&gt;19.32&lt;/D&gt;&lt;D xsi:type="xsd:double"&gt;19.315&lt;/D&gt;&lt;D xsi:type="xsd:double"&gt;19.1685&lt;/D&gt;&lt;D xsi:type="xsd:double"&gt;19.0414&lt;/D&gt;&lt;D xsi:type="xsd:double"&gt;18.9554&lt;/D&gt;&lt;D xsi:type="xsd:double"&gt;18.9304&lt;/D&gt;&lt;D xsi:type="xsd:double"&gt;18.9402&lt;/D&gt;&lt;D xsi:type="xsd:double"&gt;18.9302&lt;/D&gt;&lt;D xsi:type="xsd:double"&gt;18.775&lt;/D&gt;&lt;D xsi:type="xsd:double"&gt;18.71&lt;/D&gt;&lt;D xsi:type="xsd:double"&gt;18.88&lt;/D&gt;&lt;D xsi:type="xsd:double"&gt;18.885&lt;/D&gt;&lt;D xsi:type="xsd:double"&gt;18.77&lt;/D&gt;&lt;D xsi:type="xsd:double"&gt;18.85&lt;/D&gt;&lt;D xsi:type="xsd:double"&gt;18.68&lt;/D&gt;&lt;D xsi:type="xsd:double"&gt;18.615&lt;/D&gt;&lt;D xsi:type="xsd:double"&gt;18.955&lt;/D&gt;&lt;D xsi:type="xsd:double"&gt;18.815&lt;/D&gt;&lt;D xsi:type="xsd:double"&gt;18.89&lt;/D&gt;&lt;D xsi:type="xsd:double"&gt;19.285&lt;/D&gt;&lt;D xsi:type="xsd:double"&gt;19.25&lt;/D&gt;&lt;D xsi:type="xsd:double"&gt;19.555&lt;/D&gt;&lt;D xsi:type="xsd:double"&gt;19.6479&lt;/D&gt;&lt;D xsi:type="xsd:double"&gt;19.48&lt;/D&gt;&lt;D xsi:type="xsd:double"&gt;19.42&lt;/D&gt;&lt;D xsi:type="xsd:double"&gt;19.46&lt;/D&gt;&lt;D xsi:typ</t>
        </r>
      </text>
    </comment>
    <comment ref="A7" authorId="0" shapeId="0" xr:uid="{7EB8D74D-C064-401D-8ACF-44E737F90F4C}">
      <text>
        <r>
          <rPr>
            <b/>
            <sz val="9"/>
            <color indexed="81"/>
            <rFont val="Tahoma"/>
            <charset val="1"/>
          </rPr>
          <t xml:space="preserve">e="xsd:double"&gt;19.415&lt;/D&gt;&lt;D xsi:type="xsd:double"&gt;19.435&lt;/D&gt;&lt;D xsi:type="xsd:double"&gt;19.315&lt;/D&gt;&lt;D xsi:type="xsd:double"&gt;19.3&lt;/D&gt;&lt;D xsi:type="xsd:double"&gt;19.2891&lt;/D&gt;&lt;D xsi:type="xsd:double"&gt;19.25&lt;/D&gt;&lt;D xsi:type="xsd:double"&gt;19.195&lt;/D&gt;&lt;D xsi:type="xsd:double"&gt;19.195&lt;/D&gt;&lt;D xsi:type="xsd:double"&gt;19.29&lt;/D&gt;&lt;D xsi:type="xsd:double"&gt;19.26&lt;/D&gt;&lt;D xsi:type="xsd:double"&gt;19.14&lt;/D&gt;&lt;D xsi:type="xsd:double"&gt;19.09&lt;/D&gt;&lt;D xsi:type="xsd:double"&gt;19.135&lt;/D&gt;&lt;D xsi:type="xsd:double"&gt;19.085&lt;/D&gt;&lt;D xsi:type="xsd:double"&gt;19.1356&lt;/D&gt;&lt;D xsi:type="xsd:double"&gt;19.0707&lt;/D&gt;&lt;D xsi:type="xsd:double"&gt;19.205&lt;/D&gt;&lt;D xsi:type="xsd:double"&gt;19.255&lt;/D&gt;&lt;D xsi:type="xsd:double"&gt;19.23&lt;/D&gt;&lt;D xsi:type="xsd:double"&gt;19.33&lt;/D&gt;&lt;D xsi:type="xsd:double"&gt;19.31&lt;/D&gt;&lt;D xsi:type="xsd:double"&gt;19.26&lt;/D&gt;&lt;D xsi:type="xsd:double"&gt;19.215&lt;/D&gt;&lt;D xsi:type="xsd:double"&gt;19.295&lt;/D&gt;&lt;D xsi:type="xsd:double"&gt;19.275&lt;/D&gt;&lt;D xsi:type="xsd:double"&gt;19.39&lt;/D&gt;&lt;D xsi:type="xsd:double"&gt;19.53&lt;/D&gt;&lt;D xsi:type="xsd:double"&gt;19.425&lt;/D&gt;&lt;D xsi:type="xsd:double"&gt;19.42&lt;/D&gt;&lt;D xsi:type="xsd:double"&gt;19.37&lt;/D&gt;&lt;D xsi:type="xsd:double"&gt;19.565&lt;/D&gt;&lt;D xsi:type="xsd:double"&gt;19.785&lt;/D&gt;&lt;D xsi:type="xsd:double"&gt;19.94&lt;/D&gt;&lt;D xsi:type="xsd:double"&gt;19.94&lt;/D&gt;&lt;D xsi:type="xsd:double"&gt;19.94&lt;/D&gt;&lt;D xsi:type="xsd:double"&gt;19.85&lt;/D&gt;&lt;D xsi:type="xsd:double"&gt;19.77&lt;/D&gt;&lt;D xsi:type="xsd:double"&gt;19.55&lt;/D&gt;&lt;D xsi:type="xsd:double"&gt;19.54&lt;/D&gt;&lt;D xsi:type="xsd:double"&gt;19.58&lt;/D&gt;&lt;D xsi:type="xsd:double"&gt;19.53&lt;/D&gt;&lt;D xsi:type="xsd:double"&gt;19.37&lt;/D&gt;&lt;D xsi:type="xsd:double"&gt;19.63&lt;/D&gt;&lt;D xsi:type="xsd:double"&gt;19.69&lt;/D&gt;&lt;D xsi:type="xsd:double"&gt;19.7&lt;/D&gt;&lt;D xsi:type="xsd:double"&gt;19.86&lt;/D&gt;&lt;D xsi:type="xsd:double"&gt;19.73&lt;/D&gt;&lt;D xsi:type="xsd:double"&gt;20&lt;/D&gt;&lt;D xsi:type="xsd:double"&gt;19.96&lt;/D&gt;&lt;D xsi:type="xsd:double"&gt;20.13&lt;/D&gt;&lt;D xsi:type="xsd:double"&gt;20.14&lt;/D&gt;&lt;D xsi:type="xsd:double"&gt;20.0026&lt;/D&gt;&lt;D xsi:type="xsd:double"&gt;20.1896&lt;/D&gt;&lt;D xsi:type="xsd:double"&gt;20.065&lt;/D&gt;&lt;D xsi:type="xsd:double"&gt;20.08&lt;/D&gt;&lt;D xsi:type="xsd:double"&gt;20.24&lt;/D&gt;&lt;D xsi:type="xsd:double"&gt;20.38&lt;/D&gt;&lt;D xsi:type="xsd:double"&gt;20.54&lt;/D&gt;&lt;D xsi:type="xsd:double"&gt;20.52&lt;/D&gt;&lt;D xsi:type="xsd:double"&gt;20.56&lt;/D&gt;&lt;D xsi:type="xsd:double"&gt;20.27&lt;/D&gt;&lt;D xsi:type="xsd:double"&gt;20.0346&lt;/D&gt;&lt;D xsi:type="xsd:double"&gt;19.93&lt;/D&gt;&lt;D xsi:type="xsd:double"&gt;19.946&lt;/D&gt;&lt;D xsi:type="xsd:double"&gt;19.85&lt;/D&gt;&lt;D xsi:type="xsd:double"&gt;19.785&lt;/D&gt;&lt;D xsi:type="xsd:double"&gt;19.71&lt;/D&gt;&lt;D xsi:type="xsd:double"&gt;19.665&lt;/D&gt;&lt;D xsi:type="xsd:double"&gt;19.655&lt;/D&gt;&lt;D xsi:type="xsd:double"&gt;19.66&lt;/D&gt;&lt;D xsi:type="xsd:double"&gt;19.6&lt;/D&gt;&lt;D xsi:type="xsd:double"&gt;19.6&lt;/D&gt;&lt;D xsi:type="xsd:double"&gt;19.63&lt;/D&gt;&lt;D xsi:type="xsd:double"&gt;19.61&lt;/D&gt;&lt;D xsi:type="xsd:double"&gt;19.54&lt;/D&gt;&lt;D xsi:type="xsd:double"&gt;19.34&lt;/D&gt;&lt;D xsi:type="xsd:double"&gt;19.12&lt;/D&gt;&lt;D xsi:type="xsd:double"&gt;18.91&lt;/D&gt;&lt;D xsi:type="xsd:double"&gt;18.96&lt;/D&gt;&lt;D xsi:type="xsd:double"&gt;18.779&lt;/D&gt;&lt;D xsi:type="xsd:double"&gt;18.69&lt;/D&gt;&lt;D xsi:type="xsd:double"&gt;18.71&lt;/D&gt;&lt;D xsi:type="xsd:double"&gt;18.73&lt;/D&gt;&lt;D xsi:type="xsd:double"&gt;18.75&lt;/D&gt;&lt;D xsi:type="xsd:double"&gt;18.75&lt;/D&gt;&lt;D xsi:type="xsd:double"&gt;18.73&lt;/D&gt;&lt;D xsi:type="xsd:double"&gt;18.68&lt;/D&gt;&lt;D xsi:type="xsd:double"&gt;18.63&lt;/D&gt;&lt;D xsi:type="xsd:double"&gt;18.56&lt;/D&gt;&lt;D xsi:type="xsd:double"&gt;18.58&lt;/D&gt;&lt;D xsi:type="xsd:double"&gt;18.62&lt;/D&gt;&lt;D xsi:type="xsd:double"&gt;18.57&lt;/D&gt;&lt;D xsi:type="xsd:double"&gt;18.53&lt;/D&gt;&lt;D xsi:type="xsd:double"&gt;18.36&lt;/D&gt;&lt;D xsi:type="xsd:double"&gt;18.25&lt;/D&gt;&lt;D xsi:type="xsd:double"&gt;17.96&lt;/D&gt;&lt;D xsi:type="xsd:double"&gt;17.72&lt;/D&gt;&lt;D xsi:type="xsd:double"&gt;17.82&lt;/D&gt;&lt;D xsi:type="xsd:double"&gt;17.895&lt;/D&gt;&lt;D xsi:type="xsd:double"&gt;18.045&lt;/D&gt;&lt;D xsi:type="xsd:double"&gt;18.2&lt;/D&gt;&lt;D xsi:type="xsd:double"&gt;18.9&lt;/D&gt;&lt;D xsi:type="xsd:double"&gt;18.96&lt;/D&gt;&lt;D xsi:type="xsd:double"&gt;18.92&lt;/D&gt;&lt;D xsi:type="xsd:double"&gt;18.83&lt;/D&gt;&lt;D xsi:type="xsd:double"&gt;18.83&lt;/D&gt;&lt;D xsi:type="xsd:double"&gt;18.78&lt;/D&gt;&lt;D xsi:type="xsd:double"&gt;18.91&lt;/D&gt;&lt;D xsi:type="xsd:double"&gt;19.08&lt;/D&gt;&lt;D xsi:type="xsd:double"&gt;18.8&lt;/D&gt;&lt;D xsi:type="xsd:double"&gt;18.75&lt;/D&gt;&lt;D xsi:type="xsd:double"&gt;18.83&lt;/D&gt;&lt;D xsi:type="xsd:double"&gt;18.94&lt;/D&gt;&lt;D xsi:type="xsd:double"&gt;18.91&lt;/D&gt;&lt;D xsi:type="xsd:double"&gt;19.15&lt;/D&gt;&lt;D xsi:type="xsd:double"&gt;19.11&lt;/D&gt;&lt;D xsi:type="xsd:double"&gt;19.18&lt;/D&gt;&lt;D xsi:type="xsd:double"&gt;19.06&lt;/D&gt;&lt;D xsi:type="xsd:double"&gt;19.05&lt;/D&gt;&lt;D xsi:type="xsd:double"&gt;18.88&lt;/D&gt;&lt;D xsi:type="xsd:double"&gt;18.84&lt;/D&gt;&lt;D xsi:type="xsd:double"&gt;18.83&lt;/D&gt;&lt;D xsi:type="xsd:double"&gt;18.7553&lt;/D&gt;&lt;D xsi:type="xsd:double"&gt;18.7&lt;/D&gt;&lt;D xsi:type="xsd:double"&gt;18.69&lt;/D&gt;&lt;D xsi:type="xsd:double"&gt;18.615&lt;/D&gt;&lt;D xsi:type="xsd:double"&gt;18.51&lt;/D&gt;&lt;D xsi:type="xsd:double"&gt;18.55&lt;/D&gt;&lt;D xsi:type="xsd:double"&gt;18.55&lt;/D&gt;&lt;D xsi:type="xsd:double"&gt;18.54&lt;/D&gt;&lt;D xsi:type="xsd:double"&gt;18.34&lt;/D&gt;&lt;D xsi:type="xsd:double"&gt;18.31&lt;/D&gt;&lt;D xsi:type="xsd:double"&gt;18.2&lt;/D&gt;&lt;D xsi:type="xsd:double"&gt;18.14&lt;/D&gt;&lt;D xsi:type="xsd:double"&gt;18.16&lt;/D&gt;&lt;D xsi:type="xsd:double"&gt;18.12&lt;/D&gt;&lt;D xsi:type="xsd:double"&gt;17.9&lt;/D&gt;&lt;D xsi:type="xsd:double"&gt;17.91&lt;/D&gt;&lt;D xsi:type="xsd:double"&gt;17.78&lt;/D&gt;&lt;D xsi:type="xsd:double"&gt;17.72&lt;/D&gt;&lt;D xsi:type="xsd:double"&gt;17.78&lt;/D&gt;&lt;D xsi:type="xsd:double"&gt;17.89&lt;/D&gt;&lt;D xsi:type="xsd:double"&gt;17.79&lt;/D&gt;&lt;D xsi:type="xsd:double"&gt;17.61&lt;/D&gt;&lt;D xsi:type="xsd:double"&gt;17.52&lt;/D&gt;&lt;D xsi:type="xsd:double"&gt;17.57&lt;/D&gt;&lt;D xsi:type="xsd:double"&gt;17.23&lt;/D&gt;&lt;D xsi:type="xsd:double"&gt;17.16&lt;/D&gt;&lt;D xsi:type="xsd:double"&gt;16.83&lt;/D&gt;&lt;D xsi:type="xsd:double"&gt;17.66&lt;/D&gt;&lt;D xsi:type="xsd:double"&gt;17.86&lt;/D&gt;&lt;D xsi:type="xsd:double"&gt;17.88&lt;/D&gt;&lt;D xsi:type="xsd:double"&gt;17.84&lt;/D&gt;&lt;/FQL&gt;&lt;FQL&gt;&lt;Q&gt;EWT^FG_PRICE(0,-200D)&lt;/Q&gt;&lt;R&gt;201&lt;/R&gt;&lt;C&gt;1&lt;/C&gt;&lt;D xsi:type="xsd:double"&gt;67.29&lt;/D&gt;&lt;D xsi:type="xsd:double"&gt;66.51&lt;/D&gt;&lt;D xsi:type="xsd:double"&gt;66.1&lt;/D&gt;&lt;D xsi:type="xsd:double"&gt;66.62&lt;/D&gt;&lt;D xsi:type="xsd:double"&gt;65.92&lt;/D&gt;&lt;D xsi:type="xsd:double"&gt;65.44&lt;/D&gt;&lt;D xsi:type="xsd:double"&gt;65.59&lt;/D&gt;&lt;D xsi:type="xsd:double"&gt;65.83&lt;/D&gt;&lt;D xsi:type="xsd:double"&gt;65.3&lt;/D&gt;&lt;D xsi:type="xsd:double"&gt;64.77&lt;/D&gt;&lt;D xsi:type="xsd:double"&gt;63.53&lt;/D&gt;&lt;D xsi:type="xsd:double"&gt;63.71&lt;/D&gt;&lt;D xsi:type="xsd:double"&gt;63.33&lt;/D&gt;&lt;D xsi:type="xsd:double"&gt;63.02&lt;/D&gt;&lt;D xsi:type="xsd:double"&gt;62.53&lt;/D&gt;&lt;D xsi:type="xsd:double"&gt;62.5&lt;/D&gt;&lt;D xsi:type="xsd:double"&gt;61.98&lt;/D&gt;&lt;D xsi:type="xsd:double"&gt;61.64&lt;/D&gt;&lt;D xsi:type="xsd:double"&gt;60.87&lt;/D&gt;&lt;D xsi:type="xsd:double"&gt;60.03&lt;/D&gt;&lt;D xsi:type="xsd:double"&gt;61.12&lt;/D&gt;&lt;D xsi:type="xsd:double"&gt;64.11&lt;/D&gt;&lt;D xsi:type="xsd:double"&gt;64.1&lt;/D&gt;&lt;D xsi:type="xsd:double"&gt;65.92&lt;/D&gt;&lt;D xsi:type="xsd:double"&gt;66.8&lt;/D&gt;&lt;D xsi:type="xsd:double"&gt;65.72&lt;/D&gt;&lt;D xsi:type="xsd:double"&gt;65.57&lt;/D&gt;&lt;D xsi:type="xsd:double"&gt;65.35&lt;/D&gt;&lt;D xsi:type="xsd:double"&gt;64.51&lt;/D&gt;&lt;D xsi:type="xsd:double"&gt;64.85&lt;/D&gt;&lt;D xsi:type="xsd:double"&gt;64.63&lt;/D&gt;&lt;D xsi:type="xsd:double"&gt;64.13&lt;/D&gt;&lt;D xsi:type="xsd:double"&gt;64.51&lt;/D&gt;&lt;D xsi:type="xsd:double"&gt;63.66&lt;/D&gt;&lt;D xsi:type="xsd:double"&gt;62.8&lt;/D&gt;&lt;D xsi:type="xsd:double"&gt;62.51&lt;/D&gt;&lt;D xsi:type="xsd:double"&gt;61.8&lt;/D&gt;&lt;D xsi:type="xsd:double"&gt;61.68&lt;/D&gt;&lt;D xsi:type="xsd:double"&gt;62.5&lt;/D&gt;&lt;D xsi:type="xsd:double"&gt;62.67&lt;/D&gt;&lt;D xsi:type="xsd:double"&gt;63.16&lt;/D&gt;&lt;D xsi:type="xsd:double"&gt;65.17&lt;/D&gt;&lt;D xsi:type="xsd:double"&gt;63.99&lt;/D&gt;&lt;D xsi:type="xsd:double"&gt;65.41&lt;/D&gt;&lt;D xsi:type="xsd:double"&gt;65.39&lt;/D&gt;&lt;D xsi:type="xsd:double"&gt;65.75&lt;/D&gt;&lt;D xsi:type="xsd:double"&gt;64.61&lt;/D&gt;&lt;D xsi:type="xsd:double"&gt;64.94&lt;/D&gt;&lt;D xsi:type="xsd:double"&gt;66.03&lt;/D&gt;&lt;D xsi:type="xsd:double"&gt;65.43&lt;/D&gt;&lt;D xsi:type="xsd:double"&gt;66.9&lt;/D&gt;&lt;D xsi:type="xsd:double"&gt;66.65&lt;/D&gt;&lt;D xsi:type="xsd:double"&gt;66.54&lt;/D&gt;&lt;D xsi:type="xsd:double"&gt;67.13&lt;/D&gt;&lt;D xsi:type="xsd:double"&gt;67.09&lt;/D&gt;&lt;D xsi:type="xsd:double"&gt;66.98&lt;/D&gt;&lt;D xsi:type="xsd:double"&gt;66.48&lt;/D&gt;&lt;D xsi:type="xsd:double"&gt;65.71&lt;/D&gt;&lt;D xsi:type="xsd:double"&gt;65.03&lt;/D&gt;&lt;D xsi:type="xsd:double"&gt;65.78&lt;/D&gt;&lt;D xsi:type="xsd:double"&gt;66.17&lt;/D&gt;&lt;D xsi:type="xsd:double"&gt;65.09&lt;/D&gt;&lt;D xsi:type="xsd:double"&gt;65.17&lt;/D&gt;&lt;D xsi:type="xsd:double"&gt;64.99&lt;/D&gt;&lt;D xsi:type="xsd:double"&gt;63.7&lt;/D&gt;&lt;D xsi:type="xsd:double"&gt;64.56&lt;/D&gt;&lt;D xsi:type="xsd:double"&gt;61.62&lt;/D&gt;&lt;D xsi:type="xsd:double"&gt;64.83&lt;/D&gt;&lt;D xsi:type="xsd:double"&gt;65.65&lt;/D&gt;&lt;D xsi:type="xsd:double"&gt;64.81&lt;/D&gt;&lt;D xsi:type="xsd:double"&gt;65.03&lt;/D&gt;&lt;D xsi:type="xsd:double"&gt;64.64&lt;/D&gt;&lt;D xsi:type="xsd:double"&gt;64&lt;/D&gt;&lt;D xsi:type="xsd:double"&gt;64.14&lt;/D&gt;&lt;D xsi:type="xsd:double"&gt;63.62&lt;/D&gt;&lt;D xsi:type="xsd:double"&gt;63.08&lt;/D&gt;&lt;D xsi:type="xsd:double"&gt;62.74&lt;/D&gt;&lt;D xsi:type="xsd:double"&gt;63.06&lt;/D&gt;&lt;D xsi:type="xsd:double"&gt;63.57&lt;/D&gt;&lt;D xsi:type="xsd:double"&gt;64.29&lt;/D&gt;&lt;D xsi:type="xsd:double"&gt;64.02&lt;/D&gt;&lt;D xsi:type="xsd:double"&gt;63.38&lt;/D&gt;&lt;D xsi:type="xsd:double"&gt;63.77&lt;/D&gt;&lt;D xsi:type="xsd:double"&gt;63.21&lt;/D&gt;&lt;D xsi:type="xsd:double"&gt;63.32&lt;/D&gt;&lt;D xsi:type="xsd:double"&gt;63.02&lt;/D&gt;&lt;D xsi:type="xsd:double"&gt;62.83&lt;/D&gt;&lt;D xsi:type="xsd:double"&gt;62.74&lt;/D&gt;&lt;D xsi:type="xsd:double"&gt;62.56&lt;/D&gt;&lt;D xsi:type="xsd:double"&gt;61.62&lt;/D&gt;&lt;D xsi:type="xsd:double"&gt;60.98&lt;/D&gt;&lt;D xsi:type="xsd:double"&gt;60.21&lt;/D&gt;&lt;D xsi:type="xsd:double"&gt;59.3&lt;/D&gt;&lt;D xsi:type="xsd:double"&gt;58.73&lt;/D&gt;&lt;D xsi:type="xsd:double"&gt;58.05&lt;/D&gt;&lt;D xsi:type="xsd:double"&gt;58.82&lt;/D&gt;&lt;D xsi:type="xsd:double"&gt;59.9&lt;/D&gt;&lt;D xsi:type="xsd:double"&gt;59.77&lt;/D&gt;&lt;D xsi:type="xsd:double"&gt;59.5&lt;/D&gt;&lt;D xsi:type="xsd:double"&gt;59.26&lt;/D&gt;&lt;D xsi:type="xsd:double"&gt;59.66&lt;/D&gt;&lt;D xsi:type="xsd:double"&gt;58.57&lt;/D&gt;&lt;D xsi:type="xsd:double"&gt;58.78&lt;/D&gt;&lt;D xsi:type="xsd:double"&gt;60.09&lt;/D&gt;&lt;D xsi:type="xsd:double"&gt;61.04&lt;/D&gt;&lt;D xsi:type="xsd:double"&gt;60.42&lt;/D&gt;&lt;D xsi:type="xsd:double"&gt;60.65&lt;/D&gt;&lt;D xsi:type="xsd:double"&gt;61.03&lt;/D&gt;&lt;D xsi:type="xsd:double"&gt;61.09&lt;/D&gt;&lt;D xsi:type="xsd:double"&gt;60.28&lt;/D&gt;&lt;D xsi:type="xsd:double"&gt;60.29&lt;/D&gt;&lt;D xsi:type="xsd:double"&gt;60.36&lt;/D&gt;&lt;D xsi:type="xsd:double"&gt;59.14&lt;/D&gt;&lt;D xsi:type="xsd:double"&gt;58.92&lt;/D&gt;&lt;D xsi:type="xsd:double"&gt;58.84&lt;/D&gt;&lt;D xsi:type="xsd:double"&gt;58.39&lt;/D&gt;&lt;D xsi:type="xsd:double"&gt;58.36&lt;/D&gt;&lt;D xsi:type="xsd:double"&gt;58.35&lt;/D&gt;&lt;D xsi:type="xsd:double"&gt;58.62&lt;/D&gt;&lt;D xsi:type="xsd:double"&gt;59.06&lt;/D&gt;&lt;D xsi:type="xsd:double"&gt;59.43&lt;/D&gt;&lt;D xsi:type="xsd:double"&gt;59.39&lt;/D&gt;&lt;D xsi:type="xsd:double"&gt;59.8&lt;/D&gt;&lt;D xsi:type="xsd:double"&gt;58.72&lt;/D&gt;&lt;D xsi:type="xsd:double"&gt;59.36&lt;/D&gt;&lt;D xsi:type="xsd:double"&gt;59.24&lt;/D&gt;&lt;D xsi:type="xsd:double"&gt;59.48&lt;/D&gt;&lt;D xsi:type="xsd:double"&gt;58.98&lt;/D&gt;&lt;D xsi:type="xsd:double"&gt;58.27&lt;/D&gt;&lt;D xsi:type="xsd:double"&gt;57.81&lt;/D&gt;&lt;D xsi:type="xsd:double"&gt;58.3&lt;/D&gt;&lt;D xsi:type="xsd:double"&gt;58.38&lt;/D&gt;&lt;D xsi:type="xsd:double"&gt;58.03&lt;/D&gt;&lt;D xsi:type="xsd:double"&gt;57.66&lt;/D&gt;&lt;D xsi:type="xsd:double"&gt;57.63&lt;/D&gt;&lt;D xsi:type="xsd:double"&gt;59.44&lt;/D&gt;&lt;D xsi:type="xsd:double"&gt;58.75&lt;/D&gt;&lt;D xsi:type="xsd:double"&gt;57.58&lt;/D&gt;&lt;D xsi:type="xsd:double"&gt;57.4&lt;/D&gt;&lt;D xsi:type="xsd:double"&gt;57.85&lt;/D&gt;&lt;D xsi:type="xsd:double"&gt;57.85&lt;/D&gt;&lt;D xsi:type="xsd:double"&gt;57.31&lt;/D&gt;&lt;D xsi:type="xsd:double"&gt;56.82&lt;/D&gt;&lt;D xsi:type="xsd:double"&gt;55.18&lt;/D&gt;&lt;D xsi:type="xsd:double"&gt;54.84&lt;/D&gt;&lt;D xsi:type="xsd:double"&gt;56.03&lt;/D&gt;&lt;D xsi:type="xsd:double"&gt;55.65&lt;/D&gt;&lt;D xsi:type="xsd:double"&gt;56.46&lt;/D&gt;&lt;D xsi:type="xsd:double"&gt;55.85&lt;/D&gt;&lt;D xsi:type="xsd:double"&gt;56.74&lt;/D&gt;&lt;D xsi:type="xsd:double"&gt;55.83&lt;/D&gt;&lt;D xsi:type="xsd:double"&gt;55.8&lt;/D&gt;&lt;D xsi:type="xsd:double"&gt;54.71&lt;/D&gt;&lt;D xsi:type="xsd:double"&gt;54.11&lt;/D&gt;&lt;D xsi:type="xsd:double"&gt;53.74&lt;/D&gt;&lt;D xsi:type="xsd:double"&gt;53.96&lt;/D&gt;&lt;D xsi:type="xsd:double"&gt;53.15&lt;/D&gt;&lt;D xsi:type="xsd:double"&gt;52.84&lt;/D&gt;&lt;D xsi:type="xsd:double"&gt;52.38&lt;/D&gt;&lt;D xsi:type="xsd:double"&gt;52.87&lt;/D&gt;&lt;D xsi:type="xsd:double"&gt;53.26&lt;/D&gt;&lt;D xsi:type="xsd:double"&gt;53.58&lt;/D&gt;&lt;D xsi:type="xsd:double"&gt;53.52&lt;/D&gt;&lt;D xsi:type="xsd:double"&gt;53.7&lt;/D&gt;&lt;D xsi:type="xsd:double"&gt;53.72&lt;/D&gt;&lt;D xsi:type="xsd:double"&gt;53.48&lt;/D&gt;&lt;D xsi:type="xsd:double"&gt;53.82&lt;/D&gt;&lt;D xsi:type="xsd:double"&gt;54.01&lt;/D&gt;&lt;D xsi:type="xsd:double"&gt;53.99&lt;/D&gt;&lt;D xsi:type="xsd:double"&gt;53.77&lt;/D&gt;&lt;D xsi:type="xsd:double"&gt;53.28&lt;/D&gt;&lt;D xsi:type="xsd:double"&gt;52.95&lt;/D&gt;&lt;D xsi:type="xsd:double"&gt;51.75&lt;/D&gt;&lt;D xsi:type="xsd:double"&gt;51.16&lt;/D&gt;&lt;D xsi:type="xsd:double"&gt;51&lt;/D&gt;&lt;D xsi:type="xsd:double"&gt;51.56&lt;/D&gt;&lt;D xsi:type="xsd:double"&gt;52.96&lt;/D&gt;&lt;D xsi:type="xsd:double"&gt;50.95&lt;/D&gt;&lt;D xsi:type="xsd:double"&gt;47.82&lt;/D&gt;&lt;D xsi:type="xsd:double"&gt;47.48&lt;/D&gt;&lt;D xsi:type="xsd:double"&gt;47.15&lt;/D&gt;&lt;D xsi:type="xsd:double"&gt;46.47&lt;/D&gt;&lt;D xsi:type="xsd:double"&gt;46.34&lt;/D&gt;&lt;D xsi:type="xsd:double"&gt;46.18&lt;/D&gt;&lt;D xsi:type="xsd:double"&gt;45.5&lt;/D&gt;&lt;D xsi:type="xsd:double"&gt;44.33&lt;/D&gt;&lt;D xsi:type="xsd:double"&gt;44.22&lt;/D&gt;&lt;D xsi:type="xsd:double"&gt;44.88&lt;/D&gt;&lt;D xsi:type="xsd:double"&gt;44.99&lt;/D&gt;&lt;D xsi:type="xsd:double"&gt;46.05&lt;/D&gt;&lt;D xsi:type="xsd:double"&gt;45.77&lt;/D&gt;&lt;D xsi:type="xsd:double"&gt;45.62&lt;/D&gt;&lt;D xsi:type="xsd:double"&gt;43.32&lt;/D&gt;&lt;D xsi:type="xsd:double"&gt;44.79&lt;/D&gt;&lt;D xsi:type="xsd:double"&gt;40.95&lt;/D&gt;&lt;D xsi:type="xsd:double"&gt;42.03&lt;/D&gt;&lt;D xsi:type="xsd:double"&gt;43.82&lt;/D&gt;&lt;D xsi:type="xsd:double"&gt;46.05&lt;/D&gt;&lt;D xsi:type="xsd:double"&gt;48.48&lt;/D&gt;&lt;D xsi:type="xsd:double"&gt;48.2&lt;/D&gt;&lt;D xsi:type="xsd:double"&gt;47.48&lt;/D&gt;&lt;/FQL&gt;&lt;FQL&gt;&lt;Q&gt;CNYA^JULIAN(FG_PRICE(0,-200D).DATES)&lt;/Q&gt;&lt;R&gt;201&lt;/R&gt;&lt;C&gt;1&lt;/C&gt;&lt;D xsi:type="xsd:long"&gt;46037&lt;/D&gt;&lt;D xsi:type="xsd:long"&gt;46036&lt;/D&gt;&lt;D xsi:type="xsd:long"&gt;46035&lt;/D&gt;&lt;D xsi:type="xsd:long"&gt;46034&lt;/D&gt;&lt;D xsi:type="xsd:long"&gt;46031&lt;/D&gt;&lt;D xsi:type="xsd:long"&gt;46030&lt;/D&gt;&lt;D xsi:type="xsd:long"&gt;46029&lt;/D&gt;&lt;D xsi:type="xsd:long"&gt;46028&lt;/D&gt;&lt;D xsi:type="xsd:long"&gt;46027&lt;/D&gt;&lt;D xsi:type="xsd:long"&gt;46024&lt;/D&gt;&lt;D xsi:type="xsd:long"&gt;46022&lt;/D&gt;&lt;D xsi:type="xsd:long"&gt;46021&lt;/D&gt;&lt;D xsi:type="xsd:long"&gt;46020&lt;/D&gt;&lt;D xsi:type="xsd:long"&gt;46017&lt;/D&gt;&lt;D xsi:type="xsd:long"&gt;46015&lt;/D&gt;&lt;D xsi:type="xsd:long"&gt;46014&lt;/D&gt;&lt;D xsi:type="xsd:long"&gt;46013&lt;/D&gt;&lt;D xsi:type="xsd:long"&gt;46010&lt;/D&gt;&lt;D xsi:type="xsd:long"&gt;46009&lt;/D&gt;&lt;D xsi:type="xsd:long"&gt;46008&lt;/D&gt;&lt;D xsi:type="xsd:long"&gt;46007&lt;/D&gt;&lt;D xsi:type="xsd:long"&gt;46006&lt;/D&gt;&lt;D xsi:type="xsd:long"&gt;46003&lt;/D&gt;&lt;D xsi:type="xsd:long"&gt;46002&lt;/D&gt;&lt;D xsi:type="xsd:long"&gt;46001&lt;/D&gt;&lt;D xsi:type="xsd:long"&gt;46000&lt;/D&gt;&lt;D xsi:type="xsd:long"&gt;45999&lt;/D&gt;&lt;D xsi:type="xsd:long"&gt;45996&lt;/D&gt;&lt;D xsi:type="xsd:long"&gt;45995&lt;/D&gt;&lt;D xsi:type="xsd:long"&gt;45994&lt;/D&gt;&lt;D xsi:type="xsd:long"&gt;45993&lt;/D&gt;&lt;D xsi:type="xsd:long"&gt;45992&lt;/D&gt;&lt;D xsi:type="xsd:long"&gt;45989&lt;/D&gt;&lt;D xsi:type="xsd:long"&gt;45987&lt;/D&gt;&lt;D xsi:type="xsd:long"&gt;45986&lt;/D&gt;&lt;D xsi:type="xsd:long"&gt;45985&lt;/D&gt;&lt;D xsi:type="xsd:long"&gt;45982&lt;/D&gt;&lt;D xsi:type="xsd:long"&gt;45981&lt;/D&gt;&lt;D xsi:type="xsd:long"&gt;45980&lt;/D&gt;&lt;D xsi:type="xsd:long"&gt;45979&lt;/D&gt;&lt;D xsi:type="xsd:long"&gt;45978&lt;/D&gt;&lt;D xsi:type="xsd:long"&gt;45975&lt;/D&gt;&lt;D xsi:type="xsd:long"&gt;45974&lt;/D&gt;&lt;D xsi:type="xsd:long"&gt;45973&lt;/D&gt;&lt;D xsi:type="xsd:long"&gt;45972&lt;/D&gt;&lt;D xsi:type="xsd:long"&gt;45971&lt;/D&gt;&lt;D xsi:type="xsd:long"&gt;45968&lt;/D&gt;&lt;D xsi:type="xsd:long"&gt;45967&lt;/D&gt;&lt;D xsi:type="xsd:long"&gt;45966&lt;/D&gt;&lt;D xsi:type="xsd:long"&gt;45965&lt;/D&gt;&lt;D xsi:type="xsd:long"&gt;45964&lt;/D&gt;&lt;D xsi:type="xsd:long"&gt;45961&lt;/D&gt;&lt;D xsi:type="xsd:long"&gt;45960&lt;/D&gt;&lt;D xsi:type="xsd:long"&gt;45959&lt;/D&gt;&lt;D xsi:type="xsd:long"&gt;45958&lt;/D&gt;&lt;D xsi:type="xsd:long"&gt;45957&lt;/D&gt;&lt;D xsi:type="xsd:long"&gt;45954&lt;/D&gt;&lt;D xsi:type="xsd:long"&gt;45953&lt;/D&gt;&lt;D xsi:type="xsd:long"&gt;45952&lt;/D&gt;&lt;D xsi:type="xsd:long"&gt;45951&lt;/D&gt;&lt;D xsi:type="xsd:long"&gt;45950&lt;/D&gt;&lt;D xsi:type="xsd:long"&gt;45947&lt;/D&gt;&lt;D xsi:type="xsd:long"&gt;45946&lt;/D&gt;&lt;D xsi:type="xsd:long"&gt;45945&lt;/D&gt;&lt;D xsi:type="xsd:long"&gt;45944&lt;/D&gt;&lt;D xsi:type="xsd:long"&gt;45943&lt;/D&gt;&lt;D xsi:type="xsd:long"&gt;45940&lt;/D&gt;&lt;D xsi:type="xsd:long"&gt;45939&lt;/D&gt;&lt;D xsi:type="xsd:long"&gt;45938&lt;/D&gt;&lt;D xsi:type="xsd:long"&gt;45937&lt;/D&gt;&lt;D xsi:type="xsd:long"&gt;45936&lt;/D&gt;&lt;D xsi:type="xsd:long"&gt;45933&lt;/D&gt;&lt;D xsi:type="xsd:long"&gt;45932&lt;/D&gt;&lt;D xsi:type="xsd:long"&gt;45931&lt;/D&gt;&lt;D xsi:type="xsd:long"&gt;45930&lt;/D&gt;&lt;D xsi:type="xsd:long"&gt;45929&lt;/D&gt;&lt;D xsi:type="xsd:long"&gt;45926&lt;/D&gt;&lt;D xsi:type="xsd:long"&gt;45925&lt;/D&gt;&lt;D xsi:type="xsd:long"&gt;45924&lt;/D&gt;&lt;D xsi:type="xsd:long"&gt;45923&lt;/D&gt;&lt;D xsi:type="xsd:long"&gt;45922&lt;/D&gt;&lt;D xsi:type="xsd:long"&gt;45919&lt;/D&gt;&lt;D xsi:type="xsd:long"&gt;45918&lt;/D&gt;&lt;D xsi:type="xsd:long"&gt;45917&lt;/D&gt;&lt;D xsi:type="xsd:long"&gt;45916&lt;/D&gt;&lt;D xsi:type="xsd:long"&gt;45915&lt;/D&gt;&lt;D xsi:type="xsd:long"&gt;45912&lt;/D&gt;&lt;D xsi:type="xsd:long"&gt;45911&lt;/D&gt;&lt;D xsi:type="xsd:long"&gt;45910&lt;/D&gt;&lt;D xsi:type="xsd:long"&gt;45909&lt;/D&gt;&lt;D xsi:type="xsd:long"&gt;45908&lt;/D&gt;&lt;D xsi:type="xsd:long"&gt;45905&lt;/D&gt;&lt;D xsi:type="xsd:long"&gt;45904&lt;/D&gt;&lt;D xsi:type="xsd:long"&gt;45903&lt;/D&gt;&lt;D xsi:type="xsd:long"&gt;45902&lt;/D&gt;&lt;D xsi:type="xsd:long"&gt;45898&lt;/D&gt;&lt;D xsi:type="xsd:long"&gt;45897&lt;/D&gt;&lt;D xsi:type="xsd:long"&gt;45896&lt;/D&gt;&lt;D xsi:type="xsd:long"&gt;45895&lt;/D&gt;&lt;D xsi:type="xsd:long"&gt;45894&lt;/D&gt;&lt;D xsi:type="xsd:long"&gt;45891&lt;/D&gt;&lt;D xsi:type="xsd:long"&gt;45890&lt;/D&gt;&lt;D xsi:type="xsd:long"&gt;45889&lt;/D&gt;&lt;D xsi:type="xsd:long"&gt;45888&lt;/D&gt;&lt;D xsi:type="xsd:long"&gt;45887&lt;/D&gt;&lt;D xsi:type="xsd:long"&gt;45884&lt;/D&gt;&lt;D xsi:type="xsd:long"&gt;45883&lt;/D&gt;&lt;D xsi:type="xsd:long"&gt;45882&lt;/D&gt;&lt;D xsi:type="xsd:long"&gt;45881&lt;/D&gt;&lt;D xsi:type="xsd:long"&gt;45880&lt;/D&gt;&lt;D xsi:type="xsd:long"&gt;45877&lt;/D&gt;&lt;D xsi:type="xsd:long"&gt;45876&lt;/D&gt;&lt;D xsi:type="xsd:long"&gt;45875&lt;/D&gt;&lt;D xsi:type="xsd:long"&gt;45874&lt;/D&gt;&lt;D xsi:type="xsd:long"&gt;45873&lt;/D&gt;&lt;D xsi:type="xsd:long"&gt;45870&lt;/D&gt;&lt;D xsi:type="xsd:long"&gt;45869&lt;/D&gt;&lt;D xsi:type="xsd:long"&gt;45868&lt;/D&gt;&lt;D xsi:type="xsd:long"&gt;45867&lt;/D&gt;&lt;D xsi:type="xsd:long"&gt;45866&lt;/D&gt;&lt;D xsi:type="xsd:long"&gt;45863&lt;/D&gt;&lt;D xsi:type="xsd:long"&gt;45862&lt;/D&gt;&lt;D xsi:type="xsd:long"&gt;45861&lt;/D&gt;&lt;D xsi:type="xsd:long"&gt;45860&lt;/D&gt;&lt;D xsi:type="xsd:long"&gt;45859&lt;/D&gt;&lt;D xsi:type="xsd:long"&gt;45856&lt;/D&gt;&lt;D xsi:type="xsd:long"&gt;45855&lt;/D&gt;&lt;D xsi:type="xsd:long"&gt;45854&lt;/D&gt;&lt;D xsi:type="xsd:long"&gt;45853&lt;/D&gt;&lt;D xsi:type="xsd:long"&gt;45852&lt;/D&gt;&lt;D xsi:type="xsd:long"&gt;45849&lt;/D&gt;&lt;D xsi:type="xsd:long"&gt;45848&lt;/D&gt;&lt;D xsi:type="xsd:long"&gt;45847&lt;/D&gt;&lt;D xsi:type="xsd:long"&gt;45846&lt;/D&gt;&lt;D xsi:type="xsd:long"&gt;45845&lt;/D&gt;&lt;D xsi:type="xsd:long"&gt;45841&lt;/D&gt;&lt;D xsi:type="xsd:long"&gt;45840&lt;/D&gt;&lt;D xsi:type="xsd:long"&gt;45839&lt;/D&gt;&lt;D xsi:type="xsd:long"&gt;45838&lt;/D&gt;&lt;D xsi:type="xsd:long"&gt;45835&lt;/D&gt;&lt;D xsi:type="xsd:long"&gt;45834&lt;/D&gt;&lt;D xsi:type="xsd:long"&gt;45833&lt;/D&gt;&lt;D xsi:type="xsd:long"&gt;45832&lt;/D&gt;&lt;D xsi:type="xsd:long"&gt;45831&lt;/D&gt;&lt;D xsi:type="xsd:long"&gt;45828&lt;/D&gt;&lt;D xsi:type="xsd:long"&gt;45826&lt;/D&gt;&lt;D xsi:type="xsd:long"&gt;45825&lt;/D&gt;&lt;D xsi:type="xsd:long"&gt;45824&lt;/D&gt;&lt;D xsi:type="xsd:long"&gt;45821&lt;/D&gt;&lt;D xsi:type="xsd:long"&gt;45820&lt;/D&gt;&lt;D xsi:type="xsd:long"&gt;45819&lt;/D&gt;&lt;D xsi:type="xsd:long"&gt;45818&lt;/D&gt;&lt;D xsi:type="xsd:long"&gt;45817&lt;/D&gt;&lt;D xsi:type="xsd:long"&gt;45814&lt;/D&gt;&lt;D xsi:type="xsd:long"&gt;45813&lt;/D&gt;&lt;D xsi:type="xsd:long"&gt;45812&lt;/D&gt;&lt;D xsi:type="xsd:long"&gt;45811&lt;/D&gt;&lt;D xsi:type="xsd:long"&gt;45810&lt;/D&gt;&lt;D xsi:type="xsd:long"&gt;45807&lt;/D&gt;&lt;D xsi:type="xsd:long"&gt;45806&lt;/D&gt;&lt;D xsi:type="xsd:long"&gt;45805&lt;/D&gt;&lt;D xsi:type="xsd:long"&gt;45804&lt;/D&gt;&lt;D xsi:type="xsd:long"&gt;45800&lt;/D&gt;&lt;D xsi:type="xsd:long"&gt;45799&lt;/D&gt;&lt;D xsi:type="xsd:long"&gt;45798&lt;/D&gt;&lt;D xsi:type="xsd:long"&gt;45797&lt;/D&gt;&lt;D xsi:type="xsd:long"&gt;45796&lt;/D&gt;&lt;D xsi:type="xsd:long"&gt;45793&lt;/D&gt;&lt;D xsi:type="xsd:long"&gt;45792&lt;/D&gt;&lt;D xsi:type="xsd:long"&gt;45791&lt;/D&gt;&lt;D xsi:type="xsd:long"&gt;45790&lt;/D&gt;&lt;D xsi:type="xsd:long"&gt;45789&lt;/D&gt;&lt;D xsi:type="xsd:long"&gt;45786&lt;/D&gt;&lt;D xsi:type="xsd:long"&gt;45785&lt;/D&gt;&lt;D xsi:type="xsd:long"&gt;45784&lt;/D&gt;&lt;D xsi:type="xsd:long"&gt;45783&lt;/D&gt;&lt;D xsi:type="xsd:long"&gt;45782&lt;/D&gt;&lt;D xsi:type="xsd:long"&gt;45779&lt;/D&gt;&lt;D xsi:type="xsd:long"&gt;45778&lt;/D&gt;&lt;D xsi:type="xsd:long"&gt;45777&lt;/D&gt;&lt;D xsi:type="xsd:long"&gt;45776&lt;/D&gt;&lt;D xsi:type="xsd:long"&gt;45775&lt;/D&gt;&lt;D xsi:type="xsd:long"&gt;45772&lt;/D&gt;&lt;D xsi:type="xsd:long"&gt;45771&lt;/D&gt;&lt;D xsi:type="xsd:long"&gt;45770&lt;/D&gt;&lt;D xsi:type="xsd:long"&gt;45769&lt;/D&gt;&lt;D xsi:type="xsd:long"&gt;45768&lt;/D&gt;&lt;D xsi:type="xsd:long"&gt;45764&lt;/D&gt;&lt;D xsi:type="xsd:long"&gt;45763&lt;/D&gt;&lt;D xsi:type="xsd:long"&gt;45762&lt;/D&gt;&lt;D xsi:type="xsd:long"&gt;45761&lt;/D&gt;&lt;D xsi:type="xsd:long"&gt;45758&lt;/D&gt;&lt;D xsi:type="xsd:long"&gt;45757&lt;/D&gt;&lt;D xsi:type="xsd:long"&gt;45756&lt;/D&gt;&lt;D xsi:type="xsd:long"&gt;45755&lt;/D&gt;&lt;D xsi:type="xsd:long"&gt;45754&lt;/D&gt;&lt;D xsi:type="xsd:long"&gt;45751&lt;/D&gt;&lt;D xsi:type="xsd:long"&gt;45750&lt;/D&gt;&lt;D xsi:type="xsd:long"&gt;45749&lt;/D&gt;&lt;D xsi:type="xsd:long"&gt;45748&lt;/D&gt;&lt;D xsi:type="xsd:long"&gt;45747&lt;/D&gt;&lt;/FQL&gt;&lt;FQL&gt;&lt;Q&gt;EWL^FG_TOTAL_RETURNC(-5AY,0,AM)&lt;/Q&gt;&lt;R&gt;61&lt;/R&gt;&lt;C&gt;1&lt;/C&gt;&lt;D xsi:type="xsd:double"&gt;3.3676863&lt;/D&gt;&lt;D xsi:type="xsd:double"&gt;0.5319238&lt;/D&gt;&lt;D xsi:type="xsd:double"&gt;-2.5793672&lt;/D&gt;&lt;D xsi:type="xsd:double"&gt;4.7748327&lt;/D&gt;&lt;D xsi:type="xsd:double"&gt;1.9222498&lt;/D&gt;&lt;D xsi:type="xsd:double"&gt;7.8442216&lt;/D&gt;&lt;D xsi:type="xsd:double"&gt;-1.6009688&lt;/D&gt;&lt;D xsi:type="xsd:double"&gt;3.803134&lt;/D&gt;&lt;D xsi:type="xsd:double"&gt;-3.4286857&lt;/D&gt;&lt;D xsi:type="xsd:double"&gt;-1.2984395&lt;/D&gt;&lt;D xsi:type="xsd:double"&gt;4.480982&lt;/D&gt;&lt;D xsi:type="xsd:double"&gt;0.7869363&lt;/D&gt;&lt;D xsi:type="xsd:double"&gt;-0.29278994&lt;/D&gt;&lt;D xsi:type="xsd:double"&gt;-4.2090893&lt;/D&gt;&lt;D xsi:type="xsd:double"&gt;-5.2728415&lt;/D&gt;&lt;D xsi:type="xsd:double"&gt;6.2567472&lt;/D&gt;&lt;D xsi:type="xsd:double"&gt;-11.025381&lt;/D&gt;&lt;D xsi:type="xsd:double"&gt;-7.181072&lt;/D&gt;&lt;D xsi:type="xsd:double"&gt;3.5373807&lt;/D&gt;&lt;D xsi:type="xsd:double"&gt;6.348431&lt;/D&gt;&lt;D xsi:type="xsd:double"&gt;-7.609934&lt;/D&gt;&lt;D xsi:type="xsd:double"&gt;-8.631319&lt;/D&gt;&lt;D xsi:type="xsd:double"&gt;14.304996&lt;/D&gt;&lt;D xsi:type="xsd:double"&gt;-0.14166832&lt;/D&gt;&lt;D xsi:type="xsd:double"&gt;5.462277&lt;/D&gt;&lt;D xsi:type="xsd:double"&gt;0.9417057&lt;/D&gt;&lt;D xsi:type="xsd:double"&gt;-6.0417595&lt;/D&gt;&lt;D xsi:type="xsd:double"&gt;11.654842&lt;/D&gt;&lt;D xsi:type="xsd:double"&gt;2.837181&lt;/D&gt;&lt;D xsi:type="xsd:double"&gt;-2.112621&lt;/D&gt;&lt;D xsi:type="xsd:double"&gt;1.7849445&lt;/D&gt;&lt;D xsi:type="xsd:double"&gt;-3.1692386&lt;/D&gt;&lt;D xsi:type="xsd:double"&gt;-0.52368045&lt;/D&gt;&lt;D xsi:type="xsd:double"&gt;-3.3779383&lt;/D&gt;&lt;D xsi:type="xsd:double"&gt;0.45403242&lt;/D&gt;&lt;D xsi:type="xsd:double"&gt;5.7853103&lt;/D&gt;&lt;D xsi:type="xsd:double"&gt;2.2858381&lt;/D&gt;&lt;D xsi:type="xsd:double"&gt;-2.3809493&lt;/D&gt;&lt;D xsi:type="xsd:double"&gt;3.2520294&lt;/D&gt;&lt;D xsi:type="xsd:double"&gt;-5.4703655&lt;/D&gt;&lt;D xsi:type="xsd:double"&gt;6.9048643&lt;/D&gt;&lt;D xsi:type="xsd:double"&gt;2.0977259&lt;/D&gt;&lt;D xsi:type="xsd:double"&gt;1.1072397&lt;/D&gt;&lt;D xsi:type="xsd:double"&gt;2.1090984&lt;/D&gt;&lt;D xsi:type="xsd:double"&gt;2.0655394&lt;/D&gt;&lt;D xsi:type="xsd:double"&gt;-0.60322285&lt;/D&gt;&lt;D xsi:type="xsd:double"&gt;-7.654667&lt;/D&gt;&lt;D xsi:type="xsd:double"&gt;0.021207333&lt;/D&gt;&lt;D xsi:type="xsd:double"&gt;-1.2293398&lt;/D&gt;&lt;D xsi:type="xsd:double"&gt;10.321892&lt;/D&gt;&lt;D xsi:type="xsd:double"&gt;2.2952795&lt;/D&gt;&lt;D xsi:type="xsd:double"&gt;-2.1677136&lt;/D&gt;&lt;D xsi:type="xsd:double"&gt;4.9951434&lt;/D&gt;&lt;D xsi:type="xsd:double"&gt;2.2214055&lt;/D&gt;&lt;D xsi:type="xsd:double"&gt;-0.016111135&lt;/D&gt;&lt;D xsi:type="xsd:double"&gt;0.5906224&lt;/D&gt;&lt;D xsi:type="xsd:double"&gt;1.9449592&lt;/D&gt;&lt;D xsi:type="xsd:double"&gt;1.9438386&lt;/D&gt;&lt;D xsi:type="xsd:double"&gt;1.6066432&lt;/D&gt;&lt;D xsi:type="xsd:double"&gt;2.6238084&lt;/D&gt;&lt;D xsi:type="xsd:double"&gt;2.472055&lt;/D&gt;&lt;/FQL&gt;&lt;FQL&gt;&lt;Q&gt;UAE^FG_TOTAL_RETURNC(-5AY,0,AM)&lt;/Q&gt;&lt;R&gt;61&lt;/R&gt;&lt;C&gt;1&lt;/C&gt;&lt;D xsi:type="xsd:double"&gt;3.8130403&lt;/D&gt;&lt;D xsi:type="xsd:double"&gt;3.5939932&lt;/D&gt;&lt;D xsi:type="xsd:double"&gt;2.9355764&lt;/D&gt;&lt;D xsi:type="xsd:double"&gt;-0.07407665&lt;/D&gt;&lt;D xsi:type="xsd:double"&gt;2.446258&lt;/D&gt;&lt;D xsi:type="xsd:double"&gt;8.603597&lt;/D&gt;&lt;D xsi:type="xsd:double"&gt;-3.437239&lt;/D&gt;&lt;D xsi:type="xsd:double"&gt;3.1474948&lt;/D&gt;&lt;D xsi:type="xsd:double"&gt;4.2770267&lt;/D&gt;&lt;D xsi:type="xsd:double"&gt;-2.722448&lt;/D&gt;&lt;D xsi:type="xsd:double"&gt;11.296928&lt;/D&gt;&lt;D xsi:type="xsd:double"&gt;6.4195514&lt;/D&gt;&lt;D xsi:type="xsd:double"&gt;-3.9056838&lt;/D&gt;&lt;D xsi:type="xsd:double"&gt;3.6376834&lt;/D&gt;&lt;D xsi:type="xsd:double"&gt;6.0241103&lt;/D&gt;&lt;D xsi:type="xsd:double"&gt;4.6998262&lt;/D&gt;&lt;D xsi:type="xsd:double"&gt;-8.325922&lt;/D&gt;&lt;D xsi:type="xsd:double"&gt;-3.8214386&lt;/D&gt;&lt;D xsi:type="xsd:double"&gt;-5.039954&lt;/D&gt;&lt;D xsi:type="xsd:double"&gt;9.51457&lt;/D&gt;&lt;D xsi:type="xsd:double"&gt;-6.146574&lt;/D&gt;&lt;D xsi:type="xsd:double"&gt;-4.8488674&lt;/D&gt;&lt;D xsi:type="xsd:double"&gt;5.0297856&lt;/D&gt;&lt;D xsi:type="xsd:double"&gt;-5.7178497&lt;/D&gt;&lt;D xsi:type="xsd:double"&gt;0.50234795&lt;/D&gt;&lt;D xsi:type="xsd:double"&gt;0.56648254&lt;/D&gt;&lt;D xsi:type="xsd:double"&gt;-8.217359&lt;/D&gt;&lt;D xsi:type="xsd:double"&gt;5.703974&lt;/D&gt;&lt;D xsi:type="xsd:double"&gt;-0.47814846&lt;/D&gt;&lt;D xsi:type="xsd:double"&gt;1.5935183&lt;/D&gt;&lt;D xsi:type="xsd:double"&gt;4.4413567&lt;/D&gt;&lt;D xsi:type="xsd:double"&gt;0.06644726&lt;/D&gt;&lt;D xsi:type="xsd:double"&gt;0.7968068&lt;/D&gt;&lt;D xsi:type="xsd:double"&gt;-5.928856&lt;/D&gt;&lt;D xsi:type="xsd:double"&gt;3.3613443&lt;/D&gt;&lt;D xsi:type="xsd:double"&gt;-1.3550103&lt;/D&gt;&lt;D xsi:type="xsd:double"&gt;5.1465273&lt;/D&gt;&lt;D xsi:type="xsd:double"&gt;-2.202499&lt;/D&gt;&lt;D xsi:type="xsd:double"&gt;-1.512605&lt;/D&gt;&lt;D xsi:type="xsd:double"&gt;1.5017033&lt;/D&gt;&lt;D xsi:type="xsd:double"&gt;-3.9004683&lt;/D&gt;&lt;D xsi:type="xsd:double"&gt;-2.8271437&lt;/D&gt;&lt;D xsi:type="xsd:double"&gt;4.191625&lt;/D&gt;&lt;D xsi:type="xsd:double"&gt;5.1724195&lt;/D&gt;&lt;D xsi:type="xsd:double"&gt;3.2103777&lt;/D&gt;&lt;D xsi:type="xsd:double"&gt;-0.72799325&lt;/D&gt;&lt;D xsi:type="xsd:double"&gt;2.1333337&lt;/D&gt;&lt;D xsi:type="xsd:double"&gt;1.1096597&lt;/D&gt;&lt;D xsi:type="xsd:double"&gt;9.874046&lt;/D&gt;&lt;D xsi:type="xsd:double"&gt;3.2941103&lt;/D&gt;&lt;D xsi:type="xsd:double"&gt;-3.3599079&lt;/D&gt;&lt;D xsi:type="xsd:double"&gt;-1.0606885&lt;/D&gt;&lt;D xsi:type="xsd:double"&gt;8.993435&lt;/D&gt;&lt;D xsi:type="xsd:double"&gt;-2.2950828&lt;/D&gt;&lt;D xsi:type="xsd:double"&gt;12.241459&lt;/D&gt;&lt;D xsi:type="xsd:double"&gt;2.5502324&lt;/D&gt;&lt;D xsi:type="xsd:double"&gt;-3.5418212&lt;/D&gt;&lt;D xsi:type="xsd:double"&gt;1.4062405&lt;/D&gt;&lt;D xsi:type="xsd:double"&gt;-1.5408278&lt;/D&gt;&lt;D xsi:type="xsd:double"&gt;1.0954618&lt;/D&gt;&lt;D xsi:type="xsd:double"&gt;2.8025508&lt;/D&gt;&lt;/FQL&gt;&lt;FQL&gt;&lt;Q&gt;EWZ^FG_TOTAL_RETURNC(-5AY,0,AM)&lt;/Q&gt;&lt;R&gt;61&lt;/R&gt;&lt;C&gt;1&lt;/C&gt;&lt;D xsi:type="xsd:double"&gt;-0.35116673&lt;/D&gt;&lt;D xsi:type="xsd:double"&gt;-2.3312569&lt;/D&gt;&lt;D xsi:type="xsd:double"&gt;-8.2986355&lt;/D&gt;&lt;D xsi:type="xsd:double"&gt;5.1150084&lt;/D&gt;&lt;D xsi:type="xsd:double"&gt;7.9470277&lt;/D&gt;&lt;D xsi:type="xsd:double"&gt;11.00986&lt;/D&gt;&lt;D xsi:type="xsd:double"&gt;-2.8543591&lt;/D&gt;&lt;D xsi:type="xsd:double"&gt;-7.1069775&lt;/D&gt;&lt;D xsi:type="xsd:double"&gt;-5.893487&lt;/D&gt;&lt;D xsi:type="xsd:double"&gt;-4.452753&lt;/D&gt;&lt;D xsi:type="xsd:double"&gt;-7.2158694&lt;/D&gt;&lt;D xsi:type="xsd:double"&gt;-2.132976&lt;/D&gt;&lt;D xsi:type="xsd:double"&gt;3.7108302&lt;/D&gt;&lt;D xsi:type="xsd:double"&gt;14.428032&lt;/D&gt;&lt;D xsi:type="xsd:double"&gt;-4.413092&lt;/D&gt;&lt;D xsi:type="xsd:double"&gt;16.959799&lt;/D&gt;&lt;D xsi:type="xsd:double"&gt;-14.3662815&lt;/D&gt;&lt;D xsi:type="xsd:double"&gt;-2.8264642&lt;/D&gt;&lt;D xsi:type="xsd:double"&gt;-12.339419&lt;/D&gt;&lt;D xsi:type="xsd:double"&gt;23.486305&lt;/D&gt;&lt;D xsi:type="xsd:double"&gt;-5.2779555&lt;/D&gt;&lt;D xsi:type="xsd:double"&gt;0.9231806&lt;/D&gt;&lt;D xsi:type="xsd:double"&gt;1.0127425&lt;/D&gt;&lt;D xsi:type="xsd:double"&gt;-8.243722&lt;/D&gt;&lt;D xsi:type="xsd:double"&gt;11.949921&lt;/D&gt;&lt;D xsi:type="xsd:double"&gt;-3.3209085&lt;/D&gt;&lt;D xsi:type="xsd:double"&gt;-7.8163385&lt;/D&gt;&lt;D xsi:type="xsd:double"&gt;11.634981&lt;/D&gt;&lt;D xsi:type="xsd:double"&gt;2.6907325&lt;/D&gt;&lt;D xsi:type="xsd:double"&gt;10.983849&lt;/D&gt;&lt;D xsi:type="xsd:double"&gt;-1.2553573&lt;/D&gt;&lt;D xsi:type="xsd:double"&gt;-5.0542593&lt;/D&gt;&lt;D xsi:type="xsd:double"&gt;5.355966&lt;/D&gt;&lt;D xsi:type="xsd:double"&gt;-6.2926173&lt;/D&gt;&lt;D xsi:type="xsd:double"&gt;11.147869&lt;/D&gt;&lt;D xsi:type="xsd:double"&gt;2.9464364&lt;/D&gt;&lt;D xsi:type="xsd:double"&gt;2.8655887&lt;/D&gt;&lt;D xsi:type="xsd:double"&gt;-4.48457&lt;/D&gt;&lt;D xsi:type="xsd:double"&gt;-2.164632&lt;/D&gt;&lt;D xsi:type="xsd:double"&gt;-3.9887846&lt;/D&gt;&lt;D xsi:type="xsd:double"&gt;2.6614785&lt;/D&gt;&lt;D xsi:type="xsd:double"&gt;-10.953784&lt;/D&gt;&lt;D xsi:type="xsd:double"&gt;6.8206787&lt;/D&gt;&lt;D xsi:type="xsd:double"&gt;3.3642292&lt;/D&gt;&lt;D xsi:type="xsd:double"&gt;-1.5277326&lt;/D&gt;&lt;D xsi:type="xsd:double"&gt;-4.2158546&lt;/D&gt;&lt;D xsi:type="xsd:double"&gt;-3.873241&lt;/D&gt;&lt;D xsi:type="xsd:double"&gt;-7.5091543&lt;/D&gt;&lt;D xsi:type="xsd:double"&gt;-1.5367866&lt;/D&gt;&lt;D xsi:type="xsd:double"&gt;10.891509&lt;/D&gt;&lt;D xsi:type="xsd:double"&gt;-2.0098627&lt;/D&gt;&lt;D xsi:type="xsd:double"&gt;-3.792566&lt;/D&gt;&lt;D xsi:type="xsd:double"&gt;12.670958&lt;/D&gt;&lt;D xsi:type="xsd:double"&gt;0.46411753&lt;/D&gt;&lt;D xsi:type="xsd:double"&gt;-0.60447454&lt;/D&gt;&lt;D xsi:type="xsd:double"&gt;2.6574492&lt;/D&gt;&lt;D xsi:type="xsd:double"&gt;8.19149&lt;/D&gt;&lt;D xsi:type="xsd:double"&gt;-3.900361&lt;/D&gt;&lt;D xsi:type="xsd:double"&gt;13.165081&lt;/D&gt;&lt;D xsi:type="xsd:double"&gt;1.2055516&lt;/D&gt;&lt;D xsi:type="xsd:double"&gt;2.913344&lt;/D&gt;&lt;/FQL&gt;&lt;FQL&gt;&lt;Q&gt;EIDO^FG_TOTAL_RETURNC(-5AY,0,AM)&lt;/Q&gt;&lt;R&gt;61&lt;/R&gt;&lt;C&gt;1&lt;/C&gt;&lt;D xsi:type="xsd:double"&gt;3.859198&lt;/D&gt;&lt;D xsi:type="xsd:double"&gt;-2.368313&lt;/D&gt;&lt;D xsi:type="xsd:double"&gt;-3.8895844999999998&lt;/D&gt;&lt;D xsi:type="xsd:double"&gt;-4.9173174&lt;/D&gt;&lt;D xsi:type="xsd:double"&gt;-0.32036304&lt;/D&gt;&lt;D xsi:type="xsd:double"&gt;0.6348252&lt;/D&gt;&lt;D xsi:type="xsd:double"&gt;-7.62167&lt;/D&gt;&lt;D xsi:type="xsd:double"&gt;3.1809092&lt;/D&gt;&lt;D xsi:type="xsd:double"&gt;4.1425824&lt;/D&gt;&lt;D xsi:type="xsd:double"&gt;14.199818&lt;/D&gt;&lt;D xsi:type="xsd:double"&gt;-4.293239&lt;/D&gt;&lt;D xsi:type="xsd:double"&gt;-1.5521348&lt;/D&gt;&lt;D xsi:type="xsd:double"&gt;2.42424&lt;/D&gt;&lt;D xsi:type="xsd:double"&gt;2.6627302&lt;/D&gt;&lt;D xsi:type="xsd:double"&gt;1.687932&lt;/D&gt;&lt;D xsi:type="xsd:double"&gt;-1.2145817&lt;/D&gt;&lt;D xsi:type="xsd:double"&gt;-4.5901594&lt;/D&gt;&lt;D xsi:type="xsd:double"&gt;-0.15773773&lt;/D&gt;&lt;D xsi:type="xsd:double"&gt;-5.6719007&lt;/D&gt;&lt;D xsi:type="xsd:double"&gt;10.684549&lt;/D&gt;&lt;D xsi:type="xsd:double"&gt;3.426659&lt;/D&gt;&lt;D xsi:type="xsd:double"&gt;-8.848488&lt;/D&gt;&lt;D xsi:type="xsd:double"&gt;3.5461068&lt;/D&gt;&lt;D xsi:type="xsd:double"&gt;-3.0982375&lt;/D&gt;&lt;D xsi:type="xsd:double"&gt;-0.40160418&lt;/D&gt;&lt;D xsi:type="xsd:double"&gt;4.838705&lt;/D&gt;&lt;D xsi:type="xsd:double"&gt;-7.6923075&lt;/D&gt;&lt;D xsi:type="xsd:double"&gt;11.990738&lt;/D&gt;&lt;D xsi:type="xsd:double"&gt;-1.6949117&lt;/D&gt;&lt;D xsi:type="xsd:double"&gt;0.656867&lt;/D&gt;&lt;D xsi:type="xsd:double"&gt;0.6823063&lt;/D&gt;&lt;D xsi:type="xsd:double"&gt;-2.6683629&lt;/D&gt;&lt;D xsi:type="xsd:double"&gt;-0.9138346&lt;/D&gt;&lt;D xsi:type="xsd:double"&gt;-4.5674143&lt;/D&gt;&lt;D xsi:type="xsd:double"&gt;-0.50620437&lt;/D&gt;&lt;D xsi:type="xsd:double"&gt;1.2950897&lt;/D&gt;&lt;D xsi:type="xsd:double"&gt;4.21474&lt;/D&gt;&lt;D xsi:type="xsd:double"&gt;0.9717345&lt;/D&gt;&lt;D xsi:type="xsd:double"&gt;-0.6561756&lt;/D&gt;&lt;D xsi:type="xsd:double"&gt;-5.416113&lt;/D&gt;&lt;D xsi:type="xsd:double"&gt;-2.8398454&lt;/D&gt;&lt;D xsi:type="xsd:double"&gt;-9.479273&lt;/D&gt;&lt;D xsi:type="xsd:double"&gt;10.465754&lt;/D&gt;&lt;D xsi:type="xsd:double"&gt;4.9603224&lt;/D&gt;&lt;D xsi:type="xsd:double"&gt;5.5292964&lt;/D&gt;&lt;D xsi:type="xsd:double"&gt;-0.9852171&lt;/D&gt;&lt;D xsi:type="xsd:double"&gt;-9.678883&lt;/D&gt;&lt;D xsi:type="xsd:double"&gt;-0.55081844&lt;/D&gt;&lt;D xsi:type="xsd:double"&gt;-5.387032&lt;/D&gt;&lt;D xsi:type="xsd:double"&gt;-4.4864836&lt;/D&gt;&lt;D xsi:type="xsd:double"&gt;-6.22524&lt;/D&gt;&lt;D xsi:type="xsd:double"&gt;-2.595055&lt;/D&gt;&lt;D xsi:type="xsd:double"&gt;13.197029&lt;/D&gt;&lt;D xsi:type="xsd:double"&gt;1.9157052&lt;/D&gt;&lt;D xsi:type="xsd:double"&gt;-2.2723794&lt;/D&gt;&lt;D xsi:type="xsd:double"&gt;4.401815&lt;/D&gt;&lt;D xsi:type="xsd:double"&gt;-2.918923&lt;/D&gt;&lt;D xsi:type="xsd:double"&gt;-4.175949&lt;/D&gt;&lt;D xsi:type="xsd:double"&gt;6.7983747&lt;/D&gt;&lt;D xsi:type="xsd:double"&gt;2.6115417&lt;/D&gt;&lt;D xsi:type="xsd:double"&gt;2.896762&lt;/D&gt;&lt;/FQL&gt;&lt;FQL&gt;&lt;Q&gt;EWQ^FG_PRICE(0,-200D)&lt;/Q&gt;&lt;R&gt;201&lt;/R&gt;&lt;C&gt;1&lt;/C&gt;&lt;D xsi:type="xsd:double"&gt;45.4&lt;/D&gt;&lt;D xsi:type="xsd:double"&gt;45.87&lt;/D&gt;&lt;D xsi:type="xsd:double"&gt;45.96&lt;/D&gt;&lt;D xsi:type="xsd:double"&gt;46.1&lt;/D&gt;&lt;D xsi:type="xsd:double"&gt;45.88&lt;/D&gt;&lt;D xsi:type="xsd:double"&gt;45.46&lt;/D&gt;&lt;D xsi:type="xsd:double"&gt;45.4&lt;/D&gt;&lt;D xsi:type="xsd:double"&gt;45.6&lt;/D&gt;&lt;D xsi:type="xsd:double"&gt;45.42&lt;/D&gt;&lt;D xsi:type="xsd:double"&gt;45.31&lt;/D&gt;&lt;D xsi:type="xsd:double"&gt;44.99&lt;/D&gt;&lt;D xsi:type="xsd:double"&gt;45.14&lt;/D&gt;&lt;D xsi:type="xsd:double"&gt;44.99&lt;/D&gt;&lt;D xsi:type="xsd:double"&gt;45.18&lt;/D&gt;&lt;D xsi:type="xsd:double"&gt;44.98&lt;/D&gt;&lt;D xsi:type="xsd:double"&gt;44.9&lt;/D&gt;&lt;D xsi:type="xsd:double"&gt;44.96&lt;/D&gt;&lt;D xsi:type="xsd:double"&gt;44.91&lt;/D&gt;&lt;D xsi:type="xsd:double"&gt;44.8&lt;/D&gt;&lt;D xsi:type="xsd:double"&gt;44.62&lt;/D&gt;&lt;D xsi:type="xsd:double"&gt;44.94&lt;/D&gt;&lt;D xsi:type="xsd:double"&gt;45.18&lt;/D&gt;&lt;D xsi:type="xsd:double"&gt;44.88&lt;/D&gt;&lt;D xsi:type="xsd:double"&gt;45&lt;/D&gt;&lt;D xsi:type="xsd:double"&gt;44.58&lt;/D&gt;&lt;D xsi:type="xsd:double"&gt;44.21&lt;/D&gt;&lt;D xsi:type="xsd:double"&gt;44.65&lt;/D&gt;&lt;D xsi:type="xsd:double"&gt;44.62&lt;/D&gt;&lt;D xsi:type="xsd:double"&gt;44.75&lt;/D&gt;&lt;D xsi:type="xsd:double"&gt;44.79&lt;/D&gt;&lt;D xsi:type="xsd:double"&gt;44.44&lt;/D&gt;&lt;D xsi:type="xsd:double"&gt;44.41&lt;/D&gt;&lt;D xsi:type="xsd:double"&gt;44.57&lt;/D&gt;&lt;D xsi:type="xsd:double"&gt;44.43&lt;/D&gt;&lt;D xsi:type="xsd:double"&gt;44.06&lt;/D&gt;&lt;D xsi:type="xsd:double"&gt;43.33&lt;/D&gt;&lt;D xsi:type="xsd:double"&gt;43.69&lt;/D&gt;&lt;D xsi:type="xsd:double"&gt;42.99&lt;/D&gt;&lt;D xsi:type="xsd:double"&gt;43.44&lt;/D&gt;&lt;D xsi:type="xsd:double"&gt;43.63&lt;/D&gt;&lt;D xsi:type="xsd:double"&gt;44.2&lt;/D&gt;&lt;D xsi:type="xsd:double"&gt;44.84&lt;/D&gt;&lt;D xsi:type="xsd:double"&gt;45.04&lt;/D&gt;&lt;D xsi:type="xsd:double"&gt;45.14&lt;/D&gt;&lt;D xsi:type="xsd:double"&gt;44.71&lt;/D&gt;&lt;D xsi:type="xsd:double"&gt;44.19&lt;/D&gt;&lt;D xsi:type="xsd:double"&gt;43.78&lt;/D&gt;&lt;D xsi:type="xsd:double"&gt;43.42&lt;/D&gt;&lt;D xsi:type="xsd:double"&gt;43.88&lt;/D&gt;&lt;D xsi:type="xsd:double"&gt;43.63&lt;/D&gt;&lt;D xsi:type="xsd:double"&gt;44.07&lt;/D&gt;&lt;D xsi:type="xsd:double"&gt;44.28&lt;/D&gt;&lt;D xsi:type="xsd:double"&gt;44.44&lt;/D&gt;&lt;D xsi:type="xsd:double"&gt;44.86&lt;/D&gt;&lt;D xsi:type="xsd:double"&gt;45.14&lt;/D&gt;&lt;D xsi:type="xsd:double"&gt;45.33&lt;/D&gt;&lt;D xsi:type="xsd:double"&gt;45.11&lt;/D&gt;&lt;D xsi:type="xsd:double"&gt;45.27&lt;/D&gt;&lt;D xsi:type="xsd:double"&gt;44.91&lt;/D&gt;&lt;D xsi:type="xsd:double"&gt;44.98&lt;/D&gt;&lt;D xsi:type="xsd:double"&gt;45.2&lt;/D&gt;&lt;D xsi:type="xsd:double"&gt;45.23&lt;/D&gt;&lt;D xsi:type="xsd:double"&gt;45.15&lt;/D&gt;&lt;D xsi:type="xsd:double"&gt;44.42&lt;/D&gt;&lt;D xsi:type="xsd:double"&gt;44.13&lt;/D&gt;&lt;D xsi:type="xsd:double"&gt;43.35&lt;/D&gt;&lt;D xsi:type="xsd:double"&gt;43.29&lt;/D&gt;&lt;D xsi:type="xsd:double"&gt;43.89&lt;/D&gt;&lt;D xsi:type="xsd:double"&gt;44.3&lt;/D&gt;&lt;D xsi:type="xsd:double"&gt;43.79&lt;/D&gt;&lt;D xsi:type="xsd:double"&gt;44.19&lt;/D&gt;&lt;D xsi:type="xsd:double"&gt;44.91&lt;/D&gt;&lt;D xsi:type="xsd:double"&gt;44.77&lt;/D&gt;&lt;D xsi:type="xsd:double"&gt;44.49&lt;/D&gt;&lt;D xsi:type="xsd:double"&gt;43.93&lt;/D&gt;&lt;D xsi:type="xsd:double"&gt;43.78&lt;/D&gt;&lt;D xsi:type="xsd:double"&gt;43.59&lt;/D&gt;&lt;D xsi:type="xsd:double"&gt;43.05&lt;/D&gt;&lt;D xsi:type="xsd:double"&gt;43.41&lt;/D&gt;&lt;D xsi:type="xsd:double"&gt;43.89&lt;/D&gt;&lt;D xsi:type="xsd:double"&gt;43.78&lt;/D&gt;&lt;D xsi:type="xsd:double"&gt;43.68&lt;/D&gt;&lt;D xsi:type="xsd:double"&gt;43.84&lt;/D&gt;&lt;D xsi:type="xsd:double"&gt;43.53&lt;/D&gt;&lt;D xsi:type="xsd:double"&gt;43.82&lt;/D&gt;&lt;D xsi:type="xsd:double"&gt;43.89&lt;/D&gt;&lt;D xsi:type="xsd:double"&gt;43.49&lt;/D&gt;&lt;D xsi:type="xsd:double"&gt;43.53&lt;/D&gt;&lt;D xsi:type="xsd:double"&gt;42.9&lt;/D&gt;&lt;D xsi:type="xsd:double"&gt;43.06&lt;/D&gt;&lt;D xsi:type="xsd:double"&gt;42.99&lt;/D&gt;&lt;D xsi:type="xsd:double"&gt;42.56&lt;/D&gt;&lt;D xsi:type="xsd:double"&gt;42.56&lt;/D&gt;&lt;D xsi:type="xsd:double"&gt;42.54&lt;/D&gt;&lt;D xsi:type="xsd:double"&gt;42.29&lt;/D&gt;&lt;D xsi:type="xsd:double"&gt;42.59&lt;/D&gt;&lt;D xsi:type="xsd:double"&gt;42.9&lt;/D&gt;&lt;D xsi:type="xsd:double"&gt;42.56&lt;/D&gt;&lt;D xsi:type="xsd:double"&gt;42.58&lt;/D&gt;&lt;D xsi:type="xsd:double"&gt;42.96&lt;/D&gt;&lt;D xsi:type="xsd:double"&gt;44.18&lt;/D&gt;&lt;D xsi:type="xsd:double"&gt;43.55&lt;/D&gt;&lt;D xsi:type="xsd:double"&gt;43.97&lt;/D&gt;&lt;D xsi:type="xsd:double"&gt;43.82&lt;/D&gt;&lt;D xsi:type="xsd:double"&gt;43.55&lt;/D&gt;&lt;D xsi:type="xsd:double"&gt;43.89&lt;/D&gt;&lt;D xsi:type="xsd:double"&gt;43.5&lt;/D&gt;&lt;D xsi:type="xsd:double"&gt;43.31&lt;/D&gt;&lt;D xsi:type="xsd:double"&gt;42.89&lt;/D&gt;&lt;D xsi:type="xsd:double"&gt;42.35&lt;/D&gt;&lt;D xsi:type="xsd:double"&gt;42.68&lt;/D&gt;&lt;D xsi:type="xsd:double"&gt;42.49&lt;/D&gt;&lt;D xsi:type="xsd:double"&gt;42.02&lt;/D&gt;&lt;D xsi:type="xsd:double"&gt;41.83&lt;/D&gt;&lt;D xsi:type="xsd:double"&gt;41.86&lt;/D&gt;&lt;D xsi:type="xsd:double"&gt;41.43&lt;/D&gt;&lt;D xsi:type="xsd:double"&gt;41.94&lt;/D&gt;&lt;D xsi:type="xsd:double"&gt;42.47&lt;/D&gt;&lt;D xsi:type="xsd:double"&gt;42.91&lt;/D&gt;&lt;D xsi:type="xsd:double"&gt;42.8&lt;/D&gt;&lt;D xsi:type="xsd:double"&gt;43.72&lt;/D&gt;&lt;D xsi:type="xsd:double"&gt;43.4&lt;/D&gt;&lt;D xsi:type="xsd:double"&gt;44.4&lt;/D&gt;&lt;D xsi:type="xsd:double"&gt;43.16&lt;/D&gt;&lt;D xsi:type="xsd:double"&gt;43.03&lt;/D&gt;&lt;D xsi:type="xsd:double"&gt;42.92&lt;/D&gt;&lt;D xsi:type="xsd:double"&gt;42.98&lt;/D&gt;&lt;D xsi:type="xsd:double"&gt;42.74&lt;/D&gt;&lt;D xsi:type="xsd:double"&gt;42.56&lt;/D&gt;&lt;D xsi:type="xsd:double"&gt;43.12&lt;/D&gt;&lt;D xsi:type="xsd:double"&gt;43.28&lt;/D&gt;&lt;D xsi:type="xsd:double"&gt;43.75&lt;/D&gt;&lt;D xsi:type="xsd:double"&gt;43.84&lt;/D&gt;&lt;D </t>
        </r>
      </text>
    </comment>
    <comment ref="A8" authorId="0" shapeId="0" xr:uid="{970898BA-C111-4BAB-BC6E-BEA6FE0B9CAF}">
      <text>
        <r>
          <rPr>
            <b/>
            <sz val="9"/>
            <color indexed="81"/>
            <rFont val="Tahoma"/>
            <charset val="1"/>
          </rPr>
          <t>xsi:type="xsd:double"&gt;43.27&lt;/D&gt;&lt;D xsi:type="xsd:double"&gt;42.68&lt;/D&gt;&lt;D xsi:type="xsd:double"&gt;43.08&lt;/D&gt;&lt;D xsi:type="xsd:double"&gt;43.27&lt;/D&gt;&lt;D xsi:type="xsd:double"&gt;42.87&lt;/D&gt;&lt;D xsi:type="xsd:double"&gt;42.8&lt;/D&gt;&lt;D xsi:type="xsd:double"&gt;42.61&lt;/D&gt;&lt;D xsi:type="xsd:double"&gt;42.14&lt;/D&gt;&lt;D xsi:type="xsd:double"&gt;41.89&lt;/D&gt;&lt;D xsi:type="xsd:double"&gt;42.04&lt;/D&gt;&lt;D xsi:type="xsd:double"&gt;41.57&lt;/D&gt;&lt;D xsi:type="xsd:double"&gt;41.29&lt;/D&gt;&lt;D xsi:type="xsd:double"&gt;41.67&lt;/D&gt;&lt;D xsi:type="xsd:double"&gt;41.74&lt;/D&gt;&lt;D xsi:type="xsd:double"&gt;42.21&lt;/D&gt;&lt;D xsi:type="xsd:double"&gt;42.83&lt;/D&gt;&lt;D xsi:type="xsd:double"&gt;43.57&lt;/D&gt;&lt;D xsi:type="xsd:double"&gt;43.11&lt;/D&gt;&lt;D xsi:type="xsd:double"&gt;43.21&lt;/D&gt;&lt;D xsi:type="xsd:double"&gt;43.08&lt;/D&gt;&lt;D xsi:type="xsd:double"&gt;43.04&lt;/D&gt;&lt;D xsi:type="xsd:double"&gt;43.04&lt;/D&gt;&lt;D xsi:type="xsd:double"&gt;43.08&lt;/D&gt;&lt;D xsi:type="xsd:double"&gt;42.84&lt;/D&gt;&lt;D xsi:type="xsd:double"&gt;43.14&lt;/D&gt;&lt;D xsi:type="xsd:double"&gt;42.49&lt;/D&gt;&lt;D xsi:type="xsd:double"&gt;42.76&lt;/D&gt;&lt;D xsi:type="xsd:double"&gt;42.47&lt;/D&gt;&lt;D xsi:type="xsd:double"&gt;42.92&lt;/D&gt;&lt;D xsi:type="xsd:double"&gt;42.4&lt;/D&gt;&lt;D xsi:type="xsd:double"&gt;42.65&lt;/D&gt;&lt;D xsi:type="xsd:double"&gt;42.71&lt;/D&gt;&lt;D xsi:type="xsd:double"&gt;43.1&lt;/D&gt;&lt;D xsi:type="xsd:double"&gt;42.73&lt;/D&gt;&lt;D xsi:type="xsd:double"&gt;42.25&lt;/D&gt;&lt;D xsi:type="xsd:double"&gt;42.09&lt;/D&gt;&lt;D xsi:type="xsd:double"&gt;41.88&lt;/D&gt;&lt;D xsi:type="xsd:double"&gt;42.1&lt;/D&gt;&lt;D xsi:type="xsd:double"&gt;41.81&lt;/D&gt;&lt;D xsi:type="xsd:double"&gt;41.68&lt;/D&gt;&lt;D xsi:type="xsd:double"&gt;41.32&lt;/D&gt;&lt;D xsi:type="xsd:double"&gt;41.32&lt;/D&gt;&lt;D xsi:type="xsd:double"&gt;41.62&lt;/D&gt;&lt;D xsi:type="xsd:double"&gt;41.84&lt;/D&gt;&lt;D xsi:type="xsd:double"&gt;41.86&lt;/D&gt;&lt;D xsi:type="xsd:double"&gt;41.07&lt;/D&gt;&lt;D xsi:type="xsd:double"&gt;41.04&lt;/D&gt;&lt;D xsi:type="xsd:double"&gt;40.94&lt;/D&gt;&lt;D xsi:type="xsd:double"&gt;41.04&lt;/D&gt;&lt;D xsi:type="xsd:double"&gt;40.95&lt;/D&gt;&lt;D xsi:type="xsd:double"&gt;40.72&lt;/D&gt;&lt;D xsi:type="xsd:double"&gt;40.12&lt;/D&gt;&lt;D xsi:type="xsd:double"&gt;39.84&lt;/D&gt;&lt;D xsi:type="xsd:double"&gt;38.97&lt;/D&gt;&lt;D xsi:type="xsd:double"&gt;39.22&lt;/D&gt;&lt;D xsi:type="xsd:double"&gt;38.96&lt;/D&gt;&lt;D xsi:type="xsd:double"&gt;39&lt;/D&gt;&lt;D xsi:type="xsd:double"&gt;38.85&lt;/D&gt;&lt;D xsi:type="xsd:double"&gt;38.97&lt;/D&gt;&lt;D xsi:type="xsd:double"&gt;37.99&lt;/D&gt;&lt;D xsi:type="xsd:double"&gt;38.61&lt;/D&gt;&lt;D xsi:type="xsd:double"&gt;35.65&lt;/D&gt;&lt;D xsi:type="xsd:double"&gt;35.97&lt;/D&gt;&lt;D xsi:type="xsd:double"&gt;37.21&lt;/D&gt;&lt;D xsi:type="xsd:double"&gt;39.48&lt;/D&gt;&lt;D xsi:type="xsd:double"&gt;40.18&lt;/D&gt;&lt;D xsi:type="xsd:double"&gt;40.05&lt;/D&gt;&lt;D xsi:type="xsd:double"&gt;39.8&lt;/D&gt;&lt;/FQL&gt;&lt;FQL&gt;&lt;Q&gt;EWA^FG_PRICE(0,-200D)&lt;/Q&gt;&lt;R&gt;201&lt;/R&gt;&lt;C&gt;1&lt;/C&gt;&lt;D xsi:type="xsd:double"&gt;26.65&lt;/D&gt;&lt;D xsi:type="xsd:double"&gt;26.54&lt;/D&gt;&lt;D xsi:type="xsd:double"&gt;26.41&lt;/D&gt;&lt;D xsi:type="xsd:double"&gt;26.45&lt;/D&gt;&lt;D xsi:type="xsd:double"&gt;26.26&lt;/D&gt;&lt;D xsi:type="xsd:double"&gt;26.37&lt;/D&gt;&lt;D xsi:type="xsd:double"&gt;26.27&lt;/D&gt;&lt;D xsi:type="xsd:double"&gt;26.49&lt;/D&gt;&lt;D xsi:type="xsd:double"&gt;26.61&lt;/D&gt;&lt;D xsi:type="xsd:double"&gt;26.47&lt;/D&gt;&lt;D xsi:type="xsd:double"&gt;26.19&lt;/D&gt;&lt;D xsi:type="xsd:double"&gt;26.41&lt;/D&gt;&lt;D xsi:type="xsd:double"&gt;26.48&lt;/D&gt;&lt;D xsi:type="xsd:double"&gt;26.68&lt;/D&gt;&lt;D xsi:type="xsd:double"&gt;26.6&lt;/D&gt;&lt;D xsi:type="xsd:double"&gt;26.61&lt;/D&gt;&lt;D xsi:type="xsd:double"&gt;26.15&lt;/D&gt;&lt;D xsi:type="xsd:double"&gt;25.88&lt;/D&gt;&lt;D xsi:type="xsd:double"&gt;25.81&lt;/D&gt;&lt;D xsi:type="xsd:double"&gt;25.58&lt;/D&gt;&lt;D xsi:type="xsd:double"&gt;25.82&lt;/D&gt;&lt;D xsi:type="xsd:double"&gt;26.42&lt;/D&gt;&lt;D xsi:type="xsd:double"&gt;26.52&lt;/D&gt;&lt;D xsi:type="xsd:double"&gt;26.64&lt;/D&gt;&lt;D xsi:type="xsd:double"&gt;26.65&lt;/D&gt;&lt;D xsi:type="xsd:double"&gt;26.35&lt;/D&gt;&lt;D xsi:type="xsd:double"&gt;26.24&lt;/D&gt;&lt;D xsi:type="xsd:double"&gt;26.34&lt;/D&gt;&lt;D xsi:type="xsd:double"&gt;26.29&lt;/D&gt;&lt;D xsi:type="xsd:double"&gt;26.13&lt;/D&gt;&lt;D xsi:type="xsd:double"&gt;25.93&lt;/D&gt;&lt;D xsi:type="xsd:double"&gt;25.73&lt;/D&gt;&lt;D xsi:type="xsd:double"&gt;25.85&lt;/D&gt;&lt;D xsi:type="xsd:double"&gt;25.82&lt;/D&gt;&lt;D xsi:type="xsd:double"&gt;25.62&lt;/D&gt;&lt;D xsi:type="xsd:double"&gt;25.44&lt;/D&gt;&lt;D xsi:type="xsd:double"&gt;25.33&lt;/D&gt;&lt;D xsi:type="xsd:double"&gt;24.95&lt;/D&gt;&lt;D xsi:type="xsd:double"&gt;25.3&lt;/D&gt;&lt;D xsi:type="xsd:double"&gt;25.4&lt;/D&gt;&lt;D xsi:type="xsd:double"&gt;25.64&lt;/D&gt;&lt;D xsi:type="xsd:double"&gt;25.95&lt;/D&gt;&lt;D xsi:type="xsd:double"&gt;25.94&lt;/D&gt;&lt;D xsi:type="xsd:double"&gt;26.58&lt;/D&gt;&lt;D xsi:type="xsd:double"&gt;26.63&lt;/D&gt;&lt;D xsi:type="xsd:double"&gt;26.81&lt;/D&gt;&lt;D xsi:type="xsd:double"&gt;26.44&lt;/D&gt;&lt;D xsi:type="xsd:double"&gt;26.46&lt;/D&gt;&lt;D xsi:type="xsd:double"&gt;26.67&lt;/D&gt;&lt;D xsi:type="xsd:double"&gt;26.41&lt;/D&gt;&lt;D xsi:type="xsd:double"&gt;26.84&lt;/D&gt;&lt;D xsi:type="xsd:double"&gt;26.77&lt;/D&gt;&lt;D xsi:type="xsd:double"&gt;26.89&lt;/D&gt;&lt;D xsi:type="xsd:double"&gt;27&lt;/D&gt;&lt;D xsi:type="xsd:double"&gt;27.52&lt;/D&gt;&lt;D xsi:type="xsd:double"&gt;27.37&lt;/D&gt;&lt;D xsi:type="xsd:double"&gt;27.18&lt;/D&gt;&lt;D xsi:type="xsd:double"&gt;27.19&lt;/D&gt;&lt;D xsi:type="xsd:double"&gt;27.07&lt;/D&gt;&lt;D xsi:type="xsd:double"&gt;27.11&lt;/D&gt;&lt;D xsi:type="xsd:double"&gt;27.26&lt;/D&gt;&lt;D xsi:type="xsd:double"&gt;26.92&lt;/D&gt;&lt;D xsi:type="xsd:double"&gt;26.97&lt;/D&gt;&lt;D xsi:type="xsd:double"&gt;26.89&lt;/D&gt;&lt;D xsi:type="xsd:double"&gt;26.7&lt;/D&gt;&lt;D xsi:type="xsd:double"&gt;26.66&lt;/D&gt;&lt;D xsi:type="xsd:double"&gt;26.44&lt;/D&gt;&lt;D xsi:type="xsd:double"&gt;26.92&lt;/D&gt;&lt;D xsi:type="xsd:double"&gt;27.23&lt;/D&gt;&lt;D xsi:type="xsd:double"&gt;27.14&lt;/D&gt;&lt;D xsi:type="xsd:double"&gt;27.36&lt;/D&gt;&lt;D xsi:type="xsd:double"&gt;27.43&lt;/D&gt;&lt;D xsi:type="xsd:double"&gt;27.18&lt;/D&gt;&lt;D xsi:type="xsd:double"&gt;27.15&lt;/D&gt;&lt;D xsi:type="xsd:double"&gt;27&lt;/D&gt;&lt;D xsi:type="xsd:double"&gt;26.98&lt;/D&gt;&lt;D xsi:type="xsd:double"&gt;26.67&lt;/D&gt;&lt;D xsi:type="xsd:double"&gt;26.47&lt;/D&gt;&lt;D xsi:type="xsd:double"&gt;26.47&lt;/D&gt;&lt;D xsi:type="xsd:double"&gt;26.87&lt;/D&gt;&lt;D xsi:type="xsd:double"&gt;26.92&lt;/D&gt;&lt;D xsi:type="xsd:double"&gt;26.89&lt;/D&gt;&lt;D xsi:type="xsd:double"&gt;26.89&lt;/D&gt;&lt;D xsi:type="xsd:double"&gt;27.14&lt;/D&gt;&lt;D xsi:type="xsd:double"&gt;27.38&lt;/D&gt;&lt;D xsi:type="xsd:double"&gt;27.57&lt;/D&gt;&lt;D xsi:type="xsd:double"&gt;27.24&lt;/D&gt;&lt;D xsi:type="xsd:double"&gt;27.41&lt;/D&gt;&lt;D xsi:type="xsd:double"&gt;27.11&lt;/D&gt;&lt;D xsi:type="xsd:double"&gt;26.89&lt;/D&gt;&lt;D xsi:type="xsd:double"&gt;27&lt;/D&gt;&lt;D xsi:type="xsd:double"&gt;26.93&lt;/D&gt;&lt;D xsi:type="xsd:double"&gt;26.9&lt;/D&gt;&lt;D xsi:type="xsd:double"&gt;26.6&lt;/D&gt;&lt;D xsi:type="xsd:double"&gt;26.77&lt;/D&gt;&lt;D xsi:type="xsd:double"&gt;27.08&lt;/D&gt;&lt;D xsi:type="xsd:double"&gt;27.09&lt;/D&gt;&lt;D xsi:type="xsd:double"&gt;27&lt;/D&gt;&lt;D xsi:type="xsd:double"&gt;26.97&lt;/D&gt;&lt;D xsi:type="xsd:double"&gt;26.83&lt;/D&gt;&lt;D xsi:type="xsd:double"&gt;27.26&lt;/D&gt;&lt;D xsi:type="xsd:double"&gt;26.86&lt;/D&gt;&lt;D xsi:type="xsd:double"&gt;26.7&lt;/D&gt;&lt;D xsi:type="xsd:double"&gt;26.61&lt;/D&gt;&lt;D xsi:type="xsd:double"&gt;26.84&lt;/D&gt;&lt;D xsi:type="xsd:double"&gt;26.83&lt;/D&gt;&lt;D xsi:type="xsd:double"&gt;26.74&lt;/D&gt;&lt;D xsi:type="xsd:double"&gt;26.91&lt;/D&gt;&lt;D xsi:type="xsd:double"&gt;26.96&lt;/D&gt;&lt;D xsi:type="xsd:double"&gt;26.65&lt;/D&gt;&lt;D xsi:type="xsd:double"&gt;26.63&lt;/D&gt;&lt;D xsi:type="xsd:double"&gt;26.6&lt;/D&gt;&lt;D xsi:type="xsd:double"&gt;26.66&lt;/D&gt;&lt;D xsi:type="xsd:double"&gt;26.41&lt;/D&gt;&lt;D xsi:type="xsd:double"&gt;26.28&lt;/D&gt;&lt;D xsi:type="xsd:double"&gt;25.91&lt;/D&gt;&lt;D xsi:type="xsd:double"&gt;26.02&lt;/D&gt;&lt;D xsi:type="xsd:double"&gt;26.15&lt;/D&gt;&lt;D xsi:type="xsd:double"&gt;26.37&lt;/D&gt;&lt;D xsi:type="xsd:double"&gt;26.22&lt;/D&gt;&lt;D xsi:type="xsd:double"&gt;26.48&lt;/D&gt;&lt;D xsi:type="xsd:double"&gt;26.58&lt;/D&gt;&lt;D xsi:type="xsd:double"&gt;26.82&lt;/D&gt;&lt;D xsi:type="xsd:double"&gt;26.55&lt;/D&gt;&lt;D xsi:type="xsd:double"&gt;26.37&lt;/D&gt;&lt;D xsi:type="xsd:double"&gt;26.45&lt;/D&gt;&lt;D xsi:type="xsd:double"&gt;26.28&lt;/D&gt;&lt;D xsi:type="xsd:double"&gt;26.19&lt;/D&gt;&lt;D xsi:type="xsd:double"&gt;26.07&lt;/D&gt;&lt;D xsi:type="xsd:double"&gt;26.39&lt;/D&gt;&lt;D xsi:type="xsd:double"&gt;26.36&lt;/D&gt;&lt;D xsi:type="xsd:double"&gt;26.58&lt;/D&gt;&lt;D xsi:type="xsd:double"&gt;26.24&lt;/D&gt;&lt;D xsi:type="xsd:double"&gt;26.14&lt;/D&gt;&lt;D xsi:type="xsd:double"&gt;25.98&lt;/D&gt;&lt;D xsi:type="xsd:double"&gt;26.48&lt;/D&gt;&lt;D xsi:type="xsd:double"&gt;26.54&lt;/D&gt;&lt;D xsi:type="xsd:double"&gt;26.35&lt;/D&gt;&lt;D xsi:type="xsd:double"&gt;26.32&lt;/D&gt;&lt;D xsi:type="xsd:double"&gt;26.09&lt;/D&gt;&lt;D xsi:type="xsd:double"&gt;26.43&lt;/D&gt;&lt;D xsi:type="xsd:double"&gt;26.03&lt;/D&gt;&lt;D xsi:type="xsd:double"&gt;26.05&lt;/D&gt;&lt;D xsi:type="xsd:double"&gt;25.79&lt;/D&gt;&lt;D xsi:type="xsd:double"&gt;25.55&lt;/D&gt;&lt;D xsi:type="xsd:double"&gt;25.86&lt;/D&gt;&lt;D xsi:type="xsd:double"&gt;25.77&lt;/D&gt;&lt;D xsi:type="xsd:double"&gt;26.09&lt;/D&gt;&lt;D xsi:type="xsd:double"&gt;26.32&lt;/D&gt;&lt;D xsi:type="xsd:double"&gt;26.64&lt;/D&gt;&lt;D xsi:type="xsd:double"&gt;26.6&lt;/D&gt;&lt;D xsi:type="xsd:double"&gt;26.71&lt;/D&gt;&lt;D xsi:type="xsd:double"&gt;26.44&lt;/D&gt;&lt;D xsi:type="xsd:double"&gt;26.37&lt;/D&gt;&lt;D xsi:type="xsd:double"&gt;26.36&lt;/D&gt;&lt;D xsi:type="xsd:double"&gt;26.33&lt;/D&gt;&lt;D xsi:type="xsd:double"&gt;26.07&lt;/D&gt;&lt;D xsi:type="xsd:double"&gt;26.15&lt;/D&gt;&lt;D xsi:type="xsd:double"&gt;25.81&lt;/D&gt;&lt;D xsi:type="xsd:double"&gt;25.64&lt;/D&gt;&lt;D xsi:type="xsd:double"&gt;25.56&lt;/D&gt;&lt;D xsi:type="xsd:double"&gt;25.87&lt;/D&gt;&lt;D xsi:type="xsd:double"&gt;25.65&lt;/D&gt;&lt;D xsi:type="xsd:double"&gt;25.41&lt;/D&gt;&lt;D xsi:type="xsd:double"&gt;25.41&lt;/D&gt;&lt;D xsi:type="xsd:double"&gt;25.63&lt;/D&gt;&lt;D xsi:type="xsd:double"&gt;25.63&lt;/D&gt;&lt;D xsi:type="xsd:double"&gt;25.47&lt;/D&gt;&lt;D xsi:type="xsd:double"&gt;25.55&lt;/D&gt;&lt;D xsi:type="xsd:double"&gt;25.16&lt;/D&gt;&lt;D xsi:type="xsd:double"&gt;25.42&lt;/D&gt;&lt;D xsi:type="xsd:double"&gt;25.18&lt;/D&gt;&lt;D xsi:type="xsd:double"&gt;25.01&lt;/D&gt;&lt;D xsi:type="xsd:double"&gt;24.83&lt;/D&gt;&lt;D xsi:type="xsd:double"&gt;24.89&lt;/D&gt;&lt;D xsi:type="xsd:double"&gt;25.05&lt;/D&gt;&lt;D xsi:type="xsd:double"&gt;24.99&lt;/D&gt;&lt;D xsi:type="xsd:double"&gt;25.31&lt;/D&gt;&lt;D xsi:type="xsd:double"&gt;24.65&lt;/D&gt;&lt;D xsi:type="xsd:double"&gt;24.67&lt;/D&gt;&lt;D xsi:type="xsd:double"&gt;24.55&lt;/D&gt;&lt;D xsi:type="xsd:double"&gt;24.52&lt;/D&gt;&lt;D xsi:type="xsd:double"&gt;24.51&lt;/D&gt;&lt;D xsi:type="xsd:double"&gt;24.51&lt;/D&gt;&lt;D xsi:type="xsd:double"&gt;24&lt;/D&gt;&lt;D xsi:type="xsd:double"&gt;23.96&lt;/D&gt;&lt;D xsi:type="xsd:double"&gt;23.48&lt;/D&gt;&lt;D xsi:type="xsd:double"&gt;23.61&lt;/D&gt;&lt;D xsi:type="xsd:double"&gt;23.42&lt;/D&gt;&lt;D xsi:type="xsd:double"&gt;23.36&lt;/D&gt;&lt;D xsi:type="xsd:double"&gt;23.29&lt;/D&gt;&lt;D xsi:type="xsd:double"&gt;22.77&lt;/D&gt;&lt;D xsi:type="xsd:double"&gt;22.35&lt;/D&gt;&lt;D xsi:type="xsd:double"&gt;22.81&lt;/D&gt;&lt;D xsi:type="xsd:double"&gt;20.82&lt;/D&gt;&lt;D xsi:type="xsd:double"&gt;20.85&lt;/D&gt;&lt;D xsi:type="xsd:double"&gt;21.15&lt;/D&gt;&lt;D xsi:type="xsd:double"&gt;23.25&lt;/D&gt;&lt;D xsi:type="xsd:double"&gt;23.89&lt;/D&gt;&lt;D xsi:type="xsd:double"&gt;23.71&lt;/D&gt;&lt;D xsi:type="xsd:double"&gt;23.44&lt;/D&gt;&lt;/FQL&gt;&lt;FQL&gt;&lt;Q&gt;MCHI^FG_PRICE(0,-200D)&lt;/Q&gt;&lt;R&gt;201&lt;/R&gt;&lt;C&gt;1&lt;/C&gt;&lt;D xsi:type="xsd:double"&gt;63.59&lt;/D&gt;&lt;D xsi:type="xsd:double"&gt;63.55&lt;/D&gt;&lt;D xsi:type="xsd:double"&gt;63.52&lt;/D&gt;&lt;D xsi:type="xsd:double"&gt;64.26&lt;/D&gt;&lt;D xsi:type="xsd:double"&gt;62.22&lt;/D&gt;&lt;D xsi:type="xsd:double"&gt;62.28&lt;/D&gt;&lt;D xsi:type="xsd:double"&gt;61.88&lt;/D&gt;&lt;D xsi:type="xsd:double"&gt;62.71&lt;/D&gt;&lt;D xsi:type="xsd:double"&gt;62.67&lt;/D&gt;&lt;D xsi:type="xsd:double"&gt;62.24&lt;/D&gt;&lt;D xsi:type="xsd:double"&gt;60.07&lt;/D&gt;&lt;D xsi:type="xsd:double"&gt;60.58&lt;/D&gt;&lt;D xsi:type="xsd:double"&gt;60.37&lt;/D&gt;&lt;D xsi:type="xsd:double"&gt;61.27&lt;/D&gt;&lt;D xsi:type="xsd:double"&gt;60.61&lt;/D&gt;&lt;D xsi:type="xsd:double"&gt;60.67&lt;/D&gt;&lt;D xsi:type="xsd:double"&gt;60.89&lt;/D&gt;&lt;D xsi:type="xsd:double"&gt;60.63&lt;/D&gt;&lt;D xsi:type="xsd:double"&gt;59.99&lt;/D&gt;&lt;D xsi:type="xsd:double"&gt;59.47&lt;/D&gt;&lt;D xsi:type="xsd:double"&gt;59.7&lt;/D&gt;&lt;D xsi:type="xsd:double"&gt;60.87&lt;/D&gt;&lt;D xsi:type="xsd:double"&gt;61.52&lt;/D&gt;&lt;D xsi:type="xsd:double"&gt;61.69&lt;/D&gt;&lt;D xsi:type="xsd:double"&gt;61.81&lt;/D&gt;&lt;D xsi:type="xsd:double"&gt;61.35&lt;/D&gt;&lt;D xsi:type="xsd:double"&gt;62.22&lt;/D&gt;&lt;D xsi:type="xsd:double"&gt;62.66&lt;/D&gt;&lt;D xsi:type="xsd:double"&gt;61.98&lt;/D&gt;&lt;D xsi:type="xsd:double"&gt;61.88&lt;/D&gt;&lt;D xsi:type="xsd:double"&gt;62.24&lt;/D&gt;&lt;D xsi:type="xsd:double"&gt;62.66&lt;/D&gt;&lt;D xsi:type="xsd:double"&gt;62.2&lt;/D&gt;&lt;D xsi:type="xsd:double"&gt;61.91&lt;/D&gt;&lt;D xsi:type="xsd:double"&gt;62.2&lt;/D&gt;&lt;D xsi:type="xsd:double"&gt;61.96&lt;/D&gt;&lt;D xsi:type="xsd:double"&gt;60.92&lt;/D&gt;&lt;D xsi:type="xsd:double"&gt;60.88&lt;/D&gt;&lt;D xsi:type="xsd:double"&gt;61.91&lt;/D&gt;&lt;D xsi:type="xsd:double"&gt;62.42&lt;/D&gt;&lt;D xsi:type="xsd:double"&gt;62.78&lt;/D&gt;&lt;D xsi:type="xsd:double"&gt;63.5&lt;/D&gt;&lt;D xsi:type="xsd:double"&gt;64.46&lt;/D&gt;&lt;D xsi:type="xsd:double"&gt;64.58&lt;/D&gt;&lt;D xsi:type="xsd:double"&gt;64.53&lt;/D&gt;&lt;D xsi:type="xsd:double"&gt;64.7&lt;/D&gt;&lt;D xsi:type="xsd:double"&gt;63.61&lt;/D&gt;&lt;D xsi:type="xsd:double"&gt;63.97&lt;/D&gt;&lt;D xsi:type="xsd:double"&gt;63.36&lt;/D&gt;&lt;D xsi:type="xsd:double"&gt;62.73&lt;/D&gt;&lt;D xsi:type="xsd:double"&gt;63.55&lt;/D&gt;&lt;D xsi:type="xsd:double"&gt;63.57&lt;/D&gt;&lt;D xsi:type="xsd:double"&gt;64.38&lt;/D&gt;&lt;D xsi:type="xsd:double"&gt;65.49&lt;/D&gt;&lt;D xsi:type="xsd:double"&gt;65.12&lt;/D&gt;&lt;D xsi:type="xsd:double"&gt;65.59&lt;/D&gt;&lt;D xsi:type="xsd:double"&gt;64.51&lt;/D&gt;&lt;D xsi:type="xsd:double"&gt;64.11&lt;/D&gt;&lt;D xsi:type="xsd:double"&gt;63.03&lt;/D&gt;&lt;D xsi:type="xsd:double"&gt;63.44&lt;/D&gt;&lt;D xsi:type="xsd:double"&gt;64.12&lt;/D&gt;&lt;D xsi:type="xsd:double"&gt;63.31&lt;/D&gt;&lt;D xsi:type="xsd:double"&gt;63.4&lt;/D&gt;&lt;D xsi:type="xsd:double"&gt;63.25&lt;/D&gt;&lt;D xsi:type="xsd:double"&gt;62.58&lt;/D&gt;&lt;D xsi:type="xsd:double"&gt;63.3&lt;/D&gt;&lt;D xsi:type="xsd:double"&gt;61.39&lt;/D&gt;&lt;D xsi:type="xsd:double"&gt;65.12&lt;/D&gt;&lt;D xsi:type="xsd:double"&gt;66.13&lt;/D&gt;&lt;D xsi:type="xsd:double"&gt;65.81&lt;/D&gt;&lt;D xsi:type="xsd:double"&gt;66.64&lt;/D&gt;&lt;D xsi:type="xsd:double"&gt;66.55&lt;/D&gt;&lt;D xsi:type="xsd:double"&gt;66.99&lt;/D&gt;&lt;D xsi:type="xsd:double"&gt;66.25&lt;/D&gt;&lt;D xsi:type="xsd:double"&gt;65.85&lt;/D&gt;&lt;D xsi:type="xsd:double"&gt;65.53&lt;/D&gt;&lt;D xsi:type="xsd:double"&gt;64.32&lt;/D&gt;&lt;D xsi:type="xsd:double"&gt;64.76&lt;/D&gt;&lt;D xsi:type="xsd:double"&gt;64.58&lt;/D&gt;&lt;D xsi:type="xsd:double"&gt;63.66&lt;/D&gt;&lt;D xsi:type="xsd:double"&gt;64.43&lt;/D&gt;&lt;D xsi:type="xsd:double"&gt;64.44&lt;/D&gt;&lt;D xsi:type="xsd:double"&gt;64.75&lt;/D&gt;&lt;D xsi:type="xsd:double"&gt;65.8&lt;/D&gt;&lt;D xsi:type="xsd:double"&gt;64.86&lt;/D&gt;&lt;D xsi:type="xsd:double"&gt;64.43&lt;/D&gt;&lt;D xsi:type="xsd:double"&gt;63.95&lt;/D&gt;&lt;D xsi:type="xsd:double"&gt;64.21&lt;/D&gt;&lt;D xsi:type="xsd:double"&gt;62.54&lt;/D&gt;&lt;D xsi:type="xsd:double"&gt;62.97&lt;/D&gt;&lt;D xsi:type="xsd:double"&gt;62.3&lt;/D&gt;&lt;D xsi:type="xsd:double"&gt;61.35&lt;/D&gt;&lt;D xsi:type="xsd:double"&gt;60.3&lt;/D&gt;&lt;D xsi:type="xsd:double"&gt;61.33&lt;/D&gt;&lt;D xsi:type="xsd:double"&gt;61.64&lt;/D&gt;&lt;D xsi:type="xsd:double"&gt;61.31&lt;/D&gt;&lt;D xsi:type="xsd:double"&gt;60.45&lt;/D&gt;&lt;D xsi:type="xsd:double"&gt;60.02&lt;/D&gt;&lt;D xsi:type="xsd:double"&gt;61.62&lt;/D&gt;&lt;D xsi:type="xsd:double"&gt;61.54&lt;/D&gt;&lt;D xsi:type="xsd:double"&gt;61.57&lt;/D&gt;&lt;D xsi:type="xsd:double"&gt;60&lt;/D&gt;&lt;D xsi:type="xsd:double"&gt;59.92&lt;/D&gt;&lt;D xsi:type="xsd:double"&gt;59.59&lt;/D&gt;&lt;D xsi:type="xsd:double"&gt;60.04&lt;/D&gt;&lt;D xsi:type="xsd:double"&gt;59.68&lt;/D&gt;&lt;D xsi:type="xsd:double"&gt;59.3&lt;/D&gt;&lt;D xsi:type="xsd:double"&gt;60.56&lt;/D&gt;&lt;D xsi:type="xsd:double"&gt;58.73&lt;/D&gt;&lt;D xsi:type="xsd:double"&gt;57.82&lt;/D&gt;&lt;D xsi:type="xsd:double"&gt;58.19&lt;/D&gt;&lt;D xsi:type="xsd:double"&gt;58.2&lt;/D&gt;&lt;D xsi:type="xsd:double"&gt;58.36&lt;/D&gt;&lt;D xsi:type="xsd:double"&gt;57.86&lt;/D&gt;&lt;D xsi:type="xsd:double"&gt;57.47&lt;/D&gt;&lt;D xsi:type="xsd:double"&gt;56.52&lt;/D&gt;&lt;D xsi:type="xsd:double"&gt;57.43&lt;/D&gt;&lt;D xsi:type="xsd:double"&gt;57.89&lt;/D&gt;&lt;D xsi:type="xsd:double"&gt;58.56&lt;/D&gt;&lt;D xsi:type="xsd:double"&gt;58.7&lt;/D&gt;&lt;D xsi:type="xsd:double"&gt;58.93&lt;/D&gt;&lt;D xsi:type="xsd:double"&gt;59.18&lt;/D&gt;&lt;D xsi:type="xsd:double"&gt;59.25&lt;/D&gt;&lt;D xsi:type="xsd:double"&gt;58.665&lt;/D&gt;&lt;D xsi:type="xsd:double"&gt;57.81&lt;/D&gt;&lt;D xsi:type="xsd:double"&gt;57.45&lt;/D&gt;&lt;D xsi:type="xsd:double"&gt;56.92&lt;/D&gt;&lt;D xsi:type="xsd:double"&gt;56.51&lt;/D&gt;&lt;D xsi:type="xsd:double"&gt;56.68&lt;/D&gt;&lt;D xsi:type="xsd:double"&gt;55.55&lt;/D&gt;&lt;D xsi:type="xsd:double"&gt;54.95&lt;/D&gt;&lt;D xsi:type="xsd:double"&gt;55.01&lt;/D&gt;&lt;D xsi:type="xsd:double"&gt;54.58&lt;/D&gt;&lt;D xsi:type="xsd:double"&gt;55.13&lt;/D&gt;&lt;D xsi:type="xsd:double"&gt;54.62&lt;/D&gt;&lt;D xsi:type="xsd:double"&gt;54.72&lt;/D&gt;&lt;D xsi:type="xsd:double"&gt;55&lt;/D&gt;&lt;D xsi:type="xsd:double"&gt;55.27&lt;/D&gt;&lt;D xsi:type="xsd:double"&gt;55.1&lt;/D&gt;&lt;D xsi:type="xsd:double"&gt;55.18&lt;/D&gt;&lt;D xsi:type="xsd:double"&gt;55.54&lt;/D&gt;&lt;D xsi:type="xsd:double"&gt;55.53&lt;/D&gt;&lt;D xsi:type="xsd:double"&gt;55.57&lt;/D&gt;&lt;D xsi:type="xsd:double"&gt;54.13&lt;/D&gt;&lt;D xsi:type="xsd:double"&gt;53.5&lt;/D&gt;&lt;D xsi:type="xsd:double"&gt;53.93&lt;/D&gt;&lt;D xsi:type="xsd:double"&gt;54.44&lt;/D&gt;&lt;D xsi:type="xsd:double"&gt;55.01&lt;/D&gt;&lt;D xsi:type="xsd:double"&gt;54.77&lt;/D&gt;&lt;D xsi:type="xsd:double"&gt;55.79&lt;/D&gt;&lt;D xsi:type="xsd:double"&gt;55.86&lt;/D&gt;&lt;D xsi:type="xsd:double"&gt;55.69&lt;/D&gt;&lt;D xsi:type="xsd:double"&gt;55.52&lt;/D&gt;&lt;D xsi:type="xsd:double"&gt;54.92&lt;/D&gt;&lt;D xsi:type="xsd:double"&gt;54.99&lt;/D&gt;&lt;D xsi:type="xsd:double"&gt;54.79&lt;/D&gt;&lt;D xsi:type="xsd:double"&gt;53.76&lt;/D&gt;&lt;D xsi:type="xsd:double"&gt;53.26&lt;/D&gt;&lt;D xsi:type="xsd:double"&gt;52.82&lt;/D&gt;&lt;D xsi:type="xsd:double"&gt;53.86&lt;/D&gt;&lt;D xsi:type="xsd:double"&gt;53.33&lt;/D&gt;&lt;D xsi:type="xsd:double"&gt;54.04&lt;/D&gt;&lt;D xsi:type="xsd:double"&gt;54.78&lt;/D&gt;&lt;D xsi:type="xsd:double"&gt;54.75&lt;/D&gt;&lt;D xsi:type="xsd:double"&gt;54.99&lt;/D&gt;&lt;D xsi:type="xsd:double"&gt;55.2&lt;/D&gt;&lt;D xsi:type="xsd:double"&gt;54.7&lt;/D&gt;&lt;D xsi:type="xsd:double"&gt;54.42&lt;/D&gt;&lt;D xsi:type="xsd:double"&gt;54.57&lt;/D&gt;&lt;D xsi:type="xsd:double"&gt;55.6&lt;/D&gt;&lt;D xsi:type="xsd:double"&gt;54.7&lt;/D&gt;&lt;D xsi:type="xsd:double"&gt;55.06&lt;/D&gt;&lt;D xsi:type="xsd:double"&gt;53.25&lt;/D&gt;&lt;D xsi:type="xsd:double"&gt;53.45&lt;/D&gt;&lt;D xsi:type="xsd:double"&gt;52.69&lt;/D&gt;&lt;D xsi:type="xsd:double"&gt;53.95&lt;/D&gt;&lt;D xsi:type="xsd:double"&gt;53.4&lt;/D&gt;&lt;D xsi:type="xsd:double"&gt;53.42&lt;/D&gt;&lt;D xsi:type="xsd:double"&gt;51.59&lt;/D&gt;&lt;D xsi:type="xsd:double"&gt;51.66&lt;/D&gt;&lt;D xsi:type="xsd:double"&gt;51.68&lt;/D&gt;&lt;D xsi:type="xsd:double"&gt;51.85&lt;/D&gt;&lt;D xsi:type="xsd:double"&gt;51.91&lt;/D&gt;&lt;D xsi:type="xsd:double"&gt;51.97&lt;/D&gt;&lt;D xsi:type="xsd:double"&gt;51.66&lt;/D&gt;&lt;D xsi:type="xsd:double"&gt;50.9&lt;/D&gt;&lt;D xsi:type="xsd:double"&gt;49.39&lt;/D&gt;&lt;D xsi:type="xsd:double"&gt;49.29&lt;/D&gt;&lt;D xsi:type="xsd:double"&gt;49.16&lt;/D&gt;&lt;D xsi:type="xsd:double"&gt;50.17&lt;/D&gt;&lt;D xsi:type="xsd:double"&gt;50.56&lt;/D&gt;&lt;D xsi:type="xsd:double"&gt;49.68&lt;/D&gt;&lt;D xsi:type="xsd:double"&gt;47.98&lt;/D&gt;&lt;D xsi:type="xsd:double"&gt;48.06&lt;/D&gt;&lt;D xsi:type="xsd:double"&gt;45.22&lt;/D&gt;&lt;D xsi:type="xsd:double"&gt;46&lt;/D&gt;&lt;D xsi:type="xsd:double"&gt;50&lt;/D&gt;&lt;D xsi:type="xsd:double"&gt;53.67&lt;/D&gt;&lt;D xsi:type="xsd:double"&gt;54.16&lt;/D&gt;&lt;D xsi:type="xsd:double"&gt;54.55&lt;/D&gt;&lt;D xsi:type="xsd:double"&gt;54.4&lt;/D&gt;&lt;/FQL&gt;&lt;FQL&gt;&lt;Q&gt;EWM^FG_PRICE(0,-200D)&lt;/Q&gt;&lt;R&gt;201&lt;/R&gt;&lt;C&gt;1&lt;/C&gt;&lt;D xsi:type="xsd:double"&gt;28.28&lt;/D&gt;&lt;D xsi:type="xsd:double"&gt;28.2&lt;/D&gt;&lt;D xsi:type="xsd:double"&gt;28.05&lt;/D&gt;&lt;D xsi:type="xsd:double"&gt;27.97&lt;/D&gt;&lt;D xsi:type="xsd:double"&gt;27.59&lt;/D&gt;&lt;D xsi:type="xsd:double"&gt;27.36&lt;/D&gt;&lt;D xsi:type="xsd:double"&gt;27.43&lt;/D&gt;&lt;D xsi:type="xsd:double"&gt;27.63&lt;/D&gt;&lt;D xsi:type="xsd:double"&gt;27.61&lt;/D&gt;&lt;D xsi:type="xsd:double"&gt;27.42&lt;/D&gt;&lt;D xsi:type="xsd:double"&gt;27.36&lt;/D&gt;&lt;D xsi:type="xsd:double"&gt;27.57&lt;/D&gt;&lt;D xsi:type="xsd:double"&gt;27.53&lt;/D&gt;&lt;D xsi:type="xsd:double"&gt;27.64&lt;/D&gt;&lt;D xsi:type="xsd:double"&gt;27.69&lt;/D&gt;&lt;D xsi:type="xsd:double"&gt;27.53&lt;/D&gt;&lt;D xsi:type="xsd:double"&gt;27.41&lt;/D&gt;&lt;D xsi:type="xsd:double"&gt;27.2&lt;/D&gt;&lt;D xsi:type="xsd:double"&gt;26.88&lt;/D&gt;&lt;D xsi:type="xsd:double"&gt;26.6&lt;/D&gt;&lt;D xsi:type="xsd:double"&gt;26.79&lt;/D&gt;&lt;D xsi:type="xsd:double"&gt;27.09&lt;/D&gt;&lt;D xsi:type="xsd:double"&gt;26.98&lt;/D&gt;&lt;D xsi:type="xsd:double"&gt;26.87&lt;/D&gt;&lt;D xsi:type="xsd:double"&gt;26.52&lt;/D&gt;&lt;D xsi:type="xsd:double"&gt;26.37&lt;/D&gt;&lt;D xsi:type="xsd:double"&gt;26.32&lt;/D&gt;&lt;D xsi:type="xsd:double"&gt;26.64&lt;/D&gt;&lt;D xsi:type="xsd:double"&gt;26.59&lt;/D&gt;&lt;D xsi:type="xsd:double"&gt;26.73&lt;/D&gt;&lt;D xsi:type="xsd:double"&gt;26.67&lt;/D&gt;&lt;D xsi:type="xsd:double"&gt;26.6&lt;/D&gt;&lt;D xsi:type="xsd:double"&gt;26.43&lt;/D&gt;&lt;D xsi:type="xsd:double"&gt;26.64&lt;/D&gt;&lt;D xsi:type="xsd:double"&gt;26.49&lt;/D&gt;&lt;D xsi:type="xsd:double"&gt;26.47&lt;/D&gt;&lt;D xsi:type="xsd:double"&gt;26.29&lt;/D&gt;&lt;D xsi:type="xsd:double"&gt;26.05&lt;/D&gt;&lt;D xsi:type="xsd:double"&gt;26.33&lt;/D&gt;&lt;D xsi:type="xsd:double"&gt;26.16&lt;/D&gt;&lt;D xsi:type="xsd:double"&gt;26.23&lt;/D&gt;&lt;D xsi:type="xsd:double"&gt;26.45&lt;/D&gt;&lt;D xsi:type="xsd:double"&gt;26.5&lt;/D&gt;&lt;D xsi:type="xsd:double"&gt;26.53&lt;/D&gt;&lt;D xsi:type="xsd:double"&gt;26.78&lt;/D&gt;&lt;D xsi:type="xsd:double"&gt;26.47&lt;/D&gt;&lt;D xsi:type="xsd:double"&gt;26.23&lt;/D&gt;&lt;D xsi:type="xsd:double"&gt;26.01&lt;/D&gt;&lt;D xsi:type="xsd:double"&gt;26.2&lt;/D&gt;&lt;D xsi:type="xsd:double"&gt;25.98&lt;/D&gt;&lt;D xsi:type="xsd:double"&gt;26.06&lt;/D&gt;&lt;D xsi:type="xsd:double"&gt;25.85&lt;/D&gt;&lt;D xsi:type="xsd:double"&gt;25.88&lt;/D&gt;&lt;D xsi:type="xsd:double"&gt;25.91&lt;/D&gt;&lt;D xsi:type="xsd:double"&gt;26.01&lt;/D&gt;&lt;D xsi:type="xsd:double"&gt;25.96&lt;/D&gt;&lt;D xsi:type="xsd:double"&gt;25.69&lt;/D&gt;&lt;D xsi:type="xsd:double"&gt;25.65&lt;/D&gt;&lt;D xsi:type="xsd:double"&gt;25.47&lt;/D&gt;&lt;D xsi:type="xsd:double"&gt;25.74&lt;/D&gt;&lt;D xsi:type="xsd:double"&gt;25.82&lt;/D&gt;&lt;D xsi:type="xsd:double"&gt;25.7&lt;/D&gt;&lt;D xsi:type="xsd:double"&gt;25.58&lt;/D&gt;&lt;D xsi:type="xsd:double"&gt;25.66&lt;/D&gt;&lt;D xsi:type="xsd:double"&gt;25.72&lt;/D&gt;&lt;D xsi:type="xsd:double"&gt;25.71&lt;/D&gt;&lt;D xsi:type="xsd:double"&gt;25.33&lt;/D&gt;&lt;D xsi:type="xsd:double"&gt;25.98&lt;/D&gt;&lt;D xsi:type="xsd:double"&gt;26.02&lt;/D&gt;&lt;D xsi:type="xsd:double"&gt;25.99&lt;/D&gt;&lt;D xsi:type="xsd:double"&gt;26.09&lt;/D&gt;&lt;D xsi:type="xsd:double"&gt;26.2&lt;/D&gt;&lt;D xsi:type="xsd:double"&gt;26.27&lt;/D&gt;&lt;D xsi:type="xsd:double"&gt;26.21&lt;/D&gt;&lt;D xsi:type="xsd:double"&gt;25.92&lt;/D&gt;&lt;D xsi:type="xsd:double"&gt;25.78&lt;/D&gt;&lt;D xsi:type="xsd:double"&gt;25.73&lt;/D&gt;&lt;D xsi:type="xsd:double"&gt;25.27&lt;/D&gt;&lt;D xsi:type="xsd:double"&gt;25.33&lt;/D&gt;&lt;D xsi:type="xsd:double"&gt;25.74&lt;/D&gt;&lt;D xsi:type="xsd:double"&gt;25.79&lt;/D&gt;&lt;D xsi:type="xsd:double"&gt;25.59&lt;/D&gt;&lt;D xsi:type="xsd:double"&gt;25.6&lt;/D&gt;&lt;D xsi:type="xsd:double"&gt;25.95&lt;/D&gt;&lt;D xsi:type="xsd:double"&gt;25.54&lt;/D&gt;&lt;D xsi:type="xsd:double"&gt;25.55&lt;/D&gt;&lt;D xsi:type="xsd:double"&gt;25.47&lt;/D&gt;&lt;D xsi:type="xsd:double"&gt;25.33&lt;/D&gt;&lt;D xsi:type="xsd:double"&gt;25.17&lt;/D&gt;&lt;D xsi:type="xsd:double"&gt;25.17&lt;/D&gt;&lt;D xsi:type="xsd:double"&gt;25.12&lt;/D&gt;&lt;D xsi:type="xsd:double"&gt;25.03&lt;/D&gt;&lt;D xsi:type="xsd:double"&gt;24.97&lt;/D&gt;&lt;D xsi:type="xsd:double"&gt;24.87&lt;/D&gt;&lt;D xsi:type="xsd:double"&gt;24.73&lt;/D&gt;&lt;D xsi:type="xsd:double"&gt;24.87&lt;/D&gt;&lt;D xsi:type="xsd:double"&gt;25.13&lt;/D&gt;&lt;D xsi:type="xsd:double"&gt;25.05&lt;/D&gt;&lt;D xsi:type="xsd:double"&gt;25.13&lt;/D&gt;&lt;D xsi:type="xsd:double"&gt;25.5&lt;/D&gt;&lt;D xsi:type="xsd:double"&gt;25.72&lt;/D&gt;&lt;D xsi:type="xsd:double"&gt;25.19&lt;/D&gt;&lt;D xsi:type="xsd:double"&gt;25.19&lt;/D&gt;&lt;D xsi:type="xsd:double"&gt;25.18&lt;/D&gt;&lt;D xsi:type="xsd:double"&gt;25.13&lt;/D&gt;&lt;D xsi:type="xsd:double"&gt;24.98&lt;/D&gt;&lt;D xsi:type="xsd:double"&gt;25.03&lt;/D&gt;&lt;D xsi:type="xsd:double"&gt;25.27&lt;/D&gt;&lt;D xsi:type="xsd:double"&gt;24.94&lt;/D&gt;&lt;D xsi:type="xsd:double"&gt;24.6&lt;/D&gt;&lt;D xsi:type="xsd:double"&gt;24.51&lt;/D&gt;&lt;D xsi:type="xsd:double"&gt;24.38&lt;/D&gt;&lt;D xsi:type="xsd:double"&gt;24.4&lt;/D&gt;&lt;D xsi:type="xsd:double"&gt;24.24&lt;/D&gt;&lt;D xsi:type="xsd:double"&gt;24.13&lt;/D&gt;&lt;D xsi:type="xsd:double"&gt;23.98&lt;/D&gt;&lt;D xsi:type="xsd:double"&gt;23.49&lt;/D&gt;&lt;D xsi:type="xsd:double"&gt;23.84&lt;/D&gt;&lt;D xsi:type="xsd:double"&gt;24.04&lt;/D&gt;&lt;D xsi:type="xsd:double"&gt;24.05&lt;/D&gt;&lt;D xsi:type="xsd:double"&gt;24.19&lt;/D&gt;&lt;D xsi:type="xsd:double"&gt;24.3&lt;/D&gt;&lt;D xsi:type="xsd:double"&gt;24.21&lt;/D&gt;&lt;D xsi:type="xsd:double"&gt;23.99&lt;/D&gt;&lt;D xsi:type="xsd:double"&gt;24.03&lt;/D&gt;&lt;D xsi:type="xsd:double"&gt;23.93&lt;/D&gt;&lt;D xsi:type="xsd:double"&gt;23.93&lt;/D&gt;&lt;D xsi:type="xsd:double"&gt;23.71&lt;/D&gt;&lt;D xsi:type="xsd:double"&gt;23.8&lt;/D&gt;&lt;D xsi:type="xsd:double"&gt;24.09&lt;/D&gt;&lt;D xsi:type="xsd:double"&gt;24.08&lt;/D&gt;&lt;D xsi:type="xsd:double"&gt;24.11&lt;/D&gt;&lt;D xsi:type="xsd:double"&gt;23.98&lt;/D&gt;&lt;D xsi:type="xsd:double"&gt;23.95&lt;/D&gt;&lt;D xsi:type="xsd:double"&gt;23.93&lt;/D&gt;&lt;D xsi:type="xsd:double"&gt;24.41&lt;/D&gt;&lt;D xsi:type="xsd:double"&gt;24.41&lt;/D&gt;&lt;D xsi:type="xsd:double"&gt;24.38&lt;/D&gt;&lt;D xsi:type="xsd:double"&gt;24.34&lt;/D&gt;&lt;D xsi:type="xsd:double"&gt;24.07&lt;/D&gt;&lt;D xsi:type="xsd:double"&gt;24.07&lt;/D&gt;&lt;D xsi:type="xsd:double"&gt;23.82&lt;/D&gt;&lt;D xsi:type="xsd:double"&gt;23.77&lt;/D&gt;&lt;D xsi:type="xsd:double"&gt;23.53&lt;/D&gt;&lt;D xsi:type="xsd:double"&gt;23.41&lt;/D&gt;&lt;D xsi:type="xsd:double"&gt;23.59&lt;/D&gt;&lt;D xsi:type="xsd:double"&gt;23.53&lt;/D&gt;&lt;D xsi:type="xsd:double"&gt;23.93&lt;/D&gt;&lt;D xsi:type="xsd:double"&gt;24.26&lt;/D&gt;&lt;D xsi:type="xsd:double"&gt;24.54&lt;/D&gt;&lt;D xsi:type="xsd:double"&gt;24.45&lt;/D&gt;&lt;D xsi:type="xsd:double"&gt;24.28&lt;/D&gt;&lt;D xsi:type="xsd:double"&gt;24.32&lt;/D&gt;&lt;D xsi:type="xsd:double"&gt;24.25&lt;/D&gt;&lt;D xsi:type="xsd:double"&gt;24.31&lt;/D&gt;&lt;D xsi:type="xsd:double"&gt;24.14&lt;/D&gt;&lt;D xsi:type="xsd:double"&gt;24.09&lt;/D&gt;&lt;D xsi:type="xsd:double"&gt;24.15&lt;/D&gt;&lt;D xsi:type="xsd:double"&gt;23.96&lt;/D&gt;&lt;D xsi:type="xsd:double"&gt;24.3&lt;/D&gt;&lt;D xsi:type="xsd:double"&gt;24.47&lt;/D&gt;&lt;D xsi:type="xsd:double"&gt;24.52&lt;/D&gt;&lt;D xsi:type="xsd:double"&gt;24.58&lt;/D&gt;&lt;D xsi:type="xsd:double"&gt;24.24&lt;/D&gt;&lt;D xsi:type="xsd:double"&gt;24.49&lt;/D&gt;&lt;D xsi:type="xsd:double"&gt;24.5&lt;/D&gt;&lt;D xsi:type="xsd:double"&gt;24.69&lt;/D&gt;&lt;D xsi:type="xsd:double"&gt;24.87&lt;/D&gt;&lt;D xsi:type="xsd:double"&gt;25.08&lt;/D&gt;&lt;D xsi:type="xsd:double"&gt;25.07&lt;/D&gt;&lt;D xsi:type="xsd:double"&gt;24.87&lt;/D&gt;&lt;D xsi:type="xsd:double"&gt;24.5&lt;/D&gt;&lt;D xsi:type="xsd:double"&gt;24.45&lt;/D&gt;&lt;D xsi:type="xsd:double"&gt;24.31&lt;/D&gt;&lt;D xsi:type="xsd:double"&gt;24.68&lt;/D&gt;&lt;D xsi:type="xsd:double"&gt;24.64&lt;/D&gt;&lt;D xsi:type="xsd:double"&gt;24.86&lt;/D&gt;&lt;D xsi:type="xsd:double"&gt;24.85&lt;/D&gt;&lt;D xsi:type="xsd:double"&gt;24.12&lt;/D&gt;&lt;D xsi:type="xsd:double"&gt;24.17&lt;/D&gt;&lt;D xsi:type="xsd:double"&gt;23.7&lt;/D&gt;&lt;D xsi:type="xsd:double"&gt;23.71&lt;/D&gt;&lt;D xsi:type="xsd:double"&gt;23.43&lt;/D&gt;&lt;D xsi:type="xsd:double"&gt;23.43&lt;/D&gt;&lt;D xsi:type="xsd:double"&gt;23.07&lt;/D&gt;&lt;D xsi:type="xsd:double"&gt;22.91&lt;/D&gt;&lt;D xsi:type="xsd:double"&gt;23.04&lt;/D&gt;&lt;D xsi:type="xsd:double"&gt;22.77&lt;/D&gt;&lt;D xsi:type="xsd:double"&gt;22.44&lt;/D&gt;&lt;D xsi:type="xsd:double"&gt;22.63&lt;/D&gt;&lt;D xsi:type="xsd:double"&gt;22.65&lt;/D&gt;&lt;D xsi:type="xsd:double"&gt;22.46&lt;/D&gt;&lt;D xsi:type="xsd:double"&gt;22.05&lt;/D&gt;&lt;D xsi:type="xsd:double"&gt;22.14&lt;/D&gt;&lt;D xsi:type="xsd:double"&gt;21.2&lt;/D&gt;&lt;D xsi:type="xsd:double"&gt;21.75&lt;/D&gt;&lt;D xsi:type="xsd:double"&gt;21.91&lt;/D&gt;&lt;D xsi:type="xsd:double"&gt;23.01&lt;/D&gt;&lt;D xsi:type="xsd:double"&gt;23.32&lt;/D&gt;&lt;D xsi:type="xsd:double"&gt;23.03&lt;/D&gt;&lt;D xsi:type="xsd:double"&gt;23.08&lt;/D&gt;&lt;/FQL&gt;&lt;FQL&gt;&lt;Q&gt;EWI^FG_TOTAL_RETURNC(-5AY,0,AM)&lt;/Q&gt;&lt;R&gt;61&lt;/R&gt;&lt;C&gt;1&lt;/C&gt;&lt;D xsi:type="xsd:double"&gt;0.5140543&lt;/D&gt;&lt;D xsi:type="xsd:double"&gt;5.455172&lt;/D&gt;&lt;D xsi:type="xsd:double"&gt;1.5842199&lt;/D&gt;&lt;D xsi:type="xsd:double"&gt;1.9414306&lt;/D&gt;&lt;D xsi:type="xsd:double"&gt;2.7162075&lt;/D&gt;&lt;D xsi:type="xsd:double"&gt;4.0189505&lt;/D&gt;&lt;D xsi:type="xsd:double"&gt;-6.152034&lt;/D&gt;&lt;D xsi:type="xsd:double"&gt;6.9650173&lt;/D&gt;&lt;D xsi:type="xsd:double"&gt;-3.9186716&lt;/D&gt;&lt;D xsi:type="xsd:double"&gt;1.2266159&lt;/D&gt;&lt;D xsi:type="xsd:double"&gt;2.5446892&lt;/D&gt;&lt;D xsi:type="xsd:double"&gt;-3.579867&lt;/D&gt;&lt;D xsi:type="xsd:double"&gt;4.10192&lt;/D&gt;&lt;D xsi:type="xsd:double"&gt;-2.38806&lt;/D&gt;&lt;D xsi:type="xsd:double"&gt;-14.587158&lt;/D&gt;&lt;D xsi:type="xsd:double"&gt;4.0816307&lt;/D&gt;&lt;D xsi:type="xsd:double"&gt;-6.74234&lt;/D&gt;&lt;D xsi:type="xsd:double"&gt;-4.45832&lt;/D&gt;&lt;D xsi:type="xsd:double"&gt;-10.624754&lt;/D&gt;&lt;D xsi:type="xsd:double"&gt;12.021375&lt;/D&gt;&lt;D xsi:type="xsd:double"&gt;-5.16693&lt;/D&gt;&lt;D xsi:type="xsd:double"&gt;-8.843255&lt;/D&gt;&lt;D xsi:type="xsd:double"&gt;25.195396&lt;/D&gt;&lt;D xsi:type="xsd:double"&gt;-0.17373562&lt;/D&gt;&lt;D xsi:type="xsd:double"&gt;10.60493&lt;/D&gt;&lt;D xsi:type="xsd:double"&gt;3.2748103&lt;/D&gt;&lt;D xsi:type="xsd:double"&gt;-7.093823&lt;/D&gt;&lt;D xsi:type="xsd:double"&gt;11.681914&lt;/D&gt;&lt;D xsi:type="xsd:double"&gt;-1.3547599&lt;/D&gt;&lt;D xsi:type="xsd:double"&gt;2.6500583&lt;/D&gt;&lt;D xsi:type="xsd:double"&gt;5.100417&lt;/D&gt;&lt;D xsi:type="xsd:double"&gt;-4.2766213&lt;/D&gt;&lt;D xsi:type="xsd:double"&gt;0.09505749&lt;/D&gt;&lt;D xsi:type="xsd:double"&gt;-4.8116503&lt;/D&gt;&lt;D xsi:type="xsd:double"&gt;7.216501&lt;/D&gt;&lt;D xsi:type="xsd:double"&gt;4.249382&lt;/D&gt;&lt;D xsi:type="xsd:double"&gt;2.1052003&lt;/D&gt;&lt;D xsi:type="xsd:double"&gt;2.095008&lt;/D&gt;&lt;D xsi:type="xsd:double"&gt;7.601154&lt;/D&gt;&lt;D xsi:type="xsd:double"&gt;-3.3037841&lt;/D&gt;&lt;D xsi:type="xsd:double"&gt;9.194446&lt;/D&gt;&lt;D xsi:type="xsd:double"&gt;-8.003134&lt;/D&gt;&lt;D xsi:type="xsd:double"&gt;6.31907&lt;/D&gt;&lt;D xsi:type="xsd:double"&gt;-1.6258001&lt;/D&gt;&lt;D xsi:type="xsd:double"&gt;3.2511592&lt;/D&gt;&lt;D xsi:type="xsd:double"&gt;0.31487942&lt;/D&gt;&lt;D xsi:type="xsd:double"&gt;-4.3682933&lt;/D&gt;&lt;D xsi:type="xsd:double"&gt;2.9814005&lt;/D&gt;&lt;D xsi:type="xsd:double"&gt;0.45357943&lt;/D&gt;&lt;D xsi:type="xsd:double"&gt;8.966446&lt;/D&gt;&lt;D xsi:type="xsd:double"&gt;6.011331&lt;/D&gt;&lt;D xsi:type="xsd:double"&gt;-3.462696&lt;/D&gt;&lt;D xsi:type="xsd:double"&gt;12.012518&lt;/D&gt;&lt;D xsi:type="xsd:double"&gt;1.9342422&lt;/D&gt;&lt;D xsi:type="xsd:double"&gt;1.5043616&lt;/D&gt;&lt;D xsi:type="xsd:double"&gt;9.446323&lt;/D&gt;&lt;D xsi:type="xsd:double"&gt;1.1585236&lt;/D&gt;&lt;D xsi:type="xsd:double"&gt;-3.6648154&lt;/D&gt;&lt;D xsi:type="xsd:double"&gt;5.4091573&lt;/D&gt;&lt;D xsi:type="xsd:double"&gt;2.161646&lt;/D&gt;&lt;D xsi:type="xsd:double"&gt;2.14926&lt;/D&gt;&lt;/FQL&gt;&lt;FQL&gt;&lt;Q&gt;EWJ^FG_TOTAL_RETURNC(-5AY,0,AM)&lt;/Q&gt;&lt;R&gt;61&lt;/R&gt;&lt;C&gt;1&lt;/C&gt;&lt;D xsi:type="xsd:double"&gt;3.5251617&lt;/D&gt;&lt;D xsi:type="xsd:double"&gt;4.1181684&lt;/D&gt;&lt;D xsi:type="xsd:double"&gt;-3.1306863&lt;/D&gt;&lt;D xsi:type="xsd:double"&gt;0.8223891&lt;/D&gt;&lt;D xsi:type="xsd:double"&gt;-4.107034&lt;/D&gt;&lt;D xsi:type="xsd:double"&gt;4.0111423&lt;/D&gt;&lt;D xsi:type="xsd:double"&gt;-1.8499792&lt;/D&gt;&lt;D xsi:type="xsd:double"&gt;1.0749459&lt;/D&gt;&lt;D xsi:type="xsd:double"&gt;7.9836845&lt;/D&gt;&lt;D xsi:type="xsd:double"&gt;-6.853753&lt;/D&gt;&lt;D xsi:type="xsd:double"&gt;1.4194608&lt;/D&gt;&lt;D xsi:type="xsd:double"&gt;-1.6533136&lt;/D&gt;&lt;D xsi:type="xsd:double"&gt;-1.0741532&lt;/D&gt;&lt;D xsi:type="xsd:double"&gt;-3.8078308&lt;/D&gt;&lt;D xsi:type="xsd:double"&gt;-7.870722&lt;/D&gt;&lt;D xsi:type="xsd:double"&gt;-1.9805312&lt;/D&gt;&lt;D xsi:type="xsd:double"&gt;-3.5616457&lt;/D&gt;&lt;D xsi:type="xsd:double"&gt;-4.0956974&lt;/D&gt;&lt;D xsi:type="xsd:double"&gt;-1.3647497&lt;/D&gt;&lt;D xsi:type="xsd:double"&gt;8.529186&lt;/D&gt;&lt;D xsi:type="xsd:double"&gt;-9.762489&lt;/D&gt;&lt;D xsi:type="xsd:double"&gt;-6.2125025&lt;/D&gt;&lt;D xsi:type="xsd:double"&gt;12.567067&lt;/D&gt;&lt;D xsi:type="xsd:double"&gt;0.14874935&lt;/D&gt;&lt;D xsi:type="xsd:double"&gt;4.1460276&lt;/D&gt;&lt;D xsi:type="xsd:double"&gt;0.8102894&lt;/D&gt;&lt;D xsi:type="xsd:double"&gt;-4.001397&lt;/D&gt;&lt;D xsi:type="xsd:double"&gt;6.370592&lt;/D&gt;&lt;D xsi:type="xsd:double"&gt;3.627658&lt;/D&gt;&lt;D xsi:type="xsd:double"&gt;5.944133&lt;/D&gt;&lt;D xsi:type="xsd:double"&gt;-2.0247996&lt;/D&gt;&lt;D xsi:type="xsd:double"&gt;-3.6046147&lt;/D&gt;&lt;D xsi:type="xsd:double"&gt;4.686725&lt;/D&gt;&lt;D xsi:type="xsd:double"&gt;-5.413556&lt;/D&gt;&lt;D xsi:type="xsd:double"&gt;2.6854634&lt;/D&gt;&lt;D xsi:type="xsd:double"&gt;3.252697&lt;/D&gt;&lt;D xsi:type="xsd:double"&gt;6.642914&lt;/D&gt;&lt;D xsi:type="xsd:double"&gt;1.8214703&lt;/D&gt;&lt;D xsi:type="xsd:double"&gt;2.8533459&lt;/D&gt;&lt;D xsi:type="xsd:double"&gt;-1.1499226&lt;/D&gt;&lt;D xsi:type="xsd:double"&gt;0.2908349&lt;/D&gt;&lt;D xsi:type="xsd:double"&gt;-1.9404173&lt;/D&gt;&lt;D xsi:type="xsd:double"&gt;5.8543086&lt;/D&gt;&lt;D xsi:type="xsd:double"&gt;-2.8848767&lt;/D&gt;&lt;D xsi:type="xsd:double"&gt;1.246202&lt;/D&gt;&lt;D xsi:type="xsd:double"&gt;-0.22900105&lt;/D&gt;&lt;D xsi:type="xsd:double"&gt;-3.1846225&lt;/D&gt;&lt;D xsi:type="xsd:double"&gt;3.0374885&lt;/D&gt;&lt;D xsi:type="xsd:double"&gt;-3.2079399&lt;/D&gt;&lt;D xsi:type="xsd:double"&gt;4.677844&lt;/D&gt;&lt;D xsi:type="xsd:double"&gt;1.4127135&lt;/D&gt;&lt;D xsi:type="xsd:double"&gt;-4.136455&lt;/D&gt;&lt;D xsi:type="xsd:double"&gt;7.206404&lt;/D&gt;&lt;D xsi:type="xsd:double"&gt;1.7980576&lt;/D&gt;&lt;D xsi:type="xsd:double"&gt;-1.8079042&lt;/D&gt;&lt;D xsi:type="xsd:double"&gt;11.800802&lt;/D&gt;&lt;D xsi:type="xsd:double"&gt;1.4971852&lt;/D&gt;&lt;D xsi:type="xsd:double"&gt;-0.07375479&lt;/D&gt;&lt;D xsi:type="xsd:double"&gt;3.3091426&lt;/D&gt;&lt;D xsi:type="xsd:double"&gt;1.0597706&lt;/D&gt;&lt;D xsi:type="xsd:double"&gt;4.4590591999999996&lt;/D&gt;&lt;/FQL&gt;&lt;FQL&gt;&lt;Q&gt;TUR^FG_TOTAL_RETURNC(-5AY,0,AM)&lt;/Q&gt;&lt;R&gt;61&lt;/R&gt;&lt;C&gt;1&lt;/C&gt;&lt;D xsi:type="xsd:double"&gt;13.474298&lt;/D&gt;&lt;D xsi:type="xsd:double"&gt;6.7592144&lt;/D&gt;&lt;D xsi:type="xsd:double"&gt;-5.030799&lt;/D&gt;&lt;D xsi:type="xsd:double"&gt;-13.873875&lt;/D&gt;&lt;D xsi:type="xsd:double"&gt;-2.301252&lt;/D&gt;&lt;D xsi:type="xsd:double"&gt;-0.5980253&lt;/D&gt;&lt;D xsi:type="xsd:double"&gt;-5.5456934&lt;/D&gt;&lt;D xsi:type="xsd:double"&gt;8.219826&lt;/D&gt;&lt;D xsi:type="xsd:double"&gt;-0.7378459&lt;/D&gt;&lt;D xsi:type="xsd:double"&gt;-10.100574&lt;/D&gt;&lt;D xsi:type="xsd:double"&gt;13.375484&lt;/D&gt;&lt;D xsi:type="xsd:double"&gt;-12.825662&lt;/D&gt;&lt;D xsi:type="xsd:double"&gt;2.2738576&lt;/D&gt;&lt;D xsi:type="xsd:double"&gt;-1.5466392&lt;/D&gt;&lt;D xsi:type="xsd:double"&gt;-6.087393&lt;/D&gt;&lt;D xsi:type="xsd:double"&gt;20.805025&lt;/D&gt;&lt;D xsi:type="xsd:double"&gt;-8.394634&lt;/D&gt;&lt;D xsi:type="xsd:double"&gt;-6.1488094&lt;/D&gt;&lt;D xsi:type="xsd:double"&gt;-6.469977&lt;/D&gt;&lt;D xsi:type="xsd:double"&gt;15.384615&lt;/D&gt;&lt;D xsi:type="xsd:double"&gt;14.340532&lt;/D&gt;&lt;D xsi:type="xsd:double"&gt;4.3624163&lt;/D&gt;&lt;D xsi:type="xsd:double"&gt;25.12058&lt;/D&gt;&lt;D xsi:type="xsd:double"&gt;12.766659&lt;/D&gt;&lt;D xsi:type="xsd:double"&gt;-3.9507627&lt;/D&gt;&lt;D xsi:type="xsd:double"&gt;4.5007467&lt;/D&gt;&lt;D xsi:type="xsd:double"&gt;-0.42784214&lt;/D&gt;&lt;D xsi:type="xsd:double"&gt;-1.6041279&lt;/D&gt;&lt;D xsi:type="xsd:double"&gt;-13.566226&lt;/D&gt;&lt;D xsi:type="xsd:double"&gt;2.6201844&lt;/D&gt;&lt;D xsi:type="xsd:double"&gt;6.3923836&lt;/D&gt;&lt;D xsi:type="xsd:double"&gt;14.253748&lt;/D&gt;&lt;D xsi:type="xsd:double"&gt;4.895103&lt;/D&gt;&lt;D xsi:type="xsd:double"&gt;-0.40000677&lt;/D&gt;&lt;D xsi:type="xsd:double"&gt;-8.353413&lt;/D&gt;&lt;D xsi:type="xsd:double"&gt;2.2786975&lt;/D&gt;&lt;D xsi:type="xsd:double"&gt;-2.4039328&lt;/D&gt;&lt;D xsi:type="xsd:double"&gt;13.250518&lt;/D&gt;&lt;D xsi:type="xsd:double"&gt;-8.540088&lt;/D&gt;&lt;D xsi:type="xsd:double"&gt;9.565962&lt;/D&gt;&lt;D xsi:type="xsd:double"&gt;7.297361&lt;/D&gt;&lt;D xsi:type="xsd:double"&gt;1.1147857&lt;/D&gt;&lt;D xsi:type="xsd:double"&gt;5.1070094&lt;/D&gt;&lt;D xsi:type="xsd:double"&gt;-10.92087&lt;/D&gt;&lt;D xsi:type="xsd:double"&gt;-4.909092&lt;/D&gt;&lt;D xsi:type="xsd:double"&gt;-8.768093&lt;/D&gt;&lt;D xsi:type="xsd:double"&gt;5.209577&lt;/D&gt;&lt;D xsi:type="xsd:double"&gt;7.313597&lt;/D&gt;&lt;D xsi:type="xsd:double"&gt;-4.7969875&lt;/D&gt;&lt;D xsi:type="xsd:double"&gt;-1.4820993&lt;/D&gt;&lt;D xsi:type="xsd:double"&gt;8.82771&lt;/D&gt;&lt;D xsi:type="xsd:double"&gt;-16.927492&lt;/D&gt;&lt;D xsi:type="xsd:double"&gt;0.18838644&lt;/D&gt;&lt;D xsi:type="xsd:double"&gt;-3.6352216999999998&lt;/D&gt;&lt;D xsi:type="xsd:double"&gt;8.422208&lt;/D&gt;&lt;D xsi:type="xsd:double"&gt;4.263103&lt;/D&gt;&lt;D xsi:type="xsd:double"&gt;0&lt;/D&gt;&lt;D xsi:type="xsd:double"&gt;-4.906541&lt;/D&gt;&lt;D xsi:type="xsd:double"&gt;0.8906603&lt;/D&gt;&lt;D xsi:type="xsd:double"&gt;7.4277043&lt;/D&gt;&lt;D xsi:type="xsd:double"&gt;8.622063&lt;/D&gt;&lt;/FQL&gt;&lt;FQL&gt;&lt;Q&gt;ECH^FG_TOTAL_RETURNC(-5AY,0,AM)&lt;/Q&gt;&lt;R&gt;61&lt;/R&gt;&lt;C&gt;1&lt;/C&gt;&lt;D xsi:type="xsd:double"&gt;11.665499&lt;/D&gt;&lt;D xsi:type="xsd:double"&gt;2.0138383&lt;/D&gt;&lt;D xsi:type="xsd:double"&gt;5.7371974&lt;/D&gt;&lt;D xsi:type="xsd:double"&gt;3.0921817&lt;/D&gt;&lt;D xsi:type="xsd:double"&gt;-7.8947363&lt;/D&gt;&lt;D xsi:type="xsd:double"&gt;-7.7363014&lt;/D&gt;&lt;D xsi:type="xsd:double"&gt;-9.210974&lt;/D&gt;&lt;D xsi:type="xsd:double"&gt;4.326749&lt;/D&gt;&lt;D xsi:type="xsd:double"&gt;-0.35752058&lt;/D&gt;&lt;D xsi:type="xsd:double"&gt;-14.962328&lt;/D&gt;&lt;D xsi:type="xsd:double"&gt;12.869191&lt;/D&gt;&lt;D xsi:type="xsd:double"&gt;-8.070153&lt;/D&gt;&lt;D xsi:type="xsd:double"&gt;5.634415&lt;/D&gt;&lt;D xsi:type="xsd:double"&gt;5.9244514&lt;/D&gt;&lt;D xsi:type="xsd:double"&gt;-0.75074434&lt;/D&gt;&lt;D xsi:type="xsd:double"&gt;5.2950025&lt;/D&gt;&lt;D xsi:type="xsd:double"&gt;-5.818969&lt;/D&gt;&lt;D xsi:type="xsd:double"&gt;6.6694856&lt;/D&gt;&lt;D xsi:type="xsd:double"&gt;-11.491262&lt;/D&gt;&lt;D xsi:type="xsd:double"&gt;18.991602&lt;/D&gt;&lt;D xsi:type="xsd:double"&gt;-4.5550823&lt;/D&gt;&lt;D xsi:type="xsd:double"&gt;-14.354425&lt;/D&gt;&lt;D xsi:type="xsd:double"&gt;17.667389&lt;/D&gt;&lt;D xsi:type="xsd:double"&gt;-4.053974&lt;/D&gt;&lt;D xsi:type="xsd:double"&gt;7.37834&lt;/D&gt;&lt;D xsi:type="xsd:double"&gt;7.200289&lt;/D&gt;&lt;D xsi:type="xsd:double"&gt;-7.841796&lt;/D&gt;&lt;D xsi:type="xsd:double"&gt;8.213091&lt;/D&gt;&lt;D xsi:type="xsd:double"&gt;3.692305&lt;/D&gt;&lt;D xsi:type="xsd:double"&gt;0.14668703&lt;/D&gt;&lt;D xsi:type="xsd:double"&gt;5.2037&lt;/D&gt;&lt;D xsi:type="xsd:double"&gt;-5.759847&lt;/D&gt;&lt;D xsi:type="xsd:double"&gt;-5.9392214&lt;/D&gt;&lt;D xsi:type="xsd:double"&gt;-8.480173&lt;/D&gt;&lt;D xsi:type="xsd:double"&gt;4.7332525&lt;/D&gt;&lt;D xsi:type="xsd:double"&gt;9.459972&lt;/D&gt;&lt;D xsi:type="xsd:double"&gt;-8.195525&lt;/D&gt;&lt;D xsi:type="xsd:double"&gt;-3.1070173&lt;/D&gt;&lt;D xsi:type="xsd:double"&gt;7.6405406&lt;/D&gt;&lt;D xsi:type="xsd:double"&gt;-3.6778212&lt;/D&gt;&lt;D xsi:type="xsd:double"&gt;10.88202&lt;/D&gt;&lt;D xsi:type="xsd:double"&gt;-6.945789&lt;/D&gt;&lt;D xsi:type="xsd:double"&gt;3.4927845&lt;/D&gt;&lt;D xsi:type="xsd:double"&gt;-3.5583258&lt;/D&gt;&lt;D xsi:type="xsd:double"&gt;-1.2932658&lt;/D&gt;&lt;D xsi:type="xsd:double"&gt;1.271677&lt;/D&gt;&lt;D xsi:type="xsd:double"&gt;-4.984784&lt;/D&gt;&lt;D xsi:type="xsd:double"&gt;3.1638026&lt;/D&gt;&lt;D xsi:type="xsd:double"&gt;-0.057411194&lt;/D&gt;&lt;D xsi:type="xsd:double"&gt;13.600933&lt;/D&gt;&lt;D xsi:type="xsd:double"&gt;3.1217813&lt;/D&gt;&lt;D xsi:type="xsd:double"&gt;-2.3619413&lt;/D&gt;&lt;D xsi:type="xsd:double"&gt;12.674618&lt;/D&gt;&lt;D xsi:type="xsd:double"&gt;-3.749621&lt;/D&gt;&lt;D xsi:type="xsd:double"&gt;-4.0653887&lt;/D&gt;&lt;D xsi:type="xsd:double"&gt;8.39746&lt;/D&gt;&lt;D xsi:type="xsd:double"&gt;4.320979&lt;/D&gt;&lt;D xsi:type="xsd:double"&gt;-1.1538446&lt;/D&gt;&lt;D xsi:type="xsd:double"&gt;8.859623&lt;/D&gt;&lt;D xsi:type="xsd:double"&gt;7.2174907&lt;/D&gt;&lt;D xsi:type="xsd:double"&gt;13.621223&lt;/D&gt;&lt;/FQL&gt;&lt;FQL&gt;&lt;Q&gt;SPY^FG_PRICE(0,-200D)&lt;/Q&gt;&lt;R&gt;201&lt;/R&gt;&lt;C&gt;1&lt;/C&gt;&lt;D xsi:type="xsd:double"&gt;692.24&lt;/D&gt;&lt;D xsi:type="xsd:double"&gt;690.36&lt;/D&gt;&lt;D xsi:type="xsd:double"&gt;693.77&lt;/D&gt;&lt;D xsi:type="xsd:double"&gt;695.16&lt;/D&gt;&lt;D xsi:type="xsd:double"&gt;694.07&lt;/D&gt;&lt;D xsi:type="xsd:double"&gt;689.51&lt;/D&gt;&lt;D xsi:type="xsd:double"&gt;689.58&lt;/D</t>
        </r>
      </text>
    </comment>
    <comment ref="A9" authorId="0" shapeId="0" xr:uid="{5D1A43FD-7DB5-4A05-8BE8-38FAC510332C}">
      <text>
        <r>
          <rPr>
            <b/>
            <sz val="9"/>
            <color indexed="81"/>
            <rFont val="Tahoma"/>
            <charset val="1"/>
          </rPr>
          <t>&gt;&lt;D xsi:type="xsd:double"&gt;691.81&lt;/D&gt;&lt;D xsi:type="xsd:double"&gt;687.72&lt;/D&gt;&lt;D xsi:type="xsd:double"&gt;683.17&lt;/D&gt;&lt;D xsi:type="xsd:double"&gt;681.92&lt;/D&gt;&lt;D xsi:type="xsd:double"&gt;687.01&lt;/D&gt;&lt;D xsi:type="xsd:double"&gt;687.85&lt;/D&gt;&lt;D xsi:type="xsd:double"&gt;690.31&lt;/D&gt;&lt;D xsi:type="xsd:double"&gt;690.38&lt;/D&gt;&lt;D xsi:type="xsd:double"&gt;687.96&lt;/D&gt;&lt;D xsi:type="xsd:double"&gt;684.83&lt;/D&gt;&lt;D xsi:type="xsd:double"&gt;680.59&lt;/D&gt;&lt;D xsi:type="xsd:double"&gt;676.47&lt;/D&gt;&lt;D xsi:type="xsd:double"&gt;671.4&lt;/D&gt;&lt;D xsi:type="xsd:double"&gt;678.87&lt;/D&gt;&lt;D xsi:type="xsd:double"&gt;680.73&lt;/D&gt;&lt;D xsi:type="xsd:double"&gt;681.76&lt;/D&gt;&lt;D xsi:type="xsd:double"&gt;689.17&lt;/D&gt;&lt;D xsi:type="xsd:double"&gt;687.57&lt;/D&gt;&lt;D xsi:type="xsd:double"&gt;683.04&lt;/D&gt;&lt;D xsi:type="xsd:double"&gt;683.63&lt;/D&gt;&lt;D xsi:type="xsd:double"&gt;685.69&lt;/D&gt;&lt;D xsi:type="xsd:double"&gt;684.39&lt;/D&gt;&lt;D xsi:type="xsd:double"&gt;683.89&lt;/D&gt;&lt;D xsi:type="xsd:double"&gt;681.53&lt;/D&gt;&lt;D xsi:type="xsd:double"&gt;680.27&lt;/D&gt;&lt;D xsi:type="xsd:double"&gt;683.39&lt;/D&gt;&lt;D xsi:type="xsd:double"&gt;679.68&lt;/D&gt;&lt;D xsi:type="xsd:double"&gt;675.02&lt;/D&gt;&lt;D xsi:type="xsd:double"&gt;668.73&lt;/D&gt;&lt;D xsi:type="xsd:double"&gt;659.03&lt;/D&gt;&lt;D xsi:type="xsd:double"&gt;652.53&lt;/D&gt;&lt;D xsi:type="xsd:double"&gt;662.63&lt;/D&gt;&lt;D xsi:type="xsd:double"&gt;660.08&lt;/D&gt;&lt;D xsi:type="xsd:double"&gt;665.67&lt;/D&gt;&lt;D xsi:type="xsd:double"&gt;671.93&lt;/D&gt;&lt;D xsi:type="xsd:double"&gt;672.04&lt;/D&gt;&lt;D xsi:type="xsd:double"&gt;683.38&lt;/D&gt;&lt;D xsi:type="xsd:double"&gt;683&lt;/D&gt;&lt;D xsi:type="xsd:double"&gt;681.44&lt;/D&gt;&lt;D xsi:type="xsd:double"&gt;670.97&lt;/D&gt;&lt;D xsi:type="xsd:double"&gt;670.31&lt;/D&gt;&lt;D xsi:type="xsd:double"&gt;677.58&lt;/D&gt;&lt;D xsi:type="xsd:double"&gt;675.24&lt;/D&gt;&lt;D xsi:type="xsd:double"&gt;683.34&lt;/D&gt;&lt;D xsi:type="xsd:double"&gt;682.06&lt;/D&gt;&lt;D xsi:type="xsd:double"&gt;679.83&lt;/D&gt;&lt;D xsi:type="xsd:double"&gt;687.39&lt;/D&gt;&lt;D xsi:type="xsd:double"&gt;687.06&lt;/D&gt;&lt;D xsi:type="xsd:double"&gt;685.24&lt;/D&gt;&lt;D xsi:type="xsd:double"&gt;677.25&lt;/D&gt;&lt;D xsi:type="xsd:double"&gt;671.76&lt;/D&gt;&lt;D xsi:type="xsd:double"&gt;667.8&lt;/D&gt;&lt;D xsi:type="xsd:double"&gt;671.29&lt;/D&gt;&lt;D xsi:type="xsd:double"&gt;671.3&lt;/D&gt;&lt;D xsi:type="xsd:double"&gt;664.39&lt;/D&gt;&lt;D xsi:type="xsd:double"&gt;660.64&lt;/D&gt;&lt;D xsi:type="xsd:double"&gt;665.17&lt;/D&gt;&lt;D xsi:type="xsd:double"&gt;662.23&lt;/D&gt;&lt;D xsi:type="xsd:double"&gt;663.04&lt;/D&gt;&lt;D xsi:type="xsd:double"&gt;653.02&lt;/D&gt;&lt;D xsi:type="xsd:double"&gt;671.16&lt;/D&gt;&lt;D xsi:type="xsd:double"&gt;673.11&lt;/D&gt;&lt;D xsi:type="xsd:double"&gt;669.12&lt;/D&gt;&lt;D xsi:type="xsd:double"&gt;671.61&lt;/D&gt;&lt;D xsi:type="xsd:double"&gt;669.21&lt;/D&gt;&lt;D xsi:type="xsd:double"&gt;669.22&lt;/D&gt;&lt;D xsi:type="xsd:double"&gt;668.45&lt;/D&gt;&lt;D xsi:type="xsd:double"&gt;666.18&lt;/D&gt;&lt;D xsi:type="xsd:double"&gt;663.68&lt;/D&gt;&lt;D xsi:type="xsd:double"&gt;661.82&lt;/D&gt;&lt;D xsi:type="xsd:double"&gt;658.05&lt;/D&gt;&lt;D xsi:type="xsd:double"&gt;661.1&lt;/D&gt;&lt;D xsi:type="xsd:double"&gt;663.21&lt;/D&gt;&lt;D xsi:type="xsd:double"&gt;666.84&lt;/D&gt;&lt;D xsi:type="xsd:double"&gt;663.7&lt;/D&gt;&lt;D xsi:type="xsd:double"&gt;662.26&lt;/D&gt;&lt;D xsi:type="xsd:double"&gt;659.18&lt;/D&gt;&lt;D xsi:type="xsd:double"&gt;660&lt;/D&gt;&lt;D xsi:type="xsd:double"&gt;660.91&lt;/D&gt;&lt;D xsi:type="xsd:double"&gt;657.41&lt;/D&gt;&lt;D xsi:type="xsd:double"&gt;657.63&lt;/D&gt;&lt;D xsi:type="xsd:double"&gt;652.21&lt;/D&gt;&lt;D xsi:type="xsd:double"&gt;650.33&lt;/D&gt;&lt;D xsi:type="xsd:double"&gt;648.83&lt;/D&gt;&lt;D xsi:type="xsd:double"&gt;647.24&lt;/D&gt;&lt;D xsi:type="xsd:double"&gt;649.12&lt;/D&gt;&lt;D xsi:type="xsd:double"&gt;643.74&lt;/D&gt;&lt;D xsi:type="xsd:double"&gt;640.27&lt;/D&gt;&lt;D xsi:type="xsd:double"&gt;645.05&lt;/D&gt;&lt;D xsi:type="xsd:double"&gt;648.92&lt;/D&gt;&lt;D xsi:type="xsd:double"&gt;646.63&lt;/D&gt;&lt;D xsi:type="xsd:double"&gt;645.16&lt;/D&gt;&lt;D xsi:type="xsd:double"&gt;642.47&lt;/D&gt;&lt;D xsi:type="xsd:double"&gt;645.31&lt;/D&gt;&lt;D xsi:type="xsd:double"&gt;635.55&lt;/D&gt;&lt;D xsi:type="xsd:double"&gt;638.11&lt;/D&gt;&lt;D xsi:type="xsd:double"&gt;639.81&lt;/D&gt;&lt;D xsi:type="xsd:double"&gt;643.3&lt;/D&gt;&lt;D xsi:type="xsd:double"&gt;643.44&lt;/D&gt;&lt;D xsi:type="xsd:double"&gt;644.95&lt;/D&gt;&lt;D xsi:type="xsd:double"&gt;644.89&lt;/D&gt;&lt;D xsi:type="xsd:double"&gt;642.69&lt;/D&gt;&lt;D xsi:type="xsd:double"&gt;635.92&lt;/D&gt;&lt;D xsi:type="xsd:double"&gt;637.18&lt;/D&gt;&lt;D xsi:type="xsd:double"&gt;632.25&lt;/D&gt;&lt;D xsi:type="xsd:double"&gt;632.78&lt;/D&gt;&lt;D xsi:type="xsd:double"&gt;627.97&lt;/D&gt;&lt;D xsi:type="xsd:double"&gt;631.17&lt;/D&gt;&lt;D xsi:type="xsd:double"&gt;621.72&lt;/D&gt;&lt;D xsi:type="xsd:double"&gt;632.08&lt;/D&gt;&lt;D xsi:type="xsd:double"&gt;634.46&lt;/D&gt;&lt;D xsi:type="xsd:double"&gt;635.26&lt;/D&gt;&lt;D xsi:type="xsd:double"&gt;636.94&lt;/D&gt;&lt;D xsi:type="xsd:double"&gt;637.1&lt;/D&gt;&lt;D xsi:type="xsd:double"&gt;634.42&lt;/D&gt;&lt;D xsi:type="xsd:double"&gt;634.21&lt;/D&gt;&lt;D xsi:type="xsd:double"&gt;628.86&lt;/D&gt;&lt;D xsi:type="xsd:double"&gt;628.77&lt;/D&gt;&lt;D xsi:type="xsd:double"&gt;627.58&lt;/D&gt;&lt;D xsi:type="xsd:double"&gt;628.04&lt;/D&gt;&lt;D xsi:type="xsd:double"&gt;624.22&lt;/D&gt;&lt;D xsi:type="xsd:double"&gt;622.14&lt;/D&gt;&lt;D xsi:type="xsd:double"&gt;624.81&lt;/D&gt;&lt;D xsi:type="xsd:double"&gt;623.62&lt;/D&gt;&lt;D xsi:type="xsd:double"&gt;625.82&lt;/D&gt;&lt;D xsi:type="xsd:double"&gt;624.06&lt;/D&gt;&lt;D xsi:type="xsd:double"&gt;620.34&lt;/D&gt;&lt;D xsi:type="xsd:double"&gt;620.68&lt;/D&gt;&lt;D xsi:type="xsd:double"&gt;625.34&lt;/D&gt;&lt;D xsi:type="xsd:double"&gt;620.45&lt;/D&gt;&lt;D xsi:type="xsd:double"&gt;617.65&lt;/D&gt;&lt;D xsi:type="xsd:double"&gt;617.85&lt;/D&gt;&lt;D xsi:type="xsd:double"&gt;614.91&lt;/D&gt;&lt;D xsi:type="xsd:double"&gt;611.87&lt;/D&gt;&lt;D xsi:type="xsd:double"&gt;607.12&lt;/D&gt;&lt;D xsi:type="xsd:double"&gt;606.78&lt;/D&gt;&lt;D xsi:type="xsd:double"&gt;600.15&lt;/D&gt;&lt;D xsi:type="xsd:double"&gt;594.28&lt;/D&gt;&lt;D xsi:type="xsd:double"&gt;597.44&lt;/D&gt;&lt;D xsi:type="xsd:double"&gt;597.53&lt;/D&gt;&lt;D xsi:type="xsd:double"&gt;602.68&lt;/D&gt;&lt;D xsi:type="xsd:double"&gt;597&lt;/D&gt;&lt;D xsi:type="xsd:double"&gt;603.75&lt;/D&gt;&lt;D xsi:type="xsd:double"&gt;601.36&lt;/D&gt;&lt;D xsi:type="xsd:double"&gt;603.08&lt;/D&gt;&lt;D xsi:type="xsd:double"&gt;599.68&lt;/D&gt;&lt;D xsi:type="xsd:double"&gt;599.14&lt;/D&gt;&lt;D xsi:type="xsd:double"&gt;593.05&lt;/D&gt;&lt;D xsi:type="xsd:double"&gt;595.93&lt;/D&gt;&lt;D xsi:type="xsd:double"&gt;596.09&lt;/D&gt;&lt;D xsi:type="xsd:double"&gt;592.71&lt;/D&gt;&lt;D xsi:type="xsd:double"&gt;589.39&lt;/D&gt;&lt;D xsi:type="xsd:double"&gt;590.05&lt;/D&gt;&lt;D xsi:type="xsd:double"&gt;587.73&lt;/D&gt;&lt;D xsi:type="xsd:double"&gt;591.15&lt;/D&gt;&lt;D xsi:type="xsd:double"&gt;579.11&lt;/D&gt;&lt;D xsi:type="xsd:double"&gt;583.09&lt;/D&gt;&lt;D xsi:type="xsd:double"&gt;582.86&lt;/D&gt;&lt;D xsi:type="xsd:double"&gt;592.85&lt;/D&gt;&lt;D xsi:type="xsd:double"&gt;594.85&lt;/D&gt;&lt;D xsi:type="xsd:double"&gt;594.2&lt;/D&gt;&lt;D xsi:type="xsd:double"&gt;590.46&lt;/D&gt;&lt;D xsi:type="xsd:double"&gt;587.59&lt;/D&gt;&lt;D xsi:type="xsd:double"&gt;586.84&lt;/D&gt;&lt;D xsi:type="xsd:double"&gt;582.99&lt;/D&gt;&lt;D xsi:type="xsd:double"&gt;564.34&lt;/D&gt;&lt;D xsi:type="xsd:double"&gt;565.06&lt;/D&gt;&lt;D xsi:type="xsd:double"&gt;561.15&lt;/D&gt;&lt;D xsi:type="xsd:double"&gt;558.8&lt;/D&gt;&lt;D xsi:type="xsd:double"&gt;563.51&lt;/D&gt;&lt;D xsi:type="xsd:double"&gt;566.76&lt;/D&gt;&lt;D xsi:type="xsd:double"&gt;558.47&lt;/D&gt;&lt;D xsi:type="xsd:double"&gt;554.54&lt;/D&gt;&lt;D xsi:type="xsd:double"&gt;554.32&lt;/D&gt;&lt;D xsi:type="xsd:double"&gt;550.85&lt;/D&gt;&lt;D xsi:type="xsd:double"&gt;550.64&lt;/D&gt;&lt;D xsi:type="xsd:double"&gt;546.69&lt;/D&gt;&lt;D xsi:type="xsd:double"&gt;535.42&lt;/D&gt;&lt;D xsi:type="xsd:double"&gt;527.25&lt;/D&gt;&lt;D xsi:type="xsd:double"&gt;513.88&lt;/D&gt;&lt;D xsi:type="xsd:double"&gt;526.41&lt;/D&gt;&lt;D xsi:type="xsd:double"&gt;525.66&lt;/D&gt;&lt;D xsi:type="xsd:double"&gt;537.61&lt;/D&gt;&lt;D xsi:type="xsd:double"&gt;539.12&lt;/D&gt;&lt;D xsi:type="xsd:double"&gt;533.94&lt;/D&gt;&lt;D xsi:type="xsd:double"&gt;524.58&lt;/D&gt;&lt;D xsi:type="xsd:double"&gt;548.62&lt;/D&gt;&lt;D xsi:type="xsd:double"&gt;496.48&lt;/D&gt;&lt;D xsi:type="xsd:double"&gt;504.38&lt;/D&gt;&lt;D xsi:type="xsd:double"&gt;505.28&lt;/D&gt;&lt;D xsi:type="xsd:double"&gt;536.7&lt;/D&gt;&lt;D xsi:type="xsd:double"&gt;564.52&lt;/D&gt;&lt;D xsi:type="xsd:double"&gt;560.97&lt;/D&gt;&lt;D xsi:type="xsd:double"&gt;559.39&lt;/D&gt;&lt;/FQL&gt;&lt;FQL&gt;&lt;Q&gt;ENZL^FG_PRICE(0,-200D)&lt;/Q&gt;&lt;R&gt;201&lt;/R&gt;&lt;C&gt;1&lt;/C&gt;&lt;D xsi:type="xsd:double"&gt;45.6301&lt;/D&gt;&lt;D xsi:type="xsd:double"&gt;45.89&lt;/D&gt;&lt;D xsi:type="xsd:double"&gt;45.52&lt;/D&gt;&lt;D xsi:type="xsd:double"&gt;46.1&lt;/D&gt;&lt;D xsi:type="xsd:double"&gt;45.98&lt;/D&gt;&lt;D xsi:type="xsd:double"&gt;46.115&lt;/D&gt;&lt;D xsi:type="xsd:double"&gt;46.295&lt;/D&gt;&lt;D xsi:type="xsd:double"&gt;46.1476&lt;/D&gt;&lt;D xsi:type="xsd:double"&gt;45.8584&lt;/D&gt;&lt;D xsi:type="xsd:double"&gt;45.4719&lt;/D&gt;&lt;D xsi:type="xsd:double"&gt;45.2715&lt;/D&gt;&lt;D xsi:type="xsd:double"&gt;45.41&lt;/D&gt;&lt;D xsi:type="xsd:double"&gt;45.41&lt;/D&gt;&lt;D xsi:type="xsd:double"&gt;45.73&lt;/D&gt;&lt;D xsi:type="xsd:double"&gt;45.74&lt;/D&gt;&lt;D xsi:type="xsd:double"&gt;45.54&lt;/D&gt;&lt;D xsi:type="xsd:double"&gt;45.18&lt;/D&gt;&lt;D xsi:type="xsd:double"&gt;44.82&lt;/D&gt;&lt;D xsi:type="xsd:double"&gt;44.6999&lt;/D&gt;&lt;D xsi:type="xsd:double"&gt;44.635&lt;/D&gt;&lt;D xsi:type="xsd:double"&gt;45.1265&lt;/D&gt;&lt;D xsi:type="xsd:double"&gt;45.75&lt;/D&gt;&lt;D xsi:type="xsd:double"&gt;45.71&lt;/D&gt;&lt;D xsi:type="xsd:double"&gt;46.35&lt;/D&gt;&lt;D xsi:type="xsd:double"&gt;46.2943&lt;/D&gt;&lt;D xsi:type="xsd:double"&gt;45.9504&lt;/D&gt;&lt;D xsi:type="xsd:double"&gt;46.0267&lt;/D&gt;&lt;D xsi:type="xsd:double"&gt;45.995&lt;/D&gt;&lt;D xsi:type="xsd:double"&gt;46.005&lt;/D&gt;&lt;D xsi:type="xsd:double"&gt;46.1656&lt;/D&gt;&lt;D xsi:type="xsd:double"&gt;45.8184&lt;/D&gt;&lt;D xsi:type="xsd:double"&gt;45.48&lt;/D&gt;&lt;D xsi:type="xsd:double"&gt;45.6257&lt;/D&gt;&lt;D xsi:type="xsd:double"&gt;45.47&lt;/D&gt;&lt;D xsi:type="xsd:double"&gt;44.6994&lt;/D&gt;&lt;D xsi:type="xsd:double"&gt;44.47&lt;/D&gt;&lt;D xsi:type="xsd:double"&gt;44.33&lt;/D&gt;&lt;D xsi:type="xsd:double"&gt;43.75&lt;/D&gt;&lt;D xsi:type="xsd:double"&gt;43.6663&lt;/D&gt;&lt;D xsi:type="xsd:double"&gt;44.2359&lt;/D&gt;&lt;D xsi:type="xsd:double"&gt;44.4932&lt;/D&gt;&lt;D xsi:type="xsd:double"&gt;44.845&lt;/D&gt;&lt;D xsi:type="xsd:double"&gt;44.9434&lt;/D&gt;&lt;D xsi:type="xsd:double"&gt;45.6572&lt;/D&gt;&lt;D xsi:type="xsd:double"&gt;45.675&lt;/D&gt;&lt;D xsi:type="xsd:double"&gt;45.6841&lt;/D&gt;&lt;D xsi:type="xsd:double"&gt;45.5808&lt;/D&gt;&lt;D xsi:type="xsd:double"&gt;45.3331&lt;/D&gt;&lt;D xsi:type="xsd:double"&gt;45.91&lt;/D&gt;&lt;D xsi:type="xsd:double"&gt;45.38&lt;/D&gt;&lt;D xsi:type="xsd:double"&gt;45.7056&lt;/D&gt;&lt;D xsi:type="xsd:double"&gt;45.89&lt;/D&gt;&lt;D xsi:type="xsd:double"&gt;45.755&lt;/D&gt;&lt;D xsi:type="xsd:double"&gt;45.675&lt;/D&gt;&lt;D xsi:type="xsd:double"&gt;45.845&lt;/D&gt;&lt;D xsi:type="xsd:double"&gt;45.99&lt;/D&gt;&lt;D xsi:type="xsd:double"&gt;45.615&lt;/D&gt;&lt;D xsi:type="xsd:double"&gt;45.52&lt;/D&gt;&lt;D xsi:type="xsd:double"&gt;45.2309&lt;/D&gt;&lt;D xsi:type="xsd:double"&gt;45.325&lt;/D&gt;&lt;D xsi:type="xsd:double"&gt;45.56&lt;/D&gt;&lt;D xsi:type="xsd:double"&gt;45.175&lt;/D&gt;&lt;D xsi:type="xsd:double"&gt;45.42&lt;/D&gt;&lt;D xsi:type="xsd:double"&gt;45.14&lt;/D&gt;&lt;D xsi:type="xsd:double"&gt;45.0665&lt;/D&gt;&lt;D xsi:type="xsd:double"&gt;45.45&lt;/D&gt;&lt;D xsi:type="xsd:double"&gt;45.805&lt;/D&gt;&lt;D xsi:type="xsd:double"&gt;46.575&lt;/D&gt;&lt;D xsi:type="xsd:double"&gt;47.095&lt;/D&gt;&lt;D xsi:type="xsd:double"&gt;47.05&lt;/D&gt;&lt;D xsi:type="xsd:double"&gt;47.135&lt;/D&gt;&lt;D xsi:type="xsd:double"&gt;47.1883&lt;/D&gt;&lt;D xsi:type="xsd:double"&gt;46.68&lt;/D&gt;&lt;D xsi:type="xsd:double"&gt;46.7116&lt;/D&gt;&lt;D xsi:type="xsd:double"&gt;45.9334&lt;/D&gt;&lt;D xsi:type="xsd:double"&gt;45.485&lt;/D&gt;&lt;D xsi:type="xsd:double"&gt;45.365&lt;/D&gt;&lt;D xsi:type="xsd:double"&gt;45.1969&lt;/D&gt;&lt;D xsi:type="xsd:double"&gt;45.5963&lt;/D&gt;&lt;D xsi:type="xsd:double"&gt;45.8659&lt;/D&gt;&lt;D xsi:type="xsd:double"&gt;46.2872&lt;/D&gt;&lt;D xsi:type="xsd:double"&gt;46.41&lt;/D&gt;&lt;D xsi:type="xsd:double"&gt;46.255&lt;/D&gt;&lt;D xsi:type="xsd:double"&gt;47.045&lt;/D&gt;&lt;D xsi:type="xsd:double"&gt;47.0204&lt;/D&gt;&lt;D xsi:type="xsd:double"&gt;47.1072&lt;/D&gt;&lt;D xsi:type="xsd:double"&gt;46.74&lt;/D&gt;&lt;D xsi:type="xsd:double"&gt;47.225&lt;/D&gt;&lt;D xsi:type="xsd:double"&gt;46.85&lt;/D&gt;&lt;D xsi:type="xsd:double"&gt;46.655&lt;/D&gt;&lt;D xsi:type="xsd:double"&gt;46.74&lt;/D&gt;&lt;D xsi:type="xsd:double"&gt;46.13&lt;/D&gt;&lt;D xsi:type="xsd:double"&gt;45.37&lt;/D&gt;&lt;D xsi:type="xsd:double"&gt;45.495&lt;/D&gt;&lt;D xsi:type="xsd:double"&gt;45.3801&lt;/D&gt;&lt;D xsi:type="xsd:double"&gt;44.86&lt;/D&gt;&lt;D xsi:type="xsd:double"&gt;44.87&lt;/D&gt;&lt;D xsi:type="xsd:double"&gt;44.67&lt;/D&gt;&lt;D xsi:type="xsd:double"&gt;45.19&lt;/D&gt;&lt;D xsi:type="xsd:double"&gt;45.62&lt;/D&gt;&lt;D xsi:type="xsd:double"&gt;45.7829&lt;/D&gt;&lt;D xsi:type="xsd:double"&gt;45.58&lt;/D&gt;&lt;D xsi:type="xsd:double"&gt;45.675&lt;/D&gt;&lt;D xsi:type="xsd:double"&gt;45.605&lt;/D&gt;&lt;D xsi:type="xsd:double"&gt;45.845&lt;/D&gt;&lt;D xsi:type="xsd:double"&gt;45.684&lt;/D&gt;&lt;D xsi:type="xsd:double"&gt;45.57&lt;/D&gt;&lt;D xsi:type="xsd:double"&gt;45.82&lt;/D&gt;&lt;D xsi:type="xsd:double"&gt;45.659&lt;/D&gt;&lt;D xsi:type="xsd:double"&gt;45.79&lt;/D&gt;&lt;D xsi:type="xsd:double"&gt;45.745&lt;/D&gt;&lt;D xsi:type="xsd:double"&gt;45.795&lt;/D&gt;&lt;D xsi:type="xsd:double"&gt;45.63&lt;/D&gt;&lt;D xsi:type="xsd:double"&gt;45.255&lt;/D&gt;&lt;D xsi:type="xsd:double"&gt;44.93&lt;/D&gt;&lt;D xsi:type="xsd:double"&gt;44.69&lt;/D&gt;&lt;D xsi:type="xsd:double"&gt;45.05&lt;/D&gt;&lt;D xsi:type="xsd:double"&gt;45.19&lt;/D&gt;&lt;D xsi:type="xsd:double"&gt;45.8343&lt;/D&gt;&lt;D xsi:type="xsd:double"&gt;45.64&lt;/D&gt;&lt;D xsi:type="xsd:double"&gt;46.0511&lt;/D&gt;&lt;D xsi:type="xsd:double"&gt;45.98&lt;/D&gt;&lt;D xsi:type="xsd:double"&gt;46.135&lt;/D&gt;&lt;D xsi:type="xsd:double"&gt;46.155&lt;/D&gt;&lt;D xsi:type="xsd:double"&gt;46.3676&lt;/D&gt;&lt;D xsi:type="xsd:double"&gt;45.695&lt;/D&gt;&lt;D xsi:type="xsd:double"&gt;45.872&lt;/D&gt;&lt;D xsi:type="xsd:double"&gt;45.56&lt;/D&gt;&lt;D xsi:type="xsd:double"&gt;44.89&lt;/D&gt;&lt;D xsi:type="xsd:double"&gt;45.49&lt;/D&gt;&lt;D xsi:type="xsd:double"&gt;45.76&lt;/D&gt;&lt;D xsi:type="xsd:double"&gt;46.01&lt;/D&gt;&lt;D xsi:type="xsd:double"&gt;46.07&lt;/D&gt;&lt;D xsi:type="xsd:double"&gt;45.98&lt;/D&gt;&lt;D xsi:type="xsd:double"&gt;45.5&lt;/D&gt;&lt;D xsi:type="xsd:double"&gt;45.96&lt;/D&gt;&lt;D xsi:type="xsd:double"&gt;46.265&lt;/D&gt;&lt;D xsi:type="xsd:double"&gt;45.96&lt;/D&gt;&lt;D xsi:type="xsd:double"&gt;45.61&lt;/D&gt;&lt;D xsi:type="xsd:double"&gt;45.37&lt;/D&gt;&lt;D xsi:type="xsd:double"&gt;45.32&lt;/D&gt;&lt;D xsi:type="xsd:double"&gt;44.6&lt;/D&gt;&lt;D xsi:type="xsd:double"&gt;44.79&lt;/D&gt;&lt;D xsi:type="xsd:double"&gt;44.86&lt;/D&gt;&lt;D xsi:type="xsd:double"&gt;44.6&lt;/D&gt;&lt;D xsi:type="xsd:double"&gt;45.08&lt;/D&gt;&lt;D xsi:type="xsd:double"&gt;45.09&lt;/D&gt;&lt;D xsi:type="xsd:double"&gt;45.97&lt;/D&gt;&lt;D xsi:type="xsd:double"&gt;45.19&lt;/D&gt;&lt;D xsi:type="xsd:double"&gt;46.07&lt;/D&gt;&lt;D xsi:type="xsd:double"&gt;45.76&lt;/D&gt;&lt;D xsi:type="xsd:double"&gt;45.65&lt;/D&gt;&lt;D xsi:type="xsd:double"&gt;45.32&lt;/D&gt;&lt;D xsi:type="xsd:double"&gt;45.31&lt;/D&gt;&lt;D xsi:type="xsd:double"&gt;45.53&lt;/D&gt;&lt;D xsi:type="xsd:double"&gt;45.25&lt;/D&gt;&lt;D xsi:type="xsd:double"&gt;44.61&lt;/D&gt;&lt;D xsi:type="xsd:double"&gt;45.04&lt;/D&gt;&lt;D xsi:type="xsd:double"&gt;44.39&lt;/D&gt;&lt;D xsi:type="xsd:double"&gt;43.97&lt;/D&gt;&lt;D xsi:type="xsd:double"&gt;44.23&lt;/D&gt;&lt;D xsi:type="xsd:double"&gt;45.38&lt;/D&gt;&lt;D xsi:type="xsd:double"&gt;45.36&lt;/D&gt;&lt;D xsi:type="xsd:double"&gt;45.08&lt;/D&gt;&lt;D xsi:type="xsd:double"&gt;45.22&lt;/D&gt;&lt;D xsi:type="xsd:double"&gt;45.2&lt;/D&gt;&lt;D xsi:type="xsd:double"&gt;45.15&lt;/D&gt;&lt;D xsi:type="xsd:double"&gt;45.41&lt;/D&gt;&lt;D xsi:type="xsd:double"&gt;45.6&lt;/D&gt;&lt;D xsi:type="xsd:double"&gt;45.33&lt;/D&gt;&lt;D xsi:type="xsd:double"&gt;45.62&lt;/D&gt;&lt;D xsi:type="xsd:double"&gt;44.75&lt;/D&gt;&lt;D xsi:type="xsd:double"&gt;45.17&lt;/D&gt;&lt;D xsi:type="xsd:double"&gt;44.23&lt;/D&gt;&lt;D xsi:type="xsd:double"&gt;44.56&lt;/D&gt;&lt;D xsi:type="xsd:double"&gt;44.82&lt;/D&gt;&lt;D xsi:type="xsd:double"&gt;44.49&lt;/D&gt;&lt;D xsi:type="xsd:double"&gt;44.29&lt;/D&gt;&lt;D xsi:type="xsd:double"&gt;43.06&lt;/D&gt;&lt;D xsi:type="xsd:double"&gt;42.61&lt;/D&gt;&lt;D xsi:type="xsd:double"&gt;43.35&lt;/D&gt;&lt;D xsi:type="xsd:double"&gt;43.6&lt;/D&gt;&lt;D xsi:type="xsd:double"&gt;43.76&lt;/D&gt;&lt;D xsi:type="xsd:double"&gt;43.805&lt;/D&gt;&lt;D xsi:type="xsd:double"&gt;42.8238&lt;/D&gt;&lt;D xsi:type="xsd:double"&gt;43.095&lt;/D&gt;&lt;D xsi:type="xsd:double"&gt;43.38&lt;/D&gt;&lt;D xsi:type="xsd:double"&gt;43.5&lt;/D&gt;&lt;D xsi:type="xsd:double"&gt;43.03&lt;/D&gt;&lt;D xsi:type="xsd:double"&gt;42.68&lt;/D&gt;&lt;D xsi:type="xsd:double"&gt;43.1&lt;/D&gt;&lt;D xsi:type="xsd:double"&gt;42.39&lt;/D&gt;&lt;D xsi:type="xsd:double"&gt;41.79&lt;/D&gt;&lt;D xsi:type="xsd:double"&gt;41.36&lt;/D&gt;&lt;D xsi:type="xsd:double"&gt;39.48&lt;/D&gt;&lt;D xsi:type="xsd:double"&gt;39.39&lt;/D&gt;&lt;D xsi:type="xsd:double"&gt;40.13&lt;/D&gt;&lt;D xsi:type="xsd:double"&gt;42.72&lt;/D&gt;&lt;D xsi:type="xsd:double"&gt;42.67&lt;/D&gt;&lt;D xsi:type="xsd:double"&gt;42.39&lt;/D&gt;&lt;D xsi:type="xsd:double"&gt;42.08&lt;/D&gt;&lt;/FQL&gt;&lt;FQL&gt;&lt;Q&gt;EPU^FG_PRICE(0,-200D)&lt;/Q&gt;&lt;R&gt;201&lt;/R&gt;&lt;C&gt;1&lt;/C&gt;&lt;D xsi:type="xsd:double"&gt;83.01&lt;/D&gt;&lt;D xsi:type="xsd:double"&gt;82.26&lt;/D&gt;&lt;D xsi:type="xsd:double"&gt;80.99&lt;/D&gt;&lt;D xsi:type="xsd:double"&gt;80.55&lt;/D&gt;&lt;D xsi:type="xsd:double"&gt;78.19&lt;/D&gt;&lt;D xsi:type="xsd:double"&gt;76.55&lt;/D&gt;&lt;D xsi:type="xsd:double"&gt;75.42&lt;/D&gt;&lt;D xsi:type="xsd:double"&gt;76.71&lt;/D&gt;&lt;D xsi:type="xsd:double"&gt;74.87&lt;/D&gt;&lt;D xsi:type="xsd:double"&gt;72.71&lt;/D&gt;&lt;D xsi:type="xsd:double"&gt;72.35&lt;/D&gt;&lt;D xsi:type="xsd:double"&gt;72.91&lt;/D&gt;&lt;D xsi:type="xsd:double"&gt;71.95&lt;/D&gt;&lt;D xsi:type="xsd:double"&gt;73.77&lt;/D&gt;&lt;D xsi:type="xsd:double"&gt;72.74&lt;/D&gt;&lt;D xsi:type="xsd:double"&gt;72.78&lt;/D&gt;&lt;D xsi:type="xsd:double"&gt;72.08&lt;/D&gt;&lt;D xsi:type="xsd:double"&gt;71.2&lt;/D&gt;&lt;D xsi:type="xsd:double"&gt;69.98&lt;/D&gt;&lt;D xsi:type="xsd:double"&gt;69.18&lt;/D&gt;&lt;D xsi:type="xsd:double"&gt;69.3&lt;/D&gt;&lt;D xsi:type="xsd:double"&gt;69.25&lt;/D&gt;&lt;D xsi:type="xsd:double"&gt;69.3&lt;/D&gt;&lt;D xsi:type="xsd:double"&gt;69.68&lt;/D&gt;&lt;D xsi:type="xsd:double"&gt;68.29&lt;/D&gt;&lt;D xsi:type="xsd:double"&gt;67.48&lt;/D&gt;&lt;D xsi:type="xsd:double"&gt;66.53&lt;/D&gt;&lt;D xsi:type="xsd:double"&gt;67.03&lt;/D&gt;&lt;D xsi:type="xsd:double"&gt;67&lt;/D&gt;&lt;D xsi:type="xsd:double"&gt;66.03&lt;/D&gt;&lt;D xsi:type="xsd:double"&gt;64.67&lt;/D&gt;&lt;D xsi:type="xsd:double"&gt;64.57&lt;/D&gt;&lt;D xsi:type="xsd:double"&gt;64.47&lt;/D&gt;&lt;D xsi:type="xsd:double"&gt;63.1&lt;/D&gt;&lt;D xsi:type="xsd:double"&gt;61.56&lt;/D&gt;&lt;D xsi:type="xsd:double"&gt;61.02&lt;/D&gt;&lt;D xsi:type="xsd:double"&gt;59.64&lt;/D&gt;&lt;D xsi:type="xsd:double"&gt;59.5&lt;/D&gt;&lt;D xsi:type="xsd:double"&gt;61.25&lt;/D&gt;&lt;D xsi:type="xsd:double"&gt;60.32&lt;/D&gt;&lt;D xsi:type="xsd:double"&gt;61.1636&lt;/D&gt;&lt;D xsi:type="xsd:double"&gt;62.34&lt;/D&gt;&lt;D xsi:type="xsd:double"&gt;62.52&lt;/D&gt;&lt;D xsi:type="xsd:double"&gt;64.38&lt;/D&gt;&lt;D xsi:type="xsd:double"&gt;63.04&lt;/D&gt;&lt;D xsi:type="xsd:double"&gt;63.13&lt;/D&gt;&lt;D xsi:type="xsd:double"&gt;61.77&lt;/D&gt;&lt;D xsi:type="xsd:double"&gt;61.75&lt;/D&gt;&lt;D xsi:type="xsd:double"&gt;61.39&lt;/D&gt;&lt;D xsi:type="xsd:double"&gt;60.31&lt;/D&gt;&lt;D xsi:type="xsd:double"&gt;62.16&lt;/D&gt;&lt;D xsi:type="xsd:double"&gt;62.78&lt;/D&gt;&lt;D xsi:type="xsd:double"&gt;63.11&lt;/D&gt;&lt;D xsi:type="xsd:double"&gt;63.12&lt;/D&gt;&lt;D xsi:type="xsd:double"&gt;62.53&lt;/D&gt;&lt;D xsi:type="xsd:double"&gt;61.55&lt;/D&gt;&lt;D xsi:type="xsd:double"&gt;61.62&lt;/D&gt;&lt;D xsi:type="xsd:double"&gt;61.61&lt;/D&gt;&lt;D xsi:type="xsd:double"&gt;60.71&lt;/D&gt;&lt;D xsi:type="xsd:double"&gt;61.35&lt;/D&gt;&lt;D xsi:type="xsd:double"&gt;64&lt;/D&gt;&lt;D xsi:type="xsd:double"&gt;62.97&lt;/D&gt;&lt;D xsi:type="xsd:double"&gt;64.55&lt;/D&gt;&lt;D xsi:type="xsd:double"&gt;64.1&lt;/D&gt;&lt;D xsi:type="xsd:double"&gt;63.3&lt;/D&gt;&lt;D xsi:type="xsd:double"&gt;63.41&lt;/D&gt;&lt;D xsi:type="xsd:double"&gt;60.91&lt;/D&gt;&lt;D xsi:type="xsd:double"&gt;62.65&lt;/D&gt;&lt;D xsi:type="xsd:double"&gt;63.53&lt;/D&gt;&lt;D xsi:type="xsd:double"&gt;61.87&lt;/D&gt;&lt;D xsi:type="xsd:double"&gt;62.71&lt;/D&gt;&lt;D xsi:type="xsd:double"&gt;62.31&lt;/D&gt;&lt;D xsi:type="xsd:double"&gt;61.33&lt;/D&gt;&lt;D xsi:type="xsd:double"&gt;61.05&lt;/D&gt;&lt;D xsi:type="xsd:double"&gt;61.5&lt;/D&gt;&lt;D xsi:type="xsd:double"&gt;60.8036&lt;/D&gt;&lt;D xsi:type="xsd:double"&gt;59.3&lt;/D&gt;&lt;D xsi:type="xsd:double"&gt;59.78&lt;/D&gt;&lt;D xsi:type="xsd:double"&gt;59.89&lt;/D&gt;&lt;D xsi:type="xsd:double"&gt;58.88&lt;/D&gt;&lt;D xsi:type="xsd:double"&gt;58.59&lt;/D&gt;&lt;D xsi:type="xsd:double"&gt;57.8112&lt;/D&gt;&lt;D xsi:type="xsd:double"&gt;57.14&lt;/D&gt;&lt;D xsi:type="xsd:double"&gt;57.8745&lt;/D&gt;&lt;D xsi:type="xsd:double"&gt;57.9154&lt;/D&gt;&lt;D xsi:type="xsd:double"&gt;58.4354&lt;/D&gt;&lt;D xsi:type="xsd:double"&gt;57.768&lt;/D&gt;&lt;D xsi:type="xsd:double"&gt;57.5472&lt;/D&gt;&lt;D xsi:type="xsd:double"&gt;56.45&lt;/D&gt;&lt;D xsi:type="xsd:double"&gt;56&lt;/D&gt;&lt;D xsi:type="xsd:double"&gt;56.6475&lt;/D&gt;&lt;D xsi:type="xsd:double"&gt;56.5&lt;/D&gt;&lt;D xsi:type="xsd:double"&gt;55.73&lt;/D&gt;&lt;D xsi:type="xsd:double"&gt;56.01&lt;/D&gt;&lt;D xsi:type="xsd:double"&gt;54.91&lt;/D&gt;&lt;D xsi:type="xsd:double"&gt;53.8&lt;/D&gt;&lt;D xsi:type="xsd:double"&gt;53.4188&lt;/D&gt;&lt;D xsi:type="xsd:double"&gt;52.9672&lt;/D&gt;&lt;D xsi:type="xsd:double"&gt;53.39&lt;/D&gt;&lt;D xsi:type="xsd:double"&gt;52.93&lt;/D&gt;&lt;D xsi:type="xsd:double"&gt;53.23&lt;/D&gt;&lt;D xsi:type="xsd:double"&gt;52.009&lt;/D&gt;&lt;D xsi:type="xsd:double"&gt;51.75&lt;/D&gt;&lt;D xsi:type="xsd:double"&gt;51.68&lt;/D&gt;&lt;D xsi:type="xsd:double"&gt;52.3821&lt;/D&gt;&lt;D xsi:type="xsd:double"&gt;52.1916&lt;/D&gt;&lt;D xsi:type="xsd:double"&gt;51.95&lt;/D&gt;&lt;D xsi:type="xsd:double"&gt;52.16&lt;/D&gt;&lt;D xsi:type="xsd:double"&gt;51.75&lt;/D&gt;&lt;D xsi:type="xsd:double"&gt;51.1309&lt;/D&gt;&lt;D xsi:type="xsd:double"&gt;51.72&lt;/D&gt;&lt;D xsi:type="xsd:double"&gt;50.7055&lt;/D&gt;&lt;D xsi:type="xsd:double"&gt;50.1833&lt;/D&gt;&lt;D xsi:type="xsd:double"&gt;49.7&lt;/D&gt;&lt;D xsi:type="xsd:double"&gt;49.27&lt;/D&gt;&lt;D xsi:type="xsd:double"&gt;48.35&lt;/D&gt;&lt;D xsi:type="xsd:double"&gt;48.65&lt;/D&gt;&lt;D xsi:type="xsd:double"&gt;47.99&lt;/D&gt;&lt;D xsi:type="xsd:double"&gt;49.44&lt;/D&gt;&lt;D xsi:type="xsd:double"&gt;49.15&lt;/D&gt;&lt;D xsi:type="xsd:double"&gt;49.61&lt;/D&gt;&lt;D xsi:type="xsd:double"&gt;49.98&lt;/D&gt;&lt;D xsi:type="xsd:double"&gt;50.3&lt;/D&gt;&lt;D xsi:type="xsd:double"&gt;49.55&lt;/D&gt;&lt;D xsi:type="xsd:double"&gt;48.93&lt;/D&gt;&lt;D xsi:type="xsd:double"&gt;48.32&lt;/D&gt;&lt;D xsi:type="xsd:double"&gt;48.2014&lt;/D&gt;&lt;D xsi:type="xsd:double"&gt;48.0038&lt;/D&gt;&lt;D xsi:type="xsd:double"&gt;48.12&lt;/D&gt;&lt;D xsi:type="xsd:double"&gt;48.69&lt;/D&gt;&lt;D xsi:type="xsd:double"&gt;48.83&lt;/D&gt;&lt;D xsi:type="xsd:double"&gt;49.12&lt;/D&gt;&lt;D xsi:type="xsd:double"&gt;48.81&lt;/D&gt;&lt;D xsi:type="xsd:double"&gt;49.3&lt;/D&gt;&lt;D xsi:type="xsd:double"&gt;49.62&lt;/D&gt;&lt;D xsi:type="xsd:double"&gt;50.06&lt;/D&gt;&lt;D xsi:type="xsd:double"&gt;49.75&lt;/D&gt;&lt;D xsi:type="xsd:double"&gt;48.8572&lt;/D&gt;&lt;D xsi:type="xsd:double"&gt;48.59&lt;/D&gt;&lt;D xsi:type="xsd:double"&gt;48.49&lt;/D&gt;&lt;D xsi:type="xsd:double"&gt;49.1078&lt;/D&gt;&lt;D xsi:type="xsd:double"&gt;47.3159&lt;/D&gt;&lt;D xsi:type="xsd:double"&gt;47.313&lt;/D&gt;&lt;D xsi:type="xsd:double"&gt;46.97&lt;/D&gt;&lt;D xsi:type="xsd:double"&gt;47.08&lt;/D&gt;&lt;D xsi:type="xsd:double"&gt;47.4137&lt;/D&gt;&lt;D xsi:type="xsd:double"&gt;47.62&lt;/D&gt;&lt;D xsi:type="xsd:double"&gt;47.7117&lt;/D&gt;&lt;D xsi:type="xsd:double"&gt;48.2913&lt;/D&gt;&lt;D xsi:type="xsd:double"&gt;48.5848&lt;/D&gt;&lt;D xsi:type="xsd:double"&gt;48.44&lt;/D&gt;&lt;D xsi:type="xsd:double"&gt;48.2311&lt;/D&gt;&lt;D xsi:type="xsd:double"&gt;48.53&lt;/D&gt;&lt;D xsi:type="xsd:double"&gt;48.5916&lt;/D&gt;&lt;D xsi:type="xsd:double"&gt;48.7961&lt;/D&gt;&lt;D xsi:type="xsd:double"&gt;48.065&lt;/D&gt;&lt;D xsi:type="xsd:double"&gt;47.95&lt;/D&gt;&lt;D xsi:type="xsd:double"&gt;47.72&lt;/D&gt;&lt;D xsi:type="xsd:double"&gt;46.64&lt;/D&gt;&lt;D xsi:type="xsd:double"&gt;46.6136&lt;/D&gt;&lt;D xsi:type="xsd:double"&gt;46.5428&lt;/D&gt;&lt;D xsi:type="xsd:double"&gt;46.83&lt;/D&gt;&lt;D xsi:type="xsd:double"&gt;46.76&lt;/D&gt;&lt;D xsi:type="xsd:double"&gt;45.76&lt;/D&gt;&lt;D xsi:type="xsd:double"&gt;45.66&lt;/D&gt;&lt;D xsi:type="xsd:double"&gt;45.57&lt;/D&gt;&lt;D xsi:type="xsd:double"&gt;45.16&lt;/D&gt;&lt;D xsi:type="xsd:double"&gt;44.57&lt;/D&gt;&lt;D xsi:type="xsd:double"&gt;45.06&lt;/D&gt;&lt;D xsi:type="xsd:double"&gt;44.95&lt;/D&gt;&lt;D xsi:type="xsd:double"&gt;45.11&lt;/D&gt;&lt;D xsi:type="xsd:double"&gt;44.74&lt;/D&gt;&lt;D xsi:type="xsd:double"&gt;45.3303&lt;/D&gt;&lt;D xsi:type="xsd:double"&gt;45.02&lt;/D&gt;&lt;D xsi:type="xsd:double"&gt;44.79&lt;/D&gt;&lt;D xsi:type="xsd:double"&gt;45.45&lt;/D&gt;&lt;D xsi:type="xsd:double"&gt;44.7003&lt;/D&gt;&lt;D xsi:type="xsd:double"&gt;44.44&lt;/D&gt;&lt;D xsi:type="xsd:double"&gt;43.74&lt;/D&gt;&lt;D xsi:type="xsd:double"&gt;44.33&lt;/D&gt;&lt;D xsi:type="xsd:double"&gt;44.8&lt;/D&gt;&lt;D xsi:type="xsd:double"&gt;44.6021&lt;/D&gt;&lt;D xsi:type="xsd:double"&gt;44.4285&lt;/D&gt;&lt;D xsi:type="xsd:double"&gt;44.55&lt;/D&gt;&lt;D xsi:type="xsd:double"&gt;43.98&lt;/D&gt;&lt;D xsi:type="xsd:double"&gt;43.836&lt;/D&gt;&lt;D xsi:type="xsd:double"&gt;43.48&lt;/D&gt;&lt;D xsi:type="xsd:double"&gt;43.2&lt;/D&gt;&lt;D xsi:type="xsd:double"&gt;43.3511&lt;/D&gt;&lt;D xsi:type="xsd:double"&gt;43.15&lt;/D&gt;&lt;D xsi:type="xsd:double"&gt;43.14&lt;/D&gt;&lt;D xsi:type="xsd:double"&gt;42.085&lt;/D&gt;&lt;D xsi:type="xsd:double"&gt;40.8059&lt;/D&gt;&lt;D xsi:type="xsd:double"&gt;41.46&lt;/D&gt;&lt;D xsi:type="xsd:double"&gt;38.53&lt;/D&gt;&lt;D xsi:type="xsd:double"&gt;39.07&lt;/D&gt;&lt;D xsi:type="xsd:double"&gt;40.05&lt;/D&gt;&lt;D xsi:type="xsd:double"&gt;43.42&lt;/D&gt;&lt;D xsi:type="xsd:double"&gt;44.85&lt;/D&gt;&lt;D xsi:type="xsd:double"&gt;44.57&lt;/D&gt;&lt;D xsi:type="xsd:double"&gt;43.89&lt;/D&gt;&lt;/FQL&gt;&lt;FQL&gt;&lt;Q&gt;EWD^FG_TOTAL_RETURNC(-5AY,0,AM)&lt;/Q&gt;&lt;R&gt;61&lt;/R&gt;&lt;C&gt;1&lt;/C&gt;&lt;D xsi:type="xsd:double"&gt;2.891624&lt;/D&gt;&lt;D xsi:type="xsd:double"&gt;4.7165155&lt;/D&gt;&lt;D xsi:type="xsd:double"&gt;4.8541427&lt;/D&gt;&lt;D xsi:type="xsd:double"&gt;5.4751873&lt;/D&gt;&lt;D xsi:type="xsd:double"&gt;2.0468473&lt;/D&gt;&lt;D xsi:type="xsd:double"&gt;1.6304255&lt;/D&gt;&lt;D xsi:type="xsd:double"&gt;-1.4157832&lt;/D&gt;&lt;D xsi:type="xsd:double"&gt;3.4213424&lt;/D&gt;&lt;D xsi:type="xsd:double"&gt;-2.2462785&lt;/D&gt;&lt;D xsi:type="xsd:double"&gt;-1.0653794&lt;/D&gt;&lt;D xsi:type="xsd:double"&gt;2.723825&lt;/D&gt;&lt;D xsi:type="xsd:double"&gt;-5.369234&lt;/D&gt;&lt;D xsi:type="xsd:double"&gt;0.7292628&lt;/D&gt;&lt;D xsi:type="xsd:double"&gt;-6.9839835&lt;/D&gt;&lt;D xsi:type="xsd:double"&gt;-10.425633&lt;/D&gt;&lt;D xsi:type="xsd:double"&gt;2.002132&lt;/D&gt;&lt;D xsi:type="xsd:double"&gt;-9.343105&lt;/D&gt;&lt;D xsi:type="xsd:double"&gt;-4.44234&lt;/D&gt;&lt;D xsi:type="xsd:double"&gt;-5.750698&lt;/D&gt;&lt;D xsi:type="xsd:double"&gt;9.828496&lt;/D&gt;&lt;D xsi:type="xsd:double"&gt;-10.360354&lt;/D&gt;&lt;D xsi:type="xsd:double"&gt;-8.844227&lt;/D&gt;&lt;D xsi:type="xsd:double"&gt;22.013973&lt;/D&gt;&lt;D xsi:type="xsd:double"&gt;0.84433556&lt;/D&gt;&lt;D xsi:type="xsd:double"&gt;6.2481165&lt;/D&gt;&lt;D xsi:type="xsd:double"&gt;1.8942714&lt;/D&gt;&lt;D xsi:type="xsd:double"&gt;-8.129859&lt;/D&gt;&lt;D xsi:type="xsd:double"&gt;10.329199&lt;/D&gt;&lt;D xsi:type="xsd:double"&gt;0.0821352&lt;/D&gt;&lt;D xsi:type="xsd:double"&gt;-0.92998147&lt;/D&gt;&lt;D xsi:type="xsd:double"&gt;0.13804436&lt;/D&gt;&lt;D xsi:type="xsd:double"&gt;-7.8025937&lt;/D&gt;&lt;D xsi:type="xsd:double"&gt;-1.7344415&lt;/D&gt;&lt;D xsi:type="xsd:double"&gt;1.3085842&lt;/D&gt;&lt;D xsi:type="xsd:double"&gt;5.7374597&lt;/D&gt;&lt;D xsi:type="xsd:double"&gt;11.903405&lt;/D&gt;&lt;D xsi:type="xsd:double"&gt;-1.718837&lt;/D&gt;&lt;D xsi:type="xsd:double"&gt;1.0852337&lt;/D&gt;&lt;D xsi:type="xsd:double"&gt;7.253206&lt;/D&gt;&lt;D xsi:type="xsd:double"&gt;-4.9316406&lt;/D&gt;&lt;D xsi:type="xsd:double"&gt;7.2419047&lt;/D&gt;&lt;D xsi:type="xsd:double"&gt;-2.087152&lt;/D&gt;&lt;D xsi:type="xsd:double"&gt;1.2922406&lt;/D&gt;&lt;D xsi:type="xsd:double"&gt;-2.2325814&lt;/D&gt;&lt;D xsi:type="xsd:double"&gt;3.8143039&lt;/D&gt;&lt;D xsi:type="xsd:double"&gt;-0.41092038&lt;/D&gt;&lt;D xsi:type="xsd:double"&gt;-7.1601987&lt;/D&gt;&lt;D xsi:type="xsd:double"&gt;1.8562078&lt;/D&gt;&lt;D xsi:type="xsd:double"&gt;-0.7956803&lt;/D&gt;&lt;D xsi:type="xsd:double"&gt;13.609314&lt;/D&gt;&lt;D xsi:type="xsd:double"&gt;1.4575243&lt;/D&gt;&lt;D xsi:type="xsd:double"&gt;-7.0931554&lt;/D&gt;&lt;D xsi:type="xsd:double"&gt;10.21986&lt;/D&gt;&lt;D xsi:type="xsd:double"&gt;-0.2849579&lt;/D&gt;&lt;D xsi:type="xsd:double"&gt;0.45176744&lt;/D&gt;&lt;D xsi:type="xsd:double"&gt;4.296267&lt;/D&gt;&lt;D xsi:type="xsd:double"&gt;2.1454573&lt;/D&gt;&lt;D xsi:type="xsd:double"&gt;-0.06300807&lt;/D&gt;&lt;D xsi:type="xsd:double"&gt;0.14711618&lt;/D&gt;&lt;D xsi:type="xsd:double"&gt;3.0640006&lt;/D&gt;&lt;D xsi:type="xsd:double"&gt;5.246079&lt;/D&gt;&lt;/FQL&gt;&lt;FQL&gt;&lt;Q&gt;SET-BKK^FG_TOTAL_RETURNC(-5AY,0,AM)&lt;/Q&gt;&lt;R&gt;61&lt;/R&gt;&lt;C&gt;1&lt;/C&gt;&lt;D xsi:type="xsd:double"&gt;2.837789&lt;/D&gt;&lt;D xsi:type="xsd:double"&gt;0.2363205&lt;/D&gt;&lt;D xsi:type="xsd:double"&gt;2.8245568&lt;/D&gt;&lt;D xsi:type="xsd:double"&gt;-1.5717924&lt;/D&gt;&lt;D xsi:type="xsd:double"&gt;0.5424619&lt;/D&gt;&lt;D xsi:type="xsd:double"&gt;4.700291&lt;/D&gt;&lt;D xsi:type="xsd:double"&gt;-3.1005204&lt;/D&gt;&lt;D xsi:type="xsd:double"&gt;-2.7792513&lt;/D&gt;&lt;D xsi:type="xsd:double"&gt;6.524813&lt;/D&gt;&lt;D xsi:type="xsd:double"&gt;0.6326556&lt;/D&gt;&lt;D xsi:type="xsd:double"&gt;0.023806095&lt;/D&gt;&lt;D xsi:type="xsd:double"&gt;-0.91961026&lt;/D&gt;&lt;D xsi:type="xsd:double"&gt;3.0160189&lt;/D&gt;&lt;D xsi:type="xsd:double"&gt;1.7230272&lt;/D&gt;&lt;D xsi:type="xsd:double"&gt;-3.355372&lt;/D&gt;&lt;D xsi:type="xsd:double"&gt;1.8231988&lt;/D&gt;&lt;D xsi:type="xsd:double"&gt;-5.372864&lt;/D&gt;&lt;D xsi:type="xsd:double"&gt;0.5781412&lt;/D&gt;&lt;D xsi:type="xsd:double"&gt;-3.7758708&lt;/D&gt;&lt;D xsi:type="xsd:double"&gt;5.992031&lt;/D&gt;&lt;D xsi:type="xsd:double"&gt;1.0509133&lt;/D&gt;&lt;D xsi:type="xsd:double"&gt;-4.965502&lt;/D&gt;&lt;D xsi:type="xsd:double"&gt;4.3952346&lt;/D&gt;&lt;D xsi:type="xsd:double"&gt;-0.5584955&lt;/D&gt;&lt;D xsi:type="xsd:double"&gt;3.7925482&lt;/D&gt;&lt;D xsi:type="xsd:double"&gt;-2.041942&lt;/D&gt;&lt;D xsi:type="xsd:double"&gt;-5.001247&lt;/D&gt;&lt;D xsi:type="xsd:double"&gt;1.7680526&lt;/D&gt;&lt;D xsi:type="xsd:double"&gt;-3.2203794&lt;/D&gt;&lt;D xsi:type="xsd:double"&gt;1.0594368&lt;/D&gt;&lt;D xsi:type="xsd:double"&gt;-2.5543869&lt;/D&gt;&lt;D xsi:type="xsd:double"&gt;0.1851201&lt;/D&gt;&lt;D xsi:type="xsd:double"&gt;1.4006495&lt;/D&gt;&lt;D xsi:type="xsd:double"&gt;-5.9194746&lt;/D&gt;&lt;D xsi:type="xsd:double"&gt;-2.4525225&lt;/D&gt;&lt;D xsi:type="xsd:double"&gt;-1.7058015&lt;/D&gt;&lt;D xsi:type="xsd:double"&gt;1.1495113&lt;/D&gt;&lt;D xsi:type="xsd:double"&gt;-1.4036775&lt;/D&gt;&lt;D xsi:type="xsd:double"&gt;-0.08866191&lt;/D&gt;&lt;D xsi:type="xsd:double"&gt;0.74601173&lt;/D&gt;&lt;D xsi:type="xsd:double"&gt;-1.8576622&lt;/D&gt;&lt;D xsi:type="xsd:double"&gt;-4.661268&lt;/D&gt;&lt;D xsi:type="xsd:double"&gt;1.597321&lt;/D&gt;&lt;D xsi:type="xsd:double"&gt;-2.8317928&lt;/D&gt;&lt;D xsi:type="xsd:double"&gt;10.431528&lt;/D&gt;&lt;D xsi:type="xsd:double"&gt;2.8531551&lt;/D&gt;&lt;D xsi:type="xsd:double"&gt;-1.5289783&lt;/D&gt;&lt;D xsi:type="xsd:double"&gt;-0.7597208&lt;/D&gt;&lt;D xsi:type="xsd:double"&gt;-5.4831085&lt;/D&gt;&lt;D xsi:type="xsd:double"&gt;-5.9911194&lt;/D&gt;&lt;D xsi:type="xsd:double"&gt;-7.73052&lt;/D&gt;&lt;D xsi:type="xsd:double"&gt;-3.8423479&lt;/D&gt;&lt;D xsi:type="xsd:double"&gt;5.8325768&lt;/D&gt;&lt;D xsi:type="xsd:double"&gt;-6.0100975&lt;/D&gt;&lt;D xsi:type="xsd:double"&gt;3.4123182&lt;/D&gt;&lt;D xsi:type="xsd:double"&gt;8.476246&lt;/D&gt;&lt;D xsi:type="xsd:double"&gt;3.2046437&lt;/D&gt;&lt;D xsi:type="xsd:double"&gt;-1.007098&lt;/D&gt;&lt;D xsi:type="xsd:double"&gt;-1.3546348&lt;/D&gt;&lt;D xsi:type="xsd:double"&gt;0.32618046&lt;/D&gt;&lt;D xsi:type="xsd:double"&gt;-0.9431422&lt;/D&gt;&lt;/FQL&gt;&lt;FQL&gt;&lt;Q&gt;CNYA^FG_TOTAL_RETURNC(-5AY,0,AM)&lt;/Q&gt;&lt;R&gt;61&lt;/R&gt;&lt;C&gt;1&lt;/C&gt;&lt;D xsi:type="xsd:double"&gt;9.32287&lt;/D&gt;&lt;D xsi:type="xsd:double"&gt;9.290838&lt;/D&gt;&lt;D xsi:type="xsd:double"&gt;-15.811091&lt;/D&gt;&lt;D xsi:type="xsd:double"&gt;-0.65853596&lt;/D&gt;&lt;D xsi:type="xsd:double"&gt;4.8612833&lt;/D&gt;&lt;D xsi:type="xsd:double"&gt;2.4384856&lt;/D&gt;&lt;D xsi:type="xsd:double"&gt;1.0531068&lt;/D&gt;&lt;D xsi:type="xsd:double"&gt;-2.514726&lt;/D&gt;&lt;D xsi:type="xsd:double"&gt;-0.06971359&lt;/D&gt;&lt;D xsi:type="xsd:double"&gt;0.41860342&lt;/D&gt;&lt;D xsi:type="xsd:double"&gt;0.25475025&lt;/D&gt;&lt;D xsi:type="xsd:double"&gt;2.4130821&lt;/D&gt;&lt;D xsi:type="xsd:double"&gt;-5.3266582&lt;/D&gt;&lt;D xsi:type="xsd:double"&gt;-2.7650893&lt;/D&gt;&lt;D xsi:type="xsd:double"&gt;-14.564789&lt;/D&gt;&lt;D xsi:type="xsd:double"&gt;5.4992795&lt;/D&gt;&lt;D xsi:type="xsd:double"&gt;-9.794235&lt;/D&gt;&lt;D xsi:type="xsd:double"&gt;10.973919&lt;/D&gt;&lt;D xsi:type="xsd:double"&gt;-1.8945575&lt;/D&gt;&lt;D xsi:type="xsd:double"&gt;-1.0075569&lt;/D&gt;&lt;D xsi:type="xsd:double"&gt;-7.2094975&lt;/D&gt;&lt;D xsi:type="xsd:double"&gt;-7.0383906&lt;/D&gt;&lt;D xsi:type="xsd:double"&gt;4.490328&lt;/D&gt;&lt;D xsi:type="xsd:double"&gt;1.6037107&lt;/D&gt;&lt;D xsi:type="xsd:double"&gt;7.432008&lt;/D&gt;&lt;D xsi:type="xsd:double"&gt;-0.7653892&lt;/D&gt;&lt;D xsi:type="xsd:double"&gt;-5.1320076&lt;/D&gt;&lt;D xsi:type="xsd:double"&gt;3.017509&lt;/D&gt;&lt;D xsi:type="xsd:double"&gt;-3.2326639&lt;/D&gt;&lt;D xsi:type="xsd:double"&gt;-4.3192267&lt;/D&gt;&lt;D xsi:type="xsd:double"&gt;-1.3170183&lt;/D&gt;&lt;D xsi:type="xsd:double"&gt;-3.6921918&lt;/D&gt;&lt;D xsi:type="xsd:double"&gt;-2.7998626&lt;/D&gt;&lt;D xsi:type="xsd:double"&gt;-1.7069757&lt;/D&gt;&lt;D xsi:type="xsd:double"&gt;0.7188797&lt;/D&gt;&lt;D xsi:type="xsd:double"&gt;-5.5271983&lt;/D&gt;&lt;D xsi:type="xsd:double"&gt;-2.9421806&lt;/D&gt;&lt;D xsi:type="xsd:double"&gt;2.22404&lt;/D&gt;&lt;D xsi:type="xsd:double"&gt;6.227553&lt;/D&gt;&lt;D xsi:type="xsd:double"&gt;-1.5783548&lt;/D&gt;&lt;D xsi:type="xsd:double"&gt;3.264606&lt;/D&gt;&lt;D xsi:type="xsd:double"&gt;-3.3556044&lt;/D&gt;&lt;D xsi:type="xsd:double"&gt;-1.7267823&lt;/D&gt;&lt;D xsi:type="xsd:double"&gt;-2.538079&lt;/D&gt;&lt;D xsi:type="xsd:double"&gt;-4.487175&lt;/D&gt;&lt;D xsi:type="xsd:double"&gt;19.001675&lt;/D&gt;&lt;D xsi:type="xsd:double"&gt;2.9256225&lt;/D&gt;&lt;D xsi:type="xsd:double"&gt;-0.89040995&lt;/D&gt;&lt;D xsi:type="xsd:double"&gt;-4.440385&lt;/D&gt;&lt;D xsi:type="xsd:double"&gt;5.506277&lt;/D&gt;&lt;D xsi:type="xsd:double"&gt;2.767074&lt;/D&gt;&lt;D xsi:type="xsd:double"&gt;-8.997953&lt;/D&gt;&lt;D xsi:type="xsd:double"&gt;5.805242&lt;/D&gt;&lt;D xsi:type="xsd:double"&gt;-0.35398602&lt;/D&gt;&lt;D xsi:type="xsd:double"&gt;4.4644594&lt;/D&gt;&lt;D xsi:type="xsd:double"&gt;5.735743&lt;/D&gt;&lt;D xsi:type="xsd:double"&gt;9.170175&lt;/D&gt;&lt;D xsi:type="xsd:double"&gt;0.5323887&lt;/D&gt;&lt;D xsi:type="xsd:double"&gt;0.58840513&lt;/D&gt;&lt;D xsi:type="xsd:double"&gt;-0.409472&lt;/D&gt;&lt;D xsi:type="xsd:double"&gt;7.0917726&lt;/D&gt;&lt;/FQL&gt;&lt;FQL&gt;&lt;Q&gt;QQQ^FG_PRICE(0,-200D)&lt;/Q&gt;&lt;R&gt;201&lt;/R&gt;&lt;C&gt;1&lt;/C&gt;&lt;D xsi:type="xsd:double"&gt;621.78&lt;/D&gt;&lt;D xsi:type="xsd:double"&gt;619.55&lt;/D&gt;&lt;D xsi:type="xsd:double"&gt;626.24&lt;/D&gt;&lt;D xsi:type="xsd:double"&gt;627.17&lt;/D&gt;&lt;D xsi:type="xsd:double"&gt;626.65&lt;/D&gt;&lt;D xsi:type="xsd:double"&gt;620.47&lt;/D&gt;&lt;D xsi:type="xsd:double"&gt;624.02&lt;/D&gt;&lt;D xsi:type="xsd:double"&gt;623.42&lt;/D&gt;&lt;D xsi:type="xsd:double"&gt;617.99&lt;/D&gt;&lt;D xsi:type="xsd:double"&gt;613.12&lt;/D&gt;&lt;D xsi:type="xsd:double"&gt;614.31&lt;/D&gt;&lt;D xsi:type="xsd:double"&gt;619.43&lt;/D&gt;&lt;D xsi:type="xsd:double"&gt;620.87&lt;/D&gt;&lt;D xsi:type="xsd:double"&gt;623.89&lt;/D&gt;&lt;D xsi:type="xsd:double"&gt;623.93&lt;/D&gt;&lt;D xsi:type="xsd:double"&gt;622.11&lt;/D&gt;&lt;D xsi:type="xsd:double"&gt;619.21&lt;/D&gt;&lt;D xsi:type="xsd:double"&gt;617.05&lt;/D&gt;&lt;D xsi:type="xsd:double"&gt;609.11&lt;/D&gt;&lt;D xsi:type="xsd:double"&gt;600.41&lt;/D&gt;&lt;D xsi:type="xsd:double"&gt;611.75&lt;/D&gt;&lt;D xsi:type="xsd:double"&gt;610.54&lt;/D&gt;&lt;D xsi:type="xsd:double"&gt;613.62&lt;/D&gt;&lt;D xsi:type="xsd:double"&gt;625.58&lt;/D&gt;&lt;D xsi:type="xsd:double"&gt;627.61&lt;/D&gt;&lt;D xsi:type="xsd:double"&gt;625.05&lt;/D&gt;&lt;D xsi:type="xsd:double"&gt;624.28&lt;/D&gt;&lt;D xsi:type="xsd:double"&gt;625.48&lt;/D&gt;&lt;D xsi:type="xsd:double"&gt;622.94&lt;/D&gt;&lt;D xsi:type="xsd:double"&gt;623.52&lt;/D&gt;&lt;D xsi:type="xsd:double"&gt;622&lt;/D&gt;&lt;D xsi:type="xsd:double"&gt;617.17&lt;/D&gt;&lt;D xsi:type="xsd:double"&gt;619.25&lt;/D&gt;&lt;D xsi:type="xsd:double"&gt;614.27&lt;/D&gt;&lt;D xsi:type="xsd:double"&gt;608.89&lt;/D&gt;&lt;D xsi:type="xsd:double"&gt;605.16&lt;/D&gt;&lt;D xsi:type="xsd:double"&gt;590.07&lt;/D&gt;&lt;D xsi:type="xsd:double"&gt;585.67&lt;/D&gt;&lt;D xsi:type="xsd:double"&gt;599.87&lt;/D&gt;&lt;D xsi:type="xsd:double"&gt;596.31&lt;/D&gt;&lt;D xsi:type="xsd:double"&gt;603.66&lt;/D&gt;&lt;D xsi:type="xsd:double"&gt;608.86&lt;/D&gt;&lt;D xsi:type="xsd:double"&gt;608.4&lt;/D&gt;&lt;D xsi:type="xsd:double"&gt;621.08&lt;/D&gt;&lt;D xsi:type="xsd:double"&gt;621.57&lt;/D&gt;&lt;D xsi:type="xsd:double"&gt;623.23&lt;/D&gt;&lt;D xsi:type="xsd:double"&gt;609.74&lt;/D&gt;&lt;D xsi:type="xsd:double"&gt;611.67&lt;/D&gt;&lt;D xsi:type="xsd:double"&gt;623.28&lt;/D&gt;&lt;D xsi:type="xsd:double"&gt;619.25&lt;/D&gt;&lt;D xsi:type="xsd:double"&gt;632.08&lt;/D&gt;&lt;D xsi:type="xsd:double"&gt;629.07&lt;/D&gt;&lt;D xsi:type="xsd:double"&gt;626.05&lt;/D&gt;&lt;D xsi:type="xsd:double"&gt;635.77&lt;/D&gt;&lt;D xsi:type="xsd:double"&gt;632.92&lt;/D&gt;&lt;D xsi:type="xsd:double"&gt;628.09&lt;/D&gt;&lt;D xsi:type="xsd:double"&gt;617.1&lt;/D&gt;&lt;D xsi:type="xsd:double"&gt;610.58&lt;/D&gt;&lt;D xsi:type="xsd:double"&gt;605.49&lt;/D&gt;&lt;D xsi:type="xsd:double"&gt;611.38&lt;/D&gt;&lt;D xsi:type="xsd:double"&gt;611.54&lt;/D&gt;&lt;D xsi:type="xsd:double"&gt;603.93&lt;/D&gt;&lt;D xsi:type="xsd:double"&gt;599.99&lt;/D&gt;&lt;D xsi:type="xsd:double"&gt;602.22&lt;/D&gt;&lt;D xsi:type="xsd:double"&gt;598&lt;/D&gt;&lt;D xsi:type="xsd:double"&gt;602.01&lt;/D&gt;&lt;D xsi:type="xsd:double"&gt;589.5&lt;/D&gt;&lt;D xsi:type="xsd:double"&gt;610.7&lt;/D&gt;&lt;D xsi:type="xsd:double"&gt;611.44&lt;/D&gt;&lt;D xsi:type="xsd:double"&gt;604.51&lt;/D&gt;&lt;D xsi:type="xsd:double"&gt;607.71&lt;/D&gt;&lt;D xsi:type="xsd:double"&gt;603.18&lt;/D&gt;&lt;D xsi:type="xsd:double"&gt;605.73&lt;/D&gt;&lt;D xsi:type="xsd:double"&gt;603.25&lt;/D&gt;&lt;D xsi:type="xsd:double"&gt;600.37&lt;/D&gt;&lt;D xsi:type="xsd:double"&gt;598.73&lt;/D&gt;&lt;D xsi:type="xsd:double"&gt;595.97&lt;/D&gt;&lt;D xsi:type="xsd:double"&gt;593.53&lt;/D&gt;&lt;D xsi:type="xsd:double"&gt;596.1&lt;/D&gt;&lt;D xsi:type="xsd:double"&gt;598.2&lt;/D&gt;&lt;D xsi:type="xsd:double"&gt;602.2&lt;/D&gt;&lt;D xsi:type="xsd:double"&gt;599.35&lt;/D&gt;&lt;D xsi:type="xsd:double"&gt;595.32&lt;/D&gt;&lt;D xsi:type="xsd:double"&gt;590&lt;/D&gt;&lt;D xsi:type="xsd:double"&gt;591.18&lt;/D&gt;&lt;D xsi:type="xsd:double"&gt;591.68&lt;/D&gt;&lt;D xsi:type="xsd:double"&gt;586.66&lt;/D&gt;&lt;D xsi:type="xsd:double"&gt;584.08&lt;/D&gt;&lt;D xsi:type="xsd:double"&gt;580.7&lt;/D&gt;&lt;D xsi:type="xsd:double"&gt;580.51&lt;/D&gt;&lt;D xsi:type="xsd:double"&gt;578.87&lt;/D&gt;&lt;D xsi:type="xsd:double"&gt;576.06&lt;/D&gt;&lt;D xsi:type="xsd:double"&gt;575.23&lt;/D&gt;&lt;D xsi:type="xsd:double"&gt;570.07&lt;/D&gt;&lt;D xsi:type="xsd:double"&gt;565.62&lt;/D&gt;&lt;D xsi:type="xsd:double"&gt;570.4&lt;/D&gt;&lt;D xsi:type="xsd:double"&gt;577.08&lt;/D&gt;&lt;D xsi:type="xsd:double"&gt;573.49&lt;/D&gt;&lt;D xsi:type="xsd:double"&gt;572.61&lt;/D&gt;&lt;D xsi:type="xsd:double"&gt;570.32&lt;/D&gt;&lt;D xsi:type="xsd:double"&gt;571.97&lt;/D&gt;&lt;D xsi:type="xsd:double"&gt;563.28&lt;/D&gt;&lt;D xsi:type="xsd:double"&gt;565.9&lt;/D&gt;&lt;D xsi:type="xsd:double"&gt;569.28&lt;/D&gt;&lt;D xsi:type="xsd:double"&gt;577.11&lt;/D&gt;&lt;D xsi:type="xsd:double"&gt;577.34&lt;/D&gt;&lt;D xsi:type="xsd:double"&gt;579.89&lt;/D&gt;&lt;D xsi:type="xsd:double"&gt;580.34&lt;/D&gt;&lt;D xsi:type="xsd:double"&gt;580.05&lt;/D&gt;&lt;D xsi:type="xsd:double"&gt;572.85&lt;/D&gt;&lt;D xsi:type="xsd:double"&gt;574.55&lt;/D&gt;&lt;D xsi:type="xsd:double"&gt;569.24&lt;/D&gt;&lt;D xsi:type="xsd:double"&gt;567.32&lt;/D&gt;&lt;D xsi:type="xsd:double"&gt;560.27&lt;/D&gt;&lt;D xsi:type="xsd:double"&gt;564.1&lt;/D&gt;&lt;D xsi:type="xsd:double"&gt;553.88&lt;/D&gt;&lt;D xsi:type="xsd:double"&gt;565.01&lt;/D&gt;&lt;D xsi:type="xsd:double"&gt;568.02&lt;/D&gt;&lt;D xsi:type="xsd:double"&gt;567.26&lt;/D&gt;&lt;D xsi:type="xsd:double"&gt;568.14&lt;/D&gt;&lt;D xsi:type="xsd:double"&gt;566.37&lt;/D&gt;&lt;D xsi:type="xsd:double"&gt;565.01&lt;/D&gt;&lt;D xsi:type="xsd:double"&gt;563.81&lt;/D&gt;&lt;D xsi:type="xsd:double"&gt;561.25&lt;/D&gt;&lt;D xsi:type="xsd:double"&gt;564.17&lt;/D&gt;&lt;D xsi:type="xsd:double"&gt;561.26&lt;/D&gt;&lt;D xsi:type="xsd:double"&gt;561.8&lt;/D&gt;&lt;D xsi:type="xsd:double"&gt;557.29&lt;/D&gt;&lt;D xsi:type="xsd:double"&gt;556.72&lt;/D&gt;&lt;D xsi:type="xsd:double"&gt;556.21&lt;/D&gt;&lt;D xsi:type="xsd:double"&gt;554.2&lt;/D&gt;&lt;D xsi:type="xsd:double"&gt;555.45&lt;/D&gt;&lt;D xsi:type="xsd:double"&gt;556.25&lt;/D&gt;&lt;D xsi:type="xsd:double"&gt;552.34&lt;/D&gt;&lt;D xsi:type="xsd:double"&gt;552.03&lt;/D&gt;&lt;D xsi:type="xsd:double"&gt;556.22&lt;/D&gt;&lt;D xsi:type="xsd:double"&gt;550.8&lt;/D&gt;&lt;D xsi:typ</t>
        </r>
      </text>
    </comment>
    <comment ref="A10" authorId="0" shapeId="0" xr:uid="{EB4CBBE3-4A71-4B2D-962B-33831D769FFC}">
      <text>
        <r>
          <rPr>
            <b/>
            <sz val="9"/>
            <color indexed="81"/>
            <rFont val="Tahoma"/>
            <charset val="1"/>
          </rPr>
          <t>e="xsd:double"&gt;546.99&lt;/D&gt;&lt;D xsi:type="xsd:double"&gt;551.64&lt;/D&gt;&lt;D xsi:type="xsd:double"&gt;548.09&lt;/D&gt;&lt;D xsi:type="xsd:double"&gt;546.22&lt;/D&gt;&lt;D xsi:type="xsd:double"&gt;541.16&lt;/D&gt;&lt;D xsi:type="xsd:double"&gt;539.78&lt;/D&gt;&lt;D xsi:type="xsd:double"&gt;531.65&lt;/D&gt;&lt;D xsi:type="xsd:double"&gt;526.83&lt;/D&gt;&lt;D xsi:type="xsd:double"&gt;528.99&lt;/D&gt;&lt;D xsi:type="xsd:double"&gt;529.08&lt;/D&gt;&lt;D xsi:type="xsd:double"&gt;534.29&lt;/D&gt;&lt;D xsi:type="xsd:double"&gt;526.96&lt;/D&gt;&lt;D xsi:type="xsd:double"&gt;533.66&lt;/D&gt;&lt;D xsi:type="xsd:double"&gt;532.41&lt;/D&gt;&lt;D xsi:type="xsd:double"&gt;534.21&lt;/D&gt;&lt;D xsi:type="xsd:double"&gt;530.7&lt;/D&gt;&lt;D xsi:type="xsd:double"&gt;529.92&lt;/D&gt;&lt;D xsi:type="xsd:double"&gt;524.79&lt;/D&gt;&lt;D xsi:type="xsd:double"&gt;528.77&lt;/D&gt;&lt;D xsi:type="xsd:double"&gt;527.3&lt;/D&gt;&lt;D xsi:type="xsd:double"&gt;523.21&lt;/D&gt;&lt;D xsi:type="xsd:double"&gt;519.11&lt;/D&gt;&lt;D xsi:type="xsd:double"&gt;519.93&lt;/D&gt;&lt;D xsi:type="xsd:double"&gt;518.91&lt;/D&gt;&lt;D xsi:type="xsd:double"&gt;521.22&lt;/D&gt;&lt;D xsi:type="xsd:double"&gt;509.24&lt;/D&gt;&lt;D xsi:type="xsd:double"&gt;514&lt;/D&gt;&lt;D xsi:type="xsd:double"&gt;513.04&lt;/D&gt;&lt;D xsi:type="xsd:double"&gt;520.27&lt;/D&gt;&lt;D xsi:type="xsd:double"&gt;522.01&lt;/D&gt;&lt;D xsi:type="xsd:double"&gt;521.51&lt;/D&gt;&lt;D xsi:type="xsd:double"&gt;519.25&lt;/D&gt;&lt;D xsi:type="xsd:double"&gt;518.68&lt;/D&gt;&lt;D xsi:type="xsd:double"&gt;515.59&lt;/D&gt;&lt;D xsi:type="xsd:double"&gt;507.85&lt;/D&gt;&lt;D xsi:type="xsd:double"&gt;487.97&lt;/D&gt;&lt;D xsi:type="xsd:double"&gt;488.29&lt;/D&gt;&lt;D xsi:type="xsd:double"&gt;483.3&lt;/D&gt;&lt;D xsi:type="xsd:double"&gt;481.41&lt;/D&gt;&lt;D xsi:type="xsd:double"&gt;485.93&lt;/D&gt;&lt;D xsi:type="xsd:double"&gt;488.83&lt;/D&gt;&lt;D xsi:type="xsd:double"&gt;481.68&lt;/D&gt;&lt;D xsi:type="xsd:double"&gt;475.47&lt;/D&gt;&lt;D xsi:type="xsd:double"&gt;475.53&lt;/D&gt;&lt;D xsi:type="xsd:double"&gt;472.41&lt;/D&gt;&lt;D xsi:type="xsd:double"&gt;472.56&lt;/D&gt;&lt;D xsi:type="xsd:double"&gt;467.35&lt;/D&gt;&lt;D xsi:type="xsd:double"&gt;454.56&lt;/D&gt;&lt;D xsi:type="xsd:double"&gt;444.48&lt;/D&gt;&lt;D xsi:type="xsd:double"&gt;433.11&lt;/D&gt;&lt;D xsi:type="xsd:double"&gt;444.1&lt;/D&gt;&lt;D xsi:type="xsd:double"&gt;444.18&lt;/D&gt;&lt;D xsi:type="xsd:double"&gt;457.99&lt;/D&gt;&lt;D xsi:type="xsd:double"&gt;457.48&lt;/D&gt;&lt;D xsi:type="xsd:double"&gt;454.4&lt;/D&gt;&lt;D xsi:type="xsd:double"&gt;446.18&lt;/D&gt;&lt;D xsi:type="xsd:double"&gt;466&lt;/D&gt;&lt;D xsi:type="xsd:double"&gt;416.06&lt;/D&gt;&lt;D xsi:type="xsd:double"&gt;423.69&lt;/D&gt;&lt;D xsi:type="xsd:double"&gt;422.67&lt;/D&gt;&lt;D xsi:type="xsd:double"&gt;450.66&lt;/D&gt;&lt;D xsi:type="xsd:double"&gt;476.15&lt;/D&gt;&lt;D xsi:type="xsd:double"&gt;472.7&lt;/D&gt;&lt;D xsi:type="xsd:double"&gt;468.92&lt;/D&gt;&lt;/FQL&gt;&lt;FQL&gt;&lt;Q&gt;EWN^FG_TOTAL_RETURNC(-5AY,0,AM)&lt;/Q&gt;&lt;R&gt;61&lt;/R&gt;&lt;C&gt;1&lt;/C&gt;&lt;D xsi:type="xsd:double"&gt;5.421376&lt;/D&gt;&lt;D xsi:type="xsd:double"&gt;7.4567556&lt;/D&gt;&lt;D xsi:type="xsd:double"&gt;-2.1318257&lt;/D&gt;&lt;D xsi:type="xsd:double"&gt;7.046008&lt;/D&gt;&lt;D xsi:type="xsd:double"&gt;0.14535189&lt;/D&gt;&lt;D xsi:type="xsd:double"&gt;3.5216212&lt;/D&gt;&lt;D xsi:type="xsd:double"&gt;-2.4193466&lt;/D&gt;&lt;D xsi:type="xsd:double"&gt;5.8677673&lt;/D&gt;&lt;D xsi:type="xsd:double"&gt;4.137385&lt;/D&gt;&lt;D xsi:type="xsd:double"&gt;-3.729391&lt;/D&gt;&lt;D xsi:type="xsd:double"&gt;2.7642608&lt;/D&gt;&lt;D xsi:type="xsd:double"&gt;-7.100028&lt;/D&gt;&lt;D xsi:type="xsd:double"&gt;1.0028601&lt;/D&gt;&lt;D xsi:type="xsd:double"&gt;-6.7071915&lt;/D&gt;&lt;D xsi:type="xsd:double"&gt;-14.313639&lt;/D&gt;&lt;D xsi:type="xsd:double"&gt;2.0278811&lt;/D&gt;&lt;D xsi:type="xsd:double"&gt;-7.627326&lt;/D&gt;&lt;D xsi:type="xsd:double"&gt;-3.5683036&lt;/D&gt;&lt;D xsi:type="xsd:double"&gt;-3.0799687&lt;/D&gt;&lt;D xsi:type="xsd:double"&gt;11.31196&lt;/D&gt;&lt;D xsi:type="xsd:double"&gt;-11.576748&lt;/D&gt;&lt;D xsi:type="xsd:double"&gt;-11.552125&lt;/D&gt;&lt;D xsi:type="xsd:double"&gt;27.126587&lt;/D&gt;&lt;D xsi:type="xsd:double"&gt;1.2306571&lt;/D&gt;&lt;D xsi:type="xsd:double"&gt;9.845519&lt;/D&gt;&lt;D xsi:type="xsd:double"&gt;1.5733004&lt;/D&gt;&lt;D xsi:type="xsd:double"&gt;-8.260971&lt;/D&gt;&lt;D xsi:type="xsd:double"&gt;8.749032&lt;/D&gt;&lt;D xsi:type="xsd:double"&gt;-0.42341948&lt;/D&gt;&lt;D xsi:type="xsd:double"&gt;4.0347695&lt;/D&gt;&lt;D xsi:type="xsd:double"&gt;3.582096&lt;/D&gt;&lt;D xsi:type="xsd:double"&gt;-6.3843966&lt;/D&gt;&lt;D xsi:type="xsd:double"&gt;-7.056594&lt;/D&gt;&lt;D xsi:type="xsd:double"&gt;-4.3821692&lt;/D&gt;&lt;D xsi:type="xsd:double"&gt;11.217701&lt;/D&gt;&lt;D xsi:type="xsd:double"&gt;6.9645405&lt;/D&gt;&lt;D xsi:type="xsd:double"&gt;-1.653415&lt;/D&gt;&lt;D xsi:type="xsd:double"&gt;8.444238&lt;/D&gt;&lt;D xsi:type="xsd:double"&gt;1.8832088&lt;/D&gt;&lt;D xsi:type="xsd:double"&gt;-0.14537573&lt;/D&gt;&lt;D xsi:type="xsd:double"&gt;7.612312&lt;/D&gt;&lt;D xsi:type="xsd:double"&gt;-1.4909685&lt;/D&gt;&lt;D xsi:type="xsd:double"&gt;3.373015&lt;/D&gt;&lt;D xsi:type="xsd:double"&gt;-4.683298&lt;/D&gt;&lt;D xsi:type="xsd:double"&gt;-0.38259625&lt;/D&gt;&lt;D xsi:type="xsd:double"&gt;-2.5672138&lt;/D&gt;&lt;D xsi:type="xsd:double"&gt;-7.17842&lt;/D&gt;&lt;D xsi:type="xsd:double"&gt;3.5538673&lt;/D&gt;&lt;D xsi:type="xsd:double"&gt;-1.8974721&lt;/D&gt;&lt;D xsi:type="xsd:double"&gt;8.610737&lt;/D&gt;&lt;D xsi:type="xsd:double"&gt;-0.53126216&lt;/D&gt;&lt;D xsi:type="xsd:double"&gt;-3.677076&lt;/D&gt;&lt;D xsi:type="xsd:double"&gt;11.431015&lt;/D&gt;&lt;D xsi:type="xsd:double"&gt;2.468896&lt;/D&gt;&lt;D xsi:type="xsd:double"&gt;3.057301&lt;/D&gt;&lt;D xsi:type="xsd:double"&gt;-2.3691475&lt;/D&gt;&lt;D xsi:type="xsd:double"&gt;4.8720837&lt;/D&gt;&lt;D xsi:type="xsd:double"&gt;4.520178&lt;/D&gt;&lt;D xsi:type="xsd:double"&gt;-0.24026036&lt;/D&gt;&lt;D xsi:type="xsd:double"&gt;1.0837674&lt;/D&gt;&lt;D xsi:type="xsd:double"&gt;8.849049&lt;/D&gt;&lt;/FQL&gt;&lt;FQL&gt;&lt;Q&gt;EWT^FG_TOTAL_RETURNC(-5AY,0,AM)&lt;/Q&gt;&lt;R&gt;61&lt;/R&gt;&lt;C&gt;1&lt;/C&gt;&lt;D xsi:type="xsd:double"&gt;11.072266&lt;/D&gt;&lt;D xsi:type="xsd:double"&gt;3.8125277&lt;/D&gt;&lt;D xsi:type="xsd:double"&gt;-1.0107875&lt;/D&gt;&lt;D xsi:type="xsd:double"&gt;5.4458857&lt;/D&gt;&lt;D xsi:type="xsd:double"&gt;-5.003226&lt;/D&gt;&lt;D xsi:type="xsd:double"&gt;8.154941&lt;/D&gt;&lt;D xsi:type="xsd:double"&gt;1.5708566&lt;/D&gt;&lt;D xsi:type="xsd:double"&gt;-2.922988&lt;/D&gt;&lt;D xsi:type="xsd:double"&gt;3.871274&lt;/D&gt;&lt;D xsi:type="xsd:double"&gt;-5.092019&lt;/D&gt;&lt;D xsi:type="xsd:double"&gt;5.7853937&lt;/D&gt;&lt;D xsi:type="xsd:double"&gt;1.3402462&lt;/D&gt;&lt;D xsi:type="xsd:double"&gt;4.4145107&lt;/D&gt;&lt;D xsi:type="xsd:double"&gt;-2.5070488&lt;/D&gt;&lt;D xsi:type="xsd:double"&gt;-8.6731615&lt;/D&gt;&lt;D xsi:type="xsd:double"&gt;-2.149284&lt;/D&gt;&lt;D xsi:type="xsd:double"&gt;-8.22407&lt;/D&gt;&lt;D xsi:type="xsd:double"&gt;1.1131644&lt;/D&gt;&lt;D xsi:type="xsd:double"&gt;-8.99083&lt;/D&gt;&lt;D xsi:type="xsd:double"&gt;6.5322638&lt;/D&gt;&lt;D xsi:type="xsd:double"&gt;-9.367907&lt;/D&gt;&lt;D xsi:type="xsd:double"&gt;-13.029856&lt;/D&gt;&lt;D xsi:type="xsd:double"&gt;18.75149&lt;/D&gt;&lt;D xsi:type="xsd:double"&gt;-1.9998908&lt;/D&gt;&lt;D xsi:type="xsd:double"&gt;5.308008&lt;/D&gt;&lt;D xsi:type="xsd:double"&gt;2.6589632&lt;/D&gt;&lt;D xsi:type="xsd:double"&gt;-3.0855894&lt;/D&gt;&lt;D xsi:type="xsd:double"&gt;4.857075&lt;/D&gt;&lt;D xsi:type="xsd:double"&gt;-2.859038&lt;/D&gt;&lt;D xsi:type="xsd:double"&gt;11.864018&lt;/D&gt;&lt;D xsi:type="xsd:double"&gt;-0.67305565&lt;/D&gt;&lt;D xsi:type="xsd:double"&gt;-7.3511305&lt;/D&gt;&lt;D xsi:type="xsd:double"&gt;1.9946814&lt;/D&gt;&lt;D xsi:type="xsd:double"&gt;-1.1082172&lt;/D&gt;&lt;D xsi:type="xsd:double"&gt;4.1089892&lt;/D&gt;&lt;D xsi:type="xsd:double"&gt;4.474461&lt;/D&gt;&lt;D xsi:type="xsd:double"&gt;0.42876005&lt;/D&gt;&lt;D xsi:type="xsd:double"&gt;5.170071&lt;/D&gt;&lt;D xsi:type="xsd:double"&gt;4.1828394&lt;/D&gt;&lt;D xsi:type="xsd:double"&gt;-1.3658941&lt;/D&gt;&lt;D xsi:type="xsd:double"&gt;7.658422&lt;/D&gt;&lt;D xsi:type="xsd:double"&gt;3.5275698&lt;/D&gt;&lt;D xsi:type="xsd:double"&gt;5.1769614&lt;/D&gt;&lt;D xsi:type="xsd:double"&gt;-4.7252536&lt;/D&gt;&lt;D xsi:type="xsd:double"&gt;-1.2774765&lt;/D&gt;&lt;D xsi:type="xsd:double"&gt;3.8820148&lt;/D&gt;&lt;D xsi:type="xsd:double"&gt;-2.3264349&lt;/D&gt;&lt;D xsi:type="xsd:double"&gt;2.4943829&lt;/D&gt;&lt;D xsi:type="xsd:double"&gt;-2.627349&lt;/D&gt;&lt;D xsi:type="xsd:double"&gt;2.367556&lt;/D&gt;&lt;D xsi:type="xsd:double"&gt;-4.7014236&lt;/D&gt;&lt;D xsi:type="xsd:double"&gt;-8.3946705&lt;/D&gt;&lt;D xsi:type="xsd:double"&gt;17.242134&lt;/D&gt;&lt;D xsi:type="xsd:double"&gt;3.445077&lt;/D&gt;&lt;D xsi:type="xsd:double"&gt;4.333043&lt;/D&gt;&lt;D xsi:type="xsd:double"&gt;3.6897182&lt;/D&gt;&lt;D xsi:type="xsd:double"&gt;4.303217&lt;/D&gt;&lt;D xsi:type="xsd:double"&gt;3.1259894&lt;/D&gt;&lt;D xsi:type="xsd:double"&gt;0.27697086&lt;/D&gt;&lt;D xsi:type="xsd:double"&gt;-1.6265094&lt;/D&gt;&lt;D xsi:type="xsd:double"&gt;9.796345&lt;/D&gt;&lt;/FQL&gt;&lt;FQL&gt;&lt;Q&gt;ECH^JULIAN(FG_TOTAL_RETURNC(-5AY,0,AM).DATES)&lt;/Q&gt;&lt;R&gt;61&lt;/R&gt;&lt;C&gt;1&lt;/C&gt;&lt;D xsi:type="xsd:long"&gt;44211&lt;/D&gt;&lt;D xsi:type="xsd:long"&gt;44239&lt;/D&gt;&lt;D xsi:type="xsd:long"&gt;44270&lt;/D&gt;&lt;D xsi:type="xsd:long"&gt;44301&lt;/D&gt;&lt;D xsi:type="xsd:long"&gt;44330&lt;/D&gt;&lt;D xsi:type="xsd:long"&gt;44362&lt;/D&gt;&lt;D xsi:type="xsd:long"&gt;44392&lt;/D&gt;&lt;D xsi:type="xsd:long"&gt;44421&lt;/D&gt;&lt;D xsi:type="xsd:long"&gt;44454&lt;/D&gt;&lt;D xsi:type="xsd:long"&gt;44484&lt;/D&gt;&lt;D xsi:type="xsd:long"&gt;44515&lt;/D&gt;&lt;D xsi:type="xsd:long"&gt;44545&lt;/D&gt;&lt;D xsi:type="xsd:long"&gt;44575&lt;/D&gt;&lt;D xsi:type="xsd:long"&gt;44607&lt;/D&gt;&lt;D xsi:type="xsd:long"&gt;44635&lt;/D&gt;&lt;D xsi:type="xsd:long"&gt;44665&lt;/D&gt;&lt;D xsi:type="xsd:long"&gt;44694&lt;/D&gt;&lt;D xsi:type="xsd:long"&gt;44727&lt;/D&gt;&lt;D xsi:type="xsd:long"&gt;44757&lt;/D&gt;&lt;D xsi:type="xsd:long"&gt;44788&lt;/D&gt;&lt;D xsi:type="xsd:long"&gt;44819&lt;/D&gt;&lt;D xsi:type="xsd:long"&gt;44848&lt;/D&gt;&lt;D xsi:type="xsd:long"&gt;44880&lt;/D&gt;&lt;D xsi:type="xsd:long"&gt;44910&lt;/D&gt;&lt;D xsi:type="xsd:long"&gt;44939&lt;/D&gt;&lt;D xsi:type="xsd:long"&gt;44972&lt;/D&gt;&lt;D xsi:type="xsd:long"&gt;45000&lt;/D&gt;&lt;D xsi:type="xsd:long"&gt;45030&lt;/D&gt;&lt;D xsi:type="xsd:long"&gt;45061&lt;/D&gt;&lt;D xsi:type="xsd:long"&gt;45092&lt;/D&gt;&lt;D xsi:type="xsd:long"&gt;45121&lt;/D&gt;&lt;D xsi:type="xsd:long"&gt;45153&lt;/D&gt;&lt;D xsi:type="xsd:long"&gt;45184&lt;/D&gt;&lt;D xsi:type="xsd:long"&gt;45212&lt;/D&gt;&lt;D xsi:type="xsd:long"&gt;45245&lt;/D&gt;&lt;D xsi:type="xsd:long"&gt;45275&lt;/D&gt;&lt;D xsi:type="xsd:long"&gt;45303&lt;/D&gt;&lt;D xsi:type="xsd:long"&gt;45337&lt;/D&gt;&lt;D xsi:type="xsd:long"&gt;45366&lt;/D&gt;&lt;D xsi:type="xsd:long"&gt;45397&lt;/D&gt;&lt;D xsi:type="xsd:long"&gt;45427&lt;/D&gt;&lt;D xsi:type="xsd:long"&gt;45457&lt;/D&gt;&lt;D xsi:type="xsd:long"&gt;45488&lt;/D&gt;&lt;D xsi:type="xsd:long"&gt;45519&lt;/D&gt;&lt;D xsi:type="xsd:long"&gt;45548&lt;/D&gt;&lt;D xsi:type="xsd:long"&gt;45580&lt;/D&gt;&lt;D xsi:type="xsd:long"&gt;45611&lt;/D&gt;&lt;D xsi:type="xsd:long"&gt;45639&lt;/D&gt;&lt;D xsi:type="xsd:long"&gt;45672&lt;/D&gt;&lt;D xsi:type="xsd:long"&gt;45702&lt;/D&gt;&lt;D xsi:type="xsd:long"&gt;45730&lt;/D&gt;&lt;D xsi:type="xsd:long"&gt;45762&lt;/D&gt;&lt;D xsi:type="xsd:long"&gt;45792&lt;/D&gt;&lt;D xsi:type="xsd:long"&gt;45821&lt;/D&gt;&lt;D xsi:type="xsd:long"&gt;45853&lt;/D&gt;&lt;D xsi:type="xsd:long"&gt;45884&lt;/D&gt;&lt;D xsi:type="xsd:long"&gt;45915&lt;/D&gt;&lt;D xsi:type="xsd:long"&gt;45945&lt;/D&gt;&lt;D xsi:type="xsd:long"&gt;45975&lt;/D&gt;&lt;D xsi:type="xsd:long"&gt;46006&lt;/D&gt;&lt;D xsi:type="xsd:long"&gt;46037&lt;/D&gt;&lt;/FQL&gt;&lt;FQL&gt;&lt;Q&gt;EWQ^FG_TOTAL_RETURNC(-5AY,0,AM)&lt;/Q&gt;&lt;R&gt;61&lt;/R&gt;&lt;C&gt;1&lt;/C&gt;&lt;D xsi:type="xsd:double"&gt;0.3297329&lt;/D&gt;&lt;D xsi:type="xsd:double"&gt;2.1213055&lt;/D&gt;&lt;D xsi:type="xsd:double"&gt;3.423047&lt;/D&gt;&lt;D xsi:type="xsd:double"&gt;3.6492229&lt;/D&gt;&lt;D xsi:type="xsd:double"&gt;4.6943307&lt;/D&gt;&lt;D xsi:type="xsd:double"&gt;3.6476016&lt;/D&gt;&lt;D xsi:type="xsd:double"&gt;-4.730421&lt;/D&gt;&lt;D xsi:type="xsd:double"&gt;5.6059837&lt;/D&gt;&lt;D xsi:type="xsd:double"&gt;-2.6036441&lt;/D&gt;&lt;D xsi:type="xsd:double"&gt;0.5969405&lt;/D&gt;&lt;D xsi:type="xsd:double"&gt;3.0959725&lt;/D&gt;&lt;D xsi:type="xsd:double"&gt;-2.3770928&lt;/D&gt;&lt;D xsi:type="xsd:double"&gt;3.3719778&lt;/D&gt;&lt;D xsi:type="xsd:double"&gt;-3.1855226&lt;/D&gt;&lt;D xsi:type="xsd:double"&gt;-11.660963&lt;/D&gt;&lt;D xsi:type="xsd:double"&gt;2.175212&lt;/D&gt;&lt;D xsi:type="xsd:double"&gt;-5.4243207&lt;/D&gt;&lt;D xsi:type="xsd:double"&gt;-3.4311414&lt;/D&gt;&lt;D xsi:type="xsd:double"&gt;-3.3201873&lt;/D&gt;&lt;D xsi:type="xsd:double"&gt;9.724581&lt;/D&gt;&lt;D xsi:type="xsd:double"&gt;-8.397895&lt;/D&gt;&lt;D xsi:type="xsd:double"&gt;-6.9012165&lt;/D&gt;&lt;D xsi:type="xsd:double"&gt;18.713654&lt;/D&gt;&lt;D xsi:type="xsd:double"&gt;1.9888401&lt;/D&gt;&lt;D xsi:type="xsd:double"&gt;9.819269&lt;/D&gt;&lt;D xsi:type="xsd:double"&gt;2.3861885&lt;/D&gt;&lt;D xsi:type="xsd:double"&gt;-5.9737563&lt;/D&gt;&lt;D xsi:type="xsd:double"&gt;12.022793&lt;/D&gt;&lt;D xsi:type="xsd:double"&gt;-0.8901298&lt;/D&gt;&lt;D xsi:type="xsd:double"&gt;-0.28287768&lt;/D&gt;&lt;D xsi:type="xsd:double"&gt;3.7095547&lt;/D&gt;&lt;D xsi:type="xsd:double"&gt;-4.6676693&lt;/D&gt;&lt;D xsi:type="xsd:double"&gt;-1.1442244&lt;/D&gt;&lt;D xsi:type="xsd:double"&gt;-6.567973&lt;/D&gt;&lt;D xsi:type="xsd:double"&gt;6.251812&lt;/D&gt;&lt;D xsi:type="xsd:double"&gt;5.6399107&lt;/D&gt;&lt;D xsi:type="xsd:double"&gt;-0.795424&lt;/D&gt;&lt;D xsi:type="xsd:double"&gt;2.0572782&lt;/D&gt;&lt;D xsi:type="xsd:double"&gt;6.072986&lt;/D&gt;&lt;D xsi:type="xsd:double"&gt;-4.763049&lt;/D&gt;&lt;D xsi:type="xsd:double"&gt;7.552421&lt;/D&gt;&lt;D xsi:type="xsd:double"&gt;-9.524089&lt;/D&gt;&lt;D xsi:type="xsd:double"&gt;3.798139&lt;/D&gt;&lt;D xsi:type="xsd:double"&gt;-1.4841378&lt;/D&gt;&lt;D xsi:type="xsd:double"&gt;1.558435&lt;/D&gt;&lt;D xsi:type="xsd:double"&gt;-1.3810694&lt;/D&gt;&lt;D xsi:type="xsd:double"&gt;-5.9128704&lt;/D&gt;&lt;D xsi:type="xsd:double"&gt;1.5711069&lt;/D&gt;&lt;D xsi:type="xsd:double"&gt;-0.9470582&lt;/D&gt;&lt;D xsi:type="xsd:double"&gt;11.206186&lt;/D&gt;&lt;D xsi:type="xsd:double"&gt;2.482009&lt;/D&gt;&lt;D xsi:type="xsd:double"&gt;-5.5461407&lt;/D&gt;&lt;D xsi:type="xsd:double"&gt;7.9230785&lt;/D&gt;&lt;D xsi:type="xsd:double"&gt;1.7581463&lt;/D&gt;&lt;D xsi:type="xsd:double"&gt;1.6162872&lt;/D&gt;&lt;D xsi:type="xsd:double"&gt;3.125&lt;/D&gt;&lt;D xsi:type="xsd:double"&gt;0&lt;/D&gt;&lt;D xsi:type="xsd:double"&gt;1.2075663&lt;/D&gt;&lt;D xsi:type="xsd:double"&gt;0.9455204&lt;/D&gt;&lt;D xsi:type="xsd:double"&gt;0.7582545&lt;/D&gt;&lt;D xsi:type="xsd:double"&gt;0.99693537&lt;/D&gt;&lt;/FQL&gt;&lt;FQL&gt;&lt;Q&gt;EWM^FG_TOTAL_RETURNC(-5AY,0,AM)&lt;/Q&gt;&lt;R&gt;61&lt;/R&gt;&lt;C&gt;1&lt;/C&gt;&lt;D xsi:type="xsd:double"&gt;-3.1740546&lt;/D&gt;&lt;D xsi:type="xsd:double"&gt;-1.3394475&lt;/D&gt;&lt;D xsi:type="xsd:double"&gt;-0.21436214&lt;/D&gt;&lt;D xsi:type="xsd:double"&gt;-0.35803914&lt;/D&gt;&lt;D xsi:type="xsd:double"&gt;-1.6528904&lt;/D&gt;&lt;D xsi:type="xsd:double"&gt;-0.015956163&lt;/D&gt;&lt;D xsi:type="xsd:double"&gt;-5.3524313&lt;/D&gt;&lt;D xsi:type="xsd:double"&gt;-1.3540447&lt;/D&gt;&lt;D xsi:type="xsd:double"&gt;5.0868034&lt;/D&gt;&lt;D xsi:type="xsd:double"&gt;2.8428674&lt;/D&gt;&lt;D xsi:type="xsd:double"&gt;-5.0429583&lt;/D&gt;&lt;D xsi:type="xsd:double"&gt;-4.2300105&lt;/D&gt;&lt;D xsi:type="xsd:double"&gt;6.4064503&lt;/D&gt;&lt;D xsi:type="xsd:double"&gt;2.6315808&lt;/D&gt;&lt;D xsi:type="xsd:double"&gt;-2.4087012&lt;/D&gt;&lt;D xsi:type="xsd:double"&gt;1.7117739&lt;/D&gt;&lt;D xsi:type="xsd:double"&gt;-6.7318974&lt;/D&gt;&lt;D xsi:type="xsd:double"&gt;-5.4491816&lt;/D&gt;&lt;D xsi:type="xsd:double"&gt;-3.125&lt;/D&gt;&lt;D xsi:type="xsd:double"&gt;5.6568503&lt;/D&gt;&lt;D xsi:type="xsd:double"&gt;-4.469025&lt;/D&gt;&lt;D xsi:type="xsd:double"&gt;-8.290881&lt;/D&gt;&lt;D xsi:type="xsd:double"&gt;9.444451&lt;/D&gt;&lt;D xsi:type="xsd:double"&gt;3.9034128&lt;/D&gt;&lt;D xsi:type="xsd:double"&gt;5.156958&lt;/D&gt;&lt;D xsi:type="xsd:double"&gt;-2.08956&lt;/D&gt;&lt;D xsi:type="xsd:double"&gt;-7.7526093&lt;/D&gt;&lt;D xsi:type="xsd:double"&gt;5.6185126&lt;/D&gt;&lt;D xsi:type="xsd:double"&gt;-2.9950857&lt;/D&gt;&lt;D xsi:type="xsd:double"&gt;-4.4778466&lt;/D&gt;&lt;D xsi:type="xsd:double"&gt;3.5363436&lt;/D&gt;&lt;D xsi:type="xsd:double"&gt;0.75901747&lt;/D&gt;&lt;D xsi:type="xsd:double"&gt;-0.329566&lt;/D&gt;&lt;D xsi:type="xsd:double"&gt;-1.5588105&lt;/D&gt;&lt;D xsi:type="xsd:double"&gt;3.1669855&lt;/D&gt;&lt;D xsi:type="xsd:double"&gt;-0.69767237&lt;/D&gt;&lt;D xsi:type="xsd:double"&gt;1.9581556&lt;/D&gt;&lt;D xsi:type="xsd:double"&gt;-0.60775876&lt;/D&gt;&lt;D xsi:type="xsd:double"&gt;3.9981246&lt;/D&gt;&lt;D xsi:type="xsd:double"&gt;-2.48757&lt;/D&gt;&lt;D xsi:type="xsd:double"&gt;7.2820067&lt;/D&gt;&lt;D xsi:type="xsd:double"&gt;-0.41888952&lt;/D&gt;&lt;D xsi:type="xsd:double"&gt;2.7348995&lt;/D&gt;&lt;D xsi:type="xsd:double"&gt;4.036057&lt;/D&gt;&lt;D xsi:type="xsd:double"&gt;7.0160985&lt;/D&gt;&lt;D xsi:type="xsd:double"&gt;-0.57848096&lt;/D&gt;&lt;D xsi:type="xsd:double"&gt;-6.322736&lt;/D&gt;&lt;D xsi:type="xsd:double"&gt;2.5672913&lt;/D&gt;&lt;D xsi:type="xsd:double"&gt;-3.8402736&lt;/D&gt;&lt;D xsi:type="xsd:double"&gt;4.4910192&lt;/D&gt;&lt;D xsi:type="xsd:double"&gt;-4.993868&lt;/D&gt;&lt;D xsi:type="xsd:double"&gt;-2.4989247&lt;/D&gt;&lt;D xsi:type="xsd:double"&gt;10.826338&lt;/D&gt;&lt;D xsi:type="xsd:double"&gt;-3.2695353&lt;/D&gt;&lt;D xsi:type="xsd:double"&gt;0.18626451&lt;/D&gt;&lt;D xsi:type="xsd:double"&gt;4.957986&lt;/D&gt;&lt;D xsi:type="xsd:double"&gt;2.2818208&lt;/D&gt;&lt;D xsi:type="xsd:double"&gt;0.43053627&lt;/D&gt;&lt;D xsi:type="xsd:double"&gt;3.078723&lt;/D&gt;&lt;D xsi:type="xsd:double"&gt;2.4196625&lt;/D&gt;&lt;D xsi:type="xsd:double"&gt;6.050551&lt;/D&gt;&lt;/FQL&gt;&lt;FQL&gt;&lt;Q&gt;UAE^FG_PRICE(0,-200D)&lt;/Q&gt;&lt;R&gt;201&lt;/R&gt;&lt;C&gt;1&lt;/C&gt;&lt;D xsi:type="xsd:double"&gt;19.73&lt;/D&gt;&lt;D xsi:type="xsd:double"&gt;19.59&lt;/D&gt;&lt;D xsi:type="xsd:double"&gt;19.76&lt;/D&gt;&lt;D xsi:type="xsd:double"&gt;19.55&lt;/D&gt;&lt;D xsi:type="xsd:double"&gt;19.43&lt;/D&gt;&lt;D xsi:type="xsd:double"&gt;19.65&lt;/D&gt;&lt;D xsi:type="xsd:double"&gt;19.65&lt;/D&gt;&lt;D xsi:type="xsd:double"&gt;19.425&lt;/D&gt;&lt;D xsi:type="xsd:double"&gt;19.22&lt;/D&gt;&lt;D xsi:type="xsd:double"&gt;19.2151&lt;/D&gt;&lt;D xsi:type="xsd:double"&gt;19.12&lt;/D&gt;&lt;D xsi:type="xsd:double"&gt;19.05&lt;/D&gt;&lt;D xsi:type="xsd:double"&gt;19.6&lt;/D&gt;&lt;D xsi:type="xsd:double"&gt;19.54&lt;/D&gt;&lt;D xsi:type="xsd:double"&gt;19.52&lt;/D&gt;&lt;D xsi:type="xsd:double"&gt;19.56&lt;/D&gt;&lt;D xsi:type="xsd:double"&gt;19.45&lt;/D&gt;&lt;D xsi:type="xsd:double"&gt;19.25&lt;/D&gt;&lt;D xsi:type="xsd:double"&gt;19.31&lt;/D&gt;&lt;D xsi:type="xsd:double"&gt;19.1129&lt;/D&gt;&lt;D xsi:type="xsd:double"&gt;19.24&lt;/D&gt;&lt;D xsi:type="xsd:double"&gt;19.38&lt;/D&gt;&lt;D xsi:type="xsd:double"&gt;19.35&lt;/D&gt;&lt;D xsi:type="xsd:double"&gt;19.51&lt;/D&gt;&lt;D xsi:type="xsd:double"&gt;19.4401&lt;/D&gt;&lt;D xsi:type="xsd:double"&gt;19.38&lt;/D&gt;&lt;D xsi:type="xsd:double"&gt;19.08&lt;/D&gt;&lt;D xsi:type="xsd:double"&gt;19.22&lt;/D&gt;&lt;D xsi:type="xsd:double"&gt;19.05&lt;/D&gt;&lt;D xsi:type="xsd:double"&gt;18.85&lt;/D&gt;&lt;D xsi:type="xsd:double"&gt;18.53&lt;/D&gt;&lt;D xsi:type="xsd:double"&gt;18.4941&lt;/D&gt;&lt;D xsi:type="xsd:double"&gt;18.58&lt;/D&gt;&lt;D xsi:type="xsd:double"&gt;18.53&lt;/D&gt;&lt;D xsi:type="xsd:double"&gt;18.71&lt;/D&gt;&lt;D xsi:type="xsd:double"&gt;18.75&lt;/D&gt;&lt;D xsi:type="xsd:double"&gt;18.68&lt;/D&gt;&lt;D xsi:type="xsd:double"&gt;18.7582&lt;/D&gt;&lt;D xsi:type="xsd:double"&gt;18.87&lt;/D&gt;&lt;D xsi:type="xsd:double"&gt;18.85&lt;/D&gt;&lt;D xsi:type="xsd:double"&gt;18.93&lt;/D&gt;&lt;D xsi:type="xsd:double"&gt;19.17&lt;/D&gt;&lt;D xsi:type="xsd:double"&gt;19.19&lt;/D&gt;&lt;D xsi:type="xsd:double"&gt;19.48&lt;/D&gt;&lt;D xsi:type="xsd:double"&gt;19.69&lt;/D&gt;&lt;D xsi:type="xsd:double"&gt;19.53&lt;/D&gt;&lt;D xsi:type="xsd:double"&gt;19.43&lt;/D&gt;&lt;D xsi:type="xsd:double"&gt;19.31&lt;/D&gt;&lt;D xsi:type="xsd:double"&gt;19.35&lt;/D&gt;&lt;D xsi:type="xsd:double"&gt;19.36&lt;/D&gt;&lt;D xsi:type="xsd:double"&gt;19.58&lt;/D&gt;&lt;D xsi:type="xsd:double"&gt;19.68&lt;/D&gt;&lt;D xsi:type="xsd:double"&gt;20.15&lt;/D&gt;&lt;D xsi:type="xsd:double"&gt;20&lt;/D&gt;&lt;D xsi:type="xsd:double"&gt;20.01&lt;/D&gt;&lt;D xsi:type="xsd:double"&gt;19.97&lt;/D&gt;&lt;D xsi:type="xsd:double"&gt;19.98&lt;/D&gt;&lt;D xsi:type="xsd:double"&gt;19.92&lt;/D&gt;&lt;D xsi:type="xsd:double"&gt;19.69&lt;/D&gt;&lt;D xsi:type="xsd:double"&gt;19.58&lt;/D&gt;&lt;D xsi:type="xsd:double"&gt;19.57&lt;/D&gt;&lt;D xsi:type="xsd:double"&gt;19.63&lt;/D&gt;&lt;D xsi:type="xsd:double"&gt;19.47&lt;/D&gt;&lt;D xsi:type="xsd:double"&gt;19.47&lt;/D&gt;&lt;D xsi:type="xsd:double"&gt;19.57&lt;/D&gt;&lt;D xsi:type="xsd:double"&gt;19.16&lt;/D&gt;&lt;D xsi:type="xsd:double"&gt;19&lt;/D&gt;&lt;D xsi:type="xsd:double"&gt;19.25&lt;/D&gt;&lt;D xsi:type="xsd:double"&gt;19.29&lt;/D&gt;&lt;D xsi:type="xsd:double"&gt;19.13&lt;/D&gt;&lt;D xsi:type="xsd:double"&gt;19.04&lt;/D&gt;&lt;D xsi:type="xsd:double"&gt;19.11&lt;/D&gt;&lt;D xsi:type="xsd:double"&gt;19.08&lt;/D&gt;&lt;D xsi:type="xsd:double"&gt;18.99&lt;/D&gt;&lt;D xsi:type="xsd:double"&gt;18.89&lt;/D&gt;&lt;D xsi:type="xsd:double"&gt;18.82&lt;/D&gt;&lt;D xsi:type="xsd:double"&gt;18.98&lt;/D&gt;&lt;D xsi:type="xsd:double"&gt;18.84&lt;/D&gt;&lt;D xsi:type="xsd:double"&gt;18.68&lt;/D&gt;&lt;D xsi:type="xsd:double"&gt;19.14&lt;/D&gt;&lt;D xsi:type="xsd:double"&gt;19.55&lt;/D&gt;&lt;D xsi:type="xsd:double"&gt;19.47&lt;/D&gt;&lt;D xsi:type="xsd:double"&gt;19.36&lt;/D&gt;&lt;D xsi:type="xsd:double"&gt;19.16&lt;/D&gt;&lt;D xsi:type="xsd:double"&gt;19.32&lt;/D&gt;&lt;D xsi:type="xsd:double"&gt;19.2&lt;/D&gt;&lt;D xsi:type="xsd:double"&gt;19.17&lt;/D&gt;&lt;D xsi:type="xsd:double"&gt;19.01&lt;/D&gt;&lt;D xsi:type="xsd:double"&gt;18.85&lt;/D&gt;&lt;D xsi:type="xsd:double"&gt;18.91&lt;/D&gt;&lt;D xsi:type="xsd:double"&gt;18.94&lt;/D&gt;&lt;D xsi:type="xsd:double"&gt;19.16&lt;/D&gt;&lt;D xsi:type="xsd:double"&gt;19.2&lt;/D&gt;&lt;D xsi:type="xsd:double"&gt;19.03&lt;/D&gt;&lt;D xsi:type="xsd:double"&gt;19.14&lt;/D&gt;&lt;D xsi:type="xsd:double"&gt;19.38&lt;/D&gt;&lt;D xsi:type="xsd:double"&gt;19.53&lt;/D&gt;&lt;D xsi:type="xsd:double"&gt;19.68&lt;/D&gt;&lt;D xsi:type="xsd:double"&gt;19.75&lt;/D&gt;&lt;D xsi:type="xsd:double"&gt;19.83&lt;/D&gt;&lt;D xsi:type="xsd:double"&gt;19.96&lt;/D&gt;&lt;D xsi:type="xsd:double"&gt;19.753&lt;/D&gt;&lt;D xsi:type="xsd:double"&gt;19.8&lt;/D&gt;&lt;D xsi:type="xsd:double"&gt;19.8383&lt;/D&gt;&lt;D xsi:type="xsd:double"&gt;19.965&lt;/D&gt;&lt;D xsi:type="xsd:double"&gt;19.905&lt;/D&gt;&lt;D xsi:type="xsd:double"&gt;19.98&lt;/D&gt;&lt;D xsi:type="xsd:double"&gt;19.93&lt;/D&gt;&lt;D xsi:type="xsd:double"&gt;20.15&lt;/D&gt;&lt;D xsi:type="xsd:double"&gt;20.08&lt;/D&gt;&lt;D xsi:type="xsd:double"&gt;20.14&lt;/D&gt;&lt;D xsi:type="xsd:double"&gt;20.1&lt;/D&gt;&lt;D xsi:type="xsd:double"&gt;20.25&lt;/D&gt;&lt;D xsi:type="xsd:double"&gt;20.01&lt;/D&gt;&lt;D xsi:type="xsd:double"&gt;20.21&lt;/D&gt;&lt;D xsi:type="xsd:double"&gt;19.95&lt;/D&gt;&lt;D xsi:type="xsd:double"&gt;20.0399&lt;/D&gt;&lt;D xsi:type="xsd:double"&gt;20.26&lt;/D&gt;&lt;D xsi:type="xsd:double"&gt;20.145&lt;/D&gt;&lt;D xsi:type="xsd:double"&gt;20.32&lt;/D&gt;&lt;D xsi:type="xsd:double"&gt;20.35&lt;/D&gt;&lt;D xsi:type="xsd:double"&gt;20.11&lt;/D&gt;&lt;D xsi:type="xsd:double"&gt;20.105&lt;/D&gt;&lt;D xsi:type="xsd:double"&gt;19.795&lt;/D&gt;&lt;D xsi:type="xsd:double"&gt;19.9&lt;/D&gt;&lt;D xsi:type="xsd:double"&gt;19.98&lt;/D&gt;&lt;D xsi:type="xsd:double"&gt;20.05&lt;/D&gt;&lt;D xsi:type="xsd:double"&gt;19.86&lt;/D&gt;&lt;D xsi:type="xsd:double"&gt;19.41&lt;/D&gt;&lt;D xsi:type="xsd:double"&gt;19.37&lt;/D&gt;&lt;D xsi:type="xsd:double"&gt;19.21&lt;/D&gt;&lt;D xsi:type="xsd:double"&gt;19.08&lt;/D&gt;&lt;D xsi:type="xsd:double"&gt;19.13&lt;/D&gt;&lt;D xsi:type="xsd:double"&gt;18.84&lt;/D&gt;&lt;D xsi:type="xsd:double"&gt;18.86&lt;/D&gt;&lt;D xsi:type="xsd:double"&gt;18.84&lt;/D&gt;&lt;D xsi:type="xsd:double"&gt;18.6&lt;/D&gt;&lt;D xsi:type="xsd:double"&gt;18.66&lt;/D&gt;&lt;D xsi:type="xsd:double"&gt;18.72&lt;/D&gt;&lt;D xsi:type="xsd:double"&gt;18.57&lt;/D&gt;&lt;D xsi:type="xsd:double"&gt;18.5&lt;/D&gt;&lt;D xsi:type="xsd:double"&gt;18.22&lt;/D&gt;&lt;D xsi:type="xsd:double"&gt;18.3&lt;/D&gt;&lt;D xsi:type="xsd:double"&gt;17.66&lt;/D&gt;&lt;D xsi:type="xsd:double"&gt;17.26&lt;/D&gt;&lt;D xsi:type="xsd:double"&gt;16.99&lt;/D&gt;&lt;D xsi:type="xsd:double"&gt;17.24&lt;/D&gt;&lt;D xsi:type="xsd:double"&gt;17.56&lt;/D&gt;&lt;D xsi:type="xsd:double"&gt;17.88&lt;/D&gt;&lt;D xsi:type="xsd:double"&gt;18.395&lt;/D&gt;&lt;D xsi:type="xsd:double"&gt;18.72&lt;/D&gt;&lt;D xsi:type="xsd:double"&gt;18.78&lt;/D&gt;&lt;D xsi:type="xsd:double"&gt;18.71&lt;/D&gt;&lt;D xsi:type="xsd:double"&gt;18.67&lt;/D&gt;&lt;D xsi:type="xsd:double"&gt;18.61&lt;/D&gt;&lt;D xsi:type="xsd:double"&gt;18.59&lt;/D&gt;&lt;D xsi:type="xsd:double"&gt;18.59&lt;/D&gt;&lt;D xsi:type="xsd:double"&gt;18.45&lt;/D&gt;&lt;D xsi:type="xsd:double"&gt;18.57&lt;/D&gt;&lt;D xsi:type="xsd:double"&gt;18.59&lt;/D&gt;&lt;D xsi:type="xsd:double"&gt;18.66&lt;/D&gt;&lt;D xsi:type="xsd:double"&gt;18.62&lt;/D&gt;&lt;D xsi:type="xsd:double"&gt;18.45&lt;/D&gt;&lt;D xsi:type="xsd:double"&gt;18.53&lt;/D&gt;&lt;D xsi:type="xsd:double"&gt;18.57&lt;/D&gt;&lt;D xsi:type="xsd:double"&gt;18.71&lt;/D&gt;&lt;D xsi:type="xsd:double"&gt;18.65&lt;/D&gt;&lt;D xsi:type="xsd:double"&gt;18.48&lt;/D&gt;&lt;D xsi:type="xsd:double"&gt;18.3&lt;/D&gt;&lt;D xsi:type="xsd:double"&gt;18.16&lt;/D&gt;&lt;D xsi:type="xsd:double"&gt;18.36&lt;/D&gt;&lt;D xsi:type="xsd:double"&gt;18.13&lt;/D&gt;&lt;D xsi:type="xsd:double"&gt;18.15&lt;/D&gt;&lt;D xsi:type="xsd:double"&gt;18.14&lt;/D&gt;&lt;D xsi:type="xsd:double"&gt;18.18&lt;/D&gt;&lt;D xsi:type="xsd:double"&gt;18.31&lt;/D&gt;&lt;D xsi:type="xsd:double"&gt;18.23&lt;/D&gt;&lt;D xsi:type="xsd:double"&gt;18.14&lt;/D&gt;&lt;D xsi:type="xsd:double"&gt;17.96&lt;/D&gt;&lt;D xsi:type="xsd:double"&gt;17.88&lt;/D&gt;&lt;D xsi:type="xsd:double"&gt;17.99&lt;/D&gt;&lt;D xsi:type="xsd:double"&gt;17.64&lt;/D&gt;&lt;D xsi:type="xsd:double"&gt;17.47&lt;/D&gt;&lt;D xsi:type="xsd:double"&gt;17.57&lt;/D&gt;&lt;D xsi:type="xsd:double"&gt;17.23&lt;/D&gt;&lt;D xsi:type="xsd:double"&gt;17.01&lt;/D&gt;&lt;D xsi:type="xsd:double"&gt;16.76&lt;/D&gt;&lt;D xsi:type="xsd:double"&gt;16.76&lt;/D&gt;&lt;D xsi:type="xsd:double"&gt;16.68&lt;/D&gt;&lt;D xsi:type="xsd:double"&gt;16.79&lt;/D&gt;&lt;D xsi:type="xsd:double"&gt;16.71&lt;/D&gt;&lt;D xsi:type="xsd:double"&gt;16.51&lt;/D&gt;&lt;D xsi:type="xsd:double"&gt;16.17&lt;/D&gt;&lt;D xsi:type="xsd:double"&gt;16.46&lt;/D&gt;&lt;D xsi:type="xsd:double"&gt;15.58&lt;/D&gt;&lt;D xsi:type="xsd:double"&gt;15.88&lt;/D&gt;&lt;D xsi:type="xsd:double"&gt;15.6&lt;/D&gt;&lt;D xsi:type="xsd:double"&gt;16.35&lt;/D&gt;&lt;D xsi:type="xsd:double"&gt;17&lt;/D&gt;&lt;D xsi:type="xsd:double"&gt;16.93&lt;/D&gt;&lt;D xsi:type="xsd:double"&gt;16.97&lt;/D&gt;&lt;/FQL&gt;&lt;FQL&gt;&lt;Q&gt;EIDO^FG_PRICE(0,-200D)&lt;/Q&gt;&lt;R&gt;201&lt;/R&gt;&lt;C&gt;1&lt;/C&gt;&lt;D xsi:type="xsd:double"&gt;19.22&lt;/D&gt;&lt;D xsi:type="xsd:double"&gt;19.14&lt;/D&gt;&lt;D xsi:type="xsd:double"&gt;19.03&lt;/D&gt;&lt;D xsi:type="xsd:double"&gt;18.99&lt;/D&gt;&lt;D xsi:type="xsd:double"&gt;19.01&lt;/D&gt;&lt;D xsi:type="xsd:double"&gt;18.99&lt;/D&gt;&lt;D xsi:type="xsd:double"&gt;19.03&lt;/D&gt;&lt;D xsi:type="xsd:double"&gt;19.08&lt;/D&gt;&lt;D xsi:type="xsd:double"&gt;19.04&lt;/D&gt;&lt;D xsi:type="xsd:double"&gt;18.81&lt;/D&gt;&lt;D xsi:type="xsd:double"&gt;18.7&lt;/D&gt;&lt;D xsi:type="xsd:double"&gt;18.67&lt;/D&gt;&lt;D xsi:type="xsd:double"&gt;18.67&lt;/D&gt;&lt;D xsi:type="xsd:double"&gt;18.47&lt;/D&gt;&lt;D xsi:type="xsd:double"&gt;18.45&lt;/D&gt;&lt;D xsi:type="xsd:double"&gt;18.56&lt;/D&gt;&lt;D xsi:type="xsd:double"&gt;18.68&lt;/D&gt;&lt;D xsi:type="xsd:double"&gt;18.58&lt;/D&gt;&lt;D xsi:type="xsd:double"&gt;18.63&lt;/D&gt;&lt;D xsi:type="xsd:double"&gt;18.6&lt;/D&gt;&lt;D xsi:type="xsd:double"&gt;18.67&lt;/D&gt;&lt;D xsi:type="xsd:double"&gt;18.86&lt;/D&gt;&lt;D xsi:type="xsd:double"&gt;18.76&lt;/D&gt;&lt;D xsi:type="xsd:double"&gt;18.68&lt;/D&gt;&lt;D xsi:type="xsd:double"&gt;18.86&lt;/D&gt;&lt;D xsi:type="xsd:double"&gt;18.68&lt;/D&gt;&lt;D xsi:type="xsd:double"&gt;18.87&lt;/D&gt;&lt;D xsi:type="xsd:double"&gt;18.82&lt;/D&gt;&lt;D xsi:type="xsd:double"&gt;18.79&lt;/D&gt;&lt;D xsi:type="xsd:double"&gt;18.83&lt;/D&gt;&lt;D xsi:type="xsd:double"&gt;18.92&lt;/D&gt;&lt;D xsi:type="xsd:double"&gt;18.79&lt;/D&gt;&lt;D xsi:type="xsd:double"&gt;18.67&lt;/D&gt;&lt;D xsi:type="xsd:double"&gt;18.87&lt;/D&gt;&lt;D xsi:type="xsd:double"&gt;18.73&lt;/D&gt;&lt;D xsi:type="xsd:double"&gt;18.78&lt;/D&gt;&lt;D xsi:type="xsd:double"&gt;18.37&lt;/D&gt;&lt;D xsi:type="xsd:double"&gt;18.33&lt;/D&gt;&lt;D xsi:type="xsd:double"&gt;18.48&lt;/D&gt;&lt;D xsi:type="xsd:double"&gt;18.26&lt;/D&gt;&lt;D xsi:type="xsd:double"&gt;18.38&lt;/D&gt;&lt;D xsi:type="xsd:double"&gt;18.38&lt;/D&gt;&lt;D xsi:type="xsd:double"&gt;18.28&lt;/D&gt;&lt;D xsi:type="xsd:double"&gt;18.44&lt;/D&gt;&lt;D xsi:type="xsd:double"&gt;18.45&lt;/D&gt;&lt;D xsi:type="xsd:double"&gt;18.55&lt;/D&gt;&lt;D xsi:type="xsd:double"&gt;18.53&lt;/D&gt;&lt;D xsi:type="xsd:double"&gt;18.44&lt;/D&gt;&lt;D xsi:type="xsd:double"&gt;18.54&lt;/D&gt;&lt;D xsi:type="xsd:double"&gt;18.36&lt;/D&gt;&lt;D xsi:type="xsd:double"&gt;18.45&lt;/D&gt;&lt;D xsi:type="xsd:double"&gt;18.28&lt;/D&gt;&lt;D xsi:type="xsd:double"&gt;18.27&lt;/D&gt;&lt;D xsi:type="xsd:double"&gt;18.32&lt;/D&gt;&lt;D xsi:type="xsd:double"&gt;18.05&lt;/D&gt;&lt;D xsi:type="xsd:double"&gt;18.09&lt;/D&gt;&lt;D xsi:type="xsd:double"&gt;18.3&lt;/D&gt;&lt;D xsi:type="xsd:double"&gt;18.3&lt;/D&gt;&lt;D xsi:type="xsd:double"&gt;17.89&lt;/D&gt;&lt;D xsi:type="xsd:double"&gt;18.17&lt;/D&gt;&lt;D xsi:type="xsd:double"&gt;17.82&lt;/D&gt;&lt;D xsi:type="xsd:double"&gt;17.3&lt;/D&gt;&lt;D xsi:type="xsd:double"&gt;17.36&lt;/D&gt;&lt;D xsi:type="xsd:double"&gt;17.21&lt;/D&gt;&lt;D xsi:type="xsd:double"&gt;17.22&lt;/D&gt;&lt;D xsi:type="xsd:double"&gt;17.57&lt;/D&gt;&lt;D xsi:type="xsd:double"&gt;17.31&lt;/D&gt;&lt;D xsi:type="xsd:double"&gt;17.65&lt;/D&gt;&lt;D xsi:type="xsd:double"&gt;17.45&lt;/D&gt;&lt;D xsi:type="xsd:double"&gt;17.43&lt;/D&gt;&lt;D xsi:type="xsd:double"&gt;17.42&lt;/D&gt;&lt;D xsi:type="xsd:double"&gt;17.43&lt;/D&gt;&lt;D xsi:type="xsd:double"&gt;17.44&lt;/D&gt;&lt;D xsi:type="xsd:double"&gt;17.46&lt;/D&gt;&lt;D xsi:type="xsd:double"&gt;17.55&lt;/D&gt;&lt;D xsi:type="xsd:double"&gt;17.69&lt;/D&gt;&lt;D xsi:type="xsd:double"&gt;17.6&lt;/D&gt;&lt;D xsi:type="xsd:double"&gt;17.41&lt;/D&gt;&lt;D xsi:type="xsd:double"&gt;17.68&lt;/D&gt;&lt;D xsi:type="xsd:double"&gt;17.76&lt;/D&gt;&lt;D xsi:type="xsd:double"&gt;17.73&lt;/D&gt;&lt;D xsi:type="xsd:double"&gt;17.79&lt;/D&gt;&lt;D xsi:type="xsd:double"&gt;17.72&lt;/D&gt;&lt;D xsi:type="xsd:double"&gt;17.98&lt;/D&gt;&lt;D xsi:type="xsd:double"&gt;17.85&lt;/D&gt;&lt;D xsi:type="xsd:double"&gt;17.96&lt;/D&gt;&lt;D xsi:type="xsd:double"&gt;17.83&lt;/D&gt;&lt;D xsi:type="xsd:double"&gt;17.64&lt;/D&gt;&lt;D xsi:type="xsd:double"&gt;17.33&lt;/D&gt;&lt;D xsi:type="xsd:double"&gt;17.06&lt;/D&gt;&lt;D xsi:type="xsd:double"&gt;17.5&lt;/D&gt;&lt;D xsi:type="xsd:double"&gt;17.93&lt;/D&gt;&lt;D xsi:type="xsd:double"&gt;17.77&lt;/D&gt;&lt;D xsi:type="xsd:double"&gt;17.81&lt;/D&gt;&lt;D xsi:type="xsd:double"&gt;17.74&lt;/D&gt;&lt;D xsi:type="xsd:double"&gt;17.67&lt;/D&gt;&lt;D xsi:type="xsd:double"&gt;18.19&lt;/D&gt;&lt;D xsi:type="xsd:double"&gt;18.16&lt;/D&gt;&lt;D xsi:type="xsd:double"&gt;18.38&lt;/D&gt;&lt;D xsi:type="xsd:double"&gt;18.61&lt;/D&gt;&lt;D xsi:type="xsd:double"&gt;18.65&lt;/D&gt;&lt;D xsi:type="xsd:double"&gt;18.44&lt;/D&gt;&lt;D xsi:type="xsd:double"&gt;18.6&lt;/D&gt;&lt;D xsi:type="xsd:double"&gt;18.31&lt;/D&gt;&lt;D xsi:type="xsd:double"&gt;18.43&lt;/D&gt;&lt;D xsi:type="xsd:double"&gt;18.5&lt;/D&gt;&lt;D xsi:type="xsd:double"&gt;18.63&lt;/D&gt;&lt;D xsi:type="xsd:double"&gt;18.83&lt;/D&gt;&lt;D xsi:type="xsd:double"&gt;18.61&lt;/D&gt;&lt;D xsi:type="xsd:double"&gt;17.98&lt;/D&gt;&lt;D xsi:type="xsd:double"&gt;17.83&lt;/D&gt;&lt;D xsi:type="xsd:double"&gt;17.72&lt;/D&gt;&lt;D xsi:type="xsd:double"&gt;17.66&lt;/D&gt;&lt;D xsi:type="xsd:double"&gt;17.62&lt;/D&gt;&lt;D xsi:type="xsd:double"&gt;17.59&lt;/D&gt;&lt;D xsi:type="xsd:double"&gt;17.61&lt;/D&gt;&lt;D xsi:type="xsd:double"&gt;17.27&lt;/D&gt;&lt;D xsi:type="xsd:double"&gt;17.58&lt;/D&gt;&lt;D xsi:type="xsd:double"&gt;17.8&lt;/D&gt;&lt;D xsi:type="xsd:double"&gt;17.75&lt;/D&gt;&lt;D xsi:type="xsd:double"&gt;17.6&lt;/D&gt;&lt;D xsi:type="xsd:double"&gt;17.81&lt;/D&gt;&lt;D xsi:type="xsd:double"&gt;17.81&lt;/D&gt;&lt;D xsi:type="xsd:double"&gt;17.56&lt;/D&gt;&lt;D xsi:type="xsd:double"&gt;17.73&lt;/D&gt;&lt;D xsi:type="xsd:double"&gt;17.69&lt;/D&gt;&lt;D xsi:type="xsd:double"&gt;17.76&lt;/D&gt;&lt;D xsi:type="xsd:double"&gt;17.7&lt;/D&gt;&lt;D xsi:type="xsd:double"&gt;17.72&lt;/D&gt;&lt;D xsi:type="xsd:double"&gt;17.63&lt;/D&gt;&lt;D xsi:type="xsd:double"&gt;17.87&lt;/D&gt;&lt;D xsi:type="xsd:double"&gt;17.76&lt;/D&gt;&lt;D xsi:type="xsd:double"&gt;17.47&lt;/D&gt;&lt;D xsi:type="xsd:double"&gt;17.31&lt;/D&gt;&lt;D xsi:type="xsd:double"&gt;17.34&lt;/D&gt;&lt;D xsi:type="xsd:double"&gt;17.47&lt;/D&gt;&lt;D xsi:type="xsd:double"&gt;17.48&lt;/D&gt;&lt;D xsi:type="xsd:double"&gt;17.49&lt;/D&gt;&lt;D xsi:type="xsd:double"&gt;17.63&lt;/D&gt;&lt;D xsi:type="xsd:double"&gt;17.49&lt;/D&gt;&lt;D xsi:type="xsd:double"&gt;17.51&lt;/D&gt;&lt;D xsi:type="xsd:double"&gt;17.18&lt;/D&gt;&lt;D xsi:type="xsd:double"&gt;17.38&lt;/D&gt;&lt;D xsi:type="xsd:double"&gt;16.89&lt;/D&gt;&lt;D xsi:type="xsd:double"&gt;17.18&lt;/D&gt;&lt;D xsi:type="xsd:double"&gt;17.87&lt;/D&gt;&lt;D xsi:type="xsd:double"&gt;18.02&lt;/D&gt;&lt;D xsi:type="xsd:double"&gt;18.01&lt;/D&gt;&lt;D xsi:type="xsd:double"&gt;18.62&lt;/D&gt;&lt;D xsi:type="xsd:double"&gt;18.9&lt;/D&gt;&lt;D xsi:type="xsd:double"&gt;18.91&lt;/D&gt;&lt;D xsi:type="xsd:double"&gt;18.84&lt;/D&gt;&lt;D xsi:type="xsd:double"&gt;18.59&lt;/D&gt;&lt;D xsi:type="xsd:double"&gt;18.51&lt;/D&gt;&lt;D xsi:type="xsd:double"&gt;18.56&lt;/D&gt;&lt;D xsi:type="xsd:double"&gt;18.45&lt;/D&gt;&lt;D xsi:type="xsd:double"&gt;18.42&lt;/D&gt;&lt;D xsi:type="xsd:double"&gt;18.56&lt;/D&gt;&lt;D xsi:type="xsd:double"&gt;18.88&lt;/D&gt;&lt;D xsi:type="xsd:double"&gt;18.95&lt;/D&gt;&lt;D xsi:type="xsd:double"&gt;18.91&lt;/D&gt;&lt;D xsi:type="xsd:double"&gt;19.04&lt;/D&gt;&lt;D xsi:type="xsd:double"&gt;19.16&lt;/D&gt;&lt;D xsi:type="xsd:double"&gt;18.91&lt;/D&gt;&lt;D xsi:type="xsd:double"&gt;18.79&lt;/D&gt;&lt;D xsi:type="xsd:double"&gt;18.53&lt;/D&gt;&lt;D xsi:type="xsd:double"&gt;18.74&lt;/D&gt;&lt;D xsi:type="xsd:double"&gt;18.39&lt;/D&gt;&lt;D xsi:type="xsd:double"&gt;18.27&lt;/D&gt;&lt;D xsi:type="xsd:double"&gt;17.97&lt;/D&gt;&lt;D xsi:type="xsd:double"&gt;17.54&lt;/D&gt;&lt;D xsi:type="xsd:double"&gt;17.4&lt;/D&gt;&lt;D xsi:type="xsd:double"&gt;17.41&lt;/D&gt;&lt;D xsi:type="xsd:double"&gt;17.45&lt;/D&gt;&lt;D xsi:type="xsd:double"&gt;17.71&lt;/D&gt;&lt;D xsi:type="xsd:double"&gt;17.74&lt;/D&gt;&lt;D xsi:type="xsd:double"&gt;17.65&lt;/D&gt;&lt;D xsi:type="xsd:double"&gt;17.63&lt;/D&gt;&lt;D xsi:type="xsd:double"&gt;17.3&lt;/D&gt;&lt;D xsi:type="xsd:double"&gt;17.31&lt;/D&gt;&lt;D xsi:type="xsd:double"&gt;17.1&lt;/D&gt;&lt;D xsi:type="xsd:double"&gt;16.93&lt;/D&gt;&lt;D xsi:type="xsd:double"&gt;16.77&lt;/D&gt;&lt;D xsi:type="xsd:double"&gt;16.76&lt;/D&gt;&lt;D xsi:type="xsd:double"&gt;16.61&lt;/D&gt;&lt;D xsi:type="xsd:double"&gt;16.36&lt;/D&gt;&lt;D xsi:type="xsd:double"&gt;16.03&lt;/D&gt;&lt;D xsi:type="xsd:double"&gt;16.13&lt;/D&gt;&lt;D xsi:type="xsd:double"&gt;15.93&lt;/D&gt;&lt;D xsi:type="xsd:double"&gt;16.14&lt;/D&gt;&lt;D xsi:type="xsd:double"&gt;16.09&lt;/D&gt;&lt;D xsi:type="xsd:double"&gt;15.87&lt;/D&gt;&lt;D xsi:type="xsd:double"&gt;15.45&lt;/D&gt;&lt;D xsi:type="xsd:double"&gt;15.56&lt;/D&gt;&lt;D xsi:type="xsd:double"&gt;14.36&lt;/D&gt;&lt;D xsi:type="xsd:double"&gt;15.15&lt;/D&gt;&lt;D xsi:type="xsd:double"&gt;15.09&lt;/D&gt;&lt;D xsi:type="xsd:double"&gt;15.88&lt;/D&gt;&lt;D xsi:type="xsd:double"&gt;16.33&lt;/D&gt;&lt;D xsi:type="xsd:double"&gt;16.25&lt;/D&gt;&lt;D xsi:type="xsd:double"&gt;16.3&lt;/D&gt;&lt;/FQL&gt;&lt;FQL&gt;&lt;Q&gt;INDA^FG_TOTAL_RETURNC(-5AY,0,AM)&lt;/Q&gt;&lt;R&gt;61&lt;/R&gt;&lt;C&gt;1&lt;/C&gt;&lt;D xsi:type="xsd:double"&gt;4.9679995&lt;/D&gt;&lt;D xsi:type="xsd:double"&gt;4.9280286&lt;/D&gt;&lt;D xsi:type="xsd:double"&gt;-0.6510079&lt;/D&gt;&lt;D xsi:type="xsd:double"&gt;-3.8146555&lt;/D&gt;&lt;D xsi:type="xsd:double"&gt;3.2603383&lt;/D&gt;&lt;D xsi:type="xsd:double"&gt;6.1535&lt;/D&gt;&lt;D xsi:type="xsd:double"&gt;-1.0219932&lt;/D&gt;&lt;D xsi:type="xsd:double"&gt;3.7373781&lt;/D&gt;&lt;D xsi:type="xsd:double"&gt;7.9303265&lt;/D&gt;&lt;D xsi:type="xsd:double"&gt;1.2329578&lt;/D&gt;&lt;D xsi:type="xsd:double"&gt;0.2673626&lt;/D&gt;&lt;D xsi:type="xsd:double"&gt;-6.1195316&lt;/D&gt;&lt;D xsi:type="xsd:double"&gt;7.59418&lt;/D&gt;&lt;D xsi:type="xsd:double"&gt;-6.455648&lt;/D&gt;&lt;D xsi:type="xsd:double"&gt;-3.5841405&lt;/D&gt;&lt;D xsi:type="xsd:double"&gt;3.1170607&lt;/D&gt;&lt;D xsi:type="xsd:double"&gt;-9.381991&lt;/D&gt;&lt;D xsi:type="xsd:double"&gt;-1.1366487&lt;/D&gt;&lt;D xsi:type="xsd:double"&gt;0.4998803&lt;/D&gt;&lt;D xsi:type="xsd:double"&gt;8.679438&lt;/D&gt;&lt;D xsi:type="xsd:double"&gt;-0.20595193&lt;/D&gt;&lt;D xsi:type="xsd:double"&gt;-7.544142&lt;/D&gt;&lt;D xsi:type="xsd:double"&gt;8.283734&lt;/D&gt;&lt;D xsi:type="xsd:double"&gt;-3.1607926&lt;/D&gt;&lt;D xsi:type="xsd:double"&gt;0.42573214&lt;/D&gt;&lt;D xsi:type="xsd:double"&gt;-4.663211&lt;/D&gt;&lt;D xsi:type="xsd:double"&gt;-6.0276628&lt;/D&gt;&lt;D xsi:type="xsd:double"&gt;5.573082&lt;/D&gt;&lt;D xsi:type="xsd:double"&gt;3.7350655&lt;/D&gt;&lt;D xsi:type="xsd:double"&gt;3.4358025&lt;/D&gt;&lt;D xsi:type="xsd:double"&gt;2.9062986&lt;/D&gt;&lt;D xsi:type="xsd:double"&gt;-2.327156&lt;/D&gt;&lt;D xsi:type="xsd:double"&gt;4.371965&lt;/D&gt;&lt;D xsi:type="xsd:double"&gt;-1.4627635&lt;/D&gt;&lt;D xsi:type="xsd:double"&gt;1.0796189&lt;/D&gt;&lt;D xsi:type="xsd:double"&gt;7.4766397&lt;/D&gt;&lt;D xsi:type="xsd:double"&gt;3.4368515&lt;/D&gt;&lt;D xsi:type="xsd:double"&gt;2.2418022&lt;/D&gt;&lt;D xsi:type="xsd:double"&gt;-1.0963202&lt;/D&gt;&lt;D xsi:type="xsd:double"&gt;1.4647603&lt;/D&gt;&lt;D xsi:type="xsd:double"&gt;2.0874023&lt;/D&gt;&lt;D xsi:type="xsd:double"&gt;5.4270864&lt;/D&gt;&lt;D xsi:type="xsd:double"&gt;3.6070347&lt;/D&gt;&lt;D xsi:type="xsd:double"&gt;-2.2568226&lt;/D&gt;&lt;D xsi:type="xsd:double"&gt;3.5439372&lt;/D&gt;&lt;D xsi:type="xsd:double"&gt;-1.4693141&lt;/D&gt;&lt;D xsi:type="xsd:double"&gt;-6.9824576&lt;/D&gt;&lt;D xsi:type="xsd:double"&gt;4.790652&lt;/D&gt;&lt;D xsi:type="xsd:double"&gt;-7.027912&lt;/D&gt;&lt;D xsi:type="xsd:double"&gt;-3.2956302&lt;/D&gt;&lt;D xsi:type="xsd:double"&gt;-1.3712466&lt;/D&gt;&lt;D xsi:type="xsd:double"&gt;4.5389533&lt;/D&gt;&lt;D xsi:type="xsd:double"&gt;7.1191072&lt;/D&gt;&lt;D xsi:type="xsd:double"&gt;-1.3328433&lt;/D&gt;&lt;D xsi:type="xsd:double"&gt;1.545155&lt;/D&gt;&lt;D xsi:type="xsd:double"&gt;-3.9453328&lt;/D&gt;&lt;D xsi:type="xsd:double"&gt;1.3659716&lt;/D&gt;&lt;D xsi:type="xsd:double"&gt;0.6176233&lt;/D&gt;&lt;D xsi:type="xsd:double"&gt;1.5997052&lt;/D&gt;&lt;D xsi:type="xsd:double"&gt;-2.7828634&lt;/D&gt;&lt;D xsi:type="xsd:double"&gt;0.22599697&lt;/D&gt;&lt;/FQL&gt;&lt;/Schema&gt;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<sst xmlns="http://schemas.openxmlformats.org/spreadsheetml/2006/main" count="167" uniqueCount="82">
  <si>
    <t>CNYA</t>
  </si>
  <si>
    <t>ECH</t>
  </si>
  <si>
    <t>EIDO</t>
  </si>
  <si>
    <t>EPHE</t>
  </si>
  <si>
    <t>EPOL</t>
  </si>
  <si>
    <t>EPU</t>
  </si>
  <si>
    <t>EWM</t>
  </si>
  <si>
    <t>EWT</t>
  </si>
  <si>
    <t>EWW</t>
  </si>
  <si>
    <t>EWY</t>
  </si>
  <si>
    <t>EWZ</t>
  </si>
  <si>
    <t>EZA</t>
  </si>
  <si>
    <t>GREK</t>
  </si>
  <si>
    <t>INDA</t>
  </si>
  <si>
    <t>MCHI</t>
  </si>
  <si>
    <t>QAT</t>
  </si>
  <si>
    <t>SET-BKK</t>
  </si>
  <si>
    <t>TUR</t>
  </si>
  <si>
    <t>UAE</t>
  </si>
  <si>
    <t>VNM</t>
  </si>
  <si>
    <t>KSA</t>
  </si>
  <si>
    <t>STD_DEV</t>
  </si>
  <si>
    <t>ENZL</t>
  </si>
  <si>
    <t>EWA</t>
  </si>
  <si>
    <t>EWC</t>
  </si>
  <si>
    <t>EWG</t>
  </si>
  <si>
    <t>EWJ</t>
  </si>
  <si>
    <t>EWL</t>
  </si>
  <si>
    <t>EWU</t>
  </si>
  <si>
    <t>QQQ</t>
  </si>
  <si>
    <t>SPY</t>
  </si>
  <si>
    <t>EWQ</t>
  </si>
  <si>
    <t>EWN</t>
  </si>
  <si>
    <t>EWD</t>
  </si>
  <si>
    <t>EWI</t>
  </si>
  <si>
    <t>MEAN</t>
  </si>
  <si>
    <t>2_SIGMA</t>
  </si>
  <si>
    <t>This sheet contains FactSet XML data for use with this workbook's =FDS codes.  Modifying the worksheet's contents may damage the workbook's =FDS functionality.</t>
  </si>
  <si>
    <t>ETF</t>
  </si>
  <si>
    <t>COUNTRY</t>
  </si>
  <si>
    <t>CATEGORY</t>
  </si>
  <si>
    <t>EMERGING</t>
  </si>
  <si>
    <t>DEVELOPED</t>
  </si>
  <si>
    <t>China</t>
  </si>
  <si>
    <t>Chile</t>
  </si>
  <si>
    <t>Indonesia</t>
  </si>
  <si>
    <t>Philippines</t>
  </si>
  <si>
    <t>Poland</t>
  </si>
  <si>
    <t>Peru</t>
  </si>
  <si>
    <t>Malaysia</t>
  </si>
  <si>
    <t>Taiwan</t>
  </si>
  <si>
    <t>Mexico</t>
  </si>
  <si>
    <t>Korea, Rep.</t>
  </si>
  <si>
    <t>Brazil</t>
  </si>
  <si>
    <t>South Africa</t>
  </si>
  <si>
    <t>Greece</t>
  </si>
  <si>
    <t>India</t>
  </si>
  <si>
    <t>Qatar</t>
  </si>
  <si>
    <t>Thailand</t>
  </si>
  <si>
    <t>Turkey</t>
  </si>
  <si>
    <t>United Arab Emirates</t>
  </si>
  <si>
    <t>Vietnam</t>
  </si>
  <si>
    <t>Saudi Arabia</t>
  </si>
  <si>
    <t>New Zealand</t>
  </si>
  <si>
    <t>Australia</t>
  </si>
  <si>
    <t>Canada</t>
  </si>
  <si>
    <t>Germany</t>
  </si>
  <si>
    <t>Japan</t>
  </si>
  <si>
    <t>Switzerland</t>
  </si>
  <si>
    <t>United Kingdom</t>
  </si>
  <si>
    <t>United States</t>
  </si>
  <si>
    <t>France</t>
  </si>
  <si>
    <t>Netherlands</t>
  </si>
  <si>
    <t>Sweden</t>
  </si>
  <si>
    <t>Italy</t>
  </si>
  <si>
    <t>CURRENT_RETURNS</t>
  </si>
  <si>
    <t>FILTER1</t>
  </si>
  <si>
    <t>FILTER2</t>
  </si>
  <si>
    <t>AVG</t>
  </si>
  <si>
    <t>CURRENT_PRICE</t>
  </si>
  <si>
    <t>200D AVG</t>
  </si>
  <si>
    <t>200 DMA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</si>
</sst>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0" fontId="2" fillId="0" borderId="0" xfId="0" applyFont="1"/>
    <xf numFmtId="165" fontId="1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BDAAE-573F-4EC0-BD5B-B459A310F542}">
  <dimension ref="A1:B10"/>
  <sheetViews>
    <sheetView workbookViewId="0"/>
  </sheetViews>
  <sheetFormatPr defaultRowHeight="14.25" x14ac:dyDescent="0.45"/>
  <sheetData>
    <row r="1" spans="1:2" x14ac:dyDescent="0.45">
      <c r="B1" t="s">
        <v>37</v>
      </c>
    </row>
    <row r="2" spans="1:2" x14ac:dyDescent="0.45"/>
    <row r="3" spans="1:2" x14ac:dyDescent="0.45"/>
    <row r="4" spans="1:2" x14ac:dyDescent="0.45"/>
    <row r="5" spans="1:2" x14ac:dyDescent="0.45"/>
    <row r="6" spans="1:2" x14ac:dyDescent="0.45"/>
    <row r="7" spans="1:2" x14ac:dyDescent="0.45"/>
    <row r="8" spans="1:2" x14ac:dyDescent="0.45"/>
    <row r="9" spans="1:2" x14ac:dyDescent="0.45"/>
    <row r="10" spans="1:2" x14ac:dyDescent="0.4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D3459-127F-4942-A574-2F656E1DAD74}">
  <dimension ref="A1:I250"/>
  <sheetViews>
    <sheetView workbookViewId="0">
      <selection activeCell="D11" sqref="D11"/>
    </sheetView>
  </sheetViews>
  <sheetFormatPr defaultRowHeight="14.25" x14ac:dyDescent="0.45"/>
  <cols>
    <col min="2" max="2" width="9.19921875" bestFit="1" customWidth="1"/>
    <col min="3" max="3" width="10.796875" bestFit="1" customWidth="1"/>
    <col min="4" max="4" width="18.1328125" bestFit="1" customWidth="1"/>
    <col min="8" max="8" width="15" bestFit="1" customWidth="1"/>
  </cols>
  <sheetData>
    <row r="1" spans="1:9" x14ac:dyDescent="0.45">
      <c r="A1" s="5" t="s">
        <v>38</v>
      </c>
      <c r="B1" s="5" t="s">
        <v>39</v>
      </c>
      <c r="C1" s="5" t="s">
        <v>40</v>
      </c>
      <c r="D1" s="5" t="s">
        <v>75</v>
      </c>
      <c r="E1" s="5" t="s">
        <v>35</v>
      </c>
      <c r="F1" s="5" t="s">
        <v>21</v>
      </c>
      <c r="G1" s="5" t="s">
        <v>36</v>
      </c>
      <c r="H1" s="5" t="s">
        <v>79</v>
      </c>
      <c r="I1" s="5" t="s">
        <v>81</v>
      </c>
    </row>
    <row r="2" spans="1:9" x14ac:dyDescent="0.45">
      <c r="A2" s="5" t="str" cm="1">
        <f t="array" ref="A2:A3">IFERROR(TRANSPOSE(_xlfn._xlws.FILTER(MONTHLY_RETURNS!B64:AI64, MONTHLY_RETURNS!$B$73:$AI$73=1)),"")</f>
        <v>EPU</v>
      </c>
      <c r="B2" s="4" t="str" cm="1">
        <f t="array" ref="B2:B3">IFERROR(TRANSPOSE(_xlfn._xlws.FILTER(MONTHLY_RETURNS!B65:AI65, MONTHLY_RETURNS!$B$73:$AI$73=1)),"")</f>
        <v>Peru</v>
      </c>
      <c r="C2" s="4" t="str" cm="1">
        <f t="array" ref="C2:C3">IFERROR(TRANSPOSE(_xlfn._xlws.FILTER(MONTHLY_RETURNS!B66:AI66, MONTHLY_RETURNS!$B$73:$AI$73=1)),"")</f>
        <v>EMERGING</v>
      </c>
      <c r="D2" s="4" cm="1">
        <f t="array" ref="D2:D3">IFERROR(TRANSPOSE(_xlfn._xlws.FILTER(MONTHLY_RETURNS!B67:AI67, MONTHLY_RETURNS!$B$73:$AI$73=1)),"")</f>
        <v>0.20362031999999999</v>
      </c>
      <c r="E2" s="4" cm="1">
        <f t="array" ref="E2:E3">IFERROR(TRANSPOSE(_xlfn._xlws.FILTER(MONTHLY_RETURNS!B68:AI68, MONTHLY_RETURNS!$B$73:$AI$73=1)),"")</f>
        <v>2.1462848519672131E-2</v>
      </c>
      <c r="F2" s="4" cm="1">
        <f t="array" ref="F2:F3">IFERROR(TRANSPOSE(_xlfn._xlws.FILTER(MONTHLY_RETURNS!B69:AI69, MONTHLY_RETURNS!$B$73:$AI$73=1)),"")</f>
        <v>6.297430382779079E-2</v>
      </c>
      <c r="G2" s="4" cm="1">
        <f t="array" ref="G2:G3">IFERROR(TRANSPOSE(_xlfn._xlws.FILTER(MONTHLY_RETURNS!B70:AI70, MONTHLY_RETURNS!$B$73:$AI$73=1)),"")</f>
        <v>0.12594860765558158</v>
      </c>
      <c r="H2" s="1" cm="1">
        <f t="array" ref="H2:H3">IFERROR(TRANSPOSE(_xlfn._xlws.FILTER(MONTHLY_RETURNS!B71:AI71, MONTHLY_RETURNS!$B$73:$AI$73=1)),"")</f>
        <v>83.01</v>
      </c>
      <c r="I2" s="1" cm="1">
        <f t="array" ref="I2:I3">IFERROR(TRANSPOSE(_xlfn._xlws.FILTER(MONTHLY_RETURNS!B72:AI72, MONTHLY_RETURNS!$B$73:$AI$73=1)),"")</f>
        <v>55.534700497512432</v>
      </c>
    </row>
    <row r="3" spans="1:9" x14ac:dyDescent="0.45">
      <c r="A3" s="5" t="str">
        <v>EWY</v>
      </c>
      <c r="B3" s="4" t="str">
        <v>Korea, Rep.</v>
      </c>
      <c r="C3" s="4" t="str">
        <v>EMERGING</v>
      </c>
      <c r="D3" s="4">
        <v>0.22481394000000002</v>
      </c>
      <c r="E3" s="4">
        <v>9.2512131262295089E-3</v>
      </c>
      <c r="F3" s="4">
        <v>7.2278561772813207E-2</v>
      </c>
      <c r="G3" s="4">
        <v>0.14455712354562641</v>
      </c>
      <c r="H3" s="1">
        <v>111.05</v>
      </c>
      <c r="I3" s="1">
        <v>76.930547263681575</v>
      </c>
    </row>
    <row r="4" spans="1:9" x14ac:dyDescent="0.45">
      <c r="A4" s="5"/>
      <c r="B4" s="4"/>
      <c r="C4" s="4"/>
      <c r="D4" s="4"/>
      <c r="E4" s="4"/>
      <c r="F4" s="4"/>
      <c r="G4" s="4"/>
      <c r="H4" s="1"/>
      <c r="I4" s="1"/>
    </row>
    <row r="5" spans="1:9" x14ac:dyDescent="0.45">
      <c r="A5" s="5"/>
      <c r="B5" s="4"/>
      <c r="C5" s="4"/>
      <c r="D5" s="4"/>
      <c r="E5" s="4"/>
      <c r="F5" s="4"/>
      <c r="G5" s="4"/>
      <c r="H5" s="1"/>
      <c r="I5" s="1"/>
    </row>
    <row r="6" spans="1:9" x14ac:dyDescent="0.45">
      <c r="A6" s="5"/>
      <c r="B6" s="4"/>
      <c r="C6" s="4"/>
      <c r="D6" s="4"/>
      <c r="E6" s="4"/>
      <c r="F6" s="4"/>
      <c r="G6" s="4"/>
      <c r="H6" s="1"/>
      <c r="I6" s="1"/>
    </row>
    <row r="7" spans="1:9" x14ac:dyDescent="0.45">
      <c r="A7" s="5"/>
      <c r="B7" s="4"/>
      <c r="C7" s="4"/>
      <c r="D7" s="4"/>
      <c r="E7" s="4"/>
      <c r="F7" s="4"/>
      <c r="G7" s="4"/>
      <c r="H7" s="1"/>
      <c r="I7" s="1"/>
    </row>
    <row r="8" spans="1:9" x14ac:dyDescent="0.45">
      <c r="A8" s="5"/>
      <c r="B8" s="4"/>
      <c r="C8" s="4"/>
      <c r="D8" s="4"/>
      <c r="E8" s="4"/>
      <c r="F8" s="4"/>
      <c r="G8" s="4"/>
      <c r="H8" s="1"/>
      <c r="I8" s="1"/>
    </row>
    <row r="9" spans="1:9" x14ac:dyDescent="0.45">
      <c r="A9" s="5"/>
      <c r="B9" s="4"/>
      <c r="C9" s="4"/>
      <c r="D9" s="4"/>
      <c r="E9" s="4"/>
      <c r="F9" s="4"/>
      <c r="G9" s="4"/>
      <c r="H9" s="1"/>
      <c r="I9" s="1"/>
    </row>
    <row r="10" spans="1:9" x14ac:dyDescent="0.45">
      <c r="A10" s="5"/>
      <c r="B10" s="4"/>
      <c r="C10" s="4"/>
      <c r="D10" s="4"/>
      <c r="E10" s="4"/>
      <c r="F10" s="4"/>
      <c r="G10" s="4"/>
      <c r="H10" s="1"/>
      <c r="I10" s="1"/>
    </row>
    <row r="11" spans="1:9" x14ac:dyDescent="0.45">
      <c r="A11" s="5"/>
      <c r="B11" s="4"/>
      <c r="C11" s="4"/>
      <c r="D11" s="4"/>
      <c r="E11" s="4"/>
      <c r="F11" s="4"/>
      <c r="G11" s="4"/>
      <c r="H11" s="1"/>
      <c r="I11" s="1"/>
    </row>
    <row r="12" spans="1:9" x14ac:dyDescent="0.45">
      <c r="A12" s="5"/>
      <c r="B12" s="4"/>
      <c r="C12" s="4"/>
      <c r="D12" s="4"/>
      <c r="E12" s="4"/>
      <c r="F12" s="4"/>
      <c r="G12" s="4"/>
      <c r="H12" s="1"/>
      <c r="I12" s="1"/>
    </row>
    <row r="13" spans="1:9" x14ac:dyDescent="0.45">
      <c r="A13" s="5"/>
      <c r="B13" s="4"/>
      <c r="C13" s="4"/>
      <c r="D13" s="4"/>
      <c r="E13" s="4"/>
      <c r="F13" s="4"/>
      <c r="G13" s="4"/>
      <c r="H13" s="1"/>
      <c r="I13" s="1"/>
    </row>
    <row r="14" spans="1:9" x14ac:dyDescent="0.45">
      <c r="A14" s="5"/>
      <c r="B14" s="4"/>
      <c r="C14" s="4"/>
      <c r="D14" s="4"/>
      <c r="E14" s="4"/>
      <c r="F14" s="4"/>
      <c r="G14" s="4"/>
      <c r="H14" s="1"/>
      <c r="I14" s="1"/>
    </row>
    <row r="15" spans="1:9" x14ac:dyDescent="0.45">
      <c r="A15" s="5"/>
      <c r="B15" s="4"/>
      <c r="C15" s="4"/>
      <c r="D15" s="4"/>
      <c r="E15" s="4"/>
      <c r="F15" s="4"/>
      <c r="G15" s="4"/>
      <c r="H15" s="1"/>
      <c r="I15" s="1"/>
    </row>
    <row r="16" spans="1:9" x14ac:dyDescent="0.45">
      <c r="A16" s="5"/>
      <c r="B16" s="4"/>
      <c r="C16" s="4"/>
      <c r="D16" s="4"/>
      <c r="E16" s="4"/>
      <c r="F16" s="4"/>
      <c r="G16" s="4"/>
      <c r="H16" s="1"/>
      <c r="I16" s="1"/>
    </row>
    <row r="17" spans="1:9" x14ac:dyDescent="0.45">
      <c r="A17" s="5"/>
      <c r="B17" s="4"/>
      <c r="C17" s="4"/>
      <c r="D17" s="4"/>
      <c r="E17" s="4"/>
      <c r="F17" s="4"/>
      <c r="G17" s="4"/>
      <c r="H17" s="1"/>
      <c r="I17" s="1"/>
    </row>
    <row r="18" spans="1:9" x14ac:dyDescent="0.45">
      <c r="A18" s="5"/>
      <c r="B18" s="4"/>
      <c r="C18" s="4"/>
      <c r="D18" s="4"/>
      <c r="E18" s="4"/>
      <c r="F18" s="4"/>
      <c r="G18" s="4"/>
      <c r="H18" s="1"/>
      <c r="I18" s="1"/>
    </row>
    <row r="19" spans="1:9" x14ac:dyDescent="0.45">
      <c r="A19" s="5"/>
      <c r="B19" s="4"/>
      <c r="C19" s="4"/>
      <c r="D19" s="4"/>
      <c r="E19" s="4"/>
      <c r="F19" s="4"/>
      <c r="G19" s="4"/>
      <c r="H19" s="1"/>
      <c r="I19" s="1"/>
    </row>
    <row r="20" spans="1:9" x14ac:dyDescent="0.45">
      <c r="A20" s="5"/>
      <c r="B20" s="4"/>
      <c r="C20" s="4"/>
      <c r="D20" s="4"/>
      <c r="E20" s="4"/>
      <c r="F20" s="4"/>
      <c r="G20" s="4"/>
      <c r="H20" s="1"/>
      <c r="I20" s="1"/>
    </row>
    <row r="21" spans="1:9" x14ac:dyDescent="0.45">
      <c r="A21" s="5"/>
      <c r="B21" s="4"/>
      <c r="C21" s="4"/>
      <c r="D21" s="4"/>
      <c r="E21" s="4"/>
      <c r="F21" s="4"/>
      <c r="G21" s="4"/>
      <c r="H21" s="1"/>
      <c r="I21" s="1"/>
    </row>
    <row r="22" spans="1:9" x14ac:dyDescent="0.45">
      <c r="A22" s="5"/>
      <c r="B22" s="4"/>
      <c r="C22" s="4"/>
      <c r="D22" s="4"/>
      <c r="E22" s="4"/>
      <c r="F22" s="4"/>
      <c r="G22" s="4"/>
      <c r="H22" s="1"/>
      <c r="I22" s="1"/>
    </row>
    <row r="23" spans="1:9" x14ac:dyDescent="0.45">
      <c r="A23" s="5"/>
      <c r="B23" s="4"/>
      <c r="C23" s="4"/>
      <c r="D23" s="4"/>
      <c r="E23" s="4"/>
      <c r="F23" s="4"/>
      <c r="G23" s="4"/>
      <c r="H23" s="1"/>
      <c r="I23" s="1"/>
    </row>
    <row r="24" spans="1:9" x14ac:dyDescent="0.45">
      <c r="A24" s="5"/>
      <c r="B24" s="4"/>
      <c r="C24" s="4"/>
      <c r="D24" s="4"/>
      <c r="E24" s="4"/>
      <c r="F24" s="4"/>
      <c r="G24" s="4"/>
      <c r="H24" s="1"/>
      <c r="I24" s="1"/>
    </row>
    <row r="25" spans="1:9" x14ac:dyDescent="0.45">
      <c r="A25" s="5"/>
      <c r="B25" s="4"/>
      <c r="C25" s="4"/>
      <c r="D25" s="4"/>
      <c r="E25" s="4"/>
      <c r="F25" s="4"/>
      <c r="G25" s="4"/>
      <c r="H25" s="1"/>
      <c r="I25" s="1"/>
    </row>
    <row r="26" spans="1:9" x14ac:dyDescent="0.45">
      <c r="A26" s="5"/>
      <c r="B26" s="4"/>
      <c r="C26" s="4"/>
      <c r="D26" s="4"/>
      <c r="E26" s="4"/>
      <c r="F26" s="4"/>
      <c r="G26" s="4"/>
      <c r="H26" s="1"/>
      <c r="I26" s="1"/>
    </row>
    <row r="27" spans="1:9" x14ac:dyDescent="0.45">
      <c r="A27" s="5"/>
      <c r="B27" s="4"/>
      <c r="C27" s="4"/>
      <c r="D27" s="4"/>
      <c r="E27" s="4"/>
      <c r="F27" s="4"/>
      <c r="G27" s="4"/>
      <c r="H27" s="1"/>
      <c r="I27" s="1"/>
    </row>
    <row r="28" spans="1:9" x14ac:dyDescent="0.45">
      <c r="A28" s="5"/>
      <c r="B28" s="4"/>
      <c r="C28" s="4"/>
      <c r="D28" s="4"/>
      <c r="E28" s="4"/>
      <c r="F28" s="4"/>
      <c r="G28" s="4"/>
      <c r="H28" s="1"/>
      <c r="I28" s="1"/>
    </row>
    <row r="29" spans="1:9" x14ac:dyDescent="0.45">
      <c r="A29" s="5"/>
      <c r="B29" s="4"/>
      <c r="C29" s="4"/>
      <c r="D29" s="4"/>
      <c r="E29" s="4"/>
      <c r="F29" s="4"/>
      <c r="G29" s="4"/>
      <c r="H29" s="1"/>
      <c r="I29" s="1"/>
    </row>
    <row r="30" spans="1:9" x14ac:dyDescent="0.45">
      <c r="A30" s="5"/>
      <c r="B30" s="4"/>
      <c r="C30" s="4"/>
      <c r="D30" s="4"/>
      <c r="E30" s="4"/>
      <c r="F30" s="4"/>
      <c r="G30" s="4"/>
      <c r="H30" s="1"/>
      <c r="I30" s="1"/>
    </row>
    <row r="31" spans="1:9" x14ac:dyDescent="0.45">
      <c r="A31" s="5"/>
      <c r="B31" s="4"/>
      <c r="C31" s="4"/>
      <c r="D31" s="4"/>
      <c r="E31" s="4"/>
      <c r="F31" s="4"/>
      <c r="G31" s="4"/>
      <c r="H31" s="1"/>
      <c r="I31" s="1"/>
    </row>
    <row r="32" spans="1:9" x14ac:dyDescent="0.45">
      <c r="A32" s="5"/>
      <c r="B32" s="4"/>
      <c r="C32" s="4"/>
      <c r="D32" s="4"/>
      <c r="E32" s="4"/>
      <c r="F32" s="4"/>
      <c r="G32" s="4"/>
      <c r="H32" s="1"/>
      <c r="I32" s="1"/>
    </row>
    <row r="33" spans="1:9" x14ac:dyDescent="0.45">
      <c r="A33" s="5"/>
      <c r="B33" s="4"/>
      <c r="C33" s="4"/>
      <c r="D33" s="4"/>
      <c r="E33" s="4"/>
      <c r="F33" s="4"/>
      <c r="G33" s="4"/>
      <c r="H33" s="1"/>
      <c r="I33" s="1"/>
    </row>
    <row r="34" spans="1:9" x14ac:dyDescent="0.45">
      <c r="A34" s="5"/>
      <c r="B34" s="4"/>
      <c r="C34" s="4"/>
      <c r="D34" s="4"/>
      <c r="E34" s="4"/>
      <c r="F34" s="4"/>
      <c r="G34" s="4"/>
      <c r="H34" s="1"/>
      <c r="I34" s="1"/>
    </row>
    <row r="35" spans="1:9" x14ac:dyDescent="0.45">
      <c r="A35" s="5"/>
      <c r="B35" s="4"/>
      <c r="C35" s="4"/>
      <c r="D35" s="4"/>
      <c r="E35" s="4"/>
      <c r="F35" s="4"/>
      <c r="G35" s="4"/>
      <c r="H35" s="1"/>
      <c r="I35" s="1"/>
    </row>
    <row r="36" spans="1:9" x14ac:dyDescent="0.45">
      <c r="A36" s="5"/>
      <c r="B36" s="4"/>
      <c r="C36" s="4"/>
      <c r="D36" s="4"/>
      <c r="E36" s="4"/>
      <c r="F36" s="4"/>
      <c r="G36" s="4"/>
      <c r="H36" s="1"/>
      <c r="I36" s="1"/>
    </row>
    <row r="37" spans="1:9" x14ac:dyDescent="0.45">
      <c r="A37" s="5"/>
      <c r="B37" s="4"/>
      <c r="C37" s="4"/>
      <c r="D37" s="4"/>
      <c r="E37" s="4"/>
      <c r="F37" s="4"/>
      <c r="G37" s="4"/>
      <c r="H37" s="1"/>
      <c r="I37" s="1"/>
    </row>
    <row r="38" spans="1:9" x14ac:dyDescent="0.45">
      <c r="A38" s="5"/>
      <c r="B38" s="4"/>
      <c r="C38" s="4"/>
      <c r="D38" s="4"/>
      <c r="E38" s="4"/>
      <c r="F38" s="4"/>
      <c r="G38" s="4"/>
      <c r="H38" s="1"/>
      <c r="I38" s="1"/>
    </row>
    <row r="39" spans="1:9" x14ac:dyDescent="0.45">
      <c r="A39" s="5"/>
      <c r="B39" s="4"/>
      <c r="C39" s="4"/>
      <c r="D39" s="4"/>
      <c r="E39" s="4"/>
      <c r="F39" s="4"/>
      <c r="G39" s="4"/>
      <c r="H39" s="1"/>
      <c r="I39" s="1"/>
    </row>
    <row r="40" spans="1:9" x14ac:dyDescent="0.45">
      <c r="A40" s="5"/>
      <c r="B40" s="4"/>
      <c r="C40" s="4"/>
      <c r="D40" s="4"/>
      <c r="E40" s="4"/>
      <c r="F40" s="4"/>
      <c r="G40" s="4"/>
      <c r="H40" s="1"/>
      <c r="I40" s="1"/>
    </row>
    <row r="41" spans="1:9" x14ac:dyDescent="0.45">
      <c r="A41" s="5"/>
      <c r="B41" s="4"/>
      <c r="C41" s="4"/>
      <c r="D41" s="4"/>
      <c r="E41" s="4"/>
      <c r="F41" s="4"/>
      <c r="G41" s="4"/>
      <c r="H41" s="1"/>
      <c r="I41" s="1"/>
    </row>
    <row r="42" spans="1:9" x14ac:dyDescent="0.45">
      <c r="A42" s="5"/>
      <c r="B42" s="4"/>
      <c r="C42" s="4"/>
      <c r="D42" s="4"/>
      <c r="E42" s="4"/>
      <c r="F42" s="4"/>
      <c r="G42" s="4"/>
      <c r="H42" s="1"/>
      <c r="I42" s="1"/>
    </row>
    <row r="43" spans="1:9" x14ac:dyDescent="0.45">
      <c r="A43" s="5"/>
      <c r="B43" s="4"/>
      <c r="C43" s="4"/>
      <c r="D43" s="4"/>
      <c r="E43" s="4"/>
      <c r="F43" s="4"/>
      <c r="G43" s="4"/>
      <c r="H43" s="1"/>
      <c r="I43" s="1"/>
    </row>
    <row r="44" spans="1:9" x14ac:dyDescent="0.45">
      <c r="A44" s="5"/>
      <c r="B44" s="4"/>
      <c r="C44" s="4"/>
      <c r="D44" s="4"/>
      <c r="E44" s="4"/>
      <c r="F44" s="4"/>
      <c r="G44" s="4"/>
      <c r="H44" s="1"/>
      <c r="I44" s="1"/>
    </row>
    <row r="45" spans="1:9" x14ac:dyDescent="0.45">
      <c r="A45" s="5"/>
      <c r="B45" s="4"/>
      <c r="C45" s="4"/>
      <c r="D45" s="4"/>
      <c r="E45" s="4"/>
      <c r="F45" s="4"/>
      <c r="G45" s="4"/>
      <c r="H45" s="1"/>
      <c r="I45" s="1"/>
    </row>
    <row r="46" spans="1:9" x14ac:dyDescent="0.45">
      <c r="A46" s="5"/>
      <c r="B46" s="4"/>
      <c r="C46" s="4"/>
      <c r="D46" s="4"/>
      <c r="E46" s="4"/>
      <c r="F46" s="4"/>
      <c r="G46" s="4"/>
      <c r="H46" s="1"/>
      <c r="I46" s="1"/>
    </row>
    <row r="47" spans="1:9" x14ac:dyDescent="0.45">
      <c r="A47" s="5"/>
      <c r="B47" s="4"/>
      <c r="C47" s="4"/>
      <c r="D47" s="4"/>
      <c r="E47" s="4"/>
      <c r="F47" s="4"/>
      <c r="G47" s="4"/>
      <c r="H47" s="1"/>
      <c r="I47" s="1"/>
    </row>
    <row r="48" spans="1:9" x14ac:dyDescent="0.45">
      <c r="A48" s="5"/>
      <c r="B48" s="4"/>
      <c r="C48" s="4"/>
      <c r="D48" s="4"/>
      <c r="E48" s="4"/>
      <c r="F48" s="4"/>
      <c r="G48" s="4"/>
      <c r="H48" s="1"/>
      <c r="I48" s="1"/>
    </row>
    <row r="49" spans="1:9" x14ac:dyDescent="0.45">
      <c r="A49" s="5"/>
      <c r="B49" s="4"/>
      <c r="C49" s="4"/>
      <c r="D49" s="4"/>
      <c r="E49" s="4"/>
      <c r="F49" s="4"/>
      <c r="G49" s="4"/>
      <c r="H49" s="1"/>
      <c r="I49" s="1"/>
    </row>
    <row r="50" spans="1:9" x14ac:dyDescent="0.45">
      <c r="A50" s="5"/>
      <c r="B50" s="4"/>
      <c r="C50" s="4"/>
      <c r="D50" s="4"/>
      <c r="E50" s="4"/>
      <c r="F50" s="4"/>
      <c r="G50" s="4"/>
      <c r="H50" s="1"/>
      <c r="I50" s="1"/>
    </row>
    <row r="51" spans="1:9" x14ac:dyDescent="0.45">
      <c r="A51" s="5"/>
      <c r="B51" s="4"/>
      <c r="C51" s="4"/>
      <c r="D51" s="4"/>
      <c r="E51" s="4"/>
      <c r="F51" s="4"/>
      <c r="G51" s="4"/>
      <c r="H51" s="1"/>
      <c r="I51" s="1"/>
    </row>
    <row r="52" spans="1:9" x14ac:dyDescent="0.45">
      <c r="A52" s="5"/>
      <c r="B52" s="4"/>
      <c r="C52" s="4"/>
      <c r="D52" s="4"/>
      <c r="E52" s="4"/>
      <c r="F52" s="4"/>
      <c r="G52" s="4"/>
      <c r="H52" s="1"/>
      <c r="I52" s="1"/>
    </row>
    <row r="53" spans="1:9" x14ac:dyDescent="0.45">
      <c r="A53" s="5"/>
      <c r="B53" s="4"/>
      <c r="C53" s="4"/>
      <c r="D53" s="4"/>
      <c r="E53" s="4"/>
      <c r="F53" s="4"/>
      <c r="G53" s="4"/>
      <c r="H53" s="1"/>
      <c r="I53" s="1"/>
    </row>
    <row r="54" spans="1:9" x14ac:dyDescent="0.45">
      <c r="A54" s="5"/>
      <c r="B54" s="4"/>
      <c r="C54" s="4"/>
      <c r="D54" s="4"/>
      <c r="E54" s="4"/>
      <c r="F54" s="4"/>
      <c r="G54" s="4"/>
      <c r="H54" s="1"/>
      <c r="I54" s="1"/>
    </row>
    <row r="55" spans="1:9" x14ac:dyDescent="0.45">
      <c r="A55" s="5"/>
      <c r="B55" s="4"/>
      <c r="C55" s="4"/>
      <c r="D55" s="4"/>
      <c r="E55" s="4"/>
      <c r="F55" s="4"/>
      <c r="G55" s="4"/>
      <c r="H55" s="1"/>
      <c r="I55" s="1"/>
    </row>
    <row r="56" spans="1:9" x14ac:dyDescent="0.45">
      <c r="A56" s="5"/>
      <c r="B56" s="4"/>
      <c r="C56" s="4"/>
      <c r="D56" s="4"/>
      <c r="E56" s="4"/>
      <c r="F56" s="4"/>
      <c r="G56" s="4"/>
      <c r="H56" s="1"/>
      <c r="I56" s="1"/>
    </row>
    <row r="57" spans="1:9" x14ac:dyDescent="0.45">
      <c r="A57" s="5"/>
      <c r="B57" s="4"/>
      <c r="C57" s="4"/>
      <c r="D57" s="4"/>
      <c r="E57" s="4"/>
      <c r="F57" s="4"/>
      <c r="G57" s="4"/>
      <c r="H57" s="1"/>
      <c r="I57" s="1"/>
    </row>
    <row r="58" spans="1:9" x14ac:dyDescent="0.45">
      <c r="A58" s="5"/>
      <c r="B58" s="4"/>
      <c r="C58" s="4"/>
      <c r="D58" s="4"/>
      <c r="E58" s="4"/>
      <c r="F58" s="4"/>
      <c r="G58" s="4"/>
      <c r="H58" s="1"/>
      <c r="I58" s="1"/>
    </row>
    <row r="59" spans="1:9" x14ac:dyDescent="0.45">
      <c r="A59" s="5"/>
      <c r="B59" s="4"/>
      <c r="C59" s="4"/>
      <c r="D59" s="4"/>
      <c r="E59" s="4"/>
      <c r="F59" s="4"/>
      <c r="G59" s="4"/>
      <c r="H59" s="1"/>
      <c r="I59" s="1"/>
    </row>
    <row r="60" spans="1:9" x14ac:dyDescent="0.45">
      <c r="A60" s="5"/>
      <c r="B60" s="4"/>
      <c r="C60" s="4"/>
      <c r="D60" s="4"/>
      <c r="E60" s="4"/>
      <c r="F60" s="4"/>
      <c r="G60" s="4"/>
      <c r="H60" s="1"/>
      <c r="I60" s="1"/>
    </row>
    <row r="61" spans="1:9" x14ac:dyDescent="0.45">
      <c r="A61" s="5"/>
      <c r="B61" s="4"/>
      <c r="C61" s="4"/>
      <c r="D61" s="4"/>
      <c r="E61" s="4"/>
      <c r="F61" s="4"/>
      <c r="G61" s="4"/>
      <c r="H61" s="1"/>
      <c r="I61" s="1"/>
    </row>
    <row r="62" spans="1:9" x14ac:dyDescent="0.45">
      <c r="A62" s="5"/>
      <c r="B62" s="4"/>
      <c r="C62" s="4"/>
      <c r="D62" s="4"/>
      <c r="E62" s="4"/>
      <c r="F62" s="4"/>
      <c r="G62" s="4"/>
      <c r="H62" s="1"/>
      <c r="I62" s="1"/>
    </row>
    <row r="63" spans="1:9" x14ac:dyDescent="0.45">
      <c r="A63" s="5"/>
      <c r="B63" s="4"/>
      <c r="C63" s="4"/>
      <c r="D63" s="4"/>
      <c r="E63" s="4"/>
      <c r="F63" s="4"/>
      <c r="G63" s="4"/>
      <c r="H63" s="1"/>
      <c r="I63" s="1"/>
    </row>
    <row r="64" spans="1:9" x14ac:dyDescent="0.45">
      <c r="A64" s="5"/>
      <c r="B64" s="4"/>
      <c r="C64" s="4"/>
      <c r="D64" s="4"/>
      <c r="E64" s="4"/>
      <c r="F64" s="4"/>
      <c r="G64" s="4"/>
      <c r="H64" s="1"/>
      <c r="I64" s="1"/>
    </row>
    <row r="65" spans="1:9" x14ac:dyDescent="0.45">
      <c r="A65" s="5"/>
      <c r="B65" s="4"/>
      <c r="C65" s="4"/>
      <c r="D65" s="4"/>
      <c r="E65" s="4"/>
      <c r="F65" s="4"/>
      <c r="G65" s="4"/>
      <c r="H65" s="1"/>
      <c r="I65" s="1"/>
    </row>
    <row r="66" spans="1:9" x14ac:dyDescent="0.45">
      <c r="A66" s="5"/>
      <c r="B66" s="4"/>
      <c r="C66" s="4"/>
      <c r="D66" s="4"/>
      <c r="E66" s="4"/>
      <c r="F66" s="4"/>
      <c r="G66" s="4"/>
      <c r="H66" s="1"/>
      <c r="I66" s="1"/>
    </row>
    <row r="67" spans="1:9" x14ac:dyDescent="0.45">
      <c r="A67" s="5"/>
      <c r="B67" s="4"/>
      <c r="C67" s="4"/>
      <c r="D67" s="4"/>
      <c r="E67" s="4"/>
      <c r="F67" s="4"/>
      <c r="G67" s="4"/>
      <c r="H67" s="1"/>
      <c r="I67" s="1"/>
    </row>
    <row r="68" spans="1:9" x14ac:dyDescent="0.45">
      <c r="A68" s="5"/>
      <c r="B68" s="4"/>
      <c r="C68" s="4"/>
      <c r="D68" s="4"/>
      <c r="E68" s="4"/>
      <c r="F68" s="4"/>
      <c r="G68" s="4"/>
      <c r="H68" s="1"/>
      <c r="I68" s="1"/>
    </row>
    <row r="69" spans="1:9" x14ac:dyDescent="0.45">
      <c r="A69" s="5"/>
      <c r="B69" s="4"/>
      <c r="C69" s="4"/>
      <c r="D69" s="4"/>
      <c r="E69" s="4"/>
      <c r="F69" s="4"/>
      <c r="G69" s="4"/>
      <c r="H69" s="1"/>
      <c r="I69" s="1"/>
    </row>
    <row r="70" spans="1:9" x14ac:dyDescent="0.45">
      <c r="A70" s="5"/>
      <c r="B70" s="4"/>
      <c r="C70" s="4"/>
      <c r="D70" s="4"/>
      <c r="E70" s="4"/>
      <c r="F70" s="4"/>
      <c r="G70" s="4"/>
      <c r="H70" s="1"/>
      <c r="I70" s="1"/>
    </row>
    <row r="71" spans="1:9" x14ac:dyDescent="0.45">
      <c r="A71" s="5"/>
      <c r="B71" s="4"/>
      <c r="C71" s="4"/>
      <c r="D71" s="4"/>
      <c r="E71" s="4"/>
      <c r="F71" s="4"/>
      <c r="G71" s="4"/>
      <c r="H71" s="1"/>
      <c r="I71" s="1"/>
    </row>
    <row r="72" spans="1:9" x14ac:dyDescent="0.45">
      <c r="A72" s="5"/>
      <c r="B72" s="4"/>
      <c r="C72" s="4"/>
      <c r="D72" s="4"/>
      <c r="E72" s="4"/>
      <c r="F72" s="4"/>
      <c r="G72" s="4"/>
      <c r="H72" s="1"/>
      <c r="I72" s="1"/>
    </row>
    <row r="73" spans="1:9" x14ac:dyDescent="0.45">
      <c r="A73" s="5"/>
      <c r="B73" s="4"/>
      <c r="C73" s="4"/>
      <c r="D73" s="4"/>
      <c r="E73" s="4"/>
      <c r="F73" s="4"/>
      <c r="G73" s="4"/>
      <c r="H73" s="1"/>
      <c r="I73" s="1"/>
    </row>
    <row r="74" spans="1:9" x14ac:dyDescent="0.45">
      <c r="A74" s="5"/>
      <c r="B74" s="4"/>
      <c r="C74" s="4"/>
      <c r="D74" s="4"/>
      <c r="E74" s="4"/>
      <c r="F74" s="4"/>
      <c r="G74" s="4"/>
      <c r="H74" s="1"/>
      <c r="I74" s="1"/>
    </row>
    <row r="75" spans="1:9" x14ac:dyDescent="0.45">
      <c r="A75" s="5"/>
      <c r="B75" s="4"/>
      <c r="C75" s="4"/>
      <c r="D75" s="4"/>
      <c r="E75" s="4"/>
      <c r="F75" s="4"/>
      <c r="G75" s="4"/>
      <c r="H75" s="1"/>
      <c r="I75" s="1"/>
    </row>
    <row r="76" spans="1:9" x14ac:dyDescent="0.45">
      <c r="A76" s="5"/>
      <c r="B76" s="4"/>
      <c r="C76" s="4"/>
      <c r="D76" s="4"/>
      <c r="E76" s="4"/>
      <c r="F76" s="4"/>
      <c r="G76" s="4"/>
      <c r="H76" s="1"/>
      <c r="I76" s="1"/>
    </row>
    <row r="77" spans="1:9" x14ac:dyDescent="0.45">
      <c r="A77" s="5"/>
      <c r="B77" s="4"/>
      <c r="C77" s="4"/>
      <c r="D77" s="4"/>
      <c r="E77" s="4"/>
      <c r="F77" s="4"/>
      <c r="G77" s="4"/>
      <c r="H77" s="1"/>
      <c r="I77" s="1"/>
    </row>
    <row r="78" spans="1:9" x14ac:dyDescent="0.45">
      <c r="A78" s="5"/>
      <c r="B78" s="4"/>
      <c r="C78" s="4"/>
      <c r="D78" s="4"/>
      <c r="E78" s="4"/>
      <c r="F78" s="4"/>
      <c r="G78" s="4"/>
      <c r="H78" s="1"/>
      <c r="I78" s="1"/>
    </row>
    <row r="79" spans="1:9" x14ac:dyDescent="0.45">
      <c r="A79" s="5"/>
      <c r="B79" s="4"/>
      <c r="C79" s="4"/>
      <c r="D79" s="4"/>
      <c r="E79" s="4"/>
      <c r="F79" s="4"/>
      <c r="G79" s="4"/>
      <c r="H79" s="1"/>
      <c r="I79" s="1"/>
    </row>
    <row r="80" spans="1:9" x14ac:dyDescent="0.45">
      <c r="A80" s="5"/>
      <c r="B80" s="4"/>
      <c r="C80" s="4"/>
      <c r="D80" s="4"/>
      <c r="E80" s="4"/>
      <c r="F80" s="4"/>
      <c r="G80" s="4"/>
      <c r="H80" s="1"/>
      <c r="I80" s="1"/>
    </row>
    <row r="81" spans="1:9" x14ac:dyDescent="0.45">
      <c r="A81" s="5"/>
      <c r="B81" s="4"/>
      <c r="C81" s="4"/>
      <c r="D81" s="4"/>
      <c r="E81" s="4"/>
      <c r="F81" s="4"/>
      <c r="G81" s="4"/>
      <c r="H81" s="1"/>
      <c r="I81" s="1"/>
    </row>
    <row r="82" spans="1:9" x14ac:dyDescent="0.45">
      <c r="A82" s="5"/>
      <c r="B82" s="4"/>
      <c r="C82" s="4"/>
      <c r="D82" s="4"/>
      <c r="E82" s="4"/>
      <c r="F82" s="4"/>
      <c r="G82" s="4"/>
      <c r="H82" s="1"/>
      <c r="I82" s="1"/>
    </row>
    <row r="83" spans="1:9" x14ac:dyDescent="0.45">
      <c r="A83" s="5"/>
      <c r="B83" s="4"/>
      <c r="C83" s="4"/>
      <c r="D83" s="4"/>
      <c r="E83" s="4"/>
      <c r="F83" s="4"/>
      <c r="G83" s="4"/>
      <c r="H83" s="1"/>
      <c r="I83" s="1"/>
    </row>
    <row r="84" spans="1:9" x14ac:dyDescent="0.45">
      <c r="A84" s="5"/>
      <c r="B84" s="4"/>
      <c r="C84" s="4"/>
      <c r="D84" s="4"/>
      <c r="E84" s="4"/>
      <c r="F84" s="4"/>
      <c r="G84" s="4"/>
      <c r="H84" s="1"/>
      <c r="I84" s="1"/>
    </row>
    <row r="85" spans="1:9" x14ac:dyDescent="0.45">
      <c r="A85" s="5"/>
      <c r="B85" s="4"/>
      <c r="C85" s="4"/>
      <c r="D85" s="4"/>
      <c r="E85" s="4"/>
      <c r="F85" s="4"/>
      <c r="G85" s="4"/>
      <c r="H85" s="1"/>
      <c r="I85" s="1"/>
    </row>
    <row r="86" spans="1:9" x14ac:dyDescent="0.45">
      <c r="A86" s="5"/>
      <c r="B86" s="4"/>
      <c r="C86" s="4"/>
      <c r="D86" s="4"/>
      <c r="E86" s="4"/>
      <c r="F86" s="4"/>
      <c r="G86" s="4"/>
      <c r="H86" s="1"/>
      <c r="I86" s="1"/>
    </row>
    <row r="87" spans="1:9" x14ac:dyDescent="0.45">
      <c r="A87" s="5"/>
      <c r="B87" s="4"/>
      <c r="C87" s="4"/>
      <c r="D87" s="4"/>
      <c r="E87" s="4"/>
      <c r="F87" s="4"/>
      <c r="G87" s="4"/>
      <c r="H87" s="1"/>
      <c r="I87" s="1"/>
    </row>
    <row r="88" spans="1:9" x14ac:dyDescent="0.45">
      <c r="A88" s="5"/>
      <c r="B88" s="4"/>
      <c r="C88" s="4"/>
      <c r="D88" s="4"/>
      <c r="E88" s="4"/>
      <c r="F88" s="4"/>
      <c r="G88" s="4"/>
      <c r="H88" s="1"/>
      <c r="I88" s="1"/>
    </row>
    <row r="89" spans="1:9" x14ac:dyDescent="0.45">
      <c r="A89" s="5"/>
      <c r="B89" s="4"/>
      <c r="C89" s="4"/>
      <c r="D89" s="4"/>
      <c r="E89" s="4"/>
      <c r="F89" s="4"/>
      <c r="G89" s="4"/>
      <c r="H89" s="1"/>
      <c r="I89" s="1"/>
    </row>
    <row r="90" spans="1:9" x14ac:dyDescent="0.45">
      <c r="A90" s="5"/>
      <c r="B90" s="4"/>
      <c r="C90" s="4"/>
      <c r="D90" s="4"/>
      <c r="E90" s="4"/>
      <c r="F90" s="4"/>
      <c r="G90" s="4"/>
      <c r="H90" s="1"/>
      <c r="I90" s="1"/>
    </row>
    <row r="91" spans="1:9" x14ac:dyDescent="0.45">
      <c r="A91" s="5"/>
      <c r="B91" s="4"/>
      <c r="C91" s="4"/>
      <c r="D91" s="4"/>
      <c r="E91" s="4"/>
      <c r="F91" s="4"/>
      <c r="G91" s="4"/>
      <c r="H91" s="1"/>
      <c r="I91" s="1"/>
    </row>
    <row r="92" spans="1:9" x14ac:dyDescent="0.45">
      <c r="A92" s="5"/>
      <c r="B92" s="4"/>
      <c r="C92" s="4"/>
      <c r="D92" s="4"/>
      <c r="E92" s="4"/>
      <c r="F92" s="4"/>
      <c r="G92" s="4"/>
      <c r="H92" s="1"/>
      <c r="I92" s="1"/>
    </row>
    <row r="93" spans="1:9" x14ac:dyDescent="0.45">
      <c r="A93" s="5"/>
      <c r="B93" s="4"/>
      <c r="C93" s="4"/>
      <c r="D93" s="4"/>
      <c r="E93" s="4"/>
      <c r="F93" s="4"/>
      <c r="G93" s="4"/>
      <c r="H93" s="1"/>
      <c r="I93" s="1"/>
    </row>
    <row r="94" spans="1:9" x14ac:dyDescent="0.45">
      <c r="A94" s="5"/>
      <c r="B94" s="4"/>
      <c r="C94" s="4"/>
      <c r="D94" s="4"/>
      <c r="E94" s="4"/>
      <c r="F94" s="4"/>
      <c r="G94" s="4"/>
      <c r="H94" s="1"/>
      <c r="I94" s="1"/>
    </row>
    <row r="95" spans="1:9" x14ac:dyDescent="0.45">
      <c r="A95" s="5"/>
      <c r="B95" s="4"/>
      <c r="C95" s="4"/>
      <c r="D95" s="4"/>
      <c r="E95" s="4"/>
      <c r="F95" s="4"/>
      <c r="G95" s="4"/>
      <c r="H95" s="1"/>
      <c r="I95" s="1"/>
    </row>
    <row r="96" spans="1:9" x14ac:dyDescent="0.45">
      <c r="A96" s="5"/>
      <c r="B96" s="4"/>
      <c r="C96" s="4"/>
      <c r="D96" s="4"/>
      <c r="E96" s="4"/>
      <c r="F96" s="4"/>
      <c r="G96" s="4"/>
      <c r="H96" s="1"/>
      <c r="I96" s="1"/>
    </row>
    <row r="97" spans="1:9" x14ac:dyDescent="0.45">
      <c r="A97" s="5"/>
      <c r="B97" s="4"/>
      <c r="C97" s="4"/>
      <c r="D97" s="4"/>
      <c r="E97" s="4"/>
      <c r="F97" s="4"/>
      <c r="G97" s="4"/>
      <c r="H97" s="1"/>
      <c r="I97" s="1"/>
    </row>
    <row r="98" spans="1:9" x14ac:dyDescent="0.45">
      <c r="A98" s="5"/>
      <c r="B98" s="4"/>
      <c r="C98" s="4"/>
      <c r="D98" s="4"/>
      <c r="E98" s="4"/>
      <c r="F98" s="4"/>
      <c r="G98" s="4"/>
      <c r="H98" s="1"/>
      <c r="I98" s="1"/>
    </row>
    <row r="99" spans="1:9" x14ac:dyDescent="0.45">
      <c r="A99" s="5"/>
      <c r="B99" s="4"/>
      <c r="C99" s="4"/>
      <c r="D99" s="4"/>
      <c r="E99" s="4"/>
      <c r="F99" s="4"/>
      <c r="G99" s="4"/>
      <c r="H99" s="1"/>
      <c r="I99" s="1"/>
    </row>
    <row r="100" spans="1:9" x14ac:dyDescent="0.45">
      <c r="A100" s="5"/>
      <c r="B100" s="4"/>
      <c r="C100" s="4"/>
      <c r="D100" s="4"/>
      <c r="E100" s="4"/>
      <c r="F100" s="4"/>
      <c r="G100" s="4"/>
      <c r="H100" s="1"/>
      <c r="I100" s="1"/>
    </row>
    <row r="101" spans="1:9" x14ac:dyDescent="0.45">
      <c r="A101" s="5"/>
      <c r="B101" s="4"/>
      <c r="C101" s="4"/>
      <c r="D101" s="4"/>
      <c r="E101" s="4"/>
      <c r="F101" s="4"/>
      <c r="G101" s="4"/>
      <c r="H101" s="1"/>
      <c r="I101" s="1"/>
    </row>
    <row r="102" spans="1:9" x14ac:dyDescent="0.45">
      <c r="A102" s="5"/>
      <c r="B102" s="4"/>
      <c r="C102" s="4"/>
      <c r="D102" s="4"/>
      <c r="E102" s="4"/>
      <c r="F102" s="4"/>
      <c r="G102" s="4"/>
      <c r="H102" s="1"/>
      <c r="I102" s="1"/>
    </row>
    <row r="103" spans="1:9" x14ac:dyDescent="0.45">
      <c r="A103" s="5"/>
      <c r="B103" s="4"/>
      <c r="C103" s="4"/>
      <c r="D103" s="4"/>
      <c r="E103" s="4"/>
      <c r="F103" s="4"/>
      <c r="G103" s="4"/>
      <c r="H103" s="1"/>
      <c r="I103" s="1"/>
    </row>
    <row r="104" spans="1:9" x14ac:dyDescent="0.45">
      <c r="A104" s="5"/>
      <c r="B104" s="4"/>
      <c r="C104" s="4"/>
      <c r="D104" s="4"/>
      <c r="E104" s="4"/>
      <c r="F104" s="4"/>
      <c r="G104" s="4"/>
      <c r="H104" s="1"/>
      <c r="I104" s="1"/>
    </row>
    <row r="105" spans="1:9" x14ac:dyDescent="0.45">
      <c r="A105" s="5"/>
      <c r="B105" s="4"/>
      <c r="C105" s="4"/>
      <c r="D105" s="4"/>
      <c r="E105" s="4"/>
      <c r="F105" s="4"/>
      <c r="G105" s="4"/>
      <c r="H105" s="1"/>
      <c r="I105" s="1"/>
    </row>
    <row r="106" spans="1:9" x14ac:dyDescent="0.45">
      <c r="A106" s="5"/>
      <c r="B106" s="4"/>
      <c r="C106" s="4"/>
      <c r="D106" s="4"/>
      <c r="E106" s="4"/>
      <c r="F106" s="4"/>
      <c r="G106" s="4"/>
      <c r="H106" s="1"/>
      <c r="I106" s="1"/>
    </row>
    <row r="107" spans="1:9" x14ac:dyDescent="0.45">
      <c r="A107" s="5"/>
      <c r="B107" s="4"/>
      <c r="C107" s="4"/>
      <c r="D107" s="4"/>
      <c r="E107" s="4"/>
      <c r="F107" s="4"/>
      <c r="G107" s="4"/>
      <c r="H107" s="1"/>
      <c r="I107" s="1"/>
    </row>
    <row r="108" spans="1:9" x14ac:dyDescent="0.45">
      <c r="A108" s="5"/>
      <c r="B108" s="4"/>
      <c r="C108" s="4"/>
      <c r="D108" s="4"/>
      <c r="E108" s="4"/>
      <c r="F108" s="4"/>
      <c r="G108" s="4"/>
      <c r="H108" s="1"/>
      <c r="I108" s="1"/>
    </row>
    <row r="109" spans="1:9" x14ac:dyDescent="0.45">
      <c r="A109" s="5"/>
      <c r="B109" s="4"/>
      <c r="C109" s="4"/>
      <c r="D109" s="4"/>
      <c r="E109" s="4"/>
      <c r="F109" s="4"/>
      <c r="G109" s="4"/>
      <c r="H109" s="1"/>
      <c r="I109" s="1"/>
    </row>
    <row r="110" spans="1:9" x14ac:dyDescent="0.45">
      <c r="A110" s="5"/>
      <c r="B110" s="4"/>
      <c r="C110" s="4"/>
      <c r="D110" s="4"/>
      <c r="E110" s="4"/>
      <c r="F110" s="4"/>
      <c r="G110" s="4"/>
      <c r="H110" s="1"/>
      <c r="I110" s="1"/>
    </row>
    <row r="111" spans="1:9" x14ac:dyDescent="0.45">
      <c r="A111" s="5"/>
      <c r="B111" s="4"/>
      <c r="C111" s="4"/>
      <c r="D111" s="4"/>
      <c r="E111" s="4"/>
      <c r="F111" s="4"/>
      <c r="G111" s="4"/>
      <c r="H111" s="1"/>
      <c r="I111" s="1"/>
    </row>
    <row r="112" spans="1:9" x14ac:dyDescent="0.45">
      <c r="A112" s="5"/>
      <c r="B112" s="4"/>
      <c r="C112" s="4"/>
      <c r="D112" s="4"/>
      <c r="E112" s="4"/>
      <c r="F112" s="4"/>
      <c r="G112" s="4"/>
      <c r="H112" s="1"/>
      <c r="I112" s="1"/>
    </row>
    <row r="113" spans="1:9" x14ac:dyDescent="0.45">
      <c r="A113" s="5"/>
      <c r="B113" s="4"/>
      <c r="C113" s="4"/>
      <c r="D113" s="4"/>
      <c r="E113" s="4"/>
      <c r="F113" s="4"/>
      <c r="G113" s="4"/>
      <c r="H113" s="1"/>
      <c r="I113" s="1"/>
    </row>
    <row r="114" spans="1:9" x14ac:dyDescent="0.45">
      <c r="A114" s="5"/>
      <c r="B114" s="4"/>
      <c r="C114" s="4"/>
      <c r="D114" s="4"/>
      <c r="E114" s="4"/>
      <c r="F114" s="4"/>
      <c r="G114" s="4"/>
      <c r="H114" s="1"/>
      <c r="I114" s="1"/>
    </row>
    <row r="115" spans="1:9" x14ac:dyDescent="0.45">
      <c r="A115" s="5"/>
      <c r="B115" s="4"/>
      <c r="C115" s="4"/>
      <c r="D115" s="4"/>
      <c r="E115" s="4"/>
      <c r="F115" s="4"/>
      <c r="G115" s="4"/>
      <c r="H115" s="1"/>
      <c r="I115" s="1"/>
    </row>
    <row r="116" spans="1:9" x14ac:dyDescent="0.45">
      <c r="A116" s="5"/>
      <c r="B116" s="4"/>
      <c r="C116" s="4"/>
      <c r="D116" s="4"/>
      <c r="E116" s="4"/>
      <c r="F116" s="4"/>
      <c r="G116" s="4"/>
      <c r="H116" s="1"/>
      <c r="I116" s="1"/>
    </row>
    <row r="117" spans="1:9" x14ac:dyDescent="0.45">
      <c r="A117" s="5"/>
      <c r="B117" s="4"/>
      <c r="C117" s="4"/>
      <c r="D117" s="4"/>
      <c r="E117" s="4"/>
      <c r="F117" s="4"/>
      <c r="G117" s="4"/>
      <c r="H117" s="1"/>
      <c r="I117" s="1"/>
    </row>
    <row r="118" spans="1:9" x14ac:dyDescent="0.45">
      <c r="A118" s="5"/>
      <c r="B118" s="4"/>
      <c r="C118" s="4"/>
      <c r="D118" s="4"/>
      <c r="E118" s="4"/>
      <c r="F118" s="4"/>
      <c r="G118" s="4"/>
      <c r="H118" s="1"/>
      <c r="I118" s="1"/>
    </row>
    <row r="119" spans="1:9" x14ac:dyDescent="0.45">
      <c r="A119" s="5"/>
      <c r="B119" s="4"/>
      <c r="C119" s="4"/>
      <c r="D119" s="4"/>
      <c r="E119" s="4"/>
      <c r="F119" s="4"/>
      <c r="G119" s="4"/>
      <c r="H119" s="1"/>
      <c r="I119" s="1"/>
    </row>
    <row r="120" spans="1:9" x14ac:dyDescent="0.45">
      <c r="A120" s="5"/>
      <c r="B120" s="4"/>
      <c r="C120" s="4"/>
      <c r="D120" s="4"/>
      <c r="E120" s="4"/>
      <c r="F120" s="4"/>
      <c r="G120" s="4"/>
      <c r="H120" s="1"/>
      <c r="I120" s="1"/>
    </row>
    <row r="121" spans="1:9" x14ac:dyDescent="0.45">
      <c r="A121" s="5"/>
      <c r="B121" s="4"/>
      <c r="C121" s="4"/>
      <c r="D121" s="4"/>
      <c r="E121" s="4"/>
      <c r="F121" s="4"/>
      <c r="G121" s="4"/>
      <c r="H121" s="1"/>
      <c r="I121" s="1"/>
    </row>
    <row r="122" spans="1:9" x14ac:dyDescent="0.45">
      <c r="A122" s="5"/>
      <c r="B122" s="4"/>
      <c r="C122" s="4"/>
      <c r="D122" s="4"/>
      <c r="E122" s="4"/>
      <c r="F122" s="4"/>
      <c r="G122" s="4"/>
      <c r="H122" s="1"/>
      <c r="I122" s="1"/>
    </row>
    <row r="123" spans="1:9" x14ac:dyDescent="0.45">
      <c r="A123" s="5"/>
      <c r="B123" s="4"/>
      <c r="C123" s="4"/>
      <c r="D123" s="4"/>
      <c r="E123" s="4"/>
      <c r="F123" s="4"/>
      <c r="G123" s="4"/>
      <c r="H123" s="1"/>
      <c r="I123" s="1"/>
    </row>
    <row r="124" spans="1:9" x14ac:dyDescent="0.45">
      <c r="A124" s="5"/>
      <c r="B124" s="4"/>
      <c r="C124" s="4"/>
      <c r="D124" s="4"/>
      <c r="E124" s="4"/>
      <c r="F124" s="4"/>
      <c r="G124" s="4"/>
      <c r="H124" s="1"/>
      <c r="I124" s="1"/>
    </row>
    <row r="125" spans="1:9" x14ac:dyDescent="0.45">
      <c r="A125" s="5"/>
      <c r="B125" s="4"/>
      <c r="C125" s="4"/>
      <c r="D125" s="4"/>
      <c r="E125" s="4"/>
      <c r="F125" s="4"/>
      <c r="G125" s="4"/>
      <c r="H125" s="1"/>
      <c r="I125" s="1"/>
    </row>
    <row r="126" spans="1:9" x14ac:dyDescent="0.45">
      <c r="A126" s="5"/>
      <c r="B126" s="4"/>
      <c r="C126" s="4"/>
      <c r="D126" s="4"/>
      <c r="E126" s="4"/>
      <c r="F126" s="4"/>
      <c r="G126" s="4"/>
      <c r="H126" s="1"/>
      <c r="I126" s="1"/>
    </row>
    <row r="127" spans="1:9" x14ac:dyDescent="0.45">
      <c r="A127" s="5"/>
      <c r="B127" s="4"/>
      <c r="C127" s="4"/>
      <c r="D127" s="4"/>
      <c r="E127" s="4"/>
      <c r="F127" s="4"/>
      <c r="G127" s="4"/>
      <c r="H127" s="1"/>
      <c r="I127" s="1"/>
    </row>
    <row r="128" spans="1:9" x14ac:dyDescent="0.45">
      <c r="A128" s="5"/>
      <c r="B128" s="4"/>
      <c r="C128" s="4"/>
      <c r="D128" s="4"/>
      <c r="E128" s="4"/>
      <c r="F128" s="4"/>
      <c r="G128" s="4"/>
      <c r="H128" s="1"/>
      <c r="I128" s="1"/>
    </row>
    <row r="129" spans="1:9" x14ac:dyDescent="0.45">
      <c r="A129" s="5"/>
      <c r="B129" s="4"/>
      <c r="C129" s="4"/>
      <c r="D129" s="4"/>
      <c r="E129" s="4"/>
      <c r="F129" s="4"/>
      <c r="G129" s="4"/>
      <c r="H129" s="1"/>
      <c r="I129" s="1"/>
    </row>
    <row r="130" spans="1:9" x14ac:dyDescent="0.45">
      <c r="A130" s="5"/>
      <c r="B130" s="4"/>
      <c r="C130" s="4"/>
      <c r="D130" s="4"/>
      <c r="E130" s="4"/>
      <c r="F130" s="4"/>
      <c r="G130" s="4"/>
      <c r="H130" s="1"/>
      <c r="I130" s="1"/>
    </row>
    <row r="131" spans="1:9" x14ac:dyDescent="0.45">
      <c r="A131" s="5"/>
      <c r="B131" s="4"/>
      <c r="C131" s="4"/>
      <c r="D131" s="4"/>
      <c r="E131" s="4"/>
      <c r="F131" s="4"/>
      <c r="G131" s="4"/>
      <c r="H131" s="1"/>
      <c r="I131" s="1"/>
    </row>
    <row r="132" spans="1:9" x14ac:dyDescent="0.45">
      <c r="A132" s="5"/>
      <c r="B132" s="4"/>
      <c r="C132" s="4"/>
      <c r="D132" s="4"/>
      <c r="E132" s="4"/>
      <c r="F132" s="4"/>
      <c r="G132" s="4"/>
      <c r="H132" s="1"/>
      <c r="I132" s="1"/>
    </row>
    <row r="133" spans="1:9" x14ac:dyDescent="0.45">
      <c r="A133" s="5"/>
      <c r="B133" s="4"/>
      <c r="C133" s="4"/>
      <c r="D133" s="4"/>
      <c r="E133" s="4"/>
      <c r="F133" s="4"/>
      <c r="G133" s="4"/>
      <c r="H133" s="1"/>
      <c r="I133" s="1"/>
    </row>
    <row r="134" spans="1:9" x14ac:dyDescent="0.45">
      <c r="A134" s="5"/>
      <c r="B134" s="4"/>
      <c r="C134" s="4"/>
      <c r="D134" s="4"/>
      <c r="E134" s="4"/>
      <c r="F134" s="4"/>
      <c r="G134" s="4"/>
      <c r="H134" s="1"/>
      <c r="I134" s="1"/>
    </row>
    <row r="135" spans="1:9" x14ac:dyDescent="0.45">
      <c r="A135" s="5"/>
      <c r="B135" s="4"/>
      <c r="C135" s="4"/>
      <c r="D135" s="4"/>
      <c r="E135" s="4"/>
      <c r="F135" s="4"/>
      <c r="G135" s="4"/>
      <c r="H135" s="1"/>
      <c r="I135" s="1"/>
    </row>
    <row r="136" spans="1:9" x14ac:dyDescent="0.45">
      <c r="A136" s="5"/>
      <c r="B136" s="4"/>
      <c r="C136" s="4"/>
      <c r="D136" s="4"/>
      <c r="E136" s="4"/>
      <c r="F136" s="4"/>
      <c r="G136" s="4"/>
      <c r="H136" s="1"/>
      <c r="I136" s="1"/>
    </row>
    <row r="137" spans="1:9" x14ac:dyDescent="0.45">
      <c r="A137" s="5"/>
      <c r="B137" s="4"/>
      <c r="C137" s="4"/>
      <c r="D137" s="4"/>
      <c r="E137" s="4"/>
      <c r="F137" s="4"/>
      <c r="G137" s="4"/>
      <c r="H137" s="1"/>
      <c r="I137" s="1"/>
    </row>
    <row r="138" spans="1:9" x14ac:dyDescent="0.45">
      <c r="A138" s="5"/>
      <c r="B138" s="4"/>
      <c r="C138" s="4"/>
      <c r="D138" s="4"/>
      <c r="E138" s="4"/>
      <c r="F138" s="4"/>
      <c r="G138" s="4"/>
      <c r="H138" s="1"/>
      <c r="I138" s="1"/>
    </row>
    <row r="139" spans="1:9" x14ac:dyDescent="0.45">
      <c r="A139" s="5"/>
      <c r="B139" s="4"/>
      <c r="C139" s="4"/>
      <c r="D139" s="4"/>
      <c r="E139" s="4"/>
      <c r="F139" s="4"/>
      <c r="G139" s="4"/>
      <c r="H139" s="1"/>
      <c r="I139" s="1"/>
    </row>
    <row r="140" spans="1:9" x14ac:dyDescent="0.45">
      <c r="A140" s="5"/>
      <c r="B140" s="4"/>
      <c r="C140" s="4"/>
      <c r="D140" s="4"/>
      <c r="E140" s="4"/>
      <c r="F140" s="4"/>
      <c r="G140" s="4"/>
      <c r="H140" s="1"/>
      <c r="I140" s="1"/>
    </row>
    <row r="141" spans="1:9" x14ac:dyDescent="0.45">
      <c r="A141" s="5"/>
      <c r="B141" s="4"/>
      <c r="C141" s="4"/>
      <c r="D141" s="4"/>
      <c r="E141" s="4"/>
      <c r="F141" s="4"/>
      <c r="G141" s="4"/>
      <c r="H141" s="1"/>
      <c r="I141" s="1"/>
    </row>
    <row r="142" spans="1:9" x14ac:dyDescent="0.45">
      <c r="A142" s="5"/>
      <c r="B142" s="4"/>
      <c r="C142" s="4"/>
      <c r="D142" s="4"/>
      <c r="E142" s="4"/>
      <c r="F142" s="4"/>
      <c r="G142" s="4"/>
      <c r="H142" s="1"/>
      <c r="I142" s="1"/>
    </row>
    <row r="143" spans="1:9" x14ac:dyDescent="0.45">
      <c r="A143" s="5"/>
      <c r="B143" s="4"/>
      <c r="C143" s="4"/>
      <c r="D143" s="4"/>
      <c r="E143" s="4"/>
      <c r="F143" s="4"/>
      <c r="G143" s="4"/>
      <c r="H143" s="1"/>
      <c r="I143" s="1"/>
    </row>
    <row r="144" spans="1:9" x14ac:dyDescent="0.45">
      <c r="A144" s="5"/>
      <c r="B144" s="4"/>
      <c r="C144" s="4"/>
      <c r="D144" s="4"/>
      <c r="E144" s="4"/>
      <c r="F144" s="4"/>
      <c r="G144" s="4"/>
      <c r="H144" s="1"/>
      <c r="I144" s="1"/>
    </row>
    <row r="145" spans="1:9" x14ac:dyDescent="0.45">
      <c r="A145" s="5"/>
      <c r="B145" s="4"/>
      <c r="C145" s="4"/>
      <c r="D145" s="4"/>
      <c r="E145" s="4"/>
      <c r="F145" s="4"/>
      <c r="G145" s="4"/>
      <c r="H145" s="1"/>
      <c r="I145" s="1"/>
    </row>
    <row r="146" spans="1:9" x14ac:dyDescent="0.45">
      <c r="A146" s="5"/>
      <c r="B146" s="4"/>
      <c r="C146" s="4"/>
      <c r="D146" s="4"/>
      <c r="E146" s="4"/>
      <c r="F146" s="4"/>
      <c r="G146" s="4"/>
      <c r="H146" s="1"/>
      <c r="I146" s="1"/>
    </row>
    <row r="147" spans="1:9" x14ac:dyDescent="0.45">
      <c r="A147" s="5"/>
      <c r="B147" s="4"/>
      <c r="C147" s="4"/>
      <c r="D147" s="4"/>
      <c r="E147" s="4"/>
      <c r="F147" s="4"/>
      <c r="G147" s="4"/>
      <c r="H147" s="1"/>
      <c r="I147" s="1"/>
    </row>
    <row r="148" spans="1:9" x14ac:dyDescent="0.45">
      <c r="A148" s="5"/>
      <c r="B148" s="4"/>
      <c r="C148" s="4"/>
      <c r="D148" s="4"/>
      <c r="E148" s="4"/>
      <c r="F148" s="4"/>
      <c r="G148" s="4"/>
      <c r="H148" s="1"/>
      <c r="I148" s="1"/>
    </row>
    <row r="149" spans="1:9" x14ac:dyDescent="0.45">
      <c r="A149" s="5"/>
      <c r="B149" s="4"/>
      <c r="C149" s="4"/>
      <c r="D149" s="4"/>
      <c r="E149" s="4"/>
      <c r="F149" s="4"/>
      <c r="G149" s="4"/>
      <c r="H149" s="1"/>
      <c r="I149" s="1"/>
    </row>
    <row r="150" spans="1:9" x14ac:dyDescent="0.45">
      <c r="A150" s="5"/>
      <c r="B150" s="4"/>
      <c r="C150" s="4"/>
      <c r="D150" s="4"/>
      <c r="E150" s="4"/>
      <c r="F150" s="4"/>
      <c r="G150" s="4"/>
      <c r="H150" s="1"/>
      <c r="I150" s="1"/>
    </row>
    <row r="151" spans="1:9" x14ac:dyDescent="0.45">
      <c r="A151" s="5"/>
      <c r="B151" s="4"/>
      <c r="C151" s="4"/>
      <c r="D151" s="4"/>
      <c r="E151" s="4"/>
      <c r="F151" s="4"/>
      <c r="G151" s="4"/>
      <c r="H151" s="1"/>
      <c r="I151" s="1"/>
    </row>
    <row r="152" spans="1:9" x14ac:dyDescent="0.45">
      <c r="A152" s="5"/>
      <c r="B152" s="4"/>
      <c r="C152" s="4"/>
      <c r="D152" s="4"/>
      <c r="E152" s="4"/>
      <c r="F152" s="4"/>
      <c r="G152" s="4"/>
      <c r="H152" s="1"/>
      <c r="I152" s="1"/>
    </row>
    <row r="153" spans="1:9" x14ac:dyDescent="0.45">
      <c r="A153" s="5"/>
      <c r="B153" s="4"/>
      <c r="C153" s="4"/>
      <c r="D153" s="4"/>
      <c r="E153" s="4"/>
      <c r="F153" s="4"/>
      <c r="G153" s="4"/>
      <c r="H153" s="1"/>
      <c r="I153" s="1"/>
    </row>
    <row r="154" spans="1:9" x14ac:dyDescent="0.45">
      <c r="A154" s="5"/>
      <c r="B154" s="4"/>
      <c r="C154" s="4"/>
      <c r="D154" s="4"/>
      <c r="E154" s="4"/>
      <c r="F154" s="4"/>
      <c r="G154" s="4"/>
      <c r="H154" s="1"/>
      <c r="I154" s="1"/>
    </row>
    <row r="155" spans="1:9" x14ac:dyDescent="0.45">
      <c r="A155" s="5"/>
      <c r="B155" s="4"/>
      <c r="C155" s="4"/>
      <c r="D155" s="4"/>
      <c r="E155" s="4"/>
      <c r="F155" s="4"/>
      <c r="G155" s="4"/>
      <c r="H155" s="1"/>
      <c r="I155" s="1"/>
    </row>
    <row r="156" spans="1:9" x14ac:dyDescent="0.45">
      <c r="A156" s="5"/>
      <c r="B156" s="4"/>
      <c r="C156" s="4"/>
      <c r="D156" s="4"/>
      <c r="E156" s="4"/>
      <c r="F156" s="4"/>
      <c r="G156" s="4"/>
      <c r="H156" s="1"/>
      <c r="I156" s="1"/>
    </row>
    <row r="157" spans="1:9" x14ac:dyDescent="0.45">
      <c r="A157" s="5"/>
      <c r="B157" s="4"/>
      <c r="C157" s="4"/>
      <c r="D157" s="4"/>
      <c r="E157" s="4"/>
      <c r="F157" s="4"/>
      <c r="G157" s="4"/>
      <c r="H157" s="1"/>
      <c r="I157" s="1"/>
    </row>
    <row r="158" spans="1:9" x14ac:dyDescent="0.45">
      <c r="A158" s="5"/>
      <c r="B158" s="4"/>
      <c r="C158" s="4"/>
      <c r="D158" s="4"/>
      <c r="E158" s="4"/>
      <c r="F158" s="4"/>
      <c r="G158" s="4"/>
      <c r="H158" s="1"/>
      <c r="I158" s="1"/>
    </row>
    <row r="159" spans="1:9" x14ac:dyDescent="0.45">
      <c r="A159" s="5"/>
      <c r="B159" s="4"/>
      <c r="C159" s="4"/>
      <c r="D159" s="4"/>
      <c r="E159" s="4"/>
      <c r="F159" s="4"/>
      <c r="G159" s="4"/>
      <c r="H159" s="1"/>
      <c r="I159" s="1"/>
    </row>
    <row r="160" spans="1:9" x14ac:dyDescent="0.45">
      <c r="A160" s="5"/>
      <c r="B160" s="4"/>
      <c r="C160" s="4"/>
      <c r="D160" s="4"/>
      <c r="E160" s="4"/>
      <c r="F160" s="4"/>
      <c r="G160" s="4"/>
      <c r="H160" s="1"/>
      <c r="I160" s="1"/>
    </row>
    <row r="161" spans="1:9" x14ac:dyDescent="0.45">
      <c r="A161" s="5"/>
      <c r="B161" s="4"/>
      <c r="C161" s="4"/>
      <c r="D161" s="4"/>
      <c r="E161" s="4"/>
      <c r="F161" s="4"/>
      <c r="G161" s="4"/>
      <c r="H161" s="1"/>
      <c r="I161" s="1"/>
    </row>
    <row r="162" spans="1:9" x14ac:dyDescent="0.45">
      <c r="A162" s="5"/>
      <c r="B162" s="4"/>
      <c r="C162" s="4"/>
      <c r="D162" s="4"/>
      <c r="E162" s="4"/>
      <c r="F162" s="4"/>
      <c r="G162" s="4"/>
      <c r="H162" s="1"/>
      <c r="I162" s="1"/>
    </row>
    <row r="163" spans="1:9" x14ac:dyDescent="0.45">
      <c r="A163" s="5"/>
      <c r="B163" s="4"/>
      <c r="C163" s="4"/>
      <c r="D163" s="4"/>
      <c r="E163" s="4"/>
      <c r="F163" s="4"/>
      <c r="G163" s="4"/>
      <c r="H163" s="1"/>
      <c r="I163" s="1"/>
    </row>
    <row r="164" spans="1:9" x14ac:dyDescent="0.45">
      <c r="A164" s="5"/>
      <c r="B164" s="4"/>
      <c r="C164" s="4"/>
      <c r="D164" s="4"/>
      <c r="E164" s="4"/>
      <c r="F164" s="4"/>
      <c r="G164" s="4"/>
      <c r="H164" s="1"/>
      <c r="I164" s="1"/>
    </row>
    <row r="165" spans="1:9" x14ac:dyDescent="0.45">
      <c r="A165" s="5"/>
      <c r="B165" s="4"/>
      <c r="C165" s="4"/>
      <c r="D165" s="4"/>
      <c r="E165" s="4"/>
      <c r="F165" s="4"/>
      <c r="G165" s="4"/>
      <c r="H165" s="1"/>
      <c r="I165" s="1"/>
    </row>
    <row r="166" spans="1:9" x14ac:dyDescent="0.45">
      <c r="A166" s="5"/>
      <c r="B166" s="4"/>
      <c r="C166" s="4"/>
      <c r="D166" s="4"/>
      <c r="E166" s="4"/>
      <c r="F166" s="4"/>
      <c r="G166" s="4"/>
      <c r="H166" s="1"/>
      <c r="I166" s="1"/>
    </row>
    <row r="167" spans="1:9" x14ac:dyDescent="0.45">
      <c r="A167" s="5"/>
      <c r="B167" s="4"/>
      <c r="C167" s="4"/>
      <c r="D167" s="4"/>
      <c r="E167" s="4"/>
      <c r="F167" s="4"/>
      <c r="G167" s="4"/>
      <c r="H167" s="1"/>
      <c r="I167" s="1"/>
    </row>
    <row r="168" spans="1:9" x14ac:dyDescent="0.45">
      <c r="A168" s="5"/>
      <c r="B168" s="4"/>
      <c r="C168" s="4"/>
      <c r="D168" s="4"/>
      <c r="E168" s="4"/>
      <c r="F168" s="4"/>
      <c r="G168" s="4"/>
      <c r="H168" s="1"/>
      <c r="I168" s="1"/>
    </row>
    <row r="169" spans="1:9" x14ac:dyDescent="0.45">
      <c r="A169" s="5"/>
      <c r="B169" s="4"/>
      <c r="C169" s="4"/>
      <c r="D169" s="4"/>
      <c r="E169" s="4"/>
      <c r="F169" s="4"/>
      <c r="G169" s="4"/>
      <c r="H169" s="1"/>
      <c r="I169" s="1"/>
    </row>
    <row r="170" spans="1:9" x14ac:dyDescent="0.45">
      <c r="A170" s="5"/>
      <c r="B170" s="4"/>
      <c r="C170" s="4"/>
      <c r="D170" s="4"/>
      <c r="E170" s="4"/>
      <c r="F170" s="4"/>
      <c r="G170" s="4"/>
      <c r="H170" s="1"/>
      <c r="I170" s="1"/>
    </row>
    <row r="171" spans="1:9" x14ac:dyDescent="0.45">
      <c r="A171" s="5"/>
      <c r="B171" s="4"/>
      <c r="C171" s="4"/>
      <c r="D171" s="4"/>
      <c r="E171" s="4"/>
      <c r="F171" s="4"/>
      <c r="G171" s="4"/>
      <c r="H171" s="1"/>
      <c r="I171" s="1"/>
    </row>
    <row r="172" spans="1:9" x14ac:dyDescent="0.45">
      <c r="A172" s="5"/>
      <c r="B172" s="4"/>
      <c r="C172" s="4"/>
      <c r="D172" s="4"/>
      <c r="E172" s="4"/>
      <c r="F172" s="4"/>
      <c r="G172" s="4"/>
      <c r="H172" s="1"/>
      <c r="I172" s="1"/>
    </row>
    <row r="173" spans="1:9" x14ac:dyDescent="0.45">
      <c r="A173" s="5"/>
      <c r="B173" s="4"/>
      <c r="C173" s="4"/>
      <c r="D173" s="4"/>
      <c r="E173" s="4"/>
      <c r="F173" s="4"/>
      <c r="G173" s="4"/>
      <c r="H173" s="1"/>
      <c r="I173" s="1"/>
    </row>
    <row r="174" spans="1:9" x14ac:dyDescent="0.45">
      <c r="A174" s="5"/>
      <c r="B174" s="4"/>
      <c r="C174" s="4"/>
      <c r="D174" s="4"/>
      <c r="E174" s="4"/>
      <c r="F174" s="4"/>
      <c r="G174" s="4"/>
      <c r="H174" s="1"/>
      <c r="I174" s="1"/>
    </row>
    <row r="175" spans="1:9" x14ac:dyDescent="0.45">
      <c r="A175" s="5"/>
      <c r="B175" s="4"/>
      <c r="C175" s="4"/>
      <c r="D175" s="4"/>
      <c r="E175" s="4"/>
      <c r="F175" s="4"/>
      <c r="G175" s="4"/>
      <c r="H175" s="1"/>
      <c r="I175" s="1"/>
    </row>
    <row r="176" spans="1:9" x14ac:dyDescent="0.45">
      <c r="A176" s="5"/>
      <c r="B176" s="4"/>
      <c r="C176" s="4"/>
      <c r="D176" s="4"/>
      <c r="E176" s="4"/>
      <c r="F176" s="4"/>
      <c r="G176" s="4"/>
      <c r="H176" s="1"/>
      <c r="I176" s="1"/>
    </row>
    <row r="177" spans="1:9" x14ac:dyDescent="0.45">
      <c r="A177" s="5"/>
      <c r="B177" s="4"/>
      <c r="C177" s="4"/>
      <c r="D177" s="4"/>
      <c r="E177" s="4"/>
      <c r="F177" s="4"/>
      <c r="G177" s="4"/>
      <c r="H177" s="1"/>
      <c r="I177" s="1"/>
    </row>
    <row r="178" spans="1:9" x14ac:dyDescent="0.45">
      <c r="A178" s="5"/>
      <c r="B178" s="4"/>
      <c r="C178" s="4"/>
      <c r="D178" s="4"/>
      <c r="E178" s="4"/>
      <c r="F178" s="4"/>
      <c r="G178" s="4"/>
      <c r="H178" s="1"/>
      <c r="I178" s="1"/>
    </row>
    <row r="179" spans="1:9" x14ac:dyDescent="0.45">
      <c r="A179" s="5"/>
      <c r="B179" s="4"/>
      <c r="C179" s="4"/>
      <c r="D179" s="4"/>
      <c r="E179" s="4"/>
      <c r="F179" s="4"/>
      <c r="G179" s="4"/>
      <c r="H179" s="1"/>
      <c r="I179" s="1"/>
    </row>
    <row r="180" spans="1:9" x14ac:dyDescent="0.45">
      <c r="A180" s="5"/>
      <c r="B180" s="4"/>
      <c r="C180" s="4"/>
      <c r="D180" s="4"/>
      <c r="E180" s="4"/>
      <c r="F180" s="4"/>
      <c r="G180" s="4"/>
      <c r="H180" s="1"/>
      <c r="I180" s="1"/>
    </row>
    <row r="181" spans="1:9" x14ac:dyDescent="0.45">
      <c r="A181" s="5"/>
      <c r="B181" s="4"/>
      <c r="C181" s="4"/>
      <c r="D181" s="4"/>
      <c r="E181" s="4"/>
      <c r="F181" s="4"/>
      <c r="G181" s="4"/>
      <c r="H181" s="1"/>
      <c r="I181" s="1"/>
    </row>
    <row r="182" spans="1:9" x14ac:dyDescent="0.45">
      <c r="A182" s="5"/>
      <c r="B182" s="4"/>
      <c r="C182" s="4"/>
      <c r="D182" s="4"/>
      <c r="E182" s="4"/>
      <c r="F182" s="4"/>
      <c r="G182" s="4"/>
      <c r="H182" s="1"/>
      <c r="I182" s="1"/>
    </row>
    <row r="183" spans="1:9" x14ac:dyDescent="0.45">
      <c r="A183" s="5"/>
      <c r="B183" s="4"/>
      <c r="C183" s="4"/>
      <c r="D183" s="4"/>
      <c r="E183" s="4"/>
      <c r="F183" s="4"/>
      <c r="G183" s="4"/>
      <c r="H183" s="1"/>
      <c r="I183" s="1"/>
    </row>
    <row r="184" spans="1:9" x14ac:dyDescent="0.45">
      <c r="A184" s="5"/>
      <c r="B184" s="4"/>
      <c r="C184" s="4"/>
      <c r="D184" s="4"/>
      <c r="E184" s="4"/>
      <c r="F184" s="4"/>
      <c r="G184" s="4"/>
      <c r="H184" s="1"/>
      <c r="I184" s="1"/>
    </row>
    <row r="185" spans="1:9" x14ac:dyDescent="0.45">
      <c r="A185" s="5"/>
      <c r="B185" s="4"/>
      <c r="C185" s="4"/>
      <c r="D185" s="4"/>
      <c r="E185" s="4"/>
      <c r="F185" s="4"/>
      <c r="G185" s="4"/>
      <c r="H185" s="1"/>
      <c r="I185" s="1"/>
    </row>
    <row r="186" spans="1:9" x14ac:dyDescent="0.45">
      <c r="A186" s="5"/>
      <c r="B186" s="4"/>
      <c r="C186" s="4"/>
      <c r="D186" s="4"/>
      <c r="E186" s="4"/>
      <c r="F186" s="4"/>
      <c r="G186" s="4"/>
      <c r="H186" s="1"/>
      <c r="I186" s="1"/>
    </row>
    <row r="187" spans="1:9" x14ac:dyDescent="0.45">
      <c r="A187" s="5"/>
      <c r="B187" s="4"/>
      <c r="C187" s="4"/>
      <c r="D187" s="4"/>
      <c r="E187" s="4"/>
      <c r="F187" s="4"/>
      <c r="G187" s="4"/>
      <c r="H187" s="1"/>
      <c r="I187" s="1"/>
    </row>
    <row r="188" spans="1:9" x14ac:dyDescent="0.45">
      <c r="A188" s="5"/>
      <c r="B188" s="4"/>
      <c r="C188" s="4"/>
      <c r="D188" s="4"/>
      <c r="E188" s="4"/>
      <c r="F188" s="4"/>
      <c r="G188" s="4"/>
      <c r="H188" s="1"/>
      <c r="I188" s="1"/>
    </row>
    <row r="189" spans="1:9" x14ac:dyDescent="0.45">
      <c r="A189" s="5"/>
      <c r="B189" s="4"/>
      <c r="C189" s="4"/>
      <c r="D189" s="4"/>
      <c r="E189" s="4"/>
      <c r="F189" s="4"/>
      <c r="G189" s="4"/>
      <c r="H189" s="1"/>
      <c r="I189" s="1"/>
    </row>
    <row r="190" spans="1:9" x14ac:dyDescent="0.45">
      <c r="A190" s="5"/>
      <c r="B190" s="4"/>
      <c r="C190" s="4"/>
      <c r="D190" s="4"/>
      <c r="E190" s="4"/>
      <c r="F190" s="4"/>
      <c r="G190" s="4"/>
      <c r="H190" s="1"/>
      <c r="I190" s="1"/>
    </row>
    <row r="191" spans="1:9" x14ac:dyDescent="0.45">
      <c r="A191" s="5"/>
      <c r="B191" s="4"/>
      <c r="C191" s="4"/>
      <c r="D191" s="4"/>
      <c r="E191" s="4"/>
      <c r="F191" s="4"/>
      <c r="G191" s="4"/>
      <c r="H191" s="1"/>
      <c r="I191" s="1"/>
    </row>
    <row r="192" spans="1:9" x14ac:dyDescent="0.45">
      <c r="A192" s="5"/>
      <c r="B192" s="4"/>
      <c r="C192" s="4"/>
      <c r="D192" s="4"/>
      <c r="E192" s="4"/>
      <c r="F192" s="4"/>
      <c r="G192" s="4"/>
      <c r="H192" s="1"/>
      <c r="I192" s="1"/>
    </row>
    <row r="193" spans="1:9" x14ac:dyDescent="0.45">
      <c r="A193" s="5"/>
      <c r="B193" s="4"/>
      <c r="C193" s="4"/>
      <c r="D193" s="4"/>
      <c r="E193" s="4"/>
      <c r="F193" s="4"/>
      <c r="G193" s="4"/>
      <c r="H193" s="1"/>
      <c r="I193" s="1"/>
    </row>
    <row r="194" spans="1:9" x14ac:dyDescent="0.45">
      <c r="A194" s="5"/>
      <c r="B194" s="4"/>
      <c r="C194" s="4"/>
      <c r="D194" s="4"/>
      <c r="E194" s="4"/>
      <c r="F194" s="4"/>
      <c r="G194" s="4"/>
      <c r="H194" s="1"/>
      <c r="I194" s="1"/>
    </row>
    <row r="195" spans="1:9" x14ac:dyDescent="0.45">
      <c r="A195" s="5"/>
      <c r="B195" s="4"/>
      <c r="C195" s="4"/>
      <c r="D195" s="4"/>
      <c r="E195" s="4"/>
      <c r="F195" s="4"/>
      <c r="G195" s="4"/>
      <c r="H195" s="1"/>
      <c r="I195" s="1"/>
    </row>
    <row r="196" spans="1:9" x14ac:dyDescent="0.45">
      <c r="A196" s="5"/>
      <c r="B196" s="4"/>
      <c r="C196" s="4"/>
      <c r="D196" s="4"/>
      <c r="E196" s="4"/>
      <c r="F196" s="4"/>
      <c r="G196" s="4"/>
      <c r="H196" s="1"/>
      <c r="I196" s="1"/>
    </row>
    <row r="197" spans="1:9" x14ac:dyDescent="0.45">
      <c r="A197" s="5"/>
      <c r="B197" s="4"/>
      <c r="C197" s="4"/>
      <c r="D197" s="4"/>
      <c r="E197" s="4"/>
      <c r="F197" s="4"/>
      <c r="G197" s="4"/>
      <c r="H197" s="1"/>
      <c r="I197" s="1"/>
    </row>
    <row r="198" spans="1:9" x14ac:dyDescent="0.45">
      <c r="A198" s="5"/>
      <c r="B198" s="4"/>
      <c r="C198" s="4"/>
      <c r="D198" s="4"/>
      <c r="E198" s="4"/>
      <c r="F198" s="4"/>
      <c r="G198" s="4"/>
      <c r="H198" s="1"/>
      <c r="I198" s="1"/>
    </row>
    <row r="199" spans="1:9" x14ac:dyDescent="0.45">
      <c r="A199" s="5"/>
      <c r="B199" s="4"/>
      <c r="C199" s="4"/>
      <c r="D199" s="4"/>
      <c r="E199" s="4"/>
      <c r="F199" s="4"/>
      <c r="G199" s="4"/>
      <c r="H199" s="1"/>
      <c r="I199" s="1"/>
    </row>
    <row r="200" spans="1:9" x14ac:dyDescent="0.45">
      <c r="A200" s="5"/>
      <c r="B200" s="4"/>
      <c r="C200" s="4"/>
      <c r="D200" s="4"/>
      <c r="E200" s="4"/>
      <c r="F200" s="4"/>
      <c r="G200" s="4"/>
      <c r="H200" s="1"/>
      <c r="I200" s="1"/>
    </row>
    <row r="201" spans="1:9" x14ac:dyDescent="0.45">
      <c r="A201" s="5"/>
      <c r="B201" s="4"/>
      <c r="C201" s="4"/>
      <c r="D201" s="4"/>
      <c r="E201" s="4"/>
      <c r="F201" s="4"/>
      <c r="G201" s="4"/>
      <c r="H201" s="1"/>
      <c r="I201" s="1"/>
    </row>
    <row r="202" spans="1:9" x14ac:dyDescent="0.45">
      <c r="A202" s="5"/>
      <c r="B202" s="4"/>
      <c r="C202" s="4"/>
      <c r="D202" s="4"/>
      <c r="E202" s="4"/>
      <c r="F202" s="4"/>
      <c r="G202" s="4"/>
      <c r="H202" s="1"/>
      <c r="I202" s="1"/>
    </row>
    <row r="203" spans="1:9" x14ac:dyDescent="0.45">
      <c r="A203" s="5"/>
      <c r="B203" s="4"/>
      <c r="C203" s="4"/>
      <c r="D203" s="4"/>
      <c r="E203" s="4"/>
      <c r="F203" s="4"/>
      <c r="G203" s="4"/>
      <c r="H203" s="1"/>
      <c r="I203" s="1"/>
    </row>
    <row r="204" spans="1:9" x14ac:dyDescent="0.45">
      <c r="A204" s="5"/>
      <c r="B204" s="4"/>
      <c r="C204" s="4"/>
      <c r="D204" s="4"/>
      <c r="E204" s="4"/>
      <c r="F204" s="4"/>
      <c r="G204" s="4"/>
      <c r="H204" s="1"/>
      <c r="I204" s="1"/>
    </row>
    <row r="205" spans="1:9" x14ac:dyDescent="0.45">
      <c r="A205" s="5"/>
      <c r="B205" s="4"/>
      <c r="C205" s="4"/>
      <c r="D205" s="4"/>
      <c r="E205" s="4"/>
      <c r="F205" s="4"/>
      <c r="G205" s="4"/>
      <c r="H205" s="1"/>
      <c r="I205" s="1"/>
    </row>
    <row r="206" spans="1:9" x14ac:dyDescent="0.45">
      <c r="A206" s="5"/>
      <c r="B206" s="4"/>
      <c r="C206" s="4"/>
      <c r="D206" s="4"/>
      <c r="E206" s="4"/>
      <c r="F206" s="4"/>
      <c r="G206" s="4"/>
      <c r="H206" s="1"/>
      <c r="I206" s="1"/>
    </row>
    <row r="207" spans="1:9" x14ac:dyDescent="0.45">
      <c r="A207" s="5"/>
      <c r="B207" s="4"/>
      <c r="C207" s="4"/>
      <c r="D207" s="4"/>
      <c r="E207" s="4"/>
      <c r="F207" s="4"/>
      <c r="G207" s="4"/>
      <c r="H207" s="1"/>
      <c r="I207" s="1"/>
    </row>
    <row r="208" spans="1:9" x14ac:dyDescent="0.45">
      <c r="A208" s="5"/>
      <c r="B208" s="4"/>
      <c r="C208" s="4"/>
      <c r="D208" s="4"/>
      <c r="E208" s="4"/>
      <c r="F208" s="4"/>
      <c r="G208" s="4"/>
      <c r="H208" s="1"/>
      <c r="I208" s="1"/>
    </row>
    <row r="209" spans="1:9" x14ac:dyDescent="0.45">
      <c r="A209" s="5"/>
      <c r="B209" s="4"/>
      <c r="C209" s="4"/>
      <c r="D209" s="4"/>
      <c r="E209" s="4"/>
      <c r="F209" s="4"/>
      <c r="G209" s="4"/>
      <c r="H209" s="1"/>
      <c r="I209" s="1"/>
    </row>
    <row r="210" spans="1:9" x14ac:dyDescent="0.45">
      <c r="A210" s="5"/>
      <c r="B210" s="4"/>
      <c r="C210" s="4"/>
      <c r="D210" s="4"/>
      <c r="E210" s="4"/>
      <c r="F210" s="4"/>
      <c r="G210" s="4"/>
      <c r="H210" s="1"/>
      <c r="I210" s="1"/>
    </row>
    <row r="211" spans="1:9" x14ac:dyDescent="0.45">
      <c r="A211" s="5"/>
      <c r="B211" s="4"/>
      <c r="C211" s="4"/>
      <c r="D211" s="4"/>
      <c r="E211" s="4"/>
      <c r="F211" s="4"/>
      <c r="G211" s="4"/>
      <c r="H211" s="1"/>
      <c r="I211" s="1"/>
    </row>
    <row r="212" spans="1:9" x14ac:dyDescent="0.45">
      <c r="A212" s="5"/>
      <c r="B212" s="4"/>
      <c r="C212" s="4"/>
      <c r="D212" s="4"/>
      <c r="E212" s="4"/>
      <c r="F212" s="4"/>
      <c r="G212" s="4"/>
      <c r="H212" s="1"/>
      <c r="I212" s="1"/>
    </row>
    <row r="213" spans="1:9" x14ac:dyDescent="0.45">
      <c r="A213" s="5"/>
      <c r="B213" s="4"/>
      <c r="C213" s="4"/>
      <c r="D213" s="4"/>
      <c r="E213" s="4"/>
      <c r="F213" s="4"/>
      <c r="G213" s="4"/>
      <c r="H213" s="1"/>
      <c r="I213" s="1"/>
    </row>
    <row r="214" spans="1:9" x14ac:dyDescent="0.45">
      <c r="A214" s="5"/>
      <c r="B214" s="4"/>
      <c r="C214" s="4"/>
      <c r="D214" s="4"/>
      <c r="E214" s="4"/>
      <c r="F214" s="4"/>
      <c r="G214" s="4"/>
      <c r="H214" s="1"/>
      <c r="I214" s="1"/>
    </row>
    <row r="215" spans="1:9" x14ac:dyDescent="0.45">
      <c r="A215" s="5"/>
      <c r="B215" s="4"/>
      <c r="C215" s="4"/>
      <c r="D215" s="4"/>
      <c r="E215" s="4"/>
      <c r="F215" s="4"/>
      <c r="G215" s="4"/>
      <c r="H215" s="1"/>
      <c r="I215" s="1"/>
    </row>
    <row r="216" spans="1:9" x14ac:dyDescent="0.45">
      <c r="A216" s="5"/>
      <c r="B216" s="4"/>
      <c r="C216" s="4"/>
      <c r="D216" s="4"/>
      <c r="E216" s="4"/>
      <c r="F216" s="4"/>
      <c r="G216" s="4"/>
      <c r="H216" s="1"/>
      <c r="I216" s="1"/>
    </row>
    <row r="217" spans="1:9" x14ac:dyDescent="0.45">
      <c r="A217" s="5"/>
      <c r="B217" s="4"/>
      <c r="C217" s="4"/>
      <c r="D217" s="4"/>
      <c r="E217" s="4"/>
      <c r="F217" s="4"/>
      <c r="G217" s="4"/>
      <c r="H217" s="1"/>
      <c r="I217" s="1"/>
    </row>
    <row r="218" spans="1:9" x14ac:dyDescent="0.45">
      <c r="A218" s="5"/>
      <c r="B218" s="4"/>
      <c r="C218" s="4"/>
      <c r="D218" s="4"/>
      <c r="E218" s="4"/>
      <c r="F218" s="4"/>
      <c r="G218" s="4"/>
      <c r="H218" s="1"/>
      <c r="I218" s="1"/>
    </row>
    <row r="219" spans="1:9" x14ac:dyDescent="0.45">
      <c r="A219" s="5"/>
      <c r="B219" s="4"/>
      <c r="C219" s="4"/>
      <c r="D219" s="4"/>
      <c r="E219" s="4"/>
      <c r="F219" s="4"/>
      <c r="G219" s="4"/>
      <c r="H219" s="1"/>
      <c r="I219" s="1"/>
    </row>
    <row r="220" spans="1:9" x14ac:dyDescent="0.45">
      <c r="A220" s="5"/>
      <c r="B220" s="4"/>
      <c r="C220" s="4"/>
      <c r="D220" s="4"/>
      <c r="E220" s="4"/>
      <c r="F220" s="4"/>
      <c r="G220" s="4"/>
      <c r="H220" s="1"/>
      <c r="I220" s="1"/>
    </row>
    <row r="221" spans="1:9" x14ac:dyDescent="0.45">
      <c r="A221" s="5"/>
      <c r="B221" s="4"/>
      <c r="C221" s="4"/>
      <c r="D221" s="4"/>
      <c r="E221" s="4"/>
      <c r="F221" s="4"/>
      <c r="G221" s="4"/>
      <c r="H221" s="1"/>
      <c r="I221" s="1"/>
    </row>
    <row r="222" spans="1:9" x14ac:dyDescent="0.45">
      <c r="A222" s="5"/>
      <c r="B222" s="4"/>
      <c r="C222" s="4"/>
      <c r="D222" s="4"/>
      <c r="E222" s="4"/>
      <c r="F222" s="4"/>
      <c r="G222" s="4"/>
      <c r="H222" s="1"/>
      <c r="I222" s="1"/>
    </row>
    <row r="223" spans="1:9" x14ac:dyDescent="0.45">
      <c r="A223" s="5"/>
      <c r="B223" s="4"/>
      <c r="C223" s="4"/>
      <c r="D223" s="4"/>
      <c r="E223" s="4"/>
      <c r="F223" s="4"/>
      <c r="G223" s="4"/>
      <c r="H223" s="1"/>
      <c r="I223" s="1"/>
    </row>
    <row r="224" spans="1:9" x14ac:dyDescent="0.45">
      <c r="A224" s="5"/>
      <c r="B224" s="4"/>
      <c r="C224" s="4"/>
      <c r="D224" s="4"/>
      <c r="E224" s="4"/>
      <c r="F224" s="4"/>
      <c r="G224" s="4"/>
      <c r="H224" s="1"/>
      <c r="I224" s="1"/>
    </row>
    <row r="225" spans="1:9" x14ac:dyDescent="0.45">
      <c r="A225" s="5"/>
      <c r="B225" s="4"/>
      <c r="C225" s="4"/>
      <c r="D225" s="4"/>
      <c r="E225" s="4"/>
      <c r="F225" s="4"/>
      <c r="G225" s="4"/>
      <c r="H225" s="1"/>
      <c r="I225" s="1"/>
    </row>
    <row r="226" spans="1:9" x14ac:dyDescent="0.45">
      <c r="A226" s="5"/>
      <c r="B226" s="4"/>
      <c r="C226" s="4"/>
      <c r="D226" s="4"/>
      <c r="E226" s="4"/>
      <c r="F226" s="4"/>
      <c r="G226" s="4"/>
      <c r="H226" s="1"/>
      <c r="I226" s="1"/>
    </row>
    <row r="227" spans="1:9" x14ac:dyDescent="0.45">
      <c r="A227" s="5"/>
      <c r="B227" s="4"/>
      <c r="C227" s="4"/>
      <c r="D227" s="4"/>
      <c r="E227" s="4"/>
      <c r="F227" s="4"/>
      <c r="G227" s="4"/>
      <c r="H227" s="1"/>
      <c r="I227" s="1"/>
    </row>
    <row r="228" spans="1:9" x14ac:dyDescent="0.45">
      <c r="A228" s="5"/>
      <c r="B228" s="4"/>
      <c r="C228" s="4"/>
      <c r="D228" s="4"/>
      <c r="E228" s="4"/>
      <c r="F228" s="4"/>
      <c r="G228" s="4"/>
      <c r="H228" s="1"/>
      <c r="I228" s="1"/>
    </row>
    <row r="229" spans="1:9" x14ac:dyDescent="0.45">
      <c r="A229" s="5"/>
      <c r="B229" s="4"/>
      <c r="C229" s="4"/>
      <c r="D229" s="4"/>
      <c r="E229" s="4"/>
      <c r="F229" s="4"/>
      <c r="G229" s="4"/>
      <c r="H229" s="1"/>
      <c r="I229" s="1"/>
    </row>
    <row r="230" spans="1:9" x14ac:dyDescent="0.45">
      <c r="A230" s="5"/>
      <c r="B230" s="4"/>
      <c r="C230" s="4"/>
      <c r="D230" s="4"/>
      <c r="E230" s="4"/>
      <c r="F230" s="4"/>
      <c r="G230" s="4"/>
      <c r="H230" s="1"/>
      <c r="I230" s="1"/>
    </row>
    <row r="231" spans="1:9" x14ac:dyDescent="0.45">
      <c r="A231" s="5"/>
      <c r="B231" s="4"/>
      <c r="C231" s="4"/>
      <c r="D231" s="4"/>
      <c r="E231" s="4"/>
      <c r="F231" s="4"/>
      <c r="G231" s="4"/>
      <c r="H231" s="1"/>
      <c r="I231" s="1"/>
    </row>
    <row r="232" spans="1:9" x14ac:dyDescent="0.45">
      <c r="A232" s="5"/>
      <c r="B232" s="4"/>
      <c r="C232" s="4"/>
      <c r="D232" s="4"/>
      <c r="E232" s="4"/>
      <c r="F232" s="4"/>
      <c r="G232" s="4"/>
      <c r="H232" s="1"/>
      <c r="I232" s="1"/>
    </row>
    <row r="233" spans="1:9" x14ac:dyDescent="0.45">
      <c r="A233" s="5"/>
      <c r="B233" s="4"/>
      <c r="C233" s="4"/>
      <c r="D233" s="4"/>
      <c r="E233" s="4"/>
      <c r="F233" s="4"/>
      <c r="G233" s="4"/>
      <c r="H233" s="1"/>
      <c r="I233" s="1"/>
    </row>
    <row r="234" spans="1:9" x14ac:dyDescent="0.45">
      <c r="A234" s="5"/>
      <c r="B234" s="4"/>
      <c r="C234" s="4"/>
      <c r="D234" s="4"/>
      <c r="E234" s="4"/>
      <c r="F234" s="4"/>
      <c r="G234" s="4"/>
      <c r="H234" s="1"/>
      <c r="I234" s="1"/>
    </row>
    <row r="235" spans="1:9" x14ac:dyDescent="0.45">
      <c r="A235" s="5"/>
      <c r="B235" s="4"/>
      <c r="C235" s="4"/>
      <c r="D235" s="4"/>
      <c r="E235" s="4"/>
      <c r="F235" s="4"/>
      <c r="G235" s="4"/>
      <c r="H235" s="1"/>
      <c r="I235" s="1"/>
    </row>
    <row r="236" spans="1:9" x14ac:dyDescent="0.45">
      <c r="A236" s="5"/>
      <c r="B236" s="4"/>
      <c r="C236" s="4"/>
      <c r="D236" s="4"/>
      <c r="E236" s="4"/>
      <c r="F236" s="4"/>
      <c r="G236" s="4"/>
      <c r="H236" s="1"/>
      <c r="I236" s="1"/>
    </row>
    <row r="237" spans="1:9" x14ac:dyDescent="0.45">
      <c r="A237" s="5"/>
      <c r="B237" s="4"/>
      <c r="C237" s="4"/>
      <c r="D237" s="4"/>
      <c r="E237" s="4"/>
      <c r="F237" s="4"/>
      <c r="G237" s="4"/>
      <c r="H237" s="1"/>
      <c r="I237" s="1"/>
    </row>
    <row r="238" spans="1:9" x14ac:dyDescent="0.45">
      <c r="A238" s="5"/>
      <c r="B238" s="4"/>
      <c r="C238" s="4"/>
      <c r="D238" s="4"/>
      <c r="E238" s="4"/>
      <c r="F238" s="4"/>
      <c r="G238" s="4"/>
      <c r="H238" s="1"/>
      <c r="I238" s="1"/>
    </row>
    <row r="239" spans="1:9" x14ac:dyDescent="0.45">
      <c r="A239" s="5"/>
      <c r="B239" s="4"/>
      <c r="C239" s="4"/>
      <c r="D239" s="4"/>
      <c r="E239" s="4"/>
      <c r="F239" s="4"/>
      <c r="G239" s="4"/>
      <c r="H239" s="1"/>
      <c r="I239" s="1"/>
    </row>
    <row r="240" spans="1:9" x14ac:dyDescent="0.45">
      <c r="A240" s="5"/>
      <c r="B240" s="4"/>
      <c r="C240" s="4"/>
      <c r="D240" s="4"/>
      <c r="E240" s="4"/>
      <c r="F240" s="4"/>
      <c r="G240" s="4"/>
      <c r="H240" s="1"/>
      <c r="I240" s="1"/>
    </row>
    <row r="241" spans="1:9" x14ac:dyDescent="0.45">
      <c r="A241" s="5"/>
      <c r="B241" s="4"/>
      <c r="C241" s="4"/>
      <c r="D241" s="4"/>
      <c r="E241" s="4"/>
      <c r="F241" s="4"/>
      <c r="G241" s="4"/>
      <c r="H241" s="1"/>
      <c r="I241" s="1"/>
    </row>
    <row r="242" spans="1:9" x14ac:dyDescent="0.45">
      <c r="A242" s="5"/>
      <c r="B242" s="4"/>
      <c r="C242" s="4"/>
      <c r="D242" s="4"/>
      <c r="E242" s="4"/>
      <c r="F242" s="4"/>
      <c r="G242" s="4"/>
      <c r="H242" s="1"/>
      <c r="I242" s="1"/>
    </row>
    <row r="243" spans="1:9" x14ac:dyDescent="0.45">
      <c r="A243" s="5"/>
      <c r="B243" s="4"/>
      <c r="C243" s="4"/>
      <c r="D243" s="4"/>
      <c r="E243" s="4"/>
      <c r="F243" s="4"/>
      <c r="G243" s="4"/>
      <c r="H243" s="1"/>
      <c r="I243" s="1"/>
    </row>
    <row r="244" spans="1:9" x14ac:dyDescent="0.45">
      <c r="A244" s="5"/>
      <c r="B244" s="4"/>
      <c r="C244" s="4"/>
      <c r="D244" s="4"/>
      <c r="E244" s="4"/>
      <c r="F244" s="4"/>
      <c r="G244" s="4"/>
      <c r="H244" s="1"/>
      <c r="I244" s="1"/>
    </row>
    <row r="245" spans="1:9" x14ac:dyDescent="0.45">
      <c r="A245" s="5"/>
    </row>
    <row r="246" spans="1:9" x14ac:dyDescent="0.45">
      <c r="A246" s="5"/>
    </row>
    <row r="247" spans="1:9" x14ac:dyDescent="0.45">
      <c r="A247" s="5"/>
    </row>
    <row r="248" spans="1:9" x14ac:dyDescent="0.45">
      <c r="A248" s="5"/>
    </row>
    <row r="249" spans="1:9" x14ac:dyDescent="0.45">
      <c r="A249" s="5"/>
    </row>
    <row r="250" spans="1:9" x14ac:dyDescent="0.45">
      <c r="A25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85016-ED90-4413-9A3E-78831596DD24}">
  <dimension ref="A1:I4"/>
  <sheetViews>
    <sheetView tabSelected="1" workbookViewId="0">
      <selection activeCell="J9" sqref="J9"/>
    </sheetView>
  </sheetViews>
  <sheetFormatPr defaultRowHeight="14.25" x14ac:dyDescent="0.45"/>
  <cols>
    <col min="1" max="1" width="3.86328125" bestFit="1" customWidth="1"/>
    <col min="2" max="2" width="9.19921875" bestFit="1" customWidth="1"/>
    <col min="3" max="3" width="10" bestFit="1" customWidth="1"/>
    <col min="4" max="4" width="18.1328125" bestFit="1" customWidth="1"/>
    <col min="5" max="5" width="6.33203125" bestFit="1" customWidth="1"/>
    <col min="6" max="6" width="8.6640625" bestFit="1" customWidth="1"/>
    <col min="7" max="7" width="8.796875" bestFit="1" customWidth="1"/>
  </cols>
  <sheetData>
    <row r="1" spans="1:9" x14ac:dyDescent="0.45">
      <c r="A1" s="5" t="s">
        <v>38</v>
      </c>
      <c r="B1" s="5" t="s">
        <v>39</v>
      </c>
      <c r="C1" s="5" t="s">
        <v>40</v>
      </c>
      <c r="D1" s="5" t="s">
        <v>75</v>
      </c>
      <c r="E1" s="5" t="s">
        <v>35</v>
      </c>
      <c r="F1" s="5" t="s">
        <v>21</v>
      </c>
      <c r="G1" s="5" t="s">
        <v>36</v>
      </c>
      <c r="H1" s="5" t="s">
        <v>79</v>
      </c>
      <c r="I1" s="5" t="s">
        <v>81</v>
      </c>
    </row>
    <row r="2" spans="1:9" x14ac:dyDescent="0.45">
      <c r="A2" s="5" t="str" cm="1">
        <f t="array" ref="A2">IFERROR(TRANSPOSE(_xlfn._xlws.FILTER(MONTHLY_RETURNS!B64:AI64, MONTHLY_RETURNS!$B$74:$AI$74=1)),"")</f>
        <v/>
      </c>
      <c r="B2" s="4" t="str" cm="1">
        <f t="array" ref="B2">IFERROR(TRANSPOSE(_xlfn._xlws.FILTER(MONTHLY_RETURNS!B65:AI65, MONTHLY_RETURNS!$B$74:$AI$74=1)),"")</f>
        <v/>
      </c>
      <c r="C2" s="4" t="str" cm="1">
        <f t="array" ref="C2">IFERROR(TRANSPOSE(_xlfn._xlws.FILTER(MONTHLY_RETURNS!B66:AI66, MONTHLY_RETURNS!$B$74:$AI$74=1)),"")</f>
        <v/>
      </c>
      <c r="D2" s="4" t="str" cm="1">
        <f t="array" ref="D2">IFERROR(TRANSPOSE(_xlfn._xlws.FILTER(MONTHLY_RETURNS!B67:AI67, MONTHLY_RETURNS!$B$74:$AI$74=1)),"")</f>
        <v/>
      </c>
      <c r="E2" s="4" t="str" cm="1">
        <f t="array" ref="E2">IFERROR(TRANSPOSE(_xlfn._xlws.FILTER(MONTHLY_RETURNS!B68:AI68, MONTHLY_RETURNS!$B$74:$AI$74=1)),"")</f>
        <v/>
      </c>
      <c r="F2" s="4" t="str" cm="1">
        <f t="array" ref="F2">IFERROR(TRANSPOSE(_xlfn._xlws.FILTER(MONTHLY_RETURNS!B69:AI69, MONTHLY_RETURNS!$B$74:$AI$74=1)),"")</f>
        <v/>
      </c>
      <c r="G2" s="4" t="str" cm="1">
        <f t="array" ref="G2">IFERROR(TRANSPOSE(_xlfn._xlws.FILTER(MONTHLY_RETURNS!B70:AI70, MONTHLY_RETURNS!$B$74:$AI$74=1)),"")</f>
        <v/>
      </c>
      <c r="H2" t="str" cm="1">
        <f t="array" ref="H2">IFERROR(TRANSPOSE(_xlfn._xlws.FILTER(MONTHLY_RETURNS!B71:AI71, MONTHLY_RETURNS!$B$74:$AI$74=1)),"")</f>
        <v/>
      </c>
      <c r="I2" t="str" cm="1">
        <f t="array" ref="I2">IFERROR(TRANSPOSE(_xlfn._xlws.FILTER(MONTHLY_RETURNS!B72:AI72, MONTHLY_RETURNS!$B$74:$AI$74=1)),"")</f>
        <v/>
      </c>
    </row>
    <row r="3" spans="1:9" x14ac:dyDescent="0.45">
      <c r="A3" s="5"/>
      <c r="B3" s="4"/>
      <c r="C3" s="4"/>
      <c r="D3" s="6"/>
      <c r="E3" s="6"/>
      <c r="F3" s="6"/>
      <c r="G3" s="6"/>
    </row>
    <row r="4" spans="1:9" x14ac:dyDescent="0.45">
      <c r="A4" s="5"/>
      <c r="B4" s="4"/>
      <c r="C4" s="4"/>
      <c r="D4" s="6"/>
      <c r="E4" s="6"/>
      <c r="F4" s="6"/>
      <c r="G4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B2E5D-DD1A-4DB4-910C-E3126579841C}">
  <dimension ref="A1:AL74"/>
  <sheetViews>
    <sheetView topLeftCell="A62" workbookViewId="0">
      <selection activeCell="K73" sqref="K73"/>
    </sheetView>
  </sheetViews>
  <sheetFormatPr defaultRowHeight="14.25" x14ac:dyDescent="0.45"/>
  <cols>
    <col min="1" max="1" width="24.53125" bestFit="1" customWidth="1"/>
    <col min="2" max="2" width="10.1328125" bestFit="1" customWidth="1"/>
  </cols>
  <sheetData>
    <row r="1" spans="1:38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8" x14ac:dyDescent="0.45">
      <c r="A2" s="2" cm="1">
        <f t="array" ref="A2:A62">_xll.FDS(C1,"JULIAN(FG_TOTAL_RETURNC(-5AY,0,AM).dates)")</f>
        <v>44211</v>
      </c>
      <c r="B2" s="3" cm="1">
        <f t="array" ref="B2:B62">_xll.FDS(B1,"FG_TOTAL_RETURNC(-5AY,0,AM)")/100</f>
        <v>9.3228699999999998E-2</v>
      </c>
      <c r="C2" s="3" cm="1">
        <f t="array" ref="C2:C62">_xll.FDS(C1,"FG_TOTAL_RETURNC(-5AY,0,AM)")/100</f>
        <v>0.11665499</v>
      </c>
      <c r="D2" s="3" cm="1">
        <f t="array" ref="D2:D62">_xll.FDS(D1,"FG_TOTAL_RETURNC(-5AY,0,AM)")/100</f>
        <v>3.8591979999999998E-2</v>
      </c>
      <c r="E2" s="3" cm="1">
        <f t="array" ref="E2:E62">_xll.FDS(E1,"FG_TOTAL_RETURNC(-5AY,0,AM)")/100</f>
        <v>0</v>
      </c>
      <c r="F2" s="3" cm="1">
        <f t="array" ref="F2:F62">_xll.FDS(F1,"FG_TOTAL_RETURNC(-5AY,0,AM)")/100</f>
        <v>4.1841270000000002E-3</v>
      </c>
      <c r="G2" s="3" cm="1">
        <f t="array" ref="G2:G62">_xll.FDS(G1,"FG_TOTAL_RETURNC(-5AY,0,AM)")/100</f>
        <v>2.7066707999999998E-2</v>
      </c>
      <c r="H2" s="3" cm="1">
        <f t="array" ref="H2:H62">_xll.FDS(H1,"FG_TOTAL_RETURNC(-5AY,0,AM)")/100</f>
        <v>-3.1740546000000001E-2</v>
      </c>
      <c r="I2" s="3" cm="1">
        <f t="array" ref="I2:I62">_xll.FDS(I1,"FG_TOTAL_RETURNC(-5AY,0,AM)")/100</f>
        <v>0.11072266000000001</v>
      </c>
      <c r="J2" s="3" cm="1">
        <f t="array" ref="J2:J62">_xll.FDS(J1,"FG_TOTAL_RETURNC(-5AY,0,AM)")/100</f>
        <v>5.2026032999999999E-2</v>
      </c>
      <c r="K2" s="3" cm="1">
        <f t="array" ref="K2:K62">_xll.FDS(K1,"FG_TOTAL_RETURNC(-5AY,0,AM)")/100</f>
        <v>0.11753308999999999</v>
      </c>
      <c r="L2" s="3" cm="1">
        <f t="array" ref="L2:L62">_xll.FDS(L1,"FG_TOTAL_RETURNC(-5AY,0,AM)")/100</f>
        <v>-3.5116672999999997E-3</v>
      </c>
      <c r="M2" s="3" cm="1">
        <f t="array" ref="M2:M62">_xll.FDS(M1,"FG_TOTAL_RETURNC(-5AY,0,AM)")/100</f>
        <v>4.1142701999999998E-3</v>
      </c>
      <c r="N2" s="3" cm="1">
        <f t="array" ref="N2:N62">_xll.FDS(N1,"FG_TOTAL_RETURNC(-5AY,0,AM)")/100</f>
        <v>-1.346612E-2</v>
      </c>
      <c r="O2" s="3" cm="1">
        <f t="array" ref="O2:O62">_xll.FDS(O1,"FG_TOTAL_RETURNC(-5AY,0,AM)")/100</f>
        <v>4.9679995000000005E-2</v>
      </c>
      <c r="P2" s="3" cm="1">
        <f t="array" ref="P2:P62">_xll.FDS(P1,"FG_TOTAL_RETURNC(-5AY,0,AM)")/100</f>
        <v>8.5964200000000004E-2</v>
      </c>
      <c r="Q2" s="3" cm="1">
        <f t="array" ref="Q2:Q62">_xll.FDS(Q1,"FG_TOTAL_RETURNC(-5AY,0,AM)")/100</f>
        <v>3.5755515000000002E-2</v>
      </c>
      <c r="R2" s="3" cm="1">
        <f t="array" ref="R2:R62">_xll.FDS(R1,"FG_TOTAL_RETURNC(-5AY,0,AM)")/100</f>
        <v>2.8377889999999999E-2</v>
      </c>
      <c r="S2" s="3" cm="1">
        <f t="array" ref="S2:S62">_xll.FDS(S1,"FG_TOTAL_RETURNC(-5AY,0,AM)")/100</f>
        <v>0.13474297999999998</v>
      </c>
      <c r="T2" s="3" cm="1">
        <f t="array" ref="T2:T62">_xll.FDS(T1,"FG_TOTAL_RETURNC(-5AY,0,AM)")/100</f>
        <v>3.8130403E-2</v>
      </c>
      <c r="U2" s="3" cm="1">
        <f t="array" ref="U2:U62">_xll.FDS(U1,"FG_TOTAL_RETURNC(-5AY,0,AM)")/100</f>
        <v>8.9858649999999998E-2</v>
      </c>
      <c r="V2" s="3" cm="1">
        <f t="array" ref="V2:V62">_xll.FDS(V1,"FG_TOTAL_RETURNC(-5AY,0,AM)")/100</f>
        <v>2.6653766999999998E-2</v>
      </c>
      <c r="W2" s="3" cm="1">
        <f t="array" ref="W2:W62">_xll.FDS(W1,"FG_TOTAL_RETURNC(-5AY,0,AM)")/100</f>
        <v>2.1113156999999997E-3</v>
      </c>
      <c r="X2" s="3" cm="1">
        <f t="array" ref="X2:X62">_xll.FDS(X1,"FG_TOTAL_RETURNC(-5AY,0,AM)")/100</f>
        <v>2.3012638000000002E-2</v>
      </c>
      <c r="Y2" s="3" cm="1">
        <f t="array" ref="Y2:Y62">_xll.FDS(Y1,"FG_TOTAL_RETURNC(-5AY,0,AM)")/100</f>
        <v>2.2158026999999997E-2</v>
      </c>
      <c r="Z2" s="3" cm="1">
        <f t="array" ref="Z2:Z62">_xll.FDS(Z1,"FG_TOTAL_RETURNC(-5AY,0,AM)")/100</f>
        <v>1.9206166E-2</v>
      </c>
      <c r="AA2" s="3" cm="1">
        <f t="array" ref="AA2:AA62">_xll.FDS(AA1,"FG_TOTAL_RETURNC(-5AY,0,AM)")/100</f>
        <v>3.5251616999999999E-2</v>
      </c>
      <c r="AB2" s="3" cm="1">
        <f t="array" ref="AB2:AB62">_xll.FDS(AB1,"FG_TOTAL_RETURNC(-5AY,0,AM)")/100</f>
        <v>3.3676863000000001E-2</v>
      </c>
      <c r="AC2" s="3" cm="1">
        <f t="array" ref="AC2:AC62">_xll.FDS(AC1,"FG_TOTAL_RETURNC(-5AY,0,AM)")/100</f>
        <v>3.9469242000000002E-2</v>
      </c>
      <c r="AD2" s="3" cm="1">
        <f t="array" ref="AD2:AD62">_xll.FDS(AD1,"FG_TOTAL_RETURNC(-5AY,0,AM)")/100</f>
        <v>1.6716003E-2</v>
      </c>
      <c r="AE2" s="3" cm="1">
        <f t="array" ref="AE2:AE62">_xll.FDS(AE1,"FG_TOTAL_RETURNC(-5AY,0,AM)")/100</f>
        <v>2.0882367999999998E-2</v>
      </c>
      <c r="AF2" s="3" cm="1">
        <f t="array" ref="AF2:AF62">_xll.FDS(AF1,"FG_TOTAL_RETURNC(-5AY,0,AM)")/100</f>
        <v>3.2973289999999999E-3</v>
      </c>
      <c r="AG2" s="3" cm="1">
        <f t="array" ref="AG2:AG62">_xll.FDS(AG1,"FG_TOTAL_RETURNC(-5AY,0,AM)")/100</f>
        <v>5.4213760000000007E-2</v>
      </c>
      <c r="AH2" s="3" cm="1">
        <f t="array" ref="AH2:AH62">_xll.FDS(AH1,"FG_TOTAL_RETURNC(-5AY,0,AM)")/100</f>
        <v>2.8916240000000003E-2</v>
      </c>
      <c r="AI2" s="3" cm="1">
        <f t="array" ref="AI2:AI62">_xll.FDS(AI1,"FG_TOTAL_RETURNC(-5AY,0,AM)")/100</f>
        <v>5.140543E-3</v>
      </c>
      <c r="AJ2" s="3"/>
      <c r="AK2" s="3"/>
      <c r="AL2" s="3"/>
    </row>
    <row r="3" spans="1:38" x14ac:dyDescent="0.45">
      <c r="A3" s="2">
        <v>44239</v>
      </c>
      <c r="B3" s="3">
        <v>9.2908380000000013E-2</v>
      </c>
      <c r="C3" s="3">
        <v>2.0138383000000003E-2</v>
      </c>
      <c r="D3" s="3">
        <v>-2.368313E-2</v>
      </c>
      <c r="E3" s="3">
        <v>-4.1843534000000002E-2</v>
      </c>
      <c r="F3" s="3">
        <v>-2.6042460000000002E-3</v>
      </c>
      <c r="G3" s="3">
        <v>7.8773974999999996E-2</v>
      </c>
      <c r="H3" s="3">
        <v>-1.3394474999999999E-2</v>
      </c>
      <c r="I3" s="3">
        <v>3.8125276999999999E-2</v>
      </c>
      <c r="J3" s="3">
        <v>-4.4289589999999997E-2</v>
      </c>
      <c r="K3" s="3">
        <v>2.0275354000000002E-2</v>
      </c>
      <c r="L3" s="3">
        <v>-2.3312569000000002E-2</v>
      </c>
      <c r="M3" s="3">
        <v>0.12428867</v>
      </c>
      <c r="N3" s="3">
        <v>-2.298385E-2</v>
      </c>
      <c r="O3" s="3">
        <v>4.9280286E-2</v>
      </c>
      <c r="P3" s="3">
        <v>0.12527727999999999</v>
      </c>
      <c r="Q3" s="3">
        <v>-1.8838345999999999E-2</v>
      </c>
      <c r="R3" s="3">
        <v>2.3632049999999997E-3</v>
      </c>
      <c r="S3" s="3">
        <v>6.7592144000000007E-2</v>
      </c>
      <c r="T3" s="3">
        <v>3.5939932000000001E-2</v>
      </c>
      <c r="U3" s="3">
        <v>-2.3318887E-2</v>
      </c>
      <c r="V3" s="3">
        <v>1.5640259E-3</v>
      </c>
      <c r="W3" s="3">
        <v>-1.2490510999999999E-2</v>
      </c>
      <c r="X3" s="3">
        <v>2.7811766000000002E-2</v>
      </c>
      <c r="Y3" s="3">
        <v>3.2987833000000001E-2</v>
      </c>
      <c r="Z3" s="3">
        <v>3.4861802999999997E-2</v>
      </c>
      <c r="AA3" s="3">
        <v>4.1181684000000003E-2</v>
      </c>
      <c r="AB3" s="3">
        <v>5.3192379999999996E-3</v>
      </c>
      <c r="AC3" s="3">
        <v>-3.2728910000000001E-4</v>
      </c>
      <c r="AD3" s="3">
        <v>7.8849554000000002E-2</v>
      </c>
      <c r="AE3" s="3">
        <v>4.5089126000000007E-2</v>
      </c>
      <c r="AF3" s="3">
        <v>2.1213055000000001E-2</v>
      </c>
      <c r="AG3" s="3">
        <v>7.4567556000000007E-2</v>
      </c>
      <c r="AH3" s="3">
        <v>4.7165155E-2</v>
      </c>
      <c r="AI3" s="3">
        <v>5.4551719999999998E-2</v>
      </c>
      <c r="AJ3" s="3"/>
      <c r="AK3" s="3"/>
      <c r="AL3" s="3"/>
    </row>
    <row r="4" spans="1:38" x14ac:dyDescent="0.45">
      <c r="A4" s="2">
        <v>44270</v>
      </c>
      <c r="B4" s="3">
        <v>-0.15811090999999999</v>
      </c>
      <c r="C4" s="3">
        <v>5.7371974000000006E-2</v>
      </c>
      <c r="D4" s="3">
        <v>-3.8895844999999998E-2</v>
      </c>
      <c r="E4" s="3">
        <v>-6.7405105000000007E-2</v>
      </c>
      <c r="F4" s="3">
        <v>1.5666484999999999E-3</v>
      </c>
      <c r="G4" s="3">
        <v>-2.6255964999999999E-2</v>
      </c>
      <c r="H4" s="3">
        <v>-2.1436214000000002E-3</v>
      </c>
      <c r="I4" s="3">
        <v>-1.0107874999999999E-2</v>
      </c>
      <c r="J4" s="3">
        <v>4.257822E-2</v>
      </c>
      <c r="K4" s="3">
        <v>-5.1222086000000007E-2</v>
      </c>
      <c r="L4" s="3">
        <v>-8.2986354999999998E-2</v>
      </c>
      <c r="M4" s="3">
        <v>-1.21474266E-3</v>
      </c>
      <c r="N4" s="3">
        <v>9.7812650000000001E-2</v>
      </c>
      <c r="O4" s="3">
        <v>-6.5100789999999993E-3</v>
      </c>
      <c r="P4" s="3">
        <v>-0.12471461</v>
      </c>
      <c r="Q4" s="3">
        <v>-3.7333369999999998E-3</v>
      </c>
      <c r="R4" s="3">
        <v>2.8245567999999999E-2</v>
      </c>
      <c r="S4" s="3">
        <v>-5.0307989999999997E-2</v>
      </c>
      <c r="T4" s="3">
        <v>2.9355763999999999E-2</v>
      </c>
      <c r="U4" s="3">
        <v>-8.3286760000000001E-3</v>
      </c>
      <c r="V4" s="3">
        <v>8.6508389999999991E-2</v>
      </c>
      <c r="W4" s="3">
        <v>-7.7720283999999995E-3</v>
      </c>
      <c r="X4" s="3">
        <v>3.5814047000000001E-3</v>
      </c>
      <c r="Y4" s="3">
        <v>5.5352807000000004E-2</v>
      </c>
      <c r="Z4" s="3">
        <v>2.7314424999999999E-3</v>
      </c>
      <c r="AA4" s="3">
        <v>-3.1306862999999997E-2</v>
      </c>
      <c r="AB4" s="3">
        <v>-2.5793672E-2</v>
      </c>
      <c r="AC4" s="3">
        <v>3.8310409000000004E-2</v>
      </c>
      <c r="AD4" s="3">
        <v>-5.2370429999999996E-2</v>
      </c>
      <c r="AE4" s="3">
        <v>9.6015930000000003E-3</v>
      </c>
      <c r="AF4" s="3">
        <v>3.4230469999999999E-2</v>
      </c>
      <c r="AG4" s="3">
        <v>-2.1318256999999997E-2</v>
      </c>
      <c r="AH4" s="3">
        <v>4.8541426999999998E-2</v>
      </c>
      <c r="AI4" s="3">
        <v>1.5842198999999998E-2</v>
      </c>
      <c r="AJ4" s="3"/>
      <c r="AK4" s="3"/>
      <c r="AL4" s="3"/>
    </row>
    <row r="5" spans="1:38" x14ac:dyDescent="0.45">
      <c r="A5" s="2">
        <v>44301</v>
      </c>
      <c r="B5" s="3">
        <v>-6.5853596E-3</v>
      </c>
      <c r="C5" s="3">
        <v>3.0921816999999997E-2</v>
      </c>
      <c r="D5" s="3">
        <v>-4.9173174E-2</v>
      </c>
      <c r="E5" s="3">
        <v>8.8225602999999989E-3</v>
      </c>
      <c r="F5" s="3">
        <v>2.6590227999999997E-2</v>
      </c>
      <c r="G5" s="3">
        <v>-2.784741E-2</v>
      </c>
      <c r="H5" s="3">
        <v>-3.5803913999999997E-3</v>
      </c>
      <c r="I5" s="3">
        <v>5.4458856999999999E-2</v>
      </c>
      <c r="J5" s="3">
        <v>4.7157049999999999E-2</v>
      </c>
      <c r="K5" s="3">
        <v>5.2643420000000003E-2</v>
      </c>
      <c r="L5" s="3">
        <v>5.1150083999999998E-2</v>
      </c>
      <c r="M5" s="3">
        <v>5.7774185999999998E-2</v>
      </c>
      <c r="N5" s="3">
        <v>6.3533900000000004E-2</v>
      </c>
      <c r="O5" s="3">
        <v>-3.8146554999999999E-2</v>
      </c>
      <c r="P5" s="3">
        <v>-3.0346095999999999E-2</v>
      </c>
      <c r="Q5" s="3">
        <v>4.5235514999999997E-2</v>
      </c>
      <c r="R5" s="3">
        <v>-1.5717924000000001E-2</v>
      </c>
      <c r="S5" s="3">
        <v>-0.13873874999999999</v>
      </c>
      <c r="T5" s="3">
        <v>-7.4076649999999997E-4</v>
      </c>
      <c r="U5" s="3">
        <v>7.3908210000000002E-2</v>
      </c>
      <c r="V5" s="3">
        <v>5.2888749999999998E-2</v>
      </c>
      <c r="W5" s="3">
        <v>-1.5650391999999999E-2</v>
      </c>
      <c r="X5" s="3">
        <v>4.0047645999999999E-2</v>
      </c>
      <c r="Y5" s="3">
        <v>1.7291068999999999E-2</v>
      </c>
      <c r="Z5" s="3">
        <v>5.5084704999999998E-2</v>
      </c>
      <c r="AA5" s="3">
        <v>8.2238910000000005E-3</v>
      </c>
      <c r="AB5" s="3">
        <v>4.7748327E-2</v>
      </c>
      <c r="AC5" s="3">
        <v>2.8066873999999999E-2</v>
      </c>
      <c r="AD5" s="3">
        <v>7.2776079999999993E-2</v>
      </c>
      <c r="AE5" s="3">
        <v>5.2532433999999996E-2</v>
      </c>
      <c r="AF5" s="3">
        <v>3.6492229000000001E-2</v>
      </c>
      <c r="AG5" s="3">
        <v>7.0460079999999994E-2</v>
      </c>
      <c r="AH5" s="3">
        <v>5.4751873E-2</v>
      </c>
      <c r="AI5" s="3">
        <v>1.9414305999999999E-2</v>
      </c>
      <c r="AJ5" s="3"/>
      <c r="AK5" s="3"/>
      <c r="AL5" s="3"/>
    </row>
    <row r="6" spans="1:38" x14ac:dyDescent="0.45">
      <c r="A6" s="2">
        <v>44330</v>
      </c>
      <c r="B6" s="3">
        <v>4.8612833000000001E-2</v>
      </c>
      <c r="C6" s="3">
        <v>-7.8947362999999993E-2</v>
      </c>
      <c r="D6" s="3">
        <v>-3.2036304E-3</v>
      </c>
      <c r="E6" s="3">
        <v>-3.6663293999999999E-2</v>
      </c>
      <c r="F6" s="3">
        <v>6.0944557000000003E-2</v>
      </c>
      <c r="G6" s="3">
        <v>-7.5736639999999999E-3</v>
      </c>
      <c r="H6" s="3">
        <v>-1.6528904000000001E-2</v>
      </c>
      <c r="I6" s="3">
        <v>-5.0032259999999995E-2</v>
      </c>
      <c r="J6" s="3">
        <v>1.5082955E-2</v>
      </c>
      <c r="K6" s="3">
        <v>-3.6709963999999998E-2</v>
      </c>
      <c r="L6" s="3">
        <v>7.9470276999999992E-2</v>
      </c>
      <c r="M6" s="3">
        <v>-2.5871933E-2</v>
      </c>
      <c r="N6" s="3">
        <v>3.2166839000000003E-2</v>
      </c>
      <c r="O6" s="3">
        <v>3.2603383E-2</v>
      </c>
      <c r="P6" s="3">
        <v>-4.3520870000000003E-2</v>
      </c>
      <c r="Q6" s="3">
        <v>5.3776500000000003E-3</v>
      </c>
      <c r="R6" s="3">
        <v>5.4246190000000003E-3</v>
      </c>
      <c r="S6" s="3">
        <v>-2.3012519999999998E-2</v>
      </c>
      <c r="T6" s="3">
        <v>2.4462579999999998E-2</v>
      </c>
      <c r="U6" s="3">
        <v>-1.1991620000000001E-2</v>
      </c>
      <c r="V6" s="3">
        <v>2.1293997999999998E-2</v>
      </c>
      <c r="W6" s="3">
        <v>-1.8114923999999998E-2</v>
      </c>
      <c r="X6" s="3">
        <v>1.0293603E-2</v>
      </c>
      <c r="Y6" s="3">
        <v>4.3626069999999996E-2</v>
      </c>
      <c r="Z6" s="3">
        <v>1.6064167000000001E-2</v>
      </c>
      <c r="AA6" s="3">
        <v>-4.1070339999999997E-2</v>
      </c>
      <c r="AB6" s="3">
        <v>1.9222497999999998E-2</v>
      </c>
      <c r="AC6" s="3">
        <v>3.8036823000000004E-2</v>
      </c>
      <c r="AD6" s="3">
        <v>-4.4553638E-2</v>
      </c>
      <c r="AE6" s="3">
        <v>1.7071961999999999E-3</v>
      </c>
      <c r="AF6" s="3">
        <v>4.6943307000000004E-2</v>
      </c>
      <c r="AG6" s="3">
        <v>1.4535189000000001E-3</v>
      </c>
      <c r="AH6" s="3">
        <v>2.0468473000000001E-2</v>
      </c>
      <c r="AI6" s="3">
        <v>2.7162074999999997E-2</v>
      </c>
      <c r="AJ6" s="3"/>
      <c r="AK6" s="3"/>
      <c r="AL6" s="3"/>
    </row>
    <row r="7" spans="1:38" x14ac:dyDescent="0.45">
      <c r="A7" s="2">
        <v>44362</v>
      </c>
      <c r="B7" s="3">
        <v>2.4384856E-2</v>
      </c>
      <c r="C7" s="3">
        <v>-7.7363014000000008E-2</v>
      </c>
      <c r="D7" s="3">
        <v>6.3482519999999995E-3</v>
      </c>
      <c r="E7" s="3">
        <v>0.11683083</v>
      </c>
      <c r="F7" s="3">
        <v>5.9822917000000003E-2</v>
      </c>
      <c r="G7" s="3">
        <v>-0.14804191</v>
      </c>
      <c r="H7" s="3">
        <v>-1.5956162999999999E-4</v>
      </c>
      <c r="I7" s="3">
        <v>8.1549410000000003E-2</v>
      </c>
      <c r="J7" s="3">
        <v>4.1422963E-2</v>
      </c>
      <c r="K7" s="3">
        <v>2.5847793000000001E-2</v>
      </c>
      <c r="L7" s="3">
        <v>0.11009859999999999</v>
      </c>
      <c r="M7" s="3">
        <v>2.6083588999999997E-2</v>
      </c>
      <c r="N7" s="3">
        <v>1.1986255999999999E-2</v>
      </c>
      <c r="O7" s="3">
        <v>6.1534999999999999E-2</v>
      </c>
      <c r="P7" s="3">
        <v>3.0221342999999998E-2</v>
      </c>
      <c r="Q7" s="3">
        <v>-9.2256665000000002E-3</v>
      </c>
      <c r="R7" s="3">
        <v>4.7002910000000002E-2</v>
      </c>
      <c r="S7" s="3">
        <v>-5.9802529999999996E-3</v>
      </c>
      <c r="T7" s="3">
        <v>8.6035970000000003E-2</v>
      </c>
      <c r="U7" s="3">
        <v>6.3852190000000003E-2</v>
      </c>
      <c r="V7" s="3">
        <v>4.5316219999999997E-2</v>
      </c>
      <c r="W7" s="3">
        <v>-7.6258179999999995E-3</v>
      </c>
      <c r="X7" s="3">
        <v>3.3451438E-2</v>
      </c>
      <c r="Y7" s="3">
        <v>3.8382887999999997E-2</v>
      </c>
      <c r="Z7" s="3">
        <v>2.6179193999999999E-2</v>
      </c>
      <c r="AA7" s="3">
        <v>4.0111423000000007E-2</v>
      </c>
      <c r="AB7" s="3">
        <v>7.8442215999999995E-2</v>
      </c>
      <c r="AC7" s="3">
        <v>1.6596316999999999E-2</v>
      </c>
      <c r="AD7" s="3">
        <v>4.8622846999999997E-2</v>
      </c>
      <c r="AE7" s="3">
        <v>1.8964051999999999E-2</v>
      </c>
      <c r="AF7" s="3">
        <v>3.6476016E-2</v>
      </c>
      <c r="AG7" s="3">
        <v>3.5216211999999997E-2</v>
      </c>
      <c r="AH7" s="3">
        <v>1.6304255E-2</v>
      </c>
      <c r="AI7" s="3">
        <v>4.0189505E-2</v>
      </c>
      <c r="AJ7" s="3"/>
      <c r="AK7" s="3"/>
      <c r="AL7" s="3"/>
    </row>
    <row r="8" spans="1:38" x14ac:dyDescent="0.45">
      <c r="A8" s="2">
        <v>44392</v>
      </c>
      <c r="B8" s="3">
        <v>1.0531067999999999E-2</v>
      </c>
      <c r="C8" s="3">
        <v>-9.2109739999999996E-2</v>
      </c>
      <c r="D8" s="3">
        <v>-7.6216699999999998E-2</v>
      </c>
      <c r="E8" s="3">
        <v>-7.1451070000000005E-2</v>
      </c>
      <c r="F8" s="3">
        <v>-2.2644937E-2</v>
      </c>
      <c r="G8" s="3">
        <v>-4.4161916000000002E-2</v>
      </c>
      <c r="H8" s="3">
        <v>-5.3524313000000004E-2</v>
      </c>
      <c r="I8" s="3">
        <v>1.5708566E-2</v>
      </c>
      <c r="J8" s="3">
        <v>-5.7518480000000004E-3</v>
      </c>
      <c r="K8" s="3">
        <v>-1.3028979000000001E-2</v>
      </c>
      <c r="L8" s="3">
        <v>-2.8543591E-2</v>
      </c>
      <c r="M8" s="3">
        <v>-6.5595983999999996E-2</v>
      </c>
      <c r="N8" s="3">
        <v>-9.0355340000000006E-2</v>
      </c>
      <c r="O8" s="3">
        <v>-1.0219932000000001E-2</v>
      </c>
      <c r="P8" s="3">
        <v>-1.8401146E-2</v>
      </c>
      <c r="Q8" s="3">
        <v>-7.8320500000000003E-4</v>
      </c>
      <c r="R8" s="3">
        <v>-3.1005204000000001E-2</v>
      </c>
      <c r="S8" s="3">
        <v>-5.5456933999999999E-2</v>
      </c>
      <c r="T8" s="3">
        <v>-3.4372390000000003E-2</v>
      </c>
      <c r="U8" s="3">
        <v>-3.9186477999999997E-2</v>
      </c>
      <c r="V8" s="3">
        <v>9.8088979999999999E-3</v>
      </c>
      <c r="W8" s="3">
        <v>-1.1143981999999998E-2</v>
      </c>
      <c r="X8" s="3">
        <v>-4.5538664000000006E-2</v>
      </c>
      <c r="Y8" s="3">
        <v>-3.314048E-2</v>
      </c>
      <c r="Z8" s="3">
        <v>-3.2176851999999999E-2</v>
      </c>
      <c r="AA8" s="3">
        <v>-1.8499792000000001E-2</v>
      </c>
      <c r="AB8" s="3">
        <v>-1.6009688000000001E-2</v>
      </c>
      <c r="AC8" s="3">
        <v>-3.6358356000000001E-2</v>
      </c>
      <c r="AD8" s="3">
        <v>5.4564952999999999E-2</v>
      </c>
      <c r="AE8" s="3">
        <v>2.7590512999999997E-2</v>
      </c>
      <c r="AF8" s="3">
        <v>-4.7304209999999999E-2</v>
      </c>
      <c r="AG8" s="3">
        <v>-2.4193466E-2</v>
      </c>
      <c r="AH8" s="3">
        <v>-1.4157831999999999E-2</v>
      </c>
      <c r="AI8" s="3">
        <v>-6.1520339999999993E-2</v>
      </c>
      <c r="AJ8" s="3"/>
      <c r="AK8" s="3"/>
      <c r="AL8" s="3"/>
    </row>
    <row r="9" spans="1:38" x14ac:dyDescent="0.45">
      <c r="A9" s="2">
        <v>44421</v>
      </c>
      <c r="B9" s="3">
        <v>-2.5147260000000001E-2</v>
      </c>
      <c r="C9" s="3">
        <v>4.3267490000000006E-2</v>
      </c>
      <c r="D9" s="3">
        <v>3.1809091999999997E-2</v>
      </c>
      <c r="E9" s="3">
        <v>-4.2033910000000001E-2</v>
      </c>
      <c r="F9" s="3">
        <v>3.1047224999999998E-2</v>
      </c>
      <c r="G9" s="3">
        <v>-7.0703563999999997E-2</v>
      </c>
      <c r="H9" s="3">
        <v>-1.3540447000000001E-2</v>
      </c>
      <c r="I9" s="3">
        <v>-2.922988E-2</v>
      </c>
      <c r="J9" s="3">
        <v>2.5206566E-2</v>
      </c>
      <c r="K9" s="3">
        <v>-5.7931542000000003E-2</v>
      </c>
      <c r="L9" s="3">
        <v>-7.1069775000000002E-2</v>
      </c>
      <c r="M9" s="3">
        <v>3.3133030000000001E-3</v>
      </c>
      <c r="N9" s="3">
        <v>4.0550589999999997E-2</v>
      </c>
      <c r="O9" s="3">
        <v>3.7373781000000002E-2</v>
      </c>
      <c r="P9" s="3">
        <v>-9.8163420000000001E-2</v>
      </c>
      <c r="Q9" s="3">
        <v>1.8669009E-2</v>
      </c>
      <c r="R9" s="3">
        <v>-2.7792512999999998E-2</v>
      </c>
      <c r="S9" s="3">
        <v>8.2198259999999995E-2</v>
      </c>
      <c r="T9" s="3">
        <v>3.1474948000000003E-2</v>
      </c>
      <c r="U9" s="3">
        <v>2.4264336000000001E-2</v>
      </c>
      <c r="V9" s="3">
        <v>5.2147269999999996E-2</v>
      </c>
      <c r="W9" s="3">
        <v>6.8578720000000001E-3</v>
      </c>
      <c r="X9" s="3">
        <v>3.219545E-2</v>
      </c>
      <c r="Y9" s="3">
        <v>2.5843381999999998E-2</v>
      </c>
      <c r="Z9" s="3">
        <v>2.168262E-2</v>
      </c>
      <c r="AA9" s="3">
        <v>1.0749458999999999E-2</v>
      </c>
      <c r="AB9" s="3">
        <v>3.8031339999999997E-2</v>
      </c>
      <c r="AC9" s="3">
        <v>3.4355879999999998E-2</v>
      </c>
      <c r="AD9" s="3">
        <v>2.3022293999999999E-2</v>
      </c>
      <c r="AE9" s="3">
        <v>2.5692940000000001E-2</v>
      </c>
      <c r="AF9" s="3">
        <v>5.6059837000000001E-2</v>
      </c>
      <c r="AG9" s="3">
        <v>5.8677673E-2</v>
      </c>
      <c r="AH9" s="3">
        <v>3.4213423999999999E-2</v>
      </c>
      <c r="AI9" s="3">
        <v>6.965017300000001E-2</v>
      </c>
      <c r="AJ9" s="3"/>
      <c r="AK9" s="3"/>
      <c r="AL9" s="3"/>
    </row>
    <row r="10" spans="1:38" x14ac:dyDescent="0.45">
      <c r="A10" s="2">
        <v>44454</v>
      </c>
      <c r="B10" s="3">
        <v>-6.9713590000000008E-4</v>
      </c>
      <c r="C10" s="3">
        <v>-3.5752058E-3</v>
      </c>
      <c r="D10" s="3">
        <v>4.1425824E-2</v>
      </c>
      <c r="E10" s="3">
        <v>7.6786994999999997E-2</v>
      </c>
      <c r="F10" s="3">
        <v>4.8089859999999998E-2</v>
      </c>
      <c r="G10" s="3">
        <v>2.7871966000000001E-2</v>
      </c>
      <c r="H10" s="3">
        <v>5.0868033999999999E-2</v>
      </c>
      <c r="I10" s="3">
        <v>3.8712740000000002E-2</v>
      </c>
      <c r="J10" s="3">
        <v>2.7811408000000003E-2</v>
      </c>
      <c r="K10" s="3">
        <v>-1.3202070999999999E-2</v>
      </c>
      <c r="L10" s="3">
        <v>-5.893487E-2</v>
      </c>
      <c r="M10" s="3">
        <v>-5.7792069999999997E-3</v>
      </c>
      <c r="N10" s="3">
        <v>2.1451592000000002E-2</v>
      </c>
      <c r="O10" s="3">
        <v>7.9303264999999998E-2</v>
      </c>
      <c r="P10" s="3">
        <v>-2.5983155000000001E-2</v>
      </c>
      <c r="Q10" s="3">
        <v>2.1430492000000002E-2</v>
      </c>
      <c r="R10" s="3">
        <v>6.5248130000000001E-2</v>
      </c>
      <c r="S10" s="3">
        <v>-7.3784590000000004E-3</v>
      </c>
      <c r="T10" s="3">
        <v>4.2770267000000001E-2</v>
      </c>
      <c r="U10" s="3">
        <v>-1.0080933599999999E-3</v>
      </c>
      <c r="V10" s="3">
        <v>1.943636E-2</v>
      </c>
      <c r="W10" s="3">
        <v>2.7263880000000001E-2</v>
      </c>
      <c r="X10" s="3">
        <v>-2.2923708000000001E-2</v>
      </c>
      <c r="Y10" s="3">
        <v>-3.7125350000000003E-3</v>
      </c>
      <c r="Z10" s="3">
        <v>-1.9524573999999999E-2</v>
      </c>
      <c r="AA10" s="3">
        <v>7.9836845000000004E-2</v>
      </c>
      <c r="AB10" s="3">
        <v>-3.4286856999999997E-2</v>
      </c>
      <c r="AC10" s="3">
        <v>-2.1945477000000001E-2</v>
      </c>
      <c r="AD10" s="3">
        <v>2.5025724999999999E-2</v>
      </c>
      <c r="AE10" s="3">
        <v>4.3953656999999998E-3</v>
      </c>
      <c r="AF10" s="3">
        <v>-2.6036441E-2</v>
      </c>
      <c r="AG10" s="3">
        <v>4.1373850000000004E-2</v>
      </c>
      <c r="AH10" s="3">
        <v>-2.2462784999999999E-2</v>
      </c>
      <c r="AI10" s="3">
        <v>-3.9186716000000003E-2</v>
      </c>
      <c r="AJ10" s="3"/>
      <c r="AK10" s="3"/>
      <c r="AL10" s="3"/>
    </row>
    <row r="11" spans="1:38" x14ac:dyDescent="0.45">
      <c r="A11" s="2">
        <v>44484</v>
      </c>
      <c r="B11" s="3">
        <v>4.1860342E-3</v>
      </c>
      <c r="C11" s="3">
        <v>-0.14962328</v>
      </c>
      <c r="D11" s="3">
        <v>0.14199818</v>
      </c>
      <c r="E11" s="3">
        <v>6.5067409999999992E-2</v>
      </c>
      <c r="F11" s="3">
        <v>2.3584961999999998E-2</v>
      </c>
      <c r="G11" s="3">
        <v>0.10589957</v>
      </c>
      <c r="H11" s="3">
        <v>2.8428673999999998E-2</v>
      </c>
      <c r="I11" s="3">
        <v>-5.0920189999999997E-2</v>
      </c>
      <c r="J11" s="3">
        <v>-1.8039167000000002E-2</v>
      </c>
      <c r="K11" s="3">
        <v>-5.6800784999999993E-2</v>
      </c>
      <c r="L11" s="3">
        <v>-4.4527530000000003E-2</v>
      </c>
      <c r="M11" s="3">
        <v>3.6744832999999998E-2</v>
      </c>
      <c r="N11" s="3">
        <v>-2.2051096000000003E-2</v>
      </c>
      <c r="O11" s="3">
        <v>1.2329578000000001E-2</v>
      </c>
      <c r="P11" s="3">
        <v>1.5573262999999999E-2</v>
      </c>
      <c r="Q11" s="3">
        <v>5.459547E-2</v>
      </c>
      <c r="R11" s="3">
        <v>6.3265559999999997E-3</v>
      </c>
      <c r="S11" s="3">
        <v>-0.10100574</v>
      </c>
      <c r="T11" s="3">
        <v>-2.7224479999999999E-2</v>
      </c>
      <c r="U11" s="3">
        <v>-1.6145289E-2</v>
      </c>
      <c r="V11" s="3">
        <v>3.670168E-2</v>
      </c>
      <c r="W11" s="3">
        <v>-3.4754871999999998E-3</v>
      </c>
      <c r="X11" s="3">
        <v>6.1538219999999998E-3</v>
      </c>
      <c r="Y11" s="3">
        <v>3.7796139999999999E-2</v>
      </c>
      <c r="Z11" s="3">
        <v>-2.9437243999999998E-2</v>
      </c>
      <c r="AA11" s="3">
        <v>-6.8537529999999999E-2</v>
      </c>
      <c r="AB11" s="3">
        <v>-1.2984394999999999E-2</v>
      </c>
      <c r="AC11" s="3">
        <v>2.3347497000000002E-2</v>
      </c>
      <c r="AD11" s="3">
        <v>-2.299267E-2</v>
      </c>
      <c r="AE11" s="3">
        <v>-1.2669563E-3</v>
      </c>
      <c r="AF11" s="3">
        <v>5.9694049999999997E-3</v>
      </c>
      <c r="AG11" s="3">
        <v>-3.729391E-2</v>
      </c>
      <c r="AH11" s="3">
        <v>-1.0653794000000001E-2</v>
      </c>
      <c r="AI11" s="3">
        <v>1.2266159E-2</v>
      </c>
      <c r="AJ11" s="3"/>
      <c r="AK11" s="3"/>
      <c r="AL11" s="3"/>
    </row>
    <row r="12" spans="1:38" x14ac:dyDescent="0.45">
      <c r="A12" s="2">
        <v>44515</v>
      </c>
      <c r="B12" s="3">
        <v>2.5475025000000003E-3</v>
      </c>
      <c r="C12" s="3">
        <v>0.12869191000000002</v>
      </c>
      <c r="D12" s="3">
        <v>-4.2932390000000001E-2</v>
      </c>
      <c r="E12" s="3">
        <v>1.5427351000000001E-2</v>
      </c>
      <c r="F12" s="3">
        <v>-7.2894929999999997E-2</v>
      </c>
      <c r="G12" s="3">
        <v>1.3253688999999998E-3</v>
      </c>
      <c r="H12" s="3">
        <v>-5.0429582999999993E-2</v>
      </c>
      <c r="I12" s="3">
        <v>5.7853937000000001E-2</v>
      </c>
      <c r="J12" s="3">
        <v>-3.1349897000000002E-2</v>
      </c>
      <c r="K12" s="3">
        <v>-6.3456889999999998E-3</v>
      </c>
      <c r="L12" s="3">
        <v>-7.2158693999999995E-2</v>
      </c>
      <c r="M12" s="3">
        <v>-3.0436516E-2</v>
      </c>
      <c r="N12" s="3">
        <v>3.5786629999999997E-4</v>
      </c>
      <c r="O12" s="3">
        <v>2.6736260000000001E-3</v>
      </c>
      <c r="P12" s="3">
        <v>-4.1175485000000001E-3</v>
      </c>
      <c r="Q12" s="3">
        <v>2.1577240000000001E-2</v>
      </c>
      <c r="R12" s="3">
        <v>2.3806095000000001E-4</v>
      </c>
      <c r="S12" s="3">
        <v>0.13375484000000001</v>
      </c>
      <c r="T12" s="3">
        <v>0.11296927999999999</v>
      </c>
      <c r="U12" s="3">
        <v>6.4102530000000005E-2</v>
      </c>
      <c r="V12" s="3">
        <v>6.4367056000000002E-3</v>
      </c>
      <c r="W12" s="3">
        <v>-1.7121135999999999E-2</v>
      </c>
      <c r="X12" s="3">
        <v>-2.6758313000000001E-3</v>
      </c>
      <c r="Y12" s="3">
        <v>2.3339272000000001E-2</v>
      </c>
      <c r="Z12" s="3">
        <v>9.8125934999999994E-3</v>
      </c>
      <c r="AA12" s="3">
        <v>1.4194607999999999E-2</v>
      </c>
      <c r="AB12" s="3">
        <v>4.480982E-2</v>
      </c>
      <c r="AC12" s="3">
        <v>-8.0000160000000004E-3</v>
      </c>
      <c r="AD12" s="3">
        <v>6.9577693999999995E-2</v>
      </c>
      <c r="AE12" s="3">
        <v>4.8354863999999997E-2</v>
      </c>
      <c r="AF12" s="3">
        <v>3.0959724999999997E-2</v>
      </c>
      <c r="AG12" s="3">
        <v>2.7642608000000003E-2</v>
      </c>
      <c r="AH12" s="3">
        <v>2.7238250000000002E-2</v>
      </c>
      <c r="AI12" s="3">
        <v>2.5446892000000002E-2</v>
      </c>
      <c r="AJ12" s="3"/>
      <c r="AK12" s="3"/>
      <c r="AL12" s="3"/>
    </row>
    <row r="13" spans="1:38" x14ac:dyDescent="0.45">
      <c r="A13" s="2">
        <v>44545</v>
      </c>
      <c r="B13" s="3">
        <v>2.4130821E-2</v>
      </c>
      <c r="C13" s="3">
        <v>-8.0701529999999994E-2</v>
      </c>
      <c r="D13" s="3">
        <v>-1.5521347999999999E-2</v>
      </c>
      <c r="E13" s="3">
        <v>-2.9870093E-2</v>
      </c>
      <c r="F13" s="3">
        <v>-8.0602649999999998E-2</v>
      </c>
      <c r="G13" s="3">
        <v>-8.0599130000000005E-2</v>
      </c>
      <c r="H13" s="3">
        <v>-4.2300104999999998E-2</v>
      </c>
      <c r="I13" s="3">
        <v>1.3402461999999999E-2</v>
      </c>
      <c r="J13" s="3">
        <v>-1.0295212E-2</v>
      </c>
      <c r="K13" s="3">
        <v>6.6732170000000004E-3</v>
      </c>
      <c r="L13" s="3">
        <v>-2.1329760000000003E-2</v>
      </c>
      <c r="M13" s="3">
        <v>-5.8113933E-2</v>
      </c>
      <c r="N13" s="3">
        <v>-3.9355992999999999E-2</v>
      </c>
      <c r="O13" s="3">
        <v>-6.1195316E-2</v>
      </c>
      <c r="P13" s="3">
        <v>-0.10001511</v>
      </c>
      <c r="Q13" s="3">
        <v>-3.8757145E-2</v>
      </c>
      <c r="R13" s="3">
        <v>-9.1961026000000005E-3</v>
      </c>
      <c r="S13" s="3">
        <v>-0.12825661999999999</v>
      </c>
      <c r="T13" s="3">
        <v>6.4195513999999995E-2</v>
      </c>
      <c r="U13" s="3">
        <v>-4.8196316000000003E-4</v>
      </c>
      <c r="V13" s="3">
        <v>-7.2424650000000007E-2</v>
      </c>
      <c r="W13" s="3">
        <v>-5.035162E-2</v>
      </c>
      <c r="X13" s="3">
        <v>-3.6366700000000002E-2</v>
      </c>
      <c r="Y13" s="3">
        <v>-5.8901367000000003E-2</v>
      </c>
      <c r="Z13" s="3">
        <v>-3.8401424999999996E-2</v>
      </c>
      <c r="AA13" s="3">
        <v>-1.6533136E-2</v>
      </c>
      <c r="AB13" s="3">
        <v>7.8693630000000007E-3</v>
      </c>
      <c r="AC13" s="3">
        <v>-2.0348608000000001E-2</v>
      </c>
      <c r="AD13" s="3">
        <v>6.1833859999999999E-3</v>
      </c>
      <c r="AE13" s="3">
        <v>6.7818164999999993E-3</v>
      </c>
      <c r="AF13" s="3">
        <v>-2.3770927999999997E-2</v>
      </c>
      <c r="AG13" s="3">
        <v>-7.1000279999999999E-2</v>
      </c>
      <c r="AH13" s="3">
        <v>-5.3692339999999998E-2</v>
      </c>
      <c r="AI13" s="3">
        <v>-3.5798670000000005E-2</v>
      </c>
      <c r="AJ13" s="3"/>
      <c r="AK13" s="3"/>
      <c r="AL13" s="3"/>
    </row>
    <row r="14" spans="1:38" x14ac:dyDescent="0.45">
      <c r="A14" s="2">
        <v>44575</v>
      </c>
      <c r="B14" s="3">
        <v>-5.3266582E-2</v>
      </c>
      <c r="C14" s="3">
        <v>5.6344149999999996E-2</v>
      </c>
      <c r="D14" s="3">
        <v>2.4242400000000001E-2</v>
      </c>
      <c r="E14" s="3">
        <v>0</v>
      </c>
      <c r="F14" s="3">
        <v>0.12767029000000002</v>
      </c>
      <c r="G14" s="3">
        <v>0.23176134000000001</v>
      </c>
      <c r="H14" s="3">
        <v>6.4064503000000009E-2</v>
      </c>
      <c r="I14" s="3">
        <v>4.4145107000000003E-2</v>
      </c>
      <c r="J14" s="3">
        <v>8.3016510000000002E-2</v>
      </c>
      <c r="K14" s="3">
        <v>-1.8043159999999999E-2</v>
      </c>
      <c r="L14" s="3">
        <v>3.7108302000000003E-2</v>
      </c>
      <c r="M14" s="3">
        <v>9.7474574999999994E-2</v>
      </c>
      <c r="N14" s="3">
        <v>8.7692739999999991E-2</v>
      </c>
      <c r="O14" s="3">
        <v>7.5941800000000004E-2</v>
      </c>
      <c r="P14" s="3">
        <v>1.6278385999999999E-2</v>
      </c>
      <c r="Q14" s="3">
        <v>4.9605965999999994E-2</v>
      </c>
      <c r="R14" s="3">
        <v>3.0160189E-2</v>
      </c>
      <c r="S14" s="3">
        <v>2.2738576E-2</v>
      </c>
      <c r="T14" s="3">
        <v>-3.9056837999999997E-2</v>
      </c>
      <c r="U14" s="3">
        <v>5.0048829999999999E-3</v>
      </c>
      <c r="V14" s="3">
        <v>9.7644439999999999E-2</v>
      </c>
      <c r="W14" s="3">
        <v>-4.6559571999999997E-3</v>
      </c>
      <c r="X14" s="3">
        <v>1.4134169E-2</v>
      </c>
      <c r="Y14" s="3">
        <v>5.5570601999999997E-2</v>
      </c>
      <c r="Z14" s="3">
        <v>2.9782175999999997E-2</v>
      </c>
      <c r="AA14" s="3">
        <v>-1.0741532E-2</v>
      </c>
      <c r="AB14" s="3">
        <v>-2.9278994000000004E-3</v>
      </c>
      <c r="AC14" s="3">
        <v>8.3333379999999999E-2</v>
      </c>
      <c r="AD14" s="3">
        <v>-4.1681049999999997E-2</v>
      </c>
      <c r="AE14" s="3">
        <v>-8.9806914000000009E-3</v>
      </c>
      <c r="AF14" s="3">
        <v>3.3719777999999999E-2</v>
      </c>
      <c r="AG14" s="3">
        <v>1.0028601E-2</v>
      </c>
      <c r="AH14" s="3">
        <v>7.2926279999999998E-3</v>
      </c>
      <c r="AI14" s="3">
        <v>4.1019199999999999E-2</v>
      </c>
      <c r="AJ14" s="3"/>
      <c r="AK14" s="3"/>
      <c r="AL14" s="3"/>
    </row>
    <row r="15" spans="1:38" x14ac:dyDescent="0.45">
      <c r="A15" s="2">
        <v>44607</v>
      </c>
      <c r="B15" s="3">
        <v>-2.7650892999999999E-2</v>
      </c>
      <c r="C15" s="3">
        <v>5.9244513999999998E-2</v>
      </c>
      <c r="D15" s="3">
        <v>2.6627301999999999E-2</v>
      </c>
      <c r="E15" s="3">
        <v>2.0433784E-2</v>
      </c>
      <c r="F15" s="3">
        <v>-6.4317225999999991E-2</v>
      </c>
      <c r="G15" s="3">
        <v>3.4400343999999999E-2</v>
      </c>
      <c r="H15" s="3">
        <v>2.6315808E-2</v>
      </c>
      <c r="I15" s="3">
        <v>-2.5070488000000002E-2</v>
      </c>
      <c r="J15" s="3">
        <v>-1.0727525E-2</v>
      </c>
      <c r="K15" s="3">
        <v>-5.7970943000000004E-2</v>
      </c>
      <c r="L15" s="3">
        <v>0.14428031999999999</v>
      </c>
      <c r="M15" s="3">
        <v>4.9858690000000004E-2</v>
      </c>
      <c r="N15" s="3">
        <v>4.0237904000000005E-2</v>
      </c>
      <c r="O15" s="3">
        <v>-6.4556479999999999E-2</v>
      </c>
      <c r="P15" s="3">
        <v>-8.1658362999999998E-3</v>
      </c>
      <c r="Q15" s="3">
        <v>5.8857559999999996E-2</v>
      </c>
      <c r="R15" s="3">
        <v>1.7230272000000001E-2</v>
      </c>
      <c r="S15" s="3">
        <v>-1.5466392000000001E-2</v>
      </c>
      <c r="T15" s="3">
        <v>3.6376833999999997E-2</v>
      </c>
      <c r="U15" s="3">
        <v>-5.2555440000000002E-2</v>
      </c>
      <c r="V15" s="3">
        <v>2.7338504999999999E-2</v>
      </c>
      <c r="W15" s="3">
        <v>-8.0214859999999999E-2</v>
      </c>
      <c r="X15" s="3">
        <v>-2.0325184E-2</v>
      </c>
      <c r="Y15" s="3">
        <v>-7.1557163999999996E-3</v>
      </c>
      <c r="Z15" s="3">
        <v>-3.5093070000000004E-2</v>
      </c>
      <c r="AA15" s="3">
        <v>-3.8078307999999998E-2</v>
      </c>
      <c r="AB15" s="3">
        <v>-4.2090892999999997E-2</v>
      </c>
      <c r="AC15" s="3">
        <v>-2.8918982E-3</v>
      </c>
      <c r="AD15" s="3">
        <v>-6.2840460000000001E-2</v>
      </c>
      <c r="AE15" s="3">
        <v>-4.0067139999999994E-2</v>
      </c>
      <c r="AF15" s="3">
        <v>-3.1855226E-2</v>
      </c>
      <c r="AG15" s="3">
        <v>-6.707191500000001E-2</v>
      </c>
      <c r="AH15" s="3">
        <v>-6.9839835000000003E-2</v>
      </c>
      <c r="AI15" s="3">
        <v>-2.3880599999999998E-2</v>
      </c>
      <c r="AJ15" s="3"/>
      <c r="AK15" s="3"/>
      <c r="AL15" s="3"/>
    </row>
    <row r="16" spans="1:38" x14ac:dyDescent="0.45">
      <c r="A16" s="2">
        <v>44635</v>
      </c>
      <c r="B16" s="3">
        <v>-0.14564789</v>
      </c>
      <c r="C16" s="3">
        <v>-7.5074434000000001E-3</v>
      </c>
      <c r="D16" s="3">
        <v>1.687932E-2</v>
      </c>
      <c r="E16" s="3">
        <v>-8.0406610000000003E-2</v>
      </c>
      <c r="F16" s="3">
        <v>-0.16902070999999999</v>
      </c>
      <c r="G16" s="3">
        <v>2.8195499999999998E-2</v>
      </c>
      <c r="H16" s="3">
        <v>-2.4087011999999998E-2</v>
      </c>
      <c r="I16" s="3">
        <v>-8.6731615000000012E-2</v>
      </c>
      <c r="J16" s="3">
        <v>-2.5433779E-2</v>
      </c>
      <c r="K16" s="3">
        <v>-7.1978090000000008E-2</v>
      </c>
      <c r="L16" s="3">
        <v>-4.4130919999999997E-2</v>
      </c>
      <c r="M16" s="3">
        <v>-1.2305318999999999E-2</v>
      </c>
      <c r="N16" s="3">
        <v>-0.16380756000000002</v>
      </c>
      <c r="O16" s="3">
        <v>-3.5841405E-2</v>
      </c>
      <c r="P16" s="3">
        <v>-0.28388220000000003</v>
      </c>
      <c r="Q16" s="3">
        <v>2.9515386000000001E-2</v>
      </c>
      <c r="R16" s="3">
        <v>-3.3553720000000002E-2</v>
      </c>
      <c r="S16" s="3">
        <v>-6.0873929999999993E-2</v>
      </c>
      <c r="T16" s="3">
        <v>6.0241103000000004E-2</v>
      </c>
      <c r="U16" s="3">
        <v>-6.3613234000000005E-2</v>
      </c>
      <c r="V16" s="3">
        <v>1.4295100999999999E-2</v>
      </c>
      <c r="W16" s="3">
        <v>1.3373494E-2</v>
      </c>
      <c r="X16" s="3">
        <v>8.7136030000000003E-3</v>
      </c>
      <c r="Y16" s="3">
        <v>-1.9304991000000001E-2</v>
      </c>
      <c r="Z16" s="3">
        <v>-0.13801676000000002</v>
      </c>
      <c r="AA16" s="3">
        <v>-7.8707219999999994E-2</v>
      </c>
      <c r="AB16" s="3">
        <v>-5.2728415000000001E-2</v>
      </c>
      <c r="AC16" s="3">
        <v>-7.3955894000000008E-2</v>
      </c>
      <c r="AD16" s="3">
        <v>-7.8566846999999995E-2</v>
      </c>
      <c r="AE16" s="3">
        <v>-4.4676064999999994E-2</v>
      </c>
      <c r="AF16" s="3">
        <v>-0.11660963000000001</v>
      </c>
      <c r="AG16" s="3">
        <v>-0.14313639</v>
      </c>
      <c r="AH16" s="3">
        <v>-0.10425632999999999</v>
      </c>
      <c r="AI16" s="3">
        <v>-0.14587158</v>
      </c>
      <c r="AJ16" s="3"/>
      <c r="AK16" s="3"/>
      <c r="AL16" s="3"/>
    </row>
    <row r="17" spans="1:38" x14ac:dyDescent="0.45">
      <c r="A17" s="2">
        <v>44665</v>
      </c>
      <c r="B17" s="3">
        <v>5.4992795000000004E-2</v>
      </c>
      <c r="C17" s="3">
        <v>5.2950024999999998E-2</v>
      </c>
      <c r="D17" s="3">
        <v>-1.2145817000000001E-2</v>
      </c>
      <c r="E17" s="3">
        <v>-6.700158000000001E-4</v>
      </c>
      <c r="F17" s="3">
        <v>4.3059469999999996E-2</v>
      </c>
      <c r="G17" s="3">
        <v>-1.7297207999999998E-2</v>
      </c>
      <c r="H17" s="3">
        <v>1.7117739E-2</v>
      </c>
      <c r="I17" s="3">
        <v>-2.1492840000000003E-2</v>
      </c>
      <c r="J17" s="3">
        <v>6.5344930000000009E-2</v>
      </c>
      <c r="K17" s="3">
        <v>1.7318009999999998E-2</v>
      </c>
      <c r="L17" s="3">
        <v>0.16959799</v>
      </c>
      <c r="M17" s="3">
        <v>2.5695920000000001E-2</v>
      </c>
      <c r="N17" s="3">
        <v>9.4931599999999991E-2</v>
      </c>
      <c r="O17" s="3">
        <v>3.1170607000000003E-2</v>
      </c>
      <c r="P17" s="3">
        <v>0.15432239</v>
      </c>
      <c r="Q17" s="3">
        <v>6.2165140000000001E-2</v>
      </c>
      <c r="R17" s="3">
        <v>1.8231987999999998E-2</v>
      </c>
      <c r="S17" s="3">
        <v>0.20805024999999999</v>
      </c>
      <c r="T17" s="3">
        <v>4.6998262000000006E-2</v>
      </c>
      <c r="U17" s="3">
        <v>7.6087713E-3</v>
      </c>
      <c r="V17" s="3">
        <v>8.6513519999999997E-2</v>
      </c>
      <c r="W17" s="3">
        <v>-1.2267649E-2</v>
      </c>
      <c r="X17" s="3">
        <v>8.5561509999999993E-2</v>
      </c>
      <c r="Y17" s="3">
        <v>4.1469812000000002E-2</v>
      </c>
      <c r="Z17" s="3">
        <v>-2.0194709999999998E-2</v>
      </c>
      <c r="AA17" s="3">
        <v>-1.9805311999999999E-2</v>
      </c>
      <c r="AB17" s="3">
        <v>6.2567471999999999E-2</v>
      </c>
      <c r="AC17" s="3">
        <v>6.7961096999999998E-2</v>
      </c>
      <c r="AD17" s="3">
        <v>3.2604814000000003E-2</v>
      </c>
      <c r="AE17" s="3">
        <v>3.0422926000000003E-2</v>
      </c>
      <c r="AF17" s="3">
        <v>2.175212E-2</v>
      </c>
      <c r="AG17" s="3">
        <v>2.0278811000000001E-2</v>
      </c>
      <c r="AH17" s="3">
        <v>2.0021319999999999E-2</v>
      </c>
      <c r="AI17" s="3">
        <v>4.0816306999999996E-2</v>
      </c>
      <c r="AJ17" s="3"/>
      <c r="AK17" s="3"/>
      <c r="AL17" s="3"/>
    </row>
    <row r="18" spans="1:38" x14ac:dyDescent="0.45">
      <c r="A18" s="2">
        <v>44694</v>
      </c>
      <c r="B18" s="3">
        <v>-9.7942350000000011E-2</v>
      </c>
      <c r="C18" s="3">
        <v>-5.8189690000000002E-2</v>
      </c>
      <c r="D18" s="3">
        <v>-4.5901594000000004E-2</v>
      </c>
      <c r="E18" s="3">
        <v>-6.5370440000000002E-2</v>
      </c>
      <c r="F18" s="3">
        <v>-0.18305264999999998</v>
      </c>
      <c r="G18" s="3">
        <v>-0.17973666999999999</v>
      </c>
      <c r="H18" s="3">
        <v>-6.7318974000000004E-2</v>
      </c>
      <c r="I18" s="3">
        <v>-8.22407E-2</v>
      </c>
      <c r="J18" s="3">
        <v>-7.140141500000001E-2</v>
      </c>
      <c r="K18" s="3">
        <v>-4.7141074999999998E-2</v>
      </c>
      <c r="L18" s="3">
        <v>-0.143662815</v>
      </c>
      <c r="M18" s="3">
        <v>-0.13873595</v>
      </c>
      <c r="N18" s="3">
        <v>-7.9353389999999996E-2</v>
      </c>
      <c r="O18" s="3">
        <v>-9.3819909999999992E-2</v>
      </c>
      <c r="P18" s="3">
        <v>-7.4506759999999991E-2</v>
      </c>
      <c r="Q18" s="3">
        <v>-5.2886844000000002E-2</v>
      </c>
      <c r="R18" s="3">
        <v>-5.3728640000000001E-2</v>
      </c>
      <c r="S18" s="3">
        <v>-8.3946339999999994E-2</v>
      </c>
      <c r="T18" s="3">
        <v>-8.3259220000000009E-2</v>
      </c>
      <c r="U18" s="3">
        <v>-0.17853295999999999</v>
      </c>
      <c r="V18" s="3">
        <v>-5.4679749999999999E-2</v>
      </c>
      <c r="W18" s="3">
        <v>-0.12909299000000002</v>
      </c>
      <c r="X18" s="3">
        <v>-0.10458505999999999</v>
      </c>
      <c r="Y18" s="3">
        <v>-9.5262049999999987E-2</v>
      </c>
      <c r="Z18" s="3">
        <v>-5.1159325000000005E-2</v>
      </c>
      <c r="AA18" s="3">
        <v>-3.5616457000000004E-2</v>
      </c>
      <c r="AB18" s="3">
        <v>-0.11025380999999999</v>
      </c>
      <c r="AC18" s="3">
        <v>-7.5366497000000005E-2</v>
      </c>
      <c r="AD18" s="3">
        <v>-0.10782140999999999</v>
      </c>
      <c r="AE18" s="3">
        <v>-8.2391149999999996E-2</v>
      </c>
      <c r="AF18" s="3">
        <v>-5.4243207000000002E-2</v>
      </c>
      <c r="AG18" s="3">
        <v>-7.6273259999999996E-2</v>
      </c>
      <c r="AH18" s="3">
        <v>-9.3431050000000002E-2</v>
      </c>
      <c r="AI18" s="3">
        <v>-6.7423400000000008E-2</v>
      </c>
      <c r="AJ18" s="3"/>
      <c r="AK18" s="3"/>
      <c r="AL18" s="3"/>
    </row>
    <row r="19" spans="1:38" x14ac:dyDescent="0.45">
      <c r="A19" s="2">
        <v>44727</v>
      </c>
      <c r="B19" s="3">
        <v>0.10973919</v>
      </c>
      <c r="C19" s="3">
        <v>6.6694855999999997E-2</v>
      </c>
      <c r="D19" s="3">
        <v>-1.5773772999999999E-3</v>
      </c>
      <c r="E19" s="3">
        <v>-3.5399794999999998E-2</v>
      </c>
      <c r="F19" s="3">
        <v>-1.6395748000000002E-2</v>
      </c>
      <c r="G19" s="3">
        <v>3.0026912999999999E-2</v>
      </c>
      <c r="H19" s="3">
        <v>-5.4491815999999998E-2</v>
      </c>
      <c r="I19" s="3">
        <v>1.1131644000000001E-2</v>
      </c>
      <c r="J19" s="3">
        <v>-3.8230955999999996E-2</v>
      </c>
      <c r="K19" s="3">
        <v>-6.8560066000000003E-2</v>
      </c>
      <c r="L19" s="3">
        <v>-2.8264642000000003E-2</v>
      </c>
      <c r="M19" s="3">
        <v>-1.3655543000000001E-2</v>
      </c>
      <c r="N19" s="3">
        <v>-2.5538683E-2</v>
      </c>
      <c r="O19" s="3">
        <v>-1.1366487000000002E-2</v>
      </c>
      <c r="P19" s="3">
        <v>0.11992538</v>
      </c>
      <c r="Q19" s="3">
        <v>-5.124426E-2</v>
      </c>
      <c r="R19" s="3">
        <v>5.7814120000000005E-3</v>
      </c>
      <c r="S19" s="3">
        <v>-6.1488094E-2</v>
      </c>
      <c r="T19" s="3">
        <v>-3.8214386000000003E-2</v>
      </c>
      <c r="U19" s="3">
        <v>-1.6414999999999999E-2</v>
      </c>
      <c r="V19" s="3">
        <v>-7.7475966999999993E-2</v>
      </c>
      <c r="W19" s="3">
        <v>-4.7947525999999997E-2</v>
      </c>
      <c r="X19" s="3">
        <v>-5.3318142999999998E-2</v>
      </c>
      <c r="Y19" s="3">
        <v>-2.0889103000000003E-2</v>
      </c>
      <c r="Z19" s="3">
        <v>-2.7863799999999998E-2</v>
      </c>
      <c r="AA19" s="3">
        <v>-4.0956974E-2</v>
      </c>
      <c r="AB19" s="3">
        <v>-7.1810720000000008E-2</v>
      </c>
      <c r="AC19" s="3">
        <v>-2.2336065999999998E-2</v>
      </c>
      <c r="AD19" s="3">
        <v>-6.3390136E-2</v>
      </c>
      <c r="AE19" s="3">
        <v>-5.6058940000000002E-2</v>
      </c>
      <c r="AF19" s="3">
        <v>-3.4311413999999998E-2</v>
      </c>
      <c r="AG19" s="3">
        <v>-3.5683036000000001E-2</v>
      </c>
      <c r="AH19" s="3">
        <v>-4.4423399999999995E-2</v>
      </c>
      <c r="AI19" s="3">
        <v>-4.4583199999999996E-2</v>
      </c>
      <c r="AJ19" s="3"/>
      <c r="AK19" s="3"/>
      <c r="AL19" s="3"/>
    </row>
    <row r="20" spans="1:38" x14ac:dyDescent="0.45">
      <c r="A20" s="2">
        <v>44757</v>
      </c>
      <c r="B20" s="3">
        <v>-1.8945574999999999E-2</v>
      </c>
      <c r="C20" s="3">
        <v>-0.11491262000000001</v>
      </c>
      <c r="D20" s="3">
        <v>-5.6719007000000002E-2</v>
      </c>
      <c r="E20" s="3">
        <v>-6.7720056000000001E-2</v>
      </c>
      <c r="F20" s="3">
        <v>-0.10231923999999999</v>
      </c>
      <c r="G20" s="3">
        <v>-0.16649103000000001</v>
      </c>
      <c r="H20" s="3">
        <v>-3.125E-2</v>
      </c>
      <c r="I20" s="3">
        <v>-8.990830000000001E-2</v>
      </c>
      <c r="J20" s="3">
        <v>-1.8782376999999999E-2</v>
      </c>
      <c r="K20" s="3">
        <v>-6.8032800000000004E-2</v>
      </c>
      <c r="L20" s="3">
        <v>-0.12339419</v>
      </c>
      <c r="M20" s="3">
        <v>-8.7254470000000015E-2</v>
      </c>
      <c r="N20" s="3">
        <v>-9.6389059999999999E-2</v>
      </c>
      <c r="O20" s="3">
        <v>4.9988029999999996E-3</v>
      </c>
      <c r="P20" s="3">
        <v>-4.6282472999999998E-2</v>
      </c>
      <c r="Q20" s="3">
        <v>-6.5862713000000003E-2</v>
      </c>
      <c r="R20" s="3">
        <v>-3.7758708000000002E-2</v>
      </c>
      <c r="S20" s="3">
        <v>-6.4699770000000004E-2</v>
      </c>
      <c r="T20" s="3">
        <v>-5.039954E-2</v>
      </c>
      <c r="U20" s="3">
        <v>-3.6715566999999998E-2</v>
      </c>
      <c r="V20" s="3">
        <v>-6.8234262000000004E-2</v>
      </c>
      <c r="W20" s="3">
        <v>3.8346767000000004E-2</v>
      </c>
      <c r="X20" s="3">
        <v>-2.7688085999999997E-2</v>
      </c>
      <c r="Y20" s="3">
        <v>-7.1653785999999997E-2</v>
      </c>
      <c r="Z20" s="3">
        <v>-9.3788509999999992E-2</v>
      </c>
      <c r="AA20" s="3">
        <v>-1.3647497E-2</v>
      </c>
      <c r="AB20" s="3">
        <v>3.5373807E-2</v>
      </c>
      <c r="AC20" s="3">
        <v>-4.0634273999999998E-2</v>
      </c>
      <c r="AD20" s="3">
        <v>3.4008622000000002E-2</v>
      </c>
      <c r="AE20" s="3">
        <v>2.0015597E-2</v>
      </c>
      <c r="AF20" s="3">
        <v>-3.3201873E-2</v>
      </c>
      <c r="AG20" s="3">
        <v>-3.0799686999999999E-2</v>
      </c>
      <c r="AH20" s="3">
        <v>-5.7506979999999999E-2</v>
      </c>
      <c r="AI20" s="3">
        <v>-0.10624753999999999</v>
      </c>
      <c r="AJ20" s="3"/>
      <c r="AK20" s="3"/>
      <c r="AL20" s="3"/>
    </row>
    <row r="21" spans="1:38" x14ac:dyDescent="0.45">
      <c r="A21" s="2">
        <v>44788</v>
      </c>
      <c r="B21" s="3">
        <v>-1.0075568999999999E-2</v>
      </c>
      <c r="C21" s="3">
        <v>0.18991601999999999</v>
      </c>
      <c r="D21" s="3">
        <v>0.10684549</v>
      </c>
      <c r="E21" s="3">
        <v>0.10290551000000001</v>
      </c>
      <c r="F21" s="3">
        <v>0.11246204</v>
      </c>
      <c r="G21" s="3">
        <v>0.13232195000000002</v>
      </c>
      <c r="H21" s="3">
        <v>5.6568503000000006E-2</v>
      </c>
      <c r="I21" s="3">
        <v>6.5322638000000002E-2</v>
      </c>
      <c r="J21" s="3">
        <v>6.5126540000000011E-2</v>
      </c>
      <c r="K21" s="3">
        <v>8.2849619999999999E-2</v>
      </c>
      <c r="L21" s="3">
        <v>0.23486305000000002</v>
      </c>
      <c r="M21" s="3">
        <v>0.12387395</v>
      </c>
      <c r="N21" s="3">
        <v>0.12857795</v>
      </c>
      <c r="O21" s="3">
        <v>8.679437999999999E-2</v>
      </c>
      <c r="P21" s="3">
        <v>-3.0403434999999999E-2</v>
      </c>
      <c r="Q21" s="3">
        <v>0.15392255999999999</v>
      </c>
      <c r="R21" s="3">
        <v>5.9920309999999997E-2</v>
      </c>
      <c r="S21" s="3">
        <v>0.15384615000000001</v>
      </c>
      <c r="T21" s="3">
        <v>9.5145700000000014E-2</v>
      </c>
      <c r="U21" s="3">
        <v>8.8704110000000003E-2</v>
      </c>
      <c r="V21" s="3">
        <v>0.1311233</v>
      </c>
      <c r="W21" s="3">
        <v>0.10238827</v>
      </c>
      <c r="X21" s="3">
        <v>9.06502E-2</v>
      </c>
      <c r="Y21" s="3">
        <v>0.10682308000000001</v>
      </c>
      <c r="Z21" s="3">
        <v>8.3522429999999995E-2</v>
      </c>
      <c r="AA21" s="3">
        <v>8.5291859999999997E-2</v>
      </c>
      <c r="AB21" s="3">
        <v>6.3484310000000002E-2</v>
      </c>
      <c r="AC21" s="3">
        <v>6.7837477000000007E-2</v>
      </c>
      <c r="AD21" s="3">
        <v>0.14112448999999999</v>
      </c>
      <c r="AE21" s="3">
        <v>0.11354601</v>
      </c>
      <c r="AF21" s="3">
        <v>9.7245810000000002E-2</v>
      </c>
      <c r="AG21" s="3">
        <v>0.11311959999999999</v>
      </c>
      <c r="AH21" s="3">
        <v>9.8284959999999991E-2</v>
      </c>
      <c r="AI21" s="3">
        <v>0.12021375000000001</v>
      </c>
      <c r="AJ21" s="3"/>
      <c r="AK21" s="3"/>
      <c r="AL21" s="3"/>
    </row>
    <row r="22" spans="1:38" x14ac:dyDescent="0.45">
      <c r="A22" s="2">
        <v>44819</v>
      </c>
      <c r="B22" s="3">
        <v>-7.2094975000000006E-2</v>
      </c>
      <c r="C22" s="3">
        <v>-4.5550822999999997E-2</v>
      </c>
      <c r="D22" s="3">
        <v>3.426659E-2</v>
      </c>
      <c r="E22" s="3">
        <v>-6.1105013E-2</v>
      </c>
      <c r="F22" s="3">
        <v>-0.13729506499999999</v>
      </c>
      <c r="G22" s="3">
        <v>-4.7636805000000004E-2</v>
      </c>
      <c r="H22" s="3">
        <v>-4.4690250000000001E-2</v>
      </c>
      <c r="I22" s="3">
        <v>-9.3679070000000003E-2</v>
      </c>
      <c r="J22" s="3">
        <v>-4.5651729999999995E-2</v>
      </c>
      <c r="K22" s="3">
        <v>-0.12361926000000001</v>
      </c>
      <c r="L22" s="3">
        <v>-5.2779554999999999E-2</v>
      </c>
      <c r="M22" s="3">
        <v>-0.12113111999999999</v>
      </c>
      <c r="N22" s="3">
        <v>-6.6022515000000004E-2</v>
      </c>
      <c r="O22" s="3">
        <v>-2.0595193000000002E-3</v>
      </c>
      <c r="P22" s="3">
        <v>-5.2864370000000001E-2</v>
      </c>
      <c r="Q22" s="3">
        <v>-4.0877759999999999E-2</v>
      </c>
      <c r="R22" s="3">
        <v>1.0509132999999999E-2</v>
      </c>
      <c r="S22" s="3">
        <v>0.14340532</v>
      </c>
      <c r="T22" s="3">
        <v>-6.1465740000000005E-2</v>
      </c>
      <c r="U22" s="3">
        <v>-6.7472989999999997E-2</v>
      </c>
      <c r="V22" s="3">
        <v>-6.3210845000000002E-2</v>
      </c>
      <c r="W22" s="3">
        <v>-8.0441289999999999E-2</v>
      </c>
      <c r="X22" s="3">
        <v>-6.8320274E-2</v>
      </c>
      <c r="Y22" s="3">
        <v>-5.216175E-2</v>
      </c>
      <c r="Z22" s="3">
        <v>-8.4206100000000006E-2</v>
      </c>
      <c r="AA22" s="3">
        <v>-9.7624890000000006E-2</v>
      </c>
      <c r="AB22" s="3">
        <v>-7.6099340000000001E-2</v>
      </c>
      <c r="AC22" s="3">
        <v>-7.8684329999999997E-2</v>
      </c>
      <c r="AD22" s="3">
        <v>-0.12598330000000002</v>
      </c>
      <c r="AE22" s="3">
        <v>-9.0332510000000005E-2</v>
      </c>
      <c r="AF22" s="3">
        <v>-8.3978949999999997E-2</v>
      </c>
      <c r="AG22" s="3">
        <v>-0.11576748000000001</v>
      </c>
      <c r="AH22" s="3">
        <v>-0.10360353999999999</v>
      </c>
      <c r="AI22" s="3">
        <v>-5.1669300000000001E-2</v>
      </c>
      <c r="AJ22" s="3"/>
      <c r="AK22" s="3"/>
      <c r="AL22" s="3"/>
    </row>
    <row r="23" spans="1:38" x14ac:dyDescent="0.45">
      <c r="A23" s="2">
        <v>44848</v>
      </c>
      <c r="B23" s="3">
        <v>-7.0383905999999996E-2</v>
      </c>
      <c r="C23" s="3">
        <v>-0.14354425000000001</v>
      </c>
      <c r="D23" s="3">
        <v>-8.8484880000000002E-2</v>
      </c>
      <c r="E23" s="3">
        <v>-0.12860483</v>
      </c>
      <c r="F23" s="3">
        <v>-0.13460016</v>
      </c>
      <c r="G23" s="3">
        <v>-2.8135955000000001E-2</v>
      </c>
      <c r="H23" s="3">
        <v>-8.2908809999999999E-2</v>
      </c>
      <c r="I23" s="3">
        <v>-0.13029856000000001</v>
      </c>
      <c r="J23" s="3">
        <v>-2.1428585E-2</v>
      </c>
      <c r="K23" s="3">
        <v>-9.8980540000000006E-2</v>
      </c>
      <c r="L23" s="3">
        <v>9.2318060000000004E-3</v>
      </c>
      <c r="M23" s="3">
        <v>-8.8674964999999994E-2</v>
      </c>
      <c r="N23" s="3">
        <v>-4.4396579999999998E-2</v>
      </c>
      <c r="O23" s="3">
        <v>-7.5441419999999995E-2</v>
      </c>
      <c r="P23" s="3">
        <v>-0.15195244999999999</v>
      </c>
      <c r="Q23" s="3">
        <v>-3.4046710000000001E-2</v>
      </c>
      <c r="R23" s="3">
        <v>-4.9655020000000001E-2</v>
      </c>
      <c r="S23" s="3">
        <v>4.3624162999999994E-2</v>
      </c>
      <c r="T23" s="3">
        <v>-4.8488673999999996E-2</v>
      </c>
      <c r="U23" s="3">
        <v>-0.16177475000000002</v>
      </c>
      <c r="V23" s="3">
        <v>-2.9418706999999999E-2</v>
      </c>
      <c r="W23" s="3">
        <v>-0.13132637999999999</v>
      </c>
      <c r="X23" s="3">
        <v>-8.5474069999999999E-2</v>
      </c>
      <c r="Y23" s="3">
        <v>-0.10329603999999999</v>
      </c>
      <c r="Z23" s="3">
        <v>-8.0512339999999988E-2</v>
      </c>
      <c r="AA23" s="3">
        <v>-6.2125025E-2</v>
      </c>
      <c r="AB23" s="3">
        <v>-8.6313189999999998E-2</v>
      </c>
      <c r="AC23" s="3">
        <v>-8.0503999999999992E-2</v>
      </c>
      <c r="AD23" s="3">
        <v>-0.10269826999999999</v>
      </c>
      <c r="AE23" s="3">
        <v>-7.9486426999999998E-2</v>
      </c>
      <c r="AF23" s="3">
        <v>-6.9012165E-2</v>
      </c>
      <c r="AG23" s="3">
        <v>-0.11552125000000001</v>
      </c>
      <c r="AH23" s="3">
        <v>-8.8442270000000003E-2</v>
      </c>
      <c r="AI23" s="3">
        <v>-8.8432549999999999E-2</v>
      </c>
      <c r="AJ23" s="3"/>
      <c r="AK23" s="3"/>
      <c r="AL23" s="3"/>
    </row>
    <row r="24" spans="1:38" x14ac:dyDescent="0.45">
      <c r="A24" s="2">
        <v>44880</v>
      </c>
      <c r="B24" s="3">
        <v>4.4903279999999997E-2</v>
      </c>
      <c r="C24" s="3">
        <v>0.17667389</v>
      </c>
      <c r="D24" s="3">
        <v>3.5461067999999998E-2</v>
      </c>
      <c r="E24" s="3">
        <v>0.1256708</v>
      </c>
      <c r="F24" s="3">
        <v>0.33028365999999998</v>
      </c>
      <c r="G24" s="3">
        <v>0.19380783000000001</v>
      </c>
      <c r="H24" s="3">
        <v>9.4444510000000009E-2</v>
      </c>
      <c r="I24" s="3">
        <v>0.18751490000000001</v>
      </c>
      <c r="J24" s="3">
        <v>0.18557835</v>
      </c>
      <c r="K24" s="3">
        <v>0.24171983999999999</v>
      </c>
      <c r="L24" s="3">
        <v>1.0127425000000001E-2</v>
      </c>
      <c r="M24" s="3">
        <v>0.20461500000000002</v>
      </c>
      <c r="N24" s="3">
        <v>0.16287780000000002</v>
      </c>
      <c r="O24" s="3">
        <v>8.2837340000000009E-2</v>
      </c>
      <c r="P24" s="3">
        <v>0.13388395</v>
      </c>
      <c r="Q24" s="3">
        <v>-2.3732781E-3</v>
      </c>
      <c r="R24" s="3">
        <v>4.3952346000000003E-2</v>
      </c>
      <c r="S24" s="3">
        <v>0.25120579999999998</v>
      </c>
      <c r="T24" s="3">
        <v>5.0297856000000002E-2</v>
      </c>
      <c r="U24" s="3">
        <v>-0.11237788</v>
      </c>
      <c r="V24" s="3">
        <v>-3.3678173999999998E-2</v>
      </c>
      <c r="W24" s="3">
        <v>0.15092921000000001</v>
      </c>
      <c r="X24" s="3">
        <v>0.16853927999999999</v>
      </c>
      <c r="Y24" s="3">
        <v>0.14243531000000001</v>
      </c>
      <c r="Z24" s="3">
        <v>0.23134326999999999</v>
      </c>
      <c r="AA24" s="3">
        <v>0.12567066999999998</v>
      </c>
      <c r="AB24" s="3">
        <v>0.14304996</v>
      </c>
      <c r="AC24" s="3">
        <v>0.13894176499999999</v>
      </c>
      <c r="AD24" s="3">
        <v>0.10987961</v>
      </c>
      <c r="AE24" s="3">
        <v>0.11425209</v>
      </c>
      <c r="AF24" s="3">
        <v>0.18713653999999999</v>
      </c>
      <c r="AG24" s="3">
        <v>0.27126587000000002</v>
      </c>
      <c r="AH24" s="3">
        <v>0.22013973000000001</v>
      </c>
      <c r="AI24" s="3">
        <v>0.25195395999999998</v>
      </c>
      <c r="AJ24" s="3"/>
      <c r="AK24" s="3"/>
      <c r="AL24" s="3"/>
    </row>
    <row r="25" spans="1:38" x14ac:dyDescent="0.45">
      <c r="A25" s="2">
        <v>44910</v>
      </c>
      <c r="B25" s="3">
        <v>1.6037106999999998E-2</v>
      </c>
      <c r="C25" s="3">
        <v>-4.0539740000000005E-2</v>
      </c>
      <c r="D25" s="3">
        <v>-3.0982375000000003E-2</v>
      </c>
      <c r="E25" s="3">
        <v>3.4985185000000002E-2</v>
      </c>
      <c r="F25" s="3">
        <v>4.6936869999999999E-2</v>
      </c>
      <c r="G25" s="3">
        <v>-4.0681779999999994E-2</v>
      </c>
      <c r="H25" s="3">
        <v>3.9034128000000001E-2</v>
      </c>
      <c r="I25" s="3">
        <v>-1.9998907999999999E-2</v>
      </c>
      <c r="J25" s="3">
        <v>-5.5674314000000003E-2</v>
      </c>
      <c r="K25" s="3">
        <v>-6.9508133E-2</v>
      </c>
      <c r="L25" s="3">
        <v>-8.2437220000000005E-2</v>
      </c>
      <c r="M25" s="3">
        <v>-3.8847566E-2</v>
      </c>
      <c r="N25" s="3">
        <v>4.8834442999999998E-2</v>
      </c>
      <c r="O25" s="3">
        <v>-3.1607926000000001E-2</v>
      </c>
      <c r="P25" s="3">
        <v>5.9163569999999999E-2</v>
      </c>
      <c r="Q25" s="3">
        <v>-0.12387896</v>
      </c>
      <c r="R25" s="3">
        <v>-5.584955E-3</v>
      </c>
      <c r="S25" s="3">
        <v>0.12766659</v>
      </c>
      <c r="T25" s="3">
        <v>-5.7178497000000002E-2</v>
      </c>
      <c r="U25" s="3">
        <v>0.15688073999999999</v>
      </c>
      <c r="V25" s="3">
        <v>-6.902593600000001E-2</v>
      </c>
      <c r="W25" s="3">
        <v>6.5582395000000002E-2</v>
      </c>
      <c r="X25" s="3">
        <v>-7.2002409999999996E-3</v>
      </c>
      <c r="Y25" s="3">
        <v>-4.4595059999999999E-2</v>
      </c>
      <c r="Z25" s="3">
        <v>4.7819613999999996E-3</v>
      </c>
      <c r="AA25" s="3">
        <v>1.4874935000000001E-3</v>
      </c>
      <c r="AB25" s="3">
        <v>-1.4166831999999998E-3</v>
      </c>
      <c r="AC25" s="3">
        <v>4.8546195E-2</v>
      </c>
      <c r="AD25" s="3">
        <v>-4.3194293999999994E-2</v>
      </c>
      <c r="AE25" s="3">
        <v>-2.2233903000000003E-2</v>
      </c>
      <c r="AF25" s="3">
        <v>1.9888401E-2</v>
      </c>
      <c r="AG25" s="3">
        <v>1.2306570999999999E-2</v>
      </c>
      <c r="AH25" s="3">
        <v>8.4433556000000007E-3</v>
      </c>
      <c r="AI25" s="3">
        <v>-1.7373562000000001E-3</v>
      </c>
      <c r="AJ25" s="3"/>
      <c r="AK25" s="3"/>
      <c r="AL25" s="3"/>
    </row>
    <row r="26" spans="1:38" x14ac:dyDescent="0.45">
      <c r="A26" s="2">
        <v>44939</v>
      </c>
      <c r="B26" s="3">
        <v>7.4320079999999997E-2</v>
      </c>
      <c r="C26" s="3">
        <v>7.3783399999999999E-2</v>
      </c>
      <c r="D26" s="3">
        <v>-4.0160418E-3</v>
      </c>
      <c r="E26" s="3">
        <v>0.10759734999999999</v>
      </c>
      <c r="F26" s="3">
        <v>0.13168454000000002</v>
      </c>
      <c r="G26" s="3">
        <v>0.14755260000000001</v>
      </c>
      <c r="H26" s="3">
        <v>5.1569580000000004E-2</v>
      </c>
      <c r="I26" s="3">
        <v>5.3080080000000002E-2</v>
      </c>
      <c r="J26" s="3">
        <v>0.14274191999999999</v>
      </c>
      <c r="K26" s="3">
        <v>0.1246847</v>
      </c>
      <c r="L26" s="3">
        <v>0.11949920999999999</v>
      </c>
      <c r="M26" s="3">
        <v>0.16211594000000001</v>
      </c>
      <c r="N26" s="3">
        <v>8.5552329999999996E-2</v>
      </c>
      <c r="O26" s="3">
        <v>4.2573213999999998E-3</v>
      </c>
      <c r="P26" s="3">
        <v>0.13935291</v>
      </c>
      <c r="Q26" s="3">
        <v>1.9785999999999998E-2</v>
      </c>
      <c r="R26" s="3">
        <v>3.7925482000000003E-2</v>
      </c>
      <c r="S26" s="3">
        <v>-3.9507626999999997E-2</v>
      </c>
      <c r="T26" s="3">
        <v>5.0234794999999997E-3</v>
      </c>
      <c r="U26" s="3">
        <v>-2.1320581000000002E-4</v>
      </c>
      <c r="V26" s="3">
        <v>6.2432527999999994E-2</v>
      </c>
      <c r="W26" s="3">
        <v>3.9711952000000002E-2</v>
      </c>
      <c r="X26" s="3">
        <v>7.6681613999999995E-2</v>
      </c>
      <c r="Y26" s="3">
        <v>6.1928034E-2</v>
      </c>
      <c r="Z26" s="3">
        <v>0.11786008000000001</v>
      </c>
      <c r="AA26" s="3">
        <v>4.1460275999999997E-2</v>
      </c>
      <c r="AB26" s="3">
        <v>5.4622770000000001E-2</v>
      </c>
      <c r="AC26" s="3">
        <v>5.5321930000000005E-2</v>
      </c>
      <c r="AD26" s="3">
        <v>1.7200470000000002E-2</v>
      </c>
      <c r="AE26" s="3">
        <v>2.7518867999999998E-2</v>
      </c>
      <c r="AF26" s="3">
        <v>9.8192689999999999E-2</v>
      </c>
      <c r="AG26" s="3">
        <v>9.8455189999999998E-2</v>
      </c>
      <c r="AH26" s="3">
        <v>6.2481164999999998E-2</v>
      </c>
      <c r="AI26" s="3">
        <v>0.1060493</v>
      </c>
      <c r="AJ26" s="3"/>
      <c r="AK26" s="3"/>
      <c r="AL26" s="3"/>
    </row>
    <row r="27" spans="1:38" x14ac:dyDescent="0.45">
      <c r="A27" s="2">
        <v>44972</v>
      </c>
      <c r="B27" s="3">
        <v>-7.6538919999999998E-3</v>
      </c>
      <c r="C27" s="3">
        <v>7.200289E-2</v>
      </c>
      <c r="D27" s="3">
        <v>4.8387050000000001E-2</v>
      </c>
      <c r="E27" s="3">
        <v>-2.994424E-2</v>
      </c>
      <c r="F27" s="3">
        <v>-5.3160069999999997E-2</v>
      </c>
      <c r="G27" s="3">
        <v>-7.5031100000000003E-2</v>
      </c>
      <c r="H27" s="3">
        <v>-2.08956E-2</v>
      </c>
      <c r="I27" s="3">
        <v>2.6589632000000002E-2</v>
      </c>
      <c r="J27" s="3">
        <v>1.3408542000000001E-2</v>
      </c>
      <c r="K27" s="3">
        <v>-2.611339E-2</v>
      </c>
      <c r="L27" s="3">
        <v>-3.3209084999999999E-2</v>
      </c>
      <c r="M27" s="3">
        <v>-9.1881640000000001E-2</v>
      </c>
      <c r="N27" s="3">
        <v>0.11569380999999999</v>
      </c>
      <c r="O27" s="3">
        <v>-4.6632110000000004E-2</v>
      </c>
      <c r="P27" s="3">
        <v>-4.7141789999999996E-2</v>
      </c>
      <c r="Q27" s="3">
        <v>-5.0865173E-2</v>
      </c>
      <c r="R27" s="3">
        <v>-2.0419420000000001E-2</v>
      </c>
      <c r="S27" s="3">
        <v>4.5007466999999995E-2</v>
      </c>
      <c r="T27" s="3">
        <v>5.6648254000000002E-3</v>
      </c>
      <c r="U27" s="3">
        <v>-5.0440370000000005E-2</v>
      </c>
      <c r="V27" s="3">
        <v>-2.7982771E-2</v>
      </c>
      <c r="W27" s="3">
        <v>1.5238522999999999E-2</v>
      </c>
      <c r="X27" s="3">
        <v>-2.9154419999999999E-3</v>
      </c>
      <c r="Y27" s="3">
        <v>2.1832704999999997E-2</v>
      </c>
      <c r="Z27" s="3">
        <v>1.3673902E-2</v>
      </c>
      <c r="AA27" s="3">
        <v>8.1028940000000011E-3</v>
      </c>
      <c r="AB27" s="3">
        <v>9.4170569999999995E-3</v>
      </c>
      <c r="AC27" s="3">
        <v>5.5180790000000004E-3</v>
      </c>
      <c r="AD27" s="3">
        <v>0.10011744500000001</v>
      </c>
      <c r="AE27" s="3">
        <v>3.8845657999999998E-2</v>
      </c>
      <c r="AF27" s="3">
        <v>2.3861884999999999E-2</v>
      </c>
      <c r="AG27" s="3">
        <v>1.5733003999999998E-2</v>
      </c>
      <c r="AH27" s="3">
        <v>1.8942713999999999E-2</v>
      </c>
      <c r="AI27" s="3">
        <v>3.2748103000000001E-2</v>
      </c>
      <c r="AJ27" s="3"/>
      <c r="AK27" s="3"/>
      <c r="AL27" s="3"/>
    </row>
    <row r="28" spans="1:38" x14ac:dyDescent="0.45">
      <c r="A28" s="2">
        <v>45000</v>
      </c>
      <c r="B28" s="3">
        <v>-5.1320075999999999E-2</v>
      </c>
      <c r="C28" s="3">
        <v>-7.8417960000000009E-2</v>
      </c>
      <c r="D28" s="3">
        <v>-7.6923075000000007E-2</v>
      </c>
      <c r="E28" s="3">
        <v>-7.5376869999999999E-2</v>
      </c>
      <c r="F28" s="3">
        <v>-8.359330999999999E-2</v>
      </c>
      <c r="G28" s="3">
        <v>-3.8707495000000001E-2</v>
      </c>
      <c r="H28" s="3">
        <v>-7.752609299999999E-2</v>
      </c>
      <c r="I28" s="3">
        <v>-3.0855893999999998E-2</v>
      </c>
      <c r="J28" s="3">
        <v>-4.6309175000000001E-2</v>
      </c>
      <c r="K28" s="3">
        <v>-5.7410773999999998E-2</v>
      </c>
      <c r="L28" s="3">
        <v>-7.8163385000000002E-2</v>
      </c>
      <c r="M28" s="3">
        <v>-9.7944144999999996E-2</v>
      </c>
      <c r="N28" s="3">
        <v>-8.6779480000000006E-2</v>
      </c>
      <c r="O28" s="3">
        <v>-6.0276627999999999E-2</v>
      </c>
      <c r="P28" s="3">
        <v>-9.1546590000000011E-2</v>
      </c>
      <c r="Q28" s="3">
        <v>-2.8729319999999999E-2</v>
      </c>
      <c r="R28" s="3">
        <v>-5.0012470000000003E-2</v>
      </c>
      <c r="S28" s="3">
        <v>-4.2784213999999994E-3</v>
      </c>
      <c r="T28" s="3">
        <v>-8.2173590000000005E-2</v>
      </c>
      <c r="U28" s="3">
        <v>-1.4333904E-2</v>
      </c>
      <c r="V28" s="3">
        <v>-5.600625E-2</v>
      </c>
      <c r="W28" s="3">
        <v>-7.3684215999999997E-2</v>
      </c>
      <c r="X28" s="3">
        <v>-8.7719330000000012E-2</v>
      </c>
      <c r="Y28" s="3">
        <v>-9.1369149999999996E-2</v>
      </c>
      <c r="Z28" s="3">
        <v>-6.070292E-2</v>
      </c>
      <c r="AA28" s="3">
        <v>-4.0013969999999996E-2</v>
      </c>
      <c r="AB28" s="3">
        <v>-6.0417595000000004E-2</v>
      </c>
      <c r="AC28" s="3">
        <v>-7.0121946000000004E-2</v>
      </c>
      <c r="AD28" s="3">
        <v>-3.2902002E-2</v>
      </c>
      <c r="AE28" s="3">
        <v>-5.9664726000000001E-2</v>
      </c>
      <c r="AF28" s="3">
        <v>-5.9737563E-2</v>
      </c>
      <c r="AG28" s="3">
        <v>-8.2609710000000003E-2</v>
      </c>
      <c r="AH28" s="3">
        <v>-8.1298590000000004E-2</v>
      </c>
      <c r="AI28" s="3">
        <v>-7.0938230000000005E-2</v>
      </c>
      <c r="AJ28" s="3"/>
      <c r="AK28" s="3"/>
      <c r="AL28" s="3"/>
    </row>
    <row r="29" spans="1:38" x14ac:dyDescent="0.45">
      <c r="A29" s="2">
        <v>45030</v>
      </c>
      <c r="B29" s="3">
        <v>3.0175090000000002E-2</v>
      </c>
      <c r="C29" s="3">
        <v>8.2130910000000001E-2</v>
      </c>
      <c r="D29" s="3">
        <v>0.11990738000000001</v>
      </c>
      <c r="E29" s="3">
        <v>1.6304374E-2</v>
      </c>
      <c r="F29" s="3">
        <v>0.13546633999999999</v>
      </c>
      <c r="G29" s="3">
        <v>0.10959387</v>
      </c>
      <c r="H29" s="3">
        <v>5.6185126000000002E-2</v>
      </c>
      <c r="I29" s="3">
        <v>4.8570750000000003E-2</v>
      </c>
      <c r="J29" s="3">
        <v>9.255207E-2</v>
      </c>
      <c r="K29" s="3">
        <v>0.10558462</v>
      </c>
      <c r="L29" s="3">
        <v>0.11634981</v>
      </c>
      <c r="M29" s="3">
        <v>0.10985923</v>
      </c>
      <c r="N29" s="3">
        <v>0.10600352</v>
      </c>
      <c r="O29" s="3">
        <v>5.573082E-2</v>
      </c>
      <c r="P29" s="3">
        <v>4.7169805000000002E-2</v>
      </c>
      <c r="Q29" s="3">
        <v>3.4129738999999999E-2</v>
      </c>
      <c r="R29" s="3">
        <v>1.7680526000000002E-2</v>
      </c>
      <c r="S29" s="3">
        <v>-1.6041278999999999E-2</v>
      </c>
      <c r="T29" s="3">
        <v>5.7039739999999998E-2</v>
      </c>
      <c r="U29" s="3">
        <v>3.3361912000000001E-2</v>
      </c>
      <c r="V29" s="3">
        <v>0.11034096</v>
      </c>
      <c r="W29" s="3">
        <v>3.7668346999999998E-2</v>
      </c>
      <c r="X29" s="3">
        <v>7.4175715000000003E-2</v>
      </c>
      <c r="Y29" s="3">
        <v>9.6844079999999999E-2</v>
      </c>
      <c r="Z29" s="3">
        <v>0.10128498000000001</v>
      </c>
      <c r="AA29" s="3">
        <v>6.3705919999999999E-2</v>
      </c>
      <c r="AB29" s="3">
        <v>0.11654842</v>
      </c>
      <c r="AC29" s="3">
        <v>0.10065567</v>
      </c>
      <c r="AD29" s="3">
        <v>6.7345860000000007E-2</v>
      </c>
      <c r="AE29" s="3">
        <v>6.3637970000000002E-2</v>
      </c>
      <c r="AF29" s="3">
        <v>0.12022793</v>
      </c>
      <c r="AG29" s="3">
        <v>8.7490319999999996E-2</v>
      </c>
      <c r="AH29" s="3">
        <v>0.10329198999999999</v>
      </c>
      <c r="AI29" s="3">
        <v>0.11681914</v>
      </c>
      <c r="AJ29" s="3"/>
      <c r="AK29" s="3"/>
      <c r="AL29" s="3"/>
    </row>
    <row r="30" spans="1:38" x14ac:dyDescent="0.45">
      <c r="A30" s="2">
        <v>45061</v>
      </c>
      <c r="B30" s="3">
        <v>-3.2326638999999997E-2</v>
      </c>
      <c r="C30" s="3">
        <v>3.6923049999999999E-2</v>
      </c>
      <c r="D30" s="3">
        <v>-1.6949117E-2</v>
      </c>
      <c r="E30" s="3">
        <v>1.9098519999999999E-3</v>
      </c>
      <c r="F30" s="3">
        <v>7.3141455999999994E-2</v>
      </c>
      <c r="G30" s="3">
        <v>-3.1375825000000003E-2</v>
      </c>
      <c r="H30" s="3">
        <v>-2.9950857000000001E-2</v>
      </c>
      <c r="I30" s="3">
        <v>-2.8590379999999999E-2</v>
      </c>
      <c r="J30" s="3">
        <v>5.4803730000000002E-2</v>
      </c>
      <c r="K30" s="3">
        <v>-4.9408016000000006E-2</v>
      </c>
      <c r="L30" s="3">
        <v>2.6907325000000003E-2</v>
      </c>
      <c r="M30" s="3">
        <v>-7.3604050000000004E-2</v>
      </c>
      <c r="N30" s="3">
        <v>-5.8933495999999993E-3</v>
      </c>
      <c r="O30" s="3">
        <v>3.7350655000000003E-2</v>
      </c>
      <c r="P30" s="3">
        <v>-1.5560985000000001E-2</v>
      </c>
      <c r="Q30" s="3">
        <v>4.8404813000000005E-2</v>
      </c>
      <c r="R30" s="3">
        <v>-3.2203794000000001E-2</v>
      </c>
      <c r="S30" s="3">
        <v>-0.13566226000000001</v>
      </c>
      <c r="T30" s="3">
        <v>-4.7814846000000001E-3</v>
      </c>
      <c r="U30" s="3">
        <v>3.2284856000000001E-2</v>
      </c>
      <c r="V30" s="3">
        <v>2.4219751000000001E-2</v>
      </c>
      <c r="W30" s="3">
        <v>1.7643452E-2</v>
      </c>
      <c r="X30" s="3">
        <v>-1.3213933000000001E-2</v>
      </c>
      <c r="Y30" s="3">
        <v>-5.9238075999999999E-3</v>
      </c>
      <c r="Z30" s="3">
        <v>-5.4907200000000001E-3</v>
      </c>
      <c r="AA30" s="3">
        <v>3.6276579999999996E-2</v>
      </c>
      <c r="AB30" s="3">
        <v>2.8371810000000001E-2</v>
      </c>
      <c r="AC30" s="3">
        <v>-8.9359279999999997E-4</v>
      </c>
      <c r="AD30" s="3">
        <v>2.5802849999999999E-2</v>
      </c>
      <c r="AE30" s="3">
        <v>1.3334751E-3</v>
      </c>
      <c r="AF30" s="3">
        <v>-8.9012980000000002E-3</v>
      </c>
      <c r="AG30" s="3">
        <v>-4.2341948000000004E-3</v>
      </c>
      <c r="AH30" s="3">
        <v>8.2135200000000002E-4</v>
      </c>
      <c r="AI30" s="3">
        <v>-1.3547598999999999E-2</v>
      </c>
      <c r="AJ30" s="3"/>
      <c r="AK30" s="3"/>
      <c r="AL30" s="3"/>
    </row>
    <row r="31" spans="1:38" x14ac:dyDescent="0.45">
      <c r="A31" s="2">
        <v>45092</v>
      </c>
      <c r="B31" s="3">
        <v>-4.3192266999999999E-2</v>
      </c>
      <c r="C31" s="3">
        <v>1.4668703E-3</v>
      </c>
      <c r="D31" s="3">
        <v>6.5686699999999995E-3</v>
      </c>
      <c r="E31" s="3">
        <v>-1.7234503999999998E-2</v>
      </c>
      <c r="F31" s="3">
        <v>8.9385510000000001E-2</v>
      </c>
      <c r="G31" s="3">
        <v>3.9332270000000003E-2</v>
      </c>
      <c r="H31" s="3">
        <v>-4.4778466000000003E-2</v>
      </c>
      <c r="I31" s="3">
        <v>0.11864018</v>
      </c>
      <c r="J31" s="3">
        <v>2.671051E-2</v>
      </c>
      <c r="K31" s="3">
        <v>0.11325144999999999</v>
      </c>
      <c r="L31" s="3">
        <v>0.10983849</v>
      </c>
      <c r="M31" s="3">
        <v>7.3097825000000005E-2</v>
      </c>
      <c r="N31" s="3">
        <v>0.14726996000000001</v>
      </c>
      <c r="O31" s="3">
        <v>3.4358025E-2</v>
      </c>
      <c r="P31" s="3">
        <v>3.0242204999999999E-3</v>
      </c>
      <c r="Q31" s="3">
        <v>-1.6272664E-3</v>
      </c>
      <c r="R31" s="3">
        <v>1.0594368E-2</v>
      </c>
      <c r="S31" s="3">
        <v>2.6201843999999998E-2</v>
      </c>
      <c r="T31" s="3">
        <v>1.5935182999999999E-2</v>
      </c>
      <c r="U31" s="3">
        <v>5.6134700000000003E-2</v>
      </c>
      <c r="V31" s="3">
        <v>3.1608581999999996E-2</v>
      </c>
      <c r="W31" s="3">
        <v>-2.0785152999999997E-2</v>
      </c>
      <c r="X31" s="3">
        <v>2.2422670999999998E-2</v>
      </c>
      <c r="Y31" s="3">
        <v>-3.3403040000000001E-3</v>
      </c>
      <c r="Z31" s="3">
        <v>2.5686144999999997E-2</v>
      </c>
      <c r="AA31" s="3">
        <v>5.9441330000000001E-2</v>
      </c>
      <c r="AB31" s="3">
        <v>-2.1126209999999999E-2</v>
      </c>
      <c r="AC31" s="3">
        <v>1.4927387E-3</v>
      </c>
      <c r="AD31" s="3">
        <v>0.13302123999999999</v>
      </c>
      <c r="AE31" s="3">
        <v>7.1644783000000004E-2</v>
      </c>
      <c r="AF31" s="3">
        <v>-2.8287768000000001E-3</v>
      </c>
      <c r="AG31" s="3">
        <v>4.0347695000000003E-2</v>
      </c>
      <c r="AH31" s="3">
        <v>-9.2998146999999989E-3</v>
      </c>
      <c r="AI31" s="3">
        <v>2.6500583000000001E-2</v>
      </c>
      <c r="AJ31" s="3"/>
      <c r="AK31" s="3"/>
      <c r="AL31" s="3"/>
    </row>
    <row r="32" spans="1:38" x14ac:dyDescent="0.45">
      <c r="A32" s="2">
        <v>45121</v>
      </c>
      <c r="B32" s="3">
        <v>-1.3170183E-2</v>
      </c>
      <c r="C32" s="3">
        <v>5.2037000000000007E-2</v>
      </c>
      <c r="D32" s="3">
        <v>6.8230630000000007E-3</v>
      </c>
      <c r="E32" s="3">
        <v>5.8892845999999999E-2</v>
      </c>
      <c r="F32" s="3">
        <v>4.3589710000000004E-2</v>
      </c>
      <c r="G32" s="3">
        <v>4.1180729999999999E-2</v>
      </c>
      <c r="H32" s="3">
        <v>3.5363435999999998E-2</v>
      </c>
      <c r="I32" s="3">
        <v>-6.7305565000000001E-3</v>
      </c>
      <c r="J32" s="3">
        <v>-6.6831709999999999E-3</v>
      </c>
      <c r="K32" s="3">
        <v>2.0883082999999998E-3</v>
      </c>
      <c r="L32" s="3">
        <v>-1.2553573E-2</v>
      </c>
      <c r="M32" s="3">
        <v>1.180768E-3</v>
      </c>
      <c r="N32" s="3">
        <v>6.7697167000000003E-2</v>
      </c>
      <c r="O32" s="3">
        <v>2.9062985999999999E-2</v>
      </c>
      <c r="P32" s="3">
        <v>-2.3655057E-2</v>
      </c>
      <c r="Q32" s="3">
        <v>-1.9661306999999999E-2</v>
      </c>
      <c r="R32" s="3">
        <v>-2.5543869E-2</v>
      </c>
      <c r="S32" s="3">
        <v>6.3923835999999998E-2</v>
      </c>
      <c r="T32" s="3">
        <v>4.4413567000000001E-2</v>
      </c>
      <c r="U32" s="3">
        <v>6.6818476000000002E-2</v>
      </c>
      <c r="V32" s="3">
        <v>1.3869047000000001E-2</v>
      </c>
      <c r="W32" s="3">
        <v>4.665971E-2</v>
      </c>
      <c r="X32" s="3">
        <v>3.0133724E-3</v>
      </c>
      <c r="Y32" s="3">
        <v>1.3517380000000001E-2</v>
      </c>
      <c r="Z32" s="3">
        <v>9.6784829999999999E-3</v>
      </c>
      <c r="AA32" s="3">
        <v>-2.0247996000000001E-2</v>
      </c>
      <c r="AB32" s="3">
        <v>1.7849444999999999E-2</v>
      </c>
      <c r="AC32" s="3">
        <v>-6.6767929999999994E-3</v>
      </c>
      <c r="AD32" s="3">
        <v>2.5200366999999998E-2</v>
      </c>
      <c r="AE32" s="3">
        <v>1.887703E-2</v>
      </c>
      <c r="AF32" s="3">
        <v>3.7095547E-2</v>
      </c>
      <c r="AG32" s="3">
        <v>3.5820959999999999E-2</v>
      </c>
      <c r="AH32" s="3">
        <v>1.3804436000000001E-3</v>
      </c>
      <c r="AI32" s="3">
        <v>5.1004170000000001E-2</v>
      </c>
      <c r="AJ32" s="3"/>
      <c r="AK32" s="3"/>
      <c r="AL32" s="3"/>
    </row>
    <row r="33" spans="1:38" x14ac:dyDescent="0.45">
      <c r="A33" s="2">
        <v>45153</v>
      </c>
      <c r="B33" s="3">
        <v>-3.6921917999999998E-2</v>
      </c>
      <c r="C33" s="3">
        <v>-5.7598469999999999E-2</v>
      </c>
      <c r="D33" s="3">
        <v>-2.6683629E-2</v>
      </c>
      <c r="E33" s="3">
        <v>-8.1942850000000012E-2</v>
      </c>
      <c r="F33" s="3">
        <v>-3.6855041999999998E-2</v>
      </c>
      <c r="G33" s="3">
        <v>-1.6749203000000001E-2</v>
      </c>
      <c r="H33" s="3">
        <v>7.5901746999999997E-3</v>
      </c>
      <c r="I33" s="3">
        <v>-7.3511304999999999E-2</v>
      </c>
      <c r="J33" s="3">
        <v>-2.8164565999999999E-2</v>
      </c>
      <c r="K33" s="3">
        <v>-7.6957464000000003E-2</v>
      </c>
      <c r="L33" s="3">
        <v>-5.0542592999999997E-2</v>
      </c>
      <c r="M33" s="3">
        <v>-6.674534E-2</v>
      </c>
      <c r="N33" s="3">
        <v>-5.6623099999999996E-2</v>
      </c>
      <c r="O33" s="3">
        <v>-2.327156E-2</v>
      </c>
      <c r="P33" s="3">
        <v>-4.0308770000000001E-2</v>
      </c>
      <c r="Q33" s="3">
        <v>3.6211730000000004E-2</v>
      </c>
      <c r="R33" s="3">
        <v>1.851201E-3</v>
      </c>
      <c r="S33" s="3">
        <v>0.14253747999999999</v>
      </c>
      <c r="T33" s="3">
        <v>6.6447259999999992E-4</v>
      </c>
      <c r="U33" s="3">
        <v>8.1850530000000005E-2</v>
      </c>
      <c r="V33" s="3">
        <v>-4.5283080000000003E-2</v>
      </c>
      <c r="W33" s="3">
        <v>-8.4838979999999994E-2</v>
      </c>
      <c r="X33" s="3">
        <v>-6.1373352999999999E-2</v>
      </c>
      <c r="Y33" s="3">
        <v>-3.5187304000000003E-2</v>
      </c>
      <c r="Z33" s="3">
        <v>-4.8271119999999994E-2</v>
      </c>
      <c r="AA33" s="3">
        <v>-3.6046147000000001E-2</v>
      </c>
      <c r="AB33" s="3">
        <v>-3.1692385999999996E-2</v>
      </c>
      <c r="AC33" s="3">
        <v>-2.6275574999999999E-2</v>
      </c>
      <c r="AD33" s="3">
        <v>-3.3371149999999995E-2</v>
      </c>
      <c r="AE33" s="3">
        <v>-1.4222741000000001E-2</v>
      </c>
      <c r="AF33" s="3">
        <v>-4.6676692999999998E-2</v>
      </c>
      <c r="AG33" s="3">
        <v>-6.3843966000000002E-2</v>
      </c>
      <c r="AH33" s="3">
        <v>-7.8025937000000004E-2</v>
      </c>
      <c r="AI33" s="3">
        <v>-4.2766213000000004E-2</v>
      </c>
      <c r="AJ33" s="3"/>
      <c r="AK33" s="3"/>
      <c r="AL33" s="3"/>
    </row>
    <row r="34" spans="1:38" x14ac:dyDescent="0.45">
      <c r="A34" s="2">
        <v>45184</v>
      </c>
      <c r="B34" s="3">
        <v>-2.7998625999999999E-2</v>
      </c>
      <c r="C34" s="3">
        <v>-5.9392213999999999E-2</v>
      </c>
      <c r="D34" s="3">
        <v>-9.1383460000000003E-3</v>
      </c>
      <c r="E34" s="3">
        <v>-2.5040448E-2</v>
      </c>
      <c r="F34" s="3">
        <v>-9.4387769999999996E-2</v>
      </c>
      <c r="G34" s="3">
        <v>-7.5454710000000006E-3</v>
      </c>
      <c r="H34" s="3">
        <v>-3.2956600000000002E-3</v>
      </c>
      <c r="I34" s="3">
        <v>1.9946814E-2</v>
      </c>
      <c r="J34" s="3">
        <v>-3.5421014000000001E-2</v>
      </c>
      <c r="K34" s="3">
        <v>1.7900348E-2</v>
      </c>
      <c r="L34" s="3">
        <v>5.3559659999999995E-2</v>
      </c>
      <c r="M34" s="3">
        <v>-2.5018869999999999E-2</v>
      </c>
      <c r="N34" s="3">
        <v>-4.7256890000000003E-2</v>
      </c>
      <c r="O34" s="3">
        <v>4.3719650000000006E-2</v>
      </c>
      <c r="P34" s="3">
        <v>-1.2064277999999999E-2</v>
      </c>
      <c r="Q34" s="3">
        <v>-5.3763446999999999E-2</v>
      </c>
      <c r="R34" s="3">
        <v>1.4006495000000001E-2</v>
      </c>
      <c r="S34" s="3">
        <v>4.895103E-2</v>
      </c>
      <c r="T34" s="3">
        <v>7.968068E-3</v>
      </c>
      <c r="U34" s="3">
        <v>-1.6447365000000002E-2</v>
      </c>
      <c r="V34" s="3">
        <v>-1.9762814E-2</v>
      </c>
      <c r="W34" s="3">
        <v>-5.3862629999999995E-2</v>
      </c>
      <c r="X34" s="3">
        <v>1.6918063000000001E-2</v>
      </c>
      <c r="Y34" s="3">
        <v>3.7352919999999998E-2</v>
      </c>
      <c r="Z34" s="3">
        <v>-1.6906440000000002E-2</v>
      </c>
      <c r="AA34" s="3">
        <v>4.6867249999999999E-2</v>
      </c>
      <c r="AB34" s="3">
        <v>-5.2368045E-3</v>
      </c>
      <c r="AC34" s="3">
        <v>1.9454001999999998E-2</v>
      </c>
      <c r="AD34" s="3">
        <v>1.1980771999999999E-2</v>
      </c>
      <c r="AE34" s="3">
        <v>4.6583414E-3</v>
      </c>
      <c r="AF34" s="3">
        <v>-1.1442243999999999E-2</v>
      </c>
      <c r="AG34" s="3">
        <v>-7.0565939999999994E-2</v>
      </c>
      <c r="AH34" s="3">
        <v>-1.7344414999999998E-2</v>
      </c>
      <c r="AI34" s="3">
        <v>9.5057489999999991E-4</v>
      </c>
      <c r="AJ34" s="3"/>
      <c r="AK34" s="3"/>
      <c r="AL34" s="3"/>
    </row>
    <row r="35" spans="1:38" x14ac:dyDescent="0.45">
      <c r="A35" s="2">
        <v>45212</v>
      </c>
      <c r="B35" s="3">
        <v>-1.7069757000000001E-2</v>
      </c>
      <c r="C35" s="3">
        <v>-8.4801730000000006E-2</v>
      </c>
      <c r="D35" s="3">
        <v>-4.5674143E-2</v>
      </c>
      <c r="E35" s="3">
        <v>2.2369503999999998E-2</v>
      </c>
      <c r="F35" s="3">
        <v>9.0141296000000003E-3</v>
      </c>
      <c r="G35" s="3">
        <v>-8.0207050000000002E-2</v>
      </c>
      <c r="H35" s="3">
        <v>-1.5588105000000001E-2</v>
      </c>
      <c r="I35" s="3">
        <v>-1.1082172E-2</v>
      </c>
      <c r="J35" s="3">
        <v>-8.462691E-2</v>
      </c>
      <c r="K35" s="3">
        <v>-6.907481E-2</v>
      </c>
      <c r="L35" s="3">
        <v>-6.2926173000000002E-2</v>
      </c>
      <c r="M35" s="3">
        <v>-2.8512478000000002E-3</v>
      </c>
      <c r="N35" s="3">
        <v>-7.5256642999999998E-2</v>
      </c>
      <c r="O35" s="3">
        <v>-1.4627635000000002E-2</v>
      </c>
      <c r="P35" s="3">
        <v>-2.3744999999999999E-2</v>
      </c>
      <c r="Q35" s="3">
        <v>-3.0113696999999998E-2</v>
      </c>
      <c r="R35" s="3">
        <v>-5.9194745999999999E-2</v>
      </c>
      <c r="S35" s="3">
        <v>-4.0000677000000002E-3</v>
      </c>
      <c r="T35" s="3">
        <v>-5.9288559999999997E-2</v>
      </c>
      <c r="U35" s="3">
        <v>-8.3612020000000009E-2</v>
      </c>
      <c r="V35" s="3">
        <v>-7.5100780000000006E-2</v>
      </c>
      <c r="W35" s="3">
        <v>-1.4288962000000001E-2</v>
      </c>
      <c r="X35" s="3">
        <v>-4.8561152999999996E-2</v>
      </c>
      <c r="Y35" s="3">
        <v>-5.9257150000000001E-2</v>
      </c>
      <c r="Z35" s="3">
        <v>-6.0373187000000002E-2</v>
      </c>
      <c r="AA35" s="3">
        <v>-5.4135559999999999E-2</v>
      </c>
      <c r="AB35" s="3">
        <v>-3.3779382999999996E-2</v>
      </c>
      <c r="AC35" s="3">
        <v>-2.5238574E-2</v>
      </c>
      <c r="AD35" s="3">
        <v>-1.3489961999999999E-2</v>
      </c>
      <c r="AE35" s="3">
        <v>-2.6772200000000003E-2</v>
      </c>
      <c r="AF35" s="3">
        <v>-6.5679730000000006E-2</v>
      </c>
      <c r="AG35" s="3">
        <v>-4.3821691999999995E-2</v>
      </c>
      <c r="AH35" s="3">
        <v>1.3085842E-2</v>
      </c>
      <c r="AI35" s="3">
        <v>-4.8116503000000005E-2</v>
      </c>
      <c r="AJ35" s="3"/>
      <c r="AK35" s="3"/>
      <c r="AL35" s="3"/>
    </row>
    <row r="36" spans="1:38" x14ac:dyDescent="0.45">
      <c r="A36" s="2">
        <v>45245</v>
      </c>
      <c r="B36" s="3">
        <v>7.1887970000000002E-3</v>
      </c>
      <c r="C36" s="3">
        <v>4.7332525E-2</v>
      </c>
      <c r="D36" s="3">
        <v>-5.0620436999999994E-3</v>
      </c>
      <c r="E36" s="3">
        <v>-3.6466717999999996E-3</v>
      </c>
      <c r="F36" s="3">
        <v>0.18369627000000002</v>
      </c>
      <c r="G36" s="3">
        <v>3.9835215E-2</v>
      </c>
      <c r="H36" s="3">
        <v>3.1669854999999997E-2</v>
      </c>
      <c r="I36" s="3">
        <v>4.1089891999999996E-2</v>
      </c>
      <c r="J36" s="3">
        <v>0.12837351</v>
      </c>
      <c r="K36" s="3">
        <v>6.0925840000000002E-2</v>
      </c>
      <c r="L36" s="3">
        <v>0.11147869000000001</v>
      </c>
      <c r="M36" s="3">
        <v>7.6163290000000008E-2</v>
      </c>
      <c r="N36" s="3">
        <v>0.11683106</v>
      </c>
      <c r="O36" s="3">
        <v>1.0796189000000001E-2</v>
      </c>
      <c r="P36" s="3">
        <v>3.9610862999999996E-2</v>
      </c>
      <c r="Q36" s="3">
        <v>2.5190353000000002E-2</v>
      </c>
      <c r="R36" s="3">
        <v>-2.4525225000000001E-2</v>
      </c>
      <c r="S36" s="3">
        <v>-8.3534129999999998E-2</v>
      </c>
      <c r="T36" s="3">
        <v>3.3613443E-2</v>
      </c>
      <c r="U36" s="3">
        <v>-2.1167874000000003E-2</v>
      </c>
      <c r="V36" s="3">
        <v>7.9018949999999991E-2</v>
      </c>
      <c r="W36" s="3">
        <v>3.8426160000000001E-2</v>
      </c>
      <c r="X36" s="3">
        <v>4.8676730000000001E-2</v>
      </c>
      <c r="Y36" s="3">
        <v>3.3453941000000001E-2</v>
      </c>
      <c r="Z36" s="3">
        <v>7.1261643999999999E-2</v>
      </c>
      <c r="AA36" s="3">
        <v>2.6854634000000002E-2</v>
      </c>
      <c r="AB36" s="3">
        <v>4.5403242000000002E-3</v>
      </c>
      <c r="AC36" s="3">
        <v>4.1048526999999998E-3</v>
      </c>
      <c r="AD36" s="3">
        <v>5.5683255000000001E-2</v>
      </c>
      <c r="AE36" s="3">
        <v>4.2132139999999998E-2</v>
      </c>
      <c r="AF36" s="3">
        <v>6.2518119999999996E-2</v>
      </c>
      <c r="AG36" s="3">
        <v>0.11217700999999999</v>
      </c>
      <c r="AH36" s="3">
        <v>5.7374596999999999E-2</v>
      </c>
      <c r="AI36" s="3">
        <v>7.2165010000000002E-2</v>
      </c>
      <c r="AJ36" s="3"/>
      <c r="AK36" s="3"/>
      <c r="AL36" s="3"/>
    </row>
    <row r="37" spans="1:38" x14ac:dyDescent="0.45">
      <c r="A37" s="2">
        <v>45275</v>
      </c>
      <c r="B37" s="3">
        <v>-5.5271983000000004E-2</v>
      </c>
      <c r="C37" s="3">
        <v>9.4599719999999998E-2</v>
      </c>
      <c r="D37" s="3">
        <v>1.2950896999999999E-2</v>
      </c>
      <c r="E37" s="3">
        <v>4.5953629999999995E-2</v>
      </c>
      <c r="F37" s="3">
        <v>7.1226360000000002E-2</v>
      </c>
      <c r="G37" s="3">
        <v>0.11704100000000001</v>
      </c>
      <c r="H37" s="3">
        <v>-6.9767237000000005E-3</v>
      </c>
      <c r="I37" s="3">
        <v>4.4744609999999997E-2</v>
      </c>
      <c r="J37" s="3">
        <v>9.4214549999999994E-2</v>
      </c>
      <c r="K37" s="3">
        <v>2.566564E-2</v>
      </c>
      <c r="L37" s="3">
        <v>2.9464364E-2</v>
      </c>
      <c r="M37" s="3">
        <v>1.0386467E-2</v>
      </c>
      <c r="N37" s="3">
        <v>2.4844050000000003E-2</v>
      </c>
      <c r="O37" s="3">
        <v>7.4766396999999998E-2</v>
      </c>
      <c r="P37" s="3">
        <v>-8.199643999999999E-2</v>
      </c>
      <c r="Q37" s="3">
        <v>-1.6571461999999999E-2</v>
      </c>
      <c r="R37" s="3">
        <v>-1.7058014999999999E-2</v>
      </c>
      <c r="S37" s="3">
        <v>2.2786974999999998E-2</v>
      </c>
      <c r="T37" s="3">
        <v>-1.3550103000000001E-2</v>
      </c>
      <c r="U37" s="3">
        <v>-2.013421E-2</v>
      </c>
      <c r="V37" s="3">
        <v>4.5707107000000004E-2</v>
      </c>
      <c r="W37" s="3">
        <v>4.8748136000000004E-2</v>
      </c>
      <c r="X37" s="3">
        <v>7.3907136999999998E-2</v>
      </c>
      <c r="Y37" s="3">
        <v>4.8410653999999997E-2</v>
      </c>
      <c r="Z37" s="3">
        <v>6.3976765000000005E-2</v>
      </c>
      <c r="AA37" s="3">
        <v>3.2526970000000002E-2</v>
      </c>
      <c r="AB37" s="3">
        <v>5.7853102999999996E-2</v>
      </c>
      <c r="AC37" s="3">
        <v>3.3647775999999997E-2</v>
      </c>
      <c r="AD37" s="3">
        <v>5.1138400000000001E-2</v>
      </c>
      <c r="AE37" s="3">
        <v>4.7936439999999997E-2</v>
      </c>
      <c r="AF37" s="3">
        <v>5.6399106999999997E-2</v>
      </c>
      <c r="AG37" s="3">
        <v>6.9645404999999994E-2</v>
      </c>
      <c r="AH37" s="3">
        <v>0.11903404999999999</v>
      </c>
      <c r="AI37" s="3">
        <v>4.2493819999999995E-2</v>
      </c>
      <c r="AJ37" s="3"/>
      <c r="AK37" s="3"/>
      <c r="AL37" s="3"/>
    </row>
    <row r="38" spans="1:38" x14ac:dyDescent="0.45">
      <c r="A38" s="2">
        <v>45303</v>
      </c>
      <c r="B38" s="3">
        <v>-2.9421805999999998E-2</v>
      </c>
      <c r="C38" s="3">
        <v>-8.1955249999999993E-2</v>
      </c>
      <c r="D38" s="3">
        <v>4.2147400000000002E-2</v>
      </c>
      <c r="E38" s="3">
        <v>4.3099403000000001E-2</v>
      </c>
      <c r="F38" s="3">
        <v>-2.0620823E-2</v>
      </c>
      <c r="G38" s="3">
        <v>2.6272774000000002E-2</v>
      </c>
      <c r="H38" s="3">
        <v>1.9581556E-2</v>
      </c>
      <c r="I38" s="3">
        <v>4.2876004999999997E-3</v>
      </c>
      <c r="J38" s="3">
        <v>-4.9622655000000002E-3</v>
      </c>
      <c r="K38" s="3">
        <v>-1.5248895E-2</v>
      </c>
      <c r="L38" s="3">
        <v>2.8655887000000001E-2</v>
      </c>
      <c r="M38" s="3">
        <v>-4.1737437000000002E-2</v>
      </c>
      <c r="N38" s="3">
        <v>7.2193383999999999E-2</v>
      </c>
      <c r="O38" s="3">
        <v>3.4368515000000002E-2</v>
      </c>
      <c r="P38" s="3">
        <v>-3.4915686000000001E-2</v>
      </c>
      <c r="Q38" s="3">
        <v>4.5903563000000001E-2</v>
      </c>
      <c r="R38" s="3">
        <v>1.1495113E-2</v>
      </c>
      <c r="S38" s="3">
        <v>-2.4039328000000002E-2</v>
      </c>
      <c r="T38" s="3">
        <v>5.1465272999999999E-2</v>
      </c>
      <c r="U38" s="3">
        <v>2.1500826000000001E-2</v>
      </c>
      <c r="V38" s="3">
        <v>4.6307682999999995E-2</v>
      </c>
      <c r="W38" s="3">
        <v>3.7848592E-2</v>
      </c>
      <c r="X38" s="3">
        <v>1.5463948E-2</v>
      </c>
      <c r="Y38" s="3">
        <v>2.3775457999999999E-2</v>
      </c>
      <c r="Z38" s="3">
        <v>-1.6559958E-3</v>
      </c>
      <c r="AA38" s="3">
        <v>6.6429139999999998E-2</v>
      </c>
      <c r="AB38" s="3">
        <v>2.2858380999999997E-2</v>
      </c>
      <c r="AC38" s="3">
        <v>1.9598007000000001E-2</v>
      </c>
      <c r="AD38" s="3">
        <v>1.2948275E-2</v>
      </c>
      <c r="AE38" s="3">
        <v>1.5660643999999998E-2</v>
      </c>
      <c r="AF38" s="3">
        <v>-7.9542399999999996E-3</v>
      </c>
      <c r="AG38" s="3">
        <v>-1.6534150000000001E-2</v>
      </c>
      <c r="AH38" s="3">
        <v>-1.7188369999999998E-2</v>
      </c>
      <c r="AI38" s="3">
        <v>2.1052003E-2</v>
      </c>
      <c r="AJ38" s="3"/>
      <c r="AK38" s="3"/>
      <c r="AL38" s="3"/>
    </row>
    <row r="39" spans="1:38" x14ac:dyDescent="0.45">
      <c r="A39" s="2">
        <v>45337</v>
      </c>
      <c r="B39" s="3">
        <v>2.22404E-2</v>
      </c>
      <c r="C39" s="3">
        <v>-3.1070173E-2</v>
      </c>
      <c r="D39" s="3">
        <v>9.7173449999999988E-3</v>
      </c>
      <c r="E39" s="3">
        <v>3.7955641999999998E-2</v>
      </c>
      <c r="F39" s="3">
        <v>4.1647315000000004E-2</v>
      </c>
      <c r="G39" s="3">
        <v>2.4999976E-2</v>
      </c>
      <c r="H39" s="3">
        <v>-6.0775876E-3</v>
      </c>
      <c r="I39" s="3">
        <v>5.1700710000000004E-2</v>
      </c>
      <c r="J39" s="3">
        <v>1.8538117E-2</v>
      </c>
      <c r="K39" s="3">
        <v>3.9602400000000003E-2</v>
      </c>
      <c r="L39" s="3">
        <v>-4.4845699999999995E-2</v>
      </c>
      <c r="M39" s="3">
        <v>-3.5867690000000001E-2</v>
      </c>
      <c r="N39" s="3">
        <v>2.2808790000000002E-2</v>
      </c>
      <c r="O39" s="3">
        <v>2.2418021999999999E-2</v>
      </c>
      <c r="P39" s="3">
        <v>-1.5214026E-2</v>
      </c>
      <c r="Q39" s="3">
        <v>-2.8333365999999999E-2</v>
      </c>
      <c r="R39" s="3">
        <v>-1.4036775E-2</v>
      </c>
      <c r="S39" s="3">
        <v>0.13250518</v>
      </c>
      <c r="T39" s="3">
        <v>-2.2024990000000001E-2</v>
      </c>
      <c r="U39" s="3">
        <v>2.7494192000000001E-2</v>
      </c>
      <c r="V39" s="3">
        <v>4.0224549999999998E-2</v>
      </c>
      <c r="W39" s="3">
        <v>-6.1720667E-2</v>
      </c>
      <c r="X39" s="3">
        <v>1.6870499E-3</v>
      </c>
      <c r="Y39" s="3">
        <v>1.0740876E-2</v>
      </c>
      <c r="Z39" s="3">
        <v>8.8980199999999995E-3</v>
      </c>
      <c r="AA39" s="3">
        <v>1.8214703000000002E-2</v>
      </c>
      <c r="AB39" s="3">
        <v>-2.3809493000000001E-2</v>
      </c>
      <c r="AC39" s="3">
        <v>-1.1904715999999999E-2</v>
      </c>
      <c r="AD39" s="3">
        <v>6.0919046000000004E-2</v>
      </c>
      <c r="AE39" s="3">
        <v>5.3138375000000002E-2</v>
      </c>
      <c r="AF39" s="3">
        <v>2.0572781999999998E-2</v>
      </c>
      <c r="AG39" s="3">
        <v>8.4442379999999997E-2</v>
      </c>
      <c r="AH39" s="3">
        <v>1.0852337E-2</v>
      </c>
      <c r="AI39" s="3">
        <v>2.0950079999999999E-2</v>
      </c>
      <c r="AJ39" s="3"/>
      <c r="AK39" s="3"/>
      <c r="AL39" s="3"/>
    </row>
    <row r="40" spans="1:38" x14ac:dyDescent="0.45">
      <c r="A40" s="2">
        <v>45366</v>
      </c>
      <c r="B40" s="3">
        <v>6.2275530000000003E-2</v>
      </c>
      <c r="C40" s="3">
        <v>7.6405405999999995E-2</v>
      </c>
      <c r="D40" s="3">
        <v>-6.5617559999999993E-3</v>
      </c>
      <c r="E40" s="3">
        <v>-8.6894034999999998E-3</v>
      </c>
      <c r="F40" s="3">
        <v>2.5322079999999997E-2</v>
      </c>
      <c r="G40" s="3">
        <v>0.12367296</v>
      </c>
      <c r="H40" s="3">
        <v>3.9981245999999998E-2</v>
      </c>
      <c r="I40" s="3">
        <v>4.1828393999999998E-2</v>
      </c>
      <c r="J40" s="3">
        <v>-9.3223449999999992E-3</v>
      </c>
      <c r="K40" s="3">
        <v>2.8217553999999999E-2</v>
      </c>
      <c r="L40" s="3">
        <v>-2.164632E-2</v>
      </c>
      <c r="M40" s="3">
        <v>3.9298533999999998E-3</v>
      </c>
      <c r="N40" s="3">
        <v>1.0022640000000001E-2</v>
      </c>
      <c r="O40" s="3">
        <v>-1.0963202E-2</v>
      </c>
      <c r="P40" s="3">
        <v>4.8703909999999996E-2</v>
      </c>
      <c r="Q40" s="3">
        <v>2.8130411999999997E-2</v>
      </c>
      <c r="R40" s="3">
        <v>-8.8661909999999998E-4</v>
      </c>
      <c r="S40" s="3">
        <v>-8.5400880000000012E-2</v>
      </c>
      <c r="T40" s="3">
        <v>-1.512605E-2</v>
      </c>
      <c r="U40" s="3">
        <v>3.3639192999999998E-2</v>
      </c>
      <c r="V40" s="3">
        <v>2.2482872000000002E-4</v>
      </c>
      <c r="W40" s="3">
        <v>-1.1075138999999999E-3</v>
      </c>
      <c r="X40" s="3">
        <v>1.1789559999999999E-2</v>
      </c>
      <c r="Y40" s="3">
        <v>2.8065323999999999E-2</v>
      </c>
      <c r="Z40" s="3">
        <v>5.7327030000000001E-2</v>
      </c>
      <c r="AA40" s="3">
        <v>2.8533458999999997E-2</v>
      </c>
      <c r="AB40" s="3">
        <v>3.2520293999999998E-2</v>
      </c>
      <c r="AC40" s="3">
        <v>3.2437444000000003E-2</v>
      </c>
      <c r="AD40" s="3">
        <v>-1.3578534000000001E-3</v>
      </c>
      <c r="AE40" s="3">
        <v>1.8754363E-2</v>
      </c>
      <c r="AF40" s="3">
        <v>6.0729860000000004E-2</v>
      </c>
      <c r="AG40" s="3">
        <v>1.8832088E-2</v>
      </c>
      <c r="AH40" s="3">
        <v>7.2532059999999995E-2</v>
      </c>
      <c r="AI40" s="3">
        <v>7.6011540000000002E-2</v>
      </c>
      <c r="AJ40" s="3"/>
      <c r="AK40" s="3"/>
      <c r="AL40" s="3"/>
    </row>
    <row r="41" spans="1:38" x14ac:dyDescent="0.45">
      <c r="A41" s="2">
        <v>45397</v>
      </c>
      <c r="B41" s="3">
        <v>-1.5783548000000001E-2</v>
      </c>
      <c r="C41" s="3">
        <v>-3.6778211999999998E-2</v>
      </c>
      <c r="D41" s="3">
        <v>-5.4161130000000002E-2</v>
      </c>
      <c r="E41" s="3">
        <v>-7.0489350000000006E-2</v>
      </c>
      <c r="F41" s="3">
        <v>2.1663903999999999E-3</v>
      </c>
      <c r="G41" s="3">
        <v>5.6179760000000002E-3</v>
      </c>
      <c r="H41" s="3">
        <v>-2.4875699999999997E-2</v>
      </c>
      <c r="I41" s="3">
        <v>-1.3658941000000001E-2</v>
      </c>
      <c r="J41" s="3">
        <v>-6.1239004E-3</v>
      </c>
      <c r="K41" s="3">
        <v>-5.0769925E-2</v>
      </c>
      <c r="L41" s="3">
        <v>-3.9887845999999998E-2</v>
      </c>
      <c r="M41" s="3">
        <v>1.6962409000000001E-2</v>
      </c>
      <c r="N41" s="3">
        <v>-5.1352023999999996E-2</v>
      </c>
      <c r="O41" s="3">
        <v>1.4647603E-2</v>
      </c>
      <c r="P41" s="3">
        <v>-1.5480638E-2</v>
      </c>
      <c r="Q41" s="3">
        <v>-3.2921850000000003E-2</v>
      </c>
      <c r="R41" s="3">
        <v>7.4601173000000002E-3</v>
      </c>
      <c r="S41" s="3">
        <v>9.5659620000000001E-2</v>
      </c>
      <c r="T41" s="3">
        <v>1.5017032999999999E-2</v>
      </c>
      <c r="U41" s="3">
        <v>-7.1745577000000005E-2</v>
      </c>
      <c r="V41" s="3">
        <v>-8.9908239999999997E-3</v>
      </c>
      <c r="W41" s="3">
        <v>-1.7738342000000001E-2</v>
      </c>
      <c r="X41" s="3">
        <v>-1.2484431000000001E-2</v>
      </c>
      <c r="Y41" s="3">
        <v>-2.2528470000000002E-2</v>
      </c>
      <c r="Z41" s="3">
        <v>-2.9194713000000001E-2</v>
      </c>
      <c r="AA41" s="3">
        <v>-1.1499226E-2</v>
      </c>
      <c r="AB41" s="3">
        <v>-5.4703654999999997E-2</v>
      </c>
      <c r="AC41" s="3">
        <v>5.9844255000000004E-3</v>
      </c>
      <c r="AD41" s="3">
        <v>-5.2889584999999996E-3</v>
      </c>
      <c r="AE41" s="3">
        <v>-1.0552466E-2</v>
      </c>
      <c r="AF41" s="3">
        <v>-4.7630489999999998E-2</v>
      </c>
      <c r="AG41" s="3">
        <v>-1.4537573000000001E-3</v>
      </c>
      <c r="AH41" s="3">
        <v>-4.9316406E-2</v>
      </c>
      <c r="AI41" s="3">
        <v>-3.3037840999999998E-2</v>
      </c>
      <c r="AJ41" s="3"/>
      <c r="AK41" s="3"/>
      <c r="AL41" s="3"/>
    </row>
    <row r="42" spans="1:38" x14ac:dyDescent="0.45">
      <c r="A42" s="2">
        <v>45427</v>
      </c>
      <c r="B42" s="3">
        <v>3.2646060000000005E-2</v>
      </c>
      <c r="C42" s="3">
        <v>0.10882020000000001</v>
      </c>
      <c r="D42" s="3">
        <v>-2.8398454000000004E-2</v>
      </c>
      <c r="E42" s="3">
        <v>1.6110062999999997E-2</v>
      </c>
      <c r="F42" s="3">
        <v>0.11197578</v>
      </c>
      <c r="G42" s="3">
        <v>0.10111224999999999</v>
      </c>
      <c r="H42" s="3">
        <v>7.2820067000000002E-2</v>
      </c>
      <c r="I42" s="3">
        <v>7.6584219999999995E-2</v>
      </c>
      <c r="J42" s="3">
        <v>3.1259418000000004E-2</v>
      </c>
      <c r="K42" s="3">
        <v>7.4847460000000005E-2</v>
      </c>
      <c r="L42" s="3">
        <v>2.6614784999999998E-2</v>
      </c>
      <c r="M42" s="3">
        <v>0.12368488</v>
      </c>
      <c r="N42" s="3">
        <v>0.118723755</v>
      </c>
      <c r="O42" s="3">
        <v>2.0874022999999998E-2</v>
      </c>
      <c r="P42" s="3">
        <v>0.17321836000000002</v>
      </c>
      <c r="Q42" s="3">
        <v>-6.3254239999999996E-3</v>
      </c>
      <c r="R42" s="3">
        <v>-1.8576622000000001E-2</v>
      </c>
      <c r="S42" s="3">
        <v>7.2973610000000008E-2</v>
      </c>
      <c r="T42" s="3">
        <v>-3.9004682999999998E-2</v>
      </c>
      <c r="U42" s="3">
        <v>2.1513939999999999E-2</v>
      </c>
      <c r="V42" s="3">
        <v>-3.9011119999999996E-2</v>
      </c>
      <c r="W42" s="3">
        <v>2.4830700000000001E-2</v>
      </c>
      <c r="X42" s="3">
        <v>5.436158E-2</v>
      </c>
      <c r="Y42" s="3">
        <v>3.8503170000000003E-2</v>
      </c>
      <c r="Z42" s="3">
        <v>8.1956390000000004E-2</v>
      </c>
      <c r="AA42" s="3">
        <v>2.9083490000000002E-3</v>
      </c>
      <c r="AB42" s="3">
        <v>6.9048642999999993E-2</v>
      </c>
      <c r="AC42" s="3">
        <v>9.1314679999999995E-2</v>
      </c>
      <c r="AD42" s="3">
        <v>5.0665735999999996E-2</v>
      </c>
      <c r="AE42" s="3">
        <v>5.0213099999999997E-2</v>
      </c>
      <c r="AF42" s="3">
        <v>7.5524209999999994E-2</v>
      </c>
      <c r="AG42" s="3">
        <v>7.6123120000000002E-2</v>
      </c>
      <c r="AH42" s="3">
        <v>7.2419047E-2</v>
      </c>
      <c r="AI42" s="3">
        <v>9.1944459999999992E-2</v>
      </c>
      <c r="AJ42" s="3"/>
      <c r="AK42" s="3"/>
      <c r="AL42" s="3"/>
    </row>
    <row r="43" spans="1:38" x14ac:dyDescent="0.45">
      <c r="A43" s="2">
        <v>45457</v>
      </c>
      <c r="B43" s="3">
        <v>-3.3556044E-2</v>
      </c>
      <c r="C43" s="3">
        <v>-6.9457890000000008E-2</v>
      </c>
      <c r="D43" s="3">
        <v>-9.4792729999999992E-2</v>
      </c>
      <c r="E43" s="3">
        <v>-5.7902517000000001E-2</v>
      </c>
      <c r="F43" s="3">
        <v>-9.7285570000000002E-2</v>
      </c>
      <c r="G43" s="3">
        <v>-5.8399859999999998E-2</v>
      </c>
      <c r="H43" s="3">
        <v>-4.1888951999999998E-3</v>
      </c>
      <c r="I43" s="3">
        <v>3.5275698000000001E-2</v>
      </c>
      <c r="J43" s="3">
        <v>-0.18278812</v>
      </c>
      <c r="K43" s="3">
        <v>-3.5863757000000003E-2</v>
      </c>
      <c r="L43" s="3">
        <v>-0.10953784000000001</v>
      </c>
      <c r="M43" s="3">
        <v>-4.1823744999999996E-2</v>
      </c>
      <c r="N43" s="3">
        <v>-7.5736284000000001E-2</v>
      </c>
      <c r="O43" s="3">
        <v>5.4270864000000002E-2</v>
      </c>
      <c r="P43" s="3">
        <v>-6.3558100000000006E-2</v>
      </c>
      <c r="Q43" s="3">
        <v>-6.9314839999999999E-3</v>
      </c>
      <c r="R43" s="3">
        <v>-4.6612679999999997E-2</v>
      </c>
      <c r="S43" s="3">
        <v>1.1147857000000001E-2</v>
      </c>
      <c r="T43" s="3">
        <v>-2.8271437E-2</v>
      </c>
      <c r="U43" s="3">
        <v>-9.360373E-3</v>
      </c>
      <c r="V43" s="3">
        <v>-3.6993026999999998E-2</v>
      </c>
      <c r="W43" s="3">
        <v>1.4389872999999999E-2</v>
      </c>
      <c r="X43" s="3">
        <v>-1.8408596999999999E-2</v>
      </c>
      <c r="Y43" s="3">
        <v>-3.6919713E-2</v>
      </c>
      <c r="Z43" s="3">
        <v>-6.0775099999999999E-2</v>
      </c>
      <c r="AA43" s="3">
        <v>-1.9404173E-2</v>
      </c>
      <c r="AB43" s="3">
        <v>2.0977258999999998E-2</v>
      </c>
      <c r="AC43" s="3">
        <v>-2.988118E-2</v>
      </c>
      <c r="AD43" s="3">
        <v>5.8048130000000003E-2</v>
      </c>
      <c r="AE43" s="3">
        <v>2.4538516999999999E-2</v>
      </c>
      <c r="AF43" s="3">
        <v>-9.5240889999999995E-2</v>
      </c>
      <c r="AG43" s="3">
        <v>-1.4909684999999999E-2</v>
      </c>
      <c r="AH43" s="3">
        <v>-2.0871520000000001E-2</v>
      </c>
      <c r="AI43" s="3">
        <v>-8.0031339999999992E-2</v>
      </c>
      <c r="AJ43" s="3"/>
      <c r="AK43" s="3"/>
      <c r="AL43" s="3"/>
    </row>
    <row r="44" spans="1:38" x14ac:dyDescent="0.45">
      <c r="A44" s="2">
        <v>45488</v>
      </c>
      <c r="B44" s="3">
        <v>-1.7267823000000002E-2</v>
      </c>
      <c r="C44" s="3">
        <v>3.4927844999999999E-2</v>
      </c>
      <c r="D44" s="3">
        <v>0.10465754000000001</v>
      </c>
      <c r="E44" s="3">
        <v>5.4999947999999993E-2</v>
      </c>
      <c r="F44" s="3">
        <v>0.11627901</v>
      </c>
      <c r="G44" s="3">
        <v>4.7929764E-2</v>
      </c>
      <c r="H44" s="3">
        <v>2.7348995000000001E-2</v>
      </c>
      <c r="I44" s="3">
        <v>5.1769613999999999E-2</v>
      </c>
      <c r="J44" s="3">
        <v>8.8113670000000005E-2</v>
      </c>
      <c r="K44" s="3">
        <v>4.7892213000000003E-2</v>
      </c>
      <c r="L44" s="3">
        <v>6.8206787000000005E-2</v>
      </c>
      <c r="M44" s="3">
        <v>7.3589799999999997E-2</v>
      </c>
      <c r="N44" s="3">
        <v>7.2335362E-2</v>
      </c>
      <c r="O44" s="3">
        <v>3.6070346999999996E-2</v>
      </c>
      <c r="P44" s="3">
        <v>-1.1592507000000001E-3</v>
      </c>
      <c r="Q44" s="3">
        <v>5.7962179999999995E-2</v>
      </c>
      <c r="R44" s="3">
        <v>1.5973210000000002E-2</v>
      </c>
      <c r="S44" s="3">
        <v>5.1070093999999996E-2</v>
      </c>
      <c r="T44" s="3">
        <v>4.1916250000000002E-2</v>
      </c>
      <c r="U44" s="3">
        <v>-2.7558981999999999E-2</v>
      </c>
      <c r="V44" s="3">
        <v>3.4079551999999999E-2</v>
      </c>
      <c r="W44" s="3">
        <v>1.9186974000000002E-2</v>
      </c>
      <c r="X44" s="3">
        <v>6.0191034999999997E-2</v>
      </c>
      <c r="Y44" s="3">
        <v>5.6376457000000005E-2</v>
      </c>
      <c r="Z44" s="3">
        <v>5.2982329999999994E-2</v>
      </c>
      <c r="AA44" s="3">
        <v>5.8543086000000001E-2</v>
      </c>
      <c r="AB44" s="3">
        <v>1.1072397000000001E-2</v>
      </c>
      <c r="AC44" s="3">
        <v>2.3202538000000002E-2</v>
      </c>
      <c r="AD44" s="3">
        <v>3.7056565E-2</v>
      </c>
      <c r="AE44" s="3">
        <v>3.7886500000000004E-2</v>
      </c>
      <c r="AF44" s="3">
        <v>3.7981389999999997E-2</v>
      </c>
      <c r="AG44" s="3">
        <v>3.373015E-2</v>
      </c>
      <c r="AH44" s="3">
        <v>1.2922405999999999E-2</v>
      </c>
      <c r="AI44" s="3">
        <v>6.3190700000000002E-2</v>
      </c>
      <c r="AJ44" s="3"/>
      <c r="AK44" s="3"/>
      <c r="AL44" s="3"/>
    </row>
    <row r="45" spans="1:38" x14ac:dyDescent="0.45">
      <c r="A45" s="2">
        <v>45519</v>
      </c>
      <c r="B45" s="3">
        <v>-2.538079E-2</v>
      </c>
      <c r="C45" s="3">
        <v>-3.5583258E-2</v>
      </c>
      <c r="D45" s="3">
        <v>4.9603224000000001E-2</v>
      </c>
      <c r="E45" s="3">
        <v>3.9889454999999997E-2</v>
      </c>
      <c r="F45" s="3">
        <v>-5.5817604E-2</v>
      </c>
      <c r="G45" s="3">
        <v>-3.6877333999999998E-2</v>
      </c>
      <c r="H45" s="3">
        <v>4.0360569999999998E-2</v>
      </c>
      <c r="I45" s="3">
        <v>-4.7252536000000005E-2</v>
      </c>
      <c r="J45" s="3">
        <v>-5.0570130000000005E-2</v>
      </c>
      <c r="K45" s="3">
        <v>-4.8365709999999999E-2</v>
      </c>
      <c r="L45" s="3">
        <v>3.3642291999999997E-2</v>
      </c>
      <c r="M45" s="3">
        <v>3.7204146E-2</v>
      </c>
      <c r="N45" s="3">
        <v>-1.6559958E-3</v>
      </c>
      <c r="O45" s="3">
        <v>-2.2568226E-2</v>
      </c>
      <c r="P45" s="3">
        <v>-2.6926756E-2</v>
      </c>
      <c r="Q45" s="3">
        <v>1.6147733000000001E-2</v>
      </c>
      <c r="R45" s="3">
        <v>-2.8317928000000003E-2</v>
      </c>
      <c r="S45" s="3">
        <v>-0.10920870000000001</v>
      </c>
      <c r="T45" s="3">
        <v>5.1724195000000001E-2</v>
      </c>
      <c r="U45" s="3">
        <v>-4.1295586000000002E-2</v>
      </c>
      <c r="V45" s="3">
        <v>-9.6225740000000003E-4</v>
      </c>
      <c r="W45" s="3">
        <v>2.8338313E-2</v>
      </c>
      <c r="X45" s="3">
        <v>-3.2889605000000002E-2</v>
      </c>
      <c r="Y45" s="3">
        <v>1.2953401E-2</v>
      </c>
      <c r="Z45" s="3">
        <v>-1.7088651999999999E-2</v>
      </c>
      <c r="AA45" s="3">
        <v>-2.8848767000000001E-2</v>
      </c>
      <c r="AB45" s="3">
        <v>2.1090984E-2</v>
      </c>
      <c r="AC45" s="3">
        <v>2.0436764E-2</v>
      </c>
      <c r="AD45" s="3">
        <v>-4.3797196999999996E-2</v>
      </c>
      <c r="AE45" s="3">
        <v>-1.5066028E-2</v>
      </c>
      <c r="AF45" s="3">
        <v>-1.4841378000000001E-2</v>
      </c>
      <c r="AG45" s="3">
        <v>-4.6832979999999996E-2</v>
      </c>
      <c r="AH45" s="3">
        <v>-2.2325813999999999E-2</v>
      </c>
      <c r="AI45" s="3">
        <v>-1.6258001000000001E-2</v>
      </c>
      <c r="AJ45" s="3"/>
      <c r="AK45" s="3"/>
      <c r="AL45" s="3"/>
    </row>
    <row r="46" spans="1:38" x14ac:dyDescent="0.45">
      <c r="A46" s="2">
        <v>45548</v>
      </c>
      <c r="B46" s="3">
        <v>-4.4871749999999995E-2</v>
      </c>
      <c r="C46" s="3">
        <v>-1.2932658E-2</v>
      </c>
      <c r="D46" s="3">
        <v>5.5292964E-2</v>
      </c>
      <c r="E46" s="3">
        <v>6.9502472999999995E-2</v>
      </c>
      <c r="F46" s="3">
        <v>-3.3305286999999999E-3</v>
      </c>
      <c r="G46" s="3">
        <v>8.3117485000000005E-3</v>
      </c>
      <c r="H46" s="3">
        <v>7.0160984999999995E-2</v>
      </c>
      <c r="I46" s="3">
        <v>-1.2774764999999999E-2</v>
      </c>
      <c r="J46" s="3">
        <v>-5.3437767000000004E-2</v>
      </c>
      <c r="K46" s="3">
        <v>-1.6164063999999999E-2</v>
      </c>
      <c r="L46" s="3">
        <v>-1.5277326000000001E-2</v>
      </c>
      <c r="M46" s="3">
        <v>8.0434084000000003E-3</v>
      </c>
      <c r="N46" s="3">
        <v>-1.2796223000000001E-2</v>
      </c>
      <c r="O46" s="3">
        <v>3.5439371999999997E-2</v>
      </c>
      <c r="P46" s="3">
        <v>-2.4331987000000003E-2</v>
      </c>
      <c r="Q46" s="3">
        <v>2.9511809999999999E-2</v>
      </c>
      <c r="R46" s="3">
        <v>0.10431528</v>
      </c>
      <c r="S46" s="3">
        <v>-4.9090920000000003E-2</v>
      </c>
      <c r="T46" s="3">
        <v>3.2103777E-2</v>
      </c>
      <c r="U46" s="3">
        <v>4.5608163E-2</v>
      </c>
      <c r="V46" s="3">
        <v>-6.7420599999999994E-3</v>
      </c>
      <c r="W46" s="3">
        <v>4.3006179999999998E-2</v>
      </c>
      <c r="X46" s="3">
        <v>5.1012040000000002E-2</v>
      </c>
      <c r="Y46" s="3">
        <v>3.6828755999999997E-2</v>
      </c>
      <c r="Z46" s="3">
        <v>4.3142319999999998E-2</v>
      </c>
      <c r="AA46" s="3">
        <v>1.2462020000000001E-2</v>
      </c>
      <c r="AB46" s="3">
        <v>2.0655394000000001E-2</v>
      </c>
      <c r="AC46" s="3">
        <v>1.2345672E-2</v>
      </c>
      <c r="AD46" s="3">
        <v>1.9391775E-3</v>
      </c>
      <c r="AE46" s="3">
        <v>1.6164303000000001E-2</v>
      </c>
      <c r="AF46" s="3">
        <v>1.558435E-2</v>
      </c>
      <c r="AG46" s="3">
        <v>-3.8259625000000002E-3</v>
      </c>
      <c r="AH46" s="3">
        <v>3.8143039000000004E-2</v>
      </c>
      <c r="AI46" s="3">
        <v>3.2511591999999999E-2</v>
      </c>
      <c r="AJ46" s="3"/>
      <c r="AK46" s="3"/>
      <c r="AL46" s="3"/>
    </row>
    <row r="47" spans="1:38" x14ac:dyDescent="0.45">
      <c r="A47" s="2">
        <v>45580</v>
      </c>
      <c r="B47" s="3">
        <v>0.19001674999999998</v>
      </c>
      <c r="C47" s="3">
        <v>1.2716769999999999E-2</v>
      </c>
      <c r="D47" s="3">
        <v>-9.8521709999999998E-3</v>
      </c>
      <c r="E47" s="3">
        <v>1.8821001E-2</v>
      </c>
      <c r="F47" s="3">
        <v>-1.6290783999999999E-2</v>
      </c>
      <c r="G47" s="3">
        <v>5.8654666000000001E-2</v>
      </c>
      <c r="H47" s="3">
        <v>-5.7848096000000003E-3</v>
      </c>
      <c r="I47" s="3">
        <v>3.8820147999999999E-2</v>
      </c>
      <c r="J47" s="3">
        <v>-1.0849595E-2</v>
      </c>
      <c r="K47" s="3">
        <v>-1.8957375999999998E-2</v>
      </c>
      <c r="L47" s="3">
        <v>-4.2158545999999998E-2</v>
      </c>
      <c r="M47" s="3">
        <v>5.844307E-2</v>
      </c>
      <c r="N47" s="3">
        <v>-2.3523748000000001E-2</v>
      </c>
      <c r="O47" s="3">
        <v>-1.4693141E-2</v>
      </c>
      <c r="P47" s="3">
        <v>0.19902193000000001</v>
      </c>
      <c r="Q47" s="3">
        <v>1.433301E-2</v>
      </c>
      <c r="R47" s="3">
        <v>2.8531550999999999E-2</v>
      </c>
      <c r="S47" s="3">
        <v>-8.7680930000000004E-2</v>
      </c>
      <c r="T47" s="3">
        <v>-7.2799325E-3</v>
      </c>
      <c r="U47" s="3">
        <v>-2.4232268E-3</v>
      </c>
      <c r="V47" s="3">
        <v>1.4060616E-2</v>
      </c>
      <c r="W47" s="3">
        <v>-1.9815803E-2</v>
      </c>
      <c r="X47" s="3">
        <v>1.5793562000000001E-2</v>
      </c>
      <c r="Y47" s="3">
        <v>2.3186922000000002E-2</v>
      </c>
      <c r="Z47" s="3">
        <v>2.3456693000000001E-2</v>
      </c>
      <c r="AA47" s="3">
        <v>-2.2900105E-3</v>
      </c>
      <c r="AB47" s="3">
        <v>-6.0322284999999995E-3</v>
      </c>
      <c r="AC47" s="3">
        <v>-1.0569215E-2</v>
      </c>
      <c r="AD47" s="3">
        <v>3.4076333E-2</v>
      </c>
      <c r="AE47" s="3">
        <v>3.4787536000000001E-2</v>
      </c>
      <c r="AF47" s="3">
        <v>-1.3810693999999998E-2</v>
      </c>
      <c r="AG47" s="3">
        <v>-2.5672138000000001E-2</v>
      </c>
      <c r="AH47" s="3">
        <v>-4.1092037999999999E-3</v>
      </c>
      <c r="AI47" s="3">
        <v>3.1487942000000004E-3</v>
      </c>
      <c r="AJ47" s="3"/>
      <c r="AK47" s="3"/>
      <c r="AL47" s="3"/>
    </row>
    <row r="48" spans="1:38" x14ac:dyDescent="0.45">
      <c r="A48" s="2">
        <v>45611</v>
      </c>
      <c r="B48" s="3">
        <v>2.9256224999999997E-2</v>
      </c>
      <c r="C48" s="3">
        <v>-4.9847840000000004E-2</v>
      </c>
      <c r="D48" s="3">
        <v>-9.6788830000000006E-2</v>
      </c>
      <c r="E48" s="3">
        <v>-0.11432558</v>
      </c>
      <c r="F48" s="3">
        <v>-7.707E-2</v>
      </c>
      <c r="G48" s="3">
        <v>-1.352334E-2</v>
      </c>
      <c r="H48" s="3">
        <v>-6.3227359999999996E-2</v>
      </c>
      <c r="I48" s="3">
        <v>-2.3264349000000004E-2</v>
      </c>
      <c r="J48" s="3">
        <v>-6.1535596999999997E-2</v>
      </c>
      <c r="K48" s="3">
        <v>-9.500800999999999E-2</v>
      </c>
      <c r="L48" s="3">
        <v>-3.8732410000000002E-2</v>
      </c>
      <c r="M48" s="3">
        <v>-5.4604710000000001E-2</v>
      </c>
      <c r="N48" s="3">
        <v>-3.9085567000000002E-2</v>
      </c>
      <c r="O48" s="3">
        <v>-6.9824575999999999E-2</v>
      </c>
      <c r="P48" s="3">
        <v>-3.3849894999999998E-2</v>
      </c>
      <c r="Q48" s="3">
        <v>-5.4348110000000003E-3</v>
      </c>
      <c r="R48" s="3">
        <v>-1.5289782999999999E-2</v>
      </c>
      <c r="S48" s="3">
        <v>5.2095770000000007E-2</v>
      </c>
      <c r="T48" s="3">
        <v>2.1333337000000001E-2</v>
      </c>
      <c r="U48" s="3">
        <v>-7.6923130000000006E-2</v>
      </c>
      <c r="V48" s="3">
        <v>-2.6057839999999999E-2</v>
      </c>
      <c r="W48" s="3">
        <v>-4.0841339999999997E-2</v>
      </c>
      <c r="X48" s="3">
        <v>-3.0337572E-2</v>
      </c>
      <c r="Y48" s="3">
        <v>5.7859419999999996E-3</v>
      </c>
      <c r="Z48" s="3">
        <v>-4.7647769999999999E-2</v>
      </c>
      <c r="AA48" s="3">
        <v>-3.1846224999999999E-2</v>
      </c>
      <c r="AB48" s="3">
        <v>-7.6546669999999997E-2</v>
      </c>
      <c r="AC48" s="3">
        <v>-5.5327234000000003E-2</v>
      </c>
      <c r="AD48" s="3">
        <v>1.1653304E-2</v>
      </c>
      <c r="AE48" s="3">
        <v>1.0296940999999999E-2</v>
      </c>
      <c r="AF48" s="3">
        <v>-5.9128704000000004E-2</v>
      </c>
      <c r="AG48" s="3">
        <v>-7.1784200000000006E-2</v>
      </c>
      <c r="AH48" s="3">
        <v>-7.1601986999999992E-2</v>
      </c>
      <c r="AI48" s="3">
        <v>-4.3682933000000007E-2</v>
      </c>
      <c r="AJ48" s="3"/>
      <c r="AK48" s="3"/>
      <c r="AL48" s="3"/>
    </row>
    <row r="49" spans="1:38" x14ac:dyDescent="0.45">
      <c r="A49" s="2">
        <v>45639</v>
      </c>
      <c r="B49" s="3">
        <v>-8.9040995000000001E-3</v>
      </c>
      <c r="C49" s="3">
        <v>3.1638026E-2</v>
      </c>
      <c r="D49" s="3">
        <v>-5.5081844000000003E-3</v>
      </c>
      <c r="E49" s="3">
        <v>5.5096149999999998E-3</v>
      </c>
      <c r="F49" s="3">
        <v>4.4858456000000005E-2</v>
      </c>
      <c r="G49" s="3">
        <v>1.2221216999999999E-2</v>
      </c>
      <c r="H49" s="3">
        <v>2.5672912999999999E-2</v>
      </c>
      <c r="I49" s="3">
        <v>2.4943829000000001E-2</v>
      </c>
      <c r="J49" s="3">
        <v>3.8629174000000002E-2</v>
      </c>
      <c r="K49" s="3">
        <v>-3.7366152000000001E-3</v>
      </c>
      <c r="L49" s="3">
        <v>-7.5091542999999997E-2</v>
      </c>
      <c r="M49" s="3">
        <v>5.6465506999999998E-2</v>
      </c>
      <c r="N49" s="3">
        <v>5.1455617000000002E-2</v>
      </c>
      <c r="O49" s="3">
        <v>4.7906519999999994E-2</v>
      </c>
      <c r="P49" s="3">
        <v>1.7729043999999999E-2</v>
      </c>
      <c r="Q49" s="3">
        <v>-2.1857619999999999E-3</v>
      </c>
      <c r="R49" s="3">
        <v>-7.5972079999999994E-3</v>
      </c>
      <c r="S49" s="3">
        <v>7.3135969999999995E-2</v>
      </c>
      <c r="T49" s="3">
        <v>1.1096597E-2</v>
      </c>
      <c r="U49" s="3">
        <v>2.8947352999999999E-2</v>
      </c>
      <c r="V49" s="3">
        <v>3.5836935E-2</v>
      </c>
      <c r="W49" s="3">
        <v>-2.5335371000000002E-2</v>
      </c>
      <c r="X49" s="3">
        <v>-1.8380879999999999E-2</v>
      </c>
      <c r="Y49" s="3">
        <v>6.9509745000000001E-3</v>
      </c>
      <c r="Z49" s="3">
        <v>4.8765062999999997E-2</v>
      </c>
      <c r="AA49" s="3">
        <v>3.0374884999999997E-2</v>
      </c>
      <c r="AB49" s="3">
        <v>2.1207333E-4</v>
      </c>
      <c r="AC49" s="3">
        <v>2.9573680000000001E-2</v>
      </c>
      <c r="AD49" s="3">
        <v>6.8389176999999995E-2</v>
      </c>
      <c r="AE49" s="3">
        <v>3.151524E-2</v>
      </c>
      <c r="AF49" s="3">
        <v>1.5711069000000001E-2</v>
      </c>
      <c r="AG49" s="3">
        <v>3.5538673E-2</v>
      </c>
      <c r="AH49" s="3">
        <v>1.8562077999999999E-2</v>
      </c>
      <c r="AI49" s="3">
        <v>2.9814004999999998E-2</v>
      </c>
      <c r="AJ49" s="3"/>
      <c r="AK49" s="3"/>
      <c r="AL49" s="3"/>
    </row>
    <row r="50" spans="1:38" x14ac:dyDescent="0.45">
      <c r="A50" s="2">
        <v>45672</v>
      </c>
      <c r="B50" s="3">
        <v>-4.4403850000000002E-2</v>
      </c>
      <c r="C50" s="3">
        <v>-5.7411194000000002E-4</v>
      </c>
      <c r="D50" s="3">
        <v>-5.3870319999999999E-2</v>
      </c>
      <c r="E50" s="3">
        <v>-2.5645316000000001E-2</v>
      </c>
      <c r="F50" s="3">
        <v>4.652977E-3</v>
      </c>
      <c r="G50" s="3">
        <v>-1.6506076000000001E-2</v>
      </c>
      <c r="H50" s="3">
        <v>-3.8402736E-2</v>
      </c>
      <c r="I50" s="3">
        <v>-2.627349E-2</v>
      </c>
      <c r="J50" s="3">
        <v>-4.4708547999999994E-2</v>
      </c>
      <c r="K50" s="3">
        <v>2.2808312999999998E-3</v>
      </c>
      <c r="L50" s="3">
        <v>-1.5367865999999999E-2</v>
      </c>
      <c r="M50" s="3">
        <v>-8.8477609999999998E-2</v>
      </c>
      <c r="N50" s="3">
        <v>1.1222719999999999E-2</v>
      </c>
      <c r="O50" s="3">
        <v>-7.027912E-2</v>
      </c>
      <c r="P50" s="3">
        <v>-4.2616550000000003E-2</v>
      </c>
      <c r="Q50" s="3">
        <v>-1.1872053E-2</v>
      </c>
      <c r="R50" s="3">
        <v>-5.4831085000000002E-2</v>
      </c>
      <c r="S50" s="3">
        <v>-4.7969875000000002E-2</v>
      </c>
      <c r="T50" s="3">
        <v>9.8740460000000002E-2</v>
      </c>
      <c r="U50" s="3">
        <v>-3.4953116999999999E-2</v>
      </c>
      <c r="V50" s="3">
        <v>1.0718465E-2</v>
      </c>
      <c r="W50" s="3">
        <v>2.7520657E-3</v>
      </c>
      <c r="X50" s="3">
        <v>-1.358962E-2</v>
      </c>
      <c r="Y50" s="3">
        <v>-2.3004829999999997E-2</v>
      </c>
      <c r="Z50" s="3">
        <v>-9.9636910000000002E-3</v>
      </c>
      <c r="AA50" s="3">
        <v>-3.2079399000000001E-2</v>
      </c>
      <c r="AB50" s="3">
        <v>-1.2293398000000001E-2</v>
      </c>
      <c r="AC50" s="3">
        <v>-2.5300085999999999E-2</v>
      </c>
      <c r="AD50" s="3">
        <v>-2.4513601999999999E-2</v>
      </c>
      <c r="AE50" s="3">
        <v>-1.5655220000000001E-2</v>
      </c>
      <c r="AF50" s="3">
        <v>-9.470582E-3</v>
      </c>
      <c r="AG50" s="3">
        <v>-1.8974721E-2</v>
      </c>
      <c r="AH50" s="3">
        <v>-7.9568030000000001E-3</v>
      </c>
      <c r="AI50" s="3">
        <v>4.5357942999999998E-3</v>
      </c>
      <c r="AJ50" s="3"/>
      <c r="AK50" s="3"/>
      <c r="AL50" s="3"/>
    </row>
    <row r="51" spans="1:38" x14ac:dyDescent="0.45">
      <c r="A51" s="2">
        <v>45702</v>
      </c>
      <c r="B51" s="3">
        <v>5.5062769999999997E-2</v>
      </c>
      <c r="C51" s="3">
        <v>0.13600932999999998</v>
      </c>
      <c r="D51" s="3">
        <v>-4.4864835999999998E-2</v>
      </c>
      <c r="E51" s="3">
        <v>-1.5802264E-2</v>
      </c>
      <c r="F51" s="3">
        <v>0.17349730999999999</v>
      </c>
      <c r="G51" s="3">
        <v>3.4499645000000002E-2</v>
      </c>
      <c r="H51" s="3">
        <v>4.4910192000000002E-2</v>
      </c>
      <c r="I51" s="3">
        <v>2.3675559999999998E-2</v>
      </c>
      <c r="J51" s="3">
        <v>8.5084440000000011E-2</v>
      </c>
      <c r="K51" s="3">
        <v>3.4495353999999999E-2</v>
      </c>
      <c r="L51" s="3">
        <v>0.10891508999999999</v>
      </c>
      <c r="M51" s="3">
        <v>8.934462E-2</v>
      </c>
      <c r="N51" s="3">
        <v>7.7289940000000001E-2</v>
      </c>
      <c r="O51" s="3">
        <v>-3.2956302E-2</v>
      </c>
      <c r="P51" s="3">
        <v>0.17987191999999999</v>
      </c>
      <c r="Q51" s="3">
        <v>1.2387395000000001E-2</v>
      </c>
      <c r="R51" s="3">
        <v>-5.9911193999999994E-2</v>
      </c>
      <c r="S51" s="3">
        <v>-1.4820992999999999E-2</v>
      </c>
      <c r="T51" s="3">
        <v>3.2941102999999999E-2</v>
      </c>
      <c r="U51" s="3">
        <v>1.4134288E-2</v>
      </c>
      <c r="V51" s="3">
        <v>1.5774369E-2</v>
      </c>
      <c r="W51" s="3">
        <v>8.1677437000000006E-3</v>
      </c>
      <c r="X51" s="3">
        <v>4.5995830000000001E-2</v>
      </c>
      <c r="Y51" s="3">
        <v>4.1234492999999997E-2</v>
      </c>
      <c r="Z51" s="3">
        <v>0.11070442</v>
      </c>
      <c r="AA51" s="3">
        <v>4.6778440000000004E-2</v>
      </c>
      <c r="AB51" s="3">
        <v>0.10321892000000001</v>
      </c>
      <c r="AC51" s="3">
        <v>7.8171014999999996E-2</v>
      </c>
      <c r="AD51" s="3">
        <v>4.1513442999999997E-2</v>
      </c>
      <c r="AE51" s="3">
        <v>2.8543472E-2</v>
      </c>
      <c r="AF51" s="3">
        <v>0.11206186000000001</v>
      </c>
      <c r="AG51" s="3">
        <v>8.6107370000000003E-2</v>
      </c>
      <c r="AH51" s="3">
        <v>0.13609314</v>
      </c>
      <c r="AI51" s="3">
        <v>8.9664460000000001E-2</v>
      </c>
      <c r="AJ51" s="3"/>
      <c r="AK51" s="3"/>
      <c r="AL51" s="3"/>
    </row>
    <row r="52" spans="1:38" x14ac:dyDescent="0.45">
      <c r="A52" s="2">
        <v>45730</v>
      </c>
      <c r="B52" s="3">
        <v>2.7670739999999999E-2</v>
      </c>
      <c r="C52" s="3">
        <v>3.1217812999999997E-2</v>
      </c>
      <c r="D52" s="3">
        <v>-6.2252400000000006E-2</v>
      </c>
      <c r="E52" s="3">
        <v>6.1547875000000002E-2</v>
      </c>
      <c r="F52" s="3">
        <v>0.10593712</v>
      </c>
      <c r="G52" s="3">
        <v>2.5780558999999998E-2</v>
      </c>
      <c r="H52" s="3">
        <v>-4.9938679999999999E-2</v>
      </c>
      <c r="I52" s="3">
        <v>-4.7014236000000001E-2</v>
      </c>
      <c r="J52" s="3">
        <v>-5.8856606000000002E-3</v>
      </c>
      <c r="K52" s="3">
        <v>-9.5272064E-3</v>
      </c>
      <c r="L52" s="3">
        <v>-2.0098626999999997E-2</v>
      </c>
      <c r="M52" s="3">
        <v>1.7095922999999999E-2</v>
      </c>
      <c r="N52" s="3">
        <v>0.11693453999999999</v>
      </c>
      <c r="O52" s="3">
        <v>-1.3712466000000001E-2</v>
      </c>
      <c r="P52" s="3">
        <v>7.3138833E-2</v>
      </c>
      <c r="Q52" s="3">
        <v>7.7865123999999999E-3</v>
      </c>
      <c r="R52" s="3">
        <v>-7.7305200000000004E-2</v>
      </c>
      <c r="S52" s="3">
        <v>8.8277099999999997E-2</v>
      </c>
      <c r="T52" s="3">
        <v>-3.3599079000000004E-2</v>
      </c>
      <c r="U52" s="3">
        <v>0.10278749</v>
      </c>
      <c r="V52" s="3">
        <v>-4.7529399999999999E-2</v>
      </c>
      <c r="W52" s="3">
        <v>-7.0505739999999997E-2</v>
      </c>
      <c r="X52" s="3">
        <v>-7.7345849999999994E-2</v>
      </c>
      <c r="Y52" s="3">
        <v>-4.8849820000000002E-2</v>
      </c>
      <c r="Z52" s="3">
        <v>6.0406446000000003E-2</v>
      </c>
      <c r="AA52" s="3">
        <v>1.4127134999999999E-2</v>
      </c>
      <c r="AB52" s="3">
        <v>2.2952794999999998E-2</v>
      </c>
      <c r="AC52" s="3">
        <v>3.1737327999999995E-2</v>
      </c>
      <c r="AD52" s="3">
        <v>-0.10868722</v>
      </c>
      <c r="AE52" s="3">
        <v>-7.6906679999999991E-2</v>
      </c>
      <c r="AF52" s="3">
        <v>2.4820090000000003E-2</v>
      </c>
      <c r="AG52" s="3">
        <v>-5.3126216000000002E-3</v>
      </c>
      <c r="AH52" s="3">
        <v>1.4575243E-2</v>
      </c>
      <c r="AI52" s="3">
        <v>6.0113310000000003E-2</v>
      </c>
      <c r="AJ52" s="3"/>
      <c r="AK52" s="3"/>
      <c r="AL52" s="3"/>
    </row>
    <row r="53" spans="1:38" x14ac:dyDescent="0.45">
      <c r="A53" s="2">
        <v>45762</v>
      </c>
      <c r="B53" s="3">
        <v>-8.9979530000000002E-2</v>
      </c>
      <c r="C53" s="3">
        <v>-2.3619412999999999E-2</v>
      </c>
      <c r="D53" s="3">
        <v>-2.5950549999999999E-2</v>
      </c>
      <c r="E53" s="3">
        <v>-1.4384329E-2</v>
      </c>
      <c r="F53" s="3">
        <v>-3.2280684000000004E-2</v>
      </c>
      <c r="G53" s="3">
        <v>-5.0725937E-3</v>
      </c>
      <c r="H53" s="3">
        <v>-2.4989246999999999E-2</v>
      </c>
      <c r="I53" s="3">
        <v>-8.3946704999999996E-2</v>
      </c>
      <c r="J53" s="3">
        <v>-3.2467842E-3</v>
      </c>
      <c r="K53" s="3">
        <v>-3.1350194999999997E-2</v>
      </c>
      <c r="L53" s="3">
        <v>-3.792566E-2</v>
      </c>
      <c r="M53" s="3">
        <v>2.1276474E-3</v>
      </c>
      <c r="N53" s="3">
        <v>-1.1157452999999999E-2</v>
      </c>
      <c r="O53" s="3">
        <v>4.5389533000000003E-2</v>
      </c>
      <c r="P53" s="3">
        <v>-0.12550116</v>
      </c>
      <c r="Q53" s="3">
        <v>-1.2693226E-2</v>
      </c>
      <c r="R53" s="3">
        <v>-3.8423479000000003E-2</v>
      </c>
      <c r="S53" s="3">
        <v>-0.16927492</v>
      </c>
      <c r="T53" s="3">
        <v>-1.0606885E-2</v>
      </c>
      <c r="U53" s="3">
        <v>-7.2669800000000007E-2</v>
      </c>
      <c r="V53" s="3">
        <v>-5.9288143999999994E-3</v>
      </c>
      <c r="W53" s="3">
        <v>5.4181813999999995E-3</v>
      </c>
      <c r="X53" s="3">
        <v>-5.9574245999999996E-3</v>
      </c>
      <c r="Y53" s="3">
        <v>1.0471105999999999E-2</v>
      </c>
      <c r="Z53" s="3">
        <v>-3.6768496000000005E-2</v>
      </c>
      <c r="AA53" s="3">
        <v>-4.136455E-2</v>
      </c>
      <c r="AB53" s="3">
        <v>-2.1677136E-2</v>
      </c>
      <c r="AC53" s="3">
        <v>-2.8109193000000001E-2</v>
      </c>
      <c r="AD53" s="3">
        <v>-4.3785094999999996E-2</v>
      </c>
      <c r="AE53" s="3">
        <v>-4.1903677E-2</v>
      </c>
      <c r="AF53" s="3">
        <v>-5.5461406999999997E-2</v>
      </c>
      <c r="AG53" s="3">
        <v>-3.677076E-2</v>
      </c>
      <c r="AH53" s="3">
        <v>-7.0931553999999994E-2</v>
      </c>
      <c r="AI53" s="3">
        <v>-3.4626960000000005E-2</v>
      </c>
      <c r="AJ53" s="3"/>
      <c r="AK53" s="3"/>
      <c r="AL53" s="3"/>
    </row>
    <row r="54" spans="1:38" x14ac:dyDescent="0.45">
      <c r="A54" s="2">
        <v>45792</v>
      </c>
      <c r="B54" s="3">
        <v>5.805242E-2</v>
      </c>
      <c r="C54" s="3">
        <v>0.12674618000000001</v>
      </c>
      <c r="D54" s="3">
        <v>0.13197029000000002</v>
      </c>
      <c r="E54" s="3">
        <v>8.6798310000000004E-2</v>
      </c>
      <c r="F54" s="3">
        <v>0.10551119</v>
      </c>
      <c r="G54" s="3">
        <v>4.4264197000000005E-2</v>
      </c>
      <c r="H54" s="3">
        <v>0.10826337999999999</v>
      </c>
      <c r="I54" s="3">
        <v>0.17242134000000001</v>
      </c>
      <c r="J54" s="3">
        <v>0.13546658</v>
      </c>
      <c r="K54" s="3">
        <v>8.127986999999999E-2</v>
      </c>
      <c r="L54" s="3">
        <v>0.12670958000000002</v>
      </c>
      <c r="M54" s="3">
        <v>8.4713460000000004E-2</v>
      </c>
      <c r="N54" s="3">
        <v>9.9862939999999997E-2</v>
      </c>
      <c r="O54" s="3">
        <v>7.1191072000000008E-2</v>
      </c>
      <c r="P54" s="3">
        <v>8.7701799999999996E-2</v>
      </c>
      <c r="Q54" s="3">
        <v>5.3102374000000001E-2</v>
      </c>
      <c r="R54" s="3">
        <v>5.8325768E-2</v>
      </c>
      <c r="S54" s="3">
        <v>1.8838644E-3</v>
      </c>
      <c r="T54" s="3">
        <v>8.9934349999999996E-2</v>
      </c>
      <c r="U54" s="3">
        <v>9.1141459999999994E-2</v>
      </c>
      <c r="V54" s="3">
        <v>-2.7335882E-3</v>
      </c>
      <c r="W54" s="3">
        <v>6.8416119999999997E-2</v>
      </c>
      <c r="X54" s="3">
        <v>9.3749889999999989E-2</v>
      </c>
      <c r="Y54" s="3">
        <v>8.1421259999999995E-2</v>
      </c>
      <c r="Z54" s="3">
        <v>9.8387130000000003E-2</v>
      </c>
      <c r="AA54" s="3">
        <v>7.2064039999999996E-2</v>
      </c>
      <c r="AB54" s="3">
        <v>4.9951433999999996E-2</v>
      </c>
      <c r="AC54" s="3">
        <v>5.8663010000000002E-2</v>
      </c>
      <c r="AD54" s="3">
        <v>0.13375842999999998</v>
      </c>
      <c r="AE54" s="3">
        <v>9.8305589999999998E-2</v>
      </c>
      <c r="AF54" s="3">
        <v>7.9230784999999998E-2</v>
      </c>
      <c r="AG54" s="3">
        <v>0.11431015</v>
      </c>
      <c r="AH54" s="3">
        <v>0.1021986</v>
      </c>
      <c r="AI54" s="3">
        <v>0.12012518</v>
      </c>
      <c r="AJ54" s="3"/>
      <c r="AK54" s="3"/>
      <c r="AL54" s="3"/>
    </row>
    <row r="55" spans="1:38" x14ac:dyDescent="0.45">
      <c r="A55" s="2">
        <v>45821</v>
      </c>
      <c r="B55" s="3">
        <v>-3.5398602000000002E-3</v>
      </c>
      <c r="C55" s="3">
        <v>-3.7496210000000002E-2</v>
      </c>
      <c r="D55" s="3">
        <v>1.9157052000000001E-2</v>
      </c>
      <c r="E55" s="3">
        <v>1.4481543999999998E-3</v>
      </c>
      <c r="F55" s="3">
        <v>-2.0662487E-2</v>
      </c>
      <c r="G55" s="3">
        <v>7.1711063000000005E-2</v>
      </c>
      <c r="H55" s="3">
        <v>-3.2695352999999996E-2</v>
      </c>
      <c r="I55" s="3">
        <v>3.4450769999999999E-2</v>
      </c>
      <c r="J55" s="3">
        <v>3.0374645999999998E-2</v>
      </c>
      <c r="K55" s="3">
        <v>0.12959182999999999</v>
      </c>
      <c r="L55" s="3">
        <v>4.6411752999999997E-3</v>
      </c>
      <c r="M55" s="3">
        <v>4.3257000000000004E-2</v>
      </c>
      <c r="N55" s="3">
        <v>7.3825479999999999E-2</v>
      </c>
      <c r="O55" s="3">
        <v>-1.3328432999999999E-2</v>
      </c>
      <c r="P55" s="3">
        <v>3.6650896000000001E-3</v>
      </c>
      <c r="Q55" s="3">
        <v>-3.3970237E-2</v>
      </c>
      <c r="R55" s="3">
        <v>-6.0100974999999994E-2</v>
      </c>
      <c r="S55" s="3">
        <v>-3.6352216999999999E-2</v>
      </c>
      <c r="T55" s="3">
        <v>-2.2950828E-2</v>
      </c>
      <c r="U55" s="3">
        <v>1.6393423000000001E-2</v>
      </c>
      <c r="V55" s="3">
        <v>-7.4757039999999997E-2</v>
      </c>
      <c r="W55" s="3">
        <v>-8.9912415000000002E-3</v>
      </c>
      <c r="X55" s="3">
        <v>3.0137062000000003E-2</v>
      </c>
      <c r="Y55" s="3">
        <v>4.6771646E-2</v>
      </c>
      <c r="Z55" s="3">
        <v>1.5907884000000001E-2</v>
      </c>
      <c r="AA55" s="3">
        <v>1.7980575999999998E-2</v>
      </c>
      <c r="AB55" s="3">
        <v>2.2214055E-2</v>
      </c>
      <c r="AC55" s="3">
        <v>4.1752577000000006E-2</v>
      </c>
      <c r="AD55" s="3">
        <v>1.4848350999999999E-2</v>
      </c>
      <c r="AE55" s="3">
        <v>1.1076093E-2</v>
      </c>
      <c r="AF55" s="3">
        <v>1.7581462999999999E-2</v>
      </c>
      <c r="AG55" s="3">
        <v>2.4688959999999999E-2</v>
      </c>
      <c r="AH55" s="3">
        <v>-2.8495789999999997E-3</v>
      </c>
      <c r="AI55" s="3">
        <v>1.9342421999999998E-2</v>
      </c>
      <c r="AJ55" s="3"/>
      <c r="AK55" s="3"/>
      <c r="AL55" s="3"/>
    </row>
    <row r="56" spans="1:38" x14ac:dyDescent="0.45">
      <c r="A56" s="2">
        <v>45853</v>
      </c>
      <c r="B56" s="3">
        <v>4.4644594000000003E-2</v>
      </c>
      <c r="C56" s="3">
        <v>-4.0653887E-2</v>
      </c>
      <c r="D56" s="3">
        <v>-2.2723794000000002E-2</v>
      </c>
      <c r="E56" s="3">
        <v>-1.369065E-2</v>
      </c>
      <c r="F56" s="3">
        <v>7.8781843000000004E-2</v>
      </c>
      <c r="G56" s="3">
        <v>1.5165567E-2</v>
      </c>
      <c r="H56" s="3">
        <v>1.8626451E-3</v>
      </c>
      <c r="I56" s="3">
        <v>4.3330430000000003E-2</v>
      </c>
      <c r="J56" s="3">
        <v>-9.9031924999999996E-3</v>
      </c>
      <c r="K56" s="3">
        <v>0.10012043</v>
      </c>
      <c r="L56" s="3">
        <v>-6.0447453999999999E-3</v>
      </c>
      <c r="M56" s="3">
        <v>3.4445524000000002E-3</v>
      </c>
      <c r="N56" s="3">
        <v>9.2215779999999997E-2</v>
      </c>
      <c r="O56" s="3">
        <v>1.5451550000000001E-2</v>
      </c>
      <c r="P56" s="3">
        <v>4.4948340000000003E-2</v>
      </c>
      <c r="Q56" s="3">
        <v>5.1614880000000002E-2</v>
      </c>
      <c r="R56" s="3">
        <v>3.4123182000000002E-2</v>
      </c>
      <c r="S56" s="3">
        <v>8.4222079999999991E-2</v>
      </c>
      <c r="T56" s="3">
        <v>0.12241459</v>
      </c>
      <c r="U56" s="3">
        <v>0.15514587999999999</v>
      </c>
      <c r="V56" s="3">
        <v>4.3190837000000003E-2</v>
      </c>
      <c r="W56" s="3">
        <v>2.7669667999999999E-3</v>
      </c>
      <c r="X56" s="3">
        <v>5.5863859999999996E-3</v>
      </c>
      <c r="Y56" s="3">
        <v>1.0196209000000001E-2</v>
      </c>
      <c r="Z56" s="3">
        <v>2.4107694999999998E-2</v>
      </c>
      <c r="AA56" s="3">
        <v>-1.8079042E-2</v>
      </c>
      <c r="AB56" s="3">
        <v>-1.6111134999999998E-4</v>
      </c>
      <c r="AC56" s="3">
        <v>-4.8434733999999999E-4</v>
      </c>
      <c r="AD56" s="3">
        <v>5.7649492999999996E-2</v>
      </c>
      <c r="AE56" s="3">
        <v>4.5198799999999997E-2</v>
      </c>
      <c r="AF56" s="3">
        <v>1.6162871999999998E-2</v>
      </c>
      <c r="AG56" s="3">
        <v>3.0573009999999998E-2</v>
      </c>
      <c r="AH56" s="3">
        <v>4.5176744000000003E-3</v>
      </c>
      <c r="AI56" s="3">
        <v>1.5043615999999999E-2</v>
      </c>
      <c r="AJ56" s="3"/>
      <c r="AK56" s="3"/>
      <c r="AL56" s="3"/>
    </row>
    <row r="57" spans="1:38" x14ac:dyDescent="0.45">
      <c r="A57" s="2">
        <v>45884</v>
      </c>
      <c r="B57" s="3">
        <v>5.7357430000000001E-2</v>
      </c>
      <c r="C57" s="3">
        <v>8.397460000000001E-2</v>
      </c>
      <c r="D57" s="3">
        <v>4.4018149999999999E-2</v>
      </c>
      <c r="E57" s="3">
        <v>-2.1142423E-2</v>
      </c>
      <c r="F57" s="3">
        <v>5.6538223999999998E-2</v>
      </c>
      <c r="G57" s="3">
        <v>8.4613560000000004E-2</v>
      </c>
      <c r="H57" s="3">
        <v>4.9579860000000003E-2</v>
      </c>
      <c r="I57" s="3">
        <v>3.6897182000000001E-2</v>
      </c>
      <c r="J57" s="3">
        <v>3.3007740000000001E-2</v>
      </c>
      <c r="K57" s="3">
        <v>4.3793916999999996E-3</v>
      </c>
      <c r="L57" s="3">
        <v>2.6574491999999998E-2</v>
      </c>
      <c r="M57" s="3">
        <v>9.0049150000000008E-2</v>
      </c>
      <c r="N57" s="3">
        <v>0.11020744</v>
      </c>
      <c r="O57" s="3">
        <v>-3.9453328000000003E-2</v>
      </c>
      <c r="P57" s="3">
        <v>5.2928686000000003E-2</v>
      </c>
      <c r="Q57" s="3">
        <v>9.8983399999999999E-2</v>
      </c>
      <c r="R57" s="3">
        <v>8.4762459999999998E-2</v>
      </c>
      <c r="S57" s="3">
        <v>4.263103E-2</v>
      </c>
      <c r="T57" s="3">
        <v>2.5502324E-2</v>
      </c>
      <c r="U57" s="3">
        <v>0.17752659000000001</v>
      </c>
      <c r="V57" s="3">
        <v>-1.4176965E-2</v>
      </c>
      <c r="W57" s="3">
        <v>1.7687677999999998E-2</v>
      </c>
      <c r="X57" s="3">
        <v>2.9152273999999999E-2</v>
      </c>
      <c r="Y57" s="3">
        <v>2.6715874999999997E-2</v>
      </c>
      <c r="Z57" s="3">
        <v>1.8173218000000001E-2</v>
      </c>
      <c r="AA57" s="3">
        <v>0.11800801999999999</v>
      </c>
      <c r="AB57" s="3">
        <v>5.9062239999999998E-3</v>
      </c>
      <c r="AC57" s="3">
        <v>4.2434930000000003E-2</v>
      </c>
      <c r="AD57" s="3">
        <v>3.7038445000000003E-2</v>
      </c>
      <c r="AE57" s="3">
        <v>3.4236669999999997E-2</v>
      </c>
      <c r="AF57" s="3">
        <v>3.125E-2</v>
      </c>
      <c r="AG57" s="3">
        <v>-2.3691475E-2</v>
      </c>
      <c r="AH57" s="3">
        <v>4.2962670000000001E-2</v>
      </c>
      <c r="AI57" s="3">
        <v>9.4463229999999995E-2</v>
      </c>
      <c r="AJ57" s="3"/>
      <c r="AK57" s="3"/>
      <c r="AL57" s="3"/>
    </row>
    <row r="58" spans="1:38" x14ac:dyDescent="0.45">
      <c r="A58" s="2">
        <v>45915</v>
      </c>
      <c r="B58" s="3">
        <v>9.1701749999999999E-2</v>
      </c>
      <c r="C58" s="3">
        <v>4.3209790000000005E-2</v>
      </c>
      <c r="D58" s="3">
        <v>-2.918923E-2</v>
      </c>
      <c r="E58" s="3">
        <v>-2.5767326E-2</v>
      </c>
      <c r="F58" s="3">
        <v>-1.9133031000000002E-2</v>
      </c>
      <c r="G58" s="3">
        <v>0.11963224</v>
      </c>
      <c r="H58" s="3">
        <v>2.2818208000000003E-2</v>
      </c>
      <c r="I58" s="3">
        <v>4.3032170000000002E-2</v>
      </c>
      <c r="J58" s="3">
        <v>8.8522909999999996E-2</v>
      </c>
      <c r="K58" s="3">
        <v>7.9029920000000003E-2</v>
      </c>
      <c r="L58" s="3">
        <v>8.1914899999999999E-2</v>
      </c>
      <c r="M58" s="3">
        <v>5.7445406999999997E-2</v>
      </c>
      <c r="N58" s="3">
        <v>-2.4816810000000002E-2</v>
      </c>
      <c r="O58" s="3">
        <v>1.3659715999999999E-2</v>
      </c>
      <c r="P58" s="3">
        <v>7.9591154999999997E-2</v>
      </c>
      <c r="Q58" s="3">
        <v>-4.8198699999999997E-2</v>
      </c>
      <c r="R58" s="3">
        <v>3.2046437000000004E-2</v>
      </c>
      <c r="S58" s="3">
        <v>0</v>
      </c>
      <c r="T58" s="3">
        <v>-3.5418211999999998E-2</v>
      </c>
      <c r="U58" s="3">
        <v>3.8961052999999995E-2</v>
      </c>
      <c r="V58" s="3">
        <v>-2.237016E-2</v>
      </c>
      <c r="W58" s="3">
        <v>3.1153202000000001E-2</v>
      </c>
      <c r="X58" s="3">
        <v>2.7581095999999999E-2</v>
      </c>
      <c r="Y58" s="3">
        <v>6.0503482999999997E-2</v>
      </c>
      <c r="Z58" s="3">
        <v>-2.72429E-2</v>
      </c>
      <c r="AA58" s="3">
        <v>1.4971852000000001E-2</v>
      </c>
      <c r="AB58" s="3">
        <v>1.9449592000000002E-2</v>
      </c>
      <c r="AC58" s="3">
        <v>1.9869089E-2</v>
      </c>
      <c r="AD58" s="3">
        <v>2.4837970000000001E-2</v>
      </c>
      <c r="AE58" s="3">
        <v>2.7150870000000001E-2</v>
      </c>
      <c r="AF58" s="3">
        <v>0</v>
      </c>
      <c r="AG58" s="3">
        <v>4.8720837000000003E-2</v>
      </c>
      <c r="AH58" s="3">
        <v>2.1454572999999998E-2</v>
      </c>
      <c r="AI58" s="3">
        <v>1.1585236E-2</v>
      </c>
      <c r="AJ58" s="3"/>
      <c r="AK58" s="3"/>
      <c r="AL58" s="3"/>
    </row>
    <row r="59" spans="1:38" x14ac:dyDescent="0.45">
      <c r="A59" s="2">
        <v>45945</v>
      </c>
      <c r="B59" s="3">
        <v>5.3238870000000002E-3</v>
      </c>
      <c r="C59" s="3">
        <v>-1.1538446000000001E-2</v>
      </c>
      <c r="D59" s="3">
        <v>-4.1759490000000003E-2</v>
      </c>
      <c r="E59" s="3">
        <v>-1.0501683E-2</v>
      </c>
      <c r="F59" s="3">
        <v>2.7431250000000003E-3</v>
      </c>
      <c r="G59" s="3">
        <v>9.6937770000000006E-2</v>
      </c>
      <c r="H59" s="3">
        <v>4.3053626999999999E-3</v>
      </c>
      <c r="I59" s="3">
        <v>3.1259893999999996E-2</v>
      </c>
      <c r="J59" s="3">
        <v>-1.3478993999999999E-2</v>
      </c>
      <c r="K59" s="3">
        <v>7.5514554999999997E-2</v>
      </c>
      <c r="L59" s="3">
        <v>-3.9003610000000001E-2</v>
      </c>
      <c r="M59" s="3">
        <v>8.3702559999999995E-2</v>
      </c>
      <c r="N59" s="3">
        <v>-8.5850953999999993E-3</v>
      </c>
      <c r="O59" s="3">
        <v>6.1762329999999997E-3</v>
      </c>
      <c r="P59" s="3">
        <v>-1.8314481000000001E-2</v>
      </c>
      <c r="Q59" s="3">
        <v>-2.4516581999999999E-2</v>
      </c>
      <c r="R59" s="3">
        <v>-1.007098E-2</v>
      </c>
      <c r="S59" s="3">
        <v>-4.9065409999999997E-2</v>
      </c>
      <c r="T59" s="3">
        <v>1.4062405E-2</v>
      </c>
      <c r="U59" s="3">
        <v>5.5434823000000001E-2</v>
      </c>
      <c r="V59" s="3">
        <v>0.11386549</v>
      </c>
      <c r="W59" s="3">
        <v>-4.1760086999999994E-2</v>
      </c>
      <c r="X59" s="3">
        <v>-2.4664521000000002E-2</v>
      </c>
      <c r="Y59" s="3">
        <v>1.6556859E-2</v>
      </c>
      <c r="Z59" s="3">
        <v>2.6557446E-3</v>
      </c>
      <c r="AA59" s="3">
        <v>-7.3754790000000005E-4</v>
      </c>
      <c r="AB59" s="3">
        <v>1.9438386000000002E-2</v>
      </c>
      <c r="AC59" s="3">
        <v>-1.6630887999999999E-3</v>
      </c>
      <c r="AD59" s="3">
        <v>1.8986582999999998E-2</v>
      </c>
      <c r="AE59" s="3">
        <v>9.2223879999999998E-3</v>
      </c>
      <c r="AF59" s="3">
        <v>1.2075663E-2</v>
      </c>
      <c r="AG59" s="3">
        <v>4.5201779999999997E-2</v>
      </c>
      <c r="AH59" s="3">
        <v>-6.3008070000000001E-4</v>
      </c>
      <c r="AI59" s="3">
        <v>-3.6648154000000002E-2</v>
      </c>
      <c r="AJ59" s="3"/>
      <c r="AK59" s="3"/>
      <c r="AL59" s="3"/>
    </row>
    <row r="60" spans="1:38" x14ac:dyDescent="0.45">
      <c r="A60" s="2">
        <v>45975</v>
      </c>
      <c r="B60" s="3">
        <v>5.8840513000000009E-3</v>
      </c>
      <c r="C60" s="3">
        <v>8.8596229999999998E-2</v>
      </c>
      <c r="D60" s="3">
        <v>6.7983746999999997E-2</v>
      </c>
      <c r="E60" s="3">
        <v>-8.4905620000000001E-2</v>
      </c>
      <c r="F60" s="3">
        <v>3.8297772000000001E-2</v>
      </c>
      <c r="G60" s="3">
        <v>-2.7457057999999999E-2</v>
      </c>
      <c r="H60" s="3">
        <v>3.0787230000000002E-2</v>
      </c>
      <c r="I60" s="3">
        <v>2.7697085999999998E-3</v>
      </c>
      <c r="J60" s="3">
        <v>2.0494938000000001E-2</v>
      </c>
      <c r="K60" s="3">
        <v>0.10520136000000001</v>
      </c>
      <c r="L60" s="3">
        <v>0.13165081000000001</v>
      </c>
      <c r="M60" s="3">
        <v>1.4538884E-2</v>
      </c>
      <c r="N60" s="3">
        <v>5.102873E-3</v>
      </c>
      <c r="O60" s="3">
        <v>1.5997052000000001E-2</v>
      </c>
      <c r="P60" s="3">
        <v>3.9526223999999995E-3</v>
      </c>
      <c r="Q60" s="3">
        <v>1.1237143999999999E-2</v>
      </c>
      <c r="R60" s="3">
        <v>-1.3546348E-2</v>
      </c>
      <c r="S60" s="3">
        <v>8.906602999999999E-3</v>
      </c>
      <c r="T60" s="3">
        <v>-1.5408277999999999E-2</v>
      </c>
      <c r="U60" s="3">
        <v>-9.4232739999999995E-2</v>
      </c>
      <c r="V60" s="3">
        <v>-5.0378980000000004E-2</v>
      </c>
      <c r="W60" s="3">
        <v>-6.5351725000000003E-3</v>
      </c>
      <c r="X60" s="3">
        <v>-3.4957170000000003E-2</v>
      </c>
      <c r="Y60" s="3">
        <v>-1.3736486000000001E-3</v>
      </c>
      <c r="Z60" s="3">
        <v>-1.6132891E-2</v>
      </c>
      <c r="AA60" s="3">
        <v>3.3091426E-2</v>
      </c>
      <c r="AB60" s="3">
        <v>1.6066431999999999E-2</v>
      </c>
      <c r="AC60" s="3">
        <v>1.7848611E-2</v>
      </c>
      <c r="AD60" s="3">
        <v>1.1025906E-2</v>
      </c>
      <c r="AE60" s="3">
        <v>1.0162830000000001E-2</v>
      </c>
      <c r="AF60" s="3">
        <v>9.455204E-3</v>
      </c>
      <c r="AG60" s="3">
        <v>-2.4026035999999999E-3</v>
      </c>
      <c r="AH60" s="3">
        <v>1.4711618000000002E-3</v>
      </c>
      <c r="AI60" s="3">
        <v>5.4091573000000004E-2</v>
      </c>
      <c r="AJ60" s="3"/>
      <c r="AK60" s="3"/>
      <c r="AL60" s="3"/>
    </row>
    <row r="61" spans="1:38" x14ac:dyDescent="0.45">
      <c r="A61" s="2">
        <v>46006</v>
      </c>
      <c r="B61" s="3">
        <v>-4.0947199999999996E-3</v>
      </c>
      <c r="C61" s="3">
        <v>7.2174906999999996E-2</v>
      </c>
      <c r="D61" s="3">
        <v>2.6115417000000002E-2</v>
      </c>
      <c r="E61" s="3">
        <v>7.1735380000000001E-2</v>
      </c>
      <c r="F61" s="3">
        <v>5.0936820000000001E-2</v>
      </c>
      <c r="G61" s="3">
        <v>0.11084376999999999</v>
      </c>
      <c r="H61" s="3">
        <v>2.4196624999999999E-2</v>
      </c>
      <c r="I61" s="3">
        <v>-1.6265094000000001E-2</v>
      </c>
      <c r="J61" s="3">
        <v>4.8497560000000002E-2</v>
      </c>
      <c r="K61" s="3">
        <v>-1.4872968E-2</v>
      </c>
      <c r="L61" s="3">
        <v>1.2055515999999999E-2</v>
      </c>
      <c r="M61" s="3">
        <v>3.9110302999999999E-2</v>
      </c>
      <c r="N61" s="3">
        <v>3.7692308000000001E-2</v>
      </c>
      <c r="O61" s="3">
        <v>-2.7828634000000001E-2</v>
      </c>
      <c r="P61" s="3">
        <v>-4.141736E-2</v>
      </c>
      <c r="Q61" s="3">
        <v>-1.4259755999999998E-2</v>
      </c>
      <c r="R61" s="3">
        <v>3.2618045999999999E-3</v>
      </c>
      <c r="S61" s="3">
        <v>7.4277043000000001E-2</v>
      </c>
      <c r="T61" s="3">
        <v>1.0954618000000001E-2</v>
      </c>
      <c r="U61" s="3">
        <v>-9.6645949999999998E-3</v>
      </c>
      <c r="V61" s="3">
        <v>-5.2021623000000003E-2</v>
      </c>
      <c r="W61" s="3">
        <v>2.0180582999999998E-2</v>
      </c>
      <c r="X61" s="3">
        <v>1.8111706000000002E-2</v>
      </c>
      <c r="Y61" s="3">
        <v>5.7182193000000006E-2</v>
      </c>
      <c r="Z61" s="3">
        <v>3.0347466E-2</v>
      </c>
      <c r="AA61" s="3">
        <v>1.0597706E-2</v>
      </c>
      <c r="AB61" s="3">
        <v>2.6238084000000002E-2</v>
      </c>
      <c r="AC61" s="3">
        <v>2.2913217999999999E-2</v>
      </c>
      <c r="AD61" s="3">
        <v>2.7592182E-3</v>
      </c>
      <c r="AE61" s="3">
        <v>1.3096571E-2</v>
      </c>
      <c r="AF61" s="3">
        <v>7.5825450000000004E-3</v>
      </c>
      <c r="AG61" s="3">
        <v>1.0837673999999999E-2</v>
      </c>
      <c r="AH61" s="3">
        <v>3.0640006000000001E-2</v>
      </c>
      <c r="AI61" s="3">
        <v>2.1616460000000001E-2</v>
      </c>
      <c r="AJ61" s="3"/>
      <c r="AK61" s="3"/>
      <c r="AL61" s="3"/>
    </row>
    <row r="62" spans="1:38" x14ac:dyDescent="0.45">
      <c r="A62" s="2">
        <v>46037</v>
      </c>
      <c r="B62" s="3">
        <v>7.0917726E-2</v>
      </c>
      <c r="C62" s="3">
        <v>0.13621223000000002</v>
      </c>
      <c r="D62" s="3">
        <v>2.8967619999999999E-2</v>
      </c>
      <c r="E62" s="3">
        <v>6.568539000000001E-2</v>
      </c>
      <c r="F62" s="3">
        <v>4.1185020000000003E-2</v>
      </c>
      <c r="G62" s="3">
        <v>0.20362031999999999</v>
      </c>
      <c r="H62" s="3">
        <v>6.0505509999999998E-2</v>
      </c>
      <c r="I62" s="3">
        <v>9.7963450000000007E-2</v>
      </c>
      <c r="J62" s="3">
        <v>5.9502363000000003E-2</v>
      </c>
      <c r="K62" s="3">
        <v>0.22481394000000002</v>
      </c>
      <c r="L62" s="3">
        <v>2.913344E-2</v>
      </c>
      <c r="M62" s="3">
        <v>0.1175605</v>
      </c>
      <c r="N62" s="3">
        <v>5.7250500000000003E-2</v>
      </c>
      <c r="O62" s="3">
        <v>2.2599696999999999E-3</v>
      </c>
      <c r="P62" s="3">
        <v>5.7547210000000001E-2</v>
      </c>
      <c r="Q62" s="3">
        <v>3.4217596000000003E-2</v>
      </c>
      <c r="R62" s="3">
        <v>-9.4314220000000001E-3</v>
      </c>
      <c r="S62" s="3">
        <v>8.6220630000000006E-2</v>
      </c>
      <c r="T62" s="3">
        <v>2.8025508000000001E-2</v>
      </c>
      <c r="U62" s="3">
        <v>0.12341428</v>
      </c>
      <c r="V62" s="3">
        <v>4.4625162999999995E-2</v>
      </c>
      <c r="W62" s="3">
        <v>1.0092973999999999E-2</v>
      </c>
      <c r="X62" s="3">
        <v>2.603662E-2</v>
      </c>
      <c r="Y62" s="3">
        <v>3.5594819999999999E-2</v>
      </c>
      <c r="Z62" s="3">
        <v>2.7078509999999997E-2</v>
      </c>
      <c r="AA62" s="3">
        <v>4.4590591999999998E-2</v>
      </c>
      <c r="AB62" s="3">
        <v>2.4720550000000001E-2</v>
      </c>
      <c r="AC62" s="3">
        <v>5.0626397000000004E-2</v>
      </c>
      <c r="AD62" s="3">
        <v>1.9716024000000002E-2</v>
      </c>
      <c r="AE62" s="3">
        <v>1.9886851000000001E-2</v>
      </c>
      <c r="AF62" s="3">
        <v>9.9693536999999992E-3</v>
      </c>
      <c r="AG62" s="3">
        <v>8.8490490000000005E-2</v>
      </c>
      <c r="AH62" s="3">
        <v>5.246079E-2</v>
      </c>
      <c r="AI62" s="3">
        <v>2.1492600000000001E-2</v>
      </c>
      <c r="AJ62" s="3"/>
      <c r="AK62" s="3"/>
      <c r="AL62" s="3"/>
    </row>
    <row r="63" spans="1:38" x14ac:dyDescent="0.4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x14ac:dyDescent="0.45">
      <c r="A64" s="2" t="s">
        <v>38</v>
      </c>
      <c r="B64" s="3" t="str">
        <f>B1</f>
        <v>CNYA</v>
      </c>
      <c r="C64" s="3" t="str">
        <f t="shared" ref="C64:V64" si="0">C1</f>
        <v>ECH</v>
      </c>
      <c r="D64" s="3" t="str">
        <f t="shared" si="0"/>
        <v>EIDO</v>
      </c>
      <c r="E64" s="3" t="str">
        <f t="shared" si="0"/>
        <v>EPHE</v>
      </c>
      <c r="F64" s="3" t="str">
        <f t="shared" si="0"/>
        <v>EPOL</v>
      </c>
      <c r="G64" s="3" t="str">
        <f t="shared" si="0"/>
        <v>EPU</v>
      </c>
      <c r="H64" s="3" t="str">
        <f t="shared" si="0"/>
        <v>EWM</v>
      </c>
      <c r="I64" s="3" t="str">
        <f t="shared" si="0"/>
        <v>EWT</v>
      </c>
      <c r="J64" s="3" t="str">
        <f t="shared" si="0"/>
        <v>EWW</v>
      </c>
      <c r="K64" s="3" t="str">
        <f t="shared" si="0"/>
        <v>EWY</v>
      </c>
      <c r="L64" s="3" t="str">
        <f t="shared" si="0"/>
        <v>EWZ</v>
      </c>
      <c r="M64" s="3" t="str">
        <f t="shared" si="0"/>
        <v>EZA</v>
      </c>
      <c r="N64" s="3" t="str">
        <f t="shared" si="0"/>
        <v>GREK</v>
      </c>
      <c r="O64" s="3" t="str">
        <f t="shared" si="0"/>
        <v>INDA</v>
      </c>
      <c r="P64" s="3" t="str">
        <f t="shared" si="0"/>
        <v>MCHI</v>
      </c>
      <c r="Q64" s="3" t="str">
        <f t="shared" si="0"/>
        <v>QAT</v>
      </c>
      <c r="R64" s="3" t="str">
        <f t="shared" si="0"/>
        <v>SET-BKK</v>
      </c>
      <c r="S64" s="3" t="str">
        <f t="shared" si="0"/>
        <v>TUR</v>
      </c>
      <c r="T64" s="3" t="str">
        <f t="shared" si="0"/>
        <v>UAE</v>
      </c>
      <c r="U64" s="3" t="str">
        <f t="shared" si="0"/>
        <v>VNM</v>
      </c>
      <c r="V64" s="3" t="str">
        <f t="shared" si="0"/>
        <v>KSA</v>
      </c>
      <c r="W64" s="3" t="str">
        <f t="shared" ref="W64:AI64" si="1">W1</f>
        <v>ENZL</v>
      </c>
      <c r="X64" s="3" t="str">
        <f t="shared" si="1"/>
        <v>EWA</v>
      </c>
      <c r="Y64" s="3" t="str">
        <f t="shared" si="1"/>
        <v>EWC</v>
      </c>
      <c r="Z64" s="3" t="str">
        <f t="shared" si="1"/>
        <v>EWG</v>
      </c>
      <c r="AA64" s="3" t="str">
        <f t="shared" si="1"/>
        <v>EWJ</v>
      </c>
      <c r="AB64" s="3" t="str">
        <f t="shared" si="1"/>
        <v>EWL</v>
      </c>
      <c r="AC64" s="3" t="str">
        <f t="shared" si="1"/>
        <v>EWU</v>
      </c>
      <c r="AD64" s="3" t="str">
        <f t="shared" si="1"/>
        <v>QQQ</v>
      </c>
      <c r="AE64" s="3" t="str">
        <f t="shared" si="1"/>
        <v>SPY</v>
      </c>
      <c r="AF64" s="3" t="str">
        <f t="shared" si="1"/>
        <v>EWQ</v>
      </c>
      <c r="AG64" s="3" t="str">
        <f t="shared" si="1"/>
        <v>EWN</v>
      </c>
      <c r="AH64" s="3" t="str">
        <f t="shared" si="1"/>
        <v>EWD</v>
      </c>
      <c r="AI64" s="3" t="str">
        <f t="shared" si="1"/>
        <v>EWI</v>
      </c>
      <c r="AJ64" s="3"/>
      <c r="AK64" s="3"/>
      <c r="AL64" s="3"/>
    </row>
    <row r="65" spans="1:38" x14ac:dyDescent="0.45">
      <c r="A65" s="2" t="s">
        <v>39</v>
      </c>
      <c r="B65" t="s">
        <v>43</v>
      </c>
      <c r="C65" t="s">
        <v>44</v>
      </c>
      <c r="D65" t="s">
        <v>45</v>
      </c>
      <c r="E65" t="s">
        <v>46</v>
      </c>
      <c r="F65" t="s">
        <v>47</v>
      </c>
      <c r="G65" t="s">
        <v>48</v>
      </c>
      <c r="H65" t="s">
        <v>49</v>
      </c>
      <c r="I65" t="s">
        <v>50</v>
      </c>
      <c r="J65" t="s">
        <v>51</v>
      </c>
      <c r="K65" t="s">
        <v>52</v>
      </c>
      <c r="L65" t="s">
        <v>53</v>
      </c>
      <c r="M65" t="s">
        <v>54</v>
      </c>
      <c r="N65" t="s">
        <v>55</v>
      </c>
      <c r="O65" t="s">
        <v>56</v>
      </c>
      <c r="P65" t="s">
        <v>43</v>
      </c>
      <c r="Q65" t="s">
        <v>57</v>
      </c>
      <c r="R65" t="s">
        <v>58</v>
      </c>
      <c r="S65" t="s">
        <v>59</v>
      </c>
      <c r="T65" t="s">
        <v>60</v>
      </c>
      <c r="U65" t="s">
        <v>61</v>
      </c>
      <c r="V65" t="s">
        <v>62</v>
      </c>
      <c r="W65" t="s">
        <v>63</v>
      </c>
      <c r="X65" t="s">
        <v>64</v>
      </c>
      <c r="Y65" t="s">
        <v>65</v>
      </c>
      <c r="Z65" t="s">
        <v>66</v>
      </c>
      <c r="AA65" t="s">
        <v>67</v>
      </c>
      <c r="AB65" t="s">
        <v>68</v>
      </c>
      <c r="AC65" t="s">
        <v>69</v>
      </c>
      <c r="AD65" t="s">
        <v>70</v>
      </c>
      <c r="AE65" t="s">
        <v>70</v>
      </c>
      <c r="AF65" t="s">
        <v>71</v>
      </c>
      <c r="AG65" t="s">
        <v>72</v>
      </c>
      <c r="AH65" t="s">
        <v>73</v>
      </c>
      <c r="AI65" t="s">
        <v>74</v>
      </c>
      <c r="AJ65" s="3"/>
      <c r="AK65" s="3"/>
      <c r="AL65" s="3"/>
    </row>
    <row r="66" spans="1:38" x14ac:dyDescent="0.45">
      <c r="A66" s="2" t="s">
        <v>40</v>
      </c>
      <c r="B66" s="3" t="s">
        <v>41</v>
      </c>
      <c r="C66" s="3" t="s">
        <v>41</v>
      </c>
      <c r="D66" s="3" t="s">
        <v>41</v>
      </c>
      <c r="E66" s="3" t="s">
        <v>41</v>
      </c>
      <c r="F66" s="3" t="s">
        <v>41</v>
      </c>
      <c r="G66" s="3" t="s">
        <v>41</v>
      </c>
      <c r="H66" s="3" t="s">
        <v>41</v>
      </c>
      <c r="I66" s="3" t="s">
        <v>41</v>
      </c>
      <c r="J66" s="3" t="s">
        <v>41</v>
      </c>
      <c r="K66" s="3" t="s">
        <v>41</v>
      </c>
      <c r="L66" s="3" t="s">
        <v>41</v>
      </c>
      <c r="M66" s="3" t="s">
        <v>41</v>
      </c>
      <c r="N66" s="3" t="s">
        <v>41</v>
      </c>
      <c r="O66" s="3" t="s">
        <v>41</v>
      </c>
      <c r="P66" s="3" t="s">
        <v>41</v>
      </c>
      <c r="Q66" s="3" t="s">
        <v>41</v>
      </c>
      <c r="R66" s="3" t="s">
        <v>41</v>
      </c>
      <c r="S66" s="3" t="s">
        <v>41</v>
      </c>
      <c r="T66" s="3" t="s">
        <v>41</v>
      </c>
      <c r="U66" s="3" t="s">
        <v>41</v>
      </c>
      <c r="V66" s="3" t="s">
        <v>41</v>
      </c>
      <c r="W66" s="3" t="s">
        <v>42</v>
      </c>
      <c r="X66" s="3" t="s">
        <v>42</v>
      </c>
      <c r="Y66" s="3" t="s">
        <v>42</v>
      </c>
      <c r="Z66" s="3" t="s">
        <v>42</v>
      </c>
      <c r="AA66" s="3" t="s">
        <v>42</v>
      </c>
      <c r="AB66" s="3" t="s">
        <v>42</v>
      </c>
      <c r="AC66" s="3" t="s">
        <v>42</v>
      </c>
      <c r="AD66" s="3" t="s">
        <v>42</v>
      </c>
      <c r="AE66" s="3" t="s">
        <v>42</v>
      </c>
      <c r="AF66" s="3" t="s">
        <v>42</v>
      </c>
      <c r="AG66" s="3" t="s">
        <v>42</v>
      </c>
      <c r="AH66" s="3" t="s">
        <v>42</v>
      </c>
      <c r="AI66" s="3" t="s">
        <v>42</v>
      </c>
      <c r="AJ66" s="3"/>
      <c r="AK66" s="3"/>
      <c r="AL66" s="3"/>
    </row>
    <row r="67" spans="1:38" x14ac:dyDescent="0.45">
      <c r="A67" s="2" t="s">
        <v>75</v>
      </c>
      <c r="B67" s="3">
        <f>B62</f>
        <v>7.0917726E-2</v>
      </c>
      <c r="C67" s="3">
        <f t="shared" ref="C67:AI67" si="2">C62</f>
        <v>0.13621223000000002</v>
      </c>
      <c r="D67" s="3">
        <f t="shared" si="2"/>
        <v>2.8967619999999999E-2</v>
      </c>
      <c r="E67" s="3">
        <f t="shared" si="2"/>
        <v>6.568539000000001E-2</v>
      </c>
      <c r="F67" s="3">
        <f t="shared" si="2"/>
        <v>4.1185020000000003E-2</v>
      </c>
      <c r="G67" s="3">
        <f t="shared" si="2"/>
        <v>0.20362031999999999</v>
      </c>
      <c r="H67" s="3">
        <f t="shared" si="2"/>
        <v>6.0505509999999998E-2</v>
      </c>
      <c r="I67" s="3">
        <f t="shared" si="2"/>
        <v>9.7963450000000007E-2</v>
      </c>
      <c r="J67" s="3">
        <f t="shared" si="2"/>
        <v>5.9502363000000003E-2</v>
      </c>
      <c r="K67" s="3">
        <f t="shared" si="2"/>
        <v>0.22481394000000002</v>
      </c>
      <c r="L67" s="3">
        <f t="shared" si="2"/>
        <v>2.913344E-2</v>
      </c>
      <c r="M67" s="3">
        <f t="shared" si="2"/>
        <v>0.1175605</v>
      </c>
      <c r="N67" s="3">
        <f t="shared" si="2"/>
        <v>5.7250500000000003E-2</v>
      </c>
      <c r="O67" s="3">
        <f t="shared" si="2"/>
        <v>2.2599696999999999E-3</v>
      </c>
      <c r="P67" s="3">
        <f t="shared" si="2"/>
        <v>5.7547210000000001E-2</v>
      </c>
      <c r="Q67" s="3">
        <f t="shared" si="2"/>
        <v>3.4217596000000003E-2</v>
      </c>
      <c r="R67" s="3">
        <f t="shared" si="2"/>
        <v>-9.4314220000000001E-3</v>
      </c>
      <c r="S67" s="3">
        <f t="shared" si="2"/>
        <v>8.6220630000000006E-2</v>
      </c>
      <c r="T67" s="3">
        <f t="shared" si="2"/>
        <v>2.8025508000000001E-2</v>
      </c>
      <c r="U67" s="3">
        <f t="shared" si="2"/>
        <v>0.12341428</v>
      </c>
      <c r="V67" s="3">
        <f t="shared" si="2"/>
        <v>4.4625162999999995E-2</v>
      </c>
      <c r="W67" s="3">
        <f t="shared" si="2"/>
        <v>1.0092973999999999E-2</v>
      </c>
      <c r="X67" s="3">
        <f t="shared" si="2"/>
        <v>2.603662E-2</v>
      </c>
      <c r="Y67" s="3">
        <f t="shared" si="2"/>
        <v>3.5594819999999999E-2</v>
      </c>
      <c r="Z67" s="3">
        <f t="shared" si="2"/>
        <v>2.7078509999999997E-2</v>
      </c>
      <c r="AA67" s="3">
        <f t="shared" si="2"/>
        <v>4.4590591999999998E-2</v>
      </c>
      <c r="AB67" s="3">
        <f t="shared" si="2"/>
        <v>2.4720550000000001E-2</v>
      </c>
      <c r="AC67" s="3">
        <f t="shared" si="2"/>
        <v>5.0626397000000004E-2</v>
      </c>
      <c r="AD67" s="3">
        <f t="shared" si="2"/>
        <v>1.9716024000000002E-2</v>
      </c>
      <c r="AE67" s="3">
        <f t="shared" si="2"/>
        <v>1.9886851000000001E-2</v>
      </c>
      <c r="AF67" s="3">
        <f t="shared" si="2"/>
        <v>9.9693536999999992E-3</v>
      </c>
      <c r="AG67" s="3">
        <f t="shared" si="2"/>
        <v>8.8490490000000005E-2</v>
      </c>
      <c r="AH67" s="3">
        <f t="shared" si="2"/>
        <v>5.246079E-2</v>
      </c>
      <c r="AI67" s="3">
        <f t="shared" si="2"/>
        <v>2.1492600000000001E-2</v>
      </c>
      <c r="AJ67" s="3"/>
      <c r="AK67" s="3"/>
      <c r="AL67" s="3"/>
    </row>
    <row r="68" spans="1:38" x14ac:dyDescent="0.45">
      <c r="A68" t="s">
        <v>35</v>
      </c>
      <c r="B68" s="4">
        <f t="shared" ref="B68:AI68" si="3">AVERAGE(_xlfn.ANCHORARRAY(B2))</f>
        <v>1.6763819639344256E-3</v>
      </c>
      <c r="C68" s="4">
        <f t="shared" si="3"/>
        <v>1.3729726051803278E-2</v>
      </c>
      <c r="D68" s="4">
        <f t="shared" si="3"/>
        <v>5.2796341639344284E-4</v>
      </c>
      <c r="E68" s="4">
        <f t="shared" si="3"/>
        <v>-5.2319869508196876E-4</v>
      </c>
      <c r="F68" s="4">
        <f t="shared" si="3"/>
        <v>1.7336759619672133E-2</v>
      </c>
      <c r="G68" s="4">
        <f t="shared" si="3"/>
        <v>2.1462848519672131E-2</v>
      </c>
      <c r="H68" s="4">
        <f t="shared" si="3"/>
        <v>3.6245038191803293E-3</v>
      </c>
      <c r="I68" s="4">
        <f t="shared" si="3"/>
        <v>1.2645733845901641E-2</v>
      </c>
      <c r="J68" s="4">
        <f t="shared" si="3"/>
        <v>1.3533996439344264E-2</v>
      </c>
      <c r="K68" s="4">
        <f t="shared" si="3"/>
        <v>9.2512131262295089E-3</v>
      </c>
      <c r="L68" s="4">
        <f t="shared" si="3"/>
        <v>7.6669369770491795E-3</v>
      </c>
      <c r="M68" s="4">
        <f t="shared" si="3"/>
        <v>1.4740653333442622E-2</v>
      </c>
      <c r="N68" s="4">
        <f t="shared" si="3"/>
        <v>2.1964086008196722E-2</v>
      </c>
      <c r="O68" s="4">
        <f t="shared" si="3"/>
        <v>7.2377686688524616E-3</v>
      </c>
      <c r="P68" s="4">
        <f t="shared" si="3"/>
        <v>1.9534783770491773E-3</v>
      </c>
      <c r="Q68" s="4">
        <f t="shared" si="3"/>
        <v>5.086311465573771E-3</v>
      </c>
      <c r="R68" s="4">
        <f t="shared" si="3"/>
        <v>-1.9102137680327878E-3</v>
      </c>
      <c r="S68" s="4">
        <f t="shared" si="3"/>
        <v>1.3781973873770491E-2</v>
      </c>
      <c r="T68" s="4">
        <f t="shared" si="3"/>
        <v>1.2164989637704919E-2</v>
      </c>
      <c r="U68" s="4">
        <f t="shared" si="3"/>
        <v>5.9210318880327864E-3</v>
      </c>
      <c r="V68" s="4">
        <f t="shared" si="3"/>
        <v>6.5711255609836056E-3</v>
      </c>
      <c r="W68" s="4">
        <f t="shared" si="3"/>
        <v>-3.0543957278688517E-3</v>
      </c>
      <c r="X68" s="4">
        <f t="shared" si="3"/>
        <v>6.3832234114754088E-3</v>
      </c>
      <c r="Y68" s="4">
        <f t="shared" si="3"/>
        <v>1.2268920572131147E-2</v>
      </c>
      <c r="Z68" s="4">
        <f t="shared" si="3"/>
        <v>9.0849439540983574E-3</v>
      </c>
      <c r="AA68" s="4">
        <f t="shared" si="3"/>
        <v>7.16503842786885E-3</v>
      </c>
      <c r="AB68" s="4">
        <f t="shared" si="3"/>
        <v>8.150793566885247E-3</v>
      </c>
      <c r="AC68" s="4">
        <f t="shared" si="3"/>
        <v>1.1313264650163937E-2</v>
      </c>
      <c r="AD68" s="4">
        <f t="shared" si="3"/>
        <v>1.3852308078688529E-2</v>
      </c>
      <c r="AE68" s="4">
        <f t="shared" si="3"/>
        <v>1.2459208691803279E-2</v>
      </c>
      <c r="AF68" s="4">
        <f t="shared" si="3"/>
        <v>9.1285912114754102E-3</v>
      </c>
      <c r="AG68" s="4">
        <f t="shared" si="3"/>
        <v>1.1091335886885243E-2</v>
      </c>
      <c r="AH68" s="4">
        <f t="shared" si="3"/>
        <v>8.5865219540983591E-3</v>
      </c>
      <c r="AI68" s="4">
        <f t="shared" si="3"/>
        <v>1.5362123265573768E-2</v>
      </c>
    </row>
    <row r="69" spans="1:38" x14ac:dyDescent="0.45">
      <c r="A69" t="s">
        <v>21</v>
      </c>
      <c r="B69" s="4">
        <f t="shared" ref="B69:AI69" si="4">STDEV(B40:B62)</f>
        <v>5.793114955962364E-2</v>
      </c>
      <c r="C69" s="4">
        <f t="shared" si="4"/>
        <v>6.4242896276608258E-2</v>
      </c>
      <c r="D69" s="4">
        <f t="shared" si="4"/>
        <v>5.9187938120270137E-2</v>
      </c>
      <c r="E69" s="4">
        <f t="shared" si="4"/>
        <v>5.3103145041912173E-2</v>
      </c>
      <c r="F69" s="4">
        <f t="shared" si="4"/>
        <v>6.7205127550668459E-2</v>
      </c>
      <c r="G69" s="4">
        <f t="shared" si="4"/>
        <v>6.297430382779079E-2</v>
      </c>
      <c r="H69" s="4">
        <f t="shared" si="4"/>
        <v>4.3096954962776914E-2</v>
      </c>
      <c r="I69" s="4">
        <f t="shared" si="4"/>
        <v>5.3912472124041169E-2</v>
      </c>
      <c r="J69" s="4">
        <f t="shared" si="4"/>
        <v>6.5815543168427026E-2</v>
      </c>
      <c r="K69" s="4">
        <f t="shared" si="4"/>
        <v>7.2278561772813207E-2</v>
      </c>
      <c r="L69" s="4">
        <f t="shared" si="4"/>
        <v>6.2326223188757982E-2</v>
      </c>
      <c r="M69" s="4">
        <f t="shared" si="4"/>
        <v>5.3330389254758206E-2</v>
      </c>
      <c r="N69" s="4">
        <f t="shared" si="4"/>
        <v>5.7860959401775408E-2</v>
      </c>
      <c r="O69" s="4">
        <f t="shared" si="4"/>
        <v>3.7274650908896076E-2</v>
      </c>
      <c r="P69" s="4">
        <f t="shared" si="4"/>
        <v>8.0158819961686098E-2</v>
      </c>
      <c r="Q69" s="4">
        <f t="shared" si="4"/>
        <v>3.4404164529618669E-2</v>
      </c>
      <c r="R69" s="4">
        <f t="shared" si="4"/>
        <v>4.5833370620923269E-2</v>
      </c>
      <c r="S69" s="4">
        <f t="shared" si="4"/>
        <v>7.3499819332954991E-2</v>
      </c>
      <c r="T69" s="4">
        <f t="shared" si="4"/>
        <v>4.3297217535129107E-2</v>
      </c>
      <c r="U69" s="4">
        <f t="shared" si="4"/>
        <v>7.3548478455451829E-2</v>
      </c>
      <c r="V69" s="4">
        <f t="shared" si="4"/>
        <v>4.1070320971983321E-2</v>
      </c>
      <c r="W69" s="4">
        <f t="shared" si="4"/>
        <v>3.0233292549343135E-2</v>
      </c>
      <c r="X69" s="4">
        <f t="shared" si="4"/>
        <v>3.8817440179654078E-2</v>
      </c>
      <c r="Y69" s="4">
        <f t="shared" si="4"/>
        <v>3.2327221616675166E-2</v>
      </c>
      <c r="Z69" s="4">
        <f t="shared" si="4"/>
        <v>4.6095149729695785E-2</v>
      </c>
      <c r="AA69" s="4">
        <f t="shared" si="4"/>
        <v>3.7890211725532835E-2</v>
      </c>
      <c r="AB69" s="4">
        <f t="shared" si="4"/>
        <v>3.6301480259212753E-2</v>
      </c>
      <c r="AC69" s="4">
        <f t="shared" si="4"/>
        <v>3.4934598791591963E-2</v>
      </c>
      <c r="AD69" s="4">
        <f t="shared" si="4"/>
        <v>4.7076320324762923E-2</v>
      </c>
      <c r="AE69" s="4">
        <f t="shared" si="4"/>
        <v>3.3964977799359808E-2</v>
      </c>
      <c r="AF69" s="4">
        <f t="shared" si="4"/>
        <v>4.7109336195427044E-2</v>
      </c>
      <c r="AG69" s="4">
        <f t="shared" si="4"/>
        <v>4.6617315496977327E-2</v>
      </c>
      <c r="AH69" s="4">
        <f t="shared" si="4"/>
        <v>5.0144816252470803E-2</v>
      </c>
      <c r="AI69" s="4">
        <f t="shared" si="4"/>
        <v>5.1415508796082435E-2</v>
      </c>
    </row>
    <row r="70" spans="1:38" x14ac:dyDescent="0.45">
      <c r="A70" t="s">
        <v>36</v>
      </c>
      <c r="B70" s="3">
        <f>B69*2</f>
        <v>0.11586229911924728</v>
      </c>
      <c r="C70" s="3">
        <f t="shared" ref="C70:AI70" si="5">C69*2</f>
        <v>0.12848579255321652</v>
      </c>
      <c r="D70" s="3">
        <f t="shared" si="5"/>
        <v>0.11837587624054027</v>
      </c>
      <c r="E70" s="3">
        <f t="shared" si="5"/>
        <v>0.10620629008382435</v>
      </c>
      <c r="F70" s="3">
        <f t="shared" si="5"/>
        <v>0.13441025510133692</v>
      </c>
      <c r="G70" s="3">
        <f t="shared" si="5"/>
        <v>0.12594860765558158</v>
      </c>
      <c r="H70" s="3">
        <f t="shared" si="5"/>
        <v>8.6193909925553827E-2</v>
      </c>
      <c r="I70" s="3">
        <f t="shared" si="5"/>
        <v>0.10782494424808234</v>
      </c>
      <c r="J70" s="3">
        <f t="shared" si="5"/>
        <v>0.13163108633685405</v>
      </c>
      <c r="K70" s="3">
        <f t="shared" si="5"/>
        <v>0.14455712354562641</v>
      </c>
      <c r="L70" s="3">
        <f t="shared" si="5"/>
        <v>0.12465244637751596</v>
      </c>
      <c r="M70" s="3">
        <f t="shared" si="5"/>
        <v>0.10666077850951641</v>
      </c>
      <c r="N70" s="3">
        <f t="shared" si="5"/>
        <v>0.11572191880355082</v>
      </c>
      <c r="O70" s="3">
        <f t="shared" si="5"/>
        <v>7.4549301817792152E-2</v>
      </c>
      <c r="P70" s="3">
        <f t="shared" si="5"/>
        <v>0.1603176399233722</v>
      </c>
      <c r="Q70" s="3">
        <f t="shared" si="5"/>
        <v>6.8808329059237339E-2</v>
      </c>
      <c r="R70" s="3">
        <f t="shared" si="5"/>
        <v>9.1666741241846539E-2</v>
      </c>
      <c r="S70" s="3">
        <f t="shared" si="5"/>
        <v>0.14699963866590998</v>
      </c>
      <c r="T70" s="3">
        <f t="shared" si="5"/>
        <v>8.6594435070258213E-2</v>
      </c>
      <c r="U70" s="3">
        <f t="shared" si="5"/>
        <v>0.14709695691090366</v>
      </c>
      <c r="V70" s="3">
        <f t="shared" si="5"/>
        <v>8.2140641943966641E-2</v>
      </c>
      <c r="W70" s="3">
        <f t="shared" si="5"/>
        <v>6.0466585098686271E-2</v>
      </c>
      <c r="X70" s="3">
        <f t="shared" si="5"/>
        <v>7.7634880359308156E-2</v>
      </c>
      <c r="Y70" s="3">
        <f t="shared" si="5"/>
        <v>6.4654443233350331E-2</v>
      </c>
      <c r="Z70" s="3">
        <f t="shared" si="5"/>
        <v>9.219029945939157E-2</v>
      </c>
      <c r="AA70" s="3">
        <f t="shared" si="5"/>
        <v>7.578042345106567E-2</v>
      </c>
      <c r="AB70" s="3">
        <f t="shared" si="5"/>
        <v>7.2602960518425505E-2</v>
      </c>
      <c r="AC70" s="3">
        <f t="shared" si="5"/>
        <v>6.9869197583183926E-2</v>
      </c>
      <c r="AD70" s="3">
        <f t="shared" si="5"/>
        <v>9.4152640649525846E-2</v>
      </c>
      <c r="AE70" s="3">
        <f t="shared" si="5"/>
        <v>6.7929955598719616E-2</v>
      </c>
      <c r="AF70" s="3">
        <f t="shared" si="5"/>
        <v>9.4218672390854089E-2</v>
      </c>
      <c r="AG70" s="3">
        <f t="shared" si="5"/>
        <v>9.3234630993954654E-2</v>
      </c>
      <c r="AH70" s="3">
        <f t="shared" si="5"/>
        <v>0.10028963250494161</v>
      </c>
      <c r="AI70" s="3">
        <f t="shared" si="5"/>
        <v>0.10283101759216487</v>
      </c>
    </row>
    <row r="71" spans="1:38" x14ac:dyDescent="0.45">
      <c r="A71" t="s">
        <v>79</v>
      </c>
      <c r="B71">
        <f>PRICE_DATA!B2</f>
        <v>35.869999999999997</v>
      </c>
      <c r="C71">
        <f>PRICE_DATA!C2</f>
        <v>44.15</v>
      </c>
      <c r="D71">
        <f>PRICE_DATA!D2</f>
        <v>19.22</v>
      </c>
      <c r="E71">
        <f>PRICE_DATA!E2</f>
        <v>26.38</v>
      </c>
      <c r="F71">
        <f>PRICE_DATA!F2</f>
        <v>36.15</v>
      </c>
      <c r="G71">
        <f>PRICE_DATA!G2</f>
        <v>83.01</v>
      </c>
      <c r="H71">
        <f>PRICE_DATA!H2</f>
        <v>28.28</v>
      </c>
      <c r="I71">
        <f>PRICE_DATA!I2</f>
        <v>67.290000000000006</v>
      </c>
      <c r="J71">
        <f>PRICE_DATA!J2</f>
        <v>73.25</v>
      </c>
      <c r="K71">
        <f>PRICE_DATA!K2</f>
        <v>111.05</v>
      </c>
      <c r="L71">
        <f>PRICE_DATA!L2</f>
        <v>33.36</v>
      </c>
      <c r="M71">
        <f>PRICE_DATA!M2</f>
        <v>73.739999999999995</v>
      </c>
      <c r="N71">
        <f>PRICE_DATA!N2</f>
        <v>69.84</v>
      </c>
      <c r="O71">
        <f>PRICE_DATA!O2</f>
        <v>53.22</v>
      </c>
      <c r="P71">
        <f>PRICE_DATA!P2</f>
        <v>63.59</v>
      </c>
      <c r="Q71">
        <f>PRICE_DATA!Q2</f>
        <v>19.425000000000001</v>
      </c>
      <c r="R71">
        <f>PRICE_DATA!R2</f>
        <v>1261.3900000000001</v>
      </c>
      <c r="S71">
        <f>PRICE_DATA!S2</f>
        <v>37.94</v>
      </c>
      <c r="T71">
        <f>PRICE_DATA!T2</f>
        <v>19.73</v>
      </c>
      <c r="U71">
        <f>PRICE_DATA!U2</f>
        <v>19.53</v>
      </c>
      <c r="V71">
        <f>PRICE_DATA!V2</f>
        <v>37.99</v>
      </c>
      <c r="W71">
        <f>PRICE_DATA!W2</f>
        <v>45.630099999999999</v>
      </c>
      <c r="X71">
        <f>PRICE_DATA!X2</f>
        <v>26.65</v>
      </c>
      <c r="Y71">
        <f>PRICE_DATA!Y2</f>
        <v>55.22</v>
      </c>
      <c r="Z71">
        <f>PRICE_DATA!Z2</f>
        <v>43.24</v>
      </c>
      <c r="AA71">
        <f>PRICE_DATA!AA2</f>
        <v>85.42</v>
      </c>
      <c r="AB71">
        <f>PRICE_DATA!AB2</f>
        <v>60.52</v>
      </c>
      <c r="AC71">
        <f>PRICE_DATA!AC2</f>
        <v>45.09</v>
      </c>
      <c r="AD71">
        <f>PRICE_DATA!AD2</f>
        <v>621.78</v>
      </c>
      <c r="AE71">
        <f>PRICE_DATA!AE2</f>
        <v>692.24</v>
      </c>
      <c r="AF71">
        <f>PRICE_DATA!AF2</f>
        <v>45.4</v>
      </c>
      <c r="AG71">
        <f>PRICE_DATA!AG2</f>
        <v>61.6</v>
      </c>
      <c r="AH71">
        <f>PRICE_DATA!AH2</f>
        <v>51.05</v>
      </c>
      <c r="AI71">
        <f>PRICE_DATA!AI2</f>
        <v>54.8</v>
      </c>
    </row>
    <row r="72" spans="1:38" x14ac:dyDescent="0.45">
      <c r="A72" t="s">
        <v>80</v>
      </c>
      <c r="B72" s="7">
        <f>PRICE_DATA!B204</f>
        <v>31.329414925373122</v>
      </c>
      <c r="C72" s="7">
        <f>PRICE_DATA!C204</f>
        <v>33.578432835820884</v>
      </c>
      <c r="D72" s="7">
        <f>PRICE_DATA!D204</f>
        <v>17.911194029850744</v>
      </c>
      <c r="E72" s="7">
        <f>PRICE_DATA!E204</f>
        <v>25.923249751243798</v>
      </c>
      <c r="F72" s="7">
        <f>PRICE_DATA!F204</f>
        <v>32.177761194029856</v>
      </c>
      <c r="G72" s="7">
        <f>PRICE_DATA!G204</f>
        <v>55.534700497512432</v>
      </c>
      <c r="H72" s="7">
        <f>PRICE_DATA!H204</f>
        <v>25.122935323383089</v>
      </c>
      <c r="I72" s="7">
        <f>PRICE_DATA!I204</f>
        <v>58.961741293532327</v>
      </c>
      <c r="J72" s="7">
        <f>PRICE_DATA!J204</f>
        <v>62.940995024875626</v>
      </c>
      <c r="K72" s="7">
        <f>PRICE_DATA!K204</f>
        <v>76.930547263681575</v>
      </c>
      <c r="L72" s="7">
        <f>PRICE_DATA!L204</f>
        <v>29.273781094527354</v>
      </c>
      <c r="M72" s="7">
        <f>PRICE_DATA!M204</f>
        <v>58.611592039800968</v>
      </c>
      <c r="N72" s="7">
        <f>PRICE_DATA!N204</f>
        <v>60.512448258706442</v>
      </c>
      <c r="O72" s="7">
        <f>PRICE_DATA!O204</f>
        <v>53.594527363184078</v>
      </c>
      <c r="P72" s="7">
        <f>PRICE_DATA!P204</f>
        <v>58.883706467661753</v>
      </c>
      <c r="Q72" s="7">
        <f>PRICE_DATA!Q204</f>
        <v>19.031464179104479</v>
      </c>
      <c r="R72" s="7">
        <f>PRICE_DATA!R204</f>
        <v>1221.4969651741287</v>
      </c>
      <c r="S72" s="7">
        <f>PRICE_DATA!S204</f>
        <v>33.288481592039766</v>
      </c>
      <c r="T72" s="7">
        <f>PRICE_DATA!T204</f>
        <v>18.905057711442794</v>
      </c>
      <c r="U72" s="7">
        <f>PRICE_DATA!U204</f>
        <v>16.082014925373134</v>
      </c>
      <c r="V72" s="7">
        <f>PRICE_DATA!V204</f>
        <v>38.58557213930348</v>
      </c>
      <c r="W72" s="7">
        <f>PRICE_DATA!W204</f>
        <v>45.202812935323351</v>
      </c>
      <c r="X72" s="7">
        <f>PRICE_DATA!X204</f>
        <v>26.044477611940309</v>
      </c>
      <c r="Y72" s="7">
        <f>PRICE_DATA!Y204</f>
        <v>47.980597014925401</v>
      </c>
      <c r="Z72" s="7">
        <f>PRICE_DATA!Z204</f>
        <v>41.17228855721396</v>
      </c>
      <c r="AA72" s="7">
        <f>PRICE_DATA!AA204</f>
        <v>77.244378109452754</v>
      </c>
      <c r="AB72" s="7">
        <f>PRICE_DATA!AB204</f>
        <v>55.464029850746307</v>
      </c>
      <c r="AC72" s="7">
        <f>PRICE_DATA!AC204</f>
        <v>40.941641791044759</v>
      </c>
      <c r="AD72" s="7">
        <f>PRICE_DATA!AD204</f>
        <v>564.40482587064662</v>
      </c>
      <c r="AE72" s="7">
        <f>PRICE_DATA!AE204</f>
        <v>632.78965174129337</v>
      </c>
      <c r="AF72" s="7">
        <f>PRICE_DATA!AF204</f>
        <v>43.102139303482581</v>
      </c>
      <c r="AG72" s="7">
        <f>PRICE_DATA!AG204</f>
        <v>54.479313930348283</v>
      </c>
      <c r="AH72" s="7">
        <f>PRICE_DATA!AH204</f>
        <v>46.236567164179093</v>
      </c>
      <c r="AI72" s="7">
        <f>PRICE_DATA!AI204</f>
        <v>49.556467661691528</v>
      </c>
    </row>
    <row r="73" spans="1:38" x14ac:dyDescent="0.45">
      <c r="A73" t="s">
        <v>76</v>
      </c>
      <c r="B73">
        <f>IF(B67&gt;B68+B70,1,0)</f>
        <v>0</v>
      </c>
      <c r="C73">
        <f t="shared" ref="C73:AI73" si="6">IF(C67&gt;C68+C70,1,0)</f>
        <v>0</v>
      </c>
      <c r="D73">
        <f t="shared" si="6"/>
        <v>0</v>
      </c>
      <c r="E73">
        <f t="shared" si="6"/>
        <v>0</v>
      </c>
      <c r="F73">
        <f t="shared" si="6"/>
        <v>0</v>
      </c>
      <c r="G73">
        <f t="shared" si="6"/>
        <v>1</v>
      </c>
      <c r="H73">
        <f t="shared" si="6"/>
        <v>0</v>
      </c>
      <c r="I73">
        <f t="shared" si="6"/>
        <v>0</v>
      </c>
      <c r="J73">
        <f t="shared" si="6"/>
        <v>0</v>
      </c>
      <c r="K73">
        <f t="shared" si="6"/>
        <v>1</v>
      </c>
      <c r="L73">
        <f t="shared" si="6"/>
        <v>0</v>
      </c>
      <c r="M73">
        <f t="shared" si="6"/>
        <v>0</v>
      </c>
      <c r="N73">
        <f t="shared" si="6"/>
        <v>0</v>
      </c>
      <c r="O73">
        <f t="shared" si="6"/>
        <v>0</v>
      </c>
      <c r="P73">
        <f t="shared" si="6"/>
        <v>0</v>
      </c>
      <c r="Q73">
        <f t="shared" si="6"/>
        <v>0</v>
      </c>
      <c r="R73">
        <f t="shared" si="6"/>
        <v>0</v>
      </c>
      <c r="S73">
        <f t="shared" si="6"/>
        <v>0</v>
      </c>
      <c r="T73">
        <f t="shared" si="6"/>
        <v>0</v>
      </c>
      <c r="U73">
        <f t="shared" si="6"/>
        <v>0</v>
      </c>
      <c r="V73">
        <f t="shared" si="6"/>
        <v>0</v>
      </c>
      <c r="W73">
        <f t="shared" si="6"/>
        <v>0</v>
      </c>
      <c r="X73">
        <f t="shared" si="6"/>
        <v>0</v>
      </c>
      <c r="Y73">
        <f t="shared" si="6"/>
        <v>0</v>
      </c>
      <c r="Z73">
        <f t="shared" si="6"/>
        <v>0</v>
      </c>
      <c r="AA73">
        <f t="shared" si="6"/>
        <v>0</v>
      </c>
      <c r="AB73">
        <f t="shared" si="6"/>
        <v>0</v>
      </c>
      <c r="AC73">
        <f t="shared" si="6"/>
        <v>0</v>
      </c>
      <c r="AD73">
        <f t="shared" si="6"/>
        <v>0</v>
      </c>
      <c r="AE73">
        <f t="shared" si="6"/>
        <v>0</v>
      </c>
      <c r="AF73">
        <f t="shared" si="6"/>
        <v>0</v>
      </c>
      <c r="AG73">
        <f t="shared" si="6"/>
        <v>0</v>
      </c>
      <c r="AH73">
        <f t="shared" si="6"/>
        <v>0</v>
      </c>
      <c r="AI73">
        <f t="shared" si="6"/>
        <v>0</v>
      </c>
    </row>
    <row r="74" spans="1:38" x14ac:dyDescent="0.45">
      <c r="A74" t="s">
        <v>77</v>
      </c>
      <c r="B74">
        <f>IF(B67&lt;B68-B70,1,0)</f>
        <v>0</v>
      </c>
      <c r="C74">
        <f t="shared" ref="C74:AI74" si="7">IF(C67&lt;C68-C70,1,0)</f>
        <v>0</v>
      </c>
      <c r="D74">
        <f t="shared" si="7"/>
        <v>0</v>
      </c>
      <c r="E74">
        <f t="shared" si="7"/>
        <v>0</v>
      </c>
      <c r="F74">
        <f t="shared" si="7"/>
        <v>0</v>
      </c>
      <c r="G74">
        <f t="shared" si="7"/>
        <v>0</v>
      </c>
      <c r="H74">
        <f t="shared" si="7"/>
        <v>0</v>
      </c>
      <c r="I74">
        <f t="shared" si="7"/>
        <v>0</v>
      </c>
      <c r="J74">
        <f t="shared" si="7"/>
        <v>0</v>
      </c>
      <c r="K74">
        <f t="shared" si="7"/>
        <v>0</v>
      </c>
      <c r="L74">
        <f t="shared" si="7"/>
        <v>0</v>
      </c>
      <c r="M74">
        <f t="shared" si="7"/>
        <v>0</v>
      </c>
      <c r="N74">
        <f t="shared" si="7"/>
        <v>0</v>
      </c>
      <c r="O74">
        <f t="shared" si="7"/>
        <v>0</v>
      </c>
      <c r="P74">
        <f t="shared" si="7"/>
        <v>0</v>
      </c>
      <c r="Q74">
        <f t="shared" si="7"/>
        <v>0</v>
      </c>
      <c r="R74">
        <f t="shared" si="7"/>
        <v>0</v>
      </c>
      <c r="S74">
        <f t="shared" si="7"/>
        <v>0</v>
      </c>
      <c r="T74">
        <f t="shared" si="7"/>
        <v>0</v>
      </c>
      <c r="U74">
        <f t="shared" si="7"/>
        <v>0</v>
      </c>
      <c r="V74">
        <f t="shared" si="7"/>
        <v>0</v>
      </c>
      <c r="W74">
        <f t="shared" si="7"/>
        <v>0</v>
      </c>
      <c r="X74">
        <f t="shared" si="7"/>
        <v>0</v>
      </c>
      <c r="Y74">
        <f t="shared" si="7"/>
        <v>0</v>
      </c>
      <c r="Z74">
        <f t="shared" si="7"/>
        <v>0</v>
      </c>
      <c r="AA74">
        <f t="shared" si="7"/>
        <v>0</v>
      </c>
      <c r="AB74">
        <f t="shared" si="7"/>
        <v>0</v>
      </c>
      <c r="AC74">
        <f t="shared" si="7"/>
        <v>0</v>
      </c>
      <c r="AD74">
        <f t="shared" si="7"/>
        <v>0</v>
      </c>
      <c r="AE74">
        <f t="shared" si="7"/>
        <v>0</v>
      </c>
      <c r="AF74">
        <f t="shared" si="7"/>
        <v>0</v>
      </c>
      <c r="AG74">
        <f t="shared" si="7"/>
        <v>0</v>
      </c>
      <c r="AH74">
        <f t="shared" si="7"/>
        <v>0</v>
      </c>
      <c r="AI74">
        <f t="shared" si="7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08AEF-C559-4477-90B2-5852D36613B6}">
  <dimension ref="A1:AI204"/>
  <sheetViews>
    <sheetView topLeftCell="A179" workbookViewId="0">
      <selection activeCell="F187" sqref="F187"/>
    </sheetView>
  </sheetViews>
  <sheetFormatPr defaultRowHeight="14.25" x14ac:dyDescent="0.45"/>
  <cols>
    <col min="1" max="1" width="10.796875" customWidth="1"/>
  </cols>
  <sheetData>
    <row r="1" spans="1:35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45">
      <c r="A2" s="2" cm="1">
        <f t="array" ref="A2:A202">_xll.FDS(B1,"JULIAN(FG_PRICE(0,-200D).dates)")</f>
        <v>46037</v>
      </c>
      <c r="B2" cm="1">
        <f t="array" ref="B2:B202">_xll.FDS(B1,"FG_PRICE(0,-200D)")</f>
        <v>35.869999999999997</v>
      </c>
      <c r="C2" cm="1">
        <f t="array" ref="C2:C202">_xll.FDS(C1,"FG_PRICE(0,-200D)")</f>
        <v>44.15</v>
      </c>
      <c r="D2" cm="1">
        <f t="array" ref="D2:D202">_xll.FDS(D1,"FG_PRICE(0,-200D)")</f>
        <v>19.22</v>
      </c>
      <c r="E2" cm="1">
        <f t="array" ref="E2:E202">_xll.FDS(E1,"FG_PRICE(0,-200D)")</f>
        <v>26.38</v>
      </c>
      <c r="F2" cm="1">
        <f t="array" ref="F2:F202">_xll.FDS(F1,"FG_PRICE(0,-200D)")</f>
        <v>36.15</v>
      </c>
      <c r="G2" cm="1">
        <f t="array" ref="G2:G202">_xll.FDS(G1,"FG_PRICE(0,-200D)")</f>
        <v>83.01</v>
      </c>
      <c r="H2" cm="1">
        <f t="array" ref="H2:H202">_xll.FDS(H1,"FG_PRICE(0,-200D)")</f>
        <v>28.28</v>
      </c>
      <c r="I2" cm="1">
        <f t="array" ref="I2:I202">_xll.FDS(I1,"FG_PRICE(0,-200D)")</f>
        <v>67.290000000000006</v>
      </c>
      <c r="J2" cm="1">
        <f t="array" ref="J2:J202">_xll.FDS(J1,"FG_PRICE(0,-200D)")</f>
        <v>73.25</v>
      </c>
      <c r="K2" cm="1">
        <f t="array" ref="K2:K202">_xll.FDS(K1,"FG_PRICE(0,-200D)")</f>
        <v>111.05</v>
      </c>
      <c r="L2" cm="1">
        <f t="array" ref="L2:L202">_xll.FDS(L1,"FG_PRICE(0,-200D)")</f>
        <v>33.36</v>
      </c>
      <c r="M2" cm="1">
        <f t="array" ref="M2:M202">_xll.FDS(M1,"FG_PRICE(0,-200D)")</f>
        <v>73.739999999999995</v>
      </c>
      <c r="N2" cm="1">
        <f t="array" ref="N2:N202">_xll.FDS(N1,"FG_PRICE(0,-200D)")</f>
        <v>69.84</v>
      </c>
      <c r="O2" cm="1">
        <f t="array" ref="O2:O202">_xll.FDS(O1,"FG_PRICE(0,-200D)")</f>
        <v>53.22</v>
      </c>
      <c r="P2" cm="1">
        <f t="array" ref="P2:P202">_xll.FDS(P1,"FG_PRICE(0,-200D)")</f>
        <v>63.59</v>
      </c>
      <c r="Q2" cm="1">
        <f t="array" ref="Q2:Q202">_xll.FDS(Q1,"FG_PRICE(0,-200D)")</f>
        <v>19.425000000000001</v>
      </c>
      <c r="R2" cm="1">
        <f t="array" ref="R2:R202">_xll.FDS(R1,"FG_PRICE(0,-200D)")</f>
        <v>1261.3900000000001</v>
      </c>
      <c r="S2" cm="1">
        <f t="array" ref="S2:S202">_xll.FDS(S1,"FG_PRICE(0,-200D)")</f>
        <v>37.94</v>
      </c>
      <c r="T2" cm="1">
        <f t="array" ref="T2:T202">_xll.FDS(T1,"FG_PRICE(0,-200D)")</f>
        <v>19.73</v>
      </c>
      <c r="U2" cm="1">
        <f t="array" ref="U2:U202">_xll.FDS(U1,"FG_PRICE(0,-200D)")</f>
        <v>19.53</v>
      </c>
      <c r="V2" cm="1">
        <f t="array" ref="V2:V202">_xll.FDS(V1,"FG_PRICE(0,-200D)")</f>
        <v>37.99</v>
      </c>
      <c r="W2" cm="1">
        <f t="array" ref="W2:W202">_xll.FDS(W1,"FG_PRICE(0,-200D)")</f>
        <v>45.630099999999999</v>
      </c>
      <c r="X2" cm="1">
        <f t="array" ref="X2:X202">_xll.FDS(X1,"FG_PRICE(0,-200D)")</f>
        <v>26.65</v>
      </c>
      <c r="Y2" cm="1">
        <f t="array" ref="Y2:Y202">_xll.FDS(Y1,"FG_PRICE(0,-200D)")</f>
        <v>55.22</v>
      </c>
      <c r="Z2" cm="1">
        <f t="array" ref="Z2:Z202">_xll.FDS(Z1,"FG_PRICE(0,-200D)")</f>
        <v>43.24</v>
      </c>
      <c r="AA2" cm="1">
        <f t="array" ref="AA2:AA202">_xll.FDS(AA1,"FG_PRICE(0,-200D)")</f>
        <v>85.42</v>
      </c>
      <c r="AB2" cm="1">
        <f t="array" ref="AB2:AB202">_xll.FDS(AB1,"FG_PRICE(0,-200D)")</f>
        <v>60.52</v>
      </c>
      <c r="AC2" cm="1">
        <f t="array" ref="AC2:AC202">_xll.FDS(AC1,"FG_PRICE(0,-200D)")</f>
        <v>45.09</v>
      </c>
      <c r="AD2" cm="1">
        <f t="array" ref="AD2:AD202">_xll.FDS(AD1,"FG_PRICE(0,-200D)")</f>
        <v>621.78</v>
      </c>
      <c r="AE2" cm="1">
        <f t="array" ref="AE2:AE202">_xll.FDS(AE1,"FG_PRICE(0,-200D)")</f>
        <v>692.24</v>
      </c>
      <c r="AF2" cm="1">
        <f t="array" ref="AF2:AF202">_xll.FDS(AF1,"FG_PRICE(0,-200D)")</f>
        <v>45.4</v>
      </c>
      <c r="AG2" cm="1">
        <f t="array" ref="AG2:AG202">_xll.FDS(AG1,"FG_PRICE(0,-200D)")</f>
        <v>61.6</v>
      </c>
      <c r="AH2" cm="1">
        <f t="array" ref="AH2:AH202">_xll.FDS(AH1,"FG_PRICE(0,-200D)")</f>
        <v>51.05</v>
      </c>
      <c r="AI2" cm="1">
        <f t="array" ref="AI2:AI202">_xll.FDS(AI1,"FG_PRICE(0,-200D)")</f>
        <v>54.8</v>
      </c>
    </row>
    <row r="3" spans="1:35" x14ac:dyDescent="0.45">
      <c r="A3" s="2">
        <v>46036</v>
      </c>
      <c r="B3">
        <v>35.6</v>
      </c>
      <c r="C3">
        <v>44.51</v>
      </c>
      <c r="D3">
        <v>19.14</v>
      </c>
      <c r="E3">
        <v>26.04</v>
      </c>
      <c r="F3">
        <v>36.03</v>
      </c>
      <c r="G3">
        <v>82.26</v>
      </c>
      <c r="H3">
        <v>28.2</v>
      </c>
      <c r="I3">
        <v>66.510000000000005</v>
      </c>
      <c r="J3">
        <v>73.38</v>
      </c>
      <c r="K3">
        <v>109.64</v>
      </c>
      <c r="L3">
        <v>33.159999999999997</v>
      </c>
      <c r="M3">
        <v>73.39</v>
      </c>
      <c r="N3">
        <v>69.150000000000006</v>
      </c>
      <c r="O3">
        <v>53.25</v>
      </c>
      <c r="P3">
        <v>63.55</v>
      </c>
      <c r="Q3">
        <v>19.659600000000001</v>
      </c>
      <c r="R3">
        <v>1244.3</v>
      </c>
      <c r="S3">
        <v>37.590000000000003</v>
      </c>
      <c r="T3">
        <v>19.59</v>
      </c>
      <c r="U3">
        <v>19.690000000000001</v>
      </c>
      <c r="V3">
        <v>38.21</v>
      </c>
      <c r="W3">
        <v>45.89</v>
      </c>
      <c r="X3">
        <v>26.54</v>
      </c>
      <c r="Y3">
        <v>55.18</v>
      </c>
      <c r="Z3">
        <v>43.49</v>
      </c>
      <c r="AA3">
        <v>85.04</v>
      </c>
      <c r="AB3">
        <v>60.87</v>
      </c>
      <c r="AC3">
        <v>45.28</v>
      </c>
      <c r="AD3">
        <v>619.54999999999995</v>
      </c>
      <c r="AE3">
        <v>690.36</v>
      </c>
      <c r="AF3">
        <v>45.87</v>
      </c>
      <c r="AG3">
        <v>60.67</v>
      </c>
      <c r="AH3">
        <v>50.61</v>
      </c>
      <c r="AI3">
        <v>55.04</v>
      </c>
    </row>
    <row r="4" spans="1:35" x14ac:dyDescent="0.45">
      <c r="A4" s="2">
        <v>46035</v>
      </c>
      <c r="B4">
        <v>35.590000000000003</v>
      </c>
      <c r="C4">
        <v>44.34</v>
      </c>
      <c r="D4">
        <v>19.03</v>
      </c>
      <c r="E4">
        <v>26.24</v>
      </c>
      <c r="F4">
        <v>36.090000000000003</v>
      </c>
      <c r="G4">
        <v>80.989999999999995</v>
      </c>
      <c r="H4">
        <v>28.05</v>
      </c>
      <c r="I4">
        <v>66.099999999999994</v>
      </c>
      <c r="J4">
        <v>71.97</v>
      </c>
      <c r="K4">
        <v>107.54</v>
      </c>
      <c r="L4">
        <v>32.630000000000003</v>
      </c>
      <c r="M4">
        <v>73.09</v>
      </c>
      <c r="N4">
        <v>69</v>
      </c>
      <c r="O4">
        <v>53.04</v>
      </c>
      <c r="P4">
        <v>63.52</v>
      </c>
      <c r="Q4">
        <v>19.71</v>
      </c>
      <c r="R4">
        <v>1235.3</v>
      </c>
      <c r="S4">
        <v>37.729999999999997</v>
      </c>
      <c r="T4">
        <v>19.760000000000002</v>
      </c>
      <c r="U4">
        <v>19.8</v>
      </c>
      <c r="V4">
        <v>38.21</v>
      </c>
      <c r="W4">
        <v>45.52</v>
      </c>
      <c r="X4">
        <v>26.41</v>
      </c>
      <c r="Y4">
        <v>55.12</v>
      </c>
      <c r="Z4">
        <v>43.57</v>
      </c>
      <c r="AA4">
        <v>84.45</v>
      </c>
      <c r="AB4">
        <v>60.17</v>
      </c>
      <c r="AC4">
        <v>44.98</v>
      </c>
      <c r="AD4">
        <v>626.24</v>
      </c>
      <c r="AE4">
        <v>693.77</v>
      </c>
      <c r="AF4">
        <v>45.96</v>
      </c>
      <c r="AG4">
        <v>60.78</v>
      </c>
      <c r="AH4">
        <v>50.7</v>
      </c>
      <c r="AI4">
        <v>54.81</v>
      </c>
    </row>
    <row r="5" spans="1:35" x14ac:dyDescent="0.45">
      <c r="A5" s="2">
        <v>46034</v>
      </c>
      <c r="B5">
        <v>36.229999999999997</v>
      </c>
      <c r="C5">
        <v>43.87</v>
      </c>
      <c r="D5">
        <v>18.989999999999998</v>
      </c>
      <c r="E5">
        <v>26.41</v>
      </c>
      <c r="F5">
        <v>36.380000000000003</v>
      </c>
      <c r="G5">
        <v>80.55</v>
      </c>
      <c r="H5">
        <v>27.97</v>
      </c>
      <c r="I5">
        <v>66.62</v>
      </c>
      <c r="J5">
        <v>72.06</v>
      </c>
      <c r="K5">
        <v>108.93</v>
      </c>
      <c r="L5">
        <v>32.93</v>
      </c>
      <c r="M5">
        <v>72.78</v>
      </c>
      <c r="N5">
        <v>69.489999999999995</v>
      </c>
      <c r="O5">
        <v>53.4</v>
      </c>
      <c r="P5">
        <v>64.260000000000005</v>
      </c>
      <c r="Q5">
        <v>19.6099</v>
      </c>
      <c r="R5">
        <v>1242.2</v>
      </c>
      <c r="S5">
        <v>37.54</v>
      </c>
      <c r="T5">
        <v>19.55</v>
      </c>
      <c r="U5">
        <v>19.670000000000002</v>
      </c>
      <c r="V5">
        <v>37.82</v>
      </c>
      <c r="W5">
        <v>46.1</v>
      </c>
      <c r="X5">
        <v>26.45</v>
      </c>
      <c r="Y5">
        <v>55.09</v>
      </c>
      <c r="Z5">
        <v>43.83</v>
      </c>
      <c r="AA5">
        <v>85.29</v>
      </c>
      <c r="AB5">
        <v>60.63</v>
      </c>
      <c r="AC5">
        <v>45.09</v>
      </c>
      <c r="AD5">
        <v>627.16999999999996</v>
      </c>
      <c r="AE5">
        <v>695.16</v>
      </c>
      <c r="AF5">
        <v>46.1</v>
      </c>
      <c r="AG5">
        <v>61.04</v>
      </c>
      <c r="AH5">
        <v>50.91</v>
      </c>
      <c r="AI5">
        <v>55.32</v>
      </c>
    </row>
    <row r="6" spans="1:35" x14ac:dyDescent="0.45">
      <c r="A6" s="2">
        <v>46031</v>
      </c>
      <c r="B6">
        <v>35.83</v>
      </c>
      <c r="C6">
        <v>42.85</v>
      </c>
      <c r="D6">
        <v>19.010000000000002</v>
      </c>
      <c r="E6">
        <v>26.13</v>
      </c>
      <c r="F6">
        <v>36.200000000000003</v>
      </c>
      <c r="G6">
        <v>78.19</v>
      </c>
      <c r="H6">
        <v>27.59</v>
      </c>
      <c r="I6">
        <v>65.92</v>
      </c>
      <c r="J6">
        <v>71.06</v>
      </c>
      <c r="K6">
        <v>108.89</v>
      </c>
      <c r="L6">
        <v>33.06</v>
      </c>
      <c r="M6">
        <v>70.69</v>
      </c>
      <c r="N6">
        <v>68.98</v>
      </c>
      <c r="O6">
        <v>53.174999999999997</v>
      </c>
      <c r="P6">
        <v>62.22</v>
      </c>
      <c r="Q6">
        <v>19.36</v>
      </c>
      <c r="R6">
        <v>1254.0899999999999</v>
      </c>
      <c r="S6">
        <v>37.159999999999997</v>
      </c>
      <c r="T6">
        <v>19.43</v>
      </c>
      <c r="U6">
        <v>19.28</v>
      </c>
      <c r="V6">
        <v>36.869999999999997</v>
      </c>
      <c r="W6">
        <v>45.98</v>
      </c>
      <c r="X6">
        <v>26.26</v>
      </c>
      <c r="Y6">
        <v>54.63</v>
      </c>
      <c r="Z6">
        <v>43.41</v>
      </c>
      <c r="AA6">
        <v>84.61</v>
      </c>
      <c r="AB6">
        <v>60.58</v>
      </c>
      <c r="AC6">
        <v>44.79</v>
      </c>
      <c r="AD6">
        <v>626.65</v>
      </c>
      <c r="AE6">
        <v>694.07</v>
      </c>
      <c r="AF6">
        <v>45.88</v>
      </c>
      <c r="AG6">
        <v>60.4</v>
      </c>
      <c r="AH6">
        <v>50.78</v>
      </c>
      <c r="AI6">
        <v>55.03</v>
      </c>
    </row>
    <row r="7" spans="1:35" x14ac:dyDescent="0.45">
      <c r="A7" s="2">
        <v>46030</v>
      </c>
      <c r="B7">
        <v>35.49</v>
      </c>
      <c r="C7">
        <v>42.75</v>
      </c>
      <c r="D7">
        <v>18.989999999999998</v>
      </c>
      <c r="E7">
        <v>26.08</v>
      </c>
      <c r="F7">
        <v>35.82</v>
      </c>
      <c r="G7">
        <v>76.55</v>
      </c>
      <c r="H7">
        <v>27.36</v>
      </c>
      <c r="I7">
        <v>65.44</v>
      </c>
      <c r="J7">
        <v>70.48</v>
      </c>
      <c r="K7">
        <v>106.59</v>
      </c>
      <c r="L7">
        <v>32.880000000000003</v>
      </c>
      <c r="M7">
        <v>70.34</v>
      </c>
      <c r="N7">
        <v>69.19</v>
      </c>
      <c r="O7">
        <v>53.72</v>
      </c>
      <c r="P7">
        <v>62.28</v>
      </c>
      <c r="Q7">
        <v>19.28</v>
      </c>
      <c r="R7">
        <v>1253.5999999999999</v>
      </c>
      <c r="S7">
        <v>36.729999999999997</v>
      </c>
      <c r="T7">
        <v>19.649999999999999</v>
      </c>
      <c r="U7">
        <v>19.309999999999999</v>
      </c>
      <c r="V7">
        <v>36.82</v>
      </c>
      <c r="W7">
        <v>46.115000000000002</v>
      </c>
      <c r="X7">
        <v>26.37</v>
      </c>
      <c r="Y7">
        <v>54.46</v>
      </c>
      <c r="Z7">
        <v>43.31</v>
      </c>
      <c r="AA7">
        <v>82.86</v>
      </c>
      <c r="AB7">
        <v>60.21</v>
      </c>
      <c r="AC7">
        <v>44.6</v>
      </c>
      <c r="AD7">
        <v>620.47</v>
      </c>
      <c r="AE7">
        <v>689.51</v>
      </c>
      <c r="AF7">
        <v>45.46</v>
      </c>
      <c r="AG7">
        <v>59.21</v>
      </c>
      <c r="AH7">
        <v>50.28</v>
      </c>
      <c r="AI7">
        <v>55.24</v>
      </c>
    </row>
    <row r="8" spans="1:35" x14ac:dyDescent="0.45">
      <c r="A8" s="2">
        <v>46029</v>
      </c>
      <c r="B8">
        <v>35.5</v>
      </c>
      <c r="C8">
        <v>42.39</v>
      </c>
      <c r="D8">
        <v>19.03</v>
      </c>
      <c r="E8">
        <v>25.92</v>
      </c>
      <c r="F8">
        <v>36.6</v>
      </c>
      <c r="G8">
        <v>75.42</v>
      </c>
      <c r="H8">
        <v>27.43</v>
      </c>
      <c r="I8">
        <v>65.59</v>
      </c>
      <c r="J8">
        <v>69.92</v>
      </c>
      <c r="K8">
        <v>107.03</v>
      </c>
      <c r="L8">
        <v>32.700000000000003</v>
      </c>
      <c r="M8">
        <v>71.45</v>
      </c>
      <c r="N8">
        <v>67.98</v>
      </c>
      <c r="O8">
        <v>54.2</v>
      </c>
      <c r="P8">
        <v>61.88</v>
      </c>
      <c r="Q8">
        <v>19.405000000000001</v>
      </c>
      <c r="R8">
        <v>1280.82</v>
      </c>
      <c r="S8">
        <v>36.630000000000003</v>
      </c>
      <c r="T8">
        <v>19.649999999999999</v>
      </c>
      <c r="U8">
        <v>19.440000000000001</v>
      </c>
      <c r="V8">
        <v>36.32</v>
      </c>
      <c r="W8">
        <v>46.295000000000002</v>
      </c>
      <c r="X8">
        <v>26.27</v>
      </c>
      <c r="Y8">
        <v>54.01</v>
      </c>
      <c r="Z8">
        <v>43.26</v>
      </c>
      <c r="AA8">
        <v>82.92</v>
      </c>
      <c r="AB8">
        <v>60.31</v>
      </c>
      <c r="AC8">
        <v>44.49</v>
      </c>
      <c r="AD8">
        <v>624.02</v>
      </c>
      <c r="AE8">
        <v>689.58</v>
      </c>
      <c r="AF8">
        <v>45.4</v>
      </c>
      <c r="AG8">
        <v>59.8</v>
      </c>
      <c r="AH8">
        <v>50.87</v>
      </c>
      <c r="AI8">
        <v>54.97</v>
      </c>
    </row>
    <row r="9" spans="1:35" x14ac:dyDescent="0.45">
      <c r="A9" s="2">
        <v>46028</v>
      </c>
      <c r="B9">
        <v>35.64</v>
      </c>
      <c r="C9">
        <v>42.55</v>
      </c>
      <c r="D9">
        <v>19.079999999999998</v>
      </c>
      <c r="E9">
        <v>25.98</v>
      </c>
      <c r="F9">
        <v>36.26</v>
      </c>
      <c r="G9">
        <v>76.709999999999994</v>
      </c>
      <c r="H9">
        <v>27.63</v>
      </c>
      <c r="I9">
        <v>65.83</v>
      </c>
      <c r="J9">
        <v>70.040000000000006</v>
      </c>
      <c r="K9">
        <v>107.61</v>
      </c>
      <c r="L9">
        <v>33.11</v>
      </c>
      <c r="M9">
        <v>72.739999999999995</v>
      </c>
      <c r="N9">
        <v>67.39</v>
      </c>
      <c r="O9">
        <v>54.08</v>
      </c>
      <c r="P9">
        <v>62.71</v>
      </c>
      <c r="Q9">
        <v>19.3551</v>
      </c>
      <c r="R9">
        <v>1274.75</v>
      </c>
      <c r="S9">
        <v>36.770000000000003</v>
      </c>
      <c r="T9">
        <v>19.425000000000001</v>
      </c>
      <c r="U9">
        <v>19.43</v>
      </c>
      <c r="V9">
        <v>37.03</v>
      </c>
      <c r="W9">
        <v>46.147599999999997</v>
      </c>
      <c r="X9">
        <v>26.49</v>
      </c>
      <c r="Y9">
        <v>54.65</v>
      </c>
      <c r="Z9">
        <v>43.13</v>
      </c>
      <c r="AA9">
        <v>83.07</v>
      </c>
      <c r="AB9">
        <v>60.55</v>
      </c>
      <c r="AC9">
        <v>45.05</v>
      </c>
      <c r="AD9">
        <v>623.41999999999996</v>
      </c>
      <c r="AE9">
        <v>691.81</v>
      </c>
      <c r="AF9">
        <v>45.6</v>
      </c>
      <c r="AG9">
        <v>60.44</v>
      </c>
      <c r="AH9">
        <v>50.11</v>
      </c>
      <c r="AI9">
        <v>55.29</v>
      </c>
    </row>
    <row r="10" spans="1:35" x14ac:dyDescent="0.45">
      <c r="A10" s="2">
        <v>46027</v>
      </c>
      <c r="B10">
        <v>35.21</v>
      </c>
      <c r="C10">
        <v>41.6</v>
      </c>
      <c r="D10">
        <v>19.04</v>
      </c>
      <c r="E10">
        <v>25.46</v>
      </c>
      <c r="F10">
        <v>36.17</v>
      </c>
      <c r="G10">
        <v>74.87</v>
      </c>
      <c r="H10">
        <v>27.61</v>
      </c>
      <c r="I10">
        <v>65.3</v>
      </c>
      <c r="J10">
        <v>70.58</v>
      </c>
      <c r="K10">
        <v>104.83</v>
      </c>
      <c r="L10">
        <v>32.79</v>
      </c>
      <c r="M10">
        <v>70.239999999999995</v>
      </c>
      <c r="N10">
        <v>67.61</v>
      </c>
      <c r="O10">
        <v>54.29</v>
      </c>
      <c r="P10">
        <v>62.67</v>
      </c>
      <c r="Q10">
        <v>19.190000000000001</v>
      </c>
      <c r="R10">
        <v>1280.05</v>
      </c>
      <c r="S10">
        <v>35.81</v>
      </c>
      <c r="T10">
        <v>19.22</v>
      </c>
      <c r="U10">
        <v>19.02</v>
      </c>
      <c r="V10">
        <v>36</v>
      </c>
      <c r="W10">
        <v>45.858400000000003</v>
      </c>
      <c r="X10">
        <v>26.61</v>
      </c>
      <c r="Y10">
        <v>54.59</v>
      </c>
      <c r="Z10">
        <v>43.05</v>
      </c>
      <c r="AA10">
        <v>83.13</v>
      </c>
      <c r="AB10">
        <v>60.43</v>
      </c>
      <c r="AC10">
        <v>44.81</v>
      </c>
      <c r="AD10">
        <v>617.99</v>
      </c>
      <c r="AE10">
        <v>687.72</v>
      </c>
      <c r="AF10">
        <v>45.42</v>
      </c>
      <c r="AG10">
        <v>60.14</v>
      </c>
      <c r="AH10">
        <v>50.39</v>
      </c>
      <c r="AI10">
        <v>55.67</v>
      </c>
    </row>
    <row r="11" spans="1:35" x14ac:dyDescent="0.45">
      <c r="A11" s="2">
        <v>46024</v>
      </c>
      <c r="B11">
        <v>34.909999999999997</v>
      </c>
      <c r="C11">
        <v>40.369999999999997</v>
      </c>
      <c r="D11">
        <v>18.809999999999999</v>
      </c>
      <c r="E11">
        <v>25.3</v>
      </c>
      <c r="F11">
        <v>36.25</v>
      </c>
      <c r="G11">
        <v>72.709999999999994</v>
      </c>
      <c r="H11">
        <v>27.42</v>
      </c>
      <c r="I11">
        <v>64.77</v>
      </c>
      <c r="J11">
        <v>69.66</v>
      </c>
      <c r="K11">
        <v>102.22</v>
      </c>
      <c r="L11">
        <v>32.200000000000003</v>
      </c>
      <c r="M11">
        <v>69.400000000000006</v>
      </c>
      <c r="N11">
        <v>67.444599999999994</v>
      </c>
      <c r="O11">
        <v>54.56</v>
      </c>
      <c r="P11">
        <v>62.24</v>
      </c>
      <c r="Q11">
        <v>18.824999999999999</v>
      </c>
      <c r="R11">
        <v>1259.67</v>
      </c>
      <c r="S11">
        <v>34.92</v>
      </c>
      <c r="T11">
        <v>19.2151</v>
      </c>
      <c r="U11">
        <v>19.11</v>
      </c>
      <c r="V11">
        <v>36.770000000000003</v>
      </c>
      <c r="W11">
        <v>45.471899999999998</v>
      </c>
      <c r="X11">
        <v>26.47</v>
      </c>
      <c r="Y11">
        <v>54.19</v>
      </c>
      <c r="Z11">
        <v>42.56</v>
      </c>
      <c r="AA11">
        <v>81.33</v>
      </c>
      <c r="AB11">
        <v>60.34</v>
      </c>
      <c r="AC11">
        <v>44.46</v>
      </c>
      <c r="AD11">
        <v>613.12</v>
      </c>
      <c r="AE11">
        <v>683.17</v>
      </c>
      <c r="AF11">
        <v>45.31</v>
      </c>
      <c r="AG11">
        <v>58.64</v>
      </c>
      <c r="AH11">
        <v>49.6</v>
      </c>
      <c r="AI11">
        <v>55.16</v>
      </c>
    </row>
    <row r="12" spans="1:35" x14ac:dyDescent="0.45">
      <c r="A12" s="2">
        <v>46022</v>
      </c>
      <c r="B12">
        <v>34.58</v>
      </c>
      <c r="C12">
        <v>40.4</v>
      </c>
      <c r="D12">
        <v>18.7</v>
      </c>
      <c r="E12">
        <v>24.92</v>
      </c>
      <c r="F12">
        <v>35.19</v>
      </c>
      <c r="G12">
        <v>72.349999999999994</v>
      </c>
      <c r="H12">
        <v>27.36</v>
      </c>
      <c r="I12">
        <v>63.53</v>
      </c>
      <c r="J12">
        <v>69.33</v>
      </c>
      <c r="K12">
        <v>97.22</v>
      </c>
      <c r="L12">
        <v>31.77</v>
      </c>
      <c r="M12">
        <v>68.8</v>
      </c>
      <c r="N12">
        <v>65.91</v>
      </c>
      <c r="O12">
        <v>54.05</v>
      </c>
      <c r="P12">
        <v>60.07</v>
      </c>
      <c r="Q12">
        <v>18.818300000000001</v>
      </c>
      <c r="R12">
        <v>1254.03</v>
      </c>
      <c r="S12">
        <v>34.42</v>
      </c>
      <c r="T12">
        <v>19.12</v>
      </c>
      <c r="U12">
        <v>19.079999999999998</v>
      </c>
      <c r="V12">
        <v>36.409999999999997</v>
      </c>
      <c r="W12">
        <v>45.271500000000003</v>
      </c>
      <c r="X12">
        <v>26.19</v>
      </c>
      <c r="Y12">
        <v>53.93</v>
      </c>
      <c r="Z12">
        <v>42.5</v>
      </c>
      <c r="AA12">
        <v>80.739999999999995</v>
      </c>
      <c r="AB12">
        <v>59.96</v>
      </c>
      <c r="AC12">
        <v>43.98</v>
      </c>
      <c r="AD12">
        <v>614.30999999999995</v>
      </c>
      <c r="AE12">
        <v>681.92</v>
      </c>
      <c r="AF12">
        <v>44.99</v>
      </c>
      <c r="AG12">
        <v>57.03</v>
      </c>
      <c r="AH12">
        <v>49.23</v>
      </c>
      <c r="AI12">
        <v>54.33</v>
      </c>
    </row>
    <row r="13" spans="1:35" x14ac:dyDescent="0.45">
      <c r="A13" s="2">
        <v>46021</v>
      </c>
      <c r="B13">
        <v>34.590000000000003</v>
      </c>
      <c r="C13">
        <v>40.54</v>
      </c>
      <c r="D13">
        <v>18.670000000000002</v>
      </c>
      <c r="E13">
        <v>25.06</v>
      </c>
      <c r="F13">
        <v>35.159999999999997</v>
      </c>
      <c r="G13">
        <v>72.91</v>
      </c>
      <c r="H13">
        <v>27.57</v>
      </c>
      <c r="I13">
        <v>63.71</v>
      </c>
      <c r="J13">
        <v>69.489999999999995</v>
      </c>
      <c r="K13">
        <v>98.62</v>
      </c>
      <c r="L13">
        <v>31.99</v>
      </c>
      <c r="M13">
        <v>69.23</v>
      </c>
      <c r="N13">
        <v>66.5</v>
      </c>
      <c r="O13">
        <v>53.64</v>
      </c>
      <c r="P13">
        <v>60.58</v>
      </c>
      <c r="Q13">
        <v>18.95</v>
      </c>
      <c r="R13">
        <v>1259.25</v>
      </c>
      <c r="S13">
        <v>34.42</v>
      </c>
      <c r="T13">
        <v>19.05</v>
      </c>
      <c r="U13">
        <v>19.010000000000002</v>
      </c>
      <c r="V13">
        <v>36.049999999999997</v>
      </c>
      <c r="W13">
        <v>45.41</v>
      </c>
      <c r="X13">
        <v>26.41</v>
      </c>
      <c r="Y13">
        <v>54.3</v>
      </c>
      <c r="Z13">
        <v>42.75</v>
      </c>
      <c r="AA13">
        <v>80.98</v>
      </c>
      <c r="AB13">
        <v>60.17</v>
      </c>
      <c r="AC13">
        <v>44.22</v>
      </c>
      <c r="AD13">
        <v>619.42999999999995</v>
      </c>
      <c r="AE13">
        <v>687.01</v>
      </c>
      <c r="AF13">
        <v>45.14</v>
      </c>
      <c r="AG13">
        <v>57.226999999999997</v>
      </c>
      <c r="AH13">
        <v>49.55</v>
      </c>
      <c r="AI13">
        <v>54.59</v>
      </c>
    </row>
    <row r="14" spans="1:35" x14ac:dyDescent="0.45">
      <c r="A14" s="2">
        <v>46020</v>
      </c>
      <c r="B14">
        <v>34.369999999999997</v>
      </c>
      <c r="C14">
        <v>40.15</v>
      </c>
      <c r="D14">
        <v>18.670000000000002</v>
      </c>
      <c r="E14">
        <v>25.09</v>
      </c>
      <c r="F14">
        <v>34.96</v>
      </c>
      <c r="G14">
        <v>71.95</v>
      </c>
      <c r="H14">
        <v>27.53</v>
      </c>
      <c r="I14">
        <v>63.33</v>
      </c>
      <c r="J14">
        <v>70.510000000000005</v>
      </c>
      <c r="K14">
        <v>98.72</v>
      </c>
      <c r="L14">
        <v>31.42</v>
      </c>
      <c r="M14">
        <v>68.430000000000007</v>
      </c>
      <c r="N14">
        <v>68</v>
      </c>
      <c r="O14">
        <v>53.47</v>
      </c>
      <c r="P14">
        <v>60.37</v>
      </c>
      <c r="Q14">
        <v>18.8751</v>
      </c>
      <c r="R14">
        <v>1264.77</v>
      </c>
      <c r="S14">
        <v>34.409999999999997</v>
      </c>
      <c r="T14">
        <v>19.600000000000001</v>
      </c>
      <c r="U14">
        <v>18.920000000000002</v>
      </c>
      <c r="V14">
        <v>36.39</v>
      </c>
      <c r="W14">
        <v>45.41</v>
      </c>
      <c r="X14">
        <v>26.48</v>
      </c>
      <c r="Y14">
        <v>54.33</v>
      </c>
      <c r="Z14">
        <v>42.51</v>
      </c>
      <c r="AA14">
        <v>81.09</v>
      </c>
      <c r="AB14">
        <v>60.35</v>
      </c>
      <c r="AC14">
        <v>44.02</v>
      </c>
      <c r="AD14">
        <v>620.87</v>
      </c>
      <c r="AE14">
        <v>687.85</v>
      </c>
      <c r="AF14">
        <v>44.99</v>
      </c>
      <c r="AG14">
        <v>57</v>
      </c>
      <c r="AH14">
        <v>49.32</v>
      </c>
      <c r="AI14">
        <v>54.16</v>
      </c>
    </row>
    <row r="15" spans="1:35" x14ac:dyDescent="0.45">
      <c r="A15" s="2">
        <v>46017</v>
      </c>
      <c r="B15">
        <v>34.71</v>
      </c>
      <c r="C15">
        <v>40.29</v>
      </c>
      <c r="D15">
        <v>18.47</v>
      </c>
      <c r="E15">
        <v>25.08</v>
      </c>
      <c r="F15">
        <v>35.200000000000003</v>
      </c>
      <c r="G15">
        <v>73.77</v>
      </c>
      <c r="H15">
        <v>27.64</v>
      </c>
      <c r="I15">
        <v>63.02</v>
      </c>
      <c r="J15">
        <v>71.150000000000006</v>
      </c>
      <c r="K15">
        <v>95.84</v>
      </c>
      <c r="L15">
        <v>31.73</v>
      </c>
      <c r="M15">
        <v>70.31</v>
      </c>
      <c r="N15">
        <v>68.61</v>
      </c>
      <c r="O15">
        <v>53.84</v>
      </c>
      <c r="P15">
        <v>61.27</v>
      </c>
      <c r="Q15">
        <v>18.864999999999998</v>
      </c>
      <c r="R15">
        <v>1275.33</v>
      </c>
      <c r="S15">
        <v>34.76</v>
      </c>
      <c r="T15">
        <v>19.54</v>
      </c>
      <c r="U15">
        <v>18.399999999999999</v>
      </c>
      <c r="V15">
        <v>36.57</v>
      </c>
      <c r="W15">
        <v>45.73</v>
      </c>
      <c r="X15">
        <v>26.68</v>
      </c>
      <c r="Y15">
        <v>54.8</v>
      </c>
      <c r="Z15">
        <v>42.65</v>
      </c>
      <c r="AA15">
        <v>80.97</v>
      </c>
      <c r="AB15">
        <v>60.54</v>
      </c>
      <c r="AC15">
        <v>44.24</v>
      </c>
      <c r="AD15">
        <v>623.89</v>
      </c>
      <c r="AE15">
        <v>690.31</v>
      </c>
      <c r="AF15">
        <v>45.18</v>
      </c>
      <c r="AG15">
        <v>57.16</v>
      </c>
      <c r="AH15">
        <v>49.65</v>
      </c>
      <c r="AI15">
        <v>54.62</v>
      </c>
    </row>
    <row r="16" spans="1:35" x14ac:dyDescent="0.45">
      <c r="A16" s="2">
        <v>46015</v>
      </c>
      <c r="B16">
        <v>34.44</v>
      </c>
      <c r="C16">
        <v>40.03</v>
      </c>
      <c r="D16">
        <v>18.45</v>
      </c>
      <c r="E16">
        <v>24.94</v>
      </c>
      <c r="F16">
        <v>35.15</v>
      </c>
      <c r="G16">
        <v>72.739999999999995</v>
      </c>
      <c r="H16">
        <v>27.69</v>
      </c>
      <c r="I16">
        <v>62.53</v>
      </c>
      <c r="J16">
        <v>70.95</v>
      </c>
      <c r="K16">
        <v>94.6</v>
      </c>
      <c r="L16">
        <v>31.55</v>
      </c>
      <c r="M16">
        <v>69.92</v>
      </c>
      <c r="N16">
        <v>68.16</v>
      </c>
      <c r="O16">
        <v>54.01</v>
      </c>
      <c r="P16">
        <v>60.61</v>
      </c>
      <c r="Q16">
        <v>18.96</v>
      </c>
      <c r="R16">
        <v>1271.1099999999999</v>
      </c>
      <c r="S16">
        <v>34.869999999999997</v>
      </c>
      <c r="T16">
        <v>19.52</v>
      </c>
      <c r="U16">
        <v>19.010000000000002</v>
      </c>
      <c r="V16">
        <v>36.6</v>
      </c>
      <c r="W16">
        <v>45.74</v>
      </c>
      <c r="X16">
        <v>26.6</v>
      </c>
      <c r="Y16">
        <v>54.6</v>
      </c>
      <c r="Z16">
        <v>42.57</v>
      </c>
      <c r="AA16">
        <v>81</v>
      </c>
      <c r="AB16">
        <v>60.53</v>
      </c>
      <c r="AC16">
        <v>44.08</v>
      </c>
      <c r="AD16">
        <v>623.92999999999995</v>
      </c>
      <c r="AE16">
        <v>690.38</v>
      </c>
      <c r="AF16">
        <v>44.98</v>
      </c>
      <c r="AG16">
        <v>57.1</v>
      </c>
      <c r="AH16">
        <v>49.31</v>
      </c>
      <c r="AI16">
        <v>54.56</v>
      </c>
    </row>
    <row r="17" spans="1:35" x14ac:dyDescent="0.45">
      <c r="A17" s="2">
        <v>46014</v>
      </c>
      <c r="B17">
        <v>34.31</v>
      </c>
      <c r="C17">
        <v>39.92</v>
      </c>
      <c r="D17">
        <v>18.559999999999999</v>
      </c>
      <c r="E17">
        <v>24.93</v>
      </c>
      <c r="F17">
        <v>34.99</v>
      </c>
      <c r="G17">
        <v>72.78</v>
      </c>
      <c r="H17">
        <v>27.53</v>
      </c>
      <c r="I17">
        <v>62.5</v>
      </c>
      <c r="J17">
        <v>71.040000000000006</v>
      </c>
      <c r="K17">
        <v>92.7</v>
      </c>
      <c r="L17">
        <v>31.65</v>
      </c>
      <c r="M17">
        <v>69.540000000000006</v>
      </c>
      <c r="N17">
        <v>68.209999999999994</v>
      </c>
      <c r="O17">
        <v>54.47</v>
      </c>
      <c r="P17">
        <v>60.67</v>
      </c>
      <c r="Q17">
        <v>18.930199999999999</v>
      </c>
      <c r="R17">
        <v>1269.68</v>
      </c>
      <c r="S17">
        <v>34.814999999999998</v>
      </c>
      <c r="T17">
        <v>19.559999999999999</v>
      </c>
      <c r="U17">
        <v>19.079999999999998</v>
      </c>
      <c r="V17">
        <v>36.76</v>
      </c>
      <c r="W17">
        <v>45.54</v>
      </c>
      <c r="X17">
        <v>26.61</v>
      </c>
      <c r="Y17">
        <v>54.54</v>
      </c>
      <c r="Z17">
        <v>42.44</v>
      </c>
      <c r="AA17">
        <v>81.14</v>
      </c>
      <c r="AB17">
        <v>60.4</v>
      </c>
      <c r="AC17">
        <v>43.98</v>
      </c>
      <c r="AD17">
        <v>622.11</v>
      </c>
      <c r="AE17">
        <v>687.96</v>
      </c>
      <c r="AF17">
        <v>44.9</v>
      </c>
      <c r="AG17">
        <v>56.84</v>
      </c>
      <c r="AH17">
        <v>49.21</v>
      </c>
      <c r="AI17">
        <v>54.4</v>
      </c>
    </row>
    <row r="18" spans="1:35" x14ac:dyDescent="0.45">
      <c r="A18" s="2">
        <v>46013</v>
      </c>
      <c r="B18">
        <v>34.24</v>
      </c>
      <c r="C18">
        <v>39.79</v>
      </c>
      <c r="D18">
        <v>18.68</v>
      </c>
      <c r="E18">
        <v>24.96</v>
      </c>
      <c r="F18">
        <v>35.200000000000003</v>
      </c>
      <c r="G18">
        <v>72.08</v>
      </c>
      <c r="H18">
        <v>27.41</v>
      </c>
      <c r="I18">
        <v>61.98</v>
      </c>
      <c r="J18">
        <v>69.95</v>
      </c>
      <c r="K18">
        <v>91.75</v>
      </c>
      <c r="L18">
        <v>30.97</v>
      </c>
      <c r="M18">
        <v>68.790000000000006</v>
      </c>
      <c r="N18">
        <v>68.39</v>
      </c>
      <c r="O18">
        <v>54.19</v>
      </c>
      <c r="P18">
        <v>60.89</v>
      </c>
      <c r="Q18">
        <v>18.839600000000001</v>
      </c>
      <c r="R18">
        <v>1252.19</v>
      </c>
      <c r="S18">
        <v>34.61</v>
      </c>
      <c r="T18">
        <v>19.45</v>
      </c>
      <c r="U18">
        <v>18.61</v>
      </c>
      <c r="V18">
        <v>36.549999999999997</v>
      </c>
      <c r="W18">
        <v>45.18</v>
      </c>
      <c r="X18">
        <v>26.15</v>
      </c>
      <c r="Y18">
        <v>54.17</v>
      </c>
      <c r="Z18">
        <v>42.34</v>
      </c>
      <c r="AA18">
        <v>80.459999999999994</v>
      </c>
      <c r="AB18">
        <v>59.93</v>
      </c>
      <c r="AC18">
        <v>43.79</v>
      </c>
      <c r="AD18">
        <v>619.21</v>
      </c>
      <c r="AE18">
        <v>684.83</v>
      </c>
      <c r="AF18">
        <v>44.96</v>
      </c>
      <c r="AG18">
        <v>57.01</v>
      </c>
      <c r="AH18">
        <v>48.8</v>
      </c>
      <c r="AI18">
        <v>54.24</v>
      </c>
    </row>
    <row r="19" spans="1:35" x14ac:dyDescent="0.45">
      <c r="A19" s="2">
        <v>46010</v>
      </c>
      <c r="B19">
        <v>33.89</v>
      </c>
      <c r="C19">
        <v>39.31</v>
      </c>
      <c r="D19">
        <v>18.579999999999998</v>
      </c>
      <c r="E19">
        <v>24.66</v>
      </c>
      <c r="F19">
        <v>34.78</v>
      </c>
      <c r="G19">
        <v>71.2</v>
      </c>
      <c r="H19">
        <v>27.2</v>
      </c>
      <c r="I19">
        <v>61.64</v>
      </c>
      <c r="J19">
        <v>68.849999999999994</v>
      </c>
      <c r="K19">
        <v>91.34</v>
      </c>
      <c r="L19">
        <v>31.17</v>
      </c>
      <c r="M19">
        <v>67.599999999999994</v>
      </c>
      <c r="N19">
        <v>67.25</v>
      </c>
      <c r="O19">
        <v>54.15</v>
      </c>
      <c r="P19">
        <v>60.63</v>
      </c>
      <c r="Q19">
        <v>18.774999999999999</v>
      </c>
      <c r="R19">
        <v>1250.07</v>
      </c>
      <c r="S19">
        <v>34.86</v>
      </c>
      <c r="T19">
        <v>19.25</v>
      </c>
      <c r="U19">
        <v>18.39</v>
      </c>
      <c r="V19">
        <v>36.36</v>
      </c>
      <c r="W19">
        <v>44.82</v>
      </c>
      <c r="X19">
        <v>25.88</v>
      </c>
      <c r="Y19">
        <v>53.68</v>
      </c>
      <c r="Z19">
        <v>42.1</v>
      </c>
      <c r="AA19">
        <v>80.58</v>
      </c>
      <c r="AB19">
        <v>59.57</v>
      </c>
      <c r="AC19">
        <v>43.54</v>
      </c>
      <c r="AD19">
        <v>617.04999999999995</v>
      </c>
      <c r="AE19">
        <v>680.59</v>
      </c>
      <c r="AF19">
        <v>44.91</v>
      </c>
      <c r="AG19">
        <v>56.61</v>
      </c>
      <c r="AH19">
        <v>48.55</v>
      </c>
      <c r="AI19">
        <v>54.21</v>
      </c>
    </row>
    <row r="20" spans="1:35" x14ac:dyDescent="0.45">
      <c r="A20" s="2">
        <v>46009</v>
      </c>
      <c r="B20">
        <v>33.58</v>
      </c>
      <c r="C20">
        <v>38.69</v>
      </c>
      <c r="D20">
        <v>18.63</v>
      </c>
      <c r="E20">
        <v>25.01</v>
      </c>
      <c r="F20">
        <v>34.409999999999997</v>
      </c>
      <c r="G20">
        <v>69.98</v>
      </c>
      <c r="H20">
        <v>26.88</v>
      </c>
      <c r="I20">
        <v>60.87</v>
      </c>
      <c r="J20">
        <v>68.75</v>
      </c>
      <c r="K20">
        <v>90.07</v>
      </c>
      <c r="L20">
        <v>31.17</v>
      </c>
      <c r="M20">
        <v>67.510000000000005</v>
      </c>
      <c r="N20">
        <v>66.94</v>
      </c>
      <c r="O20">
        <v>53.28</v>
      </c>
      <c r="P20">
        <v>59.99</v>
      </c>
      <c r="Q20">
        <v>18.739999999999998</v>
      </c>
      <c r="R20">
        <v>1256.8499999999999</v>
      </c>
      <c r="S20">
        <v>34.82</v>
      </c>
      <c r="T20">
        <v>19.309999999999999</v>
      </c>
      <c r="U20">
        <v>17.88</v>
      </c>
      <c r="V20">
        <v>36.299999999999997</v>
      </c>
      <c r="W20">
        <v>44.6999</v>
      </c>
      <c r="X20">
        <v>25.81</v>
      </c>
      <c r="Y20">
        <v>53.22</v>
      </c>
      <c r="Z20">
        <v>41.94</v>
      </c>
      <c r="AA20">
        <v>79.97</v>
      </c>
      <c r="AB20">
        <v>59.47</v>
      </c>
      <c r="AC20">
        <v>43.13</v>
      </c>
      <c r="AD20">
        <v>609.11</v>
      </c>
      <c r="AE20">
        <v>676.47</v>
      </c>
      <c r="AF20">
        <v>44.8</v>
      </c>
      <c r="AG20">
        <v>56.02</v>
      </c>
      <c r="AH20">
        <v>48.18</v>
      </c>
      <c r="AI20">
        <v>53.81</v>
      </c>
    </row>
    <row r="21" spans="1:35" x14ac:dyDescent="0.45">
      <c r="A21" s="2">
        <v>46008</v>
      </c>
      <c r="B21">
        <v>33.630000000000003</v>
      </c>
      <c r="C21">
        <v>38.28</v>
      </c>
      <c r="D21">
        <v>18.600000000000001</v>
      </c>
      <c r="E21">
        <v>25.1</v>
      </c>
      <c r="F21">
        <v>34.270000000000003</v>
      </c>
      <c r="G21">
        <v>69.180000000000007</v>
      </c>
      <c r="H21">
        <v>26.6</v>
      </c>
      <c r="I21">
        <v>60.03</v>
      </c>
      <c r="J21">
        <v>67.45</v>
      </c>
      <c r="K21">
        <v>88.58</v>
      </c>
      <c r="L21">
        <v>31</v>
      </c>
      <c r="M21">
        <v>66.64</v>
      </c>
      <c r="N21">
        <v>66.25</v>
      </c>
      <c r="O21">
        <v>52.97</v>
      </c>
      <c r="P21">
        <v>59.47</v>
      </c>
      <c r="Q21">
        <v>18.6081</v>
      </c>
      <c r="R21">
        <v>1260.68</v>
      </c>
      <c r="S21">
        <v>34.734999999999999</v>
      </c>
      <c r="T21">
        <v>19.1129</v>
      </c>
      <c r="U21">
        <v>17.54</v>
      </c>
      <c r="V21">
        <v>35.83</v>
      </c>
      <c r="W21">
        <v>44.634999999999998</v>
      </c>
      <c r="X21">
        <v>25.58</v>
      </c>
      <c r="Y21">
        <v>52.81</v>
      </c>
      <c r="Z21">
        <v>41.61</v>
      </c>
      <c r="AA21">
        <v>79.739999999999995</v>
      </c>
      <c r="AB21">
        <v>58.84</v>
      </c>
      <c r="AC21">
        <v>42.94</v>
      </c>
      <c r="AD21">
        <v>600.41</v>
      </c>
      <c r="AE21">
        <v>671.4</v>
      </c>
      <c r="AF21">
        <v>44.62</v>
      </c>
      <c r="AG21">
        <v>55.57</v>
      </c>
      <c r="AH21">
        <v>47.62</v>
      </c>
      <c r="AI21">
        <v>53.51</v>
      </c>
    </row>
    <row r="22" spans="1:35" x14ac:dyDescent="0.45">
      <c r="A22" s="2">
        <v>46007</v>
      </c>
      <c r="B22">
        <v>33.197000000000003</v>
      </c>
      <c r="C22">
        <v>38.840000000000003</v>
      </c>
      <c r="D22">
        <v>18.670000000000002</v>
      </c>
      <c r="E22">
        <v>25.19</v>
      </c>
      <c r="F22">
        <v>34.409999999999997</v>
      </c>
      <c r="G22">
        <v>69.3</v>
      </c>
      <c r="H22">
        <v>26.79</v>
      </c>
      <c r="I22">
        <v>61.12</v>
      </c>
      <c r="J22">
        <v>68.28</v>
      </c>
      <c r="K22">
        <v>89.52</v>
      </c>
      <c r="L22">
        <v>31.6</v>
      </c>
      <c r="M22">
        <v>65.7</v>
      </c>
      <c r="N22">
        <v>66.81</v>
      </c>
      <c r="O22">
        <v>52.95</v>
      </c>
      <c r="P22">
        <v>59.7</v>
      </c>
      <c r="Q22">
        <v>18.696899999999999</v>
      </c>
      <c r="R22">
        <v>1273.4000000000001</v>
      </c>
      <c r="S22">
        <v>34.71</v>
      </c>
      <c r="T22">
        <v>19.239999999999998</v>
      </c>
      <c r="U22">
        <v>17.850000000000001</v>
      </c>
      <c r="V22">
        <v>36.090000000000003</v>
      </c>
      <c r="W22">
        <v>45.1265</v>
      </c>
      <c r="X22">
        <v>25.82</v>
      </c>
      <c r="Y22">
        <v>52.98</v>
      </c>
      <c r="Z22">
        <v>42.03</v>
      </c>
      <c r="AA22">
        <v>80.849999999999994</v>
      </c>
      <c r="AB22">
        <v>59.02</v>
      </c>
      <c r="AC22">
        <v>42.73</v>
      </c>
      <c r="AD22">
        <v>611.75</v>
      </c>
      <c r="AE22">
        <v>678.87</v>
      </c>
      <c r="AF22">
        <v>44.94</v>
      </c>
      <c r="AG22">
        <v>56.41</v>
      </c>
      <c r="AH22">
        <v>48.23</v>
      </c>
      <c r="AI22">
        <v>53.58</v>
      </c>
    </row>
    <row r="23" spans="1:35" x14ac:dyDescent="0.45">
      <c r="A23" s="2">
        <v>46006</v>
      </c>
      <c r="B23">
        <v>34.049999999999997</v>
      </c>
      <c r="C23">
        <v>38.994999999999997</v>
      </c>
      <c r="D23">
        <v>18.86</v>
      </c>
      <c r="E23">
        <v>24.95</v>
      </c>
      <c r="F23">
        <v>35.9</v>
      </c>
      <c r="G23">
        <v>69.25</v>
      </c>
      <c r="H23">
        <v>27.09</v>
      </c>
      <c r="I23">
        <v>64.11</v>
      </c>
      <c r="J23">
        <v>70.48</v>
      </c>
      <c r="K23">
        <v>92.73</v>
      </c>
      <c r="L23">
        <v>33.58</v>
      </c>
      <c r="M23">
        <v>69.61</v>
      </c>
      <c r="N23">
        <v>67.45</v>
      </c>
      <c r="O23">
        <v>53.1</v>
      </c>
      <c r="P23">
        <v>60.87</v>
      </c>
      <c r="Q23">
        <v>19.010000000000002</v>
      </c>
      <c r="R23">
        <v>1254.0999999999999</v>
      </c>
      <c r="S23">
        <v>35.29</v>
      </c>
      <c r="T23">
        <v>19.38</v>
      </c>
      <c r="U23">
        <v>17.420000000000002</v>
      </c>
      <c r="V23">
        <v>36.81</v>
      </c>
      <c r="W23">
        <v>45.75</v>
      </c>
      <c r="X23">
        <v>26.42</v>
      </c>
      <c r="Y23">
        <v>53.8</v>
      </c>
      <c r="Z23">
        <v>42.1</v>
      </c>
      <c r="AA23">
        <v>84.87</v>
      </c>
      <c r="AB23">
        <v>59.06</v>
      </c>
      <c r="AC23">
        <v>43.75</v>
      </c>
      <c r="AD23">
        <v>610.54</v>
      </c>
      <c r="AE23">
        <v>680.73</v>
      </c>
      <c r="AF23">
        <v>45.18</v>
      </c>
      <c r="AG23">
        <v>58.76</v>
      </c>
      <c r="AH23">
        <v>49.11</v>
      </c>
      <c r="AI23">
        <v>54.35</v>
      </c>
    </row>
    <row r="24" spans="1:35" x14ac:dyDescent="0.45">
      <c r="A24" s="2">
        <v>46003</v>
      </c>
      <c r="B24">
        <v>34.08</v>
      </c>
      <c r="C24">
        <v>39.78</v>
      </c>
      <c r="D24">
        <v>18.760000000000002</v>
      </c>
      <c r="E24">
        <v>24.9</v>
      </c>
      <c r="F24">
        <v>35.200000000000003</v>
      </c>
      <c r="G24">
        <v>69.3</v>
      </c>
      <c r="H24">
        <v>26.98</v>
      </c>
      <c r="I24">
        <v>64.099999999999994</v>
      </c>
      <c r="J24">
        <v>70.69</v>
      </c>
      <c r="K24">
        <v>92.67</v>
      </c>
      <c r="L24">
        <v>33.32</v>
      </c>
      <c r="M24">
        <v>68.63</v>
      </c>
      <c r="N24">
        <v>67.239999999999995</v>
      </c>
      <c r="O24">
        <v>53.14</v>
      </c>
      <c r="P24">
        <v>61.52</v>
      </c>
      <c r="Q24">
        <v>19.32</v>
      </c>
      <c r="R24">
        <v>1253.54</v>
      </c>
      <c r="S24">
        <v>34.82</v>
      </c>
      <c r="T24">
        <v>19.350000000000001</v>
      </c>
      <c r="U24">
        <v>17.489999999999998</v>
      </c>
      <c r="V24">
        <v>37.4</v>
      </c>
      <c r="W24">
        <v>45.71</v>
      </c>
      <c r="X24">
        <v>26.52</v>
      </c>
      <c r="Y24">
        <v>53.89</v>
      </c>
      <c r="Z24">
        <v>42.18</v>
      </c>
      <c r="AA24">
        <v>84</v>
      </c>
      <c r="AB24">
        <v>58.37</v>
      </c>
      <c r="AC24">
        <v>43.28</v>
      </c>
      <c r="AD24">
        <v>613.62</v>
      </c>
      <c r="AE24">
        <v>681.76</v>
      </c>
      <c r="AF24">
        <v>44.88</v>
      </c>
      <c r="AG24">
        <v>58.6</v>
      </c>
      <c r="AH24">
        <v>49.38</v>
      </c>
      <c r="AI24">
        <v>53.66</v>
      </c>
    </row>
    <row r="25" spans="1:35" x14ac:dyDescent="0.45">
      <c r="A25" s="2">
        <v>46002</v>
      </c>
      <c r="B25">
        <v>34.090000000000003</v>
      </c>
      <c r="C25">
        <v>39.28</v>
      </c>
      <c r="D25">
        <v>18.68</v>
      </c>
      <c r="E25">
        <v>25.02</v>
      </c>
      <c r="F25">
        <v>35.270000000000003</v>
      </c>
      <c r="G25">
        <v>69.680000000000007</v>
      </c>
      <c r="H25">
        <v>26.87</v>
      </c>
      <c r="I25">
        <v>65.92</v>
      </c>
      <c r="J25">
        <v>71.06</v>
      </c>
      <c r="K25">
        <v>94.96</v>
      </c>
      <c r="L25">
        <v>33.159999999999997</v>
      </c>
      <c r="M25">
        <v>69.5</v>
      </c>
      <c r="N25">
        <v>67.67</v>
      </c>
      <c r="O25">
        <v>53.57</v>
      </c>
      <c r="P25">
        <v>61.69</v>
      </c>
      <c r="Q25">
        <v>19.315000000000001</v>
      </c>
      <c r="R25">
        <v>1269.8699999999999</v>
      </c>
      <c r="S25">
        <v>34.82</v>
      </c>
      <c r="T25">
        <v>19.510000000000002</v>
      </c>
      <c r="U25">
        <v>18.27</v>
      </c>
      <c r="V25">
        <v>37.619999999999997</v>
      </c>
      <c r="W25">
        <v>46.35</v>
      </c>
      <c r="X25">
        <v>26.64</v>
      </c>
      <c r="Y25">
        <v>54.08</v>
      </c>
      <c r="Z25">
        <v>42.39</v>
      </c>
      <c r="AA25">
        <v>84.22</v>
      </c>
      <c r="AB25">
        <v>58.49</v>
      </c>
      <c r="AC25">
        <v>43.65</v>
      </c>
      <c r="AD25">
        <v>625.58000000000004</v>
      </c>
      <c r="AE25">
        <v>689.17</v>
      </c>
      <c r="AF25">
        <v>45</v>
      </c>
      <c r="AG25">
        <v>59.5</v>
      </c>
      <c r="AH25">
        <v>49.67</v>
      </c>
      <c r="AI25">
        <v>53.95</v>
      </c>
    </row>
    <row r="26" spans="1:35" x14ac:dyDescent="0.45">
      <c r="A26" s="2">
        <v>46001</v>
      </c>
      <c r="B26">
        <v>34.340000000000003</v>
      </c>
      <c r="C26">
        <v>38.75</v>
      </c>
      <c r="D26">
        <v>18.86</v>
      </c>
      <c r="E26">
        <v>24.73</v>
      </c>
      <c r="F26">
        <v>34.880000000000003</v>
      </c>
      <c r="G26">
        <v>68.290000000000006</v>
      </c>
      <c r="H26">
        <v>26.52</v>
      </c>
      <c r="I26">
        <v>66.8</v>
      </c>
      <c r="J26">
        <v>69.040000000000006</v>
      </c>
      <c r="K26">
        <v>96.75</v>
      </c>
      <c r="L26">
        <v>32.770000000000003</v>
      </c>
      <c r="M26">
        <v>68.180000000000007</v>
      </c>
      <c r="N26">
        <v>66.77</v>
      </c>
      <c r="O26">
        <v>53.36</v>
      </c>
      <c r="P26">
        <v>61.81</v>
      </c>
      <c r="Q26">
        <v>19.168500000000002</v>
      </c>
      <c r="R26">
        <v>1261.3900000000001</v>
      </c>
      <c r="S26">
        <v>34.729999999999997</v>
      </c>
      <c r="T26">
        <v>19.440100000000001</v>
      </c>
      <c r="U26">
        <v>18.28</v>
      </c>
      <c r="V26">
        <v>37.659999999999997</v>
      </c>
      <c r="W26">
        <v>46.2943</v>
      </c>
      <c r="X26">
        <v>26.65</v>
      </c>
      <c r="Y26">
        <v>53.72</v>
      </c>
      <c r="Z26">
        <v>41.94</v>
      </c>
      <c r="AA26">
        <v>83.91</v>
      </c>
      <c r="AB26">
        <v>58.38</v>
      </c>
      <c r="AC26">
        <v>43.46</v>
      </c>
      <c r="AD26">
        <v>627.61</v>
      </c>
      <c r="AE26">
        <v>687.57</v>
      </c>
      <c r="AF26">
        <v>44.58</v>
      </c>
      <c r="AG26">
        <v>58.8</v>
      </c>
      <c r="AH26">
        <v>49.36</v>
      </c>
      <c r="AI26">
        <v>53.55</v>
      </c>
    </row>
    <row r="27" spans="1:35" x14ac:dyDescent="0.45">
      <c r="A27" s="2">
        <v>46000</v>
      </c>
      <c r="B27">
        <v>34.225000000000001</v>
      </c>
      <c r="C27">
        <v>38.340000000000003</v>
      </c>
      <c r="D27">
        <v>18.68</v>
      </c>
      <c r="E27">
        <v>24.67</v>
      </c>
      <c r="F27">
        <v>34.25</v>
      </c>
      <c r="G27">
        <v>67.48</v>
      </c>
      <c r="H27">
        <v>26.37</v>
      </c>
      <c r="I27">
        <v>65.72</v>
      </c>
      <c r="J27">
        <v>69.27</v>
      </c>
      <c r="K27">
        <v>95.57</v>
      </c>
      <c r="L27">
        <v>32.74</v>
      </c>
      <c r="M27">
        <v>66.91</v>
      </c>
      <c r="N27">
        <v>65.8</v>
      </c>
      <c r="O27">
        <v>53.27</v>
      </c>
      <c r="P27">
        <v>61.35</v>
      </c>
      <c r="Q27">
        <v>19.041399999999999</v>
      </c>
      <c r="R27">
        <v>1273.77</v>
      </c>
      <c r="S27">
        <v>34.659999999999997</v>
      </c>
      <c r="T27">
        <v>19.38</v>
      </c>
      <c r="U27">
        <v>18.649999999999999</v>
      </c>
      <c r="V27">
        <v>37.43</v>
      </c>
      <c r="W27">
        <v>45.950400000000002</v>
      </c>
      <c r="X27">
        <v>26.35</v>
      </c>
      <c r="Y27">
        <v>53.07</v>
      </c>
      <c r="Z27">
        <v>41.53</v>
      </c>
      <c r="AA27">
        <v>83.31</v>
      </c>
      <c r="AB27">
        <v>57.69</v>
      </c>
      <c r="AC27">
        <v>42.88</v>
      </c>
      <c r="AD27">
        <v>625.04999999999995</v>
      </c>
      <c r="AE27">
        <v>683.04</v>
      </c>
      <c r="AF27">
        <v>44.21</v>
      </c>
      <c r="AG27">
        <v>58.55</v>
      </c>
      <c r="AH27">
        <v>48.55</v>
      </c>
      <c r="AI27">
        <v>53.02</v>
      </c>
    </row>
    <row r="28" spans="1:35" x14ac:dyDescent="0.45">
      <c r="A28" s="2">
        <v>45999</v>
      </c>
      <c r="B28">
        <v>34.36</v>
      </c>
      <c r="C28">
        <v>38.24</v>
      </c>
      <c r="D28">
        <v>18.87</v>
      </c>
      <c r="E28">
        <v>24.58</v>
      </c>
      <c r="F28">
        <v>33.51</v>
      </c>
      <c r="G28">
        <v>66.53</v>
      </c>
      <c r="H28">
        <v>26.32</v>
      </c>
      <c r="I28">
        <v>65.569999999999993</v>
      </c>
      <c r="J28">
        <v>68.64</v>
      </c>
      <c r="K28">
        <v>95.07</v>
      </c>
      <c r="L28">
        <v>32.75</v>
      </c>
      <c r="M28">
        <v>66.39</v>
      </c>
      <c r="N28">
        <v>66.97</v>
      </c>
      <c r="O28">
        <v>53.08</v>
      </c>
      <c r="P28">
        <v>62.22</v>
      </c>
      <c r="Q28">
        <v>18.955400000000001</v>
      </c>
      <c r="R28">
        <v>1274.82</v>
      </c>
      <c r="S28">
        <v>34.42</v>
      </c>
      <c r="T28">
        <v>19.079999999999998</v>
      </c>
      <c r="U28">
        <v>18.72</v>
      </c>
      <c r="V28">
        <v>37.19</v>
      </c>
      <c r="W28">
        <v>46.026699999999998</v>
      </c>
      <c r="X28">
        <v>26.24</v>
      </c>
      <c r="Y28">
        <v>52.95</v>
      </c>
      <c r="Z28">
        <v>41.34</v>
      </c>
      <c r="AA28">
        <v>83.19</v>
      </c>
      <c r="AB28">
        <v>57.76</v>
      </c>
      <c r="AC28">
        <v>43.08</v>
      </c>
      <c r="AD28">
        <v>624.28</v>
      </c>
      <c r="AE28">
        <v>683.63</v>
      </c>
      <c r="AF28">
        <v>44.65</v>
      </c>
      <c r="AG28">
        <v>58.7224</v>
      </c>
      <c r="AH28">
        <v>48.4</v>
      </c>
      <c r="AI28">
        <v>52.98</v>
      </c>
    </row>
    <row r="29" spans="1:35" x14ac:dyDescent="0.45">
      <c r="A29" s="2">
        <v>45996</v>
      </c>
      <c r="B29">
        <v>34.21</v>
      </c>
      <c r="C29">
        <v>38.18</v>
      </c>
      <c r="D29">
        <v>18.82</v>
      </c>
      <c r="E29">
        <v>24.73</v>
      </c>
      <c r="F29">
        <v>33.44</v>
      </c>
      <c r="G29">
        <v>67.03</v>
      </c>
      <c r="H29">
        <v>26.64</v>
      </c>
      <c r="I29">
        <v>65.349999999999994</v>
      </c>
      <c r="J29">
        <v>68.680000000000007</v>
      </c>
      <c r="K29">
        <v>94.3</v>
      </c>
      <c r="L29">
        <v>32.53</v>
      </c>
      <c r="M29">
        <v>67.88</v>
      </c>
      <c r="N29">
        <v>66.45</v>
      </c>
      <c r="O29">
        <v>53.97</v>
      </c>
      <c r="P29">
        <v>62.66</v>
      </c>
      <c r="Q29">
        <v>18.930399999999999</v>
      </c>
      <c r="R29">
        <v>1277.58</v>
      </c>
      <c r="S29">
        <v>33.840000000000003</v>
      </c>
      <c r="T29">
        <v>19.22</v>
      </c>
      <c r="U29">
        <v>18.649999999999999</v>
      </c>
      <c r="V29">
        <v>37.200000000000003</v>
      </c>
      <c r="W29">
        <v>45.994999999999997</v>
      </c>
      <c r="X29">
        <v>26.34</v>
      </c>
      <c r="Y29">
        <v>53.29</v>
      </c>
      <c r="Z29">
        <v>41.41</v>
      </c>
      <c r="AA29">
        <v>83.7</v>
      </c>
      <c r="AB29">
        <v>58.03</v>
      </c>
      <c r="AC29">
        <v>43.22</v>
      </c>
      <c r="AD29">
        <v>625.48</v>
      </c>
      <c r="AE29">
        <v>685.69</v>
      </c>
      <c r="AF29">
        <v>44.62</v>
      </c>
      <c r="AG29">
        <v>58.55</v>
      </c>
      <c r="AH29">
        <v>48.37</v>
      </c>
      <c r="AI29">
        <v>52.98</v>
      </c>
    </row>
    <row r="30" spans="1:35" x14ac:dyDescent="0.45">
      <c r="A30" s="2">
        <v>45995</v>
      </c>
      <c r="B30">
        <v>33.74</v>
      </c>
      <c r="C30">
        <v>38.51</v>
      </c>
      <c r="D30">
        <v>18.79</v>
      </c>
      <c r="E30">
        <v>24.2</v>
      </c>
      <c r="F30">
        <v>33.53</v>
      </c>
      <c r="G30">
        <v>67</v>
      </c>
      <c r="H30">
        <v>26.59</v>
      </c>
      <c r="I30">
        <v>64.510000000000005</v>
      </c>
      <c r="J30">
        <v>68.819999999999993</v>
      </c>
      <c r="K30">
        <v>91.87</v>
      </c>
      <c r="L30">
        <v>34.72</v>
      </c>
      <c r="M30">
        <v>67.05</v>
      </c>
      <c r="N30">
        <v>66.3</v>
      </c>
      <c r="O30">
        <v>53.76</v>
      </c>
      <c r="P30">
        <v>61.98</v>
      </c>
      <c r="Q30">
        <v>18.940200000000001</v>
      </c>
      <c r="R30">
        <v>1276.57</v>
      </c>
      <c r="S30">
        <v>33.549999999999997</v>
      </c>
      <c r="T30">
        <v>19.05</v>
      </c>
      <c r="U30">
        <v>18.59</v>
      </c>
      <c r="V30">
        <v>37.17</v>
      </c>
      <c r="W30">
        <v>46.005000000000003</v>
      </c>
      <c r="X30">
        <v>26.29</v>
      </c>
      <c r="Y30">
        <v>53.07</v>
      </c>
      <c r="Z30">
        <v>41.14</v>
      </c>
      <c r="AA30">
        <v>83.62</v>
      </c>
      <c r="AB30">
        <v>57.91</v>
      </c>
      <c r="AC30">
        <v>43.42</v>
      </c>
      <c r="AD30">
        <v>622.94000000000005</v>
      </c>
      <c r="AE30">
        <v>684.39</v>
      </c>
      <c r="AF30">
        <v>44.75</v>
      </c>
      <c r="AG30">
        <v>58.78</v>
      </c>
      <c r="AH30">
        <v>48.09</v>
      </c>
      <c r="AI30">
        <v>53.15</v>
      </c>
    </row>
    <row r="31" spans="1:35" x14ac:dyDescent="0.45">
      <c r="A31" s="2">
        <v>45994</v>
      </c>
      <c r="B31">
        <v>33.76</v>
      </c>
      <c r="C31">
        <v>38.619999999999997</v>
      </c>
      <c r="D31">
        <v>18.829999999999998</v>
      </c>
      <c r="E31">
        <v>24.68</v>
      </c>
      <c r="F31">
        <v>33.61</v>
      </c>
      <c r="G31">
        <v>66.03</v>
      </c>
      <c r="H31">
        <v>26.73</v>
      </c>
      <c r="I31">
        <v>64.849999999999994</v>
      </c>
      <c r="J31">
        <v>68.430000000000007</v>
      </c>
      <c r="K31">
        <v>93</v>
      </c>
      <c r="L31">
        <v>34.200000000000003</v>
      </c>
      <c r="M31">
        <v>66.92</v>
      </c>
      <c r="N31">
        <v>66.37</v>
      </c>
      <c r="O31">
        <v>53.41</v>
      </c>
      <c r="P31">
        <v>61.88</v>
      </c>
      <c r="Q31">
        <v>18.930199999999999</v>
      </c>
      <c r="R31">
        <v>1256.69</v>
      </c>
      <c r="S31">
        <v>33.869999999999997</v>
      </c>
      <c r="T31">
        <v>18.850000000000001</v>
      </c>
      <c r="U31">
        <v>18.690000000000001</v>
      </c>
      <c r="V31">
        <v>37.04</v>
      </c>
      <c r="W31">
        <v>46.165599999999998</v>
      </c>
      <c r="X31">
        <v>26.13</v>
      </c>
      <c r="Y31">
        <v>52.47</v>
      </c>
      <c r="Z31">
        <v>40.950000000000003</v>
      </c>
      <c r="AA31">
        <v>82.61</v>
      </c>
      <c r="AB31">
        <v>58.07</v>
      </c>
      <c r="AC31">
        <v>43.46</v>
      </c>
      <c r="AD31">
        <v>623.52</v>
      </c>
      <c r="AE31">
        <v>683.89</v>
      </c>
      <c r="AF31">
        <v>44.79</v>
      </c>
      <c r="AG31">
        <v>59.18</v>
      </c>
      <c r="AH31">
        <v>47.77</v>
      </c>
      <c r="AI31">
        <v>53.29</v>
      </c>
    </row>
    <row r="32" spans="1:35" x14ac:dyDescent="0.45">
      <c r="A32" s="2">
        <v>45993</v>
      </c>
      <c r="B32">
        <v>33.81</v>
      </c>
      <c r="C32">
        <v>38.29</v>
      </c>
      <c r="D32">
        <v>18.920000000000002</v>
      </c>
      <c r="E32">
        <v>25.06</v>
      </c>
      <c r="F32">
        <v>33.65</v>
      </c>
      <c r="G32">
        <v>64.67</v>
      </c>
      <c r="H32">
        <v>26.67</v>
      </c>
      <c r="I32">
        <v>64.63</v>
      </c>
      <c r="J32">
        <v>68.709999999999994</v>
      </c>
      <c r="K32">
        <v>92.07</v>
      </c>
      <c r="L32">
        <v>34.03</v>
      </c>
      <c r="M32">
        <v>66.5</v>
      </c>
      <c r="N32">
        <v>66.64</v>
      </c>
      <c r="O32">
        <v>53.88</v>
      </c>
      <c r="P32">
        <v>62.24</v>
      </c>
      <c r="Q32">
        <v>18.774999999999999</v>
      </c>
      <c r="R32">
        <v>1252.71</v>
      </c>
      <c r="S32">
        <v>34.1</v>
      </c>
      <c r="T32">
        <v>18.53</v>
      </c>
      <c r="U32">
        <v>18.649999999999999</v>
      </c>
      <c r="V32">
        <v>36.979999999999997</v>
      </c>
      <c r="W32">
        <v>45.818399999999997</v>
      </c>
      <c r="X32">
        <v>25.93</v>
      </c>
      <c r="Y32">
        <v>52.14</v>
      </c>
      <c r="Z32">
        <v>40.89</v>
      </c>
      <c r="AA32">
        <v>82.47</v>
      </c>
      <c r="AB32">
        <v>57.94</v>
      </c>
      <c r="AC32">
        <v>43.01</v>
      </c>
      <c r="AD32">
        <v>622</v>
      </c>
      <c r="AE32">
        <v>681.53</v>
      </c>
      <c r="AF32">
        <v>44.44</v>
      </c>
      <c r="AG32">
        <v>58.57</v>
      </c>
      <c r="AH32">
        <v>47.61</v>
      </c>
      <c r="AI32">
        <v>53</v>
      </c>
    </row>
    <row r="33" spans="1:35" x14ac:dyDescent="0.45">
      <c r="A33" s="2">
        <v>45992</v>
      </c>
      <c r="B33">
        <v>34.25</v>
      </c>
      <c r="C33">
        <v>37.69</v>
      </c>
      <c r="D33">
        <v>18.79</v>
      </c>
      <c r="E33">
        <v>25.24</v>
      </c>
      <c r="F33">
        <v>33.9</v>
      </c>
      <c r="G33">
        <v>64.569999999999993</v>
      </c>
      <c r="H33">
        <v>26.6</v>
      </c>
      <c r="I33">
        <v>64.13</v>
      </c>
      <c r="J33">
        <v>68.459999999999994</v>
      </c>
      <c r="K33">
        <v>90.62</v>
      </c>
      <c r="L33">
        <v>33.4</v>
      </c>
      <c r="M33">
        <v>67.45</v>
      </c>
      <c r="N33">
        <v>66.28</v>
      </c>
      <c r="O33">
        <v>54.33</v>
      </c>
      <c r="P33">
        <v>62.66</v>
      </c>
      <c r="Q33">
        <v>18.71</v>
      </c>
      <c r="R33">
        <v>1261.18</v>
      </c>
      <c r="S33">
        <v>34.03</v>
      </c>
      <c r="T33">
        <v>18.4941</v>
      </c>
      <c r="U33">
        <v>18.38</v>
      </c>
      <c r="V33">
        <v>37.06</v>
      </c>
      <c r="W33">
        <v>45.48</v>
      </c>
      <c r="X33">
        <v>25.73</v>
      </c>
      <c r="Y33">
        <v>52.18</v>
      </c>
      <c r="Z33">
        <v>40.520000000000003</v>
      </c>
      <c r="AA33">
        <v>82.53</v>
      </c>
      <c r="AB33">
        <v>57.42</v>
      </c>
      <c r="AC33">
        <v>42.93</v>
      </c>
      <c r="AD33">
        <v>617.16999999999996</v>
      </c>
      <c r="AE33">
        <v>680.27</v>
      </c>
      <c r="AF33">
        <v>44.41</v>
      </c>
      <c r="AG33">
        <v>58.32</v>
      </c>
      <c r="AH33">
        <v>47.58</v>
      </c>
      <c r="AI33">
        <v>52.66</v>
      </c>
    </row>
    <row r="34" spans="1:35" x14ac:dyDescent="0.45">
      <c r="A34" s="2">
        <v>45989</v>
      </c>
      <c r="B34">
        <v>33.950000000000003</v>
      </c>
      <c r="C34">
        <v>37.86</v>
      </c>
      <c r="D34">
        <v>18.670000000000002</v>
      </c>
      <c r="E34">
        <v>25.21</v>
      </c>
      <c r="F34">
        <v>34.07</v>
      </c>
      <c r="G34">
        <v>64.47</v>
      </c>
      <c r="H34">
        <v>26.43</v>
      </c>
      <c r="I34">
        <v>64.510000000000005</v>
      </c>
      <c r="J34">
        <v>68.42</v>
      </c>
      <c r="K34">
        <v>90.87</v>
      </c>
      <c r="L34">
        <v>33.61</v>
      </c>
      <c r="M34">
        <v>66.739999999999995</v>
      </c>
      <c r="N34">
        <v>65.319999999999993</v>
      </c>
      <c r="O34">
        <v>54.71</v>
      </c>
      <c r="P34">
        <v>62.2</v>
      </c>
      <c r="Q34">
        <v>18.88</v>
      </c>
      <c r="R34">
        <v>1268.78</v>
      </c>
      <c r="S34">
        <v>33.5</v>
      </c>
      <c r="T34">
        <v>18.579999999999998</v>
      </c>
      <c r="U34">
        <v>18.34</v>
      </c>
      <c r="V34">
        <v>37.44</v>
      </c>
      <c r="W34">
        <v>45.625700000000002</v>
      </c>
      <c r="X34">
        <v>25.85</v>
      </c>
      <c r="Y34">
        <v>52.7</v>
      </c>
      <c r="Z34">
        <v>40.92</v>
      </c>
      <c r="AA34">
        <v>83.01</v>
      </c>
      <c r="AB34">
        <v>57.82</v>
      </c>
      <c r="AC34">
        <v>43.15</v>
      </c>
      <c r="AD34">
        <v>619.25</v>
      </c>
      <c r="AE34">
        <v>683.39</v>
      </c>
      <c r="AF34">
        <v>44.57</v>
      </c>
      <c r="AG34">
        <v>58.17</v>
      </c>
      <c r="AH34">
        <v>47.91</v>
      </c>
      <c r="AI34">
        <v>52.93</v>
      </c>
    </row>
    <row r="35" spans="1:35" x14ac:dyDescent="0.45">
      <c r="A35" s="2">
        <v>45987</v>
      </c>
      <c r="B35">
        <v>33.590000000000003</v>
      </c>
      <c r="C35">
        <v>37.61</v>
      </c>
      <c r="D35">
        <v>18.87</v>
      </c>
      <c r="E35">
        <v>25.02</v>
      </c>
      <c r="F35">
        <v>34.07</v>
      </c>
      <c r="G35">
        <v>63.1</v>
      </c>
      <c r="H35">
        <v>26.64</v>
      </c>
      <c r="I35">
        <v>63.66</v>
      </c>
      <c r="J35">
        <v>67.88</v>
      </c>
      <c r="K35">
        <v>91.55</v>
      </c>
      <c r="L35">
        <v>33.47</v>
      </c>
      <c r="M35">
        <v>67.83</v>
      </c>
      <c r="N35">
        <v>66.150000000000006</v>
      </c>
      <c r="O35">
        <v>54.67</v>
      </c>
      <c r="P35">
        <v>61.91</v>
      </c>
      <c r="Q35">
        <v>18.885000000000002</v>
      </c>
      <c r="R35">
        <v>1252.73</v>
      </c>
      <c r="S35">
        <v>33.590000000000003</v>
      </c>
      <c r="T35">
        <v>18.53</v>
      </c>
      <c r="U35">
        <v>18.239999999999998</v>
      </c>
      <c r="V35">
        <v>37.380000000000003</v>
      </c>
      <c r="W35">
        <v>45.47</v>
      </c>
      <c r="X35">
        <v>25.82</v>
      </c>
      <c r="Y35">
        <v>52.25</v>
      </c>
      <c r="Z35">
        <v>40.6</v>
      </c>
      <c r="AA35">
        <v>83.26</v>
      </c>
      <c r="AB35">
        <v>57.55</v>
      </c>
      <c r="AC35">
        <v>42.99</v>
      </c>
      <c r="AD35">
        <v>614.27</v>
      </c>
      <c r="AE35">
        <v>679.68</v>
      </c>
      <c r="AF35">
        <v>44.43</v>
      </c>
      <c r="AG35">
        <v>57.79</v>
      </c>
      <c r="AH35">
        <v>47.43</v>
      </c>
      <c r="AI35">
        <v>52.54</v>
      </c>
    </row>
    <row r="36" spans="1:35" x14ac:dyDescent="0.45">
      <c r="A36" s="2">
        <v>45986</v>
      </c>
      <c r="B36">
        <v>33.51</v>
      </c>
      <c r="C36">
        <v>37.270000000000003</v>
      </c>
      <c r="D36">
        <v>18.73</v>
      </c>
      <c r="E36">
        <v>25</v>
      </c>
      <c r="F36">
        <v>33.729999999999997</v>
      </c>
      <c r="G36">
        <v>61.56</v>
      </c>
      <c r="H36">
        <v>26.49</v>
      </c>
      <c r="I36">
        <v>62.8</v>
      </c>
      <c r="J36">
        <v>67.75</v>
      </c>
      <c r="K36">
        <v>89.79</v>
      </c>
      <c r="L36">
        <v>32.549999999999997</v>
      </c>
      <c r="M36">
        <v>66.3</v>
      </c>
      <c r="N36">
        <v>65.48</v>
      </c>
      <c r="O36">
        <v>54.28</v>
      </c>
      <c r="P36">
        <v>62.2</v>
      </c>
      <c r="Q36">
        <v>18.77</v>
      </c>
      <c r="R36">
        <v>1254.4000000000001</v>
      </c>
      <c r="S36">
        <v>33.54</v>
      </c>
      <c r="T36">
        <v>18.71</v>
      </c>
      <c r="U36">
        <v>17.75</v>
      </c>
      <c r="V36">
        <v>37.590000000000003</v>
      </c>
      <c r="W36">
        <v>44.699399999999997</v>
      </c>
      <c r="X36">
        <v>25.62</v>
      </c>
      <c r="Y36">
        <v>51.56</v>
      </c>
      <c r="Z36">
        <v>40.19</v>
      </c>
      <c r="AA36">
        <v>81.92</v>
      </c>
      <c r="AB36">
        <v>57.26</v>
      </c>
      <c r="AC36">
        <v>42.52</v>
      </c>
      <c r="AD36">
        <v>608.89</v>
      </c>
      <c r="AE36">
        <v>675.02</v>
      </c>
      <c r="AF36">
        <v>44.06</v>
      </c>
      <c r="AG36">
        <v>56.872</v>
      </c>
      <c r="AH36">
        <v>47.06</v>
      </c>
      <c r="AI36">
        <v>52.16</v>
      </c>
    </row>
    <row r="37" spans="1:35" x14ac:dyDescent="0.45">
      <c r="A37" s="2">
        <v>45985</v>
      </c>
      <c r="B37">
        <v>33.11</v>
      </c>
      <c r="C37">
        <v>36.61</v>
      </c>
      <c r="D37">
        <v>18.78</v>
      </c>
      <c r="E37">
        <v>24.97</v>
      </c>
      <c r="F37">
        <v>32.94</v>
      </c>
      <c r="G37">
        <v>61.02</v>
      </c>
      <c r="H37">
        <v>26.47</v>
      </c>
      <c r="I37">
        <v>62.51</v>
      </c>
      <c r="J37">
        <v>66.55</v>
      </c>
      <c r="K37">
        <v>90.3</v>
      </c>
      <c r="L37">
        <v>32.200000000000003</v>
      </c>
      <c r="M37">
        <v>65.89</v>
      </c>
      <c r="N37">
        <v>63.99</v>
      </c>
      <c r="O37">
        <v>54.22</v>
      </c>
      <c r="P37">
        <v>61.96</v>
      </c>
      <c r="Q37">
        <v>18.850000000000001</v>
      </c>
      <c r="R37">
        <v>1281.81</v>
      </c>
      <c r="S37">
        <v>33.76</v>
      </c>
      <c r="T37">
        <v>18.75</v>
      </c>
      <c r="U37">
        <v>17.91</v>
      </c>
      <c r="V37">
        <v>38.159999999999997</v>
      </c>
      <c r="W37">
        <v>44.47</v>
      </c>
      <c r="X37">
        <v>25.44</v>
      </c>
      <c r="Y37">
        <v>51.05</v>
      </c>
      <c r="Z37">
        <v>39.47</v>
      </c>
      <c r="AA37">
        <v>81.739999999999995</v>
      </c>
      <c r="AB37">
        <v>56.39</v>
      </c>
      <c r="AC37">
        <v>41.92</v>
      </c>
      <c r="AD37">
        <v>605.16</v>
      </c>
      <c r="AE37">
        <v>668.73</v>
      </c>
      <c r="AF37">
        <v>43.33</v>
      </c>
      <c r="AG37">
        <v>55.95</v>
      </c>
      <c r="AH37">
        <v>46.26</v>
      </c>
      <c r="AI37">
        <v>51.19</v>
      </c>
    </row>
    <row r="38" spans="1:35" x14ac:dyDescent="0.45">
      <c r="A38" s="2">
        <v>45982</v>
      </c>
      <c r="B38">
        <v>33.06</v>
      </c>
      <c r="C38">
        <v>36.340000000000003</v>
      </c>
      <c r="D38">
        <v>18.37</v>
      </c>
      <c r="E38">
        <v>25.06</v>
      </c>
      <c r="F38">
        <v>33.04</v>
      </c>
      <c r="G38">
        <v>59.64</v>
      </c>
      <c r="H38">
        <v>26.29</v>
      </c>
      <c r="I38">
        <v>61.8</v>
      </c>
      <c r="J38">
        <v>66.040000000000006</v>
      </c>
      <c r="K38">
        <v>89.22</v>
      </c>
      <c r="L38">
        <v>32.03</v>
      </c>
      <c r="M38">
        <v>64.86</v>
      </c>
      <c r="N38">
        <v>64.64</v>
      </c>
      <c r="O38">
        <v>54.21</v>
      </c>
      <c r="P38">
        <v>60.92</v>
      </c>
      <c r="Q38">
        <v>18.68</v>
      </c>
      <c r="R38">
        <v>1272.17</v>
      </c>
      <c r="S38">
        <v>33.78</v>
      </c>
      <c r="T38">
        <v>18.68</v>
      </c>
      <c r="U38">
        <v>17.72</v>
      </c>
      <c r="V38">
        <v>38.28</v>
      </c>
      <c r="W38">
        <v>44.33</v>
      </c>
      <c r="X38">
        <v>25.33</v>
      </c>
      <c r="Y38">
        <v>50.43</v>
      </c>
      <c r="Z38">
        <v>39.4</v>
      </c>
      <c r="AA38">
        <v>81.19</v>
      </c>
      <c r="AB38">
        <v>56.69</v>
      </c>
      <c r="AC38">
        <v>42.06</v>
      </c>
      <c r="AD38">
        <v>590.07000000000005</v>
      </c>
      <c r="AE38">
        <v>659.03</v>
      </c>
      <c r="AF38">
        <v>43.69</v>
      </c>
      <c r="AG38">
        <v>55.92</v>
      </c>
      <c r="AH38">
        <v>46.06</v>
      </c>
      <c r="AI38">
        <v>51.47</v>
      </c>
    </row>
    <row r="39" spans="1:35" x14ac:dyDescent="0.45">
      <c r="A39" s="2">
        <v>45981</v>
      </c>
      <c r="B39">
        <v>33.46</v>
      </c>
      <c r="C39">
        <v>36.590000000000003</v>
      </c>
      <c r="D39">
        <v>18.329999999999998</v>
      </c>
      <c r="E39">
        <v>24.37</v>
      </c>
      <c r="F39">
        <v>32.56</v>
      </c>
      <c r="G39">
        <v>59.5</v>
      </c>
      <c r="H39">
        <v>26.05</v>
      </c>
      <c r="I39">
        <v>61.68</v>
      </c>
      <c r="J39">
        <v>66.02</v>
      </c>
      <c r="K39">
        <v>88.53</v>
      </c>
      <c r="L39">
        <v>31.9</v>
      </c>
      <c r="M39">
        <v>64.930000000000007</v>
      </c>
      <c r="N39">
        <v>62.76</v>
      </c>
      <c r="O39">
        <v>54.72</v>
      </c>
      <c r="P39">
        <v>60.88</v>
      </c>
      <c r="Q39">
        <v>18.614999999999998</v>
      </c>
      <c r="R39">
        <v>1270.04</v>
      </c>
      <c r="S39">
        <v>33.58</v>
      </c>
      <c r="T39">
        <v>18.758199999999999</v>
      </c>
      <c r="U39">
        <v>17.45</v>
      </c>
      <c r="V39">
        <v>38.19</v>
      </c>
      <c r="W39">
        <v>43.75</v>
      </c>
      <c r="X39">
        <v>24.95</v>
      </c>
      <c r="Y39">
        <v>49.91</v>
      </c>
      <c r="Z39">
        <v>38.89</v>
      </c>
      <c r="AA39">
        <v>79.489999999999995</v>
      </c>
      <c r="AB39">
        <v>55.69</v>
      </c>
      <c r="AC39">
        <v>41.34</v>
      </c>
      <c r="AD39">
        <v>585.66999999999996</v>
      </c>
      <c r="AE39">
        <v>652.53</v>
      </c>
      <c r="AF39">
        <v>42.99</v>
      </c>
      <c r="AG39">
        <v>55.52</v>
      </c>
      <c r="AH39">
        <v>45.38</v>
      </c>
      <c r="AI39">
        <v>50.81</v>
      </c>
    </row>
    <row r="40" spans="1:35" x14ac:dyDescent="0.45">
      <c r="A40" s="2">
        <v>45980</v>
      </c>
      <c r="B40">
        <v>33.880000000000003</v>
      </c>
      <c r="C40">
        <v>37.11</v>
      </c>
      <c r="D40">
        <v>18.48</v>
      </c>
      <c r="E40">
        <v>24.23</v>
      </c>
      <c r="F40">
        <v>33.29</v>
      </c>
      <c r="G40">
        <v>61.25</v>
      </c>
      <c r="H40">
        <v>26.33</v>
      </c>
      <c r="I40">
        <v>62.5</v>
      </c>
      <c r="J40">
        <v>66.77</v>
      </c>
      <c r="K40">
        <v>90.56</v>
      </c>
      <c r="L40">
        <v>32.49</v>
      </c>
      <c r="M40">
        <v>66.569999999999993</v>
      </c>
      <c r="N40">
        <v>63.34</v>
      </c>
      <c r="O40">
        <v>54.83</v>
      </c>
      <c r="P40">
        <v>61.91</v>
      </c>
      <c r="Q40">
        <v>18.954999999999998</v>
      </c>
      <c r="R40">
        <v>1280.07</v>
      </c>
      <c r="S40">
        <v>33.659999999999997</v>
      </c>
      <c r="T40">
        <v>18.87</v>
      </c>
      <c r="U40">
        <v>17.61</v>
      </c>
      <c r="V40">
        <v>38.43</v>
      </c>
      <c r="W40">
        <v>43.6663</v>
      </c>
      <c r="X40">
        <v>25.3</v>
      </c>
      <c r="Y40">
        <v>50.62</v>
      </c>
      <c r="Z40">
        <v>39.51</v>
      </c>
      <c r="AA40">
        <v>80.680000000000007</v>
      </c>
      <c r="AB40">
        <v>56.36</v>
      </c>
      <c r="AC40">
        <v>41.73</v>
      </c>
      <c r="AD40">
        <v>599.87</v>
      </c>
      <c r="AE40">
        <v>662.63</v>
      </c>
      <c r="AF40">
        <v>43.44</v>
      </c>
      <c r="AG40">
        <v>57.05</v>
      </c>
      <c r="AH40">
        <v>46.17</v>
      </c>
      <c r="AI40">
        <v>51.34</v>
      </c>
    </row>
    <row r="41" spans="1:35" x14ac:dyDescent="0.45">
      <c r="A41" s="2">
        <v>45979</v>
      </c>
      <c r="B41">
        <v>33.93</v>
      </c>
      <c r="C41">
        <v>36.83</v>
      </c>
      <c r="D41">
        <v>18.260000000000002</v>
      </c>
      <c r="E41">
        <v>24.02</v>
      </c>
      <c r="F41">
        <v>32.869999999999997</v>
      </c>
      <c r="G41">
        <v>60.32</v>
      </c>
      <c r="H41">
        <v>26.16</v>
      </c>
      <c r="I41">
        <v>62.67</v>
      </c>
      <c r="J41">
        <v>66.67</v>
      </c>
      <c r="K41">
        <v>91.59</v>
      </c>
      <c r="L41">
        <v>32.71</v>
      </c>
      <c r="M41">
        <v>66.16</v>
      </c>
      <c r="N41">
        <v>63.2</v>
      </c>
      <c r="O41">
        <v>54.61</v>
      </c>
      <c r="P41">
        <v>62.42</v>
      </c>
      <c r="Q41">
        <v>18.815000000000001</v>
      </c>
      <c r="R41">
        <v>1269.26</v>
      </c>
      <c r="S41">
        <v>33.299999999999997</v>
      </c>
      <c r="T41">
        <v>18.850000000000001</v>
      </c>
      <c r="U41">
        <v>17.73</v>
      </c>
      <c r="V41">
        <v>38.79</v>
      </c>
      <c r="W41">
        <v>44.235900000000001</v>
      </c>
      <c r="X41">
        <v>25.4</v>
      </c>
      <c r="Y41">
        <v>50.53</v>
      </c>
      <c r="Z41">
        <v>39.53</v>
      </c>
      <c r="AA41">
        <v>80.78</v>
      </c>
      <c r="AB41">
        <v>56.58</v>
      </c>
      <c r="AC41">
        <v>42.19</v>
      </c>
      <c r="AD41">
        <v>596.30999999999995</v>
      </c>
      <c r="AE41">
        <v>660.08</v>
      </c>
      <c r="AF41">
        <v>43.63</v>
      </c>
      <c r="AG41">
        <v>56.63</v>
      </c>
      <c r="AH41">
        <v>46.49</v>
      </c>
      <c r="AI41">
        <v>51.81</v>
      </c>
    </row>
    <row r="42" spans="1:35" x14ac:dyDescent="0.45">
      <c r="A42" s="2">
        <v>45978</v>
      </c>
      <c r="B42">
        <v>33.89</v>
      </c>
      <c r="C42">
        <v>37.31</v>
      </c>
      <c r="D42">
        <v>18.38</v>
      </c>
      <c r="E42">
        <v>23.95</v>
      </c>
      <c r="F42">
        <v>33.39</v>
      </c>
      <c r="G42">
        <v>61.163600000000002</v>
      </c>
      <c r="H42">
        <v>26.23</v>
      </c>
      <c r="I42">
        <v>63.16</v>
      </c>
      <c r="J42">
        <v>65.87</v>
      </c>
      <c r="K42">
        <v>93.02</v>
      </c>
      <c r="L42">
        <v>32.78</v>
      </c>
      <c r="M42">
        <v>66.13</v>
      </c>
      <c r="N42">
        <v>64.5</v>
      </c>
      <c r="O42">
        <v>54.65</v>
      </c>
      <c r="P42">
        <v>62.78</v>
      </c>
      <c r="Q42">
        <v>18.89</v>
      </c>
      <c r="R42">
        <v>1287.44</v>
      </c>
      <c r="S42">
        <v>33.08</v>
      </c>
      <c r="T42">
        <v>18.93</v>
      </c>
      <c r="U42">
        <v>17.66</v>
      </c>
      <c r="V42">
        <v>38.450000000000003</v>
      </c>
      <c r="W42">
        <v>44.493200000000002</v>
      </c>
      <c r="X42">
        <v>25.64</v>
      </c>
      <c r="Y42">
        <v>50.34</v>
      </c>
      <c r="Z42">
        <v>40.01</v>
      </c>
      <c r="AA42">
        <v>82.47</v>
      </c>
      <c r="AB42">
        <v>56.81</v>
      </c>
      <c r="AC42">
        <v>42.44</v>
      </c>
      <c r="AD42">
        <v>603.66</v>
      </c>
      <c r="AE42">
        <v>665.67</v>
      </c>
      <c r="AF42">
        <v>44.2</v>
      </c>
      <c r="AG42">
        <v>57.36</v>
      </c>
      <c r="AH42">
        <v>47.22</v>
      </c>
      <c r="AI42">
        <v>52.56</v>
      </c>
    </row>
    <row r="43" spans="1:35" x14ac:dyDescent="0.45">
      <c r="A43" s="2">
        <v>45975</v>
      </c>
      <c r="B43">
        <v>34.19</v>
      </c>
      <c r="C43">
        <v>36.369999999999997</v>
      </c>
      <c r="D43">
        <v>18.38</v>
      </c>
      <c r="E43">
        <v>23.28</v>
      </c>
      <c r="F43">
        <v>34.159999999999997</v>
      </c>
      <c r="G43">
        <v>62.34</v>
      </c>
      <c r="H43">
        <v>26.45</v>
      </c>
      <c r="I43">
        <v>65.17</v>
      </c>
      <c r="J43">
        <v>67.22</v>
      </c>
      <c r="K43">
        <v>94.13</v>
      </c>
      <c r="L43">
        <v>33.18</v>
      </c>
      <c r="M43">
        <v>66.989999999999995</v>
      </c>
      <c r="N43">
        <v>65</v>
      </c>
      <c r="O43">
        <v>54.62</v>
      </c>
      <c r="P43">
        <v>63.5</v>
      </c>
      <c r="Q43">
        <v>19.285</v>
      </c>
      <c r="R43">
        <v>1284.81</v>
      </c>
      <c r="S43">
        <v>32.85</v>
      </c>
      <c r="T43">
        <v>19.170000000000002</v>
      </c>
      <c r="U43">
        <v>17.59</v>
      </c>
      <c r="V43">
        <v>38.83</v>
      </c>
      <c r="W43">
        <v>44.844999999999999</v>
      </c>
      <c r="X43">
        <v>25.95</v>
      </c>
      <c r="Y43">
        <v>50.89</v>
      </c>
      <c r="Z43">
        <v>40.86</v>
      </c>
      <c r="AA43">
        <v>83.98</v>
      </c>
      <c r="AB43">
        <v>57.55</v>
      </c>
      <c r="AC43">
        <v>42.77</v>
      </c>
      <c r="AD43">
        <v>608.86</v>
      </c>
      <c r="AE43">
        <v>671.93</v>
      </c>
      <c r="AF43">
        <v>44.84</v>
      </c>
      <c r="AG43">
        <v>58.13</v>
      </c>
      <c r="AH43">
        <v>47.65</v>
      </c>
      <c r="AI43">
        <v>53.2</v>
      </c>
    </row>
    <row r="44" spans="1:35" x14ac:dyDescent="0.45">
      <c r="A44" s="2">
        <v>45974</v>
      </c>
      <c r="B44">
        <v>34.64</v>
      </c>
      <c r="C44">
        <v>36.71</v>
      </c>
      <c r="D44">
        <v>18.28</v>
      </c>
      <c r="E44">
        <v>23.69</v>
      </c>
      <c r="F44">
        <v>34.130000000000003</v>
      </c>
      <c r="G44">
        <v>62.52</v>
      </c>
      <c r="H44">
        <v>26.5</v>
      </c>
      <c r="I44">
        <v>63.99</v>
      </c>
      <c r="J44">
        <v>67.38</v>
      </c>
      <c r="K44">
        <v>94.07</v>
      </c>
      <c r="L44">
        <v>32.979999999999997</v>
      </c>
      <c r="M44">
        <v>67.83</v>
      </c>
      <c r="N44">
        <v>64.67</v>
      </c>
      <c r="O44">
        <v>54.2</v>
      </c>
      <c r="P44">
        <v>64.459999999999994</v>
      </c>
      <c r="Q44">
        <v>19.25</v>
      </c>
      <c r="R44">
        <v>1300.47</v>
      </c>
      <c r="S44">
        <v>32.78</v>
      </c>
      <c r="T44">
        <v>19.190000000000001</v>
      </c>
      <c r="U44">
        <v>17.420000000000002</v>
      </c>
      <c r="V44">
        <v>38.729999999999997</v>
      </c>
      <c r="W44">
        <v>44.943399999999997</v>
      </c>
      <c r="X44">
        <v>25.94</v>
      </c>
      <c r="Y44">
        <v>50.64</v>
      </c>
      <c r="Z44">
        <v>41.25</v>
      </c>
      <c r="AA44">
        <v>83.01</v>
      </c>
      <c r="AB44">
        <v>57.85</v>
      </c>
      <c r="AC44">
        <v>43.04</v>
      </c>
      <c r="AD44">
        <v>608.4</v>
      </c>
      <c r="AE44">
        <v>672.04</v>
      </c>
      <c r="AF44">
        <v>45.04</v>
      </c>
      <c r="AG44">
        <v>58.61</v>
      </c>
      <c r="AH44">
        <v>48.27</v>
      </c>
      <c r="AI44">
        <v>53.98</v>
      </c>
    </row>
    <row r="45" spans="1:35" x14ac:dyDescent="0.45">
      <c r="A45" s="2">
        <v>45973</v>
      </c>
      <c r="B45">
        <v>34.43</v>
      </c>
      <c r="C45">
        <v>37.26</v>
      </c>
      <c r="D45">
        <v>18.440000000000001</v>
      </c>
      <c r="E45">
        <v>23.6</v>
      </c>
      <c r="F45">
        <v>34.42</v>
      </c>
      <c r="G45">
        <v>64.38</v>
      </c>
      <c r="H45">
        <v>26.53</v>
      </c>
      <c r="I45">
        <v>65.41</v>
      </c>
      <c r="J45">
        <v>68.16</v>
      </c>
      <c r="K45">
        <v>95.92</v>
      </c>
      <c r="L45">
        <v>33.22</v>
      </c>
      <c r="M45">
        <v>68.08</v>
      </c>
      <c r="N45">
        <v>64.319999999999993</v>
      </c>
      <c r="O45">
        <v>54.56</v>
      </c>
      <c r="P45">
        <v>64.58</v>
      </c>
      <c r="Q45">
        <v>19.555</v>
      </c>
      <c r="R45">
        <v>1306.26</v>
      </c>
      <c r="S45">
        <v>33.03</v>
      </c>
      <c r="T45">
        <v>19.48</v>
      </c>
      <c r="U45">
        <v>17.53</v>
      </c>
      <c r="V45">
        <v>39.17</v>
      </c>
      <c r="W45">
        <v>45.657200000000003</v>
      </c>
      <c r="X45">
        <v>26.58</v>
      </c>
      <c r="Y45">
        <v>51.75</v>
      </c>
      <c r="Z45">
        <v>41.68</v>
      </c>
      <c r="AA45">
        <v>84.34</v>
      </c>
      <c r="AB45">
        <v>58.06</v>
      </c>
      <c r="AC45">
        <v>43.51</v>
      </c>
      <c r="AD45">
        <v>621.08000000000004</v>
      </c>
      <c r="AE45">
        <v>683.38</v>
      </c>
      <c r="AF45">
        <v>45.14</v>
      </c>
      <c r="AG45">
        <v>59.03</v>
      </c>
      <c r="AH45">
        <v>48.82</v>
      </c>
      <c r="AI45">
        <v>54.12</v>
      </c>
    </row>
    <row r="46" spans="1:35" x14ac:dyDescent="0.45">
      <c r="A46" s="2">
        <v>45972</v>
      </c>
      <c r="B46">
        <v>34.47</v>
      </c>
      <c r="C46">
        <v>36.5</v>
      </c>
      <c r="D46">
        <v>18.45</v>
      </c>
      <c r="E46">
        <v>23.41</v>
      </c>
      <c r="F46">
        <v>34.56</v>
      </c>
      <c r="G46">
        <v>63.04</v>
      </c>
      <c r="H46">
        <v>26.78</v>
      </c>
      <c r="I46">
        <v>65.39</v>
      </c>
      <c r="J46">
        <v>69.34</v>
      </c>
      <c r="K46">
        <v>95.29</v>
      </c>
      <c r="L46">
        <v>33.49</v>
      </c>
      <c r="M46">
        <v>66.53</v>
      </c>
      <c r="N46">
        <v>63.63</v>
      </c>
      <c r="O46">
        <v>54.74</v>
      </c>
      <c r="P46">
        <v>64.53</v>
      </c>
      <c r="Q46">
        <v>19.6479</v>
      </c>
      <c r="R46">
        <v>1302.9100000000001</v>
      </c>
      <c r="S46">
        <v>32.85</v>
      </c>
      <c r="T46">
        <v>19.690000000000001</v>
      </c>
      <c r="U46">
        <v>16.93</v>
      </c>
      <c r="V46">
        <v>39.39</v>
      </c>
      <c r="W46">
        <v>45.674999999999997</v>
      </c>
      <c r="X46">
        <v>26.63</v>
      </c>
      <c r="Y46">
        <v>51.04</v>
      </c>
      <c r="Z46">
        <v>41.23</v>
      </c>
      <c r="AA46">
        <v>83.75</v>
      </c>
      <c r="AB46">
        <v>57.67</v>
      </c>
      <c r="AC46">
        <v>43.65</v>
      </c>
      <c r="AD46">
        <v>621.57000000000005</v>
      </c>
      <c r="AE46">
        <v>683</v>
      </c>
      <c r="AF46">
        <v>44.71</v>
      </c>
      <c r="AG46">
        <v>58.73</v>
      </c>
      <c r="AH46">
        <v>48.48</v>
      </c>
      <c r="AI46">
        <v>53.75</v>
      </c>
    </row>
    <row r="47" spans="1:35" x14ac:dyDescent="0.45">
      <c r="A47" s="2">
        <v>45971</v>
      </c>
      <c r="B47">
        <v>34.770000000000003</v>
      </c>
      <c r="C47">
        <v>36.299999999999997</v>
      </c>
      <c r="D47">
        <v>18.55</v>
      </c>
      <c r="E47">
        <v>23.7</v>
      </c>
      <c r="F47">
        <v>34.44</v>
      </c>
      <c r="G47">
        <v>63.13</v>
      </c>
      <c r="H47">
        <v>26.47</v>
      </c>
      <c r="I47">
        <v>65.75</v>
      </c>
      <c r="J47">
        <v>67.91</v>
      </c>
      <c r="K47">
        <v>95.67</v>
      </c>
      <c r="L47">
        <v>32.72</v>
      </c>
      <c r="M47">
        <v>66.62</v>
      </c>
      <c r="N47">
        <v>63.69</v>
      </c>
      <c r="O47">
        <v>54.15</v>
      </c>
      <c r="P47">
        <v>64.7</v>
      </c>
      <c r="Q47">
        <v>19.48</v>
      </c>
      <c r="R47">
        <v>1313.31</v>
      </c>
      <c r="S47">
        <v>33.549999999999997</v>
      </c>
      <c r="T47">
        <v>19.53</v>
      </c>
      <c r="U47">
        <v>16.71</v>
      </c>
      <c r="V47">
        <v>39.32</v>
      </c>
      <c r="W47">
        <v>45.684100000000001</v>
      </c>
      <c r="X47">
        <v>26.81</v>
      </c>
      <c r="Y47">
        <v>50.89</v>
      </c>
      <c r="Z47">
        <v>40.96</v>
      </c>
      <c r="AA47">
        <v>83.68</v>
      </c>
      <c r="AB47">
        <v>56.36</v>
      </c>
      <c r="AC47">
        <v>43.44</v>
      </c>
      <c r="AD47">
        <v>623.23</v>
      </c>
      <c r="AE47">
        <v>681.44</v>
      </c>
      <c r="AF47">
        <v>44.19</v>
      </c>
      <c r="AG47">
        <v>58.56</v>
      </c>
      <c r="AH47">
        <v>47.74</v>
      </c>
      <c r="AI47">
        <v>53.15</v>
      </c>
    </row>
    <row r="48" spans="1:35" x14ac:dyDescent="0.45">
      <c r="A48" s="2">
        <v>45968</v>
      </c>
      <c r="B48">
        <v>34.6</v>
      </c>
      <c r="C48">
        <v>35.799999999999997</v>
      </c>
      <c r="D48">
        <v>18.53</v>
      </c>
      <c r="E48">
        <v>23.79</v>
      </c>
      <c r="F48">
        <v>33.840000000000003</v>
      </c>
      <c r="G48">
        <v>61.77</v>
      </c>
      <c r="H48">
        <v>26.23</v>
      </c>
      <c r="I48">
        <v>64.61</v>
      </c>
      <c r="J48">
        <v>67.819999999999993</v>
      </c>
      <c r="K48">
        <v>91.8</v>
      </c>
      <c r="L48">
        <v>32.299999999999997</v>
      </c>
      <c r="M48">
        <v>64.239999999999995</v>
      </c>
      <c r="N48">
        <v>62.35</v>
      </c>
      <c r="O48">
        <v>53.75</v>
      </c>
      <c r="P48">
        <v>63.61</v>
      </c>
      <c r="Q48">
        <v>19.420000000000002</v>
      </c>
      <c r="R48">
        <v>1295.29</v>
      </c>
      <c r="S48">
        <v>33.86</v>
      </c>
      <c r="T48">
        <v>19.43</v>
      </c>
      <c r="U48">
        <v>16.88</v>
      </c>
      <c r="V48">
        <v>39.28</v>
      </c>
      <c r="W48">
        <v>45.580800000000004</v>
      </c>
      <c r="X48">
        <v>26.44</v>
      </c>
      <c r="Y48">
        <v>50.1</v>
      </c>
      <c r="Z48">
        <v>40.479999999999997</v>
      </c>
      <c r="AA48">
        <v>83.29</v>
      </c>
      <c r="AB48">
        <v>55.74</v>
      </c>
      <c r="AC48">
        <v>42.87</v>
      </c>
      <c r="AD48">
        <v>609.74</v>
      </c>
      <c r="AE48">
        <v>670.97</v>
      </c>
      <c r="AF48">
        <v>43.78</v>
      </c>
      <c r="AG48">
        <v>57.74</v>
      </c>
      <c r="AH48">
        <v>47.24</v>
      </c>
      <c r="AI48">
        <v>52.19</v>
      </c>
    </row>
    <row r="49" spans="1:35" x14ac:dyDescent="0.45">
      <c r="A49" s="2">
        <v>45967</v>
      </c>
      <c r="B49">
        <v>34.590000000000003</v>
      </c>
      <c r="C49">
        <v>35.25</v>
      </c>
      <c r="D49">
        <v>18.440000000000001</v>
      </c>
      <c r="E49">
        <v>24.11</v>
      </c>
      <c r="F49">
        <v>33.950000000000003</v>
      </c>
      <c r="G49">
        <v>61.75</v>
      </c>
      <c r="H49">
        <v>26.01</v>
      </c>
      <c r="I49">
        <v>64.94</v>
      </c>
      <c r="J49">
        <v>66.97</v>
      </c>
      <c r="K49">
        <v>93.51</v>
      </c>
      <c r="L49">
        <v>32.04</v>
      </c>
      <c r="M49">
        <v>63.7</v>
      </c>
      <c r="N49">
        <v>62.47</v>
      </c>
      <c r="O49">
        <v>53.62</v>
      </c>
      <c r="P49">
        <v>63.97</v>
      </c>
      <c r="Q49">
        <v>19.46</v>
      </c>
      <c r="R49">
        <v>1298.5999999999999</v>
      </c>
      <c r="S49">
        <v>34.25</v>
      </c>
      <c r="T49">
        <v>19.309999999999999</v>
      </c>
      <c r="U49">
        <v>17.32</v>
      </c>
      <c r="V49">
        <v>39.299999999999997</v>
      </c>
      <c r="W49">
        <v>45.333100000000002</v>
      </c>
      <c r="X49">
        <v>26.46</v>
      </c>
      <c r="Y49">
        <v>49.75</v>
      </c>
      <c r="Z49">
        <v>40.39</v>
      </c>
      <c r="AA49">
        <v>82.96</v>
      </c>
      <c r="AB49">
        <v>55.22</v>
      </c>
      <c r="AC49">
        <v>42.62</v>
      </c>
      <c r="AD49">
        <v>611.66999999999996</v>
      </c>
      <c r="AE49">
        <v>670.31</v>
      </c>
      <c r="AF49">
        <v>43.42</v>
      </c>
      <c r="AG49">
        <v>57.96</v>
      </c>
      <c r="AH49">
        <v>46.98</v>
      </c>
      <c r="AI49">
        <v>51.75</v>
      </c>
    </row>
    <row r="50" spans="1:35" x14ac:dyDescent="0.45">
      <c r="A50" s="2">
        <v>45966</v>
      </c>
      <c r="B50">
        <v>34.380000000000003</v>
      </c>
      <c r="C50">
        <v>35.299999999999997</v>
      </c>
      <c r="D50">
        <v>18.54</v>
      </c>
      <c r="E50">
        <v>24.19</v>
      </c>
      <c r="F50">
        <v>33.51</v>
      </c>
      <c r="G50">
        <v>61.39</v>
      </c>
      <c r="H50">
        <v>26.2</v>
      </c>
      <c r="I50">
        <v>66.03</v>
      </c>
      <c r="J50">
        <v>67.180000000000007</v>
      </c>
      <c r="K50">
        <v>96.62</v>
      </c>
      <c r="L50">
        <v>32.1</v>
      </c>
      <c r="M50">
        <v>63.4</v>
      </c>
      <c r="N50">
        <v>62.68</v>
      </c>
      <c r="O50">
        <v>54.3</v>
      </c>
      <c r="P50">
        <v>63.36</v>
      </c>
      <c r="Q50">
        <v>19.414999999999999</v>
      </c>
      <c r="R50">
        <v>1308.8599999999999</v>
      </c>
      <c r="S50">
        <v>34.130000000000003</v>
      </c>
      <c r="T50">
        <v>19.350000000000001</v>
      </c>
      <c r="U50">
        <v>17.57</v>
      </c>
      <c r="V50">
        <v>39.35</v>
      </c>
      <c r="W50">
        <v>45.91</v>
      </c>
      <c r="X50">
        <v>26.67</v>
      </c>
      <c r="Y50">
        <v>50.26</v>
      </c>
      <c r="Z50">
        <v>40.729999999999997</v>
      </c>
      <c r="AA50">
        <v>82.8</v>
      </c>
      <c r="AB50">
        <v>55.4</v>
      </c>
      <c r="AC50">
        <v>42.61</v>
      </c>
      <c r="AD50">
        <v>623.28</v>
      </c>
      <c r="AE50">
        <v>677.58</v>
      </c>
      <c r="AF50">
        <v>43.88</v>
      </c>
      <c r="AG50">
        <v>58.26</v>
      </c>
      <c r="AH50">
        <v>47.29</v>
      </c>
      <c r="AI50">
        <v>52</v>
      </c>
    </row>
    <row r="51" spans="1:35" x14ac:dyDescent="0.45">
      <c r="A51" s="2">
        <v>45965</v>
      </c>
      <c r="B51">
        <v>33.97</v>
      </c>
      <c r="C51">
        <v>34.5</v>
      </c>
      <c r="D51">
        <v>18.36</v>
      </c>
      <c r="E51">
        <v>24.38</v>
      </c>
      <c r="F51">
        <v>33.31</v>
      </c>
      <c r="G51">
        <v>60.31</v>
      </c>
      <c r="H51">
        <v>25.98</v>
      </c>
      <c r="I51">
        <v>65.430000000000007</v>
      </c>
      <c r="J51">
        <v>65.650000000000006</v>
      </c>
      <c r="K51">
        <v>95.76</v>
      </c>
      <c r="L51">
        <v>31.18</v>
      </c>
      <c r="M51">
        <v>61.44</v>
      </c>
      <c r="N51">
        <v>62.17</v>
      </c>
      <c r="O51">
        <v>54.02</v>
      </c>
      <c r="P51">
        <v>62.73</v>
      </c>
      <c r="Q51">
        <v>19.434999999999999</v>
      </c>
      <c r="R51">
        <v>1309.5</v>
      </c>
      <c r="S51">
        <v>33.909999999999997</v>
      </c>
      <c r="T51">
        <v>19.36</v>
      </c>
      <c r="U51">
        <v>17.53</v>
      </c>
      <c r="V51">
        <v>39.68</v>
      </c>
      <c r="W51">
        <v>45.38</v>
      </c>
      <c r="X51">
        <v>26.41</v>
      </c>
      <c r="Y51">
        <v>49.72</v>
      </c>
      <c r="Z51">
        <v>40.340000000000003</v>
      </c>
      <c r="AA51">
        <v>82.83</v>
      </c>
      <c r="AB51">
        <v>55.06</v>
      </c>
      <c r="AC51">
        <v>42.18</v>
      </c>
      <c r="AD51">
        <v>619.25</v>
      </c>
      <c r="AE51">
        <v>675.24</v>
      </c>
      <c r="AF51">
        <v>43.63</v>
      </c>
      <c r="AG51">
        <v>57.82</v>
      </c>
      <c r="AH51">
        <v>46.87</v>
      </c>
      <c r="AI51">
        <v>51.38</v>
      </c>
    </row>
    <row r="52" spans="1:35" x14ac:dyDescent="0.45">
      <c r="A52" s="2">
        <v>45964</v>
      </c>
      <c r="B52">
        <v>34.377099999999999</v>
      </c>
      <c r="C52">
        <v>35.93</v>
      </c>
      <c r="D52">
        <v>18.45</v>
      </c>
      <c r="E52">
        <v>24.15</v>
      </c>
      <c r="F52">
        <v>33.78</v>
      </c>
      <c r="G52">
        <v>62.16</v>
      </c>
      <c r="H52">
        <v>26.06</v>
      </c>
      <c r="I52">
        <v>66.900000000000006</v>
      </c>
      <c r="J52">
        <v>66.23</v>
      </c>
      <c r="K52">
        <v>100.78</v>
      </c>
      <c r="L52">
        <v>31.52</v>
      </c>
      <c r="M52">
        <v>63.76</v>
      </c>
      <c r="N52">
        <v>63.18</v>
      </c>
      <c r="O52">
        <v>54.24</v>
      </c>
      <c r="P52">
        <v>63.55</v>
      </c>
      <c r="Q52">
        <v>19.315000000000001</v>
      </c>
      <c r="R52">
        <v>1314.65</v>
      </c>
      <c r="S52">
        <v>34.450000000000003</v>
      </c>
      <c r="T52">
        <v>19.579999999999998</v>
      </c>
      <c r="U52">
        <v>17.09</v>
      </c>
      <c r="V52">
        <v>40</v>
      </c>
      <c r="W52">
        <v>45.705599999999997</v>
      </c>
      <c r="X52">
        <v>26.84</v>
      </c>
      <c r="Y52">
        <v>50.67</v>
      </c>
      <c r="Z52">
        <v>40.909999999999997</v>
      </c>
      <c r="AA52">
        <v>83.64</v>
      </c>
      <c r="AB52">
        <v>55.12</v>
      </c>
      <c r="AC52">
        <v>42.53</v>
      </c>
      <c r="AD52">
        <v>632.08000000000004</v>
      </c>
      <c r="AE52">
        <v>683.34</v>
      </c>
      <c r="AF52">
        <v>44.07</v>
      </c>
      <c r="AG52">
        <v>58.68</v>
      </c>
      <c r="AH52">
        <v>47.7</v>
      </c>
      <c r="AI52">
        <v>51.79</v>
      </c>
    </row>
    <row r="53" spans="1:35" x14ac:dyDescent="0.45">
      <c r="A53" s="2">
        <v>45961</v>
      </c>
      <c r="B53">
        <v>34.299999999999997</v>
      </c>
      <c r="C53">
        <v>35.32</v>
      </c>
      <c r="D53">
        <v>18.28</v>
      </c>
      <c r="E53">
        <v>24.55</v>
      </c>
      <c r="F53">
        <v>33.71</v>
      </c>
      <c r="G53">
        <v>62.78</v>
      </c>
      <c r="H53">
        <v>25.85</v>
      </c>
      <c r="I53">
        <v>66.650000000000006</v>
      </c>
      <c r="J53">
        <v>66.53</v>
      </c>
      <c r="K53">
        <v>97</v>
      </c>
      <c r="L53">
        <v>31.17</v>
      </c>
      <c r="M53">
        <v>63.77</v>
      </c>
      <c r="N53">
        <v>62.22</v>
      </c>
      <c r="O53">
        <v>53.97</v>
      </c>
      <c r="P53">
        <v>63.57</v>
      </c>
      <c r="Q53">
        <v>19.3</v>
      </c>
      <c r="R53">
        <v>1315.64</v>
      </c>
      <c r="S53">
        <v>34.15</v>
      </c>
      <c r="T53">
        <v>19.68</v>
      </c>
      <c r="U53">
        <v>17.43</v>
      </c>
      <c r="V53">
        <v>40.28</v>
      </c>
      <c r="W53">
        <v>45.89</v>
      </c>
      <c r="X53">
        <v>26.77</v>
      </c>
      <c r="Y53">
        <v>50.74</v>
      </c>
      <c r="Z53">
        <v>40.729999999999997</v>
      </c>
      <c r="AA53">
        <v>83.45</v>
      </c>
      <c r="AB53">
        <v>55.36</v>
      </c>
      <c r="AC53">
        <v>42.67</v>
      </c>
      <c r="AD53">
        <v>629.07000000000005</v>
      </c>
      <c r="AE53">
        <v>682.06</v>
      </c>
      <c r="AF53">
        <v>44.28</v>
      </c>
      <c r="AG53">
        <v>58.8</v>
      </c>
      <c r="AH53">
        <v>47.99</v>
      </c>
      <c r="AI53">
        <v>51.81</v>
      </c>
    </row>
    <row r="54" spans="1:35" x14ac:dyDescent="0.45">
      <c r="A54" s="2">
        <v>45960</v>
      </c>
      <c r="B54">
        <v>34.9</v>
      </c>
      <c r="C54">
        <v>35.340000000000003</v>
      </c>
      <c r="D54">
        <v>18.27</v>
      </c>
      <c r="E54">
        <v>24.4</v>
      </c>
      <c r="F54">
        <v>34.22</v>
      </c>
      <c r="G54">
        <v>63.11</v>
      </c>
      <c r="H54">
        <v>25.88</v>
      </c>
      <c r="I54">
        <v>66.540000000000006</v>
      </c>
      <c r="J54">
        <v>66.73</v>
      </c>
      <c r="K54">
        <v>95.26</v>
      </c>
      <c r="L54">
        <v>31.05</v>
      </c>
      <c r="M54">
        <v>64.37</v>
      </c>
      <c r="N54">
        <v>62.69</v>
      </c>
      <c r="O54">
        <v>54.27</v>
      </c>
      <c r="P54">
        <v>64.38</v>
      </c>
      <c r="Q54">
        <v>19.289100000000001</v>
      </c>
      <c r="R54">
        <v>1314.28</v>
      </c>
      <c r="S54">
        <v>33.64</v>
      </c>
      <c r="T54">
        <v>20.149999999999999</v>
      </c>
      <c r="U54">
        <v>17.71</v>
      </c>
      <c r="V54">
        <v>40.229999999999997</v>
      </c>
      <c r="W54">
        <v>45.755000000000003</v>
      </c>
      <c r="X54">
        <v>26.89</v>
      </c>
      <c r="Y54">
        <v>50.67</v>
      </c>
      <c r="Z54">
        <v>41</v>
      </c>
      <c r="AA54">
        <v>83.21</v>
      </c>
      <c r="AB54">
        <v>55.6</v>
      </c>
      <c r="AC54">
        <v>42.75</v>
      </c>
      <c r="AD54">
        <v>626.04999999999995</v>
      </c>
      <c r="AE54">
        <v>679.83</v>
      </c>
      <c r="AF54">
        <v>44.44</v>
      </c>
      <c r="AG54">
        <v>59.48</v>
      </c>
      <c r="AH54">
        <v>48.49</v>
      </c>
      <c r="AI54">
        <v>51.82</v>
      </c>
    </row>
    <row r="55" spans="1:35" x14ac:dyDescent="0.45">
      <c r="A55" s="2">
        <v>45959</v>
      </c>
      <c r="B55">
        <v>35.270000000000003</v>
      </c>
      <c r="C55">
        <v>34.97</v>
      </c>
      <c r="D55">
        <v>18.32</v>
      </c>
      <c r="E55">
        <v>24.74</v>
      </c>
      <c r="F55">
        <v>34.53</v>
      </c>
      <c r="G55">
        <v>63.12</v>
      </c>
      <c r="H55">
        <v>25.91</v>
      </c>
      <c r="I55">
        <v>67.13</v>
      </c>
      <c r="J55">
        <v>67.430000000000007</v>
      </c>
      <c r="K55">
        <v>96.9</v>
      </c>
      <c r="L55">
        <v>31.18</v>
      </c>
      <c r="M55">
        <v>64.75</v>
      </c>
      <c r="N55">
        <v>63.76</v>
      </c>
      <c r="O55">
        <v>54.61</v>
      </c>
      <c r="P55">
        <v>65.489999999999995</v>
      </c>
      <c r="Q55">
        <v>19.25</v>
      </c>
      <c r="R55">
        <v>1323.52</v>
      </c>
      <c r="S55">
        <v>33.909999999999997</v>
      </c>
      <c r="T55">
        <v>20</v>
      </c>
      <c r="U55">
        <v>18.149999999999999</v>
      </c>
      <c r="V55">
        <v>41.03</v>
      </c>
      <c r="W55">
        <v>45.674999999999997</v>
      </c>
      <c r="X55">
        <v>27</v>
      </c>
      <c r="Y55">
        <v>50.75</v>
      </c>
      <c r="Z55">
        <v>41.27</v>
      </c>
      <c r="AA55">
        <v>83.23</v>
      </c>
      <c r="AB55">
        <v>55.66</v>
      </c>
      <c r="AC55">
        <v>42.83</v>
      </c>
      <c r="AD55">
        <v>635.77</v>
      </c>
      <c r="AE55">
        <v>687.39</v>
      </c>
      <c r="AF55">
        <v>44.86</v>
      </c>
      <c r="AG55">
        <v>59.366</v>
      </c>
      <c r="AH55">
        <v>48.74</v>
      </c>
      <c r="AI55">
        <v>52.11</v>
      </c>
    </row>
    <row r="56" spans="1:35" x14ac:dyDescent="0.45">
      <c r="A56" s="2">
        <v>45958</v>
      </c>
      <c r="B56">
        <v>34.950000000000003</v>
      </c>
      <c r="C56">
        <v>34.630000000000003</v>
      </c>
      <c r="D56">
        <v>18.05</v>
      </c>
      <c r="E56">
        <v>24.44</v>
      </c>
      <c r="F56">
        <v>34.85</v>
      </c>
      <c r="G56">
        <v>62.53</v>
      </c>
      <c r="H56">
        <v>26.01</v>
      </c>
      <c r="I56">
        <v>67.09</v>
      </c>
      <c r="J56">
        <v>67.099999999999994</v>
      </c>
      <c r="K56">
        <v>94.45</v>
      </c>
      <c r="L56">
        <v>30.92</v>
      </c>
      <c r="M56">
        <v>65.23</v>
      </c>
      <c r="N56">
        <v>62.89</v>
      </c>
      <c r="O56">
        <v>54.54</v>
      </c>
      <c r="P56">
        <v>65.12</v>
      </c>
      <c r="Q56">
        <v>19.195</v>
      </c>
      <c r="R56">
        <v>1313.91</v>
      </c>
      <c r="S56">
        <v>33.979999999999997</v>
      </c>
      <c r="T56">
        <v>20.010000000000002</v>
      </c>
      <c r="U56">
        <v>18.18</v>
      </c>
      <c r="V56">
        <v>40.89</v>
      </c>
      <c r="W56">
        <v>45.844999999999999</v>
      </c>
      <c r="X56">
        <v>27.52</v>
      </c>
      <c r="Y56">
        <v>51.41</v>
      </c>
      <c r="Z56">
        <v>41.72</v>
      </c>
      <c r="AA56">
        <v>83.93</v>
      </c>
      <c r="AB56">
        <v>56.17</v>
      </c>
      <c r="AC56">
        <v>42.92</v>
      </c>
      <c r="AD56">
        <v>632.91999999999996</v>
      </c>
      <c r="AE56">
        <v>687.06</v>
      </c>
      <c r="AF56">
        <v>45.14</v>
      </c>
      <c r="AG56">
        <v>59.01</v>
      </c>
      <c r="AH56">
        <v>49.07</v>
      </c>
      <c r="AI56">
        <v>52.18</v>
      </c>
    </row>
    <row r="57" spans="1:35" x14ac:dyDescent="0.45">
      <c r="A57" s="2">
        <v>45957</v>
      </c>
      <c r="B57">
        <v>34.950000000000003</v>
      </c>
      <c r="C57">
        <v>34.590000000000003</v>
      </c>
      <c r="D57">
        <v>18.09</v>
      </c>
      <c r="E57">
        <v>24.4</v>
      </c>
      <c r="F57">
        <v>34.200000000000003</v>
      </c>
      <c r="G57">
        <v>61.55</v>
      </c>
      <c r="H57">
        <v>25.96</v>
      </c>
      <c r="I57">
        <v>66.98</v>
      </c>
      <c r="J57">
        <v>66.33</v>
      </c>
      <c r="K57">
        <v>94.31</v>
      </c>
      <c r="L57">
        <v>30.77</v>
      </c>
      <c r="M57">
        <v>64.2</v>
      </c>
      <c r="N57">
        <v>63.03</v>
      </c>
      <c r="O57">
        <v>54.72</v>
      </c>
      <c r="P57">
        <v>65.59</v>
      </c>
      <c r="Q57">
        <v>19.195</v>
      </c>
      <c r="R57">
        <v>1302.3499999999999</v>
      </c>
      <c r="S57">
        <v>33.89</v>
      </c>
      <c r="T57">
        <v>19.97</v>
      </c>
      <c r="U57">
        <v>17.739999999999998</v>
      </c>
      <c r="V57">
        <v>40.61</v>
      </c>
      <c r="W57">
        <v>45.99</v>
      </c>
      <c r="X57">
        <v>27.37</v>
      </c>
      <c r="Y57">
        <v>50.79</v>
      </c>
      <c r="Z57">
        <v>41.78</v>
      </c>
      <c r="AA57">
        <v>83.53</v>
      </c>
      <c r="AB57">
        <v>56.94</v>
      </c>
      <c r="AC57">
        <v>42.98</v>
      </c>
      <c r="AD57">
        <v>628.09</v>
      </c>
      <c r="AE57">
        <v>685.24</v>
      </c>
      <c r="AF57">
        <v>45.33</v>
      </c>
      <c r="AG57">
        <v>59.564999999999998</v>
      </c>
      <c r="AH57">
        <v>49.23</v>
      </c>
      <c r="AI57">
        <v>51.93</v>
      </c>
    </row>
    <row r="58" spans="1:35" x14ac:dyDescent="0.45">
      <c r="A58" s="2">
        <v>45954</v>
      </c>
      <c r="B58">
        <v>34.479999999999997</v>
      </c>
      <c r="C58">
        <v>34.369999999999997</v>
      </c>
      <c r="D58">
        <v>18.3</v>
      </c>
      <c r="E58">
        <v>24.7</v>
      </c>
      <c r="F58">
        <v>33.909999999999997</v>
      </c>
      <c r="G58">
        <v>61.62</v>
      </c>
      <c r="H58">
        <v>25.69</v>
      </c>
      <c r="I58">
        <v>66.48</v>
      </c>
      <c r="J58">
        <v>65.37</v>
      </c>
      <c r="K58">
        <v>92.05</v>
      </c>
      <c r="L58">
        <v>30.48</v>
      </c>
      <c r="M58">
        <v>65.180000000000007</v>
      </c>
      <c r="N58">
        <v>63.27</v>
      </c>
      <c r="O58">
        <v>54.51</v>
      </c>
      <c r="P58">
        <v>64.510000000000005</v>
      </c>
      <c r="Q58">
        <v>19.29</v>
      </c>
      <c r="R58">
        <v>1290.72</v>
      </c>
      <c r="S58">
        <v>34.04</v>
      </c>
      <c r="T58">
        <v>19.98</v>
      </c>
      <c r="U58">
        <v>18.21</v>
      </c>
      <c r="V58">
        <v>40.729999999999997</v>
      </c>
      <c r="W58">
        <v>45.615000000000002</v>
      </c>
      <c r="X58">
        <v>27.18</v>
      </c>
      <c r="Y58">
        <v>50.84</v>
      </c>
      <c r="Z58">
        <v>41.59</v>
      </c>
      <c r="AA58">
        <v>82.5</v>
      </c>
      <c r="AB58">
        <v>57.12</v>
      </c>
      <c r="AC58">
        <v>42.78</v>
      </c>
      <c r="AD58">
        <v>617.1</v>
      </c>
      <c r="AE58">
        <v>677.25</v>
      </c>
      <c r="AF58">
        <v>45.11</v>
      </c>
      <c r="AG58">
        <v>58.91</v>
      </c>
      <c r="AH58">
        <v>48.86</v>
      </c>
      <c r="AI58">
        <v>51.27</v>
      </c>
    </row>
    <row r="59" spans="1:35" x14ac:dyDescent="0.45">
      <c r="A59" s="2">
        <v>45953</v>
      </c>
      <c r="B59">
        <v>34.06</v>
      </c>
      <c r="C59">
        <v>34.200000000000003</v>
      </c>
      <c r="D59">
        <v>18.3</v>
      </c>
      <c r="E59">
        <v>24.99</v>
      </c>
      <c r="F59">
        <v>34.17</v>
      </c>
      <c r="G59">
        <v>61.61</v>
      </c>
      <c r="H59">
        <v>25.65</v>
      </c>
      <c r="I59">
        <v>65.709999999999994</v>
      </c>
      <c r="J59">
        <v>66.02</v>
      </c>
      <c r="K59">
        <v>90.07</v>
      </c>
      <c r="L59">
        <v>30.47</v>
      </c>
      <c r="M59">
        <v>64.930000000000007</v>
      </c>
      <c r="N59">
        <v>64.06</v>
      </c>
      <c r="O59">
        <v>54.76</v>
      </c>
      <c r="P59">
        <v>64.11</v>
      </c>
      <c r="Q59">
        <v>19.260000000000002</v>
      </c>
      <c r="R59">
        <v>1284.47</v>
      </c>
      <c r="S59">
        <v>33.11</v>
      </c>
      <c r="T59">
        <v>19.920000000000002</v>
      </c>
      <c r="U59">
        <v>18.29</v>
      </c>
      <c r="V59">
        <v>40.67</v>
      </c>
      <c r="W59">
        <v>45.52</v>
      </c>
      <c r="X59">
        <v>27.19</v>
      </c>
      <c r="Y59">
        <v>50.58</v>
      </c>
      <c r="Z59">
        <v>41.55</v>
      </c>
      <c r="AA59">
        <v>82.22</v>
      </c>
      <c r="AB59">
        <v>57.17</v>
      </c>
      <c r="AC59">
        <v>42.6</v>
      </c>
      <c r="AD59">
        <v>610.58000000000004</v>
      </c>
      <c r="AE59">
        <v>671.76</v>
      </c>
      <c r="AF59">
        <v>45.27</v>
      </c>
      <c r="AG59">
        <v>58.87</v>
      </c>
      <c r="AH59">
        <v>48.65</v>
      </c>
      <c r="AI59">
        <v>51.17</v>
      </c>
    </row>
    <row r="60" spans="1:35" x14ac:dyDescent="0.45">
      <c r="A60" s="2">
        <v>45952</v>
      </c>
      <c r="B60">
        <v>33.86</v>
      </c>
      <c r="C60">
        <v>33.47</v>
      </c>
      <c r="D60">
        <v>17.89</v>
      </c>
      <c r="E60">
        <v>24.82</v>
      </c>
      <c r="F60">
        <v>33.83</v>
      </c>
      <c r="G60">
        <v>60.71</v>
      </c>
      <c r="H60">
        <v>25.47</v>
      </c>
      <c r="I60">
        <v>65.03</v>
      </c>
      <c r="J60">
        <v>65.510000000000005</v>
      </c>
      <c r="K60">
        <v>89.45</v>
      </c>
      <c r="L60">
        <v>30.03</v>
      </c>
      <c r="M60">
        <v>63.58</v>
      </c>
      <c r="N60">
        <v>63.56</v>
      </c>
      <c r="O60">
        <v>55.29</v>
      </c>
      <c r="P60">
        <v>63.03</v>
      </c>
      <c r="Q60">
        <v>19.14</v>
      </c>
      <c r="R60">
        <v>1274.6099999999999</v>
      </c>
      <c r="S60">
        <v>32.96</v>
      </c>
      <c r="T60">
        <v>19.690000000000001</v>
      </c>
      <c r="U60">
        <v>18.170000000000002</v>
      </c>
      <c r="V60">
        <v>40.51</v>
      </c>
      <c r="W60">
        <v>45.230899999999998</v>
      </c>
      <c r="X60">
        <v>27.07</v>
      </c>
      <c r="Y60">
        <v>50.2</v>
      </c>
      <c r="Z60">
        <v>41.44</v>
      </c>
      <c r="AA60">
        <v>82.18</v>
      </c>
      <c r="AB60">
        <v>57.14</v>
      </c>
      <c r="AC60">
        <v>42.41</v>
      </c>
      <c r="AD60">
        <v>605.49</v>
      </c>
      <c r="AE60">
        <v>667.8</v>
      </c>
      <c r="AF60">
        <v>44.91</v>
      </c>
      <c r="AG60">
        <v>58.12</v>
      </c>
      <c r="AH60">
        <v>48.36</v>
      </c>
      <c r="AI60">
        <v>50.66</v>
      </c>
    </row>
    <row r="61" spans="1:35" x14ac:dyDescent="0.45">
      <c r="A61" s="2">
        <v>45951</v>
      </c>
      <c r="B61">
        <v>33.880000000000003</v>
      </c>
      <c r="C61">
        <v>33.5</v>
      </c>
      <c r="D61">
        <v>18.170000000000002</v>
      </c>
      <c r="E61">
        <v>25.11</v>
      </c>
      <c r="F61">
        <v>33.1</v>
      </c>
      <c r="G61">
        <v>61.35</v>
      </c>
      <c r="H61">
        <v>25.74</v>
      </c>
      <c r="I61">
        <v>65.78</v>
      </c>
      <c r="J61">
        <v>65.069999999999993</v>
      </c>
      <c r="K61">
        <v>88.64</v>
      </c>
      <c r="L61">
        <v>29.94</v>
      </c>
      <c r="M61">
        <v>63.27</v>
      </c>
      <c r="N61">
        <v>63.28</v>
      </c>
      <c r="O61">
        <v>54.48</v>
      </c>
      <c r="P61">
        <v>63.44</v>
      </c>
      <c r="Q61">
        <v>19.09</v>
      </c>
      <c r="R61">
        <v>1291.46</v>
      </c>
      <c r="S61">
        <v>32.72</v>
      </c>
      <c r="T61">
        <v>19.579999999999998</v>
      </c>
      <c r="U61">
        <v>18.045000000000002</v>
      </c>
      <c r="V61">
        <v>40.47</v>
      </c>
      <c r="W61">
        <v>45.325000000000003</v>
      </c>
      <c r="X61">
        <v>27.11</v>
      </c>
      <c r="Y61">
        <v>49.99</v>
      </c>
      <c r="Z61">
        <v>41.69</v>
      </c>
      <c r="AA61">
        <v>82.57</v>
      </c>
      <c r="AB61">
        <v>57.11</v>
      </c>
      <c r="AC61">
        <v>41.96</v>
      </c>
      <c r="AD61">
        <v>611.38</v>
      </c>
      <c r="AE61">
        <v>671.29</v>
      </c>
      <c r="AF61">
        <v>44.98</v>
      </c>
      <c r="AG61">
        <v>58.35</v>
      </c>
      <c r="AH61">
        <v>48.54</v>
      </c>
      <c r="AI61">
        <v>51.1</v>
      </c>
    </row>
    <row r="62" spans="1:35" x14ac:dyDescent="0.45">
      <c r="A62" s="2">
        <v>45950</v>
      </c>
      <c r="B62">
        <v>33.64</v>
      </c>
      <c r="C62">
        <v>33.85</v>
      </c>
      <c r="D62">
        <v>17.82</v>
      </c>
      <c r="E62">
        <v>25.33</v>
      </c>
      <c r="F62">
        <v>33.49</v>
      </c>
      <c r="G62">
        <v>64</v>
      </c>
      <c r="H62">
        <v>25.82</v>
      </c>
      <c r="I62">
        <v>66.17</v>
      </c>
      <c r="J62">
        <v>65.94</v>
      </c>
      <c r="K62">
        <v>90.43</v>
      </c>
      <c r="L62">
        <v>30.22</v>
      </c>
      <c r="M62">
        <v>66.209999999999994</v>
      </c>
      <c r="N62">
        <v>62.99</v>
      </c>
      <c r="O62">
        <v>54.74</v>
      </c>
      <c r="P62">
        <v>64.12</v>
      </c>
      <c r="Q62">
        <v>19.135000000000002</v>
      </c>
      <c r="R62">
        <v>1286.69</v>
      </c>
      <c r="S62">
        <v>32.76</v>
      </c>
      <c r="T62">
        <v>19.57</v>
      </c>
      <c r="U62">
        <v>18.2</v>
      </c>
      <c r="V62">
        <v>40.89</v>
      </c>
      <c r="W62">
        <v>45.56</v>
      </c>
      <c r="X62">
        <v>27.26</v>
      </c>
      <c r="Y62">
        <v>50.72</v>
      </c>
      <c r="Z62">
        <v>41.88</v>
      </c>
      <c r="AA62">
        <v>83.54</v>
      </c>
      <c r="AB62">
        <v>57.68</v>
      </c>
      <c r="AC62">
        <v>42.16</v>
      </c>
      <c r="AD62">
        <v>611.54</v>
      </c>
      <c r="AE62">
        <v>671.3</v>
      </c>
      <c r="AF62">
        <v>45.2</v>
      </c>
      <c r="AG62">
        <v>58.85</v>
      </c>
      <c r="AH62">
        <v>48.09</v>
      </c>
      <c r="AI62">
        <v>51.24</v>
      </c>
    </row>
    <row r="63" spans="1:35" x14ac:dyDescent="0.45">
      <c r="A63" s="2">
        <v>45947</v>
      </c>
      <c r="B63">
        <v>33.61</v>
      </c>
      <c r="C63">
        <v>33.36</v>
      </c>
      <c r="D63">
        <v>17.3</v>
      </c>
      <c r="E63">
        <v>25.41</v>
      </c>
      <c r="F63">
        <v>32.92</v>
      </c>
      <c r="G63">
        <v>62.97</v>
      </c>
      <c r="H63">
        <v>25.7</v>
      </c>
      <c r="I63">
        <v>65.09</v>
      </c>
      <c r="J63">
        <v>66.13</v>
      </c>
      <c r="K63">
        <v>88.52</v>
      </c>
      <c r="L63">
        <v>29.71</v>
      </c>
      <c r="M63">
        <v>65.41</v>
      </c>
      <c r="N63">
        <v>62.75</v>
      </c>
      <c r="O63">
        <v>54.45</v>
      </c>
      <c r="P63">
        <v>63.31</v>
      </c>
      <c r="Q63">
        <v>19.085000000000001</v>
      </c>
      <c r="R63">
        <v>1266.3800000000001</v>
      </c>
      <c r="S63">
        <v>31.9</v>
      </c>
      <c r="T63">
        <v>19.63</v>
      </c>
      <c r="U63">
        <v>19.2</v>
      </c>
      <c r="V63">
        <v>40.78</v>
      </c>
      <c r="W63">
        <v>45.174999999999997</v>
      </c>
      <c r="X63">
        <v>26.92</v>
      </c>
      <c r="Y63">
        <v>50.28</v>
      </c>
      <c r="Z63">
        <v>41.38</v>
      </c>
      <c r="AA63">
        <v>82</v>
      </c>
      <c r="AB63">
        <v>57.78</v>
      </c>
      <c r="AC63">
        <v>42.07</v>
      </c>
      <c r="AD63">
        <v>603.92999999999995</v>
      </c>
      <c r="AE63">
        <v>664.39</v>
      </c>
      <c r="AF63">
        <v>45.23</v>
      </c>
      <c r="AG63">
        <v>58.65</v>
      </c>
      <c r="AH63">
        <v>47.79</v>
      </c>
      <c r="AI63">
        <v>50.77</v>
      </c>
    </row>
    <row r="64" spans="1:35" x14ac:dyDescent="0.45">
      <c r="A64" s="2">
        <v>45946</v>
      </c>
      <c r="B64">
        <v>34.020000000000003</v>
      </c>
      <c r="C64">
        <v>33.4</v>
      </c>
      <c r="D64">
        <v>17.36</v>
      </c>
      <c r="E64">
        <v>25.42</v>
      </c>
      <c r="F64">
        <v>32.83</v>
      </c>
      <c r="G64">
        <v>64.55</v>
      </c>
      <c r="H64">
        <v>25.58</v>
      </c>
      <c r="I64">
        <v>65.17</v>
      </c>
      <c r="J64">
        <v>67.05</v>
      </c>
      <c r="K64">
        <v>87.88</v>
      </c>
      <c r="L64">
        <v>29.24</v>
      </c>
      <c r="M64">
        <v>67.33</v>
      </c>
      <c r="N64">
        <v>63.87</v>
      </c>
      <c r="O64">
        <v>54.064999999999998</v>
      </c>
      <c r="P64">
        <v>63.4</v>
      </c>
      <c r="Q64">
        <v>19.1356</v>
      </c>
      <c r="R64">
        <v>1286.98</v>
      </c>
      <c r="S64">
        <v>32.340000000000003</v>
      </c>
      <c r="T64">
        <v>19.47</v>
      </c>
      <c r="U64">
        <v>19.64</v>
      </c>
      <c r="V64">
        <v>40.78</v>
      </c>
      <c r="W64">
        <v>45.42</v>
      </c>
      <c r="X64">
        <v>26.97</v>
      </c>
      <c r="Y64">
        <v>50.62</v>
      </c>
      <c r="Z64">
        <v>41.59</v>
      </c>
      <c r="AA64">
        <v>81.55</v>
      </c>
      <c r="AB64">
        <v>57.47</v>
      </c>
      <c r="AC64">
        <v>41.99</v>
      </c>
      <c r="AD64">
        <v>599.99</v>
      </c>
      <c r="AE64">
        <v>660.64</v>
      </c>
      <c r="AF64">
        <v>45.15</v>
      </c>
      <c r="AG64">
        <v>58.49</v>
      </c>
      <c r="AH64">
        <v>47.8</v>
      </c>
      <c r="AI64">
        <v>50.88</v>
      </c>
    </row>
    <row r="65" spans="1:35" x14ac:dyDescent="0.45">
      <c r="A65" s="2">
        <v>45945</v>
      </c>
      <c r="B65">
        <v>33.99</v>
      </c>
      <c r="C65">
        <v>33.409999999999997</v>
      </c>
      <c r="D65">
        <v>17.21</v>
      </c>
      <c r="E65">
        <v>25.44</v>
      </c>
      <c r="F65">
        <v>32.9</v>
      </c>
      <c r="G65">
        <v>64.099999999999994</v>
      </c>
      <c r="H65">
        <v>25.66</v>
      </c>
      <c r="I65">
        <v>64.989999999999995</v>
      </c>
      <c r="J65">
        <v>65.87</v>
      </c>
      <c r="K65">
        <v>85.17</v>
      </c>
      <c r="L65">
        <v>29.32</v>
      </c>
      <c r="M65">
        <v>66.03</v>
      </c>
      <c r="N65">
        <v>64.67</v>
      </c>
      <c r="O65">
        <v>53.76</v>
      </c>
      <c r="P65">
        <v>63.25</v>
      </c>
      <c r="Q65">
        <v>19.070699999999999</v>
      </c>
      <c r="R65">
        <v>1313.99</v>
      </c>
      <c r="S65">
        <v>32.56</v>
      </c>
      <c r="T65">
        <v>19.47</v>
      </c>
      <c r="U65">
        <v>19.420000000000002</v>
      </c>
      <c r="V65">
        <v>40.89</v>
      </c>
      <c r="W65">
        <v>45.14</v>
      </c>
      <c r="X65">
        <v>26.89</v>
      </c>
      <c r="Y65">
        <v>50.96</v>
      </c>
      <c r="Z65">
        <v>41.53</v>
      </c>
      <c r="AA65">
        <v>81.290000000000006</v>
      </c>
      <c r="AB65">
        <v>56.64</v>
      </c>
      <c r="AC65">
        <v>42.02</v>
      </c>
      <c r="AD65">
        <v>602.22</v>
      </c>
      <c r="AE65">
        <v>665.17</v>
      </c>
      <c r="AF65">
        <v>44.42</v>
      </c>
      <c r="AG65">
        <v>58.27</v>
      </c>
      <c r="AH65">
        <v>47.58</v>
      </c>
      <c r="AI65">
        <v>50.47</v>
      </c>
    </row>
    <row r="66" spans="1:35" x14ac:dyDescent="0.45">
      <c r="A66" s="2">
        <v>45944</v>
      </c>
      <c r="B66">
        <v>33.549999999999997</v>
      </c>
      <c r="C66">
        <v>32.799999999999997</v>
      </c>
      <c r="D66">
        <v>17.22</v>
      </c>
      <c r="E66">
        <v>25.45</v>
      </c>
      <c r="F66">
        <v>32.22</v>
      </c>
      <c r="G66">
        <v>63.3</v>
      </c>
      <c r="H66">
        <v>25.72</v>
      </c>
      <c r="I66">
        <v>63.7</v>
      </c>
      <c r="J66">
        <v>64.84</v>
      </c>
      <c r="K66">
        <v>82.69</v>
      </c>
      <c r="L66">
        <v>29.1</v>
      </c>
      <c r="M66">
        <v>65.31</v>
      </c>
      <c r="N66">
        <v>64.83</v>
      </c>
      <c r="O66">
        <v>52.78</v>
      </c>
      <c r="P66">
        <v>62.58</v>
      </c>
      <c r="Q66">
        <v>19.204999999999998</v>
      </c>
      <c r="R66">
        <v>1304.92</v>
      </c>
      <c r="S66">
        <v>32.35</v>
      </c>
      <c r="T66">
        <v>19.57</v>
      </c>
      <c r="U66">
        <v>19.690000000000001</v>
      </c>
      <c r="V66">
        <v>40.75</v>
      </c>
      <c r="W66">
        <v>45.066499999999998</v>
      </c>
      <c r="X66">
        <v>26.7</v>
      </c>
      <c r="Y66">
        <v>50.53</v>
      </c>
      <c r="Z66">
        <v>41.67</v>
      </c>
      <c r="AA66">
        <v>80.040000000000006</v>
      </c>
      <c r="AB66">
        <v>56.33</v>
      </c>
      <c r="AC66">
        <v>42.06</v>
      </c>
      <c r="AD66">
        <v>598</v>
      </c>
      <c r="AE66">
        <v>662.23</v>
      </c>
      <c r="AF66">
        <v>44.13</v>
      </c>
      <c r="AG66">
        <v>57.76</v>
      </c>
      <c r="AH66">
        <v>47.45</v>
      </c>
      <c r="AI66">
        <v>50.79</v>
      </c>
    </row>
    <row r="67" spans="1:35" x14ac:dyDescent="0.45">
      <c r="A67" s="2">
        <v>45943</v>
      </c>
      <c r="B67">
        <v>33.94</v>
      </c>
      <c r="C67">
        <v>32.119999999999997</v>
      </c>
      <c r="D67">
        <v>17.57</v>
      </c>
      <c r="E67">
        <v>25.3</v>
      </c>
      <c r="F67">
        <v>32.409999999999997</v>
      </c>
      <c r="G67">
        <v>63.41</v>
      </c>
      <c r="H67">
        <v>25.71</v>
      </c>
      <c r="I67">
        <v>64.56</v>
      </c>
      <c r="J67">
        <v>65.47</v>
      </c>
      <c r="K67">
        <v>83.62</v>
      </c>
      <c r="L67">
        <v>29.18</v>
      </c>
      <c r="M67">
        <v>66.010000000000005</v>
      </c>
      <c r="N67">
        <v>65.61</v>
      </c>
      <c r="O67">
        <v>52.97</v>
      </c>
      <c r="P67">
        <v>63.3</v>
      </c>
      <c r="Q67">
        <v>19.254999999999999</v>
      </c>
      <c r="R67">
        <v>1305.24</v>
      </c>
      <c r="S67">
        <v>33.04</v>
      </c>
      <c r="T67">
        <v>19.16</v>
      </c>
      <c r="U67">
        <v>19.59</v>
      </c>
      <c r="V67">
        <v>40.69</v>
      </c>
      <c r="W67">
        <v>45.45</v>
      </c>
      <c r="X67">
        <v>26.66</v>
      </c>
      <c r="Y67">
        <v>50.59</v>
      </c>
      <c r="Z67">
        <v>41.78</v>
      </c>
      <c r="AA67">
        <v>79.290000000000006</v>
      </c>
      <c r="AB67">
        <v>56.08</v>
      </c>
      <c r="AC67">
        <v>41.99</v>
      </c>
      <c r="AD67">
        <v>602.01</v>
      </c>
      <c r="AE67">
        <v>663.04</v>
      </c>
      <c r="AF67">
        <v>43.35</v>
      </c>
      <c r="AG67">
        <v>57.75</v>
      </c>
      <c r="AH67">
        <v>47.32</v>
      </c>
      <c r="AI67">
        <v>50.5</v>
      </c>
    </row>
    <row r="68" spans="1:35" x14ac:dyDescent="0.45">
      <c r="A68" s="2">
        <v>45940</v>
      </c>
      <c r="B68">
        <v>32.92</v>
      </c>
      <c r="C68">
        <v>31.5</v>
      </c>
      <c r="D68">
        <v>17.309999999999999</v>
      </c>
      <c r="E68">
        <v>24.87</v>
      </c>
      <c r="F68">
        <v>31.78</v>
      </c>
      <c r="G68">
        <v>60.91</v>
      </c>
      <c r="H68">
        <v>25.33</v>
      </c>
      <c r="I68">
        <v>61.62</v>
      </c>
      <c r="J68">
        <v>64.39</v>
      </c>
      <c r="K68">
        <v>80.72</v>
      </c>
      <c r="L68">
        <v>28.79</v>
      </c>
      <c r="M68">
        <v>63.32</v>
      </c>
      <c r="N68">
        <v>65.45</v>
      </c>
      <c r="O68">
        <v>52.77</v>
      </c>
      <c r="P68">
        <v>61.39</v>
      </c>
      <c r="Q68">
        <v>19.23</v>
      </c>
      <c r="R68">
        <v>1285.6400000000001</v>
      </c>
      <c r="S68">
        <v>32.840000000000003</v>
      </c>
      <c r="T68">
        <v>19</v>
      </c>
      <c r="U68">
        <v>18.98</v>
      </c>
      <c r="V68">
        <v>39.81</v>
      </c>
      <c r="W68">
        <v>45.805</v>
      </c>
      <c r="X68">
        <v>26.44</v>
      </c>
      <c r="Y68">
        <v>49.86</v>
      </c>
      <c r="Z68">
        <v>41.52</v>
      </c>
      <c r="AA68">
        <v>78.36</v>
      </c>
      <c r="AB68">
        <v>56.1</v>
      </c>
      <c r="AC68">
        <v>41.73</v>
      </c>
      <c r="AD68">
        <v>589.5</v>
      </c>
      <c r="AE68">
        <v>653.02</v>
      </c>
      <c r="AF68">
        <v>43.29</v>
      </c>
      <c r="AG68">
        <v>56.64</v>
      </c>
      <c r="AH68">
        <v>46.92</v>
      </c>
      <c r="AI68">
        <v>50.31</v>
      </c>
    </row>
    <row r="69" spans="1:35" x14ac:dyDescent="0.45">
      <c r="A69" s="2">
        <v>45939</v>
      </c>
      <c r="B69">
        <v>34.44</v>
      </c>
      <c r="C69">
        <v>32.520000000000003</v>
      </c>
      <c r="D69">
        <v>17.649999999999999</v>
      </c>
      <c r="E69">
        <v>25.2</v>
      </c>
      <c r="F69">
        <v>32.28</v>
      </c>
      <c r="G69">
        <v>62.65</v>
      </c>
      <c r="H69">
        <v>25.98</v>
      </c>
      <c r="I69">
        <v>64.83</v>
      </c>
      <c r="J69">
        <v>65.42</v>
      </c>
      <c r="K69">
        <v>83.43</v>
      </c>
      <c r="L69">
        <v>29.67</v>
      </c>
      <c r="M69">
        <v>65.06</v>
      </c>
      <c r="N69">
        <v>65.7</v>
      </c>
      <c r="O69">
        <v>52.81</v>
      </c>
      <c r="P69">
        <v>65.12</v>
      </c>
      <c r="Q69">
        <v>19.329999999999998</v>
      </c>
      <c r="R69">
        <v>1293.6099999999999</v>
      </c>
      <c r="S69">
        <v>33.369999999999997</v>
      </c>
      <c r="T69">
        <v>19.25</v>
      </c>
      <c r="U69">
        <v>18.75</v>
      </c>
      <c r="V69">
        <v>40.68</v>
      </c>
      <c r="W69">
        <v>46.575000000000003</v>
      </c>
      <c r="X69">
        <v>26.92</v>
      </c>
      <c r="Y69">
        <v>50.53</v>
      </c>
      <c r="Z69">
        <v>42.09</v>
      </c>
      <c r="AA69">
        <v>81.55</v>
      </c>
      <c r="AB69">
        <v>56.36</v>
      </c>
      <c r="AC69">
        <v>42.07</v>
      </c>
      <c r="AD69">
        <v>610.70000000000005</v>
      </c>
      <c r="AE69">
        <v>671.16</v>
      </c>
      <c r="AF69">
        <v>43.89</v>
      </c>
      <c r="AG69">
        <v>57.89</v>
      </c>
      <c r="AH69">
        <v>47.2</v>
      </c>
      <c r="AI69">
        <v>51.13</v>
      </c>
    </row>
    <row r="70" spans="1:35" x14ac:dyDescent="0.45">
      <c r="A70" s="2">
        <v>45938</v>
      </c>
      <c r="B70">
        <v>34.21</v>
      </c>
      <c r="C70">
        <v>32.79</v>
      </c>
      <c r="D70">
        <v>17.45</v>
      </c>
      <c r="E70">
        <v>25.67</v>
      </c>
      <c r="F70">
        <v>32.619999999999997</v>
      </c>
      <c r="G70">
        <v>63.53</v>
      </c>
      <c r="H70">
        <v>26.02</v>
      </c>
      <c r="I70">
        <v>65.650000000000006</v>
      </c>
      <c r="J70">
        <v>65.73</v>
      </c>
      <c r="K70">
        <v>84.19</v>
      </c>
      <c r="L70">
        <v>29.87</v>
      </c>
      <c r="M70">
        <v>66.8</v>
      </c>
      <c r="N70">
        <v>65.62</v>
      </c>
      <c r="O70">
        <v>52.63</v>
      </c>
      <c r="P70">
        <v>66.13</v>
      </c>
      <c r="Q70">
        <v>19.309999999999999</v>
      </c>
      <c r="R70">
        <v>1288.29</v>
      </c>
      <c r="S70">
        <v>33.615000000000002</v>
      </c>
      <c r="T70">
        <v>19.29</v>
      </c>
      <c r="U70">
        <v>18.43</v>
      </c>
      <c r="V70">
        <v>40.549999999999997</v>
      </c>
      <c r="W70">
        <v>47.094999999999999</v>
      </c>
      <c r="X70">
        <v>27.23</v>
      </c>
      <c r="Y70">
        <v>51.14</v>
      </c>
      <c r="Z70">
        <v>42.34</v>
      </c>
      <c r="AA70">
        <v>81.75</v>
      </c>
      <c r="AB70">
        <v>56.83</v>
      </c>
      <c r="AC70">
        <v>42.68</v>
      </c>
      <c r="AD70">
        <v>611.44000000000005</v>
      </c>
      <c r="AE70">
        <v>673.11</v>
      </c>
      <c r="AF70">
        <v>44.3</v>
      </c>
      <c r="AG70">
        <v>58.41</v>
      </c>
      <c r="AH70">
        <v>47.88</v>
      </c>
      <c r="AI70">
        <v>52.29</v>
      </c>
    </row>
    <row r="71" spans="1:35" x14ac:dyDescent="0.45">
      <c r="A71" s="2">
        <v>45937</v>
      </c>
      <c r="B71">
        <v>34.26</v>
      </c>
      <c r="C71">
        <v>32.270000000000003</v>
      </c>
      <c r="D71">
        <v>17.43</v>
      </c>
      <c r="E71">
        <v>25.36</v>
      </c>
      <c r="F71">
        <v>32.58</v>
      </c>
      <c r="G71">
        <v>61.87</v>
      </c>
      <c r="H71">
        <v>25.99</v>
      </c>
      <c r="I71">
        <v>64.81</v>
      </c>
      <c r="J71">
        <v>65.040000000000006</v>
      </c>
      <c r="K71">
        <v>83.35</v>
      </c>
      <c r="L71">
        <v>29.68</v>
      </c>
      <c r="M71">
        <v>64.790000000000006</v>
      </c>
      <c r="N71">
        <v>65.33</v>
      </c>
      <c r="O71">
        <v>52.88</v>
      </c>
      <c r="P71">
        <v>65.81</v>
      </c>
      <c r="Q71">
        <v>19.260000000000002</v>
      </c>
      <c r="R71">
        <v>1275.03</v>
      </c>
      <c r="S71">
        <v>33.69</v>
      </c>
      <c r="T71">
        <v>19.13</v>
      </c>
      <c r="U71">
        <v>18.23</v>
      </c>
      <c r="V71">
        <v>40.590000000000003</v>
      </c>
      <c r="W71">
        <v>47.05</v>
      </c>
      <c r="X71">
        <v>27.14</v>
      </c>
      <c r="Y71">
        <v>50.94</v>
      </c>
      <c r="Z71">
        <v>42.07</v>
      </c>
      <c r="AA71">
        <v>81.96</v>
      </c>
      <c r="AB71">
        <v>56.55</v>
      </c>
      <c r="AC71">
        <v>42.45</v>
      </c>
      <c r="AD71">
        <v>604.51</v>
      </c>
      <c r="AE71">
        <v>669.12</v>
      </c>
      <c r="AF71">
        <v>43.79</v>
      </c>
      <c r="AG71">
        <v>58.56</v>
      </c>
      <c r="AH71">
        <v>47.82</v>
      </c>
      <c r="AI71">
        <v>51.94</v>
      </c>
    </row>
    <row r="72" spans="1:35" x14ac:dyDescent="0.45">
      <c r="A72" s="2">
        <v>45936</v>
      </c>
      <c r="B72">
        <v>34.369999999999997</v>
      </c>
      <c r="C72">
        <v>32.049999999999997</v>
      </c>
      <c r="D72">
        <v>17.420000000000002</v>
      </c>
      <c r="E72">
        <v>25.1</v>
      </c>
      <c r="F72">
        <v>32.51</v>
      </c>
      <c r="G72">
        <v>62.71</v>
      </c>
      <c r="H72">
        <v>26.09</v>
      </c>
      <c r="I72">
        <v>65.03</v>
      </c>
      <c r="J72">
        <v>65.44</v>
      </c>
      <c r="K72">
        <v>84.78</v>
      </c>
      <c r="L72">
        <v>30.31</v>
      </c>
      <c r="M72">
        <v>65.319999999999993</v>
      </c>
      <c r="N72">
        <v>65.38</v>
      </c>
      <c r="O72">
        <v>52.76</v>
      </c>
      <c r="P72">
        <v>66.64</v>
      </c>
      <c r="Q72">
        <v>19.215</v>
      </c>
      <c r="R72">
        <v>1274.17</v>
      </c>
      <c r="S72">
        <v>33.47</v>
      </c>
      <c r="T72">
        <v>19.04</v>
      </c>
      <c r="U72">
        <v>18.434999999999999</v>
      </c>
      <c r="V72">
        <v>40.770000000000003</v>
      </c>
      <c r="W72">
        <v>47.134999999999998</v>
      </c>
      <c r="X72">
        <v>27.36</v>
      </c>
      <c r="Y72">
        <v>51.3</v>
      </c>
      <c r="Z72">
        <v>42.42</v>
      </c>
      <c r="AA72">
        <v>83.27</v>
      </c>
      <c r="AB72">
        <v>56.72</v>
      </c>
      <c r="AC72">
        <v>42.58</v>
      </c>
      <c r="AD72">
        <v>607.71</v>
      </c>
      <c r="AE72">
        <v>671.61</v>
      </c>
      <c r="AF72">
        <v>44.19</v>
      </c>
      <c r="AG72">
        <v>59.68</v>
      </c>
      <c r="AH72">
        <v>48.26</v>
      </c>
      <c r="AI72">
        <v>52.26</v>
      </c>
    </row>
    <row r="73" spans="1:35" x14ac:dyDescent="0.45">
      <c r="A73" s="2">
        <v>45933</v>
      </c>
      <c r="B73">
        <v>34.39</v>
      </c>
      <c r="C73">
        <v>32.32</v>
      </c>
      <c r="D73">
        <v>17.43</v>
      </c>
      <c r="E73">
        <v>25.59</v>
      </c>
      <c r="F73">
        <v>32.92</v>
      </c>
      <c r="G73">
        <v>62.31</v>
      </c>
      <c r="H73">
        <v>26.2</v>
      </c>
      <c r="I73">
        <v>64.64</v>
      </c>
      <c r="J73">
        <v>66.81</v>
      </c>
      <c r="K73">
        <v>83.85</v>
      </c>
      <c r="L73">
        <v>30.33</v>
      </c>
      <c r="M73">
        <v>65.06</v>
      </c>
      <c r="N73">
        <v>66.17</v>
      </c>
      <c r="O73">
        <v>52.45</v>
      </c>
      <c r="P73">
        <v>66.55</v>
      </c>
      <c r="Q73">
        <v>19.295000000000002</v>
      </c>
      <c r="R73">
        <v>1288.07</v>
      </c>
      <c r="S73">
        <v>33.74</v>
      </c>
      <c r="T73">
        <v>19.11</v>
      </c>
      <c r="U73">
        <v>17.53</v>
      </c>
      <c r="V73">
        <v>40.49</v>
      </c>
      <c r="W73">
        <v>47.188299999999998</v>
      </c>
      <c r="X73">
        <v>27.43</v>
      </c>
      <c r="Y73">
        <v>51.24</v>
      </c>
      <c r="Z73">
        <v>42.43</v>
      </c>
      <c r="AA73">
        <v>81.78</v>
      </c>
      <c r="AB73">
        <v>56.66</v>
      </c>
      <c r="AC73">
        <v>42.64</v>
      </c>
      <c r="AD73">
        <v>603.17999999999995</v>
      </c>
      <c r="AE73">
        <v>669.21</v>
      </c>
      <c r="AF73">
        <v>44.91</v>
      </c>
      <c r="AG73">
        <v>59.62</v>
      </c>
      <c r="AH73">
        <v>48.2</v>
      </c>
      <c r="AI73">
        <v>52.61</v>
      </c>
    </row>
    <row r="74" spans="1:35" x14ac:dyDescent="0.45">
      <c r="A74" s="2">
        <v>45932</v>
      </c>
      <c r="B74">
        <v>34.5182</v>
      </c>
      <c r="C74">
        <v>32.4</v>
      </c>
      <c r="D74">
        <v>17.440000000000001</v>
      </c>
      <c r="E74">
        <v>25.22</v>
      </c>
      <c r="F74">
        <v>32.81</v>
      </c>
      <c r="G74">
        <v>61.33</v>
      </c>
      <c r="H74">
        <v>26.27</v>
      </c>
      <c r="I74">
        <v>64</v>
      </c>
      <c r="J74">
        <v>66.900000000000006</v>
      </c>
      <c r="K74">
        <v>83.53</v>
      </c>
      <c r="L74">
        <v>30.24</v>
      </c>
      <c r="M74">
        <v>64.209999999999994</v>
      </c>
      <c r="N74">
        <v>65.25</v>
      </c>
      <c r="O74">
        <v>52.3</v>
      </c>
      <c r="P74">
        <v>66.989999999999995</v>
      </c>
      <c r="Q74">
        <v>19.274999999999999</v>
      </c>
      <c r="R74">
        <v>1278.74</v>
      </c>
      <c r="S74">
        <v>34.450000000000003</v>
      </c>
      <c r="T74">
        <v>19.079999999999998</v>
      </c>
      <c r="U74">
        <v>17.515000000000001</v>
      </c>
      <c r="V74">
        <v>40.479999999999997</v>
      </c>
      <c r="W74">
        <v>46.68</v>
      </c>
      <c r="X74">
        <v>27.18</v>
      </c>
      <c r="Y74">
        <v>50.59</v>
      </c>
      <c r="Z74">
        <v>42.47</v>
      </c>
      <c r="AA74">
        <v>80.150000000000006</v>
      </c>
      <c r="AB74">
        <v>56.25</v>
      </c>
      <c r="AC74">
        <v>42.26</v>
      </c>
      <c r="AD74">
        <v>605.73</v>
      </c>
      <c r="AE74">
        <v>669.22</v>
      </c>
      <c r="AF74">
        <v>44.77</v>
      </c>
      <c r="AG74">
        <v>59.51</v>
      </c>
      <c r="AH74">
        <v>47.94</v>
      </c>
      <c r="AI74">
        <v>52.33</v>
      </c>
    </row>
    <row r="75" spans="1:35" x14ac:dyDescent="0.45">
      <c r="A75" s="2">
        <v>45931</v>
      </c>
      <c r="B75">
        <v>34.369500000000002</v>
      </c>
      <c r="C75">
        <v>32.71</v>
      </c>
      <c r="D75">
        <v>17.46</v>
      </c>
      <c r="E75">
        <v>25.2</v>
      </c>
      <c r="F75">
        <v>32.6</v>
      </c>
      <c r="G75">
        <v>61.05</v>
      </c>
      <c r="H75">
        <v>26.21</v>
      </c>
      <c r="I75">
        <v>64.14</v>
      </c>
      <c r="J75">
        <v>66.78</v>
      </c>
      <c r="K75">
        <v>81.89</v>
      </c>
      <c r="L75">
        <v>30.58</v>
      </c>
      <c r="M75">
        <v>64.75</v>
      </c>
      <c r="N75">
        <v>65.56</v>
      </c>
      <c r="O75">
        <v>52.39</v>
      </c>
      <c r="P75">
        <v>66.25</v>
      </c>
      <c r="Q75">
        <v>19.39</v>
      </c>
      <c r="R75">
        <v>1288.26</v>
      </c>
      <c r="S75">
        <v>34.96</v>
      </c>
      <c r="T75">
        <v>18.989999999999998</v>
      </c>
      <c r="U75">
        <v>18.04</v>
      </c>
      <c r="V75">
        <v>40.25</v>
      </c>
      <c r="W75">
        <v>46.711599999999997</v>
      </c>
      <c r="X75">
        <v>27.15</v>
      </c>
      <c r="Y75">
        <v>50.57</v>
      </c>
      <c r="Z75">
        <v>42.13</v>
      </c>
      <c r="AA75">
        <v>80.209999999999994</v>
      </c>
      <c r="AB75">
        <v>55.94</v>
      </c>
      <c r="AC75">
        <v>42.5</v>
      </c>
      <c r="AD75">
        <v>603.25</v>
      </c>
      <c r="AE75">
        <v>668.45</v>
      </c>
      <c r="AF75">
        <v>44.49</v>
      </c>
      <c r="AG75">
        <v>58.84</v>
      </c>
      <c r="AH75">
        <v>47.61</v>
      </c>
      <c r="AI75">
        <v>52.41</v>
      </c>
    </row>
    <row r="76" spans="1:35" x14ac:dyDescent="0.45">
      <c r="A76" s="2">
        <v>45930</v>
      </c>
      <c r="B76">
        <v>34.340000000000003</v>
      </c>
      <c r="C76">
        <v>32.96</v>
      </c>
      <c r="D76">
        <v>17.55</v>
      </c>
      <c r="E76">
        <v>24.84</v>
      </c>
      <c r="F76">
        <v>32.200000000000003</v>
      </c>
      <c r="G76">
        <v>61.5</v>
      </c>
      <c r="H76">
        <v>25.92</v>
      </c>
      <c r="I76">
        <v>63.62</v>
      </c>
      <c r="J76">
        <v>68.209999999999994</v>
      </c>
      <c r="K76">
        <v>80.099999999999994</v>
      </c>
      <c r="L76">
        <v>31</v>
      </c>
      <c r="M76">
        <v>64.099999999999994</v>
      </c>
      <c r="N76">
        <v>64.400000000000006</v>
      </c>
      <c r="O76">
        <v>52.06</v>
      </c>
      <c r="P76">
        <v>65.849999999999994</v>
      </c>
      <c r="Q76">
        <v>19.53</v>
      </c>
      <c r="R76">
        <v>1278.4100000000001</v>
      </c>
      <c r="S76">
        <v>34.229999999999997</v>
      </c>
      <c r="T76">
        <v>18.89</v>
      </c>
      <c r="U76">
        <v>17.84</v>
      </c>
      <c r="V76">
        <v>40.58</v>
      </c>
      <c r="W76">
        <v>45.933399999999999</v>
      </c>
      <c r="X76">
        <v>27</v>
      </c>
      <c r="Y76">
        <v>50.55</v>
      </c>
      <c r="Z76">
        <v>41.61</v>
      </c>
      <c r="AA76">
        <v>80.209999999999994</v>
      </c>
      <c r="AB76">
        <v>55.24</v>
      </c>
      <c r="AC76">
        <v>41.97</v>
      </c>
      <c r="AD76">
        <v>600.37</v>
      </c>
      <c r="AE76">
        <v>666.18</v>
      </c>
      <c r="AF76">
        <v>43.93</v>
      </c>
      <c r="AG76">
        <v>58.01</v>
      </c>
      <c r="AH76">
        <v>47.2</v>
      </c>
      <c r="AI76">
        <v>51.95</v>
      </c>
    </row>
    <row r="77" spans="1:35" x14ac:dyDescent="0.45">
      <c r="A77" s="2">
        <v>45929</v>
      </c>
      <c r="B77">
        <v>34.200000000000003</v>
      </c>
      <c r="C77">
        <v>32.85</v>
      </c>
      <c r="D77">
        <v>17.690000000000001</v>
      </c>
      <c r="E77">
        <v>25.04</v>
      </c>
      <c r="F77">
        <v>32.11</v>
      </c>
      <c r="G77">
        <v>60.803600000000003</v>
      </c>
      <c r="H77">
        <v>25.78</v>
      </c>
      <c r="I77">
        <v>63.08</v>
      </c>
      <c r="J77">
        <v>67.459999999999994</v>
      </c>
      <c r="K77">
        <v>80.239999999999995</v>
      </c>
      <c r="L77">
        <v>30.99</v>
      </c>
      <c r="M77">
        <v>63.42</v>
      </c>
      <c r="N77">
        <v>64.27</v>
      </c>
      <c r="O77">
        <v>52.16</v>
      </c>
      <c r="P77">
        <v>65.53</v>
      </c>
      <c r="Q77">
        <v>19.425000000000001</v>
      </c>
      <c r="R77">
        <v>1273.2</v>
      </c>
      <c r="S77">
        <v>34.57</v>
      </c>
      <c r="T77">
        <v>18.82</v>
      </c>
      <c r="U77">
        <v>17.690000000000001</v>
      </c>
      <c r="V77">
        <v>40.15</v>
      </c>
      <c r="W77">
        <v>45.484999999999999</v>
      </c>
      <c r="X77">
        <v>26.98</v>
      </c>
      <c r="Y77">
        <v>50.46</v>
      </c>
      <c r="Z77">
        <v>41.31</v>
      </c>
      <c r="AA77">
        <v>80.510000000000005</v>
      </c>
      <c r="AB77">
        <v>54.57</v>
      </c>
      <c r="AC77">
        <v>41.63</v>
      </c>
      <c r="AD77">
        <v>598.73</v>
      </c>
      <c r="AE77">
        <v>663.68</v>
      </c>
      <c r="AF77">
        <v>43.78</v>
      </c>
      <c r="AG77">
        <v>57.67</v>
      </c>
      <c r="AH77">
        <v>47.22</v>
      </c>
      <c r="AI77">
        <v>51.5</v>
      </c>
    </row>
    <row r="78" spans="1:35" x14ac:dyDescent="0.45">
      <c r="A78" s="2">
        <v>45926</v>
      </c>
      <c r="B78">
        <v>33.54</v>
      </c>
      <c r="C78">
        <v>33.17</v>
      </c>
      <c r="D78">
        <v>17.600000000000001</v>
      </c>
      <c r="E78">
        <v>25.12</v>
      </c>
      <c r="F78">
        <v>32.17</v>
      </c>
      <c r="G78">
        <v>59.3</v>
      </c>
      <c r="H78">
        <v>25.73</v>
      </c>
      <c r="I78">
        <v>62.74</v>
      </c>
      <c r="J78">
        <v>67.14</v>
      </c>
      <c r="K78">
        <v>78.87</v>
      </c>
      <c r="L78">
        <v>30.73</v>
      </c>
      <c r="M78">
        <v>63.3</v>
      </c>
      <c r="N78">
        <v>63.82</v>
      </c>
      <c r="O78">
        <v>52.25</v>
      </c>
      <c r="P78">
        <v>64.319999999999993</v>
      </c>
      <c r="Q78">
        <v>19.420000000000002</v>
      </c>
      <c r="R78">
        <v>1282.54</v>
      </c>
      <c r="S78">
        <v>34.770000000000003</v>
      </c>
      <c r="T78">
        <v>18.98</v>
      </c>
      <c r="U78">
        <v>17.55</v>
      </c>
      <c r="V78">
        <v>39.950000000000003</v>
      </c>
      <c r="W78">
        <v>45.365000000000002</v>
      </c>
      <c r="X78">
        <v>26.67</v>
      </c>
      <c r="Y78">
        <v>50.02</v>
      </c>
      <c r="Z78">
        <v>41.2</v>
      </c>
      <c r="AA78">
        <v>80.44</v>
      </c>
      <c r="AB78">
        <v>54.26</v>
      </c>
      <c r="AC78">
        <v>41.58</v>
      </c>
      <c r="AD78">
        <v>595.97</v>
      </c>
      <c r="AE78">
        <v>661.82</v>
      </c>
      <c r="AF78">
        <v>43.59</v>
      </c>
      <c r="AG78">
        <v>57.12</v>
      </c>
      <c r="AH78">
        <v>47.2</v>
      </c>
      <c r="AI78">
        <v>51.54</v>
      </c>
    </row>
    <row r="79" spans="1:35" x14ac:dyDescent="0.45">
      <c r="A79" s="2">
        <v>45925</v>
      </c>
      <c r="B79">
        <v>33.880000000000003</v>
      </c>
      <c r="C79">
        <v>33.21</v>
      </c>
      <c r="D79">
        <v>17.41</v>
      </c>
      <c r="E79">
        <v>25.09</v>
      </c>
      <c r="F79">
        <v>31.57</v>
      </c>
      <c r="G79">
        <v>59.78</v>
      </c>
      <c r="H79">
        <v>25.27</v>
      </c>
      <c r="I79">
        <v>63.06</v>
      </c>
      <c r="J79">
        <v>66.180000000000007</v>
      </c>
      <c r="K79">
        <v>79.89</v>
      </c>
      <c r="L79">
        <v>30.58</v>
      </c>
      <c r="M79">
        <v>61.67</v>
      </c>
      <c r="N79">
        <v>63.96</v>
      </c>
      <c r="O79">
        <v>52.49</v>
      </c>
      <c r="P79">
        <v>64.760000000000005</v>
      </c>
      <c r="Q79">
        <v>19.37</v>
      </c>
      <c r="R79">
        <v>1292.72</v>
      </c>
      <c r="S79">
        <v>35.19</v>
      </c>
      <c r="T79">
        <v>18.84</v>
      </c>
      <c r="U79">
        <v>17.670000000000002</v>
      </c>
      <c r="V79">
        <v>39.840000000000003</v>
      </c>
      <c r="W79">
        <v>45.196899999999999</v>
      </c>
      <c r="X79">
        <v>26.47</v>
      </c>
      <c r="Y79">
        <v>50.05</v>
      </c>
      <c r="Z79">
        <v>40.75</v>
      </c>
      <c r="AA79">
        <v>80.459999999999994</v>
      </c>
      <c r="AB79">
        <v>53.86</v>
      </c>
      <c r="AC79">
        <v>41.04</v>
      </c>
      <c r="AD79">
        <v>593.53</v>
      </c>
      <c r="AE79">
        <v>658.05</v>
      </c>
      <c r="AF79">
        <v>43.05</v>
      </c>
      <c r="AG79">
        <v>57.02</v>
      </c>
      <c r="AH79">
        <v>46.62</v>
      </c>
      <c r="AI79">
        <v>50.94</v>
      </c>
    </row>
    <row r="80" spans="1:35" x14ac:dyDescent="0.45">
      <c r="A80" s="2">
        <v>45924</v>
      </c>
      <c r="B80">
        <v>33.680599999999998</v>
      </c>
      <c r="C80">
        <v>33.630000000000003</v>
      </c>
      <c r="D80">
        <v>17.68</v>
      </c>
      <c r="E80">
        <v>25.69</v>
      </c>
      <c r="F80">
        <v>32.090000000000003</v>
      </c>
      <c r="G80">
        <v>59.89</v>
      </c>
      <c r="H80">
        <v>25.33</v>
      </c>
      <c r="I80">
        <v>63.57</v>
      </c>
      <c r="J80">
        <v>66.47</v>
      </c>
      <c r="K80">
        <v>80.040000000000006</v>
      </c>
      <c r="L80">
        <v>31.05</v>
      </c>
      <c r="M80">
        <v>61.97</v>
      </c>
      <c r="N80">
        <v>65</v>
      </c>
      <c r="O80">
        <v>52.74</v>
      </c>
      <c r="P80">
        <v>64.58</v>
      </c>
      <c r="Q80">
        <v>19.565000000000001</v>
      </c>
      <c r="R80">
        <v>1297.01</v>
      </c>
      <c r="S80">
        <v>35.299999999999997</v>
      </c>
      <c r="T80">
        <v>18.68</v>
      </c>
      <c r="U80">
        <v>17.579999999999998</v>
      </c>
      <c r="V80">
        <v>40.54</v>
      </c>
      <c r="W80">
        <v>45.596299999999999</v>
      </c>
      <c r="X80">
        <v>26.47</v>
      </c>
      <c r="Y80">
        <v>50.24</v>
      </c>
      <c r="Z80">
        <v>41.24</v>
      </c>
      <c r="AA80">
        <v>80.849999999999994</v>
      </c>
      <c r="AB80">
        <v>54.51</v>
      </c>
      <c r="AC80">
        <v>41.35</v>
      </c>
      <c r="AD80">
        <v>596.1</v>
      </c>
      <c r="AE80">
        <v>661.1</v>
      </c>
      <c r="AF80">
        <v>43.41</v>
      </c>
      <c r="AG80">
        <v>57.27</v>
      </c>
      <c r="AH80">
        <v>47.01</v>
      </c>
      <c r="AI80">
        <v>51.29</v>
      </c>
    </row>
    <row r="81" spans="1:35" x14ac:dyDescent="0.45">
      <c r="A81" s="2">
        <v>45923</v>
      </c>
      <c r="B81">
        <v>33.47</v>
      </c>
      <c r="C81">
        <v>33.68</v>
      </c>
      <c r="D81">
        <v>17.760000000000002</v>
      </c>
      <c r="E81">
        <v>26.16</v>
      </c>
      <c r="F81">
        <v>32.04</v>
      </c>
      <c r="G81">
        <v>58.88</v>
      </c>
      <c r="H81">
        <v>25.74</v>
      </c>
      <c r="I81">
        <v>64.290000000000006</v>
      </c>
      <c r="J81">
        <v>67.430000000000007</v>
      </c>
      <c r="K81">
        <v>81.45</v>
      </c>
      <c r="L81">
        <v>31.32</v>
      </c>
      <c r="M81">
        <v>62.87</v>
      </c>
      <c r="N81">
        <v>65.23</v>
      </c>
      <c r="O81">
        <v>53.06</v>
      </c>
      <c r="P81">
        <v>63.66</v>
      </c>
      <c r="Q81">
        <v>19.785</v>
      </c>
      <c r="R81">
        <v>1306.69</v>
      </c>
      <c r="S81">
        <v>35.06</v>
      </c>
      <c r="T81">
        <v>19.14</v>
      </c>
      <c r="U81">
        <v>17.29</v>
      </c>
      <c r="V81">
        <v>40.78</v>
      </c>
      <c r="W81">
        <v>45.865900000000003</v>
      </c>
      <c r="X81">
        <v>26.87</v>
      </c>
      <c r="Y81">
        <v>50.53</v>
      </c>
      <c r="Z81">
        <v>41.27</v>
      </c>
      <c r="AA81">
        <v>81.09</v>
      </c>
      <c r="AB81">
        <v>55.24</v>
      </c>
      <c r="AC81">
        <v>41.47</v>
      </c>
      <c r="AD81">
        <v>598.20000000000005</v>
      </c>
      <c r="AE81">
        <v>663.21</v>
      </c>
      <c r="AF81">
        <v>43.89</v>
      </c>
      <c r="AG81">
        <v>57.62</v>
      </c>
      <c r="AH81">
        <v>47.85</v>
      </c>
      <c r="AI81">
        <v>51.51</v>
      </c>
    </row>
    <row r="82" spans="1:35" x14ac:dyDescent="0.45">
      <c r="A82" s="2">
        <v>45922</v>
      </c>
      <c r="B82">
        <v>33.67</v>
      </c>
      <c r="C82">
        <v>33.5</v>
      </c>
      <c r="D82">
        <v>17.73</v>
      </c>
      <c r="E82">
        <v>26.6</v>
      </c>
      <c r="F82">
        <v>32</v>
      </c>
      <c r="G82">
        <v>58.59</v>
      </c>
      <c r="H82">
        <v>25.79</v>
      </c>
      <c r="I82">
        <v>64.02</v>
      </c>
      <c r="J82">
        <v>66.900000000000006</v>
      </c>
      <c r="K82">
        <v>81.56</v>
      </c>
      <c r="L82">
        <v>30.79</v>
      </c>
      <c r="M82">
        <v>62.46</v>
      </c>
      <c r="N82">
        <v>64.760000000000005</v>
      </c>
      <c r="O82">
        <v>53.5</v>
      </c>
      <c r="P82">
        <v>64.430000000000007</v>
      </c>
      <c r="Q82">
        <v>19.940000000000001</v>
      </c>
      <c r="R82">
        <v>1308.19</v>
      </c>
      <c r="S82">
        <v>35.58</v>
      </c>
      <c r="T82">
        <v>19.55</v>
      </c>
      <c r="U82">
        <v>17.53</v>
      </c>
      <c r="V82">
        <v>38.18</v>
      </c>
      <c r="W82">
        <v>46.287199999999999</v>
      </c>
      <c r="X82">
        <v>26.92</v>
      </c>
      <c r="Y82">
        <v>50.88</v>
      </c>
      <c r="Z82">
        <v>41.24</v>
      </c>
      <c r="AA82">
        <v>81.25</v>
      </c>
      <c r="AB82">
        <v>55.57</v>
      </c>
      <c r="AC82">
        <v>41.61</v>
      </c>
      <c r="AD82">
        <v>602.20000000000005</v>
      </c>
      <c r="AE82">
        <v>666.84</v>
      </c>
      <c r="AF82">
        <v>43.78</v>
      </c>
      <c r="AG82">
        <v>57.36</v>
      </c>
      <c r="AH82">
        <v>47.63</v>
      </c>
      <c r="AI82">
        <v>51.74</v>
      </c>
    </row>
    <row r="83" spans="1:35" x14ac:dyDescent="0.45">
      <c r="A83" s="2">
        <v>45919</v>
      </c>
      <c r="B83">
        <v>33.450000000000003</v>
      </c>
      <c r="C83">
        <v>33.590000000000003</v>
      </c>
      <c r="D83">
        <v>17.79</v>
      </c>
      <c r="E83">
        <v>26.8</v>
      </c>
      <c r="F83">
        <v>31.76</v>
      </c>
      <c r="G83">
        <v>57.811199999999999</v>
      </c>
      <c r="H83">
        <v>25.59</v>
      </c>
      <c r="I83">
        <v>63.38</v>
      </c>
      <c r="J83">
        <v>66.099999999999994</v>
      </c>
      <c r="K83">
        <v>80.05</v>
      </c>
      <c r="L83">
        <v>30.93</v>
      </c>
      <c r="M83">
        <v>62.54</v>
      </c>
      <c r="N83">
        <v>64.14</v>
      </c>
      <c r="O83">
        <v>53.94</v>
      </c>
      <c r="P83">
        <v>64.44</v>
      </c>
      <c r="Q83">
        <v>19.940000000000001</v>
      </c>
      <c r="R83">
        <v>1299.78</v>
      </c>
      <c r="S83">
        <v>35.380000000000003</v>
      </c>
      <c r="T83">
        <v>19.47</v>
      </c>
      <c r="U83">
        <v>17.68</v>
      </c>
      <c r="V83">
        <v>37.83</v>
      </c>
      <c r="W83">
        <v>46.41</v>
      </c>
      <c r="X83">
        <v>26.89</v>
      </c>
      <c r="Y83">
        <v>50.73</v>
      </c>
      <c r="Z83">
        <v>41.22</v>
      </c>
      <c r="AA83">
        <v>80.790000000000006</v>
      </c>
      <c r="AB83">
        <v>55.26</v>
      </c>
      <c r="AC83">
        <v>41.36</v>
      </c>
      <c r="AD83">
        <v>599.35</v>
      </c>
      <c r="AE83">
        <v>663.7</v>
      </c>
      <c r="AF83">
        <v>43.68</v>
      </c>
      <c r="AG83">
        <v>56.84</v>
      </c>
      <c r="AH83">
        <v>47.43</v>
      </c>
      <c r="AI83">
        <v>51.37</v>
      </c>
    </row>
    <row r="84" spans="1:35" x14ac:dyDescent="0.45">
      <c r="A84" s="2">
        <v>45918</v>
      </c>
      <c r="B84">
        <v>33.479999999999997</v>
      </c>
      <c r="C84">
        <v>33.6</v>
      </c>
      <c r="D84">
        <v>17.72</v>
      </c>
      <c r="E84">
        <v>26.46</v>
      </c>
      <c r="F84">
        <v>32.07</v>
      </c>
      <c r="G84">
        <v>57.14</v>
      </c>
      <c r="H84">
        <v>25.6</v>
      </c>
      <c r="I84">
        <v>63.77</v>
      </c>
      <c r="J84">
        <v>65.95</v>
      </c>
      <c r="K84">
        <v>80.75</v>
      </c>
      <c r="L84">
        <v>30.82</v>
      </c>
      <c r="M84">
        <v>61.48</v>
      </c>
      <c r="N84">
        <v>64.3</v>
      </c>
      <c r="O84">
        <v>53.74</v>
      </c>
      <c r="P84">
        <v>64.75</v>
      </c>
      <c r="Q84">
        <v>19.940000000000001</v>
      </c>
      <c r="R84">
        <v>1293.6199999999999</v>
      </c>
      <c r="S84">
        <v>34.35</v>
      </c>
      <c r="T84">
        <v>19.36</v>
      </c>
      <c r="U84">
        <v>17.8</v>
      </c>
      <c r="V84">
        <v>37.770000000000003</v>
      </c>
      <c r="W84">
        <v>46.255000000000003</v>
      </c>
      <c r="X84">
        <v>26.89</v>
      </c>
      <c r="Y84">
        <v>50.18</v>
      </c>
      <c r="Z84">
        <v>41.45</v>
      </c>
      <c r="AA84">
        <v>81.489999999999995</v>
      </c>
      <c r="AB84">
        <v>55.21</v>
      </c>
      <c r="AC84">
        <v>41.66</v>
      </c>
      <c r="AD84">
        <v>595.32000000000005</v>
      </c>
      <c r="AE84">
        <v>662.26</v>
      </c>
      <c r="AF84">
        <v>43.84</v>
      </c>
      <c r="AG84">
        <v>56.97</v>
      </c>
      <c r="AH84">
        <v>47.56</v>
      </c>
      <c r="AI84">
        <v>51.44</v>
      </c>
    </row>
    <row r="85" spans="1:35" x14ac:dyDescent="0.45">
      <c r="A85" s="2">
        <v>45917</v>
      </c>
      <c r="B85">
        <v>33.96</v>
      </c>
      <c r="C85">
        <v>33.4</v>
      </c>
      <c r="D85">
        <v>17.98</v>
      </c>
      <c r="E85">
        <v>26.55</v>
      </c>
      <c r="F85">
        <v>32.32</v>
      </c>
      <c r="G85">
        <v>57.874499999999998</v>
      </c>
      <c r="H85">
        <v>25.95</v>
      </c>
      <c r="I85">
        <v>63.21</v>
      </c>
      <c r="J85">
        <v>66.53</v>
      </c>
      <c r="K85">
        <v>79.83</v>
      </c>
      <c r="L85">
        <v>30.94</v>
      </c>
      <c r="M85">
        <v>60.86</v>
      </c>
      <c r="N85">
        <v>64.099999999999994</v>
      </c>
      <c r="O85">
        <v>54.02</v>
      </c>
      <c r="P85">
        <v>65.8</v>
      </c>
      <c r="Q85">
        <v>19.850000000000001</v>
      </c>
      <c r="R85">
        <v>1288.03</v>
      </c>
      <c r="S85">
        <v>34.75</v>
      </c>
      <c r="T85">
        <v>19.16</v>
      </c>
      <c r="U85">
        <v>17.88</v>
      </c>
      <c r="V85">
        <v>37.43</v>
      </c>
      <c r="W85">
        <v>47.045000000000002</v>
      </c>
      <c r="X85">
        <v>27.14</v>
      </c>
      <c r="Y85">
        <v>49.98</v>
      </c>
      <c r="Z85">
        <v>41.06</v>
      </c>
      <c r="AA85">
        <v>81.17</v>
      </c>
      <c r="AB85">
        <v>55.29</v>
      </c>
      <c r="AC85">
        <v>41.79</v>
      </c>
      <c r="AD85">
        <v>590</v>
      </c>
      <c r="AE85">
        <v>659.18</v>
      </c>
      <c r="AF85">
        <v>43.53</v>
      </c>
      <c r="AG85">
        <v>55.8782</v>
      </c>
      <c r="AH85">
        <v>47.17</v>
      </c>
      <c r="AI85">
        <v>51.33</v>
      </c>
    </row>
    <row r="86" spans="1:35" x14ac:dyDescent="0.45">
      <c r="A86" s="2">
        <v>45916</v>
      </c>
      <c r="B86">
        <v>33.770000000000003</v>
      </c>
      <c r="C86">
        <v>33.76</v>
      </c>
      <c r="D86">
        <v>17.850000000000001</v>
      </c>
      <c r="E86">
        <v>26.22</v>
      </c>
      <c r="F86">
        <v>32.51</v>
      </c>
      <c r="G86">
        <v>57.915399999999998</v>
      </c>
      <c r="H86">
        <v>25.54</v>
      </c>
      <c r="I86">
        <v>63.32</v>
      </c>
      <c r="J86">
        <v>66.8</v>
      </c>
      <c r="K86">
        <v>80.69</v>
      </c>
      <c r="L86">
        <v>30.69</v>
      </c>
      <c r="M86">
        <v>61</v>
      </c>
      <c r="N86">
        <v>64.77</v>
      </c>
      <c r="O86">
        <v>53.87</v>
      </c>
      <c r="P86">
        <v>64.86</v>
      </c>
      <c r="Q86">
        <v>19.77</v>
      </c>
      <c r="R86">
        <v>1278.05</v>
      </c>
      <c r="S86">
        <v>34.82</v>
      </c>
      <c r="T86">
        <v>19.32</v>
      </c>
      <c r="U86">
        <v>18.059999999999999</v>
      </c>
      <c r="V86">
        <v>36.9</v>
      </c>
      <c r="W86">
        <v>47.020400000000002</v>
      </c>
      <c r="X86">
        <v>27.38</v>
      </c>
      <c r="Y86">
        <v>50.08</v>
      </c>
      <c r="Z86">
        <v>41.15</v>
      </c>
      <c r="AA86">
        <v>81.349999999999994</v>
      </c>
      <c r="AB86">
        <v>55.48</v>
      </c>
      <c r="AC86">
        <v>41.89</v>
      </c>
      <c r="AD86">
        <v>591.17999999999995</v>
      </c>
      <c r="AE86">
        <v>660</v>
      </c>
      <c r="AF86">
        <v>43.82</v>
      </c>
      <c r="AG86">
        <v>55.71</v>
      </c>
      <c r="AH86">
        <v>47.46</v>
      </c>
      <c r="AI86">
        <v>52.15</v>
      </c>
    </row>
    <row r="87" spans="1:35" x14ac:dyDescent="0.45">
      <c r="A87" s="2">
        <v>45915</v>
      </c>
      <c r="B87">
        <v>33.81</v>
      </c>
      <c r="C87">
        <v>33.799999999999997</v>
      </c>
      <c r="D87">
        <v>17.96</v>
      </c>
      <c r="E87">
        <v>25.71</v>
      </c>
      <c r="F87">
        <v>32.81</v>
      </c>
      <c r="G87">
        <v>58.435400000000001</v>
      </c>
      <c r="H87">
        <v>25.55</v>
      </c>
      <c r="I87">
        <v>63.02</v>
      </c>
      <c r="J87">
        <v>66.77</v>
      </c>
      <c r="K87">
        <v>79.19</v>
      </c>
      <c r="L87">
        <v>30.51</v>
      </c>
      <c r="M87">
        <v>60.93</v>
      </c>
      <c r="N87">
        <v>65.23</v>
      </c>
      <c r="O87">
        <v>53.43</v>
      </c>
      <c r="P87">
        <v>64.430000000000007</v>
      </c>
      <c r="Q87">
        <v>19.55</v>
      </c>
      <c r="R87">
        <v>1276.08</v>
      </c>
      <c r="S87">
        <v>34.24</v>
      </c>
      <c r="T87">
        <v>19.2</v>
      </c>
      <c r="U87">
        <v>18.399999999999999</v>
      </c>
      <c r="V87">
        <v>36.71</v>
      </c>
      <c r="W87">
        <v>47.107199999999999</v>
      </c>
      <c r="X87">
        <v>27.57</v>
      </c>
      <c r="Y87">
        <v>50.13</v>
      </c>
      <c r="Z87">
        <v>41.42</v>
      </c>
      <c r="AA87">
        <v>81.349999999999994</v>
      </c>
      <c r="AB87">
        <v>55.56</v>
      </c>
      <c r="AC87">
        <v>42.09</v>
      </c>
      <c r="AD87">
        <v>591.67999999999995</v>
      </c>
      <c r="AE87">
        <v>660.91</v>
      </c>
      <c r="AF87">
        <v>43.89</v>
      </c>
      <c r="AG87">
        <v>55.75</v>
      </c>
      <c r="AH87">
        <v>47.61</v>
      </c>
      <c r="AI87">
        <v>52.39</v>
      </c>
    </row>
    <row r="88" spans="1:35" x14ac:dyDescent="0.45">
      <c r="A88" s="2">
        <v>45912</v>
      </c>
      <c r="B88">
        <v>33.6</v>
      </c>
      <c r="C88">
        <v>33.22</v>
      </c>
      <c r="D88">
        <v>17.829999999999998</v>
      </c>
      <c r="E88">
        <v>25.8</v>
      </c>
      <c r="F88">
        <v>32.28</v>
      </c>
      <c r="G88">
        <v>57.768000000000001</v>
      </c>
      <c r="H88">
        <v>25.47</v>
      </c>
      <c r="I88">
        <v>62.83</v>
      </c>
      <c r="J88">
        <v>66.12</v>
      </c>
      <c r="K88">
        <v>78.66</v>
      </c>
      <c r="L88">
        <v>30.03</v>
      </c>
      <c r="M88">
        <v>60.57</v>
      </c>
      <c r="N88">
        <v>65.17</v>
      </c>
      <c r="O88">
        <v>53.15</v>
      </c>
      <c r="P88">
        <v>63.95</v>
      </c>
      <c r="Q88">
        <v>19.54</v>
      </c>
      <c r="R88">
        <v>1266.1099999999999</v>
      </c>
      <c r="S88">
        <v>32.270000000000003</v>
      </c>
      <c r="T88">
        <v>19.170000000000002</v>
      </c>
      <c r="U88">
        <v>17.97</v>
      </c>
      <c r="V88">
        <v>36.72</v>
      </c>
      <c r="W88">
        <v>46.74</v>
      </c>
      <c r="X88">
        <v>27.24</v>
      </c>
      <c r="Y88">
        <v>49.6</v>
      </c>
      <c r="Z88">
        <v>41.31</v>
      </c>
      <c r="AA88">
        <v>80.760000000000005</v>
      </c>
      <c r="AB88">
        <v>55.65</v>
      </c>
      <c r="AC88">
        <v>41.94</v>
      </c>
      <c r="AD88">
        <v>586.66</v>
      </c>
      <c r="AE88">
        <v>657.41</v>
      </c>
      <c r="AF88">
        <v>43.49</v>
      </c>
      <c r="AG88">
        <v>54.66</v>
      </c>
      <c r="AH88">
        <v>47.24</v>
      </c>
      <c r="AI88">
        <v>51.72</v>
      </c>
    </row>
    <row r="89" spans="1:35" x14ac:dyDescent="0.45">
      <c r="A89" s="2">
        <v>45911</v>
      </c>
      <c r="B89">
        <v>33.94</v>
      </c>
      <c r="C89">
        <v>34.020000000000003</v>
      </c>
      <c r="D89">
        <v>17.64</v>
      </c>
      <c r="E89">
        <v>26</v>
      </c>
      <c r="F89">
        <v>32.6</v>
      </c>
      <c r="G89">
        <v>57.547199999999997</v>
      </c>
      <c r="H89">
        <v>25.33</v>
      </c>
      <c r="I89">
        <v>62.74</v>
      </c>
      <c r="J89">
        <v>65.709999999999994</v>
      </c>
      <c r="K89">
        <v>77.86</v>
      </c>
      <c r="L89">
        <v>30.05</v>
      </c>
      <c r="M89">
        <v>60.56</v>
      </c>
      <c r="N89">
        <v>64.22</v>
      </c>
      <c r="O89">
        <v>53.24</v>
      </c>
      <c r="P89">
        <v>64.209999999999994</v>
      </c>
      <c r="Q89">
        <v>19.579999999999998</v>
      </c>
      <c r="R89">
        <v>1264.8</v>
      </c>
      <c r="S89">
        <v>32.32</v>
      </c>
      <c r="T89">
        <v>19.010000000000002</v>
      </c>
      <c r="U89">
        <v>18.03</v>
      </c>
      <c r="V89">
        <v>36.799999999999997</v>
      </c>
      <c r="W89">
        <v>47.225000000000001</v>
      </c>
      <c r="X89">
        <v>27.41</v>
      </c>
      <c r="Y89">
        <v>49.92</v>
      </c>
      <c r="Z89">
        <v>41.39</v>
      </c>
      <c r="AA89">
        <v>81.319999999999993</v>
      </c>
      <c r="AB89">
        <v>56.12</v>
      </c>
      <c r="AC89">
        <v>42.19</v>
      </c>
      <c r="AD89">
        <v>584.08000000000004</v>
      </c>
      <c r="AE89">
        <v>657.63</v>
      </c>
      <c r="AF89">
        <v>43.53</v>
      </c>
      <c r="AG89">
        <v>54.46</v>
      </c>
      <c r="AH89">
        <v>47.33</v>
      </c>
      <c r="AI89">
        <v>51.6</v>
      </c>
    </row>
    <row r="90" spans="1:35" x14ac:dyDescent="0.45">
      <c r="A90" s="2">
        <v>45910</v>
      </c>
      <c r="B90">
        <v>32.840000000000003</v>
      </c>
      <c r="C90">
        <v>32.89</v>
      </c>
      <c r="D90">
        <v>17.329999999999998</v>
      </c>
      <c r="E90">
        <v>25.92</v>
      </c>
      <c r="F90">
        <v>31.83</v>
      </c>
      <c r="G90">
        <v>56.45</v>
      </c>
      <c r="H90">
        <v>25.17</v>
      </c>
      <c r="I90">
        <v>62.56</v>
      </c>
      <c r="J90">
        <v>64.28</v>
      </c>
      <c r="K90">
        <v>76.650000000000006</v>
      </c>
      <c r="L90">
        <v>29.79</v>
      </c>
      <c r="M90">
        <v>59.73</v>
      </c>
      <c r="N90">
        <v>63.64</v>
      </c>
      <c r="O90">
        <v>53.16</v>
      </c>
      <c r="P90">
        <v>62.54</v>
      </c>
      <c r="Q90">
        <v>19.53</v>
      </c>
      <c r="R90">
        <v>1252.55</v>
      </c>
      <c r="S90">
        <v>32.92</v>
      </c>
      <c r="T90">
        <v>18.850000000000001</v>
      </c>
      <c r="U90">
        <v>17.75</v>
      </c>
      <c r="V90">
        <v>36.799999999999997</v>
      </c>
      <c r="W90">
        <v>46.85</v>
      </c>
      <c r="X90">
        <v>27.11</v>
      </c>
      <c r="Y90">
        <v>49.42</v>
      </c>
      <c r="Z90">
        <v>41.07</v>
      </c>
      <c r="AA90">
        <v>80.36</v>
      </c>
      <c r="AB90">
        <v>55.62</v>
      </c>
      <c r="AC90">
        <v>41.74</v>
      </c>
      <c r="AD90">
        <v>580.70000000000005</v>
      </c>
      <c r="AE90">
        <v>652.21</v>
      </c>
      <c r="AF90">
        <v>42.9</v>
      </c>
      <c r="AG90">
        <v>53.79</v>
      </c>
      <c r="AH90">
        <v>47.1</v>
      </c>
      <c r="AI90">
        <v>50.93</v>
      </c>
    </row>
    <row r="91" spans="1:35" x14ac:dyDescent="0.45">
      <c r="A91" s="2">
        <v>45909</v>
      </c>
      <c r="B91">
        <v>32.94</v>
      </c>
      <c r="C91">
        <v>32.695</v>
      </c>
      <c r="D91">
        <v>17.059999999999999</v>
      </c>
      <c r="E91">
        <v>26.09</v>
      </c>
      <c r="F91">
        <v>32.380000000000003</v>
      </c>
      <c r="G91">
        <v>56</v>
      </c>
      <c r="H91">
        <v>25.17</v>
      </c>
      <c r="I91">
        <v>61.62</v>
      </c>
      <c r="J91">
        <v>64.260000000000005</v>
      </c>
      <c r="K91">
        <v>74.92</v>
      </c>
      <c r="L91">
        <v>29.54</v>
      </c>
      <c r="M91">
        <v>59.03</v>
      </c>
      <c r="N91">
        <v>63.6</v>
      </c>
      <c r="O91">
        <v>52.71</v>
      </c>
      <c r="P91">
        <v>62.97</v>
      </c>
      <c r="Q91">
        <v>19.37</v>
      </c>
      <c r="R91">
        <v>1259.31</v>
      </c>
      <c r="S91">
        <v>32.68</v>
      </c>
      <c r="T91">
        <v>18.91</v>
      </c>
      <c r="U91">
        <v>17.670000000000002</v>
      </c>
      <c r="V91">
        <v>36.76</v>
      </c>
      <c r="W91">
        <v>46.655000000000001</v>
      </c>
      <c r="X91">
        <v>26.89</v>
      </c>
      <c r="Y91">
        <v>49.27</v>
      </c>
      <c r="Z91">
        <v>41.48</v>
      </c>
      <c r="AA91">
        <v>80.06</v>
      </c>
      <c r="AB91">
        <v>56.02</v>
      </c>
      <c r="AC91">
        <v>41.75</v>
      </c>
      <c r="AD91">
        <v>580.51</v>
      </c>
      <c r="AE91">
        <v>650.33000000000004</v>
      </c>
      <c r="AF91">
        <v>43.06</v>
      </c>
      <c r="AG91">
        <v>54.12</v>
      </c>
      <c r="AH91">
        <v>47.3</v>
      </c>
      <c r="AI91">
        <v>50.86</v>
      </c>
    </row>
    <row r="92" spans="1:35" x14ac:dyDescent="0.45">
      <c r="A92" s="2">
        <v>45908</v>
      </c>
      <c r="B92">
        <v>33.14</v>
      </c>
      <c r="C92">
        <v>33.229999999999997</v>
      </c>
      <c r="D92">
        <v>17.5</v>
      </c>
      <c r="E92">
        <v>26.09</v>
      </c>
      <c r="F92">
        <v>32.880000000000003</v>
      </c>
      <c r="G92">
        <v>56.647500000000001</v>
      </c>
      <c r="H92">
        <v>25.12</v>
      </c>
      <c r="I92">
        <v>60.98</v>
      </c>
      <c r="J92">
        <v>64.150000000000006</v>
      </c>
      <c r="K92">
        <v>74.19</v>
      </c>
      <c r="L92">
        <v>29.58</v>
      </c>
      <c r="M92">
        <v>59.34</v>
      </c>
      <c r="N92">
        <v>63.86</v>
      </c>
      <c r="O92">
        <v>52.89</v>
      </c>
      <c r="P92">
        <v>62.3</v>
      </c>
      <c r="Q92">
        <v>19.63</v>
      </c>
      <c r="R92">
        <v>1248.78</v>
      </c>
      <c r="S92">
        <v>32.54</v>
      </c>
      <c r="T92">
        <v>18.940000000000001</v>
      </c>
      <c r="U92">
        <v>17.37</v>
      </c>
      <c r="V92">
        <v>36.69</v>
      </c>
      <c r="W92">
        <v>46.74</v>
      </c>
      <c r="X92">
        <v>27</v>
      </c>
      <c r="Y92">
        <v>49.3</v>
      </c>
      <c r="Z92">
        <v>41.69</v>
      </c>
      <c r="AA92">
        <v>80.959999999999994</v>
      </c>
      <c r="AB92">
        <v>56.33</v>
      </c>
      <c r="AC92">
        <v>41.71</v>
      </c>
      <c r="AD92">
        <v>578.87</v>
      </c>
      <c r="AE92">
        <v>648.83000000000004</v>
      </c>
      <c r="AF92">
        <v>42.99</v>
      </c>
      <c r="AG92">
        <v>54.17</v>
      </c>
      <c r="AH92">
        <v>47.42</v>
      </c>
      <c r="AI92">
        <v>50.64</v>
      </c>
    </row>
    <row r="93" spans="1:35" x14ac:dyDescent="0.45">
      <c r="A93" s="2">
        <v>45905</v>
      </c>
      <c r="B93">
        <v>33.020000000000003</v>
      </c>
      <c r="C93">
        <v>33.83</v>
      </c>
      <c r="D93">
        <v>17.93</v>
      </c>
      <c r="E93">
        <v>26.06</v>
      </c>
      <c r="F93">
        <v>32.14</v>
      </c>
      <c r="G93">
        <v>56.5</v>
      </c>
      <c r="H93">
        <v>25.03</v>
      </c>
      <c r="I93">
        <v>60.21</v>
      </c>
      <c r="J93">
        <v>63.83</v>
      </c>
      <c r="K93">
        <v>73.63</v>
      </c>
      <c r="L93">
        <v>29.63</v>
      </c>
      <c r="M93">
        <v>57.92</v>
      </c>
      <c r="N93">
        <v>63.4</v>
      </c>
      <c r="O93">
        <v>52.48</v>
      </c>
      <c r="P93">
        <v>61.35</v>
      </c>
      <c r="Q93">
        <v>19.690000000000001</v>
      </c>
      <c r="R93">
        <v>1244.48</v>
      </c>
      <c r="S93">
        <v>33.33</v>
      </c>
      <c r="T93">
        <v>19.16</v>
      </c>
      <c r="U93">
        <v>17.97</v>
      </c>
      <c r="V93">
        <v>37.200000000000003</v>
      </c>
      <c r="W93">
        <v>46.13</v>
      </c>
      <c r="X93">
        <v>26.93</v>
      </c>
      <c r="Y93">
        <v>49.17</v>
      </c>
      <c r="Z93">
        <v>41.34</v>
      </c>
      <c r="AA93">
        <v>79.180000000000007</v>
      </c>
      <c r="AB93">
        <v>56.25</v>
      </c>
      <c r="AC93">
        <v>41.55</v>
      </c>
      <c r="AD93">
        <v>576.05999999999995</v>
      </c>
      <c r="AE93">
        <v>647.24</v>
      </c>
      <c r="AF93">
        <v>42.56</v>
      </c>
      <c r="AG93">
        <v>53.47</v>
      </c>
      <c r="AH93">
        <v>47.01</v>
      </c>
      <c r="AI93">
        <v>50.46</v>
      </c>
    </row>
    <row r="94" spans="1:35" x14ac:dyDescent="0.45">
      <c r="A94" s="2">
        <v>45904</v>
      </c>
      <c r="B94">
        <v>32.229999999999997</v>
      </c>
      <c r="C94">
        <v>33.4</v>
      </c>
      <c r="D94">
        <v>17.77</v>
      </c>
      <c r="E94">
        <v>25.78</v>
      </c>
      <c r="F94">
        <v>32.130000000000003</v>
      </c>
      <c r="G94">
        <v>55.73</v>
      </c>
      <c r="H94">
        <v>24.97</v>
      </c>
      <c r="I94">
        <v>59.3</v>
      </c>
      <c r="J94">
        <v>63.07</v>
      </c>
      <c r="K94">
        <v>73.069999999999993</v>
      </c>
      <c r="L94">
        <v>29.17</v>
      </c>
      <c r="M94">
        <v>56.57</v>
      </c>
      <c r="N94">
        <v>63.26</v>
      </c>
      <c r="O94">
        <v>52.59</v>
      </c>
      <c r="P94">
        <v>60.3</v>
      </c>
      <c r="Q94">
        <v>19.7</v>
      </c>
      <c r="R94">
        <v>1236.6099999999999</v>
      </c>
      <c r="S94">
        <v>33.729999999999997</v>
      </c>
      <c r="T94">
        <v>19.2</v>
      </c>
      <c r="U94">
        <v>18.43</v>
      </c>
      <c r="V94">
        <v>37.35</v>
      </c>
      <c r="W94">
        <v>45.37</v>
      </c>
      <c r="X94">
        <v>26.9</v>
      </c>
      <c r="Y94">
        <v>49.12</v>
      </c>
      <c r="Z94">
        <v>41.34</v>
      </c>
      <c r="AA94">
        <v>78.73</v>
      </c>
      <c r="AB94">
        <v>55.71</v>
      </c>
      <c r="AC94">
        <v>41.39</v>
      </c>
      <c r="AD94">
        <v>575.23</v>
      </c>
      <c r="AE94">
        <v>649.12</v>
      </c>
      <c r="AF94">
        <v>42.56</v>
      </c>
      <c r="AG94">
        <v>52.87</v>
      </c>
      <c r="AH94">
        <v>46.26</v>
      </c>
      <c r="AI94">
        <v>50.65</v>
      </c>
    </row>
    <row r="95" spans="1:35" x14ac:dyDescent="0.45">
      <c r="A95" s="2">
        <v>45903</v>
      </c>
      <c r="B95">
        <v>32.94</v>
      </c>
      <c r="C95">
        <v>33.049999999999997</v>
      </c>
      <c r="D95">
        <v>17.809999999999999</v>
      </c>
      <c r="E95">
        <v>25.58</v>
      </c>
      <c r="F95">
        <v>31.52</v>
      </c>
      <c r="G95">
        <v>56.01</v>
      </c>
      <c r="H95">
        <v>24.87</v>
      </c>
      <c r="I95">
        <v>58.73</v>
      </c>
      <c r="J95">
        <v>62.8</v>
      </c>
      <c r="K95">
        <v>72.91</v>
      </c>
      <c r="L95">
        <v>28.99</v>
      </c>
      <c r="M95">
        <v>57.7</v>
      </c>
      <c r="N95">
        <v>63.4</v>
      </c>
      <c r="O95">
        <v>52.62</v>
      </c>
      <c r="P95">
        <v>61.33</v>
      </c>
      <c r="Q95">
        <v>19.86</v>
      </c>
      <c r="R95">
        <v>1250.0899999999999</v>
      </c>
      <c r="S95">
        <v>33.51</v>
      </c>
      <c r="T95">
        <v>19.03</v>
      </c>
      <c r="U95">
        <v>18.25</v>
      </c>
      <c r="V95">
        <v>37.11</v>
      </c>
      <c r="W95">
        <v>45.494999999999997</v>
      </c>
      <c r="X95">
        <v>26.6</v>
      </c>
      <c r="Y95">
        <v>48.87</v>
      </c>
      <c r="Z95">
        <v>41.05</v>
      </c>
      <c r="AA95">
        <v>77.930000000000007</v>
      </c>
      <c r="AB95">
        <v>55.08</v>
      </c>
      <c r="AC95">
        <v>41.18</v>
      </c>
      <c r="AD95">
        <v>570.07000000000005</v>
      </c>
      <c r="AE95">
        <v>643.74</v>
      </c>
      <c r="AF95">
        <v>42.54</v>
      </c>
      <c r="AG95">
        <v>52.22</v>
      </c>
      <c r="AH95">
        <v>46.18</v>
      </c>
      <c r="AI95">
        <v>50.38</v>
      </c>
    </row>
    <row r="96" spans="1:35" x14ac:dyDescent="0.45">
      <c r="A96" s="2">
        <v>45902</v>
      </c>
      <c r="B96">
        <v>33.200000000000003</v>
      </c>
      <c r="C96">
        <v>32.729999999999997</v>
      </c>
      <c r="D96">
        <v>17.739999999999998</v>
      </c>
      <c r="E96">
        <v>25.68</v>
      </c>
      <c r="F96">
        <v>31.29</v>
      </c>
      <c r="G96">
        <v>54.91</v>
      </c>
      <c r="H96">
        <v>24.73</v>
      </c>
      <c r="I96">
        <v>58.05</v>
      </c>
      <c r="J96">
        <v>62.91</v>
      </c>
      <c r="K96">
        <v>71.92</v>
      </c>
      <c r="L96">
        <v>29</v>
      </c>
      <c r="M96">
        <v>57.25</v>
      </c>
      <c r="N96">
        <v>62.28</v>
      </c>
      <c r="O96">
        <v>52.35</v>
      </c>
      <c r="P96">
        <v>61.64</v>
      </c>
      <c r="Q96">
        <v>19.73</v>
      </c>
      <c r="R96">
        <v>1248.03</v>
      </c>
      <c r="S96">
        <v>33.97</v>
      </c>
      <c r="T96">
        <v>19.14</v>
      </c>
      <c r="U96">
        <v>18.14</v>
      </c>
      <c r="V96">
        <v>37.21</v>
      </c>
      <c r="W96">
        <v>45.380099999999999</v>
      </c>
      <c r="X96">
        <v>26.77</v>
      </c>
      <c r="Y96">
        <v>48.59</v>
      </c>
      <c r="Z96">
        <v>41.04</v>
      </c>
      <c r="AA96">
        <v>78.150000000000006</v>
      </c>
      <c r="AB96">
        <v>54.67</v>
      </c>
      <c r="AC96">
        <v>40.9</v>
      </c>
      <c r="AD96">
        <v>565.62</v>
      </c>
      <c r="AE96">
        <v>640.27</v>
      </c>
      <c r="AF96">
        <v>42.29</v>
      </c>
      <c r="AG96">
        <v>51.94</v>
      </c>
      <c r="AH96">
        <v>45.89</v>
      </c>
      <c r="AI96">
        <v>50.4</v>
      </c>
    </row>
    <row r="97" spans="1:35" x14ac:dyDescent="0.45">
      <c r="A97" s="2">
        <v>45898</v>
      </c>
      <c r="B97">
        <v>33.47</v>
      </c>
      <c r="C97">
        <v>32.81</v>
      </c>
      <c r="D97">
        <v>17.670000000000002</v>
      </c>
      <c r="E97">
        <v>26.15</v>
      </c>
      <c r="F97">
        <v>31.7</v>
      </c>
      <c r="G97">
        <v>53.8</v>
      </c>
      <c r="H97">
        <v>24.87</v>
      </c>
      <c r="I97">
        <v>58.82</v>
      </c>
      <c r="J97">
        <v>61.94</v>
      </c>
      <c r="K97">
        <v>72.239999999999995</v>
      </c>
      <c r="L97">
        <v>29.5</v>
      </c>
      <c r="M97">
        <v>57.67</v>
      </c>
      <c r="N97">
        <v>63.09</v>
      </c>
      <c r="O97">
        <v>51.98</v>
      </c>
      <c r="P97">
        <v>61.31</v>
      </c>
      <c r="Q97">
        <v>20</v>
      </c>
      <c r="R97">
        <v>1251.26</v>
      </c>
      <c r="S97">
        <v>35.29</v>
      </c>
      <c r="T97">
        <v>19.38</v>
      </c>
      <c r="U97">
        <v>18.29</v>
      </c>
      <c r="V97">
        <v>37.36</v>
      </c>
      <c r="W97">
        <v>44.86</v>
      </c>
      <c r="X97">
        <v>27.08</v>
      </c>
      <c r="Y97">
        <v>48.79</v>
      </c>
      <c r="Z97">
        <v>41.88</v>
      </c>
      <c r="AA97">
        <v>78.28</v>
      </c>
      <c r="AB97">
        <v>55.33</v>
      </c>
      <c r="AC97">
        <v>41.46</v>
      </c>
      <c r="AD97">
        <v>570.4</v>
      </c>
      <c r="AE97">
        <v>645.04999999999995</v>
      </c>
      <c r="AF97">
        <v>42.59</v>
      </c>
      <c r="AG97">
        <v>53</v>
      </c>
      <c r="AH97">
        <v>46.39</v>
      </c>
      <c r="AI97">
        <v>51.05</v>
      </c>
    </row>
    <row r="98" spans="1:35" x14ac:dyDescent="0.45">
      <c r="A98" s="2">
        <v>45897</v>
      </c>
      <c r="B98">
        <v>33.159999999999997</v>
      </c>
      <c r="C98">
        <v>32.58</v>
      </c>
      <c r="D98">
        <v>18.190000000000001</v>
      </c>
      <c r="E98">
        <v>26.39</v>
      </c>
      <c r="F98">
        <v>32.07</v>
      </c>
      <c r="G98">
        <v>53.418799999999997</v>
      </c>
      <c r="H98">
        <v>25.13</v>
      </c>
      <c r="I98">
        <v>59.9</v>
      </c>
      <c r="J98">
        <v>62.52</v>
      </c>
      <c r="K98">
        <v>73.64</v>
      </c>
      <c r="L98">
        <v>29.49</v>
      </c>
      <c r="M98">
        <v>57.15</v>
      </c>
      <c r="N98">
        <v>63.94</v>
      </c>
      <c r="O98">
        <v>52.54</v>
      </c>
      <c r="P98">
        <v>60.45</v>
      </c>
      <c r="Q98">
        <v>19.96</v>
      </c>
      <c r="R98">
        <v>1262.67</v>
      </c>
      <c r="S98">
        <v>35.54</v>
      </c>
      <c r="T98">
        <v>19.53</v>
      </c>
      <c r="U98">
        <v>18.315000000000001</v>
      </c>
      <c r="V98">
        <v>37.47</v>
      </c>
      <c r="W98">
        <v>44.87</v>
      </c>
      <c r="X98">
        <v>27.09</v>
      </c>
      <c r="Y98">
        <v>48.46</v>
      </c>
      <c r="Z98">
        <v>42.02</v>
      </c>
      <c r="AA98">
        <v>79.290000000000006</v>
      </c>
      <c r="AB98">
        <v>55.33</v>
      </c>
      <c r="AC98">
        <v>41.57</v>
      </c>
      <c r="AD98">
        <v>577.08000000000004</v>
      </c>
      <c r="AE98">
        <v>648.91999999999996</v>
      </c>
      <c r="AF98">
        <v>42.9</v>
      </c>
      <c r="AG98">
        <v>53.5</v>
      </c>
      <c r="AH98">
        <v>46.63</v>
      </c>
      <c r="AI98">
        <v>51.19</v>
      </c>
    </row>
    <row r="99" spans="1:35" x14ac:dyDescent="0.45">
      <c r="A99" s="2">
        <v>45896</v>
      </c>
      <c r="B99">
        <v>32.26</v>
      </c>
      <c r="C99">
        <v>32.549999999999997</v>
      </c>
      <c r="D99">
        <v>18.16</v>
      </c>
      <c r="E99">
        <v>26.56</v>
      </c>
      <c r="F99">
        <v>32.340000000000003</v>
      </c>
      <c r="G99">
        <v>52.967199999999998</v>
      </c>
      <c r="H99">
        <v>25.05</v>
      </c>
      <c r="I99">
        <v>59.77</v>
      </c>
      <c r="J99">
        <v>61.94</v>
      </c>
      <c r="K99">
        <v>72.47</v>
      </c>
      <c r="L99">
        <v>29.02</v>
      </c>
      <c r="M99">
        <v>57.38</v>
      </c>
      <c r="N99">
        <v>64.489999999999995</v>
      </c>
      <c r="O99">
        <v>52.68</v>
      </c>
      <c r="P99">
        <v>60.02</v>
      </c>
      <c r="Q99">
        <v>20.13</v>
      </c>
      <c r="R99">
        <v>1253.3900000000001</v>
      </c>
      <c r="S99">
        <v>35.51</v>
      </c>
      <c r="T99">
        <v>19.68</v>
      </c>
      <c r="U99">
        <v>18.02</v>
      </c>
      <c r="V99">
        <v>37.68</v>
      </c>
      <c r="W99">
        <v>44.67</v>
      </c>
      <c r="X99">
        <v>27</v>
      </c>
      <c r="Y99">
        <v>48.37</v>
      </c>
      <c r="Z99">
        <v>41.89</v>
      </c>
      <c r="AA99">
        <v>78.63</v>
      </c>
      <c r="AB99">
        <v>55.24</v>
      </c>
      <c r="AC99">
        <v>41.66</v>
      </c>
      <c r="AD99">
        <v>573.49</v>
      </c>
      <c r="AE99">
        <v>646.63</v>
      </c>
      <c r="AF99">
        <v>42.56</v>
      </c>
      <c r="AG99">
        <v>53.59</v>
      </c>
      <c r="AH99">
        <v>46.46</v>
      </c>
      <c r="AI99">
        <v>50.91</v>
      </c>
    </row>
    <row r="100" spans="1:35" x14ac:dyDescent="0.45">
      <c r="A100" s="2">
        <v>45895</v>
      </c>
      <c r="B100">
        <v>32.909999999999997</v>
      </c>
      <c r="C100">
        <v>32.44</v>
      </c>
      <c r="D100">
        <v>18.38</v>
      </c>
      <c r="E100">
        <v>26.12</v>
      </c>
      <c r="F100">
        <v>32.86</v>
      </c>
      <c r="G100">
        <v>53.39</v>
      </c>
      <c r="H100">
        <v>25.13</v>
      </c>
      <c r="I100">
        <v>59.5</v>
      </c>
      <c r="J100">
        <v>61.44</v>
      </c>
      <c r="K100">
        <v>72.39</v>
      </c>
      <c r="L100">
        <v>28.61</v>
      </c>
      <c r="M100">
        <v>58.1</v>
      </c>
      <c r="N100">
        <v>64.98</v>
      </c>
      <c r="O100">
        <v>52.55</v>
      </c>
      <c r="P100">
        <v>61.62</v>
      </c>
      <c r="Q100">
        <v>20.14</v>
      </c>
      <c r="R100">
        <v>1244.79</v>
      </c>
      <c r="S100">
        <v>35.97</v>
      </c>
      <c r="T100">
        <v>19.75</v>
      </c>
      <c r="U100">
        <v>17.96</v>
      </c>
      <c r="V100">
        <v>38.020000000000003</v>
      </c>
      <c r="W100">
        <v>45.19</v>
      </c>
      <c r="X100">
        <v>26.97</v>
      </c>
      <c r="Y100">
        <v>48.02</v>
      </c>
      <c r="Z100">
        <v>42.13</v>
      </c>
      <c r="AA100">
        <v>78.92</v>
      </c>
      <c r="AB100">
        <v>55.11</v>
      </c>
      <c r="AC100">
        <v>41.74</v>
      </c>
      <c r="AD100">
        <v>572.61</v>
      </c>
      <c r="AE100">
        <v>645.16</v>
      </c>
      <c r="AF100">
        <v>42.58</v>
      </c>
      <c r="AG100">
        <v>53.77</v>
      </c>
      <c r="AH100">
        <v>46.64</v>
      </c>
      <c r="AI100">
        <v>51.42</v>
      </c>
    </row>
    <row r="101" spans="1:35" x14ac:dyDescent="0.45">
      <c r="A101" s="2">
        <v>45894</v>
      </c>
      <c r="B101">
        <v>32.909999999999997</v>
      </c>
      <c r="C101">
        <v>32.71</v>
      </c>
      <c r="D101">
        <v>18.61</v>
      </c>
      <c r="E101">
        <v>26.69</v>
      </c>
      <c r="F101">
        <v>32.590000000000003</v>
      </c>
      <c r="G101">
        <v>52.93</v>
      </c>
      <c r="H101">
        <v>25.5</v>
      </c>
      <c r="I101">
        <v>59.26</v>
      </c>
      <c r="J101">
        <v>61.71</v>
      </c>
      <c r="K101">
        <v>72.73</v>
      </c>
      <c r="L101">
        <v>28.74</v>
      </c>
      <c r="M101">
        <v>58.35</v>
      </c>
      <c r="N101">
        <v>65.62</v>
      </c>
      <c r="O101">
        <v>53.23</v>
      </c>
      <c r="P101">
        <v>61.54</v>
      </c>
      <c r="Q101">
        <v>20.002600000000001</v>
      </c>
      <c r="R101">
        <v>1248.1300000000001</v>
      </c>
      <c r="S101">
        <v>35.93</v>
      </c>
      <c r="T101">
        <v>19.829999999999998</v>
      </c>
      <c r="U101">
        <v>17.22</v>
      </c>
      <c r="V101">
        <v>38.08</v>
      </c>
      <c r="W101">
        <v>45.62</v>
      </c>
      <c r="X101">
        <v>26.83</v>
      </c>
      <c r="Y101">
        <v>47.55</v>
      </c>
      <c r="Z101">
        <v>42.12</v>
      </c>
      <c r="AA101">
        <v>79.05</v>
      </c>
      <c r="AB101">
        <v>54.97</v>
      </c>
      <c r="AC101">
        <v>41.79</v>
      </c>
      <c r="AD101">
        <v>570.32000000000005</v>
      </c>
      <c r="AE101">
        <v>642.47</v>
      </c>
      <c r="AF101">
        <v>42.96</v>
      </c>
      <c r="AG101">
        <v>53.84</v>
      </c>
      <c r="AH101">
        <v>46.57</v>
      </c>
      <c r="AI101">
        <v>51.76</v>
      </c>
    </row>
    <row r="102" spans="1:35" x14ac:dyDescent="0.45">
      <c r="A102" s="2">
        <v>45891</v>
      </c>
      <c r="B102">
        <v>32.71</v>
      </c>
      <c r="C102">
        <v>32.799999999999997</v>
      </c>
      <c r="D102">
        <v>18.649999999999999</v>
      </c>
      <c r="E102">
        <v>26.63</v>
      </c>
      <c r="F102">
        <v>32.700000000000003</v>
      </c>
      <c r="G102">
        <v>53.23</v>
      </c>
      <c r="H102">
        <v>25.72</v>
      </c>
      <c r="I102">
        <v>59.66</v>
      </c>
      <c r="J102">
        <v>62.8</v>
      </c>
      <c r="K102">
        <v>73.510000000000005</v>
      </c>
      <c r="L102">
        <v>28.61</v>
      </c>
      <c r="M102">
        <v>58.8</v>
      </c>
      <c r="N102">
        <v>65.995000000000005</v>
      </c>
      <c r="O102">
        <v>53.58</v>
      </c>
      <c r="P102">
        <v>61.57</v>
      </c>
      <c r="Q102">
        <v>20.189599999999999</v>
      </c>
      <c r="R102">
        <v>1235.76</v>
      </c>
      <c r="S102">
        <v>35.69</v>
      </c>
      <c r="T102">
        <v>19.96</v>
      </c>
      <c r="U102">
        <v>17.36</v>
      </c>
      <c r="V102">
        <v>38.130000000000003</v>
      </c>
      <c r="W102">
        <v>45.782899999999998</v>
      </c>
      <c r="X102">
        <v>27.26</v>
      </c>
      <c r="Y102">
        <v>48.03</v>
      </c>
      <c r="Z102">
        <v>42.66</v>
      </c>
      <c r="AA102">
        <v>80.02</v>
      </c>
      <c r="AB102">
        <v>55.64</v>
      </c>
      <c r="AC102">
        <v>42.08</v>
      </c>
      <c r="AD102">
        <v>571.97</v>
      </c>
      <c r="AE102">
        <v>645.30999999999995</v>
      </c>
      <c r="AF102">
        <v>44.18</v>
      </c>
      <c r="AG102">
        <v>54.188000000000002</v>
      </c>
      <c r="AH102">
        <v>47.24</v>
      </c>
      <c r="AI102">
        <v>52.34</v>
      </c>
    </row>
    <row r="103" spans="1:35" x14ac:dyDescent="0.45">
      <c r="A103" s="2">
        <v>45890</v>
      </c>
      <c r="B103">
        <v>31.62</v>
      </c>
      <c r="C103">
        <v>31.9</v>
      </c>
      <c r="D103">
        <v>18.440000000000001</v>
      </c>
      <c r="E103">
        <v>26.15</v>
      </c>
      <c r="F103">
        <v>33.380000000000003</v>
      </c>
      <c r="G103">
        <v>52.009</v>
      </c>
      <c r="H103">
        <v>25.19</v>
      </c>
      <c r="I103">
        <v>58.57</v>
      </c>
      <c r="J103">
        <v>61.55</v>
      </c>
      <c r="K103">
        <v>71.22</v>
      </c>
      <c r="L103">
        <v>27.66</v>
      </c>
      <c r="M103">
        <v>56.91</v>
      </c>
      <c r="N103">
        <v>65.2</v>
      </c>
      <c r="O103">
        <v>53.57</v>
      </c>
      <c r="P103">
        <v>60</v>
      </c>
      <c r="Q103">
        <v>20.065000000000001</v>
      </c>
      <c r="R103">
        <v>1242.31</v>
      </c>
      <c r="S103">
        <v>35.51</v>
      </c>
      <c r="T103">
        <v>19.753</v>
      </c>
      <c r="U103">
        <v>17.600000000000001</v>
      </c>
      <c r="V103">
        <v>37.94</v>
      </c>
      <c r="W103">
        <v>45.58</v>
      </c>
      <c r="X103">
        <v>26.86</v>
      </c>
      <c r="Y103">
        <v>47.28</v>
      </c>
      <c r="Z103">
        <v>42.08</v>
      </c>
      <c r="AA103">
        <v>78.7</v>
      </c>
      <c r="AB103">
        <v>54.94</v>
      </c>
      <c r="AC103">
        <v>41.66</v>
      </c>
      <c r="AD103">
        <v>563.28</v>
      </c>
      <c r="AE103">
        <v>635.54999999999995</v>
      </c>
      <c r="AF103">
        <v>43.55</v>
      </c>
      <c r="AG103">
        <v>53.08</v>
      </c>
      <c r="AH103">
        <v>46.08</v>
      </c>
      <c r="AI103">
        <v>51.53</v>
      </c>
    </row>
    <row r="104" spans="1:35" x14ac:dyDescent="0.45">
      <c r="A104" s="2">
        <v>45889</v>
      </c>
      <c r="B104">
        <v>31.74</v>
      </c>
      <c r="C104">
        <v>32.04</v>
      </c>
      <c r="D104">
        <v>18.600000000000001</v>
      </c>
      <c r="E104">
        <v>26.35</v>
      </c>
      <c r="F104">
        <v>33.78</v>
      </c>
      <c r="G104">
        <v>51.75</v>
      </c>
      <c r="H104">
        <v>25.19</v>
      </c>
      <c r="I104">
        <v>58.78</v>
      </c>
      <c r="J104">
        <v>61.17</v>
      </c>
      <c r="K104">
        <v>71.36</v>
      </c>
      <c r="L104">
        <v>27.69</v>
      </c>
      <c r="M104">
        <v>57.11</v>
      </c>
      <c r="N104">
        <v>65.400000000000006</v>
      </c>
      <c r="O104">
        <v>53.8</v>
      </c>
      <c r="P104">
        <v>59.92</v>
      </c>
      <c r="Q104">
        <v>20.079999999999998</v>
      </c>
      <c r="R104">
        <v>1259.42</v>
      </c>
      <c r="S104">
        <v>35.04</v>
      </c>
      <c r="T104">
        <v>19.8</v>
      </c>
      <c r="U104">
        <v>17.690000000000001</v>
      </c>
      <c r="V104">
        <v>37.89</v>
      </c>
      <c r="W104">
        <v>45.674999999999997</v>
      </c>
      <c r="X104">
        <v>26.7</v>
      </c>
      <c r="Y104">
        <v>47.11</v>
      </c>
      <c r="Z104">
        <v>42.39</v>
      </c>
      <c r="AA104">
        <v>79.64</v>
      </c>
      <c r="AB104">
        <v>55.52</v>
      </c>
      <c r="AC104">
        <v>41.72</v>
      </c>
      <c r="AD104">
        <v>565.9</v>
      </c>
      <c r="AE104">
        <v>638.11</v>
      </c>
      <c r="AF104">
        <v>43.97</v>
      </c>
      <c r="AG104">
        <v>53.58</v>
      </c>
      <c r="AH104">
        <v>46.45</v>
      </c>
      <c r="AI104">
        <v>51.69</v>
      </c>
    </row>
    <row r="105" spans="1:35" x14ac:dyDescent="0.45">
      <c r="A105" s="2">
        <v>45888</v>
      </c>
      <c r="B105">
        <v>31.02</v>
      </c>
      <c r="C105">
        <v>32.19</v>
      </c>
      <c r="D105">
        <v>18.309999999999999</v>
      </c>
      <c r="E105">
        <v>26.25</v>
      </c>
      <c r="F105">
        <v>33.79</v>
      </c>
      <c r="G105">
        <v>51.68</v>
      </c>
      <c r="H105">
        <v>25.18</v>
      </c>
      <c r="I105">
        <v>60.09</v>
      </c>
      <c r="J105">
        <v>61.25</v>
      </c>
      <c r="K105">
        <v>71.44</v>
      </c>
      <c r="L105">
        <v>27.36</v>
      </c>
      <c r="M105">
        <v>56.67</v>
      </c>
      <c r="N105">
        <v>65.150000000000006</v>
      </c>
      <c r="O105">
        <v>53.65</v>
      </c>
      <c r="P105">
        <v>59.59</v>
      </c>
      <c r="Q105">
        <v>20.239999999999998</v>
      </c>
      <c r="R105">
        <v>1266.67</v>
      </c>
      <c r="S105">
        <v>34.5</v>
      </c>
      <c r="T105">
        <v>19.8383</v>
      </c>
      <c r="U105">
        <v>17.899999999999999</v>
      </c>
      <c r="V105">
        <v>37.840000000000003</v>
      </c>
      <c r="W105">
        <v>45.604999999999997</v>
      </c>
      <c r="X105">
        <v>26.61</v>
      </c>
      <c r="Y105">
        <v>47</v>
      </c>
      <c r="Z105">
        <v>42.39</v>
      </c>
      <c r="AA105">
        <v>80.02</v>
      </c>
      <c r="AB105">
        <v>54.9</v>
      </c>
      <c r="AC105">
        <v>41.29</v>
      </c>
      <c r="AD105">
        <v>569.28</v>
      </c>
      <c r="AE105">
        <v>639.80999999999995</v>
      </c>
      <c r="AF105">
        <v>43.82</v>
      </c>
      <c r="AG105">
        <v>53.215000000000003</v>
      </c>
      <c r="AH105">
        <v>46.56</v>
      </c>
      <c r="AI105">
        <v>51.62</v>
      </c>
    </row>
    <row r="106" spans="1:35" x14ac:dyDescent="0.45">
      <c r="A106" s="2">
        <v>45887</v>
      </c>
      <c r="B106">
        <v>31.32</v>
      </c>
      <c r="C106">
        <v>32.549999999999997</v>
      </c>
      <c r="D106">
        <v>18.43</v>
      </c>
      <c r="E106">
        <v>26.34</v>
      </c>
      <c r="F106">
        <v>33.64</v>
      </c>
      <c r="G106">
        <v>52.382100000000001</v>
      </c>
      <c r="H106">
        <v>25.13</v>
      </c>
      <c r="I106">
        <v>61.04</v>
      </c>
      <c r="J106">
        <v>61.19</v>
      </c>
      <c r="K106">
        <v>72.8</v>
      </c>
      <c r="L106">
        <v>28.29</v>
      </c>
      <c r="M106">
        <v>57.11</v>
      </c>
      <c r="N106">
        <v>65.58</v>
      </c>
      <c r="O106">
        <v>53.5</v>
      </c>
      <c r="P106">
        <v>60.04</v>
      </c>
      <c r="Q106">
        <v>20.38</v>
      </c>
      <c r="R106">
        <v>1277.43</v>
      </c>
      <c r="S106">
        <v>34.47</v>
      </c>
      <c r="T106">
        <v>19.965</v>
      </c>
      <c r="U106">
        <v>17.84</v>
      </c>
      <c r="V106">
        <v>37.83</v>
      </c>
      <c r="W106">
        <v>45.844999999999999</v>
      </c>
      <c r="X106">
        <v>26.84</v>
      </c>
      <c r="Y106">
        <v>47.35</v>
      </c>
      <c r="Z106">
        <v>42.45</v>
      </c>
      <c r="AA106">
        <v>80.3</v>
      </c>
      <c r="AB106">
        <v>54.35</v>
      </c>
      <c r="AC106">
        <v>41.29</v>
      </c>
      <c r="AD106">
        <v>577.11</v>
      </c>
      <c r="AE106">
        <v>643.29999999999995</v>
      </c>
      <c r="AF106">
        <v>43.55</v>
      </c>
      <c r="AG106">
        <v>53.13</v>
      </c>
      <c r="AH106">
        <v>46.28</v>
      </c>
      <c r="AI106">
        <v>51.54</v>
      </c>
    </row>
    <row r="107" spans="1:35" x14ac:dyDescent="0.45">
      <c r="A107" s="2">
        <v>45884</v>
      </c>
      <c r="B107">
        <v>30.97</v>
      </c>
      <c r="C107">
        <v>32.4</v>
      </c>
      <c r="D107">
        <v>18.5</v>
      </c>
      <c r="E107">
        <v>26.39</v>
      </c>
      <c r="F107">
        <v>33.450000000000003</v>
      </c>
      <c r="G107">
        <v>52.191600000000001</v>
      </c>
      <c r="H107">
        <v>24.98</v>
      </c>
      <c r="I107">
        <v>60.42</v>
      </c>
      <c r="J107">
        <v>61.34</v>
      </c>
      <c r="K107">
        <v>73.39</v>
      </c>
      <c r="L107">
        <v>28.2</v>
      </c>
      <c r="M107">
        <v>57.62</v>
      </c>
      <c r="N107">
        <v>66.89</v>
      </c>
      <c r="O107">
        <v>52.71</v>
      </c>
      <c r="P107">
        <v>59.68</v>
      </c>
      <c r="Q107">
        <v>20.54</v>
      </c>
      <c r="R107">
        <v>1259.07</v>
      </c>
      <c r="S107">
        <v>34.24</v>
      </c>
      <c r="T107">
        <v>19.905000000000001</v>
      </c>
      <c r="U107">
        <v>17.71</v>
      </c>
      <c r="V107">
        <v>37.549999999999997</v>
      </c>
      <c r="W107">
        <v>45.683999999999997</v>
      </c>
      <c r="X107">
        <v>26.83</v>
      </c>
      <c r="Y107">
        <v>47.27</v>
      </c>
      <c r="Z107">
        <v>42.58</v>
      </c>
      <c r="AA107">
        <v>80.150000000000006</v>
      </c>
      <c r="AB107">
        <v>54.5</v>
      </c>
      <c r="AC107">
        <v>41.27</v>
      </c>
      <c r="AD107">
        <v>577.34</v>
      </c>
      <c r="AE107">
        <v>643.44000000000005</v>
      </c>
      <c r="AF107">
        <v>43.89</v>
      </c>
      <c r="AG107">
        <v>53.16</v>
      </c>
      <c r="AH107">
        <v>46.61</v>
      </c>
      <c r="AI107">
        <v>51.79</v>
      </c>
    </row>
    <row r="108" spans="1:35" x14ac:dyDescent="0.45">
      <c r="A108" s="2">
        <v>45883</v>
      </c>
      <c r="B108">
        <v>30.72</v>
      </c>
      <c r="C108">
        <v>32.270000000000003</v>
      </c>
      <c r="D108">
        <v>18.63</v>
      </c>
      <c r="E108">
        <v>26.28</v>
      </c>
      <c r="F108">
        <v>33.270000000000003</v>
      </c>
      <c r="G108">
        <v>51.95</v>
      </c>
      <c r="H108">
        <v>25.03</v>
      </c>
      <c r="I108">
        <v>60.65</v>
      </c>
      <c r="J108">
        <v>60.99</v>
      </c>
      <c r="K108">
        <v>73.66</v>
      </c>
      <c r="L108">
        <v>27.89</v>
      </c>
      <c r="M108">
        <v>57.64</v>
      </c>
      <c r="N108">
        <v>66.53</v>
      </c>
      <c r="O108">
        <v>52.41</v>
      </c>
      <c r="P108">
        <v>59.3</v>
      </c>
      <c r="Q108">
        <v>20.52</v>
      </c>
      <c r="R108">
        <v>1265.1500000000001</v>
      </c>
      <c r="S108">
        <v>34.11</v>
      </c>
      <c r="T108">
        <v>19.98</v>
      </c>
      <c r="U108">
        <v>17.760000000000002</v>
      </c>
      <c r="V108">
        <v>37.590000000000003</v>
      </c>
      <c r="W108">
        <v>45.57</v>
      </c>
      <c r="X108">
        <v>26.74</v>
      </c>
      <c r="Y108">
        <v>47.33</v>
      </c>
      <c r="Z108">
        <v>42.5</v>
      </c>
      <c r="AA108">
        <v>78.8</v>
      </c>
      <c r="AB108">
        <v>54.1</v>
      </c>
      <c r="AC108">
        <v>41.5</v>
      </c>
      <c r="AD108">
        <v>579.89</v>
      </c>
      <c r="AE108">
        <v>644.95000000000005</v>
      </c>
      <c r="AF108">
        <v>43.5</v>
      </c>
      <c r="AG108">
        <v>53.3</v>
      </c>
      <c r="AH108">
        <v>46.06</v>
      </c>
      <c r="AI108">
        <v>51.56</v>
      </c>
    </row>
    <row r="109" spans="1:35" x14ac:dyDescent="0.45">
      <c r="A109" s="2">
        <v>45882</v>
      </c>
      <c r="B109">
        <v>31.01</v>
      </c>
      <c r="C109">
        <v>32.54</v>
      </c>
      <c r="D109">
        <v>18.829999999999998</v>
      </c>
      <c r="E109">
        <v>26.72</v>
      </c>
      <c r="F109">
        <v>34.07</v>
      </c>
      <c r="G109">
        <v>52.16</v>
      </c>
      <c r="H109">
        <v>25.27</v>
      </c>
      <c r="I109">
        <v>61.03</v>
      </c>
      <c r="J109">
        <v>61.99</v>
      </c>
      <c r="K109">
        <v>74.72</v>
      </c>
      <c r="L109">
        <v>28.18</v>
      </c>
      <c r="M109">
        <v>58.36</v>
      </c>
      <c r="N109">
        <v>66.81</v>
      </c>
      <c r="O109">
        <v>52.71</v>
      </c>
      <c r="P109">
        <v>60.56</v>
      </c>
      <c r="Q109">
        <v>20.56</v>
      </c>
      <c r="R109">
        <v>1264.47</v>
      </c>
      <c r="S109">
        <v>34.47</v>
      </c>
      <c r="T109">
        <v>19.93</v>
      </c>
      <c r="U109">
        <v>17.46</v>
      </c>
      <c r="V109">
        <v>37.44</v>
      </c>
      <c r="W109">
        <v>45.82</v>
      </c>
      <c r="X109">
        <v>26.91</v>
      </c>
      <c r="Y109">
        <v>47.64</v>
      </c>
      <c r="Z109">
        <v>42.38</v>
      </c>
      <c r="AA109">
        <v>79.27</v>
      </c>
      <c r="AB109">
        <v>54.2</v>
      </c>
      <c r="AC109">
        <v>41.36</v>
      </c>
      <c r="AD109">
        <v>580.34</v>
      </c>
      <c r="AE109">
        <v>644.89</v>
      </c>
      <c r="AF109">
        <v>43.31</v>
      </c>
      <c r="AG109">
        <v>53.36</v>
      </c>
      <c r="AH109">
        <v>46.02</v>
      </c>
      <c r="AI109">
        <v>51.1</v>
      </c>
    </row>
    <row r="110" spans="1:35" x14ac:dyDescent="0.45">
      <c r="A110" s="2">
        <v>45881</v>
      </c>
      <c r="B110">
        <v>30.73</v>
      </c>
      <c r="C110">
        <v>31.97</v>
      </c>
      <c r="D110">
        <v>18.61</v>
      </c>
      <c r="E110">
        <v>26.55</v>
      </c>
      <c r="F110">
        <v>33.99</v>
      </c>
      <c r="G110">
        <v>51.75</v>
      </c>
      <c r="H110">
        <v>24.94</v>
      </c>
      <c r="I110">
        <v>61.09</v>
      </c>
      <c r="J110">
        <v>62.33</v>
      </c>
      <c r="K110">
        <v>74.099999999999994</v>
      </c>
      <c r="L110">
        <v>28.39</v>
      </c>
      <c r="M110">
        <v>57.5</v>
      </c>
      <c r="N110">
        <v>66.349999999999994</v>
      </c>
      <c r="O110">
        <v>52.465000000000003</v>
      </c>
      <c r="P110">
        <v>58.73</v>
      </c>
      <c r="Q110">
        <v>20.27</v>
      </c>
      <c r="R110">
        <v>1246.96</v>
      </c>
      <c r="S110">
        <v>34.54</v>
      </c>
      <c r="T110">
        <v>20.149999999999999</v>
      </c>
      <c r="U110">
        <v>17.440000000000001</v>
      </c>
      <c r="V110">
        <v>37.49</v>
      </c>
      <c r="W110">
        <v>45.658999999999999</v>
      </c>
      <c r="X110">
        <v>26.96</v>
      </c>
      <c r="Y110">
        <v>47.51</v>
      </c>
      <c r="Z110">
        <v>42.15</v>
      </c>
      <c r="AA110">
        <v>79.23</v>
      </c>
      <c r="AB110">
        <v>53.81</v>
      </c>
      <c r="AC110">
        <v>41.03</v>
      </c>
      <c r="AD110">
        <v>580.04999999999995</v>
      </c>
      <c r="AE110">
        <v>642.69000000000005</v>
      </c>
      <c r="AF110">
        <v>42.89</v>
      </c>
      <c r="AG110">
        <v>52.967399999999998</v>
      </c>
      <c r="AH110">
        <v>45.99</v>
      </c>
      <c r="AI110">
        <v>50.64</v>
      </c>
    </row>
    <row r="111" spans="1:35" x14ac:dyDescent="0.45">
      <c r="A111" s="2">
        <v>45880</v>
      </c>
      <c r="B111">
        <v>30.295000000000002</v>
      </c>
      <c r="C111">
        <v>31.47</v>
      </c>
      <c r="D111">
        <v>17.98</v>
      </c>
      <c r="E111">
        <v>26.19</v>
      </c>
      <c r="F111">
        <v>33.44</v>
      </c>
      <c r="G111">
        <v>51.130899999999997</v>
      </c>
      <c r="H111">
        <v>24.6</v>
      </c>
      <c r="I111">
        <v>60.28</v>
      </c>
      <c r="J111">
        <v>61.54</v>
      </c>
      <c r="K111">
        <v>73.03</v>
      </c>
      <c r="L111">
        <v>27.64</v>
      </c>
      <c r="M111">
        <v>56.36</v>
      </c>
      <c r="N111">
        <v>65.680000000000007</v>
      </c>
      <c r="O111">
        <v>52.27</v>
      </c>
      <c r="P111">
        <v>57.82</v>
      </c>
      <c r="Q111">
        <v>20.034600000000001</v>
      </c>
      <c r="R111">
        <v>1229.4000000000001</v>
      </c>
      <c r="S111">
        <v>34.844799999999999</v>
      </c>
      <c r="T111">
        <v>20.079999999999998</v>
      </c>
      <c r="U111">
        <v>17.27</v>
      </c>
      <c r="V111">
        <v>37.43</v>
      </c>
      <c r="W111">
        <v>45.79</v>
      </c>
      <c r="X111">
        <v>26.65</v>
      </c>
      <c r="Y111">
        <v>47.28</v>
      </c>
      <c r="Z111">
        <v>41.94</v>
      </c>
      <c r="AA111">
        <v>77.790000000000006</v>
      </c>
      <c r="AB111">
        <v>53.2</v>
      </c>
      <c r="AC111">
        <v>40.64</v>
      </c>
      <c r="AD111">
        <v>572.85</v>
      </c>
      <c r="AE111">
        <v>635.91999999999996</v>
      </c>
      <c r="AF111">
        <v>42.35</v>
      </c>
      <c r="AG111">
        <v>52.37</v>
      </c>
      <c r="AH111">
        <v>45.23</v>
      </c>
      <c r="AI111">
        <v>49.99</v>
      </c>
    </row>
    <row r="112" spans="1:35" x14ac:dyDescent="0.45">
      <c r="A112" s="2">
        <v>45877</v>
      </c>
      <c r="B112">
        <v>30.27</v>
      </c>
      <c r="C112">
        <v>31.41</v>
      </c>
      <c r="D112">
        <v>17.829999999999998</v>
      </c>
      <c r="E112">
        <v>26.63</v>
      </c>
      <c r="F112">
        <v>33.97</v>
      </c>
      <c r="G112">
        <v>51.72</v>
      </c>
      <c r="H112">
        <v>24.51</v>
      </c>
      <c r="I112">
        <v>60.29</v>
      </c>
      <c r="J112">
        <v>61.64</v>
      </c>
      <c r="K112">
        <v>73.5</v>
      </c>
      <c r="L112">
        <v>27.81</v>
      </c>
      <c r="M112">
        <v>56.45</v>
      </c>
      <c r="N112">
        <v>65.069199999999995</v>
      </c>
      <c r="O112">
        <v>52.12</v>
      </c>
      <c r="P112">
        <v>58.19</v>
      </c>
      <c r="Q112">
        <v>19.93</v>
      </c>
      <c r="R112">
        <v>1218.33</v>
      </c>
      <c r="S112">
        <v>34.68</v>
      </c>
      <c r="T112">
        <v>20.14</v>
      </c>
      <c r="U112">
        <v>17.18</v>
      </c>
      <c r="V112">
        <v>37.83</v>
      </c>
      <c r="W112">
        <v>45.744999999999997</v>
      </c>
      <c r="X112">
        <v>26.63</v>
      </c>
      <c r="Y112">
        <v>47.34</v>
      </c>
      <c r="Z112">
        <v>42.34</v>
      </c>
      <c r="AA112">
        <v>77.930000000000007</v>
      </c>
      <c r="AB112">
        <v>53.6</v>
      </c>
      <c r="AC112">
        <v>40.53</v>
      </c>
      <c r="AD112">
        <v>574.54999999999995</v>
      </c>
      <c r="AE112">
        <v>637.17999999999995</v>
      </c>
      <c r="AF112">
        <v>42.68</v>
      </c>
      <c r="AG112">
        <v>52.52</v>
      </c>
      <c r="AH112">
        <v>45.88</v>
      </c>
      <c r="AI112">
        <v>50.16</v>
      </c>
    </row>
    <row r="113" spans="1:35" x14ac:dyDescent="0.45">
      <c r="A113" s="2">
        <v>45876</v>
      </c>
      <c r="B113">
        <v>30.3</v>
      </c>
      <c r="C113">
        <v>30.74</v>
      </c>
      <c r="D113">
        <v>17.72</v>
      </c>
      <c r="E113">
        <v>26.49</v>
      </c>
      <c r="F113">
        <v>33.53</v>
      </c>
      <c r="G113">
        <v>50.705500000000001</v>
      </c>
      <c r="H113">
        <v>24.38</v>
      </c>
      <c r="I113">
        <v>60.36</v>
      </c>
      <c r="J113">
        <v>61.65</v>
      </c>
      <c r="K113">
        <v>73.44</v>
      </c>
      <c r="L113">
        <v>28.05</v>
      </c>
      <c r="M113">
        <v>56.66</v>
      </c>
      <c r="N113">
        <v>64.58</v>
      </c>
      <c r="O113">
        <v>52.53</v>
      </c>
      <c r="P113">
        <v>58.2</v>
      </c>
      <c r="Q113">
        <v>19.946000000000002</v>
      </c>
      <c r="R113">
        <v>1242.3499999999999</v>
      </c>
      <c r="S113">
        <v>34.61</v>
      </c>
      <c r="T113">
        <v>20.100000000000001</v>
      </c>
      <c r="U113">
        <v>16.8</v>
      </c>
      <c r="V113">
        <v>37.83</v>
      </c>
      <c r="W113">
        <v>45.795000000000002</v>
      </c>
      <c r="X113">
        <v>26.6</v>
      </c>
      <c r="Y113">
        <v>47.34</v>
      </c>
      <c r="Z113">
        <v>42.33</v>
      </c>
      <c r="AA113">
        <v>76.62</v>
      </c>
      <c r="AB113">
        <v>53.68</v>
      </c>
      <c r="AC113">
        <v>40.49</v>
      </c>
      <c r="AD113">
        <v>569.24</v>
      </c>
      <c r="AE113">
        <v>632.25</v>
      </c>
      <c r="AF113">
        <v>42.49</v>
      </c>
      <c r="AG113">
        <v>52.2</v>
      </c>
      <c r="AH113">
        <v>45.6</v>
      </c>
      <c r="AI113">
        <v>49.95</v>
      </c>
    </row>
    <row r="114" spans="1:35" x14ac:dyDescent="0.45">
      <c r="A114" s="2">
        <v>45875</v>
      </c>
      <c r="B114">
        <v>30.33</v>
      </c>
      <c r="C114">
        <v>30.09</v>
      </c>
      <c r="D114">
        <v>17.66</v>
      </c>
      <c r="E114">
        <v>26.41</v>
      </c>
      <c r="F114">
        <v>32.840000000000003</v>
      </c>
      <c r="G114">
        <v>50.183300000000003</v>
      </c>
      <c r="H114">
        <v>24.4</v>
      </c>
      <c r="I114">
        <v>59.14</v>
      </c>
      <c r="J114">
        <v>60.76</v>
      </c>
      <c r="K114">
        <v>73.180000000000007</v>
      </c>
      <c r="L114">
        <v>27.45</v>
      </c>
      <c r="M114">
        <v>56.17</v>
      </c>
      <c r="N114">
        <v>64.2</v>
      </c>
      <c r="O114">
        <v>52.255000000000003</v>
      </c>
      <c r="P114">
        <v>58.36</v>
      </c>
      <c r="Q114">
        <v>19.850000000000001</v>
      </c>
      <c r="R114">
        <v>1244.1400000000001</v>
      </c>
      <c r="S114">
        <v>34.46</v>
      </c>
      <c r="T114">
        <v>20.25</v>
      </c>
      <c r="U114">
        <v>17.09</v>
      </c>
      <c r="V114">
        <v>38.04</v>
      </c>
      <c r="W114">
        <v>45.63</v>
      </c>
      <c r="X114">
        <v>26.66</v>
      </c>
      <c r="Y114">
        <v>47.73</v>
      </c>
      <c r="Z114">
        <v>41.84</v>
      </c>
      <c r="AA114">
        <v>76.03</v>
      </c>
      <c r="AB114">
        <v>52.98</v>
      </c>
      <c r="AC114">
        <v>40.380000000000003</v>
      </c>
      <c r="AD114">
        <v>567.32000000000005</v>
      </c>
      <c r="AE114">
        <v>632.78</v>
      </c>
      <c r="AF114">
        <v>42.02</v>
      </c>
      <c r="AG114">
        <v>51.43</v>
      </c>
      <c r="AH114">
        <v>44.82</v>
      </c>
      <c r="AI114">
        <v>49.52</v>
      </c>
    </row>
    <row r="115" spans="1:35" x14ac:dyDescent="0.45">
      <c r="A115" s="2">
        <v>45874</v>
      </c>
      <c r="B115">
        <v>30.17</v>
      </c>
      <c r="C115">
        <v>30.26</v>
      </c>
      <c r="D115">
        <v>17.62</v>
      </c>
      <c r="E115">
        <v>26.16</v>
      </c>
      <c r="F115">
        <v>31.79</v>
      </c>
      <c r="G115">
        <v>49.7</v>
      </c>
      <c r="H115">
        <v>24.24</v>
      </c>
      <c r="I115">
        <v>58.92</v>
      </c>
      <c r="J115">
        <v>60.19</v>
      </c>
      <c r="K115">
        <v>72.89</v>
      </c>
      <c r="L115">
        <v>27.02</v>
      </c>
      <c r="M115">
        <v>55.4</v>
      </c>
      <c r="N115">
        <v>62.98</v>
      </c>
      <c r="O115">
        <v>52.41</v>
      </c>
      <c r="P115">
        <v>57.86</v>
      </c>
      <c r="Q115">
        <v>19.785</v>
      </c>
      <c r="R115">
        <v>1233.68</v>
      </c>
      <c r="S115">
        <v>34.29</v>
      </c>
      <c r="T115">
        <v>20.010000000000002</v>
      </c>
      <c r="U115">
        <v>16.670000000000002</v>
      </c>
      <c r="V115">
        <v>37.78</v>
      </c>
      <c r="W115">
        <v>45.255000000000003</v>
      </c>
      <c r="X115">
        <v>26.41</v>
      </c>
      <c r="Y115">
        <v>46.93</v>
      </c>
      <c r="Z115">
        <v>41.49</v>
      </c>
      <c r="AA115">
        <v>75.03</v>
      </c>
      <c r="AB115">
        <v>53.48</v>
      </c>
      <c r="AC115">
        <v>40.229999999999997</v>
      </c>
      <c r="AD115">
        <v>560.27</v>
      </c>
      <c r="AE115">
        <v>627.97</v>
      </c>
      <c r="AF115">
        <v>41.83</v>
      </c>
      <c r="AG115">
        <v>51.33</v>
      </c>
      <c r="AH115">
        <v>44.45</v>
      </c>
      <c r="AI115">
        <v>48.74</v>
      </c>
    </row>
    <row r="116" spans="1:35" x14ac:dyDescent="0.45">
      <c r="A116" s="2">
        <v>45873</v>
      </c>
      <c r="B116">
        <v>29.9</v>
      </c>
      <c r="C116">
        <v>30.24</v>
      </c>
      <c r="D116">
        <v>17.59</v>
      </c>
      <c r="E116">
        <v>26.35</v>
      </c>
      <c r="F116">
        <v>31.94</v>
      </c>
      <c r="G116">
        <v>49.27</v>
      </c>
      <c r="H116">
        <v>24.13</v>
      </c>
      <c r="I116">
        <v>58.84</v>
      </c>
      <c r="J116">
        <v>59.23</v>
      </c>
      <c r="K116">
        <v>72.33</v>
      </c>
      <c r="L116">
        <v>26.93</v>
      </c>
      <c r="M116">
        <v>55.05</v>
      </c>
      <c r="N116">
        <v>62.02</v>
      </c>
      <c r="O116">
        <v>52.48</v>
      </c>
      <c r="P116">
        <v>57.47</v>
      </c>
      <c r="Q116">
        <v>19.71</v>
      </c>
      <c r="R116">
        <v>1217.1500000000001</v>
      </c>
      <c r="S116">
        <v>34.32</v>
      </c>
      <c r="T116">
        <v>20.21</v>
      </c>
      <c r="U116">
        <v>16.579999999999998</v>
      </c>
      <c r="V116">
        <v>37.630000000000003</v>
      </c>
      <c r="W116">
        <v>44.93</v>
      </c>
      <c r="X116">
        <v>26.28</v>
      </c>
      <c r="Y116">
        <v>46.58</v>
      </c>
      <c r="Z116">
        <v>41.3</v>
      </c>
      <c r="AA116">
        <v>75.290000000000006</v>
      </c>
      <c r="AB116">
        <v>53.31</v>
      </c>
      <c r="AC116">
        <v>40.21</v>
      </c>
      <c r="AD116">
        <v>564.1</v>
      </c>
      <c r="AE116">
        <v>631.16999999999996</v>
      </c>
      <c r="AF116">
        <v>41.86</v>
      </c>
      <c r="AG116">
        <v>51.35</v>
      </c>
      <c r="AH116">
        <v>44.3</v>
      </c>
      <c r="AI116">
        <v>48.57</v>
      </c>
    </row>
    <row r="117" spans="1:35" x14ac:dyDescent="0.45">
      <c r="A117" s="2">
        <v>45870</v>
      </c>
      <c r="B117">
        <v>29.6</v>
      </c>
      <c r="C117">
        <v>29.98</v>
      </c>
      <c r="D117">
        <v>17.61</v>
      </c>
      <c r="E117">
        <v>25.78</v>
      </c>
      <c r="F117">
        <v>31.7</v>
      </c>
      <c r="G117">
        <v>48.35</v>
      </c>
      <c r="H117">
        <v>23.98</v>
      </c>
      <c r="I117">
        <v>58.39</v>
      </c>
      <c r="J117">
        <v>59.6</v>
      </c>
      <c r="K117">
        <v>70.650000000000006</v>
      </c>
      <c r="L117">
        <v>26.65</v>
      </c>
      <c r="M117">
        <v>53.43</v>
      </c>
      <c r="N117">
        <v>60.34</v>
      </c>
      <c r="O117">
        <v>52.72</v>
      </c>
      <c r="P117">
        <v>56.52</v>
      </c>
      <c r="Q117">
        <v>19.664999999999999</v>
      </c>
      <c r="R117">
        <v>1212.49</v>
      </c>
      <c r="S117">
        <v>33.92</v>
      </c>
      <c r="T117">
        <v>19.95</v>
      </c>
      <c r="U117">
        <v>15.95</v>
      </c>
      <c r="V117">
        <v>37.32</v>
      </c>
      <c r="W117">
        <v>44.69</v>
      </c>
      <c r="X117">
        <v>25.91</v>
      </c>
      <c r="Y117">
        <v>45.86</v>
      </c>
      <c r="Z117">
        <v>40.75</v>
      </c>
      <c r="AA117">
        <v>74.069999999999993</v>
      </c>
      <c r="AB117">
        <v>52.43</v>
      </c>
      <c r="AC117">
        <v>39.94</v>
      </c>
      <c r="AD117">
        <v>553.88</v>
      </c>
      <c r="AE117">
        <v>621.72</v>
      </c>
      <c r="AF117">
        <v>41.43</v>
      </c>
      <c r="AG117">
        <v>50.85</v>
      </c>
      <c r="AH117">
        <v>43.68</v>
      </c>
      <c r="AI117">
        <v>47.83</v>
      </c>
    </row>
    <row r="118" spans="1:35" x14ac:dyDescent="0.45">
      <c r="A118" s="2">
        <v>45869</v>
      </c>
      <c r="B118">
        <v>29.68</v>
      </c>
      <c r="C118">
        <v>29.83</v>
      </c>
      <c r="D118">
        <v>17.27</v>
      </c>
      <c r="E118">
        <v>25.42</v>
      </c>
      <c r="F118">
        <v>31.75</v>
      </c>
      <c r="G118">
        <v>48.65</v>
      </c>
      <c r="H118">
        <v>23.49</v>
      </c>
      <c r="I118">
        <v>58.36</v>
      </c>
      <c r="J118">
        <v>60.14</v>
      </c>
      <c r="K118">
        <v>72.81</v>
      </c>
      <c r="L118">
        <v>26.55</v>
      </c>
      <c r="M118">
        <v>53.05</v>
      </c>
      <c r="N118">
        <v>60.51</v>
      </c>
      <c r="O118">
        <v>52.64</v>
      </c>
      <c r="P118">
        <v>57.43</v>
      </c>
      <c r="Q118">
        <v>19.655000000000001</v>
      </c>
      <c r="R118">
        <v>1219.6199999999999</v>
      </c>
      <c r="S118">
        <v>33.85</v>
      </c>
      <c r="T118">
        <v>20.039899999999999</v>
      </c>
      <c r="U118">
        <v>16.010000000000002</v>
      </c>
      <c r="V118">
        <v>37.56</v>
      </c>
      <c r="W118">
        <v>45.05</v>
      </c>
      <c r="X118">
        <v>26.02</v>
      </c>
      <c r="Y118">
        <v>46.18</v>
      </c>
      <c r="Z118">
        <v>41.15</v>
      </c>
      <c r="AA118">
        <v>73.62</v>
      </c>
      <c r="AB118">
        <v>52.72</v>
      </c>
      <c r="AC118">
        <v>39.81</v>
      </c>
      <c r="AD118">
        <v>565.01</v>
      </c>
      <c r="AE118">
        <v>632.08000000000004</v>
      </c>
      <c r="AF118">
        <v>41.94</v>
      </c>
      <c r="AG118">
        <v>51.26</v>
      </c>
      <c r="AH118">
        <v>43.86</v>
      </c>
      <c r="AI118">
        <v>48.25</v>
      </c>
    </row>
    <row r="119" spans="1:35" x14ac:dyDescent="0.45">
      <c r="A119" s="2">
        <v>45868</v>
      </c>
      <c r="B119">
        <v>30.24</v>
      </c>
      <c r="C119">
        <v>29.48</v>
      </c>
      <c r="D119">
        <v>17.579999999999998</v>
      </c>
      <c r="E119">
        <v>26.175000000000001</v>
      </c>
      <c r="F119">
        <v>32.21</v>
      </c>
      <c r="G119">
        <v>47.99</v>
      </c>
      <c r="H119">
        <v>23.84</v>
      </c>
      <c r="I119">
        <v>58.35</v>
      </c>
      <c r="J119">
        <v>60.17</v>
      </c>
      <c r="K119">
        <v>73.680000000000007</v>
      </c>
      <c r="L119">
        <v>26.88</v>
      </c>
      <c r="M119">
        <v>53.99</v>
      </c>
      <c r="N119">
        <v>60.44</v>
      </c>
      <c r="O119">
        <v>52.7</v>
      </c>
      <c r="P119">
        <v>57.89</v>
      </c>
      <c r="Q119">
        <v>19.66</v>
      </c>
      <c r="R119">
        <v>1191.75</v>
      </c>
      <c r="S119">
        <v>33.659999999999997</v>
      </c>
      <c r="T119">
        <v>20.260000000000002</v>
      </c>
      <c r="U119">
        <v>16.03</v>
      </c>
      <c r="V119">
        <v>37.619999999999997</v>
      </c>
      <c r="W119">
        <v>45.19</v>
      </c>
      <c r="X119">
        <v>26.15</v>
      </c>
      <c r="Y119">
        <v>46.38</v>
      </c>
      <c r="Z119">
        <v>41.63</v>
      </c>
      <c r="AA119">
        <v>73.98</v>
      </c>
      <c r="AB119">
        <v>53.48</v>
      </c>
      <c r="AC119">
        <v>40.04</v>
      </c>
      <c r="AD119">
        <v>568.02</v>
      </c>
      <c r="AE119">
        <v>634.46</v>
      </c>
      <c r="AF119">
        <v>42.47</v>
      </c>
      <c r="AG119">
        <v>52.2</v>
      </c>
      <c r="AH119">
        <v>44.54</v>
      </c>
      <c r="AI119">
        <v>49.13</v>
      </c>
    </row>
    <row r="120" spans="1:35" x14ac:dyDescent="0.45">
      <c r="A120" s="2">
        <v>45867</v>
      </c>
      <c r="B120">
        <v>30.44</v>
      </c>
      <c r="C120">
        <v>29.83</v>
      </c>
      <c r="D120">
        <v>17.8</v>
      </c>
      <c r="E120">
        <v>26.37</v>
      </c>
      <c r="F120">
        <v>32.25</v>
      </c>
      <c r="G120">
        <v>49.44</v>
      </c>
      <c r="H120">
        <v>24.04</v>
      </c>
      <c r="I120">
        <v>58.62</v>
      </c>
      <c r="J120">
        <v>60.93</v>
      </c>
      <c r="K120">
        <v>73.489999999999995</v>
      </c>
      <c r="L120">
        <v>26.76</v>
      </c>
      <c r="M120">
        <v>54.54</v>
      </c>
      <c r="N120">
        <v>60.98</v>
      </c>
      <c r="O120">
        <v>53.49</v>
      </c>
      <c r="P120">
        <v>58.56</v>
      </c>
      <c r="Q120">
        <v>19.600000000000001</v>
      </c>
      <c r="R120">
        <v>1208.1300000000001</v>
      </c>
      <c r="S120">
        <v>33.28</v>
      </c>
      <c r="T120">
        <v>20.145</v>
      </c>
      <c r="U120">
        <v>15.9</v>
      </c>
      <c r="V120">
        <v>37.39</v>
      </c>
      <c r="W120">
        <v>45.834299999999999</v>
      </c>
      <c r="X120">
        <v>26.37</v>
      </c>
      <c r="Y120">
        <v>46.79</v>
      </c>
      <c r="Z120">
        <v>41.89</v>
      </c>
      <c r="AA120">
        <v>73.88</v>
      </c>
      <c r="AB120">
        <v>54.12</v>
      </c>
      <c r="AC120">
        <v>40.39</v>
      </c>
      <c r="AD120">
        <v>567.26</v>
      </c>
      <c r="AE120">
        <v>635.26</v>
      </c>
      <c r="AF120">
        <v>42.91</v>
      </c>
      <c r="AG120">
        <v>52.69</v>
      </c>
      <c r="AH120">
        <v>44.96</v>
      </c>
      <c r="AI120">
        <v>49.06</v>
      </c>
    </row>
    <row r="121" spans="1:35" x14ac:dyDescent="0.45">
      <c r="A121" s="2">
        <v>45866</v>
      </c>
      <c r="B121">
        <v>30.29</v>
      </c>
      <c r="C121">
        <v>29.78</v>
      </c>
      <c r="D121">
        <v>17.75</v>
      </c>
      <c r="E121">
        <v>26.55</v>
      </c>
      <c r="F121">
        <v>32.130000000000003</v>
      </c>
      <c r="G121">
        <v>49.15</v>
      </c>
      <c r="H121">
        <v>24.05</v>
      </c>
      <c r="I121">
        <v>59.06</v>
      </c>
      <c r="J121">
        <v>60.06</v>
      </c>
      <c r="K121">
        <v>72.709999999999994</v>
      </c>
      <c r="L121">
        <v>26.52</v>
      </c>
      <c r="M121">
        <v>54.22</v>
      </c>
      <c r="N121">
        <v>60.45</v>
      </c>
      <c r="O121">
        <v>53.23</v>
      </c>
      <c r="P121">
        <v>58.7</v>
      </c>
      <c r="Q121">
        <v>19.600000000000001</v>
      </c>
      <c r="R121">
        <v>1206.58</v>
      </c>
      <c r="S121">
        <v>33.43</v>
      </c>
      <c r="T121">
        <v>20.32</v>
      </c>
      <c r="U121">
        <v>16.78</v>
      </c>
      <c r="V121">
        <v>37.61</v>
      </c>
      <c r="W121">
        <v>45.64</v>
      </c>
      <c r="X121">
        <v>26.22</v>
      </c>
      <c r="Y121">
        <v>46.72</v>
      </c>
      <c r="Z121">
        <v>41.67</v>
      </c>
      <c r="AA121">
        <v>74.27</v>
      </c>
      <c r="AB121">
        <v>54.16</v>
      </c>
      <c r="AC121">
        <v>40.119999999999997</v>
      </c>
      <c r="AD121">
        <v>568.14</v>
      </c>
      <c r="AE121">
        <v>636.94000000000005</v>
      </c>
      <c r="AF121">
        <v>42.8</v>
      </c>
      <c r="AG121">
        <v>52.91</v>
      </c>
      <c r="AH121">
        <v>45.78</v>
      </c>
      <c r="AI121">
        <v>48.78</v>
      </c>
    </row>
    <row r="122" spans="1:35" x14ac:dyDescent="0.45">
      <c r="A122" s="2">
        <v>45863</v>
      </c>
      <c r="B122">
        <v>30.31</v>
      </c>
      <c r="C122">
        <v>30.34</v>
      </c>
      <c r="D122">
        <v>17.600000000000001</v>
      </c>
      <c r="E122">
        <v>26.752199999999998</v>
      </c>
      <c r="F122">
        <v>33.35</v>
      </c>
      <c r="G122">
        <v>49.61</v>
      </c>
      <c r="H122">
        <v>24.19</v>
      </c>
      <c r="I122">
        <v>59.43</v>
      </c>
      <c r="J122">
        <v>61.05</v>
      </c>
      <c r="K122">
        <v>73.209999999999994</v>
      </c>
      <c r="L122">
        <v>26.94</v>
      </c>
      <c r="M122">
        <v>54.74</v>
      </c>
      <c r="N122">
        <v>62.15</v>
      </c>
      <c r="O122">
        <v>53.8</v>
      </c>
      <c r="P122">
        <v>58.93</v>
      </c>
      <c r="Q122">
        <v>19.63</v>
      </c>
      <c r="R122">
        <v>1198.1099999999999</v>
      </c>
      <c r="S122">
        <v>33.79</v>
      </c>
      <c r="T122">
        <v>20.350000000000001</v>
      </c>
      <c r="U122">
        <v>16.47</v>
      </c>
      <c r="V122">
        <v>37.72</v>
      </c>
      <c r="W122">
        <v>46.051099999999998</v>
      </c>
      <c r="X122">
        <v>26.48</v>
      </c>
      <c r="Y122">
        <v>47.01</v>
      </c>
      <c r="Z122">
        <v>42.81</v>
      </c>
      <c r="AA122">
        <v>75.680000000000007</v>
      </c>
      <c r="AB122">
        <v>55.16</v>
      </c>
      <c r="AC122">
        <v>40.64</v>
      </c>
      <c r="AD122">
        <v>566.37</v>
      </c>
      <c r="AE122">
        <v>637.1</v>
      </c>
      <c r="AF122">
        <v>43.72</v>
      </c>
      <c r="AG122">
        <v>53.5</v>
      </c>
      <c r="AH122">
        <v>46.38</v>
      </c>
      <c r="AI122">
        <v>49.56</v>
      </c>
    </row>
    <row r="123" spans="1:35" x14ac:dyDescent="0.45">
      <c r="A123" s="2">
        <v>45862</v>
      </c>
      <c r="B123">
        <v>30.45</v>
      </c>
      <c r="C123">
        <v>30.49</v>
      </c>
      <c r="D123">
        <v>17.809999999999999</v>
      </c>
      <c r="E123">
        <v>27</v>
      </c>
      <c r="F123">
        <v>33.29</v>
      </c>
      <c r="G123">
        <v>49.98</v>
      </c>
      <c r="H123">
        <v>24.3</v>
      </c>
      <c r="I123">
        <v>59.39</v>
      </c>
      <c r="J123">
        <v>60.85</v>
      </c>
      <c r="K123">
        <v>73.31</v>
      </c>
      <c r="L123">
        <v>27.13</v>
      </c>
      <c r="M123">
        <v>55.44</v>
      </c>
      <c r="N123">
        <v>62</v>
      </c>
      <c r="O123">
        <v>54.06</v>
      </c>
      <c r="P123">
        <v>59.18</v>
      </c>
      <c r="Q123">
        <v>19.61</v>
      </c>
      <c r="R123">
        <v>1157.6300000000001</v>
      </c>
      <c r="S123">
        <v>33.950000000000003</v>
      </c>
      <c r="T123">
        <v>20.11</v>
      </c>
      <c r="U123">
        <v>15.994999999999999</v>
      </c>
      <c r="V123">
        <v>37.68</v>
      </c>
      <c r="W123">
        <v>45.98</v>
      </c>
      <c r="X123">
        <v>26.58</v>
      </c>
      <c r="Y123">
        <v>46.97</v>
      </c>
      <c r="Z123">
        <v>42.7</v>
      </c>
      <c r="AA123">
        <v>76.55</v>
      </c>
      <c r="AB123">
        <v>55.12</v>
      </c>
      <c r="AC123">
        <v>40.770000000000003</v>
      </c>
      <c r="AD123">
        <v>565.01</v>
      </c>
      <c r="AE123">
        <v>634.41999999999996</v>
      </c>
      <c r="AF123">
        <v>43.4</v>
      </c>
      <c r="AG123">
        <v>53.93</v>
      </c>
      <c r="AH123">
        <v>45.9</v>
      </c>
      <c r="AI123">
        <v>49.12</v>
      </c>
    </row>
    <row r="124" spans="1:35" x14ac:dyDescent="0.45">
      <c r="A124" s="2">
        <v>45861</v>
      </c>
      <c r="B124">
        <v>30.35</v>
      </c>
      <c r="C124">
        <v>30.41</v>
      </c>
      <c r="D124">
        <v>17.809999999999999</v>
      </c>
      <c r="E124">
        <v>27.09</v>
      </c>
      <c r="F124">
        <v>33.450000000000003</v>
      </c>
      <c r="G124">
        <v>50.3</v>
      </c>
      <c r="H124">
        <v>24.21</v>
      </c>
      <c r="I124">
        <v>59.8</v>
      </c>
      <c r="J124">
        <v>60.47</v>
      </c>
      <c r="K124">
        <v>73.849999999999994</v>
      </c>
      <c r="L124">
        <v>27.48</v>
      </c>
      <c r="M124">
        <v>56.27</v>
      </c>
      <c r="N124">
        <v>62.58</v>
      </c>
      <c r="O124">
        <v>54.73</v>
      </c>
      <c r="P124">
        <v>59.25</v>
      </c>
      <c r="Q124">
        <v>19.54</v>
      </c>
      <c r="R124">
        <v>1161.01</v>
      </c>
      <c r="S124">
        <v>33.86</v>
      </c>
      <c r="T124">
        <v>20.105</v>
      </c>
      <c r="U124">
        <v>16</v>
      </c>
      <c r="V124">
        <v>37.97</v>
      </c>
      <c r="W124">
        <v>46.134999999999998</v>
      </c>
      <c r="X124">
        <v>26.82</v>
      </c>
      <c r="Y124">
        <v>47.17</v>
      </c>
      <c r="Z124">
        <v>43.21</v>
      </c>
      <c r="AA124">
        <v>76.489999999999995</v>
      </c>
      <c r="AB124">
        <v>56.2</v>
      </c>
      <c r="AC124">
        <v>40.9</v>
      </c>
      <c r="AD124">
        <v>563.80999999999995</v>
      </c>
      <c r="AE124">
        <v>634.21</v>
      </c>
      <c r="AF124">
        <v>44.4</v>
      </c>
      <c r="AG124">
        <v>54.25</v>
      </c>
      <c r="AH124">
        <v>46.3</v>
      </c>
      <c r="AI124">
        <v>49.84</v>
      </c>
    </row>
    <row r="125" spans="1:35" x14ac:dyDescent="0.45">
      <c r="A125" s="2">
        <v>45860</v>
      </c>
      <c r="B125">
        <v>30.364999999999998</v>
      </c>
      <c r="C125">
        <v>30.39</v>
      </c>
      <c r="D125">
        <v>17.559999999999999</v>
      </c>
      <c r="E125">
        <v>26.52</v>
      </c>
      <c r="F125">
        <v>32.93</v>
      </c>
      <c r="G125">
        <v>49.55</v>
      </c>
      <c r="H125">
        <v>23.99</v>
      </c>
      <c r="I125">
        <v>58.72</v>
      </c>
      <c r="J125">
        <v>59.03</v>
      </c>
      <c r="K125">
        <v>72.89</v>
      </c>
      <c r="L125">
        <v>27</v>
      </c>
      <c r="M125">
        <v>55.74</v>
      </c>
      <c r="N125">
        <v>61.43</v>
      </c>
      <c r="O125">
        <v>54.61</v>
      </c>
      <c r="P125">
        <v>58.664999999999999</v>
      </c>
      <c r="Q125">
        <v>19.34</v>
      </c>
      <c r="R125">
        <v>1143.31</v>
      </c>
      <c r="S125">
        <v>33.869999999999997</v>
      </c>
      <c r="T125">
        <v>19.795000000000002</v>
      </c>
      <c r="U125">
        <v>15.82</v>
      </c>
      <c r="V125">
        <v>37.5</v>
      </c>
      <c r="W125">
        <v>46.155000000000001</v>
      </c>
      <c r="X125">
        <v>26.55</v>
      </c>
      <c r="Y125">
        <v>47.09</v>
      </c>
      <c r="Z125">
        <v>42.42</v>
      </c>
      <c r="AA125">
        <v>72.98</v>
      </c>
      <c r="AB125">
        <v>54.96</v>
      </c>
      <c r="AC125">
        <v>40.43</v>
      </c>
      <c r="AD125">
        <v>561.25</v>
      </c>
      <c r="AE125">
        <v>628.86</v>
      </c>
      <c r="AF125">
        <v>43.16</v>
      </c>
      <c r="AG125">
        <v>53.37</v>
      </c>
      <c r="AH125">
        <v>45.21</v>
      </c>
      <c r="AI125">
        <v>48.55</v>
      </c>
    </row>
    <row r="126" spans="1:35" x14ac:dyDescent="0.45">
      <c r="A126" s="2">
        <v>45859</v>
      </c>
      <c r="B126">
        <v>29.98</v>
      </c>
      <c r="C126">
        <v>30.3</v>
      </c>
      <c r="D126">
        <v>17.73</v>
      </c>
      <c r="E126">
        <v>26.34</v>
      </c>
      <c r="F126">
        <v>32.9</v>
      </c>
      <c r="G126">
        <v>48.93</v>
      </c>
      <c r="H126">
        <v>24.03</v>
      </c>
      <c r="I126">
        <v>59.36</v>
      </c>
      <c r="J126">
        <v>59.24</v>
      </c>
      <c r="K126">
        <v>73.87</v>
      </c>
      <c r="L126">
        <v>27.08</v>
      </c>
      <c r="M126">
        <v>55.7</v>
      </c>
      <c r="N126">
        <v>61.53</v>
      </c>
      <c r="O126">
        <v>54.75</v>
      </c>
      <c r="P126">
        <v>57.81</v>
      </c>
      <c r="Q126">
        <v>19.12</v>
      </c>
      <c r="R126">
        <v>1121.1300000000001</v>
      </c>
      <c r="S126">
        <v>33.93</v>
      </c>
      <c r="T126">
        <v>19.899999999999999</v>
      </c>
      <c r="U126">
        <v>15.35</v>
      </c>
      <c r="V126">
        <v>37.82</v>
      </c>
      <c r="W126">
        <v>46.367600000000003</v>
      </c>
      <c r="X126">
        <v>26.37</v>
      </c>
      <c r="Y126">
        <v>46.71</v>
      </c>
      <c r="Z126">
        <v>42.42</v>
      </c>
      <c r="AA126">
        <v>72.61</v>
      </c>
      <c r="AB126">
        <v>54.51</v>
      </c>
      <c r="AC126">
        <v>40.01</v>
      </c>
      <c r="AD126">
        <v>564.16999999999996</v>
      </c>
      <c r="AE126">
        <v>628.77</v>
      </c>
      <c r="AF126">
        <v>43.03</v>
      </c>
      <c r="AG126">
        <v>53.41</v>
      </c>
      <c r="AH126">
        <v>45.25</v>
      </c>
      <c r="AI126">
        <v>48.03</v>
      </c>
    </row>
    <row r="127" spans="1:35" x14ac:dyDescent="0.45">
      <c r="A127" s="2">
        <v>45856</v>
      </c>
      <c r="B127">
        <v>29.73</v>
      </c>
      <c r="C127">
        <v>30.16</v>
      </c>
      <c r="D127">
        <v>17.690000000000001</v>
      </c>
      <c r="E127">
        <v>26.11</v>
      </c>
      <c r="F127">
        <v>32.86</v>
      </c>
      <c r="G127">
        <v>48.32</v>
      </c>
      <c r="H127">
        <v>23.93</v>
      </c>
      <c r="I127">
        <v>59.24</v>
      </c>
      <c r="J127">
        <v>59.46</v>
      </c>
      <c r="K127">
        <v>72.39</v>
      </c>
      <c r="L127">
        <v>26.85</v>
      </c>
      <c r="M127">
        <v>54.81</v>
      </c>
      <c r="N127">
        <v>61.2</v>
      </c>
      <c r="O127">
        <v>54.5</v>
      </c>
      <c r="P127">
        <v>57.45</v>
      </c>
      <c r="Q127">
        <v>18.91</v>
      </c>
      <c r="R127">
        <v>1110.4000000000001</v>
      </c>
      <c r="S127">
        <v>32.994999999999997</v>
      </c>
      <c r="T127">
        <v>19.98</v>
      </c>
      <c r="U127">
        <v>15.574999999999999</v>
      </c>
      <c r="V127">
        <v>38.130000000000003</v>
      </c>
      <c r="W127">
        <v>45.695</v>
      </c>
      <c r="X127">
        <v>26.45</v>
      </c>
      <c r="Y127">
        <v>46.59</v>
      </c>
      <c r="Z127">
        <v>42.13</v>
      </c>
      <c r="AA127">
        <v>71.81</v>
      </c>
      <c r="AB127">
        <v>54.48</v>
      </c>
      <c r="AC127">
        <v>39.799999999999997</v>
      </c>
      <c r="AD127">
        <v>561.26</v>
      </c>
      <c r="AE127">
        <v>627.58000000000004</v>
      </c>
      <c r="AF127">
        <v>42.92</v>
      </c>
      <c r="AG127">
        <v>53.46</v>
      </c>
      <c r="AH127">
        <v>44.65</v>
      </c>
      <c r="AI127">
        <v>47.79</v>
      </c>
    </row>
    <row r="128" spans="1:35" x14ac:dyDescent="0.45">
      <c r="A128" s="2">
        <v>45855</v>
      </c>
      <c r="B128">
        <v>29.6</v>
      </c>
      <c r="C128">
        <v>30.23</v>
      </c>
      <c r="D128">
        <v>17.760000000000002</v>
      </c>
      <c r="E128">
        <v>26.08</v>
      </c>
      <c r="F128">
        <v>32.340000000000003</v>
      </c>
      <c r="G128">
        <v>48.2014</v>
      </c>
      <c r="H128">
        <v>23.93</v>
      </c>
      <c r="I128">
        <v>59.48</v>
      </c>
      <c r="J128">
        <v>59.79</v>
      </c>
      <c r="K128">
        <v>73.06</v>
      </c>
      <c r="L128">
        <v>27.69</v>
      </c>
      <c r="M128">
        <v>53.57</v>
      </c>
      <c r="N128">
        <v>61.52</v>
      </c>
      <c r="O128">
        <v>55.01</v>
      </c>
      <c r="P128">
        <v>56.92</v>
      </c>
      <c r="Q128">
        <v>18.96</v>
      </c>
      <c r="R128">
        <v>1115.6500000000001</v>
      </c>
      <c r="S128">
        <v>33.15</v>
      </c>
      <c r="T128">
        <v>20.05</v>
      </c>
      <c r="U128">
        <v>15.67</v>
      </c>
      <c r="V128">
        <v>38.17</v>
      </c>
      <c r="W128">
        <v>45.872</v>
      </c>
      <c r="X128">
        <v>26.28</v>
      </c>
      <c r="Y128">
        <v>46.71</v>
      </c>
      <c r="Z128">
        <v>42.35</v>
      </c>
      <c r="AA128">
        <v>72.39</v>
      </c>
      <c r="AB128">
        <v>54.36</v>
      </c>
      <c r="AC128">
        <v>39.83</v>
      </c>
      <c r="AD128">
        <v>561.79999999999995</v>
      </c>
      <c r="AE128">
        <v>628.04</v>
      </c>
      <c r="AF128">
        <v>42.98</v>
      </c>
      <c r="AG128">
        <v>53.51</v>
      </c>
      <c r="AH128">
        <v>44.98</v>
      </c>
      <c r="AI128">
        <v>47.75</v>
      </c>
    </row>
    <row r="129" spans="1:35" x14ac:dyDescent="0.45">
      <c r="A129" s="2">
        <v>45854</v>
      </c>
      <c r="B129">
        <v>29.26</v>
      </c>
      <c r="C129">
        <v>29.77</v>
      </c>
      <c r="D129">
        <v>17.7</v>
      </c>
      <c r="E129">
        <v>26.35</v>
      </c>
      <c r="F129">
        <v>31.97</v>
      </c>
      <c r="G129">
        <v>48.003799999999998</v>
      </c>
      <c r="H129">
        <v>23.71</v>
      </c>
      <c r="I129">
        <v>58.98</v>
      </c>
      <c r="J129">
        <v>59.77</v>
      </c>
      <c r="K129">
        <v>73.08</v>
      </c>
      <c r="L129">
        <v>27.57</v>
      </c>
      <c r="M129">
        <v>53.43</v>
      </c>
      <c r="N129">
        <v>60.8</v>
      </c>
      <c r="O129">
        <v>55.27</v>
      </c>
      <c r="P129">
        <v>56.51</v>
      </c>
      <c r="Q129">
        <v>18.779</v>
      </c>
      <c r="R129">
        <v>1123</v>
      </c>
      <c r="S129">
        <v>32.5</v>
      </c>
      <c r="T129">
        <v>19.86</v>
      </c>
      <c r="U129">
        <v>15.41</v>
      </c>
      <c r="V129">
        <v>38.1</v>
      </c>
      <c r="W129">
        <v>45.56</v>
      </c>
      <c r="X129">
        <v>26.19</v>
      </c>
      <c r="Y129">
        <v>46.47</v>
      </c>
      <c r="Z129">
        <v>42.18</v>
      </c>
      <c r="AA129">
        <v>72.02</v>
      </c>
      <c r="AB129">
        <v>54.55</v>
      </c>
      <c r="AC129">
        <v>39.85</v>
      </c>
      <c r="AD129">
        <v>557.29</v>
      </c>
      <c r="AE129">
        <v>624.22</v>
      </c>
      <c r="AF129">
        <v>42.74</v>
      </c>
      <c r="AG129">
        <v>53.47</v>
      </c>
      <c r="AH129">
        <v>44.63</v>
      </c>
      <c r="AI129">
        <v>47.76</v>
      </c>
    </row>
    <row r="130" spans="1:35" x14ac:dyDescent="0.45">
      <c r="A130" s="2">
        <v>45853</v>
      </c>
      <c r="B130">
        <v>29.29</v>
      </c>
      <c r="C130">
        <v>29.89</v>
      </c>
      <c r="D130">
        <v>17.72</v>
      </c>
      <c r="E130">
        <v>26.96</v>
      </c>
      <c r="F130">
        <v>31.66</v>
      </c>
      <c r="G130">
        <v>48.12</v>
      </c>
      <c r="H130">
        <v>23.8</v>
      </c>
      <c r="I130">
        <v>58.27</v>
      </c>
      <c r="J130">
        <v>59.38</v>
      </c>
      <c r="K130">
        <v>73.069999999999993</v>
      </c>
      <c r="L130">
        <v>27.47</v>
      </c>
      <c r="M130">
        <v>52.86</v>
      </c>
      <c r="N130">
        <v>60.25</v>
      </c>
      <c r="O130">
        <v>54.875</v>
      </c>
      <c r="P130">
        <v>56.68</v>
      </c>
      <c r="Q130">
        <v>18.690000000000001</v>
      </c>
      <c r="R130">
        <v>1119.94</v>
      </c>
      <c r="S130">
        <v>32.840000000000003</v>
      </c>
      <c r="T130">
        <v>19.41</v>
      </c>
      <c r="U130">
        <v>15.04</v>
      </c>
      <c r="V130">
        <v>38.090000000000003</v>
      </c>
      <c r="W130">
        <v>44.89</v>
      </c>
      <c r="X130">
        <v>26.07</v>
      </c>
      <c r="Y130">
        <v>46.04</v>
      </c>
      <c r="Z130">
        <v>41.82</v>
      </c>
      <c r="AA130">
        <v>71.69</v>
      </c>
      <c r="AB130">
        <v>54.18</v>
      </c>
      <c r="AC130">
        <v>39.590000000000003</v>
      </c>
      <c r="AD130">
        <v>556.72</v>
      </c>
      <c r="AE130">
        <v>622.14</v>
      </c>
      <c r="AF130">
        <v>42.56</v>
      </c>
      <c r="AG130">
        <v>54.45</v>
      </c>
      <c r="AH130">
        <v>44.69</v>
      </c>
      <c r="AI130">
        <v>47.32</v>
      </c>
    </row>
    <row r="131" spans="1:35" x14ac:dyDescent="0.45">
      <c r="A131" s="2">
        <v>45852</v>
      </c>
      <c r="B131">
        <v>29.395</v>
      </c>
      <c r="C131">
        <v>30.21</v>
      </c>
      <c r="D131">
        <v>17.63</v>
      </c>
      <c r="E131">
        <v>27.36</v>
      </c>
      <c r="F131">
        <v>32.14</v>
      </c>
      <c r="G131">
        <v>48.69</v>
      </c>
      <c r="H131">
        <v>24.09</v>
      </c>
      <c r="I131">
        <v>57.81</v>
      </c>
      <c r="J131">
        <v>59.61</v>
      </c>
      <c r="K131">
        <v>73.2</v>
      </c>
      <c r="L131">
        <v>27.31</v>
      </c>
      <c r="M131">
        <v>52.99</v>
      </c>
      <c r="N131">
        <v>60.82</v>
      </c>
      <c r="O131">
        <v>54.92</v>
      </c>
      <c r="P131">
        <v>55.55</v>
      </c>
      <c r="Q131">
        <v>18.71</v>
      </c>
      <c r="R131">
        <v>1127.21</v>
      </c>
      <c r="S131">
        <v>32.97</v>
      </c>
      <c r="T131">
        <v>19.37</v>
      </c>
      <c r="U131">
        <v>15.24</v>
      </c>
      <c r="V131">
        <v>38.65</v>
      </c>
      <c r="W131">
        <v>45.49</v>
      </c>
      <c r="X131">
        <v>26.39</v>
      </c>
      <c r="Y131">
        <v>46.44</v>
      </c>
      <c r="Z131">
        <v>42.35</v>
      </c>
      <c r="AA131">
        <v>72.41</v>
      </c>
      <c r="AB131">
        <v>54.71</v>
      </c>
      <c r="AC131">
        <v>40.03</v>
      </c>
      <c r="AD131">
        <v>556.21</v>
      </c>
      <c r="AE131">
        <v>624.80999999999995</v>
      </c>
      <c r="AF131">
        <v>43.12</v>
      </c>
      <c r="AG131">
        <v>54.4</v>
      </c>
      <c r="AH131">
        <v>45.3</v>
      </c>
      <c r="AI131">
        <v>48.16</v>
      </c>
    </row>
    <row r="132" spans="1:35" x14ac:dyDescent="0.45">
      <c r="A132" s="2">
        <v>45849</v>
      </c>
      <c r="B132">
        <v>29.2</v>
      </c>
      <c r="C132">
        <v>30.51</v>
      </c>
      <c r="D132">
        <v>17.87</v>
      </c>
      <c r="E132">
        <v>27.13</v>
      </c>
      <c r="F132">
        <v>31.95</v>
      </c>
      <c r="G132">
        <v>48.83</v>
      </c>
      <c r="H132">
        <v>24.08</v>
      </c>
      <c r="I132">
        <v>58.3</v>
      </c>
      <c r="J132">
        <v>60.13</v>
      </c>
      <c r="K132">
        <v>72.56</v>
      </c>
      <c r="L132">
        <v>27.53</v>
      </c>
      <c r="M132">
        <v>52.98</v>
      </c>
      <c r="N132">
        <v>60.99</v>
      </c>
      <c r="O132">
        <v>54.88</v>
      </c>
      <c r="P132">
        <v>54.95</v>
      </c>
      <c r="Q132">
        <v>18.73</v>
      </c>
      <c r="R132">
        <v>1115.69</v>
      </c>
      <c r="S132">
        <v>33.17</v>
      </c>
      <c r="T132">
        <v>19.21</v>
      </c>
      <c r="U132">
        <v>15.22</v>
      </c>
      <c r="V132">
        <v>38.89</v>
      </c>
      <c r="W132">
        <v>45.76</v>
      </c>
      <c r="X132">
        <v>26.36</v>
      </c>
      <c r="Y132">
        <v>46.13</v>
      </c>
      <c r="Z132">
        <v>42.45</v>
      </c>
      <c r="AA132">
        <v>72.36</v>
      </c>
      <c r="AB132">
        <v>54.7</v>
      </c>
      <c r="AC132">
        <v>39.92</v>
      </c>
      <c r="AD132">
        <v>554.20000000000005</v>
      </c>
      <c r="AE132">
        <v>623.62</v>
      </c>
      <c r="AF132">
        <v>43.28</v>
      </c>
      <c r="AG132">
        <v>54.41</v>
      </c>
      <c r="AH132">
        <v>45.57</v>
      </c>
      <c r="AI132">
        <v>47.99</v>
      </c>
    </row>
    <row r="133" spans="1:35" x14ac:dyDescent="0.45">
      <c r="A133" s="2">
        <v>45848</v>
      </c>
      <c r="B133">
        <v>29.32</v>
      </c>
      <c r="C133">
        <v>31.1</v>
      </c>
      <c r="D133">
        <v>17.760000000000002</v>
      </c>
      <c r="E133">
        <v>27.19</v>
      </c>
      <c r="F133">
        <v>32.049999999999997</v>
      </c>
      <c r="G133">
        <v>49.12</v>
      </c>
      <c r="H133">
        <v>24.11</v>
      </c>
      <c r="I133">
        <v>58.38</v>
      </c>
      <c r="J133">
        <v>60.29</v>
      </c>
      <c r="K133">
        <v>73.14</v>
      </c>
      <c r="L133">
        <v>27.72</v>
      </c>
      <c r="M133">
        <v>53.95</v>
      </c>
      <c r="N133">
        <v>61.32</v>
      </c>
      <c r="O133">
        <v>55.27</v>
      </c>
      <c r="P133">
        <v>55.01</v>
      </c>
      <c r="Q133">
        <v>18.75</v>
      </c>
      <c r="R133">
        <v>1110.01</v>
      </c>
      <c r="S133">
        <v>33.25</v>
      </c>
      <c r="T133">
        <v>19.079999999999998</v>
      </c>
      <c r="U133">
        <v>15.12</v>
      </c>
      <c r="V133">
        <v>39</v>
      </c>
      <c r="W133">
        <v>46.01</v>
      </c>
      <c r="X133">
        <v>26.58</v>
      </c>
      <c r="Y133">
        <v>46.41</v>
      </c>
      <c r="Z133">
        <v>42.86</v>
      </c>
      <c r="AA133">
        <v>72.94</v>
      </c>
      <c r="AB133">
        <v>55.45</v>
      </c>
      <c r="AC133">
        <v>40.270000000000003</v>
      </c>
      <c r="AD133">
        <v>555.45000000000005</v>
      </c>
      <c r="AE133">
        <v>625.82000000000005</v>
      </c>
      <c r="AF133">
        <v>43.75</v>
      </c>
      <c r="AG133">
        <v>54.63</v>
      </c>
      <c r="AH133">
        <v>46.39</v>
      </c>
      <c r="AI133">
        <v>48.53</v>
      </c>
    </row>
    <row r="134" spans="1:35" x14ac:dyDescent="0.45">
      <c r="A134" s="2">
        <v>45847</v>
      </c>
      <c r="B134">
        <v>29.07</v>
      </c>
      <c r="C134">
        <v>31.04</v>
      </c>
      <c r="D134">
        <v>17.47</v>
      </c>
      <c r="E134">
        <v>27.15</v>
      </c>
      <c r="F134">
        <v>32.72</v>
      </c>
      <c r="G134">
        <v>48.81</v>
      </c>
      <c r="H134">
        <v>23.98</v>
      </c>
      <c r="I134">
        <v>58.03</v>
      </c>
      <c r="J134">
        <v>60.28</v>
      </c>
      <c r="K134">
        <v>72.08</v>
      </c>
      <c r="L134">
        <v>28.16</v>
      </c>
      <c r="M134">
        <v>54</v>
      </c>
      <c r="N134">
        <v>61.08</v>
      </c>
      <c r="O134">
        <v>55.66</v>
      </c>
      <c r="P134">
        <v>54.58</v>
      </c>
      <c r="Q134">
        <v>18.75</v>
      </c>
      <c r="R134">
        <v>1089.56</v>
      </c>
      <c r="S134">
        <v>32.79</v>
      </c>
      <c r="T134">
        <v>19.13</v>
      </c>
      <c r="U134">
        <v>14.89</v>
      </c>
      <c r="V134">
        <v>38.89</v>
      </c>
      <c r="W134">
        <v>46.07</v>
      </c>
      <c r="X134">
        <v>26.24</v>
      </c>
      <c r="Y134">
        <v>46.13</v>
      </c>
      <c r="Z134">
        <v>43.26</v>
      </c>
      <c r="AA134">
        <v>73.3</v>
      </c>
      <c r="AB134">
        <v>55.28</v>
      </c>
      <c r="AC134">
        <v>40.01</v>
      </c>
      <c r="AD134">
        <v>556.25</v>
      </c>
      <c r="AE134">
        <v>624.05999999999995</v>
      </c>
      <c r="AF134">
        <v>43.84</v>
      </c>
      <c r="AG134">
        <v>54.58</v>
      </c>
      <c r="AH134">
        <v>46.05</v>
      </c>
      <c r="AI134">
        <v>49.17</v>
      </c>
    </row>
    <row r="135" spans="1:35" x14ac:dyDescent="0.45">
      <c r="A135" s="2">
        <v>45846</v>
      </c>
      <c r="B135">
        <v>29.12</v>
      </c>
      <c r="C135">
        <v>31.41</v>
      </c>
      <c r="D135">
        <v>17.309999999999999</v>
      </c>
      <c r="E135">
        <v>26.78</v>
      </c>
      <c r="F135">
        <v>32.619999999999997</v>
      </c>
      <c r="G135">
        <v>49.3</v>
      </c>
      <c r="H135">
        <v>23.95</v>
      </c>
      <c r="I135">
        <v>57.66</v>
      </c>
      <c r="J135">
        <v>60.89</v>
      </c>
      <c r="K135">
        <v>72.08</v>
      </c>
      <c r="L135">
        <v>28.71</v>
      </c>
      <c r="M135">
        <v>53.81</v>
      </c>
      <c r="N135">
        <v>60.9</v>
      </c>
      <c r="O135">
        <v>55.69</v>
      </c>
      <c r="P135">
        <v>55.13</v>
      </c>
      <c r="Q135">
        <v>18.73</v>
      </c>
      <c r="R135">
        <v>1082.42</v>
      </c>
      <c r="S135">
        <v>32.119999999999997</v>
      </c>
      <c r="T135">
        <v>18.84</v>
      </c>
      <c r="U135">
        <v>14.51</v>
      </c>
      <c r="V135">
        <v>38.9</v>
      </c>
      <c r="W135">
        <v>45.98</v>
      </c>
      <c r="X135">
        <v>26.14</v>
      </c>
      <c r="Y135">
        <v>46</v>
      </c>
      <c r="Z135">
        <v>42.59</v>
      </c>
      <c r="AA135">
        <v>73.19</v>
      </c>
      <c r="AB135">
        <v>54.82</v>
      </c>
      <c r="AC135">
        <v>39.79</v>
      </c>
      <c r="AD135">
        <v>552.34</v>
      </c>
      <c r="AE135">
        <v>620.34</v>
      </c>
      <c r="AF135">
        <v>43.27</v>
      </c>
      <c r="AG135">
        <v>54.33</v>
      </c>
      <c r="AH135">
        <v>45.55</v>
      </c>
      <c r="AI135">
        <v>48.34</v>
      </c>
    </row>
    <row r="136" spans="1:35" x14ac:dyDescent="0.45">
      <c r="A136" s="2">
        <v>45845</v>
      </c>
      <c r="B136">
        <v>28.86</v>
      </c>
      <c r="C136">
        <v>31.02</v>
      </c>
      <c r="D136">
        <v>17.34</v>
      </c>
      <c r="E136">
        <v>26.72</v>
      </c>
      <c r="F136">
        <v>32.25</v>
      </c>
      <c r="G136">
        <v>49.62</v>
      </c>
      <c r="H136">
        <v>23.93</v>
      </c>
      <c r="I136">
        <v>57.63</v>
      </c>
      <c r="J136">
        <v>61.11</v>
      </c>
      <c r="K136">
        <v>70.069999999999993</v>
      </c>
      <c r="L136">
        <v>28.6</v>
      </c>
      <c r="M136">
        <v>53.84</v>
      </c>
      <c r="N136">
        <v>59.12</v>
      </c>
      <c r="O136">
        <v>55.36</v>
      </c>
      <c r="P136">
        <v>54.62</v>
      </c>
      <c r="Q136">
        <v>18.68</v>
      </c>
      <c r="R136">
        <v>1106.73</v>
      </c>
      <c r="S136">
        <v>32.44</v>
      </c>
      <c r="T136">
        <v>18.86</v>
      </c>
      <c r="U136">
        <v>14.18</v>
      </c>
      <c r="V136">
        <v>39.08</v>
      </c>
      <c r="W136">
        <v>45.5</v>
      </c>
      <c r="X136">
        <v>25.98</v>
      </c>
      <c r="Y136">
        <v>46.18</v>
      </c>
      <c r="Z136">
        <v>42.23</v>
      </c>
      <c r="AA136">
        <v>72.819999999999993</v>
      </c>
      <c r="AB136">
        <v>54.53</v>
      </c>
      <c r="AC136">
        <v>39.42</v>
      </c>
      <c r="AD136">
        <v>552.03</v>
      </c>
      <c r="AE136">
        <v>620.67999999999995</v>
      </c>
      <c r="AF136">
        <v>42.68</v>
      </c>
      <c r="AG136">
        <v>53.98</v>
      </c>
      <c r="AH136">
        <v>45.52</v>
      </c>
      <c r="AI136">
        <v>47.87</v>
      </c>
    </row>
    <row r="137" spans="1:35" x14ac:dyDescent="0.45">
      <c r="A137" s="2">
        <v>45841</v>
      </c>
      <c r="B137">
        <v>28.91</v>
      </c>
      <c r="C137">
        <v>31.82</v>
      </c>
      <c r="D137">
        <v>17.47</v>
      </c>
      <c r="E137">
        <v>27.08</v>
      </c>
      <c r="F137">
        <v>32.82</v>
      </c>
      <c r="G137">
        <v>50.06</v>
      </c>
      <c r="H137">
        <v>24.41</v>
      </c>
      <c r="I137">
        <v>59.44</v>
      </c>
      <c r="J137">
        <v>61.7</v>
      </c>
      <c r="K137">
        <v>72.7</v>
      </c>
      <c r="L137">
        <v>29.31</v>
      </c>
      <c r="M137">
        <v>54.79</v>
      </c>
      <c r="N137">
        <v>59.72</v>
      </c>
      <c r="O137">
        <v>55.79</v>
      </c>
      <c r="P137">
        <v>54.72</v>
      </c>
      <c r="Q137">
        <v>18.63</v>
      </c>
      <c r="R137">
        <v>1107.69</v>
      </c>
      <c r="S137">
        <v>33.04</v>
      </c>
      <c r="T137">
        <v>18.84</v>
      </c>
      <c r="U137">
        <v>13.96</v>
      </c>
      <c r="V137">
        <v>38.89</v>
      </c>
      <c r="W137">
        <v>45.96</v>
      </c>
      <c r="X137">
        <v>26.48</v>
      </c>
      <c r="Y137">
        <v>46.67</v>
      </c>
      <c r="Z137">
        <v>42.21</v>
      </c>
      <c r="AA137">
        <v>74.599999999999994</v>
      </c>
      <c r="AB137">
        <v>54.9</v>
      </c>
      <c r="AC137">
        <v>39.82</v>
      </c>
      <c r="AD137">
        <v>556.22</v>
      </c>
      <c r="AE137">
        <v>625.34</v>
      </c>
      <c r="AF137">
        <v>43.08</v>
      </c>
      <c r="AG137">
        <v>54.29</v>
      </c>
      <c r="AH137">
        <v>45.62</v>
      </c>
      <c r="AI137">
        <v>48.21</v>
      </c>
    </row>
    <row r="138" spans="1:35" x14ac:dyDescent="0.45">
      <c r="A138" s="2">
        <v>45840</v>
      </c>
      <c r="B138">
        <v>28.7</v>
      </c>
      <c r="C138">
        <v>31.85</v>
      </c>
      <c r="D138">
        <v>17.48</v>
      </c>
      <c r="E138">
        <v>27</v>
      </c>
      <c r="F138">
        <v>32.19</v>
      </c>
      <c r="G138">
        <v>49.75</v>
      </c>
      <c r="H138">
        <v>24.41</v>
      </c>
      <c r="I138">
        <v>58.75</v>
      </c>
      <c r="J138">
        <v>61.59</v>
      </c>
      <c r="K138">
        <v>71.95</v>
      </c>
      <c r="L138">
        <v>28.91</v>
      </c>
      <c r="M138">
        <v>54.31</v>
      </c>
      <c r="N138">
        <v>59.34</v>
      </c>
      <c r="O138">
        <v>55.6</v>
      </c>
      <c r="P138">
        <v>55</v>
      </c>
      <c r="Q138">
        <v>18.559999999999999</v>
      </c>
      <c r="R138">
        <v>1100.01</v>
      </c>
      <c r="S138">
        <v>33.07</v>
      </c>
      <c r="T138">
        <v>18.600000000000001</v>
      </c>
      <c r="U138">
        <v>13.76</v>
      </c>
      <c r="V138">
        <v>38.44</v>
      </c>
      <c r="W138">
        <v>46.265000000000001</v>
      </c>
      <c r="X138">
        <v>26.54</v>
      </c>
      <c r="Y138">
        <v>46.33</v>
      </c>
      <c r="Z138">
        <v>42.17</v>
      </c>
      <c r="AA138">
        <v>74.459999999999994</v>
      </c>
      <c r="AB138">
        <v>55.27</v>
      </c>
      <c r="AC138">
        <v>39.61</v>
      </c>
      <c r="AD138">
        <v>550.79999999999995</v>
      </c>
      <c r="AE138">
        <v>620.45000000000005</v>
      </c>
      <c r="AF138">
        <v>43.27</v>
      </c>
      <c r="AG138">
        <v>54.3</v>
      </c>
      <c r="AH138">
        <v>45.51</v>
      </c>
      <c r="AI138">
        <v>48.29</v>
      </c>
    </row>
    <row r="139" spans="1:35" x14ac:dyDescent="0.45">
      <c r="A139" s="2">
        <v>45839</v>
      </c>
      <c r="B139">
        <v>28.71</v>
      </c>
      <c r="C139">
        <v>31.51</v>
      </c>
      <c r="D139">
        <v>17.489999999999998</v>
      </c>
      <c r="E139">
        <v>27.14</v>
      </c>
      <c r="F139">
        <v>32.06</v>
      </c>
      <c r="G139">
        <v>48.857199999999999</v>
      </c>
      <c r="H139">
        <v>24.38</v>
      </c>
      <c r="I139">
        <v>57.58</v>
      </c>
      <c r="J139">
        <v>61.12</v>
      </c>
      <c r="K139">
        <v>71.64</v>
      </c>
      <c r="L139">
        <v>28.79</v>
      </c>
      <c r="M139">
        <v>54.21</v>
      </c>
      <c r="N139">
        <v>58.63</v>
      </c>
      <c r="O139">
        <v>55.84</v>
      </c>
      <c r="P139">
        <v>55.27</v>
      </c>
      <c r="Q139">
        <v>18.579999999999998</v>
      </c>
      <c r="R139">
        <v>1062.78</v>
      </c>
      <c r="S139">
        <v>32.479999999999997</v>
      </c>
      <c r="T139">
        <v>18.66</v>
      </c>
      <c r="U139">
        <v>13.72</v>
      </c>
      <c r="V139">
        <v>38.25</v>
      </c>
      <c r="W139">
        <v>45.96</v>
      </c>
      <c r="X139">
        <v>26.35</v>
      </c>
      <c r="Y139">
        <v>46.19</v>
      </c>
      <c r="Z139">
        <v>42.01</v>
      </c>
      <c r="AA139">
        <v>74.42</v>
      </c>
      <c r="AB139">
        <v>54.98</v>
      </c>
      <c r="AC139">
        <v>39.85</v>
      </c>
      <c r="AD139">
        <v>546.99</v>
      </c>
      <c r="AE139">
        <v>617.65</v>
      </c>
      <c r="AF139">
        <v>42.87</v>
      </c>
      <c r="AG139">
        <v>54.07</v>
      </c>
      <c r="AH139">
        <v>45.19</v>
      </c>
      <c r="AI139">
        <v>48.05</v>
      </c>
    </row>
    <row r="140" spans="1:35" x14ac:dyDescent="0.45">
      <c r="A140" s="2">
        <v>45838</v>
      </c>
      <c r="B140">
        <v>28.71</v>
      </c>
      <c r="C140">
        <v>31.45</v>
      </c>
      <c r="D140">
        <v>17.63</v>
      </c>
      <c r="E140">
        <v>27.12</v>
      </c>
      <c r="F140">
        <v>32.26</v>
      </c>
      <c r="G140">
        <v>48.59</v>
      </c>
      <c r="H140">
        <v>24.34</v>
      </c>
      <c r="I140">
        <v>57.4</v>
      </c>
      <c r="J140">
        <v>60.56</v>
      </c>
      <c r="K140">
        <v>71.78</v>
      </c>
      <c r="L140">
        <v>28.85</v>
      </c>
      <c r="M140">
        <v>53.75</v>
      </c>
      <c r="N140">
        <v>58.04</v>
      </c>
      <c r="O140">
        <v>55.68</v>
      </c>
      <c r="P140">
        <v>55.1</v>
      </c>
      <c r="Q140">
        <v>18.62</v>
      </c>
      <c r="R140">
        <v>1067.6300000000001</v>
      </c>
      <c r="S140">
        <v>32.26</v>
      </c>
      <c r="T140">
        <v>18.72</v>
      </c>
      <c r="U140">
        <v>13.75</v>
      </c>
      <c r="V140">
        <v>38.54</v>
      </c>
      <c r="W140">
        <v>45.61</v>
      </c>
      <c r="X140">
        <v>26.32</v>
      </c>
      <c r="Y140">
        <v>46.2</v>
      </c>
      <c r="Z140">
        <v>42.31</v>
      </c>
      <c r="AA140">
        <v>74.97</v>
      </c>
      <c r="AB140">
        <v>54.81</v>
      </c>
      <c r="AC140">
        <v>39.72</v>
      </c>
      <c r="AD140">
        <v>551.64</v>
      </c>
      <c r="AE140">
        <v>617.85</v>
      </c>
      <c r="AF140">
        <v>42.8</v>
      </c>
      <c r="AG140">
        <v>54.5</v>
      </c>
      <c r="AH140">
        <v>45.74</v>
      </c>
      <c r="AI140">
        <v>48.14</v>
      </c>
    </row>
    <row r="141" spans="1:35" x14ac:dyDescent="0.45">
      <c r="A141" s="2">
        <v>45835</v>
      </c>
      <c r="B141">
        <v>28.46</v>
      </c>
      <c r="C141">
        <v>31.05</v>
      </c>
      <c r="D141">
        <v>17.489999999999998</v>
      </c>
      <c r="E141">
        <v>27.23</v>
      </c>
      <c r="F141">
        <v>31.69</v>
      </c>
      <c r="G141">
        <v>48.49</v>
      </c>
      <c r="H141">
        <v>24.07</v>
      </c>
      <c r="I141">
        <v>57.85</v>
      </c>
      <c r="J141">
        <v>60.32</v>
      </c>
      <c r="K141">
        <v>70.739999999999995</v>
      </c>
      <c r="L141">
        <v>28.14</v>
      </c>
      <c r="M141">
        <v>52.64</v>
      </c>
      <c r="N141">
        <v>58.17</v>
      </c>
      <c r="O141">
        <v>55.86</v>
      </c>
      <c r="P141">
        <v>55.18</v>
      </c>
      <c r="Q141">
        <v>18.57</v>
      </c>
      <c r="R141">
        <v>1068.73</v>
      </c>
      <c r="S141">
        <v>30.49</v>
      </c>
      <c r="T141">
        <v>18.57</v>
      </c>
      <c r="U141">
        <v>13.73</v>
      </c>
      <c r="V141">
        <v>38.26</v>
      </c>
      <c r="W141">
        <v>45.37</v>
      </c>
      <c r="X141">
        <v>26.09</v>
      </c>
      <c r="Y141">
        <v>45.58</v>
      </c>
      <c r="Z141">
        <v>42.3</v>
      </c>
      <c r="AA141">
        <v>75.28</v>
      </c>
      <c r="AB141">
        <v>54.63</v>
      </c>
      <c r="AC141">
        <v>39.72</v>
      </c>
      <c r="AD141">
        <v>548.09</v>
      </c>
      <c r="AE141">
        <v>614.91</v>
      </c>
      <c r="AF141">
        <v>42.61</v>
      </c>
      <c r="AG141">
        <v>54.36</v>
      </c>
      <c r="AH141">
        <v>46.02</v>
      </c>
      <c r="AI141">
        <v>47.86</v>
      </c>
    </row>
    <row r="142" spans="1:35" x14ac:dyDescent="0.45">
      <c r="A142" s="2">
        <v>45834</v>
      </c>
      <c r="B142">
        <v>28.79</v>
      </c>
      <c r="C142">
        <v>31.26</v>
      </c>
      <c r="D142">
        <v>17.510000000000002</v>
      </c>
      <c r="E142">
        <v>26.85</v>
      </c>
      <c r="F142">
        <v>31.65</v>
      </c>
      <c r="G142">
        <v>49.107799999999997</v>
      </c>
      <c r="H142">
        <v>24.07</v>
      </c>
      <c r="I142">
        <v>57.85</v>
      </c>
      <c r="J142">
        <v>60.31</v>
      </c>
      <c r="K142">
        <v>71.94</v>
      </c>
      <c r="L142">
        <v>28.13</v>
      </c>
      <c r="M142">
        <v>52.98</v>
      </c>
      <c r="N142">
        <v>59.31</v>
      </c>
      <c r="O142">
        <v>55.71</v>
      </c>
      <c r="P142">
        <v>55.54</v>
      </c>
      <c r="Q142">
        <v>18.53</v>
      </c>
      <c r="R142">
        <v>1094.58</v>
      </c>
      <c r="S142">
        <v>30.19</v>
      </c>
      <c r="T142">
        <v>18.5</v>
      </c>
      <c r="U142">
        <v>13.61</v>
      </c>
      <c r="V142">
        <v>38.159999999999997</v>
      </c>
      <c r="W142">
        <v>45.32</v>
      </c>
      <c r="X142">
        <v>26.43</v>
      </c>
      <c r="Y142">
        <v>45.92</v>
      </c>
      <c r="Z142">
        <v>41.64</v>
      </c>
      <c r="AA142">
        <v>73.97</v>
      </c>
      <c r="AB142">
        <v>54.26</v>
      </c>
      <c r="AC142">
        <v>39.69</v>
      </c>
      <c r="AD142">
        <v>546.22</v>
      </c>
      <c r="AE142">
        <v>611.87</v>
      </c>
      <c r="AF142">
        <v>42.14</v>
      </c>
      <c r="AG142">
        <v>53.97</v>
      </c>
      <c r="AH142">
        <v>45.33</v>
      </c>
      <c r="AI142">
        <v>47.5</v>
      </c>
    </row>
    <row r="143" spans="1:35" x14ac:dyDescent="0.45">
      <c r="A143" s="2">
        <v>45833</v>
      </c>
      <c r="B143">
        <v>28.805</v>
      </c>
      <c r="C143">
        <v>30.86</v>
      </c>
      <c r="D143">
        <v>17.18</v>
      </c>
      <c r="E143">
        <v>26.81</v>
      </c>
      <c r="F143">
        <v>30.57</v>
      </c>
      <c r="G143">
        <v>47.315899999999999</v>
      </c>
      <c r="H143">
        <v>23.82</v>
      </c>
      <c r="I143">
        <v>57.31</v>
      </c>
      <c r="J143">
        <v>59.68</v>
      </c>
      <c r="K143">
        <v>72.37</v>
      </c>
      <c r="L143">
        <v>27.57</v>
      </c>
      <c r="M143">
        <v>52.89</v>
      </c>
      <c r="N143">
        <v>58.42</v>
      </c>
      <c r="O143">
        <v>55</v>
      </c>
      <c r="P143">
        <v>55.53</v>
      </c>
      <c r="Q143">
        <v>18.36</v>
      </c>
      <c r="R143">
        <v>1113.58</v>
      </c>
      <c r="S143">
        <v>30.68</v>
      </c>
      <c r="T143">
        <v>18.22</v>
      </c>
      <c r="U143">
        <v>13.54</v>
      </c>
      <c r="V143">
        <v>37.82</v>
      </c>
      <c r="W143">
        <v>44.6</v>
      </c>
      <c r="X143">
        <v>26.03</v>
      </c>
      <c r="Y143">
        <v>45.32</v>
      </c>
      <c r="Z143">
        <v>41.15</v>
      </c>
      <c r="AA143">
        <v>72.44</v>
      </c>
      <c r="AB143">
        <v>53.75</v>
      </c>
      <c r="AC143">
        <v>39.28</v>
      </c>
      <c r="AD143">
        <v>541.16</v>
      </c>
      <c r="AE143">
        <v>607.12</v>
      </c>
      <c r="AF143">
        <v>41.89</v>
      </c>
      <c r="AG143">
        <v>53.8</v>
      </c>
      <c r="AH143">
        <v>44.67</v>
      </c>
      <c r="AI143">
        <v>47.17</v>
      </c>
    </row>
    <row r="144" spans="1:35" x14ac:dyDescent="0.45">
      <c r="A144" s="2">
        <v>45832</v>
      </c>
      <c r="B144">
        <v>28.55</v>
      </c>
      <c r="C144">
        <v>30.96</v>
      </c>
      <c r="D144">
        <v>17.38</v>
      </c>
      <c r="E144">
        <v>26.61</v>
      </c>
      <c r="F144">
        <v>30.56</v>
      </c>
      <c r="G144">
        <v>47.313000000000002</v>
      </c>
      <c r="H144">
        <v>23.77</v>
      </c>
      <c r="I144">
        <v>56.82</v>
      </c>
      <c r="J144">
        <v>59.21</v>
      </c>
      <c r="K144">
        <v>72.650000000000006</v>
      </c>
      <c r="L144">
        <v>27.98</v>
      </c>
      <c r="M144">
        <v>53.46</v>
      </c>
      <c r="N144">
        <v>57.86</v>
      </c>
      <c r="O144">
        <v>54.8</v>
      </c>
      <c r="P144">
        <v>55.57</v>
      </c>
      <c r="Q144">
        <v>18.25</v>
      </c>
      <c r="R144">
        <v>1114.49</v>
      </c>
      <c r="S144">
        <v>30.86</v>
      </c>
      <c r="T144">
        <v>18.3</v>
      </c>
      <c r="U144">
        <v>13.62</v>
      </c>
      <c r="V144">
        <v>37.72</v>
      </c>
      <c r="W144">
        <v>44.79</v>
      </c>
      <c r="X144">
        <v>26.05</v>
      </c>
      <c r="Y144">
        <v>45.62</v>
      </c>
      <c r="Z144">
        <v>41.39</v>
      </c>
      <c r="AA144">
        <v>72.739999999999995</v>
      </c>
      <c r="AB144">
        <v>54.32</v>
      </c>
      <c r="AC144">
        <v>39.409999999999997</v>
      </c>
      <c r="AD144">
        <v>539.78</v>
      </c>
      <c r="AE144">
        <v>606.78</v>
      </c>
      <c r="AF144">
        <v>42.04</v>
      </c>
      <c r="AG144">
        <v>54.16</v>
      </c>
      <c r="AH144">
        <v>44.95</v>
      </c>
      <c r="AI144">
        <v>47.2</v>
      </c>
    </row>
    <row r="145" spans="1:35" x14ac:dyDescent="0.45">
      <c r="A145" s="2">
        <v>45831</v>
      </c>
      <c r="B145">
        <v>28.03</v>
      </c>
      <c r="C145">
        <v>30.03</v>
      </c>
      <c r="D145">
        <v>16.89</v>
      </c>
      <c r="E145">
        <v>25.96</v>
      </c>
      <c r="F145">
        <v>29.51</v>
      </c>
      <c r="G145">
        <v>46.97</v>
      </c>
      <c r="H145">
        <v>23.53</v>
      </c>
      <c r="I145">
        <v>55.18</v>
      </c>
      <c r="J145">
        <v>57.94</v>
      </c>
      <c r="K145">
        <v>69.42</v>
      </c>
      <c r="L145">
        <v>27.66</v>
      </c>
      <c r="M145">
        <v>52.35</v>
      </c>
      <c r="N145">
        <v>56.55</v>
      </c>
      <c r="O145">
        <v>54.31</v>
      </c>
      <c r="P145">
        <v>54.13</v>
      </c>
      <c r="Q145">
        <v>17.96</v>
      </c>
      <c r="R145">
        <v>1122.7</v>
      </c>
      <c r="S145">
        <v>30.08</v>
      </c>
      <c r="T145">
        <v>17.66</v>
      </c>
      <c r="U145">
        <v>13.4</v>
      </c>
      <c r="V145">
        <v>37.1</v>
      </c>
      <c r="W145">
        <v>44.86</v>
      </c>
      <c r="X145">
        <v>25.79</v>
      </c>
      <c r="Y145">
        <v>45.33</v>
      </c>
      <c r="Z145">
        <v>40.75</v>
      </c>
      <c r="AA145">
        <v>72.02</v>
      </c>
      <c r="AB145">
        <v>53.46</v>
      </c>
      <c r="AC145">
        <v>39.17</v>
      </c>
      <c r="AD145">
        <v>531.65</v>
      </c>
      <c r="AE145">
        <v>600.15</v>
      </c>
      <c r="AF145">
        <v>41.57</v>
      </c>
      <c r="AG145">
        <v>53.03</v>
      </c>
      <c r="AH145">
        <v>43.96</v>
      </c>
      <c r="AI145">
        <v>46.45</v>
      </c>
    </row>
    <row r="146" spans="1:35" x14ac:dyDescent="0.45">
      <c r="A146" s="2">
        <v>45828</v>
      </c>
      <c r="B146">
        <v>27.925000000000001</v>
      </c>
      <c r="C146">
        <v>30.1</v>
      </c>
      <c r="D146">
        <v>17.18</v>
      </c>
      <c r="E146">
        <v>26.5</v>
      </c>
      <c r="F146">
        <v>29.72</v>
      </c>
      <c r="G146">
        <v>47.08</v>
      </c>
      <c r="H146">
        <v>23.41</v>
      </c>
      <c r="I146">
        <v>54.84</v>
      </c>
      <c r="J146">
        <v>58.11</v>
      </c>
      <c r="K146">
        <v>68.53</v>
      </c>
      <c r="L146">
        <v>27.67</v>
      </c>
      <c r="M146">
        <v>51.73</v>
      </c>
      <c r="N146">
        <v>54.71</v>
      </c>
      <c r="O146">
        <v>53.9</v>
      </c>
      <c r="P146">
        <v>53.5</v>
      </c>
      <c r="Q146">
        <v>17.72</v>
      </c>
      <c r="R146">
        <v>1128.6199999999999</v>
      </c>
      <c r="S146">
        <v>29.96</v>
      </c>
      <c r="T146">
        <v>17.260000000000002</v>
      </c>
      <c r="U146">
        <v>13.345000000000001</v>
      </c>
      <c r="V146">
        <v>36.56</v>
      </c>
      <c r="W146">
        <v>44.6</v>
      </c>
      <c r="X146">
        <v>25.55</v>
      </c>
      <c r="Y146">
        <v>45.1</v>
      </c>
      <c r="Z146">
        <v>40.340000000000003</v>
      </c>
      <c r="AA146">
        <v>71.760000000000005</v>
      </c>
      <c r="AB146">
        <v>52.68</v>
      </c>
      <c r="AC146">
        <v>38.9</v>
      </c>
      <c r="AD146">
        <v>526.83000000000004</v>
      </c>
      <c r="AE146">
        <v>594.28</v>
      </c>
      <c r="AF146">
        <v>41.29</v>
      </c>
      <c r="AG146">
        <v>51.892699999999998</v>
      </c>
      <c r="AH146">
        <v>43.81</v>
      </c>
      <c r="AI146">
        <v>46.36</v>
      </c>
    </row>
    <row r="147" spans="1:35" x14ac:dyDescent="0.45">
      <c r="A147" s="2">
        <v>45826</v>
      </c>
      <c r="B147">
        <v>27.96</v>
      </c>
      <c r="C147">
        <v>30.34</v>
      </c>
      <c r="D147">
        <v>17.87</v>
      </c>
      <c r="E147">
        <v>26.7</v>
      </c>
      <c r="F147">
        <v>29.36</v>
      </c>
      <c r="G147">
        <v>47.413699999999999</v>
      </c>
      <c r="H147">
        <v>23.59</v>
      </c>
      <c r="I147">
        <v>56.03</v>
      </c>
      <c r="J147">
        <v>58.97</v>
      </c>
      <c r="K147">
        <v>67.87</v>
      </c>
      <c r="L147">
        <v>28.08</v>
      </c>
      <c r="M147">
        <v>51.8</v>
      </c>
      <c r="N147">
        <v>54.58</v>
      </c>
      <c r="O147">
        <v>53.79</v>
      </c>
      <c r="P147">
        <v>53.93</v>
      </c>
      <c r="Q147">
        <v>17.82</v>
      </c>
      <c r="R147">
        <v>1141.58</v>
      </c>
      <c r="S147">
        <v>30.11</v>
      </c>
      <c r="T147">
        <v>16.989999999999998</v>
      </c>
      <c r="U147">
        <v>13.36</v>
      </c>
      <c r="V147">
        <v>36.36</v>
      </c>
      <c r="W147">
        <v>45.08</v>
      </c>
      <c r="X147">
        <v>25.86</v>
      </c>
      <c r="Y147">
        <v>45.32</v>
      </c>
      <c r="Z147">
        <v>40.28</v>
      </c>
      <c r="AA147">
        <v>73.05</v>
      </c>
      <c r="AB147">
        <v>53.25</v>
      </c>
      <c r="AC147">
        <v>39.22</v>
      </c>
      <c r="AD147">
        <v>528.99</v>
      </c>
      <c r="AE147">
        <v>597.44000000000005</v>
      </c>
      <c r="AF147">
        <v>41.67</v>
      </c>
      <c r="AG147">
        <v>52.247599999999998</v>
      </c>
      <c r="AH147">
        <v>43.98</v>
      </c>
      <c r="AI147">
        <v>46.46</v>
      </c>
    </row>
    <row r="148" spans="1:35" x14ac:dyDescent="0.45">
      <c r="A148" s="2">
        <v>45825</v>
      </c>
      <c r="B148">
        <v>28</v>
      </c>
      <c r="C148">
        <v>30.45</v>
      </c>
      <c r="D148">
        <v>18.02</v>
      </c>
      <c r="E148">
        <v>26.98</v>
      </c>
      <c r="F148">
        <v>29.39</v>
      </c>
      <c r="G148">
        <v>47.62</v>
      </c>
      <c r="H148">
        <v>23.53</v>
      </c>
      <c r="I148">
        <v>55.65</v>
      </c>
      <c r="J148">
        <v>58.91</v>
      </c>
      <c r="K148">
        <v>66.63</v>
      </c>
      <c r="L148">
        <v>28.11</v>
      </c>
      <c r="M148">
        <v>51.56</v>
      </c>
      <c r="N148">
        <v>54.88</v>
      </c>
      <c r="O148">
        <v>53.83</v>
      </c>
      <c r="P148">
        <v>54.44</v>
      </c>
      <c r="Q148">
        <v>17.895</v>
      </c>
      <c r="R148">
        <v>1139.1600000000001</v>
      </c>
      <c r="S148">
        <v>30.21</v>
      </c>
      <c r="T148">
        <v>17.239999999999998</v>
      </c>
      <c r="U148">
        <v>13.31</v>
      </c>
      <c r="V148">
        <v>36.83</v>
      </c>
      <c r="W148">
        <v>45.09</v>
      </c>
      <c r="X148">
        <v>25.77</v>
      </c>
      <c r="Y148">
        <v>45.45</v>
      </c>
      <c r="Z148">
        <v>40.4</v>
      </c>
      <c r="AA148">
        <v>72.28</v>
      </c>
      <c r="AB148">
        <v>53.42</v>
      </c>
      <c r="AC148">
        <v>39.200000000000003</v>
      </c>
      <c r="AD148">
        <v>529.08000000000004</v>
      </c>
      <c r="AE148">
        <v>597.53</v>
      </c>
      <c r="AF148">
        <v>41.74</v>
      </c>
      <c r="AG148">
        <v>52.33</v>
      </c>
      <c r="AH148">
        <v>44.43</v>
      </c>
      <c r="AI148">
        <v>46.26</v>
      </c>
    </row>
    <row r="149" spans="1:35" x14ac:dyDescent="0.45">
      <c r="A149" s="2">
        <v>45824</v>
      </c>
      <c r="B149">
        <v>28.12</v>
      </c>
      <c r="C149">
        <v>31.11</v>
      </c>
      <c r="D149">
        <v>18.010000000000002</v>
      </c>
      <c r="E149">
        <v>27.35</v>
      </c>
      <c r="F149">
        <v>29.38</v>
      </c>
      <c r="G149">
        <v>47.7117</v>
      </c>
      <c r="H149">
        <v>23.93</v>
      </c>
      <c r="I149">
        <v>56.46</v>
      </c>
      <c r="J149">
        <v>59.82</v>
      </c>
      <c r="K149">
        <v>68.19</v>
      </c>
      <c r="L149">
        <v>28.31</v>
      </c>
      <c r="M149">
        <v>53.04</v>
      </c>
      <c r="N149">
        <v>55.79</v>
      </c>
      <c r="O149">
        <v>54.56</v>
      </c>
      <c r="P149">
        <v>55.01</v>
      </c>
      <c r="Q149">
        <v>18.045000000000002</v>
      </c>
      <c r="R149">
        <v>1135.24</v>
      </c>
      <c r="S149">
        <v>30.63</v>
      </c>
      <c r="T149">
        <v>17.559999999999999</v>
      </c>
      <c r="U149">
        <v>13.26</v>
      </c>
      <c r="V149">
        <v>37.479999999999997</v>
      </c>
      <c r="W149">
        <v>45.97</v>
      </c>
      <c r="X149">
        <v>26.09</v>
      </c>
      <c r="Y149">
        <v>45.76</v>
      </c>
      <c r="Z149">
        <v>41.13</v>
      </c>
      <c r="AA149">
        <v>73.150000000000006</v>
      </c>
      <c r="AB149">
        <v>53.77</v>
      </c>
      <c r="AC149">
        <v>39.619999999999997</v>
      </c>
      <c r="AD149">
        <v>534.29</v>
      </c>
      <c r="AE149">
        <v>602.67999999999995</v>
      </c>
      <c r="AF149">
        <v>42.21</v>
      </c>
      <c r="AG149">
        <v>53.08</v>
      </c>
      <c r="AH149">
        <v>44.91</v>
      </c>
      <c r="AI149">
        <v>47.21</v>
      </c>
    </row>
    <row r="150" spans="1:35" x14ac:dyDescent="0.45">
      <c r="A150" s="2">
        <v>45821</v>
      </c>
      <c r="B150">
        <v>28.15</v>
      </c>
      <c r="C150">
        <v>31.83</v>
      </c>
      <c r="D150">
        <v>18.62</v>
      </c>
      <c r="E150">
        <v>27.66</v>
      </c>
      <c r="F150">
        <v>29.86</v>
      </c>
      <c r="G150">
        <v>48.2913</v>
      </c>
      <c r="H150">
        <v>24.26</v>
      </c>
      <c r="I150">
        <v>55.85</v>
      </c>
      <c r="J150">
        <v>61.06</v>
      </c>
      <c r="K150">
        <v>66.42</v>
      </c>
      <c r="L150">
        <v>28.14</v>
      </c>
      <c r="M150">
        <v>53.3</v>
      </c>
      <c r="N150">
        <v>56</v>
      </c>
      <c r="O150">
        <v>54.04</v>
      </c>
      <c r="P150">
        <v>54.77</v>
      </c>
      <c r="Q150">
        <v>18.2</v>
      </c>
      <c r="R150">
        <v>1136.43</v>
      </c>
      <c r="S150">
        <v>30.75</v>
      </c>
      <c r="T150">
        <v>17.88</v>
      </c>
      <c r="U150">
        <v>13.02</v>
      </c>
      <c r="V150">
        <v>37.130000000000003</v>
      </c>
      <c r="W150">
        <v>45.19</v>
      </c>
      <c r="X150">
        <v>26.32</v>
      </c>
      <c r="Y150">
        <v>45.88</v>
      </c>
      <c r="Z150">
        <v>41.51</v>
      </c>
      <c r="AA150">
        <v>73.599999999999994</v>
      </c>
      <c r="AB150">
        <v>55.22</v>
      </c>
      <c r="AC150">
        <v>40.42</v>
      </c>
      <c r="AD150">
        <v>526.96</v>
      </c>
      <c r="AE150">
        <v>597</v>
      </c>
      <c r="AF150">
        <v>42.83</v>
      </c>
      <c r="AG150">
        <v>53.54</v>
      </c>
      <c r="AH150">
        <v>45.49</v>
      </c>
      <c r="AI150">
        <v>47.43</v>
      </c>
    </row>
    <row r="151" spans="1:35" x14ac:dyDescent="0.45">
      <c r="A151" s="2">
        <v>45820</v>
      </c>
      <c r="B151">
        <v>28.42</v>
      </c>
      <c r="C151">
        <v>32.51</v>
      </c>
      <c r="D151">
        <v>18.899999999999999</v>
      </c>
      <c r="E151">
        <v>28.08</v>
      </c>
      <c r="F151">
        <v>30.63</v>
      </c>
      <c r="G151">
        <v>48.584800000000001</v>
      </c>
      <c r="H151">
        <v>24.54</v>
      </c>
      <c r="I151">
        <v>56.74</v>
      </c>
      <c r="J151">
        <v>61.57</v>
      </c>
      <c r="K151">
        <v>67.69</v>
      </c>
      <c r="L151">
        <v>28.15</v>
      </c>
      <c r="M151">
        <v>54.77</v>
      </c>
      <c r="N151">
        <v>56.89</v>
      </c>
      <c r="O151">
        <v>54.8</v>
      </c>
      <c r="P151">
        <v>55.79</v>
      </c>
      <c r="Q151">
        <v>18.899999999999999</v>
      </c>
      <c r="R151">
        <v>1140.6300000000001</v>
      </c>
      <c r="S151">
        <v>31.57</v>
      </c>
      <c r="T151">
        <v>18.395</v>
      </c>
      <c r="U151">
        <v>13.36</v>
      </c>
      <c r="V151">
        <v>38.07</v>
      </c>
      <c r="W151">
        <v>46.07</v>
      </c>
      <c r="X151">
        <v>26.64</v>
      </c>
      <c r="Y151">
        <v>46</v>
      </c>
      <c r="Z151">
        <v>42.22</v>
      </c>
      <c r="AA151">
        <v>74.209999999999994</v>
      </c>
      <c r="AB151">
        <v>56.27</v>
      </c>
      <c r="AC151">
        <v>40.78</v>
      </c>
      <c r="AD151">
        <v>533.66</v>
      </c>
      <c r="AE151">
        <v>603.75</v>
      </c>
      <c r="AF151">
        <v>43.57</v>
      </c>
      <c r="AG151">
        <v>54.73</v>
      </c>
      <c r="AH151">
        <v>46.02</v>
      </c>
      <c r="AI151">
        <v>48.25</v>
      </c>
    </row>
    <row r="152" spans="1:35" x14ac:dyDescent="0.45">
      <c r="A152" s="2">
        <v>45819</v>
      </c>
      <c r="B152">
        <v>28.29</v>
      </c>
      <c r="C152">
        <v>32.54</v>
      </c>
      <c r="D152">
        <v>18.91</v>
      </c>
      <c r="E152">
        <v>27.93</v>
      </c>
      <c r="F152">
        <v>30.62</v>
      </c>
      <c r="G152">
        <v>48.44</v>
      </c>
      <c r="H152">
        <v>24.45</v>
      </c>
      <c r="I152">
        <v>55.83</v>
      </c>
      <c r="J152">
        <v>61.56</v>
      </c>
      <c r="K152">
        <v>66.989999999999995</v>
      </c>
      <c r="L152">
        <v>28.22</v>
      </c>
      <c r="M152">
        <v>54.08</v>
      </c>
      <c r="N152">
        <v>56.52</v>
      </c>
      <c r="O152">
        <v>55.33</v>
      </c>
      <c r="P152">
        <v>55.86</v>
      </c>
      <c r="Q152">
        <v>18.96</v>
      </c>
      <c r="R152">
        <v>1132.02</v>
      </c>
      <c r="S152">
        <v>32.11</v>
      </c>
      <c r="T152">
        <v>18.72</v>
      </c>
      <c r="U152">
        <v>13.32</v>
      </c>
      <c r="V152">
        <v>38.46</v>
      </c>
      <c r="W152">
        <v>45.76</v>
      </c>
      <c r="X152">
        <v>26.6</v>
      </c>
      <c r="Y152">
        <v>45.66</v>
      </c>
      <c r="Z152">
        <v>42.11</v>
      </c>
      <c r="AA152">
        <v>73.67</v>
      </c>
      <c r="AB152">
        <v>55.43</v>
      </c>
      <c r="AC152">
        <v>40.409999999999997</v>
      </c>
      <c r="AD152">
        <v>532.41</v>
      </c>
      <c r="AE152">
        <v>601.36</v>
      </c>
      <c r="AF152">
        <v>43.11</v>
      </c>
      <c r="AG152">
        <v>54.37</v>
      </c>
      <c r="AH152">
        <v>45.9</v>
      </c>
      <c r="AI152">
        <v>47.93</v>
      </c>
    </row>
    <row r="153" spans="1:35" x14ac:dyDescent="0.45">
      <c r="A153" s="2">
        <v>45818</v>
      </c>
      <c r="B153">
        <v>28.1</v>
      </c>
      <c r="C153">
        <v>31.82</v>
      </c>
      <c r="D153">
        <v>18.84</v>
      </c>
      <c r="E153">
        <v>27.82</v>
      </c>
      <c r="F153">
        <v>30.83</v>
      </c>
      <c r="G153">
        <v>48.231099999999998</v>
      </c>
      <c r="H153">
        <v>24.28</v>
      </c>
      <c r="I153">
        <v>55.8</v>
      </c>
      <c r="J153">
        <v>61.36</v>
      </c>
      <c r="K153">
        <v>66.16</v>
      </c>
      <c r="L153">
        <v>27.72</v>
      </c>
      <c r="M153">
        <v>54.66</v>
      </c>
      <c r="N153">
        <v>56.48</v>
      </c>
      <c r="O153">
        <v>55.26</v>
      </c>
      <c r="P153">
        <v>55.69</v>
      </c>
      <c r="Q153">
        <v>18.920000000000002</v>
      </c>
      <c r="R153">
        <v>1149.18</v>
      </c>
      <c r="S153">
        <v>32.17</v>
      </c>
      <c r="T153">
        <v>18.78</v>
      </c>
      <c r="U153">
        <v>13.4</v>
      </c>
      <c r="V153">
        <v>38.72</v>
      </c>
      <c r="W153">
        <v>45.65</v>
      </c>
      <c r="X153">
        <v>26.71</v>
      </c>
      <c r="Y153">
        <v>45.43</v>
      </c>
      <c r="Z153">
        <v>42.12</v>
      </c>
      <c r="AA153">
        <v>73.88</v>
      </c>
      <c r="AB153">
        <v>55.67</v>
      </c>
      <c r="AC153">
        <v>40.31</v>
      </c>
      <c r="AD153">
        <v>534.21</v>
      </c>
      <c r="AE153">
        <v>603.08000000000004</v>
      </c>
      <c r="AF153">
        <v>43.21</v>
      </c>
      <c r="AG153">
        <v>54.57</v>
      </c>
      <c r="AH153">
        <v>45.94</v>
      </c>
      <c r="AI153">
        <v>47.93</v>
      </c>
    </row>
    <row r="154" spans="1:35" x14ac:dyDescent="0.45">
      <c r="A154" s="2">
        <v>45817</v>
      </c>
      <c r="B154">
        <v>28.3</v>
      </c>
      <c r="C154">
        <v>31.75</v>
      </c>
      <c r="D154">
        <v>18.59</v>
      </c>
      <c r="E154">
        <v>28.12</v>
      </c>
      <c r="F154">
        <v>30</v>
      </c>
      <c r="G154">
        <v>48.53</v>
      </c>
      <c r="H154">
        <v>24.32</v>
      </c>
      <c r="I154">
        <v>54.71</v>
      </c>
      <c r="J154">
        <v>61.09</v>
      </c>
      <c r="K154">
        <v>66.48</v>
      </c>
      <c r="L154">
        <v>27.62</v>
      </c>
      <c r="M154">
        <v>54.44</v>
      </c>
      <c r="N154">
        <v>55.85</v>
      </c>
      <c r="O154">
        <v>55.24</v>
      </c>
      <c r="P154">
        <v>55.52</v>
      </c>
      <c r="Q154">
        <v>18.829999999999998</v>
      </c>
      <c r="R154">
        <v>1164.01</v>
      </c>
      <c r="S154">
        <v>31.66</v>
      </c>
      <c r="T154">
        <v>18.71</v>
      </c>
      <c r="U154">
        <v>13.26</v>
      </c>
      <c r="V154">
        <v>38.57</v>
      </c>
      <c r="W154">
        <v>45.32</v>
      </c>
      <c r="X154">
        <v>26.44</v>
      </c>
      <c r="Y154">
        <v>45.3</v>
      </c>
      <c r="Z154">
        <v>42.31</v>
      </c>
      <c r="AA154">
        <v>73.930000000000007</v>
      </c>
      <c r="AB154">
        <v>55.62</v>
      </c>
      <c r="AC154">
        <v>40.340000000000003</v>
      </c>
      <c r="AD154">
        <v>530.70000000000005</v>
      </c>
      <c r="AE154">
        <v>599.67999999999995</v>
      </c>
      <c r="AF154">
        <v>43.08</v>
      </c>
      <c r="AG154">
        <v>54.02</v>
      </c>
      <c r="AH154">
        <v>45.91</v>
      </c>
      <c r="AI154">
        <v>48.18</v>
      </c>
    </row>
    <row r="155" spans="1:35" x14ac:dyDescent="0.45">
      <c r="A155" s="2">
        <v>45814</v>
      </c>
      <c r="B155">
        <v>28.22</v>
      </c>
      <c r="C155">
        <v>31.84</v>
      </c>
      <c r="D155">
        <v>18.510000000000002</v>
      </c>
      <c r="E155">
        <v>27.95</v>
      </c>
      <c r="F155">
        <v>29.46</v>
      </c>
      <c r="G155">
        <v>48.5916</v>
      </c>
      <c r="H155">
        <v>24.25</v>
      </c>
      <c r="I155">
        <v>54.11</v>
      </c>
      <c r="J155">
        <v>61.24</v>
      </c>
      <c r="K155">
        <v>65.569999999999993</v>
      </c>
      <c r="L155">
        <v>27.72</v>
      </c>
      <c r="M155">
        <v>53.94</v>
      </c>
      <c r="N155">
        <v>55.46</v>
      </c>
      <c r="O155">
        <v>54.91</v>
      </c>
      <c r="P155">
        <v>54.92</v>
      </c>
      <c r="Q155">
        <v>18.829999999999998</v>
      </c>
      <c r="R155">
        <v>1160.74</v>
      </c>
      <c r="S155">
        <v>31.61</v>
      </c>
      <c r="T155">
        <v>18.670000000000002</v>
      </c>
      <c r="U155">
        <v>13.64</v>
      </c>
      <c r="V155">
        <v>38.51</v>
      </c>
      <c r="W155">
        <v>45.31</v>
      </c>
      <c r="X155">
        <v>26.37</v>
      </c>
      <c r="Y155">
        <v>45.39</v>
      </c>
      <c r="Z155">
        <v>42.52</v>
      </c>
      <c r="AA155">
        <v>73.819999999999993</v>
      </c>
      <c r="AB155">
        <v>55.64</v>
      </c>
      <c r="AC155">
        <v>40.35</v>
      </c>
      <c r="AD155">
        <v>529.91999999999996</v>
      </c>
      <c r="AE155">
        <v>599.14</v>
      </c>
      <c r="AF155">
        <v>43.04</v>
      </c>
      <c r="AG155">
        <v>53.63</v>
      </c>
      <c r="AH155">
        <v>46.14</v>
      </c>
      <c r="AI155">
        <v>48.3</v>
      </c>
    </row>
    <row r="156" spans="1:35" x14ac:dyDescent="0.45">
      <c r="A156" s="2">
        <v>45813</v>
      </c>
      <c r="B156">
        <v>28.29</v>
      </c>
      <c r="C156">
        <v>32.17</v>
      </c>
      <c r="D156">
        <v>18.559999999999999</v>
      </c>
      <c r="E156">
        <v>27.96</v>
      </c>
      <c r="F156">
        <v>29.75</v>
      </c>
      <c r="G156">
        <v>48.796100000000003</v>
      </c>
      <c r="H156">
        <v>24.31</v>
      </c>
      <c r="I156">
        <v>53.74</v>
      </c>
      <c r="J156">
        <v>60.72</v>
      </c>
      <c r="K156">
        <v>65.36</v>
      </c>
      <c r="L156">
        <v>27.6</v>
      </c>
      <c r="M156">
        <v>54.03</v>
      </c>
      <c r="N156">
        <v>55.77</v>
      </c>
      <c r="O156">
        <v>54.18</v>
      </c>
      <c r="P156">
        <v>54.99</v>
      </c>
      <c r="Q156">
        <v>18.78</v>
      </c>
      <c r="R156">
        <v>1163.42</v>
      </c>
      <c r="S156">
        <v>31.44</v>
      </c>
      <c r="T156">
        <v>18.61</v>
      </c>
      <c r="U156">
        <v>13.74</v>
      </c>
      <c r="V156">
        <v>38.479999999999997</v>
      </c>
      <c r="W156">
        <v>45.53</v>
      </c>
      <c r="X156">
        <v>26.36</v>
      </c>
      <c r="Y156">
        <v>45.32</v>
      </c>
      <c r="Z156">
        <v>42.57</v>
      </c>
      <c r="AA156">
        <v>73.39</v>
      </c>
      <c r="AB156">
        <v>55.47</v>
      </c>
      <c r="AC156">
        <v>40.22</v>
      </c>
      <c r="AD156">
        <v>524.79</v>
      </c>
      <c r="AE156">
        <v>593.04999999999995</v>
      </c>
      <c r="AF156">
        <v>43.04</v>
      </c>
      <c r="AG156">
        <v>53.36</v>
      </c>
      <c r="AH156">
        <v>46.17</v>
      </c>
      <c r="AI156">
        <v>47.98</v>
      </c>
    </row>
    <row r="157" spans="1:35" x14ac:dyDescent="0.45">
      <c r="A157" s="2">
        <v>45812</v>
      </c>
      <c r="B157">
        <v>28.18</v>
      </c>
      <c r="C157">
        <v>31.88</v>
      </c>
      <c r="D157">
        <v>18.45</v>
      </c>
      <c r="E157">
        <v>27.66</v>
      </c>
      <c r="F157">
        <v>30.22</v>
      </c>
      <c r="G157">
        <v>48.064999999999998</v>
      </c>
      <c r="H157">
        <v>24.14</v>
      </c>
      <c r="I157">
        <v>53.96</v>
      </c>
      <c r="J157">
        <v>60.25</v>
      </c>
      <c r="K157">
        <v>63.98</v>
      </c>
      <c r="L157">
        <v>27.44</v>
      </c>
      <c r="M157">
        <v>53.46</v>
      </c>
      <c r="N157">
        <v>55.24</v>
      </c>
      <c r="O157">
        <v>53.92</v>
      </c>
      <c r="P157">
        <v>54.79</v>
      </c>
      <c r="Q157">
        <v>18.91</v>
      </c>
      <c r="R157">
        <v>1178.43</v>
      </c>
      <c r="S157">
        <v>31.36</v>
      </c>
      <c r="T157">
        <v>18.59</v>
      </c>
      <c r="U157">
        <v>13.86</v>
      </c>
      <c r="V157">
        <v>38.380000000000003</v>
      </c>
      <c r="W157">
        <v>45.25</v>
      </c>
      <c r="X157">
        <v>26.33</v>
      </c>
      <c r="Y157">
        <v>45.25</v>
      </c>
      <c r="Z157">
        <v>42.46</v>
      </c>
      <c r="AA157">
        <v>74.08</v>
      </c>
      <c r="AB157">
        <v>55.56</v>
      </c>
      <c r="AC157">
        <v>40.19</v>
      </c>
      <c r="AD157">
        <v>528.77</v>
      </c>
      <c r="AE157">
        <v>595.92999999999995</v>
      </c>
      <c r="AF157">
        <v>43.08</v>
      </c>
      <c r="AG157">
        <v>53.23</v>
      </c>
      <c r="AH157">
        <v>45.93</v>
      </c>
      <c r="AI157">
        <v>47.74</v>
      </c>
    </row>
    <row r="158" spans="1:35" x14ac:dyDescent="0.45">
      <c r="A158" s="2">
        <v>45811</v>
      </c>
      <c r="B158">
        <v>27.96</v>
      </c>
      <c r="C158">
        <v>31.58</v>
      </c>
      <c r="D158">
        <v>18.420000000000002</v>
      </c>
      <c r="E158">
        <v>27.78</v>
      </c>
      <c r="F158">
        <v>29.92</v>
      </c>
      <c r="G158">
        <v>47.95</v>
      </c>
      <c r="H158">
        <v>24.09</v>
      </c>
      <c r="I158">
        <v>53.15</v>
      </c>
      <c r="J158">
        <v>60.39</v>
      </c>
      <c r="K158">
        <v>61.89</v>
      </c>
      <c r="L158">
        <v>27.58</v>
      </c>
      <c r="M158">
        <v>53.13</v>
      </c>
      <c r="N158">
        <v>55.29</v>
      </c>
      <c r="O158">
        <v>53.96</v>
      </c>
      <c r="P158">
        <v>53.76</v>
      </c>
      <c r="Q158">
        <v>19.079999999999998</v>
      </c>
      <c r="R158">
        <v>1176.3599999999999</v>
      </c>
      <c r="S158">
        <v>30.84</v>
      </c>
      <c r="T158">
        <v>18.59</v>
      </c>
      <c r="U158">
        <v>13.96</v>
      </c>
      <c r="V158">
        <v>38</v>
      </c>
      <c r="W158">
        <v>44.61</v>
      </c>
      <c r="X158">
        <v>26.07</v>
      </c>
      <c r="Y158">
        <v>45.34</v>
      </c>
      <c r="Z158">
        <v>42.12</v>
      </c>
      <c r="AA158">
        <v>74.13</v>
      </c>
      <c r="AB158">
        <v>55.03</v>
      </c>
      <c r="AC158">
        <v>40.06</v>
      </c>
      <c r="AD158">
        <v>527.29999999999995</v>
      </c>
      <c r="AE158">
        <v>596.09</v>
      </c>
      <c r="AF158">
        <v>42.84</v>
      </c>
      <c r="AG158">
        <v>52.95</v>
      </c>
      <c r="AH158">
        <v>45.2</v>
      </c>
      <c r="AI158">
        <v>47.87</v>
      </c>
    </row>
    <row r="159" spans="1:35" x14ac:dyDescent="0.45">
      <c r="A159" s="2">
        <v>45810</v>
      </c>
      <c r="B159">
        <v>27.72</v>
      </c>
      <c r="C159">
        <v>31.53</v>
      </c>
      <c r="D159">
        <v>18.559999999999999</v>
      </c>
      <c r="E159">
        <v>27.6</v>
      </c>
      <c r="F159">
        <v>30.49</v>
      </c>
      <c r="G159">
        <v>47.72</v>
      </c>
      <c r="H159">
        <v>24.15</v>
      </c>
      <c r="I159">
        <v>52.84</v>
      </c>
      <c r="J159">
        <v>60.64</v>
      </c>
      <c r="K159">
        <v>61.74</v>
      </c>
      <c r="L159">
        <v>27.27</v>
      </c>
      <c r="M159">
        <v>53.27</v>
      </c>
      <c r="N159">
        <v>55.7</v>
      </c>
      <c r="O159">
        <v>54.54</v>
      </c>
      <c r="P159">
        <v>53.26</v>
      </c>
      <c r="Q159">
        <v>18.8</v>
      </c>
      <c r="R159">
        <v>1173.3699999999999</v>
      </c>
      <c r="S159">
        <v>30.05</v>
      </c>
      <c r="T159">
        <v>18.45</v>
      </c>
      <c r="U159">
        <v>13.81</v>
      </c>
      <c r="V159">
        <v>38.159999999999997</v>
      </c>
      <c r="W159">
        <v>45.04</v>
      </c>
      <c r="X159">
        <v>26.15</v>
      </c>
      <c r="Y159">
        <v>45.39</v>
      </c>
      <c r="Z159">
        <v>42.34</v>
      </c>
      <c r="AA159">
        <v>75.040000000000006</v>
      </c>
      <c r="AB159">
        <v>55.54</v>
      </c>
      <c r="AC159">
        <v>40.29</v>
      </c>
      <c r="AD159">
        <v>523.21</v>
      </c>
      <c r="AE159">
        <v>592.71</v>
      </c>
      <c r="AF159">
        <v>43.14</v>
      </c>
      <c r="AG159">
        <v>53.285800000000002</v>
      </c>
      <c r="AH159">
        <v>45.62</v>
      </c>
      <c r="AI159">
        <v>48.32</v>
      </c>
    </row>
    <row r="160" spans="1:35" x14ac:dyDescent="0.45">
      <c r="A160" s="2">
        <v>45807</v>
      </c>
      <c r="B160">
        <v>27.67</v>
      </c>
      <c r="C160">
        <v>31.5</v>
      </c>
      <c r="D160">
        <v>18.88</v>
      </c>
      <c r="E160">
        <v>27.24</v>
      </c>
      <c r="F160">
        <v>30.37</v>
      </c>
      <c r="G160">
        <v>46.64</v>
      </c>
      <c r="H160">
        <v>23.96</v>
      </c>
      <c r="I160">
        <v>52.38</v>
      </c>
      <c r="J160">
        <v>60.17</v>
      </c>
      <c r="K160">
        <v>60.63</v>
      </c>
      <c r="L160">
        <v>27.21</v>
      </c>
      <c r="M160">
        <v>52.21</v>
      </c>
      <c r="N160">
        <v>55</v>
      </c>
      <c r="O160">
        <v>54.31</v>
      </c>
      <c r="P160">
        <v>52.82</v>
      </c>
      <c r="Q160">
        <v>18.75</v>
      </c>
      <c r="R160">
        <v>1179.81</v>
      </c>
      <c r="S160">
        <v>29.99</v>
      </c>
      <c r="T160">
        <v>18.57</v>
      </c>
      <c r="U160">
        <v>13.59</v>
      </c>
      <c r="V160">
        <v>38.33</v>
      </c>
      <c r="W160">
        <v>44.39</v>
      </c>
      <c r="X160">
        <v>25.81</v>
      </c>
      <c r="Y160">
        <v>44.96</v>
      </c>
      <c r="Z160">
        <v>41.97</v>
      </c>
      <c r="AA160">
        <v>74.12</v>
      </c>
      <c r="AB160">
        <v>55.18</v>
      </c>
      <c r="AC160">
        <v>39.92</v>
      </c>
      <c r="AD160">
        <v>519.11</v>
      </c>
      <c r="AE160">
        <v>589.39</v>
      </c>
      <c r="AF160">
        <v>42.49</v>
      </c>
      <c r="AG160">
        <v>52.85</v>
      </c>
      <c r="AH160">
        <v>45.45</v>
      </c>
      <c r="AI160">
        <v>47.77</v>
      </c>
    </row>
    <row r="161" spans="1:35" x14ac:dyDescent="0.45">
      <c r="A161" s="2">
        <v>45806</v>
      </c>
      <c r="B161">
        <v>28.02</v>
      </c>
      <c r="C161">
        <v>32.08</v>
      </c>
      <c r="D161">
        <v>18.95</v>
      </c>
      <c r="E161">
        <v>27.84</v>
      </c>
      <c r="F161">
        <v>30.72</v>
      </c>
      <c r="G161">
        <v>46.613599999999998</v>
      </c>
      <c r="H161">
        <v>24.3</v>
      </c>
      <c r="I161">
        <v>52.87</v>
      </c>
      <c r="J161">
        <v>61.23</v>
      </c>
      <c r="K161">
        <v>61.8</v>
      </c>
      <c r="L161">
        <v>27.7</v>
      </c>
      <c r="M161">
        <v>53.05</v>
      </c>
      <c r="N161">
        <v>55.71</v>
      </c>
      <c r="O161">
        <v>54.59</v>
      </c>
      <c r="P161">
        <v>53.86</v>
      </c>
      <c r="Q161">
        <v>18.829999999999998</v>
      </c>
      <c r="R161">
        <v>1189.1400000000001</v>
      </c>
      <c r="S161">
        <v>30.54</v>
      </c>
      <c r="T161">
        <v>18.59</v>
      </c>
      <c r="U161">
        <v>13.51</v>
      </c>
      <c r="V161">
        <v>38.39</v>
      </c>
      <c r="W161">
        <v>43.97</v>
      </c>
      <c r="X161">
        <v>25.64</v>
      </c>
      <c r="Y161">
        <v>44.78</v>
      </c>
      <c r="Z161">
        <v>41.85</v>
      </c>
      <c r="AA161">
        <v>74.03</v>
      </c>
      <c r="AB161">
        <v>54.9</v>
      </c>
      <c r="AC161">
        <v>39.79</v>
      </c>
      <c r="AD161">
        <v>519.92999999999995</v>
      </c>
      <c r="AE161">
        <v>590.04999999999995</v>
      </c>
      <c r="AF161">
        <v>42.76</v>
      </c>
      <c r="AG161">
        <v>52.94</v>
      </c>
      <c r="AH161">
        <v>45.36</v>
      </c>
      <c r="AI161">
        <v>47.58</v>
      </c>
    </row>
    <row r="162" spans="1:35" x14ac:dyDescent="0.45">
      <c r="A162" s="2">
        <v>45805</v>
      </c>
      <c r="B162">
        <v>27.83</v>
      </c>
      <c r="C162">
        <v>32.17</v>
      </c>
      <c r="D162">
        <v>18.91</v>
      </c>
      <c r="E162">
        <v>27.93</v>
      </c>
      <c r="F162">
        <v>31.25</v>
      </c>
      <c r="G162">
        <v>46.5428</v>
      </c>
      <c r="H162">
        <v>24.47</v>
      </c>
      <c r="I162">
        <v>53.26</v>
      </c>
      <c r="J162">
        <v>60.9</v>
      </c>
      <c r="K162">
        <v>60.75</v>
      </c>
      <c r="L162">
        <v>27.69</v>
      </c>
      <c r="M162">
        <v>52.03</v>
      </c>
      <c r="N162">
        <v>55.85</v>
      </c>
      <c r="O162">
        <v>54.284999999999997</v>
      </c>
      <c r="P162">
        <v>53.33</v>
      </c>
      <c r="Q162">
        <v>18.940000000000001</v>
      </c>
      <c r="R162">
        <v>1187.06</v>
      </c>
      <c r="S162">
        <v>30.56</v>
      </c>
      <c r="T162">
        <v>18.66</v>
      </c>
      <c r="U162">
        <v>13.71</v>
      </c>
      <c r="V162">
        <v>38.6</v>
      </c>
      <c r="W162">
        <v>44.23</v>
      </c>
      <c r="X162">
        <v>25.56</v>
      </c>
      <c r="Y162">
        <v>44.76</v>
      </c>
      <c r="Z162">
        <v>41.77</v>
      </c>
      <c r="AA162">
        <v>73.61</v>
      </c>
      <c r="AB162">
        <v>54.62</v>
      </c>
      <c r="AC162">
        <v>39.67</v>
      </c>
      <c r="AD162">
        <v>518.91</v>
      </c>
      <c r="AE162">
        <v>587.73</v>
      </c>
      <c r="AF162">
        <v>42.47</v>
      </c>
      <c r="AG162">
        <v>52.59</v>
      </c>
      <c r="AH162">
        <v>45.24</v>
      </c>
      <c r="AI162">
        <v>47.55</v>
      </c>
    </row>
    <row r="163" spans="1:35" x14ac:dyDescent="0.45">
      <c r="A163" s="2">
        <v>45804</v>
      </c>
      <c r="B163">
        <v>27.9</v>
      </c>
      <c r="C163">
        <v>32.75</v>
      </c>
      <c r="D163">
        <v>19.04</v>
      </c>
      <c r="E163">
        <v>27.78</v>
      </c>
      <c r="F163">
        <v>30.82</v>
      </c>
      <c r="G163">
        <v>46.83</v>
      </c>
      <c r="H163">
        <v>24.52</v>
      </c>
      <c r="I163">
        <v>53.58</v>
      </c>
      <c r="J163">
        <v>61.13</v>
      </c>
      <c r="K163">
        <v>59.98</v>
      </c>
      <c r="L163">
        <v>27.99</v>
      </c>
      <c r="M163">
        <v>51.91</v>
      </c>
      <c r="N163">
        <v>55.02</v>
      </c>
      <c r="O163">
        <v>54.53</v>
      </c>
      <c r="P163">
        <v>54.04</v>
      </c>
      <c r="Q163">
        <v>18.91</v>
      </c>
      <c r="R163">
        <v>1195.77</v>
      </c>
      <c r="S163">
        <v>30.86</v>
      </c>
      <c r="T163">
        <v>18.62</v>
      </c>
      <c r="U163">
        <v>13.585000000000001</v>
      </c>
      <c r="V163">
        <v>38.21</v>
      </c>
      <c r="W163">
        <v>45.38</v>
      </c>
      <c r="X163">
        <v>25.87</v>
      </c>
      <c r="Y163">
        <v>44.82</v>
      </c>
      <c r="Z163">
        <v>42.31</v>
      </c>
      <c r="AA163">
        <v>74.95</v>
      </c>
      <c r="AB163">
        <v>55.2</v>
      </c>
      <c r="AC163">
        <v>40.07</v>
      </c>
      <c r="AD163">
        <v>521.22</v>
      </c>
      <c r="AE163">
        <v>591.15</v>
      </c>
      <c r="AF163">
        <v>42.92</v>
      </c>
      <c r="AG163">
        <v>53</v>
      </c>
      <c r="AH163">
        <v>45.55</v>
      </c>
      <c r="AI163">
        <v>47.66</v>
      </c>
    </row>
    <row r="164" spans="1:35" x14ac:dyDescent="0.45">
      <c r="A164" s="2">
        <v>45800</v>
      </c>
      <c r="B164">
        <v>28.2</v>
      </c>
      <c r="C164">
        <v>32.85</v>
      </c>
      <c r="D164">
        <v>19.16</v>
      </c>
      <c r="E164">
        <v>27.81</v>
      </c>
      <c r="F164">
        <v>29.85</v>
      </c>
      <c r="G164">
        <v>46.76</v>
      </c>
      <c r="H164">
        <v>24.58</v>
      </c>
      <c r="I164">
        <v>53.52</v>
      </c>
      <c r="J164">
        <v>60.67</v>
      </c>
      <c r="K164">
        <v>58.96</v>
      </c>
      <c r="L164">
        <v>27.65</v>
      </c>
      <c r="M164">
        <v>52.52</v>
      </c>
      <c r="N164">
        <v>53.23</v>
      </c>
      <c r="O164">
        <v>54.58</v>
      </c>
      <c r="P164">
        <v>54.78</v>
      </c>
      <c r="Q164">
        <v>19.149999999999999</v>
      </c>
      <c r="R164">
        <v>1194.49</v>
      </c>
      <c r="S164">
        <v>31.24</v>
      </c>
      <c r="T164">
        <v>18.45</v>
      </c>
      <c r="U164">
        <v>13.14</v>
      </c>
      <c r="V164">
        <v>39.17</v>
      </c>
      <c r="W164">
        <v>45.36</v>
      </c>
      <c r="X164">
        <v>25.65</v>
      </c>
      <c r="Y164">
        <v>44.44</v>
      </c>
      <c r="Z164">
        <v>41.26</v>
      </c>
      <c r="AA164">
        <v>73.03</v>
      </c>
      <c r="AB164">
        <v>55.03</v>
      </c>
      <c r="AC164">
        <v>39.880000000000003</v>
      </c>
      <c r="AD164">
        <v>509.24</v>
      </c>
      <c r="AE164">
        <v>579.11</v>
      </c>
      <c r="AF164">
        <v>42.4</v>
      </c>
      <c r="AG164">
        <v>52.26</v>
      </c>
      <c r="AH164">
        <v>45.32</v>
      </c>
      <c r="AI164">
        <v>46.96</v>
      </c>
    </row>
    <row r="165" spans="1:35" x14ac:dyDescent="0.45">
      <c r="A165" s="2">
        <v>45799</v>
      </c>
      <c r="B165">
        <v>28.3</v>
      </c>
      <c r="C165">
        <v>32.634999999999998</v>
      </c>
      <c r="D165">
        <v>18.91</v>
      </c>
      <c r="E165">
        <v>27.27</v>
      </c>
      <c r="F165">
        <v>29.99</v>
      </c>
      <c r="G165">
        <v>45.76</v>
      </c>
      <c r="H165">
        <v>24.24</v>
      </c>
      <c r="I165">
        <v>53.7</v>
      </c>
      <c r="J165">
        <v>59.83</v>
      </c>
      <c r="K165">
        <v>58.29</v>
      </c>
      <c r="L165">
        <v>27.52</v>
      </c>
      <c r="M165">
        <v>51.43</v>
      </c>
      <c r="N165">
        <v>53.88</v>
      </c>
      <c r="O165">
        <v>53.79</v>
      </c>
      <c r="P165">
        <v>54.75</v>
      </c>
      <c r="Q165">
        <v>19.11</v>
      </c>
      <c r="R165">
        <v>1216.71</v>
      </c>
      <c r="S165">
        <v>31.7</v>
      </c>
      <c r="T165">
        <v>18.53</v>
      </c>
      <c r="U165">
        <v>13.17</v>
      </c>
      <c r="V165">
        <v>39.28</v>
      </c>
      <c r="W165">
        <v>45.08</v>
      </c>
      <c r="X165">
        <v>25.41</v>
      </c>
      <c r="Y165">
        <v>44</v>
      </c>
      <c r="Z165">
        <v>41.64</v>
      </c>
      <c r="AA165">
        <v>72.37</v>
      </c>
      <c r="AB165">
        <v>54.77</v>
      </c>
      <c r="AC165">
        <v>39.53</v>
      </c>
      <c r="AD165">
        <v>514</v>
      </c>
      <c r="AE165">
        <v>583.09</v>
      </c>
      <c r="AF165">
        <v>42.65</v>
      </c>
      <c r="AG165">
        <v>52.54</v>
      </c>
      <c r="AH165">
        <v>45.09</v>
      </c>
      <c r="AI165">
        <v>47.54</v>
      </c>
    </row>
    <row r="166" spans="1:35" x14ac:dyDescent="0.45">
      <c r="A166" s="2">
        <v>45798</v>
      </c>
      <c r="B166">
        <v>28.4</v>
      </c>
      <c r="C166">
        <v>32.69</v>
      </c>
      <c r="D166">
        <v>18.79</v>
      </c>
      <c r="E166">
        <v>27.46</v>
      </c>
      <c r="F166">
        <v>30.09</v>
      </c>
      <c r="G166">
        <v>45.66</v>
      </c>
      <c r="H166">
        <v>24.49</v>
      </c>
      <c r="I166">
        <v>53.72</v>
      </c>
      <c r="J166">
        <v>60.32</v>
      </c>
      <c r="K166">
        <v>59.1</v>
      </c>
      <c r="L166">
        <v>27.67</v>
      </c>
      <c r="M166">
        <v>51.45</v>
      </c>
      <c r="N166">
        <v>54.14</v>
      </c>
      <c r="O166">
        <v>54.03</v>
      </c>
      <c r="P166">
        <v>54.99</v>
      </c>
      <c r="Q166">
        <v>19.18</v>
      </c>
      <c r="R166">
        <v>1214.3900000000001</v>
      </c>
      <c r="S166">
        <v>31.42</v>
      </c>
      <c r="T166">
        <v>18.57</v>
      </c>
      <c r="U166">
        <v>13.21</v>
      </c>
      <c r="V166">
        <v>39.299999999999997</v>
      </c>
      <c r="W166">
        <v>45.22</v>
      </c>
      <c r="X166">
        <v>25.41</v>
      </c>
      <c r="Y166">
        <v>43.94</v>
      </c>
      <c r="Z166">
        <v>41.68</v>
      </c>
      <c r="AA166">
        <v>72.31</v>
      </c>
      <c r="AB166">
        <v>55.04</v>
      </c>
      <c r="AC166">
        <v>39.43</v>
      </c>
      <c r="AD166">
        <v>513.04</v>
      </c>
      <c r="AE166">
        <v>582.86</v>
      </c>
      <c r="AF166">
        <v>42.71</v>
      </c>
      <c r="AG166">
        <v>52.48</v>
      </c>
      <c r="AH166">
        <v>45.94</v>
      </c>
      <c r="AI166">
        <v>47.65</v>
      </c>
    </row>
    <row r="167" spans="1:35" x14ac:dyDescent="0.45">
      <c r="A167" s="2">
        <v>45797</v>
      </c>
      <c r="B167">
        <v>28.28</v>
      </c>
      <c r="C167">
        <v>32.75</v>
      </c>
      <c r="D167">
        <v>18.53</v>
      </c>
      <c r="E167">
        <v>27.36</v>
      </c>
      <c r="F167">
        <v>30.77</v>
      </c>
      <c r="G167">
        <v>45.57</v>
      </c>
      <c r="H167">
        <v>24.5</v>
      </c>
      <c r="I167">
        <v>53.48</v>
      </c>
      <c r="J167">
        <v>60.53</v>
      </c>
      <c r="K167">
        <v>58.4</v>
      </c>
      <c r="L167">
        <v>28.16</v>
      </c>
      <c r="M167">
        <v>51.61</v>
      </c>
      <c r="N167">
        <v>53.89</v>
      </c>
      <c r="O167">
        <v>54.07</v>
      </c>
      <c r="P167">
        <v>55.2</v>
      </c>
      <c r="Q167">
        <v>19.059999999999999</v>
      </c>
      <c r="R167">
        <v>1210.94</v>
      </c>
      <c r="S167">
        <v>31.86</v>
      </c>
      <c r="T167">
        <v>18.71</v>
      </c>
      <c r="U167">
        <v>13.09</v>
      </c>
      <c r="V167">
        <v>39.89</v>
      </c>
      <c r="W167">
        <v>45.2</v>
      </c>
      <c r="X167">
        <v>25.63</v>
      </c>
      <c r="Y167">
        <v>44.19</v>
      </c>
      <c r="Z167">
        <v>41.77</v>
      </c>
      <c r="AA167">
        <v>72.989999999999995</v>
      </c>
      <c r="AB167">
        <v>55.17</v>
      </c>
      <c r="AC167">
        <v>39.61</v>
      </c>
      <c r="AD167">
        <v>520.27</v>
      </c>
      <c r="AE167">
        <v>592.85</v>
      </c>
      <c r="AF167">
        <v>43.1</v>
      </c>
      <c r="AG167">
        <v>52.8</v>
      </c>
      <c r="AH167">
        <v>46.35</v>
      </c>
      <c r="AI167">
        <v>47.84</v>
      </c>
    </row>
    <row r="168" spans="1:35" x14ac:dyDescent="0.45">
      <c r="A168" s="2">
        <v>45796</v>
      </c>
      <c r="B168">
        <v>28.14</v>
      </c>
      <c r="C168">
        <v>32.96</v>
      </c>
      <c r="D168">
        <v>18.739999999999998</v>
      </c>
      <c r="E168">
        <v>27.9</v>
      </c>
      <c r="F168">
        <v>30.53</v>
      </c>
      <c r="G168">
        <v>45.16</v>
      </c>
      <c r="H168">
        <v>24.69</v>
      </c>
      <c r="I168">
        <v>53.82</v>
      </c>
      <c r="J168">
        <v>60.57</v>
      </c>
      <c r="K168">
        <v>58.82</v>
      </c>
      <c r="L168">
        <v>28.18</v>
      </c>
      <c r="M168">
        <v>51.08</v>
      </c>
      <c r="N168">
        <v>52.9</v>
      </c>
      <c r="O168">
        <v>54.78</v>
      </c>
      <c r="P168">
        <v>54.7</v>
      </c>
      <c r="Q168">
        <v>19.05</v>
      </c>
      <c r="R168">
        <v>1206.5899999999999</v>
      </c>
      <c r="S168">
        <v>32.49</v>
      </c>
      <c r="T168">
        <v>18.649999999999999</v>
      </c>
      <c r="U168">
        <v>12.865</v>
      </c>
      <c r="V168">
        <v>39.909999999999997</v>
      </c>
      <c r="W168">
        <v>45.15</v>
      </c>
      <c r="X168">
        <v>25.63</v>
      </c>
      <c r="Y168">
        <v>44.05</v>
      </c>
      <c r="Z168">
        <v>41.56</v>
      </c>
      <c r="AA168">
        <v>72.569999999999993</v>
      </c>
      <c r="AB168">
        <v>55.02</v>
      </c>
      <c r="AC168">
        <v>39.33</v>
      </c>
      <c r="AD168">
        <v>522.01</v>
      </c>
      <c r="AE168">
        <v>594.85</v>
      </c>
      <c r="AF168">
        <v>42.73</v>
      </c>
      <c r="AG168">
        <v>52.645000000000003</v>
      </c>
      <c r="AH168">
        <v>46.19</v>
      </c>
      <c r="AI168">
        <v>47.3</v>
      </c>
    </row>
    <row r="169" spans="1:35" x14ac:dyDescent="0.45">
      <c r="A169" s="2">
        <v>45793</v>
      </c>
      <c r="B169">
        <v>28.24</v>
      </c>
      <c r="C169">
        <v>32.61</v>
      </c>
      <c r="D169">
        <v>18.39</v>
      </c>
      <c r="E169">
        <v>27.69</v>
      </c>
      <c r="F169">
        <v>30.32</v>
      </c>
      <c r="G169">
        <v>44.57</v>
      </c>
      <c r="H169">
        <v>24.87</v>
      </c>
      <c r="I169">
        <v>54.01</v>
      </c>
      <c r="J169">
        <v>59.51</v>
      </c>
      <c r="K169">
        <v>58.79</v>
      </c>
      <c r="L169">
        <v>28</v>
      </c>
      <c r="M169">
        <v>51.24</v>
      </c>
      <c r="N169">
        <v>52.5</v>
      </c>
      <c r="O169">
        <v>54.66</v>
      </c>
      <c r="P169">
        <v>54.42</v>
      </c>
      <c r="Q169">
        <v>18.88</v>
      </c>
      <c r="R169">
        <v>1220.27</v>
      </c>
      <c r="S169">
        <v>32.43</v>
      </c>
      <c r="T169">
        <v>18.48</v>
      </c>
      <c r="U169">
        <v>12.75</v>
      </c>
      <c r="V169">
        <v>40.19</v>
      </c>
      <c r="W169">
        <v>45.41</v>
      </c>
      <c r="X169">
        <v>25.47</v>
      </c>
      <c r="Y169">
        <v>43.89</v>
      </c>
      <c r="Z169">
        <v>40.85</v>
      </c>
      <c r="AA169">
        <v>72.489999999999995</v>
      </c>
      <c r="AB169">
        <v>54.41</v>
      </c>
      <c r="AC169">
        <v>38.9</v>
      </c>
      <c r="AD169">
        <v>521.51</v>
      </c>
      <c r="AE169">
        <v>594.20000000000005</v>
      </c>
      <c r="AF169">
        <v>42.25</v>
      </c>
      <c r="AG169">
        <v>52.19</v>
      </c>
      <c r="AH169">
        <v>45.61</v>
      </c>
      <c r="AI169">
        <v>46.85</v>
      </c>
    </row>
    <row r="170" spans="1:35" x14ac:dyDescent="0.45">
      <c r="A170" s="2">
        <v>45792</v>
      </c>
      <c r="B170">
        <v>28.25</v>
      </c>
      <c r="C170">
        <v>33.07</v>
      </c>
      <c r="D170">
        <v>18.27</v>
      </c>
      <c r="E170">
        <v>27.62</v>
      </c>
      <c r="F170">
        <v>30.49</v>
      </c>
      <c r="G170">
        <v>45.06</v>
      </c>
      <c r="H170">
        <v>25.08</v>
      </c>
      <c r="I170">
        <v>53.99</v>
      </c>
      <c r="J170">
        <v>59.26</v>
      </c>
      <c r="K170">
        <v>58.8</v>
      </c>
      <c r="L170">
        <v>28.01</v>
      </c>
      <c r="M170">
        <v>51.09</v>
      </c>
      <c r="N170">
        <v>52.15</v>
      </c>
      <c r="O170">
        <v>54.77</v>
      </c>
      <c r="P170">
        <v>54.57</v>
      </c>
      <c r="Q170">
        <v>18.84</v>
      </c>
      <c r="R170">
        <v>1187.8599999999999</v>
      </c>
      <c r="S170">
        <v>31.91</v>
      </c>
      <c r="T170">
        <v>18.3</v>
      </c>
      <c r="U170">
        <v>12.81</v>
      </c>
      <c r="V170">
        <v>40.130000000000003</v>
      </c>
      <c r="W170">
        <v>45.6</v>
      </c>
      <c r="X170">
        <v>25.55</v>
      </c>
      <c r="Y170">
        <v>43.83</v>
      </c>
      <c r="Z170">
        <v>40.86</v>
      </c>
      <c r="AA170">
        <v>72.3</v>
      </c>
      <c r="AB170">
        <v>54.02</v>
      </c>
      <c r="AC170">
        <v>38.799999999999997</v>
      </c>
      <c r="AD170">
        <v>519.25</v>
      </c>
      <c r="AE170">
        <v>590.46</v>
      </c>
      <c r="AF170">
        <v>42.09</v>
      </c>
      <c r="AG170">
        <v>52.25</v>
      </c>
      <c r="AH170">
        <v>45.62</v>
      </c>
      <c r="AI170">
        <v>46.53</v>
      </c>
    </row>
    <row r="171" spans="1:35" x14ac:dyDescent="0.45">
      <c r="A171" s="2">
        <v>45791</v>
      </c>
      <c r="B171">
        <v>28.58</v>
      </c>
      <c r="C171">
        <v>33.24</v>
      </c>
      <c r="D171">
        <v>17.97</v>
      </c>
      <c r="E171">
        <v>28.01</v>
      </c>
      <c r="F171">
        <v>30.68</v>
      </c>
      <c r="G171">
        <v>44.95</v>
      </c>
      <c r="H171">
        <v>25.07</v>
      </c>
      <c r="I171">
        <v>53.77</v>
      </c>
      <c r="J171">
        <v>59.36</v>
      </c>
      <c r="K171">
        <v>58.61</v>
      </c>
      <c r="L171">
        <v>28.2</v>
      </c>
      <c r="M171">
        <v>50.22</v>
      </c>
      <c r="N171">
        <v>52.22</v>
      </c>
      <c r="O171">
        <v>53.97</v>
      </c>
      <c r="P171">
        <v>55.6</v>
      </c>
      <c r="Q171">
        <v>18.829999999999998</v>
      </c>
      <c r="R171">
        <v>1198.98</v>
      </c>
      <c r="S171">
        <v>32.479999999999997</v>
      </c>
      <c r="T171">
        <v>18.16</v>
      </c>
      <c r="U171">
        <v>12.82</v>
      </c>
      <c r="V171">
        <v>40.21</v>
      </c>
      <c r="W171">
        <v>45.33</v>
      </c>
      <c r="X171">
        <v>25.16</v>
      </c>
      <c r="Y171">
        <v>43.44</v>
      </c>
      <c r="Z171">
        <v>40.340000000000003</v>
      </c>
      <c r="AA171">
        <v>71.45</v>
      </c>
      <c r="AB171">
        <v>52.94</v>
      </c>
      <c r="AC171">
        <v>38.25</v>
      </c>
      <c r="AD171">
        <v>518.67999999999995</v>
      </c>
      <c r="AE171">
        <v>587.59</v>
      </c>
      <c r="AF171">
        <v>41.88</v>
      </c>
      <c r="AG171">
        <v>52.2</v>
      </c>
      <c r="AH171">
        <v>45.11</v>
      </c>
      <c r="AI171">
        <v>46.26</v>
      </c>
    </row>
    <row r="172" spans="1:35" x14ac:dyDescent="0.45">
      <c r="A172" s="2">
        <v>45790</v>
      </c>
      <c r="B172">
        <v>28.34</v>
      </c>
      <c r="C172">
        <v>32.56</v>
      </c>
      <c r="D172">
        <v>17.54</v>
      </c>
      <c r="E172">
        <v>28.06</v>
      </c>
      <c r="F172">
        <v>30.8</v>
      </c>
      <c r="G172">
        <v>45.11</v>
      </c>
      <c r="H172">
        <v>24.87</v>
      </c>
      <c r="I172">
        <v>53.28</v>
      </c>
      <c r="J172">
        <v>59.08</v>
      </c>
      <c r="K172">
        <v>58.12</v>
      </c>
      <c r="L172">
        <v>28.33</v>
      </c>
      <c r="M172">
        <v>50.41</v>
      </c>
      <c r="N172">
        <v>52.07</v>
      </c>
      <c r="O172">
        <v>54.01</v>
      </c>
      <c r="P172">
        <v>54.7</v>
      </c>
      <c r="Q172">
        <v>18.755299999999998</v>
      </c>
      <c r="R172">
        <v>1197.26</v>
      </c>
      <c r="S172">
        <v>32.46</v>
      </c>
      <c r="T172">
        <v>18.36</v>
      </c>
      <c r="U172">
        <v>12.74</v>
      </c>
      <c r="V172">
        <v>40.299999999999997</v>
      </c>
      <c r="W172">
        <v>45.62</v>
      </c>
      <c r="X172">
        <v>25.42</v>
      </c>
      <c r="Y172">
        <v>43.4</v>
      </c>
      <c r="Z172">
        <v>40.590000000000003</v>
      </c>
      <c r="AA172">
        <v>72.25</v>
      </c>
      <c r="AB172">
        <v>53.19</v>
      </c>
      <c r="AC172">
        <v>38.42</v>
      </c>
      <c r="AD172">
        <v>515.59</v>
      </c>
      <c r="AE172">
        <v>586.84</v>
      </c>
      <c r="AF172">
        <v>42.1</v>
      </c>
      <c r="AG172">
        <v>52.04</v>
      </c>
      <c r="AH172">
        <v>45.23</v>
      </c>
      <c r="AI172">
        <v>46</v>
      </c>
    </row>
    <row r="173" spans="1:35" x14ac:dyDescent="0.45">
      <c r="A173" s="2">
        <v>45789</v>
      </c>
      <c r="B173">
        <v>28.45</v>
      </c>
      <c r="C173">
        <v>32.35</v>
      </c>
      <c r="D173">
        <v>17.399999999999999</v>
      </c>
      <c r="E173">
        <v>27.75</v>
      </c>
      <c r="F173">
        <v>30.5</v>
      </c>
      <c r="G173">
        <v>44.74</v>
      </c>
      <c r="H173">
        <v>24.5</v>
      </c>
      <c r="I173">
        <v>52.95</v>
      </c>
      <c r="J173">
        <v>57.84</v>
      </c>
      <c r="K173">
        <v>58.04</v>
      </c>
      <c r="L173">
        <v>27.49</v>
      </c>
      <c r="M173">
        <v>50.19</v>
      </c>
      <c r="N173">
        <v>51.6</v>
      </c>
      <c r="O173">
        <v>54.32</v>
      </c>
      <c r="P173">
        <v>55.06</v>
      </c>
      <c r="Q173">
        <v>18.7</v>
      </c>
      <c r="R173">
        <v>1171.1199999999999</v>
      </c>
      <c r="S173">
        <v>32.619999999999997</v>
      </c>
      <c r="T173">
        <v>18.13</v>
      </c>
      <c r="U173">
        <v>12.69</v>
      </c>
      <c r="V173">
        <v>40.04</v>
      </c>
      <c r="W173">
        <v>44.75</v>
      </c>
      <c r="X173">
        <v>25.18</v>
      </c>
      <c r="Y173">
        <v>43.08</v>
      </c>
      <c r="Z173">
        <v>40.380000000000003</v>
      </c>
      <c r="AA173">
        <v>72.8</v>
      </c>
      <c r="AB173">
        <v>53.53</v>
      </c>
      <c r="AC173">
        <v>38.24</v>
      </c>
      <c r="AD173">
        <v>507.85</v>
      </c>
      <c r="AE173">
        <v>582.99</v>
      </c>
      <c r="AF173">
        <v>41.81</v>
      </c>
      <c r="AG173">
        <v>51.6</v>
      </c>
      <c r="AH173">
        <v>45.09</v>
      </c>
      <c r="AI173">
        <v>45.66</v>
      </c>
    </row>
    <row r="174" spans="1:35" x14ac:dyDescent="0.45">
      <c r="A174" s="2">
        <v>45786</v>
      </c>
      <c r="B174">
        <v>27.78</v>
      </c>
      <c r="C174">
        <v>32.200000000000003</v>
      </c>
      <c r="D174">
        <v>17.41</v>
      </c>
      <c r="E174">
        <v>27.62</v>
      </c>
      <c r="F174">
        <v>30.88</v>
      </c>
      <c r="G174">
        <v>45.330300000000001</v>
      </c>
      <c r="H174">
        <v>24.45</v>
      </c>
      <c r="I174">
        <v>51.75</v>
      </c>
      <c r="J174">
        <v>58.12</v>
      </c>
      <c r="K174">
        <v>57.69</v>
      </c>
      <c r="L174">
        <v>27.56</v>
      </c>
      <c r="M174">
        <v>50.64</v>
      </c>
      <c r="N174">
        <v>51.048299999999998</v>
      </c>
      <c r="O174">
        <v>52.39</v>
      </c>
      <c r="P174">
        <v>53.25</v>
      </c>
      <c r="Q174">
        <v>18.690000000000001</v>
      </c>
      <c r="R174">
        <v>1159.53</v>
      </c>
      <c r="S174">
        <v>31.41</v>
      </c>
      <c r="T174">
        <v>18.149999999999999</v>
      </c>
      <c r="U174">
        <v>12.49</v>
      </c>
      <c r="V174">
        <v>39.54</v>
      </c>
      <c r="W174">
        <v>45.17</v>
      </c>
      <c r="X174">
        <v>25.01</v>
      </c>
      <c r="Y174">
        <v>42.85</v>
      </c>
      <c r="Z174">
        <v>40.770000000000003</v>
      </c>
      <c r="AA174">
        <v>72.010000000000005</v>
      </c>
      <c r="AB174">
        <v>53.58</v>
      </c>
      <c r="AC174">
        <v>38.29</v>
      </c>
      <c r="AD174">
        <v>487.97</v>
      </c>
      <c r="AE174">
        <v>564.34</v>
      </c>
      <c r="AF174">
        <v>41.68</v>
      </c>
      <c r="AG174">
        <v>50.79</v>
      </c>
      <c r="AH174">
        <v>44.38</v>
      </c>
      <c r="AI174">
        <v>45.81</v>
      </c>
    </row>
    <row r="175" spans="1:35" x14ac:dyDescent="0.45">
      <c r="A175" s="2">
        <v>45785</v>
      </c>
      <c r="B175">
        <v>27.85</v>
      </c>
      <c r="C175">
        <v>32.15</v>
      </c>
      <c r="D175">
        <v>17.45</v>
      </c>
      <c r="E175">
        <v>27.16</v>
      </c>
      <c r="F175">
        <v>29.94</v>
      </c>
      <c r="G175">
        <v>45.02</v>
      </c>
      <c r="H175">
        <v>24.31</v>
      </c>
      <c r="I175">
        <v>51.16</v>
      </c>
      <c r="J175">
        <v>58.11</v>
      </c>
      <c r="K175">
        <v>57.2</v>
      </c>
      <c r="L175">
        <v>27.48</v>
      </c>
      <c r="M175">
        <v>49.85</v>
      </c>
      <c r="N175">
        <v>50.26</v>
      </c>
      <c r="O175">
        <v>51.54</v>
      </c>
      <c r="P175">
        <v>53.45</v>
      </c>
      <c r="Q175">
        <v>18.614999999999998</v>
      </c>
      <c r="R175">
        <v>1159</v>
      </c>
      <c r="S175">
        <v>31.19</v>
      </c>
      <c r="T175">
        <v>18.14</v>
      </c>
      <c r="U175">
        <v>12.6</v>
      </c>
      <c r="V175">
        <v>39.44</v>
      </c>
      <c r="W175">
        <v>44.23</v>
      </c>
      <c r="X175">
        <v>24.83</v>
      </c>
      <c r="Y175">
        <v>42.81</v>
      </c>
      <c r="Z175">
        <v>40.46</v>
      </c>
      <c r="AA175">
        <v>71.83</v>
      </c>
      <c r="AB175">
        <v>53.58</v>
      </c>
      <c r="AC175">
        <v>38.11</v>
      </c>
      <c r="AD175">
        <v>488.29</v>
      </c>
      <c r="AE175">
        <v>565.05999999999995</v>
      </c>
      <c r="AF175">
        <v>41.32</v>
      </c>
      <c r="AG175">
        <v>50.32</v>
      </c>
      <c r="AH175">
        <v>44.26</v>
      </c>
      <c r="AI175">
        <v>45.36</v>
      </c>
    </row>
    <row r="176" spans="1:35" x14ac:dyDescent="0.45">
      <c r="A176" s="2">
        <v>45784</v>
      </c>
      <c r="B176">
        <v>27.58</v>
      </c>
      <c r="C176">
        <v>31.75</v>
      </c>
      <c r="D176">
        <v>17.71</v>
      </c>
      <c r="E176">
        <v>27.56</v>
      </c>
      <c r="F176">
        <v>29.66</v>
      </c>
      <c r="G176">
        <v>44.79</v>
      </c>
      <c r="H176">
        <v>24.68</v>
      </c>
      <c r="I176">
        <v>51</v>
      </c>
      <c r="J176">
        <v>59.09</v>
      </c>
      <c r="K176">
        <v>57.79</v>
      </c>
      <c r="L176">
        <v>26.4</v>
      </c>
      <c r="M176">
        <v>50.23</v>
      </c>
      <c r="N176">
        <v>50.37</v>
      </c>
      <c r="O176">
        <v>53.22</v>
      </c>
      <c r="P176">
        <v>52.69</v>
      </c>
      <c r="Q176">
        <v>18.510000000000002</v>
      </c>
      <c r="R176">
        <v>1146.8599999999999</v>
      </c>
      <c r="S176">
        <v>30.31</v>
      </c>
      <c r="T176">
        <v>18.18</v>
      </c>
      <c r="U176">
        <v>12.42</v>
      </c>
      <c r="V176">
        <v>39.53</v>
      </c>
      <c r="W176">
        <v>44.56</v>
      </c>
      <c r="X176">
        <v>24.89</v>
      </c>
      <c r="Y176">
        <v>42.89</v>
      </c>
      <c r="Z176">
        <v>40.44</v>
      </c>
      <c r="AA176">
        <v>71.98</v>
      </c>
      <c r="AB176">
        <v>54.15</v>
      </c>
      <c r="AC176">
        <v>38.43</v>
      </c>
      <c r="AD176">
        <v>483.3</v>
      </c>
      <c r="AE176">
        <v>561.15</v>
      </c>
      <c r="AF176">
        <v>41.32</v>
      </c>
      <c r="AG176">
        <v>50.21</v>
      </c>
      <c r="AH176">
        <v>44.38</v>
      </c>
      <c r="AI176">
        <v>44.99</v>
      </c>
    </row>
    <row r="177" spans="1:35" x14ac:dyDescent="0.45">
      <c r="A177" s="2">
        <v>45783</v>
      </c>
      <c r="B177">
        <v>27.82</v>
      </c>
      <c r="C177">
        <v>31.62</v>
      </c>
      <c r="D177">
        <v>17.739999999999998</v>
      </c>
      <c r="E177">
        <v>27.35</v>
      </c>
      <c r="F177">
        <v>29.48</v>
      </c>
      <c r="G177">
        <v>45.45</v>
      </c>
      <c r="H177">
        <v>24.64</v>
      </c>
      <c r="I177">
        <v>51.56</v>
      </c>
      <c r="J177">
        <v>58.39</v>
      </c>
      <c r="K177">
        <v>58.5</v>
      </c>
      <c r="L177">
        <v>26.61</v>
      </c>
      <c r="M177">
        <v>50.71</v>
      </c>
      <c r="N177">
        <v>50.13</v>
      </c>
      <c r="O177">
        <v>53.68</v>
      </c>
      <c r="P177">
        <v>53.95</v>
      </c>
      <c r="Q177">
        <v>18.55</v>
      </c>
      <c r="R177">
        <v>1153.77</v>
      </c>
      <c r="S177">
        <v>30.76</v>
      </c>
      <c r="T177">
        <v>18.309999999999999</v>
      </c>
      <c r="U177">
        <v>12.22</v>
      </c>
      <c r="V177">
        <v>39.72</v>
      </c>
      <c r="W177">
        <v>44.82</v>
      </c>
      <c r="X177">
        <v>25.05</v>
      </c>
      <c r="Y177">
        <v>42.77</v>
      </c>
      <c r="Z177">
        <v>40.67</v>
      </c>
      <c r="AA177">
        <v>72.430000000000007</v>
      </c>
      <c r="AB177">
        <v>54.34</v>
      </c>
      <c r="AC177">
        <v>38.57</v>
      </c>
      <c r="AD177">
        <v>481.41</v>
      </c>
      <c r="AE177">
        <v>558.79999999999995</v>
      </c>
      <c r="AF177">
        <v>41.62</v>
      </c>
      <c r="AG177">
        <v>49.98</v>
      </c>
      <c r="AH177">
        <v>44.18</v>
      </c>
      <c r="AI177">
        <v>45.22</v>
      </c>
    </row>
    <row r="178" spans="1:35" x14ac:dyDescent="0.45">
      <c r="A178" s="2">
        <v>45782</v>
      </c>
      <c r="B178">
        <v>27.7</v>
      </c>
      <c r="C178">
        <v>31.58</v>
      </c>
      <c r="D178">
        <v>17.649999999999999</v>
      </c>
      <c r="E178">
        <v>27.03</v>
      </c>
      <c r="F178">
        <v>29.83</v>
      </c>
      <c r="G178">
        <v>44.700299999999999</v>
      </c>
      <c r="H178">
        <v>24.86</v>
      </c>
      <c r="I178">
        <v>52.96</v>
      </c>
      <c r="J178">
        <v>56.68</v>
      </c>
      <c r="K178">
        <v>58.38</v>
      </c>
      <c r="L178">
        <v>26.71</v>
      </c>
      <c r="M178">
        <v>50.44</v>
      </c>
      <c r="N178">
        <v>50.44</v>
      </c>
      <c r="O178">
        <v>54.32</v>
      </c>
      <c r="P178">
        <v>53.4</v>
      </c>
      <c r="Q178">
        <v>18.55</v>
      </c>
      <c r="R178">
        <v>1144.05</v>
      </c>
      <c r="S178">
        <v>30.7</v>
      </c>
      <c r="T178">
        <v>18.23</v>
      </c>
      <c r="U178">
        <v>12.27</v>
      </c>
      <c r="V178">
        <v>39.71</v>
      </c>
      <c r="W178">
        <v>44.49</v>
      </c>
      <c r="X178">
        <v>24.99</v>
      </c>
      <c r="Y178">
        <v>42.66</v>
      </c>
      <c r="Z178">
        <v>40.72</v>
      </c>
      <c r="AA178">
        <v>72.39</v>
      </c>
      <c r="AB178">
        <v>54.64</v>
      </c>
      <c r="AC178">
        <v>38.64</v>
      </c>
      <c r="AD178">
        <v>485.93</v>
      </c>
      <c r="AE178">
        <v>563.51</v>
      </c>
      <c r="AF178">
        <v>41.84</v>
      </c>
      <c r="AG178">
        <v>50.14</v>
      </c>
      <c r="AH178">
        <v>44.28</v>
      </c>
      <c r="AI178">
        <v>45.07</v>
      </c>
    </row>
    <row r="179" spans="1:35" x14ac:dyDescent="0.45">
      <c r="A179" s="2">
        <v>45779</v>
      </c>
      <c r="B179">
        <v>27.66</v>
      </c>
      <c r="C179">
        <v>31.35</v>
      </c>
      <c r="D179">
        <v>17.63</v>
      </c>
      <c r="E179">
        <v>27.27</v>
      </c>
      <c r="F179">
        <v>30.09</v>
      </c>
      <c r="G179">
        <v>44.44</v>
      </c>
      <c r="H179">
        <v>24.85</v>
      </c>
      <c r="I179">
        <v>50.95</v>
      </c>
      <c r="J179">
        <v>56.94</v>
      </c>
      <c r="K179">
        <v>57.71</v>
      </c>
      <c r="L179">
        <v>27.12</v>
      </c>
      <c r="M179">
        <v>50.19</v>
      </c>
      <c r="N179">
        <v>50.1</v>
      </c>
      <c r="O179">
        <v>53.91</v>
      </c>
      <c r="P179">
        <v>53.42</v>
      </c>
      <c r="Q179">
        <v>18.54</v>
      </c>
      <c r="R179">
        <v>1134.71</v>
      </c>
      <c r="S179">
        <v>30.94</v>
      </c>
      <c r="T179">
        <v>18.14</v>
      </c>
      <c r="U179">
        <v>12.24</v>
      </c>
      <c r="V179">
        <v>40.33</v>
      </c>
      <c r="W179">
        <v>44.29</v>
      </c>
      <c r="X179">
        <v>25.31</v>
      </c>
      <c r="Y179">
        <v>42.84</v>
      </c>
      <c r="Z179">
        <v>40.340000000000003</v>
      </c>
      <c r="AA179">
        <v>71.89</v>
      </c>
      <c r="AB179">
        <v>54.47</v>
      </c>
      <c r="AC179">
        <v>38.6</v>
      </c>
      <c r="AD179">
        <v>488.83</v>
      </c>
      <c r="AE179">
        <v>566.76</v>
      </c>
      <c r="AF179">
        <v>41.86</v>
      </c>
      <c r="AG179">
        <v>50.27</v>
      </c>
      <c r="AH179">
        <v>44.55</v>
      </c>
      <c r="AI179">
        <v>44.99</v>
      </c>
    </row>
    <row r="180" spans="1:35" x14ac:dyDescent="0.45">
      <c r="A180" s="2">
        <v>45778</v>
      </c>
      <c r="B180">
        <v>26.92</v>
      </c>
      <c r="C180">
        <v>31.07</v>
      </c>
      <c r="D180">
        <v>17.3</v>
      </c>
      <c r="E180">
        <v>26.86</v>
      </c>
      <c r="F180">
        <v>29.45</v>
      </c>
      <c r="G180">
        <v>43.74</v>
      </c>
      <c r="H180">
        <v>24.12</v>
      </c>
      <c r="I180">
        <v>47.82</v>
      </c>
      <c r="J180">
        <v>56.67</v>
      </c>
      <c r="K180">
        <v>55.6</v>
      </c>
      <c r="L180">
        <v>26.88</v>
      </c>
      <c r="M180">
        <v>49.27</v>
      </c>
      <c r="N180">
        <v>49.3</v>
      </c>
      <c r="O180">
        <v>53.54</v>
      </c>
      <c r="P180">
        <v>51.59</v>
      </c>
      <c r="Q180">
        <v>18.34</v>
      </c>
      <c r="R180">
        <v>1150.95</v>
      </c>
      <c r="S180">
        <v>30.66</v>
      </c>
      <c r="T180">
        <v>17.96</v>
      </c>
      <c r="U180">
        <v>12.11</v>
      </c>
      <c r="V180">
        <v>40.01</v>
      </c>
      <c r="W180">
        <v>43.06</v>
      </c>
      <c r="X180">
        <v>24.65</v>
      </c>
      <c r="Y180">
        <v>42.31</v>
      </c>
      <c r="Z180">
        <v>39.46</v>
      </c>
      <c r="AA180">
        <v>71.17</v>
      </c>
      <c r="AB180">
        <v>53.52</v>
      </c>
      <c r="AC180">
        <v>37.880000000000003</v>
      </c>
      <c r="AD180">
        <v>481.68</v>
      </c>
      <c r="AE180">
        <v>558.47</v>
      </c>
      <c r="AF180">
        <v>41.07</v>
      </c>
      <c r="AG180">
        <v>48.78</v>
      </c>
      <c r="AH180">
        <v>43.12</v>
      </c>
      <c r="AI180">
        <v>44.26</v>
      </c>
    </row>
    <row r="181" spans="1:35" x14ac:dyDescent="0.45">
      <c r="A181" s="2">
        <v>45777</v>
      </c>
      <c r="B181">
        <v>27.06</v>
      </c>
      <c r="C181">
        <v>31.13</v>
      </c>
      <c r="D181">
        <v>17.309999999999999</v>
      </c>
      <c r="E181">
        <v>26.89</v>
      </c>
      <c r="F181">
        <v>29.48</v>
      </c>
      <c r="G181">
        <v>44.33</v>
      </c>
      <c r="H181">
        <v>24.17</v>
      </c>
      <c r="I181">
        <v>47.48</v>
      </c>
      <c r="J181">
        <v>56.97</v>
      </c>
      <c r="K181">
        <v>56.19</v>
      </c>
      <c r="L181">
        <v>27.04</v>
      </c>
      <c r="M181">
        <v>49.52</v>
      </c>
      <c r="N181">
        <v>49.52</v>
      </c>
      <c r="O181">
        <v>53.57</v>
      </c>
      <c r="P181">
        <v>51.66</v>
      </c>
      <c r="Q181">
        <v>18.309999999999999</v>
      </c>
      <c r="R181">
        <v>1141.28</v>
      </c>
      <c r="S181">
        <v>30.67</v>
      </c>
      <c r="T181">
        <v>17.88</v>
      </c>
      <c r="U181">
        <v>12.07</v>
      </c>
      <c r="V181">
        <v>40.43</v>
      </c>
      <c r="W181">
        <v>42.61</v>
      </c>
      <c r="X181">
        <v>24.67</v>
      </c>
      <c r="Y181">
        <v>42.45</v>
      </c>
      <c r="Z181">
        <v>39.49</v>
      </c>
      <c r="AA181">
        <v>71.430000000000007</v>
      </c>
      <c r="AB181">
        <v>53.86</v>
      </c>
      <c r="AC181">
        <v>38.1</v>
      </c>
      <c r="AD181">
        <v>475.47</v>
      </c>
      <c r="AE181">
        <v>554.54</v>
      </c>
      <c r="AF181">
        <v>41.04</v>
      </c>
      <c r="AG181">
        <v>48.85</v>
      </c>
      <c r="AH181">
        <v>43.64</v>
      </c>
      <c r="AI181">
        <v>44.21</v>
      </c>
    </row>
    <row r="182" spans="1:35" x14ac:dyDescent="0.45">
      <c r="A182" s="2">
        <v>45776</v>
      </c>
      <c r="B182">
        <v>27.14</v>
      </c>
      <c r="C182">
        <v>31.44</v>
      </c>
      <c r="D182">
        <v>17.100000000000001</v>
      </c>
      <c r="E182">
        <v>26.41</v>
      </c>
      <c r="F182">
        <v>30.3</v>
      </c>
      <c r="G182">
        <v>44.8</v>
      </c>
      <c r="H182">
        <v>23.7</v>
      </c>
      <c r="I182">
        <v>47.15</v>
      </c>
      <c r="J182">
        <v>56.42</v>
      </c>
      <c r="K182">
        <v>56.1</v>
      </c>
      <c r="L182">
        <v>27.36</v>
      </c>
      <c r="M182">
        <v>49.14</v>
      </c>
      <c r="N182">
        <v>49.99</v>
      </c>
      <c r="O182">
        <v>53.54</v>
      </c>
      <c r="P182">
        <v>51.68</v>
      </c>
      <c r="Q182">
        <v>18.2</v>
      </c>
      <c r="R182">
        <v>1138.9000000000001</v>
      </c>
      <c r="S182">
        <v>31.18</v>
      </c>
      <c r="T182">
        <v>17.989999999999998</v>
      </c>
      <c r="U182">
        <v>12.05</v>
      </c>
      <c r="V182">
        <v>40.74</v>
      </c>
      <c r="W182">
        <v>43.35</v>
      </c>
      <c r="X182">
        <v>24.55</v>
      </c>
      <c r="Y182">
        <v>42.45</v>
      </c>
      <c r="Z182">
        <v>39.67</v>
      </c>
      <c r="AA182">
        <v>72.02</v>
      </c>
      <c r="AB182">
        <v>53.67</v>
      </c>
      <c r="AC182">
        <v>38.35</v>
      </c>
      <c r="AD182">
        <v>475.53</v>
      </c>
      <c r="AE182">
        <v>554.32000000000005</v>
      </c>
      <c r="AF182">
        <v>40.94</v>
      </c>
      <c r="AG182">
        <v>48.92</v>
      </c>
      <c r="AH182">
        <v>43</v>
      </c>
      <c r="AI182">
        <v>44.67</v>
      </c>
    </row>
    <row r="183" spans="1:35" x14ac:dyDescent="0.45">
      <c r="A183" s="2">
        <v>45775</v>
      </c>
      <c r="B183">
        <v>27.14</v>
      </c>
      <c r="C183">
        <v>31.24</v>
      </c>
      <c r="D183">
        <v>16.93</v>
      </c>
      <c r="E183">
        <v>26.18</v>
      </c>
      <c r="F183">
        <v>30.3</v>
      </c>
      <c r="G183">
        <v>44.6021</v>
      </c>
      <c r="H183">
        <v>23.71</v>
      </c>
      <c r="I183">
        <v>46.47</v>
      </c>
      <c r="J183">
        <v>58.12</v>
      </c>
      <c r="K183">
        <v>55.65</v>
      </c>
      <c r="L183">
        <v>27.21</v>
      </c>
      <c r="M183">
        <v>49.09</v>
      </c>
      <c r="N183">
        <v>49.71</v>
      </c>
      <c r="O183">
        <v>53.29</v>
      </c>
      <c r="P183">
        <v>51.85</v>
      </c>
      <c r="Q183">
        <v>18.14</v>
      </c>
      <c r="R183">
        <v>1128.6600000000001</v>
      </c>
      <c r="S183">
        <v>31.48</v>
      </c>
      <c r="T183">
        <v>17.64</v>
      </c>
      <c r="U183">
        <v>11.95</v>
      </c>
      <c r="V183">
        <v>40.85</v>
      </c>
      <c r="W183">
        <v>43.6</v>
      </c>
      <c r="X183">
        <v>24.52</v>
      </c>
      <c r="Y183">
        <v>42.37</v>
      </c>
      <c r="Z183">
        <v>39.47</v>
      </c>
      <c r="AA183">
        <v>71.739999999999995</v>
      </c>
      <c r="AB183">
        <v>53.71</v>
      </c>
      <c r="AC183">
        <v>38.19</v>
      </c>
      <c r="AD183">
        <v>472.41</v>
      </c>
      <c r="AE183">
        <v>550.85</v>
      </c>
      <c r="AF183">
        <v>41.04</v>
      </c>
      <c r="AG183">
        <v>48.79</v>
      </c>
      <c r="AH183">
        <v>43.61</v>
      </c>
      <c r="AI183">
        <v>44.23</v>
      </c>
    </row>
    <row r="184" spans="1:35" x14ac:dyDescent="0.45">
      <c r="A184" s="2">
        <v>45772</v>
      </c>
      <c r="B184">
        <v>27.25</v>
      </c>
      <c r="C184">
        <v>31.67</v>
      </c>
      <c r="D184">
        <v>16.77</v>
      </c>
      <c r="E184">
        <v>26.26</v>
      </c>
      <c r="F184">
        <v>30.04</v>
      </c>
      <c r="G184">
        <v>44.4285</v>
      </c>
      <c r="H184">
        <v>23.43</v>
      </c>
      <c r="I184">
        <v>46.34</v>
      </c>
      <c r="J184">
        <v>57.94</v>
      </c>
      <c r="K184">
        <v>55.81</v>
      </c>
      <c r="L184">
        <v>26.94</v>
      </c>
      <c r="M184">
        <v>48.38</v>
      </c>
      <c r="N184">
        <v>49.52</v>
      </c>
      <c r="O184">
        <v>52.85</v>
      </c>
      <c r="P184">
        <v>51.91</v>
      </c>
      <c r="Q184">
        <v>18.16</v>
      </c>
      <c r="R184">
        <v>1133.95</v>
      </c>
      <c r="S184">
        <v>31.96</v>
      </c>
      <c r="T184">
        <v>17.47</v>
      </c>
      <c r="U184">
        <v>12.01</v>
      </c>
      <c r="V184">
        <v>41.16</v>
      </c>
      <c r="W184">
        <v>43.76</v>
      </c>
      <c r="X184">
        <v>24.51</v>
      </c>
      <c r="Y184">
        <v>42.04</v>
      </c>
      <c r="Z184">
        <v>39.36</v>
      </c>
      <c r="AA184">
        <v>70.77</v>
      </c>
      <c r="AB184">
        <v>53.04</v>
      </c>
      <c r="AC184">
        <v>37.94</v>
      </c>
      <c r="AD184">
        <v>472.56</v>
      </c>
      <c r="AE184">
        <v>550.64</v>
      </c>
      <c r="AF184">
        <v>40.950000000000003</v>
      </c>
      <c r="AG184">
        <v>48.78</v>
      </c>
      <c r="AH184">
        <v>43.62</v>
      </c>
      <c r="AI184">
        <v>44.04</v>
      </c>
    </row>
    <row r="185" spans="1:35" x14ac:dyDescent="0.45">
      <c r="A185" s="2">
        <v>45771</v>
      </c>
      <c r="B185">
        <v>27.29</v>
      </c>
      <c r="C185">
        <v>31.7</v>
      </c>
      <c r="D185">
        <v>16.760000000000002</v>
      </c>
      <c r="E185">
        <v>25.96</v>
      </c>
      <c r="F185">
        <v>30.19</v>
      </c>
      <c r="G185">
        <v>44.55</v>
      </c>
      <c r="H185">
        <v>23.43</v>
      </c>
      <c r="I185">
        <v>46.18</v>
      </c>
      <c r="J185">
        <v>57.34</v>
      </c>
      <c r="K185">
        <v>55.95</v>
      </c>
      <c r="L185">
        <v>26.74</v>
      </c>
      <c r="M185">
        <v>47.96</v>
      </c>
      <c r="N185">
        <v>49.95</v>
      </c>
      <c r="O185">
        <v>53.74</v>
      </c>
      <c r="P185">
        <v>51.97</v>
      </c>
      <c r="Q185">
        <v>18.12</v>
      </c>
      <c r="R185">
        <v>1088.18</v>
      </c>
      <c r="S185">
        <v>32.18</v>
      </c>
      <c r="T185">
        <v>17.57</v>
      </c>
      <c r="U185">
        <v>12</v>
      </c>
      <c r="V185">
        <v>41.05</v>
      </c>
      <c r="W185">
        <v>43.805</v>
      </c>
      <c r="X185">
        <v>24.51</v>
      </c>
      <c r="Y185">
        <v>42.06</v>
      </c>
      <c r="Z185">
        <v>39.03</v>
      </c>
      <c r="AA185">
        <v>70.28</v>
      </c>
      <c r="AB185">
        <v>52.96</v>
      </c>
      <c r="AC185">
        <v>37.89</v>
      </c>
      <c r="AD185">
        <v>467.35</v>
      </c>
      <c r="AE185">
        <v>546.69000000000005</v>
      </c>
      <c r="AF185">
        <v>40.72</v>
      </c>
      <c r="AG185">
        <v>48.41</v>
      </c>
      <c r="AH185">
        <v>43.32</v>
      </c>
      <c r="AI185">
        <v>43.48</v>
      </c>
    </row>
    <row r="186" spans="1:35" x14ac:dyDescent="0.45">
      <c r="A186" s="2">
        <v>45770</v>
      </c>
      <c r="B186">
        <v>27.2</v>
      </c>
      <c r="C186">
        <v>31.19</v>
      </c>
      <c r="D186">
        <v>16.61</v>
      </c>
      <c r="E186">
        <v>25.59</v>
      </c>
      <c r="F186">
        <v>29.43</v>
      </c>
      <c r="G186">
        <v>43.98</v>
      </c>
      <c r="H186">
        <v>23.07</v>
      </c>
      <c r="I186">
        <v>45.5</v>
      </c>
      <c r="J186">
        <v>56.51</v>
      </c>
      <c r="K186">
        <v>55.6</v>
      </c>
      <c r="L186">
        <v>26.31</v>
      </c>
      <c r="M186">
        <v>47.55</v>
      </c>
      <c r="N186">
        <v>49.35</v>
      </c>
      <c r="O186">
        <v>53.18</v>
      </c>
      <c r="P186">
        <v>51.66</v>
      </c>
      <c r="Q186">
        <v>17.899999999999999</v>
      </c>
      <c r="R186">
        <v>1074.5899999999999</v>
      </c>
      <c r="S186">
        <v>31.77</v>
      </c>
      <c r="T186">
        <v>17.23</v>
      </c>
      <c r="U186">
        <v>11.62</v>
      </c>
      <c r="V186">
        <v>40.369999999999997</v>
      </c>
      <c r="W186">
        <v>42.823799999999999</v>
      </c>
      <c r="X186">
        <v>24</v>
      </c>
      <c r="Y186">
        <v>41.52</v>
      </c>
      <c r="Z186">
        <v>38.44</v>
      </c>
      <c r="AA186">
        <v>69.48</v>
      </c>
      <c r="AB186">
        <v>52.23</v>
      </c>
      <c r="AC186">
        <v>37.549999999999997</v>
      </c>
      <c r="AD186">
        <v>454.56</v>
      </c>
      <c r="AE186">
        <v>535.41999999999996</v>
      </c>
      <c r="AF186">
        <v>40.119999999999997</v>
      </c>
      <c r="AG186">
        <v>47.77</v>
      </c>
      <c r="AH186">
        <v>42.43</v>
      </c>
      <c r="AI186">
        <v>42.69</v>
      </c>
    </row>
    <row r="187" spans="1:35" x14ac:dyDescent="0.45">
      <c r="A187" s="2">
        <v>45769</v>
      </c>
      <c r="B187">
        <v>27.16</v>
      </c>
      <c r="C187">
        <v>30.91</v>
      </c>
      <c r="D187">
        <v>16.36</v>
      </c>
      <c r="E187">
        <v>25.55</v>
      </c>
      <c r="F187">
        <v>29.25</v>
      </c>
      <c r="G187">
        <v>43.835999999999999</v>
      </c>
      <c r="H187">
        <v>22.91</v>
      </c>
      <c r="I187">
        <v>44.33</v>
      </c>
      <c r="J187">
        <v>55.51</v>
      </c>
      <c r="K187">
        <v>54.81</v>
      </c>
      <c r="L187">
        <v>25.86</v>
      </c>
      <c r="M187">
        <v>48.16</v>
      </c>
      <c r="N187">
        <v>49.05</v>
      </c>
      <c r="O187">
        <v>53.5</v>
      </c>
      <c r="P187">
        <v>50.9</v>
      </c>
      <c r="Q187">
        <v>17.91</v>
      </c>
      <c r="R187">
        <v>1125.21</v>
      </c>
      <c r="S187">
        <v>31.66</v>
      </c>
      <c r="T187">
        <v>17.010000000000002</v>
      </c>
      <c r="U187">
        <v>11.64</v>
      </c>
      <c r="V187">
        <v>40.409999999999997</v>
      </c>
      <c r="W187">
        <v>43.094999999999999</v>
      </c>
      <c r="X187">
        <v>23.96</v>
      </c>
      <c r="Y187">
        <v>41.39</v>
      </c>
      <c r="Z187">
        <v>38.03</v>
      </c>
      <c r="AA187">
        <v>69.27</v>
      </c>
      <c r="AB187">
        <v>52.45</v>
      </c>
      <c r="AC187">
        <v>37.58</v>
      </c>
      <c r="AD187">
        <v>444.48</v>
      </c>
      <c r="AE187">
        <v>527.25</v>
      </c>
      <c r="AF187">
        <v>39.840000000000003</v>
      </c>
      <c r="AG187">
        <v>47.1</v>
      </c>
      <c r="AH187">
        <v>42.68</v>
      </c>
      <c r="AI187">
        <v>42.81</v>
      </c>
    </row>
    <row r="188" spans="1:35" x14ac:dyDescent="0.45">
      <c r="A188" s="2">
        <v>45768</v>
      </c>
      <c r="B188">
        <v>27.04</v>
      </c>
      <c r="C188">
        <v>30.05</v>
      </c>
      <c r="D188">
        <v>16.03</v>
      </c>
      <c r="E188">
        <v>25.17</v>
      </c>
      <c r="F188">
        <v>28.63</v>
      </c>
      <c r="G188">
        <v>43.48</v>
      </c>
      <c r="H188">
        <v>23.04</v>
      </c>
      <c r="I188">
        <v>44.22</v>
      </c>
      <c r="J188">
        <v>54.34</v>
      </c>
      <c r="K188">
        <v>54.39</v>
      </c>
      <c r="L188">
        <v>25.2</v>
      </c>
      <c r="M188">
        <v>47.6</v>
      </c>
      <c r="N188">
        <v>47.02</v>
      </c>
      <c r="O188">
        <v>53</v>
      </c>
      <c r="P188">
        <v>49.39</v>
      </c>
      <c r="Q188">
        <v>17.78</v>
      </c>
      <c r="R188">
        <v>1161.81</v>
      </c>
      <c r="S188">
        <v>31.71</v>
      </c>
      <c r="T188">
        <v>16.760000000000002</v>
      </c>
      <c r="U188">
        <v>11.51</v>
      </c>
      <c r="V188">
        <v>39.9</v>
      </c>
      <c r="W188">
        <v>43.38</v>
      </c>
      <c r="X188">
        <v>23.48</v>
      </c>
      <c r="Y188">
        <v>40.770000000000003</v>
      </c>
      <c r="Z188">
        <v>37.03</v>
      </c>
      <c r="AA188">
        <v>67.92</v>
      </c>
      <c r="AB188">
        <v>51.82</v>
      </c>
      <c r="AC188">
        <v>36.82</v>
      </c>
      <c r="AD188">
        <v>433.11</v>
      </c>
      <c r="AE188">
        <v>513.88</v>
      </c>
      <c r="AF188">
        <v>38.97</v>
      </c>
      <c r="AG188">
        <v>46.09</v>
      </c>
      <c r="AH188">
        <v>41.77</v>
      </c>
      <c r="AI188">
        <v>41.94</v>
      </c>
    </row>
    <row r="189" spans="1:35" x14ac:dyDescent="0.45">
      <c r="A189" s="2">
        <v>45764</v>
      </c>
      <c r="B189">
        <v>26.82</v>
      </c>
      <c r="C189">
        <v>29.95</v>
      </c>
      <c r="D189">
        <v>16.13</v>
      </c>
      <c r="E189">
        <v>25.3019</v>
      </c>
      <c r="F189">
        <v>28.29</v>
      </c>
      <c r="G189">
        <v>43.2</v>
      </c>
      <c r="H189">
        <v>22.77</v>
      </c>
      <c r="I189">
        <v>44.88</v>
      </c>
      <c r="J189">
        <v>54.93</v>
      </c>
      <c r="K189">
        <v>54.31</v>
      </c>
      <c r="L189">
        <v>25.22</v>
      </c>
      <c r="M189">
        <v>47.9</v>
      </c>
      <c r="N189">
        <v>47.34</v>
      </c>
      <c r="O189">
        <v>52.26</v>
      </c>
      <c r="P189">
        <v>49.29</v>
      </c>
      <c r="Q189">
        <v>17.72</v>
      </c>
      <c r="R189">
        <v>1172.69</v>
      </c>
      <c r="S189">
        <v>31.91</v>
      </c>
      <c r="T189">
        <v>16.760000000000002</v>
      </c>
      <c r="U189">
        <v>11.73</v>
      </c>
      <c r="V189">
        <v>40.19</v>
      </c>
      <c r="W189">
        <v>43.5</v>
      </c>
      <c r="X189">
        <v>23.61</v>
      </c>
      <c r="Y189">
        <v>41.1</v>
      </c>
      <c r="Z189">
        <v>37.4</v>
      </c>
      <c r="AA189">
        <v>68.069999999999993</v>
      </c>
      <c r="AB189">
        <v>51.95</v>
      </c>
      <c r="AC189">
        <v>36.97</v>
      </c>
      <c r="AD189">
        <v>444.1</v>
      </c>
      <c r="AE189">
        <v>526.41</v>
      </c>
      <c r="AF189">
        <v>39.22</v>
      </c>
      <c r="AG189">
        <v>46.55</v>
      </c>
      <c r="AH189">
        <v>41.9</v>
      </c>
      <c r="AI189">
        <v>42.13</v>
      </c>
    </row>
    <row r="190" spans="1:35" x14ac:dyDescent="0.45">
      <c r="A190" s="2">
        <v>45763</v>
      </c>
      <c r="B190">
        <v>26.92</v>
      </c>
      <c r="C190">
        <v>29.43</v>
      </c>
      <c r="D190">
        <v>15.93</v>
      </c>
      <c r="E190">
        <v>25.25</v>
      </c>
      <c r="F190">
        <v>27.74</v>
      </c>
      <c r="G190">
        <v>43.351100000000002</v>
      </c>
      <c r="H190">
        <v>22.44</v>
      </c>
      <c r="I190">
        <v>44.99</v>
      </c>
      <c r="J190">
        <v>53.02</v>
      </c>
      <c r="K190">
        <v>54.06</v>
      </c>
      <c r="L190">
        <v>24.79</v>
      </c>
      <c r="M190">
        <v>47.43</v>
      </c>
      <c r="N190">
        <v>47.35</v>
      </c>
      <c r="O190">
        <v>51.13</v>
      </c>
      <c r="P190">
        <v>49.16</v>
      </c>
      <c r="Q190">
        <v>17.78</v>
      </c>
      <c r="R190">
        <v>1168.02</v>
      </c>
      <c r="S190">
        <v>31.21</v>
      </c>
      <c r="T190">
        <v>16.68</v>
      </c>
      <c r="U190">
        <v>11.5</v>
      </c>
      <c r="V190">
        <v>40.04</v>
      </c>
      <c r="W190">
        <v>43.03</v>
      </c>
      <c r="X190">
        <v>23.42</v>
      </c>
      <c r="Y190">
        <v>40.83</v>
      </c>
      <c r="Z190">
        <v>37.22</v>
      </c>
      <c r="AA190">
        <v>66.78</v>
      </c>
      <c r="AB190">
        <v>51.29</v>
      </c>
      <c r="AC190">
        <v>36.549999999999997</v>
      </c>
      <c r="AD190">
        <v>444.18</v>
      </c>
      <c r="AE190">
        <v>525.66</v>
      </c>
      <c r="AF190">
        <v>38.96</v>
      </c>
      <c r="AG190">
        <v>46.26</v>
      </c>
      <c r="AH190">
        <v>41.07</v>
      </c>
      <c r="AI190">
        <v>41.76</v>
      </c>
    </row>
    <row r="191" spans="1:35" x14ac:dyDescent="0.45">
      <c r="A191" s="2">
        <v>45762</v>
      </c>
      <c r="B191">
        <v>26.7</v>
      </c>
      <c r="C191">
        <v>29.35</v>
      </c>
      <c r="D191">
        <v>16.14</v>
      </c>
      <c r="E191">
        <v>25.414100000000001</v>
      </c>
      <c r="F191">
        <v>27.58</v>
      </c>
      <c r="G191">
        <v>43.15</v>
      </c>
      <c r="H191">
        <v>22.63</v>
      </c>
      <c r="I191">
        <v>46.05</v>
      </c>
      <c r="J191">
        <v>52.19</v>
      </c>
      <c r="K191">
        <v>54.38</v>
      </c>
      <c r="L191">
        <v>24.86</v>
      </c>
      <c r="M191">
        <v>47.1</v>
      </c>
      <c r="N191">
        <v>47.414999999999999</v>
      </c>
      <c r="O191">
        <v>51.13</v>
      </c>
      <c r="P191">
        <v>50.17</v>
      </c>
      <c r="Q191">
        <v>17.89</v>
      </c>
      <c r="R191">
        <v>1158.0899999999999</v>
      </c>
      <c r="S191">
        <v>31.85</v>
      </c>
      <c r="T191">
        <v>16.79</v>
      </c>
      <c r="U191">
        <v>11.74</v>
      </c>
      <c r="V191">
        <v>40.24</v>
      </c>
      <c r="W191">
        <v>42.68</v>
      </c>
      <c r="X191">
        <v>23.36</v>
      </c>
      <c r="Y191">
        <v>40.53</v>
      </c>
      <c r="Z191">
        <v>37.200000000000003</v>
      </c>
      <c r="AA191">
        <v>67.44</v>
      </c>
      <c r="AB191">
        <v>51.45</v>
      </c>
      <c r="AC191">
        <v>36.65</v>
      </c>
      <c r="AD191">
        <v>457.99</v>
      </c>
      <c r="AE191">
        <v>537.61</v>
      </c>
      <c r="AF191">
        <v>39</v>
      </c>
      <c r="AG191">
        <v>46.89</v>
      </c>
      <c r="AH191">
        <v>41.39</v>
      </c>
      <c r="AI191">
        <v>41.54</v>
      </c>
    </row>
    <row r="192" spans="1:35" x14ac:dyDescent="0.45">
      <c r="A192" s="2">
        <v>45761</v>
      </c>
      <c r="B192">
        <v>26.96</v>
      </c>
      <c r="C192">
        <v>29.13</v>
      </c>
      <c r="D192">
        <v>16.09</v>
      </c>
      <c r="E192">
        <v>25.19</v>
      </c>
      <c r="F192">
        <v>27.59</v>
      </c>
      <c r="G192">
        <v>43.14</v>
      </c>
      <c r="H192">
        <v>22.65</v>
      </c>
      <c r="I192">
        <v>45.77</v>
      </c>
      <c r="J192">
        <v>51.91</v>
      </c>
      <c r="K192">
        <v>54.35</v>
      </c>
      <c r="L192">
        <v>25.01</v>
      </c>
      <c r="M192">
        <v>47.22</v>
      </c>
      <c r="N192">
        <v>46.92</v>
      </c>
      <c r="O192">
        <v>51.03</v>
      </c>
      <c r="P192">
        <v>50.56</v>
      </c>
      <c r="Q192">
        <v>17.79</v>
      </c>
      <c r="R192">
        <v>1175.45</v>
      </c>
      <c r="S192">
        <v>32.130000000000003</v>
      </c>
      <c r="T192">
        <v>16.71</v>
      </c>
      <c r="U192">
        <v>11.93</v>
      </c>
      <c r="V192">
        <v>40.01</v>
      </c>
      <c r="W192">
        <v>43.1</v>
      </c>
      <c r="X192">
        <v>23.29</v>
      </c>
      <c r="Y192">
        <v>40.44</v>
      </c>
      <c r="Z192">
        <v>36.82</v>
      </c>
      <c r="AA192">
        <v>66.900000000000006</v>
      </c>
      <c r="AB192">
        <v>51.2</v>
      </c>
      <c r="AC192">
        <v>36.15</v>
      </c>
      <c r="AD192">
        <v>457.48</v>
      </c>
      <c r="AE192">
        <v>539.12</v>
      </c>
      <c r="AF192">
        <v>38.85</v>
      </c>
      <c r="AG192">
        <v>46.61</v>
      </c>
      <c r="AH192">
        <v>40.72</v>
      </c>
      <c r="AI192">
        <v>40.92</v>
      </c>
    </row>
    <row r="193" spans="1:35" x14ac:dyDescent="0.45">
      <c r="A193" s="2">
        <v>45758</v>
      </c>
      <c r="B193">
        <v>27.09</v>
      </c>
      <c r="C193">
        <v>28.39</v>
      </c>
      <c r="D193">
        <v>15.87</v>
      </c>
      <c r="E193">
        <v>24.96</v>
      </c>
      <c r="F193">
        <v>27.25</v>
      </c>
      <c r="G193">
        <v>42.085000000000001</v>
      </c>
      <c r="H193">
        <v>22.46</v>
      </c>
      <c r="I193">
        <v>45.62</v>
      </c>
      <c r="J193">
        <v>50.68</v>
      </c>
      <c r="K193">
        <v>54.31</v>
      </c>
      <c r="L193">
        <v>24.69</v>
      </c>
      <c r="M193">
        <v>45.62</v>
      </c>
      <c r="N193">
        <v>45.92</v>
      </c>
      <c r="O193">
        <v>50.76</v>
      </c>
      <c r="P193">
        <v>49.68</v>
      </c>
      <c r="Q193">
        <v>17.61</v>
      </c>
      <c r="R193">
        <v>1187.9000000000001</v>
      </c>
      <c r="S193">
        <v>32.08</v>
      </c>
      <c r="T193">
        <v>16.510000000000002</v>
      </c>
      <c r="U193">
        <v>11.87</v>
      </c>
      <c r="V193">
        <v>39.58</v>
      </c>
      <c r="W193">
        <v>42.39</v>
      </c>
      <c r="X193">
        <v>22.77</v>
      </c>
      <c r="Y193">
        <v>39.869999999999997</v>
      </c>
      <c r="Z193">
        <v>36.369999999999997</v>
      </c>
      <c r="AA193">
        <v>65.819999999999993</v>
      </c>
      <c r="AB193">
        <v>51.05</v>
      </c>
      <c r="AC193">
        <v>35.57</v>
      </c>
      <c r="AD193">
        <v>454.4</v>
      </c>
      <c r="AE193">
        <v>533.94000000000005</v>
      </c>
      <c r="AF193">
        <v>38.97</v>
      </c>
      <c r="AG193">
        <v>45.81</v>
      </c>
      <c r="AH193">
        <v>40.31</v>
      </c>
      <c r="AI193">
        <v>40.53</v>
      </c>
    </row>
    <row r="194" spans="1:35" x14ac:dyDescent="0.45">
      <c r="A194" s="2">
        <v>45757</v>
      </c>
      <c r="B194">
        <v>26.64</v>
      </c>
      <c r="C194">
        <v>27.51</v>
      </c>
      <c r="D194">
        <v>15.45</v>
      </c>
      <c r="E194">
        <v>24.18</v>
      </c>
      <c r="F194">
        <v>26.93</v>
      </c>
      <c r="G194">
        <v>40.805900000000001</v>
      </c>
      <c r="H194">
        <v>22.05</v>
      </c>
      <c r="I194">
        <v>43.32</v>
      </c>
      <c r="J194">
        <v>50.3</v>
      </c>
      <c r="K194">
        <v>51.82</v>
      </c>
      <c r="L194">
        <v>24.19</v>
      </c>
      <c r="M194">
        <v>43.94</v>
      </c>
      <c r="N194">
        <v>44.76</v>
      </c>
      <c r="O194">
        <v>50.52</v>
      </c>
      <c r="P194">
        <v>47.98</v>
      </c>
      <c r="Q194">
        <v>17.52</v>
      </c>
      <c r="R194">
        <v>1190.3599999999999</v>
      </c>
      <c r="S194">
        <v>31.9</v>
      </c>
      <c r="T194">
        <v>16.170000000000002</v>
      </c>
      <c r="U194">
        <v>11.31</v>
      </c>
      <c r="V194">
        <v>39.340000000000003</v>
      </c>
      <c r="W194">
        <v>41.79</v>
      </c>
      <c r="X194">
        <v>22.35</v>
      </c>
      <c r="Y194">
        <v>38.74</v>
      </c>
      <c r="Z194">
        <v>35.799999999999997</v>
      </c>
      <c r="AA194">
        <v>64.22</v>
      </c>
      <c r="AB194">
        <v>49.7</v>
      </c>
      <c r="AC194">
        <v>34.67</v>
      </c>
      <c r="AD194">
        <v>446.18</v>
      </c>
      <c r="AE194">
        <v>524.58000000000004</v>
      </c>
      <c r="AF194">
        <v>37.99</v>
      </c>
      <c r="AG194">
        <v>44.67</v>
      </c>
      <c r="AH194">
        <v>39.65</v>
      </c>
      <c r="AI194">
        <v>39.659999999999997</v>
      </c>
    </row>
    <row r="195" spans="1:35" x14ac:dyDescent="0.45">
      <c r="A195" s="2">
        <v>45756</v>
      </c>
      <c r="B195">
        <v>26.4</v>
      </c>
      <c r="C195">
        <v>28.24</v>
      </c>
      <c r="D195">
        <v>15.56</v>
      </c>
      <c r="E195">
        <v>25.16</v>
      </c>
      <c r="F195">
        <v>27.69</v>
      </c>
      <c r="G195">
        <v>41.46</v>
      </c>
      <c r="H195">
        <v>22.14</v>
      </c>
      <c r="I195">
        <v>44.79</v>
      </c>
      <c r="J195">
        <v>51.86</v>
      </c>
      <c r="K195">
        <v>53.28</v>
      </c>
      <c r="L195">
        <v>24.71</v>
      </c>
      <c r="M195">
        <v>44.27</v>
      </c>
      <c r="N195">
        <v>44.85</v>
      </c>
      <c r="O195">
        <v>51.22</v>
      </c>
      <c r="P195">
        <v>48.06</v>
      </c>
      <c r="Q195">
        <v>17.57</v>
      </c>
      <c r="R195">
        <v>1184.93</v>
      </c>
      <c r="S195">
        <v>32.83</v>
      </c>
      <c r="T195">
        <v>16.46</v>
      </c>
      <c r="U195">
        <v>11.46</v>
      </c>
      <c r="V195">
        <v>40.200000000000003</v>
      </c>
      <c r="W195">
        <v>41.36</v>
      </c>
      <c r="X195">
        <v>22.81</v>
      </c>
      <c r="Y195">
        <v>39.54</v>
      </c>
      <c r="Z195">
        <v>36.22</v>
      </c>
      <c r="AA195">
        <v>66.34</v>
      </c>
      <c r="AB195">
        <v>49.71</v>
      </c>
      <c r="AC195">
        <v>35.11</v>
      </c>
      <c r="AD195">
        <v>466</v>
      </c>
      <c r="AE195">
        <v>548.62</v>
      </c>
      <c r="AF195">
        <v>38.61</v>
      </c>
      <c r="AG195">
        <v>46.05</v>
      </c>
      <c r="AH195">
        <v>39.92</v>
      </c>
      <c r="AI195">
        <v>40.22</v>
      </c>
    </row>
    <row r="196" spans="1:35" x14ac:dyDescent="0.45">
      <c r="A196" s="2">
        <v>45755</v>
      </c>
      <c r="B196">
        <v>24.95</v>
      </c>
      <c r="C196">
        <v>26.5</v>
      </c>
      <c r="D196">
        <v>14.36</v>
      </c>
      <c r="E196">
        <v>24.13</v>
      </c>
      <c r="F196">
        <v>24.7</v>
      </c>
      <c r="G196">
        <v>38.53</v>
      </c>
      <c r="H196">
        <v>21.2</v>
      </c>
      <c r="I196">
        <v>40.950000000000003</v>
      </c>
      <c r="J196">
        <v>48.06</v>
      </c>
      <c r="K196">
        <v>48.92</v>
      </c>
      <c r="L196">
        <v>23.44</v>
      </c>
      <c r="M196">
        <v>40.54</v>
      </c>
      <c r="N196">
        <v>42.65</v>
      </c>
      <c r="O196">
        <v>49.16</v>
      </c>
      <c r="P196">
        <v>45.22</v>
      </c>
      <c r="Q196">
        <v>17.23</v>
      </c>
      <c r="R196">
        <v>1190.06</v>
      </c>
      <c r="S196">
        <v>31.83</v>
      </c>
      <c r="T196">
        <v>15.58</v>
      </c>
      <c r="U196">
        <v>10.130000000000001</v>
      </c>
      <c r="V196">
        <v>38.17</v>
      </c>
      <c r="W196">
        <v>39.479999999999997</v>
      </c>
      <c r="X196">
        <v>20.82</v>
      </c>
      <c r="Y196">
        <v>37.17</v>
      </c>
      <c r="Z196">
        <v>33.22</v>
      </c>
      <c r="AA196">
        <v>61.65</v>
      </c>
      <c r="AB196">
        <v>47.12</v>
      </c>
      <c r="AC196">
        <v>33.19</v>
      </c>
      <c r="AD196">
        <v>416.06</v>
      </c>
      <c r="AE196">
        <v>496.48</v>
      </c>
      <c r="AF196">
        <v>35.65</v>
      </c>
      <c r="AG196">
        <v>41.88</v>
      </c>
      <c r="AH196">
        <v>37.07</v>
      </c>
      <c r="AI196">
        <v>36.6</v>
      </c>
    </row>
    <row r="197" spans="1:35" x14ac:dyDescent="0.45">
      <c r="A197" s="2">
        <v>45754</v>
      </c>
      <c r="B197">
        <v>24.71</v>
      </c>
      <c r="C197">
        <v>27.09</v>
      </c>
      <c r="D197">
        <v>15.15</v>
      </c>
      <c r="E197">
        <v>24.14</v>
      </c>
      <c r="F197">
        <v>24.54</v>
      </c>
      <c r="G197">
        <v>39.07</v>
      </c>
      <c r="H197">
        <v>21.75</v>
      </c>
      <c r="I197">
        <v>42.03</v>
      </c>
      <c r="J197">
        <v>48.52</v>
      </c>
      <c r="K197">
        <v>50.78</v>
      </c>
      <c r="L197">
        <v>23.95</v>
      </c>
      <c r="M197">
        <v>40.770000000000003</v>
      </c>
      <c r="N197">
        <v>40.770000000000003</v>
      </c>
      <c r="O197">
        <v>49.13</v>
      </c>
      <c r="P197">
        <v>46</v>
      </c>
      <c r="Q197">
        <v>17.16</v>
      </c>
      <c r="R197">
        <v>1186.6099999999999</v>
      </c>
      <c r="S197">
        <v>31.86</v>
      </c>
      <c r="T197">
        <v>15.88</v>
      </c>
      <c r="U197">
        <v>11.16</v>
      </c>
      <c r="V197">
        <v>38.75</v>
      </c>
      <c r="W197">
        <v>39.39</v>
      </c>
      <c r="X197">
        <v>20.85</v>
      </c>
      <c r="Y197">
        <v>37.79</v>
      </c>
      <c r="Z197">
        <v>33.549999999999997</v>
      </c>
      <c r="AA197">
        <v>61.32</v>
      </c>
      <c r="AB197">
        <v>47.04</v>
      </c>
      <c r="AC197">
        <v>33.29</v>
      </c>
      <c r="AD197">
        <v>423.69</v>
      </c>
      <c r="AE197">
        <v>504.38</v>
      </c>
      <c r="AF197">
        <v>35.97</v>
      </c>
      <c r="AG197">
        <v>42.58</v>
      </c>
      <c r="AH197">
        <v>37.340000000000003</v>
      </c>
      <c r="AI197">
        <v>37.06</v>
      </c>
    </row>
    <row r="198" spans="1:35" x14ac:dyDescent="0.45">
      <c r="A198" s="2">
        <v>45751</v>
      </c>
      <c r="B198">
        <v>26.56</v>
      </c>
      <c r="C198">
        <v>28.19</v>
      </c>
      <c r="D198">
        <v>15.09</v>
      </c>
      <c r="E198">
        <v>23.83</v>
      </c>
      <c r="F198">
        <v>25.14</v>
      </c>
      <c r="G198">
        <v>40.049999999999997</v>
      </c>
      <c r="H198">
        <v>21.91</v>
      </c>
      <c r="I198">
        <v>43.82</v>
      </c>
      <c r="J198">
        <v>49.92</v>
      </c>
      <c r="K198">
        <v>51.25</v>
      </c>
      <c r="L198">
        <v>24.5</v>
      </c>
      <c r="M198">
        <v>41.29</v>
      </c>
      <c r="N198">
        <v>43.59</v>
      </c>
      <c r="O198">
        <v>49.19</v>
      </c>
      <c r="P198">
        <v>50</v>
      </c>
      <c r="Q198">
        <v>16.829999999999998</v>
      </c>
      <c r="R198">
        <v>1181.71</v>
      </c>
      <c r="S198">
        <v>31.67</v>
      </c>
      <c r="T198">
        <v>15.6</v>
      </c>
      <c r="U198">
        <v>11.64</v>
      </c>
      <c r="V198">
        <v>38.979999999999997</v>
      </c>
      <c r="W198">
        <v>40.130000000000003</v>
      </c>
      <c r="X198">
        <v>21.15</v>
      </c>
      <c r="Y198">
        <v>38.409999999999997</v>
      </c>
      <c r="Z198">
        <v>34.32</v>
      </c>
      <c r="AA198">
        <v>61.51</v>
      </c>
      <c r="AB198">
        <v>48.36</v>
      </c>
      <c r="AC198">
        <v>34.619999999999997</v>
      </c>
      <c r="AD198">
        <v>422.67</v>
      </c>
      <c r="AE198">
        <v>505.28</v>
      </c>
      <c r="AF198">
        <v>37.21</v>
      </c>
      <c r="AG198">
        <v>43.14</v>
      </c>
      <c r="AH198">
        <v>38.17</v>
      </c>
      <c r="AI198">
        <v>38.49</v>
      </c>
    </row>
    <row r="199" spans="1:35" x14ac:dyDescent="0.45">
      <c r="A199" s="2">
        <v>45750</v>
      </c>
      <c r="B199">
        <v>27.65</v>
      </c>
      <c r="C199">
        <v>30.07</v>
      </c>
      <c r="D199">
        <v>15.88</v>
      </c>
      <c r="E199">
        <v>25.04</v>
      </c>
      <c r="F199">
        <v>27.51</v>
      </c>
      <c r="G199">
        <v>43.42</v>
      </c>
      <c r="H199">
        <v>23.01</v>
      </c>
      <c r="I199">
        <v>46.05</v>
      </c>
      <c r="J199">
        <v>54.26</v>
      </c>
      <c r="K199">
        <v>53.14</v>
      </c>
      <c r="L199">
        <v>26.33</v>
      </c>
      <c r="M199">
        <v>44.88</v>
      </c>
      <c r="N199">
        <v>47.32</v>
      </c>
      <c r="O199">
        <v>51.18</v>
      </c>
      <c r="P199">
        <v>53.67</v>
      </c>
      <c r="Q199">
        <v>17.66</v>
      </c>
      <c r="R199">
        <v>1189.6600000000001</v>
      </c>
      <c r="S199">
        <v>32.200000000000003</v>
      </c>
      <c r="T199">
        <v>16.350000000000001</v>
      </c>
      <c r="U199">
        <v>11.4</v>
      </c>
      <c r="V199">
        <v>40.61</v>
      </c>
      <c r="W199">
        <v>42.72</v>
      </c>
      <c r="X199">
        <v>23.25</v>
      </c>
      <c r="Y199">
        <v>40.619999999999997</v>
      </c>
      <c r="Z199">
        <v>36.729999999999997</v>
      </c>
      <c r="AA199">
        <v>65.41</v>
      </c>
      <c r="AB199">
        <v>51.41</v>
      </c>
      <c r="AC199">
        <v>37.28</v>
      </c>
      <c r="AD199">
        <v>450.66</v>
      </c>
      <c r="AE199">
        <v>536.70000000000005</v>
      </c>
      <c r="AF199">
        <v>39.479999999999997</v>
      </c>
      <c r="AG199">
        <v>45.71</v>
      </c>
      <c r="AH199">
        <v>41.47</v>
      </c>
      <c r="AI199">
        <v>41.77</v>
      </c>
    </row>
    <row r="200" spans="1:35" x14ac:dyDescent="0.45">
      <c r="A200" s="2">
        <v>45749</v>
      </c>
      <c r="B200">
        <v>27.91</v>
      </c>
      <c r="C200">
        <v>29.91</v>
      </c>
      <c r="D200">
        <v>16.329999999999998</v>
      </c>
      <c r="E200">
        <v>25.56</v>
      </c>
      <c r="F200">
        <v>28.79</v>
      </c>
      <c r="G200">
        <v>44.85</v>
      </c>
      <c r="H200">
        <v>23.32</v>
      </c>
      <c r="I200">
        <v>48.48</v>
      </c>
      <c r="J200">
        <v>52.16</v>
      </c>
      <c r="K200">
        <v>54.63</v>
      </c>
      <c r="L200">
        <v>26.14</v>
      </c>
      <c r="M200">
        <v>46.65</v>
      </c>
      <c r="N200">
        <v>48.1</v>
      </c>
      <c r="O200">
        <v>51.56</v>
      </c>
      <c r="P200">
        <v>54.16</v>
      </c>
      <c r="Q200">
        <v>17.86</v>
      </c>
      <c r="R200">
        <v>1176.17</v>
      </c>
      <c r="S200">
        <v>32.44</v>
      </c>
      <c r="T200">
        <v>17</v>
      </c>
      <c r="U200">
        <v>12.7</v>
      </c>
      <c r="V200">
        <v>41.52</v>
      </c>
      <c r="W200">
        <v>42.67</v>
      </c>
      <c r="X200">
        <v>23.89</v>
      </c>
      <c r="Y200">
        <v>41.59</v>
      </c>
      <c r="Z200">
        <v>37.380000000000003</v>
      </c>
      <c r="AA200">
        <v>68.22</v>
      </c>
      <c r="AB200">
        <v>51.49</v>
      </c>
      <c r="AC200">
        <v>37.61</v>
      </c>
      <c r="AD200">
        <v>476.15</v>
      </c>
      <c r="AE200">
        <v>564.52</v>
      </c>
      <c r="AF200">
        <v>40.18</v>
      </c>
      <c r="AG200">
        <v>46.87</v>
      </c>
      <c r="AH200">
        <v>42.61</v>
      </c>
      <c r="AI200">
        <v>42.66</v>
      </c>
    </row>
    <row r="201" spans="1:35" x14ac:dyDescent="0.45">
      <c r="A201" s="2">
        <v>45748</v>
      </c>
      <c r="B201">
        <v>27.92</v>
      </c>
      <c r="C201">
        <v>30.2</v>
      </c>
      <c r="D201">
        <v>16.25</v>
      </c>
      <c r="E201">
        <v>25.26</v>
      </c>
      <c r="F201">
        <v>28.28</v>
      </c>
      <c r="G201">
        <v>44.57</v>
      </c>
      <c r="H201">
        <v>23.03</v>
      </c>
      <c r="I201">
        <v>48.2</v>
      </c>
      <c r="J201">
        <v>52.05</v>
      </c>
      <c r="K201">
        <v>54.85</v>
      </c>
      <c r="L201">
        <v>26.14</v>
      </c>
      <c r="M201">
        <v>48.1</v>
      </c>
      <c r="N201">
        <v>47.63</v>
      </c>
      <c r="O201">
        <v>51.05</v>
      </c>
      <c r="P201">
        <v>54.55</v>
      </c>
      <c r="Q201">
        <v>17.88</v>
      </c>
      <c r="R201">
        <v>1170.2</v>
      </c>
      <c r="S201">
        <v>32.89</v>
      </c>
      <c r="T201">
        <v>16.93</v>
      </c>
      <c r="U201">
        <v>12.56</v>
      </c>
      <c r="V201">
        <v>41.34</v>
      </c>
      <c r="W201">
        <v>42.39</v>
      </c>
      <c r="X201">
        <v>23.71</v>
      </c>
      <c r="Y201">
        <v>41.13</v>
      </c>
      <c r="Z201">
        <v>37.29</v>
      </c>
      <c r="AA201">
        <v>68.2</v>
      </c>
      <c r="AB201">
        <v>51.76</v>
      </c>
      <c r="AC201">
        <v>37.44</v>
      </c>
      <c r="AD201">
        <v>472.7</v>
      </c>
      <c r="AE201">
        <v>560.97</v>
      </c>
      <c r="AF201">
        <v>40.049999999999997</v>
      </c>
      <c r="AG201">
        <v>46.7</v>
      </c>
      <c r="AH201">
        <v>42.25</v>
      </c>
      <c r="AI201">
        <v>42.46</v>
      </c>
    </row>
    <row r="202" spans="1:35" x14ac:dyDescent="0.45">
      <c r="A202" s="2">
        <v>45747</v>
      </c>
      <c r="B202">
        <v>28.03</v>
      </c>
      <c r="C202">
        <v>29.82</v>
      </c>
      <c r="D202">
        <v>16.3</v>
      </c>
      <c r="E202">
        <v>25.3</v>
      </c>
      <c r="F202">
        <v>28.01</v>
      </c>
      <c r="G202">
        <v>43.89</v>
      </c>
      <c r="H202">
        <v>23.08</v>
      </c>
      <c r="I202">
        <v>47.48</v>
      </c>
      <c r="J202">
        <v>50.96</v>
      </c>
      <c r="K202">
        <v>54.04</v>
      </c>
      <c r="L202">
        <v>25.85</v>
      </c>
      <c r="M202">
        <v>48.13</v>
      </c>
      <c r="N202">
        <v>46.97</v>
      </c>
      <c r="O202">
        <v>51.48</v>
      </c>
      <c r="P202">
        <v>54.4</v>
      </c>
      <c r="Q202">
        <v>17.84</v>
      </c>
      <c r="R202">
        <v>1173.76</v>
      </c>
      <c r="S202">
        <v>32.82</v>
      </c>
      <c r="T202">
        <v>16.97</v>
      </c>
      <c r="U202">
        <v>12.48</v>
      </c>
      <c r="V202">
        <v>41.37</v>
      </c>
      <c r="W202">
        <v>42.08</v>
      </c>
      <c r="X202">
        <v>23.44</v>
      </c>
      <c r="Y202">
        <v>40.75</v>
      </c>
      <c r="Z202">
        <v>37.08</v>
      </c>
      <c r="AA202">
        <v>68.56</v>
      </c>
      <c r="AB202">
        <v>51.79</v>
      </c>
      <c r="AC202">
        <v>37.47</v>
      </c>
      <c r="AD202">
        <v>468.92</v>
      </c>
      <c r="AE202">
        <v>559.39</v>
      </c>
      <c r="AF202">
        <v>39.799999999999997</v>
      </c>
      <c r="AG202">
        <v>46.73</v>
      </c>
      <c r="AH202">
        <v>42.08</v>
      </c>
      <c r="AI202">
        <v>42.32</v>
      </c>
    </row>
    <row r="204" spans="1:35" x14ac:dyDescent="0.45">
      <c r="A204" t="s">
        <v>78</v>
      </c>
      <c r="B204">
        <f>AVERAGE(_xlfn.ANCHORARRAY(B2))</f>
        <v>31.329414925373122</v>
      </c>
      <c r="C204">
        <f t="shared" ref="C204:AI204" si="0">AVERAGE(_xlfn.ANCHORARRAY(C2))</f>
        <v>33.578432835820884</v>
      </c>
      <c r="D204">
        <f t="shared" si="0"/>
        <v>17.911194029850744</v>
      </c>
      <c r="E204">
        <f t="shared" si="0"/>
        <v>25.923249751243798</v>
      </c>
      <c r="F204">
        <f t="shared" si="0"/>
        <v>32.177761194029856</v>
      </c>
      <c r="G204">
        <f t="shared" si="0"/>
        <v>55.534700497512432</v>
      </c>
      <c r="H204">
        <f t="shared" si="0"/>
        <v>25.122935323383089</v>
      </c>
      <c r="I204">
        <f t="shared" si="0"/>
        <v>58.961741293532327</v>
      </c>
      <c r="J204">
        <f t="shared" si="0"/>
        <v>62.940995024875626</v>
      </c>
      <c r="K204">
        <f t="shared" si="0"/>
        <v>76.930547263681575</v>
      </c>
      <c r="L204">
        <f t="shared" si="0"/>
        <v>29.273781094527354</v>
      </c>
      <c r="M204">
        <f t="shared" si="0"/>
        <v>58.611592039800968</v>
      </c>
      <c r="N204">
        <f t="shared" si="0"/>
        <v>60.512448258706442</v>
      </c>
      <c r="O204">
        <f t="shared" si="0"/>
        <v>53.594527363184078</v>
      </c>
      <c r="P204">
        <f t="shared" si="0"/>
        <v>58.883706467661753</v>
      </c>
      <c r="Q204">
        <f t="shared" si="0"/>
        <v>19.031464179104479</v>
      </c>
      <c r="R204">
        <f t="shared" si="0"/>
        <v>1221.4969651741287</v>
      </c>
      <c r="S204">
        <f t="shared" si="0"/>
        <v>33.288481592039766</v>
      </c>
      <c r="T204">
        <f t="shared" si="0"/>
        <v>18.905057711442794</v>
      </c>
      <c r="U204">
        <f t="shared" si="0"/>
        <v>16.082014925373134</v>
      </c>
      <c r="V204">
        <f t="shared" si="0"/>
        <v>38.58557213930348</v>
      </c>
      <c r="W204">
        <f t="shared" si="0"/>
        <v>45.202812935323351</v>
      </c>
      <c r="X204">
        <f t="shared" si="0"/>
        <v>26.044477611940309</v>
      </c>
      <c r="Y204">
        <f t="shared" si="0"/>
        <v>47.980597014925401</v>
      </c>
      <c r="Z204">
        <f t="shared" si="0"/>
        <v>41.17228855721396</v>
      </c>
      <c r="AA204">
        <f t="shared" si="0"/>
        <v>77.244378109452754</v>
      </c>
      <c r="AB204">
        <f t="shared" si="0"/>
        <v>55.464029850746307</v>
      </c>
      <c r="AC204">
        <f t="shared" si="0"/>
        <v>40.941641791044759</v>
      </c>
      <c r="AD204">
        <f t="shared" si="0"/>
        <v>564.40482587064662</v>
      </c>
      <c r="AE204">
        <f t="shared" si="0"/>
        <v>632.78965174129337</v>
      </c>
      <c r="AF204">
        <f t="shared" si="0"/>
        <v>43.102139303482581</v>
      </c>
      <c r="AG204">
        <f t="shared" si="0"/>
        <v>54.479313930348283</v>
      </c>
      <c r="AH204">
        <f t="shared" si="0"/>
        <v>46.236567164179093</v>
      </c>
      <c r="AI204">
        <f t="shared" si="0"/>
        <v>49.556467661691528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68547121"><![CDATA[{"ECH^FG_PRICE(0,-200D)":[44.15,44.51,44.34,43.87,42.85,42.75,42.39,42.55,41.6,40.37,40.4,40.54,40.15,40.29,40.03,39.92,39.79,39.31,38.69,38.28,38.84,38.995,39.78,39.28,38.75,38.34,38.24,38.18,38.51,38.62,38.29,37.69,37.86,37.61,37.27,36.61,36.34,36.59,37.11,36.83,37.31,36.37,36.71,37.26,36.5,36.3,35.8,35.25,35.3,34.5,35.93,35.32,35.34,34.97,34.63,34.59,34.37,34.2,33.47,33.5,33.85,33.36,33.4,33.41,32.8,32.12,31.5,32.52,32.79,32.27,32.05,32.32,32.4,32.71,32.96,32.85,33.17,33.21,33.63,33.68,33.5,33.59,33.6,33.4,33.76,33.8,33.22,34.02,32.89,32.695,33.23,33.83,33.4,33.05,32.73,32.81,32.58,32.55,32.44,32.71,32.8,31.9,32.04,32.19,32.55,32.4,32.27,32.54,31.97,31.47,31.41,30.74,30.09,30.26,30.24,29.98,29.83,29.48,29.83,29.78,30.34,30.49,30.41,30.39,30.3,30.16,30.23,29.77,29.89,30.21,30.51,31.1,31.04,31.41,31.02,31.82,31.85,31.51,31.45,31.05,31.26,30.86,30.96,30.03,30.1,30.34,30.45,31.11,31.83,32.51,32.54,31.82,31.75,31.84,32.17,31.88,31.58,31.53,31.5,32.08,32.17,32.75,32.85,32.635,32.69,32.75,32.96,32.61,33.07,33.24,32.56,32.35,32.2,32.15,31.75,31.62,31.58,31.35,31.07,31.13,31.44,31.24,31.67,31.7,31.19,30.91,30.05,29.95,29.43,29.35,29.13,28.39,27.51,28.24,26.5,27.09,28.19,30.07,29.91,30.2,29.82],"KSA^FG_TOTAL_RETURNC(-5AY,0,AM)":[2.6653767,0.15640259,8.650839,5.288875,2.1293998,4.531622,0.9808898,5.214727,1.943636,3.670168,0.64367056,-7.242465,9.764444,2.7338505,1.4295101,8.651352,-5.467975,-7.7475967,-6.8234262,13.11233,-6.3210845,-2.9418707,-3.3678174,-6.9025936,6.2432528,-2.7982771,-5.600625,11.034096,2.4219751,3.1608582,1.3869047,-4.528308,-1.9762814,-7.510078,7.901895,4.5707107,4.6307683,4.022455,0.022482872,-0.8990824,-3.901112,-3.6993027,3.4079552,-0.09622574,-0.674206,1.4060616,-2.605784,3.5836935,1.0718465,1.5774369,-4.75294,-0.59288144,-0.27335882,-7.475704,4.3190837,-1.4176965,-2.237016,11.386549,-5.037898,-5.2021623,4.4625163],"EWW^FG_PRICE(0,-200D)":[73.25,73.38,71.97,72.06,71.06,70.48,69.92,70.04,70.58,69.66,69.33,69.49,70.51,71.15,70.95,71.04,69.95,68.85,68.75,67.45,68.28,70.48,70.69,71.06,69.04,69.27,68.64,68.68,68.82,68.43,68.71,68.46,68.42,67.88,67.75,66.55,66.04,66.02,66.77,66.67,65.87,67.22,67.38,68.16,69.34,67.91,67.82,66.97,67.18,65.65,66.23,66.53,66.73,67.43,67.1,66.33,65.37,66.02,65.51,65.07,65.94,66.13,67.05,65.87,64.84,65.47,64.39,65.42,65.73,65.04,65.44,66.81,66.9,66.78,68.21,67.46,67.14,66.18,66.47,67.43,66.9,66.1,65.95,66.53,66.8,66.77,66.12,65.71,64.28,64.26,64.15,63.83,63.07,62.8,62.91,61.94,62.52,61.94,61.44,61.71,62.8,61.55,61.17,61.25,61.19,61.34,60.99,61.99,62.33,61.54,61.64,61.65,60.76,60.19,59.23,59.6,60.14,60.17,60.93,60.06,61.05,60.85,60.47,59.03,59.24,59.46,59.79,59.77,59.38,59.61,60.13,60.29,60.28,60.89,61.11,61.7,61.59,61.12,60.56,60.32,60.31,59.68,59.21,57.94,58.11,58.97,58.91,59.82,61.06,61.57,61.56,61.36,61.09,61.24,60.72,60.25,60.39,60.64,60.17,61.23,60.9,61.13,60.67,59.83,60.32,60.53,60.57,59.51,59.26,59.36,59.08,57.84,58.12,58.11,59.09,58.39,56.68,56.94,56.67,56.97,56.42,58.12,57.94,57.34,56.51,55.51,54.34,54.93,53.02,52.19,51.91,50.68,50.3,51.86,48.06,48.52,49.92,54.26,52.16,52.05,50.96],"EZA^FG_TOTAL_RETURNC(-5AY,0,AM)":[0.41142702,12.428867,-0.121474266,5.7774186,-2.5871933,2.6083589,-6.5595984,0.3313303,-0.5779207,3.6744833,-3.0436516,-5.8113933,9.7474575,4.985869,-1.2305319,2.569592,-13.873595,-1.3655543,-8.725447,12.387395,-12.113112,-8.8674965,20.4615,-3.8847566,16.211594,-9.188164,-9.7944145,10.985923,-7.360405,7.3097825,0.1180768,-6.674534,-2.501887,-0.28512478,7.616329,1.0386467,-4.1737437,-3.586769,0.39298534,1.6962409,12.368488,-4.1823745,7.35898,3.7204146,0.80434084,5.844307,-5.460471,5.6465507,-8.847761,8.934462,1.7095923,0.21276474,8.471346,4.3257,0.34445524,9.004915,5.7445407,8.370256,1.4538884,3.9110303,11.75605],"INDA^FG_PRICE(0,-200D)":[53.22,53.25,53.04,53.4,53.175,53.72,54.2,54.08,54.29,54.56,54.05,53.64,53.47,53.84,54.01,54.47,54.19,54.15,53.28,52.97,52.95,53.1,53.14,53.57,53.36,53.27,53.08,53.97,53.76,53.41,53.88,54.33,54.71,54.67,54.28,54.22,54.21,54.72,54.83,54.61,54.65,54.62,54.2,54.56,54.74,54.15,53.75,53.62,54.3,54.02,54.24,53.97,54.27,54.61,54.54,54.72,54.51,54.76,55.29,54.48,54.74,54.45,54.065,53.76,52.78,52.97,52.77,52.81,52.63,52.88,52.76,52.45,52.3,52.39,52.06,52.16,52.25,52.49,52.74,53.06,53.5,53.94,53.74,54.02,53.87,53.43,53.15,53.24,53.16,52.71,52.89,52.48,52.59,52.62,52.35,51.98,52.54,52.68,52.55,53.23,53.58,53.57,53.8,53.65,53.5,52.71,52.41,52.71,52.465,52.27,52.12,52.53,52.255,52.41,52.48,52.72,52.64,52.7,53.49,53.23,53.8,54.06,54.73,54.61,54.75,54.5,55.01,55.27,54.875,54.92,54.88,55.27,55.66,55.69,55.36,55.79,55.6,55.84,55.68,55.86,55.71,55.0,54.8,54.31,53.9,53.79,53.83,54.56,54.04,54.8,55.33,55.26,55.24,54.91,54.18,53.92,53.96,54.54,54.31,54.59,54.285,54.53,54.58,53.79,54.03,54.07,54.78,54.66,54.77,53.97,54.01,54.32,52.39,51.54,53.22,53.68,54.32,53.91,53.54,53.57,53.54,53.29,52.85,53.74,53.18,53.5,53.0,52.26,51.13,51.13,51.03,50.76,50.52,51.22,49.16,49.13,49.19,51.18,51.56,51.05,51.48],"EWG^FG_TOTAL_RETURNC(-5AY,0,AM)":[1.9206166,3.4861803,0.27314425,5.5084705,1.6064167,2.6179194,-3.2176852,2.168262,-1.9524574,-2.9437244,0.98125935,-3.8401425,2.9782176,-3.509307,-13.801676,-2.019471,-5.1159325,-2.78638,-9.378851,8.352243,-8.42061,-8.051234,23.134327,0.47819614,11.786008,1.3673902,-6.070292,10.128498,-0.549072,2.5686145,0.9678483,-4.827112,-1.690644,-6.0373187,7.1261644,6.3976765,-0.16559958,0.889802,5.732703,-2.9194713,8.195639,-6.07751,5.298233,-1.7088652,4.314232,2.3456693,-4.764777,4.8765063,-0.9963691,11.070442,6.0406446,-3.6768496,9.838713,1.5907884,2.4107695,1.8173218,-2.72429,0.26557446,-1.6132891,3.0347466,2.707851],"EWW^FG_TOTAL_RETURNC(-5AY,0,AM)":[5.2026033,-4.428959,4.257822,4.715705,1.5082955,4.1422963,-0.5751848,2.5206566,2.7811408,-1.8039167,-3.1349897,-1.0295212,8.301651,-1.0727525,-2.5433779,6.534493,-7.1401415,-3.8230956,-1.8782377,6.512654,-4.565173,-2.1428585,18.557835,-5.5674314,14.274192,1.3408542,-4.6309175,9.255207,5.480373,2.671051,-0.6683171,-2.8164566,-3.5421014,-8.462691,12.837351,9.421455,-0.49622655,1.8538117,-0.9322345,-0.61239004,3.1259418,-18.278812,8.811367,-5.057013,-5.3437767,-1.0849595,-6.1535597,3.8629174,-4.4708548,8.508444,-0.58856606,-0.32467842,13.546658,3.0374646,-0.99031925,3.300774,8.852291,-1.3478994,2.0494938,4.849756,5.9502363],"EPOL^FG_PRICE(0,-200D)":[36.15,36.03,36.09,36.38,36.2,35.82,36.6,36.26,36.17,36.25,35.19,35.16,34.96,35.2,35.15,34.99,35.2,34.78,34.41,34.27,34.41,35.9,35.2,35.27,34.88,34.25,33.51,33.44,33.53,33.61,33.65,33.9,34.07,34.07,33.73,32.94,33.04,32.56,33.29,32.87,33.39,34.16,34.13,34.42,34.56,34.44,33.84,33.95,33.51,33.31,33.78,33.71,34.22,34.53,34.85,34.2,33.91,34.17,33.83,33.1,33.49,32.92,32.83,32.9,32.22,32.41,31.78,32.28,32.62,32.58,32.51,32.92,32.81,32.6,32.2,32.11,32.17,31.57,32.09,32.04,32.0,31.76,32.07,32.32,32.51,32.81,32.28,32.6,31.83,32.38,32.88,32.14,32.13,31.52,31.29,31.7,32.07,32.34,32.86,32.59,32.7,33.38,33.78,33.79,33.64,33.45,33.27,34.07,33.99,33.44,33.97,33.53,32.84,31.79,31.94,31.7,31.75,32.21,32.25,32.13,33.35,33.29,33.45,32.93,32.9,32.86,32.34,31.97,31.66,32.14,31.95,32.05,32.72,32.62,32.25,32.82,32.19,32.06,32.26,31.69,31.65,30.57,30.56,29.51,29.72,29.36,29.39,29.38,29.86,30.63,30.62,30.83,30.0,29.46,29.75,30.22,29.92,30.49,30.37,30.72,31.25,30.82,29.85,29.99,30.09,30.77,30.53,30.32,30.49,30.68,30.8,30.5,30.88,29.94,29.66,29.48,29.83,30.09,29.45,29.48,30.3,30.3,30.04,30.19,29.43,29.25,28.63,28.29,27.74,27.58,27.59,27.25,26.93,27.69,24.7,24.54,25.14,27.51,28.79,28.28,28.01],"QAT^FG_TOTAL_RETURNC(-5AY,0,AM)":[3.5755515,-1.8838346,-0.3733337,4.5235515,0.537765,-0.92256665,-0.0783205,1.8669009,2.1430492,5.459547,2.157724,-3.8757145,4.9605966,5.885756,2.9515386,6.216514,-5.2886844,-5.124426,-6.5862713,15.392256,-4.087776,-3.404671,-0.23732781,-12.387896,1.9786,-5.0865173,-2.872932,3.4129739,4.8404813,-0.16272664,-1.9661307,3.621173,-5.3763447,-3.0113697,2.5190353,-1.6571462,4.5903563,-2.8333366,2.8130412,-3.292185,-0.6325424,-0.6931484,5.796218,1.6147733,2.951181,1.433301,-0.5434811,-0.2185762,-1.1872053,1.2387395,0.77865124,-1.2693226,5.3102374,-3.3970237,5.161488,9.89834,-4.81987,-2.4516582,1.1237144,-1.4259756,3.4217596],"EWU^FG_PRICE(0,-200D)":[45.09,45.28,44.98,45.09,44.79,44.6,44.49,45.05,44.81,44.46,43.98,44.22,44.02,44.24,44.08,43.98,43.79,43.54,43.13,42.94,42.73,43.75,43.28,43.65,43.46,42.88,43.08,43.22,43.42,43.46,43.01,42.93,43.15,42.99,42.52,41.92,42.06,41.34,41.73,42.19,42.44,42.77,43.04,43.51,43.65,43.44,42.87,42.62,42.61,42.18,42.53,42.67,42.75,42.83,42.92,42.98,42.78,42.6,42.41,41.96,42.16,42.07,41.99,42.02,42.06,41.99,41.73,42.07,42.68,42.45,42.58,42.64,42.26,42.5,41.97,41.63,41.58,41.04,41.35,41.47,41.61,41.36,41.66,41.79,41.89,42.09,41.94,42.19,41.74,41.75,41.71,41.55,41.39,41.18,40.9,41.46,41.57,41.66,41.74,41.79,42.08,41.66,41.72,41.29,41.29,41.27,41.5,41.36,41.03,40.64,40.53,40.49,40.38,40.23,40.21,39.94,39.81,40.04,40.39,40.12,40.64,40.77,40.9,40.43,40.01,39.8,39.83,39.85,39.59,40.03,39.92,40.27,40.01,39.79,39.42,39.82,39.61,39.85,39.72,39.72,39.69,39.28,39.41,39.17,38.9,39.22,39.2,39.62,40.42,40.78,40.41,40.31,40.34,40.35,40.22,40.19,40.06,40.29,39.92,39.79,39.67,40.07,39.88,39.53,39.43,39.61,39.33,38.9,38.8,38.25,38.42,38.24,38.29,38.11,38.43,38.57,38.64,38.6,37.88,38.1,38.35,38.19,37.94,37.89,37.55,37.58,36.82,36.97,36.55,36.65,36.15,35.57,34.67,35.11,33.19,33.29,34.62,37.28,37.61,37.44,37.47],"MCHI^FG_TOTAL_RETURNC(-5AY,0,AM)":[8.59642,12.527728,-12.471461,-3.0346096,-4.352087,3.0221343,-1.8401146,-9.816342,-2.5983155,1.5573263,-0.41175485,-10.001511,1.6278386,-0.81658363,-28.38822,15.432239,-7.450676,11.992538,-4.6282473,-3.0403435,-5.286437,-15.195245,13.388395,5.916357,13.935291,-4.714179,-9.154659,4.7169805,-1.5560985,0.30242205,-2.3655057,-4.030877,-1.2064278,-2.3745,3.9610863,-8.199644,-3.4915686,-1.5214026,4.870391,-1.5480638,17.321836,-6.35581,-0.11592507,-2.6926756,-2.4331987,19.902193,-3.3849895,1.7729044,-4.261655,17.987192,7.3138833,-12.550116,8.77018,0.36650896,4.494834,5.2928686,7.9591155,-1.8314481,0.39526224,-4.141736,5.754721],"EWL^FG_PRICE(0,-200D)":[60.52,60.87,60.17,60.63,60.58,60.21,60.31,60.55,60.43,60.34,59.96,60.17,60.35,60.54,60.53,60.4,59.93,59.57,59.47,58.84,59.02,59.06,58.37,58.49,58.38,57.69,57.76,58.03,57.91,58.07,57.94,57.42,57.82,57.55,57.26,56.39,56.69,55.69,56.36,56.58,56.81,57.55,57.85,58.06,57.67,56.36,55.74,55.22,55.4,55.06,55.12,55.36,55.6,55.66,56.17,56.94,57.12,57.17,57.14,57.11,57.68,57.78,57.47,56.64,56.33,56.08,56.1,56.36,56.83,56.55,56.72,56.66,56.25,55.94,55.24,54.57,54.26,53.86,54.51,55.24,55.57,55.26,55.21,55.29,55.48,55.56,55.65,56.12,55.62,56.02,56.33,56.25,55.71,55.08,54.67,55.33,55.33,55.24,55.11,54.97,55.64,54.94,55.52,54.9,54.35,54.5,54.1,54.2,53.81,53.2,53.6,53.68,52.98,53.48,53.31,52.43,52.72,53.48,54.12,54.16,55.16,55.12,56.2,54.96,54.51,54.48,54.36,54.55,54.18,54.71,54.7,55.45,55.28,54.82,54.53,54.9,55.27,54.98,54.81,54.63,54.26,53.75,54.32,53.46,52.68,53.25,53.42,53.77,55.22,56.27,55.43,55.67,55.62,55.64,55.47,55.56,55.03,55.54,55.18,54.9,54.62,55.2,55.03,54.77,55.04,55.17,55.02,54.41,54.02,52.94,53.19,53.53,53.58,53.58,54.15,54.34,54.64,54.47,53.52,53.86,53.67,53.71,53.04,52.96,52.23,52.45,51.82,51.95,51.29,51.45,51.2,51.05,49.7,49.71,47.12,47.04,48.36,51.41,51.49,51.76,51.79],"SPY^FG_TOTAL_RETURNC(-5AY,0,AM)":[2.0882368,4.5089126,0.9601593,5.2532434,0.17071962,1.8964052,2.7590513,2.569294,0.43953657,-0.12669563,4.8354864,0.67818165,-0.89806914,-4.006714,-4.4676065,3.0422926,-8.239115,-5.605894,2.0015597,11.354601,-9.033251,-7.9486427,11.425209,-2.2233903,2.7518868,3.8845658,-5.9664726,6.363797,0.13334751,7.1644783,1.887703,-1.4222741,0.46583414,-2.67722,4.213214,4.793644,1.5660644,5.3138375,1.8754363,-1.0552466,5.02131,2.4538517,3.78865,-1.5066028,1.6164303,3.4787536,1.0296941,3.151524,-1.565522,2.8543472,-7.690668,-4.1903677,9.830559,1.1076093,4.51988,3.423667,2.715087,0.9222388,1.016283,1.3096571,1.9886851],"EPU^FG_TOTAL_RETURNC(-5AY,0,AM)":[2.7066708,7.8773975,-2.6255965,-2.784741,-0.7573664,-14.804191,-4.4161916,-7.0703564,2.7871966,10.589957,0.13253689,-8.059913,23.176134,3.4400344,2.81955,-1.7297208,-17.973667,3.0026913,-16.649103,13.232195,-4.7636805,-2.8135955,19.380783,-4.068178,14.75526,-7.50311,-3.8707495,10.959387,-3.1375825,3.933227,4.118073,-1.6749203,-0.7545471,-8.020705,3.9835215,11.7041,2.6272774,2.4999976,12.367296,0.5617976,10.111225,-5.839986,4.7929764,-3.6877334,0.83117485,5.8654666,-1.352334,1.2221217,-1.6506076,3.4499645,2.5780559,-0.50725937,4.4264197,7.1711063,1.5165567,8.461356,11.963224,9.693777,-2.7457058,11.084377,20.362032],"EWI^FG_PRICE(0,-200D)":[54.8,55.04,54.81,55.32,55.03,55.24,54.97,55.29,55.67,55.16,54.33,54.59,54.16,54.62,54.56,54.4,54.24,54.21,53.81,53.51,53.58,54.35,53.66,53.95,53.55,53.02,52.98,52.98,53.15,53.29,53.0,52.66,52.93,52.54,52.16,51.19,51.47,50.81,51.34,51.81,52.56,53.2,53.98,54.12,53.75,53.15,52.19,51.75,52.0,51.38,51.79,51.81,51.82,52.11,52.18,51.93,51.27,51.17,50.66,51.1,51.24,50.77,50.88,50.47,50.79,50.5,50.31,51.13,52.29,51.94,52.26,52.61,52.33,52.41,51.95,51.5,51.54,50.94,51.29,51.51,51.74,51.37,51.44,51.33,52.15,52.39,51.72,51.6,50.93,50.86,50.64,50.46,50.65,50.38,50.4,51.05,51.19,50.91,51.42,51.76,52.34,51.53,51.69,51.62,51.54,51.79,51.56,51.1,50.64,49.99,50.16,49.95,49.52,48.74,48.57,47.83,48.25,49.13,49.06,48.78,49.56,49.12,49.84,48.55,48.03,47.79,47.75,47.76,47.32,48.16,47.99,48.53,49.17,48.34,47.87,48.21,48.29,48.05,48.14,47.86,47.5,47.17,47.2,46.45,46.36,46.46,46.26,47.21,47.43,48.25,47.93,47.93,48.18,48.3,47.98,47.74,47.87,48.32,47.77,47.58,47.55,47.66,46.96,47.54,47.65,47.84,47.3,46.85,46.53,46.26,46.0,45.66,45.81,45.36,44.99,45.22,45.07,44.99,44.26,44.21,44.67,44.23,44.04,43.48,42.69,42.81,41.94,42.13,41.76,41.54,40.92,40.53,39.66,40.22,36.6,37.06,38.49,41.77,42.66,42.46,42.32],"EWJ^FG_PRICE(0,-200D)":[85.42,85.04,84.45,85.29,84.61,82.86,82.92,83.07,83.13,81.33,80.74,80.98,81.09,80.97,81.0,81.14,80.46,80.58,79.97,79.74,80.85,84.87,84.0,84.22,83.91,83.31,83.19,83.7,83.62,82.61,82.47,82.53,83.01,83.26,81.92,81.74,81.19,79.49,80.68,80.78,82.47,83.98,83.01,84.34,83.75,83.68,83.29,82.96,82.8,82.83,83.64,83.45,83.21,83.23,83.93,83.53,82.5,82.22,82.18,82.57,83.54,82.0,81.55,81.29,80.04,79.29,78.36,81.55,81.75,81.96,83.27,81.78,80.15,80.21,80.21,80.51,80.44,80.46,80.85,81.09,81.25,80.79,81.49,81.17,81.35,81.35,80.76,81.32,80.36,80.06,80.96,79.18,78.73,77.93,78.15,78.28,79.29,78.63,78.92,79.05,80.02,78.7,79.64,80.02,80.3,80.15,78.8,79.27,79.23,77.79,77.93,76.62,76.03,75.03,75.29,74.07,73.62,73.98,73.88,74.27,75.68,76.55,76.49,72.98,72.61,71.81,72.39,72.02,71.69,72.41,72.36,72.94,73.3,73.19,72.82,74.6,74.46,74.42,74.97,75.28,73.97,72.44,72.74,72.02,71.76,73.05,72.28,73.15,73.6,74.21,73.67,73.88,73.93,73.82,73.39,74.08,74.13,75.04,74.12,74.03,73.61,74.95,73.03,72.37,72.31,72.99,72.57,72.49,72.3,71.45,72.25,72.8,72.01,71.83,71.98,72.43,72.39,71.89,71.17,71.43,72.02,71.74,70.77,70.28,69.48,69.27,67.92,68.07,66.78,67.44,66.9,65.82,64.22,66.34,61.65,61.32,61.51,65.41,68.22,68.2,68.56],"TUR^FG_PRICE(0,-200D)":[37.94,37.59,37.73,37.54,37.16,36.73,36.63,36.77,35.81,34.92,34.42,34.42,34.41,34.76,34.87,34.815,34.61,34.86,34.82,34.735,34.71,35.29,34.82,34.82,34.73,34.66,34.42,33.84,33.55,33.87,34.1,34.03,33.5,33.59,33.54,33.76,33.78,33.58,33.66,33.3,33.08,32.85,32.78,33.03,32.85,33.55,33.86,34.25,34.13,33.91,34.45,34.15,33.64,33.91,33.98,33.89,34.04,33.11,32.96,32.72,32.76,31.9,32.34,32.56,32.35,33.04,32.84,33.37,33.615,33.69,33.47,33.74,34.45,34.96,34.23,34.57,34.77,35.19,35.3,35.06,35.58,35.38,34.35,34.75,34.82,34.24,32.27,32.32,32.92,32.68,32.54,33.33,33.73,33.51,33.97,35.29,35.54,35.51,35.97,35.93,35.69,35.51,35.04,34.5,34.47,34.24,34.11,34.47,34.54,34.8448,34.68,34.61,34.46,34.29,34.32,33.92,33.85,33.66,33.28,33.43,33.79,33.95,33.86,33.87,33.93,32.995,33.15,32.5,32.84,32.97,33.17,33.25,32.79,32.12,32.44,33.04,33.07,32.48,32.26,30.49,30.19,30.68,30.86,30.08,29.96,30.11,30.21,30.63,30.75,31.57,32.11,32.17,31.66,31.61,31.44,31.36,30.84,30.05,29.99,30.54,30.56,30.86,31.24,31.7,31.42,31.86,32.49,32.43,31.91,32.48,32.46,32.62,31.41,31.19,30.31,30.76,30.7,30.94,30.66,30.67,31.18,31.48,31.96,32.18,31.77,31.66,31.71,31.91,31.21,31.85,32.13,32.08,31.9,32.83,31.83,31.86,31.67,32.2,32.44,32.89,32.82],"EWY^FG_PRICE(0,-200D)":[111.05,109.64,107.54,108.93,108.89,106.59,107.03,107.61,104.83,102.22,97.22,98.62,98.72,95.84,94.6,92.7,91.75,91.34,90.07,88.58,89.52,92.73,92.67,94.96,96.75,95.57,95.07,94.3,91.87,93.0,92.07,90.62,90.87,91.55,89.79,90.3,89.22,88.53,90.56,91.59,93.02,94.13,94.07,95.92,95.29,95.67,91.8,93.51,96.62,95.76,100.78,97.0,95.26,96.9,94.45,94.31,92.05,90.07,89.45,88.64,90.43,88.52,87.88,85.17,82.69,83.62,80.72,83.43,84.19,83.35,84.78,83.85,83.53,81.89,80.1,80.24,78.87,79.89,80.04,81.45,81.56,80.05,80.75,79.83,80.69,79.19,78.66,77.86,76.65,74.92,74.19,73.63,73.07,72.91,71.92,72.24,73.64,72.47,72.39,72.73,73.51,71.22,71.36,71.44,72.8,73.39,73.66,74.72,74.1,73.03,73.5,73.44,73.18,72.89,72.33,70.65,72.81,73.68,73.49,72.71,73.21,73.31,73.85,72.89,73.87,72.39,73.06,73.08,73.07,73.2,72.56,73.14,72.08,72.08,70.07,72.7,71.95,71.64,71.78,70.74,71.94,72.37,72.65,69.42,68.53,67.87,66.63,68.19,66.42,67.69,66.99,66.16,66.48,65.57,65.36,63.98,61.89,61.74,60.63,61.8,60.75,59.98,58.96,58.29,59.1,58.4,58.82,58.79,58.8,58.61,58.12,58.04,57.69,57.2,57.79,58.5,58.38,57.71,55.6,56.19,56.1,55.65,55.81,55.95,55.6,54.81,54.39,54.31,54.06,54.38,54.35,54.31,51.82,53.28,48.92,50.78,51.25,53.14,54.63,54.85,54.04],"QQQ^FG_TOTAL_RETURNC(-5AY,0,AM)":[1.6716003,7.8849554,-5.237043,7.277608,-4.4553638,4.8622847,5.4564953,2.3022294,2.5025725,-2.299267,6.9577694,0.6183386,-4.168105,-6.284046,-7.8566847,3.2604814,-10.782141,-6.3390136,3.4008622,14.112449,-12.59833,-10.269827,10.987961,-4.3194294,1.720047,10.0117445,-3.2902002,6.734586,2.580285,13.302124,2.5200367,-3.337115,1.1980772,-1.3489962,5.5683255,5.11384,1.2948275,6.0919046,-0.13578534,-0.52889585,5.0665736,5.804813,3.7056565,-4.3797197,0.19391775,3.4076333,1.1653304,6.8389177,-2.4513602,4.1513443,-10.868722,-4.3785095,13.375843,1.4848351,5.7649493,3.7038445,2.483797,1.8986583,1.1025906,0.27592182,1.9716024],"GREK^FG_TOTAL_RETURNC(-5AY,0,AM)":[-1.346612,-2.298385,9.781265,6.35339,3.2166839,1.1986256,-9.035534,4.055059,2.1451592,-2.2051096,0.03578663,-3.9355993,8.769274,4.0237904,-16.380756,9.49316,-7.935339,-2.5538683,-9.638906,12.857795,-6.6022515,-4.439658,16.28778,4.8834443,8.555233,11.569381,-8.677948,10.600352,-0.58933496,14.726996,6.7697167,-5.66231,-4.725689,-7.5256643,11.683106,2.484405,7.2193384,2.280879,1.002264,-5.1352024,11.8723755,-7.5736284,7.2335362,-0.16559958,-1.2796223,-2.3523748,-3.9085567,5.1455617,1.122272,7.728994,11.693454,-1.1157453,9.986294,7.382548,9.221578,11.020744,-2.481681,-0.85850954,0.5102873,3.7692308,5.72505],"EPOL^FG_TOTAL_RETURNC(-5AY,0,AM)":[0.4184127,-0.2604246,0.15666485,2.6590228,6.0944557,5.9822917,-2.2644937,3.1047225,4.808986,2.3584962,-7.289493,-8.060265,12.767029,-6.4317226,-16.902071,4.305947,-18.305265,-1.6395748,-10.231924,11.246204,-13.7295065,-13.460016,33.028366,4.693687,13.168454,-5.316007,-8.359331,13.546634,7.3141456,8.938551,4.358971,-3.6855042,-9.438777,0.90141296,18.369627,7.122636,-2.0620823,4.1647315,2.532208,0.21663904,11.197578,-9.728557,11.627901,-5.5817604,-0.33305287,-1.6290784,-7.707,4.4858456,0.4652977,17.349731,10.593712,-3.2280684,10.551119,-2.0662487,7.8781843,5.6538224,-1.9133031,0.2743125,3.8297772,5.093682,4.118502],"SET-BKK^FG_PRICE(0,-200D)":[1261.39,1244.3,1235.3,1242.2,1254.09,1253.6,1280.82,1274.75,1280.05,1259.67,1254.03,1259.25,1264.77,1275.33,1271.11,1269.68,1252.19,1250.07,1256.85,1260.68,1273.4,1254.1,1253.54,1269.87,1261.39,1273.77,1274.82,1277.58,1276.57,1256.69,1252.71,1261.18,1268.78,1252.73,1254.4,1281.81,1272.17,1270.04,1280.07,1269.26,1287.44,1284.81,1300.47,1306.26,1302.91,1313.31,1295.29,1298.6,1308.86,1309.5,1314.65,1315.64,1314.28,1323.52,1313.91,1302.35,1290.72,1284.47,1274.61,1291.46,1286.69,1266.38,1286.98,1313.99,1304.92,1305.24,1285.64,1293.61,1288.29,1275.03,1274.17,1288.07,1278.74,1288.26,1278.41,1273.2,1282.54,1292.72,1297.01,1306.69,1308.19,1299.78,1293.62,1288.03,1278.05,1276.08,1266.11,1264.8,1252.55,1259.31,1248.78,1244.48,1236.61,1250.09,1248.03,1251.26,1262.67,1253.39,1244.79,1248.13,1235.76,1242.31,1259.42,1266.67,1277.43,1259.07,1265.15,1264.47,1246.96,1229.4,1218.33,1242.35,1244.14,1233.68,1217.15,1212.49,1219.62,1191.75,1208.13,1206.58,1198.11,1157.63,1161.01,1143.31,1121.13,1110.4,1115.65,1123.0,1119.94,1127.21,1115.69,1110.01,1089.56,1082.42,1106.73,1107.69,1100.01,1062.78,1067.63,1068.73,1094.58,1113.58,1114.49,1122.7,1128.62,1141.58,1139.16,1135.24,1136.43,1140.63,1132.02,1149.18,1164.01,1160.74,1163.42,1178.43,1176.36,1173.37,1179.81,1189.14,1187.06,1195.77,1194.49,1216.71,1214.39,1210.94,1206.59,1220.27,1187.86,1198.98,1197.26,1171.12,1159.53,1159.0,1146.86,1153.77,1144.05,1134.71,1150.95,1141.28,1138.9,1128.66,1133.95,1088.18,1074.59,1125.21,1161.81,1172.69,1168.02,1158.09,1175.45,1187.9,1190.36,1184.93,1190.06,1186.61,1181.71,1189.66,1176.17,1170.2,1173.76],"EWU^FG_TOTAL_RETURNC(-5AY,0,AM)":[3.9469242,-0.03272891,3.8310409,2.8066874,3.8036823,1.6596317,-3.6358356,3.435588,-2.1945477,2.3347497,-0.8000016,-2.0348608,8.333338,-0.28918982,-7.3955894,6.7961097,-7.5366497,-2.2336066,-4.0634274,6.7837477,-7.868433,-8.0504,13.8941765,4.8546195,5.532193,0.5518079,-7.0121946,10.065567,-0.08935928,0.14927387,-0.6676793,-2.6275575,1.9454002,-2.5238574,0.41048527,3.3647776,1.9598007,-1.1904716,3.2437444,0.59844255,9.131468,-2.988118,2.3202538,2.0436764,1.2345672,-1.0569215,-5.5327234,2.957368,-2.5300086,7.8171015,3.1737328,-2.8109193,5.866301,4.1752577,-0.048434734,4.243493,1.9869089,-0.16630888,1.7848611,2.2913218,5.0626397],"VNM^FG_TOTAL_RETURNC(-5AY,0,AM)":[8.985865,-2.3318887,-0.8328676,7.390821,-1.199162,6.385219,-3.9186478,2.4264336,-0.100809336,-1.6145289,6.410253,-0.048196316,0.5004883,-5.255544,-6.3613234,0.76087713,-17.853296,-1.6415,-3.6715567,8.870411,-6.747299,-16.177475,-11.237788,15.688074,-0.021320581,-5.044037,-1.4333904,3.3361912,3.2284856,5.61347,6.6818476,8.185053,-1.6447365,-8.361202,-2.1167874,-2.013421,2.1500826,2.7494192,3.3639193,-7.1745577,2.151394,-0.9360373,-2.7558982,-4.1295586,4.5608163,-0.24232268,-7.692313,2.8947353,-3.4953117,1.4134288,10.278749,-7.26698,9.114146,1.6393423,15.514588,17.752659,3.8961053,5.5434823,-9.423274,-0.9664595,12.341428],"EPHE^FG_TOTAL_RETURNC(-5AY,0,AM)":[0.0,-4.1843534,-6.7405105,0.88225603,-3.6663294,11.683083,-7.145107,-4.203391,7.6786995,6.506741,1.5427351,-2.9870093,0.0,2.0433784,-8.040661,-0.06700158,-6.537044,-3.5399795,-6.7720056,10.290551,-6.1105013,-12.860483,12.56708,3.4985185,10.759735,-2.994424,-7.537687,1.6304374,0.1909852,-1.7234504,5.8892846,-8.194285,-2.5040448,2.2369504,-0.36466718,4.595363,4.3099403,3.7955642,-0.86894035,-7.048935,1.6110063,-5.7902517,5.4999948,3.9889455,6.9502473,1.8821001,-11.432558,0.5509615,-2.5645316,-1.5802264,6.1547875,-1.4384329,8.679831,0.14481544,-1.369065,-2.1142423,-2.5767326,-1.0501683,-8.490562,7.173538,6.568539],"EWY^FG_TOTAL_RETURNC(-5AY,0,AM)":[11.753309,2.0275354,-5.1222086,5.264342,-3.6709964,2.5847793,-1.3028979,-5.7931542,-1.3202071,-5.6800785,-0.6345689,0.6673217,-1.804316,-5.7970943,-7.197809,1.731801,-4.7141075,-6.8560066,-6.80328,8.284962,-12.361926,-9.898054,24.171984,-6.9508133,12.46847,-2.611339,-5.7410774,10.558462,-4.9408016,11.325145,0.20883083,-7.6957464,1.7900348,-6.907481,6.092584,2.566564,-1.5248895,3.96024,2.8217554,-5.0769925,7.484746,-3.5863757,4.7892213,-4.836571,-1.6164064,-1.8957376,-9.500801,-0.37366152,0.22808313,3.4495354,-0.95272064,-3.1350195,8.127987,12.959183,10.012043,0.43793917,7.902992,7.5514555,10.520136,-1.4872968,22.481394],"KSA^FG_PRICE(0,-200D)":[37.99,38.21,38.21,37.82,36.87,36.82,36.32,37.03,36.0,36.77,36.41,36.05,36.39,36.57,36.6,36.76,36.55,36.36,36.3,35.83,36.09,36.81,37.4,37.62,37.66,37.43,37.19,37.2,37.17,37.04,36.98,37.06,37.44,37.38,37.59,38.16,38.28,38.19,38.43,38.79,38.45,38.83,38.73,39.17,39.39,39.32,39.28,39.3,39.35,39.68,40.0,40.28,40.23,41.03,40.89,40.61,40.73,40.67,40.51,40.47,40.89,40.78,40.78,40.89,40.75,40.69,39.81,40.68,40.55,40.59,40.77,40.49,40.48,40.25,40.58,40.15,39.95,39.84,40.54,40.78,38.18,37.83,37.77,37.43,36.9,36.71,36.72,36.8,36.8,36.76,36.69,37.2,37.35,37.11,37.21,37.36,37.47,37.68,38.02,38.08,38.13,37.94,37.89,37.84,37.83,37.55,37.59,37.44,37.49,37.43,37.83,37.83,38.04,37.78,37.63,37.32,37.56,37.62,37.39,37.61,37.72,37.68,37.97,37.5,37.82,38.13,38.17,38.1,38.09,38.65,38.89,39.0,38.89,38.9,39.08,38.89,38.44,38.25,38.54,38.26,38.16,37.82,37.72,37.1,36.56,36.36,36.83,37.48,37.13,38.07,38.46,38.72,38.57,38.51,38.48,38.38,38.0,38.16,38.33,38.39,38.6,38.21,39.17,39.28,39.3,39.89,39.91,40.19,40.13,40.21,40.3,40.04,39.54,39.44,39.53,39.72,39.71,40.33,40.01,40.43,40.74,40.85,41.16,41.05,40.37,40.41,39.9,40.19,40.04,40.24,40.01,39.58,39.34,40.2,38.17,38.75,38.98,40.61,41.52,41.34,41.37],"GREK^FG_PRICE(0,-200D)":[69.84,69.15,69.0,69.49,68.98,69.19,67.98,67.39,67.61,67.4446,65.91,66.5,68.0,68.61,68.16,68.21,68.39,67.25,66.94,66.25,66.81,67.45,67.24,67.67,66.77,65.8,66.97,66.45,66.3,66.37,66.64,66.28,65.32,66.15,65.48,63.99,64.64,62.76,63.34,63.2,64.5,65.0,64.67,64.32,63.63,63.69,62.35,62.47,62.68,62.17,63.18,62.22,62.69,63.76,62.89,63.03,63.27,64.06,63.56,63.28,62.99,62.75,63.87,64.67,64.83,65.61,65.45,65.7,65.62,65.33,65.38,66.17,65.25,65.56,64.4,64.27,63.82,63.96,65.0,65.23,64.76,64.14,64.3,64.1,64.77,65.23,65.17,64.22,63.64,63.6,63.86,63.4,63.26,63.4,62.28,63.09,63.94,64.49,64.98,65.62,65.995,65.2,65.4,65.15,65.58,66.89,66.53,66.81,66.35,65.68,65.0692,64.58,64.2,62.98,62.02,60.34,60.51,60.44,60.98,60.45,62.15,62.0,62.58,61.43,61.53,61.2,61.52,60.8,60.25,60.82,60.99,61.32,61.08,60.9,59.12,59.72,59.34,58.63,58.04,58.17,59.31,58.42,57.86,56.55,54.71,54.58,54.88,55.79,56.0,56.89,56.52,56.48,55.85,55.46,55.77,55.24,55.29,55.7,55.0,55.71,55.85,55.02,53.23,53.88,54.14,53.89,52.9,52.5,52.15,52.22,52.07,51.6,51.0483,50.26,50.37,50.13,50.44,50.1,49.3,49.52,49.99,49.71,49.52,49.95,49.35,49.05,47.02,47.34,47.35,47.415,46.92,45.92,44.76,44.85,42.65,40.77,43.59,47.32,48.1,47.63,46.97],"EWC^FG_TOTAL_RETURNC(-5AY,0,AM)":[2.2158027,3.2987833,5.5352807,1.7291069,4.362607,3.8382888,-3.314048,2.5843382,-0.3712535,3.779614,2.3339272,-5.8901367,5.5570602,-0.71557164,-1.9304991,4.1469812,-9.526205,-2.0889103,-7.1653786,10.682308,-5.216175,-10.329604,14.243531,-4.459506,6.1928034,2.1832705,-9.136915,9.684408,-0.59238076,-0.3340304,1.351738,-3.5187304,3.735292,-5.925715,3.3453941,4.8410654,2.3775458,1.0740876,2.8065324,-2.252847,3.850317,-3.6919713,5.6376457,1.2953401,3.6828756,2.3186922,0.5785942,0.69509745,-2.300483,4.1234493,-4.884982,1.0471106,8.142126,4.6771646,1.0196209,2.6715875,6.0503483,1.6556859,-0.13736486,5.7182193,3.559482],"VNM^FG_PRICE(0,-200D)":[19.53,19.69,19.8,19.67,19.28,19.31,19.44,19.43,19.02,19.11,19.08,19.01,18.92,18.4,19.01,19.08,18.61,18.39,17.88,17.54,17.85,17.42,17.49,18.27,18.28,18.65,18.72,18.65,18.59,18.69,18.65,18.38,18.34,18.24,17.75,17.91,17.72,17.45,17.61,17.73,17.66,17.59,17.42,17.53,16.93,16.71,16.88,17.32,17.57,17.53,17.09,17.43,17.71,18.15,18.18,17.74,18.21,18.29,18.17,18.045,18.2,19.2,19.64,19.42,19.69,19.59,18.98,18.75,18.43,18.23,18.435,17.53,17.515,18.04,17.84,17.69,17.55,17.67,17.58,17.29,17.53,17.68,17.8,17.88,18.06,18.4,17.97,18.03,17.75,17.67,17.37,17.97,18.43,18.25,18.14,18.29,18.315,18.02,17.96,17.22,17.36,17.6,17.69,17.9,17.84,17.71,17.76,17.46,17.44,17.27,17.18,16.8,17.09,16.67,16.58,15.95,16.01,16.03,15.9,16.78,16.47,15.995,16.0,15.82,15.35,15.575,15.67,15.41,15.04,15.24,15.22,15.12,14.89,14.51,14.18,13.96,13.76,13.72,13.75,13.73,13.61,13.54,13.62,13.4,13.345,13.36,13.31,13.26,13.02,13.36,13.32,13.4,13.26,13.64,13.74,13.86,13.96,13.81,13.59,13.51,13.71,13.585,13.14,13.17,13.21,13.09,12.865,12.75,12.81,12.82,12.74,12.69,12.49,12.6,12.42,12.22,12.27,12.24,12.11,12.07,12.05,11.95,12.01,12.0,11.62,11.64,11.51,11.73,11.5,11.74,11.93,11.87,11.31,11.46,10.13,11.16,11.64,11.4,12.7,12.56,12.48],"EZA^FG_PRICE(0,-200D)":[73.74,73.39,73.09,72.78,70.69,70.34,71.45,72.74,70.24,69.4,68.8,69.23,68.43,70.31,69.92,69.54,68.79,67.6,67.51,66.64,65.7,69.61,68.63,69.5,68.18,66.91,66.39,67.88,67.05,66.92,66.5,67.45,66.74,67.83,66.3,65.89,64.86,64.93,66.57,66.16,66.13,66.99,67.83,68.08,66.53,66.62,64.24,63.7,63.4,61.44,63.76,63.77,64.37,64.75,65.23,64.2,65.18,64.93,63.58,63.27,66.21,65.41,67.33,66.03,65.31,66.01,63.32,65.06,66.8,64.79,65.32,65.06,64.21,64.75,64.1,63.42,63.3,61.67,61.97,62.87,62.46,62.54,61.48,60.86,61.0,60.93,60.57,60.56,59.73,59.03,59.34,57.92,56.57,57.7,57.25,57.67,57.15,57.38,58.1,58.35,58.8,56.91,57.11,56.67,57.11,57.62,57.64,58.36,57.5,56.36,56.45,56.66,56.17,55.4,55.05,53.43,53.05,53.99,54.54,54.22,54.74,55.44,56.27,55.74,55.7,54.81,53.57,53.43,52.86,52.99,52.98,53.95,54.0,53.81,53.84,54.79,54.31,54.21,53.75,52.64,52.98,52.89,53.46,52.35,51.73,51.8,51.56,53.04,53.3,54.77,54.08,54.66,54.44,53.94,54.03,53.46,53.13,53.27,52.21,53.05,52.03,51.91,52.52,51.43,51.45,51.61,51.08,51.24,51.09,50.22,50.41,50.19,50.64,49.85,50.23,50.71,50.44,50.19,49.27,49.52,49.14,49.09,48.38,47.96,47.55,48.16,47.6,47.9,47.43,47.1,47.22,45.62,43.94,44.27,40.54,40.77,41.29,44.88,46.65,48.1,48.13],"EPHE^FG_PRICE(0,-200D)":[26.38,26.04,26.24,26.41,26.13,26.08,25.92,25.98,25.46,25.3,24.92,25.06,25.09,25.08,24.94,24.93,24.96,24.66,25.01,25.1,25.19,24.95,24.9,25.02,24.73,24.67,24.58,24.73,24.2,24.68,25.06,25.24,25.21,25.02,25.0,24.97,25.06,24.37,24.23,24.02,23.95,23.28,23.69,23.6,23.41,23.7,23.79,24.11,24.19,24.38,24.15,24.55,24.4,24.74,24.44,24.4,24.7,24.99,24.82,25.11,25.33,25.41,25.42,25.44,25.45,25.3,24.87,25.2,25.67,25.36,25.1,25.59,25.22,25.2,24.84,25.04,25.12,25.09,25.69,26.16,26.6,26.8,26.46,26.55,26.22,25.71,25.8,26.0,25.92,26.09,26.09,26.06,25.78,25.58,25.68,26.15,26.39,26.56,26.12,26.69,26.63,26.15,26.35,26.25,26.34,26.39,26.28,26.72,26.55,26.19,26.63,26.49,26.41,26.16,26.35,25.78,25.42,26.175,26.37,26.55,26.7522,27.0,27.09,26.52,26.34,26.11,26.08,26.35,26.96,27.36,27.13,27.19,27.15,26.78,26.72,27.08,27.0,27.14,27.12,27.23,26.85,26.81,26.61,25.96,26.5,26.7,26.98,27.35,27.66,28.08,27.93,27.82,28.12,27.95,27.96,27.66,27.78,27.6,27.24,27.84,27.93,27.78,27.81,27.27,27.46,27.36,27.9,27.69,27.62,28.01,28.06,27.75,27.62,27.16,27.56,27.35,27.03,27.27,26.86,26.89,26.41,26.18,26.26,25.96,25.59,25.55,25.17,25.3019,25.25,25.4141,25.19,24.96,24.18,25.16,24.13,24.14,23.83,25.04,25.56,25.26,25.3],"EWA^FG_TOTAL_RETURNC(-5AY,0,AM)":[2.3012638,2.7811766,0.35814047,4.0047646,1.0293603,3.3451438,-4.5538664,3.219545,-2.2923708,0.6153822,-0.26758313,-3.63667,1.4134169,-2.0325184,0.8713603,8.556151,-10.458506,-5.3318143,-2.7688086,9.06502,-6.8320274,-8.547407,16.853928,-0.7200241,7.6681614,-0.2915442,-8.771933,7.4175715,-1.3213933,2.2422671,0.30133724,-6.1373353,1.6918063,-4.8561153,4.867673,7.3907137,1.5463948,0.16870499,1.178956,-1.2484431,5.436158,-1.8408597,6.0191035,-3.2889605,5.101204,1.5793562,-3.0337572,-1.838088,-1.358962,4.599583,-7.734585,-0.59574246,9.374989,3.0137062,0.5586386,2.9152274,2.7581096,-2.4664521,-3.495717,1.8111706,2.603662],"EWD^FG_PRICE(0,-200D)":[51.05,50.61,50.7,50.91,50.78,50.28,50.87,50.11,50.39,49.6,49.23,49.55,49.32,49.65,49.31,49.21,48.8,48.55,48.18,47.62,48.23,49.11,49.38,49.67,49.36,48.55,48.4,48.37,48.09,47.77,47.61,47.58,47.91,47.43,47.06,46.26,46.06,45.38,46.17,46.49,47.22,47.65,48.27,48.82,48.48,47.74,47.24,46.98,47.29,46.87,47.7,47.99,48.49,48.74,49.07,49.23,48.86,48.65,48.36,48.54,48.09,47.79,47.8,47.58,47.45,47.32,46.92,47.2,47.88,47.82,48.26,48.2,47.94,47.61,47.2,47.22,47.2,46.62,47.01,47.85,47.63,47.43,47.56,47.17,47.46,47.61,47.24,47.33,47.1,47.3,47.42,47.01,46.26,46.18,45.89,46.39,46.63,46.46,46.64,46.57,47.24,46.08,46.45,46.56,46.28,46.61,46.06,46.02,45.99,45.23,45.88,45.6,44.82,44.45,44.3,43.68,43.86,44.54,44.96,45.78,46.38,45.9,46.3,45.21,45.25,44.65,44.98,44.63,44.69,45.3,45.57,46.39,46.05,45.55,45.52,45.62,45.51,45.19,45.74,46.02,45.33,44.67,44.95,43.96,43.81,43.98,44.43,44.91,45.49,46.02,45.9,45.94,45.91,46.14,46.17,45.93,45.2,45.62,45.45,45.36,45.24,45.55,45.32,45.09,45.94,46.35,46.19,45.61,45.62,45.11,45.23,45.09,44.38,44.26,44.38,44.18,44.28,44.55,43.12,43.64,43.0,43.61,43.62,43.32,42.43,42.68,41.77,41.9,41.07,41.39,40.72,40.31,39.65,39.92,37.07,37.34,38.17,41.47,42.61,42.25,42.08],"EWG^FG_PRICE(0,-200D)":[43.24,43.49,43.57,43.83,43.41,43.31,43.26,43.13,43.05,42.56,42.5,42.75,42.51,42.65,42.57,42.44,42.34,42.1,41.94,41.61,42.03,42.1,42.18,42.39,41.94,41.53,41.34,41.41,41.14,40.95,40.89,40.52,40.92,40.6,40.19,39.47,39.4,38.89,39.51,39.53,40.01,40.86,41.25,41.68,41.23,40.96,40.48,40.39,40.73,40.34,40.91,40.73,41.0,41.27,41.72,41.78,41.59,41.55,41.44,41.69,41.88,41.38,41.59,41.53,41.67,41.78,41.52,42.09,42.34,42.07,42.42,42.43,42.47,42.13,41.61,41.31,41.2,40.75,41.24,41.27,41.24,41.22,41.45,41.06,41.15,41.42,41.31,41.39,41.07,41.48,41.69,41.34,41.34,41.05,41.04,41.88,42.02,41.89,42.13,42.12,42.66,42.08,42.39,42.39,42.45,42.58,42.5,42.38,42.15,41.94,42.34,42.33,41.84,41.49,41.3,40.75,41.15,41.63,41.89,41.67,42.81,42.7,43.21,42.42,42.42,42.13,42.35,42.18,41.82,42.35,42.45,42.86,43.26,42.59,42.23,42.21,42.17,42.01,42.31,42.3,41.64,41.15,41.39,40.75,40.34,40.28,40.4,41.13,41.51,42.22,42.11,42.12,42.31,42.52,42.57,42.46,42.12,42.34,41.97,41.85,41.77,42.31,41.26,41.64,41.68,41.77,41.56,40.85,40.86,40.34,40.59,40.38,40.77,40.46,40.44,40.67,40.72,40.34,39.46,39.49,39.67,39.47,39.36,39.03,38.44,38.03,37.03,37.4,37.22,37.2,36.82,36.37,35.8,36.22,33.22,33.55,34.32,36.73,37.38,37.29,37.08],"CNYA^FG_PRICE(0,-200D)":[35.87,35.6,35.59,36.23,35.83,35.49,35.5,35.64,35.21,34.91,34.58,34.59,34.37,34.71,34.44,34.31,34.24,33.89,33.58,33.63,33.197,34.05,34.08,34.09,34.34,34.225,34.36,34.21,33.74,33.76,33.81,34.25,33.95,33.59,33.51,33.11,33.06,33.46,33.88,33.93,33.89,34.19,34.64,34.43,34.47,34.77,34.6,34.59,34.38,33.97,34.3771,34.3,34.9,35.27,34.95,34.95,34.48,34.06,33.86,33.88,33.64,33.61,34.02,33.99,33.55,33.94,32.92,34.44,34.21,34.26,34.37,34.39,34.5182,34.3695,34.34,34.2,33.54,33.88,33.6806,33.47,33.67,33.45,33.48,33.96,33.77,33.81,33.6,33.94,32.84,32.94,33.14,33.02,32.23,32.94,33.2,33.47,33.16,32.26,32.91,32.91,32.71,31.62,31.74,31.02,31.32,30.97,30.72,31.01,30.73,30.295,30.27,30.3,30.33,30.17,29.9,29.6,29.68,30.24,30.44,30.29,30.31,30.45,30.35,30.365,29.98,29.73,29.6,29.26,29.29,29.395,29.2,29.32,29.07,29.12,28.86,28.91,28.7,28.71,28.71,28.46,28.79,28.805,28.55,28.03,27.925,27.96,28.0,28.12,28.15,28.42,28.29,28.1,28.3,28.22,28.29,28.18,27.96,27.72,27.67,28.02,27.83,27.9,28.2,28.3,28.4,28.28,28.14,28.24,28.25,28.58,28.34,28.45,27.78,27.85,27.58,27.82,27.7,27.66,26.92,27.06,27.14,27.14,27.25,27.29,27.2,27.16,27.04,26.82,26.92,26.7,26.96,27.09,26.64,26.4,24.95,24.71,26.56,27.65,27.91,27.92,28.03],"EWZ^FG_PRICE(0,-200D)":[33.36,33.16,32.63,32.93,33.06,32.88,32.7,33.11,32.79,32.2,31.77,31.99,31.42,31.73,31.55,31.65,30.97,31.17,31.17,31.0,31.6,33.58,33.32,33.16,32.77,32.74,32.75,32.53,34.72,34.2,34.03,33.4,33.61,33.47,32.55,32.2,32.03,31.9,32.49,32.71,32.78,33.18,32.98,33.22,33.49,32.72,32.3,32.04,32.1,31.18,31.52,31.17,31.05,31.18,30.92,30.77,30.48,30.47,30.03,29.94,30.22,29.71,29.24,29.32,29.1,29.18,28.79,29.67,29.87,29.68,30.31,30.33,30.24,30.58,31.0,30.99,30.73,30.58,31.05,31.32,30.79,30.93,30.82,30.94,30.69,30.51,30.03,30.05,29.79,29.54,29.58,29.63,29.17,28.99,29.0,29.5,29.49,29.02,28.61,28.74,28.61,27.66,27.69,27.36,28.29,28.2,27.89,28.18,28.39,27.64,27.81,28.05,27.45,27.02,26.93,26.65,26.55,26.88,26.76,26.52,26.94,27.13,27.48,27.0,27.08,26.85,27.69,27.57,27.47,27.31,27.53,27.72,28.16,28.71,28.6,29.31,28.91,28.79,28.85,28.14,28.13,27.57,27.98,27.66,27.67,28.08,28.11,28.31,28.14,28.15,28.22,27.72,27.62,27.72,27.6,27.44,27.58,27.27,27.21,27.7,27.69,27.99,27.65,27.52,27.67,28.16,28.18,28.0,28.01,28.2,28.33,27.49,27.56,27.48,26.4,26.61,26.71,27.12,26.88,27.04,27.36,27.21,26.94,26.74,26.31,25.86,25.2,25.22,24.79,24.86,25.01,24.69,24.19,24.71,23.44,23.95,24.5,26.33,26.14,26.14,25.85],"ENZL^FG_TOTAL_RETURNC(-5AY,0,AM)":[0.21113157,-1.2490511,-0.77720284,-1.5650392,-1.8114924,-0.7625818,-1.1143982,0.6857872,2.726388,-0.34754872,-1.7121136,-5.035162,-0.46559572,-8.021486,1.3373494,-1.2267649,-12.909299,-4.7947526,3.8346767,10.238827,-8.044129,-13.132638,15.092921,6.5582395,3.9711952,1.5238523,-7.3684216,3.7668347,1.7643452,-2.0785153,4.665971,-8.483898,-5.386263,-1.4288962,3.842616,4.8748136,3.7848592,-6.1720667,-0.11075139,-1.7738342,2.48307,1.4389873,1.9186974,2.8338313,4.300618,-1.9815803,-4.084134,-2.5335371,0.27520657,0.81677437,-7.050574,0.54181814,6.841612,-0.89912415,0.27669668,1.7687678,3.1153202,-4.1760087,-0.65351725,2.0180583,1.0092974],"EWN^FG_PRICE(0,-200D)":[61.6,60.67,60.78,61.04,60.4,59.21,59.8,60.44,60.14,58.64,57.03,57.227,57.0,57.16,57.1,56.84,57.01,56.61,56.02,55.57,56.41,58.76,58.6,59.5,58.8,58.55,58.7224,58.55,58.78,59.18,58.57,58.32,58.17,57.79,56.872,55.95,55.92,55.52,57.05,56.63,57.36,58.13,58.61,59.03,58.73,58.56,57.74,57.96,58.26,57.82,58.68,58.8,59.48,59.366,59.01,59.565,58.91,58.87,58.12,58.35,58.85,58.65,58.49,58.27,57.76,57.75,56.64,57.89,58.41,58.56,59.68,59.62,59.51,58.84,58.01,57.67,57.12,57.02,57.27,57.62,57.36,56.84,56.97,55.8782,55.71,55.75,54.66,54.46,53.79,54.12,54.17,53.47,52.87,52.22,51.94,53.0,53.5,53.59,53.77,53.84,54.188,53.08,53.58,53.215,53.13,53.16,53.3,53.36,52.9674,52.37,52.52,52.2,51.43,51.33,51.35,50.85,51.26,52.2,52.69,52.91,53.5,53.93,54.25,53.37,53.41,53.46,53.51,53.47,54.45,54.4,54.41,54.63,54.58,54.33,53.98,54.29,54.3,54.07,54.5,54.36,53.97,53.8,54.16,53.03,51.8927,52.2476,52.33,53.08,53.54,54.73,54.37,54.57,54.02,53.63,53.36,53.23,52.95,53.2858,52.85,52.94,52.59,53.0,52.26,52.54,52.48,52.8,52.645,52.19,52.25,52.2,52.04,51.6,50.79,50.32,50.21,49.98,50.14,50.27,48.78,48.85,48.92,48.79,48.78,48.41,47.77,47.1,46.09,46.55,46.26,46.89,46.61,45.81,44.67,46.05,41.88,42.58,43.14,45.71,46.87,46.7,46.73],"EWC^FG_PRICE(0,-200D)":[55.22,55.18,55.12,55.09,54.63,54.46,54.01,54.65,54.59,54.19,53.93,54.3,54.33,54.8,54.6,54.54,54.17,53.68,53.22,52.81,52.98,53.8,53.89,54.08,53.72,53.07,52.95,53.29,53.07,52.47,52.14,52.18,52.7,52.25,51.56,51.05,50.43,49.91,50.62,50.53,50.34,50.89,50.64,51.75,51.04,50.89,50.1,49.75,50.26,49.72,50.67,50.74,50.67,50.75,51.41,50.79,50.84,50.58,50.2,49.99,50.72,50.28,50.62,50.96,50.53,50.59,49.86,50.53,51.14,50.94,51.3,51.24,50.59,50.57,50.55,50.46,50.02,50.05,50.24,50.53,50.88,50.73,50.18,49.98,50.08,50.13,49.6,49.92,49.42,49.27,49.3,49.17,49.12,48.87,48.59,48.79,48.46,48.37,48.02,47.55,48.03,47.28,47.11,47.0,47.35,47.27,47.33,47.64,47.51,47.28,47.34,47.34,47.73,46.93,46.58,45.86,46.18,46.38,46.79,46.72,47.01,46.97,47.17,47.09,46.71,46.59,46.71,46.47,46.04,46.44,46.13,46.41,46.13,46.0,46.18,46.67,46.33,46.19,46.2,45.58,45.92,45.32,45.62,45.33,45.1,45.32,45.45,45.76,45.88,46.0,45.66,45.43,45.3,45.39,45.32,45.25,45.34,45.39,44.96,44.78,44.76,44.82,44.44,44.0,43.94,44.19,44.05,43.89,43.83,43.44,43.4,43.08,42.85,42.81,42.89,42.77,42.66,42.84,42.31,42.45,42.45,42.37,42.04,42.06,41.52,41.39,40.77,41.1,40.83,40.53,40.44,39.87,38.74,39.54,37.17,37.79,38.41,40.62,41.59,41.13,40.75],"QAT^FG_PRICE(0,-200D)":[19.425,19.6596,19.71,19.6099,19.36,19.28,19.405,19.3551,19.19,18.825,18.8183,18.95,18.8751,18.865,18.96,18.9302,18.8396,18.775,18.74,18.6081,18.6969,19.01,19.32,19.315,19.1685,19.0414,18.9554,18.9304,18.9402,18.9302,18.775,18.71,18.88,18.885,18.77,18.85,18.68,18.615,18.955,18.815,18.89,19.285,19.25,19.555,19.6479,19.48,19.42,19.46,19.415,19.435,19.315,19.3,19.2891,19.25,19.195,19.195,19.29,19.26,19.14,19.09,19.135,19.085,19.1356,19.0707,19.205,19.255,19.23,19.33,19.31,19.26,19.215,19.295,19.275,19.39,19.53,19.425,19.42,19.37,19.565,19.785,19.94,19.94,19.94,19.85,19.77,19.55,19.54,19.58,19.53,19.37,19.63,19.69,19.7,19.86,19.73,20.0,19.96,20.13,20.14,20.0026,20.1896,20.065,20.08,20.24,20.38,20.54,20.52,20.56,20.27,20.0346,19.93,19.946,19.85,19.785,19.71,19.665,19.655,19.66,19.6,19.6,19.63,19.61,19.54,19.34,19.12,18.91,18.96,18.779,18.69,18.71,18.73,18.75,18.75,18.73,18.68,18.63,18.56,18.58,18.62,18.57,18.53,18.36,18.25,17.96,17.72,17.82,17.895,18.045,18.2,18.9,18.96,18.92,18.83,18.83,18.78,18.91,19.08,18.8,18.75,18.83,18.94,18.91,19.15,19.11,19.18,19.06,19.05,18.88,18.84,18.83,18.7553,18.7,18.69,18.615,18.51,18.55,18.55,18.54,18.34,18.31,18.2,18.14,18.16,18.12,17.9,17.91,17.78,17.72,17.78,17.89,17.79,17.61,17.52,17.57,17.23,17.16,16.83,17.66,17.86,17.88,17.84],"EWT^FG_PRICE(0,-200D)":[67.29,66.51,66.1,66.62,65.92,65.44,65.59,65.83,65.3,64.77,63.53,63.71,63.33,63.02,62.53,62.5,61.98,61.64,60.87,60.03,61.12,64.11,64.1,65.92,66.8,65.72,65.57,65.35,64.51,64.85,64.63,64.13,64.51,63.66,62.8,62.51,61.8,61.68,62.5,62.67,63.16,65.17,63.99,65.41,65.39,65.75,64.61,64.94,66.03,65.43,66.9,66.65,66.54,67.13,67.09,66.98,66.48,65.71,65.03,65.78,66.17,65.09,65.17,64.99,63.7,64.56,61.62,64.83,65.65,64.81,65.03,64.64,64.0,64.14,63.62,63.08,62.74,63.06,63.57,64.29,64.02,63.38,63.77,63.21,63.32,63.02,62.83,62.74,62.56,61.62,60.98,60.21,59.3,58.73,58.05,58.82,59.9,59.77,59.5,59.26,59.66,58.57,58.78,60.09,61.04,60.42,60.65,61.03,61.09,60.28,60.29,60.36,59.14,58.92,58.84,58.39,58.36,58.35,58.62,59.06,59.43,59.39,59.8,58.72,59.36,59.24,59.48,58.98,58.27,57.81,58.3,58.38,58.03,57.66,57.63,59.44,58.75,57.58,57.4,57.85,57.85,57.31,56.82,55.18,54.84,56.03,55.65,56.46,55.85,56.74,55.83,55.8,54.71,54.11,53.74,53.96,53.15,52.84,52.38,52.87,53.26,53.58,53.52,53.7,53.72,53.48,53.82,54.01,53.99,53.77,53.28,52.95,51.75,51.16,51.0,51.56,52.96,50.95,47.82,47.48,47.15,46.47,46.34,46.18,45.5,44.33,44.22,44.88,44.99,46.05,45.77,45.62,43.32,44.79,40.95,42.03,43.82,46.05,48.48,48.2,47.48],"CNYA^JULIAN(FG_PRICE(0,-200D).DATES)":[46037,46036,46035,46034,46031,46030,46029,46028,46027,46024,46022,46021,46020,46017,46015,46014,46013,46010,46009,46008,46007,46006,46003,46002,46001,46000,45999,45996,45995,45994,45993,45992,45989,45987,45986,45985,45982,45981,45980,45979,45978,45975,45974,45973,45972,45971,45968,45967,45966,45965,45964,45961,45960,45959,45958,45957,45954,45953,45952,45951,45950,45947,45946,45945,45944,45943,45940,45939,45938,45937,45936,45933,45932,45931,45930,45929,45926,45925,45924,45923,45922,45919,45918,45917,45916,45915,45912,45911,45910,45909,45908,45905,45904,45903,45902,45898,45897,45896,45895,45894,45891,45890,45889,45888,45887,45884,45883,45882,45881,45880,45877,45876,45875,45874,45873,45870,45869,45868,45867,45866,45863,45862,45861,45860,45859,45856,45855,45854,45853,45852,45849,45848,45847,45846,45845,45841,45840,45839,45838,45835,45834,45833,45832,45831,45828,45826,45825,45824,45821,45820,45819,45818,45817,45814,45813,45812,45811,45810,45807,45806,45805,45804,45800,45799,45798,45797,45796,45793,45792,45791,45790,45789,45786,45785,45784,45783,45782,45779,45778,45777,45776,45775,45772,45771,45770,45769,45768,45764,45763,45762,45761,45758,45757,45756,45755,45754,45751,45750,45749,45748,45747],"EWL^FG_TOTAL_RETURNC(-5AY,0,AM)":[3.3676863,0.5319238,-2.5793672,4.7748327,1.9222498,7.8442216,-1.6009688,3.803134,-3.4286857,-1.2984395,4.480982,0.7869363,-0.29278994,-4.2090893,-5.2728415,6.2567472,-11.025381,-7.181072,3.5373807,6.348431,-7.609934,-8.631319,14.304996,-0.14166832,5.462277,0.9417057,-6.0417595,11.654842,2.837181,-2.112621,1.7849445,-3.1692386,-0.52368045,-3.3779383,0.45403242,5.7853103,2.2858381,-2.3809493,3.2520294,-5.4703655,6.9048643,2.0977259,1.1072397,2.1090984,2.0655394,-0.60322285,-7.654667,0.021207333,-1.2293398,10.321892,2.2952795,-2.1677136,4.9951434,2.2214055,-0.016111135,0.5906224,1.9449592,1.9438386,1.6066432,2.6238084,2.472055],"UAE^FG_TOTAL_RETURNC(-5AY,0,AM)":[3.8130403,3.5939932,2.9355764,-0.07407665,2.446258,8.603597,-3.437239,3.1474948,4.2770267,-2.722448,11.296928,6.4195514,-3.9056838,3.6376834,6.0241103,4.6998262,-8.325922,-3.8214386,-5.039954,9.51457,-6.146574,-4.8488674,5.0297856,-5.7178497,0.50234795,0.56648254,-8.217359,5.703974,-0.47814846,1.5935183,4.4413567,0.06644726,0.7968068,-5.928856,3.3613443,-1.3550103,5.1465273,-2.202499,-1.512605,1.5017033,-3.9004683,-2.8271437,4.191625,5.1724195,3.2103777,-0.72799325,2.1333337,1.1096597,9.874046,3.2941103,-3.3599079,-1.0606885,8.993435,-2.2950828,12.241459,2.5502324,-3.5418212,1.4062405,-1.5408278,1.0954618,2.8025508],"EWZ^FG_TOTAL_RETURNC(-5AY,0,AM)":[-0.35116673,-2.3312569,-8.2986355,5.1150084,7.9470277,11.00986,-2.8543591,-7.1069775,-5.893487,-4.452753,-7.2158694,-2.132976,3.7108302,14.428032,-4.413092,16.959799,-14.3662815,-2.8264642,-12.339419,23.486305,-5.2779555,0.9231806,1.0127425,-8.243722,11.949921,-3.3209085,-7.8163385,11.634981,2.6907325,10.983849,-1.2553573,-5.0542593,5.355966,-6.2926173,11.147869,2.9464364,2.8655887,-4.48457,-2.164632,-3.9887846,2.6614785,-10.953784,6.8206787,3.3642292,-1.5277326,-4.2158546,-3.873241,-7.5091543,-1.5367866,10.891509,-2.0098627,-3.792566,12.670958,0.46411753,-0.60447454,2.6574492,8.19149,-3.900361,13.165081,1.2055516,2.913344],"EIDO^FG_TOTAL_RETURNC(-5AY,0,AM)":[3.859198,-2.368313,-3.8895844999999998,-4.9173174,-0.32036304,0.6348252,-7.62167,3.1809092,4.1425824,14.199818,-4.293239,-1.5521348,2.42424,2.6627302,1.687932,-1.2145817,-4.5901594,-0.15773773,-5.6719007,10.684549,3.426659,-8.848488,3.5461068,-3.0982375,-0.40160418,4.838705,-7.6923075,11.990738,-1.6949117,0.656867,0.6823063,-2.6683629,-0.9138346,-4.5674143,-0.50620437,1.2950897,4.21474,0.9717345,-0.6561756,-5.416113,-2.8398454,-9.479273,10.465754,4.9603224,5.5292964,-0.9852171,-9.678883,-0.55081844,-5.387032,-4.4864836,-6.22524,-2.595055,13.197029,1.9157052,-2.2723794,4.401815,-2.918923,-4.175949,6.7983747,2.6115417,2.896762],"EWQ^FG_PRICE(0,-200D)":[45.4,45.87,45.96,46.1,45.88,45.46,45.4,45.6,45.42,45.31,44.99,45.14,44.99,45.18,44.98,44.9,44.96,44.91,44.8,44.62,44.94,45.18,44.88,45.0,44.58,44.21,44.65,44.62,44.75,44.79,44.44,44.41,44.57,44.43,44.06,43.33,43.69,42.99,43.44,43.63,44.2,44.84,45.04,45.14,44.71,44.19,43.78,43.42,43.88,43.63,44.07,44.28,44.44,44.86,45.14,45.33,45.11,45.27,44.91,44.98,45.2,45.23,45.15,44.42,44.13,43.35,43.29,43.89,44.3,43.79,44.19,44.91,44.77,44.49,43.93,43.78,43.59,43.05,43.41,43.89,43.78,43.68,43.84,43.53,43.82,43.89,43.49,43.53,42.9,43.06,42.99,42.56,42.56,42.54,42.29,42.59,42.9,42.56,42.58,42.96,44.18,43.55,43.97,43.82,43.55,43.89,43.5,43.31,42.89,42.35,42.68,42.49,42.02,41.83,41.86,41.43,41.94,42.47,42.91,42.8,43.72,43.4,44.4,43.16,43.03,42.92,42.98,42.74,42.56,43.12,43.28,43.75,43.84,43.27,42.68,43.08,43.27,42.87,42.8,42.61,42.14,41.89,42.04,41.57,41.29,41.67,41.74,42.21,42.83,43.57,43.11,43.21,43.08,43.04,43.04,43.08,42.84,43.14,42.49,42.76,42.47,42.92,42.4,42.65,42.71,43.1,42.73,42.25,42.09,41.88,42.1,41.81,41.68,41.32,41.32,41.62,41.84,41.86,41.07,41.04,40.94,41.04,40.95,40.72,40.12,39.84,38.97,39.22,38.96,39.0,38.85,38.97,37.99,38.61,35.65,35.97,37.21,39.48,40.18,40.05,39.8],"EWA^FG_PRICE(0,-200D)":[26.65,26.54,26.41,26.45,26.26,26.37,26.27,26.49,26.61,26.47,26.19,26.41,26.48,26.68,26.6,26.61,26.15,25.88,25.81,25.58,25.82,26.42,26.52,26.64,26.65,26.35,26.24,26.34,26.29,26.13,25.93,25.73,25.85,25.82,25.62,25.44,25.33,24.95,25.3,25.4,25.64,25.95,25.94,26.58,26.63,26.81,26.44,26.46,26.67,26.41,26.84,26.77,26.89,27.0,27.52,27.37,27.18,27.19,27.07,27.11,27.26,26.92,26.97,26.89,26.7,26.66,26.44,26.92,27.23,27.14,27.36,27.43,27.18,27.15,27.0,26.98,26.67,26.47,26.47,26.87,26.92,26.89,26.89,27.14,27.38,27.57,27.24,27.41,27.11,26.89,27.0,26.93,26.9,26.6,26.77,27.08,27.09,27.0,26.97,26.83,27.26,26.86,26.7,26.61,26.84,26.83,26.74,26.91,26.96,26.65,26.63,26.6,26.66,26.41,26.28,25.91,26.02,26.15,26.37,26.22,26.48,26.58,26.82,26.55,26.37,26.45,26.28,26.19,26.07,26.39,26.36,26.58,26.24,26.14,25.98,26.48,26.54,26.35,26.32,26.09,26.43,26.03,26.05,25.79,25.55,25.86,25.77,26.09,26.32,26.64,26.6,26.71,26.44,26.37,26.36,26.33,26.07,26.15,25.81,25.64,25.56,25.87,25.65,25.41,25.41,25.63,25.63,25.47,25.55,25.16,25.42,25.18,25.01,24.83,24.89,25.05,24.99,25.31,24.65,24.67,24.55,24.52,24.51,24.51,24.0,23.96,23.48,23.61,23.42,23.36,23.29,22.77,22.35,22.81,20.82,20.85,21.15,23.25,23.89,23.71,23.44],"MCHI^FG_PRICE(0,-200D)":[63.59,63.55,63.52,64.26,62.22,62.28,61.88,62.71,62.67,62.24,60.07,60.58,60.37,61.27,60.61,60.67,60.89,60.63,59.99,59.47,59.7,60.87,61.52,61.69,61.81,61.35,62.22,62.66,61.98,61.88,62.24,62.66,62.2,61.91,62.2,61.96,60.92,60.88,61.91,62.42,62.78,63.5,64.46,64.58,64.53,64.7,63.61,63.97,63.36,62.73,63.55,63.57,64.38,65.49,65.12,65.59,64.51,64.11,63.03,63.44,64.12,63.31,63.4,63.25,62.58,63.3,61.39,65.12,66.13,65.81,66.64,66.55,66.99,66.25,65.85,65.53,64.32,64.76,64.58,63.66,64.43,64.44,64.75,65.8,64.86,64.43,63.95,64.21,62.54,62.97,62.3,61.35,60.3,61.33,61.64,61.31,60.45,60.02,61.62,61.54,61.57,60.0,59.92,59.59,60.04,59.68,59.3,60.56,58.73,57.82,58.19,58.2,58.36,57.86,57.47,56.52,57.43,57.89,58.56,58.7,58.93,59.18,59.25,58.665,57.81,57.45,56.92,56.51,56.68,55.55,54.95,55.01,54.58,55.13,54.62,54.72,55.0,55.27,55.1,55.18,55.54,55.53,55.57,54.13,53.5,53.93,54.44,55.01,54.77,55.79,55.86,55.69,55.52,54.92,54.99,54.79,53.76,53.26,52.82,53.86,53.33,54.04,54.78,54.75,54.99,55.2,54.7,54.42,54.57,55.6,54.7,55.06,53.25,53.45,52.69,53.95,53.4,53.42,51.59,51.66,51.68,51.85,51.91,51.97,51.66,50.9,49.39,49.29,49.16,50.17,50.56,49.68,47.98,48.06,45.22,46.0,50.0,53.67,54.16,54.55,54.4],"EWM^FG_PRICE(0,-200D)":[28.28,28.2,28.05,27.97,27.59,27.36,27.43,27.63,27.61,27.42,27.36,27.57,27.53,27.64,27.69,27.53,27.41,27.2,26.88,26.6,26.79,27.09,26.98,26.87,26.52,26.37,26.32,26.64,26.59,26.73,26.67,26.6,26.43,26.64,26.49,26.47,26.29,26.05,26.33,26.16,26.23,26.45,26.5,26.53,26.78,26.47,26.23,26.01,26.2,25.98,26.06,25.85,25.88,25.91,26.01,25.96,25.69,25.65,25.47,25.74,25.82,25.7,25.58,25.66,25.72,25.71,25.33,25.98,26.02,25.99,26.09,26.2,26.27,26.21,25.92,25.78,25.73,25.27,25.33,25.74,25.79,25.59,25.6,25.95,25.54,25.55,25.47,25.33,25.17,25.17,25.12,25.03,24.97,24.87,24.73,24.87,25.13,25.05,25.13,25.5,25.72,25.19,25.19,25.18,25.13,24.98,25.03,25.27,24.94,24.6,24.51,24.38,24.4,24.24,24.13,23.98,23.49,23.84,24.04,24.05,24.19,24.3,24.21,23.99,24.03,23.93,23.93,23.71,23.8,24.09,24.08,24.11,23.98,23.95,23.93,24.41,24.41,24.38,24.34,24.07,24.07,23.82,23.77,23.53,23.41,23.59,23.53,23.93,24.26,24.54,24.45,24.28,24.32,24.25,24.31,24.14,24.09,24.15,23.96,24.3,24.47,24.52,24.58,24.24,24.49,24.5,24.69,24.87,25.08,25.07,24.87,24.5,24.45,24.31,24.68,24.64,24.86,24.85,24.12,24.17,23.7,23.71,23.43,23.43,23.07,22.91,23.04,22.77,22.44,22.63,22.65,22.46,22.05,22.14,21.2,21.75,21.91,23.01,23.32,23.03,23.08],"EWI^FG_TOTAL_RETURNC(-5AY,0,AM)":[0.5140543,5.455172,1.5842199,1.9414306,2.7162075,4.0189505,-6.152034,6.9650173,-3.9186716,1.2266159,2.5446892,-3.579867,4.10192,-2.38806,-14.587158,4.0816307,-6.74234,-4.45832,-10.624754,12.021375,-5.16693,-8.843255,25.195396,-0.17373562,10.60493,3.2748103,-7.093823,11.681914,-1.3547599,2.6500583,5.100417,-4.2766213,0.09505749,-4.8116503,7.216501,4.249382,2.1052003,2.095008,7.601154,-3.3037841,9.194446,-8.003134,6.31907,-1.6258001,3.2511592,0.31487942,-4.3682933,2.9814005,0.45357943,8.966446,6.011331,-3.462696,12.012518,1.9342422,1.5043616,9.446323,1.1585236,-3.6648154,5.4091573,2.161646,2.14926],"EWJ^FG_TOTAL_RETURNC(-5AY,0,AM)":[3.5251617,4.1181684,-3.1306863,0.8223891,-4.107034,4.0111423,-1.8499792,1.0749459,7.9836845,-6.853753,1.4194608,-1.6533136,-1.0741532,-3.8078308,-7.870722,-1.9805312,-3.5616457,-4.0956974,-1.3647497,8.529186,-9.762489,-6.2125025,12.567067,0.14874935,4.1460276,0.8102894,-4.001397,6.370592,3.627658,5.944133,-2.0247996,-3.6046147,4.686725,-5.413556,2.6854634,3.252697,6.642914,1.8214703,2.8533459,-1.1499226,0.2908349,-1.9404173,5.8543086,-2.8848767,1.246202,-0.22900105,-3.1846225,3.0374885,-3.2079399,4.677844,1.4127135,-4.136455,7.206404,1.7980576,-1.8079042,11.800802,1.4971852,-0.07375479,3.3091426,1.0597706,4.4590591999999996],"TUR^FG_TOTAL_RETURNC(-5AY,0,AM)":[13.474298,6.7592144,-5.030799,-13.873875,-2.301252,-0.5980253,-5.5456934,8.219826,-0.7378459,-10.100574,13.375484,-12.825662,2.2738576,-1.5466392,-6.087393,20.805025,-8.394634,-6.1488094,-6.469977,15.384615,14.340532,4.3624163,25.12058,12.766659,-3.9507627,4.5007467,-0.42784214,-1.6041279,-13.566226,2.6201844,6.3923836,14.253748,4.895103,-0.40000677,-8.353413,2.2786975,-2.4039328,13.250518,-8.540088,9.565962,7.297361,1.1147857,5.1070094,-10.92087,-4.909092,-8.768093,5.209577,7.313597,-4.7969875,-1.4820993,8.82771,-16.927492,0.18838644,-3.6352216999999998,8.422208,4.263103,0.0,-4.906541,0.8906603,7.4277043,8.622063],"ECH^FG_TOTAL_RETURNC(-5AY,0,AM)":[11.665499,2.0138383,5.7371974,3.0921817,-7.8947363,-7.7363014,-9.210974,4.326749,-0.35752058,-14.962328,12.869191,-8.070153,5.634415,5.9244514,-0.75074434,5.2950025,-5.818969,6.6694856,-11.491262,18.991602,-4.5550823,-14.354425,17.667389,-4.053974,7.37834,7.200289,-7.841796,8.213091,3.692305,0.14668703,5.2037,-5.759847,-5.9392214,-8.480173,4.7332525,9.459972,-8.195525,-3.1070173,7.6405406,-3.6778212,10.88202,-6.945789,3.4927845,-3.5583258,-1.2932658,1.271677,-4.984784,3.1638026,-0.057411194,13.600933,3.1217813,-2.3619413,12.674618,-3.749621,-4.0653887,8.39746,4.320979,-1.1538446,8.859623,7.2174907,13.621223],"SPY^FG_PRICE(0,-200D)":[692.24,690.36,693.77,695.16,694.07,689.51,689.58,691.81,687.72,683.17,681.92,687.01,687.85,690.31,690.38,687.96,684.83,680.59,676.47,671.4,678.87,680.73,681.76,689.17,687.57,683.04,683.63,685.69,684.39,683.89,681.53,680.27,683.39,679.68,675.02,668.73,659.03,652.53,662.63,660.08,665.67,671.93,672.04,683.38,683.0,681.44,670.97,670.31,677.58,675.24,683.34,682.06,679.83,687.39,687.06,685.24,677.25,671.76,667.8,671.29,671.3,664.39,660.64,665.17,662.23,663.04,653.02,671.16,673.11,669.12,671.61,669.21,669.22,668.45,666.18,663.68,661.82,658.05,661.1,663.21,666.84,663.7,662.26,659.18,660.0,660.91,657.41,657.63,652.21,650.33,648.83,647.24,649.12,643.74,640.27,645.05,648.92,646.63,645.16,642.47,645.31,635.55,638.11,639.81,643.3,643.44,644.95,644.89,642.69,635.92,637.18,632.25,632.78,627.97,631.17,621.72,632.08,634.46,635.26,636.94,637.1,634.42,634.21,628.86,628.77,627.58,628.04,624.22,622.14,624.81,623.62,625.82,624.06,620.34,620.68,625.34,620.45,617.65,617.85,614.91,611.87,607.12,606.78,600.15,594.28,597.44,597.53,602.68,597.0,603.75,601.36,603.08,599.68,599.14,593.05,595.93,596.09,592.71,589.39,590.05,587.73,591.15,579.11,583.09,582.86,592.85,594.85,594.2,590.46,587.59,586.84,582.99,564.34,565.06,561.15,558.8,563.51,566.76,558.47,554.54,554.32,550.85,550.64,546.69,535.42,527.25,513.88,526.41,525.66,537.61,539.12,533.94,524.58,548.62,496.48,504.38,505.28,536.7,564.52,560.97,559.39],"ENZL^FG_PRICE(0,-200D)":[45.6301,45.89,45.52,46.1,45.98,46.115,46.295,46.1476,45.8584,45.4719,45.2715,45.41,45.41,45.73,45.74,45.54,45.18,44.82,44.6999,44.635,45.1265,45.75,45.71,46.35,46.2943,45.9504,46.0267,45.995,46.005,46.1656,45.8184,45.48,45.6257,45.47,44.6994,44.47,44.33,43.75,43.6663,44.2359,44.4932,44.845,44.9434,45.6572,45.675,45.6841,45.5808,45.3331,45.91,45.38,45.7056,45.89,45.755,45.675,45.845,45.99,45.615,45.52,45.2309,45.325,45.56,45.175,45.42,45.14,45.0665,45.45,45.805,46.575,47.095,47.05,47.135,47.1883,46.68,46.7116,45.9334,45.485,45.365,45.1969,45.5963,45.8659,46.2872,46.41,46.255,47.045,47.0204,47.1072,46.74,47.225,46.85,46.655,46.74,46.13,45.37,45.495,45.3801,44.86,44.87,44.67,45.19,45.62,45.7829,45.58,45.675,45.605,45.845,45.684,45.57,45.82,45.659,45.79,45.745,45.795,45.63,45.255,44.93,44.69,45.05,45.19,45.8343,45.64,46.0511,45.98,46.135,46.155,46.3676,45.695,45.872,45.56,44.89,45.49,45.76,46.01,46.07,45.98,45.5,45.96,46.265,45.96,45.61,45.37,45.32,44.6,44.79,44.86,44.6,45.08,45.09,45.97,45.19,46.07,45.76,45.65,45.32,45.31,45.53,45.25,44.61,45.04,44.39,43.97,44.23,45.38,45.36,45.08,45.22,45.2,45.15,45.41,45.6,45.33,45.62,44.75,45.17,44.23,44.56,44.82,44.49,44.29,43.06,42.61,43.35,43.6,43.76,43.805,42.8238,43.095,43.38,43.5,43.03,42.68,43.1,42.39,41.79,41.36,39.48,39.39,40.13,42.72,42.67,42.39,42.08],"EPU^FG_PRICE(0,-200D)":[83.01,82.26,80.99,80.55,78.19,76.55,75.42,76.71,74.87,72.71,72.35,72.91,71.95,73.77,72.74,72.78,72.08,71.2,69.98,69.18,69.3,69.25,69.3,69.68,68.29,67.48,66.53,67.03,67.0,66.03,64.67,64.57,64.47,63.1,61.56,61.02,59.64,59.5,61.25,60.32,61.1636,62.34,62.52,64.38,63.04,63.13,61.77,61.75,61.39,60.31,62.16,62.78,63.11,63.12,62.53,61.55,61.62,61.61,60.71,61.35,64.0,62.97,64.55,64.1,63.3,63.41,60.91,62.65,63.53,61.87,62.71,62.31,61.33,61.05,61.5,60.8036,59.3,59.78,59.89,58.88,58.59,57.8112,57.14,57.8745,57.9154,58.4354,57.768,57.5472,56.45,56.0,56.6475,56.5,55.73,56.01,54.91,53.8,53.4188,52.9672,53.39,52.93,53.23,52.009,51.75,51.68,52.3821,52.1916,51.95,52.16,51.75,51.1309,51.72,50.7055,50.1833,49.7,49.27,48.35,48.65,47.99,49.44,49.15,49.61,49.98,50.3,49.55,48.93,48.32,48.2014,48.0038,48.12,48.69,48.83,49.12,48.81,49.3,49.62,50.06,49.75,48.8572,48.59,48.49,49.1078,47.3159,47.313,46.97,47.08,47.4137,47.62,47.7117,48.2913,48.5848,48.44,48.2311,48.53,48.5916,48.7961,48.065,47.95,47.72,46.64,46.6136,46.5428,46.83,46.76,45.76,45.66,45.57,45.16,44.57,45.06,44.95,45.11,44.74,45.3303,45.02,44.79,45.45,44.7003,44.44,43.74,44.33,44.8,44.6021,44.4285,44.55,43.98,43.836,43.48,43.2,43.3511,43.15,43.14,42.085,40.8059,41.46,38.53,39.07,40.05,43.42,44.85,44.57,43.89],"EWD^FG_TOTAL_RETURNC(-5AY,0,AM)":[2.891624,4.7165155,4.8541427,5.4751873,2.0468473,1.6304255,-1.4157832,3.4213424,-2.2462785,-1.0653794,2.723825,-5.369234,0.7292628,-6.9839835,-10.425633,2.002132,-9.343105,-4.44234,-5.750698,9.828496,-10.360354,-8.844227,22.013973,0.84433556,6.2481165,1.8942714,-8.129859,10.329199,0.0821352,-0.92998147,0.13804436,-7.8025937,-1.7344415,1.3085842,5.7374597,11.903405,-1.718837,1.0852337,7.253206,-4.9316406,7.2419047,-2.087152,1.2922406,-2.2325814,3.8143039,-0.41092038,-7.1601987,1.8562078,-0.7956803,13.609314,1.4575243,-7.0931554,10.21986,-0.2849579,0.45176744,4.296267,2.1454573,-0.06300807,0.14711618,3.0640006,5.246079],"SET-BKK^FG_TOTAL_RETURNC(-5AY,0,AM)":[2.837789,0.2363205,2.8245568,-1.5717924,0.5424619,4.700291,-3.1005204,-2.7792513,6.524813,0.6326556,0.023806095,-0.91961026,3.0160189,1.7230272,-3.355372,1.8231988,-5.372864,0.5781412,-3.7758708,5.992031,1.0509133,-4.965502,4.3952346,-0.5584955,3.7925482,-2.041942,-5.001247,1.7680526,-3.2203794,1.0594368,-2.5543869,0.1851201,1.4006495,-5.9194746,-2.4525225,-1.7058015,1.1495113,-1.4036775,-0.08866191,0.74601173,-1.8576622,-4.661268,1.597321,-2.8317928,10.431528,2.8531551,-1.5289783,-0.7597208,-5.4831085,-5.9911194,-7.73052,-3.8423479,5.8325768,-6.0100975,3.4123182,8.476246,3.2046437,-1.007098,-1.3546348,0.32618046,-0.9431422],"CNYA^FG_TOTAL_RETURNC(-5AY,0,AM)":[9.32287,9.290838,-15.811091,-0.65853596,4.8612833,2.4384856,1.0531068,-2.514726,-0.06971359,0.41860342,0.25475025,2.4130821,-5.3266582,-2.7650893,-14.564789,5.4992795,-9.794235,10.973919,-1.8945575,-1.0075569,-7.2094975,-7.0383906,4.490328,1.6037107,7.432008,-0.7653892,-5.1320076,3.017509,-3.2326639,-4.3192267,-1.3170183,-3.6921918,-2.7998626,-1.7069757,0.7188797,-5.5271983,-2.9421806,2.22404,6.227553,-1.5783548,3.264606,-3.3556044,-1.7267823,-2.538079,-4.487175,19.001675,2.9256225,-0.89040995,-4.440385,5.506277,2.767074,-8.997953,5.805242,-0.35398602,4.4644594,5.735743,9.170175,0.5323887,0.58840513,-0.409472,7.0917726],"QQQ^FG_PRICE(0,-200D)":[621.78,619.55,626.24,627.17,626.65,620.47,624.02,623.42,617.99,613.12,614.31,619.43,620.87,623.89,623.93,622.11,619.21,617.05,609.11,600.41,611.75,610.54,613.62,625.58,627.61,625.05,624.28,625.48,622.94,623.52,622.0,617.17,619.25,614.27,608.89,605.16,590.07,585.67,599.87,596.31,603.66,608.86,608.4,621.08,621.57,623.23,609.74,611.67,623.28,619.25,632.08,629.07,626.05,635.77,632.92,628.09,617.1,610.58,605.49,611.38,611.54,603.93,599.99,602.22,598.0,602.01,589.5,610.7,611.44,604.51,607.71,603.18,605.73,603.25,600.37,598.73,595.97,593.53,596.1,598.2,602.2,599.35,595.32,590.0,591.18,591.68,586.66,584.08,580.7,580.51,578.87,576.06,575.23,570.07,565.62,570.4,577.08,573.49,572.61,570.32,571.97,563.28,565.9,569.28,577.11,577.34,579.89,580.34,580.05,572.85,574.55,569.24,567.32,560.27,564.1,553.88,565.01,568.02,567.26,568.14,566.37,565.01,563.81,561.25,564.17,561.26,561.8,557.29,556.72,556.21,554.2,555.45,556.25,552.34,552.03,556.22,550.8,546.99,551.64,548.09,546.22,541.16,539.78,531.65,526.83,528.99,529.08,534.29,526.96,533.66,532.41,534.21,530.7,529.92,524.79,528.77,527.3,523.21,519.11,519.93,518.91,521.22,509.24,514.0,513.04,520.27,522.01,521.51,519.25,518.68,515.59,507.85,487.97,488.29,483.3,481.41,485.93,488.83,481.68,475.47,475.53,472.41,472.56,467.35,454.56,444.48,433.11,444.1,444.18,457.99,457.48,454.4,446.18,466.0,416.06,423.69,422.67,450.66,476.15,472.7,468.92],"EWN^FG_TOTAL_RETURNC(-5AY,0,AM)":[5.421376,7.4567556,-2.1318257,7.046008,0.14535189,3.5216212,-2.4193466,5.8677673,4.137385,-3.729391,2.7642608,-7.100028,1.0028601,-6.7071915,-14.313639,2.0278811,-7.627326,-3.5683036,-3.0799687,11.31196,-11.576748,-11.552125,27.126587,1.2306571,9.845519,1.5733004,-8.260971,8.749032,-0.42341948,4.0347695,3.582096,-6.3843966,-7.056594,-4.3821692,11.217701,6.9645405,-1.653415,8.444238,1.8832088,-0.14537573,7.612312,-1.4909685,3.373015,-4.683298,-0.38259625,-2.5672138,-7.17842,3.5538673,-1.8974721,8.610737,-0.53126216,-3.677076,11.431015,2.468896,3.057301,-2.3691475,4.8720837,4.520178,-0.24026036,1.0837674,8.849049],"EWT^FG_TOTAL_RETURNC(-5AY,0,AM)":[11.072266,3.8125277,-1.0107875,5.4458857,-5.003226,8.154941,1.5708566,-2.922988,3.871274,-5.092019,5.7853937,1.3402462,4.4145107,-2.5070488,-8.6731615,-2.149284,-8.22407,1.1131644,-8.99083,6.5322638,-9.367907,-13.029856,18.75149,-1.9998908,5.308008,2.6589632,-3.0855894,4.857075,-2.859038,11.864018,-0.67305565,-7.3511305,1.9946814,-1.1082172,4.1089892,4.474461,0.42876005,5.170071,4.1828394,-1.3658941,7.658422,3.5275698,5.1769614,-4.7252536,-1.2774765,3.8820148,-2.3264349,2.4943829,-2.627349,2.367556,-4.7014236,-8.3946705,17.242134,3.445077,4.333043,3.6897182,4.303217,3.1259894,0.27697086,-1.6265094,9.796345],"ECH^JULIAN(FG_TOTAL_RETURNC(-5AY,0,AM).DATES)":[44211,44239,44270,44301,44330,44362,44392,44421,44454,44484,44515,44545,44575,44607,44635,44665,44694,44727,44757,44788,44819,44848,44880,44910,44939,44972,45000,45030,45061,45092,45121,45153,45184,45212,45245,45275,45303,45337,45366,45397,45427,45457,45488,45519,45548,45580,45611,45639,45672,45702,45730,45762,45792,45821,45853,45884,45915,45945,45975,46006,46037],"EWQ^FG_TOTAL_RETURNC(-5AY,0,AM)":[0.3297329,2.1213055,3.423047,3.6492229,4.6943307,3.6476016,-4.730421,5.6059837,-2.6036441,0.5969405,3.0959725,-2.3770928,3.3719778,-3.1855226,-11.660963,2.175212,-5.4243207,-3.4311414,-3.3201873,9.724581,-8.397895,-6.9012165,18.713654,1.9888401,9.819269,2.3861885,-5.9737563,12.022793,-0.8901298,-0.28287768,3.7095547,-4.6676693,-1.1442244,-6.567973,6.251812,5.6399107,-0.795424,2.0572782,6.072986,-4.763049,7.552421,-9.524089,3.798139,-1.4841378,1.558435,-1.3810694,-5.9128704,1.5711069,-0.9470582,11.206186,2.482009,-5.5461407,7.9230785,1.7581463,1.6162872,3.125,0.0,1.2075663,0.9455204,0.7582545,0.99693537],"EWM^FG_TOTAL_RETURNC(-5AY,0,AM)":[-3.1740546,-1.3394475,-0.21436214,-0.35803914,-1.6528904,-0.015956163,-5.3524313,-1.3540447,5.0868034,2.8428674,-5.0429583,-4.2300105,6.4064503,2.6315808,-2.4087012,1.7117739,-6.7318974,-5.4491816,-3.125,5.6568503,-4.469025,-8.290881,9.444451,3.9034128,5.156958,-2.08956,-7.7526093,5.6185126,-2.9950857,-4.4778466,3.5363436,0.75901747,-0.329566,-1.5588105,3.1669855,-0.69767237,1.9581556,-0.60775876,3.9981246,-2.48757,7.2820067,-0.41888952,2.7348995,4.036057,7.0160985,-0.57848096,-6.322736,2.5672913,-3.8402736,4.4910192,-4.993868,-2.4989247,10.826338,-3.2695353,0.18626451,4.957986,2.2818208,0.43053627,3.078723,2.4196625,6.050551],"UAE^FG_PRICE(0,-200D)":[19.73,19.59,19.76,19.55,19.43,19.65,19.65,19.425,19.22,19.2151,19.12,19.05,19.6,19.54,19.52,19.56,19.45,19.25,19.31,19.1129,19.24,19.38,19.35,19.51,19.4401,19.38,19.08,19.22,19.05,18.85,18.53,18.4941,18.58,18.53,18.71,18.75,18.68,18.7582,18.87,18.85,18.93,19.17,19.19,19.48,19.69,19.53,19.43,19.31,19.35,19.36,19.58,19.68,20.15,20.0,20.01,19.97,19.98,19.92,19.69,19.58,19.57,19.63,19.47,19.47,19.57,19.16,19.0,19.25,19.29,19.13,19.04,19.11,19.08,18.99,18.89,18.82,18.98,18.84,18.68,19.14,19.55,19.47,19.36,19.16,19.32,19.2,19.17,19.01,18.85,18.91,18.94,19.16,19.2,19.03,19.14,19.38,19.53,19.68,19.75,19.83,19.96,19.753,19.8,19.8383,19.965,19.905,19.98,19.93,20.15,20.08,20.14,20.1,20.25,20.01,20.21,19.95,20.0399,20.26,20.145,20.32,20.35,20.11,20.105,19.795,19.9,19.98,20.05,19.86,19.41,19.37,19.21,19.08,19.13,18.84,18.86,18.84,18.6,18.66,18.72,18.57,18.5,18.22,18.3,17.66,17.26,16.99,17.24,17.56,17.88,18.395,18.72,18.78,18.71,18.67,18.61,18.59,18.59,18.45,18.57,18.59,18.66,18.62,18.45,18.53,18.57,18.71,18.65,18.48,18.3,18.16,18.36,18.13,18.15,18.14,18.18,18.31,18.23,18.14,17.96,17.88,17.99,17.64,17.47,17.57,17.23,17.01,16.76,16.76,16.68,16.79,16.71,16.51,16.17,16.46,15.58,15.88,15.6,16.35,17.0,16.93,16.97],"EIDO^FG_PRICE(0,-200D)":[19.22,19.14,19.03,18.99,19.01,18.99,19.03,19.08,19.04,18.81,18.7,18.67,18.67,18.47,18.45,18.56,18.68,18.58,18.63,18.6,18.67,18.86,18.76,18.68,18.86,18.68,18.87,18.82,18.79,18.83,18.92,18.79,18.67,18.87,18.73,18.78,18.37,18.33,18.48,18.26,18.38,18.38,18.28,18.44,18.45,18.55,18.53,18.44,18.54,18.36,18.45,18.28,18.27,18.32,18.05,18.09,18.3,18.3,17.89,18.17,17.82,17.3,17.36,17.21,17.22,17.57,17.31,17.65,17.45,17.43,17.42,17.43,17.44,17.46,17.55,17.69,17.6,17.41,17.68,17.76,17.73,17.79,17.72,17.98,17.85,17.96,17.83,17.64,17.33,17.06,17.5,17.93,17.77,17.81,17.74,17.67,18.19,18.16,18.38,18.61,18.65,18.44,18.6,18.31,18.43,18.5,18.63,18.83,18.61,17.98,17.83,17.72,17.66,17.62,17.59,17.61,17.27,17.58,17.8,17.75,17.6,17.81,17.81,17.56,17.73,17.69,17.76,17.7,17.72,17.63,17.87,17.76,17.47,17.31,17.34,17.47,17.48,17.49,17.63,17.49,17.51,17.18,17.38,16.89,17.18,17.87,18.02,18.01,18.62,18.9,18.91,18.84,18.59,18.51,18.56,18.45,18.42,18.56,18.88,18.95,18.91,19.04,19.16,18.91,18.79,18.53,18.74,18.39,18.27,17.97,17.54,17.4,17.41,17.45,17.71,17.74,17.65,17.63,17.3,17.31,17.1,16.93,16.77,16.76,16.61,16.36,16.03,16.13,15.93,16.14,16.09,15.87,15.45,15.56,14.36,15.15,15.09,15.88,16.33,16.25,16.3],"INDA^FG_TOTAL_RETURNC(-5AY,0,AM)":[4.9679995,4.9280286,-0.6510079,-3.8146555,3.2603383,6.1535,-1.0219932,3.7373781,7.9303265,1.2329578,0.2673626,-6.1195316,7.59418,-6.455648,-3.5841405,3.1170607,-9.381991,-1.1366487,0.4998803,8.679438,-0.20595193,-7.544142,8.283734,-3.1607926,0.42573214,-4.663211,-6.0276628,5.573082,3.7350655,3.4358025,2.9062986,-2.327156,4.371965,-1.4627635,1.0796189,7.4766397,3.4368515,2.2418022,-1.0963202,1.4647603,2.0874023,5.4270864,3.6070347,-2.2568226,3.5439372,-1.4693141,-6.9824576,4.790652,-7.027912,-3.2956302,-1.3712466,4.5389533,7.1191072,-1.3328433,1.545155,-3.9453328,1.3659716,0.6176233,1.5997052,-2.7828634,0.22599697]}]]></FdsFormulaCache>
</file>

<file path=customXml/itemProps1.xml><?xml version="1.0" encoding="utf-8"?>
<ds:datastoreItem xmlns:ds="http://schemas.openxmlformats.org/officeDocument/2006/customXml" ds:itemID="{5356EB4F-E9AC-4E0E-883F-2591381C89F2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FILTER1</vt:lpstr>
      <vt:lpstr>FILTER2</vt:lpstr>
      <vt:lpstr>MONTHLY_RETURNS</vt:lpstr>
      <vt:lpstr>PRICE_DATA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TDS</dc:creator>
  <cp:lastModifiedBy>prasham jain</cp:lastModifiedBy>
  <dcterms:created xsi:type="dcterms:W3CDTF">2025-08-18T07:31:08Z</dcterms:created>
  <dcterms:modified xsi:type="dcterms:W3CDTF">2026-01-16T07:05:22Z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</Properties>
</file>