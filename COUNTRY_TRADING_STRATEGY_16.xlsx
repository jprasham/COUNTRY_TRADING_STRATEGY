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A3283AAB-3E2D-4101-A07B-84F2BBC9DB88}" xr6:coauthVersionLast="47" xr6:coauthVersionMax="47" xr10:uidLastSave="{00000000-0000-0000-0000-000000000000}"/>
  <bookViews>
    <workbookView xWindow="-98" yWindow="-98" windowWidth="22695" windowHeight="13546" firstSheet="1" activeTab="1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A2" i="6" a="1"/>
  <c r="S2" i="6" a="1"/>
  <c r="K2" i="6" a="1"/>
  <c r="C2" i="6" a="1"/>
  <c r="V2" i="1" a="1"/>
  <c r="N2" i="1" a="1"/>
  <c r="F2" i="1" a="1"/>
  <c r="Z2" i="6" a="1"/>
  <c r="R2" i="6" a="1"/>
  <c r="J2" i="6" a="1"/>
  <c r="B2" i="6" a="1"/>
  <c r="U2" i="1" a="1"/>
  <c r="E2" i="1" a="1"/>
  <c r="L2" i="1" a="1"/>
  <c r="AF2" i="6" a="1"/>
  <c r="P2" i="6" a="1"/>
  <c r="H2" i="6" a="1"/>
  <c r="AI2" i="1" a="1"/>
  <c r="S2" i="1" a="1"/>
  <c r="C2" i="1" a="1"/>
  <c r="O2" i="6" a="1"/>
  <c r="R2" i="1" a="1"/>
  <c r="V2" i="6" a="1"/>
  <c r="Y2" i="1" a="1"/>
  <c r="Q2" i="1" a="1"/>
  <c r="I2" i="1" a="1"/>
  <c r="M2" i="6" a="1"/>
  <c r="X2" i="1" a="1"/>
  <c r="T2" i="6" a="1"/>
  <c r="AI2" i="6" a="1"/>
  <c r="AD2" i="1" a="1"/>
  <c r="AC2" i="1" a="1"/>
  <c r="D2" i="1" a="1"/>
  <c r="AE2" i="6" a="1"/>
  <c r="G2" i="6" a="1"/>
  <c r="J2" i="1" a="1"/>
  <c r="B2" i="1" a="1"/>
  <c r="AG2" i="1" a="1"/>
  <c r="AC2" i="6" a="1"/>
  <c r="E2" i="6" a="1"/>
  <c r="AF2" i="1" a="1"/>
  <c r="AE2" i="1" a="1"/>
  <c r="O2" i="1" a="1"/>
  <c r="G2" i="1" a="1"/>
  <c r="M2" i="1" a="1"/>
  <c r="AA2" i="1" a="1"/>
  <c r="Z2" i="1" a="1"/>
  <c r="H2" i="1" a="1"/>
  <c r="L2" i="6" a="1"/>
  <c r="AH2" i="6" a="1"/>
  <c r="W2" i="6" a="1"/>
  <c r="AG2" i="6" a="1"/>
  <c r="Y2" i="6" a="1"/>
  <c r="Q2" i="6" a="1"/>
  <c r="I2" i="6" a="1"/>
  <c r="A2" i="6" a="1"/>
  <c r="AB2" i="1" a="1"/>
  <c r="T2" i="1" a="1"/>
  <c r="X2" i="6" a="1"/>
  <c r="K2" i="1" a="1"/>
  <c r="AH2" i="1" a="1"/>
  <c r="AD2" i="6" a="1"/>
  <c r="N2" i="6" a="1"/>
  <c r="F2" i="6" a="1"/>
  <c r="A2" i="1" a="1"/>
  <c r="U2" i="6" a="1"/>
  <c r="P2" i="1" a="1"/>
  <c r="AB2" i="6" a="1"/>
  <c r="D2" i="6" a="1"/>
  <c r="W2" i="1" a="1"/>
  <c r="W2" i="1" l="1"/>
  <c r="D2" i="6"/>
  <c r="AB2" i="6"/>
  <c r="P2" i="1"/>
  <c r="U2" i="6"/>
  <c r="A2" i="1"/>
  <c r="F2" i="6"/>
  <c r="N2" i="6"/>
  <c r="AD2" i="6"/>
  <c r="AH2" i="1"/>
  <c r="K2" i="1"/>
  <c r="X2" i="6"/>
  <c r="T2" i="1"/>
  <c r="AB2" i="1"/>
  <c r="AB68" i="1" s="1"/>
  <c r="A2" i="6"/>
  <c r="I2" i="6"/>
  <c r="Q2" i="6"/>
  <c r="Y2" i="6"/>
  <c r="AG2" i="6"/>
  <c r="W2" i="6"/>
  <c r="AH2" i="6"/>
  <c r="L2" i="6"/>
  <c r="H2" i="1"/>
  <c r="Z2" i="1"/>
  <c r="Z68" i="1" s="1"/>
  <c r="AA2" i="1"/>
  <c r="M2" i="1"/>
  <c r="G2" i="1"/>
  <c r="O2" i="1"/>
  <c r="AE2" i="1"/>
  <c r="AF2" i="1"/>
  <c r="E2" i="6"/>
  <c r="AC2" i="6"/>
  <c r="AG2" i="1"/>
  <c r="B2" i="1"/>
  <c r="J2" i="1"/>
  <c r="G2" i="6"/>
  <c r="AE2" i="6"/>
  <c r="D2" i="1"/>
  <c r="AC2" i="1"/>
  <c r="AD2" i="1"/>
  <c r="AI2" i="6"/>
  <c r="T2" i="6"/>
  <c r="X2" i="1"/>
  <c r="M2" i="6"/>
  <c r="I2" i="1"/>
  <c r="Q2" i="1"/>
  <c r="Y2" i="1"/>
  <c r="Y68" i="1" s="1"/>
  <c r="V2" i="6"/>
  <c r="R2" i="1"/>
  <c r="O2" i="6"/>
  <c r="C2" i="1"/>
  <c r="S2" i="1"/>
  <c r="AI2" i="1"/>
  <c r="H2" i="6"/>
  <c r="P2" i="6"/>
  <c r="AF2" i="6"/>
  <c r="L2" i="1"/>
  <c r="E2" i="1"/>
  <c r="U2" i="1"/>
  <c r="B2" i="6"/>
  <c r="J2" i="6"/>
  <c r="R2" i="6"/>
  <c r="Z2" i="6"/>
  <c r="F2" i="1"/>
  <c r="N2" i="1"/>
  <c r="V2" i="1"/>
  <c r="C2" i="6"/>
  <c r="K2" i="6"/>
  <c r="S2" i="6"/>
  <c r="AA2" i="6"/>
  <c r="AG68" i="1"/>
  <c r="AI68" i="1"/>
  <c r="AA68" i="1"/>
  <c r="AC68" i="1"/>
  <c r="AD68" i="1"/>
  <c r="X68" i="1"/>
  <c r="AE68" i="1"/>
  <c r="AF68" i="1"/>
  <c r="W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C84BA127-2F87-4075-810B-060F53B794A1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Timestamp="1771171172"&gt;&lt;FQL&gt;&lt;Q&gt;EWJ^FG_PRICE(0,-200D)&lt;/Q&gt;&lt;R&gt;201&lt;/R&gt;&lt;C&gt;1&lt;/C&gt;&lt;D xsi:type="xsd:double"&gt;93.85&lt;/D&gt;&lt;D xsi:type="xsd:double"&gt;93.37&lt;/D&gt;&lt;D xsi:type="xsd:double"&gt;93.97&lt;/D&gt;&lt;D xsi:type="xsd:double"&gt;93.1&lt;/D&gt;&lt;D xsi:type="xsd:double"&gt;91.29&lt;/D&gt;&lt;D xsi:type="xsd:double"&gt;89.4&lt;/D&gt;&lt;D xsi:type="xsd:double"&gt;86.1&lt;/D&gt;&lt;D xsi:type="xsd:double"&gt;87.49&lt;/D&gt;&lt;D xsi:type="xsd:double"&gt;86.68&lt;/D&gt;&lt;D xsi:type="xsd:double"&gt;85.89&lt;/D&gt;&lt;D xsi:type="xsd:double"&gt;85.72&lt;/D&gt;&lt;D xsi:type="xsd:double"&gt;86.09&lt;/D&gt;&lt;D xsi:type="xsd:double"&gt;85.21&lt;/D&gt;&lt;D xsi:type="xsd:double"&gt;85.84&lt;/D&gt;&lt;D xsi:type="xsd:double"&gt;84.63&lt;/D&gt;&lt;D xsi:type="xsd:double"&gt;84.56&lt;/D&gt;&lt;D xsi:type="xsd:double"&gt;84.86&lt;/D&gt;&lt;D xsi:type="xsd:double"&gt;84.78&lt;/D&gt;&lt;D xsi:type="xsd:double"&gt;83.72&lt;/D&gt;&lt;D xsi:type="xsd:double"&gt;85.48&lt;/D&gt;&lt;D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xsi:type="xsd:double"&gt;80.98&lt;/D&gt;&lt;D xsi:type="xsd:double"&gt;81.09&lt;/D&gt;&lt;D xsi:type="xsd:double"&gt;80.97&lt;/D&gt;&lt;D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xsi:type="xsd:double"&gt;72.02&lt;/D&gt;&lt;/FQL&gt;&lt;FQL&gt;&lt;Q&gt;TUR^FG_PRICE(0,-200D)&lt;/Q&gt;&lt;R&gt;201&lt;/R&gt;&lt;C&gt;1&lt;/C&gt;&lt;D xsi:type="xsd:double"&gt;42.22&lt;/D&gt;&lt;D xsi:type="xsd:double"&gt;41.91&lt;/D&gt;&lt;D xsi:type="xsd:double"&gt;41.21&lt;/D&gt;&lt;D xsi:type="xsd:double"&gt;40.97&lt;/D&gt;&lt;D xsi:type="xsd:double"&gt;41.54&lt;/D&gt;&lt;D xsi:type="xsd:double"&gt;40.84&lt;/D&gt;&lt;D xsi:type="xsd:double"&gt;40.66&lt;/D&gt;&lt;D xsi:type="xsd:double"&gt;41.37&lt;/D&gt;&lt;D xsi:type="xsd:double"&gt;41.54&lt;/D&gt;&lt;D xsi:type="xsd:double"&gt;41.14&lt;/D&gt;&lt;D xsi:type="xsd:double"&gt;41.25&lt;/D&gt;&lt;D xsi:type="xsd:double"&gt;41.58&lt;/D&gt;&lt;D xsi:type="xsd:double"&gt;40.39&lt;/D&gt;&lt;D xsi:type="xsd:double"&gt;39.56&lt;/D&gt;&lt;D xsi:type="xsd:double"&gt;39.86&lt;/D&gt;&lt;D xsi:type="xsd:double"&gt;39.43&lt;/D&gt;&lt;D xsi:type="xsd:double"&gt;39.08&lt;/D&gt;&lt;D xsi:type="xsd:double"&gt;38.64&lt;/D&gt;&lt;D xsi:type="xsd:double"&gt;38.87&lt;/D&gt;&lt;D xsi:type="xsd:double"&gt;38.41&lt;/D&gt;&lt;D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xsi:type="xsd:double"&gt;34.41&lt;/D&gt;&lt;D xsi:type="xsd:double"&gt;34.76&lt;/D&gt;&lt;D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xsi:type="xsd:double"&gt;31.18&lt;/D&gt;&lt;/FQL&gt;&lt;FQL&gt;&lt;Q&gt;EWY^FG_PRICE(0,-200D)&lt;/Q&gt;&lt;R&gt;201&lt;/R&gt;&lt;C&gt;1&lt;/C&gt;&lt;D xsi:type="xsd:double"&gt;133.97&lt;/D&gt;&lt;D xsi:type="xsd:double"&gt;130.8&lt;/D&gt;&lt;D xsi:type="xsd:double"&gt;130.6&lt;/D&gt;&lt;D xsi:type="xsd:double"&gt;124.45&lt;/D&gt;&lt;D xsi:type="xsd:double"&gt;126.05&lt;/D&gt;&lt;D xsi:type="xsd:double"&gt;124.71&lt;/D&gt;&lt;D xsi:type="xsd:double"&gt;120.21&lt;/D&gt;&lt;D xsi:type="xsd:double"&gt;120.26&lt;/D&gt;&lt;D xsi:type="xsd:double"&gt;124.32&lt;/D&gt;&lt;D xsi:type="xsd:double"&gt;120.93&lt;/D&gt;&lt;D xsi:type="xsd:double"&gt;122.41&lt;/D&gt;&lt;D xsi:type="xsd:double"&gt;124.5&lt;/D&gt;&lt;D xsi:type="xsd:double"&gt;125.56&lt;/D&gt;&lt;D xsi:type="xsd:double"&gt;122.7&lt;/D&gt;&lt;D xsi:type="xsd:double"&gt;117.32&lt;/D&gt;&lt;D xsi:type="xsd:double"&gt;117.97&lt;/D&gt;&lt;D xsi:type="xsd:double"&gt;115.99&lt;/D&gt;&lt;D xsi:type="xsd:double"&gt;115.66&lt;/D&gt;&lt;D xsi:type="xsd:double"&gt;110.97&lt;/D&gt;&lt;D xsi:type="xsd:double"&gt;112.22&lt;/D&gt;&lt;D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xsi:type="xsd:double"&gt;98.62&lt;/D&gt;&lt;D xsi:type="xsd:double"&gt;98.72&lt;/D&gt;&lt;D xsi:type="xsd:double"&gt;95.84&lt;/D&gt;&lt;D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xsi:type="xsd:double"&gt;56.1&lt;/D&gt;&lt;/FQL&gt;&lt;FQL&gt;&lt;Q&gt;ECH^FG_PRICE(0,-200D)&lt;/Q&gt;&lt;R&gt;201&lt;/R&gt;&lt;C&gt;1&lt;/C&gt;&lt;D xsi:type="xsd:double"&gt;43.81&lt;/D&gt;&lt;D xsi:type="xsd:double"&gt;44.25&lt;/D&gt;&lt;D xsi:type="xsd:double"&gt;45.35&lt;/D&gt;&lt;D xsi:type="xsd:double"&gt;44.54&lt;/D&gt;&lt;D xsi:type="xsd:double"&gt;46.17&lt;/D&gt;&lt;D xsi:type="xsd:double"&gt;45.24&lt;/D&gt;&lt;D xsi:type="xsd:double"&gt;45.19&lt;/D&gt;&lt;D xsi:type="xsd:double"&gt;45.66&lt;/D&gt;&lt;D xsi:type="xsd:double"&gt;47.19&lt;/D&gt;&lt;D xsi:type="xsd:double"&gt;46.05&lt;/D&gt;&lt;D xsi:type="xsd:double"&gt;45.24&lt;/D&gt;&lt;D xsi:type="xsd:double"&gt;46.875&lt;/D&gt;&lt;D xsi:type="xsd:double"&gt;47.06&lt;/D&gt;&lt;D xsi:type="xsd:double"&gt;47.37&lt;/D&gt;&lt;D xsi:type="xsd:double"&gt;46.78&lt;/D&gt;&lt;D xsi:type="xsd:double"&gt;46.4&lt;/D&gt;&lt;D xsi:type="xsd:double"&gt;46.175&lt;/D&gt;&lt;D xsi:type="xsd:double"&gt;45.2&lt;/D&gt;&lt;D xsi:type="xsd:double"&gt;43.89&lt;/D&gt;&lt;D xsi:type="xsd:double"&gt;44.09&lt;/D&gt;&lt;D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xsi:type="xsd:double"&gt;40.54&lt;/D&gt;&lt;D xsi:type="xsd:double"&gt;40.15&lt;/D&gt;&lt;D xsi:type="xsd:double"&gt;40.29&lt;/D&gt;&lt;D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xsi:type="xsd:double"&gt;31.44&lt;/D&gt;&lt;/FQL&gt;&lt;FQL&gt;&lt;Q&gt;KSA^FG_TOTAL_RETURNC(-5AY,0,AM)&lt;/Q&gt;&lt;R&gt;61&lt;/R&gt;&lt;C&gt;1&lt;/C&gt;&lt;D xsi:type="xsd:double"&gt;-0.4662633&lt;/D&gt;&lt;D xsi:type="xsd:double"&gt;7.026863&lt;/D&gt;&lt;D xsi:type="xsd:double"&gt;4.668796&lt;/D&gt;&lt;D xsi:type="xsd:double"&gt;3.2060266&lt;/D&gt;&lt;D xsi:type="xsd:double"&gt;5.660093&lt;/D&gt;&lt;D xsi:type="xsd:double"&gt;-0.07741451&lt;/D&gt;&lt;D xsi:type="xsd:double"&gt;6.3016534&lt;/D&gt;&lt;D xsi:type="xsd:double"&gt;1.2633681&lt;/D&gt;&lt;D xsi:type="xsd:double"&gt;2.8310895&lt;/D&gt;&lt;D xsi:type="xsd:double"&gt;2.7531505&lt;/D&gt;&lt;D xsi:type="xsd:double"&gt;-9.618741&lt;/D&gt;&lt;D xsi:type="xsd:double"&gt;11.95997&lt;/D&gt;&lt;D xsi:type="xsd:double"&gt;1.4689326&lt;/D&gt;&lt;D xsi:type="xsd:double"&gt;3.830731&lt;/D&gt;&lt;D xsi:type="xsd:double"&gt;7.4860573&lt;/D&gt;&lt;D xsi:type="xsd:double"&gt;-5.467975&lt;/D&gt;&lt;D xsi:type="xsd:double"&gt;-7.981533&lt;/D&gt;&lt;D xsi:type="xsd:double"&gt;-6.632769&lt;/D&gt;&lt;D xsi:type="xsd:double"&gt;13.193059&lt;/D&gt;&lt;D xsi:type="xsd:double"&gt;-5.401272&lt;/D&gt;&lt;D xsi:type="xsd:double"&gt;-2.7276874&lt;/D&gt;&lt;D xsi:type="xsd:double"&gt;-0.45152903&lt;/D&gt;&lt;D xsi:type="xsd:double"&gt;-10.097832&lt;/D&gt;&lt;D xsi:type="xsd:double"&gt;5.50189&lt;/D&gt;&lt;D xsi:type="xsd:double"&gt;-3.3324897&lt;/D&gt;&lt;D xsi:type="xsd:double"&gt;-2.8947353&lt;/D&gt;&lt;D xsi:type="xsd:double"&gt;9.132791&lt;/D&gt;&lt;D xsi:type="xsd:double"&gt;1.5892744&lt;/D&gt;&lt;D xsi:type="xsd:double"&gt;2.1025896&lt;/D&gt;&lt;D xsi:type="xsd:double"&gt;3.2461286&lt;/D&gt;&lt;D xsi:type="xsd:double"&gt;-4.763019&lt;/D&gt;&lt;D xsi:type="xsd:double"&gt;-2.3651123&lt;/D&gt;&lt;D xsi:type="xsd:double"&gt;-7.3933897&lt;/D&gt;&lt;D xsi:type="xsd:double"&gt;4.8773885&lt;/D&gt;&lt;D xsi:type="xsd:double"&gt;6.1054826&lt;/D&gt;&lt;D xsi:type="xsd:double"&gt;6.091094&lt;/D&gt;&lt;D xsi:type="xsd:double"&gt;2.2684813&lt;/D&gt;&lt;D xsi:type="xsd:double"&gt;2.1266818&lt;/D&gt;&lt;D xsi:type="xsd:double"&gt;-1.5226185&lt;/D&gt;&lt;D xsi:type="xsd:double"&gt;-2.7057707&lt;/D&gt;&lt;D xsi:type="xsd:double"&gt;-4.8580112&lt;/D&gt;&lt;D xsi:type="xsd:double"&gt;2.8671145&lt;/D&gt;&lt;D xsi:type="xsd:double"&gt;-0.6786227&lt;/D&gt;&lt;D xsi:type="xsd:double"&gt;0.6588578&lt;/D&gt;&lt;D xsi:type="xsd:double"&gt;1.4545441&lt;/D&gt;&lt;D xsi:type="xsd:double"&gt;-1.0274827&lt;/D&gt;&lt;D xsi:type="xsd:double"&gt;1.8831491&lt;/D&gt;&lt;D xsi:type="xsd:double"&gt;-0.30508637&lt;/D&gt;&lt;D xsi:type="xsd:double"&gt;2.9803753&lt;/D&gt;&lt;D xsi:type="xsd:double"&gt;-5.8352947&lt;/D&gt;&lt;D xsi:type="xsd:double"&gt;-1.0994494&lt;/D&gt;&lt;D xsi:type="xsd:double"&gt;1.819098&lt;/D&gt;&lt;D xsi:type="xsd:double"&gt;-7.866001&lt;/D&gt;&lt;D xsi:type="xsd:double"&gt;6.510079&lt;/D&gt;&lt;D xsi:type="xsd:double"&gt;-3.7284672&lt;/D&gt;&lt;D xsi:type="xsd:double"&gt;-1.9230723&lt;/D&gt;&lt;D xsi:type="xsd:double"&gt;10.811543&lt;/D&gt;&lt;D xsi:type="xsd:double"&gt;-4.816908&lt;/D&gt;&lt;D xsi:type="xsd:double"&gt;-3.4340262&lt;/D&gt;&lt;D xsi:type="xsd:double"&gt;3.4099698&lt;/D&gt;&lt;D xsi:type="xsd:double"&gt;2.4862647&lt;/D&gt;&lt;/FQL&gt;&lt;FQL&gt;&lt;Q&gt;GREK^FG_TOTAL_RETURNC(-5AY,0,AM)&lt;/Q&gt;&lt;R&gt;61&lt;/R&gt;&lt;C&gt;1&lt;/C&gt;&lt;D xsi:type="xsd:double"&gt;-4.905808&lt;/D&gt;&lt;D xsi:type="xsd:double"&gt;10.028887&lt;/D&gt;&lt;D xsi:type="xsd:double"&gt;5.1012754&lt;/D&gt;&lt;D xsi:type="xsd:double"&gt;2.6766539&lt;/D&gt;&lt;D xsi:type="xsd:double"&gt;4.275286&lt;/D&gt;&lt;D xsi:type="xsd:double"&gt;-8.866668&lt;/D&gt;&lt;D xsi:type="xsd:double"&gt;2.3043156&lt;/D&gt;&lt;D xsi:type="xsd:double"&gt;2.2624254&lt;/D&gt;&lt;D xsi:type="xsd:double"&gt;-3.2961845&lt;/D&gt;&lt;D xsi:type="xsd:double"&gt;1.0846019&lt;/D&gt;&lt;D xsi:type="xsd:double"&gt;-4.506433&lt;/D&gt;&lt;D xsi:type="xsd:double"&gt;9.380341&lt;/D&gt;&lt;D xsi:type="xsd:double"&gt;2.6242137&lt;/D&gt;&lt;D xsi:type="xsd:double"&gt;-16.808731&lt;/D&gt;&lt;D xsi:type="xsd:double"&gt;14.344263&lt;/D&gt;&lt;D xsi:type="xsd:double"&gt;-10.17921&lt;/D&gt;&lt;D xsi:type="xsd:double"&gt;-4.2298436&lt;/D&gt;&lt;D xsi:type="xsd:double"&gt;-7.263899&lt;/D&gt;&lt;D xsi:type="xsd:double"&gt;12.792789&lt;/D&gt;&lt;D xsi:type="xsd:double"&gt;-8.666134&lt;/D&gt;&lt;D xsi:type="xsd:double"&gt;-0.39352775&lt;/D&gt;&lt;D xsi:type="xsd:double"&gt;14.003504&lt;/D&gt;&lt;D xsi:type="xsd:double"&gt;3.196001&lt;/D&gt;&lt;D xsi:type="xsd:double"&gt;9.527373&lt;/D&gt;&lt;D xsi:type="xsd:double"&gt;12.687874&lt;/D&gt;&lt;D xsi:type="xsd:double"&gt;-6.823826&lt;/D&gt;&lt;D xsi:type="xsd:double"&gt;7.5232983&lt;/D&gt;&lt;D xsi:type="xsd:double"&gt;-1.1145473&lt;/D&gt;&lt;D xsi:type="xsd:double"&gt;13.525354&lt;/D&gt;&lt;D xsi:type="xsd:double"&gt;8.354675&lt;/D&gt;&lt;D xsi:type="xsd:double"&gt;-3.7634432&lt;/D&gt;&lt;D xsi:type="xsd:double"&gt;-8.752328&lt;/D&gt;&lt;D xsi:type="xsd:double"&gt;-5.422741&lt;/D&gt;&lt;D xsi:type="xsd:double"&gt;7.64488&lt;/D&gt;&lt;D xsi:type="xsd:double"&gt;7.8178763&lt;/D&gt;&lt;D xsi:type="xsd:double"&gt;5.738771&lt;/D&gt;&lt;D xsi:type="xsd:double"&gt;0.7432103&lt;/D&gt;&lt;D xsi:type="xsd:double"&gt;1.628077&lt;/D&gt;&lt;D xsi:type="xsd:double"&gt;-3.0287862&lt;/D&gt;&lt;D xsi:type="xsd:double"&gt;8.105314&lt;/D&gt;&lt;D xsi:type="xsd:double"&gt;-2.8772712&lt;/D&gt;&lt;D xsi:type="xsd:double"&gt;3.5754442&lt;/D&gt;&lt;D xsi:type="xsd:double"&gt;-1.2380958&lt;/D&gt;&lt;D xsi:type="xsd:double"&gt;0.43394566&lt;/D&gt;&lt;D xsi:type="xsd:double"&gt;-0.4666388&lt;/D&gt;&lt;D xsi:type="xsd:double"&gt;-3.5344958&lt;/D&gt;&lt;D xsi:type="xsd:double"&gt;2.7534962&lt;/D&gt;&lt;D xsi:type="xsd:double"&gt;0.10726452&lt;/D&gt;&lt;D xsi:type="xsd:double"&gt;8.441055&lt;/D&gt;&lt;D xsi:type="xsd:double"&gt;9.467053&lt;/D&gt;&lt;D xsi:type="xsd:double"&gt;-1.9432068&lt;/D&gt;&lt;D xsi:type="xsd:double"&gt;13.392866&lt;/D&gt;&lt;D xsi:type="xsd:double"&gt;7.5475335&lt;/D&gt;&lt;D xsi:type="xsd:double"&gt;10.563051&lt;/D&gt;&lt;D xsi:type="xsd:double"&gt;9.542537&lt;/D&gt;&lt;D xsi:type="xsd:double"&gt;-2.454722&lt;/D&gt;&lt;D xsi:type="xsd:double"&gt;0.67516565&lt;/D&gt;&lt;D xsi:type="xsd:double"&gt;-1.4327109&lt;/D&gt;&lt;D xsi:type="xsd:double"&gt;3.9740205&lt;/D&gt;&lt;D xsi:type="xsd:double"&gt;4.7796607&lt;/D&gt;&lt;D xsi:type="xsd:double"&gt;4.2029023&lt;/D&gt;&lt;/FQL&gt;&lt;FQL&gt;&lt;Q&gt;EPOL^FG_TOTAL_RETURNC(-5AY,0,AM)&lt;/Q&gt;&lt;R&gt;61&lt;/R&gt;&lt;C&gt;1&lt;/C&gt;&lt;D xsi:type="xsd:double"&gt;-1.9959152&lt;/D&gt;&lt;D xsi:type="xsd:double"&gt;0.36553144&lt;/D&gt;&lt;D xsi:type="xsd:double"&gt;-0.36420226&lt;/D&gt;&lt;D xsi:type="xsd:double"&gt;7.362926&lt;/D&gt;&lt;D xsi:type="xsd:double"&gt;7.634592&lt;/D&gt;&lt;D xsi:type="xsd:double"&gt;-2.1295</t>
        </r>
      </text>
    </comment>
    <comment ref="A2" authorId="0" shapeId="0" xr:uid="{3AE3CA98-9DEE-4ADA-A0FD-50E0AA8B760A}">
      <text>
        <r>
          <rPr>
            <b/>
            <sz val="9"/>
            <color indexed="81"/>
            <rFont val="Tahoma"/>
            <charset val="1"/>
          </rPr>
          <t>846&lt;/D&gt;&lt;D xsi:type="xsd:double"&gt;3.0092597&lt;/D&gt;&lt;D xsi:type="xsd:double"&gt;4.5842767&lt;/D&gt;&lt;D xsi:type="xsd:double"&gt;1.2892127&lt;/D&gt;&lt;D xsi:type="xsd:double"&gt;-4.1578236&lt;/D&gt;&lt;D xsi:type="xsd:double"&gt;-8.679628&lt;/D&gt;&lt;D xsi:type="xsd:double"&gt;11.758936&lt;/D&gt;&lt;D xsi:type="xsd:double"&gt;-10.960108&lt;/D&gt;&lt;D xsi:type="xsd:double"&gt;-15.706545&lt;/D&gt;&lt;D xsi:type="xsd:double"&gt;8.820081&lt;/D&gt;&lt;D xsi:type="xsd:double"&gt;-19.26999&lt;/D&gt;&lt;D xsi:type="xsd:double"&gt;-3.3169389&lt;/D&gt;&lt;D xsi:type="xsd:double"&gt;-8.119363&lt;/D&gt;&lt;D xsi:type="xsd:double"&gt;12.6132965&lt;/D&gt;&lt;D xsi:type="xsd:double"&gt;-16.968477&lt;/D&gt;&lt;D xsi:type="xsd:double"&gt;-10.016155&lt;/D&gt;&lt;D xsi:type="xsd:double"&gt;31.597841&lt;/D&gt;&lt;D xsi:type="xsd:double"&gt;6.196642&lt;/D&gt;&lt;D xsi:type="xsd:double"&gt;10.653591&lt;/D&gt;&lt;D xsi:type="xsd:double"&gt;-6.851739&lt;/D&gt;&lt;D xsi:type="xsd:double"&gt;-3.2974005&lt;/D&gt;&lt;D xsi:type="xsd:double"&gt;10.163927&lt;/D&gt;&lt;D xsi:type="xsd:double"&gt;5.7142973&lt;/D&gt;&lt;D xsi:type="xsd:double"&gt;3.4909844&lt;/D&gt;&lt;D xsi:type="xsd:double"&gt;10.826993&lt;/D&gt;&lt;D xsi:type="xsd:double"&gt;-0.8345604&lt;/D&gt;&lt;D xsi:type="xsd:double"&gt;-12.128716&lt;/D&gt;&lt;D xsi:type="xsd:double"&gt;0.90141296&lt;/D&gt;&lt;D xsi:type="xsd:double"&gt;12.004459&lt;/D&gt;&lt;D xsi:type="xsd:double"&gt;14.705885&lt;/D&gt;&lt;D xsi:type="xsd:double"&gt;-3.3389807&lt;/D&gt;&lt;D xsi:type="xsd:double"&gt;0.8792162&lt;/D&gt;&lt;D xsi:type="xsd:double"&gt;9.128451&lt;/D&gt;&lt;D xsi:type="xsd:double"&gt;-2.3539364&lt;/D&gt;&lt;D xsi:type="xsd:double"&gt;8.092987&lt;/D&gt;&lt;D xsi:type="xsd:double"&gt;-6.8458614&lt;/D&gt;&lt;D xsi:type="xsd:double"&gt;10.932053&lt;/D&gt;&lt;D xsi:type="xsd:double"&gt;-7.3812304&lt;/D&gt;&lt;D xsi:type="xsd:double"&gt;1.4836788&lt;/D&gt;&lt;D xsi:type="xsd:double"&gt;-0.29239655&lt;/D&gt;&lt;D xsi:type="xsd:double"&gt;-8.253044&lt;/D&gt;&lt;D xsi:type="xsd:double"&gt;3.6986232&lt;/D&gt;&lt;D xsi:type="xsd:double"&gt;-2.6456475&lt;/D&gt;&lt;D xsi:type="xsd:double"&gt;21.522558&lt;/D&gt;&lt;D xsi:type="xsd:double"&gt;6.651199&lt;/D&gt;&lt;D xsi:type="xsd:double"&gt;-1.1965215&lt;/D&gt;&lt;D xsi:type="xsd:double"&gt;13.027525&lt;/D&gt;&lt;D xsi:type="xsd:double"&gt;-3.0519426&lt;/D&gt;&lt;D xsi:type="xsd:double"&gt;8.866334&lt;/D&gt;&lt;D xsi:type="xsd:double"&gt;6.635368&lt;/D&gt;&lt;D xsi:type="xsd:double"&gt;-5.253893&lt;/D&gt;&lt;D xsi:type="xsd:double"&gt;0.40272474&lt;/D&gt;&lt;D xsi:type="xsd:double"&gt;5.307007&lt;/D&gt;&lt;D xsi:type="xsd:double"&gt;3.1350732&lt;/D&gt;&lt;D xsi:type="xsd:double"&gt;6.0127735&lt;/D&gt;&lt;D xsi:type="xsd:double"&gt;4.3779373&lt;/D&gt;&lt;/FQL&gt;&lt;FQL&gt;&lt;Q&gt;EWG^FG_PRICE(0,-200D)&lt;/Q&gt;&lt;R&gt;201&lt;/R&gt;&lt;C&gt;1&lt;/C&gt;&lt;D xsi:type="xsd:double"&gt;43.97&lt;/D&gt;&lt;D xsi:type="xsd:double"&gt;43.96&lt;/D&gt;&lt;D xsi:type="xsd:double"&gt;44.05&lt;/D&gt;&lt;D xsi:type="xsd:double"&gt;44.22&lt;/D&gt;&lt;D xsi:type="xsd:double"&gt;44.32&lt;/D&gt;&lt;D xsi:type="xsd:double"&gt;43.53&lt;/D&gt;&lt;D xsi:type="xsd:double"&gt;42.84&lt;/D&gt;&lt;D xsi:type="xsd:double"&gt;43.25&lt;/D&gt;&lt;D xsi:type="xsd:double"&gt;43.51&lt;/D&gt;&lt;D xsi:type="xsd:double"&gt;43.48&lt;/D&gt;&lt;D xsi:type="xsd:double"&gt;43.11&lt;/D&gt;&lt;D xsi:type="xsd:double"&gt;43.44&lt;/D&gt;&lt;D xsi:type="xsd:double"&gt;44.01&lt;/D&gt;&lt;D xsi:type="xsd:double"&gt;44.3&lt;/D&gt;&lt;D xsi:type="xsd:double"&gt;43.84&lt;/D&gt;&lt;D xsi:type="xsd:double"&gt;43.48&lt;/D&gt;&lt;D xsi:type="xsd:double"&gt;43.1&lt;/D&gt;&lt;D xsi:type="xsd:double"&gt;42.82&lt;/D&gt;&lt;D xsi:type="xsd:double"&gt;42.54&lt;/D&gt;&lt;D xsi:type="xsd:double"&gt;43.34&lt;/D&gt;&lt;D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xsi:type="xsd:double"&gt;42.75&lt;/D&gt;&lt;D xsi:type="xsd:double"&gt;42.51&lt;/D&gt;&lt;D xsi:type="xsd:double"&gt;42.65&lt;/D&gt;&lt;D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xsi:type="xsd:double"&gt;39.67&lt;/D&gt;&lt;/FQL&gt;&lt;FQL&gt;&lt;Q&gt;SET-BKK^FG_PRICE(0,-200D)&lt;/Q&gt;&lt;R&gt;201&lt;/R&gt;&lt;C&gt;1&lt;/C&gt;&lt;D xsi:type="xsd:double"&gt;1430.41&lt;/D&gt;&lt;D xsi:type="xsd:double"&gt;1441.53&lt;/D&gt;&lt;D xsi:type="xsd:double"&gt;1411.7&lt;/D&gt;&lt;D xsi:type="xsd:double"&gt;1410.44&lt;/D&gt;&lt;D xsi:type="xsd:double"&gt;1400.89&lt;/D&gt;&lt;D xsi:type="xsd:double"&gt;1354.01&lt;/D&gt;&lt;D xsi:type="xsd:double"&gt;1346.23&lt;/D&gt;&lt;D xsi:type="xsd:double"&gt;1346.54&lt;/D&gt;&lt;D xsi:type="xsd:double"&gt;1336.11&lt;/D&gt;&lt;D xsi:type="xsd:double"&gt;1321.42&lt;/D&gt;&lt;D xsi:type="xsd:double"&gt;1325.62&lt;/D&gt;&lt;D xsi:type="xsd:double"&gt;1331.07&lt;/D&gt;&lt;D xsi:type="xsd:double"&gt;1338.9&lt;/D&gt;&lt;D xsi:type="xsd:double"&gt;1334.45&lt;/D&gt;&lt;D xsi:type="xsd:double"&gt;1307.07&lt;/D&gt;&lt;D xsi:type="xsd:double"&gt;1314.39&lt;/D&gt;&lt;D xsi:type="xsd:double"&gt;1311.64&lt;/D&gt;&lt;D xsi:type="xsd:double"&gt;1317.56&lt;/D&gt;&lt;D xsi:type="xsd:double"&gt;1296.37&lt;/D&gt;&lt;D xsi:type="xsd:double"&gt;1283.2&lt;/D&gt;&lt;D xsi:type="xsd:double"&gt;1275.6&lt;/D&gt;&lt;D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xsi:type="xsd:double"&gt;1261.39&lt;/D&gt;&lt;D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xsi:type="xsd:double"&gt;1141.28&lt;/D&gt;&lt;/FQL&gt;&lt;FQL&gt;&lt;Q&gt;EWW^FG_PRICE(0,-200D)&lt;/Q&gt;&lt;R&gt;201&lt;/R&gt;&lt;C&gt;1&lt;/C&gt;&lt;D xsi:type="xsd:double"&gt;81.03&lt;/D&gt;&lt;D xsi:type="xsd:double"&gt;79.92&lt;/D&gt;&lt;D xsi:type="xsd:double"&gt;80.7&lt;/D&gt;&lt;D xsi:type="xsd:double"&gt;80.48&lt;/D&gt;&lt;D xsi:type="xsd:double"&gt;80.67&lt;/D&gt;&lt;D xsi:type="xsd:double"&gt;79.87&lt;/D&gt;&lt;D xsi:type="xsd:double"&gt;76.83&lt;/D&gt;&lt;D xsi:type="xsd:double"&gt;77.22&lt;/D&gt;&lt;D xsi:type="xsd:double"&gt;78.76&lt;/D&gt;&lt;D xsi:type="xsd:double"&gt;75.43&lt;/D&gt;&lt;D xsi:type="xsd:double"&gt;75.12&lt;/D&gt;&lt;D xsi:type="xsd:double"&gt;78.45&lt;/D&gt;&lt;D xsi:type="xsd:double"&gt;78.73&lt;/D&gt;&lt;D xsi:type="xsd:double"&gt;77.86&lt;/D&gt;&lt;D xsi:type="xsd:double"&gt;76.7&lt;/D&gt;&lt;D xsi:type="xsd:double"&gt;76.08&lt;/D&gt;&lt;D xsi:type="xsd:double"&gt;75.75&lt;/D&gt;&lt;D xsi:type="xsd:double"&gt;75.36&lt;/D&gt;&lt;D xsi:type="xsd:double"&gt;74.61&lt;/D&gt;&lt;D xsi:type="xsd:double"&gt;74&lt;/D&gt;&lt;D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xsi:type="xsd:double"&gt;69.49&lt;/D&gt;&lt;D xsi:type="xsd:double"&gt;70.51&lt;/D&gt;&lt;D xsi:type="xsd:double"&gt;71.15&lt;/D&gt;&lt;D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xsi:type="xsd:double"&gt;56.42&lt;/D&gt;&lt;/FQL&gt;&lt;FQL&gt;&lt;Q&gt;CNYA^FG_PRICE(0,-200D)&lt;/Q&gt;&lt;R&gt;201&lt;/R&gt;&lt;C&gt;1&lt;/C&gt;&lt;D xsi:type="xsd:double"&gt;35.3684&lt;/D&gt;&lt;D xsi:type="xsd:double"&gt;35.56&lt;/D&gt;&lt;D xsi:type="xsd:double"&gt;35.76&lt;/D&gt;&lt;D xsi:type="xsd:double"&gt;35.715&lt;/D&gt;&lt;D xsi:type="xsd:double"&gt;35.82&lt;/D&gt;&lt;D xsi:type="xsd:double"&gt;35.41&lt;/D&gt;&lt;D xsi:type="xsd:double"&gt;34.84&lt;/D&gt;&lt;D xsi:type="xsd:double"&gt;35.14&lt;/D&gt;&lt;D xsi:type="xsd:double"&gt;35&lt;/D&gt;&lt;D xsi:type="xsd:double"&gt;34.72&lt;/D&gt;&lt;D xsi:type="xsd:double"&gt;35.11&lt;/D&gt;&lt;D xsi:type="xsd:double"&gt;35.89&lt;/D&gt;&lt;D xsi:type="xsd:double"&gt;35.52&lt;/D&gt;&lt;D xsi:type="xsd:double"&gt;35.64&lt;/D&gt;&lt;D xsi:type="xsd:double"&gt;35.58&lt;/D&gt;&lt;D xsi:type="xsd:double"&gt;35.55&lt;/D&gt;&lt;D xsi:type="xsd:double"&gt;35.78&lt;/D&gt;&lt;D xsi:type="xsd:double"&gt;35.805&lt;/D&gt;&lt;D xsi:type="xsd:double"&gt;35.5&lt;/D&gt;&lt;D xsi:type="xsd:double"&gt;35.515&lt;/D&gt;&lt;D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xsi:type="xsd:double"&gt;34.59&lt;/D&gt;&lt;D xsi:type="xsd:double"&gt;34.37&lt;/D&gt;&lt;D xsi:type="xsd:double"&gt;34.71&lt;/D&gt;&lt;D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xsi:type="xsd:double"&gt;27.14&lt;/D&gt;&lt;/FQL&gt;&lt;FQL&gt;&lt;Q&gt;VNM^FG_TOTAL_RETURNC(-5AY,0,AM)&lt;/Q&gt;&lt;R&gt;61&lt;/R&gt;&lt;C&gt;1&lt;/C&gt;&lt;D xsi:type="xsd:double"&gt;-3.1199574&lt;/D&gt;&lt;D xsi:type="xsd:double"&gt;-1.2770653&lt;/D&gt;&lt;D xsi:type="xsd:double"&gt;6.917882&lt;/D&gt;&lt;D xsi:type="xsd:double"&gt;-2.4723768&lt;/D&gt;&lt;D xsi:type="xsd:double"&gt;7.8748584&lt;/D&gt;&lt;D xsi:type="xsd:double"&gt;-3.9500058&lt;/D&gt;&lt;D xsi:type="xsd:double"&gt;3.279543&lt;/D&gt;&lt;D xsi:type="xsd:double"&gt;-0.050401688&lt;/D&gt;&lt;D xsi:type="xsd:double"&gt;-1.1598587&lt;/D&gt;&lt;D xsi:type="xsd:double"&gt;5.663264&lt;/D&gt;&lt;D xsi:type="xsd:double"&gt;-0.14485121&lt;/D&gt;&lt;D xsi:type="xsd:double"&gt;0.74346066&lt;/D&gt;&lt;D xsi:type="xsd:double"&gt;-5.354553&lt;/D&gt;&lt;D xsi:type="xsd:double"&gt;-5.555558&lt;/D&gt;&lt;D xsi:type="xsd:double"&gt;1.1872649&lt;/D&gt;&lt;D xsi:type="xsd:double"&gt;-18.773335&lt;/D&gt;&lt;D xsi:type="xsd:double"&gt;-1.8384755&lt;/D&gt;&lt;D xsi:type="xsd:double"&gt;-4.949832&lt;/D&gt;&lt;D xsi:type="xsd:double"&gt;10.274458&lt;/D&gt;&lt;D xsi:type="xsd:double"&gt;-6.4454374&lt;/D&gt;&lt;D xsi:type="xsd:double"&gt;-14.597541&lt;/D&gt;&lt;D xsi:type="xsd:double"&gt;-10.463262&lt;/D&gt;&lt;D xsi:type="xsd:double"&gt;14.005351&lt;/D&gt;&lt;D xsi:type="xsd:double"&gt;-1.3512433&lt;/D&gt;&lt;D xsi:type="xsd:double"&gt;-5.044037&lt;/D&gt;&lt;D xsi:type="xsd:double"&gt;-1.4333904&lt;/D&gt;&lt;D xsi:type="xsd:double"&gt;4.6621084&lt;/D&gt;&lt;D xsi:type="xsd:double"&gt;2.0841837&lt;/D&gt;&lt;D xsi:type="xsd:double"&gt;6.8855166&lt;/D&gt;&lt;D xsi:type="xsd:double"&gt;4.8689127&lt;/D&gt;&lt;D xsi:type="xsd:double"&gt;8.3928585&lt;/D&gt;&lt;D xsi:type="xsd:double"&gt;1.021421&lt;/D&gt;&lt;D xsi:type="xsd:double"&gt;-10.632748&lt;/D&gt;&lt;D xsi:type="xsd:double"&gt;-4.306573&lt;/D&gt;&lt;D xsi:type="xsd:double"&gt;2.2120476&lt;/D&gt;&lt;D xsi:type="xsd:double"&gt;0.16807318&lt;/D&gt;&lt;D xsi:type="xsd:double"&gt;2.0424247&lt;/D&gt;&lt;D xsi:type="xsd:double"&gt;4.7729015&lt;/D&gt;&lt;D xsi:type="xsd:double"&gt;-2.5716364&lt;/D&gt;&lt;D xsi:type="xsd:double"&gt;-5.354452&lt;/D&gt;&lt;D xsi:type="xsd:double"&gt;2.9482007&lt;/D&gt;&lt;D xsi:type="xsd:double"&gt;-3.6377728&lt;/D&gt;&lt;D xsi:type="xsd:double"&gt;-4.658633&lt;/D&gt;&lt;D xsi:type="xsd:double"&gt;4.296553&lt;/D&gt;&lt;D xsi:type="xsd:double"&gt;2.180934&lt;/D&gt;&lt;D xsi:type="xsd:double"&gt;-6.87747&lt;/D&gt;&lt;D xsi:type="xsd:double"&gt;-0.42445064&lt;/D&gt;&lt;D xsi:type="xsd:double"&gt;-4.006815&lt;/D&gt;&lt;D xsi:type="xsd:double"&gt;2.0426273&lt;/D&gt;&lt;D xsi:type="xsd:double"&gt;8.268059&lt;/D&gt;&lt;D xsi:type="xsd:double"&gt;-4.581994&lt;/D&gt;&lt;D xsi:type="xsd:double"&gt;7.3294044&lt;/D&gt;&lt;D xsi:type="xsd:double"&gt;2.197802&lt;/D&gt;&lt;D xsi:type="xsd:double"&gt;16.897083&lt;/D&gt;&lt;D xsi:type="xsd:double"&gt;14.717472&lt;/D&gt;&lt;D xsi:type="xsd:double"&gt;2.9209614&lt;/D&gt;&lt;D xsi:type="xsd:double"&gt;9.015036&lt;/D&gt;&lt;D xsi:type="xsd:double"&gt;-11.077082&lt;/D&gt;&lt;D xsi:type="xsd:double"&gt;0.40183067&lt;/D&gt;&lt;D xsi:type="xsd:double"&gt;13.43869&lt;/D&gt;&lt;D xsi:type="xsd:double"&gt;-4.595959&lt;/D&gt;&lt;/FQL&gt;&lt;FQL&gt;&lt;Q&gt;EPHE^FG_TOTAL_RETURNC(-5AY,0,AM)&lt;/Q&gt;&lt;R&gt;61&lt;/R&gt;&lt;C&gt;1&lt;/C&gt;&lt;D xsi:type="xsd:double"&gt;-4.1843534&lt;/D&gt;&lt;D xsi:type="xsd:double"&gt;-5.094939&lt;/D&gt;&lt;D xsi:type="xsd:double"&gt;-2.6342094&lt;/D&gt;&lt;D xsi:type="xsd:double"&gt;-2.397263&lt;/D&gt;&lt;D xsi:type="xsd:double"&gt;11.878454&lt;/D&gt;&lt;D xsi:type="xsd:double"&gt;-6.0625196&lt;/D&gt;&lt;D xsi:type="xsd:double"&gt;-5.0084057&lt;/D&gt;&lt;D xsi:type=</t>
        </r>
      </text>
    </comment>
    <comment ref="A3" authorId="0" shapeId="0" xr:uid="{42E6E4D0-073F-46E1-8986-043F1F424B0D}">
      <text>
        <r>
          <rPr>
            <b/>
            <sz val="9"/>
            <color indexed="81"/>
            <rFont val="Tahoma"/>
            <charset val="1"/>
          </rPr>
          <t>"xsd:double"&gt;9.695684&lt;/D&gt;&lt;D xsi:type="xsd:double"&gt;2.6129007&lt;/D&gt;&lt;D xsi:type="xsd:double"&gt;5.1241755&lt;/D&gt;&lt;D xsi:type="xsd:double"&gt;-3.9843261&lt;/D&gt;&lt;D xsi:type="xsd:double"&gt;0.06251335&lt;/D&gt;&lt;D xsi:type="xsd:double"&gt;-0.15619993&lt;/D&gt;&lt;D xsi:type="xsd:double"&gt;-5.788481&lt;/D&gt;&lt;D xsi:type="xsd:double"&gt;0.19927025&lt;/D&gt;&lt;D xsi:type="xsd:double"&gt;-7.5903234&lt;/D&gt;&lt;D xsi:type="xsd:double"&gt;-2.2335231&lt;/D&gt;&lt;D xsi:type="xsd:double"&gt;-7.535267&lt;/D&gt;&lt;D xsi:type="xsd:double"&gt;10.036135&lt;/D&gt;&lt;D xsi:type="xsd:double"&gt;-5.3265214&lt;/D&gt;&lt;D xsi:type="xsd:double"&gt;-12.56262&lt;/D&gt;&lt;D xsi:type="xsd:double"&gt;10.577345&lt;/D&gt;&lt;D xsi:type="xsd:double"&gt;6.4312577&lt;/D&gt;&lt;D xsi:type="xsd:double"&gt;8.051168&lt;/D&gt;&lt;D xsi:type="xsd:double"&gt;-0.76601505&lt;/D&gt;&lt;D xsi:type="xsd:double"&gt;-8.175439&lt;/D&gt;&lt;D xsi:type="xsd:double"&gt;0.89797974&lt;/D&gt;&lt;D xsi:type="xsd:double"&gt;-0.28403997&lt;/D&gt;&lt;D xsi:type="xsd:double"&gt;-1.5201092&lt;/D&gt;&lt;D xsi:type="xsd:double"&gt;5.308342&lt;/D&gt;&lt;D xsi:type="xsd:double"&gt;-6.6345396&lt;/D&gt;&lt;D xsi:type="xsd:double"&gt;-2.500999&lt;/D&gt;&lt;D xsi:type="xsd:double"&gt;0.48860312&lt;/D&gt;&lt;D xsi:type="xsd:double"&gt;-1.0940075&lt;/D&gt;&lt;D xsi:type="xsd:double"&gt;4.260552&lt;/D&gt;&lt;D xsi:type="xsd:double"&gt;5.41656&lt;/D&gt;&lt;D xsi:type="xsd:double"&gt;1.3528705&lt;/D&gt;&lt;D xsi:type="xsd:double"&gt;3.9302945&lt;/D&gt;&lt;D xsi:type="xsd:double"&gt;-7.206565&lt;/D&gt;&lt;D xsi:type="xsd:double"&gt;-1.3071895&lt;/D&gt;&lt;D xsi:type="xsd:double"&gt;-4.6975017&lt;/D&gt;&lt;D xsi:type="xsd:double"&gt;5.103731&lt;/D&gt;&lt;D xsi:type="xsd:double"&gt;3.0398726&lt;/D&gt;&lt;D xsi:type="xsd:double"&gt;7.892716&lt;/D&gt;&lt;D xsi:type="xsd:double"&gt;1.7755628&lt;/D&gt;&lt;D xsi:type="xsd:double"&gt;-9.909285&lt;/D&gt;&lt;D xsi:type="xsd:double"&gt;-1.0457039&lt;/D&gt;&lt;D xsi:type="xsd:double"&gt;-2.8803706&lt;/D&gt;&lt;D xsi:type="xsd:double"&gt;-0.9756088&lt;/D&gt;&lt;D xsi:type="xsd:double"&gt;4.1871905&lt;/D&gt;&lt;D xsi:type="xsd:double"&gt;-1.6548455&lt;/D&gt;&lt;D xsi:type="xsd:double"&gt;12.41988&lt;/D&gt;&lt;D xsi:type="xsd:double"&gt;-1.4255166&lt;/D&gt;&lt;D xsi:type="xsd:double"&gt;-0.74713826&lt;/D&gt;&lt;D xsi:type="xsd:double"&gt;-1.51124&lt;/D&gt;&lt;D xsi:type="xsd:double"&gt;-3.443116&lt;/D&gt;&lt;D xsi:type="xsd:double"&gt;-1.9379854&lt;/D&gt;&lt;D xsi:type="xsd:double"&gt;-6.3636303&lt;/D&gt;&lt;D xsi:type="xsd:double"&gt;5.107641&lt;/D&gt;&lt;D xsi:type="xsd:double"&gt;6.2158346&lt;/D&gt;&lt;D xsi:type="xsd:double"&gt;2.782011&lt;/D&gt;&lt;/FQL&gt;&lt;FQL&gt;&lt;Q&gt;EWZ^FG_TOTAL_RETURNC(-5AY,0,AM)&lt;/Q&gt;&lt;R&gt;61&lt;/R&gt;&lt;C&gt;1&lt;/C&gt;&lt;D xsi:type="xsd:double"&gt;-3.4565926&lt;/D&gt;&lt;D xsi:type="xsd:double"&gt;-7.604766&lt;/D&gt;&lt;D xsi:type="xsd:double"&gt;1.0814071&lt;/D&gt;&lt;D xsi:type="xsd:double"&gt;9.895981&lt;/D&gt;&lt;D xsi:type="xsd:double"&gt;10.646379&lt;/D&gt;&lt;D xsi:type="xsd:double"&gt;-2.1588087&lt;/D&gt;&lt;D xsi:type="xsd:double"&gt;-6.188178&lt;/D&gt;&lt;D xsi:type="xsd:double"&gt;-4.4336376&lt;/D&gt;&lt;D xsi:type="xsd:double"&gt;-7.864213&lt;/D&gt;&lt;D xsi:type="xsd:double"&gt;-5.2502275&lt;/D&gt;&lt;D xsi:type="xsd:double"&gt;-1.5436232&lt;/D&gt;&lt;D xsi:type="xsd:double"&gt;1.9567847&lt;/D&gt;&lt;D xsi:type="xsd:double"&gt;12.95588&lt;/D&gt;&lt;D xsi:type="xsd:double"&gt;2.613771&lt;/D&gt;&lt;D xsi:type="xsd:double"&gt;12.67606&lt;/D&gt;&lt;D xsi:type="xsd:double"&gt;-15.186167&lt;/D&gt;&lt;D xsi:type="xsd:double"&gt;-4.666126&lt;/D&gt;&lt;D xsi:type="xsd:double"&gt;-9.545141&lt;/D&gt;&lt;D xsi:type="xsd:double"&gt;21.866667&lt;/D&gt;&lt;D xsi:type="xsd:double"&gt;-3.6573946&lt;/D&gt;&lt;D xsi:type="xsd:double"&gt;2.4659276&lt;/D&gt;&lt;D xsi:type="xsd:double"&gt;-2.9765666&lt;/D&gt;&lt;D xsi:type="xsd:double"&gt;-6.9134417&lt;/D&gt;&lt;D xsi:type="xsd:double"&gt;11.358488&lt;/D&gt;&lt;D xsi:type="xsd:double"&gt;-3.253138&lt;/D&gt;&lt;D xsi:type="xsd:double"&gt;-6.83012&lt;/D&gt;&lt;D xsi:type="xsd:double"&gt;10.225558&lt;/D&gt;&lt;D xsi:type="xsd:double"&gt;1.6371012&lt;/D&gt;&lt;D xsi:type="xsd:double"&gt;8.539856&lt;/D&gt;&lt;D xsi:type="xsd:double"&gt;3.4843206&lt;/D&gt;&lt;D xsi:type="xsd:double"&gt;-3.3670008&lt;/D&gt;&lt;D xsi:type="xsd:double"&gt;0.72853565&lt;/D&gt;&lt;D xsi:type="xsd:double"&gt;-4.937106&lt;/D&gt;&lt;D xsi:type="xsd:double"&gt;6.9467545&lt;/D&gt;&lt;D xsi:type="xsd:double"&gt;7.145059&lt;/D&gt;&lt;D xsi:type="xsd:double"&gt;2.7171135&lt;/D&gt;&lt;D xsi:type="xsd:double"&gt;-6.027955&lt;/D&gt;&lt;D xsi:type="xsd:double"&gt;1.2705326&lt;/D&gt;&lt;D xsi:type="xsd:double"&gt;-4.3145657&lt;/D&gt;&lt;D xsi:type="xsd:double"&gt;1.6309619&lt;/D&gt;&lt;D xsi:type="xsd:double"&gt;-11.309081&lt;/D&gt;&lt;D xsi:type="xsd:double"&gt;6.815684&lt;/D&gt;&lt;D xsi:type="xsd:double"&gt;2.7787328&lt;/D&gt;&lt;D xsi:type="xsd:double"&gt;-1.0347128&lt;/D&gt;&lt;D xsi:type="xsd:double"&gt;-4.4856668&lt;/D&gt;&lt;D xsi:type="xsd:double"&gt;-2.789545&lt;/D&gt;&lt;D xsi:type="xsd:double"&gt;-8.281875&lt;/D&gt;&lt;D xsi:type="xsd:double"&gt;-5.5531683&lt;/D&gt;&lt;D xsi:type="xsd:double"&gt;11.617708&lt;/D&gt;&lt;D xsi:type="xsd:double"&gt;-2.5923014&lt;/D&gt;&lt;D xsi:type="xsd:double"&gt;-0.443542&lt;/D&gt;&lt;D xsi:type="xsd:double"&gt;14.742804&lt;/D&gt;&lt;D xsi:type="xsd:double"&gt;-0.67067146&lt;/D&gt;&lt;D xsi:type="xsd:double"&gt;-0.38737655&lt;/D&gt;&lt;D xsi:type="xsd:double"&gt;2.3610592&lt;/D&gt;&lt;D xsi:type="xsd:double"&gt;6.564939&lt;/D&gt;&lt;D xsi:type="xsd:double"&gt;-2.8305054&lt;/D&gt;&lt;D xsi:type="xsd:double"&gt;13.022614&lt;/D&gt;&lt;D xsi:type="xsd:double"&gt;1.0309339&lt;/D&gt;&lt;D xsi:type="xsd:double"&gt;1.4468312&lt;/D&gt;&lt;D xsi:type="xsd:double"&gt;16.641129&lt;/D&gt;&lt;/FQL&gt;&lt;FQL&gt;&lt;Q&gt;EWQ^FG_PRICE(0,-200D)&lt;/Q&gt;&lt;R&gt;201&lt;/R&gt;&lt;C&gt;1&lt;/C&gt;&lt;D xsi:type="xsd:double"&gt;46.7&lt;/D&gt;&lt;D xsi:type="xsd:double"&gt;46.68&lt;/D&gt;&lt;D xsi:type="xsd:double"&gt;47.08&lt;/D&gt;&lt;D xsi:type="xsd:double"&gt;46.83&lt;/D&gt;&lt;D xsi:type="xsd:double"&gt;46.99&lt;/D&gt;&lt;D xsi:type="xsd:double"&gt;46.4&lt;/D&gt;&lt;D xsi:type="xsd:double"&gt;45.73&lt;/D&gt;&lt;D xsi:type="xsd:double"&gt;46.03&lt;/D&gt;&lt;D xsi:type="xsd:double"&gt;45.69&lt;/D&gt;&lt;D xsi:type="xsd:double"&gt;45.68&lt;/D&gt;&lt;D xsi:type="xsd:double"&gt;45.35&lt;/D&gt;&lt;D xsi:type="xsd:double"&gt;45.82&lt;/D&gt;&lt;D xsi:type="xsd:double"&gt;45.53&lt;/D&gt;&lt;D xsi:type="xsd:double"&gt;46.15&lt;/D&gt;&lt;D xsi:type="xsd:double"&gt;45.65&lt;/D&gt;&lt;D xsi:type="xsd:double"&gt;45.51&lt;/D&gt;&lt;D xsi:type="xsd:double"&gt;45.16&lt;/D&gt;&lt;D xsi:type="xsd:double"&gt;45.05&lt;/D&gt;&lt;D xsi:type="xsd:double"&gt;44.55&lt;/D&gt;&lt;D xsi:type="xsd:double"&gt;45.29&lt;/D&gt;&lt;D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xsi:type="xsd:double"&gt;45.14&lt;/D&gt;&lt;D xsi:type="xsd:double"&gt;44.99&lt;/D&gt;&lt;D xsi:type="xsd:double"&gt;45.18&lt;/D&gt;&lt;D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xsi:type="xsd:double"&gt;40.94&lt;/D&gt;&lt;/FQL&gt;&lt;FQL&gt;&lt;Q&gt;MCHI^FG_PRICE(0,-200D)&lt;/Q&gt;&lt;R&gt;201&lt;/R&gt;&lt;C&gt;1&lt;/C&gt;&lt;D xsi:type="xsd:double"&gt;60.35&lt;/D&gt;&lt;D xsi:type="xsd:double"&gt;60.58&lt;/D&gt;&lt;D xsi:type="xsd:double"&gt;61.93&lt;/D&gt;&lt;D xsi:type="xsd:double"&gt;61.99&lt;/D&gt;&lt;D xsi:type="xsd:double"&gt;61.97&lt;/D&gt;&lt;D xsi:type="xsd:double"&gt;61.67&lt;/D&gt;&lt;D xsi:type="xsd:double"&gt;60.1&lt;/D&gt;&lt;D xsi:type="xsd:double"&gt;60.31&lt;/D&gt;&lt;D xsi:type="xsd:double"&gt;61.07&lt;/D&gt;&lt;D xsi:type="xsd:double"&gt;61.61&lt;/D&gt;&lt;D xsi:type="xsd:double"&gt;62.4&lt;/D&gt;&lt;D xsi:type="xsd:double"&gt;64.23&lt;/D&gt;&lt;D xsi:type="xsd:double"&gt;63.91&lt;/D&gt;&lt;D xsi:type="xsd:double"&gt;63.29&lt;/D&gt;&lt;D xsi:type="xsd:double"&gt;62.66&lt;/D&gt;&lt;D xsi:type="xsd:double"&gt;62.74&lt;/D&gt;&lt;D xsi:type="xsd:double"&gt;62.78&lt;/D&gt;&lt;D xsi:type="xsd:double"&gt;62.49&lt;/D&gt;&lt;D xsi:type="xsd:double"&gt;61.65&lt;/D&gt;&lt;D xsi:type="xsd:double"&gt;62.52&lt;/D&gt;&lt;D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xsi:type="xsd:double"&gt;60.58&lt;/D&gt;&lt;D xsi:type="xsd:double"&gt;60.37&lt;/D&gt;&lt;D xsi:type="xsd:double"&gt;61.27&lt;/D&gt;&lt;D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xsi:type="xsd:double"&gt;51.68&lt;/D&gt;&lt;/FQL&gt;&lt;FQL&gt;&lt;Q&gt;EWM^FG_PRICE(0,-200D)&lt;/Q&gt;&lt;R&gt;201&lt;/R&gt;&lt;C&gt;1&lt;/C&gt;&lt;D xsi:type="xsd:double"&gt;29.72&lt;/D&gt;&lt;D xsi:type="xsd:double"&gt;29.71&lt;/D&gt;&lt;D xsi:type="xsd:double"&gt;29.98&lt;/D&gt;&lt;D xsi:type="xsd:double"&gt;29.69&lt;/D&gt;&lt;D xsi:type="xsd:double"&gt;29.83&lt;/D&gt;&lt;D xsi:type="xsd:double"&gt;29.57&lt;/D&gt;&lt;D xsi:type="xsd:double"&gt;29.18&lt;/D&gt;&lt;D xsi:type="xsd:double"&gt;29.49&lt;/D&gt;&lt;D xsi:type="xsd:double"&gt;29.42&lt;/D&gt;&lt;D xsi:type="xsd:double"&gt;29.32&lt;/D&gt;&lt;D xsi:type="xsd:double"&gt;29.18&lt;/D&gt;&lt;D xsi:type="xsd:double"&gt;29.27&lt;/D&gt;&lt;D xsi:type="xsd:double"&gt;29.84&lt;/D&gt;&lt;D xsi:type="xsd:double"&gt;30.06&lt;/D&gt;&lt;D xsi:type="xsd:double"&gt;29.5&lt;/D&gt;&lt;D xsi:type="xsd:double"&gt;28.78&lt;/D&gt;&lt;D xsi:type="xsd:double"&gt;28.43&lt;/D&gt;&lt;D xsi:type="xsd:double"&gt;28.26&lt;/D&gt;&lt;D xsi:type="xsd:double"&gt;27.88&lt;/D&gt;&lt;D xsi:type="xsd:double"&gt;28.17&lt;/D&gt;&lt;D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xsi:type="xsd:double"&gt;27.57&lt;/D&gt;&lt;D xsi:type="xsd:double"&gt;27.53&lt;/D&gt;&lt;D xsi:type="xsd:double"&gt;27.64&lt;/D&gt;&lt;D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xsi:type="xsd:double"&gt;23.7&lt;/D&gt;&lt;/FQL&gt;&lt;FQL&gt;&lt;Q&gt;EWI^FG_TOTAL_RETURNC(-5AY,0,AM)&lt;/Q&gt;&lt;R&gt;61&lt;/R&gt;&lt;C&gt;1&lt;/C&gt;&lt;D xsi:type="xsd:double"&gt;3.1687856&lt;/D&gt;&lt;D xsi:type="xsd:double"&gt;2.1985173&lt;/D&gt;&lt;D xsi:type="xsd:double"&gt;1.4235973&lt;/D&gt;&lt;D xsi:type="xsd:double"&gt;0.90454817&lt;/D&gt;&lt;D xsi:type="xsd:double"&gt;5.4745436&lt;/D&gt;&lt;D xsi:type="xsd:double"&gt;-4.924357&lt;/D&gt;&lt;D xsi:type="xsd:double"&gt;5.897033&lt;/D&gt;&lt;D xsi:type="xsd:double"&gt;-3.5061836&lt;/D&gt;&lt;D xsi:type="xsd:double"&gt;-1.1603057&lt;/D&gt;&lt;D xsi:type="xsd:double"&gt;4.788387&lt;/D&gt;&lt;D xsi:type="xsd:double"&gt;-5.12439&lt;/D&gt;&lt;D xsi:type="xsd:double"&gt;5.9249997&lt;/D&gt;&lt;D xsi:type="xsd:double"&gt;-4.403448&lt;/D&gt;&lt;D xsi:type="xsd:double"&gt;-16.433239&lt;/D&gt;&lt;D xsi:type="xsd:double"&gt;8.752335&lt;/D&gt;&lt;D xsi:type="xsd:double"&gt;-7.1575346&lt;/D&gt;&lt;D xsi:type="xsd:double"&gt;-7.3857727&lt;/D&gt;&lt;D xsi:type="xsd:double"&gt;-5.418718&lt;/D&gt;&lt;D xsi:type="xsd:double"&gt;10.28645&lt;/D&gt;&lt;D xsi:type="xsd:double"&gt;-6.8870544&lt;/D&gt;&lt;D xsi:type="xsd:double"&gt;-7.0160627&lt;/D&gt;&lt;D xsi:type="xsd:double"&gt;24.363636&lt;/D&gt;&lt;D xsi:type="xsd:double"&gt;2.6166677&lt;/D&gt;&lt;D xsi:type="xsd:double"&gt;7.0860505&lt;/D&gt;&lt;D xsi:type="xsd:double"&gt;3.2748103&lt;/D&gt;&lt;D xsi:type="xsd:double"&gt;-4.8708735&lt;/D&gt;&lt;D xsi:type="xsd:double"&gt;8.969069&lt;/D&gt;&lt;D xsi:type="xsd:double"&gt;-1.2298942&lt;/D&gt;&lt;D xsi:type="xsd:double"&gt;0.49101114&lt;/D&gt;&lt;D xsi:type="xsd:double"&gt;7.9752564&lt;/D&gt;&lt;D xsi:type="xsd:double"&gt;-3.708166&lt;/D&gt;&lt;D xsi:type="xsd:double"&gt;-2.0037591&lt;/D&gt;&lt;D xsi:type="xsd:double"&gt;-3.9297104&lt;/D&gt;&lt;D xsi:type="xsd:double"&gt;4.3565035&lt;/D&gt;&lt;D xsi:type="xsd:double"&gt;7.966864&lt;/D&gt;&lt;D xsi:type="xsd:double"&gt;1.2914896&lt;/D&gt;&lt;D xsi:type="xsd:double"&gt;-1.3573289&lt;/D&gt;&lt;D xsi:type="xsd:double"&gt;11.426867&lt;/D&gt;&lt;D xsi:type="xsd:double"&gt;-3.4362376&lt;/D&gt;&lt;D xsi:type="xsd:double"&gt;6.5332174&lt;/D&gt;&lt;D xsi:type="xsd:double"&gt;-2.8719366&lt;/D&gt;&lt;D xsi:type="xsd:double"&gt;3.9922953&lt;/D&gt;&lt;D xsi:type="xsd:double"&gt;-4.421502&lt;/D&gt;&lt;D xsi:type="xsd:double"&gt;5.5678725&lt;/D&gt;&lt;D xsi:type="xsd:double"&gt;0.5772829&lt;/D&gt;&lt;D xsi:type="xsd:double"&gt;-5.4787455&lt;/D&gt;&lt;D xsi:type="xsd:double"&gt;3.9194107&lt;/D&gt;&lt;D xsi:type="xsd:double"&gt;-2.3779988&lt;/D&gt;&lt;D xsi:type="xsd:double"&gt;11.104977&lt;/D&gt;&lt;D xsi:type="xsd:double"&gt;4.2764783&lt;/D&gt;&lt;D xsi:type="xsd:double"&gt;-3.3619463&lt;/D&gt;&lt;D xsi:type="xsd:double"&gt;13.496184&lt;/D&gt;&lt;D xsi:type="xsd:double"&gt;3.1086922&lt;/D&gt;&lt;D xsi:type="xsd:double"&gt;2.9415488&lt;/D&gt;&lt;D xsi:type="xsd:double"&gt;6.480515&lt;/D&gt;&lt;D xsi:type="xsd:double"&gt;1.2133121&lt;/D&gt;&lt;D xsi:type="xsd:double"&gt;-2.3588598&lt;/D&gt;&lt;D xsi:type="xsd:double"&gt;6.8910837&lt;/D&gt;&lt;D xsi:type="xsd:double"&gt;-0.5928099&lt;/D&gt;&lt;D xsi:type="xsd:double"&gt;3.4816504&lt;/D&gt;&lt;D xsi:type="xsd:double"&gt;1.3318777&lt;/D&gt;&lt;/FQL&gt;&lt;FQL&gt;&lt;Q&gt;TUR^FG_TOTAL_RETURNC(-5AY,0,AM)&lt;/Q&gt;&lt;R&gt;61&lt;/R&gt;&lt;C&gt;1&lt;/C&gt;&lt;D xsi:type="xsd:double"&gt;3.3970237&lt;/D&gt;&lt;D xsi:type="xsd:double"&gt;-5.236137&lt;/D&gt;&lt;D xsi:type="xsd:double"&gt;-16.28747&lt;/D&gt;&lt;D xsi:type="xsd:double"&gt;-1.2510836&lt;/D&gt;&lt;D xsi:type="xsd:double"&gt;5.718267&lt;/D&gt;&lt;D xsi:type="xsd:double"&gt;-10.085112&lt;/D&gt;&lt;D xsi:type="xsd:double"&gt;9.039295&lt;/D&gt;&lt;D xsi:type="xsd:double"&gt;-0.7378459&lt;/D&gt;&lt;D xsi:type="xsd:double"&gt;-7.826853&lt;/D&gt;&lt;D xsi:type="xsd:double"&gt;5.9772253&lt;/D&gt;&lt;D xsi:type="xsd:double"&gt;-7.916504&lt;/D&gt;&lt;D xsi:type="xsd:double"&gt;0.29298067&lt;/D&gt;&lt;D xsi:type="xsd:double"&gt;-1.7526805&lt;/D&gt;&lt;D xsi:type="xsd:double"&gt;-9.0188265&lt;/D&gt;&lt;D xsi:type="xsd:double"&gt;26.034855&lt;/D&gt;&lt;D xsi:type="xsd:double"&gt;-8.5133915&lt;/D&gt;&lt;D xsi:type="xsd:double"&gt;-7.314658&lt;/D&gt;&lt;D xsi:type="xsd:double"&gt;-4.926628&lt;/D&gt;&lt;D xsi:type="xsd:double"&gt;15.931654&lt;/D&gt;&lt;D xsi:type="xsd:double"&gt;11.887777&lt;/D&gt;&lt;D xsi:type="xsd:double"&gt;5.524862&lt;/D&gt;&lt;D xsi:type="xsd:double"&gt;20.982683&lt;/D&gt;&lt;D xsi:type="xsd:double"&gt;18.296968&lt;/D&gt;&lt;D xsi:type="xsd:double"&gt;-5.118781&lt;/D&gt;&lt;D xsi:type="xsd:double"&gt;-11.982113&lt;/D&gt;&lt;D xsi:type="xsd:double"&gt;22.62106&lt;/D&gt;&lt;D xsi:type="xsd:double"&gt;-4.5015097&lt;/D&gt;&lt;D xsi:type="xsd:double"&gt;-6.275308&lt;/D&gt;&lt;D xsi:type="xsd:double"&gt;-7.5584354&lt;/D&gt;&lt;D xsi:type="xsd:double"&gt;7.019365&lt;/D&gt;&lt;D xsi:type="xsd:double"&gt;16.284334&lt;/D&gt;&lt;D xsi:type="xsd:double"&gt;4.7513127&lt;/D&gt;&lt;D xsi:type="xsd:double"&gt;-0.92839&lt;/D&gt;&lt;D xsi:type="xsd:double"&gt;-9.665322&lt;/D&gt;&lt;D xsi:type="xsd:double"&gt;-0.80024004&lt;/D&gt;&lt;D xsi:type="xsd:double"&gt;2.0865798&lt;/D&gt;&lt;D xsi:type="xsd:double"&gt;10.085773&lt;/D&gt;&lt;D xsi:type="xsd:double"&gt;-4.9435797&lt;/D&gt;&lt;D xsi:type="xsd:double"&gt;7.885802&lt;/D&gt;&lt;D xsi:type="xsd:double"&gt;6.4448595&lt;/D&gt;&lt;D xsi:type="xsd:double"&gt;3.5550237&lt;/D&gt;&lt;D xsi:type="xsd:double"&gt;4.331088&lt;/D&gt;&lt;D xsi:type="xsd:double"&gt;-11.439115&lt;/D&gt;&lt;D xsi:type="xsd:double"&gt;-4.661459&lt;/D&gt;&lt;D xsi:type="xsd:double"&gt;-8.05791&lt;/D&gt;&lt;D xsi:type="xsd:double"&gt;3.8918614&lt;/D&gt;&lt;D xsi:type="xsd:double"&gt;7.835281&lt;/D&gt;&lt;D xsi:type="xsd:double"&gt;-5.222946&lt;/D&gt;&lt;D xsi:type="xsd:double"&gt;-0.28089285&lt;/D&gt;&lt;D xsi:type="xsd:double"&gt;6.7323923&lt;/D&gt;&lt;D xsi:type="xsd:double"&gt;-15.333855&lt;/D&gt;&lt;D xsi:type="xsd:double"&gt;1.184535&lt;/D&gt;&lt;D xsi:type="xsd:double"&gt;-5.2680197&lt;/D&gt;&lt;D xsi:type="xsd:double"&gt;9.511698&lt;/D&gt;&lt;D xsi:type="xsd:double"&gt;3.919208&lt;/D&gt;&lt;D xsi:type="xsd:double"&gt;-6.3823643&lt;/D&gt;&lt;D xsi:type="xsd:double"&gt;2.386117&lt;/D&gt;&lt;D xsi:type="xsd:double"&gt;-0.7869303&lt;/D&gt;&lt;D xsi:type="xsd:double"&gt;6.223309&lt;/D&gt;&lt;D xsi:type="xsd:double"&gt;9.478903&lt;/D&gt;&lt;D xsi:type="xsd:double"&gt;11.900353&lt;/D&gt;&lt;/FQL&gt;&lt;FQL&gt;&lt;Q&gt;ECH^FG_TOTAL_RETURNC(-5AY,0,AM)&lt;/Q&gt;&lt;R&gt;61&lt;/R&gt;&lt;C&gt;1&lt;/C&gt;&lt;D xsi:type="xsd:double"&gt;0.80845356&lt;/D&gt;&lt;D xsi:type="xsd:double"&gt;5.0586104&lt;/D&gt;&lt;D xsi:type="xsd:double"&gt;2.1432757&lt;/D&gt;&lt;D xsi:type="xsd:double"&gt;-9.859157&lt;/D&gt;&lt;D xsi:type="xsd:double"&gt;-4.462248&lt;/D&gt;&lt;D xsi:type="xsd:double"&gt;-6.8906965&lt;/D&gt;&lt;D xsi:type="xsd:double"&gt;1.968646&lt;/D&gt;&lt;D xsi:type="xsd:double"&gt;-1.7876267&lt;/D&gt;&lt;D xsi:type="xsd:double"&gt;-12.923187&lt;/D&gt;&lt;D xsi:type="xsd:double"&gt;13.712382&lt;/D&gt;&lt;D xsi:type="xsd:double"&gt;-10.763717&lt;/D&gt;&lt;D xsi:type="xsd:double"&gt;6.8523765&lt;/D&gt;&lt;D xsi:type="xsd:double"&gt;5.5356383&lt;/D&gt;&lt;D xsi:type="xsd:double"&gt;-0.7924497&lt;/D&gt;&lt;D xsi:type="xsd:double"&gt;7.9117537&lt;/D&gt;&lt;D xsi:type="xsd:double"&gt;-7.5784326&lt;/D&gt;&lt;D xsi:type="xsd:double"&gt;5.4397464&lt;/D&gt;&lt;D xsi:type="xsd:double"&gt;-14.070731&lt;/D&gt;&lt;D xsi:type="xsd:double"&gt;23.358143&lt;/D&gt;&lt;D xsi:type="xsd:double"&gt;-2.573198&lt;/D&gt;&lt;D xsi:type="xsd:double"&gt;-12.714028&lt;/D&gt;&lt;D xsi:type="xsd:double"&gt;14.774632&lt;/D&gt;&lt;D xsi:type="xsd:double"&gt;-0.18677711&lt;/D&gt;&lt;D xsi:type="xsd:double"&gt;2.242148&lt;/D&gt;&lt;D xsi:type="xsd:double"&gt;7.273388&lt;/D&gt;&lt;D xsi:type="xsd:double"&gt;-3.9523005&lt;/D&gt;&lt;D xsi:type="xsd:double"&gt;2.0219922&lt;/D&gt;&lt;D xsi:type="xsd:double"&gt;5.4937363&lt;/D&gt;&lt;D xsi:type="xsd:double"&gt;-1.7713726&lt;/D&gt;&lt;D xsi:type="xsd:double"&gt;6.803906&lt;/D&gt;&lt;D xsi:type="xsd:double"&gt;-3.67527&lt;/D&gt;&lt;D xsi:type="xsd:double"&gt;-8.258438&lt;/D&gt;&lt;D xsi:type="xsd:double"&gt;-7.8373375&lt;/D&gt;&lt;D xsi:type="xsd:double"&gt;-0.9225786&lt;/D&gt;&lt;D xsi:type="xsd:double"&gt;13.603234&lt;/D&gt;&lt;D xsi:type="xsd:double"&gt;-6.4942303&lt;/D&gt;&lt;D xsi:type="xsd:double"&gt;-6.060606&lt;/D&gt;&lt;D xsi:type="xsd:double"&gt;10.779905&lt;/D&gt;&lt;D xsi:type="xsd:double"&gt;-1.4006615&lt;/D&gt;&lt;D xsi:type="xsd:double"&gt;6.1682224&lt;/D&gt;&lt;D xsi:type="xsd:double"&gt;-3.259325&lt;/D&gt;&lt;D xsi:type="xsd:double"&gt;2.4271846&lt;/D&gt;&lt;D xsi:type="xsd:double"&gt;-5.9424043&lt;/D&gt;&lt;D xsi:type="xsd:double"&gt;0.5813956&lt;/D&gt;&lt;D xsi:type="xsd:double"&gt;3.0828476&lt;/D&gt;&lt;D xsi:type="xsd:double"&gt;-6.0934544&lt;/D&gt;&lt;D xsi:type="xsd:double"&gt;2.5477648&lt;/D&gt;&lt;D xsi:type="xsd:double"&gt;-2.0827591&lt;/D&gt;&lt;D xsi:type="xsd:double"&gt;15.9109&lt;/D&gt;&lt;D xsi:type="xsd:double"&gt;2.1276593&lt;/D&gt;&lt;D xsi:type="xsd:double"&gt;-4.6034994&lt;/D&gt;&lt;D xsi:type="xsd:double"&gt;14.688277&lt;/D&gt;&lt;D xsi:type="xsd:double"&gt;-2.2420168&lt;/D&gt;&lt;D xsi:type="xsd:double"&gt;-2.0754397&lt;/D&gt;&lt;D xsi:type="xsd:double"&gt;6.653559&lt;/D&gt;&lt;D xsi:type="xsd:double"&gt;2.0897388&lt;/D&gt;&lt;D xsi:type="xsd:double"&gt;-3.3112645&lt;/D&gt;&lt;D xsi:type="xsd:double"&gt;14.290166&lt;/D&gt;&lt;D xsi:type="xsd:double"&gt;8.362842&lt;/D&gt;&lt;D xsi:type="xsd:double"&gt;11.858379&lt;/D&gt;&lt;D xsi:type="xsd:double"&gt;-1.1953056&lt;/D&gt;&lt;/FQL&gt;&lt;FQL&gt;&lt;Q&gt;INDA^FG_PRICE(0,-200D)&lt;/Q&gt;&lt;R&gt;201&lt;/R&gt;&lt;C&gt;1&lt;/C&gt;&lt;D xsi:type="xsd:double"&gt;52.89&lt;/D&gt;&lt;D xsi:type="xsd:double"&gt;53.11&lt;/D&gt;&lt;D xsi:type="xsd:double"&gt;53.53&lt;/D&gt;&lt;D xsi:type="xsd:double"&gt;53.74&lt;/D&gt;&lt;D xsi:type="xsd:double"&gt;53.44&lt;/D&gt;&lt;D xsi:type="xsd:double"&gt;53.28&lt;/D&gt;&lt;D xsi:type="xsd:double"&gt;52.95&lt;/D&gt;&lt;D xsi:type="xsd:double"&gt;53.44&lt;/D&gt;&lt;D xsi:type="xsd:double"&gt;53.15&lt;/D&gt;&lt;D xsi:type="xsd:double"&gt;53.28&lt;/D&gt;&lt;D xsi:type="xsd:double"&gt;51.74&lt;/D&gt;&lt;D xsi:type="xsd:double"&gt;51.61&lt;/D&gt;&lt;D xsi:type="xsd:double"&gt;51.49&lt;/D&gt;&lt;D xsi:type="xsd:double"</t>
        </r>
      </text>
    </comment>
    <comment ref="A4" authorId="0" shapeId="0" xr:uid="{6ABC18DF-3617-4282-A3D9-F22DA46D62F2}">
      <text>
        <r>
          <rPr>
            <b/>
            <sz val="9"/>
            <color indexed="81"/>
            <rFont val="Tahoma"/>
            <charset val="1"/>
          </rPr>
          <t>&gt;51.69&lt;/D&gt;&lt;D xsi:type="xsd:double"&gt;51.44&lt;/D&gt;&lt;D xsi:type="xsd:double"&gt;51.24&lt;/D&gt;&lt;D xsi:type="xsd:double"&gt;51.795&lt;/D&gt;&lt;D xsi:type="xsd:double"&gt;51.55&lt;/D&gt;&lt;D xsi:type="xsd:double"&gt;51.73&lt;/D&gt;&lt;D xsi:type="xsd:double"&gt;52.85&lt;/D&gt;&lt;D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xsi:type="xsd:double"&gt;53.64&lt;/D&gt;&lt;D xsi:type="xsd:double"&gt;53.47&lt;/D&gt;&lt;D xsi:type="xsd:double"&gt;53.84&lt;/D&gt;&lt;D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xsi:type="xsd:double"&gt;53.54&lt;/D&gt;&lt;/FQL&gt;&lt;FQL&gt;&lt;Q&gt;SET-BKK^FG_TOTAL_RETURNC(-5AY,0,AM)&lt;/Q&gt;&lt;R&gt;61&lt;/R&gt;&lt;C&gt;1&lt;/C&gt;&lt;D xsi:type="xsd:double"&gt;-2.5179207&lt;/D&gt;&lt;D xsi:type="xsd:double"&gt;3.9672494&lt;/D&gt;&lt;D xsi:type="xsd:double"&gt;-1.7261922&lt;/D&gt;&lt;D xsi:type="xsd:double"&gt;0.4548669&lt;/D&gt;&lt;D xsi:type="xsd:double"&gt;5.712056&lt;/D&gt;&lt;D xsi:type="xsd:double"&gt;-4.0065765&lt;/D&gt;&lt;D xsi:type="xsd:double"&gt;-2.716124&lt;/D&gt;&lt;D xsi:type="xsd:double"&gt;6.8990827&lt;/D&gt;&lt;D xsi:type="xsd:double"&gt;0.6047368&lt;/D&gt;&lt;D xsi:type="xsd:double"&gt;-0.5901575&lt;/D&gt;&lt;D xsi:type="xsd:double"&gt;-0.49634576&lt;/D&gt;&lt;D xsi:type="xsd:double"&gt;3.333068&lt;/D&gt;&lt;D xsi:type="xsd:double"&gt;1.1416435&lt;/D&gt;&lt;D xsi:type="xsd:double"&gt;-2.4240792&lt;/D&gt;&lt;D xsi:type="xsd:double"&gt;0.98490715&lt;/D&gt;&lt;D xsi:type="xsd:double"&gt;-5.372864&lt;/D&gt;&lt;D xsi:type="xsd:double"&gt;0.9896636&lt;/D&gt;&lt;D xsi:type="xsd:double"&gt;-3.3286273&lt;/D&gt;&lt;D xsi:type="xsd:double"&gt;4.8784614&lt;/D&gt;&lt;D xsi:type="xsd:double"&gt;2.3935676&lt;/D&gt;&lt;D xsi:type="xsd:double"&gt;-6.038803&lt;/D&gt;&lt;D xsi:type="xsd:double"&gt;4.902041&lt;/D&gt;&lt;D xsi:type="xsd:double"&gt;-0.69504976&lt;/D&gt;&lt;D xsi:type="xsd:double"&gt;3.433156&lt;/D&gt;&lt;D xsi:type="xsd:double"&gt;-1.0013461&lt;/D&gt;&lt;D xsi:type="xsd:double"&gt;-5.5150805&lt;/D&gt;&lt;D xsi:type="xsd:double"&gt;1.2459755&lt;/D&gt;&lt;D xsi:type="xsd:double"&gt;-1.9665122&lt;/D&gt;&lt;D xsi:type="xsd:double"&gt;0.06725788&lt;/D&gt;&lt;D xsi:type="xsd:double"&gt;-4.376602&lt;/D&gt;&lt;D xsi:type="xsd:double"&gt;2.7536511&lt;/D&gt;&lt;D xsi:type="xsd:double"&gt;0.009775162&lt;/D&gt;&lt;D xsi:type="xsd:double"&gt;-5.5076838&lt;/D&gt;&lt;D xsi:type="xsd:double"&gt;-4.3853164&lt;/D&gt;&lt;D xsi:type="xsd:double"&gt;-2.1021843&lt;/D&gt;&lt;D xsi:type="xsd:double"&gt;4.091406&lt;/D&gt;&lt;D xsi:type="xsd:double"&gt;-1.5422404&lt;/D&gt;&lt;D xsi:type="xsd:double"&gt;-0.518775&lt;/D&gt;&lt;D xsi:type="xsd:double"&gt;0.8573413&lt;/D&gt;&lt;D xsi:type="xsd:double"&gt;-1.7101347&lt;/D&gt;&lt;D xsi:type="xsd:double"&gt;-4.4240417&lt;/D&gt;&lt;D xsi:type="xsd:double"&gt;1.5444636&lt;/D&gt;&lt;D xsi:type="xsd:double"&gt;-2.571243&lt;/D&gt;&lt;D xsi:type="xsd:double"&gt;9.755039&lt;/D&gt;&lt;D xsi:type="xsd:double"&gt;3.2090902&lt;/D&gt;&lt;D xsi:type="xsd:double"&gt;-1.2672603&lt;/D&gt;&lt;D xsi:type="xsd:double"&gt;-1.3641298&lt;/D&gt;&lt;D xsi:type="xsd:double"&gt;-5.401391&lt;/D&gt;&lt;D xsi:type="xsd:double"&gt;-5.1855507&lt;/D&gt;&lt;D xsi:type="xsd:double"&gt;-9.693092&lt;/D&gt;&lt;D xsi:type="xsd:double"&gt;-2.671516&lt;/D&gt;&lt;D xsi:type="xsd:double"&gt;7.59573&lt;/D&gt;&lt;D xsi:type="xsd:double"&gt;-7.550299&lt;/D&gt;&lt;D xsi:type="xsd:double"&gt;-0.13983846&lt;/D&gt;&lt;D xsi:type="xsd:double"&gt;13.941299&lt;/D&gt;&lt;D xsi:type="xsd:double"&gt;1.2673855&lt;/D&gt;&lt;D xsi:type="xsd:double"&gt;-0.51329136&lt;/D&gt;&lt;D xsi:type="xsd:double"&gt;0.035738945&lt;/D&gt;&lt;D xsi:type="xsd:double"&gt;-2.589631&lt;/D&gt;&lt;D xsi:type="xsd:double"&gt;-1.4990747&lt;/D&gt;&lt;D xsi:type="xsd:double"&gt;15.794539&lt;/D&gt;&lt;/FQL&gt;&lt;FQL&gt;&lt;Q&gt;KSA^FG_PRICE(0,-200D)&lt;/Q&gt;&lt;R&gt;201&lt;/R&gt;&lt;C&gt;1&lt;/C&gt;&lt;D xsi:type="xsd:double"&gt;39.16&lt;/D&gt;&lt;D xsi:type="xsd:double"&gt;38.94&lt;/D&gt;&lt;D xsi:type="xsd:double"&gt;39.19&lt;/D&gt;&lt;D xsi:type="xsd:double"&gt;39.23&lt;/D&gt;&lt;D xsi:type="xsd:double"&gt;39.46&lt;/D&gt;&lt;D xsi:type="xsd:double"&gt;39.75&lt;/D&gt;&lt;D xsi:type="xsd:double"&gt;39.22&lt;/D&gt;&lt;D xsi:type="xsd:double"&gt;39.63&lt;/D&gt;&lt;D xsi:type="xsd:double"&gt;39.57&lt;/D&gt;&lt;D xsi:type="xsd:double"&gt;39.79&lt;/D&gt;&lt;D xsi:type="xsd:double"&gt;39.86&lt;/D&gt;&lt;D xsi:type="xsd:double"&gt;39.87&lt;/D&gt;&lt;D xsi:type="xsd:double"&gt;40.14&lt;/D&gt;&lt;D xsi:type="xsd:double"&gt;40.12&lt;/D&gt;&lt;D xsi:type="xsd:double"&gt;39.61&lt;/D&gt;&lt;D xsi:type="xsd:double"&gt;39.01&lt;/D&gt;&lt;D xsi:type="xsd:double"&gt;38.93&lt;/D&gt;&lt;D xsi:type="xsd:double"&gt;38.3&lt;/D&gt;&lt;D xsi:type="xsd:double"&gt;37.94&lt;/D&gt;&lt;D xsi:type="xsd:double"&gt;37.83&lt;/D&gt;&lt;D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xsi:type="xsd:double"&gt;36.05&lt;/D&gt;&lt;D xsi:type="xsd:double"&gt;36.39&lt;/D&gt;&lt;D xsi:type="xsd:double"&gt;36.57&lt;/D&gt;&lt;D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xsi:type="xsd:double"&gt;40.74&lt;/D&gt;&lt;/FQL&gt;&lt;FQL&gt;&lt;Q&gt;EWC^FG_TOTAL_RETURNC(-5AY,0,AM)&lt;/Q&gt;&lt;R&gt;61&lt;/R&gt;&lt;C&gt;1&lt;/C&gt;&lt;D xsi:type="xsd:double"&gt;2.9108047&lt;/D&gt;&lt;D xsi:type="xsd:double"&gt;4.866171&lt;/D&gt;&lt;D xsi:type="xsd:double"&gt;1.7401457&lt;/D&gt;&lt;D xsi:type="xsd:double"&gt;3.4492612&lt;/D&gt;&lt;D xsi:type="xsd:double"&gt;4.8575044&lt;/D&gt;&lt;D xsi:type="xsd:double"&gt;-1.8244267&lt;/D&gt;&lt;D xsi:type="xsd:double"&gt;1.5620708&lt;/D&gt;&lt;D xsi:type="xsd:double"&gt;-0.9281337&lt;/D&gt;&lt;D xsi:type="xsd:double"&gt;2.1413207&lt;/D&gt;&lt;D xsi:type="xsd:double"&gt;4.821801&lt;/D&gt;&lt;D xsi:type="xsd:double"&gt;-6.479943&lt;/D&gt;&lt;D xsi:type="xsd:double"&gt;5.686426&lt;/D&gt;&lt;D xsi:type="xsd:double"&gt;-0.48680305&lt;/D&gt;&lt;D xsi:type="xsd:double"&gt;-0.82389116&lt;/D&gt;&lt;D xsi:type="xsd:double"&gt;3.3489108&lt;/D&gt;&lt;D xsi:type="xsd:double"&gt;-9.821653&lt;/D&gt;&lt;D xsi:type="xsd:double"&gt;-1.7802238&lt;/D&gt;&lt;D xsi:type="xsd:double"&gt;-5.6857166&lt;/D&gt;&lt;D xsi:type="xsd:double"&gt;9.784925&lt;/D&gt;&lt;D xsi:type="xsd:double"&gt;-5.463582&lt;/D&gt;&lt;D xsi:type="xsd:double"&gt;-8.902508&lt;/D&gt;&lt;D xsi:type="xsd:double"&gt;12.271714&lt;/D&gt;&lt;D xsi:type="xsd:double"&gt;-2.3359299&lt;/D&gt;&lt;D xsi:type="xsd:double"&gt;3.201902&lt;/D&gt;&lt;D xsi:type="xsd:double"&gt;2.6429176&lt;/D&gt;&lt;D xsi:type="xsd:double"&gt;-8.368313&lt;/D&gt;&lt;D xsi:type="xsd:double"&gt;8.39951&lt;/D&gt;&lt;D xsi:type="xsd:double"&gt;-1.9442141&lt;/D&gt;&lt;D xsi:type="xsd:double"&gt;-0.23495555&lt;/D&gt;&lt;D xsi:type="xsd:double"&gt;3.3750415&lt;/D&gt;&lt;D xsi:type="xsd:double"&gt;-1.6042769&lt;/D&gt;&lt;D xsi:type="xsd:double"&gt;-1.0297477&lt;/D&gt;&lt;D xsi:type="xsd:double"&gt;-4.104042&lt;/D&gt;&lt;D xsi:type="xsd:double"&gt;0.84388256&lt;/D&gt;&lt;D xsi:type="xsd:double"&gt;6.963539&lt;/D&gt;&lt;D xsi:type="xsd:double"&gt;2.835238&lt;/D&gt;&lt;D xsi:type="xsd:double"&gt;-2.809143&lt;/D&gt;&lt;D xsi:type="xsd:double"&gt;8.104277&lt;/D&gt;&lt;D xsi:type="xsd:double"&gt;-2.6212335&lt;/D&gt;&lt;D xsi:type="xsd:double"&gt;2.5841117&lt;/D&gt;&lt;D xsi:type="xsd:double"&gt;-3.0529082&lt;/D&gt;&lt;D xsi:type="xsd:double"&gt;5.491805&lt;/D&gt;&lt;D xsi:type="xsd:double"&gt;-0.4662037&lt;/D&gt;&lt;D xsi:type="xsd:double"&gt;5.4905057&lt;/D&gt;&lt;D xsi:type="xsd:double"&gt;2.6147008&lt;/D&gt;&lt;D xsi:type="xsd:double"&gt;1.2980819&lt;/D&gt;&lt;D xsi:type="xsd:double"&gt;-0.30849576&lt;/D&gt;&lt;D xsi:type="xsd:double"&gt;-3.8926244&lt;/D&gt;&lt;D xsi:type="xsd:double"&gt;6.7269087&lt;/D&gt;&lt;D xsi:type="xsd:double"&gt;-7.5729074&lt;/D&gt;&lt;D xsi:type="xsd:double"&gt;1.4503837&lt;/D&gt;&lt;D xsi:type="xsd:double"&gt;8.853781&lt;/D&gt;&lt;D xsi:type="xsd:double"&gt;5.7142854&lt;/D&gt;&lt;D xsi:type="xsd:double"&gt;1.217103&lt;/D&gt;&lt;D xsi:type="xsd:double"&gt;3.273356&lt;/D&gt;&lt;D xsi:type="xsd:double"&gt;4.114187&lt;/D&gt;&lt;D xsi:type="xsd:double"&gt;1.9959688&lt;/D&gt;&lt;D xsi:type="xsd:double"&gt;0.09883642&lt;/D&gt;&lt;D xsi:type="xsd:double"&gt;6.4178467&lt;/D&gt;&lt;D xsi:type="xsd:double"&gt;3.1992912&lt;/D&gt;&lt;D xsi:type="xsd:double"&gt;1.9049287&lt;/D&gt;&lt;/FQL&gt;&lt;FQL&gt;&lt;Q&gt;QAT^FG_TOTAL_RETURNC(-5AY,0,AM)&lt;/Q&gt;&lt;R&gt;61&lt;/R&gt;&lt;C&gt;1&lt;/C&gt;&lt;D xsi:type="xsd:double"&gt;-2.5974035&lt;/D&gt;&lt;D xsi:type="xsd:double"&gt;-1.2714624&lt;/D&gt;&lt;D xsi:type="xsd:double"&gt;3.2865882&lt;/D&gt;&lt;D xsi:type="xsd:double"&gt;1.778233&lt;/D&gt;&lt;D xsi:type="xsd:double"&gt;0.0039100647&lt;/D&gt;&lt;D xsi:type="xsd:double"&gt;0.17545223&lt;/D&gt;&lt;D xsi:type="xsd:double"&gt;1.5469313&lt;/D&gt;&lt;D xsi:type="xsd:double"&gt;1.9881248&lt;/D&gt;&lt;D xsi:type="xsd:double"&gt;4.7594905&lt;/D&gt;&lt;D xsi:type="xsd:double"&gt;2.80329&lt;/D&gt;&lt;D xsi:type="xsd:double"&gt;-4.400319&lt;/D&gt;&lt;D xsi:type="xsd:double"&gt;5.5466175&lt;/D&gt;&lt;D xsi:type="xsd:double"&gt;8.691597&lt;/D&gt;&lt;D xsi:type="xsd:double"&gt;2.1496177&lt;/D&gt;&lt;D xsi:type="xsd:double"&gt;5.8080792&lt;/D&gt;&lt;D xsi:type="xsd:double"&gt;-6.483686&lt;/D&gt;&lt;D xsi:type="xsd:double"&gt;-6.0485363&lt;/D&gt;&lt;D xsi:type="xsd:double"&gt;-6.1826706&lt;/D&gt;&lt;D xsi:type="xsd:double"&gt;16.12581&lt;/D&gt;&lt;D xsi:type="xsd:double"&gt;-4.471201&lt;/D&gt;&lt;D xsi:type="xsd:double"&gt;-2.025199&lt;/D&gt;&lt;D xsi:type="xsd:double"&gt;1.9586563&lt;/D&gt;&lt;D xsi:type="xsd:double"&gt;-13.402057&lt;/D&gt;&lt;D xsi:type="xsd:double"&gt;-0.15707016&lt;/D&gt;&lt;D xsi:type="xsd:double"&gt;-5.558467&lt;/D&gt;&lt;D xsi:type="xsd:double"&gt;0.8328676&lt;/D&gt;&lt;D xsi:type="xsd:double"&gt;0&lt;/D&gt;&lt;D xsi:type="xsd:double"&gt;5.947137&lt;/D&gt;&lt;D xsi:type="xsd:double"&gt;-2.2310734&lt;/D&gt;&lt;D xsi:type="xsd:double"&gt;-0.71823597&lt;/D&gt;&lt;D xsi:type="xsd:double"&gt;2.6711226&lt;/D&gt;&lt;D xsi:type="xsd:double"&gt;-3.6856413&lt;/D&gt;&lt;D xsi:type="xsd:double"&gt;-3.9392292&lt;/D&gt;&lt;D xsi:type="xsd:double"&gt;0.820148&lt;/D&gt;&lt;D xsi:type="xsd:double"&gt;-2.1499038&lt;/D&gt;&lt;D xsi:type="xsd:double"&gt;6.8883657&lt;/D&gt;&lt;D xsi:type="xsd:double"&gt;-4.7777834&lt;/D&gt;&lt;D xsi:type="xsd:double"&gt;5.309212&lt;/D&gt;&lt;D xsi:type="xsd:double"&gt;-4.099721&lt;/D&gt;&lt;D xsi:type="xsd:double"&gt;-0.4043877&lt;/D&gt;&lt;D xsi:type="xsd:double"&gt;-0.15906692&lt;/D&gt;&lt;D xsi:type="xsd:double"&gt;5.656934&lt;/D&gt;&lt;D xsi:type="xsd:double"&gt;-0.2302885&lt;/D&gt;&lt;D xsi:type="xsd:double"&gt;4.6739697&lt;/D&gt;&lt;D xsi:type="xsd:double"&gt;1.2127995&lt;/D&gt;&lt;D xsi:type="xsd:double"&gt;0.054466724&lt;/D&gt;&lt;D xsi:type="xsd:double"&gt;-0.59880614&lt;/D&gt;&lt;D xsi:type="xsd:double"&gt;-2.800709&lt;/D&gt;&lt;D xsi:type="xsd:double"&gt;3.2627463&lt;/D&gt;&lt;D xsi:type="xsd:double"&gt;-0.5543232&lt;/D&gt;&lt;D xsi:type="xsd:double"&gt;-1.8394649&lt;/D&gt;&lt;D xsi:type="xsd:double"&gt;6.5036893&lt;/D&gt;&lt;D xsi:type="xsd:double"&gt;-2.9607594&lt;/D&gt;&lt;D xsi:type="xsd:double"&gt;5.386555&lt;/D&gt;&lt;D xsi:type="xsd:double"&gt;9.770417&lt;/D&gt;&lt;D xsi:type="xsd:double"&gt;-4.9610853&lt;/D&gt;&lt;D xsi:type="xsd:double"&gt;-1.4585555&lt;/D&gt;&lt;D xsi:type="xsd:double"&gt;-0.025963783&lt;/D&gt;&lt;D xsi:type="xsd:double"&gt;0.36363602&lt;/D&gt;&lt;D xsi:type="xsd:double"&gt;3.2553434&lt;/D&gt;&lt;D xsi:type="xsd:double"&gt;1.9619584&lt;/D&gt;&lt;/FQL&gt;&lt;FQL&gt;&lt;Q&gt;EWT^FG_TOTAL_RETURNC(-5AY,0,AM)&lt;/Q&gt;&lt;R&gt;61&lt;/R&gt;&lt;C&gt;1&lt;/C&gt;&lt;D xsi:type="xsd:double"&gt;3.3966184&lt;/D&gt;&lt;D xsi:type="xsd:double"&gt;-1.6846359&lt;/D&gt;&lt;D xsi:type="xsd:double"&gt;4.1466713&lt;/D&gt;&lt;D xsi:type="xsd:double"&gt;-4.4257936&lt;/D&gt;&lt;D xsi:type="xsd:double"&gt;9.34757&lt;/D&gt;&lt;D xsi:type="xsd:double"&gt;1.4798522&lt;/D&gt;&lt;D xsi:type="xsd:double"&gt;-2.6217818&lt;/D&gt;&lt;D xsi:type="xsd:double"&gt;4.2854786&lt;/D&gt;&lt;D xsi:type="xsd:double"&gt;-7.959056&lt;/D&gt;&lt;D xsi:type="xsd:double"&gt;8.348549&lt;/D&gt;&lt;D xsi:type="xsd:double"&gt;0.64377785&lt;/D&gt;&lt;D xsi:type="xsd:double"&gt;5.896151&lt;/D&gt;&lt;D xsi:type="xsd:double"&gt;-3.6183655&lt;/D&gt;&lt;D xsi:type="xsd:double"&gt;-7.4471354&lt;/D&gt;&lt;D xsi:type="xsd:double"&gt;-0.7450342&lt;/D&gt;&lt;D xsi:type="xsd:double"&gt;-10.09174&lt;/D&gt;&lt;D xsi:type="xsd:double"&gt;-1.3172567&lt;/D&gt;&lt;D xsi:type="xsd:double"&gt;-7.802212&lt;/D&gt;&lt;D xsi:type="xsd:double"&gt;8.095431&lt;/D&gt;&lt;D xsi:type="xsd:double"&gt;-9.866065&lt;/D&gt;&lt;D xsi:type="xsd:double"&gt;-10.485554&lt;/D&gt;&lt;D xsi:type="xsd:double"&gt;12.43862&lt;/D&gt;&lt;D xsi:type="xsd:double"&gt;2.9270768&lt;/D&gt;&lt;D xsi:type="xsd:double"&gt;3.12351&lt;/D&gt;&lt;D xsi:type="xsd:double"&gt;4.4855475&lt;/D&gt;&lt;D xsi:type="xsd:double"&gt;-2.9652596&lt;/D&gt;&lt;D xsi:type="xsd:double"&gt;3.10148&lt;/D&gt;&lt;D xsi:type="xsd:double"&gt;-4.2026043&lt;/D&gt;&lt;D xsi:type="xsd:double"&gt;12.537516&lt;/D&gt;&lt;D xsi:type="xsd:double"&gt;0.061547756&lt;/D&gt;&lt;D xsi:type="xsd:double"&gt;-6.1103106&lt;/D&gt;&lt;D xsi:type="xsd:double"&gt;-0.21839142&lt;/D&gt;&lt;D xsi:type="xsd:double"&gt;-0.39396286&lt;/D&gt;&lt;D xsi:type="xsd:double"&gt;1.1645794&lt;/D&gt;&lt;D xsi:type="xsd:double"&gt;7.428324&lt;/D&gt;&lt;D xsi:type="xsd:double"&gt;0.50998926&lt;/D&gt;&lt;D xsi:type="xsd:double"&gt;3.3786893&lt;/D&gt;&lt;D xsi:type="xsd:double"&gt;6.8874717&lt;/D&gt;&lt;D xsi:type="xsd:double"&gt;-0.7387638&lt;/D&gt;&lt;D xsi:type="xsd:double"&gt;2.4602056&lt;/D&gt;&lt;D xsi:type="xsd:double"&gt;6.21469&lt;/D&gt;&lt;D xsi:type="xsd:double"&gt;7.9217315&lt;/D&gt;&lt;D xsi:type="xsd:double"&gt;-6.671363&lt;/D&gt;&lt;D xsi:type="xsd:double"&gt;-0.88645816&lt;/D&gt;&lt;D xsi:type="xsd:double"&gt;4.8334956&lt;/D&gt;&lt;D xsi:type="xsd:double"&gt;-1.8333614&lt;/D&gt;&lt;D xsi:type="xsd:double"&gt;1.0539889&lt;/D&gt;&lt;D xsi:type="xsd:double"&gt;-5.0082803&lt;/D&gt;&lt;D xsi:type="xsd:double"&gt;5.172062&lt;/D&gt;&lt;D xsi:type="xsd:double"&gt;-6.128234&lt;/D&gt;&lt;D xsi:type="xsd:double"&gt;-8.079797&lt;/D&gt;&lt;D xsi:type="xsd:double"&gt;16.790878&lt;/D&gt;&lt;D xsi:type="xsd:double"&gt;4.8235774&lt;/D&gt;&lt;D xsi:type="xsd:double"&gt;4.386747&lt;/D&gt;&lt;D xsi:type="xsd:double"&gt;4.682672&lt;/D&gt;&lt;D xsi:type="xsd:double"&gt;2.949369&lt;/D&gt;&lt;D xsi:type="xsd:double"&gt;2.7534604&lt;/D&gt;&lt;D xsi:type="xsd:double"&gt;-0.8828938&lt;/D&gt;&lt;D xsi:type="xsd:double"&gt;0.1718998&lt;/D&gt;&lt;D xsi:type="xsd:double"&gt;7.871461&lt;/D&gt;&lt;D xsi:type="xsd:double"&gt;10.514379&lt;/D&gt;&lt;/FQL&gt;&lt;FQL&gt;&lt;Q&gt;EZA^FG_PRICE(0,-200D)&lt;/Q&gt;&lt;R&gt;201&lt;/R&gt;&lt;C&gt;1&lt;/C&gt;&lt;D xsi:type="xsd:double"&gt;75.32&lt;/D&gt;&lt;D xsi:type="xsd:double"&gt;74.15&lt;/D&gt;&lt;D xsi:type="xsd:double"&gt;76.53&lt;/D&gt;&lt;D xsi:type="xsd:double"&gt;75.41&lt;/D&gt;&lt;D xsi:type="xsd:double"&gt;75.72&lt;/D&gt;&lt;D xsi:type="xsd:double"&gt;74.77&lt;/D&gt;&lt;D xsi:type="xsd:double"&gt;71.6&lt;/D&gt;&lt;D xsi:type="xsd:double"&gt;73.98&lt;/D&gt;&lt;D xsi:type="xsd:double"&gt;74.56&lt;/D&gt;&lt;D xsi:type="xsd:double"&gt;73.25&lt;/D&gt;&lt;D xsi:type="xsd:double"&gt;73.2&lt;/D&gt;&lt;D xsi:type="xsd:double"&gt;79.58&lt;/D&gt;&lt;D xsi:type="xsd:double"&gt;80.14&lt;/D&gt;&lt;D xsi:type="xsd:double"&gt;79.02&lt;/D&gt;&lt;D xsi:type="xsd:double"&gt;77.38&lt;/D&gt;&lt;D xsi:type="xsd:double"&gt;76.34&lt;/D&gt;&lt;D xsi:type="xsd:double"&gt;75.56&lt;/D&gt;&lt;D xsi:type="xsd:double"&gt;73.52&lt;/D&gt;&lt;D xsi:type="xsd:double"&gt;73.44&lt;/D&gt;&lt;D xsi:type="xsd:double"&gt;72.78&lt;/D&gt;&lt;D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xsi:type="xsd:double"&gt;69.23&lt;/D&gt;&lt;D xsi:type="xsd:double"&gt;68.43&lt;/D&gt;&lt;D xsi:type="xsd:double"&gt;70.31&lt;/D&gt;&lt;D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xsi:type="xsd:double"&gt;49.14&lt;/D&gt;&lt;/FQL&gt;&lt;FQL&gt;&lt;Q&gt;EWA^FG_TOTAL_RETURNC(-5AY,0,AM)&lt;/Q&gt;&lt;R&gt;61&lt;/R&gt;&lt;C&gt;1&lt;/C&gt;&lt;D xsi:type="xsd:double"&gt;2.655232&lt;/D&gt;&lt;D xsi:type="xsd:double"&gt;0.03979206&lt;/D&gt;&lt;D xsi:type="xsd:double"&gt;1.6308665&lt;/D&gt;&lt;D xsi:type="xsd:double"&gt;2.7397275&lt;/D&gt;&lt;D xsi:type="xsd:double"&gt;4.252124&lt;/D&gt;&lt;D xsi:type="xsd:double"&gt;-3.9273798&lt;/D&gt;&lt;D xsi:type="xsd:double"&gt;2.6224494&lt;/D&gt;&lt;D xsi:type="xsd:double"&gt;-2.25479&lt;/D&gt;&lt;D xsi:type="xsd:double"&gt;-0.9996176&lt;/D&gt;&lt;D xsi:type="xsd:double"&gt;1.2427211&lt;/D&gt;&lt;D xsi:type="xsd:double"&gt;-4.2327223&lt;/D&gt;&lt;D xsi:type="xsd:double"&gt;3.285253&lt;/D&gt;&lt;D xsi:type="xsd:double"&gt;-4.903537&lt;/D&gt;&lt;D xsi:type="xsd:double"&gt;3.0431032&lt;/D&gt;&lt;D xsi:type="xsd:double"&gt;8.69565&lt;/D&gt;&lt;D xsi:type="xsd:double"&gt;-10.8301935&lt;/D&gt;&lt;D xsi:type="xsd:double"&gt;-6.4676642&lt;/D&gt;&lt;D xsi:type="xsd:double"&gt;-2.5221825&lt;/D&gt;&lt;D xsi:type="xsd:double"&gt;11.403931&lt;/D&gt;&lt;D xsi:type="xsd:double"&gt;-7.0107517&lt;/D&gt;&lt;D xsi:type="xsd:double"&gt;-7.076782&lt;/D&gt;&lt;D xsi:type="xsd:double"&gt;13.489294&lt;/D&gt;&lt;D xsi:type="xsd:double"&gt;3.2024503&lt;/D&gt;&lt;D xsi:type="xsd:double"&gt;3.9393902&lt;/D&gt;&lt;D xsi:type="xsd:double"&gt;1.9158602&lt;/D&gt;&lt;D xsi:type="xsd:double"&gt;-9.644455&lt;/D&gt;&lt;D xsi:type="xsd:double"&gt;7.1460843&lt;/D&gt;&lt;D xsi:type="xsd:double"&gt;-3.3769548&lt;/D&gt;&lt;D xsi:type="xsd:double"&gt;1.1779547&lt;/D&gt;&lt;D xsi:type="xsd:double"&gt;3.079629&lt;/D&gt;&lt;D xsi:type="xsd:double"&gt;-5.036277&lt;/D&gt;&lt;D xsi:type="xsd:double"&gt;-1.5730381&lt;/D&gt;&lt;D xsi:type="xsd:double"&gt;-3.3789933&lt;/D&gt;&lt;D xsi:type="xsd:double"&gt;1.5595436&lt;/D&gt;&lt;D xsi:type="xsd:double"&gt;9.911596&lt;/D&gt;&lt;D xsi:type="xsd:double"&gt;2.4492145&lt;/D&gt;&lt;D xsi:type="xsd:double"&gt;-3.078866&lt;/D&gt;&lt;D xsi:type="xsd:double"&gt;7.006097&lt;/D&gt;&lt;D xsi:type="xsd:double"&gt;-2.8060198&lt;/D&gt;&lt;D xsi:type="xsd:double"&gt;2.594149&lt;/D&gt;&lt;D xsi:type="xsd:double"&gt;0.86758137&lt;/D&gt;&lt;D xsi:type="xsd:double"&gt;5.6471467&lt;/D&gt;&lt;D xsi:type="xsd:double"&gt;-3.9016783&lt;/D&gt;&lt;D xsi:type="xsd:double"&gt;5.3999186&lt;/D&gt;&lt;D xsi:type="xsd:double"&gt;2.0801306&lt;/D&gt;&lt;D xsi:type="xsd:double"&gt;-3.7358463&lt;/D&gt;&lt;D xsi:type="xsd:double"&gt;-1.6072094&lt;/D&gt;&lt;D xsi:type="xsd:double"&gt;-3.2629192&lt;/D&gt;&lt;D xsi:type="xsd:double"&gt;7.4539423&lt;/D&gt;&lt;D xsi:type="xsd:double"&gt;-10.288382&lt;/D&gt;&lt;D xsi:type="xsd:double"&gt;-1.0860145&lt;/D&gt;&lt;D xsi:type="xsd:double"&gt;11.638117&lt;/D&gt;&lt;D xsi:type="xsd:double"&gt;3.540516&lt;/D&gt;&lt;D xsi:type="xsd:double"&gt;1.6772509&lt;/D&gt;&lt;D xsi:type="xsd:double"&gt;2.0864964&lt;/D&gt;&lt;D xsi:type="xsd:double"&gt;1.226306&lt;/D&gt;&lt;D xsi:type="xsd:double"&gt;-2.129221&lt;/D&gt;&lt;D xsi:type="xsd:double"&gt;-2.7006745&lt;/D&gt;&lt;D xsi:type="xsd:double"&gt;2.2359252&lt;/D&gt;&lt;D xsi:type="xsd:double"&gt;1.296246&lt;/D&gt;&lt;D xsi:type="xsd:double"&gt;10.412717&lt;/D&gt;&lt;/FQL&gt;&lt;FQL&gt;&lt;Q&gt;UAE^FG_PRICE(0,-200D)&lt;/Q&gt;&lt;R&gt;201&lt;/R&gt;&lt;C&gt;1&lt;/C&gt;&lt;D xsi:type="xsd:double"&gt;21.94&lt;/D&gt;&lt;D xsi:type="xsd:double"&gt;21.89&lt;/D&gt;&lt;D xsi:type="xsd:double"&gt;21.83&lt;/D&gt;&lt;D xsi:type="xsd:double"&gt;21.9&lt;/D&gt;&lt;D xsi:type="xsd:double"&gt;21.89&lt;/D&gt;&lt;D xsi:type="xsd:double"&gt;21.73&lt;/D&gt;&lt;D xsi:type="xsd:double"&gt;21.39&lt;/D&gt;&lt;D xsi:type="xsd:double"&gt;21.29&lt;/D&gt;&lt;D xsi:type="xsd:double"&gt;21.11&lt;/D&gt;&lt;D xsi:type="xsd:double"&gt;20.94&lt;/D&gt;&lt;D xsi:type="xsd:double"&gt;20.49&lt;/D&gt;&lt;D xsi:type="xsd:double"&gt;20.66&lt;/D&gt;&lt;D xsi:type="xsd:double"&gt;20.75&lt;/D&gt;&lt;D xsi:type="xsd:double"&gt;20.71&lt;/D&gt;&lt;D xsi:type="xsd:double"&gt;20.41&lt;/D&gt;&lt;D xsi:type="xsd:double"&gt;20.46&lt;/D&gt;&lt;D xsi:type="xsd:double"&gt;20.62&lt;/D&gt;&lt;D xsi:type="xsd:double"&gt;20.3&lt;/D&gt;&lt;D xsi:type="xsd:double"&gt;20.09&lt;</t>
        </r>
      </text>
    </comment>
    <comment ref="A5" authorId="0" shapeId="0" xr:uid="{04DDB1B9-4B18-478B-A2D8-F6B03B577D93}">
      <text>
        <r>
          <rPr>
            <b/>
            <sz val="9"/>
            <color indexed="81"/>
            <rFont val="Tahoma"/>
            <charset val="1"/>
          </rPr>
          <t>/D&gt;&lt;D xsi:type="xsd:double"&gt;19.87&lt;/D&gt;&lt;D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xsi:type="xsd:double"&gt;19.05&lt;/D&gt;&lt;D xsi:type="xsd:double"&gt;19.6&lt;/D&gt;&lt;D xsi:type="xsd:double"&gt;19.54&lt;/D&gt;&lt;D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xsi:type="xsd:double"&gt;17.99&lt;/D&gt;&lt;/FQL&gt;&lt;FQL&gt;&lt;Q&gt;EWI^FG_PRICE(0,-200D)&lt;/Q&gt;&lt;R&gt;201&lt;/R&gt;&lt;C&gt;1&lt;/C&gt;&lt;D xsi:type="xsd:double"&gt;55.54&lt;/D&gt;&lt;D xsi:type="xsd:double"&gt;56.52&lt;/D&gt;&lt;D xsi:type="xsd:double"&gt;56.98&lt;/D&gt;&lt;D xsi:type="xsd:double"&gt;57.32&lt;/D&gt;&lt;D xsi:type="xsd:double"&gt;57.61&lt;/D&gt;&lt;D xsi:type="xsd:double"&gt;56.28&lt;/D&gt;&lt;D xsi:type="xsd:double"&gt;55.7&lt;/D&gt;&lt;D xsi:type="xsd:double"&gt;56.95&lt;/D&gt;&lt;D xsi:type="xsd:double"&gt;56.93&lt;/D&gt;&lt;D xsi:type="xsd:double"&gt;56.37&lt;/D&gt;&lt;D xsi:type="xsd:double"&gt;55.88&lt;/D&gt;&lt;D xsi:type="xsd:double"&gt;56.17&lt;/D&gt;&lt;D xsi:type="xsd:double"&gt;55.83&lt;/D&gt;&lt;D xsi:type="xsd:double"&gt;56.63&lt;/D&gt;&lt;D xsi:type="xsd:double"&gt;55.39&lt;/D&gt;&lt;D xsi:type="xsd:double"&gt;54.91&lt;/D&gt;&lt;D xsi:type="xsd:double"&gt;54.77&lt;/D&gt;&lt;D xsi:type="xsd:double"&gt;54.44&lt;/D&gt;&lt;D xsi:type="xsd:double"&gt;54.02&lt;/D&gt;&lt;D xsi:type="xsd:double"&gt;54.92&lt;/D&gt;&lt;D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xsi:type="xsd:double"&gt;54.59&lt;/D&gt;&lt;D xsi:type="xsd:double"&gt;54.16&lt;/D&gt;&lt;D xsi:type="xsd:double"&gt;54.62&lt;/D&gt;&lt;D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xsi:type="xsd:double"&gt;44.67&lt;/D&gt;&lt;/FQL&gt;&lt;FQL&gt;&lt;Q&gt;QQQ^FG_TOTAL_RETURNC(-5AY,0,AM)&lt;/Q&gt;&lt;R&gt;61&lt;/R&gt;&lt;C&gt;1&lt;/C&gt;&lt;D xsi:type="xsd:double"&gt;6.458044&lt;/D&gt;&lt;D xsi:type="xsd:double"&gt;-6.238675&lt;/D&gt;&lt;D xsi:type="xsd:double"&gt;8.103073&lt;/D&gt;&lt;D xsi:type="xsd:double"&gt;-6.2419295&lt;/D&gt;&lt;D xsi:type="xsd:double"&gt;6.857896&lt;/D&gt;&lt;D xsi:type="xsd:double"&gt;6.329155&lt;/D&gt;&lt;D xsi:type="xsd:double"&gt;1.7659068&lt;/D&gt;&lt;D xsi:type="xsd:double"&gt;2.0362139&lt;/D&gt;&lt;D xsi:type="xsd:double"&gt;-4.231&lt;/D&gt;&lt;D xsi:type="xsd:double"&gt;9.638893&lt;/D&gt;&lt;D xsi:type="xsd:double"&gt;-0.6181896&lt;/D&gt;&lt;D xsi:type="xsd:double"&gt;-3.5977483&lt;/D&gt;&lt;D xsi:type="xsd:double"&gt;-8.1025305&lt;/D&gt;&lt;D xsi:type="xsd:double"&gt;-6.5291286&lt;/D&gt;&lt;D xsi:type="xsd:double"&gt;6.898606&lt;/D&gt;&lt;D xsi:type="xsd:double"&gt;-12.8222885&lt;/D&gt;&lt;D xsi:type="xsd:double"&gt;-8.786511&lt;/D&gt;&lt;D xsi:type="xsd:double"&gt;3.9126992&lt;/D&gt;&lt;D xsi:type="xsd:double"&gt;15.662527&lt;/D&gt;&lt;D xsi:type="xsd:double"&gt;-11.105061&lt;/D&gt;&lt;D xsi:type="xsd:double"&gt;-8.308154&lt;/D&gt;&lt;D xsi:type="xsd:double"&gt;7.1200013&lt;/D&gt;&lt;D xsi:type="xsd:double"&gt;0.2396226&lt;/D&gt;&lt;D xsi:type="xsd:double"&gt;-2.4241567&lt;/D&gt;&lt;D xsi:type="xsd:double"&gt;8.374559&lt;/D&gt;&lt;D xsi:type="xsd:double"&gt;-4.5353055&lt;/D&gt;&lt;D xsi:type="xsd:double"&gt;9.966839&lt;/D&gt;&lt;D xsi:type="xsd:double"&gt;1.8360019&lt;/D&gt;&lt;D xsi:type="xsd:double"&gt;11.761999&lt;/D&gt;&lt;D xsi:type="xsd:double"&gt;4.5176506&lt;/D&gt;&lt;D xsi:type="xsd:double"&gt;-3.4049869&lt;/D&gt;&lt;D xsi:type="xsd:double"&gt;2.1761656&lt;/D&gt;&lt;D xsi:type="xsd:double"&gt;-2.2453249&lt;/D&gt;&lt;D xsi:type="xsd:double"&gt;3.2659888&lt;/D&gt;&lt;D xsi:type="xsd:double"&gt;7.033217&lt;/D&gt;&lt;D xsi:type="xsd:double"&gt;1.6962409&lt;/D&gt;&lt;D xsi:type="xsd:double"&gt;4.636681&lt;/D&gt;&lt;D xsi:type="xsd:double"&gt;2.730143&lt;/D&gt;&lt;D xsi:type="xsd:double"&gt;-0.3192544&lt;/D&gt;&lt;D xsi:type="xsd:double"&gt;1.0975003&lt;/D&gt;&lt;D xsi:type="xsd:double"&gt;7.5923085&lt;/D&gt;&lt;D xsi:type="xsd:double"&gt;3.963542&lt;/D&gt;&lt;D xsi:type="xsd:double"&gt;-6.515503&lt;/D&gt;&lt;D xsi:type="xsd:double"&gt;2.7584434&lt;/D&gt;&lt;D xsi:type="xsd:double"&gt;3.93641&lt;/D&gt;&lt;D xsi:type="xsd:double"&gt;3.8288474&lt;/D&gt;&lt;D xsi:type="xsd:double"&gt;3.5685778&lt;/D&gt;&lt;D xsi:type="xsd:double"&gt;-4.5545044&lt;/D&gt;&lt;D xsi:type="xsd:double"&gt;6.00127&lt;/D&gt;&lt;D xsi:type="xsd:double"&gt;-12.606835&lt;/D&gt;&lt;D xsi:type="xsd:double"&gt;-2.83494&lt;/D&gt;&lt;D xsi:type="xsd:double"&gt;13.46612&lt;/D&gt;&lt;D xsi:type="xsd:double"&gt;2.2052407&lt;/D&gt;&lt;D xsi:type="xsd:double"&gt;5.2862167&lt;/D&gt;&lt;D xsi:type="xsd:double"&gt;4.7167063&lt;/D&gt;&lt;D xsi:type="xsd:double"&gt;1.0890126&lt;/D&gt;&lt;D xsi:type="xsd:double"&gt;2.7347684&lt;/D&gt;&lt;D xsi:type="xsd:double"&gt;1.0614514&lt;/D&gt;&lt;D xsi:type="xsd:double"&gt;0.857985&lt;/D&gt;&lt;D xsi:type="xsd:double"&gt;2.1875262&lt;/D&gt;&lt;D xsi:type="xsd:double"&gt;-3.883499&lt;/D&gt;&lt;/FQL&gt;&lt;FQL&gt;&lt;Q&gt;EWU^FG_TOTAL_RETURNC(-5AY,0,AM)&lt;/Q&gt;&lt;R&gt;61&lt;/R&gt;&lt;C&gt;1&lt;/C&gt;&lt;D xsi:type="xsd:double"&gt;-0.58593154&lt;/D&gt;&lt;D xsi:type="xsd:double"&gt;4.354942&lt;/D&gt;&lt;D xsi:type="xsd:double"&gt;0.47066212&lt;/D&gt;&lt;D xsi:type="xsd:double"&gt;4.153645&lt;/D&gt;&lt;D xsi:type="xsd:double"&gt;2.8788686&lt;/D&gt;&lt;D xsi:type="xsd:double"&gt;-1.9857764&lt;/D&gt;&lt;D xsi:type="xsd:double"&gt;1.9655347&lt;/D&gt;&lt;D xsi:type="xsd:double"&gt;-2.0759225&lt;/D&gt;&lt;D xsi:type="xsd:double"&gt;0.63596964&lt;/D&gt;&lt;D xsi:type="xsd:double"&gt;0.842607&lt;/D&gt;&lt;D xsi:type="xsd:double"&gt;-2.4598598&lt;/D&gt;&lt;D xsi:type="xsd:double"&gt;8.425034&lt;/D&gt;&lt;D xsi:type="xsd:double"&gt;-0.08698702&lt;/D&gt;&lt;D xsi:type="xsd:double"&gt;-8.589667&lt;/D&gt;&lt;D xsi:type="xsd:double"&gt;8.190477&lt;/D&gt;&lt;D xsi:type="xsd:double"&gt;-7.4823976&lt;/D&gt;&lt;D xsi:type="xsd:double"&gt;-3.2671452&lt;/D&gt;&lt;D xsi:type="xsd:double"&gt;-2.8046727&lt;/D&gt;&lt;D xsi:type="xsd:double"&gt;7.4201345&lt;/D&gt;&lt;D xsi:type="xsd:double"&gt;-7.6750875&lt;/D&gt;&lt;D xsi:type="xsd:double"&gt;-6.962246&lt;/D&gt;&lt;D xsi:type="xsd:double"&gt;11.206257&lt;/D&gt;&lt;D xsi:type="xsd:double"&gt;6.831038&lt;/D&gt;&lt;D xsi:type="xsd:double"&gt;3.7531734&lt;/D&gt;&lt;D xsi:type="xsd:double"&gt;0.64378977&lt;/D&gt;&lt;D xsi:type="xsd:double"&gt;-4.447156&lt;/D&gt;&lt;D xsi:type="xsd:double"&gt;7.6824903&lt;/D&gt;&lt;D xsi:type="xsd:double"&gt;-1.657778&lt;/D&gt;&lt;D xsi:type="xsd:double"&gt;-0.7886052&lt;/D&gt;&lt;D xsi:type="xsd:double"&gt;1.886785&lt;/D&gt;&lt;D xsi:type="xsd:double"&gt;-1.335758&lt;/D&gt;&lt;D xsi:type="xsd:double"&gt;-1.5076995&lt;/D&gt;&lt;D xsi:type="xsd:double"&gt;-1.0621607&lt;/D&gt;&lt;D xsi:type="xsd:double"&gt;-1.2630224&lt;/D&gt;&lt;D xsi:type="xsd:double"&gt;5.4684997&lt;/D&gt;&lt;D xsi:type="xsd:double"&gt;1.6197205&lt;/D&gt;&lt;D xsi:type="xsd:double"&gt;-3.2966971&lt;/D&gt;&lt;D xsi:type="xsd:double"&gt;6.5656543&lt;/D&gt;&lt;D xsi:type="xsd:double"&gt;-0.11847615&lt;/D&gt;&lt;D xsi:type="xsd:double"&gt;7.265711&lt;/D&gt;&lt;D xsi:type="xsd:double"&gt;-1.0860205&lt;/D&gt;&lt;D xsi:type="xsd:double"&gt;2.6788235&lt;/D&gt;&lt;D xsi:type="xsd:double"&gt;-0.16652346&lt;/D&gt;&lt;D xsi:type="xsd:double"&gt;2.5854945&lt;/D&gt;&lt;D xsi:type="xsd:double"&gt;-0.9485185&lt;/D&gt;&lt;D xsi:type="xsd:double"&gt;-5.3351583&lt;/D&gt;&lt;D xsi:type="xsd:double"&gt;2.630055&lt;/D&gt;&lt;D xsi:type="xsd:double"&gt;-3.9963782&lt;/D&gt;&lt;D xsi:type="xsd:double"&gt;9.763408&lt;/D&gt;&lt;D xsi:type="xsd:double"&gt;1.3096809&lt;/D&gt;&lt;D xsi:type="xsd:double"&gt;-4.20146&lt;/D&gt;&lt;D xsi:type="xsd:double"&gt;8.012366&lt;/D&gt;&lt;D xsi:type="xsd:double"&gt;5.2056193&lt;/D&gt;&lt;D xsi:type="xsd:double"&gt;0.78470707&lt;/D&gt;&lt;D xsi:type="xsd:double"&gt;3.6072254&lt;/D&gt;&lt;D xsi:type="xsd:double"&gt;1.4023185&lt;/D&gt;&lt;D xsi:type="xsd:double"&gt;0.11922121&lt;/D&gt;&lt;D xsi:type="xsd:double"&gt;2.5005937&lt;/D&gt;&lt;D xsi:type="xsd:double"&gt;0.5576134&lt;/D&gt;&lt;D xsi:type="xsd:double"&gt;5.9444785&lt;/D&gt;&lt;D xsi:type="xsd:double"&gt;5.0466895&lt;/D&gt;&lt;/FQL&gt;&lt;FQL&gt;&lt;Q&gt;EIDO^FG_TOTAL_RETURNC(-5AY,0,AM)&lt;/Q&gt;&lt;R&gt;61&lt;/R&gt;&lt;C&gt;1&lt;/C&gt;&lt;D xsi:type="xsd:double"&gt;-3.0413628&lt;/D&gt;&lt;D xsi:type="xsd:double"&gt;-3.638643&lt;/D&gt;&lt;D xsi:type="xsd:double"&gt;-8.1163225&lt;/D&gt;&lt;D xsi:type="xsd:double"&gt;1.3698578&lt;/D&gt;&lt;D xsi:type="xsd:double"&gt;4.3394804&lt;/D&gt;&lt;D xsi:type="xsd:double"&gt;-10.112357&lt;/D&gt;&lt;D xsi:type="xsd:double"&gt;3.7999988&lt;/D&gt;&lt;D xsi:type="xsd:double"&gt;3.420031&lt;/D&gt;&lt;D xsi:type="xsd:double"&gt;12.529111&lt;/D&gt;&lt;D xsi:type="xsd:double"&gt;-0.9105921&lt;/D&gt;&lt;D xsi:type="xsd:double"&gt;-2.869016&lt;/D&gt;&lt;D xsi:type="xsd:double"&gt;1.5591145&lt;/D&gt;&lt;D xsi:type="xsd:double"&gt;1.3219595&lt;/D&gt;&lt;D xsi:type="xsd:double"&gt;2.525258&lt;/D&gt;&lt;D xsi:type="xsd:double"&gt;2.134645&lt;/D&gt;&lt;D xsi:type="xsd:double"&gt;-6.4308643&lt;/D&gt;&lt;D xsi:type="xsd:double"&gt;-1.2903273&lt;/D&gt;&lt;D xsi:type="xsd:double"&gt;-5.295676&lt;/D&gt;&lt;D xsi:type="xsd:double"&gt;12.954342&lt;/D&gt;&lt;D xsi:type="xsd:double"&gt;0.37128925&lt;/D&gt;&lt;D xsi:type="xsd:double"&gt;-5.1376877&lt;/D&gt;&lt;D xsi:type="xsd:double"&gt;2.9029489&lt;/D&gt;&lt;D xsi:type="xsd:double"&gt;-2.3502946&lt;/D&gt;&lt;D xsi:type="xsd:double"&gt;-2.787453&lt;/D&gt;&lt;D xsi:type="xsd:double"&gt;4.793906&lt;/D&gt;&lt;D xsi:type="xsd:double"&gt;-5.3441644&lt;/D&gt;&lt;D xsi:type="xsd:double"&gt;9.485102&lt;/D&gt;&lt;D xsi:type="xsd:double"&gt;-2.8052807&lt;/D&gt;&lt;D xsi:type="xsd:double"&gt;1.7267585&lt;/D&gt;&lt;D xsi:type="xsd:double"&gt;0.68143606&lt;/D&gt;&lt;D xsi:type="xsd:double"&gt;-3.045684&lt;/D&gt;&lt;D xsi:type="xsd:double"&gt;-0.7417083&lt;/D&gt;&lt;D xsi:type="xsd:double"&gt;-4.483521&lt;/D&gt;&lt;D xsi:type="xsd:double"&gt;-3.5434902&lt;/D&gt;&lt;D xsi:type="xsd:double"&gt;2.7671814&lt;/D&gt;&lt;D xsi:type="xsd:double"&gt;5.956471&lt;/D&gt;&lt;D xsi:type="xsd:double"&gt;-2.1201372&lt;/D&gt;&lt;D xsi:type="xsd:double"&gt;2.797842&lt;/D&gt;&lt;D xsi:type="xsd:double"&gt;-5.794561&lt;/D&gt;&lt;D xsi:type="xsd:double"&gt;-4.939419&lt;/D&gt;&lt;D xsi:type="xsd:double"&gt;-5.059558&lt;/D&gt;&lt;D xsi:type="xsd:double"&gt;9.620535&lt;/D&gt;&lt;D xsi:type="xsd:double"&gt;2.3890734&lt;/D&gt;&lt;D xsi:type="xsd:double"&gt;6.3333273&lt;/D&gt;&lt;D xsi:type="xsd:double"&gt;-1.9256592&lt;/D&gt;&lt;D xsi:type="xsd:double"&gt;-6.712323&lt;/D&gt;&lt;D xsi:type="xsd:double"&gt;-2.790016&lt;/D&gt;&lt;D xsi:type="xsd:double"&gt;-6.8190155&lt;/D&gt;&lt;D xsi:type="xsd:double"&gt;-3.402847&lt;/D&gt;&lt;D xsi:type="xsd:double"&gt;-4.943186&lt;/D&gt;&lt;D xsi:type="xsd:double"&gt;-5.1404657&lt;/D&gt;&lt;D xsi:type="xsd:double"&gt;10.523009&lt;/D&gt;&lt;D xsi:type="xsd:double"&gt;6.1573505&lt;/D&gt;&lt;D xsi:type="xsd:double"&gt;-1.4451087&lt;/D&gt;&lt;D xsi:type="xsd:double"&gt;5.372131&lt;/D&gt;&lt;D xsi:type="xsd:double"&gt;-5.3106728&lt;/D&gt;&lt;D xsi:type="xsd:double"&gt;-1.4582157&lt;/D&gt;&lt;D xsi:type="xsd:double"&gt;4.0409803&lt;/D&gt;&lt;D xsi:type="xsd:double"&gt;2.625823&lt;/D&gt;&lt;D xsi:type="xsd:double"&gt;2.4226546&lt;/D&gt;&lt;D xsi:type="xsd:double"&gt;-6.621128&lt;/D&gt;&lt;/FQL&gt;&lt;FQL&gt;&lt;Q&gt;SPY^FG_PRICE(0,-200D)&lt;/Q&gt;&lt;R&gt;201&lt;/R&gt;&lt;C&gt;1&lt;/C&gt;&lt;D xsi:type="xsd:double"&gt;681.75&lt;/D&gt;&lt;D xsi:type="xsd:double"&gt;681.27&lt;/D&gt;&lt;D xsi:type="xsd:double"&gt;691.96&lt;/D&gt;&lt;D xsi:type="xsd:double"&gt;692.12&lt;/D&gt;&lt;D xsi:type="xsd:double"&gt;693.95&lt;/D&gt;&lt;D xsi:type="xsd:double"&gt;690.62&lt;/D&gt;&lt;D xsi:type="xsd:double"&gt;677.62&lt;/D&gt;&lt;D xsi:type="xsd:double"&gt;686.19&lt;/D&gt;&lt;D xsi:type="xsd:double"&gt;689.53&lt;/D&gt;&lt;D xsi:type="xsd:double"&gt;695.41&lt;/D&gt;&lt;D xsi:type="xsd:double"&gt;691.97&lt;/D&gt;&lt;D xsi:type="xsd:double"&gt;694.04&lt;/D&gt;&lt;D xsi:type="xsd:double"&gt;695.42&lt;/D&gt;&lt;D xsi:type="xsd:double"&gt;695.49&lt;/D&gt;&lt;D xsi:type="xsd:double"&gt;692.73&lt;/D&gt;&lt;D xsi:type="xsd:double"&gt;689.23&lt;/D&gt;&lt;D xsi:type="xsd:double"&gt;688.98&lt;/D&gt;&lt;D xsi:type="xsd:double"&gt;685.4&lt;/D&gt;&lt;D xsi:type="xsd:double"&gt;677.58&lt;/D&gt;&lt;D xsi:type="xsd:double"&gt;691.66&lt;/D&gt;&lt;D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xsi:type="xsd:double"&gt;687.01&lt;/D&gt;&lt;D xsi:type="xsd:double"&gt;687.85&lt;/D&gt;&lt;D xsi:type="xsd:double"&gt;690.31&lt;/D&gt;&lt;D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xsi:type="xsd:double"&gt;554.32&lt;/D&gt;&lt;/FQL&gt;&lt;FQL&gt;&lt;Q&gt;EPU^FG_PRICE(0,-200D)&lt;/Q&gt;&lt;R&gt;201&lt;/R&gt;&lt;C&gt;1&lt;/C&gt;&lt;D xsi:type="xsd:double"&gt;86.67&lt;/D&gt;&lt;D xsi:type="xsd:double"&gt;87.03&lt;/D&gt;&lt;D xsi:type="xsd:double"&gt;90.05&lt;/D&gt;&lt;D xsi:type="xsd:double"&gt;89.43&lt;/D&gt;&lt;D xsi:type="xsd:double"&gt;91.08&lt;/D&gt;&lt;D xsi:type="xsd:double"&gt;88.15&lt;/D&gt;&lt;D xsi:type="xsd:double"&gt;85.17&lt;/D&gt;&lt;D xsi:type="xsd:double"&gt;88.38&lt;/D&gt;&lt;D xsi:type="xsd:double"&gt;91.33&lt;/D&gt;&lt;D xsi:type="xsd:double"&gt;87.4&lt;/D&gt;&lt;D xsi:type="xsd:double"&gt;86.6&lt;/D&gt;&lt;D xsi:type="xsd:double"&gt;92.57&lt;/D&gt;&lt;D xsi:type="xsd:double"&gt;92.07&lt;/D&gt;&lt;D xsi:type="xsd:double"&gt;91.61&lt;/D&gt;&lt;D xsi:type="xsd:double"&gt;90.43&lt;/D&gt;&lt;D xsi:type="xsd:double"&gt;88.38&lt;/D&gt;&lt;D xsi:type="xsd:double"&gt;86.2&lt;/D&gt;&lt;D xsi:type="xsd:double"&gt;85.04&lt;/D&gt;&lt;D xsi:type="xsd:double"&gt;84.78&lt;/D&gt;&lt;D xsi:type="xsd:double"&gt;82.63&lt;/D&gt;&lt;D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xsi:type="xsd:double"&gt;72.91&lt;/D&gt;&lt;D xsi:type="xsd:double"&gt;71.95&lt;/D&gt;&lt;D xsi:type="xsd:double"&gt;73.77&lt;/D&gt;&lt;D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</t>
        </r>
      </text>
    </comment>
    <comment ref="A6" authorId="0" shapeId="0" xr:uid="{47542D17-477B-47DB-8240-42E42CDCF457}">
      <text>
        <r>
          <rPr>
            <b/>
            <sz val="9"/>
            <color indexed="81"/>
            <rFont val="Tahoma"/>
            <charset val="1"/>
          </rPr>
          <t>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xsi:type="xsd:double"&gt;44.8&lt;/D&gt;&lt;/FQL&gt;&lt;FQL&gt;&lt;Q&gt;EWW^FG_TOTAL_RETURNC(-5AY,0,AM)&lt;/Q&gt;&lt;R&gt;61&lt;/R&gt;&lt;C&gt;1&lt;/C&gt;&lt;D xsi:type="xsd:double"&gt;-3.6491394&lt;/D&gt;&lt;D xsi:type="xsd:double"&gt;3.1051636&lt;/D&gt;&lt;D xsi:type="xsd:double"&gt;3.28542&lt;/D&gt;&lt;D xsi:type="xsd:double"&gt;3.0262828&lt;/D&gt;&lt;D xsi:type="xsd:double"&gt;6.6179395&lt;/D&gt;&lt;D xsi:type="xsd:double"&gt;-4.823673&lt;/D&gt;&lt;D xsi:type="xsd:double"&gt;5.6643963&lt;/D&gt;&lt;D xsi:type="xsd:double"&gt;1.1084199&lt;/D&gt;&lt;D xsi:type="xsd:double"&gt;-2.7307153&lt;/D&gt;&lt;D xsi:type="xsd:double"&gt;-0.040984154&lt;/D&gt;&lt;D xsi:type="xsd:double"&gt;-3.4692764&lt;/D&gt;&lt;D xsi:type="xsd:double"&gt;10.467375&lt;/D&gt;&lt;D xsi:type="xsd:double"&gt;-1.8912077&lt;/D&gt;&lt;D xsi:type="xsd:double"&gt;-2.3251176&lt;/D&gt;&lt;D xsi:type="xsd:double"&gt;8.850455&lt;/D&gt;&lt;D xsi:type="xsd:double"&gt;-8.598131&lt;/D&gt;&lt;D xsi:type="xsd:double"&gt;-4.4044733&lt;/D&gt;&lt;D xsi:type="xsd:double"&gt;-1.9982696&lt;/D&gt;&lt;D xsi:type="xsd:double"&gt;7.8457475&lt;/D&gt;&lt;D xsi:type="xsd:double"&gt;-4.829425&lt;/D&gt;&lt;D xsi:type="xsd:double"&gt;-1.1660576&lt;/D&gt;&lt;D xsi:type="xsd:double"&gt;17.129124&lt;/D&gt;&lt;D xsi:type="xsd:double"&gt;-2.920103&lt;/D&gt;&lt;D xsi:type="xsd:double"&gt;11.137259&lt;/D&gt;&lt;D xsi:type="xsd:double"&gt;0.705719&lt;/D&gt;&lt;D xsi:type="xsd:double"&gt;-2.6979685&lt;/D&gt;&lt;D xsi:type="xsd:double"&gt;8.804464&lt;/D&gt;&lt;D xsi:type="xsd:double"&gt;2.796626&lt;/D&gt;&lt;D xsi:type="xsd:double"&gt;2.3132563&lt;/D&gt;&lt;D xsi:type="xsd:double"&gt;1.8069506&lt;/D&gt;&lt;D xsi:type="xsd:double"&gt;-3.3940613&lt;/D&gt;&lt;D xsi:type="xsd:double"&gt;-3.432715&lt;/D&gt;&lt;D xsi:type="xsd:double"&gt;-8.477968&lt;/D&gt;&lt;D xsi:type="xsd:double"&gt;7.458055&lt;/D&gt;&lt;D xsi:type="xsd:double"&gt;10.9451885&lt;/D&gt;&lt;D xsi:type="xsd:double"&gt;3.0498743&lt;/D&gt;&lt;D xsi:type="xsd:double"&gt;0.30144453&lt;/D&gt;&lt;D xsi:type="xsd:double"&gt;0.9316206&lt;/D&gt;&lt;D xsi:type="xsd:double"&gt;0.37219524&lt;/D&gt;&lt;D xsi:type="xsd:double"&gt;1.3349175&lt;/D&gt;&lt;D xsi:type="xsd:double"&gt;-17.875677&lt;/D&gt;&lt;D xsi:type="xsd:double"&gt;10.98131&lt;/D&gt;&lt;D xsi:type="xsd:double"&gt;-9.603238&lt;/D&gt;&lt;D xsi:type="xsd:double"&gt;-2.5797188&lt;/D&gt;&lt;D xsi:type="xsd:double"&gt;1.2688518&lt;/D&gt;&lt;D xsi:type="xsd:double"&gt;-8.443803&lt;/D&gt;&lt;D xsi:type="xsd:double"&gt;3.9865136&lt;/D&gt;&lt;D xsi:type="xsd:double"&gt;-6.5963507&lt;/D&gt;&lt;D xsi:type="xsd:double"&gt;10.366631&lt;/D&gt;&lt;D xsi:type="xsd:double"&gt;-2.2718668&lt;/D&gt;&lt;D xsi:type="xsd:double"&gt;-0.9962857&lt;/D&gt;&lt;D xsi:type="xsd:double"&gt;16.574585&lt;/D&gt;&lt;D xsi:type="xsd:double"&gt;3.3513904&lt;/D&gt;&lt;D xsi:type="xsd:double"&gt;0.26023388&lt;/D&gt;&lt;D xsi:type="xsd:double"&gt;3.0933022&lt;/D&gt;&lt;D xsi:type="xsd:double"&gt;6.662369&lt;/D&gt;&lt;D xsi:type="xsd:double"&gt;-0.98306537&lt;/D&gt;&lt;D xsi:type="xsd:double"&gt;2.9173613&lt;/D&gt;&lt;D xsi:type="xsd:double"&gt;4.912448&lt;/D&gt;&lt;D xsi:type="xsd:double"&gt;3.789568&lt;/D&gt;&lt;D xsi:type="xsd:double"&gt;12.5885725&lt;/D&gt;&lt;/FQL&gt;&lt;FQL&gt;&lt;Q&gt;CNYA^FG_TOTAL_RETURNC(-5AY,0,AM)&lt;/Q&gt;&lt;R&gt;61&lt;/R&gt;&lt;C&gt;1&lt;/C&gt;&lt;D xsi:type="xsd:double"&gt;6.4713597&lt;/D&gt;&lt;D xsi:type="xsd:double"&gt;-14.531827&lt;/D&gt;&lt;D xsi:type="xsd:double"&gt;-2.770102&lt;/D&gt;&lt;D xsi:type="xsd:double"&gt;2.7180552&lt;/D&gt;&lt;D xsi:type="xsd:double"&gt;6.452477&lt;/D&gt;&lt;D xsi:type="xsd:double"&gt;-0.6564081&lt;/D&gt;&lt;D xsi:type="xsd:double"&gt;-1.9594431&lt;/D&gt;&lt;D xsi:type="xsd:double"&gt;1.9288898&lt;/D&gt;&lt;D xsi:type="xsd:double"&gt;-1.2311935&lt;/D&gt;&lt;D xsi:type="xsd:double"&gt;0.30009747&lt;/D&gt;&lt;D xsi:type="xsd:double"&gt;3.5224795&lt;/D&gt;&lt;D xsi:type="xsd:double"&gt;-6.618804&lt;/D&gt;&lt;D xsi:type="xsd:double"&gt;-4.685247&lt;/D&gt;&lt;D xsi:type="xsd:double"&gt;-5.2684546&lt;/D&gt;&lt;D xsi:type="xsd:double"&gt;-3.2730281&lt;/D&gt;&lt;D xsi:type="xsd:double"&gt;-9.546071&lt;/D&gt;&lt;D xsi:type="xsd:double"&gt;5.489218&lt;/D&gt;&lt;D xsi:type="xsd:double"&gt;4.766035&lt;/D&gt;&lt;D xsi:type="xsd:double"&gt;-1.2958407&lt;/D&gt;&lt;D xsi:type="xsd:double"&gt;-6.5642414&lt;/D&gt;&lt;D xsi:type="xsd:double"&gt;-9.476829&lt;/D&gt;&lt;D xsi:type="xsd:double"&gt;3.1373858&lt;/D&gt;&lt;D xsi:type="xsd:double"&gt;4.04644&lt;/D&gt;&lt;D xsi:type="xsd:double"&gt;7.0933223&lt;/D&gt;&lt;D xsi:type="xsd:double"&gt;0.5298853&lt;/D&gt;&lt;D xsi:type="xsd:double"&gt;-4.9780426&lt;/D&gt;&lt;D xsi:type="xsd:double"&gt;1.7257214&lt;/D&gt;&lt;D xsi:type="xsd:double"&gt;-5.755824&lt;/D&gt;&lt;D xsi:type="xsd:double"&gt;-4.6889424&lt;/D&gt;&lt;D xsi:type="xsd:double"&gt;2.298069&lt;/D&gt;&lt;D xsi:type="xsd:double"&gt;-2.7383566&lt;/D&gt;&lt;D xsi:type="xsd:double"&gt;-3.3324182&lt;/D&gt;&lt;D xsi:type="xsd:double"&gt;-2.881235&lt;/D&gt;&lt;D xsi:type="xsd:double"&gt;-0.6150484&lt;/D&gt;&lt;D xsi:type="xsd:double"&gt;-2.756095&lt;/D&gt;&lt;D xsi:type="xsd:double"&gt;-4.4424&lt;/D&gt;&lt;D xsi:type="xsd:double"&gt;1.5303016&lt;/D&gt;&lt;D xsi:type="xsd:double"&gt;6.6720366&lt;/D&gt;&lt;D xsi:type="xsd:double"&gt;-3.6511004&lt;/D&gt;&lt;D xsi:type="xsd:double"&gt;6.135857&lt;/D&gt;&lt;D xsi:type="xsd:double"&gt;-4.248232&lt;/D&gt;&lt;D xsi:type="xsd:double"&gt;-1.003474&lt;/D&gt;&lt;D xsi:type="xsd:double"&gt;-2.1746576&lt;/D&gt;&lt;D xsi:type="xsd:double"&gt;-4.9903927&lt;/D&gt;&lt;D xsi:type="xsd:double"&gt;26.468122&lt;/D&gt;&lt;D xsi:type="xsd:double"&gt;-0.13266802&lt;/D&gt;&lt;D xsi:type="xsd:double"&gt;-3.885752&lt;/D&gt;&lt;D xsi:type="xsd:double"&gt;-6.9123564&lt;/D&gt;&lt;D xsi:type="xsd:double"&gt;6.6009045&lt;/D&gt;&lt;D xsi:type="xsd:double"&gt;0.8540869&lt;/D&gt;&lt;D xsi:type="xsd:double"&gt;-4.4107256&lt;/D&gt;&lt;D xsi:type="xsd:double"&gt;4.614246&lt;/D&gt;&lt;D xsi:type="xsd:double"&gt;-0.67043304&lt;/D&gt;&lt;D xsi:type="xsd:double"&gt;4.1434765&lt;/D&gt;&lt;D xsi:type="xsd:double"&gt;6.1986327&lt;/D&gt;&lt;D xsi:type="xsd:double"&gt;8.352137&lt;/D&gt;&lt;D xsi:type="xsd:double"&gt;1.011908&lt;/D&gt;&lt;D xsi:type="xsd:double"&gt;2.0624638&lt;/D&gt;&lt;D xsi:type="xsd:double"&gt;-1.616621&lt;/D&gt;&lt;D xsi:type="xsd:double"&gt;6.162286&lt;/D&gt;&lt;D xsi:type="xsd:double"&gt;-0.622648&lt;/D&gt;&lt;/FQL&gt;&lt;FQL&gt;&lt;Q&gt;EWN^FG_TOTAL_RETURNC(-5AY,0,AM)&lt;/Q&gt;&lt;R&gt;61&lt;/R&gt;&lt;C&gt;1&lt;/C&gt;&lt;D xsi:type="xsd:double"&gt;7.9108&lt;/D&gt;&lt;D xsi:type="xsd:double"&gt;-2.4363756&lt;/D&gt;&lt;D xsi:type="xsd:double"&gt;6.57748&lt;/D&gt;&lt;D xsi:type="xsd:double"&gt;-1.2133837&lt;/D&gt;&lt;D xsi:type="xsd:double"&gt;6.0343146&lt;/D&gt;&lt;D xsi:type="xsd:double"&gt;-2.3723364&lt;/D&gt;&lt;D xsi:type="xsd:double"&gt;5.518949&lt;/D&gt;&lt;D xsi:type="xsd:double"&gt;3.649485&lt;/D&gt;&lt;D xsi:type="xsd:double"&gt;-6.1382055&lt;/D&gt;&lt;D xsi:type="xsd:double"&gt;6.3390136&lt;/D&gt;&lt;D xsi:type="xsd:double"&gt;-8.110416&lt;/D&gt;&lt;D xsi:type="xsd:double"&gt;1.5454412&lt;/D&gt;&lt;D xsi:type="xsd:double"&gt;-8.664775&lt;/D&gt;&lt;D xsi:type="xsd:double"&gt;-14.419013&lt;/D&gt;&lt;D xsi:type="xsd:double"&gt;5.996883&lt;/D&gt;&lt;D xsi:type="xsd:double"&gt;-8.93951&lt;/D&gt;&lt;D xsi:type="xsd:double"&gt;-5.2031937&lt;/D&gt;&lt;D xsi:type="xsd:double"&gt;-2.6731849&lt;/D&gt;&lt;D xsi:type="xsd:double"&gt;13.5853405&lt;/D&gt;&lt;D xsi:type="xsd:double"&gt;-11.54446&lt;/D&gt;&lt;D xsi:type="xsd:double"&gt;-10.052908&lt;/D&gt;&lt;D xsi:type="xsd:double"&gt;23.36601&lt;/D&gt;&lt;D xsi:type="xsd:double"&gt;5.818641&lt;/D&gt;&lt;D xsi:type="xsd:double"&gt;5.6675076&lt;/D&gt;&lt;D xsi:type="xsd:double"&gt;0.6674528&lt;/D&gt;&lt;D xsi:type="xsd:double"&gt;-5.991&lt;/D&gt;&lt;D xsi:type="xsd:double"&gt;7.25441&lt;/D&gt;&lt;D xsi:type="xsd:double"&gt;-1.996249&lt;/D&gt;&lt;D xsi:type="xsd:double"&gt;3.7858963&lt;/D&gt;&lt;D xsi:type="xsd:double"&gt;5.3700686&lt;/D&gt;&lt;D xsi:type="xsd:double"&gt;-5.096388&lt;/D&gt;&lt;D xsi:type="xsd:double"&gt;-7.996738&lt;/D&gt;&lt;D xsi:type="xsd:double"&gt;-4.7582808&lt;/D&gt;&lt;D xsi:type="xsd:double"&gt;7.1676016&lt;/D&gt;&lt;D xsi:type="xsd:double"&gt;9.796119&lt;/D&gt;&lt;D xsi:type="xsd:double"&gt;-0.5688429&lt;/D&gt;&lt;D xsi:type="xsd:double"&gt;5.575943&lt;/D&gt;&lt;D xsi:type="xsd:double"&gt;6.389916&lt;/D&gt;&lt;D xsi:type="xsd:double"&gt;-1.5117526&lt;/D&gt;&lt;D xsi:type="xsd:double"&gt;5.247879&lt;/D&gt;&lt;D xsi:type="xsd:double"&gt;1.9652009&lt;/D&gt;&lt;D xsi:type="xsd:double"&gt;2.912438&lt;/D&gt;&lt;D xsi:type="xsd:double"&gt;-8.053184&lt;/D&gt;&lt;D xsi:type="xsd:double"&gt;2.1896362&lt;/D&gt;&lt;D xsi:type="xsd:double"&gt;1.1926413&lt;/D&gt;&lt;D xsi:type="xsd:double"&gt;-10.44746&lt;/D&gt;&lt;D xsi:type="xsd:double"&gt;3.3459783&lt;/D&gt;&lt;D xsi:type="xsd:double"&gt;-3.6174178&lt;/D&gt;&lt;D xsi:type="xsd:double"&gt;10.119724&lt;/D&gt;&lt;D xsi:type="xsd:double"&gt;-2.3997903&lt;/D&gt;&lt;D xsi:type="xsd:double"&gt;-3.7202537&lt;/D&gt;&lt;D xsi:type="xsd:double"&gt;13.599646&lt;/D&gt;&lt;D xsi:type="xsd:double"&gt;2.8823972&lt;/D&gt;&lt;D xsi:type="xsd:double"&gt;2.9815793&lt;/D&gt;&lt;D xsi:type="xsd:double"&gt;-1.9297898&lt;/D&gt;&lt;D xsi:type="xsd:double"&gt;2.4362803&lt;/D&gt;&lt;D xsi:type="xsd:double"&gt;5.653131&lt;/D&gt;&lt;D xsi:type="xsd:double"&gt;1.4891744&lt;/D&gt;&lt;D xsi:type="xsd:double"&gt;-0.01706481&lt;/D&gt;&lt;D xsi:type="xsd:double"&gt;7.6933384&lt;/D&gt;&lt;D xsi:type="xsd:double"&gt;1.4313936&lt;/D&gt;&lt;/FQL&gt;&lt;FQL&gt;&lt;Q&gt;EWU^FG_PRICE(0,-200D)&lt;/Q&gt;&lt;R&gt;201&lt;/R&gt;&lt;C&gt;1&lt;/C&gt;&lt;D xsi:type="xsd:double"&gt;47.25&lt;/D&gt;&lt;D xsi:type="xsd:double"&gt;47.01&lt;/D&gt;&lt;D xsi:type="xsd:double"&gt;47.43&lt;/D&gt;&lt;D xsi:type="xsd:double"&gt;46.74&lt;/D&gt;&lt;D xsi:type="xsd:double"&gt;47.02&lt;/D&gt;&lt;D xsi:type="xsd:double"&gt;46.9&lt;/D&gt;&lt;D xsi:type="xsd:double"&gt;45.94&lt;/D&gt;&lt;D xsi:type="xsd:double"&gt;47.05&lt;/D&gt;&lt;D xsi:type="xsd:double"&gt;46.47&lt;/D&gt;&lt;D xsi:type="xsd:double"&gt;46.54&lt;/D&gt;&lt;D xsi:type="xsd:double"&gt;46.16&lt;/D&gt;&lt;D xsi:type="xsd:double"&gt;46.44&lt;/D&gt;&lt;D xsi:type="xsd:double"&gt;46.24&lt;/D&gt;&lt;D xsi:type="xsd:double"&gt;46.5&lt;/D&gt;&lt;D xsi:type="xsd:double"&gt;45.83&lt;/D&gt;&lt;D xsi:type="xsd:double"&gt;45.57&lt;/D&gt;&lt;D xsi:type="xsd:double"&gt;45.07&lt;/D&gt;&lt;D xsi:type="xsd:double"&gt;45.16&lt;/D&gt;&lt;D xsi:type="xsd:double"&gt;44.7&lt;/D&gt;&lt;D xsi:type="xsd:double"&gt;45.18&lt;/D&gt;&lt;D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xsi:type="xsd:double"&gt;44.22&lt;/D&gt;&lt;D xsi:type="xsd:double"&gt;44.02&lt;/D&gt;&lt;D xsi:type="xsd:double"&gt;44.24&lt;/D&gt;&lt;D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xsi:type="xsd:double"&gt;38.35&lt;/D&gt;&lt;/FQL&gt;&lt;FQL&gt;&lt;Q&gt;EPHE^FG_PRICE(0,-200D)&lt;/Q&gt;&lt;R&gt;201&lt;/R&gt;&lt;C&gt;1&lt;/C&gt;&lt;D xsi:type="xsd:double"&gt;26.97&lt;/D&gt;&lt;D xsi:type="xsd:double"&gt;26.94&lt;/D&gt;&lt;D xsi:type="xsd:double"&gt;27.25&lt;/D&gt;&lt;D xsi:type="xsd:double"&gt;26.93&lt;/D&gt;&lt;D xsi:type="xsd:double"&gt;26.42&lt;/D&gt;&lt;D xsi:type="xsd:double"&gt;26.73&lt;/D&gt;&lt;D xsi:type="xsd:double"&gt;26.45&lt;/D&gt;&lt;D xsi:type="xsd:double"&gt;26.33&lt;/D&gt;&lt;D xsi:type="xsd:double"&gt;26.45&lt;/D&gt;&lt;D xsi:type="xsd:double"&gt;26.24&lt;/D&gt;&lt;D xsi:type="xsd:double"&gt;25.97&lt;/D&gt;&lt;D xsi:type="xsd:double"&gt;25.65&lt;/D&gt;&lt;D xsi:type="xsd:double"&gt;26.33&lt;/D&gt;&lt;D xsi:type="xsd:double"&gt;26.23&lt;/D&gt;&lt;D xsi:type="xsd:double"&gt;26.03&lt;/D&gt;&lt;D xsi:type="xsd:double"&gt;26.21&lt;/D&gt;&lt;D xsi:type="xsd:double"&gt;26.35&lt;/D&gt;&lt;D xsi:type="xsd:double"&gt;26.27&lt;/D&gt;&lt;D xsi:type="xsd:double"&gt;26&lt;/D&gt;&lt;D xsi:type="xsd:double"&gt;26.42&lt;/D&gt;&lt;D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xsi:type="xsd:double"&gt;25.06&lt;/D&gt;&lt;D xsi:type="xsd:double"&gt;25.09&lt;/D&gt;&lt;D xsi:type="xsd:double"&gt;25.08&lt;/D&gt;&lt;D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xsi:type="xsd:double"&gt;26.41&lt;/D&gt;&lt;/FQL&gt;&lt;FQL&gt;&lt;Q&gt;EWQ^FG_TOTAL_RETURNC(-5AY,0,AM)&lt;/Q&gt;&lt;R&gt;61&lt;/R&gt;&lt;C&gt;1&lt;/C&gt;&lt;D xsi:type="xsd:double"&gt;0.52940845&lt;/D&gt;&lt;D xsi:type="xsd:double"&gt;4.0959716&lt;/D&gt;&lt;D xsi:type="xsd:double"&gt;2.3046613&lt;/D&gt;&lt;D xsi:type="xsd:double"&gt;3.1318665&lt;/D&gt;&lt;D xsi:type="xsd:double"&gt;5.372882&lt;/D&gt;&lt;D xsi:type="xsd:double"&gt;-3.55317&lt;/D&gt;&lt;D xsi:type="xsd:double"&gt;4.8502564&lt;/D&gt;&lt;D xsi:type="xsd:double"&gt;-1.8958569&lt;/D&gt;&lt;D xsi:type="xsd:double"&gt;-2.2159278&lt;/D&gt;&lt;D xsi:type="xsd:double"&gt;5.559945&lt;/D&gt;&lt;D xsi:type="xsd:double"&gt;-3.826481&lt;/D&gt;&lt;D xsi:type="xsd:double"&gt;4.7745943&lt;/D&gt;&lt;D xsi:type="xsd:double"&gt;-4.8879805&lt;/D&gt;&lt;D xsi:type="xsd:double"&gt;-12.981802&lt;/D&gt;&lt;D xsi:type="xsd:double"&gt;5.8136106&lt;/D&gt;&lt;D xsi:type="xsd:double"&gt;-5.7267485&lt;/D&gt;&lt;D xsi:type="xsd:double"&gt;-4.288268&lt;/D&gt;&lt;D xsi:type="xsd:double"&gt;-2.9850721&lt;/D&gt;&lt;D xsi:type="xsd:double"&gt;11.487186&lt;/D&gt;&lt;D xsi:type="xsd:double"&gt;-8.739651&lt;/D&gt;&lt;D xsi:type="xsd:double"&gt;-6.518817&lt;/D&gt;&lt;D xsi:type="xsd:double"&gt;18.296194&lt;/D&gt;&lt;D xsi:type="xsd:double"&gt;4.0506363&lt;/D&gt;&lt;D xsi:type="xsd:double"&gt;6.858146&lt;/D&gt;&lt;D xsi:type="xsd:double"&gt;1.3439417&lt;/D&gt;&lt;D xsi:type="xsd:double"&gt;-3.382951&lt;/D&gt;&lt;D xsi:type="xsd:double"&gt;10.504198&lt;/D&gt;&lt;D xsi:type="xsd:double"&gt;-1.8504441&lt;/D&gt;&lt;D xsi:type="xsd:double"&gt;-1.1176467&lt;/D&gt;&lt;D xsi:type="xsd:double"&gt;5.6608796&lt;/D&gt;&lt;D xsi:type="xsd:double"&gt;-3.3864021&lt;/D&gt;&lt;D xsi:type="xsd:double"&gt;-4.2898235&lt;/D&gt;&lt;D xsi:type="xsd:double"&gt;-5.1380215&lt;/D&gt;&lt;D xsi:type="xsd:double"&gt;3.0250669&lt;/D&gt;&lt;D xsi:type="xsd:double"&gt;9.004474&lt;/D&gt;&lt;D xsi:type="xsd:double"&gt;-0.84632635&lt;/D&gt;&lt;D xsi:type="xsd:double"&gt;-0.7031262&lt;/D&gt;&lt;D xsi:type="xsd:double"&gt;9.152889&lt;/D&gt;&lt;D xsi:type="xsd:double"&gt;-4.8294067&lt;/D&gt;&lt;D xsi:type="xsd:double"&gt;6.1095595&lt;/D&gt;&lt;D xsi:type="xsd:double"&gt;-5.175245&lt;/D&gt;&lt;D xsi:type="xsd:double"&gt;1.489079&lt;/D&gt;&lt;D xsi:type="xsd:double"&gt;-4.072857&lt;/D&gt;&lt;D xsi:type="xsd:double"&gt;3.1118155&lt;/D&gt;&lt;D xsi:type="xsd:double"&gt;0.61382055&lt;/D&gt;&lt;D xsi:type="xsd:double"&gt;-8.159632&lt;/D&gt;&lt;D xsi:type="xsd:double"&gt;1.9927979&lt;/D&gt;&lt;D xsi:type="xsd:double"&gt;-2.067995&lt;/D&gt;&lt;D xsi:type="xsd:double"&gt;11.3344555&lt;/D&gt;&lt;D xsi:type="xsd:double"&gt;1.479435&lt;/D&gt;&lt;D xsi:type="xsd:double"&gt;-3.7064493&lt;/D&gt;&lt;D xsi:type="xsd:double"&gt;8.031809&lt;/D&gt;&lt;D xsi:type="xsd:double"&gt;1.7339706&lt;/D&gt;&lt;D xsi:type="xsd:double"&gt;3.3353448&lt;/D&gt;&lt;D xsi:type="xsd:double"&gt;0.0693202&lt;/D&gt;&lt;D xsi:type="xsd:double"&gt;0.41561127&lt;/D&gt;&lt;D xsi:type="xsd:double"&gt;-0.32191873&lt;/D&gt;&lt;D xsi:type="xsd:double"&gt;3.8985014&lt;/D&gt;&lt;D xsi:type="xsd:double"&gt;-0.35523772&lt;/D&gt;&lt;D xsi:type="xsd:double"&gt;2.926147&lt;/D&gt;&lt;D xsi:type="xsd:double"&gt;1.6101003&lt;/D&gt;&lt;/FQL&gt;&lt;FQL&gt;&lt;Q&gt;SPY^FG_TOTAL_RETURNC(-5AY,0,AM)&lt;/Q&gt;&lt;R&gt;61&lt;/R&gt;&lt;C&gt;1&lt;/C&gt;&lt;D xsi:type="xsd:double"&gt;3.3834456999999998&lt;/D&gt;&lt;D xsi:type="xsd:double"&gt;0.36164522&lt;/D&gt;&lt;D xsi:type="xsd:double"&gt;5.1145673&lt;/D&gt;&lt;D xsi:type="xsd:double"&gt;-0.624907&lt;/D&gt;&lt;D xsi:type="xsd:double"&gt;3.4196138&lt;/D&gt;&lt;D xsi:type="xsd:double"&gt;2.9988527&lt;/D&gt;&lt;D xsi:type="xsd:double"&gt;2.371502&lt;/D&gt;&lt;D xsi:type="xsd:double"&gt;0.14799833&lt;/D&gt;&lt;D xsi:type="xsd:double"&gt;-2.237451&lt;/D&gt;&lt;D xsi:type="xsd:double"&gt;7.373965&lt;/D&gt;&lt;D xsi:type="xsd:double"&gt;-0.14980435&lt;/D&gt;&lt;D xsi:type="xsd:double"&gt;-0.08294582&lt;/D&gt;&lt;D xsi:type="xsd:double"&gt;-5.1815805&lt;/D&gt;&lt;D xsi:type="xsd:double"&gt;-4.6292486&lt;/D&gt;&lt;D xsi:type="xsd:double"&gt;5.8567047&lt;/D&gt;&lt;D xsi:type="xsd:double"&gt;-9.381694&lt;/D&gt;&lt;D xsi:type="xsd:double"&gt;-6.6514015&lt;/D&gt;&lt;D xsi:type="xsd:double"&gt;1.4567375&lt;/D&gt;&lt;D xsi:type="xsd:double"&gt;12.741863&lt;/D&gt;&lt;D xsi:type="xsd:double"&gt;-7.960665&lt;/D&gt;&lt;D xsi:type="xsd:double"&gt;-6.516081&lt;/D&gt;&lt;D xsi:type="xsd:double"&gt;8.891439&lt;/D&gt;&lt;D xsi:type="xsd:double"&gt;0.868237&lt;/D&gt;&lt;D xsi:type="xsd:double"&gt;-0.4024744&lt;/D&gt;&lt;D xsi:type="xsd:double"&gt;3.595984&lt;/D&gt;&lt;D xsi:type="xsd:double"&gt;-6.654072&lt;/D&gt;&lt;D xsi:type="xsd:double"&gt;7.7088594&lt;/D&gt;&lt;D xsi:type="xsd:double"&gt;-0.45468807&lt;/D&gt;&lt;D xsi:type="xsd:double"&gt;6.0910106&lt;/D&gt;&lt;D xsi:type="xsd:double"&gt;3.3380628&lt;/D&gt;&lt;D xsi:type="xsd:double"&gt;-0.86973906&lt;/D&gt;&lt;D xsi:type="xsd:double"&gt;0.192976&lt;/D&gt;&lt;D xsi:type="xsd:double"&gt;-3.0165553&lt;/D&gt;&lt;D xsi:type="xsd:double"&gt;2.0139098&lt;/D&gt;&lt;D xsi:type="xsd:double"&gt;6.8856597&lt;/D&gt;&lt;D xsi:type="xsd:double"&gt;1.7249584&lt;/D&gt;&lt;D xsi:type="xsd:double"&gt;3.650248&lt;/D&gt;&lt;D xsi:type="xsd:double"&gt;4.430449&lt;/D&gt;&lt;D xsi:type="xsd:double"&gt;-0.68256855&lt;/D&gt;&lt;D xsi:type="xsd:double"&gt;1.9692659&lt;/D&gt;&lt;D xsi:type="xsd:double"&gt;4.135084&lt;/D&gt;&lt;D xsi:type="xsd:double"&gt;3.5669565&lt;/D&gt;&lt;D xsi:type="xsd:double"&gt;-3.2054186&lt;/D&gt;&lt;D xsi:type="xsd:double"&gt;3.6842346&lt;/D&gt;&lt;D xsi:type="xsd:double"&gt;3.4430623&lt;/D&gt;&lt;D xsi:type="xsd:double"&gt;3.0384064&lt;/D&gt;&lt;D xsi:type="xsd:double"&gt;1.1755109&lt;/D&gt;&lt;D xsi:type="xsd:double"&gt;-3.4568906&lt;/D&gt;&lt;D xsi:type="xsd:double"&gt;4.8745155&lt;/D&gt;&lt;D xsi:type="xsd:double"&gt;-9.56325&lt;/D&gt;&lt;D xsi:type="xsd:double"&gt;-2.8788865&lt;/D&gt;&lt;D xsi:type="xsd:double"&gt;9.907484&lt;/D&gt;&lt;D xsi:type="xsd:double"&gt;1.7313004&lt;/D&gt;&lt;D xsi:type="xsd:double"&gt;4.7685266&lt;/D&gt;&lt;D xsi:type="xsd:double"&gt;3.4107327&lt;/D&gt;&lt;D xsi:type="xsd:double"&gt;1.9414067&lt;/D&gt;&lt;D xsi:type="xsd:double"&gt;1.1346459&lt;/D&gt;&lt;D xsi:type="xsd:double"&gt;1.3573885&lt;/D&gt;&lt;D xsi:type="xsd:double"&gt;1.4463425&lt;/D&gt;&lt;D xsi:type="xsd:double"&gt;2.0596623&lt;/D&gt;&lt;D xsi:type="xsd:double"&gt;-1.732564&lt;/D&gt;&lt;/FQL&gt;&lt;FQL&gt;&lt;Q&gt;INDA^FG_TOTAL_RETURNC(-5AY,0,AM)&lt;/Q&gt;&lt;R&gt;61&lt;/R&gt;&lt;C&gt;1&lt;/C&gt;&lt;D xsi:type="xsd:double"&gt;3.2405138&lt;/D&gt;&lt;D xsi:type="xsd:double"&gt;-0.32550693&lt;/D&gt;&lt;D xsi:type="xsd:double"&gt;-5.6683006&lt;/D&gt;&lt;D xsi:type="xsd:double"&gt;3.635013&lt;/D&gt;&lt;D xsi:type="xsd:double"&gt;7.9735756&lt;/D&gt;&lt;D xsi:type="xsd:double"&gt;-2.2782564&lt;/D&gt;&lt;D xsi:type="xsd:double"&gt;4.6061516&lt;/D&gt;&lt;D xsi:type="xsd:double"&gt;6.8484306&lt;/D&gt;&lt;D xsi:type="xsd:double"&gt;1.1948109&lt;/D&gt;&lt;D xsi:type="xsd:double"&gt;1.6209722&lt;/D&gt;&lt;D xsi:type="xsd:double"&gt;-6.1453285&lt;/D&gt;&lt;D xsi:type="xsd:double"&gt;7.9315424&lt;/D&gt;&lt;D xsi:type="xsd:double"&gt;-8.550728&lt;/D&gt;&lt;D xsi:type="xsd:double"&gt;-4.709077&lt;/D&gt;&lt;D xsi:type="xsd:double"&gt;6.9375157&lt;/D&gt;&lt;D xsi:type="xsd:double"&gt;-10.086643&lt;/D&gt;&lt;D xsi:type="xsd:double"&gt;-2.3721337&lt;/D&gt;&lt;D xsi:type="xsd:double"&gt;0.050616264&lt;/D&gt;&lt;D xsi:type="xsd:double"&gt;10.574245&lt;/D&gt;&lt;D xsi:type="xsd:double"&gt;-0.48043728&lt;/D&gt;&lt;D xsi:type="xsd:double"&gt;-6.1839046&lt;/D&gt;&lt;D xsi:type="xsd:double"&gt;7.8902125&lt;/D&gt;&lt;D xsi:type="xsd:double"&gt;-1.862365&lt;/D&gt;&lt;D xsi:type="xsd:double"&gt;-1.7357111&lt;/D&gt;&lt;D xsi:type="xsd:double"&gt;-5.628824&lt;/D&gt;&lt;D xsi:type="xsd:double"&gt;-3.369099&lt;/D&gt;&lt;D xsi:type="xsd:double"&gt;4.209709&lt;/D&gt;&lt;D xsi:type="xsd:double"&gt;2.4039626&lt;/D&gt;&lt;D xsi:type="xsd:double"&gt;3.3897758&lt;/D&gt;&lt;D xsi:type="xsd:double"&gt;3.5881758&lt;/D&gt;&lt;D xsi:type="xsd:double"&gt;-1.2451887&lt;/D&gt;&lt;D xsi:type="xsd:double"&gt;3.4158707&lt;/D&gt;&lt;D xsi:type="xsd:double"&gt;-1.4409244&lt;/D&gt;&lt;D xsi:type="xsd:double"&gt;-0.08997321&lt;/D&gt;&lt;D xsi:type="xsd:double"&gt;7.9693913&lt;/D&gt;&lt;D xsi:type="xsd:double"&gt;4.1701436&lt;/D&gt;&lt;D xsi:type="xsd:double"&gt;0.02001524&lt;/D&gt;&lt;D xsi:type="xsd:double"&gt;0.92054605&lt;/D&gt;&lt;D xsi:type="xsd:double"&gt;2.4588466&lt;/D&gt;&lt;D xsi:type="xsd:double"&gt;0.0967741&lt;/D&gt;&lt;D xsi:type="xsd:double"&gt;5.5684447&lt;/D&gt;&lt;D xsi:type="xsd:double"&gt;4.5238137&lt;/D&gt;&lt;D xsi:type="xsd:double"&gt;-2.6984394&lt;/D&gt;&lt;D xsi:type="xsd:double"&gt;4.177916&lt;/D&gt;&lt;D xsi:type="xsd:double"&gt;-1.1408806&lt;/D&gt;&lt;D xsi:type="xsd:double"&gt;-6.8543434&lt;/D&gt;&lt;D xsi:type="xsd:double"&gt;4.298854&lt;/D&gt;&lt;D xsi:type="xsd:double"&gt;-8.170116&lt;/D&gt;&lt;D xsi:type="xsd:double"&gt;-0.5133331&lt;/D&gt;&lt;D xsi:type="xsd:double"&gt;-3.730899&lt;/D&gt;&lt;D xsi:type="xsd:double"&gt;4.638219&lt;/D&gt;&lt;D xsi:type="xsd:double"&gt;6.4026833&lt;/D&gt;&lt;D xsi:type="xsd:double"&gt;0.05555153&lt;/D&gt;&lt;D xsi:type="xsd:double"&gt;1.5544057&lt;/D&gt;&lt;D xsi:type="xsd:double"&gt;-3.9540827&lt;/D&gt;&lt;D xsi:type="xsd:double"&gt;0.83476305&lt;/D&gt;&lt;D xsi:type="xsd:double"&gt;-0.33866763&lt;/D&gt;&lt;D xsi:type="xsd:double"&gt;2.3220658&lt;/D&gt;&lt;D xsi:type="xsd:double"&gt;-1.9557238&lt;/D&gt;&lt;D xsi:type="xsd:double"&gt;-0.18817782&lt;/D&gt;&lt;D xsi:type="xsd:double"&gt;-0.28280616&lt;/D&gt;&lt;/FQL&gt;&lt;FQL&gt;&lt;Q&gt;EPU^FG_TOTAL_RETURNC(-5AY,0,AM)&lt;/Q&gt;&lt;R&gt;61&lt;/R&gt;&lt;C&gt;1&lt;/C&gt;&lt;D xsi:type="xsd:double"&gt;5.5197597&lt;/D&gt;&lt;D xsi:type="xsd:double"&gt;-2.09772&lt;/D&gt;&lt;D xsi:type="xsd:double"&gt;-3.1733096&lt;/D&gt;&lt;D xsi:type="xsd:double"&gt;-1.9047618&lt;/D&gt;&lt;D xsi:type="xsd:double"&gt;-11.019981&lt;/D&gt;&lt;D xsi:type="xsd:double"&gt;-6.828475&lt;/D&gt;&lt;D xsi:type="xsd:double"&gt;-7.780486&lt;/D&gt;&lt;D xsi:type="xsd:double"&gt;2.3352146&lt;/D&gt;&lt;D xsi:type="xsd:double"&gt;5.2999616&lt;/D&gt;&lt;D xsi:type="xsd:double"&gt;5.941975&lt;/D&gt;&lt;D xsi:type="xsd:double"&gt;-5.225551&lt;/D&gt;&lt;D xsi:type="xsd:double"&gt;18.74554&lt;/D&gt;&lt;D xsi:type="xsd:double"&gt;1.6506553&lt;/D&gt;&lt;D xsi:type="xsd:double"&gt;8.709776&lt;/D&gt;&lt;D xsi:type="xsd:double"&gt;-4.644215&lt;/D&gt;&lt;D xsi:type="xsd:double"&gt;-18.370836&lt;/D&gt;&lt;D xsi:type="xsd:double"&gt;2.8217912&lt;/D&gt;&lt;D xsi:type="xsd:double"&gt;-14.567203&lt;/D&gt;&lt;D xsi:type="xsd:double"&gt;12.438213&lt;/D&gt;&lt;D xsi:type="xsd:double"&gt;-5.9340596&lt;/D&gt;&lt;D xsi:type="xsd:double"&gt;-1.1292875&lt;/D&gt;&lt;D xsi:type="xsd:double"&gt;16.423786&lt;/D&gt;&lt;D xsi:type="xsd:double"&gt;-0.82348585&lt;/D&gt;&lt;D xsi:type="xsd:double"&gt;11.489069&lt;/D&gt;&lt;D xsi:type="xsd:double"&gt;-6.5068426&lt;/D&gt;&lt;D xsi:type="xsd:double"&gt;-3.0303001&lt;/D&gt;&lt;D xsi:type="xsd:double"&gt;8.447802&lt;/D&gt;&lt;D xsi:type="xsd:double"&gt;-3.9582014&lt;/D&gt;&lt;D xsi:type="xsd:double"&gt;3.9941072&lt;/D&gt;&lt;D xsi:type="xsd:double"&gt;5.2835464&lt;/D&gt;&lt;D xsi:type="xsd:double"&gt;1.0645986&lt;/D&gt;&lt;D xsi:type="xsd:double"&gt;-4.301399&lt;/D&gt;&lt;D xsi:type="xsd:double"&gt;-7.1724596&lt;/D&gt;&lt;D xsi:type="xsd:double"&gt;-0.6373644&lt;/D&gt;&lt;D xsi:type="xsd:double"&gt;9.105074&lt;/D&gt;&lt;D xsi:type="xsd:double"&gt;9.958374&lt;/D&gt;&lt;D xsi:type="xsd:double"&gt;-1.7152905&lt;/D&gt;&lt;D xsi:type="xsd:double"&gt;14.942181&lt;/D&gt;&lt;D xsi:type="xsd:double"&gt;3.9182544&lt;/D&gt;&lt;D xsi:type="xsd:double"&gt;6.6015244&lt;/D&gt;&lt;D xsi:type="xsd:double"&gt;-3.3091009&lt;/D&gt;&lt;D xsi:type="xsd:double"&gt;5.192387&lt;/D&gt;&lt;D xsi:type="xsd:double"&gt;-6.084287&lt;/D&gt;&lt;D xsi:type="xsd:double"&gt;2.2291422&lt;/D&gt;&lt;D xsi:type="xsd:double"&gt;8.12664&lt;/D&gt;&lt;D xsi:type="xsd:double"&gt;-3.5119653&lt;/D&gt;&lt;D xsi:type="xsd:double"&gt;1.3235569&lt;/D&gt;&lt;D xsi:type="xsd:double"&gt;-3.9126158&lt;/D&gt;&lt;D xsi:type="xsd:double"&gt;5.634856&lt;/D&gt;&lt;D xsi:type="xsd:double"&gt;0.16595125&lt;/D&gt;&lt;D xsi:type="xsd:double"&gt;-0.3905356&lt;/D&gt;&lt;D xsi:type="xsd:double"&gt;7.1878433&lt;/D&gt;&lt;D xsi:type="xsd:double"&gt;7.0523143&lt;/D&gt;&lt;D xsi:type="xsd:double"&gt;3.0144095&lt;/D&gt;&lt;D xsi:type="xsd:double"&gt;6.81957&lt;/D&gt;&lt;D xsi:type="xsd:double"&gt;10.7515335&lt;/D&gt;&lt;D xsi:type="xsd:double"&gt;9.76665&lt;/D&gt;&lt;D xsi:type="xsd:double"&gt;-1.4035642&lt;/D&gt;&lt;D xsi:type="xsd:double"&gt;10.844528&lt;/D&gt;&lt;D xsi:type="xsd:double"&gt;17.348349&lt;/D&gt;&lt;D xsi:type="xsd:double"&gt;7.0132136&lt;/D&gt;&lt;/FQL&gt;&lt;FQL&gt;&lt;Q&gt;EZA^FG_TOTAL_RETURNC(-5AY,0,AM)&lt;/Q&gt;&lt;R&gt;61&lt;/R&gt;&lt;C&gt;1&lt;/C&gt;&lt;D xsi:type="xsd:double"&gt;12.046278&lt;/D&gt;&lt;D xsi:type="xsd:double"&gt;-0.97185373&lt;/D&gt;&lt;D xsi:type="xsd:double"&gt;2.5352716&lt;/D&gt;&lt;D xsi:type="xsd:double"&gt;-0.97706914&lt;/D&gt;&lt;D xsi:type="xsd:double"&gt;6.265497&lt;/D&gt;&lt;D xsi:type="xsd:double"&gt;-10.193157&lt;/D&gt;&lt;D xsi:type="xsd:double"&gt;3.1729221&lt;/D&gt;&lt;D xsi:type="xsd:double"&gt;-0.30959845&lt;/D&gt;&lt;D xsi:type="xsd:double"&gt;1.4078736&lt;/D&gt;&lt;D xsi:type="xsd:double"&gt;-2.5112271&lt;/D&gt;&lt;D xsi:type="xsd:double"&gt;-6.224805&lt;/D&gt;&lt;D xsi:type="xsd:double"&gt;11.101091&lt;/D&gt;&lt;D xsi:type="xsd:double"&gt;3.939879&lt;/D&gt;&lt;D xsi:type="xsd:double"&gt;2.3642063&lt;/D&gt;&lt;D xsi:type="xsd:double"&gt;2.672267&lt;/D&gt;&lt;D xsi:type="xsd:double"&gt;-15.634876&lt;/D&gt;&lt;D xsi:type="xsd:double"&gt;-5.1054597&lt;/D&gt;&lt;D xsi:type="xsd:double"&gt;-3.2526076&lt;/D&gt;&lt;D xsi:type="xsd:dou</t>
        </r>
      </text>
    </comment>
    <comment ref="A7" authorId="0" shapeId="0" xr:uid="{831FDB7B-E00F-45FE-8A91-84C0304DE5F5}">
      <text>
        <r>
          <rPr>
            <b/>
            <sz val="9"/>
            <color indexed="81"/>
            <rFont val="Tahoma"/>
            <charset val="1"/>
          </rPr>
          <t>ble"&gt;12.760735&lt;/D&gt;&lt;D xsi:type="xsd:double"&gt;-13.427645&lt;/D&gt;&lt;D xsi:type="xsd:double"&gt;-6.711912&lt;/D&gt;&lt;D xsi:type="xsd:double"&gt;18.162214&lt;/D&gt;&lt;D xsi:type="xsd:double"&gt;-0.39385557&lt;/D&gt;&lt;D xsi:type="xsd:double"&gt;10.808921&lt;/D&gt;&lt;D xsi:type="xsd:double"&gt;-8.181244&lt;/D&gt;&lt;D xsi:type="xsd:double"&gt;-7.6536474&lt;/D&gt;&lt;D xsi:type="xsd:double"&gt;7.9910994&lt;/D&gt;&lt;D xsi:type="xsd:double"&gt;-10.2176485&lt;/D&gt;&lt;D xsi:type="xsd:double"&gt;6.5117955&lt;/D&gt;&lt;D xsi:type="xsd:double"&gt;4.5576453&lt;/D&gt;&lt;D xsi:type="xsd:double"&gt;-5.151522&lt;/D&gt;&lt;D xsi:type="xsd:double"&gt;-4.1533527&lt;/D&gt;&lt;D xsi:type="xsd:double"&gt;-1.358974&lt;/D&gt;&lt;D xsi:type="xsd:double"&gt;0.25993586&lt;/D&gt;&lt;D xsi:type="xsd:double"&gt;3.8371801&lt;/D&gt;&lt;D xsi:type="xsd:double"&gt;0.0852108&lt;/D&gt;&lt;D xsi:type="xsd:double"&gt;-5.279112&lt;/D&gt;&lt;D xsi:type="xsd:double"&gt;5.733335&lt;/D&gt;&lt;D xsi:type="xsd:double"&gt;-0.1261115&lt;/D&gt;&lt;D xsi:type="xsd:double"&gt;8.459604&lt;/D&gt;&lt;D xsi:type="xsd:double"&gt;-4.5077085&lt;/D&gt;&lt;D xsi:type="xsd:double"&gt;11.688948&lt;/D&gt;&lt;D xsi:type="xsd:double"&gt;-0.620842&lt;/D&gt;&lt;D xsi:type="xsd:double"&gt;3.4582734&lt;/D&gt;&lt;D xsi:type="xsd:double"&gt;7.9577327&lt;/D&gt;&lt;D xsi:type="xsd:double"&gt;-7.4510574&lt;/D&gt;&lt;D xsi:type="xsd:double"&gt;5.806172&lt;/D&gt;&lt;D xsi:type="xsd:double"&gt;-12.264353&lt;/D&gt;&lt;D xsi:type="xsd:double"&gt;12.858189&lt;/D&gt;&lt;D xsi:type="xsd:double"&gt;-0.4774332&lt;/D&gt;&lt;D xsi:type="xsd:double"&gt;-0.52333474&lt;/D&gt;&lt;D xsi:type="xsd:double"&gt;10.499787&lt;/D&gt;&lt;D xsi:type="xsd:double"&gt;5.7329893&lt;/D&gt;&lt;D xsi:type="xsd:double"&gt;0.5722523&lt;/D&gt;&lt;D xsi:type="xsd:double"&gt;10.154772&lt;/D&gt;&lt;D xsi:type="xsd:double"&gt;3.786838&lt;/D&gt;&lt;D xsi:type="xsd:double"&gt;8.981347&lt;/D&gt;&lt;D xsi:type="xsd:double"&gt;2.757156&lt;/D&gt;&lt;D xsi:type="xsd:double"&gt;1.179409&lt;/D&gt;&lt;D xsi:type="xsd:double"&gt;12.352716&lt;/D&gt;&lt;D xsi:type="xsd:double"&gt;3.0510426&lt;/D&gt;&lt;/FQL&gt;&lt;FQL&gt;&lt;Q&gt;EWJ^FG_TOTAL_RETURNC(-5AY,0,AM)&lt;/Q&gt;&lt;R&gt;61&lt;/R&gt;&lt;C&gt;1&lt;/C&gt;&lt;D xsi:type="xsd:double"&gt;3.3959627&lt;/D&gt;&lt;D xsi:type="xsd:double"&gt;-3.6477983&lt;/D&gt;&lt;D xsi:type="xsd:double"&gt;1.0733962&lt;/D&gt;&lt;D xsi:type="xsd:double"&gt;-5.32434&lt;/D&gt;&lt;D xsi:type="xsd:double"&gt;5.177474&lt;/D&gt;&lt;D xsi:type="xsd:double"&gt;-0.6823361&lt;/D&gt;&lt;D xsi:type="xsd:double"&gt;0.33620596&lt;/D&gt;&lt;D xsi:type="xsd:double"&gt;7.532048&lt;/D&gt;&lt;D xsi:type="xsd:double"&gt;-8.305102&lt;/D&gt;&lt;D xsi:type="xsd:double"&gt;3.5461068&lt;/D&gt;&lt;D xsi:type="xsd:double"&gt;-3.2846272&lt;/D&gt;&lt;D xsi:type="xsd:double"&gt;0.62789917&lt;/D&gt;&lt;D xsi:type="xsd:double"&gt;-4.9769697&lt;/D&gt;&lt;D xsi:type="xsd:double"&gt;-8.474046&lt;/D&gt;&lt;D xsi:type="xsd:double"&gt;0.034165382&lt;/D&gt;&lt;D xsi:type="xsd:double"&gt;-3.82514&lt;/D&gt;&lt;D xsi:type="xsd:double"&gt;-4.508078&lt;/D&gt;&lt;D xsi:type="xsd:double"&gt;-0.9951174&lt;/D&gt;&lt;D xsi:type="xsd:double"&gt;8.15475&lt;/D&gt;&lt;D xsi:type="xsd:double"&gt;-9.977203&lt;/D&gt;&lt;D xsi:type="xsd:double"&gt;-4.2267265&lt;/D&gt;&lt;D xsi:type="xsd:double"&gt;11.734796&lt;/D&gt;&lt;D xsi:type="xsd:double"&gt;2.009976&lt;/D&gt;&lt;D xsi:type="xsd:double"&gt;1.5200377&lt;/D&gt;&lt;D xsi:type="xsd:double"&gt;2.3251653&lt;/D&gt;&lt;D xsi:type="xsd:double"&gt;-3.184712&lt;/D&gt;&lt;D xsi:type="xsd:double"&gt;4.694164&lt;/D&gt;&lt;D xsi:type="xsd:double"&gt;2.24185&lt;/D&gt;&lt;D xsi:type="xsd:double"&gt;6.2431097&lt;/D&gt;&lt;D xsi:type="xsd:double"&gt;-0.51959753&lt;/D&gt;&lt;D xsi:type="xsd:double"&gt;-2.8648317&lt;/D&gt;&lt;D xsi:type="xsd:double"&gt;1.4828086&lt;/D&gt;&lt;D xsi:type="xsd:double"&gt;-4.3352547&lt;/D&gt;&lt;D xsi:type="xsd:double"&gt;1.4434338&lt;/D&gt;&lt;D xsi:type="xsd:double"&gt;5.906689&lt;/D&gt;&lt;D xsi:type="xsd:double"&gt;5.2434325&lt;/D&gt;&lt;D xsi:type="xsd:double"&gt;0.46665668&lt;/D&gt;&lt;D xsi:type="xsd:double"&gt;3.9406776&lt;/D&gt;&lt;D xsi:type="xsd:double"&gt;-0.44688582&lt;/D&gt;&lt;D xsi:type="xsd:double"&gt;-1.9982576&lt;/D&gt;&lt;D xsi:type="xsd:double"&gt;-0.04159212&lt;/D&gt;&lt;D xsi:type="xsd:double"&gt;6.329119&lt;/D&gt;&lt;D xsi:type="xsd:double"&gt;-5.3081217&lt;/D&gt;&lt;D xsi:type="xsd:double"&gt;3.3427&lt;/D&gt;&lt;D xsi:type="xsd:double"&gt;1.6888499&lt;/D&gt;&lt;D xsi:type="xsd:double"&gt;-4.658699&lt;/D&gt;&lt;D xsi:type="xsd:double"&gt;2.6572227&lt;/D&gt;&lt;D xsi:type="xsd:double"&gt;-4.449421&lt;/D&gt;&lt;D xsi:type="xsd:double"&gt;5.86977&lt;/D&gt;&lt;D xsi:type="xsd:double"&gt;0&lt;/D&gt;&lt;D xsi:type="xsd:double"&gt;-4.9667954&lt;/D&gt;&lt;D xsi:type="xsd:double"&gt;9.76907&lt;/D&gt;&lt;D xsi:type="xsd:double"&gt;1.8685102&lt;/D&gt;&lt;D xsi:type="xsd:double"&gt;-0.8902252&lt;/D&gt;&lt;D xsi:type="xsd:double"&gt;9.549475&lt;/D&gt;&lt;D xsi:type="xsd:double"&gt;1.8796563&lt;/D&gt;&lt;D xsi:type="xsd:double"&gt;-1.8202066&lt;/D&gt;&lt;D xsi:type="xsd:double"&gt;4.6916366&lt;/D&gt;&lt;D xsi:type="xsd:double"&gt;1.1926293&lt;/D&gt;&lt;D xsi:type="xsd:double"&gt;4.3424845&lt;/D&gt;&lt;D xsi:type="xsd:double"&gt;11.130846&lt;/D&gt;&lt;/FQL&gt;&lt;FQL&gt;&lt;Q&gt;EWG^FG_TOTAL_RETURNC(-5AY,0,AM)&lt;/Q&gt;&lt;R&gt;61&lt;/R&gt;&lt;C&gt;1&lt;/C&gt;&lt;D xsi:type="xsd:double"&gt;1.6034603&lt;/D&gt;&lt;D xsi:type="xsd:double"&gt;0.72836876&lt;/D&gt;&lt;D xsi:type="xsd:double"&gt;4.609835&lt;/D&gt;&lt;D xsi:type="xsd:double"&gt;0.05760193&lt;/D&gt;&lt;D xsi:type="xsd:double"&gt;4.2752624&lt;/D&gt;&lt;D xsi:type="xsd:double"&gt;-2.1336257&lt;/D&gt;&lt;D xsi:type="xsd:double"&gt;1.3769388&lt;/D&gt;&lt;D xsi:type="xsd:double"&gt;-1.7260909&lt;/D&gt;&lt;D xsi:type="xsd:double"&gt;-5.1252484&lt;/D&gt;&lt;D xsi:type="xsd:double"&gt;3.5204887&lt;/D&gt;&lt;D xsi:type="xsd:double"&gt;-4.4978023&lt;/D&gt;&lt;D xsi:type="xsd:double"&gt;3.2313824&lt;/D&gt;&lt;D xsi:type="xsd:double"&gt;-5.308938&lt;/D&gt;&lt;D xsi:type="xsd:double"&gt;-15.394365&lt;/D&gt;&lt;D xsi:type="xsd:double"&gt;2.3212314&lt;/D&gt;&lt;D xsi:type="xsd:double"&gt;-5.6714177&lt;/D&gt;&lt;D xsi:type="xsd:double"&gt;-4.1460094&lt;/D&gt;&lt;D xsi:type="xsd:double"&gt;-8.719235&lt;/D&gt;&lt;D xsi:type="xsd:double"&gt;10.603296&lt;/D&gt;&lt;D xsi:type="xsd:double"&gt;-8.719009&lt;/D&gt;&lt;D xsi:type="xsd:double"&gt;-7.8768673&lt;/D&gt;&lt;D xsi:type="xsd:double"&gt;22.014736&lt;/D&gt;&lt;D xsi:type="xsd:double"&gt;3.5386205&lt;/D&gt;&lt;D xsi:type="xsd:double"&gt;8.132291&lt;/D&gt;&lt;D xsi:type="xsd:double"&gt;0.8636236&lt;/D&gt;&lt;D xsi:type="xsd:double"&gt;-3.853017&lt;/D&gt;&lt;D xsi:type="xsd:double"&gt;8.237469&lt;/D&gt;&lt;D xsi:type="xsd:double"&gt;-1.0970175&lt;/D&gt;&lt;D xsi:type="xsd:double"&gt;1.107645&lt;/D&gt;&lt;D xsi:type="xsd:double"&gt;3.4519196&lt;/D&gt;&lt;D xsi:type="xsd:double"&gt;-4.290092&lt;/D&gt;&lt;D xsi:type="xsd:double"&gt;-3.6641777&lt;/D&gt;&lt;D xsi:type="xsd:double"&gt;-5.1698685&lt;/D&gt;&lt;D xsi:type="xsd:double"&gt;2.8426766&lt;/D&gt;&lt;D xsi:type="xsd:double"&gt;11.662245&lt;/D&gt;&lt;D xsi:type="xsd:double"&gt;-0.9103775&lt;/D&gt;&lt;D xsi:type="xsd:double"&gt;-1.403147&lt;/D&gt;&lt;D xsi:type="xsd:double"&gt;9.024644&lt;/D&gt;&lt;D xsi:type="xsd:double"&gt;-3.6930919&lt;/D&gt;&lt;D xsi:type="xsd:double"&gt;6.347096&lt;/D&gt;&lt;D xsi:type="xsd:double"&gt;-2.5022507&lt;/D&gt;&lt;D xsi:type="xsd:double"&gt;4.2796493&lt;/D&gt;&lt;D xsi:type="xsd:double"&gt;-4.3859663&lt;/D&gt;&lt;D xsi:type="xsd:double"&gt;6.1599016&lt;/D&gt;&lt;D xsi:type="xsd:double"&gt;2.4382591&lt;/D&gt;&lt;D xsi:type="xsd:double"&gt;-5.8752594&lt;/D&gt;&lt;D xsi:type="xsd:double"&gt;6.0179234&lt;/D&gt;&lt;D xsi:type="xsd:double"&gt;-3.7741482&lt;/D&gt;&lt;D xsi:type="xsd:double"&gt;14.245367&lt;/D&gt;&lt;D xsi:type="xsd:double"&gt;3.2408714&lt;/D&gt;&lt;D xsi:type="xsd:double"&gt;-3.2455444&lt;/D&gt;&lt;D xsi:type="xsd:double"&gt;11.602974&lt;/D&gt;&lt;D xsi:type="xsd:double"&gt;2.266562&lt;/D&gt;&lt;D xsi:type="xsd:double"&gt;3.9535522&lt;/D&gt;&lt;D xsi:type="xsd:double"&gt;-0.16489625&lt;/D&gt;&lt;D xsi:type="xsd:double"&gt;-2.5247753&lt;/D&gt;&lt;D xsi:type="xsd:double"&gt;1.1377335&lt;/D&gt;&lt;D xsi:type="xsd:double"&gt;-1.2685478&lt;/D&gt;&lt;D xsi:type="xsd:double"&gt;2.2545457&lt;/D&gt;&lt;D xsi:type="xsd:double"&gt;3.2953978&lt;/D&gt;&lt;D xsi:type="xsd:double"&gt;0.9180665&lt;/D&gt;&lt;/FQL&gt;&lt;FQL&gt;&lt;Q&gt;EWM^FG_TOTAL_RETURNC(-5AY,0,AM)&lt;/Q&gt;&lt;R&gt;61&lt;/R&gt;&lt;C&gt;1&lt;/C&gt;&lt;D xsi:type="xsd:double"&gt;-2.6096046&lt;/D&gt;&lt;D xsi:type="xsd:double"&gt;-1.1075377&lt;/D&gt;&lt;D xsi:type="xsd:double"&gt;-0.975436&lt;/D&gt;&lt;D xsi:type="xsd:double"&gt;-0.94856024&lt;/D&gt;&lt;D xsi:type="xsd:double"&gt;0.64225197&lt;/D&gt;&lt;D xsi:type="xsd:double"&gt;-5.813509&lt;/D&gt;&lt;D xsi:type="xsd:double"&gt;-0.7214427&lt;/D&gt;&lt;D xsi:type="xsd:double"&gt;6.0153365&lt;/D&gt;&lt;D xsi:type="xsd:double"&gt;2.0563602&lt;/D&gt;&lt;D xsi:type="xsd:double"&gt;-4.5149207&lt;/D&gt;&lt;D xsi:type="xsd:double"&gt;-3.9782524&lt;/D&gt;&lt;D xsi:type="xsd:double"&gt;6.1790586&lt;/D&gt;&lt;D xsi:type="xsd:double"&gt;-0.51465034&lt;/D&gt;&lt;D xsi:type="xsd:double"&gt;-0.31834245&lt;/D&gt;&lt;D xsi:type="xsd:double"&gt;2.7544975&lt;/D&gt;&lt;D xsi:type="xsd:double"&gt;-7.420355&lt;/D&gt;&lt;D xsi:type="xsd:double"&gt;-5.748934&lt;/D&gt;&lt;D xsi:type="xsd:double"&gt;-3.3621073&lt;/D&gt;&lt;D xsi:type="xsd:double"&gt;7.1462154&lt;/D&gt;&lt;D xsi:type="xsd:double"&gt;-3.773588&lt;/D&gt;&lt;D xsi:type="xsd:double"&gt;-9.347927&lt;/D&gt;&lt;D xsi:type="xsd:double"&gt;9.104633&lt;/D&gt;&lt;D xsi:type="xsd:double"&gt;5.2972317&lt;/D&gt;&lt;D xsi:type="xsd:double"&gt;3.6693215&lt;/D&gt;&lt;D xsi:type="xsd:double"&gt;-2.1748424&lt;/D&gt;&lt;D xsi:type="xsd:double"&gt;-6.0157003&lt;/D&gt;&lt;D xsi:type="xsd:double"&gt;4.5918345&lt;/D&gt;&lt;D xsi:type="xsd:double"&gt;-3.9024353&lt;/D&gt;&lt;D xsi:type="xsd:double"&gt;-4.909378&lt;/D&gt;&lt;D xsi:type="xsd:double"&gt;3.11265&lt;/D&gt;&lt;D xsi:type="xsd:double"&gt;2.2999525&lt;/D&gt;&lt;D xsi:type="xsd:double"&gt;-0.9836137&lt;/D&gt;&lt;D xsi:type="xsd:double"&gt;-1.4191091&lt;/D&gt;&lt;D xsi:type="xsd:double"&gt;0.81573725&lt;/D&gt;&lt;D xsi:type="xsd:double"&gt;1.2375116&lt;/D&gt;&lt;D xsi:type="xsd:double"&gt;2.34164&lt;/D&gt;&lt;D xsi:type="xsd:double"&gt;-1.0285139&lt;/D&gt;&lt;D xsi:type="xsd:double"&gt;3.8734078&lt;/D&gt;&lt;D xsi:type="xsd:double"&gt;-1.5916348&lt;/D&gt;&lt;D xsi:type="xsd:double"&gt;5.5915&lt;/D&gt;&lt;D xsi:type="xsd:double"&gt;1.3793826&lt;/D&gt;&lt;D xsi:type="xsd:double"&gt;2.2807002&lt;/D&gt;&lt;D xsi:type="xsd:double"&gt;3.7307024&lt;/D&gt;&lt;D xsi:type="xsd:double"&gt;7.193053&lt;/D&gt;&lt;D xsi:type="xsd:double"&gt;-0.115698576&lt;/D&gt;&lt;D xsi:type="xsd:double"&gt;-5.5598497&lt;/D&gt;&lt;D xsi:type="xsd:double"&gt;1.2673855&lt;/D&gt;&lt;D xsi:type="xsd:double"&gt;-3.0176878&lt;/D&gt;&lt;D xsi:type="xsd:double"&gt;3.2230735&lt;/D&gt;&lt;D xsi:type="xsd:double"&gt;-5.875105&lt;/D&gt;&lt;D xsi:type="xsd:double"&gt;-1.9642115&lt;/D&gt;&lt;D xsi:type="xsd:double"&gt;10.730195&lt;/D&gt;&lt;D xsi:type="xsd:double"&gt;-2.452755&lt;/D&gt;&lt;D xsi:type="xsd:double"&gt;1.3649344&lt;/D&gt;&lt;D xsi:type="xsd:double"&gt;4.941857&lt;/D&gt;&lt;D xsi:type="xsd:double"&gt;0.7914424&lt;/D&gt;&lt;D xsi:type="xsd:double"&gt;0.9422898&lt;/D&gt;&lt;D xsi:type="xsd:double"&gt;3.0727386&lt;/D&gt;&lt;D xsi:type="xsd:double"&gt;1.8113136&lt;/D&gt;&lt;D xsi:type="xsd:double"&gt;5.6168914&lt;/D&gt;&lt;D xsi:type="xsd:double"&gt;5.9536576&lt;/D&gt;&lt;/FQL&gt;&lt;FQL&gt;&lt;Q&gt;EWZ^FG_PRICE(0,-200D)&lt;/Q&gt;&lt;R&gt;201&lt;/R&gt;&lt;C&gt;1&lt;/C&gt;&lt;D xsi:type="xsd:double"&gt;38.06&lt;/D&gt;&lt;D xsi:type="xsd:double"&gt;38.49&lt;/D&gt;&lt;D xsi:type="xsd:double"&gt;39.16&lt;/D&gt;&lt;D xsi:type="xsd:double"&gt;38.32&lt;/D&gt;&lt;D xsi:type="xsd:double"&gt;38.42&lt;/D&gt;&lt;D xsi:type="xsd:double"&gt;37.56&lt;/D&gt;&lt;D xsi:type="xsd:double"&gt;36.91&lt;/D&gt;&lt;D xsi:type="xsd:double"&gt;36.98&lt;/D&gt;&lt;D xsi:type="xsd:double"&gt;38.04&lt;/D&gt;&lt;D xsi:type="xsd:double"&gt;37.45&lt;/D&gt;&lt;D xsi:type="xsd:double"&gt;37.04&lt;/D&gt;&lt;D xsi:type="xsd:double"&gt;38.12&lt;/D&gt;&lt;D xsi:type="xsd:double"&gt;38.33&lt;/D&gt;&lt;D xsi:type="xsd:double"&gt;37.89&lt;/D&gt;&lt;D xsi:type="xsd:double"&gt;36.61&lt;/D&gt;&lt;D xsi:type="xsd:double"&gt;36.59&lt;/D&gt;&lt;D xsi:type="xsd:double"&gt;35.95&lt;/D&gt;&lt;D xsi:type="xsd:double"&gt;35.02&lt;/D&gt;&lt;D xsi:type="xsd:double"&gt;33.62&lt;/D&gt;&lt;D xsi:type="xsd:double"&gt;33.17&lt;/D&gt;&lt;D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xsi:type="xsd:double"&gt;31.99&lt;/D&gt;&lt;D xsi:type="xsd:double"&gt;31.42&lt;/D&gt;&lt;D xsi:type="xsd:double"&gt;31.73&lt;/D&gt;&lt;D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xsi:type="xsd:double"&gt;27.36&lt;/D&gt;&lt;/FQL&gt;&lt;FQL&gt;&lt;Q&gt;EWD^FG_PRICE(0,-200D)&lt;/Q&gt;&lt;R&gt;201&lt;/R&gt;&lt;C&gt;1&lt;/C&gt;&lt;D xsi:type="xsd:double"&gt;53.47&lt;/D&gt;&lt;D xsi:type="xsd:double"&gt;53.42&lt;/D&gt;&lt;D xsi:type="xsd:double"&gt;54.56&lt;/D&gt;&lt;D xsi:type="xsd:double"&gt;54.17&lt;/D&gt;&lt;D xsi:type="xsd:double"&gt;53.38&lt;/D&gt;&lt;D xsi:type="xsd:double"&gt;52.93&lt;/D&gt;&lt;D xsi:type="xsd:double"&gt;51.86&lt;/D&gt;&lt;D xsi:type="xsd:double"&gt;52.92&lt;/D&gt;&lt;D xsi:type="xsd:double"&gt;53.23&lt;/D&gt;&lt;D xsi:type="xsd:double"&gt;52.88&lt;/D&gt;&lt;D xsi:type="xsd:double"&gt;52.27&lt;/D&gt;&lt;D xsi:type="xsd:double"&gt;53.45&lt;/D&gt;&lt;D xsi:type="xsd:double"&gt;52.93&lt;/D&gt;&lt;D xsi:type="xsd:double"&gt;53.64&lt;/D&gt;&lt;D xsi:type="xsd:double"&gt;52.72&lt;/D&gt;&lt;D xsi:type="xsd:double"&gt;52.38&lt;/D&gt;&lt;D xsi:type="xsd:double"&gt;51.74&lt;/D&gt;&lt;D xsi:type="xsd:double"&gt;51.52&lt;/D&gt;&lt;D xsi:type="xsd:double"&gt;50.46&lt;/D&gt;&lt;D xsi:type="xsd:double"&gt;51.31&lt;/D&gt;&lt;D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xsi:type="xsd:double"&gt;49.55&lt;/D&gt;&lt;D xsi:type="xsd:double"&gt;49.32&lt;/D&gt;&lt;D xsi:type="xsd:double"&gt;49.65&lt;/D&gt;&lt;D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xsi:type="xsd:double"&gt;43&lt;/D&gt;&lt;/FQL&gt;&lt;FQL&gt;&lt;Q&gt;ENZL^FG_PRICE(0,-200D)&lt;/Q&gt;&lt;R&gt;201&lt;/R&gt;&lt;C&gt;1&lt;/C&gt;&lt;D xsi:type="xsd:double"&gt;46.7721&lt;/D&gt;&lt;D xsi:type="xsd:double"&gt;47.4568&lt;/D&gt;&lt;D xsi:type="xsd:double"&gt;47.898&lt;/D&gt;&lt;D xsi:type="xsd:double"&gt;47.995&lt;/D&gt;&lt;D xsi:type="xsd:double"&gt;47.975&lt;/D&gt;&lt;D xsi:type="xsd:double"&gt;47.6&lt;/D&gt;&lt;D xsi:type="xsd:double"&gt;47.11&lt;/D&gt;&lt;D xsi:type="xsd:double"&gt;46.72&lt;/D&gt;&lt;D xsi:type="xsd:double"&gt;47.242&lt;/D&gt;&lt;D xsi:type="xsd:double"&gt;47.1177&lt;/D&gt;&lt;D xsi:type="xsd:double"&gt;46.9408&lt;/D&gt;&lt;D xsi:type="xsd:double"&gt;47.234&lt;/D&gt;&lt;D xsi:type="xsd:double"&gt;47.11&lt;/D&gt;&lt;D xsi:type="xsd:double"&gt;47.52&lt;/D&gt;&lt;D xsi:type="xsd:double"&gt;46.87&lt;/D&gt;&lt;D xsi:type="xsd:double"&gt;46.624&lt;/D&gt;&lt;D xsi:type="xsd:double"&gt;46.755&lt;/D&gt;&lt;D xsi:type="xsd:double"&gt;46.11&lt;/D&gt;&lt;D xsi:type="xsd:double"&gt;46.09&lt;/D&gt;&lt;D xsi:type="xsd:double"&gt;45.755&lt;/D&gt;&lt;D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xsi:type="xsd:double"&gt;45.41&lt;/D&gt;&lt;D xsi:type="xsd:double"&gt;45.41&lt;/D&gt;&lt;D xsi:type="xsd:double"&gt;45.73&lt;/D&gt;&lt;D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xsi:type="xsd:double"&gt;43.35&lt;/D&gt;&lt;/FQL&gt;&lt;FQL&gt;&lt;Q&gt;EWN^FG_PRICE(0,-200D)&lt;/Q&gt;&lt;R&gt;201&lt;/R&gt;&lt;C&gt;1&lt;/C&gt;&lt;D xsi:type="xsd:double"&gt;61.65&lt;/D&gt;&lt;D xsi:type="xsd:double"&gt;61.53&lt;/D&gt;&lt;D xsi:type="xsd:double"&gt;63.06&lt;/D&gt;&lt;D xsi:type="xsd:double"&gt;63.07&lt;/D&gt;&lt;D xsi:type="xsd:double"&gt;62.99&lt;/D&gt;&lt;D xsi:type="xsd:double"&gt;62.03&lt;/D&gt;&lt;D xsi:type="xsd:double"&gt;60.56&lt;/D&gt;&lt;D xsi:type="xsd:double"&gt;61.07&lt;/D&gt;&lt;D xsi:type="xsd:double"&gt;61.9&lt;/D&gt;&lt;D xsi:type="xsd:double"&gt;62.77&lt;/D&gt;&lt;D xsi:type="xsd:double"&gt;62.27&lt;/D&gt;&lt;D xsi:type="xsd:double"&gt;63.48&lt;/D&gt;&lt;D xsi:type="xsd:double"&gt;63.05&lt;/D&gt;&lt;D xsi:type="xsd:double"&gt;63.7&lt;/D&gt;&lt;D xsi:type="xsd:double"&gt;62.81&lt;/D&gt;&lt;D xsi:type="xsd:double"&gt;62.33&lt;/D&gt;&lt;D xsi:type="xsd:double"&gt;62.14&lt;/D&gt;&lt;D xsi:type="xsd:double"&gt;61.539&lt;/D&gt;&lt;D xsi:type="xsd:double"&gt;60.64&lt;/D&gt;&lt;D xsi:type="xsd:double"&gt;61.91&lt;/D&gt;&lt;D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xsi:type="xsd:double"&gt;57.227&lt;/D&gt;&lt;D xsi:type="xsd:double"&gt;57&lt;/D&gt;&lt;D xsi:type="xsd:double"&gt;57.16&lt;/D&gt;&lt;D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</t>
        </r>
      </text>
    </comment>
    <comment ref="A8" authorId="0" shapeId="0" xr:uid="{292D69C8-4356-484C-A893-7D9F53AF1AE6}">
      <text>
        <r>
          <rPr>
            <b/>
            <sz val="9"/>
            <color indexed="81"/>
            <rFont val="Tahoma"/>
            <charset val="1"/>
          </rPr>
          <t>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xsi:type="xsd:double"&gt;48.92&lt;/D&gt;&lt;/FQL&gt;&lt;FQL&gt;&lt;Q&gt;EWC^FG_PRICE(0,-200D)&lt;/Q&gt;&lt;R&gt;201&lt;/R&gt;&lt;C&gt;1&lt;/C&gt;&lt;D xsi:type="xsd:double"&gt;56.17&lt;/D&gt;&lt;D xsi:type="xsd:double"&gt;55.26&lt;/D&gt;&lt;D xsi:type="xsd:double"&gt;56.58&lt;/D&gt;&lt;D xsi:type="xsd:double"&gt;56.72&lt;/D&gt;&lt;D xsi:type="xsd:double"&gt;56.27&lt;/D&gt;&lt;D xsi:type="xsd:double"&gt;55.01&lt;/D&gt;&lt;D xsi:type="xsd:double"&gt;54.14&lt;/D&gt;&lt;D xsi:type="xsd:double"&gt;55.01&lt;/D&gt;&lt;D xsi:type="xsd:double"&gt;54.84&lt;/D&gt;&lt;D xsi:type="xsd:double"&gt;54.55&lt;/D&gt;&lt;D xsi:type="xsd:double"&gt;54.26&lt;/D&gt;&lt;D xsi:type="xsd:double"&gt;56.53&lt;/D&gt;&lt;D xsi:type="xsd:double"&gt;56.35&lt;/D&gt;&lt;D xsi:type="xsd:double"&gt;56.18&lt;/D&gt;&lt;D xsi:type="xsd:double"&gt;55.69&lt;/D&gt;&lt;D xsi:type="xsd:double"&gt;55.77&lt;/D&gt;&lt;D xsi:type="xsd:double"&gt;55.2&lt;/D&gt;&lt;D xsi:type="xsd:double"&gt;55.02&lt;/D&gt;&lt;D xsi:type="xsd:double"&gt;54.75&lt;/D&gt;&lt;D xsi:type="xsd:double"&gt;55.13&lt;/D&gt;&lt;D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xsi:type="xsd:double"&gt;54.3&lt;/D&gt;&lt;D xsi:type="xsd:double"&gt;54.33&lt;/D&gt;&lt;D xsi:type="xsd:double"&gt;54.8&lt;/D&gt;&lt;D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xsi:type="xsd:double"&gt;42.45&lt;/D&gt;&lt;/FQL&gt;&lt;FQL&gt;&lt;Q&gt;QAT^FG_PRICE(0,-200D)&lt;/Q&gt;&lt;R&gt;201&lt;/R&gt;&lt;C&gt;1&lt;/C&gt;&lt;D xsi:type="xsd:double"&gt;20.0967&lt;/D&gt;&lt;D xsi:type="xsd:double"&gt;20.075&lt;/D&gt;&lt;D xsi:type="xsd:double"&gt;20.125&lt;/D&gt;&lt;D xsi:type="xsd:double"&gt;20.095&lt;/D&gt;&lt;D xsi:type="xsd:double"&gt;20.1&lt;/D&gt;&lt;D xsi:type="xsd:double"&gt;19.94&lt;/D&gt;&lt;D xsi:type="xsd:double"&gt;19.82&lt;/D&gt;&lt;D xsi:type="xsd:double"&gt;19.96&lt;/D&gt;&lt;D xsi:type="xsd:double"&gt;19.9169&lt;/D&gt;&lt;D xsi:type="xsd:double"&gt;19.97&lt;/D&gt;&lt;D xsi:type="xsd:double"&gt;19.71&lt;/D&gt;&lt;D xsi:type="xsd:double"&gt;19.82&lt;/D&gt;&lt;D xsi:type="xsd:double"&gt;20&lt;/D&gt;&lt;D xsi:type="xsd:double"&gt;19.94&lt;/D&gt;&lt;D xsi:type="xsd:double"&gt;19.937&lt;/D&gt;&lt;D xsi:type="xsd:double"&gt;19.82&lt;/D&gt;&lt;D xsi:type="xsd:double"&gt;19.9&lt;/D&gt;&lt;D xsi:type="xsd:double"&gt;19.71&lt;/D&gt;&lt;D xsi:type="xsd:double"&gt;19.71&lt;/D&gt;&lt;D xsi:type="xsd:double"&gt;19.46&lt;/D&gt;&lt;D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xsi:type="xsd:double"&gt;18.2&lt;/D&gt;&lt;/FQL&gt;&lt;FQL&gt;&lt;Q&gt;EWT^FG_PRICE(0,-200D)&lt;/Q&gt;&lt;R&gt;201&lt;/R&gt;&lt;C&gt;1&lt;/C&gt;&lt;D xsi:type="xsd:double"&gt;73.05&lt;/D&gt;&lt;D xsi:type="xsd:double"&gt;72.56&lt;/D&gt;&lt;D xsi:type="xsd:double"&gt;73.35&lt;/D&gt;&lt;D xsi:type="xsd:double"&gt;71.44&lt;/D&gt;&lt;D xsi:type="xsd:double"&gt;70.76&lt;/D&gt;&lt;D xsi:type="xsd:double"&gt;70.05&lt;/D&gt;&lt;D xsi:type="xsd:double"&gt;67.86&lt;/D&gt;&lt;D xsi:type="xsd:double"&gt;68.15&lt;/D&gt;&lt;D xsi:type="xsd:double"&gt;68.83&lt;/D&gt;&lt;D xsi:type="xsd:double"&gt;68.94&lt;/D&gt;&lt;D xsi:type="xsd:double"&gt;68.06&lt;/D&gt;&lt;D xsi:type="xsd:double"&gt;69.83&lt;/D&gt;&lt;D xsi:type="xsd:double"&gt;71.19&lt;/D&gt;&lt;D xsi:type="xsd:double"&gt;71.32&lt;/D&gt;&lt;D xsi:type="xsd:double"&gt;69.94&lt;/D&gt;&lt;D xsi:type="xsd:double"&gt;69.71&lt;/D&gt;&lt;D xsi:type="xsd:double"&gt;68.25&lt;/D&gt;&lt;D xsi:type="xsd:double"&gt;67.45&lt;/D&gt;&lt;D xsi:type="xsd:double"&gt;66.54&lt;/D&gt;&lt;D xsi:type="xsd:double"&gt;67.34&lt;/D&gt;&lt;D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xsi:type="xsd:double"&gt;63.71&lt;/D&gt;&lt;D xsi:type="xsd:double"&gt;63.33&lt;/D&gt;&lt;D xsi:type="xsd:double"&gt;63.02&lt;/D&gt;&lt;D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xsi:type="xsd:double"&gt;47.15&lt;/D&gt;&lt;/FQL&gt;&lt;FQL&gt;&lt;Q&gt;CNYA^JULIAN(FG_PRICE(0,-200D).DATES)&lt;/Q&gt;&lt;R&gt;201&lt;/R&gt;&lt;C&gt;1&lt;/C&gt;&lt;D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xsi:type="xsd:long"&gt;45776&lt;/D&gt;&lt;/FQL&gt;&lt;FQL&gt;&lt;Q&gt;EWL^FG_TOTAL_RETURNC(-5AY,0,AM)&lt;/Q&gt;&lt;R&gt;61&lt;/R&gt;&lt;C&gt;1&lt;/C&gt;&lt;D xsi:type="xsd:double"&gt;0.08826256&lt;/D&gt;&lt;D xsi:type="xsd:double"&gt;-3.1084657&lt;/D&gt;&lt;D xsi:type="xsd:double"&gt;4.7554016&lt;/D&gt;&lt;D xsi:type="xsd:double"&gt;1.3683677&lt;/D&gt;&lt;D xsi:type="xsd:double"&gt;8.325684&lt;/D&gt;&lt;D xsi:type="xsd:double"&gt;-0.40290356&lt;/D&gt;&lt;D xsi:type="xsd:double"&gt;3.236246&lt;/D&gt;&lt;D xsi:type="xsd:double"&gt;-3.154391&lt;/D&gt;&lt;D xsi:type="xsd:double"&gt;-2.8727531&lt;/D&gt;&lt;D xsi:type="xsd:double"&gt;6.3736796&lt;/D&gt;&lt;D xsi:type="xsd:double"&gt;-0.3720343&lt;/D&gt;&lt;D xsi:type="xsd:double"&gt;0.88443756&lt;/D&gt;&lt;D xsi:type="xsd:double"&gt;-5.2211165&lt;/D&gt;&lt;D xsi:type="xsd:double"&gt;-7.173693&lt;/D&gt;&lt;D xsi:type="xsd:double"&gt;9.588135&lt;/D&gt;&lt;D xsi:type="xsd:double"&gt;-11.456865&lt;/D&gt;&lt;D xsi:type="xsd:double"&gt;-6.9714904&lt;/D&gt;&lt;D xsi:type="xsd:double"&gt;2.7284145&lt;/D&gt;&lt;D xsi:type="xsd:double"&gt;7.212472&lt;/D&gt;&lt;D xsi:type="xsd:double"&gt;-6.7954597&lt;/D&gt;&lt;D xsi:type="xsd:double"&gt;-8.997804&lt;/D&gt;&lt;D xsi:type="xsd:double"&gt;16.050375&lt;/D&gt;&lt;D xsi:type="xsd:double"&gt;0.23088455&lt;/D&gt;&lt;D xsi:type="xsd:double"&gt;2.741301&lt;/D&gt;&lt;D xsi:type="xsd:double"&gt;0.67265034&lt;/D&gt;&lt;D xsi:type="xsd:double"&gt;-4.07573&lt;/D&gt;&lt;D xsi:type="xsd:double"&gt;9.867657&lt;/D&gt;&lt;D xsi:type="xsd:double"&gt;2.1766663&lt;/D&gt;&lt;D xsi:type="xsd:double"&gt;-3.041768&lt;/D&gt;&lt;D xsi:type="xsd:double"&gt;2.9880047&lt;/D&gt;&lt;D xsi:type="xsd:double"&gt;-1.5247822&lt;/D&gt;&lt;D xsi:type="xsd:double"&gt;-3.1612933&lt;/D&gt;&lt;D xsi:type="xsd:double"&gt;-2.1763265&lt;/D&gt;&lt;D xsi:type="xsd:double"&gt;-2.20204&lt;/D&gt;&lt;D xsi:type="xsd:double"&gt;9.09934&lt;/D&gt;&lt;D xsi:type="xsd:double"&gt;1.8723369&lt;/D&gt;&lt;D xsi:type="xsd:double"&gt;-4.6992483&lt;/D&gt;&lt;D xsi:type="xsd:double"&gt;6.793773&lt;/D&gt;&lt;D xsi:type="xsd:double"&gt;-6.484711&lt;/D&gt;&lt;D xsi:type="xsd:double"&gt;4.696071&lt;/D&gt;&lt;D xsi:type="xsd:double"&gt;4.751289&lt;/D&gt;&lt;D xsi:type="xsd:double"&gt;1.6751766&lt;/D&gt;&lt;D xsi:type="xsd:double"&gt;0.36166906&lt;/D&gt;&lt;D xsi:type="xsd:double"&gt;2.882886&lt;/D&gt;&lt;D xsi:type="xsd:double"&gt;0.15567541&lt;/D&gt;&lt;D xsi:type="xsd:double"&gt;-7.5577974&lt;/D&gt;&lt;D xsi:type="xsd:double"&gt;-0.8406937&lt;/D&gt;&lt;D xsi:type="xsd:double"&gt;-2.161932&lt;/D&gt;&lt;D xsi:</t>
        </r>
      </text>
    </comment>
    <comment ref="A9" authorId="0" shapeId="0" xr:uid="{C1DEA73C-274F-452E-88EF-A901FDBC13AB}">
      <text>
        <r>
          <rPr>
            <b/>
            <sz val="9"/>
            <color indexed="81"/>
            <rFont val="Tahoma"/>
            <charset val="1"/>
          </rPr>
          <t>type="xsd:double"&gt;11.351824&lt;/D&gt;&lt;D xsi:type="xsd:double"&gt;1.4396787&lt;/D&gt;&lt;D xsi:type="xsd:double"&gt;-2.0905256&lt;/D&gt;&lt;D xsi:type="xsd:double"&gt;4.191971&lt;/D&gt;&lt;D xsi:type="xsd:double"&gt;3.8165092&lt;/D&gt;&lt;D xsi:type="xsd:double"&gt;0.94349384&lt;/D&gt;&lt;D xsi:type="xsd:double"&gt;-0.91407895&lt;/D&gt;&lt;D xsi:type="xsd:double"&gt;2.675283&lt;/D&gt;&lt;D xsi:type="xsd:double"&gt;0.7726908&lt;/D&gt;&lt;D xsi:type="xsd:double"&gt;3.156197&lt;/D&gt;&lt;D xsi:type="xsd:double"&gt;0.8988738&lt;/D&gt;&lt;D xsi:type="xsd:double"&gt;3.0837774&lt;/D&gt;&lt;D xsi:type="xsd:double"&gt;6.01629&lt;/D&gt;&lt;/FQL&gt;&lt;FQL&gt;&lt;Q&gt;UAE^FG_TOTAL_RETURNC(-5AY,0,AM)&lt;/Q&gt;&lt;R&gt;61&lt;/R&gt;&lt;C&gt;1&lt;/C&gt;&lt;D xsi:type="xsd:double"&gt;1.8245339&lt;/D&gt;&lt;D xsi:type="xsd:double"&gt;0.87685585&lt;/D&gt;&lt;D xsi:type="xsd:double"&gt;1.8140674&lt;/D&gt;&lt;D xsi:type="xsd:double"&gt;1.2620687&lt;/D&gt;&lt;D xsi:type="xsd:double"&gt;10.188543&lt;/D&gt;&lt;D xsi:type="xsd:double"&gt;-3.6501408&lt;/D&gt;&lt;D xsi:type="xsd:double"&gt;3.2330275&lt;/D&gt;&lt;D xsi:type="xsd:double"&gt;3.7680984&lt;/D&gt;&lt;D xsi:type="xsd:double"&gt;-2.6123464&lt;/D&gt;&lt;D xsi:type="xsd:double"&gt;10.44879&lt;/D&gt;&lt;D xsi:type="xsd:double"&gt;8.082271&lt;/D&gt;&lt;D xsi:type="xsd:double"&gt;-4.9591484&lt;/D&gt;&lt;D xsi:type="xsd:double"&gt;4.6040535&lt;/D&gt;&lt;D xsi:type="xsd:double"&gt;6.4553857&lt;/D&gt;&lt;D xsi:type="xsd:double"&gt;5.5126786&lt;/D&gt;&lt;D xsi:type="xsd:double"&gt;-9.613377&lt;/D&gt;&lt;D xsi:type="xsd:double"&gt;-6.3042345&lt;/D&gt;&lt;D xsi:type="xsd:double"&gt;-4.3533144&lt;/D&gt;&lt;D xsi:type="xsd:double"&gt;12.137198&lt;/D&gt;&lt;D xsi:type="xsd:double"&gt;-7.411766&lt;/D&gt;&lt;D xsi:type="xsd:double"&gt;-4.5743284&lt;/D&gt;&lt;D xsi:type="xsd:double"&gt;7.0572495&lt;/D&gt;&lt;D xsi:type="xsd:double"&gt;-7.5723944&lt;/D&gt;&lt;D xsi:type="xsd:double"&gt;1.1800408&lt;/D&gt;&lt;D xsi:type="xsd:double"&gt;0.1999259&lt;/D&gt;&lt;D xsi:type="xsd:double"&gt;-5.02162&lt;/D&gt;&lt;D xsi:type="xsd:double"&gt;2.2408962&lt;/D&gt;&lt;D xsi:type="xsd:double"&gt;1.3698578&lt;/D&gt;&lt;D xsi:type="xsd:double"&gt;-1.026398&lt;/D&gt;&lt;D xsi:type="xsd:double"&gt;6.5918565&lt;/D&gt;&lt;D xsi:type="xsd:double"&gt;0.3289461&lt;/D&gt;&lt;D xsi:type="xsd:double"&gt;-0.1311481&lt;/D&gt;&lt;D xsi:type="xsd:double"&gt;-6.2376857&lt;/D&gt;&lt;D xsi:type="xsd:double"&gt;2.4509788&lt;/D&gt;&lt;D xsi:type="xsd:double"&gt;-1.6746402&lt;/D&gt;&lt;D xsi:type="xsd:double"&gt;6.4256787&lt;/D&gt;&lt;D xsi:type="xsd:double"&gt;-4.7337294&lt;/D&gt;&lt;D xsi:type="xsd:double"&gt;0.2070427&lt;/D&gt;&lt;D xsi:type="xsd:double"&gt;-0.13774633&lt;/D&gt;&lt;D xsi:type="xsd:double"&gt;0.20689964&lt;/D&gt;&lt;D xsi:type="xsd:double"&gt;-4.789859&lt;/D&gt;&lt;D xsi:type="xsd:double"&gt;5.484593&lt;/D&gt;&lt;D xsi:type="xsd:double"&gt;3.4900308&lt;/D&gt;&lt;D xsi:type="xsd:double"&gt;3.991735&lt;/D&gt;&lt;D xsi:type="xsd:double"&gt;-2.3163438&lt;/D&gt;&lt;D xsi:type="xsd:double"&gt;3.7262917&lt;/D&gt;&lt;D xsi:type="xsd:double"&gt;1.1757016&lt;/D&gt;&lt;D xsi:type="xsd:double"&gt;8.193612&lt;/D&gt;&lt;D xsi:type="xsd:double"&gt;4.9581885&lt;/D&gt;&lt;D xsi:type="xsd:double"&gt;-4.496294&lt;/D&gt;&lt;D xsi:type="xsd:double"&gt;-1.6090631&lt;/D&gt;&lt;D xsi:type="xsd:double"&gt;11.205328&lt;/D&gt;&lt;D xsi:type="xsd:double"&gt;-2.614385&lt;/D&gt;&lt;D xsi:type="xsd:double"&gt;11.084914&lt;/D&gt;&lt;D xsi:type="xsd:double"&gt;3.7480593&lt;/D&gt;&lt;D xsi:type="xsd:double"&gt;-3.8133502&lt;/D&gt;&lt;D xsi:type="xsd:double"&gt;-0.052165985&lt;/D&gt;&lt;D xsi:type="xsd:double"&gt;0.1565814&lt;/D&gt;&lt;D xsi:type="xsd:double"&gt;0.8337617&lt;/D&gt;&lt;D xsi:type="xsd:double"&gt;3.1184912&lt;/D&gt;&lt;D xsi:type="xsd:double"&gt;11.032391&lt;/D&gt;&lt;/FQL&gt;&lt;FQL&gt;&lt;Q&gt;EWA^FG_PRICE(0,-200D)&lt;/Q&gt;&lt;R&gt;201&lt;/R&gt;&lt;C&gt;1&lt;/C&gt;&lt;D xsi:type="xsd:double"&gt;29.16&lt;/D&gt;&lt;D xsi:type="xsd:double"&gt;29.1&lt;/D&gt;&lt;D xsi:type="xsd:double"&gt;29.3&lt;/D&gt;&lt;D xsi:type="xsd:double"&gt;28.64&lt;/D&gt;&lt;D xsi:type="xsd:double"&gt;28.83&lt;/D&gt;&lt;D xsi:type="xsd:double"&gt;28.23&lt;/D&gt;&lt;D xsi:type="xsd:double"&gt;27.84&lt;/D&gt;&lt;D xsi:type="xsd:double"&gt;28.35&lt;/D&gt;&lt;D xsi:type="xsd:double"&gt;28.12&lt;/D&gt;&lt;D xsi:type="xsd:double"&gt;27.95&lt;/D&gt;&lt;D xsi:type="xsd:double"&gt;27.75&lt;/D&gt;&lt;D xsi:type="xsd:double"&gt;28.42&lt;/D&gt;&lt;D xsi:type="xsd:double"&gt;28.17&lt;/D&gt;&lt;D xsi:type="xsd:double"&gt;28.24&lt;/D&gt;&lt;D xsi:type="xsd:double"&gt;27.62&lt;/D&gt;&lt;D xsi:type="xsd:double"&gt;27.38&lt;/D&gt;&lt;D xsi:type="xsd:double"&gt;27.07&lt;/D&gt;&lt;D xsi:type="xsd:double"&gt;26.7&lt;/D&gt;&lt;D xsi:type="xsd:double"&gt;26.46&lt;/D&gt;&lt;D xsi:type="xsd:double"&gt;26.74&lt;/D&gt;&lt;D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xsi:type="xsd:double"&gt;26.41&lt;/D&gt;&lt;D xsi:type="xsd:double"&gt;26.48&lt;/D&gt;&lt;D xsi:type="xsd:double"&gt;26.68&lt;/D&gt;&lt;D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xsi:type="xsd:double"&gt;24.55&lt;/D&gt;&lt;/FQL&gt;&lt;FQL&gt;&lt;Q&gt;EWY^FG_TOTAL_RETURNC(-5AY,0,AM)&lt;/Q&gt;&lt;R&gt;61&lt;/R&gt;&lt;C&gt;1&lt;/C&gt;&lt;D xsi:type="xsd:double"&gt;-0.5285442&lt;/D&gt;&lt;D xsi:type="xsd:double"&gt;-6.4505816&lt;/D&gt;&lt;D xsi:type="xsd:double"&gt;5.0551057&lt;/D&gt;&lt;D xsi:type="xsd:double"&gt;-3.5250902&lt;/D&gt;&lt;D xsi:type="xsd:double"&gt;3.8332224&lt;/D&gt;&lt;D xsi:type="xsd:double"&gt;-2.126515&lt;/D&gt;&lt;D xsi:type="xsd:double"&gt;-4.764533&lt;/D&gt;&lt;D xsi:type="xsd:double"&gt;-2.443546&lt;/D&gt;&lt;D xsi:type="xsd:double"&gt;-7.0750237&lt;/D&gt;&lt;D xsi:type="xsd:double"&gt;1.8395543&lt;/D&gt;&lt;D xsi:type="xsd:double"&gt;-0.014400482&lt;/D&gt;&lt;D xsi:type="xsd:double"&gt;0.4357338&lt;/D&gt;&lt;D xsi:type="xsd:double"&gt;-6.979716&lt;/D&gt;&lt;D xsi:type="xsd:double"&gt;-7.9423904&lt;/D&gt;&lt;D xsi:type="xsd:double"&gt;4.678881&lt;/D&gt;&lt;D xsi:type="xsd:double"&gt;-6.7758026&lt;/D&gt;&lt;D xsi:type="xsd:double"&gt;-7.9859495&lt;/D&gt;&lt;D xsi:type="xsd:double"&gt;-5.40989&lt;/D&gt;&lt;D xsi:type="xsd:double"&gt;9.105265&lt;/D&gt;&lt;D xsi:type="xsd:double"&gt;-12.36533&lt;/D&gt;&lt;D xsi:type="xsd:double"&gt;-9.926605&lt;/D&gt;&lt;D xsi:type="xsd:double"&gt;23.71155&lt;/D&gt;&lt;D xsi:type="xsd:double"&gt;-2.9352605&lt;/D&gt;&lt;D xsi:type="xsd:double"&gt;7.158792&lt;/D&gt;&lt;D xsi:type="xsd:double"&gt;0.304389&lt;/D&gt;&lt;D xsi:type="xsd:double"&gt;-5.733907&lt;/D&gt;&lt;D xsi:type="xsd:double"&gt;8.454763&lt;/D&gt;&lt;D xsi:type="xsd:double"&gt;-7.405096&lt;/D&gt;&lt;D xsi:type="xsd:double"&gt;13.902485&lt;/D&gt;&lt;D xsi:type="xsd:double"&gt;-0.7998824&lt;/D&gt;&lt;D xsi:type="xsd:double"&gt;-5.748844&lt;/D&gt;&lt;D xsi:type="xsd:double"&gt;-1.7268717&lt;/D&gt;&lt;D xsi:type="xsd:double"&gt;-5.2716436&lt;/D&gt;&lt;D xsi:type="xsd:double"&gt;1.582706&lt;/D&gt;&lt;D xsi:type="xsd:double"&gt;6.902337&lt;/D&gt;&lt;D xsi:type="xsd:double"&gt;-1.3242722&lt;/D&gt;&lt;D xsi:type="xsd:double"&gt;2.2001266&lt;/D&gt;&lt;D xsi:type="xsd:double"&gt;6.984532&lt;/D&gt;&lt;D xsi:type="xsd:double"&gt;-6.677592&lt;/D&gt;&lt;D xsi:type="xsd:double"&gt;3.8651943&lt;/D&gt;&lt;D xsi:type="xsd:double"&gt;-0.292176&lt;/D&gt;&lt;D xsi:type="xsd:double"&gt;5.8760166&lt;/D&gt;&lt;D xsi:type="xsd:double"&gt;-7.3707223&lt;/D&gt;&lt;D xsi:type="xsd:double"&gt;-0.45604706&lt;/D&gt;&lt;D xsi:type="xsd:double"&gt;0.14218092&lt;/D&gt;&lt;D xsi:type="xsd:double"&gt;-11.847294&lt;/D&gt;&lt;D xsi:type="xsd:double"&gt;0.1968503&lt;/D&gt;&lt;D xsi:type="xsd:double"&gt;-2.150029&lt;/D&gt;&lt;D xsi:type="xsd:double"&gt;5.346787&lt;/D&gt;&lt;D xsi:type="xsd:double"&gt;-2.0053208&lt;/D&gt;&lt;D xsi:type="xsd:double"&gt;-1.6479552&lt;/D&gt;&lt;D xsi:type="xsd:double"&gt;7.015276&lt;/D&gt;&lt;D xsi:type="xsd:double"&gt;14.280796&lt;/D&gt;&lt;D xsi:type="xsd:double"&gt;9.244204&lt;/D&gt;&lt;D xsi:type="xsd:double"&gt;2.9768467&lt;/D&gt;&lt;D xsi:type="xsd:double"&gt;5.2730203&lt;/D&gt;&lt;D xsi:type="xsd:double"&gt;6.305623&lt;/D&gt;&lt;D xsi:type="xsd:double"&gt;12.497007&lt;/D&gt;&lt;D xsi:type="xsd:double"&gt;-1.4882565&lt;/D&gt;&lt;D xsi:type="xsd:double"&gt;18.686878&lt;/D&gt;&lt;D xsi:type="xsd:double"&gt;24.576902&lt;/D&gt;&lt;/FQL&gt;&lt;FQL&gt;&lt;Q&gt;EWD^FG_TOTAL_RETURNC(-5AY,0,AM)&lt;/Q&gt;&lt;R&gt;61&lt;/R&gt;&lt;C&gt;1&lt;/C&gt;&lt;D xsi:type="xsd:double"&gt;3.727901&lt;/D&gt;&lt;D xsi:type="xsd:double"&gt;5.344224&lt;/D&gt;&lt;D xsi:type="xsd:double"&gt;4.275584&lt;/D&gt;&lt;D xsi:type="xsd:double"&gt;0.3186822&lt;/D&gt;&lt;D xsi:type="xsd:double"&gt;4.4090867&lt;/D&gt;&lt;D xsi:type="xsd:double"&gt;-1.3491094&lt;/D&gt;&lt;D xsi:type="xsd:double"&gt;3.0296683&lt;/D&gt;&lt;D xsi:type="xsd:double"&gt;-2.6138484&lt;/D&gt;&lt;D xsi:type="xsd:double"&gt;-3.187251&lt;/D&gt;&lt;D xsi:type="xsd:double"&gt;5.414772&lt;/D&gt;&lt;D xsi:type="xsd:double"&gt;-5.7035327&lt;/D&gt;&lt;D xsi:type="xsd:double"&gt;3.134942&lt;/D&gt;&lt;D xsi:type="xsd:double"&gt;-10.873824&lt;/D&gt;&lt;D xsi:type="xsd:double"&gt;-12.004889&lt;/D&gt;&lt;D xsi:type="xsd:double"&gt;7.5298667&lt;/D&gt;&lt;D xsi:type="xsd:double"&gt;-10.49096&lt;/D&gt;&lt;D xsi:type="xsd:double"&gt;-4.382926&lt;/D&gt;&lt;D xsi:type="xsd:double"&gt;-5.0947485&lt;/D&gt;&lt;D xsi:type="xsd:double"&gt;10.736502&lt;/D&gt;&lt;D xsi:type="xsd:double"&gt;-10.434532&lt;/D&gt;&lt;D xsi:type="xsd:double"&gt;-8.811879&lt;/D&gt;&lt;D xsi:type="xsd:double"&gt;23.488962&lt;/D&gt;&lt;D xsi:type="xsd:double"&gt;2.0455003&lt;/D&gt;&lt;D xsi:type="xsd:double"&gt;2.1663785&lt;/D&gt;&lt;D xsi:type="xsd:double"&gt;1.2157202&lt;/D&gt;&lt;D xsi:type="xsd:double"&gt;-6.508374&lt;/D&gt;&lt;D xsi:type="xsd:double"&gt;8.75411&lt;/D&gt;&lt;D xsi:type="xsd:double"&gt;-1.0164917&lt;/D&gt;&lt;D xsi:type="xsd:double"&gt;0&lt;/D&gt;&lt;D xsi:type="xsd:double"&gt;2.331388&lt;/D&gt;&lt;D xsi:type="xsd:double"&gt;-7.648492&lt;/D&gt;&lt;D xsi:type="xsd:double"&gt;-4.8164425&lt;/D&gt;&lt;D xsi:type="xsd:double"&gt;2.715218&lt;/D&gt;&lt;D xsi:type="xsd:double"&gt;-0.600785&lt;/D&gt;&lt;D xsi:type="xsd:double"&gt;15.865814&lt;/D&gt;&lt;D xsi:type="xsd:double"&gt;0.9727359&lt;/D&gt;&lt;D xsi:type="xsd:double"&gt;-2.329266&lt;/D&gt;&lt;D xsi:type="xsd:double"&gt;12.2764225&lt;/D&gt;&lt;D xsi:type="xsd:double"&gt;-6.517017&lt;/D&gt;&lt;D xsi:type="xsd:double"&gt;5.0865054&lt;/D&gt;&lt;D xsi:type="xsd:double"&gt;2.3103833&lt;/D&gt;&lt;D xsi:type="xsd:double"&gt;1.5617371&lt;/D&gt;&lt;D xsi:type="xsd:double"&gt;-5.4300785&lt;/D&gt;&lt;D xsi:type="xsd:double"&gt;5.1066995&lt;/D&gt;&lt;D xsi:type="xsd:double"&gt;0.79768896&lt;/D&gt;&lt;D xsi:type="xsd:double"&gt;-8.03358&lt;/D&gt;&lt;D xsi:type="xsd:double"&gt;1.5906096&lt;/D&gt;&lt;D xsi:type="xsd:double"&gt;-4.3121157&lt;/D&gt;&lt;D xsi:type="xsd:double"&gt;17.569756&lt;/D&gt;&lt;D xsi:type="xsd:double"&gt;-1.7339766&lt;/D&gt;&lt;D xsi:type="xsd:double"&gt;-6.408167&lt;/D&gt;&lt;D xsi:type="xsd:double"&gt;12.205399&lt;/D&gt;&lt;D xsi:type="xsd:double"&gt;0.5748391&lt;/D&gt;&lt;D xsi:type="xsd:double"&gt;2.4297714&lt;/D&gt;&lt;D xsi:type="xsd:double"&gt;0.987494&lt;/D&gt;&lt;D xsi:type="xsd:double"&gt;2.6510239&lt;/D&gt;&lt;D xsi:type="xsd:double"&gt;0.16934872&lt;/D&gt;&lt;D xsi:type="xsd:double"&gt;2.0076036&lt;/D&gt;&lt;D xsi:type="xsd:double"&gt;2.299571&lt;/D&gt;&lt;D xsi:type="xsd:double"&gt;3.952992&lt;/D&gt;&lt;D xsi:type="xsd:double"&gt;5.4635167&lt;/D&gt;&lt;/FQL&gt;&lt;FQL&gt;&lt;Q&gt;QQQ^FG_PRICE(0,-200D)&lt;/Q&gt;&lt;R&gt;201&lt;/R&gt;&lt;C&gt;1&lt;/C&gt;&lt;D xsi:type="xsd:double"&gt;601.92&lt;/D&gt;&lt;D xsi:type="xsd:double"&gt;600.64&lt;/D&gt;&lt;D xsi:type="xsd:double"&gt;613.11&lt;/D&gt;&lt;D xsi:type="xsd:double"&gt;611.47&lt;/D&gt;&lt;D xsi:type="xsd:double"&gt;614.32&lt;/D&gt;&lt;D xsi:type="xsd:double"&gt;609.65&lt;/D&gt;&lt;D xsi:type="xsd:double"&gt;597.03&lt;/D&gt;&lt;D xsi:type="xsd:double"&gt;605.75&lt;/D&gt;&lt;D xsi:type="xsd:double"&gt;616.52&lt;/D&gt;&lt;D xsi:type="xsd:double"&gt;626.14&lt;/D&gt;&lt;D xsi:type="xsd:double"&gt;621.87&lt;/D&gt;&lt;D xsi:type="xsd:double"&gt;629.43&lt;/D&gt;&lt;D xsi:type="xsd:double"&gt;633.22&lt;/D&gt;&lt;D xsi:type="xsd:double"&gt;631.13&lt;/D&gt;&lt;D xsi:type="xsd:double"&gt;625.46&lt;/D&gt;&lt;D xsi:type="xsd:double"&gt;622.72&lt;/D&gt;&lt;D xsi:type="xsd:double"&gt;620.76&lt;/D&gt;&lt;D xsi:type="xsd:double"&gt;616.28&lt;/D&gt;&lt;D xsi:type="xsd:double"&gt;608.06&lt;/D&gt;&lt;D xsi:type="xsd:double"&gt;621.26&lt;/D&gt;&lt;D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xsi:type="xsd:double"&gt;619.43&lt;/D&gt;&lt;D xsi:type="xsd:double"&gt;620.87&lt;/D&gt;&lt;D xsi:type="xsd:double"&gt;623.89&lt;/D&gt;&lt;D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xsi:type="xsd:double"&gt;475.53&lt;/D&gt;&lt;/FQL&gt;&lt;FQL&gt;&lt;Q&gt;GREK^FG_PRICE(0,-200D)&lt;/Q&gt;&lt;R&gt;201&lt;/R&gt;&lt;C&gt;1&lt;/C&gt;&lt;D xsi:type="xsd:double"&gt;71.9&lt;/D&gt;&lt;D xsi:type="xsd:double"&gt;73.56&lt;/D&gt;&lt;D xsi:type="xsd:double"&gt;73.84&lt;/D&gt;&lt;D xsi:type="xsd:double"&gt;74.54&lt;/D&gt;&lt;D xsi:type="xsd:double"&gt;74.77&lt;/D&gt;&lt;D xsi:type="xsd:double"&gt;75.17&lt;/D&gt;&lt;D xsi:type="xsd:double"&gt;74.65&lt;/D&gt;&lt;D xsi:type="xsd:double"&gt;76.09&lt;/D&gt;&lt;D xsi:type="xsd:double"&gt;76.02&lt;/D&gt;&lt;D xsi:type="xsd:double"&gt;74.66&lt;/D&gt;&lt;D xsi:type="xsd:double"&gt;73.75&lt;/D&gt;&lt;D xsi:type="xsd:double"&gt;75.62&lt;/D&gt;&lt;D xsi:type="xsd:double"&gt;77.2&lt;/D&gt;&lt;D xsi:type="xsd:double"&gt;75.35&lt;/D&gt;&lt;D xsi:type="xsd:double"&gt;73.06&lt;/D&gt;&lt;D xsi:type="xsd:double"&gt;72.25&lt;/D&gt;&lt;D xsi:type="xsd:double"&gt;72.2&lt;/D&gt;&lt;D xsi:type="xsd:double"&gt;70.74&lt;/D&gt;&lt;D xsi:type="xsd:double"&gt;69.88&lt;/D&gt;&lt;D xsi:type="xsd:double"&gt;70.03&lt;/D&gt;&lt;D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xsi:type="xsd:double"&gt;66.5&lt;/D&gt;&lt;D xsi:type="xsd:double"&gt;68&lt;/D&gt;&lt;D xsi:type="xsd:double"&gt;68.61&lt;/D&gt;&lt;D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xsi:type="xsd:double"&gt;49.99&lt;/D&gt;&lt;/FQL&gt;&lt;FQL&gt;&lt;Q&gt;EPOL^FG_PRICE(0,-200D)&lt;/Q&gt;&lt;R&gt;201&lt;/R&gt;&lt;C&gt;1&lt;/C&gt;&lt;D xsi:type="xsd:double"&gt;37.67&lt;/D&gt;&lt;D xsi:type="xsd:double"&gt;37.91&lt;/D&gt;&lt;D xsi:type="xsd:double"&gt;38.39&lt;/D&gt;&lt;D xsi:type="xsd:double"&gt;38.11&lt;/D&gt;&lt;D xsi:type="xsd:double"&gt;38.76&lt;/D&gt;&lt;D xsi:type="xsd:double"&gt;37.92&lt;/D&gt;&lt;D xsi:type="xsd:double"&gt;37.37&lt;/D&gt;&lt;D xsi:type="xsd:double"&gt;38.28&lt;/D&gt;&lt;D xsi:type="xsd:double"&gt;38.35&lt;/D&gt;&lt;D xsi:type="xsd:double"&gt;37.66&lt;/D&gt;&lt;D xsi:type="xsd:double"&gt;37.59&lt;/D&gt;&lt;D xsi:type="xsd:double"&gt;38.38&lt;/D&gt;&lt;D xsi:type="xsd:double"&gt;38.25&lt;/D&gt;&lt;D xsi:type="xsd:double"&gt;38.44&lt;/D&gt;&lt;D xsi:type="xsd:double"&gt;37.74&lt;/D&gt;&lt;D xsi:type="xsd:double"&gt;36.89&lt;/D&gt;&lt;D xsi:type="xsd:double"&gt;37.26&lt;/D&gt;&lt;D xsi:type="xsd:double"&gt;36.15&lt;/D&gt;&lt;D xsi:type="xsd:double"&gt;35.84&lt;/D&gt;&lt;D xsi:type="xsd:double"&gt;35.92&lt;/D&gt;&lt;D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xsi:type="xsd:double"&gt;35.16&lt;/D&gt;&lt;D xsi:type="xsd:double"&gt;34.96&lt;/D&gt;&lt;D xsi:type="xsd:double"&gt;35.2&lt;/D&gt;&lt;D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</t>
        </r>
      </text>
    </comment>
    <comment ref="A10" authorId="0" shapeId="0" xr:uid="{5AE83579-37B2-43A3-8739-06E97C1E8127}">
      <text>
        <r>
          <rPr>
            <b/>
            <sz val="9"/>
            <color indexed="81"/>
            <rFont val="Tahoma"/>
            <charset val="1"/>
          </rPr>
          <t>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xsi:type="xsd:double"&gt;30.3&lt;/D&gt;&lt;/FQL&gt;&lt;FQL&gt;&lt;Q&gt;ECH^JULIAN(FG_TOTAL_RETURNC(-5AY,0,AM).DATES)&lt;/Q&gt;&lt;R&gt;61&lt;/R&gt;&lt;C&gt;1&lt;/C&gt;&lt;D xsi:type="xsd:long"&gt;44239&lt;/D&gt;&lt;D xsi:type="xsd:long"&gt;44267&lt;/D&gt;&lt;D xsi:type="xsd:long"&gt;44299&lt;/D&gt;&lt;D xsi:type="xsd:long"&gt;44329&lt;/D&gt;&lt;D xsi:type="xsd:long"&gt;44358&lt;/D&gt;&lt;D xsi:type="xsd:long"&gt;44390&lt;/D&gt;&lt;D xsi:type="xsd:long"&gt;44421&lt;/D&gt;&lt;D xsi:type="xsd:long"&gt;44452&lt;/D&gt;&lt;D xsi:type="xsd:long"&gt;44482&lt;/D&gt;&lt;D xsi:type="xsd:long"&gt;44512&lt;/D&gt;&lt;D xsi:type="xsd:long"&gt;44543&lt;/D&gt;&lt;D xsi:type="xsd:long"&gt;44574&lt;/D&gt;&lt;D xsi:type="xsd:long"&gt;44603&lt;/D&gt;&lt;D xsi:type="xsd:long"&gt;44631&lt;/D&gt;&lt;D xsi:type="xsd:long"&gt;44664&lt;/D&gt;&lt;D xsi:type="xsd:long"&gt;44694&lt;/D&gt;&lt;D xsi:type="xsd:long"&gt;44725&lt;/D&gt;&lt;D xsi:type="xsd:long"&gt;44755&lt;/D&gt;&lt;D xsi:type="xsd:long"&gt;44785&lt;/D&gt;&lt;D xsi:type="xsd:long"&gt;44817&lt;/D&gt;&lt;D xsi:type="xsd:long"&gt;44847&lt;/D&gt;&lt;D xsi:type="xsd:long"&gt;44876&lt;/D&gt;&lt;D xsi:type="xsd:long"&gt;44908&lt;/D&gt;&lt;D xsi:type="xsd:long"&gt;44939&lt;/D&gt;&lt;D xsi:type="xsd:long"&gt;44970&lt;/D&gt;&lt;D xsi:type="xsd:long"&gt;44998&lt;/D&gt;&lt;D xsi:type="xsd:long"&gt;45029&lt;/D&gt;&lt;D xsi:type="xsd:long"&gt;45058&lt;/D&gt;&lt;D xsi:type="xsd:long"&gt;45090&lt;/D&gt;&lt;D xsi:type="xsd:long"&gt;45120&lt;/D&gt;&lt;D xsi:type="xsd:long"&gt;45149&lt;/D&gt;&lt;D xsi:type="xsd:long"&gt;45182&lt;/D&gt;&lt;D xsi:type="xsd:long"&gt;45212&lt;/D&gt;&lt;D xsi:type="xsd:long"&gt;45243&lt;/D&gt;&lt;D xsi:type="xsd:long"&gt;45273&lt;/D&gt;&lt;D xsi:type="xsd:long"&gt;45303&lt;/D&gt;&lt;D xsi:type="xsd:long"&gt;45335&lt;/D&gt;&lt;D xsi:type="xsd:long"&gt;45364&lt;/D&gt;&lt;D xsi:type="xsd:long"&gt;45394&lt;/D&gt;&lt;D xsi:type="xsd:long"&gt;45425&lt;/D&gt;&lt;D xsi:type="xsd:long"&gt;45456&lt;/D&gt;&lt;D xsi:type="xsd:long"&gt;45485&lt;/D&gt;&lt;D xsi:type="xsd:long"&gt;45517&lt;/D&gt;&lt;D xsi:type="xsd:long"&gt;45548&lt;/D&gt;&lt;D xsi:type="xsd:long"&gt;45576&lt;/D&gt;&lt;D xsi:type="xsd:long"&gt;45609&lt;/D&gt;&lt;D xsi:type="xsd:long"&gt;45639&lt;/D&gt;&lt;D xsi:type="xsd:long"&gt;45670&lt;/D&gt;&lt;D xsi:type="xsd:long"&gt;45701&lt;/D&gt;&lt;D xsi:type="xsd:long"&gt;45729&lt;/D&gt;&lt;D xsi:type="xsd:long"&gt;45758&lt;/D&gt;&lt;D xsi:type="xsd:long"&gt;45790&lt;/D&gt;&lt;D xsi:type="xsd:long"&gt;45821&lt;/D&gt;&lt;D xsi:type="xsd:long"&gt;45849&lt;/D&gt;&lt;D xsi:type="xsd:long"&gt;45882&lt;/D&gt;&lt;D xsi:type="xsd:long"&gt;45912&lt;/D&gt;&lt;D xsi:type="xsd:long"&gt;45943&lt;/D&gt;&lt;D xsi:type="xsd:long"&gt;45974&lt;/D&gt;&lt;D xsi:type="xsd:long"&gt;46003&lt;/D&gt;&lt;D xsi:type="xsd:long"&gt;46035&lt;/D&gt;&lt;D xsi:type="xsd:long"&gt;46066&lt;/D&gt;&lt;/FQL&gt;&lt;FQL&gt;&lt;Q&gt;VNM^FG_PRICE(0,-200D)&lt;/Q&gt;&lt;R&gt;201&lt;/R&gt;&lt;C&gt;1&lt;/C&gt;&lt;D xsi:type="xsd:double"&gt;18.89&lt;/D&gt;&lt;D xsi:type="xsd:double"&gt;18.51&lt;/D&gt;&lt;D xsi:type="xsd:double"&gt;18.71&lt;/D&gt;&lt;D xsi:type="xsd:double"&gt;18.08&lt;/D&gt;&lt;D xsi:type="xsd:double"&gt;18.045&lt;/D&gt;&lt;D xsi:type="xsd:double"&gt;18.03&lt;/D&gt;&lt;D xsi:type="xsd:double"&gt;18.12&lt;/D&gt;&lt;D xsi:type="xsd:double"&gt;18.61&lt;/D&gt;&lt;D xsi:type="xsd:double"&gt;18.45&lt;/D&gt;&lt;D xsi:type="xsd:double"&gt;18.77&lt;/D&gt;&lt;D xsi:type="xsd:double"&gt;19.07&lt;/D&gt;&lt;D xsi:type="xsd:double"&gt;18.81&lt;/D&gt;&lt;D xsi:type="xsd:double"&gt;18.5&lt;/D&gt;&lt;D xsi:type="xsd:double"&gt;18.76&lt;/D&gt;&lt;D xsi:type="xsd:double"&gt;18.91&lt;/D&gt;&lt;D xsi:type="xsd:double"&gt;19.42&lt;/D&gt;&lt;D xsi:type="xsd:double"&gt;19.625&lt;/D&gt;&lt;D xsi:type="xsd:double"&gt;19.39&lt;/D&gt;&lt;D xsi:type="xsd:double"&gt;19.51&lt;/D&gt;&lt;D xsi:type="xsd:double"&gt;19.73&lt;/D&gt;&lt;D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xsi:type="xsd:double"&gt;19.01&lt;/D&gt;&lt;D xsi:type="xsd:double"&gt;18.92&lt;/D&gt;&lt;D xsi:type="xsd:double"&gt;18.4&lt;/D&gt;&lt;D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xsi:type="xsd:double"&gt;12.05&lt;/D&gt;&lt;/FQL&gt;&lt;FQL&gt;&lt;Q&gt;MCHI^FG_TOTAL_RETURNC(-5AY,0,AM)&lt;/Q&gt;&lt;R&gt;61&lt;/R&gt;&lt;C&gt;1&lt;/C&gt;&lt;D xsi:type="xsd:double"&gt;12.976206&lt;/D&gt;&lt;D xsi:type="xsd:double"&gt;-12.274324&lt;/D&gt;&lt;D xsi:type="xsd:double"&gt;-3.418094&lt;/D&gt;&lt;D xsi:type="xsd:double"&gt;-6.086212&lt;/D&gt;&lt;D xsi:type="xsd:double"&gt;6.47645&lt;/D&gt;&lt;D xsi:type="xsd:double"&gt;-3.865981&lt;/D&gt;&lt;D xsi:type="xsd:double"&gt;-9.102524&lt;/D&gt;&lt;D xsi:type="xsd:double"&gt;0.5758524&lt;/D&gt;&lt;D xsi:type="xsd:double"&gt;-1.9550383&lt;/D&gt;&lt;D xsi:type="xsd:double"&gt;0.64094067&lt;/D&gt;&lt;D xsi:type="xsd:double"&gt;-8.254349&lt;/D&gt;&lt;D xsi:type="xsd:double"&gt;-1.7870963&lt;/D&gt;&lt;D xsi:type="xsd:double"&gt;-1.5506327&lt;/D&gt;&lt;D xsi:type="xsd:double"&gt;-21.086472&lt;/D&gt;&lt;D xsi:type="xsd:double"&gt;7.413447&lt;/D&gt;&lt;D xsi:type="xsd:double"&gt;-8.380741&lt;/D&gt;&lt;D xsi:type="xsd:double"&gt;6.4761877&lt;/D&gt;&lt;D xsi:type="xsd:double"&gt;2.717495&lt;/D&gt;&lt;D xsi:type="xsd:double"&gt;-4.8724833&lt;/D&gt;&lt;D xsi:type="xsd:double"&gt;-5.1020384&lt;/D&gt;&lt;D xsi:type="xsd:double"&gt;-14.716423&lt;/D&gt;&lt;D xsi:type="xsd:double"&gt;5.982685&lt;/D&gt;&lt;D xsi:type="xsd:double"&gt;13.672781&lt;/D&gt;&lt;D xsi:type="xsd:double"&gt;12.203253&lt;/D&gt;&lt;D xsi:type="xsd:double"&gt;-3.0809224&lt;/D&gt;&lt;D xsi:type="xsd:double"&gt;-9.747225&lt;/D&gt;&lt;D xsi:type="xsd:double"&gt;4.519403&lt;/D&gt;&lt;D xsi:type="xsd:double"&gt;-6.1713276&lt;/D&gt;&lt;D xsi:type="xsd:double"&gt;0.7349014&lt;/D&gt;&lt;D xsi:type="xsd:double"&gt;2.88378&lt;/D&gt;&lt;D xsi:type="xsd:double"&gt;-3.393048&lt;/D&gt;&lt;D xsi:type="xsd:double"&gt;-3.4249544&lt;/D&gt;&lt;D xsi:type="xsd:double"&gt;-2.4847567&lt;/D&gt;&lt;D xsi:type="xsd:double"&gt;-0.5791068&lt;/D&gt;&lt;D xsi:type="xsd:double"&gt;-4.6598315&lt;/D&gt;&lt;D xsi:type="xsd:double"&gt;-2.8311908&lt;/D&gt;&lt;D xsi:type="xsd:double"&gt;-3.4295976&lt;/D&gt;&lt;D xsi:type="xsd:double"&gt;8.891845&lt;/D&gt;&lt;D xsi:type="xsd:double"&gt;-3.6782742&lt;/D&gt;&lt;D xsi:type="xsd:double"&gt;17.362522&lt;/D&gt;&lt;D xsi:type="xsd:double"&gt;-5.4861126&lt;/D&gt;&lt;D xsi:type="xsd:double"&gt;1.4522791&lt;/D&gt;&lt;D xsi:type="xsd:double"&gt;-4.1808662&lt;/D&gt;&lt;D xsi:type="xsd:double"&gt;-3.011614&lt;/D&gt;&lt;D xsi:type="xsd:double"&gt;28.704155&lt;/D&gt;&lt;D xsi:type="xsd:double"&gt;-9.270519&lt;/D&gt;&lt;D xsi:type="xsd:double"&gt;0.96315145&lt;/D&gt;&lt;D xsi:type="xsd:double"&gt;-7.3043227&lt;/D&gt;&lt;D xsi:type="xsd:double"&gt;18.19011&lt;/D&gt;&lt;D xsi:type="xsd:double"&gt;7.560277&lt;/D&gt;&lt;D xsi:type="xsd:double"&gt;-10.919851&lt;/D&gt;&lt;D xsi:type="xsd:double"&gt;10.104668&lt;/D&gt;&lt;D xsi:type="xsd:double"&gt;0.12797117&lt;/D&gt;&lt;D xsi:type="xsd:double"&gt;1.3054132&lt;/D&gt;&lt;D xsi:type="xsd:double"&gt;10.209286&lt;/D&gt;&lt;D xsi:type="xsd:double"&gt;5.5977583&lt;/D&gt;&lt;D xsi:type="xsd:double"&gt;-1.0164201&lt;/D&gt;&lt;D xsi:type="xsd:double"&gt;1.8325448&lt;/D&gt;&lt;D xsi:type="xsd:double"&gt;-4.5609655&lt;/D&gt;&lt;D xsi:type="xsd:double"&gt;4.5221567&lt;/D&gt;&lt;D xsi:type="xsd:double"&gt;-4.9905596&lt;/D&gt;&lt;/FQL&gt;&lt;FQL&gt;&lt;Q&gt;EWL^FG_PRICE(0,-200D)&lt;/Q&gt;&lt;R&gt;201&lt;/R&gt;&lt;C&gt;1&lt;/C&gt;&lt;D xsi:type="xsd:double"&gt;63.79&lt;/D&gt;&lt;D xsi:type="xsd:double"&gt;63.46&lt;/D&gt;&lt;D xsi:type="xsd:double"&gt;63.24&lt;/D&gt;&lt;D xsi:type="xsd:double"&gt;63.43&lt;/D&gt;&lt;D xsi:type="xsd:double"&gt;63.45&lt;/D&gt;&lt;D xsi:type="xsd:double"&gt;63.09&lt;/D&gt;&lt;D xsi:type="xsd:double"&gt;62.24&lt;/D&gt;&lt;D xsi:type="xsd:double"&gt;62.47&lt;/D&gt;&lt;D xsi:type="xsd:double"&gt;61.89&lt;/D&gt;&lt;D xsi:type="xsd:double"&gt;62.25&lt;/D&gt;&lt;D xsi:type="xsd:double"&gt;61.54&lt;/D&gt;&lt;D xsi:type="xsd:double"&gt;62.22&lt;/D&gt;&lt;D xsi:type="xsd:double"&gt;61.05&lt;/D&gt;&lt;D xsi:type="xsd:double"&gt;62.57&lt;/D&gt;&lt;D xsi:type="xsd:double"&gt;61.19&lt;/D&gt;&lt;D xsi:type="xsd:double"&gt;60.87&lt;/D&gt;&lt;D xsi:type="xsd:double"&gt;60.59&lt;/D&gt;&lt;D xsi:type="xsd:double"&gt;60.49&lt;/D&gt;&lt;D xsi:type="xsd:double"&gt;60.16&lt;/D&gt;&lt;D xsi:type="xsd:double"&gt;60.51&lt;/D&gt;&lt;D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xsi:type="xsd:double"&gt;60.17&lt;/D&gt;&lt;D xsi:type="xsd:double"&gt;60.35&lt;/D&gt;&lt;D xsi:type="xsd:double"&gt;60.54&lt;/D&gt;&lt;D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xsi:type="xsd:double"&gt;53.67&lt;/D&gt;&lt;/FQL&gt;&lt;FQL&gt;&lt;Q&gt;EIDO^FG_PRICE(0,-200D)&lt;/Q&gt;&lt;R&gt;201&lt;/R&gt;&lt;C&gt;1&lt;/C&gt;&lt;D xsi:type="xsd:double"&gt;17.77&lt;/D&gt;&lt;D xsi:type="xsd:double"&gt;17.89&lt;/D&gt;&lt;D xsi:type="xsd:double"&gt;18.09&lt;/D&gt;&lt;D xsi:type="xsd:double"&gt;17.75&lt;/D&gt;&lt;D xsi:type="xsd:double"&gt;17.6&lt;/D&gt;&lt;D xsi:type="xsd:double"&gt;17.6&lt;/D&gt;&lt;D xsi:type="xsd:double"&gt;17.51&lt;/D&gt;&lt;D xsi:type="xsd:double"&gt;17.79&lt;/D&gt;&lt;D xsi:type="xsd:double"&gt;17.59&lt;/D&gt;&lt;D xsi:type="xsd:double"&gt;17.41&lt;/D&gt;&lt;D xsi:type="xsd:double"&gt;17.65&lt;/D&gt;&lt;D xsi:type="xsd:double"&gt;17.58&lt;/D&gt;&lt;D xsi:type="xsd:double"&gt;17.26&lt;/D&gt;&lt;D xsi:type="xsd:double"&gt;19.18&lt;/D&gt;&lt;D xsi:type="xsd:double"&gt;19.2&lt;/D&gt;&lt;D xsi:type="xsd:double"&gt;19.01&lt;/D&gt;&lt;D xsi:type="xsd:double"&gt;19.05&lt;/D&gt;&lt;D xsi:type="xsd:double"&gt;18.94&lt;/D&gt;&lt;D xsi:type="xsd:double"&gt;19.13&lt;/D&gt;&lt;D xsi:type="xsd:double"&gt;19.14&lt;/D&gt;&lt;D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xsi:type="xsd:double"&gt;18.67&lt;/D&gt;&lt;D xsi:type="xsd:double"&gt;18.67&lt;/D&gt;&lt;D xsi:type="xsd:double"&gt;18.47&lt;/D&gt;&lt;D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xsi:type="xsd:double"&gt;17.1&lt;/D&gt;&lt;/FQL&gt;&lt;FQL&gt;&lt;Q&gt;ENZL^FG_TOTAL_RETURNC(-5AY,0,AM)&lt;/Q&gt;&lt;R&gt;61&lt;/R&gt;&lt;C&gt;1&lt;/C&gt;&lt;D xsi:type="xsd:double"&gt;-3.7688792&lt;/D&gt;&lt;D xsi:type="xsd:double"&gt;-2.7735472&lt;/D&gt;&lt;D xsi:type="xsd:double"&gt;-0.6112814&lt;/D&gt;&lt;D xsi:type="xsd:double"&gt;-0.33117533&lt;/D&gt;&lt;D xsi:type="xsd:double"&gt;-0.9151161&lt;/D&gt;&lt;D xsi:type="xsd:double"&gt;-0.8701265&lt;/D&gt;&lt;D xsi:type="xsd:double"&gt;0.16254187&lt;/D&gt;&lt;D xsi:type="xsd:double"&gt;3.7812471&lt;/D&gt;&lt;D xsi:type="xsd:double"&gt;-2.8459728&lt;/D&gt;&lt;D xsi:type="xsd:double"&gt;-0.9657204&lt;/D&gt;&lt;D xsi:type="xsd:double"&gt;-4.293269&lt;/D&gt;&lt;D xsi:type="xsd:double"&gt;0.017237663&lt;/D&gt;&lt;D xsi:type="xsd:double"&gt;-7.722807&lt;/D&gt;&lt;D xsi:type="xsd:double"&gt;0.6538391&lt;/D&gt;&lt;D xsi:type="xsd:double"&gt;-1.5033424&lt;/D&gt;&lt;D xsi:type="xsd:double"&gt;-12.794423&lt;/D&gt;&lt;D xsi:type="xsd:double"&gt;-4.1170597&lt;/D&gt;&lt;D xsi:type="xsd:double"&gt;2.7131796&lt;/D&gt;&lt;D xsi:type="xsd:double"&gt;11.4539385&lt;/D&gt;&lt;D xsi:type="xsd:double"&gt;-8.185619&lt;/D&gt;&lt;D xsi:type="xsd:double"&gt;-11.47505&lt;/D&gt;&lt;D xsi:type="xsd:double"&gt;12.42342&lt;/D&gt;&lt;D xsi:type="xsd:double"&gt;9.42074&lt;/D&gt;&lt;D xsi:type="xsd:double"&gt;1.1409163&lt;/D&gt;&lt;D xsi:type="xsd:double"&gt;1.8009067&lt;/D&gt;&lt;D xsi:type="xsd:double"&gt;-6.920677&lt;/D&gt;&lt;D xsi:type="xsd:double"&gt;5.534661&lt;/D&gt;&lt;D xsi:type="xsd:double"&gt;-1.0686636&lt;/D&gt;&lt;D xsi:type="xsd:double"&gt;-2.878201&lt;/D&gt;&lt;D xsi:type="xsd:double"&gt;6.6985726&lt;/D&gt;&lt;D xsi:type="xsd:double"&gt;-8.16924&lt;/D&gt;&lt;D xsi:type="xsd:double"&gt;-5.7324767&lt;/D&gt;&lt;D xsi:type="xsd:double"&gt;-2.1171212&lt;/D&gt;&lt;D xsi:type="xsd:double"&gt;-0.71329474&lt;/D&gt;&lt;D xsi:type="xsd:double"&gt;10.938585&lt;/D&gt;&lt;D xsi:type="xsd:double"&gt;2.6141286&lt;/D&gt;&lt;D xsi:type="xsd:double"&gt;-7.4812946&lt;/D&gt;&lt;D xsi:type="xsd:double"&gt;2.8077245&lt;/D&gt;&lt;D xsi:type="xsd:double"&gt;-2.4907112&lt;/D&gt;&lt;D xsi:type="xsd:double"&gt;0.4929304&lt;/D&gt;&lt;D xsi:type="xsd:double"&gt;3.4398794&lt;/D&gt;&lt;D xsi:type="xsd:double"&gt;1.8244982&lt;/D&gt;&lt;D xsi:type="xsd:double"&gt;0.40528774&lt;/D&gt;&lt;D xsi:type="xsd:double"&gt;6.139791&lt;/D&gt;&lt;D xsi:type="xsd:double"&gt;-1.0408342&lt;/D&gt;&lt;D xsi:type="xsd:double"&gt;-4.4700623&lt;/D&gt;&lt;D xsi:type="xsd:double"&gt;-3.0700862&lt;/D&gt;&lt;D xsi:type="xsd:double"&gt;-2.093321&lt;/D&gt;&lt;D xsi:type="xsd:double"&gt;2.0800352&lt;/D&gt;&lt;D xsi:type="xsd:double"&gt;-7.1760836&lt;/D&gt;&lt;D xsi:type="xsd:double"&gt;1.1453152&lt;/D&gt;&lt;D xsi:type="xsd:double"&gt;7.6197147&lt;/D&gt;&lt;D xsi:type="xsd:double"&gt;-0.94257&lt;/D&gt;&lt;D xsi:type="xsd:double"&gt;2.22013&lt;/D&gt;&lt;D xsi:type="xsd:double"&gt;0.1311183&lt;/D&gt;&lt;D xsi:type="xsd:double"&gt;2.007866&lt;/D&gt;&lt;D xsi:type="xsd:double"&gt;-2.7599514&lt;/D&gt;&lt;D xsi:type="xsd:double"&gt;-1.1146307&lt;/D&gt;&lt;D xsi:type="xsd:double"&gt;1.7056942&lt;/D&gt;&lt;D xsi:type="xsd:double"&gt;0.8537531&lt;/D&gt;&lt;D xsi:type="xsd:double"&gt;2.750659&lt;/D&gt;&lt;/FQL&gt;&lt;/Schema&gt;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<sst xmlns="http://schemas.openxmlformats.org/spreadsheetml/2006/main" count="167" uniqueCount="82">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</sst>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tabSelected="1" workbookViewId="0">
      <selection activeCell="D18" sqref="D18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6">IFERROR(TRANSPOSE(_xlfn._xlws.FILTER(MONTHLY_RETURNS!B64:AI64, MONTHLY_RETURNS!$B$73:$AI$73=1)),"")</f>
        <v>EWY</v>
      </c>
      <c r="B2" s="4" t="str" cm="1">
        <f t="array" ref="B2:B6">IFERROR(TRANSPOSE(_xlfn._xlws.FILTER(MONTHLY_RETURNS!B65:AI65, MONTHLY_RETURNS!$B$73:$AI$73=1)),"")</f>
        <v>Korea, Rep.</v>
      </c>
      <c r="C2" s="4" t="str" cm="1">
        <f t="array" ref="C2:C6">IFERROR(TRANSPOSE(_xlfn._xlws.FILTER(MONTHLY_RETURNS!B66:AI66, MONTHLY_RETURNS!$B$73:$AI$73=1)),"")</f>
        <v>EMERGING</v>
      </c>
      <c r="D2" s="4" cm="1">
        <f t="array" ref="D2:D6">IFERROR(TRANSPOSE(_xlfn._xlws.FILTER(MONTHLY_RETURNS!B67:AI67, MONTHLY_RETURNS!$B$73:$AI$73=1)),"")</f>
        <v>0.24576902</v>
      </c>
      <c r="E2" s="4" cm="1">
        <f t="array" ref="E2:E6">IFERROR(TRANSPOSE(_xlfn._xlws.FILTER(MONTHLY_RETURNS!B68:AI68, MONTHLY_RETURNS!$B$73:$AI$73=1)),"")</f>
        <v>1.0366874914426233E-2</v>
      </c>
      <c r="F2" s="4" cm="1">
        <f t="array" ref="F2:F6">IFERROR(TRANSPOSE(_xlfn._xlws.FILTER(MONTHLY_RETURNS!B69:AI69, MONTHLY_RETURNS!$B$73:$AI$73=1)),"")</f>
        <v>8.423072061761136E-2</v>
      </c>
      <c r="G2" s="4" cm="1">
        <f t="array" ref="G2:G6">IFERROR(TRANSPOSE(_xlfn._xlws.FILTER(MONTHLY_RETURNS!B70:AI70, MONTHLY_RETURNS!$B$73:$AI$73=1)),"")</f>
        <v>0.16846144123522272</v>
      </c>
      <c r="H2" s="1" cm="1">
        <f t="array" ref="H2:H6">IFERROR(TRANSPOSE(_xlfn._xlws.FILTER(MONTHLY_RETURNS!B71:AI71, MONTHLY_RETURNS!$B$73:$AI$73=1)),"")</f>
        <v>133.97</v>
      </c>
      <c r="I2" s="1" cm="1">
        <f t="array" ref="I2:I6">IFERROR(TRANSPOSE(_xlfn._xlws.FILTER(MONTHLY_RETURNS!B72:AI72, MONTHLY_RETURNS!$B$73:$AI$73=1)),"")</f>
        <v>83.722935323383055</v>
      </c>
    </row>
    <row r="3" spans="1:9" x14ac:dyDescent="0.45">
      <c r="A3" s="5" t="str">
        <v>EWZ</v>
      </c>
      <c r="B3" s="4" t="str">
        <v>Brazil</v>
      </c>
      <c r="C3" s="4" t="str">
        <v>EMERGING</v>
      </c>
      <c r="D3" s="4">
        <v>0.16641128999999999</v>
      </c>
      <c r="E3" s="4">
        <v>9.5594030721311476E-3</v>
      </c>
      <c r="F3" s="4">
        <v>7.223059824008049E-2</v>
      </c>
      <c r="G3" s="4">
        <v>0.14446119648016098</v>
      </c>
      <c r="H3" s="1">
        <v>38.06</v>
      </c>
      <c r="I3" s="1">
        <v>30.436218905472639</v>
      </c>
    </row>
    <row r="4" spans="1:9" x14ac:dyDescent="0.45">
      <c r="A4" s="5" t="str">
        <v>SET-BKK</v>
      </c>
      <c r="B4" s="4" t="str">
        <v>Thailand</v>
      </c>
      <c r="C4" s="4" t="str">
        <v>EMERGING</v>
      </c>
      <c r="D4" s="4">
        <v>0.15794538999999999</v>
      </c>
      <c r="E4" s="4">
        <v>-2.5340690213114823E-4</v>
      </c>
      <c r="F4" s="4">
        <v>6.2714786590827895E-2</v>
      </c>
      <c r="G4" s="4">
        <v>0.12542957318165579</v>
      </c>
      <c r="H4" s="1">
        <v>1430.41</v>
      </c>
      <c r="I4" s="1">
        <v>1240.7916915422879</v>
      </c>
    </row>
    <row r="5" spans="1:9" x14ac:dyDescent="0.45">
      <c r="A5" s="5" t="str">
        <v>UAE</v>
      </c>
      <c r="B5" s="4" t="str">
        <v>United Arab Emirates</v>
      </c>
      <c r="C5" s="4" t="str">
        <v>EMERGING</v>
      </c>
      <c r="D5" s="4">
        <v>0.11032391000000001</v>
      </c>
      <c r="E5" s="4">
        <v>1.3272318733606557E-2</v>
      </c>
      <c r="F5" s="4">
        <v>4.8250627638152084E-2</v>
      </c>
      <c r="G5" s="4">
        <v>9.6501255276304168E-2</v>
      </c>
      <c r="H5" s="1">
        <v>21.94</v>
      </c>
      <c r="I5" s="1">
        <v>19.333913432835828</v>
      </c>
    </row>
    <row r="6" spans="1:9" x14ac:dyDescent="0.45">
      <c r="A6" s="5" t="str">
        <v>EWJ</v>
      </c>
      <c r="B6" s="4" t="str">
        <v>Japan</v>
      </c>
      <c r="C6" s="4" t="str">
        <v>DEVELOPED</v>
      </c>
      <c r="D6" s="4">
        <v>0.11130846</v>
      </c>
      <c r="E6" s="4">
        <v>8.1525721347540971E-3</v>
      </c>
      <c r="F6" s="4">
        <v>4.7167390714874996E-2</v>
      </c>
      <c r="G6" s="4">
        <v>9.4334781429749992E-2</v>
      </c>
      <c r="H6" s="1">
        <v>93.85</v>
      </c>
      <c r="I6" s="1">
        <v>79.294776119402997</v>
      </c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/>
      </c>
      <c r="B2" s="4" t="str" cm="1">
        <f t="array" ref="B2">IFERROR(TRANSPOSE(_xlfn._xlws.FILTER(MONTHLY_RETURNS!B65:AI65, MONTHLY_RETURNS!$B$74:$AI$74=1)),"")</f>
        <v/>
      </c>
      <c r="C2" s="4" t="str" cm="1">
        <f t="array" ref="C2">IFERROR(TRANSPOSE(_xlfn._xlws.FILTER(MONTHLY_RETURNS!B66:AI66, MONTHLY_RETURNS!$B$74:$AI$74=1)),"")</f>
        <v/>
      </c>
      <c r="D2" s="4" t="str" cm="1">
        <f t="array" ref="D2">IFERROR(TRANSPOSE(_xlfn._xlws.FILTER(MONTHLY_RETURNS!B67:AI67, MONTHLY_RETURNS!$B$74:$AI$74=1)),"")</f>
        <v/>
      </c>
      <c r="E2" s="4" t="str" cm="1">
        <f t="array" ref="E2">IFERROR(TRANSPOSE(_xlfn._xlws.FILTER(MONTHLY_RETURNS!B68:AI68, MONTHLY_RETURNS!$B$74:$AI$74=1)),"")</f>
        <v/>
      </c>
      <c r="F2" s="4" t="str" cm="1">
        <f t="array" ref="F2">IFERROR(TRANSPOSE(_xlfn._xlws.FILTER(MONTHLY_RETURNS!B69:AI69, MONTHLY_RETURNS!$B$74:$AI$74=1)),"")</f>
        <v/>
      </c>
      <c r="G2" s="4" t="str" cm="1">
        <f t="array" ref="G2">IFERROR(TRANSPOSE(_xlfn._xlws.FILTER(MONTHLY_RETURNS!B70:AI70, MONTHLY_RETURNS!$B$74:$AI$74=1)),"")</f>
        <v/>
      </c>
      <c r="H2" t="str" cm="1">
        <f t="array" ref="H2">IFERROR(TRANSPOSE(_xlfn._xlws.FILTER(MONTHLY_RETURNS!B71:AI71, MONTHLY_RETURNS!$B$74:$AI$74=1)),"")</f>
        <v/>
      </c>
      <c r="I2" t="str" cm="1">
        <f t="array" ref="I2">IFERROR(TRANSPOSE(_xlfn._xlws.FILTER(MONTHLY_RETURNS!B72:AI72, MONTHLY_RETURNS!$B$74:$AI$74=1)),"")</f>
        <v/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44239</v>
      </c>
      <c r="B2" s="3" cm="1">
        <f t="array" ref="B2:B62">_xll.FDS(B1,"FG_TOTAL_RETURNC(-5AY,0,AM)")/100</f>
        <v>6.4713596999999998E-2</v>
      </c>
      <c r="C2" s="3" cm="1">
        <f t="array" ref="C2:C62">_xll.FDS(C1,"FG_TOTAL_RETURNC(-5AY,0,AM)")/100</f>
        <v>8.0845355999999997E-3</v>
      </c>
      <c r="D2" s="3" cm="1">
        <f t="array" ref="D2:D62">_xll.FDS(D1,"FG_TOTAL_RETURNC(-5AY,0,AM)")/100</f>
        <v>-3.0413627999999998E-2</v>
      </c>
      <c r="E2" s="3" cm="1">
        <f t="array" ref="E2:E62">_xll.FDS(E1,"FG_TOTAL_RETURNC(-5AY,0,AM)")/100</f>
        <v>-4.1843534000000002E-2</v>
      </c>
      <c r="F2" s="3" cm="1">
        <f t="array" ref="F2:F62">_xll.FDS(F1,"FG_TOTAL_RETURNC(-5AY,0,AM)")/100</f>
        <v>-1.9959152000000001E-2</v>
      </c>
      <c r="G2" s="3" cm="1">
        <f t="array" ref="G2:G62">_xll.FDS(G1,"FG_TOTAL_RETURNC(-5AY,0,AM)")/100</f>
        <v>5.5197597000000001E-2</v>
      </c>
      <c r="H2" s="3" cm="1">
        <f t="array" ref="H2:H62">_xll.FDS(H1,"FG_TOTAL_RETURNC(-5AY,0,AM)")/100</f>
        <v>-2.6096045999999998E-2</v>
      </c>
      <c r="I2" s="3" cm="1">
        <f t="array" ref="I2:I62">_xll.FDS(I1,"FG_TOTAL_RETURNC(-5AY,0,AM)")/100</f>
        <v>3.3966183999999996E-2</v>
      </c>
      <c r="J2" s="3" cm="1">
        <f t="array" ref="J2:J62">_xll.FDS(J1,"FG_TOTAL_RETURNC(-5AY,0,AM)")/100</f>
        <v>-3.6491394000000003E-2</v>
      </c>
      <c r="K2" s="3" cm="1">
        <f t="array" ref="K2:K62">_xll.FDS(K1,"FG_TOTAL_RETURNC(-5AY,0,AM)")/100</f>
        <v>-5.2854420000000004E-3</v>
      </c>
      <c r="L2" s="3" cm="1">
        <f t="array" ref="L2:L62">_xll.FDS(L1,"FG_TOTAL_RETURNC(-5AY,0,AM)")/100</f>
        <v>-3.4565925999999997E-2</v>
      </c>
      <c r="M2" s="3" cm="1">
        <f t="array" ref="M2:M62">_xll.FDS(M1,"FG_TOTAL_RETURNC(-5AY,0,AM)")/100</f>
        <v>0.12046277999999999</v>
      </c>
      <c r="N2" s="3" cm="1">
        <f t="array" ref="N2:N62">_xll.FDS(N1,"FG_TOTAL_RETURNC(-5AY,0,AM)")/100</f>
        <v>-4.9058080000000004E-2</v>
      </c>
      <c r="O2" s="3" cm="1">
        <f t="array" ref="O2:O62">_xll.FDS(O1,"FG_TOTAL_RETURNC(-5AY,0,AM)")/100</f>
        <v>3.2405138E-2</v>
      </c>
      <c r="P2" s="3" cm="1">
        <f t="array" ref="P2:P62">_xll.FDS(P1,"FG_TOTAL_RETURNC(-5AY,0,AM)")/100</f>
        <v>0.12976205999999998</v>
      </c>
      <c r="Q2" s="3" cm="1">
        <f t="array" ref="Q2:Q62">_xll.FDS(Q1,"FG_TOTAL_RETURNC(-5AY,0,AM)")/100</f>
        <v>-2.5974034999999999E-2</v>
      </c>
      <c r="R2" s="3" cm="1">
        <f t="array" ref="R2:R62">_xll.FDS(R1,"FG_TOTAL_RETURNC(-5AY,0,AM)")/100</f>
        <v>-2.5179206999999999E-2</v>
      </c>
      <c r="S2" s="3" cm="1">
        <f t="array" ref="S2:S62">_xll.FDS(S1,"FG_TOTAL_RETURNC(-5AY,0,AM)")/100</f>
        <v>3.3970237E-2</v>
      </c>
      <c r="T2" s="3" cm="1">
        <f t="array" ref="T2:T62">_xll.FDS(T1,"FG_TOTAL_RETURNC(-5AY,0,AM)")/100</f>
        <v>1.8245338999999999E-2</v>
      </c>
      <c r="U2" s="3" cm="1">
        <f t="array" ref="U2:U62">_xll.FDS(U1,"FG_TOTAL_RETURNC(-5AY,0,AM)")/100</f>
        <v>-3.1199574000000001E-2</v>
      </c>
      <c r="V2" s="3" cm="1">
        <f t="array" ref="V2:V62">_xll.FDS(V1,"FG_TOTAL_RETURNC(-5AY,0,AM)")/100</f>
        <v>-4.6626330000000002E-3</v>
      </c>
      <c r="W2" s="3" cm="1">
        <f t="array" ref="W2:W62">_xll.FDS(W1,"FG_TOTAL_RETURNC(-5AY,0,AM)")/100</f>
        <v>-3.7688791999999999E-2</v>
      </c>
      <c r="X2" s="3" cm="1">
        <f t="array" ref="X2:X62">_xll.FDS(X1,"FG_TOTAL_RETURNC(-5AY,0,AM)")/100</f>
        <v>2.6552319999999997E-2</v>
      </c>
      <c r="Y2" s="3" cm="1">
        <f t="array" ref="Y2:Y62">_xll.FDS(Y1,"FG_TOTAL_RETURNC(-5AY,0,AM)")/100</f>
        <v>2.9108046999999998E-2</v>
      </c>
      <c r="Z2" s="3" cm="1">
        <f t="array" ref="Z2:Z62">_xll.FDS(Z1,"FG_TOTAL_RETURNC(-5AY,0,AM)")/100</f>
        <v>1.6034603000000001E-2</v>
      </c>
      <c r="AA2" s="3" cm="1">
        <f t="array" ref="AA2:AA62">_xll.FDS(AA1,"FG_TOTAL_RETURNC(-5AY,0,AM)")/100</f>
        <v>3.3959626999999999E-2</v>
      </c>
      <c r="AB2" s="3" cm="1">
        <f t="array" ref="AB2:AB62">_xll.FDS(AB1,"FG_TOTAL_RETURNC(-5AY,0,AM)")/100</f>
        <v>8.8262560000000004E-4</v>
      </c>
      <c r="AC2" s="3" cm="1">
        <f t="array" ref="AC2:AC62">_xll.FDS(AC1,"FG_TOTAL_RETURNC(-5AY,0,AM)")/100</f>
        <v>-5.8593154000000005E-3</v>
      </c>
      <c r="AD2" s="3" cm="1">
        <f t="array" ref="AD2:AD62">_xll.FDS(AD1,"FG_TOTAL_RETURNC(-5AY,0,AM)")/100</f>
        <v>6.4580440000000003E-2</v>
      </c>
      <c r="AE2" s="3" cm="1">
        <f t="array" ref="AE2:AE62">_xll.FDS(AE1,"FG_TOTAL_RETURNC(-5AY,0,AM)")/100</f>
        <v>3.3834456999999998E-2</v>
      </c>
      <c r="AF2" s="3" cm="1">
        <f t="array" ref="AF2:AF62">_xll.FDS(AF1,"FG_TOTAL_RETURNC(-5AY,0,AM)")/100</f>
        <v>5.2940845000000007E-3</v>
      </c>
      <c r="AG2" s="3" cm="1">
        <f t="array" ref="AG2:AG62">_xll.FDS(AG1,"FG_TOTAL_RETURNC(-5AY,0,AM)")/100</f>
        <v>7.9107999999999998E-2</v>
      </c>
      <c r="AH2" s="3" cm="1">
        <f t="array" ref="AH2:AH62">_xll.FDS(AH1,"FG_TOTAL_RETURNC(-5AY,0,AM)")/100</f>
        <v>3.7279010000000001E-2</v>
      </c>
      <c r="AI2" s="3" cm="1">
        <f t="array" ref="AI2:AI62">_xll.FDS(AI1,"FG_TOTAL_RETURNC(-5AY,0,AM)")/100</f>
        <v>3.1687856E-2</v>
      </c>
      <c r="AJ2" s="3"/>
      <c r="AK2" s="3"/>
      <c r="AL2" s="3"/>
    </row>
    <row r="3" spans="1:38" x14ac:dyDescent="0.45">
      <c r="A3" s="2">
        <v>44267</v>
      </c>
      <c r="B3" s="3">
        <v>-0.14531827</v>
      </c>
      <c r="C3" s="3">
        <v>5.0586104E-2</v>
      </c>
      <c r="D3" s="3">
        <v>-3.6386429999999997E-2</v>
      </c>
      <c r="E3" s="3">
        <v>-5.0949390000000004E-2</v>
      </c>
      <c r="F3" s="3">
        <v>3.6553143999999999E-3</v>
      </c>
      <c r="G3" s="3">
        <v>-2.0977199999999998E-2</v>
      </c>
      <c r="H3" s="3">
        <v>-1.1075376999999999E-2</v>
      </c>
      <c r="I3" s="3">
        <v>-1.6846358999999998E-2</v>
      </c>
      <c r="J3" s="3">
        <v>3.1051636000000001E-2</v>
      </c>
      <c r="K3" s="3">
        <v>-6.4505815999999994E-2</v>
      </c>
      <c r="L3" s="3">
        <v>-7.6047660000000003E-2</v>
      </c>
      <c r="M3" s="3">
        <v>-9.7185372999999999E-3</v>
      </c>
      <c r="N3" s="3">
        <v>0.10028886999999999</v>
      </c>
      <c r="O3" s="3">
        <v>-3.2550693000000003E-3</v>
      </c>
      <c r="P3" s="3">
        <v>-0.12274324</v>
      </c>
      <c r="Q3" s="3">
        <v>-1.2714624000000001E-2</v>
      </c>
      <c r="R3" s="3">
        <v>3.9672494000000003E-2</v>
      </c>
      <c r="S3" s="3">
        <v>-5.2361370000000004E-2</v>
      </c>
      <c r="T3" s="3">
        <v>8.7685585000000007E-3</v>
      </c>
      <c r="U3" s="3">
        <v>-1.2770653E-2</v>
      </c>
      <c r="V3" s="3">
        <v>7.0268629999999999E-2</v>
      </c>
      <c r="W3" s="3">
        <v>-2.7735471999999997E-2</v>
      </c>
      <c r="X3" s="3">
        <v>3.9792059999999995E-4</v>
      </c>
      <c r="Y3" s="3">
        <v>4.8661709999999997E-2</v>
      </c>
      <c r="Z3" s="3">
        <v>7.2836875999999998E-3</v>
      </c>
      <c r="AA3" s="3">
        <v>-3.6477982999999999E-2</v>
      </c>
      <c r="AB3" s="3">
        <v>-3.1084657000000002E-2</v>
      </c>
      <c r="AC3" s="3">
        <v>4.3549420000000005E-2</v>
      </c>
      <c r="AD3" s="3">
        <v>-6.2386749999999998E-2</v>
      </c>
      <c r="AE3" s="3">
        <v>3.6164522000000001E-3</v>
      </c>
      <c r="AF3" s="3">
        <v>4.0959716000000007E-2</v>
      </c>
      <c r="AG3" s="3">
        <v>-2.4363756E-2</v>
      </c>
      <c r="AH3" s="3">
        <v>5.3442239999999995E-2</v>
      </c>
      <c r="AI3" s="3">
        <v>2.1985172999999997E-2</v>
      </c>
      <c r="AJ3" s="3"/>
      <c r="AK3" s="3"/>
      <c r="AL3" s="3"/>
    </row>
    <row r="4" spans="1:38" x14ac:dyDescent="0.45">
      <c r="A4" s="2">
        <v>44299</v>
      </c>
      <c r="B4" s="3">
        <v>-2.770102E-2</v>
      </c>
      <c r="C4" s="3">
        <v>2.1432756999999997E-2</v>
      </c>
      <c r="D4" s="3">
        <v>-8.1163225000000006E-2</v>
      </c>
      <c r="E4" s="3">
        <v>-2.6342094E-2</v>
      </c>
      <c r="F4" s="3">
        <v>-3.6420226000000002E-3</v>
      </c>
      <c r="G4" s="3">
        <v>-3.1733096000000002E-2</v>
      </c>
      <c r="H4" s="3">
        <v>-9.7543600000000001E-3</v>
      </c>
      <c r="I4" s="3">
        <v>4.1466713000000002E-2</v>
      </c>
      <c r="J4" s="3">
        <v>3.28542E-2</v>
      </c>
      <c r="K4" s="3">
        <v>5.0551057000000003E-2</v>
      </c>
      <c r="L4" s="3">
        <v>1.0814071000000001E-2</v>
      </c>
      <c r="M4" s="3">
        <v>2.5352716000000001E-2</v>
      </c>
      <c r="N4" s="3">
        <v>5.1012753999999993E-2</v>
      </c>
      <c r="O4" s="3">
        <v>-5.6683006000000001E-2</v>
      </c>
      <c r="P4" s="3">
        <v>-3.418094E-2</v>
      </c>
      <c r="Q4" s="3">
        <v>3.2865881999999999E-2</v>
      </c>
      <c r="R4" s="3">
        <v>-1.7261921999999999E-2</v>
      </c>
      <c r="S4" s="3">
        <v>-0.16287469999999998</v>
      </c>
      <c r="T4" s="3">
        <v>1.8140674000000002E-2</v>
      </c>
      <c r="U4" s="3">
        <v>6.9178820000000002E-2</v>
      </c>
      <c r="V4" s="3">
        <v>4.6687960000000001E-2</v>
      </c>
      <c r="W4" s="3">
        <v>-6.1128139999999994E-3</v>
      </c>
      <c r="X4" s="3">
        <v>1.6308665E-2</v>
      </c>
      <c r="Y4" s="3">
        <v>1.7401456999999999E-2</v>
      </c>
      <c r="Z4" s="3">
        <v>4.6098350000000003E-2</v>
      </c>
      <c r="AA4" s="3">
        <v>1.0733962E-2</v>
      </c>
      <c r="AB4" s="3">
        <v>4.7554015999999998E-2</v>
      </c>
      <c r="AC4" s="3">
        <v>4.7066212000000003E-3</v>
      </c>
      <c r="AD4" s="3">
        <v>8.1030729999999995E-2</v>
      </c>
      <c r="AE4" s="3">
        <v>5.1145673000000003E-2</v>
      </c>
      <c r="AF4" s="3">
        <v>2.3046612999999997E-2</v>
      </c>
      <c r="AG4" s="3">
        <v>6.5774800000000008E-2</v>
      </c>
      <c r="AH4" s="3">
        <v>4.2755840000000003E-2</v>
      </c>
      <c r="AI4" s="3">
        <v>1.4235972999999999E-2</v>
      </c>
      <c r="AJ4" s="3"/>
      <c r="AK4" s="3"/>
      <c r="AL4" s="3"/>
    </row>
    <row r="5" spans="1:38" x14ac:dyDescent="0.45">
      <c r="A5" s="2">
        <v>44329</v>
      </c>
      <c r="B5" s="3">
        <v>2.7180551999999997E-2</v>
      </c>
      <c r="C5" s="3">
        <v>-9.8591570000000003E-2</v>
      </c>
      <c r="D5" s="3">
        <v>1.3698577999999999E-2</v>
      </c>
      <c r="E5" s="3">
        <v>-2.3972630000000002E-2</v>
      </c>
      <c r="F5" s="3">
        <v>7.3629260000000002E-2</v>
      </c>
      <c r="G5" s="3">
        <v>-1.9047617999999999E-2</v>
      </c>
      <c r="H5" s="3">
        <v>-9.4856024000000011E-3</v>
      </c>
      <c r="I5" s="3">
        <v>-4.4257936000000005E-2</v>
      </c>
      <c r="J5" s="3">
        <v>3.0262828000000002E-2</v>
      </c>
      <c r="K5" s="3">
        <v>-3.5250902000000001E-2</v>
      </c>
      <c r="L5" s="3">
        <v>9.8959810000000009E-2</v>
      </c>
      <c r="M5" s="3">
        <v>-9.7706913999999999E-3</v>
      </c>
      <c r="N5" s="3">
        <v>2.6766538999999999E-2</v>
      </c>
      <c r="O5" s="3">
        <v>3.6350130000000001E-2</v>
      </c>
      <c r="P5" s="3">
        <v>-6.0862119999999999E-2</v>
      </c>
      <c r="Q5" s="3">
        <v>1.7782329999999999E-2</v>
      </c>
      <c r="R5" s="3">
        <v>4.548669E-3</v>
      </c>
      <c r="S5" s="3">
        <v>-1.2510836000000001E-2</v>
      </c>
      <c r="T5" s="3">
        <v>1.2620686999999998E-2</v>
      </c>
      <c r="U5" s="3">
        <v>-2.4723768E-2</v>
      </c>
      <c r="V5" s="3">
        <v>3.2060265999999997E-2</v>
      </c>
      <c r="W5" s="3">
        <v>-3.3117532999999998E-3</v>
      </c>
      <c r="X5" s="3">
        <v>2.7397274999999999E-2</v>
      </c>
      <c r="Y5" s="3">
        <v>3.4492611999999999E-2</v>
      </c>
      <c r="Z5" s="3">
        <v>5.7601929999999998E-4</v>
      </c>
      <c r="AA5" s="3">
        <v>-5.3243400000000003E-2</v>
      </c>
      <c r="AB5" s="3">
        <v>1.3683677E-2</v>
      </c>
      <c r="AC5" s="3">
        <v>4.1536450000000003E-2</v>
      </c>
      <c r="AD5" s="3">
        <v>-6.2419295000000007E-2</v>
      </c>
      <c r="AE5" s="3">
        <v>-6.2490699999999998E-3</v>
      </c>
      <c r="AF5" s="3">
        <v>3.1318665000000002E-2</v>
      </c>
      <c r="AG5" s="3">
        <v>-1.2133837000000001E-2</v>
      </c>
      <c r="AH5" s="3">
        <v>3.1868220000000002E-3</v>
      </c>
      <c r="AI5" s="3">
        <v>9.0454817E-3</v>
      </c>
      <c r="AJ5" s="3"/>
      <c r="AK5" s="3"/>
      <c r="AL5" s="3"/>
    </row>
    <row r="6" spans="1:38" x14ac:dyDescent="0.45">
      <c r="A6" s="2">
        <v>44358</v>
      </c>
      <c r="B6" s="3">
        <v>6.4524769999999995E-2</v>
      </c>
      <c r="C6" s="3">
        <v>-4.4622479999999999E-2</v>
      </c>
      <c r="D6" s="3">
        <v>4.3394804000000002E-2</v>
      </c>
      <c r="E6" s="3">
        <v>0.11878453999999999</v>
      </c>
      <c r="F6" s="3">
        <v>7.6345919999999998E-2</v>
      </c>
      <c r="G6" s="3">
        <v>-0.11019981</v>
      </c>
      <c r="H6" s="3">
        <v>6.4225197000000005E-3</v>
      </c>
      <c r="I6" s="3">
        <v>9.3475699999999995E-2</v>
      </c>
      <c r="J6" s="3">
        <v>6.6179395000000002E-2</v>
      </c>
      <c r="K6" s="3">
        <v>3.8332223999999998E-2</v>
      </c>
      <c r="L6" s="3">
        <v>0.10646379</v>
      </c>
      <c r="M6" s="3">
        <v>6.2654970000000004E-2</v>
      </c>
      <c r="N6" s="3">
        <v>4.2752860000000004E-2</v>
      </c>
      <c r="O6" s="3">
        <v>7.9735756000000005E-2</v>
      </c>
      <c r="P6" s="3">
        <v>6.4764500000000003E-2</v>
      </c>
      <c r="Q6" s="3">
        <v>3.9100647000000005E-5</v>
      </c>
      <c r="R6" s="3">
        <v>5.7120559999999994E-2</v>
      </c>
      <c r="S6" s="3">
        <v>5.7182669999999998E-2</v>
      </c>
      <c r="T6" s="3">
        <v>0.10188543</v>
      </c>
      <c r="U6" s="3">
        <v>7.8748583999999996E-2</v>
      </c>
      <c r="V6" s="3">
        <v>5.6600930000000001E-2</v>
      </c>
      <c r="W6" s="3">
        <v>-9.1511609999999997E-3</v>
      </c>
      <c r="X6" s="3">
        <v>4.2521240000000002E-2</v>
      </c>
      <c r="Y6" s="3">
        <v>4.8575043999999998E-2</v>
      </c>
      <c r="Z6" s="3">
        <v>4.2752623999999996E-2</v>
      </c>
      <c r="AA6" s="3">
        <v>5.177474E-2</v>
      </c>
      <c r="AB6" s="3">
        <v>8.3256840000000013E-2</v>
      </c>
      <c r="AC6" s="3">
        <v>2.8788686000000001E-2</v>
      </c>
      <c r="AD6" s="3">
        <v>6.8578960000000008E-2</v>
      </c>
      <c r="AE6" s="3">
        <v>3.4196138000000001E-2</v>
      </c>
      <c r="AF6" s="3">
        <v>5.3728819999999997E-2</v>
      </c>
      <c r="AG6" s="3">
        <v>6.0343146E-2</v>
      </c>
      <c r="AH6" s="3">
        <v>4.4090866999999999E-2</v>
      </c>
      <c r="AI6" s="3">
        <v>5.4745435999999995E-2</v>
      </c>
      <c r="AJ6" s="3"/>
      <c r="AK6" s="3"/>
      <c r="AL6" s="3"/>
    </row>
    <row r="7" spans="1:38" x14ac:dyDescent="0.45">
      <c r="A7" s="2">
        <v>44390</v>
      </c>
      <c r="B7" s="3">
        <v>-6.5640810000000003E-3</v>
      </c>
      <c r="C7" s="3">
        <v>-6.8906965000000001E-2</v>
      </c>
      <c r="D7" s="3">
        <v>-0.10112357</v>
      </c>
      <c r="E7" s="3">
        <v>-6.0625195999999999E-2</v>
      </c>
      <c r="F7" s="3">
        <v>-2.1295845999999997E-2</v>
      </c>
      <c r="G7" s="3">
        <v>-6.8284750000000005E-2</v>
      </c>
      <c r="H7" s="3">
        <v>-5.813509E-2</v>
      </c>
      <c r="I7" s="3">
        <v>1.4798522000000001E-2</v>
      </c>
      <c r="J7" s="3">
        <v>-4.8236730000000005E-2</v>
      </c>
      <c r="K7" s="3">
        <v>-2.126515E-2</v>
      </c>
      <c r="L7" s="3">
        <v>-2.1588086999999999E-2</v>
      </c>
      <c r="M7" s="3">
        <v>-0.10193157</v>
      </c>
      <c r="N7" s="3">
        <v>-8.8666680000000012E-2</v>
      </c>
      <c r="O7" s="3">
        <v>-2.2782564000000002E-2</v>
      </c>
      <c r="P7" s="3">
        <v>-3.8659810000000003E-2</v>
      </c>
      <c r="Q7" s="3">
        <v>1.7545222999999998E-3</v>
      </c>
      <c r="R7" s="3">
        <v>-4.0065765000000003E-2</v>
      </c>
      <c r="S7" s="3">
        <v>-0.10085112</v>
      </c>
      <c r="T7" s="3">
        <v>-3.6501407999999999E-2</v>
      </c>
      <c r="U7" s="3">
        <v>-3.9500057999999998E-2</v>
      </c>
      <c r="V7" s="3">
        <v>-7.741451000000001E-4</v>
      </c>
      <c r="W7" s="3">
        <v>-8.7012649999999997E-3</v>
      </c>
      <c r="X7" s="3">
        <v>-3.9273797999999999E-2</v>
      </c>
      <c r="Y7" s="3">
        <v>-1.8244267000000002E-2</v>
      </c>
      <c r="Z7" s="3">
        <v>-2.1336257000000001E-2</v>
      </c>
      <c r="AA7" s="3">
        <v>-6.823361E-3</v>
      </c>
      <c r="AB7" s="3">
        <v>-4.0290355999999996E-3</v>
      </c>
      <c r="AC7" s="3">
        <v>-1.9857764E-2</v>
      </c>
      <c r="AD7" s="3">
        <v>6.3291550000000002E-2</v>
      </c>
      <c r="AE7" s="3">
        <v>2.9988527000000001E-2</v>
      </c>
      <c r="AF7" s="3">
        <v>-3.5531699999999999E-2</v>
      </c>
      <c r="AG7" s="3">
        <v>-2.3723364E-2</v>
      </c>
      <c r="AH7" s="3">
        <v>-1.3491093999999999E-2</v>
      </c>
      <c r="AI7" s="3">
        <v>-4.9243569999999993E-2</v>
      </c>
      <c r="AJ7" s="3"/>
      <c r="AK7" s="3"/>
      <c r="AL7" s="3"/>
    </row>
    <row r="8" spans="1:38" x14ac:dyDescent="0.45">
      <c r="A8" s="2">
        <v>44421</v>
      </c>
      <c r="B8" s="3">
        <v>-1.9594431000000002E-2</v>
      </c>
      <c r="C8" s="3">
        <v>1.9686459999999999E-2</v>
      </c>
      <c r="D8" s="3">
        <v>3.7999987999999998E-2</v>
      </c>
      <c r="E8" s="3">
        <v>-5.0084057000000001E-2</v>
      </c>
      <c r="F8" s="3">
        <v>3.0092596999999999E-2</v>
      </c>
      <c r="G8" s="3">
        <v>-7.7804860000000003E-2</v>
      </c>
      <c r="H8" s="3">
        <v>-7.2144269999999998E-3</v>
      </c>
      <c r="I8" s="3">
        <v>-2.6217818E-2</v>
      </c>
      <c r="J8" s="3">
        <v>5.6643962999999999E-2</v>
      </c>
      <c r="K8" s="3">
        <v>-4.764533E-2</v>
      </c>
      <c r="L8" s="3">
        <v>-6.1881779999999997E-2</v>
      </c>
      <c r="M8" s="3">
        <v>3.1729221000000002E-2</v>
      </c>
      <c r="N8" s="3">
        <v>2.3043155999999999E-2</v>
      </c>
      <c r="O8" s="3">
        <v>4.6061515999999997E-2</v>
      </c>
      <c r="P8" s="3">
        <v>-9.1025240000000007E-2</v>
      </c>
      <c r="Q8" s="3">
        <v>1.5469313E-2</v>
      </c>
      <c r="R8" s="3">
        <v>-2.7161240000000003E-2</v>
      </c>
      <c r="S8" s="3">
        <v>9.0392949999999986E-2</v>
      </c>
      <c r="T8" s="3">
        <v>3.2330274999999999E-2</v>
      </c>
      <c r="U8" s="3">
        <v>3.279543E-2</v>
      </c>
      <c r="V8" s="3">
        <v>6.3016533999999999E-2</v>
      </c>
      <c r="W8" s="3">
        <v>1.6254187E-3</v>
      </c>
      <c r="X8" s="3">
        <v>2.6224493999999998E-2</v>
      </c>
      <c r="Y8" s="3">
        <v>1.5620708000000001E-2</v>
      </c>
      <c r="Z8" s="3">
        <v>1.3769388E-2</v>
      </c>
      <c r="AA8" s="3">
        <v>3.3620596000000003E-3</v>
      </c>
      <c r="AB8" s="3">
        <v>3.2362460000000003E-2</v>
      </c>
      <c r="AC8" s="3">
        <v>1.9655347E-2</v>
      </c>
      <c r="AD8" s="3">
        <v>1.7659068E-2</v>
      </c>
      <c r="AE8" s="3">
        <v>2.371502E-2</v>
      </c>
      <c r="AF8" s="3">
        <v>4.8502563999999998E-2</v>
      </c>
      <c r="AG8" s="3">
        <v>5.5189490000000001E-2</v>
      </c>
      <c r="AH8" s="3">
        <v>3.0296683000000001E-2</v>
      </c>
      <c r="AI8" s="3">
        <v>5.8970330000000001E-2</v>
      </c>
      <c r="AJ8" s="3"/>
      <c r="AK8" s="3"/>
      <c r="AL8" s="3"/>
    </row>
    <row r="9" spans="1:38" x14ac:dyDescent="0.45">
      <c r="A9" s="2">
        <v>44452</v>
      </c>
      <c r="B9" s="3">
        <v>1.9288898000000002E-2</v>
      </c>
      <c r="C9" s="3">
        <v>-1.7876266999999998E-2</v>
      </c>
      <c r="D9" s="3">
        <v>3.4200309999999998E-2</v>
      </c>
      <c r="E9" s="3">
        <v>9.6956840000000002E-2</v>
      </c>
      <c r="F9" s="3">
        <v>4.5842767E-2</v>
      </c>
      <c r="G9" s="3">
        <v>2.3352146000000001E-2</v>
      </c>
      <c r="H9" s="3">
        <v>6.0153365E-2</v>
      </c>
      <c r="I9" s="3">
        <v>4.2854786000000006E-2</v>
      </c>
      <c r="J9" s="3">
        <v>1.1084198999999999E-2</v>
      </c>
      <c r="K9" s="3">
        <v>-2.4435459999999999E-2</v>
      </c>
      <c r="L9" s="3">
        <v>-4.4336375999999997E-2</v>
      </c>
      <c r="M9" s="3">
        <v>-3.0959845000000001E-3</v>
      </c>
      <c r="N9" s="3">
        <v>2.2624254E-2</v>
      </c>
      <c r="O9" s="3">
        <v>6.8484306000000009E-2</v>
      </c>
      <c r="P9" s="3">
        <v>5.7585240000000001E-3</v>
      </c>
      <c r="Q9" s="3">
        <v>1.9881248000000001E-2</v>
      </c>
      <c r="R9" s="3">
        <v>6.8990827000000005E-2</v>
      </c>
      <c r="S9" s="3">
        <v>-7.3784590000000004E-3</v>
      </c>
      <c r="T9" s="3">
        <v>3.7680984000000001E-2</v>
      </c>
      <c r="U9" s="3">
        <v>-5.0401687999999999E-4</v>
      </c>
      <c r="V9" s="3">
        <v>1.2633681000000001E-2</v>
      </c>
      <c r="W9" s="3">
        <v>3.7812471E-2</v>
      </c>
      <c r="X9" s="3">
        <v>-2.2547899999999999E-2</v>
      </c>
      <c r="Y9" s="3">
        <v>-9.2813369999999989E-3</v>
      </c>
      <c r="Z9" s="3">
        <v>-1.7260909000000001E-2</v>
      </c>
      <c r="AA9" s="3">
        <v>7.5320479999999995E-2</v>
      </c>
      <c r="AB9" s="3">
        <v>-3.1543910000000001E-2</v>
      </c>
      <c r="AC9" s="3">
        <v>-2.0759224999999999E-2</v>
      </c>
      <c r="AD9" s="3">
        <v>2.0362138999999998E-2</v>
      </c>
      <c r="AE9" s="3">
        <v>1.4799833000000001E-3</v>
      </c>
      <c r="AF9" s="3">
        <v>-1.8958569000000002E-2</v>
      </c>
      <c r="AG9" s="3">
        <v>3.6494849999999995E-2</v>
      </c>
      <c r="AH9" s="3">
        <v>-2.6138484000000003E-2</v>
      </c>
      <c r="AI9" s="3">
        <v>-3.5061835999999999E-2</v>
      </c>
      <c r="AJ9" s="3"/>
      <c r="AK9" s="3"/>
      <c r="AL9" s="3"/>
    </row>
    <row r="10" spans="1:38" x14ac:dyDescent="0.45">
      <c r="A10" s="2">
        <v>44482</v>
      </c>
      <c r="B10" s="3">
        <v>-1.2311935000000001E-2</v>
      </c>
      <c r="C10" s="3">
        <v>-0.12923187</v>
      </c>
      <c r="D10" s="3">
        <v>0.12529111000000001</v>
      </c>
      <c r="E10" s="3">
        <v>2.6129006999999999E-2</v>
      </c>
      <c r="F10" s="3">
        <v>1.2892127E-2</v>
      </c>
      <c r="G10" s="3">
        <v>5.2999615999999999E-2</v>
      </c>
      <c r="H10" s="3">
        <v>2.0563602E-2</v>
      </c>
      <c r="I10" s="3">
        <v>-7.9590560000000005E-2</v>
      </c>
      <c r="J10" s="3">
        <v>-2.7307153000000001E-2</v>
      </c>
      <c r="K10" s="3">
        <v>-7.0750236999999994E-2</v>
      </c>
      <c r="L10" s="3">
        <v>-7.8642130000000005E-2</v>
      </c>
      <c r="M10" s="3">
        <v>1.4078736000000001E-2</v>
      </c>
      <c r="N10" s="3">
        <v>-3.2961844999999997E-2</v>
      </c>
      <c r="O10" s="3">
        <v>1.1948109E-2</v>
      </c>
      <c r="P10" s="3">
        <v>-1.9550383000000001E-2</v>
      </c>
      <c r="Q10" s="3">
        <v>4.7594905E-2</v>
      </c>
      <c r="R10" s="3">
        <v>6.047368E-3</v>
      </c>
      <c r="S10" s="3">
        <v>-7.8268530000000003E-2</v>
      </c>
      <c r="T10" s="3">
        <v>-2.6123463999999999E-2</v>
      </c>
      <c r="U10" s="3">
        <v>-1.1598587E-2</v>
      </c>
      <c r="V10" s="3">
        <v>2.8310894999999999E-2</v>
      </c>
      <c r="W10" s="3">
        <v>-2.8459728000000004E-2</v>
      </c>
      <c r="X10" s="3">
        <v>-9.9961760000000007E-3</v>
      </c>
      <c r="Y10" s="3">
        <v>2.1413207E-2</v>
      </c>
      <c r="Z10" s="3">
        <v>-5.1252484000000001E-2</v>
      </c>
      <c r="AA10" s="3">
        <v>-8.3051020000000003E-2</v>
      </c>
      <c r="AB10" s="3">
        <v>-2.8727531000000001E-2</v>
      </c>
      <c r="AC10" s="3">
        <v>6.3596963999999999E-3</v>
      </c>
      <c r="AD10" s="3">
        <v>-4.231E-2</v>
      </c>
      <c r="AE10" s="3">
        <v>-2.237451E-2</v>
      </c>
      <c r="AF10" s="3">
        <v>-2.2159277999999998E-2</v>
      </c>
      <c r="AG10" s="3">
        <v>-6.1382054999999998E-2</v>
      </c>
      <c r="AH10" s="3">
        <v>-3.187251E-2</v>
      </c>
      <c r="AI10" s="3">
        <v>-1.1603057000000002E-2</v>
      </c>
      <c r="AJ10" s="3"/>
      <c r="AK10" s="3"/>
      <c r="AL10" s="3"/>
    </row>
    <row r="11" spans="1:38" x14ac:dyDescent="0.45">
      <c r="A11" s="2">
        <v>44512</v>
      </c>
      <c r="B11" s="3">
        <v>3.0009746999999998E-3</v>
      </c>
      <c r="C11" s="3">
        <v>0.13712382000000001</v>
      </c>
      <c r="D11" s="3">
        <v>-9.1059209999999995E-3</v>
      </c>
      <c r="E11" s="3">
        <v>5.1241755E-2</v>
      </c>
      <c r="F11" s="3">
        <v>-4.1578236000000005E-2</v>
      </c>
      <c r="G11" s="3">
        <v>5.941975E-2</v>
      </c>
      <c r="H11" s="3">
        <v>-4.5149207000000004E-2</v>
      </c>
      <c r="I11" s="3">
        <v>8.3485489999999996E-2</v>
      </c>
      <c r="J11" s="3">
        <v>-4.0984153999999999E-4</v>
      </c>
      <c r="K11" s="3">
        <v>1.8395543E-2</v>
      </c>
      <c r="L11" s="3">
        <v>-5.2502275000000001E-2</v>
      </c>
      <c r="M11" s="3">
        <v>-2.5112271000000002E-2</v>
      </c>
      <c r="N11" s="3">
        <v>1.0846019E-2</v>
      </c>
      <c r="O11" s="3">
        <v>1.6209721999999999E-2</v>
      </c>
      <c r="P11" s="3">
        <v>6.4094067000000001E-3</v>
      </c>
      <c r="Q11" s="3">
        <v>2.8032899999999999E-2</v>
      </c>
      <c r="R11" s="3">
        <v>-5.901575E-3</v>
      </c>
      <c r="S11" s="3">
        <v>5.9772252999999997E-2</v>
      </c>
      <c r="T11" s="3">
        <v>0.10448790000000001</v>
      </c>
      <c r="U11" s="3">
        <v>5.6632639999999998E-2</v>
      </c>
      <c r="V11" s="3">
        <v>2.7531504999999998E-2</v>
      </c>
      <c r="W11" s="3">
        <v>-9.6572040000000008E-3</v>
      </c>
      <c r="X11" s="3">
        <v>1.2427211000000001E-2</v>
      </c>
      <c r="Y11" s="3">
        <v>4.8218009999999999E-2</v>
      </c>
      <c r="Z11" s="3">
        <v>3.5204886999999997E-2</v>
      </c>
      <c r="AA11" s="3">
        <v>3.5461067999999998E-2</v>
      </c>
      <c r="AB11" s="3">
        <v>6.3736795999999998E-2</v>
      </c>
      <c r="AC11" s="3">
        <v>8.4260700000000008E-3</v>
      </c>
      <c r="AD11" s="3">
        <v>9.6388929999999998E-2</v>
      </c>
      <c r="AE11" s="3">
        <v>7.3739650000000004E-2</v>
      </c>
      <c r="AF11" s="3">
        <v>5.5599450000000002E-2</v>
      </c>
      <c r="AG11" s="3">
        <v>6.3390136E-2</v>
      </c>
      <c r="AH11" s="3">
        <v>5.4147720000000003E-2</v>
      </c>
      <c r="AI11" s="3">
        <v>4.7883870000000002E-2</v>
      </c>
      <c r="AJ11" s="3"/>
      <c r="AK11" s="3"/>
      <c r="AL11" s="3"/>
    </row>
    <row r="12" spans="1:38" x14ac:dyDescent="0.45">
      <c r="A12" s="2">
        <v>44543</v>
      </c>
      <c r="B12" s="3">
        <v>3.5224795000000003E-2</v>
      </c>
      <c r="C12" s="3">
        <v>-0.10763717</v>
      </c>
      <c r="D12" s="3">
        <v>-2.8690159999999999E-2</v>
      </c>
      <c r="E12" s="3">
        <v>-3.9843260999999998E-2</v>
      </c>
      <c r="F12" s="3">
        <v>-8.679627999999999E-2</v>
      </c>
      <c r="G12" s="3">
        <v>-5.2255510000000005E-2</v>
      </c>
      <c r="H12" s="3">
        <v>-3.9782524E-2</v>
      </c>
      <c r="I12" s="3">
        <v>6.4377784999999996E-3</v>
      </c>
      <c r="J12" s="3">
        <v>-3.4692764000000001E-2</v>
      </c>
      <c r="K12" s="3">
        <v>-1.4400481999999999E-4</v>
      </c>
      <c r="L12" s="3">
        <v>-1.5436232000000001E-2</v>
      </c>
      <c r="M12" s="3">
        <v>-6.2248049999999999E-2</v>
      </c>
      <c r="N12" s="3">
        <v>-4.5064330000000007E-2</v>
      </c>
      <c r="O12" s="3">
        <v>-6.1453284999999996E-2</v>
      </c>
      <c r="P12" s="3">
        <v>-8.2543489999999997E-2</v>
      </c>
      <c r="Q12" s="3">
        <v>-4.4003189999999998E-2</v>
      </c>
      <c r="R12" s="3">
        <v>-4.9634576000000003E-3</v>
      </c>
      <c r="S12" s="3">
        <v>-7.9165039999999992E-2</v>
      </c>
      <c r="T12" s="3">
        <v>8.0822710000000006E-2</v>
      </c>
      <c r="U12" s="3">
        <v>-1.4485121000000001E-3</v>
      </c>
      <c r="V12" s="3">
        <v>-9.6187410000000001E-2</v>
      </c>
      <c r="W12" s="3">
        <v>-4.2932689999999996E-2</v>
      </c>
      <c r="X12" s="3">
        <v>-4.2327222999999997E-2</v>
      </c>
      <c r="Y12" s="3">
        <v>-6.4799429999999991E-2</v>
      </c>
      <c r="Z12" s="3">
        <v>-4.4978022999999999E-2</v>
      </c>
      <c r="AA12" s="3">
        <v>-3.2846272000000003E-2</v>
      </c>
      <c r="AB12" s="3">
        <v>-3.7203429999999997E-3</v>
      </c>
      <c r="AC12" s="3">
        <v>-2.4598597999999999E-2</v>
      </c>
      <c r="AD12" s="3">
        <v>-6.1818960000000001E-3</v>
      </c>
      <c r="AE12" s="3">
        <v>-1.4980435000000001E-3</v>
      </c>
      <c r="AF12" s="3">
        <v>-3.8264809999999996E-2</v>
      </c>
      <c r="AG12" s="3">
        <v>-8.1104160000000008E-2</v>
      </c>
      <c r="AH12" s="3">
        <v>-5.7035327000000004E-2</v>
      </c>
      <c r="AI12" s="3">
        <v>-5.1243900000000002E-2</v>
      </c>
      <c r="AJ12" s="3"/>
      <c r="AK12" s="3"/>
      <c r="AL12" s="3"/>
    </row>
    <row r="13" spans="1:38" x14ac:dyDescent="0.45">
      <c r="A13" s="2">
        <v>44574</v>
      </c>
      <c r="B13" s="3">
        <v>-6.6188040000000004E-2</v>
      </c>
      <c r="C13" s="3">
        <v>6.8523765E-2</v>
      </c>
      <c r="D13" s="3">
        <v>1.5591144999999999E-2</v>
      </c>
      <c r="E13" s="3">
        <v>6.251335E-4</v>
      </c>
      <c r="F13" s="3">
        <v>0.11758936</v>
      </c>
      <c r="G13" s="3">
        <v>0.18745539999999999</v>
      </c>
      <c r="H13" s="3">
        <v>6.1790586000000002E-2</v>
      </c>
      <c r="I13" s="3">
        <v>5.8961509999999995E-2</v>
      </c>
      <c r="J13" s="3">
        <v>0.10467375000000001</v>
      </c>
      <c r="K13" s="3">
        <v>4.3573379999999997E-3</v>
      </c>
      <c r="L13" s="3">
        <v>1.9567846999999999E-2</v>
      </c>
      <c r="M13" s="3">
        <v>0.11101091</v>
      </c>
      <c r="N13" s="3">
        <v>9.380340999999999E-2</v>
      </c>
      <c r="O13" s="3">
        <v>7.9315423999999995E-2</v>
      </c>
      <c r="P13" s="3">
        <v>-1.7870963E-2</v>
      </c>
      <c r="Q13" s="3">
        <v>5.5466175E-2</v>
      </c>
      <c r="R13" s="3">
        <v>3.3330680000000001E-2</v>
      </c>
      <c r="S13" s="3">
        <v>2.9298066999999999E-3</v>
      </c>
      <c r="T13" s="3">
        <v>-4.9591483999999998E-2</v>
      </c>
      <c r="U13" s="3">
        <v>7.4346066000000001E-3</v>
      </c>
      <c r="V13" s="3">
        <v>0.1195997</v>
      </c>
      <c r="W13" s="3">
        <v>1.7237662999999999E-4</v>
      </c>
      <c r="X13" s="3">
        <v>3.2852529999999998E-2</v>
      </c>
      <c r="Y13" s="3">
        <v>5.686426E-2</v>
      </c>
      <c r="Z13" s="3">
        <v>3.2313824000000005E-2</v>
      </c>
      <c r="AA13" s="3">
        <v>6.2789916999999992E-3</v>
      </c>
      <c r="AB13" s="3">
        <v>8.8443755999999991E-3</v>
      </c>
      <c r="AC13" s="3">
        <v>8.4250340000000007E-2</v>
      </c>
      <c r="AD13" s="3">
        <v>-3.5977483000000005E-2</v>
      </c>
      <c r="AE13" s="3">
        <v>-8.294582E-4</v>
      </c>
      <c r="AF13" s="3">
        <v>4.7745943000000006E-2</v>
      </c>
      <c r="AG13" s="3">
        <v>1.5454411999999999E-2</v>
      </c>
      <c r="AH13" s="3">
        <v>3.1349420000000003E-2</v>
      </c>
      <c r="AI13" s="3">
        <v>5.9249996999999999E-2</v>
      </c>
      <c r="AJ13" s="3"/>
      <c r="AK13" s="3"/>
      <c r="AL13" s="3"/>
    </row>
    <row r="14" spans="1:38" x14ac:dyDescent="0.45">
      <c r="A14" s="2">
        <v>44603</v>
      </c>
      <c r="B14" s="3">
        <v>-4.6852470000000007E-2</v>
      </c>
      <c r="C14" s="3">
        <v>5.5356382999999995E-2</v>
      </c>
      <c r="D14" s="3">
        <v>1.3219594999999999E-2</v>
      </c>
      <c r="E14" s="3">
        <v>-1.5619992999999998E-3</v>
      </c>
      <c r="F14" s="3">
        <v>-0.10960108</v>
      </c>
      <c r="G14" s="3">
        <v>1.6506553E-2</v>
      </c>
      <c r="H14" s="3">
        <v>-5.1465033999999995E-3</v>
      </c>
      <c r="I14" s="3">
        <v>-3.6183655000000002E-2</v>
      </c>
      <c r="J14" s="3">
        <v>-1.8912076999999999E-2</v>
      </c>
      <c r="K14" s="3">
        <v>-6.9797159999999997E-2</v>
      </c>
      <c r="L14" s="3">
        <v>0.1295588</v>
      </c>
      <c r="M14" s="3">
        <v>3.9398789999999996E-2</v>
      </c>
      <c r="N14" s="3">
        <v>2.6242136999999999E-2</v>
      </c>
      <c r="O14" s="3">
        <v>-8.5507279999999991E-2</v>
      </c>
      <c r="P14" s="3">
        <v>-1.5506327E-2</v>
      </c>
      <c r="Q14" s="3">
        <v>8.6915969999999995E-2</v>
      </c>
      <c r="R14" s="3">
        <v>1.1416435000000001E-2</v>
      </c>
      <c r="S14" s="3">
        <v>-1.7526804999999999E-2</v>
      </c>
      <c r="T14" s="3">
        <v>4.6040535E-2</v>
      </c>
      <c r="U14" s="3">
        <v>-5.3545530000000001E-2</v>
      </c>
      <c r="V14" s="3">
        <v>1.4689326000000001E-2</v>
      </c>
      <c r="W14" s="3">
        <v>-7.722807000000001E-2</v>
      </c>
      <c r="X14" s="3">
        <v>-4.9035370000000002E-2</v>
      </c>
      <c r="Y14" s="3">
        <v>-4.8680305000000004E-3</v>
      </c>
      <c r="Z14" s="3">
        <v>-5.3089380000000005E-2</v>
      </c>
      <c r="AA14" s="3">
        <v>-4.9769696999999995E-2</v>
      </c>
      <c r="AB14" s="3">
        <v>-5.2211164999999997E-2</v>
      </c>
      <c r="AC14" s="3">
        <v>-8.6987019999999998E-4</v>
      </c>
      <c r="AD14" s="3">
        <v>-8.1025305000000006E-2</v>
      </c>
      <c r="AE14" s="3">
        <v>-5.1815805E-2</v>
      </c>
      <c r="AF14" s="3">
        <v>-4.8879805000000005E-2</v>
      </c>
      <c r="AG14" s="3">
        <v>-8.6647750000000009E-2</v>
      </c>
      <c r="AH14" s="3">
        <v>-0.10873824000000001</v>
      </c>
      <c r="AI14" s="3">
        <v>-4.4034480000000001E-2</v>
      </c>
      <c r="AJ14" s="3"/>
      <c r="AK14" s="3"/>
      <c r="AL14" s="3"/>
    </row>
    <row r="15" spans="1:38" x14ac:dyDescent="0.45">
      <c r="A15" s="2">
        <v>44631</v>
      </c>
      <c r="B15" s="3">
        <v>-5.2684545999999999E-2</v>
      </c>
      <c r="C15" s="3">
        <v>-7.9244970000000008E-3</v>
      </c>
      <c r="D15" s="3">
        <v>2.525258E-2</v>
      </c>
      <c r="E15" s="3">
        <v>-5.7884810000000002E-2</v>
      </c>
      <c r="F15" s="3">
        <v>-0.15706545</v>
      </c>
      <c r="G15" s="3">
        <v>8.7097759999999996E-2</v>
      </c>
      <c r="H15" s="3">
        <v>-3.1834245E-3</v>
      </c>
      <c r="I15" s="3">
        <v>-7.447135399999999E-2</v>
      </c>
      <c r="J15" s="3">
        <v>-2.3251175999999998E-2</v>
      </c>
      <c r="K15" s="3">
        <v>-7.9423904000000004E-2</v>
      </c>
      <c r="L15" s="3">
        <v>2.6137709999999998E-2</v>
      </c>
      <c r="M15" s="3">
        <v>2.3642063000000001E-2</v>
      </c>
      <c r="N15" s="3">
        <v>-0.16808731000000002</v>
      </c>
      <c r="O15" s="3">
        <v>-4.7090769999999997E-2</v>
      </c>
      <c r="P15" s="3">
        <v>-0.21086472000000001</v>
      </c>
      <c r="Q15" s="3">
        <v>2.1496176999999998E-2</v>
      </c>
      <c r="R15" s="3">
        <v>-2.4240792000000001E-2</v>
      </c>
      <c r="S15" s="3">
        <v>-9.018826499999999E-2</v>
      </c>
      <c r="T15" s="3">
        <v>6.4553856999999992E-2</v>
      </c>
      <c r="U15" s="3">
        <v>-5.5555580000000007E-2</v>
      </c>
      <c r="V15" s="3">
        <v>3.8307310000000004E-2</v>
      </c>
      <c r="W15" s="3">
        <v>6.5383910000000002E-3</v>
      </c>
      <c r="X15" s="3">
        <v>3.0431032E-2</v>
      </c>
      <c r="Y15" s="3">
        <v>-8.2389115999999991E-3</v>
      </c>
      <c r="Z15" s="3">
        <v>-0.15394365000000002</v>
      </c>
      <c r="AA15" s="3">
        <v>-8.474045999999999E-2</v>
      </c>
      <c r="AB15" s="3">
        <v>-7.1736930000000004E-2</v>
      </c>
      <c r="AC15" s="3">
        <v>-8.5896670000000008E-2</v>
      </c>
      <c r="AD15" s="3">
        <v>-6.5291286000000004E-2</v>
      </c>
      <c r="AE15" s="3">
        <v>-4.6292486000000001E-2</v>
      </c>
      <c r="AF15" s="3">
        <v>-0.12981802000000001</v>
      </c>
      <c r="AG15" s="3">
        <v>-0.14419013</v>
      </c>
      <c r="AH15" s="3">
        <v>-0.12004889000000001</v>
      </c>
      <c r="AI15" s="3">
        <v>-0.16433238999999999</v>
      </c>
      <c r="AJ15" s="3"/>
      <c r="AK15" s="3"/>
      <c r="AL15" s="3"/>
    </row>
    <row r="16" spans="1:38" x14ac:dyDescent="0.45">
      <c r="A16" s="2">
        <v>44664</v>
      </c>
      <c r="B16" s="3">
        <v>-3.2730281E-2</v>
      </c>
      <c r="C16" s="3">
        <v>7.9117537000000002E-2</v>
      </c>
      <c r="D16" s="3">
        <v>2.1346449999999999E-2</v>
      </c>
      <c r="E16" s="3">
        <v>1.9927025E-3</v>
      </c>
      <c r="F16" s="3">
        <v>8.8200810000000004E-2</v>
      </c>
      <c r="G16" s="3">
        <v>-4.6442150000000001E-2</v>
      </c>
      <c r="H16" s="3">
        <v>2.7544974999999999E-2</v>
      </c>
      <c r="I16" s="3">
        <v>-7.4503419999999996E-3</v>
      </c>
      <c r="J16" s="3">
        <v>8.8504550000000001E-2</v>
      </c>
      <c r="K16" s="3">
        <v>4.6788809999999993E-2</v>
      </c>
      <c r="L16" s="3">
        <v>0.1267606</v>
      </c>
      <c r="M16" s="3">
        <v>2.672267E-2</v>
      </c>
      <c r="N16" s="3">
        <v>0.14344262999999999</v>
      </c>
      <c r="O16" s="3">
        <v>6.9375156999999993E-2</v>
      </c>
      <c r="P16" s="3">
        <v>7.4134469999999994E-2</v>
      </c>
      <c r="Q16" s="3">
        <v>5.8080791999999999E-2</v>
      </c>
      <c r="R16" s="3">
        <v>9.8490714999999989E-3</v>
      </c>
      <c r="S16" s="3">
        <v>0.26034855000000001</v>
      </c>
      <c r="T16" s="3">
        <v>5.5126786000000004E-2</v>
      </c>
      <c r="U16" s="3">
        <v>1.1872648999999999E-2</v>
      </c>
      <c r="V16" s="3">
        <v>7.4860573E-2</v>
      </c>
      <c r="W16" s="3">
        <v>-1.5033424E-2</v>
      </c>
      <c r="X16" s="3">
        <v>8.6956500000000006E-2</v>
      </c>
      <c r="Y16" s="3">
        <v>3.3489108000000004E-2</v>
      </c>
      <c r="Z16" s="3">
        <v>2.3212313999999998E-2</v>
      </c>
      <c r="AA16" s="3">
        <v>3.4165382000000001E-4</v>
      </c>
      <c r="AB16" s="3">
        <v>9.588134999999999E-2</v>
      </c>
      <c r="AC16" s="3">
        <v>8.1904770000000002E-2</v>
      </c>
      <c r="AD16" s="3">
        <v>6.8986060000000002E-2</v>
      </c>
      <c r="AE16" s="3">
        <v>5.8567046999999997E-2</v>
      </c>
      <c r="AF16" s="3">
        <v>5.8136105999999993E-2</v>
      </c>
      <c r="AG16" s="3">
        <v>5.9968830000000001E-2</v>
      </c>
      <c r="AH16" s="3">
        <v>7.5298667E-2</v>
      </c>
      <c r="AI16" s="3">
        <v>8.752335E-2</v>
      </c>
      <c r="AJ16" s="3"/>
      <c r="AK16" s="3"/>
      <c r="AL16" s="3"/>
    </row>
    <row r="17" spans="1:38" x14ac:dyDescent="0.45">
      <c r="A17" s="2">
        <v>44694</v>
      </c>
      <c r="B17" s="3">
        <v>-9.546070999999999E-2</v>
      </c>
      <c r="C17" s="3">
        <v>-7.5784325999999999E-2</v>
      </c>
      <c r="D17" s="3">
        <v>-6.4308642999999999E-2</v>
      </c>
      <c r="E17" s="3">
        <v>-7.5903234E-2</v>
      </c>
      <c r="F17" s="3">
        <v>-0.19269990000000001</v>
      </c>
      <c r="G17" s="3">
        <v>-0.18370836000000001</v>
      </c>
      <c r="H17" s="3">
        <v>-7.4203549999999993E-2</v>
      </c>
      <c r="I17" s="3">
        <v>-0.10091739999999999</v>
      </c>
      <c r="J17" s="3">
        <v>-8.5981310000000005E-2</v>
      </c>
      <c r="K17" s="3">
        <v>-6.7758025999999999E-2</v>
      </c>
      <c r="L17" s="3">
        <v>-0.15186167</v>
      </c>
      <c r="M17" s="3">
        <v>-0.15634876</v>
      </c>
      <c r="N17" s="3">
        <v>-0.1017921</v>
      </c>
      <c r="O17" s="3">
        <v>-0.10086643000000001</v>
      </c>
      <c r="P17" s="3">
        <v>-8.3807409999999999E-2</v>
      </c>
      <c r="Q17" s="3">
        <v>-6.4836859999999996E-2</v>
      </c>
      <c r="R17" s="3">
        <v>-5.3728640000000001E-2</v>
      </c>
      <c r="S17" s="3">
        <v>-8.5133915000000004E-2</v>
      </c>
      <c r="T17" s="3">
        <v>-9.6133769999999993E-2</v>
      </c>
      <c r="U17" s="3">
        <v>-0.18773334999999999</v>
      </c>
      <c r="V17" s="3">
        <v>-5.4679749999999999E-2</v>
      </c>
      <c r="W17" s="3">
        <v>-0.12794422999999999</v>
      </c>
      <c r="X17" s="3">
        <v>-0.108301935</v>
      </c>
      <c r="Y17" s="3">
        <v>-9.8216529999999996E-2</v>
      </c>
      <c r="Z17" s="3">
        <v>-5.6714177000000005E-2</v>
      </c>
      <c r="AA17" s="3">
        <v>-3.8251400000000005E-2</v>
      </c>
      <c r="AB17" s="3">
        <v>-0.11456865000000001</v>
      </c>
      <c r="AC17" s="3">
        <v>-7.4823976E-2</v>
      </c>
      <c r="AD17" s="3">
        <v>-0.12822288500000001</v>
      </c>
      <c r="AE17" s="3">
        <v>-9.3816940000000001E-2</v>
      </c>
      <c r="AF17" s="3">
        <v>-5.7267485E-2</v>
      </c>
      <c r="AG17" s="3">
        <v>-8.9395100000000005E-2</v>
      </c>
      <c r="AH17" s="3">
        <v>-0.10490959999999999</v>
      </c>
      <c r="AI17" s="3">
        <v>-7.1575345999999998E-2</v>
      </c>
      <c r="AJ17" s="3"/>
      <c r="AK17" s="3"/>
      <c r="AL17" s="3"/>
    </row>
    <row r="18" spans="1:38" x14ac:dyDescent="0.45">
      <c r="A18" s="2">
        <v>44725</v>
      </c>
      <c r="B18" s="3">
        <v>5.4892179999999999E-2</v>
      </c>
      <c r="C18" s="3">
        <v>5.4397464E-2</v>
      </c>
      <c r="D18" s="3">
        <v>-1.2903273E-2</v>
      </c>
      <c r="E18" s="3">
        <v>-2.2335231000000001E-2</v>
      </c>
      <c r="F18" s="3">
        <v>-3.3169389000000001E-2</v>
      </c>
      <c r="G18" s="3">
        <v>2.8217911999999998E-2</v>
      </c>
      <c r="H18" s="3">
        <v>-5.748934E-2</v>
      </c>
      <c r="I18" s="3">
        <v>-1.3172567E-2</v>
      </c>
      <c r="J18" s="3">
        <v>-4.4044733000000003E-2</v>
      </c>
      <c r="K18" s="3">
        <v>-7.9859495000000003E-2</v>
      </c>
      <c r="L18" s="3">
        <v>-4.6661260000000003E-2</v>
      </c>
      <c r="M18" s="3">
        <v>-5.1054597E-2</v>
      </c>
      <c r="N18" s="3">
        <v>-4.2298435999999995E-2</v>
      </c>
      <c r="O18" s="3">
        <v>-2.3721336999999999E-2</v>
      </c>
      <c r="P18" s="3">
        <v>6.4761876999999995E-2</v>
      </c>
      <c r="Q18" s="3">
        <v>-6.0485363E-2</v>
      </c>
      <c r="R18" s="3">
        <v>9.8966360000000003E-3</v>
      </c>
      <c r="S18" s="3">
        <v>-7.3146580000000003E-2</v>
      </c>
      <c r="T18" s="3">
        <v>-6.3042345E-2</v>
      </c>
      <c r="U18" s="3">
        <v>-1.8384754999999999E-2</v>
      </c>
      <c r="V18" s="3">
        <v>-7.9815330000000004E-2</v>
      </c>
      <c r="W18" s="3">
        <v>-4.1170597000000003E-2</v>
      </c>
      <c r="X18" s="3">
        <v>-6.4676641999999993E-2</v>
      </c>
      <c r="Y18" s="3">
        <v>-1.7802237999999998E-2</v>
      </c>
      <c r="Z18" s="3">
        <v>-4.1460093999999996E-2</v>
      </c>
      <c r="AA18" s="3">
        <v>-4.5080780000000001E-2</v>
      </c>
      <c r="AB18" s="3">
        <v>-6.9714904000000008E-2</v>
      </c>
      <c r="AC18" s="3">
        <v>-3.2671451999999997E-2</v>
      </c>
      <c r="AD18" s="3">
        <v>-8.786511000000001E-2</v>
      </c>
      <c r="AE18" s="3">
        <v>-6.651401500000001E-2</v>
      </c>
      <c r="AF18" s="3">
        <v>-4.2882680000000006E-2</v>
      </c>
      <c r="AG18" s="3">
        <v>-5.2031937E-2</v>
      </c>
      <c r="AH18" s="3">
        <v>-4.3829260000000002E-2</v>
      </c>
      <c r="AI18" s="3">
        <v>-7.3857726999999998E-2</v>
      </c>
      <c r="AJ18" s="3"/>
      <c r="AK18" s="3"/>
      <c r="AL18" s="3"/>
    </row>
    <row r="19" spans="1:38" x14ac:dyDescent="0.45">
      <c r="A19" s="2">
        <v>44755</v>
      </c>
      <c r="B19" s="3">
        <v>4.7660349999999997E-2</v>
      </c>
      <c r="C19" s="3">
        <v>-0.14070731</v>
      </c>
      <c r="D19" s="3">
        <v>-5.2956760000000005E-2</v>
      </c>
      <c r="E19" s="3">
        <v>-7.5352669999999997E-2</v>
      </c>
      <c r="F19" s="3">
        <v>-8.1193630000000003E-2</v>
      </c>
      <c r="G19" s="3">
        <v>-0.14567202999999998</v>
      </c>
      <c r="H19" s="3">
        <v>-3.3621073000000001E-2</v>
      </c>
      <c r="I19" s="3">
        <v>-7.802212E-2</v>
      </c>
      <c r="J19" s="3">
        <v>-1.9982696000000001E-2</v>
      </c>
      <c r="K19" s="3">
        <v>-5.4098899999999998E-2</v>
      </c>
      <c r="L19" s="3">
        <v>-9.5451409999999987E-2</v>
      </c>
      <c r="M19" s="3">
        <v>-3.2526076000000001E-2</v>
      </c>
      <c r="N19" s="3">
        <v>-7.2638990000000001E-2</v>
      </c>
      <c r="O19" s="3">
        <v>5.0616264000000004E-4</v>
      </c>
      <c r="P19" s="3">
        <v>2.717495E-2</v>
      </c>
      <c r="Q19" s="3">
        <v>-6.1826705999999995E-2</v>
      </c>
      <c r="R19" s="3">
        <v>-3.3286272999999998E-2</v>
      </c>
      <c r="S19" s="3">
        <v>-4.9266280000000003E-2</v>
      </c>
      <c r="T19" s="3">
        <v>-4.3533144000000003E-2</v>
      </c>
      <c r="U19" s="3">
        <v>-4.9498319999999998E-2</v>
      </c>
      <c r="V19" s="3">
        <v>-6.6327689999999995E-2</v>
      </c>
      <c r="W19" s="3">
        <v>2.7131796E-2</v>
      </c>
      <c r="X19" s="3">
        <v>-2.5221825E-2</v>
      </c>
      <c r="Y19" s="3">
        <v>-5.6857166000000001E-2</v>
      </c>
      <c r="Z19" s="3">
        <v>-8.7192349999999988E-2</v>
      </c>
      <c r="AA19" s="3">
        <v>-9.9511740000000001E-3</v>
      </c>
      <c r="AB19" s="3">
        <v>2.7284144999999999E-2</v>
      </c>
      <c r="AC19" s="3">
        <v>-2.8046726999999997E-2</v>
      </c>
      <c r="AD19" s="3">
        <v>3.9126991999999999E-2</v>
      </c>
      <c r="AE19" s="3">
        <v>1.4567375E-2</v>
      </c>
      <c r="AF19" s="3">
        <v>-2.9850721E-2</v>
      </c>
      <c r="AG19" s="3">
        <v>-2.6731848999999999E-2</v>
      </c>
      <c r="AH19" s="3">
        <v>-5.0947484999999994E-2</v>
      </c>
      <c r="AI19" s="3">
        <v>-5.4187180000000001E-2</v>
      </c>
      <c r="AJ19" s="3"/>
      <c r="AK19" s="3"/>
      <c r="AL19" s="3"/>
    </row>
    <row r="20" spans="1:38" x14ac:dyDescent="0.45">
      <c r="A20" s="2">
        <v>44785</v>
      </c>
      <c r="B20" s="3">
        <v>-1.2958407E-2</v>
      </c>
      <c r="C20" s="3">
        <v>0.23358142999999998</v>
      </c>
      <c r="D20" s="3">
        <v>0.12954341999999999</v>
      </c>
      <c r="E20" s="3">
        <v>0.10036135</v>
      </c>
      <c r="F20" s="3">
        <v>0.12613296500000001</v>
      </c>
      <c r="G20" s="3">
        <v>0.12438212999999999</v>
      </c>
      <c r="H20" s="3">
        <v>7.1462154E-2</v>
      </c>
      <c r="I20" s="3">
        <v>8.0954310000000002E-2</v>
      </c>
      <c r="J20" s="3">
        <v>7.8457474999999999E-2</v>
      </c>
      <c r="K20" s="3">
        <v>9.1052649999999999E-2</v>
      </c>
      <c r="L20" s="3">
        <v>0.21866667000000001</v>
      </c>
      <c r="M20" s="3">
        <v>0.12760735000000001</v>
      </c>
      <c r="N20" s="3">
        <v>0.12792789000000002</v>
      </c>
      <c r="O20" s="3">
        <v>0.10574244999999999</v>
      </c>
      <c r="P20" s="3">
        <v>-4.8724832999999995E-2</v>
      </c>
      <c r="Q20" s="3">
        <v>0.16125810000000002</v>
      </c>
      <c r="R20" s="3">
        <v>4.8784613999999997E-2</v>
      </c>
      <c r="S20" s="3">
        <v>0.15931654000000001</v>
      </c>
      <c r="T20" s="3">
        <v>0.12137197999999999</v>
      </c>
      <c r="U20" s="3">
        <v>0.10274457999999999</v>
      </c>
      <c r="V20" s="3">
        <v>0.13193058999999999</v>
      </c>
      <c r="W20" s="3">
        <v>0.11453938499999999</v>
      </c>
      <c r="X20" s="3">
        <v>0.11403931</v>
      </c>
      <c r="Y20" s="3">
        <v>9.7849249999999999E-2</v>
      </c>
      <c r="Z20" s="3">
        <v>0.10603296000000001</v>
      </c>
      <c r="AA20" s="3">
        <v>8.1547499999999995E-2</v>
      </c>
      <c r="AB20" s="3">
        <v>7.2124720000000003E-2</v>
      </c>
      <c r="AC20" s="3">
        <v>7.4201345000000002E-2</v>
      </c>
      <c r="AD20" s="3">
        <v>0.15662527000000001</v>
      </c>
      <c r="AE20" s="3">
        <v>0.12741863</v>
      </c>
      <c r="AF20" s="3">
        <v>0.11487185999999999</v>
      </c>
      <c r="AG20" s="3">
        <v>0.13585340499999998</v>
      </c>
      <c r="AH20" s="3">
        <v>0.10736501999999999</v>
      </c>
      <c r="AI20" s="3">
        <v>0.1028645</v>
      </c>
      <c r="AJ20" s="3"/>
      <c r="AK20" s="3"/>
      <c r="AL20" s="3"/>
    </row>
    <row r="21" spans="1:38" x14ac:dyDescent="0.45">
      <c r="A21" s="2">
        <v>44817</v>
      </c>
      <c r="B21" s="3">
        <v>-6.5642413999999996E-2</v>
      </c>
      <c r="C21" s="3">
        <v>-2.5731980000000002E-2</v>
      </c>
      <c r="D21" s="3">
        <v>3.7128925000000004E-3</v>
      </c>
      <c r="E21" s="3">
        <v>-5.3265213999999998E-2</v>
      </c>
      <c r="F21" s="3">
        <v>-0.16968477000000001</v>
      </c>
      <c r="G21" s="3">
        <v>-5.9340596000000002E-2</v>
      </c>
      <c r="H21" s="3">
        <v>-3.7735879999999999E-2</v>
      </c>
      <c r="I21" s="3">
        <v>-9.8660650000000003E-2</v>
      </c>
      <c r="J21" s="3">
        <v>-4.8294249999999997E-2</v>
      </c>
      <c r="K21" s="3">
        <v>-0.12365330000000001</v>
      </c>
      <c r="L21" s="3">
        <v>-3.6573945999999996E-2</v>
      </c>
      <c r="M21" s="3">
        <v>-0.13427644999999999</v>
      </c>
      <c r="N21" s="3">
        <v>-8.6661339999999989E-2</v>
      </c>
      <c r="O21" s="3">
        <v>-4.8043728000000006E-3</v>
      </c>
      <c r="P21" s="3">
        <v>-5.1020383999999995E-2</v>
      </c>
      <c r="Q21" s="3">
        <v>-4.4712009999999996E-2</v>
      </c>
      <c r="R21" s="3">
        <v>2.3935675999999999E-2</v>
      </c>
      <c r="S21" s="3">
        <v>0.11887776999999999</v>
      </c>
      <c r="T21" s="3">
        <v>-7.4117660000000002E-2</v>
      </c>
      <c r="U21" s="3">
        <v>-6.4454374000000009E-2</v>
      </c>
      <c r="V21" s="3">
        <v>-5.4012719999999993E-2</v>
      </c>
      <c r="W21" s="3">
        <v>-8.1856190000000009E-2</v>
      </c>
      <c r="X21" s="3">
        <v>-7.0107517000000008E-2</v>
      </c>
      <c r="Y21" s="3">
        <v>-5.4635819999999995E-2</v>
      </c>
      <c r="Z21" s="3">
        <v>-8.7190089999999998E-2</v>
      </c>
      <c r="AA21" s="3">
        <v>-9.9772029999999998E-2</v>
      </c>
      <c r="AB21" s="3">
        <v>-6.7954597000000005E-2</v>
      </c>
      <c r="AC21" s="3">
        <v>-7.6750874999999996E-2</v>
      </c>
      <c r="AD21" s="3">
        <v>-0.11105060999999999</v>
      </c>
      <c r="AE21" s="3">
        <v>-7.9606650000000001E-2</v>
      </c>
      <c r="AF21" s="3">
        <v>-8.7396509999999997E-2</v>
      </c>
      <c r="AG21" s="3">
        <v>-0.11544460000000001</v>
      </c>
      <c r="AH21" s="3">
        <v>-0.10434532000000001</v>
      </c>
      <c r="AI21" s="3">
        <v>-6.8870544000000006E-2</v>
      </c>
      <c r="AJ21" s="3"/>
      <c r="AK21" s="3"/>
      <c r="AL21" s="3"/>
    </row>
    <row r="22" spans="1:38" x14ac:dyDescent="0.45">
      <c r="A22" s="2">
        <v>44847</v>
      </c>
      <c r="B22" s="3">
        <v>-9.4768290000000005E-2</v>
      </c>
      <c r="C22" s="3">
        <v>-0.12714027999999999</v>
      </c>
      <c r="D22" s="3">
        <v>-5.1376877000000001E-2</v>
      </c>
      <c r="E22" s="3">
        <v>-0.12562620000000002</v>
      </c>
      <c r="F22" s="3">
        <v>-0.10016154999999999</v>
      </c>
      <c r="G22" s="3">
        <v>-1.1292875000000001E-2</v>
      </c>
      <c r="H22" s="3">
        <v>-9.3479270000000003E-2</v>
      </c>
      <c r="I22" s="3">
        <v>-0.10485554000000001</v>
      </c>
      <c r="J22" s="3">
        <v>-1.1660576000000001E-2</v>
      </c>
      <c r="K22" s="3">
        <v>-9.9266050000000008E-2</v>
      </c>
      <c r="L22" s="3">
        <v>2.4659276000000001E-2</v>
      </c>
      <c r="M22" s="3">
        <v>-6.7119120000000004E-2</v>
      </c>
      <c r="N22" s="3">
        <v>-3.9352774999999998E-3</v>
      </c>
      <c r="O22" s="3">
        <v>-6.1839046000000002E-2</v>
      </c>
      <c r="P22" s="3">
        <v>-0.14716423000000001</v>
      </c>
      <c r="Q22" s="3">
        <v>-2.0251990000000001E-2</v>
      </c>
      <c r="R22" s="3">
        <v>-6.0388029999999995E-2</v>
      </c>
      <c r="S22" s="3">
        <v>5.5248619999999998E-2</v>
      </c>
      <c r="T22" s="3">
        <v>-4.5743283999999995E-2</v>
      </c>
      <c r="U22" s="3">
        <v>-0.14597541</v>
      </c>
      <c r="V22" s="3">
        <v>-2.7276874000000003E-2</v>
      </c>
      <c r="W22" s="3">
        <v>-0.11475049999999999</v>
      </c>
      <c r="X22" s="3">
        <v>-7.0767819999999995E-2</v>
      </c>
      <c r="Y22" s="3">
        <v>-8.9025079999999993E-2</v>
      </c>
      <c r="Z22" s="3">
        <v>-7.8768672999999997E-2</v>
      </c>
      <c r="AA22" s="3">
        <v>-4.2267264999999998E-2</v>
      </c>
      <c r="AB22" s="3">
        <v>-8.9978040000000009E-2</v>
      </c>
      <c r="AC22" s="3">
        <v>-6.9622459999999997E-2</v>
      </c>
      <c r="AD22" s="3">
        <v>-8.3081539999999995E-2</v>
      </c>
      <c r="AE22" s="3">
        <v>-6.516081E-2</v>
      </c>
      <c r="AF22" s="3">
        <v>-6.5188170000000004E-2</v>
      </c>
      <c r="AG22" s="3">
        <v>-0.10052908000000001</v>
      </c>
      <c r="AH22" s="3">
        <v>-8.8118789999999989E-2</v>
      </c>
      <c r="AI22" s="3">
        <v>-7.0160627000000003E-2</v>
      </c>
      <c r="AJ22" s="3"/>
      <c r="AK22" s="3"/>
      <c r="AL22" s="3"/>
    </row>
    <row r="23" spans="1:38" x14ac:dyDescent="0.45">
      <c r="A23" s="2">
        <v>44876</v>
      </c>
      <c r="B23" s="3">
        <v>3.1373858000000004E-2</v>
      </c>
      <c r="C23" s="3">
        <v>0.14774632000000001</v>
      </c>
      <c r="D23" s="3">
        <v>2.9029489000000002E-2</v>
      </c>
      <c r="E23" s="3">
        <v>0.10577344999999999</v>
      </c>
      <c r="F23" s="3">
        <v>0.31597840999999999</v>
      </c>
      <c r="G23" s="3">
        <v>0.16423785999999999</v>
      </c>
      <c r="H23" s="3">
        <v>9.1046329999999995E-2</v>
      </c>
      <c r="I23" s="3">
        <v>0.1243862</v>
      </c>
      <c r="J23" s="3">
        <v>0.17129124000000001</v>
      </c>
      <c r="K23" s="3">
        <v>0.23711549999999998</v>
      </c>
      <c r="L23" s="3">
        <v>-2.9765666E-2</v>
      </c>
      <c r="M23" s="3">
        <v>0.18162213999999999</v>
      </c>
      <c r="N23" s="3">
        <v>0.14003504</v>
      </c>
      <c r="O23" s="3">
        <v>7.890212499999999E-2</v>
      </c>
      <c r="P23" s="3">
        <v>5.9826850000000001E-2</v>
      </c>
      <c r="Q23" s="3">
        <v>1.9586562999999998E-2</v>
      </c>
      <c r="R23" s="3">
        <v>4.9020409999999993E-2</v>
      </c>
      <c r="S23" s="3">
        <v>0.20982683000000002</v>
      </c>
      <c r="T23" s="3">
        <v>7.0572494999999999E-2</v>
      </c>
      <c r="U23" s="3">
        <v>-0.10463262000000001</v>
      </c>
      <c r="V23" s="3">
        <v>-4.5152902999999996E-3</v>
      </c>
      <c r="W23" s="3">
        <v>0.1242342</v>
      </c>
      <c r="X23" s="3">
        <v>0.13489293999999999</v>
      </c>
      <c r="Y23" s="3">
        <v>0.12271713999999999</v>
      </c>
      <c r="Z23" s="3">
        <v>0.22014735999999999</v>
      </c>
      <c r="AA23" s="3">
        <v>0.11734795999999999</v>
      </c>
      <c r="AB23" s="3">
        <v>0.16050375</v>
      </c>
      <c r="AC23" s="3">
        <v>0.11206257000000001</v>
      </c>
      <c r="AD23" s="3">
        <v>7.1200013000000006E-2</v>
      </c>
      <c r="AE23" s="3">
        <v>8.8914389999999996E-2</v>
      </c>
      <c r="AF23" s="3">
        <v>0.18296193999999999</v>
      </c>
      <c r="AG23" s="3">
        <v>0.23366009999999998</v>
      </c>
      <c r="AH23" s="3">
        <v>0.23488962000000002</v>
      </c>
      <c r="AI23" s="3">
        <v>0.24363636</v>
      </c>
      <c r="AJ23" s="3"/>
      <c r="AK23" s="3"/>
      <c r="AL23" s="3"/>
    </row>
    <row r="24" spans="1:38" x14ac:dyDescent="0.45">
      <c r="A24" s="2">
        <v>44908</v>
      </c>
      <c r="B24" s="3">
        <v>4.0464399999999998E-2</v>
      </c>
      <c r="C24" s="3">
        <v>-1.8677710999999999E-3</v>
      </c>
      <c r="D24" s="3">
        <v>-2.3502945999999997E-2</v>
      </c>
      <c r="E24" s="3">
        <v>6.4312576999999996E-2</v>
      </c>
      <c r="F24" s="3">
        <v>6.1966419999999994E-2</v>
      </c>
      <c r="G24" s="3">
        <v>-8.2348584999999992E-3</v>
      </c>
      <c r="H24" s="3">
        <v>5.2972317000000005E-2</v>
      </c>
      <c r="I24" s="3">
        <v>2.9270767999999999E-2</v>
      </c>
      <c r="J24" s="3">
        <v>-2.9201030000000003E-2</v>
      </c>
      <c r="K24" s="3">
        <v>-2.9352605E-2</v>
      </c>
      <c r="L24" s="3">
        <v>-6.9134417000000004E-2</v>
      </c>
      <c r="M24" s="3">
        <v>-3.9385556999999996E-3</v>
      </c>
      <c r="N24" s="3">
        <v>3.1960009999999997E-2</v>
      </c>
      <c r="O24" s="3">
        <v>-1.8623650000000002E-2</v>
      </c>
      <c r="P24" s="3">
        <v>0.13672781000000001</v>
      </c>
      <c r="Q24" s="3">
        <v>-0.13402057000000001</v>
      </c>
      <c r="R24" s="3">
        <v>-6.9504975999999993E-3</v>
      </c>
      <c r="S24" s="3">
        <v>0.18296968</v>
      </c>
      <c r="T24" s="3">
        <v>-7.5723944000000001E-2</v>
      </c>
      <c r="U24" s="3">
        <v>0.14005350999999999</v>
      </c>
      <c r="V24" s="3">
        <v>-0.10097832000000001</v>
      </c>
      <c r="W24" s="3">
        <v>9.4207399999999997E-2</v>
      </c>
      <c r="X24" s="3">
        <v>3.2024503000000003E-2</v>
      </c>
      <c r="Y24" s="3">
        <v>-2.3359299E-2</v>
      </c>
      <c r="Z24" s="3">
        <v>3.5386204999999997E-2</v>
      </c>
      <c r="AA24" s="3">
        <v>2.0099760000000001E-2</v>
      </c>
      <c r="AB24" s="3">
        <v>2.3088455000000001E-3</v>
      </c>
      <c r="AC24" s="3">
        <v>6.8310380000000004E-2</v>
      </c>
      <c r="AD24" s="3">
        <v>2.396226E-3</v>
      </c>
      <c r="AE24" s="3">
        <v>8.68237E-3</v>
      </c>
      <c r="AF24" s="3">
        <v>4.0506362999999997E-2</v>
      </c>
      <c r="AG24" s="3">
        <v>5.8186410000000001E-2</v>
      </c>
      <c r="AH24" s="3">
        <v>2.0455002999999999E-2</v>
      </c>
      <c r="AI24" s="3">
        <v>2.6166676999999999E-2</v>
      </c>
      <c r="AJ24" s="3"/>
      <c r="AK24" s="3"/>
      <c r="AL24" s="3"/>
    </row>
    <row r="25" spans="1:38" x14ac:dyDescent="0.45">
      <c r="A25" s="2">
        <v>44939</v>
      </c>
      <c r="B25" s="3">
        <v>7.093322299999999E-2</v>
      </c>
      <c r="C25" s="3">
        <v>2.2421479999999997E-2</v>
      </c>
      <c r="D25" s="3">
        <v>-2.7874530000000002E-2</v>
      </c>
      <c r="E25" s="3">
        <v>8.0511680000000002E-2</v>
      </c>
      <c r="F25" s="3">
        <v>0.10653591000000001</v>
      </c>
      <c r="G25" s="3">
        <v>0.11489069</v>
      </c>
      <c r="H25" s="3">
        <v>3.6693215000000001E-2</v>
      </c>
      <c r="I25" s="3">
        <v>3.1235100000000002E-2</v>
      </c>
      <c r="J25" s="3">
        <v>0.11137259000000001</v>
      </c>
      <c r="K25" s="3">
        <v>7.1587919999999999E-2</v>
      </c>
      <c r="L25" s="3">
        <v>0.11358488</v>
      </c>
      <c r="M25" s="3">
        <v>0.10808920999999999</v>
      </c>
      <c r="N25" s="3">
        <v>9.5273730000000001E-2</v>
      </c>
      <c r="O25" s="3">
        <v>-1.7357111000000001E-2</v>
      </c>
      <c r="P25" s="3">
        <v>0.12203253</v>
      </c>
      <c r="Q25" s="3">
        <v>-1.5707015999999999E-3</v>
      </c>
      <c r="R25" s="3">
        <v>3.4331559999999997E-2</v>
      </c>
      <c r="S25" s="3">
        <v>-5.118781E-2</v>
      </c>
      <c r="T25" s="3">
        <v>1.1800408E-2</v>
      </c>
      <c r="U25" s="3">
        <v>-1.3512432999999999E-2</v>
      </c>
      <c r="V25" s="3">
        <v>5.5018900000000003E-2</v>
      </c>
      <c r="W25" s="3">
        <v>1.1409163E-2</v>
      </c>
      <c r="X25" s="3">
        <v>3.9393902000000001E-2</v>
      </c>
      <c r="Y25" s="3">
        <v>3.2019020000000002E-2</v>
      </c>
      <c r="Z25" s="3">
        <v>8.1322909999999998E-2</v>
      </c>
      <c r="AA25" s="3">
        <v>1.5200377000000001E-2</v>
      </c>
      <c r="AB25" s="3">
        <v>2.7413010000000002E-2</v>
      </c>
      <c r="AC25" s="3">
        <v>3.7531734000000004E-2</v>
      </c>
      <c r="AD25" s="3">
        <v>-2.4241567000000002E-2</v>
      </c>
      <c r="AE25" s="3">
        <v>-4.0247440000000002E-3</v>
      </c>
      <c r="AF25" s="3">
        <v>6.8581459999999997E-2</v>
      </c>
      <c r="AG25" s="3">
        <v>5.6675076000000005E-2</v>
      </c>
      <c r="AH25" s="3">
        <v>2.1663785000000001E-2</v>
      </c>
      <c r="AI25" s="3">
        <v>7.0860505000000004E-2</v>
      </c>
      <c r="AJ25" s="3"/>
      <c r="AK25" s="3"/>
      <c r="AL25" s="3"/>
    </row>
    <row r="26" spans="1:38" x14ac:dyDescent="0.45">
      <c r="A26" s="2">
        <v>44970</v>
      </c>
      <c r="B26" s="3">
        <v>5.2988530000000001E-3</v>
      </c>
      <c r="C26" s="3">
        <v>7.2733880000000001E-2</v>
      </c>
      <c r="D26" s="3">
        <v>4.7939059999999999E-2</v>
      </c>
      <c r="E26" s="3">
        <v>-7.6601505000000007E-3</v>
      </c>
      <c r="F26" s="3">
        <v>-6.8517389999999997E-2</v>
      </c>
      <c r="G26" s="3">
        <v>-6.5068425999999999E-2</v>
      </c>
      <c r="H26" s="3">
        <v>-2.1748424000000002E-2</v>
      </c>
      <c r="I26" s="3">
        <v>4.4855474999999999E-2</v>
      </c>
      <c r="J26" s="3">
        <v>7.0571899999999996E-3</v>
      </c>
      <c r="K26" s="3">
        <v>3.0438900000000001E-3</v>
      </c>
      <c r="L26" s="3">
        <v>-3.2531379999999999E-2</v>
      </c>
      <c r="M26" s="3">
        <v>-8.181244E-2</v>
      </c>
      <c r="N26" s="3">
        <v>0.12687874000000002</v>
      </c>
      <c r="O26" s="3">
        <v>-5.6288239999999996E-2</v>
      </c>
      <c r="P26" s="3">
        <v>-3.0809224E-2</v>
      </c>
      <c r="Q26" s="3">
        <v>-5.5584670000000003E-2</v>
      </c>
      <c r="R26" s="3">
        <v>-1.0013461E-2</v>
      </c>
      <c r="S26" s="3">
        <v>-0.11982113</v>
      </c>
      <c r="T26" s="3">
        <v>1.9992589999999998E-3</v>
      </c>
      <c r="U26" s="3">
        <v>-5.0440370000000005E-2</v>
      </c>
      <c r="V26" s="3">
        <v>-3.3324896999999999E-2</v>
      </c>
      <c r="W26" s="3">
        <v>1.8009067E-2</v>
      </c>
      <c r="X26" s="3">
        <v>1.9158602E-2</v>
      </c>
      <c r="Y26" s="3">
        <v>2.6429176000000002E-2</v>
      </c>
      <c r="Z26" s="3">
        <v>8.6362360000000003E-3</v>
      </c>
      <c r="AA26" s="3">
        <v>2.3251653000000001E-2</v>
      </c>
      <c r="AB26" s="3">
        <v>6.7265034000000001E-3</v>
      </c>
      <c r="AC26" s="3">
        <v>6.4378977000000004E-3</v>
      </c>
      <c r="AD26" s="3">
        <v>8.3745589999999995E-2</v>
      </c>
      <c r="AE26" s="3">
        <v>3.595984E-2</v>
      </c>
      <c r="AF26" s="3">
        <v>1.3439417E-2</v>
      </c>
      <c r="AG26" s="3">
        <v>6.6745279999999999E-3</v>
      </c>
      <c r="AH26" s="3">
        <v>1.2157202000000001E-2</v>
      </c>
      <c r="AI26" s="3">
        <v>3.2748103000000001E-2</v>
      </c>
      <c r="AJ26" s="3"/>
      <c r="AK26" s="3"/>
      <c r="AL26" s="3"/>
    </row>
    <row r="27" spans="1:38" x14ac:dyDescent="0.45">
      <c r="A27" s="2">
        <v>44998</v>
      </c>
      <c r="B27" s="3">
        <v>-4.9780426000000003E-2</v>
      </c>
      <c r="C27" s="3">
        <v>-3.9523005E-2</v>
      </c>
      <c r="D27" s="3">
        <v>-5.3441644000000003E-2</v>
      </c>
      <c r="E27" s="3">
        <v>-8.175439000000001E-2</v>
      </c>
      <c r="F27" s="3">
        <v>-3.2974005000000001E-2</v>
      </c>
      <c r="G27" s="3">
        <v>-3.0303001E-2</v>
      </c>
      <c r="H27" s="3">
        <v>-6.0157003000000001E-2</v>
      </c>
      <c r="I27" s="3">
        <v>-2.9652596E-2</v>
      </c>
      <c r="J27" s="3">
        <v>-2.6979685E-2</v>
      </c>
      <c r="K27" s="3">
        <v>-5.7339070000000006E-2</v>
      </c>
      <c r="L27" s="3">
        <v>-6.8301200000000006E-2</v>
      </c>
      <c r="M27" s="3">
        <v>-7.6536473999999993E-2</v>
      </c>
      <c r="N27" s="3">
        <v>-6.8238260000000009E-2</v>
      </c>
      <c r="O27" s="3">
        <v>-3.3690989999999997E-2</v>
      </c>
      <c r="P27" s="3">
        <v>-9.7472249999999996E-2</v>
      </c>
      <c r="Q27" s="3">
        <v>8.3286760000000001E-3</v>
      </c>
      <c r="R27" s="3">
        <v>-5.5150804999999997E-2</v>
      </c>
      <c r="S27" s="3">
        <v>0.22621060000000001</v>
      </c>
      <c r="T27" s="3">
        <v>-5.0216200000000003E-2</v>
      </c>
      <c r="U27" s="3">
        <v>-1.4333904E-2</v>
      </c>
      <c r="V27" s="3">
        <v>-2.8947352999999999E-2</v>
      </c>
      <c r="W27" s="3">
        <v>-6.9206770000000001E-2</v>
      </c>
      <c r="X27" s="3">
        <v>-9.6444550000000004E-2</v>
      </c>
      <c r="Y27" s="3">
        <v>-8.3683130000000008E-2</v>
      </c>
      <c r="Z27" s="3">
        <v>-3.8530170000000002E-2</v>
      </c>
      <c r="AA27" s="3">
        <v>-3.184712E-2</v>
      </c>
      <c r="AB27" s="3">
        <v>-4.0757300000000003E-2</v>
      </c>
      <c r="AC27" s="3">
        <v>-4.4471559999999993E-2</v>
      </c>
      <c r="AD27" s="3">
        <v>-4.5353054999999996E-2</v>
      </c>
      <c r="AE27" s="3">
        <v>-6.6540719999999998E-2</v>
      </c>
      <c r="AF27" s="3">
        <v>-3.382951E-2</v>
      </c>
      <c r="AG27" s="3">
        <v>-5.9909999999999998E-2</v>
      </c>
      <c r="AH27" s="3">
        <v>-6.5083740000000001E-2</v>
      </c>
      <c r="AI27" s="3">
        <v>-4.8708735000000003E-2</v>
      </c>
      <c r="AJ27" s="3"/>
      <c r="AK27" s="3"/>
      <c r="AL27" s="3"/>
    </row>
    <row r="28" spans="1:38" x14ac:dyDescent="0.45">
      <c r="A28" s="2">
        <v>45029</v>
      </c>
      <c r="B28" s="3">
        <v>1.7257214E-2</v>
      </c>
      <c r="C28" s="3">
        <v>2.0219922000000001E-2</v>
      </c>
      <c r="D28" s="3">
        <v>9.4851019999999994E-2</v>
      </c>
      <c r="E28" s="3">
        <v>8.9797973999999996E-3</v>
      </c>
      <c r="F28" s="3">
        <v>0.10163926999999999</v>
      </c>
      <c r="G28" s="3">
        <v>8.4478019999999987E-2</v>
      </c>
      <c r="H28" s="3">
        <v>4.5918344999999999E-2</v>
      </c>
      <c r="I28" s="3">
        <v>3.1014799999999999E-2</v>
      </c>
      <c r="J28" s="3">
        <v>8.8044639999999993E-2</v>
      </c>
      <c r="K28" s="3">
        <v>8.4547629999999999E-2</v>
      </c>
      <c r="L28" s="3">
        <v>0.10225558</v>
      </c>
      <c r="M28" s="3">
        <v>7.9910993999999999E-2</v>
      </c>
      <c r="N28" s="3">
        <v>7.5232983000000003E-2</v>
      </c>
      <c r="O28" s="3">
        <v>4.2097090000000004E-2</v>
      </c>
      <c r="P28" s="3">
        <v>4.5194029999999996E-2</v>
      </c>
      <c r="Q28" s="3">
        <v>0</v>
      </c>
      <c r="R28" s="3">
        <v>1.2459754999999999E-2</v>
      </c>
      <c r="S28" s="3">
        <v>-4.5015096999999997E-2</v>
      </c>
      <c r="T28" s="3">
        <v>2.2408961999999998E-2</v>
      </c>
      <c r="U28" s="3">
        <v>4.6621084E-2</v>
      </c>
      <c r="V28" s="3">
        <v>9.1327909999999998E-2</v>
      </c>
      <c r="W28" s="3">
        <v>5.5346609999999997E-2</v>
      </c>
      <c r="X28" s="3">
        <v>7.1460842999999996E-2</v>
      </c>
      <c r="Y28" s="3">
        <v>8.3995099999999989E-2</v>
      </c>
      <c r="Z28" s="3">
        <v>8.2374690000000014E-2</v>
      </c>
      <c r="AA28" s="3">
        <v>4.694164E-2</v>
      </c>
      <c r="AB28" s="3">
        <v>9.8676569999999991E-2</v>
      </c>
      <c r="AC28" s="3">
        <v>7.6824903E-2</v>
      </c>
      <c r="AD28" s="3">
        <v>9.9668389999999996E-2</v>
      </c>
      <c r="AE28" s="3">
        <v>7.7088593999999996E-2</v>
      </c>
      <c r="AF28" s="3">
        <v>0.10504198000000001</v>
      </c>
      <c r="AG28" s="3">
        <v>7.25441E-2</v>
      </c>
      <c r="AH28" s="3">
        <v>8.7541100000000011E-2</v>
      </c>
      <c r="AI28" s="3">
        <v>8.969068999999999E-2</v>
      </c>
      <c r="AJ28" s="3"/>
      <c r="AK28" s="3"/>
      <c r="AL28" s="3"/>
    </row>
    <row r="29" spans="1:38" x14ac:dyDescent="0.45">
      <c r="A29" s="2">
        <v>45058</v>
      </c>
      <c r="B29" s="3">
        <v>-5.7558239999999997E-2</v>
      </c>
      <c r="C29" s="3">
        <v>5.4937363000000003E-2</v>
      </c>
      <c r="D29" s="3">
        <v>-2.8052806999999999E-2</v>
      </c>
      <c r="E29" s="3">
        <v>-2.8403996999999998E-3</v>
      </c>
      <c r="F29" s="3">
        <v>5.7142973E-2</v>
      </c>
      <c r="G29" s="3">
        <v>-3.9582013999999999E-2</v>
      </c>
      <c r="H29" s="3">
        <v>-3.9024352999999998E-2</v>
      </c>
      <c r="I29" s="3">
        <v>-4.2026042999999999E-2</v>
      </c>
      <c r="J29" s="3">
        <v>2.796626E-2</v>
      </c>
      <c r="K29" s="3">
        <v>-7.4050959999999999E-2</v>
      </c>
      <c r="L29" s="3">
        <v>1.6371012000000001E-2</v>
      </c>
      <c r="M29" s="3">
        <v>-0.102176485</v>
      </c>
      <c r="N29" s="3">
        <v>-1.1145472999999999E-2</v>
      </c>
      <c r="O29" s="3">
        <v>2.4039625999999998E-2</v>
      </c>
      <c r="P29" s="3">
        <v>-6.1713275999999997E-2</v>
      </c>
      <c r="Q29" s="3">
        <v>5.9471369999999996E-2</v>
      </c>
      <c r="R29" s="3">
        <v>-1.9665122E-2</v>
      </c>
      <c r="S29" s="3">
        <v>-6.2753080000000003E-2</v>
      </c>
      <c r="T29" s="3">
        <v>1.3698577999999999E-2</v>
      </c>
      <c r="U29" s="3">
        <v>2.0841837000000002E-2</v>
      </c>
      <c r="V29" s="3">
        <v>1.5892744E-2</v>
      </c>
      <c r="W29" s="3">
        <v>-1.0686636000000001E-2</v>
      </c>
      <c r="X29" s="3">
        <v>-3.3769548000000003E-2</v>
      </c>
      <c r="Y29" s="3">
        <v>-1.9442141E-2</v>
      </c>
      <c r="Z29" s="3">
        <v>-1.0970175E-2</v>
      </c>
      <c r="AA29" s="3">
        <v>2.2418499999999997E-2</v>
      </c>
      <c r="AB29" s="3">
        <v>2.1766662999999999E-2</v>
      </c>
      <c r="AC29" s="3">
        <v>-1.657778E-2</v>
      </c>
      <c r="AD29" s="3">
        <v>1.8360019000000002E-2</v>
      </c>
      <c r="AE29" s="3">
        <v>-4.5468807000000003E-3</v>
      </c>
      <c r="AF29" s="3">
        <v>-1.8504441E-2</v>
      </c>
      <c r="AG29" s="3">
        <v>-1.9962489999999999E-2</v>
      </c>
      <c r="AH29" s="3">
        <v>-1.0164917000000001E-2</v>
      </c>
      <c r="AI29" s="3">
        <v>-1.2298942E-2</v>
      </c>
      <c r="AJ29" s="3"/>
      <c r="AK29" s="3"/>
      <c r="AL29" s="3"/>
    </row>
    <row r="30" spans="1:38" x14ac:dyDescent="0.45">
      <c r="A30" s="2">
        <v>45090</v>
      </c>
      <c r="B30" s="3">
        <v>-4.6889423999999999E-2</v>
      </c>
      <c r="C30" s="3">
        <v>-1.7713725999999999E-2</v>
      </c>
      <c r="D30" s="3">
        <v>1.7267585000000002E-2</v>
      </c>
      <c r="E30" s="3">
        <v>-1.5201092000000001E-2</v>
      </c>
      <c r="F30" s="3">
        <v>3.4909843999999995E-2</v>
      </c>
      <c r="G30" s="3">
        <v>3.9941072000000001E-2</v>
      </c>
      <c r="H30" s="3">
        <v>-4.9093780000000004E-2</v>
      </c>
      <c r="I30" s="3">
        <v>0.12537516000000001</v>
      </c>
      <c r="J30" s="3">
        <v>2.3132562999999998E-2</v>
      </c>
      <c r="K30" s="3">
        <v>0.13902485000000001</v>
      </c>
      <c r="L30" s="3">
        <v>8.5398559999999998E-2</v>
      </c>
      <c r="M30" s="3">
        <v>6.5117955000000005E-2</v>
      </c>
      <c r="N30" s="3">
        <v>0.13525354000000001</v>
      </c>
      <c r="O30" s="3">
        <v>3.3897758E-2</v>
      </c>
      <c r="P30" s="3">
        <v>7.3490140000000001E-3</v>
      </c>
      <c r="Q30" s="3">
        <v>-2.2310734000000002E-2</v>
      </c>
      <c r="R30" s="3">
        <v>6.7257880000000001E-4</v>
      </c>
      <c r="S30" s="3">
        <v>-7.5584353999999992E-2</v>
      </c>
      <c r="T30" s="3">
        <v>-1.0263979999999999E-2</v>
      </c>
      <c r="U30" s="3">
        <v>6.8855165999999995E-2</v>
      </c>
      <c r="V30" s="3">
        <v>2.1025895999999999E-2</v>
      </c>
      <c r="W30" s="3">
        <v>-2.8782009999999997E-2</v>
      </c>
      <c r="X30" s="3">
        <v>1.1779547E-2</v>
      </c>
      <c r="Y30" s="3">
        <v>-2.3495555000000003E-3</v>
      </c>
      <c r="Z30" s="3">
        <v>1.107645E-2</v>
      </c>
      <c r="AA30" s="3">
        <v>6.2431096999999998E-2</v>
      </c>
      <c r="AB30" s="3">
        <v>-3.0417679999999999E-2</v>
      </c>
      <c r="AC30" s="3">
        <v>-7.8860519999999993E-3</v>
      </c>
      <c r="AD30" s="3">
        <v>0.11761998999999999</v>
      </c>
      <c r="AE30" s="3">
        <v>6.0910105999999999E-2</v>
      </c>
      <c r="AF30" s="3">
        <v>-1.1176467000000001E-2</v>
      </c>
      <c r="AG30" s="3">
        <v>3.7858963000000002E-2</v>
      </c>
      <c r="AH30" s="3">
        <v>0</v>
      </c>
      <c r="AI30" s="3">
        <v>4.9101114000000001E-3</v>
      </c>
      <c r="AJ30" s="3"/>
      <c r="AK30" s="3"/>
      <c r="AL30" s="3"/>
    </row>
    <row r="31" spans="1:38" x14ac:dyDescent="0.45">
      <c r="A31" s="2">
        <v>45120</v>
      </c>
      <c r="B31" s="3">
        <v>2.2980689999999998E-2</v>
      </c>
      <c r="C31" s="3">
        <v>6.8039059999999998E-2</v>
      </c>
      <c r="D31" s="3">
        <v>6.8143606000000004E-3</v>
      </c>
      <c r="E31" s="3">
        <v>5.3083419999999999E-2</v>
      </c>
      <c r="F31" s="3">
        <v>0.10826993</v>
      </c>
      <c r="G31" s="3">
        <v>5.2835463999999999E-2</v>
      </c>
      <c r="H31" s="3">
        <v>3.1126499999999998E-2</v>
      </c>
      <c r="I31" s="3">
        <v>6.1547756000000006E-4</v>
      </c>
      <c r="J31" s="3">
        <v>1.8069505999999999E-2</v>
      </c>
      <c r="K31" s="3">
        <v>-7.9988239999999999E-3</v>
      </c>
      <c r="L31" s="3">
        <v>3.4843206000000002E-2</v>
      </c>
      <c r="M31" s="3">
        <v>4.5576452999999996E-2</v>
      </c>
      <c r="N31" s="3">
        <v>8.3546750000000003E-2</v>
      </c>
      <c r="O31" s="3">
        <v>3.5881758E-2</v>
      </c>
      <c r="P31" s="3">
        <v>2.8837799999999997E-2</v>
      </c>
      <c r="Q31" s="3">
        <v>-7.1823596999999991E-3</v>
      </c>
      <c r="R31" s="3">
        <v>-4.3766020000000003E-2</v>
      </c>
      <c r="S31" s="3">
        <v>7.0193649999999996E-2</v>
      </c>
      <c r="T31" s="3">
        <v>6.5918564999999998E-2</v>
      </c>
      <c r="U31" s="3">
        <v>4.8689126999999999E-2</v>
      </c>
      <c r="V31" s="3">
        <v>3.2461285999999999E-2</v>
      </c>
      <c r="W31" s="3">
        <v>6.6985726000000009E-2</v>
      </c>
      <c r="X31" s="3">
        <v>3.079629E-2</v>
      </c>
      <c r="Y31" s="3">
        <v>3.3750414999999999E-2</v>
      </c>
      <c r="Z31" s="3">
        <v>3.4519196000000002E-2</v>
      </c>
      <c r="AA31" s="3">
        <v>-5.1959752999999999E-3</v>
      </c>
      <c r="AB31" s="3">
        <v>2.9880047E-2</v>
      </c>
      <c r="AC31" s="3">
        <v>1.8867849999999999E-2</v>
      </c>
      <c r="AD31" s="3">
        <v>4.5176505999999998E-2</v>
      </c>
      <c r="AE31" s="3">
        <v>3.3380627999999996E-2</v>
      </c>
      <c r="AF31" s="3">
        <v>5.6608796000000003E-2</v>
      </c>
      <c r="AG31" s="3">
        <v>5.3700685999999997E-2</v>
      </c>
      <c r="AH31" s="3">
        <v>2.3313879999999999E-2</v>
      </c>
      <c r="AI31" s="3">
        <v>7.9752563999999998E-2</v>
      </c>
      <c r="AJ31" s="3"/>
      <c r="AK31" s="3"/>
      <c r="AL31" s="3"/>
    </row>
    <row r="32" spans="1:38" x14ac:dyDescent="0.45">
      <c r="A32" s="2">
        <v>45149</v>
      </c>
      <c r="B32" s="3">
        <v>-2.7383565999999998E-2</v>
      </c>
      <c r="C32" s="3">
        <v>-3.6752699999999999E-2</v>
      </c>
      <c r="D32" s="3">
        <v>-3.0456839999999999E-2</v>
      </c>
      <c r="E32" s="3">
        <v>-6.6345396000000001E-2</v>
      </c>
      <c r="F32" s="3">
        <v>-8.3456039999999995E-3</v>
      </c>
      <c r="G32" s="3">
        <v>1.0645986000000001E-2</v>
      </c>
      <c r="H32" s="3">
        <v>2.2999525E-2</v>
      </c>
      <c r="I32" s="3">
        <v>-6.1103105999999997E-2</v>
      </c>
      <c r="J32" s="3">
        <v>-3.3940613000000001E-2</v>
      </c>
      <c r="K32" s="3">
        <v>-5.7488440000000002E-2</v>
      </c>
      <c r="L32" s="3">
        <v>-3.3670008000000001E-2</v>
      </c>
      <c r="M32" s="3">
        <v>-5.151522E-2</v>
      </c>
      <c r="N32" s="3">
        <v>-3.7634432000000002E-2</v>
      </c>
      <c r="O32" s="3">
        <v>-1.2451887E-2</v>
      </c>
      <c r="P32" s="3">
        <v>-3.3930479999999999E-2</v>
      </c>
      <c r="Q32" s="3">
        <v>2.6711225999999998E-2</v>
      </c>
      <c r="R32" s="3">
        <v>2.7536511E-2</v>
      </c>
      <c r="S32" s="3">
        <v>0.16284334</v>
      </c>
      <c r="T32" s="3">
        <v>3.289461E-3</v>
      </c>
      <c r="U32" s="3">
        <v>8.3928585000000014E-2</v>
      </c>
      <c r="V32" s="3">
        <v>-4.7630189999999996E-2</v>
      </c>
      <c r="W32" s="3">
        <v>-8.1692399999999998E-2</v>
      </c>
      <c r="X32" s="3">
        <v>-5.0362770000000001E-2</v>
      </c>
      <c r="Y32" s="3">
        <v>-1.6042768999999998E-2</v>
      </c>
      <c r="Z32" s="3">
        <v>-4.2900919999999995E-2</v>
      </c>
      <c r="AA32" s="3">
        <v>-2.8648317E-2</v>
      </c>
      <c r="AB32" s="3">
        <v>-1.5247821999999999E-2</v>
      </c>
      <c r="AC32" s="3">
        <v>-1.3357580000000001E-2</v>
      </c>
      <c r="AD32" s="3">
        <v>-3.4049868999999996E-2</v>
      </c>
      <c r="AE32" s="3">
        <v>-8.6973906000000004E-3</v>
      </c>
      <c r="AF32" s="3">
        <v>-3.3864021000000001E-2</v>
      </c>
      <c r="AG32" s="3">
        <v>-5.0963880000000003E-2</v>
      </c>
      <c r="AH32" s="3">
        <v>-7.6484919999999998E-2</v>
      </c>
      <c r="AI32" s="3">
        <v>-3.7081659999999995E-2</v>
      </c>
      <c r="AJ32" s="3"/>
      <c r="AK32" s="3"/>
      <c r="AL32" s="3"/>
    </row>
    <row r="33" spans="1:38" x14ac:dyDescent="0.45">
      <c r="A33" s="2">
        <v>45182</v>
      </c>
      <c r="B33" s="3">
        <v>-3.3324182000000001E-2</v>
      </c>
      <c r="C33" s="3">
        <v>-8.2584379999999999E-2</v>
      </c>
      <c r="D33" s="3">
        <v>-7.4170829999999997E-3</v>
      </c>
      <c r="E33" s="3">
        <v>-2.5009990000000003E-2</v>
      </c>
      <c r="F33" s="3">
        <v>-0.12128716</v>
      </c>
      <c r="G33" s="3">
        <v>-4.3013990000000002E-2</v>
      </c>
      <c r="H33" s="3">
        <v>-9.836137E-3</v>
      </c>
      <c r="I33" s="3">
        <v>-2.1839142E-3</v>
      </c>
      <c r="J33" s="3">
        <v>-3.4327150000000001E-2</v>
      </c>
      <c r="K33" s="3">
        <v>-1.7268716999999999E-2</v>
      </c>
      <c r="L33" s="3">
        <v>7.2853564999999995E-3</v>
      </c>
      <c r="M33" s="3">
        <v>-4.1533527000000001E-2</v>
      </c>
      <c r="N33" s="3">
        <v>-8.7523280000000009E-2</v>
      </c>
      <c r="O33" s="3">
        <v>3.4158707000000003E-2</v>
      </c>
      <c r="P33" s="3">
        <v>-3.4249544E-2</v>
      </c>
      <c r="Q33" s="3">
        <v>-3.6856412999999998E-2</v>
      </c>
      <c r="R33" s="3">
        <v>9.7751620000000009E-5</v>
      </c>
      <c r="S33" s="3">
        <v>4.7513126999999995E-2</v>
      </c>
      <c r="T33" s="3">
        <v>-1.311481E-3</v>
      </c>
      <c r="U33" s="3">
        <v>1.021421E-2</v>
      </c>
      <c r="V33" s="3">
        <v>-2.3651123E-2</v>
      </c>
      <c r="W33" s="3">
        <v>-5.7324767000000006E-2</v>
      </c>
      <c r="X33" s="3">
        <v>-1.5730381000000002E-2</v>
      </c>
      <c r="Y33" s="3">
        <v>-1.0297476999999999E-2</v>
      </c>
      <c r="Z33" s="3">
        <v>-3.6641777E-2</v>
      </c>
      <c r="AA33" s="3">
        <v>1.4828086000000001E-2</v>
      </c>
      <c r="AB33" s="3">
        <v>-3.1612933000000003E-2</v>
      </c>
      <c r="AC33" s="3">
        <v>-1.5076994999999999E-2</v>
      </c>
      <c r="AD33" s="3">
        <v>2.1761656000000001E-2</v>
      </c>
      <c r="AE33" s="3">
        <v>1.92976E-3</v>
      </c>
      <c r="AF33" s="3">
        <v>-4.2898235E-2</v>
      </c>
      <c r="AG33" s="3">
        <v>-7.9967379999999991E-2</v>
      </c>
      <c r="AH33" s="3">
        <v>-4.8164424999999997E-2</v>
      </c>
      <c r="AI33" s="3">
        <v>-2.0037591E-2</v>
      </c>
      <c r="AJ33" s="3"/>
      <c r="AK33" s="3"/>
      <c r="AL33" s="3"/>
    </row>
    <row r="34" spans="1:38" x14ac:dyDescent="0.45">
      <c r="A34" s="2">
        <v>45212</v>
      </c>
      <c r="B34" s="3">
        <v>-2.881235E-2</v>
      </c>
      <c r="C34" s="3">
        <v>-7.8373375000000009E-2</v>
      </c>
      <c r="D34" s="3">
        <v>-4.4835209999999993E-2</v>
      </c>
      <c r="E34" s="3">
        <v>4.8860311999999999E-3</v>
      </c>
      <c r="F34" s="3">
        <v>9.0141296000000003E-3</v>
      </c>
      <c r="G34" s="3">
        <v>-7.1724596000000002E-2</v>
      </c>
      <c r="H34" s="3">
        <v>-1.4191090999999999E-2</v>
      </c>
      <c r="I34" s="3">
        <v>-3.9396285999999999E-3</v>
      </c>
      <c r="J34" s="3">
        <v>-8.477968000000001E-2</v>
      </c>
      <c r="K34" s="3">
        <v>-5.2716435999999998E-2</v>
      </c>
      <c r="L34" s="3">
        <v>-4.9371060000000001E-2</v>
      </c>
      <c r="M34" s="3">
        <v>-1.3589739999999999E-2</v>
      </c>
      <c r="N34" s="3">
        <v>-5.4227410000000004E-2</v>
      </c>
      <c r="O34" s="3">
        <v>-1.4409244000000002E-2</v>
      </c>
      <c r="P34" s="3">
        <v>-2.4847567000000001E-2</v>
      </c>
      <c r="Q34" s="3">
        <v>-3.9392292000000002E-2</v>
      </c>
      <c r="R34" s="3">
        <v>-5.5076837999999996E-2</v>
      </c>
      <c r="S34" s="3">
        <v>-9.2839000000000012E-3</v>
      </c>
      <c r="T34" s="3">
        <v>-6.2376857000000001E-2</v>
      </c>
      <c r="U34" s="3">
        <v>-0.10632747999999999</v>
      </c>
      <c r="V34" s="3">
        <v>-7.3933896999999998E-2</v>
      </c>
      <c r="W34" s="3">
        <v>-2.1171212000000002E-2</v>
      </c>
      <c r="X34" s="3">
        <v>-3.3789933000000001E-2</v>
      </c>
      <c r="Y34" s="3">
        <v>-4.1040419999999994E-2</v>
      </c>
      <c r="Z34" s="3">
        <v>-5.1698684999999994E-2</v>
      </c>
      <c r="AA34" s="3">
        <v>-4.3352546999999998E-2</v>
      </c>
      <c r="AB34" s="3">
        <v>-2.1763265E-2</v>
      </c>
      <c r="AC34" s="3">
        <v>-1.0621607E-2</v>
      </c>
      <c r="AD34" s="3">
        <v>-2.2453248999999998E-2</v>
      </c>
      <c r="AE34" s="3">
        <v>-3.0165552999999998E-2</v>
      </c>
      <c r="AF34" s="3">
        <v>-5.1380215E-2</v>
      </c>
      <c r="AG34" s="3">
        <v>-4.7582807999999997E-2</v>
      </c>
      <c r="AH34" s="3">
        <v>2.7152180000000001E-2</v>
      </c>
      <c r="AI34" s="3">
        <v>-3.9297103999999999E-2</v>
      </c>
      <c r="AJ34" s="3"/>
      <c r="AK34" s="3"/>
      <c r="AL34" s="3"/>
    </row>
    <row r="35" spans="1:38" x14ac:dyDescent="0.45">
      <c r="A35" s="2">
        <v>45243</v>
      </c>
      <c r="B35" s="3">
        <v>-6.1504840000000003E-3</v>
      </c>
      <c r="C35" s="3">
        <v>-9.2257859999999997E-3</v>
      </c>
      <c r="D35" s="3">
        <v>-3.5434901999999997E-2</v>
      </c>
      <c r="E35" s="3">
        <v>-1.0940075E-2</v>
      </c>
      <c r="F35" s="3">
        <v>0.12004459000000001</v>
      </c>
      <c r="G35" s="3">
        <v>-6.3736440000000004E-3</v>
      </c>
      <c r="H35" s="3">
        <v>8.1573724999999993E-3</v>
      </c>
      <c r="I35" s="3">
        <v>1.1645794000000001E-2</v>
      </c>
      <c r="J35" s="3">
        <v>7.4580549999999995E-2</v>
      </c>
      <c r="K35" s="3">
        <v>1.582706E-2</v>
      </c>
      <c r="L35" s="3">
        <v>6.9467545000000006E-2</v>
      </c>
      <c r="M35" s="3">
        <v>2.5993586000000002E-3</v>
      </c>
      <c r="N35" s="3">
        <v>7.6448799999999997E-2</v>
      </c>
      <c r="O35" s="3">
        <v>-8.9973210000000002E-4</v>
      </c>
      <c r="P35" s="3">
        <v>-5.7910679999999999E-3</v>
      </c>
      <c r="Q35" s="3">
        <v>8.2014800000000006E-3</v>
      </c>
      <c r="R35" s="3">
        <v>-4.3853164E-2</v>
      </c>
      <c r="S35" s="3">
        <v>-9.6653219999999998E-2</v>
      </c>
      <c r="T35" s="3">
        <v>2.4509788000000001E-2</v>
      </c>
      <c r="U35" s="3">
        <v>-4.3065730000000003E-2</v>
      </c>
      <c r="V35" s="3">
        <v>4.8773885000000003E-2</v>
      </c>
      <c r="W35" s="3">
        <v>-7.1329474000000007E-3</v>
      </c>
      <c r="X35" s="3">
        <v>1.5595436000000001E-2</v>
      </c>
      <c r="Y35" s="3">
        <v>8.4388255999999998E-3</v>
      </c>
      <c r="Z35" s="3">
        <v>2.8426765999999999E-2</v>
      </c>
      <c r="AA35" s="3">
        <v>1.4434338E-2</v>
      </c>
      <c r="AB35" s="3">
        <v>-2.2020400000000002E-2</v>
      </c>
      <c r="AC35" s="3">
        <v>-1.2630224000000001E-2</v>
      </c>
      <c r="AD35" s="3">
        <v>3.2659887999999998E-2</v>
      </c>
      <c r="AE35" s="3">
        <v>2.0139098000000001E-2</v>
      </c>
      <c r="AF35" s="3">
        <v>3.0250669000000001E-2</v>
      </c>
      <c r="AG35" s="3">
        <v>7.1676016000000009E-2</v>
      </c>
      <c r="AH35" s="3">
        <v>-6.0078500000000003E-3</v>
      </c>
      <c r="AI35" s="3">
        <v>4.3565034999999995E-2</v>
      </c>
      <c r="AJ35" s="3"/>
      <c r="AK35" s="3"/>
      <c r="AL35" s="3"/>
    </row>
    <row r="36" spans="1:38" x14ac:dyDescent="0.45">
      <c r="A36" s="2">
        <v>45273</v>
      </c>
      <c r="B36" s="3">
        <v>-2.7560950000000001E-2</v>
      </c>
      <c r="C36" s="3">
        <v>0.13603234</v>
      </c>
      <c r="D36" s="3">
        <v>2.7671814000000003E-2</v>
      </c>
      <c r="E36" s="3">
        <v>4.2605519999999994E-2</v>
      </c>
      <c r="F36" s="3">
        <v>0.14705884999999999</v>
      </c>
      <c r="G36" s="3">
        <v>9.1050740000000005E-2</v>
      </c>
      <c r="H36" s="3">
        <v>1.2375115999999999E-2</v>
      </c>
      <c r="I36" s="3">
        <v>7.428324E-2</v>
      </c>
      <c r="J36" s="3">
        <v>0.109451885</v>
      </c>
      <c r="K36" s="3">
        <v>6.9023370000000001E-2</v>
      </c>
      <c r="L36" s="3">
        <v>7.1450589999999994E-2</v>
      </c>
      <c r="M36" s="3">
        <v>3.8371800999999997E-2</v>
      </c>
      <c r="N36" s="3">
        <v>7.8178762999999998E-2</v>
      </c>
      <c r="O36" s="3">
        <v>7.9693913000000005E-2</v>
      </c>
      <c r="P36" s="3">
        <v>-4.6598315000000001E-2</v>
      </c>
      <c r="Q36" s="3">
        <v>-2.1499038000000002E-2</v>
      </c>
      <c r="R36" s="3">
        <v>-2.1021842999999998E-2</v>
      </c>
      <c r="S36" s="3">
        <v>-8.0024003999999999E-3</v>
      </c>
      <c r="T36" s="3">
        <v>-1.6746402000000001E-2</v>
      </c>
      <c r="U36" s="3">
        <v>2.2120476E-2</v>
      </c>
      <c r="V36" s="3">
        <v>6.1054826E-2</v>
      </c>
      <c r="W36" s="3">
        <v>0.10938584999999999</v>
      </c>
      <c r="X36" s="3">
        <v>9.9115959999999989E-2</v>
      </c>
      <c r="Y36" s="3">
        <v>6.9635390000000005E-2</v>
      </c>
      <c r="Z36" s="3">
        <v>0.11662245</v>
      </c>
      <c r="AA36" s="3">
        <v>5.9066890000000004E-2</v>
      </c>
      <c r="AB36" s="3">
        <v>9.0993400000000002E-2</v>
      </c>
      <c r="AC36" s="3">
        <v>5.4684996999999999E-2</v>
      </c>
      <c r="AD36" s="3">
        <v>7.0332169999999999E-2</v>
      </c>
      <c r="AE36" s="3">
        <v>6.8856596999999992E-2</v>
      </c>
      <c r="AF36" s="3">
        <v>9.0044739999999998E-2</v>
      </c>
      <c r="AG36" s="3">
        <v>9.796118999999999E-2</v>
      </c>
      <c r="AH36" s="3">
        <v>0.15865814</v>
      </c>
      <c r="AI36" s="3">
        <v>7.9668639999999999E-2</v>
      </c>
      <c r="AJ36" s="3"/>
      <c r="AK36" s="3"/>
      <c r="AL36" s="3"/>
    </row>
    <row r="37" spans="1:38" x14ac:dyDescent="0.45">
      <c r="A37" s="2">
        <v>45303</v>
      </c>
      <c r="B37" s="3">
        <v>-4.4423999999999998E-2</v>
      </c>
      <c r="C37" s="3">
        <v>-6.4942302999999993E-2</v>
      </c>
      <c r="D37" s="3">
        <v>5.9564709999999993E-2</v>
      </c>
      <c r="E37" s="3">
        <v>5.4165599999999994E-2</v>
      </c>
      <c r="F37" s="3">
        <v>-3.3389807000000001E-2</v>
      </c>
      <c r="G37" s="3">
        <v>9.958373999999999E-2</v>
      </c>
      <c r="H37" s="3">
        <v>2.34164E-2</v>
      </c>
      <c r="I37" s="3">
        <v>5.0998926000000002E-3</v>
      </c>
      <c r="J37" s="3">
        <v>3.0498742999999998E-2</v>
      </c>
      <c r="K37" s="3">
        <v>-1.3242722E-2</v>
      </c>
      <c r="L37" s="3">
        <v>2.7171134999999999E-2</v>
      </c>
      <c r="M37" s="3">
        <v>8.5210800000000008E-4</v>
      </c>
      <c r="N37" s="3">
        <v>5.7387710000000001E-2</v>
      </c>
      <c r="O37" s="3">
        <v>4.1701436000000001E-2</v>
      </c>
      <c r="P37" s="3">
        <v>-2.8311908E-2</v>
      </c>
      <c r="Q37" s="3">
        <v>6.8883657000000001E-2</v>
      </c>
      <c r="R37" s="3">
        <v>4.0914060000000002E-2</v>
      </c>
      <c r="S37" s="3">
        <v>2.0865798000000001E-2</v>
      </c>
      <c r="T37" s="3">
        <v>6.4256786999999996E-2</v>
      </c>
      <c r="U37" s="3">
        <v>1.6807317999999998E-3</v>
      </c>
      <c r="V37" s="3">
        <v>6.0910939999999997E-2</v>
      </c>
      <c r="W37" s="3">
        <v>2.6141286E-2</v>
      </c>
      <c r="X37" s="3">
        <v>2.4492145E-2</v>
      </c>
      <c r="Y37" s="3">
        <v>2.835238E-2</v>
      </c>
      <c r="Z37" s="3">
        <v>-9.1037749999999997E-3</v>
      </c>
      <c r="AA37" s="3">
        <v>5.2434324999999997E-2</v>
      </c>
      <c r="AB37" s="3">
        <v>1.8723369E-2</v>
      </c>
      <c r="AC37" s="3">
        <v>1.6197204999999999E-2</v>
      </c>
      <c r="AD37" s="3">
        <v>1.6962409000000001E-2</v>
      </c>
      <c r="AE37" s="3">
        <v>1.7249583999999998E-2</v>
      </c>
      <c r="AF37" s="3">
        <v>-8.4632635000000001E-3</v>
      </c>
      <c r="AG37" s="3">
        <v>-5.6884290000000001E-3</v>
      </c>
      <c r="AH37" s="3">
        <v>9.7273589999999997E-3</v>
      </c>
      <c r="AI37" s="3">
        <v>1.2914896E-2</v>
      </c>
      <c r="AJ37" s="3"/>
      <c r="AK37" s="3"/>
      <c r="AL37" s="3"/>
    </row>
    <row r="38" spans="1:38" x14ac:dyDescent="0.45">
      <c r="A38" s="2">
        <v>45335</v>
      </c>
      <c r="B38" s="3">
        <v>1.5303016000000001E-2</v>
      </c>
      <c r="C38" s="3">
        <v>-6.0606059999999996E-2</v>
      </c>
      <c r="D38" s="3">
        <v>-2.1201372E-2</v>
      </c>
      <c r="E38" s="3">
        <v>1.3528705E-2</v>
      </c>
      <c r="F38" s="3">
        <v>8.7921619999999992E-3</v>
      </c>
      <c r="G38" s="3">
        <v>-1.7152905E-2</v>
      </c>
      <c r="H38" s="3">
        <v>-1.0285139E-2</v>
      </c>
      <c r="I38" s="3">
        <v>3.3786892999999998E-2</v>
      </c>
      <c r="J38" s="3">
        <v>3.0144452999999998E-3</v>
      </c>
      <c r="K38" s="3">
        <v>2.2001265999999998E-2</v>
      </c>
      <c r="L38" s="3">
        <v>-6.0279550000000001E-2</v>
      </c>
      <c r="M38" s="3">
        <v>-5.2791119999999997E-2</v>
      </c>
      <c r="N38" s="3">
        <v>7.4321029999999998E-3</v>
      </c>
      <c r="O38" s="3">
        <v>2.0015239999999999E-4</v>
      </c>
      <c r="P38" s="3">
        <v>-3.4295975999999999E-2</v>
      </c>
      <c r="Q38" s="3">
        <v>-4.7777833999999998E-2</v>
      </c>
      <c r="R38" s="3">
        <v>-1.5422404000000001E-2</v>
      </c>
      <c r="S38" s="3">
        <v>0.10085772999999999</v>
      </c>
      <c r="T38" s="3">
        <v>-4.7337293999999995E-2</v>
      </c>
      <c r="U38" s="3">
        <v>2.0424247000000003E-2</v>
      </c>
      <c r="V38" s="3">
        <v>2.2684812999999998E-2</v>
      </c>
      <c r="W38" s="3">
        <v>-7.4812946000000005E-2</v>
      </c>
      <c r="X38" s="3">
        <v>-3.0788660000000002E-2</v>
      </c>
      <c r="Y38" s="3">
        <v>-2.8091430000000001E-2</v>
      </c>
      <c r="Z38" s="3">
        <v>-1.4031469999999999E-2</v>
      </c>
      <c r="AA38" s="3">
        <v>4.6665667999999999E-3</v>
      </c>
      <c r="AB38" s="3">
        <v>-4.6992483000000002E-2</v>
      </c>
      <c r="AC38" s="3">
        <v>-3.2966970999999998E-2</v>
      </c>
      <c r="AD38" s="3">
        <v>4.6366810000000001E-2</v>
      </c>
      <c r="AE38" s="3">
        <v>3.6502479999999997E-2</v>
      </c>
      <c r="AF38" s="3">
        <v>-7.0312619999999999E-3</v>
      </c>
      <c r="AG38" s="3">
        <v>5.5759429999999999E-2</v>
      </c>
      <c r="AH38" s="3">
        <v>-2.329266E-2</v>
      </c>
      <c r="AI38" s="3">
        <v>-1.3573288999999999E-2</v>
      </c>
      <c r="AJ38" s="3"/>
      <c r="AK38" s="3"/>
      <c r="AL38" s="3"/>
    </row>
    <row r="39" spans="1:38" x14ac:dyDescent="0.45">
      <c r="A39" s="2">
        <v>45364</v>
      </c>
      <c r="B39" s="3">
        <v>6.6720366000000003E-2</v>
      </c>
      <c r="C39" s="3">
        <v>0.10779904999999999</v>
      </c>
      <c r="D39" s="3">
        <v>2.797842E-2</v>
      </c>
      <c r="E39" s="3">
        <v>3.9302944999999999E-2</v>
      </c>
      <c r="F39" s="3">
        <v>9.1284509999999999E-2</v>
      </c>
      <c r="G39" s="3">
        <v>0.14942180999999999</v>
      </c>
      <c r="H39" s="3">
        <v>3.8734077999999998E-2</v>
      </c>
      <c r="I39" s="3">
        <v>6.8874717000000002E-2</v>
      </c>
      <c r="J39" s="3">
        <v>9.3162060000000005E-3</v>
      </c>
      <c r="K39" s="3">
        <v>6.9845320000000002E-2</v>
      </c>
      <c r="L39" s="3">
        <v>1.2705325999999999E-2</v>
      </c>
      <c r="M39" s="3">
        <v>5.7333350000000005E-2</v>
      </c>
      <c r="N39" s="3">
        <v>1.628077E-2</v>
      </c>
      <c r="O39" s="3">
        <v>9.2054605000000001E-3</v>
      </c>
      <c r="P39" s="3">
        <v>8.8918449999999996E-2</v>
      </c>
      <c r="Q39" s="3">
        <v>5.3092119999999993E-2</v>
      </c>
      <c r="R39" s="3">
        <v>-5.1877499999999997E-3</v>
      </c>
      <c r="S39" s="3">
        <v>-4.9435796999999997E-2</v>
      </c>
      <c r="T39" s="3">
        <v>2.0704270000000001E-3</v>
      </c>
      <c r="U39" s="3">
        <v>4.7729015E-2</v>
      </c>
      <c r="V39" s="3">
        <v>2.1266818E-2</v>
      </c>
      <c r="W39" s="3">
        <v>2.8077245000000001E-2</v>
      </c>
      <c r="X39" s="3">
        <v>7.006097E-2</v>
      </c>
      <c r="Y39" s="3">
        <v>8.104277E-2</v>
      </c>
      <c r="Z39" s="3">
        <v>9.0246439999999997E-2</v>
      </c>
      <c r="AA39" s="3">
        <v>3.9406775999999998E-2</v>
      </c>
      <c r="AB39" s="3">
        <v>6.7937730000000002E-2</v>
      </c>
      <c r="AC39" s="3">
        <v>6.5656542999999998E-2</v>
      </c>
      <c r="AD39" s="3">
        <v>2.7301430000000002E-2</v>
      </c>
      <c r="AE39" s="3">
        <v>4.4304490000000002E-2</v>
      </c>
      <c r="AF39" s="3">
        <v>9.1528890000000002E-2</v>
      </c>
      <c r="AG39" s="3">
        <v>6.389916000000001E-2</v>
      </c>
      <c r="AH39" s="3">
        <v>0.122764225</v>
      </c>
      <c r="AI39" s="3">
        <v>0.11426867</v>
      </c>
      <c r="AJ39" s="3"/>
      <c r="AK39" s="3"/>
      <c r="AL39" s="3"/>
    </row>
    <row r="40" spans="1:38" x14ac:dyDescent="0.45">
      <c r="A40" s="2">
        <v>45394</v>
      </c>
      <c r="B40" s="3">
        <v>-3.6511004E-2</v>
      </c>
      <c r="C40" s="3">
        <v>-1.4006615E-2</v>
      </c>
      <c r="D40" s="3">
        <v>-5.7945610000000002E-2</v>
      </c>
      <c r="E40" s="3">
        <v>-7.2065650000000009E-2</v>
      </c>
      <c r="F40" s="3">
        <v>-2.3539363999999997E-2</v>
      </c>
      <c r="G40" s="3">
        <v>3.9182544E-2</v>
      </c>
      <c r="H40" s="3">
        <v>-1.5916348E-2</v>
      </c>
      <c r="I40" s="3">
        <v>-7.3876379999999993E-3</v>
      </c>
      <c r="J40" s="3">
        <v>3.7219523999999999E-3</v>
      </c>
      <c r="K40" s="3">
        <v>-6.6775920000000002E-2</v>
      </c>
      <c r="L40" s="3">
        <v>-4.3145657000000004E-2</v>
      </c>
      <c r="M40" s="3">
        <v>-1.2611149999999999E-3</v>
      </c>
      <c r="N40" s="3">
        <v>-3.0287861999999999E-2</v>
      </c>
      <c r="O40" s="3">
        <v>2.4588466000000003E-2</v>
      </c>
      <c r="P40" s="3">
        <v>-3.6782742E-2</v>
      </c>
      <c r="Q40" s="3">
        <v>-4.0997209999999999E-2</v>
      </c>
      <c r="R40" s="3">
        <v>8.5734130000000002E-3</v>
      </c>
      <c r="S40" s="3">
        <v>7.8858020000000001E-2</v>
      </c>
      <c r="T40" s="3">
        <v>-1.3774633000000001E-3</v>
      </c>
      <c r="U40" s="3">
        <v>-2.5716364000000002E-2</v>
      </c>
      <c r="V40" s="3">
        <v>-1.5226185000000001E-2</v>
      </c>
      <c r="W40" s="3">
        <v>-2.4907111999999999E-2</v>
      </c>
      <c r="X40" s="3">
        <v>-2.8060198000000001E-2</v>
      </c>
      <c r="Y40" s="3">
        <v>-2.6212335000000003E-2</v>
      </c>
      <c r="Z40" s="3">
        <v>-3.6930919E-2</v>
      </c>
      <c r="AA40" s="3">
        <v>-4.4688582000000001E-3</v>
      </c>
      <c r="AB40" s="3">
        <v>-6.4847109999999999E-2</v>
      </c>
      <c r="AC40" s="3">
        <v>-1.1847615000000001E-3</v>
      </c>
      <c r="AD40" s="3">
        <v>-3.1925439999999999E-3</v>
      </c>
      <c r="AE40" s="3">
        <v>-6.8256855000000003E-3</v>
      </c>
      <c r="AF40" s="3">
        <v>-4.8294066999999996E-2</v>
      </c>
      <c r="AG40" s="3">
        <v>-1.5117525999999999E-2</v>
      </c>
      <c r="AH40" s="3">
        <v>-6.5170169999999999E-2</v>
      </c>
      <c r="AI40" s="3">
        <v>-3.4362376E-2</v>
      </c>
      <c r="AJ40" s="3"/>
      <c r="AK40" s="3"/>
      <c r="AL40" s="3"/>
    </row>
    <row r="41" spans="1:38" x14ac:dyDescent="0.45">
      <c r="A41" s="2">
        <v>45425</v>
      </c>
      <c r="B41" s="3">
        <v>6.1358569999999994E-2</v>
      </c>
      <c r="C41" s="3">
        <v>6.1682224000000001E-2</v>
      </c>
      <c r="D41" s="3">
        <v>-4.9394189999999998E-2</v>
      </c>
      <c r="E41" s="3">
        <v>-1.3071895E-2</v>
      </c>
      <c r="F41" s="3">
        <v>8.0929870000000015E-2</v>
      </c>
      <c r="G41" s="3">
        <v>6.6015244000000001E-2</v>
      </c>
      <c r="H41" s="3">
        <v>5.5914999999999999E-2</v>
      </c>
      <c r="I41" s="3">
        <v>2.4602056000000001E-2</v>
      </c>
      <c r="J41" s="3">
        <v>1.3349175E-2</v>
      </c>
      <c r="K41" s="3">
        <v>3.8651943000000001E-2</v>
      </c>
      <c r="L41" s="3">
        <v>1.6309619000000001E-2</v>
      </c>
      <c r="M41" s="3">
        <v>8.4596040000000011E-2</v>
      </c>
      <c r="N41" s="3">
        <v>8.1053139999999996E-2</v>
      </c>
      <c r="O41" s="3">
        <v>9.6774100000000004E-4</v>
      </c>
      <c r="P41" s="3">
        <v>0.17362522</v>
      </c>
      <c r="Q41" s="3">
        <v>-4.0438770000000004E-3</v>
      </c>
      <c r="R41" s="3">
        <v>-1.7101346999999999E-2</v>
      </c>
      <c r="S41" s="3">
        <v>6.4448594999999997E-2</v>
      </c>
      <c r="T41" s="3">
        <v>2.0689964000000002E-3</v>
      </c>
      <c r="U41" s="3">
        <v>-5.3544520000000005E-2</v>
      </c>
      <c r="V41" s="3">
        <v>-2.7057707E-2</v>
      </c>
      <c r="W41" s="3">
        <v>4.9293039999999998E-3</v>
      </c>
      <c r="X41" s="3">
        <v>2.5941489999999998E-2</v>
      </c>
      <c r="Y41" s="3">
        <v>2.5841116999999997E-2</v>
      </c>
      <c r="Z41" s="3">
        <v>6.3470959999999993E-2</v>
      </c>
      <c r="AA41" s="3">
        <v>-1.9982576000000002E-2</v>
      </c>
      <c r="AB41" s="3">
        <v>4.6960709999999996E-2</v>
      </c>
      <c r="AC41" s="3">
        <v>7.2657109999999997E-2</v>
      </c>
      <c r="AD41" s="3">
        <v>1.0975003000000001E-2</v>
      </c>
      <c r="AE41" s="3">
        <v>1.9692658999999998E-2</v>
      </c>
      <c r="AF41" s="3">
        <v>6.1095594999999996E-2</v>
      </c>
      <c r="AG41" s="3">
        <v>5.2478790000000004E-2</v>
      </c>
      <c r="AH41" s="3">
        <v>5.0865054E-2</v>
      </c>
      <c r="AI41" s="3">
        <v>6.5332173999999993E-2</v>
      </c>
      <c r="AJ41" s="3"/>
      <c r="AK41" s="3"/>
      <c r="AL41" s="3"/>
    </row>
    <row r="42" spans="1:38" x14ac:dyDescent="0.45">
      <c r="A42" s="2">
        <v>45456</v>
      </c>
      <c r="B42" s="3">
        <v>-4.2482319999999997E-2</v>
      </c>
      <c r="C42" s="3">
        <v>-3.2593249999999997E-2</v>
      </c>
      <c r="D42" s="3">
        <v>-5.0595580000000001E-2</v>
      </c>
      <c r="E42" s="3">
        <v>-4.6975017000000001E-2</v>
      </c>
      <c r="F42" s="3">
        <v>-6.8458614000000001E-2</v>
      </c>
      <c r="G42" s="3">
        <v>-3.3091008999999998E-2</v>
      </c>
      <c r="H42" s="3">
        <v>1.3793826E-2</v>
      </c>
      <c r="I42" s="3">
        <v>6.2146899999999998E-2</v>
      </c>
      <c r="J42" s="3">
        <v>-0.17875677000000001</v>
      </c>
      <c r="K42" s="3">
        <v>-2.9217599999999998E-3</v>
      </c>
      <c r="L42" s="3">
        <v>-0.11309081000000001</v>
      </c>
      <c r="M42" s="3">
        <v>-4.5077084999999996E-2</v>
      </c>
      <c r="N42" s="3">
        <v>-2.8772711999999999E-2</v>
      </c>
      <c r="O42" s="3">
        <v>5.5684446999999998E-2</v>
      </c>
      <c r="P42" s="3">
        <v>-5.4861126000000003E-2</v>
      </c>
      <c r="Q42" s="3">
        <v>-1.5906691999999999E-3</v>
      </c>
      <c r="R42" s="3">
        <v>-4.4240417000000004E-2</v>
      </c>
      <c r="S42" s="3">
        <v>3.5550236999999998E-2</v>
      </c>
      <c r="T42" s="3">
        <v>-4.7898589999999998E-2</v>
      </c>
      <c r="U42" s="3">
        <v>2.9482007000000001E-2</v>
      </c>
      <c r="V42" s="3">
        <v>-4.8580112000000002E-2</v>
      </c>
      <c r="W42" s="3">
        <v>3.4398794000000003E-2</v>
      </c>
      <c r="X42" s="3">
        <v>8.6758136999999999E-3</v>
      </c>
      <c r="Y42" s="3">
        <v>-3.0529081999999999E-2</v>
      </c>
      <c r="Z42" s="3">
        <v>-2.5022506999999999E-2</v>
      </c>
      <c r="AA42" s="3">
        <v>-4.1592120000000005E-4</v>
      </c>
      <c r="AB42" s="3">
        <v>4.7512890000000002E-2</v>
      </c>
      <c r="AC42" s="3">
        <v>-1.0860205000000001E-2</v>
      </c>
      <c r="AD42" s="3">
        <v>7.5923085000000001E-2</v>
      </c>
      <c r="AE42" s="3">
        <v>4.135084E-2</v>
      </c>
      <c r="AF42" s="3">
        <v>-5.1752450000000005E-2</v>
      </c>
      <c r="AG42" s="3">
        <v>1.9652008999999998E-2</v>
      </c>
      <c r="AH42" s="3">
        <v>2.3103832999999997E-2</v>
      </c>
      <c r="AI42" s="3">
        <v>-2.8719366000000003E-2</v>
      </c>
      <c r="AJ42" s="3"/>
      <c r="AK42" s="3"/>
      <c r="AL42" s="3"/>
    </row>
    <row r="43" spans="1:38" x14ac:dyDescent="0.45">
      <c r="A43" s="2">
        <v>45485</v>
      </c>
      <c r="B43" s="3">
        <v>-1.003474E-2</v>
      </c>
      <c r="C43" s="3">
        <v>2.4271846E-2</v>
      </c>
      <c r="D43" s="3">
        <v>9.6205350000000009E-2</v>
      </c>
      <c r="E43" s="3">
        <v>5.1037309999999995E-2</v>
      </c>
      <c r="F43" s="3">
        <v>0.10932053</v>
      </c>
      <c r="G43" s="3">
        <v>5.1923870000000004E-2</v>
      </c>
      <c r="H43" s="3">
        <v>2.2807002E-2</v>
      </c>
      <c r="I43" s="3">
        <v>7.9217314999999996E-2</v>
      </c>
      <c r="J43" s="3">
        <v>0.10981310000000001</v>
      </c>
      <c r="K43" s="3">
        <v>5.8760165999999996E-2</v>
      </c>
      <c r="L43" s="3">
        <v>6.8156839999999996E-2</v>
      </c>
      <c r="M43" s="3">
        <v>0.11688948</v>
      </c>
      <c r="N43" s="3">
        <v>3.5754442000000004E-2</v>
      </c>
      <c r="O43" s="3">
        <v>4.5238136999999998E-2</v>
      </c>
      <c r="P43" s="3">
        <v>1.4522791E-2</v>
      </c>
      <c r="Q43" s="3">
        <v>5.6569339999999996E-2</v>
      </c>
      <c r="R43" s="3">
        <v>1.5444636000000001E-2</v>
      </c>
      <c r="S43" s="3">
        <v>4.3310880000000003E-2</v>
      </c>
      <c r="T43" s="3">
        <v>5.4845930000000001E-2</v>
      </c>
      <c r="U43" s="3">
        <v>-3.6377727999999998E-2</v>
      </c>
      <c r="V43" s="3">
        <v>2.8671144999999999E-2</v>
      </c>
      <c r="W43" s="3">
        <v>1.8244982E-2</v>
      </c>
      <c r="X43" s="3">
        <v>5.6471467000000004E-2</v>
      </c>
      <c r="Y43" s="3">
        <v>5.4918050000000003E-2</v>
      </c>
      <c r="Z43" s="3">
        <v>4.2796492999999998E-2</v>
      </c>
      <c r="AA43" s="3">
        <v>6.3291189999999997E-2</v>
      </c>
      <c r="AB43" s="3">
        <v>1.6751765999999998E-2</v>
      </c>
      <c r="AC43" s="3">
        <v>2.6788235000000001E-2</v>
      </c>
      <c r="AD43" s="3">
        <v>3.9635419999999998E-2</v>
      </c>
      <c r="AE43" s="3">
        <v>3.5669565E-2</v>
      </c>
      <c r="AF43" s="3">
        <v>1.4890790000000001E-2</v>
      </c>
      <c r="AG43" s="3">
        <v>2.9124379999999998E-2</v>
      </c>
      <c r="AH43" s="3">
        <v>1.5617371E-2</v>
      </c>
      <c r="AI43" s="3">
        <v>3.9922952999999997E-2</v>
      </c>
      <c r="AJ43" s="3"/>
      <c r="AK43" s="3"/>
      <c r="AL43" s="3"/>
    </row>
    <row r="44" spans="1:38" x14ac:dyDescent="0.45">
      <c r="A44" s="2">
        <v>45517</v>
      </c>
      <c r="B44" s="3">
        <v>-2.1746576000000004E-2</v>
      </c>
      <c r="C44" s="3">
        <v>-5.9424042999999996E-2</v>
      </c>
      <c r="D44" s="3">
        <v>2.3890734E-2</v>
      </c>
      <c r="E44" s="3">
        <v>3.0398725999999997E-2</v>
      </c>
      <c r="F44" s="3">
        <v>-7.3812303999999995E-2</v>
      </c>
      <c r="G44" s="3">
        <v>-6.084287E-2</v>
      </c>
      <c r="H44" s="3">
        <v>3.7307024000000001E-2</v>
      </c>
      <c r="I44" s="3">
        <v>-6.671363000000001E-2</v>
      </c>
      <c r="J44" s="3">
        <v>-9.6032379999999987E-2</v>
      </c>
      <c r="K44" s="3">
        <v>-7.3707223000000002E-2</v>
      </c>
      <c r="L44" s="3">
        <v>2.7787327999999997E-2</v>
      </c>
      <c r="M44" s="3">
        <v>-6.2084200000000001E-3</v>
      </c>
      <c r="N44" s="3">
        <v>-1.2380957999999999E-2</v>
      </c>
      <c r="O44" s="3">
        <v>-2.6984393999999998E-2</v>
      </c>
      <c r="P44" s="3">
        <v>-4.1808661999999996E-2</v>
      </c>
      <c r="Q44" s="3">
        <v>-2.3028850000000002E-3</v>
      </c>
      <c r="R44" s="3">
        <v>-2.5712429999999998E-2</v>
      </c>
      <c r="S44" s="3">
        <v>-0.11439115</v>
      </c>
      <c r="T44" s="3">
        <v>3.4900307999999998E-2</v>
      </c>
      <c r="U44" s="3">
        <v>-4.6586330000000002E-2</v>
      </c>
      <c r="V44" s="3">
        <v>-6.7862270000000006E-3</v>
      </c>
      <c r="W44" s="3">
        <v>4.0528774E-3</v>
      </c>
      <c r="X44" s="3">
        <v>-3.9016782999999999E-2</v>
      </c>
      <c r="Y44" s="3">
        <v>-4.662037E-3</v>
      </c>
      <c r="Z44" s="3">
        <v>-4.3859663E-2</v>
      </c>
      <c r="AA44" s="3">
        <v>-5.3081217E-2</v>
      </c>
      <c r="AB44" s="3">
        <v>3.6166905999999999E-3</v>
      </c>
      <c r="AC44" s="3">
        <v>-1.6652346E-3</v>
      </c>
      <c r="AD44" s="3">
        <v>-6.5155030000000003E-2</v>
      </c>
      <c r="AE44" s="3">
        <v>-3.2054185999999998E-2</v>
      </c>
      <c r="AF44" s="3">
        <v>-4.0728569999999999E-2</v>
      </c>
      <c r="AG44" s="3">
        <v>-8.0531839999999993E-2</v>
      </c>
      <c r="AH44" s="3">
        <v>-5.4300784999999997E-2</v>
      </c>
      <c r="AI44" s="3">
        <v>-4.4215020000000001E-2</v>
      </c>
      <c r="AJ44" s="3"/>
      <c r="AK44" s="3"/>
      <c r="AL44" s="3"/>
    </row>
    <row r="45" spans="1:38" x14ac:dyDescent="0.45">
      <c r="A45" s="2">
        <v>45548</v>
      </c>
      <c r="B45" s="3">
        <v>-4.9903927000000001E-2</v>
      </c>
      <c r="C45" s="3">
        <v>5.8139560000000003E-3</v>
      </c>
      <c r="D45" s="3">
        <v>6.3333272999999995E-2</v>
      </c>
      <c r="E45" s="3">
        <v>7.8927159999999996E-2</v>
      </c>
      <c r="F45" s="3">
        <v>1.4836788E-2</v>
      </c>
      <c r="G45" s="3">
        <v>2.2291422000000002E-2</v>
      </c>
      <c r="H45" s="3">
        <v>7.1930529999999993E-2</v>
      </c>
      <c r="I45" s="3">
        <v>-8.8645815999999992E-3</v>
      </c>
      <c r="J45" s="3">
        <v>-2.5797188000000002E-2</v>
      </c>
      <c r="K45" s="3">
        <v>-4.5604705999999998E-3</v>
      </c>
      <c r="L45" s="3">
        <v>-1.0347128000000001E-2</v>
      </c>
      <c r="M45" s="3">
        <v>3.4582733999999997E-2</v>
      </c>
      <c r="N45" s="3">
        <v>4.3394566000000004E-3</v>
      </c>
      <c r="O45" s="3">
        <v>4.1779159999999996E-2</v>
      </c>
      <c r="P45" s="3">
        <v>-3.011614E-2</v>
      </c>
      <c r="Q45" s="3">
        <v>4.6739696999999997E-2</v>
      </c>
      <c r="R45" s="3">
        <v>9.7550390000000001E-2</v>
      </c>
      <c r="S45" s="3">
        <v>-4.6614589999999997E-2</v>
      </c>
      <c r="T45" s="3">
        <v>3.9917349999999997E-2</v>
      </c>
      <c r="U45" s="3">
        <v>4.2965530000000002E-2</v>
      </c>
      <c r="V45" s="3">
        <v>6.5885780000000003E-3</v>
      </c>
      <c r="W45" s="3">
        <v>6.139791E-2</v>
      </c>
      <c r="X45" s="3">
        <v>5.3999186000000005E-2</v>
      </c>
      <c r="Y45" s="3">
        <v>5.4905057E-2</v>
      </c>
      <c r="Z45" s="3">
        <v>6.1599016000000006E-2</v>
      </c>
      <c r="AA45" s="3">
        <v>3.3426999999999998E-2</v>
      </c>
      <c r="AB45" s="3">
        <v>2.8828860000000001E-2</v>
      </c>
      <c r="AC45" s="3">
        <v>2.5854944999999997E-2</v>
      </c>
      <c r="AD45" s="3">
        <v>2.7584434000000001E-2</v>
      </c>
      <c r="AE45" s="3">
        <v>3.6842345999999998E-2</v>
      </c>
      <c r="AF45" s="3">
        <v>3.1118155000000002E-2</v>
      </c>
      <c r="AG45" s="3">
        <v>2.1896361999999999E-2</v>
      </c>
      <c r="AH45" s="3">
        <v>5.1066995000000004E-2</v>
      </c>
      <c r="AI45" s="3">
        <v>5.5678724999999998E-2</v>
      </c>
      <c r="AJ45" s="3"/>
      <c r="AK45" s="3"/>
      <c r="AL45" s="3"/>
    </row>
    <row r="46" spans="1:38" x14ac:dyDescent="0.45">
      <c r="A46" s="2">
        <v>45576</v>
      </c>
      <c r="B46" s="3">
        <v>0.26468121999999999</v>
      </c>
      <c r="C46" s="3">
        <v>3.0828476E-2</v>
      </c>
      <c r="D46" s="3">
        <v>-1.9256591999999999E-2</v>
      </c>
      <c r="E46" s="3">
        <v>1.7755628000000002E-2</v>
      </c>
      <c r="F46" s="3">
        <v>-2.9239654999999999E-3</v>
      </c>
      <c r="G46" s="3">
        <v>8.1266400000000003E-2</v>
      </c>
      <c r="H46" s="3">
        <v>-1.1569857599999999E-3</v>
      </c>
      <c r="I46" s="3">
        <v>4.8334955999999998E-2</v>
      </c>
      <c r="J46" s="3">
        <v>1.2688517999999999E-2</v>
      </c>
      <c r="K46" s="3">
        <v>1.4218091999999999E-3</v>
      </c>
      <c r="L46" s="3">
        <v>-4.4856667999999995E-2</v>
      </c>
      <c r="M46" s="3">
        <v>7.9577327000000003E-2</v>
      </c>
      <c r="N46" s="3">
        <v>-4.6663880000000005E-3</v>
      </c>
      <c r="O46" s="3">
        <v>-1.1408806000000001E-2</v>
      </c>
      <c r="P46" s="3">
        <v>0.28704154999999998</v>
      </c>
      <c r="Q46" s="3">
        <v>1.2127995000000001E-2</v>
      </c>
      <c r="R46" s="3">
        <v>3.2090901999999998E-2</v>
      </c>
      <c r="S46" s="3">
        <v>-8.0579100000000001E-2</v>
      </c>
      <c r="T46" s="3">
        <v>-2.3163437999999998E-2</v>
      </c>
      <c r="U46" s="3">
        <v>2.180934E-2</v>
      </c>
      <c r="V46" s="3">
        <v>1.4545440999999999E-2</v>
      </c>
      <c r="W46" s="3">
        <v>-1.0408341999999999E-2</v>
      </c>
      <c r="X46" s="3">
        <v>2.0801305999999999E-2</v>
      </c>
      <c r="Y46" s="3">
        <v>2.6147007999999999E-2</v>
      </c>
      <c r="Z46" s="3">
        <v>2.4382590999999999E-2</v>
      </c>
      <c r="AA46" s="3">
        <v>1.6888498999999998E-2</v>
      </c>
      <c r="AB46" s="3">
        <v>1.5567540999999999E-3</v>
      </c>
      <c r="AC46" s="3">
        <v>-9.4851850000000001E-3</v>
      </c>
      <c r="AD46" s="3">
        <v>3.9364099999999999E-2</v>
      </c>
      <c r="AE46" s="3">
        <v>3.4430623E-2</v>
      </c>
      <c r="AF46" s="3">
        <v>6.1382055000000005E-3</v>
      </c>
      <c r="AG46" s="3">
        <v>1.1926413E-2</v>
      </c>
      <c r="AH46" s="3">
        <v>7.9768896000000002E-3</v>
      </c>
      <c r="AI46" s="3">
        <v>5.7728290000000002E-3</v>
      </c>
      <c r="AJ46" s="3"/>
      <c r="AK46" s="3"/>
      <c r="AL46" s="3"/>
    </row>
    <row r="47" spans="1:38" x14ac:dyDescent="0.45">
      <c r="A47" s="2">
        <v>45609</v>
      </c>
      <c r="B47" s="3">
        <v>-1.3266802000000001E-3</v>
      </c>
      <c r="C47" s="3">
        <v>-6.0934544E-2</v>
      </c>
      <c r="D47" s="3">
        <v>-6.7123229999999992E-2</v>
      </c>
      <c r="E47" s="3">
        <v>-9.909285000000001E-2</v>
      </c>
      <c r="F47" s="3">
        <v>-8.2530439999999997E-2</v>
      </c>
      <c r="G47" s="3">
        <v>-3.5119653000000001E-2</v>
      </c>
      <c r="H47" s="3">
        <v>-5.5598496999999997E-2</v>
      </c>
      <c r="I47" s="3">
        <v>-1.8333614000000002E-2</v>
      </c>
      <c r="J47" s="3">
        <v>-8.4438030000000011E-2</v>
      </c>
      <c r="K47" s="3">
        <v>-0.11847294</v>
      </c>
      <c r="L47" s="3">
        <v>-2.7895449999999999E-2</v>
      </c>
      <c r="M47" s="3">
        <v>-7.4510573999999996E-2</v>
      </c>
      <c r="N47" s="3">
        <v>-3.5344958000000003E-2</v>
      </c>
      <c r="O47" s="3">
        <v>-6.8543434E-2</v>
      </c>
      <c r="P47" s="3">
        <v>-9.2705190000000007E-2</v>
      </c>
      <c r="Q47" s="3">
        <v>5.4466724E-4</v>
      </c>
      <c r="R47" s="3">
        <v>-1.2672602999999999E-2</v>
      </c>
      <c r="S47" s="3">
        <v>3.8918613999999997E-2</v>
      </c>
      <c r="T47" s="3">
        <v>3.7262917E-2</v>
      </c>
      <c r="U47" s="3">
        <v>-6.8774699999999994E-2</v>
      </c>
      <c r="V47" s="3">
        <v>-1.0274827E-2</v>
      </c>
      <c r="W47" s="3">
        <v>-4.4700623000000002E-2</v>
      </c>
      <c r="X47" s="3">
        <v>-3.7358463000000001E-2</v>
      </c>
      <c r="Y47" s="3">
        <v>1.2980818999999999E-2</v>
      </c>
      <c r="Z47" s="3">
        <v>-5.8752593999999998E-2</v>
      </c>
      <c r="AA47" s="3">
        <v>-4.6586990000000002E-2</v>
      </c>
      <c r="AB47" s="3">
        <v>-7.5577974000000006E-2</v>
      </c>
      <c r="AC47" s="3">
        <v>-5.3351583000000001E-2</v>
      </c>
      <c r="AD47" s="3">
        <v>3.8288473999999996E-2</v>
      </c>
      <c r="AE47" s="3">
        <v>3.0384063999999999E-2</v>
      </c>
      <c r="AF47" s="3">
        <v>-8.159632E-2</v>
      </c>
      <c r="AG47" s="3">
        <v>-0.1044746</v>
      </c>
      <c r="AH47" s="3">
        <v>-8.0335800000000013E-2</v>
      </c>
      <c r="AI47" s="3">
        <v>-5.4787454999999999E-2</v>
      </c>
      <c r="AJ47" s="3"/>
      <c r="AK47" s="3"/>
      <c r="AL47" s="3"/>
    </row>
    <row r="48" spans="1:38" x14ac:dyDescent="0.45">
      <c r="A48" s="2">
        <v>45639</v>
      </c>
      <c r="B48" s="3">
        <v>-3.885752E-2</v>
      </c>
      <c r="C48" s="3">
        <v>2.5477647999999999E-2</v>
      </c>
      <c r="D48" s="3">
        <v>-2.790016E-2</v>
      </c>
      <c r="E48" s="3">
        <v>-1.0457039E-2</v>
      </c>
      <c r="F48" s="3">
        <v>3.6986232000000001E-2</v>
      </c>
      <c r="G48" s="3">
        <v>1.3235569000000001E-2</v>
      </c>
      <c r="H48" s="3">
        <v>1.2673855000000001E-2</v>
      </c>
      <c r="I48" s="3">
        <v>1.0539889E-2</v>
      </c>
      <c r="J48" s="3">
        <v>3.9865135999999995E-2</v>
      </c>
      <c r="K48" s="3">
        <v>1.9685029999999999E-3</v>
      </c>
      <c r="L48" s="3">
        <v>-8.2818749999999997E-2</v>
      </c>
      <c r="M48" s="3">
        <v>5.8061720000000004E-2</v>
      </c>
      <c r="N48" s="3">
        <v>2.7534962E-2</v>
      </c>
      <c r="O48" s="3">
        <v>4.2988540000000006E-2</v>
      </c>
      <c r="P48" s="3">
        <v>9.6315145000000005E-3</v>
      </c>
      <c r="Q48" s="3">
        <v>-5.9880613999999995E-3</v>
      </c>
      <c r="R48" s="3">
        <v>-1.3641298E-2</v>
      </c>
      <c r="S48" s="3">
        <v>7.8352809999999995E-2</v>
      </c>
      <c r="T48" s="3">
        <v>1.1757016E-2</v>
      </c>
      <c r="U48" s="3">
        <v>-4.2445063999999996E-3</v>
      </c>
      <c r="V48" s="3">
        <v>1.8831490999999999E-2</v>
      </c>
      <c r="W48" s="3">
        <v>-3.0700861999999999E-2</v>
      </c>
      <c r="X48" s="3">
        <v>-1.6072093999999999E-2</v>
      </c>
      <c r="Y48" s="3">
        <v>-3.0849575999999999E-3</v>
      </c>
      <c r="Z48" s="3">
        <v>6.0179233999999998E-2</v>
      </c>
      <c r="AA48" s="3">
        <v>2.6572227E-2</v>
      </c>
      <c r="AB48" s="3">
        <v>-8.4069369999999997E-3</v>
      </c>
      <c r="AC48" s="3">
        <v>2.6300549999999999E-2</v>
      </c>
      <c r="AD48" s="3">
        <v>3.5685778000000001E-2</v>
      </c>
      <c r="AE48" s="3">
        <v>1.1755109E-2</v>
      </c>
      <c r="AF48" s="3">
        <v>1.9927978999999998E-2</v>
      </c>
      <c r="AG48" s="3">
        <v>3.3459783E-2</v>
      </c>
      <c r="AH48" s="3">
        <v>1.5906096000000002E-2</v>
      </c>
      <c r="AI48" s="3">
        <v>3.9194106999999999E-2</v>
      </c>
      <c r="AJ48" s="3"/>
      <c r="AK48" s="3"/>
      <c r="AL48" s="3"/>
    </row>
    <row r="49" spans="1:38" x14ac:dyDescent="0.45">
      <c r="A49" s="2">
        <v>45670</v>
      </c>
      <c r="B49" s="3">
        <v>-6.9123563999999998E-2</v>
      </c>
      <c r="C49" s="3">
        <v>-2.0827590999999999E-2</v>
      </c>
      <c r="D49" s="3">
        <v>-6.8190155000000002E-2</v>
      </c>
      <c r="E49" s="3">
        <v>-2.8803705999999998E-2</v>
      </c>
      <c r="F49" s="3">
        <v>-2.6456475E-2</v>
      </c>
      <c r="G49" s="3">
        <v>-3.9126158000000001E-2</v>
      </c>
      <c r="H49" s="3">
        <v>-3.0176878000000001E-2</v>
      </c>
      <c r="I49" s="3">
        <v>-5.0082803000000002E-2</v>
      </c>
      <c r="J49" s="3">
        <v>-6.5963507000000005E-2</v>
      </c>
      <c r="K49" s="3">
        <v>-2.1500289999999998E-2</v>
      </c>
      <c r="L49" s="3">
        <v>-5.5531683000000005E-2</v>
      </c>
      <c r="M49" s="3">
        <v>-0.12264353</v>
      </c>
      <c r="N49" s="3">
        <v>1.0726452E-3</v>
      </c>
      <c r="O49" s="3">
        <v>-8.1701159999999995E-2</v>
      </c>
      <c r="P49" s="3">
        <v>-7.3043227000000002E-2</v>
      </c>
      <c r="Q49" s="3">
        <v>-2.8007089999999998E-2</v>
      </c>
      <c r="R49" s="3">
        <v>-5.4013910000000005E-2</v>
      </c>
      <c r="S49" s="3">
        <v>-5.2229460000000005E-2</v>
      </c>
      <c r="T49" s="3">
        <v>8.1936120000000001E-2</v>
      </c>
      <c r="U49" s="3">
        <v>-4.0068149999999997E-2</v>
      </c>
      <c r="V49" s="3">
        <v>-3.0508636999999998E-3</v>
      </c>
      <c r="W49" s="3">
        <v>-2.0933210000000001E-2</v>
      </c>
      <c r="X49" s="3">
        <v>-3.2629192000000001E-2</v>
      </c>
      <c r="Y49" s="3">
        <v>-3.8926243999999999E-2</v>
      </c>
      <c r="Z49" s="3">
        <v>-3.7741482E-2</v>
      </c>
      <c r="AA49" s="3">
        <v>-4.4494209999999999E-2</v>
      </c>
      <c r="AB49" s="3">
        <v>-2.1619320000000001E-2</v>
      </c>
      <c r="AC49" s="3">
        <v>-3.9963782000000003E-2</v>
      </c>
      <c r="AD49" s="3">
        <v>-4.5545044E-2</v>
      </c>
      <c r="AE49" s="3">
        <v>-3.4568905999999996E-2</v>
      </c>
      <c r="AF49" s="3">
        <v>-2.0679949999999999E-2</v>
      </c>
      <c r="AG49" s="3">
        <v>-3.6174178000000001E-2</v>
      </c>
      <c r="AH49" s="3">
        <v>-4.3121156999999993E-2</v>
      </c>
      <c r="AI49" s="3">
        <v>-2.3779987999999998E-2</v>
      </c>
      <c r="AJ49" s="3"/>
      <c r="AK49" s="3"/>
      <c r="AL49" s="3"/>
    </row>
    <row r="50" spans="1:38" x14ac:dyDescent="0.45">
      <c r="A50" s="2">
        <v>45701</v>
      </c>
      <c r="B50" s="3">
        <v>6.6009045000000002E-2</v>
      </c>
      <c r="C50" s="3">
        <v>0.159109</v>
      </c>
      <c r="D50" s="3">
        <v>-3.4028469999999998E-2</v>
      </c>
      <c r="E50" s="3">
        <v>-9.7560880000000013E-3</v>
      </c>
      <c r="F50" s="3">
        <v>0.21522558</v>
      </c>
      <c r="G50" s="3">
        <v>5.6348559999999999E-2</v>
      </c>
      <c r="H50" s="3">
        <v>3.2230734999999996E-2</v>
      </c>
      <c r="I50" s="3">
        <v>5.1720620000000002E-2</v>
      </c>
      <c r="J50" s="3">
        <v>0.10366631</v>
      </c>
      <c r="K50" s="3">
        <v>5.3467870000000001E-2</v>
      </c>
      <c r="L50" s="3">
        <v>0.11617708</v>
      </c>
      <c r="M50" s="3">
        <v>0.12858189</v>
      </c>
      <c r="N50" s="3">
        <v>8.4410550000000001E-2</v>
      </c>
      <c r="O50" s="3">
        <v>-5.1333309999999997E-3</v>
      </c>
      <c r="P50" s="3">
        <v>0.18190110000000001</v>
      </c>
      <c r="Q50" s="3">
        <v>3.2627462999999995E-2</v>
      </c>
      <c r="R50" s="3">
        <v>-5.1855507000000002E-2</v>
      </c>
      <c r="S50" s="3">
        <v>-2.8089285000000002E-3</v>
      </c>
      <c r="T50" s="3">
        <v>4.9581885000000006E-2</v>
      </c>
      <c r="U50" s="3">
        <v>2.0426272999999998E-2</v>
      </c>
      <c r="V50" s="3">
        <v>2.9803752999999999E-2</v>
      </c>
      <c r="W50" s="3">
        <v>2.0800352000000001E-2</v>
      </c>
      <c r="X50" s="3">
        <v>7.4539422999999994E-2</v>
      </c>
      <c r="Y50" s="3">
        <v>6.7269087000000005E-2</v>
      </c>
      <c r="Z50" s="3">
        <v>0.14245367</v>
      </c>
      <c r="AA50" s="3">
        <v>5.8697699999999998E-2</v>
      </c>
      <c r="AB50" s="3">
        <v>0.11351824000000001</v>
      </c>
      <c r="AC50" s="3">
        <v>9.7634079999999998E-2</v>
      </c>
      <c r="AD50" s="3">
        <v>6.0012700000000002E-2</v>
      </c>
      <c r="AE50" s="3">
        <v>4.8745155000000005E-2</v>
      </c>
      <c r="AF50" s="3">
        <v>0.11334455500000001</v>
      </c>
      <c r="AG50" s="3">
        <v>0.10119723999999999</v>
      </c>
      <c r="AH50" s="3">
        <v>0.17569756000000003</v>
      </c>
      <c r="AI50" s="3">
        <v>0.11104976999999999</v>
      </c>
      <c r="AJ50" s="3"/>
      <c r="AK50" s="3"/>
      <c r="AL50" s="3"/>
    </row>
    <row r="51" spans="1:38" x14ac:dyDescent="0.45">
      <c r="A51" s="2">
        <v>45729</v>
      </c>
      <c r="B51" s="3">
        <v>8.5408689999999995E-3</v>
      </c>
      <c r="C51" s="3">
        <v>2.1276593E-2</v>
      </c>
      <c r="D51" s="3">
        <v>-4.9431860000000001E-2</v>
      </c>
      <c r="E51" s="3">
        <v>4.1871905000000001E-2</v>
      </c>
      <c r="F51" s="3">
        <v>6.6511990000000007E-2</v>
      </c>
      <c r="G51" s="3">
        <v>1.6595124999999999E-3</v>
      </c>
      <c r="H51" s="3">
        <v>-5.8751049999999999E-2</v>
      </c>
      <c r="I51" s="3">
        <v>-6.1282339999999998E-2</v>
      </c>
      <c r="J51" s="3">
        <v>-2.2718668000000001E-2</v>
      </c>
      <c r="K51" s="3">
        <v>-2.0053207999999999E-2</v>
      </c>
      <c r="L51" s="3">
        <v>-2.5923014000000001E-2</v>
      </c>
      <c r="M51" s="3">
        <v>-4.7743320000000001E-3</v>
      </c>
      <c r="N51" s="3">
        <v>9.4670530000000003E-2</v>
      </c>
      <c r="O51" s="3">
        <v>-3.730899E-2</v>
      </c>
      <c r="P51" s="3">
        <v>7.560277E-2</v>
      </c>
      <c r="Q51" s="3">
        <v>-5.5432320000000004E-3</v>
      </c>
      <c r="R51" s="3">
        <v>-9.6930920000000004E-2</v>
      </c>
      <c r="S51" s="3">
        <v>6.7323922999999994E-2</v>
      </c>
      <c r="T51" s="3">
        <v>-4.496294E-2</v>
      </c>
      <c r="U51" s="3">
        <v>8.2680589999999998E-2</v>
      </c>
      <c r="V51" s="3">
        <v>-5.8352947000000002E-2</v>
      </c>
      <c r="W51" s="3">
        <v>-7.1760835999999995E-2</v>
      </c>
      <c r="X51" s="3">
        <v>-0.10288382</v>
      </c>
      <c r="Y51" s="3">
        <v>-7.5729074000000007E-2</v>
      </c>
      <c r="Z51" s="3">
        <v>3.2408713999999998E-2</v>
      </c>
      <c r="AA51" s="3">
        <v>0</v>
      </c>
      <c r="AB51" s="3">
        <v>1.4396786999999999E-2</v>
      </c>
      <c r="AC51" s="3">
        <v>1.3096809000000001E-2</v>
      </c>
      <c r="AD51" s="3">
        <v>-0.12606835</v>
      </c>
      <c r="AE51" s="3">
        <v>-9.5632499999999995E-2</v>
      </c>
      <c r="AF51" s="3">
        <v>1.4794350000000001E-2</v>
      </c>
      <c r="AG51" s="3">
        <v>-2.3997902999999998E-2</v>
      </c>
      <c r="AH51" s="3">
        <v>-1.7339766E-2</v>
      </c>
      <c r="AI51" s="3">
        <v>4.2764783000000001E-2</v>
      </c>
      <c r="AJ51" s="3"/>
      <c r="AK51" s="3"/>
      <c r="AL51" s="3"/>
    </row>
    <row r="52" spans="1:38" x14ac:dyDescent="0.45">
      <c r="A52" s="2">
        <v>45758</v>
      </c>
      <c r="B52" s="3">
        <v>-4.4107256000000004E-2</v>
      </c>
      <c r="C52" s="3">
        <v>-4.6034993999999996E-2</v>
      </c>
      <c r="D52" s="3">
        <v>-5.1404656999999999E-2</v>
      </c>
      <c r="E52" s="3">
        <v>-1.6548455E-2</v>
      </c>
      <c r="F52" s="3">
        <v>-1.1965215E-2</v>
      </c>
      <c r="G52" s="3">
        <v>-3.905356E-3</v>
      </c>
      <c r="H52" s="3">
        <v>-1.9642115000000002E-2</v>
      </c>
      <c r="I52" s="3">
        <v>-8.0797969999999997E-2</v>
      </c>
      <c r="J52" s="3">
        <v>-9.9628570000000003E-3</v>
      </c>
      <c r="K52" s="3">
        <v>-1.6479551999999998E-2</v>
      </c>
      <c r="L52" s="3">
        <v>-4.4354199999999998E-3</v>
      </c>
      <c r="M52" s="3">
        <v>-5.2333474000000003E-3</v>
      </c>
      <c r="N52" s="3">
        <v>-1.9432068E-2</v>
      </c>
      <c r="O52" s="3">
        <v>4.6382190000000004E-2</v>
      </c>
      <c r="P52" s="3">
        <v>-0.10919851</v>
      </c>
      <c r="Q52" s="3">
        <v>-1.8394648999999999E-2</v>
      </c>
      <c r="R52" s="3">
        <v>-2.6715160000000002E-2</v>
      </c>
      <c r="S52" s="3">
        <v>-0.15333854999999999</v>
      </c>
      <c r="T52" s="3">
        <v>-1.6090631000000001E-2</v>
      </c>
      <c r="U52" s="3">
        <v>-4.5819939999999997E-2</v>
      </c>
      <c r="V52" s="3">
        <v>-1.0994493999999999E-2</v>
      </c>
      <c r="W52" s="3">
        <v>1.1453151999999999E-2</v>
      </c>
      <c r="X52" s="3">
        <v>-1.0860145000000002E-2</v>
      </c>
      <c r="Y52" s="3">
        <v>1.4503836999999999E-2</v>
      </c>
      <c r="Z52" s="3">
        <v>-3.2455444E-2</v>
      </c>
      <c r="AA52" s="3">
        <v>-4.9667953999999993E-2</v>
      </c>
      <c r="AB52" s="3">
        <v>-2.0905255999999997E-2</v>
      </c>
      <c r="AC52" s="3">
        <v>-4.2014599999999999E-2</v>
      </c>
      <c r="AD52" s="3">
        <v>-2.83494E-2</v>
      </c>
      <c r="AE52" s="3">
        <v>-2.8788865E-2</v>
      </c>
      <c r="AF52" s="3">
        <v>-3.7064493000000004E-2</v>
      </c>
      <c r="AG52" s="3">
        <v>-3.7202537000000001E-2</v>
      </c>
      <c r="AH52" s="3">
        <v>-6.4081669999999993E-2</v>
      </c>
      <c r="AI52" s="3">
        <v>-3.3619463000000002E-2</v>
      </c>
      <c r="AJ52" s="3"/>
      <c r="AK52" s="3"/>
      <c r="AL52" s="3"/>
    </row>
    <row r="53" spans="1:38" x14ac:dyDescent="0.45">
      <c r="A53" s="2">
        <v>45790</v>
      </c>
      <c r="B53" s="3">
        <v>4.6142459999999996E-2</v>
      </c>
      <c r="C53" s="3">
        <v>0.14688277</v>
      </c>
      <c r="D53" s="3">
        <v>0.10523009</v>
      </c>
      <c r="E53" s="3">
        <v>0.1241988</v>
      </c>
      <c r="F53" s="3">
        <v>0.13027525000000001</v>
      </c>
      <c r="G53" s="3">
        <v>7.1878433000000005E-2</v>
      </c>
      <c r="H53" s="3">
        <v>0.10730195000000001</v>
      </c>
      <c r="I53" s="3">
        <v>0.16790877999999998</v>
      </c>
      <c r="J53" s="3">
        <v>0.16574585</v>
      </c>
      <c r="K53" s="3">
        <v>7.0152759999999995E-2</v>
      </c>
      <c r="L53" s="3">
        <v>0.14742803999999998</v>
      </c>
      <c r="M53" s="3">
        <v>0.10499786999999999</v>
      </c>
      <c r="N53" s="3">
        <v>0.13392866</v>
      </c>
      <c r="O53" s="3">
        <v>6.4026832999999991E-2</v>
      </c>
      <c r="P53" s="3">
        <v>0.10104668</v>
      </c>
      <c r="Q53" s="3">
        <v>6.5036892999999998E-2</v>
      </c>
      <c r="R53" s="3">
        <v>7.5957299999999991E-2</v>
      </c>
      <c r="S53" s="3">
        <v>1.1845349999999999E-2</v>
      </c>
      <c r="T53" s="3">
        <v>0.11205327999999999</v>
      </c>
      <c r="U53" s="3">
        <v>7.3294044000000003E-2</v>
      </c>
      <c r="V53" s="3">
        <v>1.8190980000000002E-2</v>
      </c>
      <c r="W53" s="3">
        <v>7.6197147000000007E-2</v>
      </c>
      <c r="X53" s="3">
        <v>0.11638116999999999</v>
      </c>
      <c r="Y53" s="3">
        <v>8.8537809999999995E-2</v>
      </c>
      <c r="Z53" s="3">
        <v>0.11602973999999999</v>
      </c>
      <c r="AA53" s="3">
        <v>9.7690699999999991E-2</v>
      </c>
      <c r="AB53" s="3">
        <v>4.1919709999999999E-2</v>
      </c>
      <c r="AC53" s="3">
        <v>8.0123659999999999E-2</v>
      </c>
      <c r="AD53" s="3">
        <v>0.13466120000000001</v>
      </c>
      <c r="AE53" s="3">
        <v>9.9074839999999997E-2</v>
      </c>
      <c r="AF53" s="3">
        <v>8.0318090000000009E-2</v>
      </c>
      <c r="AG53" s="3">
        <v>0.13599645999999999</v>
      </c>
      <c r="AH53" s="3">
        <v>0.12205399</v>
      </c>
      <c r="AI53" s="3">
        <v>0.13496184</v>
      </c>
      <c r="AJ53" s="3"/>
      <c r="AK53" s="3"/>
      <c r="AL53" s="3"/>
    </row>
    <row r="54" spans="1:38" x14ac:dyDescent="0.45">
      <c r="A54" s="2">
        <v>45821</v>
      </c>
      <c r="B54" s="3">
        <v>-6.7043304000000007E-3</v>
      </c>
      <c r="C54" s="3">
        <v>-2.2420168000000001E-2</v>
      </c>
      <c r="D54" s="3">
        <v>6.1573505000000001E-2</v>
      </c>
      <c r="E54" s="3">
        <v>-1.4255166E-2</v>
      </c>
      <c r="F54" s="3">
        <v>-3.0519425999999999E-2</v>
      </c>
      <c r="G54" s="3">
        <v>7.0523142999999996E-2</v>
      </c>
      <c r="H54" s="3">
        <v>-2.4527549999999999E-2</v>
      </c>
      <c r="I54" s="3">
        <v>4.8235773999999995E-2</v>
      </c>
      <c r="J54" s="3">
        <v>3.3513904000000004E-2</v>
      </c>
      <c r="K54" s="3">
        <v>0.14280796000000001</v>
      </c>
      <c r="L54" s="3">
        <v>-6.7067146000000001E-3</v>
      </c>
      <c r="M54" s="3">
        <v>5.7329893E-2</v>
      </c>
      <c r="N54" s="3">
        <v>7.5475335000000005E-2</v>
      </c>
      <c r="O54" s="3">
        <v>5.5551530000000002E-4</v>
      </c>
      <c r="P54" s="3">
        <v>1.2797117E-3</v>
      </c>
      <c r="Q54" s="3">
        <v>-2.9607594000000001E-2</v>
      </c>
      <c r="R54" s="3">
        <v>-7.5502989999999992E-2</v>
      </c>
      <c r="S54" s="3">
        <v>-5.2680196999999998E-2</v>
      </c>
      <c r="T54" s="3">
        <v>-2.614385E-2</v>
      </c>
      <c r="U54" s="3">
        <v>2.1978019999999997E-2</v>
      </c>
      <c r="V54" s="3">
        <v>-7.8660010000000002E-2</v>
      </c>
      <c r="W54" s="3">
        <v>-9.4257000000000004E-3</v>
      </c>
      <c r="X54" s="3">
        <v>3.5405160000000005E-2</v>
      </c>
      <c r="Y54" s="3">
        <v>5.7142853999999993E-2</v>
      </c>
      <c r="Z54" s="3">
        <v>2.2665620000000001E-2</v>
      </c>
      <c r="AA54" s="3">
        <v>1.8685101999999999E-2</v>
      </c>
      <c r="AB54" s="3">
        <v>3.8165091999999998E-2</v>
      </c>
      <c r="AC54" s="3">
        <v>5.2056193000000001E-2</v>
      </c>
      <c r="AD54" s="3">
        <v>2.2052407E-2</v>
      </c>
      <c r="AE54" s="3">
        <v>1.7313004E-2</v>
      </c>
      <c r="AF54" s="3">
        <v>1.7339706E-2</v>
      </c>
      <c r="AG54" s="3">
        <v>2.8823972000000003E-2</v>
      </c>
      <c r="AH54" s="3">
        <v>5.7483910000000003E-3</v>
      </c>
      <c r="AI54" s="3">
        <v>3.1086922000000003E-2</v>
      </c>
      <c r="AJ54" s="3"/>
      <c r="AK54" s="3"/>
      <c r="AL54" s="3"/>
    </row>
    <row r="55" spans="1:38" x14ac:dyDescent="0.45">
      <c r="A55" s="2">
        <v>45849</v>
      </c>
      <c r="B55" s="3">
        <v>4.1434765000000005E-2</v>
      </c>
      <c r="C55" s="3">
        <v>-2.0754397000000001E-2</v>
      </c>
      <c r="D55" s="3">
        <v>-1.4451087E-2</v>
      </c>
      <c r="E55" s="3">
        <v>-7.4713826000000006E-3</v>
      </c>
      <c r="F55" s="3">
        <v>8.8663340000000007E-2</v>
      </c>
      <c r="G55" s="3">
        <v>3.0144095000000003E-2</v>
      </c>
      <c r="H55" s="3">
        <v>1.3649344000000001E-2</v>
      </c>
      <c r="I55" s="3">
        <v>4.3867469999999999E-2</v>
      </c>
      <c r="J55" s="3">
        <v>2.6023387999999999E-3</v>
      </c>
      <c r="K55" s="3">
        <v>9.2442040000000003E-2</v>
      </c>
      <c r="L55" s="3">
        <v>-3.8737654999999997E-3</v>
      </c>
      <c r="M55" s="3">
        <v>5.7225230000000002E-3</v>
      </c>
      <c r="N55" s="3">
        <v>0.10563051</v>
      </c>
      <c r="O55" s="3">
        <v>1.5544057E-2</v>
      </c>
      <c r="P55" s="3">
        <v>1.3054132000000001E-2</v>
      </c>
      <c r="Q55" s="3">
        <v>5.3865550000000005E-2</v>
      </c>
      <c r="R55" s="3">
        <v>-1.3983845999999999E-3</v>
      </c>
      <c r="S55" s="3">
        <v>9.5116980000000004E-2</v>
      </c>
      <c r="T55" s="3">
        <v>0.11084914</v>
      </c>
      <c r="U55" s="3">
        <v>0.16897082999999999</v>
      </c>
      <c r="V55" s="3">
        <v>6.5100790000000006E-2</v>
      </c>
      <c r="W55" s="3">
        <v>2.22013E-2</v>
      </c>
      <c r="X55" s="3">
        <v>1.6772509000000001E-2</v>
      </c>
      <c r="Y55" s="3">
        <v>1.2171030000000001E-2</v>
      </c>
      <c r="Z55" s="3">
        <v>3.9535521999999997E-2</v>
      </c>
      <c r="AA55" s="3">
        <v>-8.9022520000000011E-3</v>
      </c>
      <c r="AB55" s="3">
        <v>9.4349384000000005E-3</v>
      </c>
      <c r="AC55" s="3">
        <v>7.8470707000000001E-3</v>
      </c>
      <c r="AD55" s="3">
        <v>5.2862166999999995E-2</v>
      </c>
      <c r="AE55" s="3">
        <v>4.7685266000000004E-2</v>
      </c>
      <c r="AF55" s="3">
        <v>3.3353448000000001E-2</v>
      </c>
      <c r="AG55" s="3">
        <v>2.9815793E-2</v>
      </c>
      <c r="AH55" s="3">
        <v>2.4297713999999998E-2</v>
      </c>
      <c r="AI55" s="3">
        <v>2.9415488E-2</v>
      </c>
      <c r="AJ55" s="3"/>
      <c r="AK55" s="3"/>
      <c r="AL55" s="3"/>
    </row>
    <row r="56" spans="1:38" x14ac:dyDescent="0.45">
      <c r="A56" s="2">
        <v>45882</v>
      </c>
      <c r="B56" s="3">
        <v>6.1986327000000001E-2</v>
      </c>
      <c r="C56" s="3">
        <v>6.6535589999999992E-2</v>
      </c>
      <c r="D56" s="3">
        <v>5.3721310000000001E-2</v>
      </c>
      <c r="E56" s="3">
        <v>-1.51124E-2</v>
      </c>
      <c r="F56" s="3">
        <v>6.6353679999999998E-2</v>
      </c>
      <c r="G56" s="3">
        <v>6.8195699999999998E-2</v>
      </c>
      <c r="H56" s="3">
        <v>4.9418569999999995E-2</v>
      </c>
      <c r="I56" s="3">
        <v>4.6826720000000002E-2</v>
      </c>
      <c r="J56" s="3">
        <v>3.0933022000000001E-2</v>
      </c>
      <c r="K56" s="3">
        <v>2.9768467E-2</v>
      </c>
      <c r="L56" s="3">
        <v>2.3610592E-2</v>
      </c>
      <c r="M56" s="3">
        <v>0.10154771999999999</v>
      </c>
      <c r="N56" s="3">
        <v>9.5425369999999995E-2</v>
      </c>
      <c r="O56" s="3">
        <v>-3.9540827000000001E-2</v>
      </c>
      <c r="P56" s="3">
        <v>0.10209286000000001</v>
      </c>
      <c r="Q56" s="3">
        <v>9.7704170000000007E-2</v>
      </c>
      <c r="R56" s="3">
        <v>0.13941299000000001</v>
      </c>
      <c r="S56" s="3">
        <v>3.9192079999999997E-2</v>
      </c>
      <c r="T56" s="3">
        <v>3.7480593E-2</v>
      </c>
      <c r="U56" s="3">
        <v>0.14717472000000001</v>
      </c>
      <c r="V56" s="3">
        <v>-3.7284671999999998E-2</v>
      </c>
      <c r="W56" s="3">
        <v>1.3111829999999998E-3</v>
      </c>
      <c r="X56" s="3">
        <v>2.0864964E-2</v>
      </c>
      <c r="Y56" s="3">
        <v>3.2733560000000002E-2</v>
      </c>
      <c r="Z56" s="3">
        <v>-1.6489624999999999E-3</v>
      </c>
      <c r="AA56" s="3">
        <v>9.5494749999999989E-2</v>
      </c>
      <c r="AB56" s="3">
        <v>-9.1407894999999996E-3</v>
      </c>
      <c r="AC56" s="3">
        <v>3.6072253999999998E-2</v>
      </c>
      <c r="AD56" s="3">
        <v>4.7167063000000002E-2</v>
      </c>
      <c r="AE56" s="3">
        <v>3.4107327E-2</v>
      </c>
      <c r="AF56" s="3">
        <v>6.9320199999999997E-4</v>
      </c>
      <c r="AG56" s="3">
        <v>-1.9297898000000001E-2</v>
      </c>
      <c r="AH56" s="3">
        <v>9.8749400000000005E-3</v>
      </c>
      <c r="AI56" s="3">
        <v>6.4805149999999992E-2</v>
      </c>
      <c r="AJ56" s="3"/>
      <c r="AK56" s="3"/>
      <c r="AL56" s="3"/>
    </row>
    <row r="57" spans="1:38" x14ac:dyDescent="0.45">
      <c r="A57" s="2">
        <v>45912</v>
      </c>
      <c r="B57" s="3">
        <v>8.3521370000000011E-2</v>
      </c>
      <c r="C57" s="3">
        <v>2.0897388000000003E-2</v>
      </c>
      <c r="D57" s="3">
        <v>-5.3106727999999999E-2</v>
      </c>
      <c r="E57" s="3">
        <v>-3.4431159999999995E-2</v>
      </c>
      <c r="F57" s="3">
        <v>-5.2538929999999998E-2</v>
      </c>
      <c r="G57" s="3">
        <v>0.107515335</v>
      </c>
      <c r="H57" s="3">
        <v>7.9144239999999998E-3</v>
      </c>
      <c r="I57" s="3">
        <v>2.9493689999999999E-2</v>
      </c>
      <c r="J57" s="3">
        <v>6.6623689999999999E-2</v>
      </c>
      <c r="K57" s="3">
        <v>5.2730202999999996E-2</v>
      </c>
      <c r="L57" s="3">
        <v>6.5649390000000002E-2</v>
      </c>
      <c r="M57" s="3">
        <v>3.786838E-2</v>
      </c>
      <c r="N57" s="3">
        <v>-2.4547219999999998E-2</v>
      </c>
      <c r="O57" s="3">
        <v>8.3476304999999997E-3</v>
      </c>
      <c r="P57" s="3">
        <v>5.5977582999999997E-2</v>
      </c>
      <c r="Q57" s="3">
        <v>-4.9610852999999996E-2</v>
      </c>
      <c r="R57" s="3">
        <v>1.2673855000000001E-2</v>
      </c>
      <c r="S57" s="3">
        <v>-6.3823642999999999E-2</v>
      </c>
      <c r="T57" s="3">
        <v>-3.8133502E-2</v>
      </c>
      <c r="U57" s="3">
        <v>2.9209613999999998E-2</v>
      </c>
      <c r="V57" s="3">
        <v>-1.9230723000000002E-2</v>
      </c>
      <c r="W57" s="3">
        <v>2.0078659999999998E-2</v>
      </c>
      <c r="X57" s="3">
        <v>1.2263059999999999E-2</v>
      </c>
      <c r="Y57" s="3">
        <v>4.1141870000000004E-2</v>
      </c>
      <c r="Z57" s="3">
        <v>-2.5247752999999998E-2</v>
      </c>
      <c r="AA57" s="3">
        <v>1.8796562999999999E-2</v>
      </c>
      <c r="AB57" s="3">
        <v>2.6752829999999998E-2</v>
      </c>
      <c r="AC57" s="3">
        <v>1.4023185000000001E-2</v>
      </c>
      <c r="AD57" s="3">
        <v>1.0890126E-2</v>
      </c>
      <c r="AE57" s="3">
        <v>1.9414067E-2</v>
      </c>
      <c r="AF57" s="3">
        <v>4.1561126999999998E-3</v>
      </c>
      <c r="AG57" s="3">
        <v>2.4362802999999999E-2</v>
      </c>
      <c r="AH57" s="3">
        <v>2.6510239000000001E-2</v>
      </c>
      <c r="AI57" s="3">
        <v>1.2133121E-2</v>
      </c>
      <c r="AJ57" s="3"/>
      <c r="AK57" s="3"/>
      <c r="AL57" s="3"/>
    </row>
    <row r="58" spans="1:38" x14ac:dyDescent="0.45">
      <c r="A58" s="2">
        <v>45943</v>
      </c>
      <c r="B58" s="3">
        <v>1.0119080000000001E-2</v>
      </c>
      <c r="C58" s="3">
        <v>-3.3112645000000003E-2</v>
      </c>
      <c r="D58" s="3">
        <v>-1.4582157E-2</v>
      </c>
      <c r="E58" s="3">
        <v>-1.9379854000000002E-2</v>
      </c>
      <c r="F58" s="3">
        <v>4.0272474000000004E-3</v>
      </c>
      <c r="G58" s="3">
        <v>9.7666500000000003E-2</v>
      </c>
      <c r="H58" s="3">
        <v>9.422897999999999E-3</v>
      </c>
      <c r="I58" s="3">
        <v>2.7534603999999997E-2</v>
      </c>
      <c r="J58" s="3">
        <v>-9.8306537000000006E-3</v>
      </c>
      <c r="K58" s="3">
        <v>6.3056229999999991E-2</v>
      </c>
      <c r="L58" s="3">
        <v>-2.8305054E-2</v>
      </c>
      <c r="M58" s="3">
        <v>8.9813469999999992E-2</v>
      </c>
      <c r="N58" s="3">
        <v>6.7516564999999997E-3</v>
      </c>
      <c r="O58" s="3">
        <v>-3.3866763E-3</v>
      </c>
      <c r="P58" s="3">
        <v>-1.0164200999999999E-2</v>
      </c>
      <c r="Q58" s="3">
        <v>-1.4585554999999998E-2</v>
      </c>
      <c r="R58" s="3">
        <v>-5.1329135999999996E-3</v>
      </c>
      <c r="S58" s="3">
        <v>2.3861170000000001E-2</v>
      </c>
      <c r="T58" s="3">
        <v>-5.2165985000000002E-4</v>
      </c>
      <c r="U58" s="3">
        <v>9.0150359999999999E-2</v>
      </c>
      <c r="V58" s="3">
        <v>0.10811543</v>
      </c>
      <c r="W58" s="3">
        <v>-2.7599513999999999E-2</v>
      </c>
      <c r="X58" s="3">
        <v>-2.1292209999999999E-2</v>
      </c>
      <c r="Y58" s="3">
        <v>1.9959688E-2</v>
      </c>
      <c r="Z58" s="3">
        <v>1.1377334999999999E-2</v>
      </c>
      <c r="AA58" s="3">
        <v>-1.8202065999999999E-2</v>
      </c>
      <c r="AB58" s="3">
        <v>7.7269080000000002E-3</v>
      </c>
      <c r="AC58" s="3">
        <v>1.1922121E-3</v>
      </c>
      <c r="AD58" s="3">
        <v>2.7347684000000001E-2</v>
      </c>
      <c r="AE58" s="3">
        <v>1.1346459E-2</v>
      </c>
      <c r="AF58" s="3">
        <v>-3.2191872999999998E-3</v>
      </c>
      <c r="AG58" s="3">
        <v>5.6531310000000001E-2</v>
      </c>
      <c r="AH58" s="3">
        <v>1.6934872000000001E-3</v>
      </c>
      <c r="AI58" s="3">
        <v>-2.3588597999999999E-2</v>
      </c>
      <c r="AJ58" s="3"/>
      <c r="AK58" s="3"/>
      <c r="AL58" s="3"/>
    </row>
    <row r="59" spans="1:38" x14ac:dyDescent="0.45">
      <c r="A59" s="2">
        <v>45974</v>
      </c>
      <c r="B59" s="3">
        <v>2.0624638000000001E-2</v>
      </c>
      <c r="C59" s="3">
        <v>0.14290165999999999</v>
      </c>
      <c r="D59" s="3">
        <v>4.0409803000000001E-2</v>
      </c>
      <c r="E59" s="3">
        <v>-6.3636302999999991E-2</v>
      </c>
      <c r="F59" s="3">
        <v>5.3070069999999997E-2</v>
      </c>
      <c r="G59" s="3">
        <v>-1.4035641999999999E-2</v>
      </c>
      <c r="H59" s="3">
        <v>3.0727386000000002E-2</v>
      </c>
      <c r="I59" s="3">
        <v>-8.8289379999999997E-3</v>
      </c>
      <c r="J59" s="3">
        <v>2.9173613000000001E-2</v>
      </c>
      <c r="K59" s="3">
        <v>0.12497007</v>
      </c>
      <c r="L59" s="3">
        <v>0.13022614000000002</v>
      </c>
      <c r="M59" s="3">
        <v>2.7571560000000002E-2</v>
      </c>
      <c r="N59" s="3">
        <v>-1.4327108999999999E-2</v>
      </c>
      <c r="O59" s="3">
        <v>2.3220657999999998E-2</v>
      </c>
      <c r="P59" s="3">
        <v>1.8325448000000001E-2</v>
      </c>
      <c r="Q59" s="3">
        <v>-2.5963783E-4</v>
      </c>
      <c r="R59" s="3">
        <v>3.5738944999999999E-4</v>
      </c>
      <c r="S59" s="3">
        <v>-7.8693029999999994E-3</v>
      </c>
      <c r="T59" s="3">
        <v>1.565814E-3</v>
      </c>
      <c r="U59" s="3">
        <v>-0.11077082000000001</v>
      </c>
      <c r="V59" s="3">
        <v>-4.8169079999999996E-2</v>
      </c>
      <c r="W59" s="3">
        <v>-1.1146306999999999E-2</v>
      </c>
      <c r="X59" s="3">
        <v>-2.7006744999999999E-2</v>
      </c>
      <c r="Y59" s="3">
        <v>9.8836419999999989E-4</v>
      </c>
      <c r="Z59" s="3">
        <v>-1.2685477999999998E-2</v>
      </c>
      <c r="AA59" s="3">
        <v>4.6916366000000001E-2</v>
      </c>
      <c r="AB59" s="3">
        <v>3.1561970000000002E-2</v>
      </c>
      <c r="AC59" s="3">
        <v>2.5005936999999999E-2</v>
      </c>
      <c r="AD59" s="3">
        <v>1.0614513999999999E-2</v>
      </c>
      <c r="AE59" s="3">
        <v>1.3573885000000001E-2</v>
      </c>
      <c r="AF59" s="3">
        <v>3.8985013999999998E-2</v>
      </c>
      <c r="AG59" s="3">
        <v>1.4891744E-2</v>
      </c>
      <c r="AH59" s="3">
        <v>2.0076035999999998E-2</v>
      </c>
      <c r="AI59" s="3">
        <v>6.8910837000000003E-2</v>
      </c>
      <c r="AJ59" s="3"/>
      <c r="AK59" s="3"/>
      <c r="AL59" s="3"/>
    </row>
    <row r="60" spans="1:38" x14ac:dyDescent="0.45">
      <c r="A60" s="2">
        <v>46003</v>
      </c>
      <c r="B60" s="3">
        <v>-1.616621E-2</v>
      </c>
      <c r="C60" s="3">
        <v>8.3628420000000009E-2</v>
      </c>
      <c r="D60" s="3">
        <v>2.625823E-2</v>
      </c>
      <c r="E60" s="3">
        <v>5.1076410000000003E-2</v>
      </c>
      <c r="F60" s="3">
        <v>3.1350731999999999E-2</v>
      </c>
      <c r="G60" s="3">
        <v>0.10844528000000001</v>
      </c>
      <c r="H60" s="3">
        <v>1.8113136000000002E-2</v>
      </c>
      <c r="I60" s="3">
        <v>1.718998E-3</v>
      </c>
      <c r="J60" s="3">
        <v>4.9124480000000005E-2</v>
      </c>
      <c r="K60" s="3">
        <v>-1.4882565E-2</v>
      </c>
      <c r="L60" s="3">
        <v>1.0309338999999999E-2</v>
      </c>
      <c r="M60" s="3">
        <v>1.179409E-2</v>
      </c>
      <c r="N60" s="3">
        <v>3.9740205000000001E-2</v>
      </c>
      <c r="O60" s="3">
        <v>-1.9557237999999998E-2</v>
      </c>
      <c r="P60" s="3">
        <v>-4.5609654999999999E-2</v>
      </c>
      <c r="Q60" s="3">
        <v>3.6363602E-3</v>
      </c>
      <c r="R60" s="3">
        <v>-2.5896309999999999E-2</v>
      </c>
      <c r="S60" s="3">
        <v>6.2233090000000005E-2</v>
      </c>
      <c r="T60" s="3">
        <v>8.3376170000000003E-3</v>
      </c>
      <c r="U60" s="3">
        <v>4.0183066999999999E-3</v>
      </c>
      <c r="V60" s="3">
        <v>-3.4340261999999996E-2</v>
      </c>
      <c r="W60" s="3">
        <v>1.7056941999999999E-2</v>
      </c>
      <c r="X60" s="3">
        <v>2.2359252E-2</v>
      </c>
      <c r="Y60" s="3">
        <v>6.4178467000000003E-2</v>
      </c>
      <c r="Z60" s="3">
        <v>2.2545457000000001E-2</v>
      </c>
      <c r="AA60" s="3">
        <v>1.1926292999999999E-2</v>
      </c>
      <c r="AB60" s="3">
        <v>8.9887379999999996E-3</v>
      </c>
      <c r="AC60" s="3">
        <v>5.576134E-3</v>
      </c>
      <c r="AD60" s="3">
        <v>8.57985E-3</v>
      </c>
      <c r="AE60" s="3">
        <v>1.4463425E-2</v>
      </c>
      <c r="AF60" s="3">
        <v>-3.5523771999999999E-3</v>
      </c>
      <c r="AG60" s="3">
        <v>-1.706481E-4</v>
      </c>
      <c r="AH60" s="3">
        <v>2.2995709999999999E-2</v>
      </c>
      <c r="AI60" s="3">
        <v>-5.928099E-3</v>
      </c>
      <c r="AJ60" s="3"/>
      <c r="AK60" s="3"/>
      <c r="AL60" s="3"/>
    </row>
    <row r="61" spans="1:38" x14ac:dyDescent="0.45">
      <c r="A61" s="2">
        <v>46035</v>
      </c>
      <c r="B61" s="3">
        <v>6.1622860000000002E-2</v>
      </c>
      <c r="C61" s="3">
        <v>0.11858378999999999</v>
      </c>
      <c r="D61" s="3">
        <v>2.4226546000000002E-2</v>
      </c>
      <c r="E61" s="3">
        <v>6.2158346000000003E-2</v>
      </c>
      <c r="F61" s="3">
        <v>6.0127734999999995E-2</v>
      </c>
      <c r="G61" s="3">
        <v>0.17348348999999999</v>
      </c>
      <c r="H61" s="3">
        <v>5.6168914E-2</v>
      </c>
      <c r="I61" s="3">
        <v>7.8714610000000004E-2</v>
      </c>
      <c r="J61" s="3">
        <v>3.7895680000000001E-2</v>
      </c>
      <c r="K61" s="3">
        <v>0.18686878000000001</v>
      </c>
      <c r="L61" s="3">
        <v>1.4468312000000001E-2</v>
      </c>
      <c r="M61" s="3">
        <v>0.12352716</v>
      </c>
      <c r="N61" s="3">
        <v>4.7796606999999998E-2</v>
      </c>
      <c r="O61" s="3">
        <v>-1.8817782E-3</v>
      </c>
      <c r="P61" s="3">
        <v>4.5221566999999997E-2</v>
      </c>
      <c r="Q61" s="3">
        <v>3.2553433999999999E-2</v>
      </c>
      <c r="R61" s="3">
        <v>-1.4990747E-2</v>
      </c>
      <c r="S61" s="3">
        <v>9.478903000000001E-2</v>
      </c>
      <c r="T61" s="3">
        <v>3.1184911999999999E-2</v>
      </c>
      <c r="U61" s="3">
        <v>0.1343869</v>
      </c>
      <c r="V61" s="3">
        <v>3.4099697999999998E-2</v>
      </c>
      <c r="W61" s="3">
        <v>8.537531000000001E-3</v>
      </c>
      <c r="X61" s="3">
        <v>1.296246E-2</v>
      </c>
      <c r="Y61" s="3">
        <v>3.1992911999999998E-2</v>
      </c>
      <c r="Z61" s="3">
        <v>3.2953978000000002E-2</v>
      </c>
      <c r="AA61" s="3">
        <v>4.3424845000000004E-2</v>
      </c>
      <c r="AB61" s="3">
        <v>3.0837773999999998E-2</v>
      </c>
      <c r="AC61" s="3">
        <v>5.9444785E-2</v>
      </c>
      <c r="AD61" s="3">
        <v>2.1875262000000003E-2</v>
      </c>
      <c r="AE61" s="3">
        <v>2.0596622999999998E-2</v>
      </c>
      <c r="AF61" s="3">
        <v>2.9261469999999998E-2</v>
      </c>
      <c r="AG61" s="3">
        <v>7.6933383999999994E-2</v>
      </c>
      <c r="AH61" s="3">
        <v>3.9529920000000003E-2</v>
      </c>
      <c r="AI61" s="3">
        <v>3.4816503999999998E-2</v>
      </c>
      <c r="AJ61" s="3"/>
      <c r="AK61" s="3"/>
      <c r="AL61" s="3"/>
    </row>
    <row r="62" spans="1:38" x14ac:dyDescent="0.45">
      <c r="A62" s="2">
        <v>46066</v>
      </c>
      <c r="B62" s="3">
        <v>-6.2264799999999995E-3</v>
      </c>
      <c r="C62" s="3">
        <v>-1.1953056E-2</v>
      </c>
      <c r="D62" s="3">
        <v>-6.6211279999999997E-2</v>
      </c>
      <c r="E62" s="3">
        <v>2.7820109999999999E-2</v>
      </c>
      <c r="F62" s="3">
        <v>4.3779373000000003E-2</v>
      </c>
      <c r="G62" s="3">
        <v>7.0132135999999998E-2</v>
      </c>
      <c r="H62" s="3">
        <v>5.9536575999999994E-2</v>
      </c>
      <c r="I62" s="3">
        <v>0.10514379</v>
      </c>
      <c r="J62" s="3">
        <v>0.125885725</v>
      </c>
      <c r="K62" s="3">
        <v>0.24576902</v>
      </c>
      <c r="L62" s="3">
        <v>0.16641128999999999</v>
      </c>
      <c r="M62" s="3">
        <v>3.0510426E-2</v>
      </c>
      <c r="N62" s="3">
        <v>4.2029022999999999E-2</v>
      </c>
      <c r="O62" s="3">
        <v>-2.8280615999999995E-3</v>
      </c>
      <c r="P62" s="3">
        <v>-4.9905596000000003E-2</v>
      </c>
      <c r="Q62" s="3">
        <v>1.9619584000000002E-2</v>
      </c>
      <c r="R62" s="3">
        <v>0.15794538999999999</v>
      </c>
      <c r="S62" s="3">
        <v>0.11900353000000001</v>
      </c>
      <c r="T62" s="3">
        <v>0.11032391000000001</v>
      </c>
      <c r="U62" s="3">
        <v>-4.5959589999999995E-2</v>
      </c>
      <c r="V62" s="3">
        <v>2.4862647000000002E-2</v>
      </c>
      <c r="W62" s="3">
        <v>2.7506590000000001E-2</v>
      </c>
      <c r="X62" s="3">
        <v>0.10412717000000001</v>
      </c>
      <c r="Y62" s="3">
        <v>1.9049286999999998E-2</v>
      </c>
      <c r="Z62" s="3">
        <v>9.1806649999999993E-3</v>
      </c>
      <c r="AA62" s="3">
        <v>0.11130846</v>
      </c>
      <c r="AB62" s="3">
        <v>6.0162899999999998E-2</v>
      </c>
      <c r="AC62" s="3">
        <v>5.0466895000000005E-2</v>
      </c>
      <c r="AD62" s="3">
        <v>-3.883499E-2</v>
      </c>
      <c r="AE62" s="3">
        <v>-1.732564E-2</v>
      </c>
      <c r="AF62" s="3">
        <v>1.6101002999999999E-2</v>
      </c>
      <c r="AG62" s="3">
        <v>1.4313936000000001E-2</v>
      </c>
      <c r="AH62" s="3">
        <v>5.4635166999999998E-2</v>
      </c>
      <c r="AI62" s="3">
        <v>1.3318776999999999E-2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-6.2264799999999995E-3</v>
      </c>
      <c r="C67" s="3">
        <f t="shared" ref="C67:AI67" si="2">C62</f>
        <v>-1.1953056E-2</v>
      </c>
      <c r="D67" s="3">
        <f t="shared" si="2"/>
        <v>-6.6211279999999997E-2</v>
      </c>
      <c r="E67" s="3">
        <f t="shared" si="2"/>
        <v>2.7820109999999999E-2</v>
      </c>
      <c r="F67" s="3">
        <f t="shared" si="2"/>
        <v>4.3779373000000003E-2</v>
      </c>
      <c r="G67" s="3">
        <f t="shared" si="2"/>
        <v>7.0132135999999998E-2</v>
      </c>
      <c r="H67" s="3">
        <f t="shared" si="2"/>
        <v>5.9536575999999994E-2</v>
      </c>
      <c r="I67" s="3">
        <f t="shared" si="2"/>
        <v>0.10514379</v>
      </c>
      <c r="J67" s="3">
        <f t="shared" si="2"/>
        <v>0.125885725</v>
      </c>
      <c r="K67" s="3">
        <f t="shared" si="2"/>
        <v>0.24576902</v>
      </c>
      <c r="L67" s="3">
        <f t="shared" si="2"/>
        <v>0.16641128999999999</v>
      </c>
      <c r="M67" s="3">
        <f t="shared" si="2"/>
        <v>3.0510426E-2</v>
      </c>
      <c r="N67" s="3">
        <f t="shared" si="2"/>
        <v>4.2029022999999999E-2</v>
      </c>
      <c r="O67" s="3">
        <f t="shared" si="2"/>
        <v>-2.8280615999999995E-3</v>
      </c>
      <c r="P67" s="3">
        <f t="shared" si="2"/>
        <v>-4.9905596000000003E-2</v>
      </c>
      <c r="Q67" s="3">
        <f t="shared" si="2"/>
        <v>1.9619584000000002E-2</v>
      </c>
      <c r="R67" s="3">
        <f t="shared" si="2"/>
        <v>0.15794538999999999</v>
      </c>
      <c r="S67" s="3">
        <f t="shared" si="2"/>
        <v>0.11900353000000001</v>
      </c>
      <c r="T67" s="3">
        <f t="shared" si="2"/>
        <v>0.11032391000000001</v>
      </c>
      <c r="U67" s="3">
        <f t="shared" si="2"/>
        <v>-4.5959589999999995E-2</v>
      </c>
      <c r="V67" s="3">
        <f t="shared" si="2"/>
        <v>2.4862647000000002E-2</v>
      </c>
      <c r="W67" s="3">
        <f t="shared" si="2"/>
        <v>2.7506590000000001E-2</v>
      </c>
      <c r="X67" s="3">
        <f t="shared" si="2"/>
        <v>0.10412717000000001</v>
      </c>
      <c r="Y67" s="3">
        <f t="shared" si="2"/>
        <v>1.9049286999999998E-2</v>
      </c>
      <c r="Z67" s="3">
        <f t="shared" si="2"/>
        <v>9.1806649999999993E-3</v>
      </c>
      <c r="AA67" s="3">
        <f t="shared" si="2"/>
        <v>0.11130846</v>
      </c>
      <c r="AB67" s="3">
        <f t="shared" si="2"/>
        <v>6.0162899999999998E-2</v>
      </c>
      <c r="AC67" s="3">
        <f t="shared" si="2"/>
        <v>5.0466895000000005E-2</v>
      </c>
      <c r="AD67" s="3">
        <f t="shared" si="2"/>
        <v>-3.883499E-2</v>
      </c>
      <c r="AE67" s="3">
        <f t="shared" si="2"/>
        <v>-1.732564E-2</v>
      </c>
      <c r="AF67" s="3">
        <f t="shared" si="2"/>
        <v>1.6101002999999999E-2</v>
      </c>
      <c r="AG67" s="3">
        <f t="shared" si="2"/>
        <v>1.4313936000000001E-2</v>
      </c>
      <c r="AH67" s="3">
        <f t="shared" si="2"/>
        <v>5.4635166999999998E-2</v>
      </c>
      <c r="AI67" s="3">
        <f t="shared" si="2"/>
        <v>1.3318776999999999E-2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-5.0803580163934616E-4</v>
      </c>
      <c r="C68" s="4">
        <f t="shared" si="3"/>
        <v>1.1604982090163933E-2</v>
      </c>
      <c r="D68" s="4">
        <f t="shared" si="3"/>
        <v>-1.5582197524590155E-3</v>
      </c>
      <c r="E68" s="4">
        <f t="shared" si="3"/>
        <v>-2.9364804098360868E-4</v>
      </c>
      <c r="F68" s="4">
        <f t="shared" si="3"/>
        <v>1.7776566086885246E-2</v>
      </c>
      <c r="G68" s="4">
        <f t="shared" si="3"/>
        <v>2.09391557704918E-2</v>
      </c>
      <c r="H68" s="4">
        <f t="shared" si="3"/>
        <v>4.7316482809836077E-3</v>
      </c>
      <c r="I68" s="4">
        <f t="shared" si="3"/>
        <v>1.2147665233770493E-2</v>
      </c>
      <c r="J68" s="4">
        <f t="shared" si="3"/>
        <v>1.4690449119016393E-2</v>
      </c>
      <c r="K68" s="4">
        <f t="shared" si="3"/>
        <v>1.0366874914426233E-2</v>
      </c>
      <c r="L68" s="4">
        <f t="shared" si="3"/>
        <v>9.5594030721311476E-3</v>
      </c>
      <c r="M68" s="4">
        <f t="shared" si="3"/>
        <v>1.5054127644262295E-2</v>
      </c>
      <c r="N68" s="4">
        <f t="shared" si="3"/>
        <v>2.2107869373770492E-2</v>
      </c>
      <c r="O68" s="4">
        <f t="shared" si="3"/>
        <v>6.1514190334426219E-3</v>
      </c>
      <c r="P68" s="4">
        <f t="shared" si="3"/>
        <v>-4.2235324754098244E-4</v>
      </c>
      <c r="Q68" s="4">
        <f t="shared" si="3"/>
        <v>5.0820812566721319E-3</v>
      </c>
      <c r="R68" s="4">
        <f t="shared" si="3"/>
        <v>-2.5340690213114823E-4</v>
      </c>
      <c r="S68" s="4">
        <f t="shared" si="3"/>
        <v>1.3301325422950818E-2</v>
      </c>
      <c r="T68" s="4">
        <f t="shared" si="3"/>
        <v>1.3272318733606557E-2</v>
      </c>
      <c r="U68" s="4">
        <f t="shared" si="3"/>
        <v>3.7712157331147517E-3</v>
      </c>
      <c r="V68" s="4">
        <f t="shared" si="3"/>
        <v>6.5737727688524577E-3</v>
      </c>
      <c r="W68" s="4">
        <f t="shared" si="3"/>
        <v>-3.0220159831147518E-3</v>
      </c>
      <c r="X68" s="4">
        <f t="shared" si="3"/>
        <v>7.6741371852459004E-3</v>
      </c>
      <c r="Y68" s="4">
        <f t="shared" si="3"/>
        <v>1.2083863698360654E-2</v>
      </c>
      <c r="Z68" s="4">
        <f t="shared" si="3"/>
        <v>8.8886638262295082E-3</v>
      </c>
      <c r="AA68" s="4">
        <f t="shared" si="3"/>
        <v>8.1525721347540971E-3</v>
      </c>
      <c r="AB68" s="4">
        <f t="shared" si="3"/>
        <v>8.6009085098360648E-3</v>
      </c>
      <c r="AC68" s="4">
        <f t="shared" si="3"/>
        <v>1.1347898809836067E-2</v>
      </c>
      <c r="AD68" s="4">
        <f t="shared" si="3"/>
        <v>1.3026971229508195E-2</v>
      </c>
      <c r="AE68" s="4">
        <f t="shared" si="3"/>
        <v>1.1791857180327867E-2</v>
      </c>
      <c r="AF68" s="4">
        <f t="shared" si="3"/>
        <v>9.3352979459016393E-3</v>
      </c>
      <c r="AG68" s="4">
        <f t="shared" si="3"/>
        <v>1.0374711014754101E-2</v>
      </c>
      <c r="AH68" s="4">
        <f t="shared" si="3"/>
        <v>9.2157592754098412E-3</v>
      </c>
      <c r="AI68" s="4">
        <f t="shared" si="3"/>
        <v>1.5104423854098359E-2</v>
      </c>
    </row>
    <row r="69" spans="1:38" x14ac:dyDescent="0.45">
      <c r="A69" t="s">
        <v>21</v>
      </c>
      <c r="B69" s="4">
        <f t="shared" ref="B69:AI69" si="4">STDEV(B40:B62)</f>
        <v>6.9298318768467607E-2</v>
      </c>
      <c r="C69" s="4">
        <f t="shared" si="4"/>
        <v>6.674831330268767E-2</v>
      </c>
      <c r="D69" s="4">
        <f t="shared" si="4"/>
        <v>5.4899930380547697E-2</v>
      </c>
      <c r="E69" s="4">
        <f t="shared" si="4"/>
        <v>5.1893396066454621E-2</v>
      </c>
      <c r="F69" s="4">
        <f t="shared" si="4"/>
        <v>7.2071709448624108E-2</v>
      </c>
      <c r="G69" s="4">
        <f t="shared" si="4"/>
        <v>5.7073516164745638E-2</v>
      </c>
      <c r="H69" s="4">
        <f t="shared" si="4"/>
        <v>4.0363805948795885E-2</v>
      </c>
      <c r="I69" s="4">
        <f t="shared" si="4"/>
        <v>5.8484486302137102E-2</v>
      </c>
      <c r="J69" s="4">
        <f t="shared" si="4"/>
        <v>7.6443963809596754E-2</v>
      </c>
      <c r="K69" s="4">
        <f t="shared" si="4"/>
        <v>8.423072061761136E-2</v>
      </c>
      <c r="L69" s="4">
        <f t="shared" si="4"/>
        <v>7.223059824008049E-2</v>
      </c>
      <c r="M69" s="4">
        <f t="shared" si="4"/>
        <v>6.4675942877250772E-2</v>
      </c>
      <c r="N69" s="4">
        <f t="shared" si="4"/>
        <v>5.0891896049432284E-2</v>
      </c>
      <c r="O69" s="4">
        <f t="shared" si="4"/>
        <v>3.8047367858086142E-2</v>
      </c>
      <c r="P69" s="4">
        <f t="shared" si="4"/>
        <v>9.6073104946805876E-2</v>
      </c>
      <c r="Q69" s="4">
        <f t="shared" si="4"/>
        <v>3.6351012081291122E-2</v>
      </c>
      <c r="R69" s="4">
        <f t="shared" si="4"/>
        <v>6.2714786590827895E-2</v>
      </c>
      <c r="S69" s="4">
        <f t="shared" si="4"/>
        <v>7.2472470347707416E-2</v>
      </c>
      <c r="T69" s="4">
        <f t="shared" si="4"/>
        <v>4.8250627638152084E-2</v>
      </c>
      <c r="U69" s="4">
        <f t="shared" si="4"/>
        <v>7.2880940886389092E-2</v>
      </c>
      <c r="V69" s="4">
        <f t="shared" si="4"/>
        <v>4.194764955291648E-2</v>
      </c>
      <c r="W69" s="4">
        <f t="shared" si="4"/>
        <v>3.2816045904527073E-2</v>
      </c>
      <c r="X69" s="4">
        <f t="shared" si="4"/>
        <v>4.9472845276082519E-2</v>
      </c>
      <c r="Y69" s="4">
        <f t="shared" si="4"/>
        <v>3.8426800156750103E-2</v>
      </c>
      <c r="Z69" s="4">
        <f t="shared" si="4"/>
        <v>5.0450535512669585E-2</v>
      </c>
      <c r="AA69" s="4">
        <f t="shared" si="4"/>
        <v>4.7167390714874996E-2</v>
      </c>
      <c r="AB69" s="4">
        <f t="shared" si="4"/>
        <v>3.9716102073937748E-2</v>
      </c>
      <c r="AC69" s="4">
        <f t="shared" si="4"/>
        <v>3.8529006061645922E-2</v>
      </c>
      <c r="AD69" s="4">
        <f t="shared" si="4"/>
        <v>5.2349573350375517E-2</v>
      </c>
      <c r="AE69" s="4">
        <f t="shared" si="4"/>
        <v>3.8306764948402856E-2</v>
      </c>
      <c r="AF69" s="4">
        <f t="shared" si="4"/>
        <v>4.3924219527620371E-2</v>
      </c>
      <c r="AG69" s="4">
        <f t="shared" si="4"/>
        <v>5.3396877726075646E-2</v>
      </c>
      <c r="AH69" s="4">
        <f t="shared" si="4"/>
        <v>5.7900498873911292E-2</v>
      </c>
      <c r="AI69" s="4">
        <f t="shared" si="4"/>
        <v>4.93581778652065E-2</v>
      </c>
    </row>
    <row r="70" spans="1:38" x14ac:dyDescent="0.45">
      <c r="A70" t="s">
        <v>36</v>
      </c>
      <c r="B70" s="3">
        <f>B69*2</f>
        <v>0.13859663753693521</v>
      </c>
      <c r="C70" s="3">
        <f t="shared" ref="C70:AI70" si="5">C69*2</f>
        <v>0.13349662660537534</v>
      </c>
      <c r="D70" s="3">
        <f t="shared" si="5"/>
        <v>0.10979986076109539</v>
      </c>
      <c r="E70" s="3">
        <f t="shared" si="5"/>
        <v>0.10378679213290924</v>
      </c>
      <c r="F70" s="3">
        <f t="shared" si="5"/>
        <v>0.14414341889724822</v>
      </c>
      <c r="G70" s="3">
        <f t="shared" si="5"/>
        <v>0.11414703232949128</v>
      </c>
      <c r="H70" s="3">
        <f t="shared" si="5"/>
        <v>8.0727611897591769E-2</v>
      </c>
      <c r="I70" s="3">
        <f t="shared" si="5"/>
        <v>0.1169689726042742</v>
      </c>
      <c r="J70" s="3">
        <f t="shared" si="5"/>
        <v>0.15288792761919351</v>
      </c>
      <c r="K70" s="3">
        <f t="shared" si="5"/>
        <v>0.16846144123522272</v>
      </c>
      <c r="L70" s="3">
        <f t="shared" si="5"/>
        <v>0.14446119648016098</v>
      </c>
      <c r="M70" s="3">
        <f t="shared" si="5"/>
        <v>0.12935188575450154</v>
      </c>
      <c r="N70" s="3">
        <f t="shared" si="5"/>
        <v>0.10178379209886457</v>
      </c>
      <c r="O70" s="3">
        <f t="shared" si="5"/>
        <v>7.6094735716172285E-2</v>
      </c>
      <c r="P70" s="3">
        <f t="shared" si="5"/>
        <v>0.19214620989361175</v>
      </c>
      <c r="Q70" s="3">
        <f t="shared" si="5"/>
        <v>7.2702024162582243E-2</v>
      </c>
      <c r="R70" s="3">
        <f t="shared" si="5"/>
        <v>0.12542957318165579</v>
      </c>
      <c r="S70" s="3">
        <f t="shared" si="5"/>
        <v>0.14494494069541483</v>
      </c>
      <c r="T70" s="3">
        <f t="shared" si="5"/>
        <v>9.6501255276304168E-2</v>
      </c>
      <c r="U70" s="3">
        <f t="shared" si="5"/>
        <v>0.14576188177277818</v>
      </c>
      <c r="V70" s="3">
        <f t="shared" si="5"/>
        <v>8.389529910583296E-2</v>
      </c>
      <c r="W70" s="3">
        <f t="shared" si="5"/>
        <v>6.5632091809054147E-2</v>
      </c>
      <c r="X70" s="3">
        <f t="shared" si="5"/>
        <v>9.8945690552165039E-2</v>
      </c>
      <c r="Y70" s="3">
        <f t="shared" si="5"/>
        <v>7.6853600313500206E-2</v>
      </c>
      <c r="Z70" s="3">
        <f t="shared" si="5"/>
        <v>0.10090107102533917</v>
      </c>
      <c r="AA70" s="3">
        <f t="shared" si="5"/>
        <v>9.4334781429749992E-2</v>
      </c>
      <c r="AB70" s="3">
        <f t="shared" si="5"/>
        <v>7.9432204147875496E-2</v>
      </c>
      <c r="AC70" s="3">
        <f t="shared" si="5"/>
        <v>7.7058012123291844E-2</v>
      </c>
      <c r="AD70" s="3">
        <f t="shared" si="5"/>
        <v>0.10469914670075103</v>
      </c>
      <c r="AE70" s="3">
        <f t="shared" si="5"/>
        <v>7.6613529896805713E-2</v>
      </c>
      <c r="AF70" s="3">
        <f t="shared" si="5"/>
        <v>8.7848439055240743E-2</v>
      </c>
      <c r="AG70" s="3">
        <f t="shared" si="5"/>
        <v>0.10679375545215129</v>
      </c>
      <c r="AH70" s="3">
        <f t="shared" si="5"/>
        <v>0.11580099774782258</v>
      </c>
      <c r="AI70" s="3">
        <f t="shared" si="5"/>
        <v>9.8716355730413E-2</v>
      </c>
    </row>
    <row r="71" spans="1:38" x14ac:dyDescent="0.45">
      <c r="A71" t="s">
        <v>79</v>
      </c>
      <c r="B71">
        <f>PRICE_DATA!B2</f>
        <v>35.368400000000001</v>
      </c>
      <c r="C71">
        <f>PRICE_DATA!C2</f>
        <v>43.81</v>
      </c>
      <c r="D71">
        <f>PRICE_DATA!D2</f>
        <v>17.77</v>
      </c>
      <c r="E71">
        <f>PRICE_DATA!E2</f>
        <v>26.97</v>
      </c>
      <c r="F71">
        <f>PRICE_DATA!F2</f>
        <v>37.67</v>
      </c>
      <c r="G71">
        <f>PRICE_DATA!G2</f>
        <v>86.67</v>
      </c>
      <c r="H71">
        <f>PRICE_DATA!H2</f>
        <v>29.72</v>
      </c>
      <c r="I71">
        <f>PRICE_DATA!I2</f>
        <v>73.05</v>
      </c>
      <c r="J71">
        <f>PRICE_DATA!J2</f>
        <v>81.03</v>
      </c>
      <c r="K71">
        <f>PRICE_DATA!K2</f>
        <v>133.97</v>
      </c>
      <c r="L71">
        <f>PRICE_DATA!L2</f>
        <v>38.06</v>
      </c>
      <c r="M71">
        <f>PRICE_DATA!M2</f>
        <v>75.319999999999993</v>
      </c>
      <c r="N71">
        <f>PRICE_DATA!N2</f>
        <v>71.900000000000006</v>
      </c>
      <c r="O71">
        <f>PRICE_DATA!O2</f>
        <v>52.89</v>
      </c>
      <c r="P71">
        <f>PRICE_DATA!P2</f>
        <v>60.35</v>
      </c>
      <c r="Q71">
        <f>PRICE_DATA!Q2</f>
        <v>20.096699999999998</v>
      </c>
      <c r="R71">
        <f>PRICE_DATA!R2</f>
        <v>1430.41</v>
      </c>
      <c r="S71">
        <f>PRICE_DATA!S2</f>
        <v>42.22</v>
      </c>
      <c r="T71">
        <f>PRICE_DATA!T2</f>
        <v>21.94</v>
      </c>
      <c r="U71">
        <f>PRICE_DATA!U2</f>
        <v>18.89</v>
      </c>
      <c r="V71">
        <f>PRICE_DATA!V2</f>
        <v>39.159999999999997</v>
      </c>
      <c r="W71">
        <f>PRICE_DATA!W2</f>
        <v>46.772100000000002</v>
      </c>
      <c r="X71">
        <f>PRICE_DATA!X2</f>
        <v>29.16</v>
      </c>
      <c r="Y71">
        <f>PRICE_DATA!Y2</f>
        <v>56.17</v>
      </c>
      <c r="Z71">
        <f>PRICE_DATA!Z2</f>
        <v>43.97</v>
      </c>
      <c r="AA71">
        <f>PRICE_DATA!AA2</f>
        <v>93.85</v>
      </c>
      <c r="AB71">
        <f>PRICE_DATA!AB2</f>
        <v>63.79</v>
      </c>
      <c r="AC71">
        <f>PRICE_DATA!AC2</f>
        <v>47.25</v>
      </c>
      <c r="AD71">
        <f>PRICE_DATA!AD2</f>
        <v>601.91999999999996</v>
      </c>
      <c r="AE71">
        <f>PRICE_DATA!AE2</f>
        <v>681.75</v>
      </c>
      <c r="AF71">
        <f>PRICE_DATA!AF2</f>
        <v>46.7</v>
      </c>
      <c r="AG71">
        <f>PRICE_DATA!AG2</f>
        <v>61.65</v>
      </c>
      <c r="AH71">
        <f>PRICE_DATA!AH2</f>
        <v>53.47</v>
      </c>
      <c r="AI71">
        <f>PRICE_DATA!AI2</f>
        <v>55.54</v>
      </c>
    </row>
    <row r="72" spans="1:38" x14ac:dyDescent="0.45">
      <c r="A72" t="s">
        <v>80</v>
      </c>
      <c r="B72" s="7">
        <f>PRICE_DATA!B204</f>
        <v>32.179581094527357</v>
      </c>
      <c r="C72" s="7">
        <f>PRICE_DATA!C204</f>
        <v>35.180373134328356</v>
      </c>
      <c r="D72" s="7">
        <f>PRICE_DATA!D204</f>
        <v>18.12587064676616</v>
      </c>
      <c r="E72" s="7">
        <f>PRICE_DATA!E204</f>
        <v>26.046354228855726</v>
      </c>
      <c r="F72" s="7">
        <f>PRICE_DATA!F204</f>
        <v>33.147910447761191</v>
      </c>
      <c r="G72" s="7">
        <f>PRICE_DATA!G204</f>
        <v>60.054856716417966</v>
      </c>
      <c r="H72" s="7">
        <f>PRICE_DATA!H204</f>
        <v>25.775920398009944</v>
      </c>
      <c r="I72" s="7">
        <f>PRICE_DATA!I204</f>
        <v>61.395323383084552</v>
      </c>
      <c r="J72" s="7">
        <f>PRICE_DATA!J204</f>
        <v>65.393681592039783</v>
      </c>
      <c r="K72" s="7">
        <f>PRICE_DATA!K204</f>
        <v>83.722935323383055</v>
      </c>
      <c r="L72" s="7">
        <f>PRICE_DATA!L204</f>
        <v>30.436218905472639</v>
      </c>
      <c r="M72" s="7">
        <f>PRICE_DATA!M204</f>
        <v>61.515422885572129</v>
      </c>
      <c r="N72" s="7">
        <f>PRICE_DATA!N204</f>
        <v>63.194512935323381</v>
      </c>
      <c r="O72" s="7">
        <f>PRICE_DATA!O204</f>
        <v>53.691965174129365</v>
      </c>
      <c r="P72" s="7">
        <f>PRICE_DATA!P204</f>
        <v>60.026343283582165</v>
      </c>
      <c r="Q72" s="7">
        <f>PRICE_DATA!Q204</f>
        <v>19.249153731343288</v>
      </c>
      <c r="R72" s="7">
        <f>PRICE_DATA!R204</f>
        <v>1240.7916915422879</v>
      </c>
      <c r="S72" s="7">
        <f>PRICE_DATA!S204</f>
        <v>34.134700497512412</v>
      </c>
      <c r="T72" s="7">
        <f>PRICE_DATA!T204</f>
        <v>19.333913432835828</v>
      </c>
      <c r="U72" s="7">
        <f>PRICE_DATA!U204</f>
        <v>16.786492537313439</v>
      </c>
      <c r="V72" s="7">
        <f>PRICE_DATA!V204</f>
        <v>38.493383084577125</v>
      </c>
      <c r="W72" s="7">
        <f>PRICE_DATA!W204</f>
        <v>45.669089552238773</v>
      </c>
      <c r="X72" s="7">
        <f>PRICE_DATA!X204</f>
        <v>26.523930348258705</v>
      </c>
      <c r="Y72" s="7">
        <f>PRICE_DATA!Y204</f>
        <v>49.476965174129347</v>
      </c>
      <c r="Z72" s="7">
        <f>PRICE_DATA!Z204</f>
        <v>41.834726368159231</v>
      </c>
      <c r="AA72" s="7">
        <f>PRICE_DATA!AA204</f>
        <v>79.294776119402997</v>
      </c>
      <c r="AB72" s="7">
        <f>PRICE_DATA!AB204</f>
        <v>56.553432835820921</v>
      </c>
      <c r="AC72" s="7">
        <f>PRICE_DATA!AC204</f>
        <v>41.920049751243774</v>
      </c>
      <c r="AD72" s="7">
        <f>PRICE_DATA!AD204</f>
        <v>580.72865671641785</v>
      </c>
      <c r="AE72" s="7">
        <f>PRICE_DATA!AE204</f>
        <v>648.18532338308455</v>
      </c>
      <c r="AF72" s="7">
        <f>PRICE_DATA!AF204</f>
        <v>43.780199004975152</v>
      </c>
      <c r="AG72" s="7">
        <f>PRICE_DATA!AG204</f>
        <v>56.076871144278662</v>
      </c>
      <c r="AH72" s="7">
        <f>PRICE_DATA!AH204</f>
        <v>47.39009950248758</v>
      </c>
      <c r="AI72" s="7">
        <f>PRICE_DATA!AI204</f>
        <v>51.008457711442773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1</v>
      </c>
      <c r="L73">
        <f t="shared" si="6"/>
        <v>1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1</v>
      </c>
      <c r="S73">
        <f t="shared" si="6"/>
        <v>0</v>
      </c>
      <c r="T73">
        <f t="shared" si="6"/>
        <v>1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1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46066</v>
      </c>
      <c r="B2" cm="1">
        <f t="array" ref="B2:B202">_xll.FDS(B1,"FG_PRICE(0,-200D)")</f>
        <v>35.368400000000001</v>
      </c>
      <c r="C2" cm="1">
        <f t="array" ref="C2:C202">_xll.FDS(C1,"FG_PRICE(0,-200D)")</f>
        <v>43.81</v>
      </c>
      <c r="D2" cm="1">
        <f t="array" ref="D2:D202">_xll.FDS(D1,"FG_PRICE(0,-200D)")</f>
        <v>17.77</v>
      </c>
      <c r="E2" cm="1">
        <f t="array" ref="E2:E202">_xll.FDS(E1,"FG_PRICE(0,-200D)")</f>
        <v>26.97</v>
      </c>
      <c r="F2" cm="1">
        <f t="array" ref="F2:F202">_xll.FDS(F1,"FG_PRICE(0,-200D)")</f>
        <v>37.67</v>
      </c>
      <c r="G2" cm="1">
        <f t="array" ref="G2:G202">_xll.FDS(G1,"FG_PRICE(0,-200D)")</f>
        <v>86.67</v>
      </c>
      <c r="H2" cm="1">
        <f t="array" ref="H2:H202">_xll.FDS(H1,"FG_PRICE(0,-200D)")</f>
        <v>29.72</v>
      </c>
      <c r="I2" cm="1">
        <f t="array" ref="I2:I202">_xll.FDS(I1,"FG_PRICE(0,-200D)")</f>
        <v>73.05</v>
      </c>
      <c r="J2" cm="1">
        <f t="array" ref="J2:J202">_xll.FDS(J1,"FG_PRICE(0,-200D)")</f>
        <v>81.03</v>
      </c>
      <c r="K2" cm="1">
        <f t="array" ref="K2:K202">_xll.FDS(K1,"FG_PRICE(0,-200D)")</f>
        <v>133.97</v>
      </c>
      <c r="L2" cm="1">
        <f t="array" ref="L2:L202">_xll.FDS(L1,"FG_PRICE(0,-200D)")</f>
        <v>38.06</v>
      </c>
      <c r="M2" cm="1">
        <f t="array" ref="M2:M202">_xll.FDS(M1,"FG_PRICE(0,-200D)")</f>
        <v>75.319999999999993</v>
      </c>
      <c r="N2" cm="1">
        <f t="array" ref="N2:N202">_xll.FDS(N1,"FG_PRICE(0,-200D)")</f>
        <v>71.900000000000006</v>
      </c>
      <c r="O2" cm="1">
        <f t="array" ref="O2:O202">_xll.FDS(O1,"FG_PRICE(0,-200D)")</f>
        <v>52.89</v>
      </c>
      <c r="P2" cm="1">
        <f t="array" ref="P2:P202">_xll.FDS(P1,"FG_PRICE(0,-200D)")</f>
        <v>60.35</v>
      </c>
      <c r="Q2" cm="1">
        <f t="array" ref="Q2:Q202">_xll.FDS(Q1,"FG_PRICE(0,-200D)")</f>
        <v>20.096699999999998</v>
      </c>
      <c r="R2" cm="1">
        <f t="array" ref="R2:R202">_xll.FDS(R1,"FG_PRICE(0,-200D)")</f>
        <v>1430.41</v>
      </c>
      <c r="S2" cm="1">
        <f t="array" ref="S2:S202">_xll.FDS(S1,"FG_PRICE(0,-200D)")</f>
        <v>42.22</v>
      </c>
      <c r="T2" cm="1">
        <f t="array" ref="T2:T202">_xll.FDS(T1,"FG_PRICE(0,-200D)")</f>
        <v>21.94</v>
      </c>
      <c r="U2" cm="1">
        <f t="array" ref="U2:U202">_xll.FDS(U1,"FG_PRICE(0,-200D)")</f>
        <v>18.89</v>
      </c>
      <c r="V2" cm="1">
        <f t="array" ref="V2:V202">_xll.FDS(V1,"FG_PRICE(0,-200D)")</f>
        <v>39.159999999999997</v>
      </c>
      <c r="W2" cm="1">
        <f t="array" ref="W2:W202">_xll.FDS(W1,"FG_PRICE(0,-200D)")</f>
        <v>46.772100000000002</v>
      </c>
      <c r="X2" cm="1">
        <f t="array" ref="X2:X202">_xll.FDS(X1,"FG_PRICE(0,-200D)")</f>
        <v>29.16</v>
      </c>
      <c r="Y2" cm="1">
        <f t="array" ref="Y2:Y202">_xll.FDS(Y1,"FG_PRICE(0,-200D)")</f>
        <v>56.17</v>
      </c>
      <c r="Z2" cm="1">
        <f t="array" ref="Z2:Z202">_xll.FDS(Z1,"FG_PRICE(0,-200D)")</f>
        <v>43.97</v>
      </c>
      <c r="AA2" cm="1">
        <f t="array" ref="AA2:AA202">_xll.FDS(AA1,"FG_PRICE(0,-200D)")</f>
        <v>93.85</v>
      </c>
      <c r="AB2" cm="1">
        <f t="array" ref="AB2:AB202">_xll.FDS(AB1,"FG_PRICE(0,-200D)")</f>
        <v>63.79</v>
      </c>
      <c r="AC2" cm="1">
        <f t="array" ref="AC2:AC202">_xll.FDS(AC1,"FG_PRICE(0,-200D)")</f>
        <v>47.25</v>
      </c>
      <c r="AD2" cm="1">
        <f t="array" ref="AD2:AD202">_xll.FDS(AD1,"FG_PRICE(0,-200D)")</f>
        <v>601.91999999999996</v>
      </c>
      <c r="AE2" cm="1">
        <f t="array" ref="AE2:AE202">_xll.FDS(AE1,"FG_PRICE(0,-200D)")</f>
        <v>681.75</v>
      </c>
      <c r="AF2" cm="1">
        <f t="array" ref="AF2:AF202">_xll.FDS(AF1,"FG_PRICE(0,-200D)")</f>
        <v>46.7</v>
      </c>
      <c r="AG2" cm="1">
        <f t="array" ref="AG2:AG202">_xll.FDS(AG1,"FG_PRICE(0,-200D)")</f>
        <v>61.65</v>
      </c>
      <c r="AH2" cm="1">
        <f t="array" ref="AH2:AH202">_xll.FDS(AH1,"FG_PRICE(0,-200D)")</f>
        <v>53.47</v>
      </c>
      <c r="AI2" cm="1">
        <f t="array" ref="AI2:AI202">_xll.FDS(AI1,"FG_PRICE(0,-200D)")</f>
        <v>55.54</v>
      </c>
    </row>
    <row r="3" spans="1:35" x14ac:dyDescent="0.45">
      <c r="A3" s="2">
        <v>46065</v>
      </c>
      <c r="B3">
        <v>35.56</v>
      </c>
      <c r="C3">
        <v>44.25</v>
      </c>
      <c r="D3">
        <v>17.89</v>
      </c>
      <c r="E3">
        <v>26.94</v>
      </c>
      <c r="F3">
        <v>37.909999999999997</v>
      </c>
      <c r="G3">
        <v>87.03</v>
      </c>
      <c r="H3">
        <v>29.71</v>
      </c>
      <c r="I3">
        <v>72.56</v>
      </c>
      <c r="J3">
        <v>79.92</v>
      </c>
      <c r="K3">
        <v>130.80000000000001</v>
      </c>
      <c r="L3">
        <v>38.49</v>
      </c>
      <c r="M3">
        <v>74.150000000000006</v>
      </c>
      <c r="N3">
        <v>73.56</v>
      </c>
      <c r="O3">
        <v>53.11</v>
      </c>
      <c r="P3">
        <v>60.58</v>
      </c>
      <c r="Q3">
        <v>20.074999999999999</v>
      </c>
      <c r="R3">
        <v>1441.53</v>
      </c>
      <c r="S3">
        <v>41.91</v>
      </c>
      <c r="T3">
        <v>21.89</v>
      </c>
      <c r="U3">
        <v>18.510000000000002</v>
      </c>
      <c r="V3">
        <v>38.94</v>
      </c>
      <c r="W3">
        <v>47.456800000000001</v>
      </c>
      <c r="X3">
        <v>29.1</v>
      </c>
      <c r="Y3">
        <v>55.26</v>
      </c>
      <c r="Z3">
        <v>43.96</v>
      </c>
      <c r="AA3">
        <v>93.37</v>
      </c>
      <c r="AB3">
        <v>63.46</v>
      </c>
      <c r="AC3">
        <v>47.01</v>
      </c>
      <c r="AD3">
        <v>600.64</v>
      </c>
      <c r="AE3">
        <v>681.27</v>
      </c>
      <c r="AF3">
        <v>46.68</v>
      </c>
      <c r="AG3">
        <v>61.53</v>
      </c>
      <c r="AH3">
        <v>53.42</v>
      </c>
      <c r="AI3">
        <v>56.52</v>
      </c>
    </row>
    <row r="4" spans="1:35" x14ac:dyDescent="0.45">
      <c r="A4" s="2">
        <v>46064</v>
      </c>
      <c r="B4">
        <v>35.76</v>
      </c>
      <c r="C4">
        <v>45.35</v>
      </c>
      <c r="D4">
        <v>18.09</v>
      </c>
      <c r="E4">
        <v>27.25</v>
      </c>
      <c r="F4">
        <v>38.39</v>
      </c>
      <c r="G4">
        <v>90.05</v>
      </c>
      <c r="H4">
        <v>29.98</v>
      </c>
      <c r="I4">
        <v>73.349999999999994</v>
      </c>
      <c r="J4">
        <v>80.7</v>
      </c>
      <c r="K4">
        <v>130.6</v>
      </c>
      <c r="L4">
        <v>39.159999999999997</v>
      </c>
      <c r="M4">
        <v>76.53</v>
      </c>
      <c r="N4">
        <v>73.84</v>
      </c>
      <c r="O4">
        <v>53.53</v>
      </c>
      <c r="P4">
        <v>61.93</v>
      </c>
      <c r="Q4">
        <v>20.125</v>
      </c>
      <c r="R4">
        <v>1411.7</v>
      </c>
      <c r="S4">
        <v>41.21</v>
      </c>
      <c r="T4">
        <v>21.83</v>
      </c>
      <c r="U4">
        <v>18.71</v>
      </c>
      <c r="V4">
        <v>39.19</v>
      </c>
      <c r="W4">
        <v>47.898000000000003</v>
      </c>
      <c r="X4">
        <v>29.3</v>
      </c>
      <c r="Y4">
        <v>56.58</v>
      </c>
      <c r="Z4">
        <v>44.05</v>
      </c>
      <c r="AA4">
        <v>93.97</v>
      </c>
      <c r="AB4">
        <v>63.24</v>
      </c>
      <c r="AC4">
        <v>47.43</v>
      </c>
      <c r="AD4">
        <v>613.11</v>
      </c>
      <c r="AE4">
        <v>691.96</v>
      </c>
      <c r="AF4">
        <v>47.08</v>
      </c>
      <c r="AG4">
        <v>63.06</v>
      </c>
      <c r="AH4">
        <v>54.56</v>
      </c>
      <c r="AI4">
        <v>56.98</v>
      </c>
    </row>
    <row r="5" spans="1:35" x14ac:dyDescent="0.45">
      <c r="A5" s="2">
        <v>46063</v>
      </c>
      <c r="B5">
        <v>35.715000000000003</v>
      </c>
      <c r="C5">
        <v>44.54</v>
      </c>
      <c r="D5">
        <v>17.75</v>
      </c>
      <c r="E5">
        <v>26.93</v>
      </c>
      <c r="F5">
        <v>38.11</v>
      </c>
      <c r="G5">
        <v>89.43</v>
      </c>
      <c r="H5">
        <v>29.69</v>
      </c>
      <c r="I5">
        <v>71.44</v>
      </c>
      <c r="J5">
        <v>80.48</v>
      </c>
      <c r="K5">
        <v>124.45</v>
      </c>
      <c r="L5">
        <v>38.32</v>
      </c>
      <c r="M5">
        <v>75.41</v>
      </c>
      <c r="N5">
        <v>74.540000000000006</v>
      </c>
      <c r="O5">
        <v>53.74</v>
      </c>
      <c r="P5">
        <v>61.99</v>
      </c>
      <c r="Q5">
        <v>20.094999999999999</v>
      </c>
      <c r="R5">
        <v>1410.44</v>
      </c>
      <c r="S5">
        <v>40.97</v>
      </c>
      <c r="T5">
        <v>21.9</v>
      </c>
      <c r="U5">
        <v>18.079999999999998</v>
      </c>
      <c r="V5">
        <v>39.229999999999997</v>
      </c>
      <c r="W5">
        <v>47.994999999999997</v>
      </c>
      <c r="X5">
        <v>28.64</v>
      </c>
      <c r="Y5">
        <v>56.72</v>
      </c>
      <c r="Z5">
        <v>44.22</v>
      </c>
      <c r="AA5">
        <v>93.1</v>
      </c>
      <c r="AB5">
        <v>63.43</v>
      </c>
      <c r="AC5">
        <v>46.74</v>
      </c>
      <c r="AD5">
        <v>611.47</v>
      </c>
      <c r="AE5">
        <v>692.12</v>
      </c>
      <c r="AF5">
        <v>46.83</v>
      </c>
      <c r="AG5">
        <v>63.07</v>
      </c>
      <c r="AH5">
        <v>54.17</v>
      </c>
      <c r="AI5">
        <v>57.32</v>
      </c>
    </row>
    <row r="6" spans="1:35" x14ac:dyDescent="0.45">
      <c r="A6" s="2">
        <v>46062</v>
      </c>
      <c r="B6">
        <v>35.82</v>
      </c>
      <c r="C6">
        <v>46.17</v>
      </c>
      <c r="D6">
        <v>17.600000000000001</v>
      </c>
      <c r="E6">
        <v>26.42</v>
      </c>
      <c r="F6">
        <v>38.76</v>
      </c>
      <c r="G6">
        <v>91.08</v>
      </c>
      <c r="H6">
        <v>29.83</v>
      </c>
      <c r="I6">
        <v>70.760000000000005</v>
      </c>
      <c r="J6">
        <v>80.67</v>
      </c>
      <c r="K6">
        <v>126.05</v>
      </c>
      <c r="L6">
        <v>38.42</v>
      </c>
      <c r="M6">
        <v>75.72</v>
      </c>
      <c r="N6">
        <v>74.77</v>
      </c>
      <c r="O6">
        <v>53.44</v>
      </c>
      <c r="P6">
        <v>61.97</v>
      </c>
      <c r="Q6">
        <v>20.100000000000001</v>
      </c>
      <c r="R6">
        <v>1400.89</v>
      </c>
      <c r="S6">
        <v>41.54</v>
      </c>
      <c r="T6">
        <v>21.89</v>
      </c>
      <c r="U6">
        <v>18.045000000000002</v>
      </c>
      <c r="V6">
        <v>39.46</v>
      </c>
      <c r="W6">
        <v>47.975000000000001</v>
      </c>
      <c r="X6">
        <v>28.83</v>
      </c>
      <c r="Y6">
        <v>56.27</v>
      </c>
      <c r="Z6">
        <v>44.32</v>
      </c>
      <c r="AA6">
        <v>91.29</v>
      </c>
      <c r="AB6">
        <v>63.45</v>
      </c>
      <c r="AC6">
        <v>47.02</v>
      </c>
      <c r="AD6">
        <v>614.32000000000005</v>
      </c>
      <c r="AE6">
        <v>693.95</v>
      </c>
      <c r="AF6">
        <v>46.99</v>
      </c>
      <c r="AG6">
        <v>62.99</v>
      </c>
      <c r="AH6">
        <v>53.38</v>
      </c>
      <c r="AI6">
        <v>57.61</v>
      </c>
    </row>
    <row r="7" spans="1:35" x14ac:dyDescent="0.45">
      <c r="A7" s="2">
        <v>46059</v>
      </c>
      <c r="B7">
        <v>35.409999999999997</v>
      </c>
      <c r="C7">
        <v>45.24</v>
      </c>
      <c r="D7">
        <v>17.600000000000001</v>
      </c>
      <c r="E7">
        <v>26.73</v>
      </c>
      <c r="F7">
        <v>37.92</v>
      </c>
      <c r="G7">
        <v>88.15</v>
      </c>
      <c r="H7">
        <v>29.57</v>
      </c>
      <c r="I7">
        <v>70.05</v>
      </c>
      <c r="J7">
        <v>79.87</v>
      </c>
      <c r="K7">
        <v>124.71</v>
      </c>
      <c r="L7">
        <v>37.56</v>
      </c>
      <c r="M7">
        <v>74.77</v>
      </c>
      <c r="N7">
        <v>75.17</v>
      </c>
      <c r="O7">
        <v>53.28</v>
      </c>
      <c r="P7">
        <v>61.67</v>
      </c>
      <c r="Q7">
        <v>19.940000000000001</v>
      </c>
      <c r="R7">
        <v>1354.01</v>
      </c>
      <c r="S7">
        <v>40.840000000000003</v>
      </c>
      <c r="T7">
        <v>21.73</v>
      </c>
      <c r="U7">
        <v>18.03</v>
      </c>
      <c r="V7">
        <v>39.75</v>
      </c>
      <c r="W7">
        <v>47.6</v>
      </c>
      <c r="X7">
        <v>28.23</v>
      </c>
      <c r="Y7">
        <v>55.01</v>
      </c>
      <c r="Z7">
        <v>43.53</v>
      </c>
      <c r="AA7">
        <v>89.4</v>
      </c>
      <c r="AB7">
        <v>63.09</v>
      </c>
      <c r="AC7">
        <v>46.9</v>
      </c>
      <c r="AD7">
        <v>609.65</v>
      </c>
      <c r="AE7">
        <v>690.62</v>
      </c>
      <c r="AF7">
        <v>46.4</v>
      </c>
      <c r="AG7">
        <v>62.03</v>
      </c>
      <c r="AH7">
        <v>52.93</v>
      </c>
      <c r="AI7">
        <v>56.28</v>
      </c>
    </row>
    <row r="8" spans="1:35" x14ac:dyDescent="0.45">
      <c r="A8" s="2">
        <v>46058</v>
      </c>
      <c r="B8">
        <v>34.840000000000003</v>
      </c>
      <c r="C8">
        <v>45.19</v>
      </c>
      <c r="D8">
        <v>17.510000000000002</v>
      </c>
      <c r="E8">
        <v>26.45</v>
      </c>
      <c r="F8">
        <v>37.369999999999997</v>
      </c>
      <c r="G8">
        <v>85.17</v>
      </c>
      <c r="H8">
        <v>29.18</v>
      </c>
      <c r="I8">
        <v>67.86</v>
      </c>
      <c r="J8">
        <v>76.83</v>
      </c>
      <c r="K8">
        <v>120.21</v>
      </c>
      <c r="L8">
        <v>36.909999999999997</v>
      </c>
      <c r="M8">
        <v>71.599999999999994</v>
      </c>
      <c r="N8">
        <v>74.650000000000006</v>
      </c>
      <c r="O8">
        <v>52.95</v>
      </c>
      <c r="P8">
        <v>60.1</v>
      </c>
      <c r="Q8">
        <v>19.82</v>
      </c>
      <c r="R8">
        <v>1346.23</v>
      </c>
      <c r="S8">
        <v>40.659999999999997</v>
      </c>
      <c r="T8">
        <v>21.39</v>
      </c>
      <c r="U8">
        <v>18.12</v>
      </c>
      <c r="V8">
        <v>39.22</v>
      </c>
      <c r="W8">
        <v>47.11</v>
      </c>
      <c r="X8">
        <v>27.84</v>
      </c>
      <c r="Y8">
        <v>54.14</v>
      </c>
      <c r="Z8">
        <v>42.84</v>
      </c>
      <c r="AA8">
        <v>86.1</v>
      </c>
      <c r="AB8">
        <v>62.24</v>
      </c>
      <c r="AC8">
        <v>45.94</v>
      </c>
      <c r="AD8">
        <v>597.03</v>
      </c>
      <c r="AE8">
        <v>677.62</v>
      </c>
      <c r="AF8">
        <v>45.73</v>
      </c>
      <c r="AG8">
        <v>60.56</v>
      </c>
      <c r="AH8">
        <v>51.86</v>
      </c>
      <c r="AI8">
        <v>55.7</v>
      </c>
    </row>
    <row r="9" spans="1:35" x14ac:dyDescent="0.45">
      <c r="A9" s="2">
        <v>46057</v>
      </c>
      <c r="B9">
        <v>35.14</v>
      </c>
      <c r="C9">
        <v>45.66</v>
      </c>
      <c r="D9">
        <v>17.79</v>
      </c>
      <c r="E9">
        <v>26.33</v>
      </c>
      <c r="F9">
        <v>38.28</v>
      </c>
      <c r="G9">
        <v>88.38</v>
      </c>
      <c r="H9">
        <v>29.49</v>
      </c>
      <c r="I9">
        <v>68.150000000000006</v>
      </c>
      <c r="J9">
        <v>77.22</v>
      </c>
      <c r="K9">
        <v>120.26</v>
      </c>
      <c r="L9">
        <v>36.979999999999997</v>
      </c>
      <c r="M9">
        <v>73.98</v>
      </c>
      <c r="N9">
        <v>76.09</v>
      </c>
      <c r="O9">
        <v>53.44</v>
      </c>
      <c r="P9">
        <v>60.31</v>
      </c>
      <c r="Q9">
        <v>19.96</v>
      </c>
      <c r="R9">
        <v>1346.54</v>
      </c>
      <c r="S9">
        <v>41.37</v>
      </c>
      <c r="T9">
        <v>21.29</v>
      </c>
      <c r="U9">
        <v>18.61</v>
      </c>
      <c r="V9">
        <v>39.630000000000003</v>
      </c>
      <c r="W9">
        <v>46.72</v>
      </c>
      <c r="X9">
        <v>28.35</v>
      </c>
      <c r="Y9">
        <v>55.01</v>
      </c>
      <c r="Z9">
        <v>43.25</v>
      </c>
      <c r="AA9">
        <v>87.49</v>
      </c>
      <c r="AB9">
        <v>62.47</v>
      </c>
      <c r="AC9">
        <v>47.05</v>
      </c>
      <c r="AD9">
        <v>605.75</v>
      </c>
      <c r="AE9">
        <v>686.19</v>
      </c>
      <c r="AF9">
        <v>46.03</v>
      </c>
      <c r="AG9">
        <v>61.07</v>
      </c>
      <c r="AH9">
        <v>52.92</v>
      </c>
      <c r="AI9">
        <v>56.95</v>
      </c>
    </row>
    <row r="10" spans="1:35" x14ac:dyDescent="0.45">
      <c r="A10" s="2">
        <v>46056</v>
      </c>
      <c r="B10">
        <v>35</v>
      </c>
      <c r="C10">
        <v>47.19</v>
      </c>
      <c r="D10">
        <v>17.59</v>
      </c>
      <c r="E10">
        <v>26.45</v>
      </c>
      <c r="F10">
        <v>38.35</v>
      </c>
      <c r="G10">
        <v>91.33</v>
      </c>
      <c r="H10">
        <v>29.42</v>
      </c>
      <c r="I10">
        <v>68.83</v>
      </c>
      <c r="J10">
        <v>78.760000000000005</v>
      </c>
      <c r="K10">
        <v>124.32</v>
      </c>
      <c r="L10">
        <v>38.04</v>
      </c>
      <c r="M10">
        <v>74.56</v>
      </c>
      <c r="N10">
        <v>76.02</v>
      </c>
      <c r="O10">
        <v>53.15</v>
      </c>
      <c r="P10">
        <v>61.07</v>
      </c>
      <c r="Q10">
        <v>19.916899999999998</v>
      </c>
      <c r="R10">
        <v>1336.11</v>
      </c>
      <c r="S10">
        <v>41.54</v>
      </c>
      <c r="T10">
        <v>21.11</v>
      </c>
      <c r="U10">
        <v>18.45</v>
      </c>
      <c r="V10">
        <v>39.57</v>
      </c>
      <c r="W10">
        <v>47.241999999999997</v>
      </c>
      <c r="X10">
        <v>28.12</v>
      </c>
      <c r="Y10">
        <v>54.84</v>
      </c>
      <c r="Z10">
        <v>43.51</v>
      </c>
      <c r="AA10">
        <v>86.68</v>
      </c>
      <c r="AB10">
        <v>61.89</v>
      </c>
      <c r="AC10">
        <v>46.47</v>
      </c>
      <c r="AD10">
        <v>616.52</v>
      </c>
      <c r="AE10">
        <v>689.53</v>
      </c>
      <c r="AF10">
        <v>45.69</v>
      </c>
      <c r="AG10">
        <v>61.9</v>
      </c>
      <c r="AH10">
        <v>53.23</v>
      </c>
      <c r="AI10">
        <v>56.93</v>
      </c>
    </row>
    <row r="11" spans="1:35" x14ac:dyDescent="0.45">
      <c r="A11" s="2">
        <v>46055</v>
      </c>
      <c r="B11">
        <v>34.72</v>
      </c>
      <c r="C11">
        <v>46.05</v>
      </c>
      <c r="D11">
        <v>17.41</v>
      </c>
      <c r="E11">
        <v>26.24</v>
      </c>
      <c r="F11">
        <v>37.659999999999997</v>
      </c>
      <c r="G11">
        <v>87.4</v>
      </c>
      <c r="H11">
        <v>29.32</v>
      </c>
      <c r="I11">
        <v>68.94</v>
      </c>
      <c r="J11">
        <v>75.430000000000007</v>
      </c>
      <c r="K11">
        <v>120.93</v>
      </c>
      <c r="L11">
        <v>37.450000000000003</v>
      </c>
      <c r="M11">
        <v>73.25</v>
      </c>
      <c r="N11">
        <v>74.66</v>
      </c>
      <c r="O11">
        <v>53.28</v>
      </c>
      <c r="P11">
        <v>61.61</v>
      </c>
      <c r="Q11">
        <v>19.97</v>
      </c>
      <c r="R11">
        <v>1321.42</v>
      </c>
      <c r="S11">
        <v>41.14</v>
      </c>
      <c r="T11">
        <v>20.94</v>
      </c>
      <c r="U11">
        <v>18.77</v>
      </c>
      <c r="V11">
        <v>39.79</v>
      </c>
      <c r="W11">
        <v>47.117699999999999</v>
      </c>
      <c r="X11">
        <v>27.95</v>
      </c>
      <c r="Y11">
        <v>54.55</v>
      </c>
      <c r="Z11">
        <v>43.48</v>
      </c>
      <c r="AA11">
        <v>85.89</v>
      </c>
      <c r="AB11">
        <v>62.25</v>
      </c>
      <c r="AC11">
        <v>46.54</v>
      </c>
      <c r="AD11">
        <v>626.14</v>
      </c>
      <c r="AE11">
        <v>695.41</v>
      </c>
      <c r="AF11">
        <v>45.68</v>
      </c>
      <c r="AG11">
        <v>62.77</v>
      </c>
      <c r="AH11">
        <v>52.88</v>
      </c>
      <c r="AI11">
        <v>56.37</v>
      </c>
    </row>
    <row r="12" spans="1:35" x14ac:dyDescent="0.45">
      <c r="A12" s="2">
        <v>46052</v>
      </c>
      <c r="B12">
        <v>35.11</v>
      </c>
      <c r="C12">
        <v>45.24</v>
      </c>
      <c r="D12">
        <v>17.649999999999999</v>
      </c>
      <c r="E12">
        <v>25.97</v>
      </c>
      <c r="F12">
        <v>37.590000000000003</v>
      </c>
      <c r="G12">
        <v>86.6</v>
      </c>
      <c r="H12">
        <v>29.18</v>
      </c>
      <c r="I12">
        <v>68.06</v>
      </c>
      <c r="J12">
        <v>75.12</v>
      </c>
      <c r="K12">
        <v>122.41</v>
      </c>
      <c r="L12">
        <v>37.04</v>
      </c>
      <c r="M12">
        <v>73.2</v>
      </c>
      <c r="N12">
        <v>73.75</v>
      </c>
      <c r="O12">
        <v>51.74</v>
      </c>
      <c r="P12">
        <v>62.4</v>
      </c>
      <c r="Q12">
        <v>19.71</v>
      </c>
      <c r="R12">
        <v>1325.62</v>
      </c>
      <c r="S12">
        <v>41.25</v>
      </c>
      <c r="T12">
        <v>20.49</v>
      </c>
      <c r="U12">
        <v>19.07</v>
      </c>
      <c r="V12">
        <v>39.86</v>
      </c>
      <c r="W12">
        <v>46.940800000000003</v>
      </c>
      <c r="X12">
        <v>27.75</v>
      </c>
      <c r="Y12">
        <v>54.26</v>
      </c>
      <c r="Z12">
        <v>43.11</v>
      </c>
      <c r="AA12">
        <v>85.72</v>
      </c>
      <c r="AB12">
        <v>61.54</v>
      </c>
      <c r="AC12">
        <v>46.16</v>
      </c>
      <c r="AD12">
        <v>621.87</v>
      </c>
      <c r="AE12">
        <v>691.97</v>
      </c>
      <c r="AF12">
        <v>45.35</v>
      </c>
      <c r="AG12">
        <v>62.27</v>
      </c>
      <c r="AH12">
        <v>52.27</v>
      </c>
      <c r="AI12">
        <v>55.88</v>
      </c>
    </row>
    <row r="13" spans="1:35" x14ac:dyDescent="0.45">
      <c r="A13" s="2">
        <v>46051</v>
      </c>
      <c r="B13">
        <v>35.89</v>
      </c>
      <c r="C13">
        <v>46.875</v>
      </c>
      <c r="D13">
        <v>17.579999999999998</v>
      </c>
      <c r="E13">
        <v>25.65</v>
      </c>
      <c r="F13">
        <v>38.380000000000003</v>
      </c>
      <c r="G13">
        <v>92.57</v>
      </c>
      <c r="H13">
        <v>29.27</v>
      </c>
      <c r="I13">
        <v>69.83</v>
      </c>
      <c r="J13">
        <v>78.45</v>
      </c>
      <c r="K13">
        <v>124.5</v>
      </c>
      <c r="L13">
        <v>38.119999999999997</v>
      </c>
      <c r="M13">
        <v>79.58</v>
      </c>
      <c r="N13">
        <v>75.62</v>
      </c>
      <c r="O13">
        <v>51.61</v>
      </c>
      <c r="P13">
        <v>64.23</v>
      </c>
      <c r="Q13">
        <v>19.82</v>
      </c>
      <c r="R13">
        <v>1331.07</v>
      </c>
      <c r="S13">
        <v>41.58</v>
      </c>
      <c r="T13">
        <v>20.66</v>
      </c>
      <c r="U13">
        <v>18.809999999999999</v>
      </c>
      <c r="V13">
        <v>39.869999999999997</v>
      </c>
      <c r="W13">
        <v>47.234000000000002</v>
      </c>
      <c r="X13">
        <v>28.42</v>
      </c>
      <c r="Y13">
        <v>56.53</v>
      </c>
      <c r="Z13">
        <v>43.44</v>
      </c>
      <c r="AA13">
        <v>86.09</v>
      </c>
      <c r="AB13">
        <v>62.22</v>
      </c>
      <c r="AC13">
        <v>46.44</v>
      </c>
      <c r="AD13">
        <v>629.42999999999995</v>
      </c>
      <c r="AE13">
        <v>694.04</v>
      </c>
      <c r="AF13">
        <v>45.82</v>
      </c>
      <c r="AG13">
        <v>63.48</v>
      </c>
      <c r="AH13">
        <v>53.45</v>
      </c>
      <c r="AI13">
        <v>56.17</v>
      </c>
    </row>
    <row r="14" spans="1:35" x14ac:dyDescent="0.45">
      <c r="A14" s="2">
        <v>46050</v>
      </c>
      <c r="B14">
        <v>35.520000000000003</v>
      </c>
      <c r="C14">
        <v>47.06</v>
      </c>
      <c r="D14">
        <v>17.260000000000002</v>
      </c>
      <c r="E14">
        <v>26.33</v>
      </c>
      <c r="F14">
        <v>38.25</v>
      </c>
      <c r="G14">
        <v>92.07</v>
      </c>
      <c r="H14">
        <v>29.84</v>
      </c>
      <c r="I14">
        <v>71.19</v>
      </c>
      <c r="J14">
        <v>78.73</v>
      </c>
      <c r="K14">
        <v>125.56</v>
      </c>
      <c r="L14">
        <v>38.33</v>
      </c>
      <c r="M14">
        <v>80.14</v>
      </c>
      <c r="N14">
        <v>77.2</v>
      </c>
      <c r="O14">
        <v>51.49</v>
      </c>
      <c r="P14">
        <v>63.91</v>
      </c>
      <c r="Q14">
        <v>20</v>
      </c>
      <c r="R14">
        <v>1338.9</v>
      </c>
      <c r="S14">
        <v>40.39</v>
      </c>
      <c r="T14">
        <v>20.75</v>
      </c>
      <c r="U14">
        <v>18.5</v>
      </c>
      <c r="V14">
        <v>40.14</v>
      </c>
      <c r="W14">
        <v>47.11</v>
      </c>
      <c r="X14">
        <v>28.17</v>
      </c>
      <c r="Y14">
        <v>56.35</v>
      </c>
      <c r="Z14">
        <v>44.01</v>
      </c>
      <c r="AA14">
        <v>85.21</v>
      </c>
      <c r="AB14">
        <v>61.05</v>
      </c>
      <c r="AC14">
        <v>46.24</v>
      </c>
      <c r="AD14">
        <v>633.22</v>
      </c>
      <c r="AE14">
        <v>695.42</v>
      </c>
      <c r="AF14">
        <v>45.53</v>
      </c>
      <c r="AG14">
        <v>63.05</v>
      </c>
      <c r="AH14">
        <v>52.93</v>
      </c>
      <c r="AI14">
        <v>55.83</v>
      </c>
    </row>
    <row r="15" spans="1:35" x14ac:dyDescent="0.45">
      <c r="A15" s="2">
        <v>46049</v>
      </c>
      <c r="B15">
        <v>35.64</v>
      </c>
      <c r="C15">
        <v>47.37</v>
      </c>
      <c r="D15">
        <v>19.18</v>
      </c>
      <c r="E15">
        <v>26.23</v>
      </c>
      <c r="F15">
        <v>38.44</v>
      </c>
      <c r="G15">
        <v>91.61</v>
      </c>
      <c r="H15">
        <v>30.06</v>
      </c>
      <c r="I15">
        <v>71.319999999999993</v>
      </c>
      <c r="J15">
        <v>77.86</v>
      </c>
      <c r="K15">
        <v>122.7</v>
      </c>
      <c r="L15">
        <v>37.89</v>
      </c>
      <c r="M15">
        <v>79.02</v>
      </c>
      <c r="N15">
        <v>75.349999999999994</v>
      </c>
      <c r="O15">
        <v>51.69</v>
      </c>
      <c r="P15">
        <v>63.29</v>
      </c>
      <c r="Q15">
        <v>19.940000000000001</v>
      </c>
      <c r="R15">
        <v>1334.45</v>
      </c>
      <c r="S15">
        <v>39.56</v>
      </c>
      <c r="T15">
        <v>20.71</v>
      </c>
      <c r="U15">
        <v>18.760000000000002</v>
      </c>
      <c r="V15">
        <v>40.119999999999997</v>
      </c>
      <c r="W15">
        <v>47.52</v>
      </c>
      <c r="X15">
        <v>28.24</v>
      </c>
      <c r="Y15">
        <v>56.18</v>
      </c>
      <c r="Z15">
        <v>44.3</v>
      </c>
      <c r="AA15">
        <v>85.84</v>
      </c>
      <c r="AB15">
        <v>62.57</v>
      </c>
      <c r="AC15">
        <v>46.5</v>
      </c>
      <c r="AD15">
        <v>631.13</v>
      </c>
      <c r="AE15">
        <v>695.49</v>
      </c>
      <c r="AF15">
        <v>46.15</v>
      </c>
      <c r="AG15">
        <v>63.7</v>
      </c>
      <c r="AH15">
        <v>53.64</v>
      </c>
      <c r="AI15">
        <v>56.63</v>
      </c>
    </row>
    <row r="16" spans="1:35" x14ac:dyDescent="0.45">
      <c r="A16" s="2">
        <v>46048</v>
      </c>
      <c r="B16">
        <v>35.58</v>
      </c>
      <c r="C16">
        <v>46.78</v>
      </c>
      <c r="D16">
        <v>19.2</v>
      </c>
      <c r="E16">
        <v>26.03</v>
      </c>
      <c r="F16">
        <v>37.74</v>
      </c>
      <c r="G16">
        <v>90.43</v>
      </c>
      <c r="H16">
        <v>29.5</v>
      </c>
      <c r="I16">
        <v>69.94</v>
      </c>
      <c r="J16">
        <v>76.7</v>
      </c>
      <c r="K16">
        <v>117.32</v>
      </c>
      <c r="L16">
        <v>36.61</v>
      </c>
      <c r="M16">
        <v>77.38</v>
      </c>
      <c r="N16">
        <v>73.06</v>
      </c>
      <c r="O16">
        <v>51.44</v>
      </c>
      <c r="P16">
        <v>62.66</v>
      </c>
      <c r="Q16">
        <v>19.937000000000001</v>
      </c>
      <c r="R16">
        <v>1307.07</v>
      </c>
      <c r="S16">
        <v>39.86</v>
      </c>
      <c r="T16">
        <v>20.41</v>
      </c>
      <c r="U16">
        <v>18.91</v>
      </c>
      <c r="V16">
        <v>39.61</v>
      </c>
      <c r="W16">
        <v>46.87</v>
      </c>
      <c r="X16">
        <v>27.62</v>
      </c>
      <c r="Y16">
        <v>55.69</v>
      </c>
      <c r="Z16">
        <v>43.84</v>
      </c>
      <c r="AA16">
        <v>84.63</v>
      </c>
      <c r="AB16">
        <v>61.19</v>
      </c>
      <c r="AC16">
        <v>45.83</v>
      </c>
      <c r="AD16">
        <v>625.46</v>
      </c>
      <c r="AE16">
        <v>692.73</v>
      </c>
      <c r="AF16">
        <v>45.65</v>
      </c>
      <c r="AG16">
        <v>62.81</v>
      </c>
      <c r="AH16">
        <v>52.72</v>
      </c>
      <c r="AI16">
        <v>55.39</v>
      </c>
    </row>
    <row r="17" spans="1:35" x14ac:dyDescent="0.45">
      <c r="A17" s="2">
        <v>46045</v>
      </c>
      <c r="B17">
        <v>35.549999999999997</v>
      </c>
      <c r="C17">
        <v>46.4</v>
      </c>
      <c r="D17">
        <v>19.010000000000002</v>
      </c>
      <c r="E17">
        <v>26.21</v>
      </c>
      <c r="F17">
        <v>36.89</v>
      </c>
      <c r="G17">
        <v>88.38</v>
      </c>
      <c r="H17">
        <v>28.78</v>
      </c>
      <c r="I17">
        <v>69.709999999999994</v>
      </c>
      <c r="J17">
        <v>76.08</v>
      </c>
      <c r="K17">
        <v>117.97</v>
      </c>
      <c r="L17">
        <v>36.590000000000003</v>
      </c>
      <c r="M17">
        <v>76.34</v>
      </c>
      <c r="N17">
        <v>72.25</v>
      </c>
      <c r="O17">
        <v>51.24</v>
      </c>
      <c r="P17">
        <v>62.74</v>
      </c>
      <c r="Q17">
        <v>19.82</v>
      </c>
      <c r="R17">
        <v>1314.39</v>
      </c>
      <c r="S17">
        <v>39.43</v>
      </c>
      <c r="T17">
        <v>20.46</v>
      </c>
      <c r="U17">
        <v>19.420000000000002</v>
      </c>
      <c r="V17">
        <v>39.01</v>
      </c>
      <c r="W17">
        <v>46.624000000000002</v>
      </c>
      <c r="X17">
        <v>27.38</v>
      </c>
      <c r="Y17">
        <v>55.77</v>
      </c>
      <c r="Z17">
        <v>43.48</v>
      </c>
      <c r="AA17">
        <v>84.56</v>
      </c>
      <c r="AB17">
        <v>60.87</v>
      </c>
      <c r="AC17">
        <v>45.57</v>
      </c>
      <c r="AD17">
        <v>622.72</v>
      </c>
      <c r="AE17">
        <v>689.23</v>
      </c>
      <c r="AF17">
        <v>45.51</v>
      </c>
      <c r="AG17">
        <v>62.33</v>
      </c>
      <c r="AH17">
        <v>52.38</v>
      </c>
      <c r="AI17">
        <v>54.91</v>
      </c>
    </row>
    <row r="18" spans="1:35" x14ac:dyDescent="0.45">
      <c r="A18" s="2">
        <v>46044</v>
      </c>
      <c r="B18">
        <v>35.78</v>
      </c>
      <c r="C18">
        <v>46.174999999999997</v>
      </c>
      <c r="D18">
        <v>19.05</v>
      </c>
      <c r="E18">
        <v>26.35</v>
      </c>
      <c r="F18">
        <v>37.26</v>
      </c>
      <c r="G18">
        <v>86.2</v>
      </c>
      <c r="H18">
        <v>28.43</v>
      </c>
      <c r="I18">
        <v>68.25</v>
      </c>
      <c r="J18">
        <v>75.75</v>
      </c>
      <c r="K18">
        <v>115.99</v>
      </c>
      <c r="L18">
        <v>35.950000000000003</v>
      </c>
      <c r="M18">
        <v>75.56</v>
      </c>
      <c r="N18">
        <v>72.2</v>
      </c>
      <c r="O18">
        <v>51.795000000000002</v>
      </c>
      <c r="P18">
        <v>62.78</v>
      </c>
      <c r="Q18">
        <v>19.899999999999999</v>
      </c>
      <c r="R18">
        <v>1311.64</v>
      </c>
      <c r="S18">
        <v>39.08</v>
      </c>
      <c r="T18">
        <v>20.62</v>
      </c>
      <c r="U18">
        <v>19.625</v>
      </c>
      <c r="V18">
        <v>38.93</v>
      </c>
      <c r="W18">
        <v>46.755000000000003</v>
      </c>
      <c r="X18">
        <v>27.07</v>
      </c>
      <c r="Y18">
        <v>55.2</v>
      </c>
      <c r="Z18">
        <v>43.1</v>
      </c>
      <c r="AA18">
        <v>84.86</v>
      </c>
      <c r="AB18">
        <v>60.59</v>
      </c>
      <c r="AC18">
        <v>45.07</v>
      </c>
      <c r="AD18">
        <v>620.76</v>
      </c>
      <c r="AE18">
        <v>688.98</v>
      </c>
      <c r="AF18">
        <v>45.16</v>
      </c>
      <c r="AG18">
        <v>62.14</v>
      </c>
      <c r="AH18">
        <v>51.74</v>
      </c>
      <c r="AI18">
        <v>54.77</v>
      </c>
    </row>
    <row r="19" spans="1:35" x14ac:dyDescent="0.45">
      <c r="A19" s="2">
        <v>46043</v>
      </c>
      <c r="B19">
        <v>35.805</v>
      </c>
      <c r="C19">
        <v>45.2</v>
      </c>
      <c r="D19">
        <v>18.940000000000001</v>
      </c>
      <c r="E19">
        <v>26.27</v>
      </c>
      <c r="F19">
        <v>36.15</v>
      </c>
      <c r="G19">
        <v>85.04</v>
      </c>
      <c r="H19">
        <v>28.26</v>
      </c>
      <c r="I19">
        <v>67.45</v>
      </c>
      <c r="J19">
        <v>75.36</v>
      </c>
      <c r="K19">
        <v>115.66</v>
      </c>
      <c r="L19">
        <v>35.020000000000003</v>
      </c>
      <c r="M19">
        <v>73.52</v>
      </c>
      <c r="N19">
        <v>70.739999999999995</v>
      </c>
      <c r="O19">
        <v>51.55</v>
      </c>
      <c r="P19">
        <v>62.49</v>
      </c>
      <c r="Q19">
        <v>19.71</v>
      </c>
      <c r="R19">
        <v>1317.56</v>
      </c>
      <c r="S19">
        <v>38.64</v>
      </c>
      <c r="T19">
        <v>20.3</v>
      </c>
      <c r="U19">
        <v>19.39</v>
      </c>
      <c r="V19">
        <v>38.299999999999997</v>
      </c>
      <c r="W19">
        <v>46.11</v>
      </c>
      <c r="X19">
        <v>26.7</v>
      </c>
      <c r="Y19">
        <v>55.02</v>
      </c>
      <c r="Z19">
        <v>42.82</v>
      </c>
      <c r="AA19">
        <v>84.78</v>
      </c>
      <c r="AB19">
        <v>60.49</v>
      </c>
      <c r="AC19">
        <v>45.16</v>
      </c>
      <c r="AD19">
        <v>616.28</v>
      </c>
      <c r="AE19">
        <v>685.4</v>
      </c>
      <c r="AF19">
        <v>45.05</v>
      </c>
      <c r="AG19">
        <v>61.539000000000001</v>
      </c>
      <c r="AH19">
        <v>51.52</v>
      </c>
      <c r="AI19">
        <v>54.44</v>
      </c>
    </row>
    <row r="20" spans="1:35" x14ac:dyDescent="0.45">
      <c r="A20" s="2">
        <v>46042</v>
      </c>
      <c r="B20">
        <v>35.5</v>
      </c>
      <c r="C20">
        <v>43.89</v>
      </c>
      <c r="D20">
        <v>19.13</v>
      </c>
      <c r="E20">
        <v>26</v>
      </c>
      <c r="F20">
        <v>35.840000000000003</v>
      </c>
      <c r="G20">
        <v>84.78</v>
      </c>
      <c r="H20">
        <v>27.88</v>
      </c>
      <c r="I20">
        <v>66.540000000000006</v>
      </c>
      <c r="J20">
        <v>74.61</v>
      </c>
      <c r="K20">
        <v>110.97</v>
      </c>
      <c r="L20">
        <v>33.619999999999997</v>
      </c>
      <c r="M20">
        <v>73.44</v>
      </c>
      <c r="N20">
        <v>69.88</v>
      </c>
      <c r="O20">
        <v>51.73</v>
      </c>
      <c r="P20">
        <v>61.65</v>
      </c>
      <c r="Q20">
        <v>19.71</v>
      </c>
      <c r="R20">
        <v>1296.3699999999999</v>
      </c>
      <c r="S20">
        <v>38.869999999999997</v>
      </c>
      <c r="T20">
        <v>20.09</v>
      </c>
      <c r="U20">
        <v>19.510000000000002</v>
      </c>
      <c r="V20">
        <v>37.94</v>
      </c>
      <c r="W20">
        <v>46.09</v>
      </c>
      <c r="X20">
        <v>26.46</v>
      </c>
      <c r="Y20">
        <v>54.75</v>
      </c>
      <c r="Z20">
        <v>42.54</v>
      </c>
      <c r="AA20">
        <v>83.72</v>
      </c>
      <c r="AB20">
        <v>60.16</v>
      </c>
      <c r="AC20">
        <v>44.7</v>
      </c>
      <c r="AD20">
        <v>608.05999999999995</v>
      </c>
      <c r="AE20">
        <v>677.58</v>
      </c>
      <c r="AF20">
        <v>44.55</v>
      </c>
      <c r="AG20">
        <v>60.64</v>
      </c>
      <c r="AH20">
        <v>50.46</v>
      </c>
      <c r="AI20">
        <v>54.02</v>
      </c>
    </row>
    <row r="21" spans="1:35" x14ac:dyDescent="0.45">
      <c r="A21" s="2">
        <v>46038</v>
      </c>
      <c r="B21">
        <v>35.515000000000001</v>
      </c>
      <c r="C21">
        <v>44.09</v>
      </c>
      <c r="D21">
        <v>19.14</v>
      </c>
      <c r="E21">
        <v>26.42</v>
      </c>
      <c r="F21">
        <v>35.92</v>
      </c>
      <c r="G21">
        <v>82.63</v>
      </c>
      <c r="H21">
        <v>28.17</v>
      </c>
      <c r="I21">
        <v>67.34</v>
      </c>
      <c r="J21">
        <v>74</v>
      </c>
      <c r="K21">
        <v>112.22</v>
      </c>
      <c r="L21">
        <v>33.17</v>
      </c>
      <c r="M21">
        <v>72.78</v>
      </c>
      <c r="N21">
        <v>70.03</v>
      </c>
      <c r="O21">
        <v>52.85</v>
      </c>
      <c r="P21">
        <v>62.52</v>
      </c>
      <c r="Q21">
        <v>19.46</v>
      </c>
      <c r="R21">
        <v>1283.2</v>
      </c>
      <c r="S21">
        <v>38.409999999999997</v>
      </c>
      <c r="T21">
        <v>19.87</v>
      </c>
      <c r="U21">
        <v>19.73</v>
      </c>
      <c r="V21">
        <v>37.83</v>
      </c>
      <c r="W21">
        <v>45.755000000000003</v>
      </c>
      <c r="X21">
        <v>26.74</v>
      </c>
      <c r="Y21">
        <v>55.13</v>
      </c>
      <c r="Z21">
        <v>43.34</v>
      </c>
      <c r="AA21">
        <v>85.48</v>
      </c>
      <c r="AB21">
        <v>60.51</v>
      </c>
      <c r="AC21">
        <v>45.18</v>
      </c>
      <c r="AD21">
        <v>621.26</v>
      </c>
      <c r="AE21">
        <v>691.66</v>
      </c>
      <c r="AF21">
        <v>45.29</v>
      </c>
      <c r="AG21">
        <v>61.91</v>
      </c>
      <c r="AH21">
        <v>51.31</v>
      </c>
      <c r="AI21">
        <v>54.92</v>
      </c>
    </row>
    <row r="22" spans="1:35" x14ac:dyDescent="0.45">
      <c r="A22" s="2">
        <v>46037</v>
      </c>
      <c r="B22">
        <v>35.869999999999997</v>
      </c>
      <c r="C22">
        <v>44.15</v>
      </c>
      <c r="D22">
        <v>19.22</v>
      </c>
      <c r="E22">
        <v>26.38</v>
      </c>
      <c r="F22">
        <v>36.15</v>
      </c>
      <c r="G22">
        <v>83.01</v>
      </c>
      <c r="H22">
        <v>28.28</v>
      </c>
      <c r="I22">
        <v>67.290000000000006</v>
      </c>
      <c r="J22">
        <v>73.25</v>
      </c>
      <c r="K22">
        <v>111.05</v>
      </c>
      <c r="L22">
        <v>33.36</v>
      </c>
      <c r="M22">
        <v>73.739999999999995</v>
      </c>
      <c r="N22">
        <v>69.84</v>
      </c>
      <c r="O22">
        <v>53.22</v>
      </c>
      <c r="P22">
        <v>63.59</v>
      </c>
      <c r="Q22">
        <v>19.425000000000001</v>
      </c>
      <c r="R22">
        <v>1275.5999999999999</v>
      </c>
      <c r="S22">
        <v>37.94</v>
      </c>
      <c r="T22">
        <v>19.73</v>
      </c>
      <c r="U22">
        <v>19.53</v>
      </c>
      <c r="V22">
        <v>37.99</v>
      </c>
      <c r="W22">
        <v>45.630099999999999</v>
      </c>
      <c r="X22">
        <v>26.65</v>
      </c>
      <c r="Y22">
        <v>55.22</v>
      </c>
      <c r="Z22">
        <v>43.24</v>
      </c>
      <c r="AA22">
        <v>85.42</v>
      </c>
      <c r="AB22">
        <v>60.52</v>
      </c>
      <c r="AC22">
        <v>45.09</v>
      </c>
      <c r="AD22">
        <v>621.78</v>
      </c>
      <c r="AE22">
        <v>692.24</v>
      </c>
      <c r="AF22">
        <v>45.4</v>
      </c>
      <c r="AG22">
        <v>61.6</v>
      </c>
      <c r="AH22">
        <v>51.05</v>
      </c>
      <c r="AI22">
        <v>54.8</v>
      </c>
    </row>
    <row r="23" spans="1:35" x14ac:dyDescent="0.45">
      <c r="A23" s="2">
        <v>46036</v>
      </c>
      <c r="B23">
        <v>35.6</v>
      </c>
      <c r="C23">
        <v>44.51</v>
      </c>
      <c r="D23">
        <v>19.14</v>
      </c>
      <c r="E23">
        <v>26.04</v>
      </c>
      <c r="F23">
        <v>36.03</v>
      </c>
      <c r="G23">
        <v>82.26</v>
      </c>
      <c r="H23">
        <v>28.2</v>
      </c>
      <c r="I23">
        <v>66.510000000000005</v>
      </c>
      <c r="J23">
        <v>73.38</v>
      </c>
      <c r="K23">
        <v>109.64</v>
      </c>
      <c r="L23">
        <v>33.159999999999997</v>
      </c>
      <c r="M23">
        <v>73.39</v>
      </c>
      <c r="N23">
        <v>69.150000000000006</v>
      </c>
      <c r="O23">
        <v>53.25</v>
      </c>
      <c r="P23">
        <v>63.55</v>
      </c>
      <c r="Q23">
        <v>19.659600000000001</v>
      </c>
      <c r="R23">
        <v>1261.3900000000001</v>
      </c>
      <c r="S23">
        <v>37.590000000000003</v>
      </c>
      <c r="T23">
        <v>19.59</v>
      </c>
      <c r="U23">
        <v>19.690000000000001</v>
      </c>
      <c r="V23">
        <v>38.21</v>
      </c>
      <c r="W23">
        <v>45.89</v>
      </c>
      <c r="X23">
        <v>26.54</v>
      </c>
      <c r="Y23">
        <v>55.18</v>
      </c>
      <c r="Z23">
        <v>43.49</v>
      </c>
      <c r="AA23">
        <v>85.04</v>
      </c>
      <c r="AB23">
        <v>60.87</v>
      </c>
      <c r="AC23">
        <v>45.28</v>
      </c>
      <c r="AD23">
        <v>619.54999999999995</v>
      </c>
      <c r="AE23">
        <v>690.36</v>
      </c>
      <c r="AF23">
        <v>45.87</v>
      </c>
      <c r="AG23">
        <v>60.67</v>
      </c>
      <c r="AH23">
        <v>50.61</v>
      </c>
      <c r="AI23">
        <v>55.04</v>
      </c>
    </row>
    <row r="24" spans="1:35" x14ac:dyDescent="0.45">
      <c r="A24" s="2">
        <v>46035</v>
      </c>
      <c r="B24">
        <v>35.590000000000003</v>
      </c>
      <c r="C24">
        <v>44.34</v>
      </c>
      <c r="D24">
        <v>19.03</v>
      </c>
      <c r="E24">
        <v>26.24</v>
      </c>
      <c r="F24">
        <v>36.090000000000003</v>
      </c>
      <c r="G24">
        <v>80.989999999999995</v>
      </c>
      <c r="H24">
        <v>28.05</v>
      </c>
      <c r="I24">
        <v>66.099999999999994</v>
      </c>
      <c r="J24">
        <v>71.97</v>
      </c>
      <c r="K24">
        <v>107.54</v>
      </c>
      <c r="L24">
        <v>32.630000000000003</v>
      </c>
      <c r="M24">
        <v>73.09</v>
      </c>
      <c r="N24">
        <v>69</v>
      </c>
      <c r="O24">
        <v>53.04</v>
      </c>
      <c r="P24">
        <v>63.52</v>
      </c>
      <c r="Q24">
        <v>19.71</v>
      </c>
      <c r="R24">
        <v>1244.3</v>
      </c>
      <c r="S24">
        <v>37.729999999999997</v>
      </c>
      <c r="T24">
        <v>19.760000000000002</v>
      </c>
      <c r="U24">
        <v>19.8</v>
      </c>
      <c r="V24">
        <v>38.21</v>
      </c>
      <c r="W24">
        <v>45.52</v>
      </c>
      <c r="X24">
        <v>26.41</v>
      </c>
      <c r="Y24">
        <v>55.12</v>
      </c>
      <c r="Z24">
        <v>43.57</v>
      </c>
      <c r="AA24">
        <v>84.45</v>
      </c>
      <c r="AB24">
        <v>60.17</v>
      </c>
      <c r="AC24">
        <v>44.98</v>
      </c>
      <c r="AD24">
        <v>626.24</v>
      </c>
      <c r="AE24">
        <v>693.77</v>
      </c>
      <c r="AF24">
        <v>45.96</v>
      </c>
      <c r="AG24">
        <v>60.78</v>
      </c>
      <c r="AH24">
        <v>50.7</v>
      </c>
      <c r="AI24">
        <v>54.81</v>
      </c>
    </row>
    <row r="25" spans="1:35" x14ac:dyDescent="0.45">
      <c r="A25" s="2">
        <v>46034</v>
      </c>
      <c r="B25">
        <v>36.229999999999997</v>
      </c>
      <c r="C25">
        <v>43.87</v>
      </c>
      <c r="D25">
        <v>18.989999999999998</v>
      </c>
      <c r="E25">
        <v>26.41</v>
      </c>
      <c r="F25">
        <v>36.380000000000003</v>
      </c>
      <c r="G25">
        <v>80.55</v>
      </c>
      <c r="H25">
        <v>27.97</v>
      </c>
      <c r="I25">
        <v>66.62</v>
      </c>
      <c r="J25">
        <v>72.06</v>
      </c>
      <c r="K25">
        <v>108.93</v>
      </c>
      <c r="L25">
        <v>32.93</v>
      </c>
      <c r="M25">
        <v>72.78</v>
      </c>
      <c r="N25">
        <v>69.489999999999995</v>
      </c>
      <c r="O25">
        <v>53.4</v>
      </c>
      <c r="P25">
        <v>64.260000000000005</v>
      </c>
      <c r="Q25">
        <v>19.6099</v>
      </c>
      <c r="R25">
        <v>1235.3</v>
      </c>
      <c r="S25">
        <v>37.54</v>
      </c>
      <c r="T25">
        <v>19.55</v>
      </c>
      <c r="U25">
        <v>19.670000000000002</v>
      </c>
      <c r="V25">
        <v>37.82</v>
      </c>
      <c r="W25">
        <v>46.1</v>
      </c>
      <c r="X25">
        <v>26.45</v>
      </c>
      <c r="Y25">
        <v>55.09</v>
      </c>
      <c r="Z25">
        <v>43.83</v>
      </c>
      <c r="AA25">
        <v>85.29</v>
      </c>
      <c r="AB25">
        <v>60.63</v>
      </c>
      <c r="AC25">
        <v>45.09</v>
      </c>
      <c r="AD25">
        <v>627.16999999999996</v>
      </c>
      <c r="AE25">
        <v>695.16</v>
      </c>
      <c r="AF25">
        <v>46.1</v>
      </c>
      <c r="AG25">
        <v>61.04</v>
      </c>
      <c r="AH25">
        <v>50.91</v>
      </c>
      <c r="AI25">
        <v>55.32</v>
      </c>
    </row>
    <row r="26" spans="1:35" x14ac:dyDescent="0.45">
      <c r="A26" s="2">
        <v>46031</v>
      </c>
      <c r="B26">
        <v>35.83</v>
      </c>
      <c r="C26">
        <v>42.85</v>
      </c>
      <c r="D26">
        <v>19.010000000000002</v>
      </c>
      <c r="E26">
        <v>26.13</v>
      </c>
      <c r="F26">
        <v>36.200000000000003</v>
      </c>
      <c r="G26">
        <v>78.19</v>
      </c>
      <c r="H26">
        <v>27.59</v>
      </c>
      <c r="I26">
        <v>65.92</v>
      </c>
      <c r="J26">
        <v>71.06</v>
      </c>
      <c r="K26">
        <v>108.89</v>
      </c>
      <c r="L26">
        <v>33.06</v>
      </c>
      <c r="M26">
        <v>70.69</v>
      </c>
      <c r="N26">
        <v>68.98</v>
      </c>
      <c r="O26">
        <v>53.174999999999997</v>
      </c>
      <c r="P26">
        <v>62.22</v>
      </c>
      <c r="Q26">
        <v>19.36</v>
      </c>
      <c r="R26">
        <v>1242.2</v>
      </c>
      <c r="S26">
        <v>37.159999999999997</v>
      </c>
      <c r="T26">
        <v>19.43</v>
      </c>
      <c r="U26">
        <v>19.28</v>
      </c>
      <c r="V26">
        <v>36.869999999999997</v>
      </c>
      <c r="W26">
        <v>45.98</v>
      </c>
      <c r="X26">
        <v>26.26</v>
      </c>
      <c r="Y26">
        <v>54.63</v>
      </c>
      <c r="Z26">
        <v>43.41</v>
      </c>
      <c r="AA26">
        <v>84.61</v>
      </c>
      <c r="AB26">
        <v>60.58</v>
      </c>
      <c r="AC26">
        <v>44.79</v>
      </c>
      <c r="AD26">
        <v>626.65</v>
      </c>
      <c r="AE26">
        <v>694.07</v>
      </c>
      <c r="AF26">
        <v>45.88</v>
      </c>
      <c r="AG26">
        <v>60.4</v>
      </c>
      <c r="AH26">
        <v>50.78</v>
      </c>
      <c r="AI26">
        <v>55.03</v>
      </c>
    </row>
    <row r="27" spans="1:35" x14ac:dyDescent="0.45">
      <c r="A27" s="2">
        <v>46030</v>
      </c>
      <c r="B27">
        <v>35.49</v>
      </c>
      <c r="C27">
        <v>42.75</v>
      </c>
      <c r="D27">
        <v>18.989999999999998</v>
      </c>
      <c r="E27">
        <v>26.08</v>
      </c>
      <c r="F27">
        <v>35.82</v>
      </c>
      <c r="G27">
        <v>76.55</v>
      </c>
      <c r="H27">
        <v>27.36</v>
      </c>
      <c r="I27">
        <v>65.44</v>
      </c>
      <c r="J27">
        <v>70.48</v>
      </c>
      <c r="K27">
        <v>106.59</v>
      </c>
      <c r="L27">
        <v>32.880000000000003</v>
      </c>
      <c r="M27">
        <v>70.34</v>
      </c>
      <c r="N27">
        <v>69.19</v>
      </c>
      <c r="O27">
        <v>53.72</v>
      </c>
      <c r="P27">
        <v>62.28</v>
      </c>
      <c r="Q27">
        <v>19.28</v>
      </c>
      <c r="R27">
        <v>1254.0899999999999</v>
      </c>
      <c r="S27">
        <v>36.729999999999997</v>
      </c>
      <c r="T27">
        <v>19.649999999999999</v>
      </c>
      <c r="U27">
        <v>19.309999999999999</v>
      </c>
      <c r="V27">
        <v>36.82</v>
      </c>
      <c r="W27">
        <v>46.115000000000002</v>
      </c>
      <c r="X27">
        <v>26.37</v>
      </c>
      <c r="Y27">
        <v>54.46</v>
      </c>
      <c r="Z27">
        <v>43.31</v>
      </c>
      <c r="AA27">
        <v>82.86</v>
      </c>
      <c r="AB27">
        <v>60.21</v>
      </c>
      <c r="AC27">
        <v>44.6</v>
      </c>
      <c r="AD27">
        <v>620.47</v>
      </c>
      <c r="AE27">
        <v>689.51</v>
      </c>
      <c r="AF27">
        <v>45.46</v>
      </c>
      <c r="AG27">
        <v>59.21</v>
      </c>
      <c r="AH27">
        <v>50.28</v>
      </c>
      <c r="AI27">
        <v>55.24</v>
      </c>
    </row>
    <row r="28" spans="1:35" x14ac:dyDescent="0.45">
      <c r="A28" s="2">
        <v>46029</v>
      </c>
      <c r="B28">
        <v>35.5</v>
      </c>
      <c r="C28">
        <v>42.39</v>
      </c>
      <c r="D28">
        <v>19.03</v>
      </c>
      <c r="E28">
        <v>25.92</v>
      </c>
      <c r="F28">
        <v>36.6</v>
      </c>
      <c r="G28">
        <v>75.42</v>
      </c>
      <c r="H28">
        <v>27.43</v>
      </c>
      <c r="I28">
        <v>65.59</v>
      </c>
      <c r="J28">
        <v>69.92</v>
      </c>
      <c r="K28">
        <v>107.03</v>
      </c>
      <c r="L28">
        <v>32.700000000000003</v>
      </c>
      <c r="M28">
        <v>71.45</v>
      </c>
      <c r="N28">
        <v>67.98</v>
      </c>
      <c r="O28">
        <v>54.2</v>
      </c>
      <c r="P28">
        <v>61.88</v>
      </c>
      <c r="Q28">
        <v>19.405000000000001</v>
      </c>
      <c r="R28">
        <v>1253.5999999999999</v>
      </c>
      <c r="S28">
        <v>36.630000000000003</v>
      </c>
      <c r="T28">
        <v>19.649999999999999</v>
      </c>
      <c r="U28">
        <v>19.440000000000001</v>
      </c>
      <c r="V28">
        <v>36.32</v>
      </c>
      <c r="W28">
        <v>46.295000000000002</v>
      </c>
      <c r="X28">
        <v>26.27</v>
      </c>
      <c r="Y28">
        <v>54.01</v>
      </c>
      <c r="Z28">
        <v>43.26</v>
      </c>
      <c r="AA28">
        <v>82.92</v>
      </c>
      <c r="AB28">
        <v>60.31</v>
      </c>
      <c r="AC28">
        <v>44.49</v>
      </c>
      <c r="AD28">
        <v>624.02</v>
      </c>
      <c r="AE28">
        <v>689.58</v>
      </c>
      <c r="AF28">
        <v>45.4</v>
      </c>
      <c r="AG28">
        <v>59.8</v>
      </c>
      <c r="AH28">
        <v>50.87</v>
      </c>
      <c r="AI28">
        <v>54.97</v>
      </c>
    </row>
    <row r="29" spans="1:35" x14ac:dyDescent="0.45">
      <c r="A29" s="2">
        <v>46028</v>
      </c>
      <c r="B29">
        <v>35.64</v>
      </c>
      <c r="C29">
        <v>42.55</v>
      </c>
      <c r="D29">
        <v>19.079999999999998</v>
      </c>
      <c r="E29">
        <v>25.98</v>
      </c>
      <c r="F29">
        <v>36.26</v>
      </c>
      <c r="G29">
        <v>76.709999999999994</v>
      </c>
      <c r="H29">
        <v>27.63</v>
      </c>
      <c r="I29">
        <v>65.83</v>
      </c>
      <c r="J29">
        <v>70.040000000000006</v>
      </c>
      <c r="K29">
        <v>107.61</v>
      </c>
      <c r="L29">
        <v>33.11</v>
      </c>
      <c r="M29">
        <v>72.739999999999995</v>
      </c>
      <c r="N29">
        <v>67.39</v>
      </c>
      <c r="O29">
        <v>54.08</v>
      </c>
      <c r="P29">
        <v>62.71</v>
      </c>
      <c r="Q29">
        <v>19.3551</v>
      </c>
      <c r="R29">
        <v>1280.82</v>
      </c>
      <c r="S29">
        <v>36.770000000000003</v>
      </c>
      <c r="T29">
        <v>19.425000000000001</v>
      </c>
      <c r="U29">
        <v>19.43</v>
      </c>
      <c r="V29">
        <v>37.03</v>
      </c>
      <c r="W29">
        <v>46.147599999999997</v>
      </c>
      <c r="X29">
        <v>26.49</v>
      </c>
      <c r="Y29">
        <v>54.65</v>
      </c>
      <c r="Z29">
        <v>43.13</v>
      </c>
      <c r="AA29">
        <v>83.07</v>
      </c>
      <c r="AB29">
        <v>60.55</v>
      </c>
      <c r="AC29">
        <v>45.05</v>
      </c>
      <c r="AD29">
        <v>623.41999999999996</v>
      </c>
      <c r="AE29">
        <v>691.81</v>
      </c>
      <c r="AF29">
        <v>45.6</v>
      </c>
      <c r="AG29">
        <v>60.44</v>
      </c>
      <c r="AH29">
        <v>50.11</v>
      </c>
      <c r="AI29">
        <v>55.29</v>
      </c>
    </row>
    <row r="30" spans="1:35" x14ac:dyDescent="0.45">
      <c r="A30" s="2">
        <v>46027</v>
      </c>
      <c r="B30">
        <v>35.21</v>
      </c>
      <c r="C30">
        <v>41.6</v>
      </c>
      <c r="D30">
        <v>19.04</v>
      </c>
      <c r="E30">
        <v>25.46</v>
      </c>
      <c r="F30">
        <v>36.17</v>
      </c>
      <c r="G30">
        <v>74.87</v>
      </c>
      <c r="H30">
        <v>27.61</v>
      </c>
      <c r="I30">
        <v>65.3</v>
      </c>
      <c r="J30">
        <v>70.58</v>
      </c>
      <c r="K30">
        <v>104.83</v>
      </c>
      <c r="L30">
        <v>32.79</v>
      </c>
      <c r="M30">
        <v>70.239999999999995</v>
      </c>
      <c r="N30">
        <v>67.61</v>
      </c>
      <c r="O30">
        <v>54.29</v>
      </c>
      <c r="P30">
        <v>62.67</v>
      </c>
      <c r="Q30">
        <v>19.190000000000001</v>
      </c>
      <c r="R30">
        <v>1274.75</v>
      </c>
      <c r="S30">
        <v>35.81</v>
      </c>
      <c r="T30">
        <v>19.22</v>
      </c>
      <c r="U30">
        <v>19.02</v>
      </c>
      <c r="V30">
        <v>36</v>
      </c>
      <c r="W30">
        <v>45.858400000000003</v>
      </c>
      <c r="X30">
        <v>26.61</v>
      </c>
      <c r="Y30">
        <v>54.59</v>
      </c>
      <c r="Z30">
        <v>43.05</v>
      </c>
      <c r="AA30">
        <v>83.13</v>
      </c>
      <c r="AB30">
        <v>60.43</v>
      </c>
      <c r="AC30">
        <v>44.81</v>
      </c>
      <c r="AD30">
        <v>617.99</v>
      </c>
      <c r="AE30">
        <v>687.72</v>
      </c>
      <c r="AF30">
        <v>45.42</v>
      </c>
      <c r="AG30">
        <v>60.14</v>
      </c>
      <c r="AH30">
        <v>50.39</v>
      </c>
      <c r="AI30">
        <v>55.67</v>
      </c>
    </row>
    <row r="31" spans="1:35" x14ac:dyDescent="0.45">
      <c r="A31" s="2">
        <v>46024</v>
      </c>
      <c r="B31">
        <v>34.909999999999997</v>
      </c>
      <c r="C31">
        <v>40.369999999999997</v>
      </c>
      <c r="D31">
        <v>18.809999999999999</v>
      </c>
      <c r="E31">
        <v>25.3</v>
      </c>
      <c r="F31">
        <v>36.25</v>
      </c>
      <c r="G31">
        <v>72.709999999999994</v>
      </c>
      <c r="H31">
        <v>27.42</v>
      </c>
      <c r="I31">
        <v>64.77</v>
      </c>
      <c r="J31">
        <v>69.66</v>
      </c>
      <c r="K31">
        <v>102.22</v>
      </c>
      <c r="L31">
        <v>32.200000000000003</v>
      </c>
      <c r="M31">
        <v>69.400000000000006</v>
      </c>
      <c r="N31">
        <v>67.444599999999994</v>
      </c>
      <c r="O31">
        <v>54.56</v>
      </c>
      <c r="P31">
        <v>62.24</v>
      </c>
      <c r="Q31">
        <v>18.824999999999999</v>
      </c>
      <c r="R31">
        <v>1280.05</v>
      </c>
      <c r="S31">
        <v>34.92</v>
      </c>
      <c r="T31">
        <v>19.2151</v>
      </c>
      <c r="U31">
        <v>19.11</v>
      </c>
      <c r="V31">
        <v>36.770000000000003</v>
      </c>
      <c r="W31">
        <v>45.471899999999998</v>
      </c>
      <c r="X31">
        <v>26.47</v>
      </c>
      <c r="Y31">
        <v>54.19</v>
      </c>
      <c r="Z31">
        <v>42.56</v>
      </c>
      <c r="AA31">
        <v>81.33</v>
      </c>
      <c r="AB31">
        <v>60.34</v>
      </c>
      <c r="AC31">
        <v>44.46</v>
      </c>
      <c r="AD31">
        <v>613.12</v>
      </c>
      <c r="AE31">
        <v>683.17</v>
      </c>
      <c r="AF31">
        <v>45.31</v>
      </c>
      <c r="AG31">
        <v>58.64</v>
      </c>
      <c r="AH31">
        <v>49.6</v>
      </c>
      <c r="AI31">
        <v>55.16</v>
      </c>
    </row>
    <row r="32" spans="1:35" x14ac:dyDescent="0.45">
      <c r="A32" s="2">
        <v>46022</v>
      </c>
      <c r="B32">
        <v>34.58</v>
      </c>
      <c r="C32">
        <v>40.4</v>
      </c>
      <c r="D32">
        <v>18.7</v>
      </c>
      <c r="E32">
        <v>24.92</v>
      </c>
      <c r="F32">
        <v>35.19</v>
      </c>
      <c r="G32">
        <v>72.349999999999994</v>
      </c>
      <c r="H32">
        <v>27.36</v>
      </c>
      <c r="I32">
        <v>63.53</v>
      </c>
      <c r="J32">
        <v>69.33</v>
      </c>
      <c r="K32">
        <v>97.22</v>
      </c>
      <c r="L32">
        <v>31.77</v>
      </c>
      <c r="M32">
        <v>68.8</v>
      </c>
      <c r="N32">
        <v>65.91</v>
      </c>
      <c r="O32">
        <v>54.05</v>
      </c>
      <c r="P32">
        <v>60.07</v>
      </c>
      <c r="Q32">
        <v>18.818300000000001</v>
      </c>
      <c r="R32">
        <v>1259.67</v>
      </c>
      <c r="S32">
        <v>34.42</v>
      </c>
      <c r="T32">
        <v>19.12</v>
      </c>
      <c r="U32">
        <v>19.079999999999998</v>
      </c>
      <c r="V32">
        <v>36.409999999999997</v>
      </c>
      <c r="W32">
        <v>45.271500000000003</v>
      </c>
      <c r="X32">
        <v>26.19</v>
      </c>
      <c r="Y32">
        <v>53.93</v>
      </c>
      <c r="Z32">
        <v>42.5</v>
      </c>
      <c r="AA32">
        <v>80.739999999999995</v>
      </c>
      <c r="AB32">
        <v>59.96</v>
      </c>
      <c r="AC32">
        <v>43.98</v>
      </c>
      <c r="AD32">
        <v>614.30999999999995</v>
      </c>
      <c r="AE32">
        <v>681.92</v>
      </c>
      <c r="AF32">
        <v>44.99</v>
      </c>
      <c r="AG32">
        <v>57.03</v>
      </c>
      <c r="AH32">
        <v>49.23</v>
      </c>
      <c r="AI32">
        <v>54.33</v>
      </c>
    </row>
    <row r="33" spans="1:35" x14ac:dyDescent="0.45">
      <c r="A33" s="2">
        <v>46021</v>
      </c>
      <c r="B33">
        <v>34.590000000000003</v>
      </c>
      <c r="C33">
        <v>40.54</v>
      </c>
      <c r="D33">
        <v>18.670000000000002</v>
      </c>
      <c r="E33">
        <v>25.06</v>
      </c>
      <c r="F33">
        <v>35.159999999999997</v>
      </c>
      <c r="G33">
        <v>72.91</v>
      </c>
      <c r="H33">
        <v>27.57</v>
      </c>
      <c r="I33">
        <v>63.71</v>
      </c>
      <c r="J33">
        <v>69.489999999999995</v>
      </c>
      <c r="K33">
        <v>98.62</v>
      </c>
      <c r="L33">
        <v>31.99</v>
      </c>
      <c r="M33">
        <v>69.23</v>
      </c>
      <c r="N33">
        <v>66.5</v>
      </c>
      <c r="O33">
        <v>53.64</v>
      </c>
      <c r="P33">
        <v>60.58</v>
      </c>
      <c r="Q33">
        <v>18.95</v>
      </c>
      <c r="R33">
        <v>1254.03</v>
      </c>
      <c r="S33">
        <v>34.42</v>
      </c>
      <c r="T33">
        <v>19.05</v>
      </c>
      <c r="U33">
        <v>19.010000000000002</v>
      </c>
      <c r="V33">
        <v>36.049999999999997</v>
      </c>
      <c r="W33">
        <v>45.41</v>
      </c>
      <c r="X33">
        <v>26.41</v>
      </c>
      <c r="Y33">
        <v>54.3</v>
      </c>
      <c r="Z33">
        <v>42.75</v>
      </c>
      <c r="AA33">
        <v>80.98</v>
      </c>
      <c r="AB33">
        <v>60.17</v>
      </c>
      <c r="AC33">
        <v>44.22</v>
      </c>
      <c r="AD33">
        <v>619.42999999999995</v>
      </c>
      <c r="AE33">
        <v>687.01</v>
      </c>
      <c r="AF33">
        <v>45.14</v>
      </c>
      <c r="AG33">
        <v>57.226999999999997</v>
      </c>
      <c r="AH33">
        <v>49.55</v>
      </c>
      <c r="AI33">
        <v>54.59</v>
      </c>
    </row>
    <row r="34" spans="1:35" x14ac:dyDescent="0.45">
      <c r="A34" s="2">
        <v>46020</v>
      </c>
      <c r="B34">
        <v>34.369999999999997</v>
      </c>
      <c r="C34">
        <v>40.15</v>
      </c>
      <c r="D34">
        <v>18.670000000000002</v>
      </c>
      <c r="E34">
        <v>25.09</v>
      </c>
      <c r="F34">
        <v>34.96</v>
      </c>
      <c r="G34">
        <v>71.95</v>
      </c>
      <c r="H34">
        <v>27.53</v>
      </c>
      <c r="I34">
        <v>63.33</v>
      </c>
      <c r="J34">
        <v>70.510000000000005</v>
      </c>
      <c r="K34">
        <v>98.72</v>
      </c>
      <c r="L34">
        <v>31.42</v>
      </c>
      <c r="M34">
        <v>68.430000000000007</v>
      </c>
      <c r="N34">
        <v>68</v>
      </c>
      <c r="O34">
        <v>53.47</v>
      </c>
      <c r="P34">
        <v>60.37</v>
      </c>
      <c r="Q34">
        <v>18.8751</v>
      </c>
      <c r="R34">
        <v>1259.25</v>
      </c>
      <c r="S34">
        <v>34.409999999999997</v>
      </c>
      <c r="T34">
        <v>19.600000000000001</v>
      </c>
      <c r="U34">
        <v>18.920000000000002</v>
      </c>
      <c r="V34">
        <v>36.39</v>
      </c>
      <c r="W34">
        <v>45.41</v>
      </c>
      <c r="X34">
        <v>26.48</v>
      </c>
      <c r="Y34">
        <v>54.33</v>
      </c>
      <c r="Z34">
        <v>42.51</v>
      </c>
      <c r="AA34">
        <v>81.09</v>
      </c>
      <c r="AB34">
        <v>60.35</v>
      </c>
      <c r="AC34">
        <v>44.02</v>
      </c>
      <c r="AD34">
        <v>620.87</v>
      </c>
      <c r="AE34">
        <v>687.85</v>
      </c>
      <c r="AF34">
        <v>44.99</v>
      </c>
      <c r="AG34">
        <v>57</v>
      </c>
      <c r="AH34">
        <v>49.32</v>
      </c>
      <c r="AI34">
        <v>54.16</v>
      </c>
    </row>
    <row r="35" spans="1:35" x14ac:dyDescent="0.45">
      <c r="A35" s="2">
        <v>46017</v>
      </c>
      <c r="B35">
        <v>34.71</v>
      </c>
      <c r="C35">
        <v>40.29</v>
      </c>
      <c r="D35">
        <v>18.47</v>
      </c>
      <c r="E35">
        <v>25.08</v>
      </c>
      <c r="F35">
        <v>35.200000000000003</v>
      </c>
      <c r="G35">
        <v>73.77</v>
      </c>
      <c r="H35">
        <v>27.64</v>
      </c>
      <c r="I35">
        <v>63.02</v>
      </c>
      <c r="J35">
        <v>71.150000000000006</v>
      </c>
      <c r="K35">
        <v>95.84</v>
      </c>
      <c r="L35">
        <v>31.73</v>
      </c>
      <c r="M35">
        <v>70.31</v>
      </c>
      <c r="N35">
        <v>68.61</v>
      </c>
      <c r="O35">
        <v>53.84</v>
      </c>
      <c r="P35">
        <v>61.27</v>
      </c>
      <c r="Q35">
        <v>18.864999999999998</v>
      </c>
      <c r="R35">
        <v>1264.77</v>
      </c>
      <c r="S35">
        <v>34.76</v>
      </c>
      <c r="T35">
        <v>19.54</v>
      </c>
      <c r="U35">
        <v>18.399999999999999</v>
      </c>
      <c r="V35">
        <v>36.57</v>
      </c>
      <c r="W35">
        <v>45.73</v>
      </c>
      <c r="X35">
        <v>26.68</v>
      </c>
      <c r="Y35">
        <v>54.8</v>
      </c>
      <c r="Z35">
        <v>42.65</v>
      </c>
      <c r="AA35">
        <v>80.97</v>
      </c>
      <c r="AB35">
        <v>60.54</v>
      </c>
      <c r="AC35">
        <v>44.24</v>
      </c>
      <c r="AD35">
        <v>623.89</v>
      </c>
      <c r="AE35">
        <v>690.31</v>
      </c>
      <c r="AF35">
        <v>45.18</v>
      </c>
      <c r="AG35">
        <v>57.16</v>
      </c>
      <c r="AH35">
        <v>49.65</v>
      </c>
      <c r="AI35">
        <v>54.62</v>
      </c>
    </row>
    <row r="36" spans="1:35" x14ac:dyDescent="0.45">
      <c r="A36" s="2">
        <v>46015</v>
      </c>
      <c r="B36">
        <v>34.44</v>
      </c>
      <c r="C36">
        <v>40.03</v>
      </c>
      <c r="D36">
        <v>18.45</v>
      </c>
      <c r="E36">
        <v>24.94</v>
      </c>
      <c r="F36">
        <v>35.15</v>
      </c>
      <c r="G36">
        <v>72.739999999999995</v>
      </c>
      <c r="H36">
        <v>27.69</v>
      </c>
      <c r="I36">
        <v>62.53</v>
      </c>
      <c r="J36">
        <v>70.95</v>
      </c>
      <c r="K36">
        <v>94.6</v>
      </c>
      <c r="L36">
        <v>31.55</v>
      </c>
      <c r="M36">
        <v>69.92</v>
      </c>
      <c r="N36">
        <v>68.16</v>
      </c>
      <c r="O36">
        <v>54.01</v>
      </c>
      <c r="P36">
        <v>60.61</v>
      </c>
      <c r="Q36">
        <v>18.96</v>
      </c>
      <c r="R36">
        <v>1275.33</v>
      </c>
      <c r="S36">
        <v>34.869999999999997</v>
      </c>
      <c r="T36">
        <v>19.52</v>
      </c>
      <c r="U36">
        <v>19.010000000000002</v>
      </c>
      <c r="V36">
        <v>36.6</v>
      </c>
      <c r="W36">
        <v>45.74</v>
      </c>
      <c r="X36">
        <v>26.6</v>
      </c>
      <c r="Y36">
        <v>54.6</v>
      </c>
      <c r="Z36">
        <v>42.57</v>
      </c>
      <c r="AA36">
        <v>81</v>
      </c>
      <c r="AB36">
        <v>60.53</v>
      </c>
      <c r="AC36">
        <v>44.08</v>
      </c>
      <c r="AD36">
        <v>623.92999999999995</v>
      </c>
      <c r="AE36">
        <v>690.38</v>
      </c>
      <c r="AF36">
        <v>44.98</v>
      </c>
      <c r="AG36">
        <v>57.1</v>
      </c>
      <c r="AH36">
        <v>49.31</v>
      </c>
      <c r="AI36">
        <v>54.56</v>
      </c>
    </row>
    <row r="37" spans="1:35" x14ac:dyDescent="0.45">
      <c r="A37" s="2">
        <v>46014</v>
      </c>
      <c r="B37">
        <v>34.31</v>
      </c>
      <c r="C37">
        <v>39.92</v>
      </c>
      <c r="D37">
        <v>18.559999999999999</v>
      </c>
      <c r="E37">
        <v>24.93</v>
      </c>
      <c r="F37">
        <v>34.99</v>
      </c>
      <c r="G37">
        <v>72.78</v>
      </c>
      <c r="H37">
        <v>27.53</v>
      </c>
      <c r="I37">
        <v>62.5</v>
      </c>
      <c r="J37">
        <v>71.040000000000006</v>
      </c>
      <c r="K37">
        <v>92.7</v>
      </c>
      <c r="L37">
        <v>31.65</v>
      </c>
      <c r="M37">
        <v>69.540000000000006</v>
      </c>
      <c r="N37">
        <v>68.209999999999994</v>
      </c>
      <c r="O37">
        <v>54.47</v>
      </c>
      <c r="P37">
        <v>60.67</v>
      </c>
      <c r="Q37">
        <v>18.930199999999999</v>
      </c>
      <c r="R37">
        <v>1271.1099999999999</v>
      </c>
      <c r="S37">
        <v>34.814999999999998</v>
      </c>
      <c r="T37">
        <v>19.559999999999999</v>
      </c>
      <c r="U37">
        <v>19.079999999999998</v>
      </c>
      <c r="V37">
        <v>36.76</v>
      </c>
      <c r="W37">
        <v>45.54</v>
      </c>
      <c r="X37">
        <v>26.61</v>
      </c>
      <c r="Y37">
        <v>54.54</v>
      </c>
      <c r="Z37">
        <v>42.44</v>
      </c>
      <c r="AA37">
        <v>81.14</v>
      </c>
      <c r="AB37">
        <v>60.4</v>
      </c>
      <c r="AC37">
        <v>43.98</v>
      </c>
      <c r="AD37">
        <v>622.11</v>
      </c>
      <c r="AE37">
        <v>687.96</v>
      </c>
      <c r="AF37">
        <v>44.9</v>
      </c>
      <c r="AG37">
        <v>56.84</v>
      </c>
      <c r="AH37">
        <v>49.21</v>
      </c>
      <c r="AI37">
        <v>54.4</v>
      </c>
    </row>
    <row r="38" spans="1:35" x14ac:dyDescent="0.45">
      <c r="A38" s="2">
        <v>46013</v>
      </c>
      <c r="B38">
        <v>34.24</v>
      </c>
      <c r="C38">
        <v>39.79</v>
      </c>
      <c r="D38">
        <v>18.68</v>
      </c>
      <c r="E38">
        <v>24.96</v>
      </c>
      <c r="F38">
        <v>35.200000000000003</v>
      </c>
      <c r="G38">
        <v>72.08</v>
      </c>
      <c r="H38">
        <v>27.41</v>
      </c>
      <c r="I38">
        <v>61.98</v>
      </c>
      <c r="J38">
        <v>69.95</v>
      </c>
      <c r="K38">
        <v>91.75</v>
      </c>
      <c r="L38">
        <v>30.97</v>
      </c>
      <c r="M38">
        <v>68.790000000000006</v>
      </c>
      <c r="N38">
        <v>68.39</v>
      </c>
      <c r="O38">
        <v>54.19</v>
      </c>
      <c r="P38">
        <v>60.89</v>
      </c>
      <c r="Q38">
        <v>18.839600000000001</v>
      </c>
      <c r="R38">
        <v>1269.68</v>
      </c>
      <c r="S38">
        <v>34.61</v>
      </c>
      <c r="T38">
        <v>19.45</v>
      </c>
      <c r="U38">
        <v>18.61</v>
      </c>
      <c r="V38">
        <v>36.549999999999997</v>
      </c>
      <c r="W38">
        <v>45.18</v>
      </c>
      <c r="X38">
        <v>26.15</v>
      </c>
      <c r="Y38">
        <v>54.17</v>
      </c>
      <c r="Z38">
        <v>42.34</v>
      </c>
      <c r="AA38">
        <v>80.459999999999994</v>
      </c>
      <c r="AB38">
        <v>59.93</v>
      </c>
      <c r="AC38">
        <v>43.79</v>
      </c>
      <c r="AD38">
        <v>619.21</v>
      </c>
      <c r="AE38">
        <v>684.83</v>
      </c>
      <c r="AF38">
        <v>44.96</v>
      </c>
      <c r="AG38">
        <v>57.01</v>
      </c>
      <c r="AH38">
        <v>48.8</v>
      </c>
      <c r="AI38">
        <v>54.24</v>
      </c>
    </row>
    <row r="39" spans="1:35" x14ac:dyDescent="0.45">
      <c r="A39" s="2">
        <v>46010</v>
      </c>
      <c r="B39">
        <v>33.89</v>
      </c>
      <c r="C39">
        <v>39.31</v>
      </c>
      <c r="D39">
        <v>18.579999999999998</v>
      </c>
      <c r="E39">
        <v>24.66</v>
      </c>
      <c r="F39">
        <v>34.78</v>
      </c>
      <c r="G39">
        <v>71.2</v>
      </c>
      <c r="H39">
        <v>27.2</v>
      </c>
      <c r="I39">
        <v>61.64</v>
      </c>
      <c r="J39">
        <v>68.849999999999994</v>
      </c>
      <c r="K39">
        <v>91.34</v>
      </c>
      <c r="L39">
        <v>31.17</v>
      </c>
      <c r="M39">
        <v>67.599999999999994</v>
      </c>
      <c r="N39">
        <v>67.25</v>
      </c>
      <c r="O39">
        <v>54.15</v>
      </c>
      <c r="P39">
        <v>60.63</v>
      </c>
      <c r="Q39">
        <v>18.774999999999999</v>
      </c>
      <c r="R39">
        <v>1252.19</v>
      </c>
      <c r="S39">
        <v>34.86</v>
      </c>
      <c r="T39">
        <v>19.25</v>
      </c>
      <c r="U39">
        <v>18.39</v>
      </c>
      <c r="V39">
        <v>36.36</v>
      </c>
      <c r="W39">
        <v>44.82</v>
      </c>
      <c r="X39">
        <v>25.88</v>
      </c>
      <c r="Y39">
        <v>53.68</v>
      </c>
      <c r="Z39">
        <v>42.1</v>
      </c>
      <c r="AA39">
        <v>80.58</v>
      </c>
      <c r="AB39">
        <v>59.57</v>
      </c>
      <c r="AC39">
        <v>43.54</v>
      </c>
      <c r="AD39">
        <v>617.04999999999995</v>
      </c>
      <c r="AE39">
        <v>680.59</v>
      </c>
      <c r="AF39">
        <v>44.91</v>
      </c>
      <c r="AG39">
        <v>56.61</v>
      </c>
      <c r="AH39">
        <v>48.55</v>
      </c>
      <c r="AI39">
        <v>54.21</v>
      </c>
    </row>
    <row r="40" spans="1:35" x14ac:dyDescent="0.45">
      <c r="A40" s="2">
        <v>46009</v>
      </c>
      <c r="B40">
        <v>33.58</v>
      </c>
      <c r="C40">
        <v>38.69</v>
      </c>
      <c r="D40">
        <v>18.63</v>
      </c>
      <c r="E40">
        <v>25.01</v>
      </c>
      <c r="F40">
        <v>34.409999999999997</v>
      </c>
      <c r="G40">
        <v>69.98</v>
      </c>
      <c r="H40">
        <v>26.88</v>
      </c>
      <c r="I40">
        <v>60.87</v>
      </c>
      <c r="J40">
        <v>68.75</v>
      </c>
      <c r="K40">
        <v>90.07</v>
      </c>
      <c r="L40">
        <v>31.17</v>
      </c>
      <c r="M40">
        <v>67.510000000000005</v>
      </c>
      <c r="N40">
        <v>66.94</v>
      </c>
      <c r="O40">
        <v>53.28</v>
      </c>
      <c r="P40">
        <v>59.99</v>
      </c>
      <c r="Q40">
        <v>18.739999999999998</v>
      </c>
      <c r="R40">
        <v>1250.07</v>
      </c>
      <c r="S40">
        <v>34.82</v>
      </c>
      <c r="T40">
        <v>19.309999999999999</v>
      </c>
      <c r="U40">
        <v>17.88</v>
      </c>
      <c r="V40">
        <v>36.299999999999997</v>
      </c>
      <c r="W40">
        <v>44.6999</v>
      </c>
      <c r="X40">
        <v>25.81</v>
      </c>
      <c r="Y40">
        <v>53.22</v>
      </c>
      <c r="Z40">
        <v>41.94</v>
      </c>
      <c r="AA40">
        <v>79.97</v>
      </c>
      <c r="AB40">
        <v>59.47</v>
      </c>
      <c r="AC40">
        <v>43.13</v>
      </c>
      <c r="AD40">
        <v>609.11</v>
      </c>
      <c r="AE40">
        <v>676.47</v>
      </c>
      <c r="AF40">
        <v>44.8</v>
      </c>
      <c r="AG40">
        <v>56.02</v>
      </c>
      <c r="AH40">
        <v>48.18</v>
      </c>
      <c r="AI40">
        <v>53.81</v>
      </c>
    </row>
    <row r="41" spans="1:35" x14ac:dyDescent="0.45">
      <c r="A41" s="2">
        <v>46008</v>
      </c>
      <c r="B41">
        <v>33.630000000000003</v>
      </c>
      <c r="C41">
        <v>38.28</v>
      </c>
      <c r="D41">
        <v>18.600000000000001</v>
      </c>
      <c r="E41">
        <v>25.1</v>
      </c>
      <c r="F41">
        <v>34.270000000000003</v>
      </c>
      <c r="G41">
        <v>69.180000000000007</v>
      </c>
      <c r="H41">
        <v>26.6</v>
      </c>
      <c r="I41">
        <v>60.03</v>
      </c>
      <c r="J41">
        <v>67.45</v>
      </c>
      <c r="K41">
        <v>88.58</v>
      </c>
      <c r="L41">
        <v>31</v>
      </c>
      <c r="M41">
        <v>66.64</v>
      </c>
      <c r="N41">
        <v>66.25</v>
      </c>
      <c r="O41">
        <v>52.97</v>
      </c>
      <c r="P41">
        <v>59.47</v>
      </c>
      <c r="Q41">
        <v>18.6081</v>
      </c>
      <c r="R41">
        <v>1256.8499999999999</v>
      </c>
      <c r="S41">
        <v>34.734999999999999</v>
      </c>
      <c r="T41">
        <v>19.1129</v>
      </c>
      <c r="U41">
        <v>17.54</v>
      </c>
      <c r="V41">
        <v>35.83</v>
      </c>
      <c r="W41">
        <v>44.634999999999998</v>
      </c>
      <c r="X41">
        <v>25.58</v>
      </c>
      <c r="Y41">
        <v>52.81</v>
      </c>
      <c r="Z41">
        <v>41.61</v>
      </c>
      <c r="AA41">
        <v>79.739999999999995</v>
      </c>
      <c r="AB41">
        <v>58.84</v>
      </c>
      <c r="AC41">
        <v>42.94</v>
      </c>
      <c r="AD41">
        <v>600.41</v>
      </c>
      <c r="AE41">
        <v>671.4</v>
      </c>
      <c r="AF41">
        <v>44.62</v>
      </c>
      <c r="AG41">
        <v>55.57</v>
      </c>
      <c r="AH41">
        <v>47.62</v>
      </c>
      <c r="AI41">
        <v>53.51</v>
      </c>
    </row>
    <row r="42" spans="1:35" x14ac:dyDescent="0.45">
      <c r="A42" s="2">
        <v>46007</v>
      </c>
      <c r="B42">
        <v>33.197000000000003</v>
      </c>
      <c r="C42">
        <v>38.840000000000003</v>
      </c>
      <c r="D42">
        <v>18.670000000000002</v>
      </c>
      <c r="E42">
        <v>25.19</v>
      </c>
      <c r="F42">
        <v>34.409999999999997</v>
      </c>
      <c r="G42">
        <v>69.3</v>
      </c>
      <c r="H42">
        <v>26.79</v>
      </c>
      <c r="I42">
        <v>61.12</v>
      </c>
      <c r="J42">
        <v>68.28</v>
      </c>
      <c r="K42">
        <v>89.52</v>
      </c>
      <c r="L42">
        <v>31.6</v>
      </c>
      <c r="M42">
        <v>65.7</v>
      </c>
      <c r="N42">
        <v>66.81</v>
      </c>
      <c r="O42">
        <v>52.95</v>
      </c>
      <c r="P42">
        <v>59.7</v>
      </c>
      <c r="Q42">
        <v>18.696899999999999</v>
      </c>
      <c r="R42">
        <v>1260.68</v>
      </c>
      <c r="S42">
        <v>34.71</v>
      </c>
      <c r="T42">
        <v>19.239999999999998</v>
      </c>
      <c r="U42">
        <v>17.850000000000001</v>
      </c>
      <c r="V42">
        <v>36.090000000000003</v>
      </c>
      <c r="W42">
        <v>45.1265</v>
      </c>
      <c r="X42">
        <v>25.82</v>
      </c>
      <c r="Y42">
        <v>52.98</v>
      </c>
      <c r="Z42">
        <v>42.03</v>
      </c>
      <c r="AA42">
        <v>80.849999999999994</v>
      </c>
      <c r="AB42">
        <v>59.02</v>
      </c>
      <c r="AC42">
        <v>42.73</v>
      </c>
      <c r="AD42">
        <v>611.75</v>
      </c>
      <c r="AE42">
        <v>678.87</v>
      </c>
      <c r="AF42">
        <v>44.94</v>
      </c>
      <c r="AG42">
        <v>56.41</v>
      </c>
      <c r="AH42">
        <v>48.23</v>
      </c>
      <c r="AI42">
        <v>53.58</v>
      </c>
    </row>
    <row r="43" spans="1:35" x14ac:dyDescent="0.45">
      <c r="A43" s="2">
        <v>46006</v>
      </c>
      <c r="B43">
        <v>34.049999999999997</v>
      </c>
      <c r="C43">
        <v>38.994999999999997</v>
      </c>
      <c r="D43">
        <v>18.86</v>
      </c>
      <c r="E43">
        <v>24.95</v>
      </c>
      <c r="F43">
        <v>35.9</v>
      </c>
      <c r="G43">
        <v>69.25</v>
      </c>
      <c r="H43">
        <v>27.09</v>
      </c>
      <c r="I43">
        <v>64.11</v>
      </c>
      <c r="J43">
        <v>70.48</v>
      </c>
      <c r="K43">
        <v>92.73</v>
      </c>
      <c r="L43">
        <v>33.58</v>
      </c>
      <c r="M43">
        <v>69.61</v>
      </c>
      <c r="N43">
        <v>67.45</v>
      </c>
      <c r="O43">
        <v>53.1</v>
      </c>
      <c r="P43">
        <v>60.87</v>
      </c>
      <c r="Q43">
        <v>19.010000000000002</v>
      </c>
      <c r="R43">
        <v>1273.4000000000001</v>
      </c>
      <c r="S43">
        <v>35.29</v>
      </c>
      <c r="T43">
        <v>19.38</v>
      </c>
      <c r="U43">
        <v>17.420000000000002</v>
      </c>
      <c r="V43">
        <v>36.81</v>
      </c>
      <c r="W43">
        <v>45.75</v>
      </c>
      <c r="X43">
        <v>26.42</v>
      </c>
      <c r="Y43">
        <v>53.8</v>
      </c>
      <c r="Z43">
        <v>42.1</v>
      </c>
      <c r="AA43">
        <v>84.87</v>
      </c>
      <c r="AB43">
        <v>59.06</v>
      </c>
      <c r="AC43">
        <v>43.75</v>
      </c>
      <c r="AD43">
        <v>610.54</v>
      </c>
      <c r="AE43">
        <v>680.73</v>
      </c>
      <c r="AF43">
        <v>45.18</v>
      </c>
      <c r="AG43">
        <v>58.76</v>
      </c>
      <c r="AH43">
        <v>49.11</v>
      </c>
      <c r="AI43">
        <v>54.35</v>
      </c>
    </row>
    <row r="44" spans="1:35" x14ac:dyDescent="0.45">
      <c r="A44" s="2">
        <v>46003</v>
      </c>
      <c r="B44">
        <v>34.08</v>
      </c>
      <c r="C44">
        <v>39.78</v>
      </c>
      <c r="D44">
        <v>18.760000000000002</v>
      </c>
      <c r="E44">
        <v>24.9</v>
      </c>
      <c r="F44">
        <v>35.200000000000003</v>
      </c>
      <c r="G44">
        <v>69.3</v>
      </c>
      <c r="H44">
        <v>26.98</v>
      </c>
      <c r="I44">
        <v>64.099999999999994</v>
      </c>
      <c r="J44">
        <v>70.69</v>
      </c>
      <c r="K44">
        <v>92.67</v>
      </c>
      <c r="L44">
        <v>33.32</v>
      </c>
      <c r="M44">
        <v>68.63</v>
      </c>
      <c r="N44">
        <v>67.239999999999995</v>
      </c>
      <c r="O44">
        <v>53.14</v>
      </c>
      <c r="P44">
        <v>61.52</v>
      </c>
      <c r="Q44">
        <v>19.32</v>
      </c>
      <c r="R44">
        <v>1254.0999999999999</v>
      </c>
      <c r="S44">
        <v>34.82</v>
      </c>
      <c r="T44">
        <v>19.350000000000001</v>
      </c>
      <c r="U44">
        <v>17.489999999999998</v>
      </c>
      <c r="V44">
        <v>37.4</v>
      </c>
      <c r="W44">
        <v>45.71</v>
      </c>
      <c r="X44">
        <v>26.52</v>
      </c>
      <c r="Y44">
        <v>53.89</v>
      </c>
      <c r="Z44">
        <v>42.18</v>
      </c>
      <c r="AA44">
        <v>84</v>
      </c>
      <c r="AB44">
        <v>58.37</v>
      </c>
      <c r="AC44">
        <v>43.28</v>
      </c>
      <c r="AD44">
        <v>613.62</v>
      </c>
      <c r="AE44">
        <v>681.76</v>
      </c>
      <c r="AF44">
        <v>44.88</v>
      </c>
      <c r="AG44">
        <v>58.6</v>
      </c>
      <c r="AH44">
        <v>49.38</v>
      </c>
      <c r="AI44">
        <v>53.66</v>
      </c>
    </row>
    <row r="45" spans="1:35" x14ac:dyDescent="0.45">
      <c r="A45" s="2">
        <v>46002</v>
      </c>
      <c r="B45">
        <v>34.090000000000003</v>
      </c>
      <c r="C45">
        <v>39.28</v>
      </c>
      <c r="D45">
        <v>18.68</v>
      </c>
      <c r="E45">
        <v>25.02</v>
      </c>
      <c r="F45">
        <v>35.270000000000003</v>
      </c>
      <c r="G45">
        <v>69.680000000000007</v>
      </c>
      <c r="H45">
        <v>26.87</v>
      </c>
      <c r="I45">
        <v>65.92</v>
      </c>
      <c r="J45">
        <v>71.06</v>
      </c>
      <c r="K45">
        <v>94.96</v>
      </c>
      <c r="L45">
        <v>33.159999999999997</v>
      </c>
      <c r="M45">
        <v>69.5</v>
      </c>
      <c r="N45">
        <v>67.67</v>
      </c>
      <c r="O45">
        <v>53.57</v>
      </c>
      <c r="P45">
        <v>61.69</v>
      </c>
      <c r="Q45">
        <v>19.315000000000001</v>
      </c>
      <c r="R45">
        <v>1253.54</v>
      </c>
      <c r="S45">
        <v>34.82</v>
      </c>
      <c r="T45">
        <v>19.510000000000002</v>
      </c>
      <c r="U45">
        <v>18.27</v>
      </c>
      <c r="V45">
        <v>37.619999999999997</v>
      </c>
      <c r="W45">
        <v>46.35</v>
      </c>
      <c r="X45">
        <v>26.64</v>
      </c>
      <c r="Y45">
        <v>54.08</v>
      </c>
      <c r="Z45">
        <v>42.39</v>
      </c>
      <c r="AA45">
        <v>84.22</v>
      </c>
      <c r="AB45">
        <v>58.49</v>
      </c>
      <c r="AC45">
        <v>43.65</v>
      </c>
      <c r="AD45">
        <v>625.58000000000004</v>
      </c>
      <c r="AE45">
        <v>689.17</v>
      </c>
      <c r="AF45">
        <v>45</v>
      </c>
      <c r="AG45">
        <v>59.5</v>
      </c>
      <c r="AH45">
        <v>49.67</v>
      </c>
      <c r="AI45">
        <v>53.95</v>
      </c>
    </row>
    <row r="46" spans="1:35" x14ac:dyDescent="0.45">
      <c r="A46" s="2">
        <v>46001</v>
      </c>
      <c r="B46">
        <v>34.340000000000003</v>
      </c>
      <c r="C46">
        <v>38.75</v>
      </c>
      <c r="D46">
        <v>18.86</v>
      </c>
      <c r="E46">
        <v>24.73</v>
      </c>
      <c r="F46">
        <v>34.880000000000003</v>
      </c>
      <c r="G46">
        <v>68.290000000000006</v>
      </c>
      <c r="H46">
        <v>26.52</v>
      </c>
      <c r="I46">
        <v>66.8</v>
      </c>
      <c r="J46">
        <v>69.040000000000006</v>
      </c>
      <c r="K46">
        <v>96.75</v>
      </c>
      <c r="L46">
        <v>32.770000000000003</v>
      </c>
      <c r="M46">
        <v>68.180000000000007</v>
      </c>
      <c r="N46">
        <v>66.77</v>
      </c>
      <c r="O46">
        <v>53.36</v>
      </c>
      <c r="P46">
        <v>61.81</v>
      </c>
      <c r="Q46">
        <v>19.168500000000002</v>
      </c>
      <c r="R46">
        <v>1269.8699999999999</v>
      </c>
      <c r="S46">
        <v>34.729999999999997</v>
      </c>
      <c r="T46">
        <v>19.440100000000001</v>
      </c>
      <c r="U46">
        <v>18.28</v>
      </c>
      <c r="V46">
        <v>37.659999999999997</v>
      </c>
      <c r="W46">
        <v>46.2943</v>
      </c>
      <c r="X46">
        <v>26.65</v>
      </c>
      <c r="Y46">
        <v>53.72</v>
      </c>
      <c r="Z46">
        <v>41.94</v>
      </c>
      <c r="AA46">
        <v>83.91</v>
      </c>
      <c r="AB46">
        <v>58.38</v>
      </c>
      <c r="AC46">
        <v>43.46</v>
      </c>
      <c r="AD46">
        <v>627.61</v>
      </c>
      <c r="AE46">
        <v>687.57</v>
      </c>
      <c r="AF46">
        <v>44.58</v>
      </c>
      <c r="AG46">
        <v>58.8</v>
      </c>
      <c r="AH46">
        <v>49.36</v>
      </c>
      <c r="AI46">
        <v>53.55</v>
      </c>
    </row>
    <row r="47" spans="1:35" x14ac:dyDescent="0.45">
      <c r="A47" s="2">
        <v>46000</v>
      </c>
      <c r="B47">
        <v>34.225000000000001</v>
      </c>
      <c r="C47">
        <v>38.340000000000003</v>
      </c>
      <c r="D47">
        <v>18.68</v>
      </c>
      <c r="E47">
        <v>24.67</v>
      </c>
      <c r="F47">
        <v>34.25</v>
      </c>
      <c r="G47">
        <v>67.48</v>
      </c>
      <c r="H47">
        <v>26.37</v>
      </c>
      <c r="I47">
        <v>65.72</v>
      </c>
      <c r="J47">
        <v>69.27</v>
      </c>
      <c r="K47">
        <v>95.57</v>
      </c>
      <c r="L47">
        <v>32.74</v>
      </c>
      <c r="M47">
        <v>66.91</v>
      </c>
      <c r="N47">
        <v>65.8</v>
      </c>
      <c r="O47">
        <v>53.27</v>
      </c>
      <c r="P47">
        <v>61.35</v>
      </c>
      <c r="Q47">
        <v>19.041399999999999</v>
      </c>
      <c r="R47">
        <v>1261.3900000000001</v>
      </c>
      <c r="S47">
        <v>34.659999999999997</v>
      </c>
      <c r="T47">
        <v>19.38</v>
      </c>
      <c r="U47">
        <v>18.649999999999999</v>
      </c>
      <c r="V47">
        <v>37.43</v>
      </c>
      <c r="W47">
        <v>45.950400000000002</v>
      </c>
      <c r="X47">
        <v>26.35</v>
      </c>
      <c r="Y47">
        <v>53.07</v>
      </c>
      <c r="Z47">
        <v>41.53</v>
      </c>
      <c r="AA47">
        <v>83.31</v>
      </c>
      <c r="AB47">
        <v>57.69</v>
      </c>
      <c r="AC47">
        <v>42.88</v>
      </c>
      <c r="AD47">
        <v>625.04999999999995</v>
      </c>
      <c r="AE47">
        <v>683.04</v>
      </c>
      <c r="AF47">
        <v>44.21</v>
      </c>
      <c r="AG47">
        <v>58.55</v>
      </c>
      <c r="AH47">
        <v>48.55</v>
      </c>
      <c r="AI47">
        <v>53.02</v>
      </c>
    </row>
    <row r="48" spans="1:35" x14ac:dyDescent="0.45">
      <c r="A48" s="2">
        <v>45999</v>
      </c>
      <c r="B48">
        <v>34.36</v>
      </c>
      <c r="C48">
        <v>38.24</v>
      </c>
      <c r="D48">
        <v>18.87</v>
      </c>
      <c r="E48">
        <v>24.58</v>
      </c>
      <c r="F48">
        <v>33.51</v>
      </c>
      <c r="G48">
        <v>66.53</v>
      </c>
      <c r="H48">
        <v>26.32</v>
      </c>
      <c r="I48">
        <v>65.569999999999993</v>
      </c>
      <c r="J48">
        <v>68.64</v>
      </c>
      <c r="K48">
        <v>95.07</v>
      </c>
      <c r="L48">
        <v>32.75</v>
      </c>
      <c r="M48">
        <v>66.39</v>
      </c>
      <c r="N48">
        <v>66.97</v>
      </c>
      <c r="O48">
        <v>53.08</v>
      </c>
      <c r="P48">
        <v>62.22</v>
      </c>
      <c r="Q48">
        <v>18.955400000000001</v>
      </c>
      <c r="R48">
        <v>1273.77</v>
      </c>
      <c r="S48">
        <v>34.42</v>
      </c>
      <c r="T48">
        <v>19.079999999999998</v>
      </c>
      <c r="U48">
        <v>18.72</v>
      </c>
      <c r="V48">
        <v>37.19</v>
      </c>
      <c r="W48">
        <v>46.026699999999998</v>
      </c>
      <c r="X48">
        <v>26.24</v>
      </c>
      <c r="Y48">
        <v>52.95</v>
      </c>
      <c r="Z48">
        <v>41.34</v>
      </c>
      <c r="AA48">
        <v>83.19</v>
      </c>
      <c r="AB48">
        <v>57.76</v>
      </c>
      <c r="AC48">
        <v>43.08</v>
      </c>
      <c r="AD48">
        <v>624.28</v>
      </c>
      <c r="AE48">
        <v>683.63</v>
      </c>
      <c r="AF48">
        <v>44.65</v>
      </c>
      <c r="AG48">
        <v>58.7224</v>
      </c>
      <c r="AH48">
        <v>48.4</v>
      </c>
      <c r="AI48">
        <v>52.98</v>
      </c>
    </row>
    <row r="49" spans="1:35" x14ac:dyDescent="0.45">
      <c r="A49" s="2">
        <v>45996</v>
      </c>
      <c r="B49">
        <v>34.21</v>
      </c>
      <c r="C49">
        <v>38.18</v>
      </c>
      <c r="D49">
        <v>18.82</v>
      </c>
      <c r="E49">
        <v>24.73</v>
      </c>
      <c r="F49">
        <v>33.44</v>
      </c>
      <c r="G49">
        <v>67.03</v>
      </c>
      <c r="H49">
        <v>26.64</v>
      </c>
      <c r="I49">
        <v>65.349999999999994</v>
      </c>
      <c r="J49">
        <v>68.680000000000007</v>
      </c>
      <c r="K49">
        <v>94.3</v>
      </c>
      <c r="L49">
        <v>32.53</v>
      </c>
      <c r="M49">
        <v>67.88</v>
      </c>
      <c r="N49">
        <v>66.45</v>
      </c>
      <c r="O49">
        <v>53.97</v>
      </c>
      <c r="P49">
        <v>62.66</v>
      </c>
      <c r="Q49">
        <v>18.930399999999999</v>
      </c>
      <c r="R49">
        <v>1274.82</v>
      </c>
      <c r="S49">
        <v>33.840000000000003</v>
      </c>
      <c r="T49">
        <v>19.22</v>
      </c>
      <c r="U49">
        <v>18.649999999999999</v>
      </c>
      <c r="V49">
        <v>37.200000000000003</v>
      </c>
      <c r="W49">
        <v>45.994999999999997</v>
      </c>
      <c r="X49">
        <v>26.34</v>
      </c>
      <c r="Y49">
        <v>53.29</v>
      </c>
      <c r="Z49">
        <v>41.41</v>
      </c>
      <c r="AA49">
        <v>83.7</v>
      </c>
      <c r="AB49">
        <v>58.03</v>
      </c>
      <c r="AC49">
        <v>43.22</v>
      </c>
      <c r="AD49">
        <v>625.48</v>
      </c>
      <c r="AE49">
        <v>685.69</v>
      </c>
      <c r="AF49">
        <v>44.62</v>
      </c>
      <c r="AG49">
        <v>58.55</v>
      </c>
      <c r="AH49">
        <v>48.37</v>
      </c>
      <c r="AI49">
        <v>52.98</v>
      </c>
    </row>
    <row r="50" spans="1:35" x14ac:dyDescent="0.45">
      <c r="A50" s="2">
        <v>45995</v>
      </c>
      <c r="B50">
        <v>33.74</v>
      </c>
      <c r="C50">
        <v>38.51</v>
      </c>
      <c r="D50">
        <v>18.79</v>
      </c>
      <c r="E50">
        <v>24.2</v>
      </c>
      <c r="F50">
        <v>33.53</v>
      </c>
      <c r="G50">
        <v>67</v>
      </c>
      <c r="H50">
        <v>26.59</v>
      </c>
      <c r="I50">
        <v>64.510000000000005</v>
      </c>
      <c r="J50">
        <v>68.819999999999993</v>
      </c>
      <c r="K50">
        <v>91.87</v>
      </c>
      <c r="L50">
        <v>34.72</v>
      </c>
      <c r="M50">
        <v>67.05</v>
      </c>
      <c r="N50">
        <v>66.3</v>
      </c>
      <c r="O50">
        <v>53.76</v>
      </c>
      <c r="P50">
        <v>61.98</v>
      </c>
      <c r="Q50">
        <v>18.940200000000001</v>
      </c>
      <c r="R50">
        <v>1277.58</v>
      </c>
      <c r="S50">
        <v>33.549999999999997</v>
      </c>
      <c r="T50">
        <v>19.05</v>
      </c>
      <c r="U50">
        <v>18.59</v>
      </c>
      <c r="V50">
        <v>37.17</v>
      </c>
      <c r="W50">
        <v>46.005000000000003</v>
      </c>
      <c r="X50">
        <v>26.29</v>
      </c>
      <c r="Y50">
        <v>53.07</v>
      </c>
      <c r="Z50">
        <v>41.14</v>
      </c>
      <c r="AA50">
        <v>83.62</v>
      </c>
      <c r="AB50">
        <v>57.91</v>
      </c>
      <c r="AC50">
        <v>43.42</v>
      </c>
      <c r="AD50">
        <v>622.94000000000005</v>
      </c>
      <c r="AE50">
        <v>684.39</v>
      </c>
      <c r="AF50">
        <v>44.75</v>
      </c>
      <c r="AG50">
        <v>58.78</v>
      </c>
      <c r="AH50">
        <v>48.09</v>
      </c>
      <c r="AI50">
        <v>53.15</v>
      </c>
    </row>
    <row r="51" spans="1:35" x14ac:dyDescent="0.45">
      <c r="A51" s="2">
        <v>45994</v>
      </c>
      <c r="B51">
        <v>33.76</v>
      </c>
      <c r="C51">
        <v>38.619999999999997</v>
      </c>
      <c r="D51">
        <v>18.829999999999998</v>
      </c>
      <c r="E51">
        <v>24.68</v>
      </c>
      <c r="F51">
        <v>33.61</v>
      </c>
      <c r="G51">
        <v>66.03</v>
      </c>
      <c r="H51">
        <v>26.73</v>
      </c>
      <c r="I51">
        <v>64.849999999999994</v>
      </c>
      <c r="J51">
        <v>68.430000000000007</v>
      </c>
      <c r="K51">
        <v>93</v>
      </c>
      <c r="L51">
        <v>34.200000000000003</v>
      </c>
      <c r="M51">
        <v>66.92</v>
      </c>
      <c r="N51">
        <v>66.37</v>
      </c>
      <c r="O51">
        <v>53.41</v>
      </c>
      <c r="P51">
        <v>61.88</v>
      </c>
      <c r="Q51">
        <v>18.930199999999999</v>
      </c>
      <c r="R51">
        <v>1276.57</v>
      </c>
      <c r="S51">
        <v>33.869999999999997</v>
      </c>
      <c r="T51">
        <v>18.850000000000001</v>
      </c>
      <c r="U51">
        <v>18.690000000000001</v>
      </c>
      <c r="V51">
        <v>37.04</v>
      </c>
      <c r="W51">
        <v>46.165599999999998</v>
      </c>
      <c r="X51">
        <v>26.13</v>
      </c>
      <c r="Y51">
        <v>52.47</v>
      </c>
      <c r="Z51">
        <v>40.950000000000003</v>
      </c>
      <c r="AA51">
        <v>82.61</v>
      </c>
      <c r="AB51">
        <v>58.07</v>
      </c>
      <c r="AC51">
        <v>43.46</v>
      </c>
      <c r="AD51">
        <v>623.52</v>
      </c>
      <c r="AE51">
        <v>683.89</v>
      </c>
      <c r="AF51">
        <v>44.79</v>
      </c>
      <c r="AG51">
        <v>59.18</v>
      </c>
      <c r="AH51">
        <v>47.77</v>
      </c>
      <c r="AI51">
        <v>53.29</v>
      </c>
    </row>
    <row r="52" spans="1:35" x14ac:dyDescent="0.45">
      <c r="A52" s="2">
        <v>45993</v>
      </c>
      <c r="B52">
        <v>33.81</v>
      </c>
      <c r="C52">
        <v>38.29</v>
      </c>
      <c r="D52">
        <v>18.920000000000002</v>
      </c>
      <c r="E52">
        <v>25.06</v>
      </c>
      <c r="F52">
        <v>33.65</v>
      </c>
      <c r="G52">
        <v>64.67</v>
      </c>
      <c r="H52">
        <v>26.67</v>
      </c>
      <c r="I52">
        <v>64.63</v>
      </c>
      <c r="J52">
        <v>68.709999999999994</v>
      </c>
      <c r="K52">
        <v>92.07</v>
      </c>
      <c r="L52">
        <v>34.03</v>
      </c>
      <c r="M52">
        <v>66.5</v>
      </c>
      <c r="N52">
        <v>66.64</v>
      </c>
      <c r="O52">
        <v>53.88</v>
      </c>
      <c r="P52">
        <v>62.24</v>
      </c>
      <c r="Q52">
        <v>18.774999999999999</v>
      </c>
      <c r="R52">
        <v>1256.69</v>
      </c>
      <c r="S52">
        <v>34.1</v>
      </c>
      <c r="T52">
        <v>18.53</v>
      </c>
      <c r="U52">
        <v>18.649999999999999</v>
      </c>
      <c r="V52">
        <v>36.979999999999997</v>
      </c>
      <c r="W52">
        <v>45.818399999999997</v>
      </c>
      <c r="X52">
        <v>25.93</v>
      </c>
      <c r="Y52">
        <v>52.14</v>
      </c>
      <c r="Z52">
        <v>40.89</v>
      </c>
      <c r="AA52">
        <v>82.47</v>
      </c>
      <c r="AB52">
        <v>57.94</v>
      </c>
      <c r="AC52">
        <v>43.01</v>
      </c>
      <c r="AD52">
        <v>622</v>
      </c>
      <c r="AE52">
        <v>681.53</v>
      </c>
      <c r="AF52">
        <v>44.44</v>
      </c>
      <c r="AG52">
        <v>58.57</v>
      </c>
      <c r="AH52">
        <v>47.61</v>
      </c>
      <c r="AI52">
        <v>53</v>
      </c>
    </row>
    <row r="53" spans="1:35" x14ac:dyDescent="0.45">
      <c r="A53" s="2">
        <v>45992</v>
      </c>
      <c r="B53">
        <v>34.25</v>
      </c>
      <c r="C53">
        <v>37.69</v>
      </c>
      <c r="D53">
        <v>18.79</v>
      </c>
      <c r="E53">
        <v>25.24</v>
      </c>
      <c r="F53">
        <v>33.9</v>
      </c>
      <c r="G53">
        <v>64.569999999999993</v>
      </c>
      <c r="H53">
        <v>26.6</v>
      </c>
      <c r="I53">
        <v>64.13</v>
      </c>
      <c r="J53">
        <v>68.459999999999994</v>
      </c>
      <c r="K53">
        <v>90.62</v>
      </c>
      <c r="L53">
        <v>33.4</v>
      </c>
      <c r="M53">
        <v>67.45</v>
      </c>
      <c r="N53">
        <v>66.28</v>
      </c>
      <c r="O53">
        <v>54.33</v>
      </c>
      <c r="P53">
        <v>62.66</v>
      </c>
      <c r="Q53">
        <v>18.71</v>
      </c>
      <c r="R53">
        <v>1252.71</v>
      </c>
      <c r="S53">
        <v>34.03</v>
      </c>
      <c r="T53">
        <v>18.4941</v>
      </c>
      <c r="U53">
        <v>18.38</v>
      </c>
      <c r="V53">
        <v>37.06</v>
      </c>
      <c r="W53">
        <v>45.48</v>
      </c>
      <c r="X53">
        <v>25.73</v>
      </c>
      <c r="Y53">
        <v>52.18</v>
      </c>
      <c r="Z53">
        <v>40.520000000000003</v>
      </c>
      <c r="AA53">
        <v>82.53</v>
      </c>
      <c r="AB53">
        <v>57.42</v>
      </c>
      <c r="AC53">
        <v>42.93</v>
      </c>
      <c r="AD53">
        <v>617.16999999999996</v>
      </c>
      <c r="AE53">
        <v>680.27</v>
      </c>
      <c r="AF53">
        <v>44.41</v>
      </c>
      <c r="AG53">
        <v>58.32</v>
      </c>
      <c r="AH53">
        <v>47.58</v>
      </c>
      <c r="AI53">
        <v>52.66</v>
      </c>
    </row>
    <row r="54" spans="1:35" x14ac:dyDescent="0.45">
      <c r="A54" s="2">
        <v>45989</v>
      </c>
      <c r="B54">
        <v>33.950000000000003</v>
      </c>
      <c r="C54">
        <v>37.86</v>
      </c>
      <c r="D54">
        <v>18.670000000000002</v>
      </c>
      <c r="E54">
        <v>25.21</v>
      </c>
      <c r="F54">
        <v>34.07</v>
      </c>
      <c r="G54">
        <v>64.47</v>
      </c>
      <c r="H54">
        <v>26.43</v>
      </c>
      <c r="I54">
        <v>64.510000000000005</v>
      </c>
      <c r="J54">
        <v>68.42</v>
      </c>
      <c r="K54">
        <v>90.87</v>
      </c>
      <c r="L54">
        <v>33.61</v>
      </c>
      <c r="M54">
        <v>66.739999999999995</v>
      </c>
      <c r="N54">
        <v>65.319999999999993</v>
      </c>
      <c r="O54">
        <v>54.71</v>
      </c>
      <c r="P54">
        <v>62.2</v>
      </c>
      <c r="Q54">
        <v>18.88</v>
      </c>
      <c r="R54">
        <v>1261.18</v>
      </c>
      <c r="S54">
        <v>33.5</v>
      </c>
      <c r="T54">
        <v>18.579999999999998</v>
      </c>
      <c r="U54">
        <v>18.34</v>
      </c>
      <c r="V54">
        <v>37.44</v>
      </c>
      <c r="W54">
        <v>45.625700000000002</v>
      </c>
      <c r="X54">
        <v>25.85</v>
      </c>
      <c r="Y54">
        <v>52.7</v>
      </c>
      <c r="Z54">
        <v>40.92</v>
      </c>
      <c r="AA54">
        <v>83.01</v>
      </c>
      <c r="AB54">
        <v>57.82</v>
      </c>
      <c r="AC54">
        <v>43.15</v>
      </c>
      <c r="AD54">
        <v>619.25</v>
      </c>
      <c r="AE54">
        <v>683.39</v>
      </c>
      <c r="AF54">
        <v>44.57</v>
      </c>
      <c r="AG54">
        <v>58.17</v>
      </c>
      <c r="AH54">
        <v>47.91</v>
      </c>
      <c r="AI54">
        <v>52.93</v>
      </c>
    </row>
    <row r="55" spans="1:35" x14ac:dyDescent="0.45">
      <c r="A55" s="2">
        <v>45987</v>
      </c>
      <c r="B55">
        <v>33.590000000000003</v>
      </c>
      <c r="C55">
        <v>37.61</v>
      </c>
      <c r="D55">
        <v>18.87</v>
      </c>
      <c r="E55">
        <v>25.02</v>
      </c>
      <c r="F55">
        <v>34.07</v>
      </c>
      <c r="G55">
        <v>63.1</v>
      </c>
      <c r="H55">
        <v>26.64</v>
      </c>
      <c r="I55">
        <v>63.66</v>
      </c>
      <c r="J55">
        <v>67.88</v>
      </c>
      <c r="K55">
        <v>91.55</v>
      </c>
      <c r="L55">
        <v>33.47</v>
      </c>
      <c r="M55">
        <v>67.83</v>
      </c>
      <c r="N55">
        <v>66.150000000000006</v>
      </c>
      <c r="O55">
        <v>54.67</v>
      </c>
      <c r="P55">
        <v>61.91</v>
      </c>
      <c r="Q55">
        <v>18.885000000000002</v>
      </c>
      <c r="R55">
        <v>1268.78</v>
      </c>
      <c r="S55">
        <v>33.590000000000003</v>
      </c>
      <c r="T55">
        <v>18.53</v>
      </c>
      <c r="U55">
        <v>18.239999999999998</v>
      </c>
      <c r="V55">
        <v>37.380000000000003</v>
      </c>
      <c r="W55">
        <v>45.47</v>
      </c>
      <c r="X55">
        <v>25.82</v>
      </c>
      <c r="Y55">
        <v>52.25</v>
      </c>
      <c r="Z55">
        <v>40.6</v>
      </c>
      <c r="AA55">
        <v>83.26</v>
      </c>
      <c r="AB55">
        <v>57.55</v>
      </c>
      <c r="AC55">
        <v>42.99</v>
      </c>
      <c r="AD55">
        <v>614.27</v>
      </c>
      <c r="AE55">
        <v>679.68</v>
      </c>
      <c r="AF55">
        <v>44.43</v>
      </c>
      <c r="AG55">
        <v>57.79</v>
      </c>
      <c r="AH55">
        <v>47.43</v>
      </c>
      <c r="AI55">
        <v>52.54</v>
      </c>
    </row>
    <row r="56" spans="1:35" x14ac:dyDescent="0.45">
      <c r="A56" s="2">
        <v>45986</v>
      </c>
      <c r="B56">
        <v>33.51</v>
      </c>
      <c r="C56">
        <v>37.270000000000003</v>
      </c>
      <c r="D56">
        <v>18.73</v>
      </c>
      <c r="E56">
        <v>25</v>
      </c>
      <c r="F56">
        <v>33.729999999999997</v>
      </c>
      <c r="G56">
        <v>61.56</v>
      </c>
      <c r="H56">
        <v>26.49</v>
      </c>
      <c r="I56">
        <v>62.8</v>
      </c>
      <c r="J56">
        <v>67.75</v>
      </c>
      <c r="K56">
        <v>89.79</v>
      </c>
      <c r="L56">
        <v>32.549999999999997</v>
      </c>
      <c r="M56">
        <v>66.3</v>
      </c>
      <c r="N56">
        <v>65.48</v>
      </c>
      <c r="O56">
        <v>54.28</v>
      </c>
      <c r="P56">
        <v>62.2</v>
      </c>
      <c r="Q56">
        <v>18.77</v>
      </c>
      <c r="R56">
        <v>1252.73</v>
      </c>
      <c r="S56">
        <v>33.54</v>
      </c>
      <c r="T56">
        <v>18.71</v>
      </c>
      <c r="U56">
        <v>17.75</v>
      </c>
      <c r="V56">
        <v>37.590000000000003</v>
      </c>
      <c r="W56">
        <v>44.699399999999997</v>
      </c>
      <c r="X56">
        <v>25.62</v>
      </c>
      <c r="Y56">
        <v>51.56</v>
      </c>
      <c r="Z56">
        <v>40.19</v>
      </c>
      <c r="AA56">
        <v>81.92</v>
      </c>
      <c r="AB56">
        <v>57.26</v>
      </c>
      <c r="AC56">
        <v>42.52</v>
      </c>
      <c r="AD56">
        <v>608.89</v>
      </c>
      <c r="AE56">
        <v>675.02</v>
      </c>
      <c r="AF56">
        <v>44.06</v>
      </c>
      <c r="AG56">
        <v>56.872</v>
      </c>
      <c r="AH56">
        <v>47.06</v>
      </c>
      <c r="AI56">
        <v>52.16</v>
      </c>
    </row>
    <row r="57" spans="1:35" x14ac:dyDescent="0.45">
      <c r="A57" s="2">
        <v>45985</v>
      </c>
      <c r="B57">
        <v>33.11</v>
      </c>
      <c r="C57">
        <v>36.61</v>
      </c>
      <c r="D57">
        <v>18.78</v>
      </c>
      <c r="E57">
        <v>24.97</v>
      </c>
      <c r="F57">
        <v>32.94</v>
      </c>
      <c r="G57">
        <v>61.02</v>
      </c>
      <c r="H57">
        <v>26.47</v>
      </c>
      <c r="I57">
        <v>62.51</v>
      </c>
      <c r="J57">
        <v>66.55</v>
      </c>
      <c r="K57">
        <v>90.3</v>
      </c>
      <c r="L57">
        <v>32.200000000000003</v>
      </c>
      <c r="M57">
        <v>65.89</v>
      </c>
      <c r="N57">
        <v>63.99</v>
      </c>
      <c r="O57">
        <v>54.22</v>
      </c>
      <c r="P57">
        <v>61.96</v>
      </c>
      <c r="Q57">
        <v>18.850000000000001</v>
      </c>
      <c r="R57">
        <v>1254.4000000000001</v>
      </c>
      <c r="S57">
        <v>33.76</v>
      </c>
      <c r="T57">
        <v>18.75</v>
      </c>
      <c r="U57">
        <v>17.91</v>
      </c>
      <c r="V57">
        <v>38.159999999999997</v>
      </c>
      <c r="W57">
        <v>44.47</v>
      </c>
      <c r="X57">
        <v>25.44</v>
      </c>
      <c r="Y57">
        <v>51.05</v>
      </c>
      <c r="Z57">
        <v>39.47</v>
      </c>
      <c r="AA57">
        <v>81.739999999999995</v>
      </c>
      <c r="AB57">
        <v>56.39</v>
      </c>
      <c r="AC57">
        <v>41.92</v>
      </c>
      <c r="AD57">
        <v>605.16</v>
      </c>
      <c r="AE57">
        <v>668.73</v>
      </c>
      <c r="AF57">
        <v>43.33</v>
      </c>
      <c r="AG57">
        <v>55.95</v>
      </c>
      <c r="AH57">
        <v>46.26</v>
      </c>
      <c r="AI57">
        <v>51.19</v>
      </c>
    </row>
    <row r="58" spans="1:35" x14ac:dyDescent="0.45">
      <c r="A58" s="2">
        <v>45982</v>
      </c>
      <c r="B58">
        <v>33.06</v>
      </c>
      <c r="C58">
        <v>36.340000000000003</v>
      </c>
      <c r="D58">
        <v>18.37</v>
      </c>
      <c r="E58">
        <v>25.06</v>
      </c>
      <c r="F58">
        <v>33.04</v>
      </c>
      <c r="G58">
        <v>59.64</v>
      </c>
      <c r="H58">
        <v>26.29</v>
      </c>
      <c r="I58">
        <v>61.8</v>
      </c>
      <c r="J58">
        <v>66.040000000000006</v>
      </c>
      <c r="K58">
        <v>89.22</v>
      </c>
      <c r="L58">
        <v>32.03</v>
      </c>
      <c r="M58">
        <v>64.86</v>
      </c>
      <c r="N58">
        <v>64.64</v>
      </c>
      <c r="O58">
        <v>54.21</v>
      </c>
      <c r="P58">
        <v>60.92</v>
      </c>
      <c r="Q58">
        <v>18.68</v>
      </c>
      <c r="R58">
        <v>1281.81</v>
      </c>
      <c r="S58">
        <v>33.78</v>
      </c>
      <c r="T58">
        <v>18.68</v>
      </c>
      <c r="U58">
        <v>17.72</v>
      </c>
      <c r="V58">
        <v>38.28</v>
      </c>
      <c r="W58">
        <v>44.33</v>
      </c>
      <c r="X58">
        <v>25.33</v>
      </c>
      <c r="Y58">
        <v>50.43</v>
      </c>
      <c r="Z58">
        <v>39.4</v>
      </c>
      <c r="AA58">
        <v>81.19</v>
      </c>
      <c r="AB58">
        <v>56.69</v>
      </c>
      <c r="AC58">
        <v>42.06</v>
      </c>
      <c r="AD58">
        <v>590.07000000000005</v>
      </c>
      <c r="AE58">
        <v>659.03</v>
      </c>
      <c r="AF58">
        <v>43.69</v>
      </c>
      <c r="AG58">
        <v>55.92</v>
      </c>
      <c r="AH58">
        <v>46.06</v>
      </c>
      <c r="AI58">
        <v>51.47</v>
      </c>
    </row>
    <row r="59" spans="1:35" x14ac:dyDescent="0.45">
      <c r="A59" s="2">
        <v>45981</v>
      </c>
      <c r="B59">
        <v>33.46</v>
      </c>
      <c r="C59">
        <v>36.590000000000003</v>
      </c>
      <c r="D59">
        <v>18.329999999999998</v>
      </c>
      <c r="E59">
        <v>24.37</v>
      </c>
      <c r="F59">
        <v>32.56</v>
      </c>
      <c r="G59">
        <v>59.5</v>
      </c>
      <c r="H59">
        <v>26.05</v>
      </c>
      <c r="I59">
        <v>61.68</v>
      </c>
      <c r="J59">
        <v>66.02</v>
      </c>
      <c r="K59">
        <v>88.53</v>
      </c>
      <c r="L59">
        <v>31.9</v>
      </c>
      <c r="M59">
        <v>64.930000000000007</v>
      </c>
      <c r="N59">
        <v>62.76</v>
      </c>
      <c r="O59">
        <v>54.72</v>
      </c>
      <c r="P59">
        <v>60.88</v>
      </c>
      <c r="Q59">
        <v>18.614999999999998</v>
      </c>
      <c r="R59">
        <v>1272.17</v>
      </c>
      <c r="S59">
        <v>33.58</v>
      </c>
      <c r="T59">
        <v>18.758199999999999</v>
      </c>
      <c r="U59">
        <v>17.45</v>
      </c>
      <c r="V59">
        <v>38.19</v>
      </c>
      <c r="W59">
        <v>43.75</v>
      </c>
      <c r="X59">
        <v>24.95</v>
      </c>
      <c r="Y59">
        <v>49.91</v>
      </c>
      <c r="Z59">
        <v>38.89</v>
      </c>
      <c r="AA59">
        <v>79.489999999999995</v>
      </c>
      <c r="AB59">
        <v>55.69</v>
      </c>
      <c r="AC59">
        <v>41.34</v>
      </c>
      <c r="AD59">
        <v>585.66999999999996</v>
      </c>
      <c r="AE59">
        <v>652.53</v>
      </c>
      <c r="AF59">
        <v>42.99</v>
      </c>
      <c r="AG59">
        <v>55.52</v>
      </c>
      <c r="AH59">
        <v>45.38</v>
      </c>
      <c r="AI59">
        <v>50.81</v>
      </c>
    </row>
    <row r="60" spans="1:35" x14ac:dyDescent="0.45">
      <c r="A60" s="2">
        <v>45980</v>
      </c>
      <c r="B60">
        <v>33.880000000000003</v>
      </c>
      <c r="C60">
        <v>37.11</v>
      </c>
      <c r="D60">
        <v>18.48</v>
      </c>
      <c r="E60">
        <v>24.23</v>
      </c>
      <c r="F60">
        <v>33.29</v>
      </c>
      <c r="G60">
        <v>61.25</v>
      </c>
      <c r="H60">
        <v>26.33</v>
      </c>
      <c r="I60">
        <v>62.5</v>
      </c>
      <c r="J60">
        <v>66.77</v>
      </c>
      <c r="K60">
        <v>90.56</v>
      </c>
      <c r="L60">
        <v>32.49</v>
      </c>
      <c r="M60">
        <v>66.569999999999993</v>
      </c>
      <c r="N60">
        <v>63.34</v>
      </c>
      <c r="O60">
        <v>54.83</v>
      </c>
      <c r="P60">
        <v>61.91</v>
      </c>
      <c r="Q60">
        <v>18.954999999999998</v>
      </c>
      <c r="R60">
        <v>1270.04</v>
      </c>
      <c r="S60">
        <v>33.659999999999997</v>
      </c>
      <c r="T60">
        <v>18.87</v>
      </c>
      <c r="U60">
        <v>17.61</v>
      </c>
      <c r="V60">
        <v>38.43</v>
      </c>
      <c r="W60">
        <v>43.6663</v>
      </c>
      <c r="X60">
        <v>25.3</v>
      </c>
      <c r="Y60">
        <v>50.62</v>
      </c>
      <c r="Z60">
        <v>39.51</v>
      </c>
      <c r="AA60">
        <v>80.680000000000007</v>
      </c>
      <c r="AB60">
        <v>56.36</v>
      </c>
      <c r="AC60">
        <v>41.73</v>
      </c>
      <c r="AD60">
        <v>599.87</v>
      </c>
      <c r="AE60">
        <v>662.63</v>
      </c>
      <c r="AF60">
        <v>43.44</v>
      </c>
      <c r="AG60">
        <v>57.05</v>
      </c>
      <c r="AH60">
        <v>46.17</v>
      </c>
      <c r="AI60">
        <v>51.34</v>
      </c>
    </row>
    <row r="61" spans="1:35" x14ac:dyDescent="0.45">
      <c r="A61" s="2">
        <v>45979</v>
      </c>
      <c r="B61">
        <v>33.93</v>
      </c>
      <c r="C61">
        <v>36.83</v>
      </c>
      <c r="D61">
        <v>18.260000000000002</v>
      </c>
      <c r="E61">
        <v>24.02</v>
      </c>
      <c r="F61">
        <v>32.869999999999997</v>
      </c>
      <c r="G61">
        <v>60.32</v>
      </c>
      <c r="H61">
        <v>26.16</v>
      </c>
      <c r="I61">
        <v>62.67</v>
      </c>
      <c r="J61">
        <v>66.67</v>
      </c>
      <c r="K61">
        <v>91.59</v>
      </c>
      <c r="L61">
        <v>32.71</v>
      </c>
      <c r="M61">
        <v>66.16</v>
      </c>
      <c r="N61">
        <v>63.2</v>
      </c>
      <c r="O61">
        <v>54.61</v>
      </c>
      <c r="P61">
        <v>62.42</v>
      </c>
      <c r="Q61">
        <v>18.815000000000001</v>
      </c>
      <c r="R61">
        <v>1280.07</v>
      </c>
      <c r="S61">
        <v>33.299999999999997</v>
      </c>
      <c r="T61">
        <v>18.850000000000001</v>
      </c>
      <c r="U61">
        <v>17.73</v>
      </c>
      <c r="V61">
        <v>38.79</v>
      </c>
      <c r="W61">
        <v>44.235900000000001</v>
      </c>
      <c r="X61">
        <v>25.4</v>
      </c>
      <c r="Y61">
        <v>50.53</v>
      </c>
      <c r="Z61">
        <v>39.53</v>
      </c>
      <c r="AA61">
        <v>80.78</v>
      </c>
      <c r="AB61">
        <v>56.58</v>
      </c>
      <c r="AC61">
        <v>42.19</v>
      </c>
      <c r="AD61">
        <v>596.30999999999995</v>
      </c>
      <c r="AE61">
        <v>660.08</v>
      </c>
      <c r="AF61">
        <v>43.63</v>
      </c>
      <c r="AG61">
        <v>56.63</v>
      </c>
      <c r="AH61">
        <v>46.49</v>
      </c>
      <c r="AI61">
        <v>51.81</v>
      </c>
    </row>
    <row r="62" spans="1:35" x14ac:dyDescent="0.45">
      <c r="A62" s="2">
        <v>45978</v>
      </c>
      <c r="B62">
        <v>33.89</v>
      </c>
      <c r="C62">
        <v>37.31</v>
      </c>
      <c r="D62">
        <v>18.38</v>
      </c>
      <c r="E62">
        <v>23.95</v>
      </c>
      <c r="F62">
        <v>33.39</v>
      </c>
      <c r="G62">
        <v>61.163600000000002</v>
      </c>
      <c r="H62">
        <v>26.23</v>
      </c>
      <c r="I62">
        <v>63.16</v>
      </c>
      <c r="J62">
        <v>65.87</v>
      </c>
      <c r="K62">
        <v>93.02</v>
      </c>
      <c r="L62">
        <v>32.78</v>
      </c>
      <c r="M62">
        <v>66.13</v>
      </c>
      <c r="N62">
        <v>64.5</v>
      </c>
      <c r="O62">
        <v>54.65</v>
      </c>
      <c r="P62">
        <v>62.78</v>
      </c>
      <c r="Q62">
        <v>18.89</v>
      </c>
      <c r="R62">
        <v>1269.26</v>
      </c>
      <c r="S62">
        <v>33.08</v>
      </c>
      <c r="T62">
        <v>18.93</v>
      </c>
      <c r="U62">
        <v>17.66</v>
      </c>
      <c r="V62">
        <v>38.450000000000003</v>
      </c>
      <c r="W62">
        <v>44.493200000000002</v>
      </c>
      <c r="X62">
        <v>25.64</v>
      </c>
      <c r="Y62">
        <v>50.34</v>
      </c>
      <c r="Z62">
        <v>40.01</v>
      </c>
      <c r="AA62">
        <v>82.47</v>
      </c>
      <c r="AB62">
        <v>56.81</v>
      </c>
      <c r="AC62">
        <v>42.44</v>
      </c>
      <c r="AD62">
        <v>603.66</v>
      </c>
      <c r="AE62">
        <v>665.67</v>
      </c>
      <c r="AF62">
        <v>44.2</v>
      </c>
      <c r="AG62">
        <v>57.36</v>
      </c>
      <c r="AH62">
        <v>47.22</v>
      </c>
      <c r="AI62">
        <v>52.56</v>
      </c>
    </row>
    <row r="63" spans="1:35" x14ac:dyDescent="0.45">
      <c r="A63" s="2">
        <v>45975</v>
      </c>
      <c r="B63">
        <v>34.19</v>
      </c>
      <c r="C63">
        <v>36.369999999999997</v>
      </c>
      <c r="D63">
        <v>18.38</v>
      </c>
      <c r="E63">
        <v>23.28</v>
      </c>
      <c r="F63">
        <v>34.159999999999997</v>
      </c>
      <c r="G63">
        <v>62.34</v>
      </c>
      <c r="H63">
        <v>26.45</v>
      </c>
      <c r="I63">
        <v>65.17</v>
      </c>
      <c r="J63">
        <v>67.22</v>
      </c>
      <c r="K63">
        <v>94.13</v>
      </c>
      <c r="L63">
        <v>33.18</v>
      </c>
      <c r="M63">
        <v>66.989999999999995</v>
      </c>
      <c r="N63">
        <v>65</v>
      </c>
      <c r="O63">
        <v>54.62</v>
      </c>
      <c r="P63">
        <v>63.5</v>
      </c>
      <c r="Q63">
        <v>19.285</v>
      </c>
      <c r="R63">
        <v>1287.44</v>
      </c>
      <c r="S63">
        <v>32.85</v>
      </c>
      <c r="T63">
        <v>19.170000000000002</v>
      </c>
      <c r="U63">
        <v>17.59</v>
      </c>
      <c r="V63">
        <v>38.83</v>
      </c>
      <c r="W63">
        <v>44.844999999999999</v>
      </c>
      <c r="X63">
        <v>25.95</v>
      </c>
      <c r="Y63">
        <v>50.89</v>
      </c>
      <c r="Z63">
        <v>40.86</v>
      </c>
      <c r="AA63">
        <v>83.98</v>
      </c>
      <c r="AB63">
        <v>57.55</v>
      </c>
      <c r="AC63">
        <v>42.77</v>
      </c>
      <c r="AD63">
        <v>608.86</v>
      </c>
      <c r="AE63">
        <v>671.93</v>
      </c>
      <c r="AF63">
        <v>44.84</v>
      </c>
      <c r="AG63">
        <v>58.13</v>
      </c>
      <c r="AH63">
        <v>47.65</v>
      </c>
      <c r="AI63">
        <v>53.2</v>
      </c>
    </row>
    <row r="64" spans="1:35" x14ac:dyDescent="0.45">
      <c r="A64" s="2">
        <v>45974</v>
      </c>
      <c r="B64">
        <v>34.64</v>
      </c>
      <c r="C64">
        <v>36.71</v>
      </c>
      <c r="D64">
        <v>18.28</v>
      </c>
      <c r="E64">
        <v>23.69</v>
      </c>
      <c r="F64">
        <v>34.130000000000003</v>
      </c>
      <c r="G64">
        <v>62.52</v>
      </c>
      <c r="H64">
        <v>26.5</v>
      </c>
      <c r="I64">
        <v>63.99</v>
      </c>
      <c r="J64">
        <v>67.38</v>
      </c>
      <c r="K64">
        <v>94.07</v>
      </c>
      <c r="L64">
        <v>32.979999999999997</v>
      </c>
      <c r="M64">
        <v>67.83</v>
      </c>
      <c r="N64">
        <v>64.67</v>
      </c>
      <c r="O64">
        <v>54.2</v>
      </c>
      <c r="P64">
        <v>64.459999999999994</v>
      </c>
      <c r="Q64">
        <v>19.25</v>
      </c>
      <c r="R64">
        <v>1284.81</v>
      </c>
      <c r="S64">
        <v>32.78</v>
      </c>
      <c r="T64">
        <v>19.190000000000001</v>
      </c>
      <c r="U64">
        <v>17.420000000000002</v>
      </c>
      <c r="V64">
        <v>38.729999999999997</v>
      </c>
      <c r="W64">
        <v>44.943399999999997</v>
      </c>
      <c r="X64">
        <v>25.94</v>
      </c>
      <c r="Y64">
        <v>50.64</v>
      </c>
      <c r="Z64">
        <v>41.25</v>
      </c>
      <c r="AA64">
        <v>83.01</v>
      </c>
      <c r="AB64">
        <v>57.85</v>
      </c>
      <c r="AC64">
        <v>43.04</v>
      </c>
      <c r="AD64">
        <v>608.4</v>
      </c>
      <c r="AE64">
        <v>672.04</v>
      </c>
      <c r="AF64">
        <v>45.04</v>
      </c>
      <c r="AG64">
        <v>58.61</v>
      </c>
      <c r="AH64">
        <v>48.27</v>
      </c>
      <c r="AI64">
        <v>53.98</v>
      </c>
    </row>
    <row r="65" spans="1:35" x14ac:dyDescent="0.45">
      <c r="A65" s="2">
        <v>45973</v>
      </c>
      <c r="B65">
        <v>34.43</v>
      </c>
      <c r="C65">
        <v>37.26</v>
      </c>
      <c r="D65">
        <v>18.440000000000001</v>
      </c>
      <c r="E65">
        <v>23.6</v>
      </c>
      <c r="F65">
        <v>34.42</v>
      </c>
      <c r="G65">
        <v>64.38</v>
      </c>
      <c r="H65">
        <v>26.53</v>
      </c>
      <c r="I65">
        <v>65.41</v>
      </c>
      <c r="J65">
        <v>68.16</v>
      </c>
      <c r="K65">
        <v>95.92</v>
      </c>
      <c r="L65">
        <v>33.22</v>
      </c>
      <c r="M65">
        <v>68.08</v>
      </c>
      <c r="N65">
        <v>64.319999999999993</v>
      </c>
      <c r="O65">
        <v>54.56</v>
      </c>
      <c r="P65">
        <v>64.58</v>
      </c>
      <c r="Q65">
        <v>19.555</v>
      </c>
      <c r="R65">
        <v>1300.47</v>
      </c>
      <c r="S65">
        <v>33.03</v>
      </c>
      <c r="T65">
        <v>19.48</v>
      </c>
      <c r="U65">
        <v>17.53</v>
      </c>
      <c r="V65">
        <v>39.17</v>
      </c>
      <c r="W65">
        <v>45.657200000000003</v>
      </c>
      <c r="X65">
        <v>26.58</v>
      </c>
      <c r="Y65">
        <v>51.75</v>
      </c>
      <c r="Z65">
        <v>41.68</v>
      </c>
      <c r="AA65">
        <v>84.34</v>
      </c>
      <c r="AB65">
        <v>58.06</v>
      </c>
      <c r="AC65">
        <v>43.51</v>
      </c>
      <c r="AD65">
        <v>621.08000000000004</v>
      </c>
      <c r="AE65">
        <v>683.38</v>
      </c>
      <c r="AF65">
        <v>45.14</v>
      </c>
      <c r="AG65">
        <v>59.03</v>
      </c>
      <c r="AH65">
        <v>48.82</v>
      </c>
      <c r="AI65">
        <v>54.12</v>
      </c>
    </row>
    <row r="66" spans="1:35" x14ac:dyDescent="0.45">
      <c r="A66" s="2">
        <v>45972</v>
      </c>
      <c r="B66">
        <v>34.47</v>
      </c>
      <c r="C66">
        <v>36.5</v>
      </c>
      <c r="D66">
        <v>18.45</v>
      </c>
      <c r="E66">
        <v>23.41</v>
      </c>
      <c r="F66">
        <v>34.56</v>
      </c>
      <c r="G66">
        <v>63.04</v>
      </c>
      <c r="H66">
        <v>26.78</v>
      </c>
      <c r="I66">
        <v>65.39</v>
      </c>
      <c r="J66">
        <v>69.34</v>
      </c>
      <c r="K66">
        <v>95.29</v>
      </c>
      <c r="L66">
        <v>33.49</v>
      </c>
      <c r="M66">
        <v>66.53</v>
      </c>
      <c r="N66">
        <v>63.63</v>
      </c>
      <c r="O66">
        <v>54.74</v>
      </c>
      <c r="P66">
        <v>64.53</v>
      </c>
      <c r="Q66">
        <v>19.6479</v>
      </c>
      <c r="R66">
        <v>1306.26</v>
      </c>
      <c r="S66">
        <v>32.85</v>
      </c>
      <c r="T66">
        <v>19.690000000000001</v>
      </c>
      <c r="U66">
        <v>16.93</v>
      </c>
      <c r="V66">
        <v>39.39</v>
      </c>
      <c r="W66">
        <v>45.674999999999997</v>
      </c>
      <c r="X66">
        <v>26.63</v>
      </c>
      <c r="Y66">
        <v>51.04</v>
      </c>
      <c r="Z66">
        <v>41.23</v>
      </c>
      <c r="AA66">
        <v>83.75</v>
      </c>
      <c r="AB66">
        <v>57.67</v>
      </c>
      <c r="AC66">
        <v>43.65</v>
      </c>
      <c r="AD66">
        <v>621.57000000000005</v>
      </c>
      <c r="AE66">
        <v>683</v>
      </c>
      <c r="AF66">
        <v>44.71</v>
      </c>
      <c r="AG66">
        <v>58.73</v>
      </c>
      <c r="AH66">
        <v>48.48</v>
      </c>
      <c r="AI66">
        <v>53.75</v>
      </c>
    </row>
    <row r="67" spans="1:35" x14ac:dyDescent="0.45">
      <c r="A67" s="2">
        <v>45971</v>
      </c>
      <c r="B67">
        <v>34.770000000000003</v>
      </c>
      <c r="C67">
        <v>36.299999999999997</v>
      </c>
      <c r="D67">
        <v>18.55</v>
      </c>
      <c r="E67">
        <v>23.7</v>
      </c>
      <c r="F67">
        <v>34.44</v>
      </c>
      <c r="G67">
        <v>63.13</v>
      </c>
      <c r="H67">
        <v>26.47</v>
      </c>
      <c r="I67">
        <v>65.75</v>
      </c>
      <c r="J67">
        <v>67.91</v>
      </c>
      <c r="K67">
        <v>95.67</v>
      </c>
      <c r="L67">
        <v>32.72</v>
      </c>
      <c r="M67">
        <v>66.62</v>
      </c>
      <c r="N67">
        <v>63.69</v>
      </c>
      <c r="O67">
        <v>54.15</v>
      </c>
      <c r="P67">
        <v>64.7</v>
      </c>
      <c r="Q67">
        <v>19.48</v>
      </c>
      <c r="R67">
        <v>1302.9100000000001</v>
      </c>
      <c r="S67">
        <v>33.549999999999997</v>
      </c>
      <c r="T67">
        <v>19.53</v>
      </c>
      <c r="U67">
        <v>16.71</v>
      </c>
      <c r="V67">
        <v>39.32</v>
      </c>
      <c r="W67">
        <v>45.684100000000001</v>
      </c>
      <c r="X67">
        <v>26.81</v>
      </c>
      <c r="Y67">
        <v>50.89</v>
      </c>
      <c r="Z67">
        <v>40.96</v>
      </c>
      <c r="AA67">
        <v>83.68</v>
      </c>
      <c r="AB67">
        <v>56.36</v>
      </c>
      <c r="AC67">
        <v>43.44</v>
      </c>
      <c r="AD67">
        <v>623.23</v>
      </c>
      <c r="AE67">
        <v>681.44</v>
      </c>
      <c r="AF67">
        <v>44.19</v>
      </c>
      <c r="AG67">
        <v>58.56</v>
      </c>
      <c r="AH67">
        <v>47.74</v>
      </c>
      <c r="AI67">
        <v>53.15</v>
      </c>
    </row>
    <row r="68" spans="1:35" x14ac:dyDescent="0.45">
      <c r="A68" s="2">
        <v>45968</v>
      </c>
      <c r="B68">
        <v>34.6</v>
      </c>
      <c r="C68">
        <v>35.799999999999997</v>
      </c>
      <c r="D68">
        <v>18.53</v>
      </c>
      <c r="E68">
        <v>23.79</v>
      </c>
      <c r="F68">
        <v>33.840000000000003</v>
      </c>
      <c r="G68">
        <v>61.77</v>
      </c>
      <c r="H68">
        <v>26.23</v>
      </c>
      <c r="I68">
        <v>64.61</v>
      </c>
      <c r="J68">
        <v>67.819999999999993</v>
      </c>
      <c r="K68">
        <v>91.8</v>
      </c>
      <c r="L68">
        <v>32.299999999999997</v>
      </c>
      <c r="M68">
        <v>64.239999999999995</v>
      </c>
      <c r="N68">
        <v>62.35</v>
      </c>
      <c r="O68">
        <v>53.75</v>
      </c>
      <c r="P68">
        <v>63.61</v>
      </c>
      <c r="Q68">
        <v>19.420000000000002</v>
      </c>
      <c r="R68">
        <v>1313.31</v>
      </c>
      <c r="S68">
        <v>33.86</v>
      </c>
      <c r="T68">
        <v>19.43</v>
      </c>
      <c r="U68">
        <v>16.88</v>
      </c>
      <c r="V68">
        <v>39.28</v>
      </c>
      <c r="W68">
        <v>45.580800000000004</v>
      </c>
      <c r="X68">
        <v>26.44</v>
      </c>
      <c r="Y68">
        <v>50.1</v>
      </c>
      <c r="Z68">
        <v>40.479999999999997</v>
      </c>
      <c r="AA68">
        <v>83.29</v>
      </c>
      <c r="AB68">
        <v>55.74</v>
      </c>
      <c r="AC68">
        <v>42.87</v>
      </c>
      <c r="AD68">
        <v>609.74</v>
      </c>
      <c r="AE68">
        <v>670.97</v>
      </c>
      <c r="AF68">
        <v>43.78</v>
      </c>
      <c r="AG68">
        <v>57.74</v>
      </c>
      <c r="AH68">
        <v>47.24</v>
      </c>
      <c r="AI68">
        <v>52.19</v>
      </c>
    </row>
    <row r="69" spans="1:35" x14ac:dyDescent="0.45">
      <c r="A69" s="2">
        <v>45967</v>
      </c>
      <c r="B69">
        <v>34.590000000000003</v>
      </c>
      <c r="C69">
        <v>35.25</v>
      </c>
      <c r="D69">
        <v>18.440000000000001</v>
      </c>
      <c r="E69">
        <v>24.11</v>
      </c>
      <c r="F69">
        <v>33.950000000000003</v>
      </c>
      <c r="G69">
        <v>61.75</v>
      </c>
      <c r="H69">
        <v>26.01</v>
      </c>
      <c r="I69">
        <v>64.94</v>
      </c>
      <c r="J69">
        <v>66.97</v>
      </c>
      <c r="K69">
        <v>93.51</v>
      </c>
      <c r="L69">
        <v>32.04</v>
      </c>
      <c r="M69">
        <v>63.7</v>
      </c>
      <c r="N69">
        <v>62.47</v>
      </c>
      <c r="O69">
        <v>53.62</v>
      </c>
      <c r="P69">
        <v>63.97</v>
      </c>
      <c r="Q69">
        <v>19.46</v>
      </c>
      <c r="R69">
        <v>1295.29</v>
      </c>
      <c r="S69">
        <v>34.25</v>
      </c>
      <c r="T69">
        <v>19.309999999999999</v>
      </c>
      <c r="U69">
        <v>17.32</v>
      </c>
      <c r="V69">
        <v>39.299999999999997</v>
      </c>
      <c r="W69">
        <v>45.333100000000002</v>
      </c>
      <c r="X69">
        <v>26.46</v>
      </c>
      <c r="Y69">
        <v>49.75</v>
      </c>
      <c r="Z69">
        <v>40.39</v>
      </c>
      <c r="AA69">
        <v>82.96</v>
      </c>
      <c r="AB69">
        <v>55.22</v>
      </c>
      <c r="AC69">
        <v>42.62</v>
      </c>
      <c r="AD69">
        <v>611.66999999999996</v>
      </c>
      <c r="AE69">
        <v>670.31</v>
      </c>
      <c r="AF69">
        <v>43.42</v>
      </c>
      <c r="AG69">
        <v>57.96</v>
      </c>
      <c r="AH69">
        <v>46.98</v>
      </c>
      <c r="AI69">
        <v>51.75</v>
      </c>
    </row>
    <row r="70" spans="1:35" x14ac:dyDescent="0.45">
      <c r="A70" s="2">
        <v>45966</v>
      </c>
      <c r="B70">
        <v>34.380000000000003</v>
      </c>
      <c r="C70">
        <v>35.299999999999997</v>
      </c>
      <c r="D70">
        <v>18.54</v>
      </c>
      <c r="E70">
        <v>24.19</v>
      </c>
      <c r="F70">
        <v>33.51</v>
      </c>
      <c r="G70">
        <v>61.39</v>
      </c>
      <c r="H70">
        <v>26.2</v>
      </c>
      <c r="I70">
        <v>66.03</v>
      </c>
      <c r="J70">
        <v>67.180000000000007</v>
      </c>
      <c r="K70">
        <v>96.62</v>
      </c>
      <c r="L70">
        <v>32.1</v>
      </c>
      <c r="M70">
        <v>63.4</v>
      </c>
      <c r="N70">
        <v>62.68</v>
      </c>
      <c r="O70">
        <v>54.3</v>
      </c>
      <c r="P70">
        <v>63.36</v>
      </c>
      <c r="Q70">
        <v>19.414999999999999</v>
      </c>
      <c r="R70">
        <v>1298.5999999999999</v>
      </c>
      <c r="S70">
        <v>34.130000000000003</v>
      </c>
      <c r="T70">
        <v>19.350000000000001</v>
      </c>
      <c r="U70">
        <v>17.57</v>
      </c>
      <c r="V70">
        <v>39.35</v>
      </c>
      <c r="W70">
        <v>45.91</v>
      </c>
      <c r="X70">
        <v>26.67</v>
      </c>
      <c r="Y70">
        <v>50.26</v>
      </c>
      <c r="Z70">
        <v>40.729999999999997</v>
      </c>
      <c r="AA70">
        <v>82.8</v>
      </c>
      <c r="AB70">
        <v>55.4</v>
      </c>
      <c r="AC70">
        <v>42.61</v>
      </c>
      <c r="AD70">
        <v>623.28</v>
      </c>
      <c r="AE70">
        <v>677.58</v>
      </c>
      <c r="AF70">
        <v>43.88</v>
      </c>
      <c r="AG70">
        <v>58.26</v>
      </c>
      <c r="AH70">
        <v>47.29</v>
      </c>
      <c r="AI70">
        <v>52</v>
      </c>
    </row>
    <row r="71" spans="1:35" x14ac:dyDescent="0.45">
      <c r="A71" s="2">
        <v>45965</v>
      </c>
      <c r="B71">
        <v>33.97</v>
      </c>
      <c r="C71">
        <v>34.5</v>
      </c>
      <c r="D71">
        <v>18.36</v>
      </c>
      <c r="E71">
        <v>24.38</v>
      </c>
      <c r="F71">
        <v>33.31</v>
      </c>
      <c r="G71">
        <v>60.31</v>
      </c>
      <c r="H71">
        <v>25.98</v>
      </c>
      <c r="I71">
        <v>65.430000000000007</v>
      </c>
      <c r="J71">
        <v>65.650000000000006</v>
      </c>
      <c r="K71">
        <v>95.76</v>
      </c>
      <c r="L71">
        <v>31.18</v>
      </c>
      <c r="M71">
        <v>61.44</v>
      </c>
      <c r="N71">
        <v>62.17</v>
      </c>
      <c r="O71">
        <v>54.02</v>
      </c>
      <c r="P71">
        <v>62.73</v>
      </c>
      <c r="Q71">
        <v>19.434999999999999</v>
      </c>
      <c r="R71">
        <v>1308.8599999999999</v>
      </c>
      <c r="S71">
        <v>33.909999999999997</v>
      </c>
      <c r="T71">
        <v>19.36</v>
      </c>
      <c r="U71">
        <v>17.53</v>
      </c>
      <c r="V71">
        <v>39.68</v>
      </c>
      <c r="W71">
        <v>45.38</v>
      </c>
      <c r="X71">
        <v>26.41</v>
      </c>
      <c r="Y71">
        <v>49.72</v>
      </c>
      <c r="Z71">
        <v>40.340000000000003</v>
      </c>
      <c r="AA71">
        <v>82.83</v>
      </c>
      <c r="AB71">
        <v>55.06</v>
      </c>
      <c r="AC71">
        <v>42.18</v>
      </c>
      <c r="AD71">
        <v>619.25</v>
      </c>
      <c r="AE71">
        <v>675.24</v>
      </c>
      <c r="AF71">
        <v>43.63</v>
      </c>
      <c r="AG71">
        <v>57.82</v>
      </c>
      <c r="AH71">
        <v>46.87</v>
      </c>
      <c r="AI71">
        <v>51.38</v>
      </c>
    </row>
    <row r="72" spans="1:35" x14ac:dyDescent="0.45">
      <c r="A72" s="2">
        <v>45964</v>
      </c>
      <c r="B72">
        <v>34.377099999999999</v>
      </c>
      <c r="C72">
        <v>35.93</v>
      </c>
      <c r="D72">
        <v>18.45</v>
      </c>
      <c r="E72">
        <v>24.15</v>
      </c>
      <c r="F72">
        <v>33.78</v>
      </c>
      <c r="G72">
        <v>62.16</v>
      </c>
      <c r="H72">
        <v>26.06</v>
      </c>
      <c r="I72">
        <v>66.900000000000006</v>
      </c>
      <c r="J72">
        <v>66.23</v>
      </c>
      <c r="K72">
        <v>100.78</v>
      </c>
      <c r="L72">
        <v>31.52</v>
      </c>
      <c r="M72">
        <v>63.76</v>
      </c>
      <c r="N72">
        <v>63.18</v>
      </c>
      <c r="O72">
        <v>54.24</v>
      </c>
      <c r="P72">
        <v>63.55</v>
      </c>
      <c r="Q72">
        <v>19.315000000000001</v>
      </c>
      <c r="R72">
        <v>1309.5</v>
      </c>
      <c r="S72">
        <v>34.450000000000003</v>
      </c>
      <c r="T72">
        <v>19.579999999999998</v>
      </c>
      <c r="U72">
        <v>17.09</v>
      </c>
      <c r="V72">
        <v>40</v>
      </c>
      <c r="W72">
        <v>45.705599999999997</v>
      </c>
      <c r="X72">
        <v>26.84</v>
      </c>
      <c r="Y72">
        <v>50.67</v>
      </c>
      <c r="Z72">
        <v>40.909999999999997</v>
      </c>
      <c r="AA72">
        <v>83.64</v>
      </c>
      <c r="AB72">
        <v>55.12</v>
      </c>
      <c r="AC72">
        <v>42.53</v>
      </c>
      <c r="AD72">
        <v>632.08000000000004</v>
      </c>
      <c r="AE72">
        <v>683.34</v>
      </c>
      <c r="AF72">
        <v>44.07</v>
      </c>
      <c r="AG72">
        <v>58.68</v>
      </c>
      <c r="AH72">
        <v>47.7</v>
      </c>
      <c r="AI72">
        <v>51.79</v>
      </c>
    </row>
    <row r="73" spans="1:35" x14ac:dyDescent="0.45">
      <c r="A73" s="2">
        <v>45961</v>
      </c>
      <c r="B73">
        <v>34.299999999999997</v>
      </c>
      <c r="C73">
        <v>35.32</v>
      </c>
      <c r="D73">
        <v>18.28</v>
      </c>
      <c r="E73">
        <v>24.55</v>
      </c>
      <c r="F73">
        <v>33.71</v>
      </c>
      <c r="G73">
        <v>62.78</v>
      </c>
      <c r="H73">
        <v>25.85</v>
      </c>
      <c r="I73">
        <v>66.650000000000006</v>
      </c>
      <c r="J73">
        <v>66.53</v>
      </c>
      <c r="K73">
        <v>97</v>
      </c>
      <c r="L73">
        <v>31.17</v>
      </c>
      <c r="M73">
        <v>63.77</v>
      </c>
      <c r="N73">
        <v>62.22</v>
      </c>
      <c r="O73">
        <v>53.97</v>
      </c>
      <c r="P73">
        <v>63.57</v>
      </c>
      <c r="Q73">
        <v>19.3</v>
      </c>
      <c r="R73">
        <v>1314.65</v>
      </c>
      <c r="S73">
        <v>34.15</v>
      </c>
      <c r="T73">
        <v>19.68</v>
      </c>
      <c r="U73">
        <v>17.43</v>
      </c>
      <c r="V73">
        <v>40.28</v>
      </c>
      <c r="W73">
        <v>45.89</v>
      </c>
      <c r="X73">
        <v>26.77</v>
      </c>
      <c r="Y73">
        <v>50.74</v>
      </c>
      <c r="Z73">
        <v>40.729999999999997</v>
      </c>
      <c r="AA73">
        <v>83.45</v>
      </c>
      <c r="AB73">
        <v>55.36</v>
      </c>
      <c r="AC73">
        <v>42.67</v>
      </c>
      <c r="AD73">
        <v>629.07000000000005</v>
      </c>
      <c r="AE73">
        <v>682.06</v>
      </c>
      <c r="AF73">
        <v>44.28</v>
      </c>
      <c r="AG73">
        <v>58.8</v>
      </c>
      <c r="AH73">
        <v>47.99</v>
      </c>
      <c r="AI73">
        <v>51.81</v>
      </c>
    </row>
    <row r="74" spans="1:35" x14ac:dyDescent="0.45">
      <c r="A74" s="2">
        <v>45960</v>
      </c>
      <c r="B74">
        <v>34.9</v>
      </c>
      <c r="C74">
        <v>35.340000000000003</v>
      </c>
      <c r="D74">
        <v>18.27</v>
      </c>
      <c r="E74">
        <v>24.4</v>
      </c>
      <c r="F74">
        <v>34.22</v>
      </c>
      <c r="G74">
        <v>63.11</v>
      </c>
      <c r="H74">
        <v>25.88</v>
      </c>
      <c r="I74">
        <v>66.540000000000006</v>
      </c>
      <c r="J74">
        <v>66.73</v>
      </c>
      <c r="K74">
        <v>95.26</v>
      </c>
      <c r="L74">
        <v>31.05</v>
      </c>
      <c r="M74">
        <v>64.37</v>
      </c>
      <c r="N74">
        <v>62.69</v>
      </c>
      <c r="O74">
        <v>54.27</v>
      </c>
      <c r="P74">
        <v>64.38</v>
      </c>
      <c r="Q74">
        <v>19.289100000000001</v>
      </c>
      <c r="R74">
        <v>1315.64</v>
      </c>
      <c r="S74">
        <v>33.64</v>
      </c>
      <c r="T74">
        <v>20.149999999999999</v>
      </c>
      <c r="U74">
        <v>17.71</v>
      </c>
      <c r="V74">
        <v>40.229999999999997</v>
      </c>
      <c r="W74">
        <v>45.755000000000003</v>
      </c>
      <c r="X74">
        <v>26.89</v>
      </c>
      <c r="Y74">
        <v>50.67</v>
      </c>
      <c r="Z74">
        <v>41</v>
      </c>
      <c r="AA74">
        <v>83.21</v>
      </c>
      <c r="AB74">
        <v>55.6</v>
      </c>
      <c r="AC74">
        <v>42.75</v>
      </c>
      <c r="AD74">
        <v>626.04999999999995</v>
      </c>
      <c r="AE74">
        <v>679.83</v>
      </c>
      <c r="AF74">
        <v>44.44</v>
      </c>
      <c r="AG74">
        <v>59.48</v>
      </c>
      <c r="AH74">
        <v>48.49</v>
      </c>
      <c r="AI74">
        <v>51.82</v>
      </c>
    </row>
    <row r="75" spans="1:35" x14ac:dyDescent="0.45">
      <c r="A75" s="2">
        <v>45959</v>
      </c>
      <c r="B75">
        <v>35.270000000000003</v>
      </c>
      <c r="C75">
        <v>34.97</v>
      </c>
      <c r="D75">
        <v>18.32</v>
      </c>
      <c r="E75">
        <v>24.74</v>
      </c>
      <c r="F75">
        <v>34.53</v>
      </c>
      <c r="G75">
        <v>63.12</v>
      </c>
      <c r="H75">
        <v>25.91</v>
      </c>
      <c r="I75">
        <v>67.13</v>
      </c>
      <c r="J75">
        <v>67.430000000000007</v>
      </c>
      <c r="K75">
        <v>96.9</v>
      </c>
      <c r="L75">
        <v>31.18</v>
      </c>
      <c r="M75">
        <v>64.75</v>
      </c>
      <c r="N75">
        <v>63.76</v>
      </c>
      <c r="O75">
        <v>54.61</v>
      </c>
      <c r="P75">
        <v>65.489999999999995</v>
      </c>
      <c r="Q75">
        <v>19.25</v>
      </c>
      <c r="R75">
        <v>1314.28</v>
      </c>
      <c r="S75">
        <v>33.909999999999997</v>
      </c>
      <c r="T75">
        <v>20</v>
      </c>
      <c r="U75">
        <v>18.149999999999999</v>
      </c>
      <c r="V75">
        <v>41.03</v>
      </c>
      <c r="W75">
        <v>45.674999999999997</v>
      </c>
      <c r="X75">
        <v>27</v>
      </c>
      <c r="Y75">
        <v>50.75</v>
      </c>
      <c r="Z75">
        <v>41.27</v>
      </c>
      <c r="AA75">
        <v>83.23</v>
      </c>
      <c r="AB75">
        <v>55.66</v>
      </c>
      <c r="AC75">
        <v>42.83</v>
      </c>
      <c r="AD75">
        <v>635.77</v>
      </c>
      <c r="AE75">
        <v>687.39</v>
      </c>
      <c r="AF75">
        <v>44.86</v>
      </c>
      <c r="AG75">
        <v>59.366</v>
      </c>
      <c r="AH75">
        <v>48.74</v>
      </c>
      <c r="AI75">
        <v>52.11</v>
      </c>
    </row>
    <row r="76" spans="1:35" x14ac:dyDescent="0.45">
      <c r="A76" s="2">
        <v>45958</v>
      </c>
      <c r="B76">
        <v>34.950000000000003</v>
      </c>
      <c r="C76">
        <v>34.630000000000003</v>
      </c>
      <c r="D76">
        <v>18.05</v>
      </c>
      <c r="E76">
        <v>24.44</v>
      </c>
      <c r="F76">
        <v>34.85</v>
      </c>
      <c r="G76">
        <v>62.53</v>
      </c>
      <c r="H76">
        <v>26.01</v>
      </c>
      <c r="I76">
        <v>67.09</v>
      </c>
      <c r="J76">
        <v>67.099999999999994</v>
      </c>
      <c r="K76">
        <v>94.45</v>
      </c>
      <c r="L76">
        <v>30.92</v>
      </c>
      <c r="M76">
        <v>65.23</v>
      </c>
      <c r="N76">
        <v>62.89</v>
      </c>
      <c r="O76">
        <v>54.54</v>
      </c>
      <c r="P76">
        <v>65.12</v>
      </c>
      <c r="Q76">
        <v>19.195</v>
      </c>
      <c r="R76">
        <v>1323.52</v>
      </c>
      <c r="S76">
        <v>33.979999999999997</v>
      </c>
      <c r="T76">
        <v>20.010000000000002</v>
      </c>
      <c r="U76">
        <v>18.18</v>
      </c>
      <c r="V76">
        <v>40.89</v>
      </c>
      <c r="W76">
        <v>45.844999999999999</v>
      </c>
      <c r="X76">
        <v>27.52</v>
      </c>
      <c r="Y76">
        <v>51.41</v>
      </c>
      <c r="Z76">
        <v>41.72</v>
      </c>
      <c r="AA76">
        <v>83.93</v>
      </c>
      <c r="AB76">
        <v>56.17</v>
      </c>
      <c r="AC76">
        <v>42.92</v>
      </c>
      <c r="AD76">
        <v>632.91999999999996</v>
      </c>
      <c r="AE76">
        <v>687.06</v>
      </c>
      <c r="AF76">
        <v>45.14</v>
      </c>
      <c r="AG76">
        <v>59.01</v>
      </c>
      <c r="AH76">
        <v>49.07</v>
      </c>
      <c r="AI76">
        <v>52.18</v>
      </c>
    </row>
    <row r="77" spans="1:35" x14ac:dyDescent="0.45">
      <c r="A77" s="2">
        <v>45957</v>
      </c>
      <c r="B77">
        <v>34.950000000000003</v>
      </c>
      <c r="C77">
        <v>34.590000000000003</v>
      </c>
      <c r="D77">
        <v>18.09</v>
      </c>
      <c r="E77">
        <v>24.4</v>
      </c>
      <c r="F77">
        <v>34.200000000000003</v>
      </c>
      <c r="G77">
        <v>61.55</v>
      </c>
      <c r="H77">
        <v>25.96</v>
      </c>
      <c r="I77">
        <v>66.98</v>
      </c>
      <c r="J77">
        <v>66.33</v>
      </c>
      <c r="K77">
        <v>94.31</v>
      </c>
      <c r="L77">
        <v>30.77</v>
      </c>
      <c r="M77">
        <v>64.2</v>
      </c>
      <c r="N77">
        <v>63.03</v>
      </c>
      <c r="O77">
        <v>54.72</v>
      </c>
      <c r="P77">
        <v>65.59</v>
      </c>
      <c r="Q77">
        <v>19.195</v>
      </c>
      <c r="R77">
        <v>1313.91</v>
      </c>
      <c r="S77">
        <v>33.89</v>
      </c>
      <c r="T77">
        <v>19.97</v>
      </c>
      <c r="U77">
        <v>17.739999999999998</v>
      </c>
      <c r="V77">
        <v>40.61</v>
      </c>
      <c r="W77">
        <v>45.99</v>
      </c>
      <c r="X77">
        <v>27.37</v>
      </c>
      <c r="Y77">
        <v>50.79</v>
      </c>
      <c r="Z77">
        <v>41.78</v>
      </c>
      <c r="AA77">
        <v>83.53</v>
      </c>
      <c r="AB77">
        <v>56.94</v>
      </c>
      <c r="AC77">
        <v>42.98</v>
      </c>
      <c r="AD77">
        <v>628.09</v>
      </c>
      <c r="AE77">
        <v>685.24</v>
      </c>
      <c r="AF77">
        <v>45.33</v>
      </c>
      <c r="AG77">
        <v>59.564999999999998</v>
      </c>
      <c r="AH77">
        <v>49.23</v>
      </c>
      <c r="AI77">
        <v>51.93</v>
      </c>
    </row>
    <row r="78" spans="1:35" x14ac:dyDescent="0.45">
      <c r="A78" s="2">
        <v>45954</v>
      </c>
      <c r="B78">
        <v>34.479999999999997</v>
      </c>
      <c r="C78">
        <v>34.369999999999997</v>
      </c>
      <c r="D78">
        <v>18.3</v>
      </c>
      <c r="E78">
        <v>24.7</v>
      </c>
      <c r="F78">
        <v>33.909999999999997</v>
      </c>
      <c r="G78">
        <v>61.62</v>
      </c>
      <c r="H78">
        <v>25.69</v>
      </c>
      <c r="I78">
        <v>66.48</v>
      </c>
      <c r="J78">
        <v>65.37</v>
      </c>
      <c r="K78">
        <v>92.05</v>
      </c>
      <c r="L78">
        <v>30.48</v>
      </c>
      <c r="M78">
        <v>65.180000000000007</v>
      </c>
      <c r="N78">
        <v>63.27</v>
      </c>
      <c r="O78">
        <v>54.51</v>
      </c>
      <c r="P78">
        <v>64.510000000000005</v>
      </c>
      <c r="Q78">
        <v>19.29</v>
      </c>
      <c r="R78">
        <v>1302.3499999999999</v>
      </c>
      <c r="S78">
        <v>34.04</v>
      </c>
      <c r="T78">
        <v>19.98</v>
      </c>
      <c r="U78">
        <v>18.21</v>
      </c>
      <c r="V78">
        <v>40.729999999999997</v>
      </c>
      <c r="W78">
        <v>45.615000000000002</v>
      </c>
      <c r="X78">
        <v>27.18</v>
      </c>
      <c r="Y78">
        <v>50.84</v>
      </c>
      <c r="Z78">
        <v>41.59</v>
      </c>
      <c r="AA78">
        <v>82.5</v>
      </c>
      <c r="AB78">
        <v>57.12</v>
      </c>
      <c r="AC78">
        <v>42.78</v>
      </c>
      <c r="AD78">
        <v>617.1</v>
      </c>
      <c r="AE78">
        <v>677.25</v>
      </c>
      <c r="AF78">
        <v>45.11</v>
      </c>
      <c r="AG78">
        <v>58.91</v>
      </c>
      <c r="AH78">
        <v>48.86</v>
      </c>
      <c r="AI78">
        <v>51.27</v>
      </c>
    </row>
    <row r="79" spans="1:35" x14ac:dyDescent="0.45">
      <c r="A79" s="2">
        <v>45953</v>
      </c>
      <c r="B79">
        <v>34.06</v>
      </c>
      <c r="C79">
        <v>34.200000000000003</v>
      </c>
      <c r="D79">
        <v>18.3</v>
      </c>
      <c r="E79">
        <v>24.99</v>
      </c>
      <c r="F79">
        <v>34.17</v>
      </c>
      <c r="G79">
        <v>61.61</v>
      </c>
      <c r="H79">
        <v>25.65</v>
      </c>
      <c r="I79">
        <v>65.709999999999994</v>
      </c>
      <c r="J79">
        <v>66.02</v>
      </c>
      <c r="K79">
        <v>90.07</v>
      </c>
      <c r="L79">
        <v>30.47</v>
      </c>
      <c r="M79">
        <v>64.930000000000007</v>
      </c>
      <c r="N79">
        <v>64.06</v>
      </c>
      <c r="O79">
        <v>54.76</v>
      </c>
      <c r="P79">
        <v>64.11</v>
      </c>
      <c r="Q79">
        <v>19.260000000000002</v>
      </c>
      <c r="R79">
        <v>1290.72</v>
      </c>
      <c r="S79">
        <v>33.11</v>
      </c>
      <c r="T79">
        <v>19.920000000000002</v>
      </c>
      <c r="U79">
        <v>18.29</v>
      </c>
      <c r="V79">
        <v>40.67</v>
      </c>
      <c r="W79">
        <v>45.52</v>
      </c>
      <c r="X79">
        <v>27.19</v>
      </c>
      <c r="Y79">
        <v>50.58</v>
      </c>
      <c r="Z79">
        <v>41.55</v>
      </c>
      <c r="AA79">
        <v>82.22</v>
      </c>
      <c r="AB79">
        <v>57.17</v>
      </c>
      <c r="AC79">
        <v>42.6</v>
      </c>
      <c r="AD79">
        <v>610.58000000000004</v>
      </c>
      <c r="AE79">
        <v>671.76</v>
      </c>
      <c r="AF79">
        <v>45.27</v>
      </c>
      <c r="AG79">
        <v>58.87</v>
      </c>
      <c r="AH79">
        <v>48.65</v>
      </c>
      <c r="AI79">
        <v>51.17</v>
      </c>
    </row>
    <row r="80" spans="1:35" x14ac:dyDescent="0.45">
      <c r="A80" s="2">
        <v>45952</v>
      </c>
      <c r="B80">
        <v>33.86</v>
      </c>
      <c r="C80">
        <v>33.47</v>
      </c>
      <c r="D80">
        <v>17.89</v>
      </c>
      <c r="E80">
        <v>24.82</v>
      </c>
      <c r="F80">
        <v>33.83</v>
      </c>
      <c r="G80">
        <v>60.71</v>
      </c>
      <c r="H80">
        <v>25.47</v>
      </c>
      <c r="I80">
        <v>65.03</v>
      </c>
      <c r="J80">
        <v>65.510000000000005</v>
      </c>
      <c r="K80">
        <v>89.45</v>
      </c>
      <c r="L80">
        <v>30.03</v>
      </c>
      <c r="M80">
        <v>63.58</v>
      </c>
      <c r="N80">
        <v>63.56</v>
      </c>
      <c r="O80">
        <v>55.29</v>
      </c>
      <c r="P80">
        <v>63.03</v>
      </c>
      <c r="Q80">
        <v>19.14</v>
      </c>
      <c r="R80">
        <v>1284.47</v>
      </c>
      <c r="S80">
        <v>32.96</v>
      </c>
      <c r="T80">
        <v>19.690000000000001</v>
      </c>
      <c r="U80">
        <v>18.170000000000002</v>
      </c>
      <c r="V80">
        <v>40.51</v>
      </c>
      <c r="W80">
        <v>45.230899999999998</v>
      </c>
      <c r="X80">
        <v>27.07</v>
      </c>
      <c r="Y80">
        <v>50.2</v>
      </c>
      <c r="Z80">
        <v>41.44</v>
      </c>
      <c r="AA80">
        <v>82.18</v>
      </c>
      <c r="AB80">
        <v>57.14</v>
      </c>
      <c r="AC80">
        <v>42.41</v>
      </c>
      <c r="AD80">
        <v>605.49</v>
      </c>
      <c r="AE80">
        <v>667.8</v>
      </c>
      <c r="AF80">
        <v>44.91</v>
      </c>
      <c r="AG80">
        <v>58.12</v>
      </c>
      <c r="AH80">
        <v>48.36</v>
      </c>
      <c r="AI80">
        <v>50.66</v>
      </c>
    </row>
    <row r="81" spans="1:35" x14ac:dyDescent="0.45">
      <c r="A81" s="2">
        <v>45951</v>
      </c>
      <c r="B81">
        <v>33.880000000000003</v>
      </c>
      <c r="C81">
        <v>33.5</v>
      </c>
      <c r="D81">
        <v>18.170000000000002</v>
      </c>
      <c r="E81">
        <v>25.11</v>
      </c>
      <c r="F81">
        <v>33.1</v>
      </c>
      <c r="G81">
        <v>61.35</v>
      </c>
      <c r="H81">
        <v>25.74</v>
      </c>
      <c r="I81">
        <v>65.78</v>
      </c>
      <c r="J81">
        <v>65.069999999999993</v>
      </c>
      <c r="K81">
        <v>88.64</v>
      </c>
      <c r="L81">
        <v>29.94</v>
      </c>
      <c r="M81">
        <v>63.27</v>
      </c>
      <c r="N81">
        <v>63.28</v>
      </c>
      <c r="O81">
        <v>54.48</v>
      </c>
      <c r="P81">
        <v>63.44</v>
      </c>
      <c r="Q81">
        <v>19.09</v>
      </c>
      <c r="R81">
        <v>1274.6099999999999</v>
      </c>
      <c r="S81">
        <v>32.72</v>
      </c>
      <c r="T81">
        <v>19.579999999999998</v>
      </c>
      <c r="U81">
        <v>18.045000000000002</v>
      </c>
      <c r="V81">
        <v>40.47</v>
      </c>
      <c r="W81">
        <v>45.325000000000003</v>
      </c>
      <c r="X81">
        <v>27.11</v>
      </c>
      <c r="Y81">
        <v>49.99</v>
      </c>
      <c r="Z81">
        <v>41.69</v>
      </c>
      <c r="AA81">
        <v>82.57</v>
      </c>
      <c r="AB81">
        <v>57.11</v>
      </c>
      <c r="AC81">
        <v>41.96</v>
      </c>
      <c r="AD81">
        <v>611.38</v>
      </c>
      <c r="AE81">
        <v>671.29</v>
      </c>
      <c r="AF81">
        <v>44.98</v>
      </c>
      <c r="AG81">
        <v>58.35</v>
      </c>
      <c r="AH81">
        <v>48.54</v>
      </c>
      <c r="AI81">
        <v>51.1</v>
      </c>
    </row>
    <row r="82" spans="1:35" x14ac:dyDescent="0.45">
      <c r="A82" s="2">
        <v>45950</v>
      </c>
      <c r="B82">
        <v>33.64</v>
      </c>
      <c r="C82">
        <v>33.85</v>
      </c>
      <c r="D82">
        <v>17.82</v>
      </c>
      <c r="E82">
        <v>25.33</v>
      </c>
      <c r="F82">
        <v>33.49</v>
      </c>
      <c r="G82">
        <v>64</v>
      </c>
      <c r="H82">
        <v>25.82</v>
      </c>
      <c r="I82">
        <v>66.17</v>
      </c>
      <c r="J82">
        <v>65.94</v>
      </c>
      <c r="K82">
        <v>90.43</v>
      </c>
      <c r="L82">
        <v>30.22</v>
      </c>
      <c r="M82">
        <v>66.209999999999994</v>
      </c>
      <c r="N82">
        <v>62.99</v>
      </c>
      <c r="O82">
        <v>54.74</v>
      </c>
      <c r="P82">
        <v>64.12</v>
      </c>
      <c r="Q82">
        <v>19.135000000000002</v>
      </c>
      <c r="R82">
        <v>1291.46</v>
      </c>
      <c r="S82">
        <v>32.76</v>
      </c>
      <c r="T82">
        <v>19.57</v>
      </c>
      <c r="U82">
        <v>18.2</v>
      </c>
      <c r="V82">
        <v>40.89</v>
      </c>
      <c r="W82">
        <v>45.56</v>
      </c>
      <c r="X82">
        <v>27.26</v>
      </c>
      <c r="Y82">
        <v>50.72</v>
      </c>
      <c r="Z82">
        <v>41.88</v>
      </c>
      <c r="AA82">
        <v>83.54</v>
      </c>
      <c r="AB82">
        <v>57.68</v>
      </c>
      <c r="AC82">
        <v>42.16</v>
      </c>
      <c r="AD82">
        <v>611.54</v>
      </c>
      <c r="AE82">
        <v>671.3</v>
      </c>
      <c r="AF82">
        <v>45.2</v>
      </c>
      <c r="AG82">
        <v>58.85</v>
      </c>
      <c r="AH82">
        <v>48.09</v>
      </c>
      <c r="AI82">
        <v>51.24</v>
      </c>
    </row>
    <row r="83" spans="1:35" x14ac:dyDescent="0.45">
      <c r="A83" s="2">
        <v>45947</v>
      </c>
      <c r="B83">
        <v>33.61</v>
      </c>
      <c r="C83">
        <v>33.36</v>
      </c>
      <c r="D83">
        <v>17.3</v>
      </c>
      <c r="E83">
        <v>25.41</v>
      </c>
      <c r="F83">
        <v>32.92</v>
      </c>
      <c r="G83">
        <v>62.97</v>
      </c>
      <c r="H83">
        <v>25.7</v>
      </c>
      <c r="I83">
        <v>65.09</v>
      </c>
      <c r="J83">
        <v>66.13</v>
      </c>
      <c r="K83">
        <v>88.52</v>
      </c>
      <c r="L83">
        <v>29.71</v>
      </c>
      <c r="M83">
        <v>65.41</v>
      </c>
      <c r="N83">
        <v>62.75</v>
      </c>
      <c r="O83">
        <v>54.45</v>
      </c>
      <c r="P83">
        <v>63.31</v>
      </c>
      <c r="Q83">
        <v>19.085000000000001</v>
      </c>
      <c r="R83">
        <v>1286.69</v>
      </c>
      <c r="S83">
        <v>31.9</v>
      </c>
      <c r="T83">
        <v>19.63</v>
      </c>
      <c r="U83">
        <v>19.2</v>
      </c>
      <c r="V83">
        <v>40.78</v>
      </c>
      <c r="W83">
        <v>45.174999999999997</v>
      </c>
      <c r="X83">
        <v>26.92</v>
      </c>
      <c r="Y83">
        <v>50.28</v>
      </c>
      <c r="Z83">
        <v>41.38</v>
      </c>
      <c r="AA83">
        <v>82</v>
      </c>
      <c r="AB83">
        <v>57.78</v>
      </c>
      <c r="AC83">
        <v>42.07</v>
      </c>
      <c r="AD83">
        <v>603.92999999999995</v>
      </c>
      <c r="AE83">
        <v>664.39</v>
      </c>
      <c r="AF83">
        <v>45.23</v>
      </c>
      <c r="AG83">
        <v>58.65</v>
      </c>
      <c r="AH83">
        <v>47.79</v>
      </c>
      <c r="AI83">
        <v>50.77</v>
      </c>
    </row>
    <row r="84" spans="1:35" x14ac:dyDescent="0.45">
      <c r="A84" s="2">
        <v>45946</v>
      </c>
      <c r="B84">
        <v>34.020000000000003</v>
      </c>
      <c r="C84">
        <v>33.4</v>
      </c>
      <c r="D84">
        <v>17.36</v>
      </c>
      <c r="E84">
        <v>25.42</v>
      </c>
      <c r="F84">
        <v>32.83</v>
      </c>
      <c r="G84">
        <v>64.55</v>
      </c>
      <c r="H84">
        <v>25.58</v>
      </c>
      <c r="I84">
        <v>65.17</v>
      </c>
      <c r="J84">
        <v>67.05</v>
      </c>
      <c r="K84">
        <v>87.88</v>
      </c>
      <c r="L84">
        <v>29.24</v>
      </c>
      <c r="M84">
        <v>67.33</v>
      </c>
      <c r="N84">
        <v>63.87</v>
      </c>
      <c r="O84">
        <v>54.064999999999998</v>
      </c>
      <c r="P84">
        <v>63.4</v>
      </c>
      <c r="Q84">
        <v>19.1356</v>
      </c>
      <c r="R84">
        <v>1266.3800000000001</v>
      </c>
      <c r="S84">
        <v>32.340000000000003</v>
      </c>
      <c r="T84">
        <v>19.47</v>
      </c>
      <c r="U84">
        <v>19.64</v>
      </c>
      <c r="V84">
        <v>40.78</v>
      </c>
      <c r="W84">
        <v>45.42</v>
      </c>
      <c r="X84">
        <v>26.97</v>
      </c>
      <c r="Y84">
        <v>50.62</v>
      </c>
      <c r="Z84">
        <v>41.59</v>
      </c>
      <c r="AA84">
        <v>81.55</v>
      </c>
      <c r="AB84">
        <v>57.47</v>
      </c>
      <c r="AC84">
        <v>41.99</v>
      </c>
      <c r="AD84">
        <v>599.99</v>
      </c>
      <c r="AE84">
        <v>660.64</v>
      </c>
      <c r="AF84">
        <v>45.15</v>
      </c>
      <c r="AG84">
        <v>58.49</v>
      </c>
      <c r="AH84">
        <v>47.8</v>
      </c>
      <c r="AI84">
        <v>50.88</v>
      </c>
    </row>
    <row r="85" spans="1:35" x14ac:dyDescent="0.45">
      <c r="A85" s="2">
        <v>45945</v>
      </c>
      <c r="B85">
        <v>33.99</v>
      </c>
      <c r="C85">
        <v>33.409999999999997</v>
      </c>
      <c r="D85">
        <v>17.21</v>
      </c>
      <c r="E85">
        <v>25.44</v>
      </c>
      <c r="F85">
        <v>32.9</v>
      </c>
      <c r="G85">
        <v>64.099999999999994</v>
      </c>
      <c r="H85">
        <v>25.66</v>
      </c>
      <c r="I85">
        <v>64.989999999999995</v>
      </c>
      <c r="J85">
        <v>65.87</v>
      </c>
      <c r="K85">
        <v>85.17</v>
      </c>
      <c r="L85">
        <v>29.32</v>
      </c>
      <c r="M85">
        <v>66.03</v>
      </c>
      <c r="N85">
        <v>64.67</v>
      </c>
      <c r="O85">
        <v>53.76</v>
      </c>
      <c r="P85">
        <v>63.25</v>
      </c>
      <c r="Q85">
        <v>19.070699999999999</v>
      </c>
      <c r="R85">
        <v>1286.98</v>
      </c>
      <c r="S85">
        <v>32.56</v>
      </c>
      <c r="T85">
        <v>19.47</v>
      </c>
      <c r="U85">
        <v>19.420000000000002</v>
      </c>
      <c r="V85">
        <v>40.89</v>
      </c>
      <c r="W85">
        <v>45.14</v>
      </c>
      <c r="X85">
        <v>26.89</v>
      </c>
      <c r="Y85">
        <v>50.96</v>
      </c>
      <c r="Z85">
        <v>41.53</v>
      </c>
      <c r="AA85">
        <v>81.290000000000006</v>
      </c>
      <c r="AB85">
        <v>56.64</v>
      </c>
      <c r="AC85">
        <v>42.02</v>
      </c>
      <c r="AD85">
        <v>602.22</v>
      </c>
      <c r="AE85">
        <v>665.17</v>
      </c>
      <c r="AF85">
        <v>44.42</v>
      </c>
      <c r="AG85">
        <v>58.27</v>
      </c>
      <c r="AH85">
        <v>47.58</v>
      </c>
      <c r="AI85">
        <v>50.47</v>
      </c>
    </row>
    <row r="86" spans="1:35" x14ac:dyDescent="0.45">
      <c r="A86" s="2">
        <v>45944</v>
      </c>
      <c r="B86">
        <v>33.549999999999997</v>
      </c>
      <c r="C86">
        <v>32.799999999999997</v>
      </c>
      <c r="D86">
        <v>17.22</v>
      </c>
      <c r="E86">
        <v>25.45</v>
      </c>
      <c r="F86">
        <v>32.22</v>
      </c>
      <c r="G86">
        <v>63.3</v>
      </c>
      <c r="H86">
        <v>25.72</v>
      </c>
      <c r="I86">
        <v>63.7</v>
      </c>
      <c r="J86">
        <v>64.84</v>
      </c>
      <c r="K86">
        <v>82.69</v>
      </c>
      <c r="L86">
        <v>29.1</v>
      </c>
      <c r="M86">
        <v>65.31</v>
      </c>
      <c r="N86">
        <v>64.83</v>
      </c>
      <c r="O86">
        <v>52.78</v>
      </c>
      <c r="P86">
        <v>62.58</v>
      </c>
      <c r="Q86">
        <v>19.204999999999998</v>
      </c>
      <c r="R86">
        <v>1313.99</v>
      </c>
      <c r="S86">
        <v>32.35</v>
      </c>
      <c r="T86">
        <v>19.57</v>
      </c>
      <c r="U86">
        <v>19.690000000000001</v>
      </c>
      <c r="V86">
        <v>40.75</v>
      </c>
      <c r="W86">
        <v>45.066499999999998</v>
      </c>
      <c r="X86">
        <v>26.7</v>
      </c>
      <c r="Y86">
        <v>50.53</v>
      </c>
      <c r="Z86">
        <v>41.67</v>
      </c>
      <c r="AA86">
        <v>80.040000000000006</v>
      </c>
      <c r="AB86">
        <v>56.33</v>
      </c>
      <c r="AC86">
        <v>42.06</v>
      </c>
      <c r="AD86">
        <v>598</v>
      </c>
      <c r="AE86">
        <v>662.23</v>
      </c>
      <c r="AF86">
        <v>44.13</v>
      </c>
      <c r="AG86">
        <v>57.76</v>
      </c>
      <c r="AH86">
        <v>47.45</v>
      </c>
      <c r="AI86">
        <v>50.79</v>
      </c>
    </row>
    <row r="87" spans="1:35" x14ac:dyDescent="0.45">
      <c r="A87" s="2">
        <v>45943</v>
      </c>
      <c r="B87">
        <v>33.94</v>
      </c>
      <c r="C87">
        <v>32.119999999999997</v>
      </c>
      <c r="D87">
        <v>17.57</v>
      </c>
      <c r="E87">
        <v>25.3</v>
      </c>
      <c r="F87">
        <v>32.409999999999997</v>
      </c>
      <c r="G87">
        <v>63.41</v>
      </c>
      <c r="H87">
        <v>25.71</v>
      </c>
      <c r="I87">
        <v>64.56</v>
      </c>
      <c r="J87">
        <v>65.47</v>
      </c>
      <c r="K87">
        <v>83.62</v>
      </c>
      <c r="L87">
        <v>29.18</v>
      </c>
      <c r="M87">
        <v>66.010000000000005</v>
      </c>
      <c r="N87">
        <v>65.61</v>
      </c>
      <c r="O87">
        <v>52.97</v>
      </c>
      <c r="P87">
        <v>63.3</v>
      </c>
      <c r="Q87">
        <v>19.254999999999999</v>
      </c>
      <c r="R87">
        <v>1304.92</v>
      </c>
      <c r="S87">
        <v>33.04</v>
      </c>
      <c r="T87">
        <v>19.16</v>
      </c>
      <c r="U87">
        <v>19.59</v>
      </c>
      <c r="V87">
        <v>40.69</v>
      </c>
      <c r="W87">
        <v>45.45</v>
      </c>
      <c r="X87">
        <v>26.66</v>
      </c>
      <c r="Y87">
        <v>50.59</v>
      </c>
      <c r="Z87">
        <v>41.78</v>
      </c>
      <c r="AA87">
        <v>79.290000000000006</v>
      </c>
      <c r="AB87">
        <v>56.08</v>
      </c>
      <c r="AC87">
        <v>41.99</v>
      </c>
      <c r="AD87">
        <v>602.01</v>
      </c>
      <c r="AE87">
        <v>663.04</v>
      </c>
      <c r="AF87">
        <v>43.35</v>
      </c>
      <c r="AG87">
        <v>57.75</v>
      </c>
      <c r="AH87">
        <v>47.32</v>
      </c>
      <c r="AI87">
        <v>50.5</v>
      </c>
    </row>
    <row r="88" spans="1:35" x14ac:dyDescent="0.45">
      <c r="A88" s="2">
        <v>45940</v>
      </c>
      <c r="B88">
        <v>32.92</v>
      </c>
      <c r="C88">
        <v>31.5</v>
      </c>
      <c r="D88">
        <v>17.309999999999999</v>
      </c>
      <c r="E88">
        <v>24.87</v>
      </c>
      <c r="F88">
        <v>31.78</v>
      </c>
      <c r="G88">
        <v>60.91</v>
      </c>
      <c r="H88">
        <v>25.33</v>
      </c>
      <c r="I88">
        <v>61.62</v>
      </c>
      <c r="J88">
        <v>64.39</v>
      </c>
      <c r="K88">
        <v>80.72</v>
      </c>
      <c r="L88">
        <v>28.79</v>
      </c>
      <c r="M88">
        <v>63.32</v>
      </c>
      <c r="N88">
        <v>65.45</v>
      </c>
      <c r="O88">
        <v>52.77</v>
      </c>
      <c r="P88">
        <v>61.39</v>
      </c>
      <c r="Q88">
        <v>19.23</v>
      </c>
      <c r="R88">
        <v>1305.24</v>
      </c>
      <c r="S88">
        <v>32.840000000000003</v>
      </c>
      <c r="T88">
        <v>19</v>
      </c>
      <c r="U88">
        <v>18.98</v>
      </c>
      <c r="V88">
        <v>39.81</v>
      </c>
      <c r="W88">
        <v>45.805</v>
      </c>
      <c r="X88">
        <v>26.44</v>
      </c>
      <c r="Y88">
        <v>49.86</v>
      </c>
      <c r="Z88">
        <v>41.52</v>
      </c>
      <c r="AA88">
        <v>78.36</v>
      </c>
      <c r="AB88">
        <v>56.1</v>
      </c>
      <c r="AC88">
        <v>41.73</v>
      </c>
      <c r="AD88">
        <v>589.5</v>
      </c>
      <c r="AE88">
        <v>653.02</v>
      </c>
      <c r="AF88">
        <v>43.29</v>
      </c>
      <c r="AG88">
        <v>56.64</v>
      </c>
      <c r="AH88">
        <v>46.92</v>
      </c>
      <c r="AI88">
        <v>50.31</v>
      </c>
    </row>
    <row r="89" spans="1:35" x14ac:dyDescent="0.45">
      <c r="A89" s="2">
        <v>45939</v>
      </c>
      <c r="B89">
        <v>34.44</v>
      </c>
      <c r="C89">
        <v>32.520000000000003</v>
      </c>
      <c r="D89">
        <v>17.649999999999999</v>
      </c>
      <c r="E89">
        <v>25.2</v>
      </c>
      <c r="F89">
        <v>32.28</v>
      </c>
      <c r="G89">
        <v>62.65</v>
      </c>
      <c r="H89">
        <v>25.98</v>
      </c>
      <c r="I89">
        <v>64.83</v>
      </c>
      <c r="J89">
        <v>65.42</v>
      </c>
      <c r="K89">
        <v>83.43</v>
      </c>
      <c r="L89">
        <v>29.67</v>
      </c>
      <c r="M89">
        <v>65.06</v>
      </c>
      <c r="N89">
        <v>65.7</v>
      </c>
      <c r="O89">
        <v>52.81</v>
      </c>
      <c r="P89">
        <v>65.12</v>
      </c>
      <c r="Q89">
        <v>19.329999999999998</v>
      </c>
      <c r="R89">
        <v>1285.6400000000001</v>
      </c>
      <c r="S89">
        <v>33.369999999999997</v>
      </c>
      <c r="T89">
        <v>19.25</v>
      </c>
      <c r="U89">
        <v>18.75</v>
      </c>
      <c r="V89">
        <v>40.68</v>
      </c>
      <c r="W89">
        <v>46.575000000000003</v>
      </c>
      <c r="X89">
        <v>26.92</v>
      </c>
      <c r="Y89">
        <v>50.53</v>
      </c>
      <c r="Z89">
        <v>42.09</v>
      </c>
      <c r="AA89">
        <v>81.55</v>
      </c>
      <c r="AB89">
        <v>56.36</v>
      </c>
      <c r="AC89">
        <v>42.07</v>
      </c>
      <c r="AD89">
        <v>610.70000000000005</v>
      </c>
      <c r="AE89">
        <v>671.16</v>
      </c>
      <c r="AF89">
        <v>43.89</v>
      </c>
      <c r="AG89">
        <v>57.89</v>
      </c>
      <c r="AH89">
        <v>47.2</v>
      </c>
      <c r="AI89">
        <v>51.13</v>
      </c>
    </row>
    <row r="90" spans="1:35" x14ac:dyDescent="0.45">
      <c r="A90" s="2">
        <v>45938</v>
      </c>
      <c r="B90">
        <v>34.21</v>
      </c>
      <c r="C90">
        <v>32.79</v>
      </c>
      <c r="D90">
        <v>17.45</v>
      </c>
      <c r="E90">
        <v>25.67</v>
      </c>
      <c r="F90">
        <v>32.619999999999997</v>
      </c>
      <c r="G90">
        <v>63.53</v>
      </c>
      <c r="H90">
        <v>26.02</v>
      </c>
      <c r="I90">
        <v>65.650000000000006</v>
      </c>
      <c r="J90">
        <v>65.73</v>
      </c>
      <c r="K90">
        <v>84.19</v>
      </c>
      <c r="L90">
        <v>29.87</v>
      </c>
      <c r="M90">
        <v>66.8</v>
      </c>
      <c r="N90">
        <v>65.62</v>
      </c>
      <c r="O90">
        <v>52.63</v>
      </c>
      <c r="P90">
        <v>66.13</v>
      </c>
      <c r="Q90">
        <v>19.309999999999999</v>
      </c>
      <c r="R90">
        <v>1293.6099999999999</v>
      </c>
      <c r="S90">
        <v>33.615000000000002</v>
      </c>
      <c r="T90">
        <v>19.29</v>
      </c>
      <c r="U90">
        <v>18.43</v>
      </c>
      <c r="V90">
        <v>40.549999999999997</v>
      </c>
      <c r="W90">
        <v>47.094999999999999</v>
      </c>
      <c r="X90">
        <v>27.23</v>
      </c>
      <c r="Y90">
        <v>51.14</v>
      </c>
      <c r="Z90">
        <v>42.34</v>
      </c>
      <c r="AA90">
        <v>81.75</v>
      </c>
      <c r="AB90">
        <v>56.83</v>
      </c>
      <c r="AC90">
        <v>42.68</v>
      </c>
      <c r="AD90">
        <v>611.44000000000005</v>
      </c>
      <c r="AE90">
        <v>673.11</v>
      </c>
      <c r="AF90">
        <v>44.3</v>
      </c>
      <c r="AG90">
        <v>58.41</v>
      </c>
      <c r="AH90">
        <v>47.88</v>
      </c>
      <c r="AI90">
        <v>52.29</v>
      </c>
    </row>
    <row r="91" spans="1:35" x14ac:dyDescent="0.45">
      <c r="A91" s="2">
        <v>45937</v>
      </c>
      <c r="B91">
        <v>34.26</v>
      </c>
      <c r="C91">
        <v>32.270000000000003</v>
      </c>
      <c r="D91">
        <v>17.43</v>
      </c>
      <c r="E91">
        <v>25.36</v>
      </c>
      <c r="F91">
        <v>32.58</v>
      </c>
      <c r="G91">
        <v>61.87</v>
      </c>
      <c r="H91">
        <v>25.99</v>
      </c>
      <c r="I91">
        <v>64.81</v>
      </c>
      <c r="J91">
        <v>65.040000000000006</v>
      </c>
      <c r="K91">
        <v>83.35</v>
      </c>
      <c r="L91">
        <v>29.68</v>
      </c>
      <c r="M91">
        <v>64.790000000000006</v>
      </c>
      <c r="N91">
        <v>65.33</v>
      </c>
      <c r="O91">
        <v>52.88</v>
      </c>
      <c r="P91">
        <v>65.81</v>
      </c>
      <c r="Q91">
        <v>19.260000000000002</v>
      </c>
      <c r="R91">
        <v>1288.29</v>
      </c>
      <c r="S91">
        <v>33.69</v>
      </c>
      <c r="T91">
        <v>19.13</v>
      </c>
      <c r="U91">
        <v>18.23</v>
      </c>
      <c r="V91">
        <v>40.590000000000003</v>
      </c>
      <c r="W91">
        <v>47.05</v>
      </c>
      <c r="X91">
        <v>27.14</v>
      </c>
      <c r="Y91">
        <v>50.94</v>
      </c>
      <c r="Z91">
        <v>42.07</v>
      </c>
      <c r="AA91">
        <v>81.96</v>
      </c>
      <c r="AB91">
        <v>56.55</v>
      </c>
      <c r="AC91">
        <v>42.45</v>
      </c>
      <c r="AD91">
        <v>604.51</v>
      </c>
      <c r="AE91">
        <v>669.12</v>
      </c>
      <c r="AF91">
        <v>43.79</v>
      </c>
      <c r="AG91">
        <v>58.56</v>
      </c>
      <c r="AH91">
        <v>47.82</v>
      </c>
      <c r="AI91">
        <v>51.94</v>
      </c>
    </row>
    <row r="92" spans="1:35" x14ac:dyDescent="0.45">
      <c r="A92" s="2">
        <v>45936</v>
      </c>
      <c r="B92">
        <v>34.369999999999997</v>
      </c>
      <c r="C92">
        <v>32.049999999999997</v>
      </c>
      <c r="D92">
        <v>17.420000000000002</v>
      </c>
      <c r="E92">
        <v>25.1</v>
      </c>
      <c r="F92">
        <v>32.51</v>
      </c>
      <c r="G92">
        <v>62.71</v>
      </c>
      <c r="H92">
        <v>26.09</v>
      </c>
      <c r="I92">
        <v>65.03</v>
      </c>
      <c r="J92">
        <v>65.44</v>
      </c>
      <c r="K92">
        <v>84.78</v>
      </c>
      <c r="L92">
        <v>30.31</v>
      </c>
      <c r="M92">
        <v>65.319999999999993</v>
      </c>
      <c r="N92">
        <v>65.38</v>
      </c>
      <c r="O92">
        <v>52.76</v>
      </c>
      <c r="P92">
        <v>66.64</v>
      </c>
      <c r="Q92">
        <v>19.215</v>
      </c>
      <c r="R92">
        <v>1275.03</v>
      </c>
      <c r="S92">
        <v>33.47</v>
      </c>
      <c r="T92">
        <v>19.04</v>
      </c>
      <c r="U92">
        <v>18.434999999999999</v>
      </c>
      <c r="V92">
        <v>40.770000000000003</v>
      </c>
      <c r="W92">
        <v>47.134999999999998</v>
      </c>
      <c r="X92">
        <v>27.36</v>
      </c>
      <c r="Y92">
        <v>51.3</v>
      </c>
      <c r="Z92">
        <v>42.42</v>
      </c>
      <c r="AA92">
        <v>83.27</v>
      </c>
      <c r="AB92">
        <v>56.72</v>
      </c>
      <c r="AC92">
        <v>42.58</v>
      </c>
      <c r="AD92">
        <v>607.71</v>
      </c>
      <c r="AE92">
        <v>671.61</v>
      </c>
      <c r="AF92">
        <v>44.19</v>
      </c>
      <c r="AG92">
        <v>59.68</v>
      </c>
      <c r="AH92">
        <v>48.26</v>
      </c>
      <c r="AI92">
        <v>52.26</v>
      </c>
    </row>
    <row r="93" spans="1:35" x14ac:dyDescent="0.45">
      <c r="A93" s="2">
        <v>45933</v>
      </c>
      <c r="B93">
        <v>34.39</v>
      </c>
      <c r="C93">
        <v>32.32</v>
      </c>
      <c r="D93">
        <v>17.43</v>
      </c>
      <c r="E93">
        <v>25.59</v>
      </c>
      <c r="F93">
        <v>32.92</v>
      </c>
      <c r="G93">
        <v>62.31</v>
      </c>
      <c r="H93">
        <v>26.2</v>
      </c>
      <c r="I93">
        <v>64.64</v>
      </c>
      <c r="J93">
        <v>66.81</v>
      </c>
      <c r="K93">
        <v>83.85</v>
      </c>
      <c r="L93">
        <v>30.33</v>
      </c>
      <c r="M93">
        <v>65.06</v>
      </c>
      <c r="N93">
        <v>66.17</v>
      </c>
      <c r="O93">
        <v>52.45</v>
      </c>
      <c r="P93">
        <v>66.55</v>
      </c>
      <c r="Q93">
        <v>19.295000000000002</v>
      </c>
      <c r="R93">
        <v>1274.17</v>
      </c>
      <c r="S93">
        <v>33.74</v>
      </c>
      <c r="T93">
        <v>19.11</v>
      </c>
      <c r="U93">
        <v>17.53</v>
      </c>
      <c r="V93">
        <v>40.49</v>
      </c>
      <c r="W93">
        <v>47.188299999999998</v>
      </c>
      <c r="X93">
        <v>27.43</v>
      </c>
      <c r="Y93">
        <v>51.24</v>
      </c>
      <c r="Z93">
        <v>42.43</v>
      </c>
      <c r="AA93">
        <v>81.78</v>
      </c>
      <c r="AB93">
        <v>56.66</v>
      </c>
      <c r="AC93">
        <v>42.64</v>
      </c>
      <c r="AD93">
        <v>603.17999999999995</v>
      </c>
      <c r="AE93">
        <v>669.21</v>
      </c>
      <c r="AF93">
        <v>44.91</v>
      </c>
      <c r="AG93">
        <v>59.62</v>
      </c>
      <c r="AH93">
        <v>48.2</v>
      </c>
      <c r="AI93">
        <v>52.61</v>
      </c>
    </row>
    <row r="94" spans="1:35" x14ac:dyDescent="0.45">
      <c r="A94" s="2">
        <v>45932</v>
      </c>
      <c r="B94">
        <v>34.5182</v>
      </c>
      <c r="C94">
        <v>32.4</v>
      </c>
      <c r="D94">
        <v>17.440000000000001</v>
      </c>
      <c r="E94">
        <v>25.22</v>
      </c>
      <c r="F94">
        <v>32.81</v>
      </c>
      <c r="G94">
        <v>61.33</v>
      </c>
      <c r="H94">
        <v>26.27</v>
      </c>
      <c r="I94">
        <v>64</v>
      </c>
      <c r="J94">
        <v>66.900000000000006</v>
      </c>
      <c r="K94">
        <v>83.53</v>
      </c>
      <c r="L94">
        <v>30.24</v>
      </c>
      <c r="M94">
        <v>64.209999999999994</v>
      </c>
      <c r="N94">
        <v>65.25</v>
      </c>
      <c r="O94">
        <v>52.3</v>
      </c>
      <c r="P94">
        <v>66.989999999999995</v>
      </c>
      <c r="Q94">
        <v>19.274999999999999</v>
      </c>
      <c r="R94">
        <v>1288.07</v>
      </c>
      <c r="S94">
        <v>34.450000000000003</v>
      </c>
      <c r="T94">
        <v>19.079999999999998</v>
      </c>
      <c r="U94">
        <v>17.515000000000001</v>
      </c>
      <c r="V94">
        <v>40.479999999999997</v>
      </c>
      <c r="W94">
        <v>46.68</v>
      </c>
      <c r="X94">
        <v>27.18</v>
      </c>
      <c r="Y94">
        <v>50.59</v>
      </c>
      <c r="Z94">
        <v>42.47</v>
      </c>
      <c r="AA94">
        <v>80.150000000000006</v>
      </c>
      <c r="AB94">
        <v>56.25</v>
      </c>
      <c r="AC94">
        <v>42.26</v>
      </c>
      <c r="AD94">
        <v>605.73</v>
      </c>
      <c r="AE94">
        <v>669.22</v>
      </c>
      <c r="AF94">
        <v>44.77</v>
      </c>
      <c r="AG94">
        <v>59.51</v>
      </c>
      <c r="AH94">
        <v>47.94</v>
      </c>
      <c r="AI94">
        <v>52.33</v>
      </c>
    </row>
    <row r="95" spans="1:35" x14ac:dyDescent="0.45">
      <c r="A95" s="2">
        <v>45931</v>
      </c>
      <c r="B95">
        <v>34.369500000000002</v>
      </c>
      <c r="C95">
        <v>32.71</v>
      </c>
      <c r="D95">
        <v>17.46</v>
      </c>
      <c r="E95">
        <v>25.2</v>
      </c>
      <c r="F95">
        <v>32.6</v>
      </c>
      <c r="G95">
        <v>61.05</v>
      </c>
      <c r="H95">
        <v>26.21</v>
      </c>
      <c r="I95">
        <v>64.14</v>
      </c>
      <c r="J95">
        <v>66.78</v>
      </c>
      <c r="K95">
        <v>81.89</v>
      </c>
      <c r="L95">
        <v>30.58</v>
      </c>
      <c r="M95">
        <v>64.75</v>
      </c>
      <c r="N95">
        <v>65.56</v>
      </c>
      <c r="O95">
        <v>52.39</v>
      </c>
      <c r="P95">
        <v>66.25</v>
      </c>
      <c r="Q95">
        <v>19.39</v>
      </c>
      <c r="R95">
        <v>1278.74</v>
      </c>
      <c r="S95">
        <v>34.96</v>
      </c>
      <c r="T95">
        <v>18.989999999999998</v>
      </c>
      <c r="U95">
        <v>18.04</v>
      </c>
      <c r="V95">
        <v>40.25</v>
      </c>
      <c r="W95">
        <v>46.711599999999997</v>
      </c>
      <c r="X95">
        <v>27.15</v>
      </c>
      <c r="Y95">
        <v>50.57</v>
      </c>
      <c r="Z95">
        <v>42.13</v>
      </c>
      <c r="AA95">
        <v>80.209999999999994</v>
      </c>
      <c r="AB95">
        <v>55.94</v>
      </c>
      <c r="AC95">
        <v>42.5</v>
      </c>
      <c r="AD95">
        <v>603.25</v>
      </c>
      <c r="AE95">
        <v>668.45</v>
      </c>
      <c r="AF95">
        <v>44.49</v>
      </c>
      <c r="AG95">
        <v>58.84</v>
      </c>
      <c r="AH95">
        <v>47.61</v>
      </c>
      <c r="AI95">
        <v>52.41</v>
      </c>
    </row>
    <row r="96" spans="1:35" x14ac:dyDescent="0.45">
      <c r="A96" s="2">
        <v>45930</v>
      </c>
      <c r="B96">
        <v>34.340000000000003</v>
      </c>
      <c r="C96">
        <v>32.96</v>
      </c>
      <c r="D96">
        <v>17.55</v>
      </c>
      <c r="E96">
        <v>24.84</v>
      </c>
      <c r="F96">
        <v>32.200000000000003</v>
      </c>
      <c r="G96">
        <v>61.5</v>
      </c>
      <c r="H96">
        <v>25.92</v>
      </c>
      <c r="I96">
        <v>63.62</v>
      </c>
      <c r="J96">
        <v>68.209999999999994</v>
      </c>
      <c r="K96">
        <v>80.099999999999994</v>
      </c>
      <c r="L96">
        <v>31</v>
      </c>
      <c r="M96">
        <v>64.099999999999994</v>
      </c>
      <c r="N96">
        <v>64.400000000000006</v>
      </c>
      <c r="O96">
        <v>52.06</v>
      </c>
      <c r="P96">
        <v>65.849999999999994</v>
      </c>
      <c r="Q96">
        <v>19.53</v>
      </c>
      <c r="R96">
        <v>1288.26</v>
      </c>
      <c r="S96">
        <v>34.229999999999997</v>
      </c>
      <c r="T96">
        <v>18.89</v>
      </c>
      <c r="U96">
        <v>17.84</v>
      </c>
      <c r="V96">
        <v>40.58</v>
      </c>
      <c r="W96">
        <v>45.933399999999999</v>
      </c>
      <c r="X96">
        <v>27</v>
      </c>
      <c r="Y96">
        <v>50.55</v>
      </c>
      <c r="Z96">
        <v>41.61</v>
      </c>
      <c r="AA96">
        <v>80.209999999999994</v>
      </c>
      <c r="AB96">
        <v>55.24</v>
      </c>
      <c r="AC96">
        <v>41.97</v>
      </c>
      <c r="AD96">
        <v>600.37</v>
      </c>
      <c r="AE96">
        <v>666.18</v>
      </c>
      <c r="AF96">
        <v>43.93</v>
      </c>
      <c r="AG96">
        <v>58.01</v>
      </c>
      <c r="AH96">
        <v>47.2</v>
      </c>
      <c r="AI96">
        <v>51.95</v>
      </c>
    </row>
    <row r="97" spans="1:35" x14ac:dyDescent="0.45">
      <c r="A97" s="2">
        <v>45929</v>
      </c>
      <c r="B97">
        <v>34.200000000000003</v>
      </c>
      <c r="C97">
        <v>32.85</v>
      </c>
      <c r="D97">
        <v>17.690000000000001</v>
      </c>
      <c r="E97">
        <v>25.04</v>
      </c>
      <c r="F97">
        <v>32.11</v>
      </c>
      <c r="G97">
        <v>60.803600000000003</v>
      </c>
      <c r="H97">
        <v>25.78</v>
      </c>
      <c r="I97">
        <v>63.08</v>
      </c>
      <c r="J97">
        <v>67.459999999999994</v>
      </c>
      <c r="K97">
        <v>80.239999999999995</v>
      </c>
      <c r="L97">
        <v>30.99</v>
      </c>
      <c r="M97">
        <v>63.42</v>
      </c>
      <c r="N97">
        <v>64.27</v>
      </c>
      <c r="O97">
        <v>52.16</v>
      </c>
      <c r="P97">
        <v>65.53</v>
      </c>
      <c r="Q97">
        <v>19.425000000000001</v>
      </c>
      <c r="R97">
        <v>1278.4100000000001</v>
      </c>
      <c r="S97">
        <v>34.57</v>
      </c>
      <c r="T97">
        <v>18.82</v>
      </c>
      <c r="U97">
        <v>17.690000000000001</v>
      </c>
      <c r="V97">
        <v>40.15</v>
      </c>
      <c r="W97">
        <v>45.484999999999999</v>
      </c>
      <c r="X97">
        <v>26.98</v>
      </c>
      <c r="Y97">
        <v>50.46</v>
      </c>
      <c r="Z97">
        <v>41.31</v>
      </c>
      <c r="AA97">
        <v>80.510000000000005</v>
      </c>
      <c r="AB97">
        <v>54.57</v>
      </c>
      <c r="AC97">
        <v>41.63</v>
      </c>
      <c r="AD97">
        <v>598.73</v>
      </c>
      <c r="AE97">
        <v>663.68</v>
      </c>
      <c r="AF97">
        <v>43.78</v>
      </c>
      <c r="AG97">
        <v>57.67</v>
      </c>
      <c r="AH97">
        <v>47.22</v>
      </c>
      <c r="AI97">
        <v>51.5</v>
      </c>
    </row>
    <row r="98" spans="1:35" x14ac:dyDescent="0.45">
      <c r="A98" s="2">
        <v>45926</v>
      </c>
      <c r="B98">
        <v>33.54</v>
      </c>
      <c r="C98">
        <v>33.17</v>
      </c>
      <c r="D98">
        <v>17.600000000000001</v>
      </c>
      <c r="E98">
        <v>25.12</v>
      </c>
      <c r="F98">
        <v>32.17</v>
      </c>
      <c r="G98">
        <v>59.3</v>
      </c>
      <c r="H98">
        <v>25.73</v>
      </c>
      <c r="I98">
        <v>62.74</v>
      </c>
      <c r="J98">
        <v>67.14</v>
      </c>
      <c r="K98">
        <v>78.87</v>
      </c>
      <c r="L98">
        <v>30.73</v>
      </c>
      <c r="M98">
        <v>63.3</v>
      </c>
      <c r="N98">
        <v>63.82</v>
      </c>
      <c r="O98">
        <v>52.25</v>
      </c>
      <c r="P98">
        <v>64.319999999999993</v>
      </c>
      <c r="Q98">
        <v>19.420000000000002</v>
      </c>
      <c r="R98">
        <v>1273.2</v>
      </c>
      <c r="S98">
        <v>34.770000000000003</v>
      </c>
      <c r="T98">
        <v>18.98</v>
      </c>
      <c r="U98">
        <v>17.55</v>
      </c>
      <c r="V98">
        <v>39.950000000000003</v>
      </c>
      <c r="W98">
        <v>45.365000000000002</v>
      </c>
      <c r="X98">
        <v>26.67</v>
      </c>
      <c r="Y98">
        <v>50.02</v>
      </c>
      <c r="Z98">
        <v>41.2</v>
      </c>
      <c r="AA98">
        <v>80.44</v>
      </c>
      <c r="AB98">
        <v>54.26</v>
      </c>
      <c r="AC98">
        <v>41.58</v>
      </c>
      <c r="AD98">
        <v>595.97</v>
      </c>
      <c r="AE98">
        <v>661.82</v>
      </c>
      <c r="AF98">
        <v>43.59</v>
      </c>
      <c r="AG98">
        <v>57.12</v>
      </c>
      <c r="AH98">
        <v>47.2</v>
      </c>
      <c r="AI98">
        <v>51.54</v>
      </c>
    </row>
    <row r="99" spans="1:35" x14ac:dyDescent="0.45">
      <c r="A99" s="2">
        <v>45925</v>
      </c>
      <c r="B99">
        <v>33.880000000000003</v>
      </c>
      <c r="C99">
        <v>33.21</v>
      </c>
      <c r="D99">
        <v>17.41</v>
      </c>
      <c r="E99">
        <v>25.09</v>
      </c>
      <c r="F99">
        <v>31.57</v>
      </c>
      <c r="G99">
        <v>59.78</v>
      </c>
      <c r="H99">
        <v>25.27</v>
      </c>
      <c r="I99">
        <v>63.06</v>
      </c>
      <c r="J99">
        <v>66.180000000000007</v>
      </c>
      <c r="K99">
        <v>79.89</v>
      </c>
      <c r="L99">
        <v>30.58</v>
      </c>
      <c r="M99">
        <v>61.67</v>
      </c>
      <c r="N99">
        <v>63.96</v>
      </c>
      <c r="O99">
        <v>52.49</v>
      </c>
      <c r="P99">
        <v>64.760000000000005</v>
      </c>
      <c r="Q99">
        <v>19.37</v>
      </c>
      <c r="R99">
        <v>1282.54</v>
      </c>
      <c r="S99">
        <v>35.19</v>
      </c>
      <c r="T99">
        <v>18.84</v>
      </c>
      <c r="U99">
        <v>17.670000000000002</v>
      </c>
      <c r="V99">
        <v>39.840000000000003</v>
      </c>
      <c r="W99">
        <v>45.196899999999999</v>
      </c>
      <c r="X99">
        <v>26.47</v>
      </c>
      <c r="Y99">
        <v>50.05</v>
      </c>
      <c r="Z99">
        <v>40.75</v>
      </c>
      <c r="AA99">
        <v>80.459999999999994</v>
      </c>
      <c r="AB99">
        <v>53.86</v>
      </c>
      <c r="AC99">
        <v>41.04</v>
      </c>
      <c r="AD99">
        <v>593.53</v>
      </c>
      <c r="AE99">
        <v>658.05</v>
      </c>
      <c r="AF99">
        <v>43.05</v>
      </c>
      <c r="AG99">
        <v>57.02</v>
      </c>
      <c r="AH99">
        <v>46.62</v>
      </c>
      <c r="AI99">
        <v>50.94</v>
      </c>
    </row>
    <row r="100" spans="1:35" x14ac:dyDescent="0.45">
      <c r="A100" s="2">
        <v>45924</v>
      </c>
      <c r="B100">
        <v>33.680599999999998</v>
      </c>
      <c r="C100">
        <v>33.630000000000003</v>
      </c>
      <c r="D100">
        <v>17.68</v>
      </c>
      <c r="E100">
        <v>25.69</v>
      </c>
      <c r="F100">
        <v>32.090000000000003</v>
      </c>
      <c r="G100">
        <v>59.89</v>
      </c>
      <c r="H100">
        <v>25.33</v>
      </c>
      <c r="I100">
        <v>63.57</v>
      </c>
      <c r="J100">
        <v>66.47</v>
      </c>
      <c r="K100">
        <v>80.040000000000006</v>
      </c>
      <c r="L100">
        <v>31.05</v>
      </c>
      <c r="M100">
        <v>61.97</v>
      </c>
      <c r="N100">
        <v>65</v>
      </c>
      <c r="O100">
        <v>52.74</v>
      </c>
      <c r="P100">
        <v>64.58</v>
      </c>
      <c r="Q100">
        <v>19.565000000000001</v>
      </c>
      <c r="R100">
        <v>1292.72</v>
      </c>
      <c r="S100">
        <v>35.299999999999997</v>
      </c>
      <c r="T100">
        <v>18.68</v>
      </c>
      <c r="U100">
        <v>17.579999999999998</v>
      </c>
      <c r="V100">
        <v>40.54</v>
      </c>
      <c r="W100">
        <v>45.596299999999999</v>
      </c>
      <c r="X100">
        <v>26.47</v>
      </c>
      <c r="Y100">
        <v>50.24</v>
      </c>
      <c r="Z100">
        <v>41.24</v>
      </c>
      <c r="AA100">
        <v>80.849999999999994</v>
      </c>
      <c r="AB100">
        <v>54.51</v>
      </c>
      <c r="AC100">
        <v>41.35</v>
      </c>
      <c r="AD100">
        <v>596.1</v>
      </c>
      <c r="AE100">
        <v>661.1</v>
      </c>
      <c r="AF100">
        <v>43.41</v>
      </c>
      <c r="AG100">
        <v>57.27</v>
      </c>
      <c r="AH100">
        <v>47.01</v>
      </c>
      <c r="AI100">
        <v>51.29</v>
      </c>
    </row>
    <row r="101" spans="1:35" x14ac:dyDescent="0.45">
      <c r="A101" s="2">
        <v>45923</v>
      </c>
      <c r="B101">
        <v>33.47</v>
      </c>
      <c r="C101">
        <v>33.68</v>
      </c>
      <c r="D101">
        <v>17.760000000000002</v>
      </c>
      <c r="E101">
        <v>26.16</v>
      </c>
      <c r="F101">
        <v>32.04</v>
      </c>
      <c r="G101">
        <v>58.88</v>
      </c>
      <c r="H101">
        <v>25.74</v>
      </c>
      <c r="I101">
        <v>64.290000000000006</v>
      </c>
      <c r="J101">
        <v>67.430000000000007</v>
      </c>
      <c r="K101">
        <v>81.45</v>
      </c>
      <c r="L101">
        <v>31.32</v>
      </c>
      <c r="M101">
        <v>62.87</v>
      </c>
      <c r="N101">
        <v>65.23</v>
      </c>
      <c r="O101">
        <v>53.06</v>
      </c>
      <c r="P101">
        <v>63.66</v>
      </c>
      <c r="Q101">
        <v>19.785</v>
      </c>
      <c r="R101">
        <v>1297.01</v>
      </c>
      <c r="S101">
        <v>35.06</v>
      </c>
      <c r="T101">
        <v>19.14</v>
      </c>
      <c r="U101">
        <v>17.29</v>
      </c>
      <c r="V101">
        <v>40.78</v>
      </c>
      <c r="W101">
        <v>45.865900000000003</v>
      </c>
      <c r="X101">
        <v>26.87</v>
      </c>
      <c r="Y101">
        <v>50.53</v>
      </c>
      <c r="Z101">
        <v>41.27</v>
      </c>
      <c r="AA101">
        <v>81.09</v>
      </c>
      <c r="AB101">
        <v>55.24</v>
      </c>
      <c r="AC101">
        <v>41.47</v>
      </c>
      <c r="AD101">
        <v>598.20000000000005</v>
      </c>
      <c r="AE101">
        <v>663.21</v>
      </c>
      <c r="AF101">
        <v>43.89</v>
      </c>
      <c r="AG101">
        <v>57.62</v>
      </c>
      <c r="AH101">
        <v>47.85</v>
      </c>
      <c r="AI101">
        <v>51.51</v>
      </c>
    </row>
    <row r="102" spans="1:35" x14ac:dyDescent="0.45">
      <c r="A102" s="2">
        <v>45922</v>
      </c>
      <c r="B102">
        <v>33.67</v>
      </c>
      <c r="C102">
        <v>33.5</v>
      </c>
      <c r="D102">
        <v>17.73</v>
      </c>
      <c r="E102">
        <v>26.6</v>
      </c>
      <c r="F102">
        <v>32</v>
      </c>
      <c r="G102">
        <v>58.59</v>
      </c>
      <c r="H102">
        <v>25.79</v>
      </c>
      <c r="I102">
        <v>64.02</v>
      </c>
      <c r="J102">
        <v>66.900000000000006</v>
      </c>
      <c r="K102">
        <v>81.56</v>
      </c>
      <c r="L102">
        <v>30.79</v>
      </c>
      <c r="M102">
        <v>62.46</v>
      </c>
      <c r="N102">
        <v>64.760000000000005</v>
      </c>
      <c r="O102">
        <v>53.5</v>
      </c>
      <c r="P102">
        <v>64.430000000000007</v>
      </c>
      <c r="Q102">
        <v>19.940000000000001</v>
      </c>
      <c r="R102">
        <v>1306.69</v>
      </c>
      <c r="S102">
        <v>35.58</v>
      </c>
      <c r="T102">
        <v>19.55</v>
      </c>
      <c r="U102">
        <v>17.53</v>
      </c>
      <c r="V102">
        <v>38.18</v>
      </c>
      <c r="W102">
        <v>46.287199999999999</v>
      </c>
      <c r="X102">
        <v>26.92</v>
      </c>
      <c r="Y102">
        <v>50.88</v>
      </c>
      <c r="Z102">
        <v>41.24</v>
      </c>
      <c r="AA102">
        <v>81.25</v>
      </c>
      <c r="AB102">
        <v>55.57</v>
      </c>
      <c r="AC102">
        <v>41.61</v>
      </c>
      <c r="AD102">
        <v>602.20000000000005</v>
      </c>
      <c r="AE102">
        <v>666.84</v>
      </c>
      <c r="AF102">
        <v>43.78</v>
      </c>
      <c r="AG102">
        <v>57.36</v>
      </c>
      <c r="AH102">
        <v>47.63</v>
      </c>
      <c r="AI102">
        <v>51.74</v>
      </c>
    </row>
    <row r="103" spans="1:35" x14ac:dyDescent="0.45">
      <c r="A103" s="2">
        <v>45919</v>
      </c>
      <c r="B103">
        <v>33.450000000000003</v>
      </c>
      <c r="C103">
        <v>33.590000000000003</v>
      </c>
      <c r="D103">
        <v>17.79</v>
      </c>
      <c r="E103">
        <v>26.8</v>
      </c>
      <c r="F103">
        <v>31.76</v>
      </c>
      <c r="G103">
        <v>57.811199999999999</v>
      </c>
      <c r="H103">
        <v>25.59</v>
      </c>
      <c r="I103">
        <v>63.38</v>
      </c>
      <c r="J103">
        <v>66.099999999999994</v>
      </c>
      <c r="K103">
        <v>80.05</v>
      </c>
      <c r="L103">
        <v>30.93</v>
      </c>
      <c r="M103">
        <v>62.54</v>
      </c>
      <c r="N103">
        <v>64.14</v>
      </c>
      <c r="O103">
        <v>53.94</v>
      </c>
      <c r="P103">
        <v>64.44</v>
      </c>
      <c r="Q103">
        <v>19.940000000000001</v>
      </c>
      <c r="R103">
        <v>1308.19</v>
      </c>
      <c r="S103">
        <v>35.380000000000003</v>
      </c>
      <c r="T103">
        <v>19.47</v>
      </c>
      <c r="U103">
        <v>17.68</v>
      </c>
      <c r="V103">
        <v>37.83</v>
      </c>
      <c r="W103">
        <v>46.41</v>
      </c>
      <c r="X103">
        <v>26.89</v>
      </c>
      <c r="Y103">
        <v>50.73</v>
      </c>
      <c r="Z103">
        <v>41.22</v>
      </c>
      <c r="AA103">
        <v>80.790000000000006</v>
      </c>
      <c r="AB103">
        <v>55.26</v>
      </c>
      <c r="AC103">
        <v>41.36</v>
      </c>
      <c r="AD103">
        <v>599.35</v>
      </c>
      <c r="AE103">
        <v>663.7</v>
      </c>
      <c r="AF103">
        <v>43.68</v>
      </c>
      <c r="AG103">
        <v>56.84</v>
      </c>
      <c r="AH103">
        <v>47.43</v>
      </c>
      <c r="AI103">
        <v>51.37</v>
      </c>
    </row>
    <row r="104" spans="1:35" x14ac:dyDescent="0.45">
      <c r="A104" s="2">
        <v>45918</v>
      </c>
      <c r="B104">
        <v>33.479999999999997</v>
      </c>
      <c r="C104">
        <v>33.6</v>
      </c>
      <c r="D104">
        <v>17.72</v>
      </c>
      <c r="E104">
        <v>26.46</v>
      </c>
      <c r="F104">
        <v>32.07</v>
      </c>
      <c r="G104">
        <v>57.14</v>
      </c>
      <c r="H104">
        <v>25.6</v>
      </c>
      <c r="I104">
        <v>63.77</v>
      </c>
      <c r="J104">
        <v>65.95</v>
      </c>
      <c r="K104">
        <v>80.75</v>
      </c>
      <c r="L104">
        <v>30.82</v>
      </c>
      <c r="M104">
        <v>61.48</v>
      </c>
      <c r="N104">
        <v>64.3</v>
      </c>
      <c r="O104">
        <v>53.74</v>
      </c>
      <c r="P104">
        <v>64.75</v>
      </c>
      <c r="Q104">
        <v>19.940000000000001</v>
      </c>
      <c r="R104">
        <v>1299.78</v>
      </c>
      <c r="S104">
        <v>34.35</v>
      </c>
      <c r="T104">
        <v>19.36</v>
      </c>
      <c r="U104">
        <v>17.8</v>
      </c>
      <c r="V104">
        <v>37.770000000000003</v>
      </c>
      <c r="W104">
        <v>46.255000000000003</v>
      </c>
      <c r="X104">
        <v>26.89</v>
      </c>
      <c r="Y104">
        <v>50.18</v>
      </c>
      <c r="Z104">
        <v>41.45</v>
      </c>
      <c r="AA104">
        <v>81.489999999999995</v>
      </c>
      <c r="AB104">
        <v>55.21</v>
      </c>
      <c r="AC104">
        <v>41.66</v>
      </c>
      <c r="AD104">
        <v>595.32000000000005</v>
      </c>
      <c r="AE104">
        <v>662.26</v>
      </c>
      <c r="AF104">
        <v>43.84</v>
      </c>
      <c r="AG104">
        <v>56.97</v>
      </c>
      <c r="AH104">
        <v>47.56</v>
      </c>
      <c r="AI104">
        <v>51.44</v>
      </c>
    </row>
    <row r="105" spans="1:35" x14ac:dyDescent="0.45">
      <c r="A105" s="2">
        <v>45917</v>
      </c>
      <c r="B105">
        <v>33.96</v>
      </c>
      <c r="C105">
        <v>33.4</v>
      </c>
      <c r="D105">
        <v>17.98</v>
      </c>
      <c r="E105">
        <v>26.55</v>
      </c>
      <c r="F105">
        <v>32.32</v>
      </c>
      <c r="G105">
        <v>57.874499999999998</v>
      </c>
      <c r="H105">
        <v>25.95</v>
      </c>
      <c r="I105">
        <v>63.21</v>
      </c>
      <c r="J105">
        <v>66.53</v>
      </c>
      <c r="K105">
        <v>79.83</v>
      </c>
      <c r="L105">
        <v>30.94</v>
      </c>
      <c r="M105">
        <v>60.86</v>
      </c>
      <c r="N105">
        <v>64.099999999999994</v>
      </c>
      <c r="O105">
        <v>54.02</v>
      </c>
      <c r="P105">
        <v>65.8</v>
      </c>
      <c r="Q105">
        <v>19.850000000000001</v>
      </c>
      <c r="R105">
        <v>1293.6199999999999</v>
      </c>
      <c r="S105">
        <v>34.75</v>
      </c>
      <c r="T105">
        <v>19.16</v>
      </c>
      <c r="U105">
        <v>17.88</v>
      </c>
      <c r="V105">
        <v>37.43</v>
      </c>
      <c r="W105">
        <v>47.045000000000002</v>
      </c>
      <c r="X105">
        <v>27.14</v>
      </c>
      <c r="Y105">
        <v>49.98</v>
      </c>
      <c r="Z105">
        <v>41.06</v>
      </c>
      <c r="AA105">
        <v>81.17</v>
      </c>
      <c r="AB105">
        <v>55.29</v>
      </c>
      <c r="AC105">
        <v>41.79</v>
      </c>
      <c r="AD105">
        <v>590</v>
      </c>
      <c r="AE105">
        <v>659.18</v>
      </c>
      <c r="AF105">
        <v>43.53</v>
      </c>
      <c r="AG105">
        <v>55.8782</v>
      </c>
      <c r="AH105">
        <v>47.17</v>
      </c>
      <c r="AI105">
        <v>51.33</v>
      </c>
    </row>
    <row r="106" spans="1:35" x14ac:dyDescent="0.45">
      <c r="A106" s="2">
        <v>45916</v>
      </c>
      <c r="B106">
        <v>33.770000000000003</v>
      </c>
      <c r="C106">
        <v>33.76</v>
      </c>
      <c r="D106">
        <v>17.850000000000001</v>
      </c>
      <c r="E106">
        <v>26.22</v>
      </c>
      <c r="F106">
        <v>32.51</v>
      </c>
      <c r="G106">
        <v>57.915399999999998</v>
      </c>
      <c r="H106">
        <v>25.54</v>
      </c>
      <c r="I106">
        <v>63.32</v>
      </c>
      <c r="J106">
        <v>66.8</v>
      </c>
      <c r="K106">
        <v>80.69</v>
      </c>
      <c r="L106">
        <v>30.69</v>
      </c>
      <c r="M106">
        <v>61</v>
      </c>
      <c r="N106">
        <v>64.77</v>
      </c>
      <c r="O106">
        <v>53.87</v>
      </c>
      <c r="P106">
        <v>64.86</v>
      </c>
      <c r="Q106">
        <v>19.77</v>
      </c>
      <c r="R106">
        <v>1288.03</v>
      </c>
      <c r="S106">
        <v>34.82</v>
      </c>
      <c r="T106">
        <v>19.32</v>
      </c>
      <c r="U106">
        <v>18.059999999999999</v>
      </c>
      <c r="V106">
        <v>36.9</v>
      </c>
      <c r="W106">
        <v>47.020400000000002</v>
      </c>
      <c r="X106">
        <v>27.38</v>
      </c>
      <c r="Y106">
        <v>50.08</v>
      </c>
      <c r="Z106">
        <v>41.15</v>
      </c>
      <c r="AA106">
        <v>81.349999999999994</v>
      </c>
      <c r="AB106">
        <v>55.48</v>
      </c>
      <c r="AC106">
        <v>41.89</v>
      </c>
      <c r="AD106">
        <v>591.17999999999995</v>
      </c>
      <c r="AE106">
        <v>660</v>
      </c>
      <c r="AF106">
        <v>43.82</v>
      </c>
      <c r="AG106">
        <v>55.71</v>
      </c>
      <c r="AH106">
        <v>47.46</v>
      </c>
      <c r="AI106">
        <v>52.15</v>
      </c>
    </row>
    <row r="107" spans="1:35" x14ac:dyDescent="0.45">
      <c r="A107" s="2">
        <v>45915</v>
      </c>
      <c r="B107">
        <v>33.81</v>
      </c>
      <c r="C107">
        <v>33.799999999999997</v>
      </c>
      <c r="D107">
        <v>17.96</v>
      </c>
      <c r="E107">
        <v>25.71</v>
      </c>
      <c r="F107">
        <v>32.81</v>
      </c>
      <c r="G107">
        <v>58.435400000000001</v>
      </c>
      <c r="H107">
        <v>25.55</v>
      </c>
      <c r="I107">
        <v>63.02</v>
      </c>
      <c r="J107">
        <v>66.77</v>
      </c>
      <c r="K107">
        <v>79.19</v>
      </c>
      <c r="L107">
        <v>30.51</v>
      </c>
      <c r="M107">
        <v>60.93</v>
      </c>
      <c r="N107">
        <v>65.23</v>
      </c>
      <c r="O107">
        <v>53.43</v>
      </c>
      <c r="P107">
        <v>64.430000000000007</v>
      </c>
      <c r="Q107">
        <v>19.55</v>
      </c>
      <c r="R107">
        <v>1278.05</v>
      </c>
      <c r="S107">
        <v>34.24</v>
      </c>
      <c r="T107">
        <v>19.2</v>
      </c>
      <c r="U107">
        <v>18.399999999999999</v>
      </c>
      <c r="V107">
        <v>36.71</v>
      </c>
      <c r="W107">
        <v>47.107199999999999</v>
      </c>
      <c r="X107">
        <v>27.57</v>
      </c>
      <c r="Y107">
        <v>50.13</v>
      </c>
      <c r="Z107">
        <v>41.42</v>
      </c>
      <c r="AA107">
        <v>81.349999999999994</v>
      </c>
      <c r="AB107">
        <v>55.56</v>
      </c>
      <c r="AC107">
        <v>42.09</v>
      </c>
      <c r="AD107">
        <v>591.67999999999995</v>
      </c>
      <c r="AE107">
        <v>660.91</v>
      </c>
      <c r="AF107">
        <v>43.89</v>
      </c>
      <c r="AG107">
        <v>55.75</v>
      </c>
      <c r="AH107">
        <v>47.61</v>
      </c>
      <c r="AI107">
        <v>52.39</v>
      </c>
    </row>
    <row r="108" spans="1:35" x14ac:dyDescent="0.45">
      <c r="A108" s="2">
        <v>45912</v>
      </c>
      <c r="B108">
        <v>33.6</v>
      </c>
      <c r="C108">
        <v>33.22</v>
      </c>
      <c r="D108">
        <v>17.829999999999998</v>
      </c>
      <c r="E108">
        <v>25.8</v>
      </c>
      <c r="F108">
        <v>32.28</v>
      </c>
      <c r="G108">
        <v>57.768000000000001</v>
      </c>
      <c r="H108">
        <v>25.47</v>
      </c>
      <c r="I108">
        <v>62.83</v>
      </c>
      <c r="J108">
        <v>66.12</v>
      </c>
      <c r="K108">
        <v>78.66</v>
      </c>
      <c r="L108">
        <v>30.03</v>
      </c>
      <c r="M108">
        <v>60.57</v>
      </c>
      <c r="N108">
        <v>65.17</v>
      </c>
      <c r="O108">
        <v>53.15</v>
      </c>
      <c r="P108">
        <v>63.95</v>
      </c>
      <c r="Q108">
        <v>19.54</v>
      </c>
      <c r="R108">
        <v>1276.08</v>
      </c>
      <c r="S108">
        <v>32.270000000000003</v>
      </c>
      <c r="T108">
        <v>19.170000000000002</v>
      </c>
      <c r="U108">
        <v>17.97</v>
      </c>
      <c r="V108">
        <v>36.72</v>
      </c>
      <c r="W108">
        <v>46.74</v>
      </c>
      <c r="X108">
        <v>27.24</v>
      </c>
      <c r="Y108">
        <v>49.6</v>
      </c>
      <c r="Z108">
        <v>41.31</v>
      </c>
      <c r="AA108">
        <v>80.760000000000005</v>
      </c>
      <c r="AB108">
        <v>55.65</v>
      </c>
      <c r="AC108">
        <v>41.94</v>
      </c>
      <c r="AD108">
        <v>586.66</v>
      </c>
      <c r="AE108">
        <v>657.41</v>
      </c>
      <c r="AF108">
        <v>43.49</v>
      </c>
      <c r="AG108">
        <v>54.66</v>
      </c>
      <c r="AH108">
        <v>47.24</v>
      </c>
      <c r="AI108">
        <v>51.72</v>
      </c>
    </row>
    <row r="109" spans="1:35" x14ac:dyDescent="0.45">
      <c r="A109" s="2">
        <v>45911</v>
      </c>
      <c r="B109">
        <v>33.94</v>
      </c>
      <c r="C109">
        <v>34.020000000000003</v>
      </c>
      <c r="D109">
        <v>17.64</v>
      </c>
      <c r="E109">
        <v>26</v>
      </c>
      <c r="F109">
        <v>32.6</v>
      </c>
      <c r="G109">
        <v>57.547199999999997</v>
      </c>
      <c r="H109">
        <v>25.33</v>
      </c>
      <c r="I109">
        <v>62.74</v>
      </c>
      <c r="J109">
        <v>65.709999999999994</v>
      </c>
      <c r="K109">
        <v>77.86</v>
      </c>
      <c r="L109">
        <v>30.05</v>
      </c>
      <c r="M109">
        <v>60.56</v>
      </c>
      <c r="N109">
        <v>64.22</v>
      </c>
      <c r="O109">
        <v>53.24</v>
      </c>
      <c r="P109">
        <v>64.209999999999994</v>
      </c>
      <c r="Q109">
        <v>19.579999999999998</v>
      </c>
      <c r="R109">
        <v>1266.1099999999999</v>
      </c>
      <c r="S109">
        <v>32.32</v>
      </c>
      <c r="T109">
        <v>19.010000000000002</v>
      </c>
      <c r="U109">
        <v>18.03</v>
      </c>
      <c r="V109">
        <v>36.799999999999997</v>
      </c>
      <c r="W109">
        <v>47.225000000000001</v>
      </c>
      <c r="X109">
        <v>27.41</v>
      </c>
      <c r="Y109">
        <v>49.92</v>
      </c>
      <c r="Z109">
        <v>41.39</v>
      </c>
      <c r="AA109">
        <v>81.319999999999993</v>
      </c>
      <c r="AB109">
        <v>56.12</v>
      </c>
      <c r="AC109">
        <v>42.19</v>
      </c>
      <c r="AD109">
        <v>584.08000000000004</v>
      </c>
      <c r="AE109">
        <v>657.63</v>
      </c>
      <c r="AF109">
        <v>43.53</v>
      </c>
      <c r="AG109">
        <v>54.46</v>
      </c>
      <c r="AH109">
        <v>47.33</v>
      </c>
      <c r="AI109">
        <v>51.6</v>
      </c>
    </row>
    <row r="110" spans="1:35" x14ac:dyDescent="0.45">
      <c r="A110" s="2">
        <v>45910</v>
      </c>
      <c r="B110">
        <v>32.840000000000003</v>
      </c>
      <c r="C110">
        <v>32.89</v>
      </c>
      <c r="D110">
        <v>17.329999999999998</v>
      </c>
      <c r="E110">
        <v>25.92</v>
      </c>
      <c r="F110">
        <v>31.83</v>
      </c>
      <c r="G110">
        <v>56.45</v>
      </c>
      <c r="H110">
        <v>25.17</v>
      </c>
      <c r="I110">
        <v>62.56</v>
      </c>
      <c r="J110">
        <v>64.28</v>
      </c>
      <c r="K110">
        <v>76.650000000000006</v>
      </c>
      <c r="L110">
        <v>29.79</v>
      </c>
      <c r="M110">
        <v>59.73</v>
      </c>
      <c r="N110">
        <v>63.64</v>
      </c>
      <c r="O110">
        <v>53.16</v>
      </c>
      <c r="P110">
        <v>62.54</v>
      </c>
      <c r="Q110">
        <v>19.53</v>
      </c>
      <c r="R110">
        <v>1264.8</v>
      </c>
      <c r="S110">
        <v>32.92</v>
      </c>
      <c r="T110">
        <v>18.850000000000001</v>
      </c>
      <c r="U110">
        <v>17.75</v>
      </c>
      <c r="V110">
        <v>36.799999999999997</v>
      </c>
      <c r="W110">
        <v>46.85</v>
      </c>
      <c r="X110">
        <v>27.11</v>
      </c>
      <c r="Y110">
        <v>49.42</v>
      </c>
      <c r="Z110">
        <v>41.07</v>
      </c>
      <c r="AA110">
        <v>80.36</v>
      </c>
      <c r="AB110">
        <v>55.62</v>
      </c>
      <c r="AC110">
        <v>41.74</v>
      </c>
      <c r="AD110">
        <v>580.70000000000005</v>
      </c>
      <c r="AE110">
        <v>652.21</v>
      </c>
      <c r="AF110">
        <v>42.9</v>
      </c>
      <c r="AG110">
        <v>53.79</v>
      </c>
      <c r="AH110">
        <v>47.1</v>
      </c>
      <c r="AI110">
        <v>50.93</v>
      </c>
    </row>
    <row r="111" spans="1:35" x14ac:dyDescent="0.45">
      <c r="A111" s="2">
        <v>45909</v>
      </c>
      <c r="B111">
        <v>32.94</v>
      </c>
      <c r="C111">
        <v>32.695</v>
      </c>
      <c r="D111">
        <v>17.059999999999999</v>
      </c>
      <c r="E111">
        <v>26.09</v>
      </c>
      <c r="F111">
        <v>32.380000000000003</v>
      </c>
      <c r="G111">
        <v>56</v>
      </c>
      <c r="H111">
        <v>25.17</v>
      </c>
      <c r="I111">
        <v>61.62</v>
      </c>
      <c r="J111">
        <v>64.260000000000005</v>
      </c>
      <c r="K111">
        <v>74.92</v>
      </c>
      <c r="L111">
        <v>29.54</v>
      </c>
      <c r="M111">
        <v>59.03</v>
      </c>
      <c r="N111">
        <v>63.6</v>
      </c>
      <c r="O111">
        <v>52.71</v>
      </c>
      <c r="P111">
        <v>62.97</v>
      </c>
      <c r="Q111">
        <v>19.37</v>
      </c>
      <c r="R111">
        <v>1252.55</v>
      </c>
      <c r="S111">
        <v>32.68</v>
      </c>
      <c r="T111">
        <v>18.91</v>
      </c>
      <c r="U111">
        <v>17.670000000000002</v>
      </c>
      <c r="V111">
        <v>36.76</v>
      </c>
      <c r="W111">
        <v>46.655000000000001</v>
      </c>
      <c r="X111">
        <v>26.89</v>
      </c>
      <c r="Y111">
        <v>49.27</v>
      </c>
      <c r="Z111">
        <v>41.48</v>
      </c>
      <c r="AA111">
        <v>80.06</v>
      </c>
      <c r="AB111">
        <v>56.02</v>
      </c>
      <c r="AC111">
        <v>41.75</v>
      </c>
      <c r="AD111">
        <v>580.51</v>
      </c>
      <c r="AE111">
        <v>650.33000000000004</v>
      </c>
      <c r="AF111">
        <v>43.06</v>
      </c>
      <c r="AG111">
        <v>54.12</v>
      </c>
      <c r="AH111">
        <v>47.3</v>
      </c>
      <c r="AI111">
        <v>50.86</v>
      </c>
    </row>
    <row r="112" spans="1:35" x14ac:dyDescent="0.45">
      <c r="A112" s="2">
        <v>45908</v>
      </c>
      <c r="B112">
        <v>33.14</v>
      </c>
      <c r="C112">
        <v>33.229999999999997</v>
      </c>
      <c r="D112">
        <v>17.5</v>
      </c>
      <c r="E112">
        <v>26.09</v>
      </c>
      <c r="F112">
        <v>32.880000000000003</v>
      </c>
      <c r="G112">
        <v>56.647500000000001</v>
      </c>
      <c r="H112">
        <v>25.12</v>
      </c>
      <c r="I112">
        <v>60.98</v>
      </c>
      <c r="J112">
        <v>64.150000000000006</v>
      </c>
      <c r="K112">
        <v>74.19</v>
      </c>
      <c r="L112">
        <v>29.58</v>
      </c>
      <c r="M112">
        <v>59.34</v>
      </c>
      <c r="N112">
        <v>63.86</v>
      </c>
      <c r="O112">
        <v>52.89</v>
      </c>
      <c r="P112">
        <v>62.3</v>
      </c>
      <c r="Q112">
        <v>19.63</v>
      </c>
      <c r="R112">
        <v>1259.31</v>
      </c>
      <c r="S112">
        <v>32.54</v>
      </c>
      <c r="T112">
        <v>18.940000000000001</v>
      </c>
      <c r="U112">
        <v>17.37</v>
      </c>
      <c r="V112">
        <v>36.69</v>
      </c>
      <c r="W112">
        <v>46.74</v>
      </c>
      <c r="X112">
        <v>27</v>
      </c>
      <c r="Y112">
        <v>49.3</v>
      </c>
      <c r="Z112">
        <v>41.69</v>
      </c>
      <c r="AA112">
        <v>80.959999999999994</v>
      </c>
      <c r="AB112">
        <v>56.33</v>
      </c>
      <c r="AC112">
        <v>41.71</v>
      </c>
      <c r="AD112">
        <v>578.87</v>
      </c>
      <c r="AE112">
        <v>648.83000000000004</v>
      </c>
      <c r="AF112">
        <v>42.99</v>
      </c>
      <c r="AG112">
        <v>54.17</v>
      </c>
      <c r="AH112">
        <v>47.42</v>
      </c>
      <c r="AI112">
        <v>50.64</v>
      </c>
    </row>
    <row r="113" spans="1:35" x14ac:dyDescent="0.45">
      <c r="A113" s="2">
        <v>45905</v>
      </c>
      <c r="B113">
        <v>33.020000000000003</v>
      </c>
      <c r="C113">
        <v>33.83</v>
      </c>
      <c r="D113">
        <v>17.93</v>
      </c>
      <c r="E113">
        <v>26.06</v>
      </c>
      <c r="F113">
        <v>32.14</v>
      </c>
      <c r="G113">
        <v>56.5</v>
      </c>
      <c r="H113">
        <v>25.03</v>
      </c>
      <c r="I113">
        <v>60.21</v>
      </c>
      <c r="J113">
        <v>63.83</v>
      </c>
      <c r="K113">
        <v>73.63</v>
      </c>
      <c r="L113">
        <v>29.63</v>
      </c>
      <c r="M113">
        <v>57.92</v>
      </c>
      <c r="N113">
        <v>63.4</v>
      </c>
      <c r="O113">
        <v>52.48</v>
      </c>
      <c r="P113">
        <v>61.35</v>
      </c>
      <c r="Q113">
        <v>19.690000000000001</v>
      </c>
      <c r="R113">
        <v>1248.78</v>
      </c>
      <c r="S113">
        <v>33.33</v>
      </c>
      <c r="T113">
        <v>19.16</v>
      </c>
      <c r="U113">
        <v>17.97</v>
      </c>
      <c r="V113">
        <v>37.200000000000003</v>
      </c>
      <c r="W113">
        <v>46.13</v>
      </c>
      <c r="X113">
        <v>26.93</v>
      </c>
      <c r="Y113">
        <v>49.17</v>
      </c>
      <c r="Z113">
        <v>41.34</v>
      </c>
      <c r="AA113">
        <v>79.180000000000007</v>
      </c>
      <c r="AB113">
        <v>56.25</v>
      </c>
      <c r="AC113">
        <v>41.55</v>
      </c>
      <c r="AD113">
        <v>576.05999999999995</v>
      </c>
      <c r="AE113">
        <v>647.24</v>
      </c>
      <c r="AF113">
        <v>42.56</v>
      </c>
      <c r="AG113">
        <v>53.47</v>
      </c>
      <c r="AH113">
        <v>47.01</v>
      </c>
      <c r="AI113">
        <v>50.46</v>
      </c>
    </row>
    <row r="114" spans="1:35" x14ac:dyDescent="0.45">
      <c r="A114" s="2">
        <v>45904</v>
      </c>
      <c r="B114">
        <v>32.229999999999997</v>
      </c>
      <c r="C114">
        <v>33.4</v>
      </c>
      <c r="D114">
        <v>17.77</v>
      </c>
      <c r="E114">
        <v>25.78</v>
      </c>
      <c r="F114">
        <v>32.130000000000003</v>
      </c>
      <c r="G114">
        <v>55.73</v>
      </c>
      <c r="H114">
        <v>24.97</v>
      </c>
      <c r="I114">
        <v>59.3</v>
      </c>
      <c r="J114">
        <v>63.07</v>
      </c>
      <c r="K114">
        <v>73.069999999999993</v>
      </c>
      <c r="L114">
        <v>29.17</v>
      </c>
      <c r="M114">
        <v>56.57</v>
      </c>
      <c r="N114">
        <v>63.26</v>
      </c>
      <c r="O114">
        <v>52.59</v>
      </c>
      <c r="P114">
        <v>60.3</v>
      </c>
      <c r="Q114">
        <v>19.7</v>
      </c>
      <c r="R114">
        <v>1244.48</v>
      </c>
      <c r="S114">
        <v>33.729999999999997</v>
      </c>
      <c r="T114">
        <v>19.2</v>
      </c>
      <c r="U114">
        <v>18.43</v>
      </c>
      <c r="V114">
        <v>37.35</v>
      </c>
      <c r="W114">
        <v>45.37</v>
      </c>
      <c r="X114">
        <v>26.9</v>
      </c>
      <c r="Y114">
        <v>49.12</v>
      </c>
      <c r="Z114">
        <v>41.34</v>
      </c>
      <c r="AA114">
        <v>78.73</v>
      </c>
      <c r="AB114">
        <v>55.71</v>
      </c>
      <c r="AC114">
        <v>41.39</v>
      </c>
      <c r="AD114">
        <v>575.23</v>
      </c>
      <c r="AE114">
        <v>649.12</v>
      </c>
      <c r="AF114">
        <v>42.56</v>
      </c>
      <c r="AG114">
        <v>52.87</v>
      </c>
      <c r="AH114">
        <v>46.26</v>
      </c>
      <c r="AI114">
        <v>50.65</v>
      </c>
    </row>
    <row r="115" spans="1:35" x14ac:dyDescent="0.45">
      <c r="A115" s="2">
        <v>45903</v>
      </c>
      <c r="B115">
        <v>32.94</v>
      </c>
      <c r="C115">
        <v>33.049999999999997</v>
      </c>
      <c r="D115">
        <v>17.809999999999999</v>
      </c>
      <c r="E115">
        <v>25.58</v>
      </c>
      <c r="F115">
        <v>31.52</v>
      </c>
      <c r="G115">
        <v>56.01</v>
      </c>
      <c r="H115">
        <v>24.87</v>
      </c>
      <c r="I115">
        <v>58.73</v>
      </c>
      <c r="J115">
        <v>62.8</v>
      </c>
      <c r="K115">
        <v>72.91</v>
      </c>
      <c r="L115">
        <v>28.99</v>
      </c>
      <c r="M115">
        <v>57.7</v>
      </c>
      <c r="N115">
        <v>63.4</v>
      </c>
      <c r="O115">
        <v>52.62</v>
      </c>
      <c r="P115">
        <v>61.33</v>
      </c>
      <c r="Q115">
        <v>19.86</v>
      </c>
      <c r="R115">
        <v>1236.6099999999999</v>
      </c>
      <c r="S115">
        <v>33.51</v>
      </c>
      <c r="T115">
        <v>19.03</v>
      </c>
      <c r="U115">
        <v>18.25</v>
      </c>
      <c r="V115">
        <v>37.11</v>
      </c>
      <c r="W115">
        <v>45.494999999999997</v>
      </c>
      <c r="X115">
        <v>26.6</v>
      </c>
      <c r="Y115">
        <v>48.87</v>
      </c>
      <c r="Z115">
        <v>41.05</v>
      </c>
      <c r="AA115">
        <v>77.930000000000007</v>
      </c>
      <c r="AB115">
        <v>55.08</v>
      </c>
      <c r="AC115">
        <v>41.18</v>
      </c>
      <c r="AD115">
        <v>570.07000000000005</v>
      </c>
      <c r="AE115">
        <v>643.74</v>
      </c>
      <c r="AF115">
        <v>42.54</v>
      </c>
      <c r="AG115">
        <v>52.22</v>
      </c>
      <c r="AH115">
        <v>46.18</v>
      </c>
      <c r="AI115">
        <v>50.38</v>
      </c>
    </row>
    <row r="116" spans="1:35" x14ac:dyDescent="0.45">
      <c r="A116" s="2">
        <v>45902</v>
      </c>
      <c r="B116">
        <v>33.200000000000003</v>
      </c>
      <c r="C116">
        <v>32.729999999999997</v>
      </c>
      <c r="D116">
        <v>17.739999999999998</v>
      </c>
      <c r="E116">
        <v>25.68</v>
      </c>
      <c r="F116">
        <v>31.29</v>
      </c>
      <c r="G116">
        <v>54.91</v>
      </c>
      <c r="H116">
        <v>24.73</v>
      </c>
      <c r="I116">
        <v>58.05</v>
      </c>
      <c r="J116">
        <v>62.91</v>
      </c>
      <c r="K116">
        <v>71.92</v>
      </c>
      <c r="L116">
        <v>29</v>
      </c>
      <c r="M116">
        <v>57.25</v>
      </c>
      <c r="N116">
        <v>62.28</v>
      </c>
      <c r="O116">
        <v>52.35</v>
      </c>
      <c r="P116">
        <v>61.64</v>
      </c>
      <c r="Q116">
        <v>19.73</v>
      </c>
      <c r="R116">
        <v>1250.0899999999999</v>
      </c>
      <c r="S116">
        <v>33.97</v>
      </c>
      <c r="T116">
        <v>19.14</v>
      </c>
      <c r="U116">
        <v>18.14</v>
      </c>
      <c r="V116">
        <v>37.21</v>
      </c>
      <c r="W116">
        <v>45.380099999999999</v>
      </c>
      <c r="X116">
        <v>26.77</v>
      </c>
      <c r="Y116">
        <v>48.59</v>
      </c>
      <c r="Z116">
        <v>41.04</v>
      </c>
      <c r="AA116">
        <v>78.150000000000006</v>
      </c>
      <c r="AB116">
        <v>54.67</v>
      </c>
      <c r="AC116">
        <v>40.9</v>
      </c>
      <c r="AD116">
        <v>565.62</v>
      </c>
      <c r="AE116">
        <v>640.27</v>
      </c>
      <c r="AF116">
        <v>42.29</v>
      </c>
      <c r="AG116">
        <v>51.94</v>
      </c>
      <c r="AH116">
        <v>45.89</v>
      </c>
      <c r="AI116">
        <v>50.4</v>
      </c>
    </row>
    <row r="117" spans="1:35" x14ac:dyDescent="0.45">
      <c r="A117" s="2">
        <v>45898</v>
      </c>
      <c r="B117">
        <v>33.47</v>
      </c>
      <c r="C117">
        <v>32.81</v>
      </c>
      <c r="D117">
        <v>17.670000000000002</v>
      </c>
      <c r="E117">
        <v>26.15</v>
      </c>
      <c r="F117">
        <v>31.7</v>
      </c>
      <c r="G117">
        <v>53.8</v>
      </c>
      <c r="H117">
        <v>24.87</v>
      </c>
      <c r="I117">
        <v>58.82</v>
      </c>
      <c r="J117">
        <v>61.94</v>
      </c>
      <c r="K117">
        <v>72.239999999999995</v>
      </c>
      <c r="L117">
        <v>29.5</v>
      </c>
      <c r="M117">
        <v>57.67</v>
      </c>
      <c r="N117">
        <v>63.09</v>
      </c>
      <c r="O117">
        <v>51.98</v>
      </c>
      <c r="P117">
        <v>61.31</v>
      </c>
      <c r="Q117">
        <v>20</v>
      </c>
      <c r="R117">
        <v>1248.03</v>
      </c>
      <c r="S117">
        <v>35.29</v>
      </c>
      <c r="T117">
        <v>19.38</v>
      </c>
      <c r="U117">
        <v>18.29</v>
      </c>
      <c r="V117">
        <v>37.36</v>
      </c>
      <c r="W117">
        <v>44.86</v>
      </c>
      <c r="X117">
        <v>27.08</v>
      </c>
      <c r="Y117">
        <v>48.79</v>
      </c>
      <c r="Z117">
        <v>41.88</v>
      </c>
      <c r="AA117">
        <v>78.28</v>
      </c>
      <c r="AB117">
        <v>55.33</v>
      </c>
      <c r="AC117">
        <v>41.46</v>
      </c>
      <c r="AD117">
        <v>570.4</v>
      </c>
      <c r="AE117">
        <v>645.04999999999995</v>
      </c>
      <c r="AF117">
        <v>42.59</v>
      </c>
      <c r="AG117">
        <v>53</v>
      </c>
      <c r="AH117">
        <v>46.39</v>
      </c>
      <c r="AI117">
        <v>51.05</v>
      </c>
    </row>
    <row r="118" spans="1:35" x14ac:dyDescent="0.45">
      <c r="A118" s="2">
        <v>45897</v>
      </c>
      <c r="B118">
        <v>33.159999999999997</v>
      </c>
      <c r="C118">
        <v>32.58</v>
      </c>
      <c r="D118">
        <v>18.190000000000001</v>
      </c>
      <c r="E118">
        <v>26.39</v>
      </c>
      <c r="F118">
        <v>32.07</v>
      </c>
      <c r="G118">
        <v>53.418799999999997</v>
      </c>
      <c r="H118">
        <v>25.13</v>
      </c>
      <c r="I118">
        <v>59.9</v>
      </c>
      <c r="J118">
        <v>62.52</v>
      </c>
      <c r="K118">
        <v>73.64</v>
      </c>
      <c r="L118">
        <v>29.49</v>
      </c>
      <c r="M118">
        <v>57.15</v>
      </c>
      <c r="N118">
        <v>63.94</v>
      </c>
      <c r="O118">
        <v>52.54</v>
      </c>
      <c r="P118">
        <v>60.45</v>
      </c>
      <c r="Q118">
        <v>19.96</v>
      </c>
      <c r="R118">
        <v>1251.26</v>
      </c>
      <c r="S118">
        <v>35.54</v>
      </c>
      <c r="T118">
        <v>19.53</v>
      </c>
      <c r="U118">
        <v>18.315000000000001</v>
      </c>
      <c r="V118">
        <v>37.47</v>
      </c>
      <c r="W118">
        <v>44.87</v>
      </c>
      <c r="X118">
        <v>27.09</v>
      </c>
      <c r="Y118">
        <v>48.46</v>
      </c>
      <c r="Z118">
        <v>42.02</v>
      </c>
      <c r="AA118">
        <v>79.290000000000006</v>
      </c>
      <c r="AB118">
        <v>55.33</v>
      </c>
      <c r="AC118">
        <v>41.57</v>
      </c>
      <c r="AD118">
        <v>577.08000000000004</v>
      </c>
      <c r="AE118">
        <v>648.91999999999996</v>
      </c>
      <c r="AF118">
        <v>42.9</v>
      </c>
      <c r="AG118">
        <v>53.5</v>
      </c>
      <c r="AH118">
        <v>46.63</v>
      </c>
      <c r="AI118">
        <v>51.19</v>
      </c>
    </row>
    <row r="119" spans="1:35" x14ac:dyDescent="0.45">
      <c r="A119" s="2">
        <v>45896</v>
      </c>
      <c r="B119">
        <v>32.26</v>
      </c>
      <c r="C119">
        <v>32.549999999999997</v>
      </c>
      <c r="D119">
        <v>18.16</v>
      </c>
      <c r="E119">
        <v>26.56</v>
      </c>
      <c r="F119">
        <v>32.340000000000003</v>
      </c>
      <c r="G119">
        <v>52.967199999999998</v>
      </c>
      <c r="H119">
        <v>25.05</v>
      </c>
      <c r="I119">
        <v>59.77</v>
      </c>
      <c r="J119">
        <v>61.94</v>
      </c>
      <c r="K119">
        <v>72.47</v>
      </c>
      <c r="L119">
        <v>29.02</v>
      </c>
      <c r="M119">
        <v>57.38</v>
      </c>
      <c r="N119">
        <v>64.489999999999995</v>
      </c>
      <c r="O119">
        <v>52.68</v>
      </c>
      <c r="P119">
        <v>60.02</v>
      </c>
      <c r="Q119">
        <v>20.13</v>
      </c>
      <c r="R119">
        <v>1262.67</v>
      </c>
      <c r="S119">
        <v>35.51</v>
      </c>
      <c r="T119">
        <v>19.68</v>
      </c>
      <c r="U119">
        <v>18.02</v>
      </c>
      <c r="V119">
        <v>37.68</v>
      </c>
      <c r="W119">
        <v>44.67</v>
      </c>
      <c r="X119">
        <v>27</v>
      </c>
      <c r="Y119">
        <v>48.37</v>
      </c>
      <c r="Z119">
        <v>41.89</v>
      </c>
      <c r="AA119">
        <v>78.63</v>
      </c>
      <c r="AB119">
        <v>55.24</v>
      </c>
      <c r="AC119">
        <v>41.66</v>
      </c>
      <c r="AD119">
        <v>573.49</v>
      </c>
      <c r="AE119">
        <v>646.63</v>
      </c>
      <c r="AF119">
        <v>42.56</v>
      </c>
      <c r="AG119">
        <v>53.59</v>
      </c>
      <c r="AH119">
        <v>46.46</v>
      </c>
      <c r="AI119">
        <v>50.91</v>
      </c>
    </row>
    <row r="120" spans="1:35" x14ac:dyDescent="0.45">
      <c r="A120" s="2">
        <v>45895</v>
      </c>
      <c r="B120">
        <v>32.909999999999997</v>
      </c>
      <c r="C120">
        <v>32.44</v>
      </c>
      <c r="D120">
        <v>18.38</v>
      </c>
      <c r="E120">
        <v>26.12</v>
      </c>
      <c r="F120">
        <v>32.86</v>
      </c>
      <c r="G120">
        <v>53.39</v>
      </c>
      <c r="H120">
        <v>25.13</v>
      </c>
      <c r="I120">
        <v>59.5</v>
      </c>
      <c r="J120">
        <v>61.44</v>
      </c>
      <c r="K120">
        <v>72.39</v>
      </c>
      <c r="L120">
        <v>28.61</v>
      </c>
      <c r="M120">
        <v>58.1</v>
      </c>
      <c r="N120">
        <v>64.98</v>
      </c>
      <c r="O120">
        <v>52.55</v>
      </c>
      <c r="P120">
        <v>61.62</v>
      </c>
      <c r="Q120">
        <v>20.14</v>
      </c>
      <c r="R120">
        <v>1253.3900000000001</v>
      </c>
      <c r="S120">
        <v>35.97</v>
      </c>
      <c r="T120">
        <v>19.75</v>
      </c>
      <c r="U120">
        <v>17.96</v>
      </c>
      <c r="V120">
        <v>38.020000000000003</v>
      </c>
      <c r="W120">
        <v>45.19</v>
      </c>
      <c r="X120">
        <v>26.97</v>
      </c>
      <c r="Y120">
        <v>48.02</v>
      </c>
      <c r="Z120">
        <v>42.13</v>
      </c>
      <c r="AA120">
        <v>78.92</v>
      </c>
      <c r="AB120">
        <v>55.11</v>
      </c>
      <c r="AC120">
        <v>41.74</v>
      </c>
      <c r="AD120">
        <v>572.61</v>
      </c>
      <c r="AE120">
        <v>645.16</v>
      </c>
      <c r="AF120">
        <v>42.58</v>
      </c>
      <c r="AG120">
        <v>53.77</v>
      </c>
      <c r="AH120">
        <v>46.64</v>
      </c>
      <c r="AI120">
        <v>51.42</v>
      </c>
    </row>
    <row r="121" spans="1:35" x14ac:dyDescent="0.45">
      <c r="A121" s="2">
        <v>45894</v>
      </c>
      <c r="B121">
        <v>32.909999999999997</v>
      </c>
      <c r="C121">
        <v>32.71</v>
      </c>
      <c r="D121">
        <v>18.61</v>
      </c>
      <c r="E121">
        <v>26.69</v>
      </c>
      <c r="F121">
        <v>32.590000000000003</v>
      </c>
      <c r="G121">
        <v>52.93</v>
      </c>
      <c r="H121">
        <v>25.5</v>
      </c>
      <c r="I121">
        <v>59.26</v>
      </c>
      <c r="J121">
        <v>61.71</v>
      </c>
      <c r="K121">
        <v>72.73</v>
      </c>
      <c r="L121">
        <v>28.74</v>
      </c>
      <c r="M121">
        <v>58.35</v>
      </c>
      <c r="N121">
        <v>65.62</v>
      </c>
      <c r="O121">
        <v>53.23</v>
      </c>
      <c r="P121">
        <v>61.54</v>
      </c>
      <c r="Q121">
        <v>20.002600000000001</v>
      </c>
      <c r="R121">
        <v>1244.79</v>
      </c>
      <c r="S121">
        <v>35.93</v>
      </c>
      <c r="T121">
        <v>19.829999999999998</v>
      </c>
      <c r="U121">
        <v>17.22</v>
      </c>
      <c r="V121">
        <v>38.08</v>
      </c>
      <c r="W121">
        <v>45.62</v>
      </c>
      <c r="X121">
        <v>26.83</v>
      </c>
      <c r="Y121">
        <v>47.55</v>
      </c>
      <c r="Z121">
        <v>42.12</v>
      </c>
      <c r="AA121">
        <v>79.05</v>
      </c>
      <c r="AB121">
        <v>54.97</v>
      </c>
      <c r="AC121">
        <v>41.79</v>
      </c>
      <c r="AD121">
        <v>570.32000000000005</v>
      </c>
      <c r="AE121">
        <v>642.47</v>
      </c>
      <c r="AF121">
        <v>42.96</v>
      </c>
      <c r="AG121">
        <v>53.84</v>
      </c>
      <c r="AH121">
        <v>46.57</v>
      </c>
      <c r="AI121">
        <v>51.76</v>
      </c>
    </row>
    <row r="122" spans="1:35" x14ac:dyDescent="0.45">
      <c r="A122" s="2">
        <v>45891</v>
      </c>
      <c r="B122">
        <v>32.71</v>
      </c>
      <c r="C122">
        <v>32.799999999999997</v>
      </c>
      <c r="D122">
        <v>18.649999999999999</v>
      </c>
      <c r="E122">
        <v>26.63</v>
      </c>
      <c r="F122">
        <v>32.700000000000003</v>
      </c>
      <c r="G122">
        <v>53.23</v>
      </c>
      <c r="H122">
        <v>25.72</v>
      </c>
      <c r="I122">
        <v>59.66</v>
      </c>
      <c r="J122">
        <v>62.8</v>
      </c>
      <c r="K122">
        <v>73.510000000000005</v>
      </c>
      <c r="L122">
        <v>28.61</v>
      </c>
      <c r="M122">
        <v>58.8</v>
      </c>
      <c r="N122">
        <v>65.995000000000005</v>
      </c>
      <c r="O122">
        <v>53.58</v>
      </c>
      <c r="P122">
        <v>61.57</v>
      </c>
      <c r="Q122">
        <v>20.189599999999999</v>
      </c>
      <c r="R122">
        <v>1248.1300000000001</v>
      </c>
      <c r="S122">
        <v>35.69</v>
      </c>
      <c r="T122">
        <v>19.96</v>
      </c>
      <c r="U122">
        <v>17.36</v>
      </c>
      <c r="V122">
        <v>38.130000000000003</v>
      </c>
      <c r="W122">
        <v>45.782899999999998</v>
      </c>
      <c r="X122">
        <v>27.26</v>
      </c>
      <c r="Y122">
        <v>48.03</v>
      </c>
      <c r="Z122">
        <v>42.66</v>
      </c>
      <c r="AA122">
        <v>80.02</v>
      </c>
      <c r="AB122">
        <v>55.64</v>
      </c>
      <c r="AC122">
        <v>42.08</v>
      </c>
      <c r="AD122">
        <v>571.97</v>
      </c>
      <c r="AE122">
        <v>645.30999999999995</v>
      </c>
      <c r="AF122">
        <v>44.18</v>
      </c>
      <c r="AG122">
        <v>54.188000000000002</v>
      </c>
      <c r="AH122">
        <v>47.24</v>
      </c>
      <c r="AI122">
        <v>52.34</v>
      </c>
    </row>
    <row r="123" spans="1:35" x14ac:dyDescent="0.45">
      <c r="A123" s="2">
        <v>45890</v>
      </c>
      <c r="B123">
        <v>31.62</v>
      </c>
      <c r="C123">
        <v>31.9</v>
      </c>
      <c r="D123">
        <v>18.440000000000001</v>
      </c>
      <c r="E123">
        <v>26.15</v>
      </c>
      <c r="F123">
        <v>33.380000000000003</v>
      </c>
      <c r="G123">
        <v>52.009</v>
      </c>
      <c r="H123">
        <v>25.19</v>
      </c>
      <c r="I123">
        <v>58.57</v>
      </c>
      <c r="J123">
        <v>61.55</v>
      </c>
      <c r="K123">
        <v>71.22</v>
      </c>
      <c r="L123">
        <v>27.66</v>
      </c>
      <c r="M123">
        <v>56.91</v>
      </c>
      <c r="N123">
        <v>65.2</v>
      </c>
      <c r="O123">
        <v>53.57</v>
      </c>
      <c r="P123">
        <v>60</v>
      </c>
      <c r="Q123">
        <v>20.065000000000001</v>
      </c>
      <c r="R123">
        <v>1235.76</v>
      </c>
      <c r="S123">
        <v>35.51</v>
      </c>
      <c r="T123">
        <v>19.753</v>
      </c>
      <c r="U123">
        <v>17.600000000000001</v>
      </c>
      <c r="V123">
        <v>37.94</v>
      </c>
      <c r="W123">
        <v>45.58</v>
      </c>
      <c r="X123">
        <v>26.86</v>
      </c>
      <c r="Y123">
        <v>47.28</v>
      </c>
      <c r="Z123">
        <v>42.08</v>
      </c>
      <c r="AA123">
        <v>78.7</v>
      </c>
      <c r="AB123">
        <v>54.94</v>
      </c>
      <c r="AC123">
        <v>41.66</v>
      </c>
      <c r="AD123">
        <v>563.28</v>
      </c>
      <c r="AE123">
        <v>635.54999999999995</v>
      </c>
      <c r="AF123">
        <v>43.55</v>
      </c>
      <c r="AG123">
        <v>53.08</v>
      </c>
      <c r="AH123">
        <v>46.08</v>
      </c>
      <c r="AI123">
        <v>51.53</v>
      </c>
    </row>
    <row r="124" spans="1:35" x14ac:dyDescent="0.45">
      <c r="A124" s="2">
        <v>45889</v>
      </c>
      <c r="B124">
        <v>31.74</v>
      </c>
      <c r="C124">
        <v>32.04</v>
      </c>
      <c r="D124">
        <v>18.600000000000001</v>
      </c>
      <c r="E124">
        <v>26.35</v>
      </c>
      <c r="F124">
        <v>33.78</v>
      </c>
      <c r="G124">
        <v>51.75</v>
      </c>
      <c r="H124">
        <v>25.19</v>
      </c>
      <c r="I124">
        <v>58.78</v>
      </c>
      <c r="J124">
        <v>61.17</v>
      </c>
      <c r="K124">
        <v>71.36</v>
      </c>
      <c r="L124">
        <v>27.69</v>
      </c>
      <c r="M124">
        <v>57.11</v>
      </c>
      <c r="N124">
        <v>65.400000000000006</v>
      </c>
      <c r="O124">
        <v>53.8</v>
      </c>
      <c r="P124">
        <v>59.92</v>
      </c>
      <c r="Q124">
        <v>20.079999999999998</v>
      </c>
      <c r="R124">
        <v>1242.31</v>
      </c>
      <c r="S124">
        <v>35.04</v>
      </c>
      <c r="T124">
        <v>19.8</v>
      </c>
      <c r="U124">
        <v>17.690000000000001</v>
      </c>
      <c r="V124">
        <v>37.89</v>
      </c>
      <c r="W124">
        <v>45.674999999999997</v>
      </c>
      <c r="X124">
        <v>26.7</v>
      </c>
      <c r="Y124">
        <v>47.11</v>
      </c>
      <c r="Z124">
        <v>42.39</v>
      </c>
      <c r="AA124">
        <v>79.64</v>
      </c>
      <c r="AB124">
        <v>55.52</v>
      </c>
      <c r="AC124">
        <v>41.72</v>
      </c>
      <c r="AD124">
        <v>565.9</v>
      </c>
      <c r="AE124">
        <v>638.11</v>
      </c>
      <c r="AF124">
        <v>43.97</v>
      </c>
      <c r="AG124">
        <v>53.58</v>
      </c>
      <c r="AH124">
        <v>46.45</v>
      </c>
      <c r="AI124">
        <v>51.69</v>
      </c>
    </row>
    <row r="125" spans="1:35" x14ac:dyDescent="0.45">
      <c r="A125" s="2">
        <v>45888</v>
      </c>
      <c r="B125">
        <v>31.02</v>
      </c>
      <c r="C125">
        <v>32.19</v>
      </c>
      <c r="D125">
        <v>18.309999999999999</v>
      </c>
      <c r="E125">
        <v>26.25</v>
      </c>
      <c r="F125">
        <v>33.79</v>
      </c>
      <c r="G125">
        <v>51.68</v>
      </c>
      <c r="H125">
        <v>25.18</v>
      </c>
      <c r="I125">
        <v>60.09</v>
      </c>
      <c r="J125">
        <v>61.25</v>
      </c>
      <c r="K125">
        <v>71.44</v>
      </c>
      <c r="L125">
        <v>27.36</v>
      </c>
      <c r="M125">
        <v>56.67</v>
      </c>
      <c r="N125">
        <v>65.150000000000006</v>
      </c>
      <c r="O125">
        <v>53.65</v>
      </c>
      <c r="P125">
        <v>59.59</v>
      </c>
      <c r="Q125">
        <v>20.239999999999998</v>
      </c>
      <c r="R125">
        <v>1259.42</v>
      </c>
      <c r="S125">
        <v>34.5</v>
      </c>
      <c r="T125">
        <v>19.8383</v>
      </c>
      <c r="U125">
        <v>17.899999999999999</v>
      </c>
      <c r="V125">
        <v>37.840000000000003</v>
      </c>
      <c r="W125">
        <v>45.604999999999997</v>
      </c>
      <c r="X125">
        <v>26.61</v>
      </c>
      <c r="Y125">
        <v>47</v>
      </c>
      <c r="Z125">
        <v>42.39</v>
      </c>
      <c r="AA125">
        <v>80.02</v>
      </c>
      <c r="AB125">
        <v>54.9</v>
      </c>
      <c r="AC125">
        <v>41.29</v>
      </c>
      <c r="AD125">
        <v>569.28</v>
      </c>
      <c r="AE125">
        <v>639.80999999999995</v>
      </c>
      <c r="AF125">
        <v>43.82</v>
      </c>
      <c r="AG125">
        <v>53.215000000000003</v>
      </c>
      <c r="AH125">
        <v>46.56</v>
      </c>
      <c r="AI125">
        <v>51.62</v>
      </c>
    </row>
    <row r="126" spans="1:35" x14ac:dyDescent="0.45">
      <c r="A126" s="2">
        <v>45887</v>
      </c>
      <c r="B126">
        <v>31.32</v>
      </c>
      <c r="C126">
        <v>32.549999999999997</v>
      </c>
      <c r="D126">
        <v>18.43</v>
      </c>
      <c r="E126">
        <v>26.34</v>
      </c>
      <c r="F126">
        <v>33.64</v>
      </c>
      <c r="G126">
        <v>52.382100000000001</v>
      </c>
      <c r="H126">
        <v>25.13</v>
      </c>
      <c r="I126">
        <v>61.04</v>
      </c>
      <c r="J126">
        <v>61.19</v>
      </c>
      <c r="K126">
        <v>72.8</v>
      </c>
      <c r="L126">
        <v>28.29</v>
      </c>
      <c r="M126">
        <v>57.11</v>
      </c>
      <c r="N126">
        <v>65.58</v>
      </c>
      <c r="O126">
        <v>53.5</v>
      </c>
      <c r="P126">
        <v>60.04</v>
      </c>
      <c r="Q126">
        <v>20.38</v>
      </c>
      <c r="R126">
        <v>1266.67</v>
      </c>
      <c r="S126">
        <v>34.47</v>
      </c>
      <c r="T126">
        <v>19.965</v>
      </c>
      <c r="U126">
        <v>17.84</v>
      </c>
      <c r="V126">
        <v>37.83</v>
      </c>
      <c r="W126">
        <v>45.844999999999999</v>
      </c>
      <c r="X126">
        <v>26.84</v>
      </c>
      <c r="Y126">
        <v>47.35</v>
      </c>
      <c r="Z126">
        <v>42.45</v>
      </c>
      <c r="AA126">
        <v>80.3</v>
      </c>
      <c r="AB126">
        <v>54.35</v>
      </c>
      <c r="AC126">
        <v>41.29</v>
      </c>
      <c r="AD126">
        <v>577.11</v>
      </c>
      <c r="AE126">
        <v>643.29999999999995</v>
      </c>
      <c r="AF126">
        <v>43.55</v>
      </c>
      <c r="AG126">
        <v>53.13</v>
      </c>
      <c r="AH126">
        <v>46.28</v>
      </c>
      <c r="AI126">
        <v>51.54</v>
      </c>
    </row>
    <row r="127" spans="1:35" x14ac:dyDescent="0.45">
      <c r="A127" s="2">
        <v>45884</v>
      </c>
      <c r="B127">
        <v>30.97</v>
      </c>
      <c r="C127">
        <v>32.4</v>
      </c>
      <c r="D127">
        <v>18.5</v>
      </c>
      <c r="E127">
        <v>26.39</v>
      </c>
      <c r="F127">
        <v>33.450000000000003</v>
      </c>
      <c r="G127">
        <v>52.191600000000001</v>
      </c>
      <c r="H127">
        <v>24.98</v>
      </c>
      <c r="I127">
        <v>60.42</v>
      </c>
      <c r="J127">
        <v>61.34</v>
      </c>
      <c r="K127">
        <v>73.39</v>
      </c>
      <c r="L127">
        <v>28.2</v>
      </c>
      <c r="M127">
        <v>57.62</v>
      </c>
      <c r="N127">
        <v>66.89</v>
      </c>
      <c r="O127">
        <v>52.71</v>
      </c>
      <c r="P127">
        <v>59.68</v>
      </c>
      <c r="Q127">
        <v>20.54</v>
      </c>
      <c r="R127">
        <v>1277.43</v>
      </c>
      <c r="S127">
        <v>34.24</v>
      </c>
      <c r="T127">
        <v>19.905000000000001</v>
      </c>
      <c r="U127">
        <v>17.71</v>
      </c>
      <c r="V127">
        <v>37.549999999999997</v>
      </c>
      <c r="W127">
        <v>45.683999999999997</v>
      </c>
      <c r="X127">
        <v>26.83</v>
      </c>
      <c r="Y127">
        <v>47.27</v>
      </c>
      <c r="Z127">
        <v>42.58</v>
      </c>
      <c r="AA127">
        <v>80.150000000000006</v>
      </c>
      <c r="AB127">
        <v>54.5</v>
      </c>
      <c r="AC127">
        <v>41.27</v>
      </c>
      <c r="AD127">
        <v>577.34</v>
      </c>
      <c r="AE127">
        <v>643.44000000000005</v>
      </c>
      <c r="AF127">
        <v>43.89</v>
      </c>
      <c r="AG127">
        <v>53.16</v>
      </c>
      <c r="AH127">
        <v>46.61</v>
      </c>
      <c r="AI127">
        <v>51.79</v>
      </c>
    </row>
    <row r="128" spans="1:35" x14ac:dyDescent="0.45">
      <c r="A128" s="2">
        <v>45883</v>
      </c>
      <c r="B128">
        <v>30.72</v>
      </c>
      <c r="C128">
        <v>32.270000000000003</v>
      </c>
      <c r="D128">
        <v>18.63</v>
      </c>
      <c r="E128">
        <v>26.28</v>
      </c>
      <c r="F128">
        <v>33.270000000000003</v>
      </c>
      <c r="G128">
        <v>51.95</v>
      </c>
      <c r="H128">
        <v>25.03</v>
      </c>
      <c r="I128">
        <v>60.65</v>
      </c>
      <c r="J128">
        <v>60.99</v>
      </c>
      <c r="K128">
        <v>73.66</v>
      </c>
      <c r="L128">
        <v>27.89</v>
      </c>
      <c r="M128">
        <v>57.64</v>
      </c>
      <c r="N128">
        <v>66.53</v>
      </c>
      <c r="O128">
        <v>52.41</v>
      </c>
      <c r="P128">
        <v>59.3</v>
      </c>
      <c r="Q128">
        <v>20.52</v>
      </c>
      <c r="R128">
        <v>1259.07</v>
      </c>
      <c r="S128">
        <v>34.11</v>
      </c>
      <c r="T128">
        <v>19.98</v>
      </c>
      <c r="U128">
        <v>17.760000000000002</v>
      </c>
      <c r="V128">
        <v>37.590000000000003</v>
      </c>
      <c r="W128">
        <v>45.57</v>
      </c>
      <c r="X128">
        <v>26.74</v>
      </c>
      <c r="Y128">
        <v>47.33</v>
      </c>
      <c r="Z128">
        <v>42.5</v>
      </c>
      <c r="AA128">
        <v>78.8</v>
      </c>
      <c r="AB128">
        <v>54.1</v>
      </c>
      <c r="AC128">
        <v>41.5</v>
      </c>
      <c r="AD128">
        <v>579.89</v>
      </c>
      <c r="AE128">
        <v>644.95000000000005</v>
      </c>
      <c r="AF128">
        <v>43.5</v>
      </c>
      <c r="AG128">
        <v>53.3</v>
      </c>
      <c r="AH128">
        <v>46.06</v>
      </c>
      <c r="AI128">
        <v>51.56</v>
      </c>
    </row>
    <row r="129" spans="1:35" x14ac:dyDescent="0.45">
      <c r="A129" s="2">
        <v>45882</v>
      </c>
      <c r="B129">
        <v>31.01</v>
      </c>
      <c r="C129">
        <v>32.54</v>
      </c>
      <c r="D129">
        <v>18.829999999999998</v>
      </c>
      <c r="E129">
        <v>26.72</v>
      </c>
      <c r="F129">
        <v>34.07</v>
      </c>
      <c r="G129">
        <v>52.16</v>
      </c>
      <c r="H129">
        <v>25.27</v>
      </c>
      <c r="I129">
        <v>61.03</v>
      </c>
      <c r="J129">
        <v>61.99</v>
      </c>
      <c r="K129">
        <v>74.72</v>
      </c>
      <c r="L129">
        <v>28.18</v>
      </c>
      <c r="M129">
        <v>58.36</v>
      </c>
      <c r="N129">
        <v>66.81</v>
      </c>
      <c r="O129">
        <v>52.71</v>
      </c>
      <c r="P129">
        <v>60.56</v>
      </c>
      <c r="Q129">
        <v>20.56</v>
      </c>
      <c r="R129">
        <v>1265.1500000000001</v>
      </c>
      <c r="S129">
        <v>34.47</v>
      </c>
      <c r="T129">
        <v>19.93</v>
      </c>
      <c r="U129">
        <v>17.46</v>
      </c>
      <c r="V129">
        <v>37.44</v>
      </c>
      <c r="W129">
        <v>45.82</v>
      </c>
      <c r="X129">
        <v>26.91</v>
      </c>
      <c r="Y129">
        <v>47.64</v>
      </c>
      <c r="Z129">
        <v>42.38</v>
      </c>
      <c r="AA129">
        <v>79.27</v>
      </c>
      <c r="AB129">
        <v>54.2</v>
      </c>
      <c r="AC129">
        <v>41.36</v>
      </c>
      <c r="AD129">
        <v>580.34</v>
      </c>
      <c r="AE129">
        <v>644.89</v>
      </c>
      <c r="AF129">
        <v>43.31</v>
      </c>
      <c r="AG129">
        <v>53.36</v>
      </c>
      <c r="AH129">
        <v>46.02</v>
      </c>
      <c r="AI129">
        <v>51.1</v>
      </c>
    </row>
    <row r="130" spans="1:35" x14ac:dyDescent="0.45">
      <c r="A130" s="2">
        <v>45881</v>
      </c>
      <c r="B130">
        <v>30.73</v>
      </c>
      <c r="C130">
        <v>31.97</v>
      </c>
      <c r="D130">
        <v>18.61</v>
      </c>
      <c r="E130">
        <v>26.55</v>
      </c>
      <c r="F130">
        <v>33.99</v>
      </c>
      <c r="G130">
        <v>51.75</v>
      </c>
      <c r="H130">
        <v>24.94</v>
      </c>
      <c r="I130">
        <v>61.09</v>
      </c>
      <c r="J130">
        <v>62.33</v>
      </c>
      <c r="K130">
        <v>74.099999999999994</v>
      </c>
      <c r="L130">
        <v>28.39</v>
      </c>
      <c r="M130">
        <v>57.5</v>
      </c>
      <c r="N130">
        <v>66.349999999999994</v>
      </c>
      <c r="O130">
        <v>52.465000000000003</v>
      </c>
      <c r="P130">
        <v>58.73</v>
      </c>
      <c r="Q130">
        <v>20.27</v>
      </c>
      <c r="R130">
        <v>1264.47</v>
      </c>
      <c r="S130">
        <v>34.54</v>
      </c>
      <c r="T130">
        <v>20.149999999999999</v>
      </c>
      <c r="U130">
        <v>17.440000000000001</v>
      </c>
      <c r="V130">
        <v>37.49</v>
      </c>
      <c r="W130">
        <v>45.658999999999999</v>
      </c>
      <c r="X130">
        <v>26.96</v>
      </c>
      <c r="Y130">
        <v>47.51</v>
      </c>
      <c r="Z130">
        <v>42.15</v>
      </c>
      <c r="AA130">
        <v>79.23</v>
      </c>
      <c r="AB130">
        <v>53.81</v>
      </c>
      <c r="AC130">
        <v>41.03</v>
      </c>
      <c r="AD130">
        <v>580.04999999999995</v>
      </c>
      <c r="AE130">
        <v>642.69000000000005</v>
      </c>
      <c r="AF130">
        <v>42.89</v>
      </c>
      <c r="AG130">
        <v>52.967399999999998</v>
      </c>
      <c r="AH130">
        <v>45.99</v>
      </c>
      <c r="AI130">
        <v>50.64</v>
      </c>
    </row>
    <row r="131" spans="1:35" x14ac:dyDescent="0.45">
      <c r="A131" s="2">
        <v>45880</v>
      </c>
      <c r="B131">
        <v>30.295000000000002</v>
      </c>
      <c r="C131">
        <v>31.47</v>
      </c>
      <c r="D131">
        <v>17.98</v>
      </c>
      <c r="E131">
        <v>26.19</v>
      </c>
      <c r="F131">
        <v>33.44</v>
      </c>
      <c r="G131">
        <v>51.130899999999997</v>
      </c>
      <c r="H131">
        <v>24.6</v>
      </c>
      <c r="I131">
        <v>60.28</v>
      </c>
      <c r="J131">
        <v>61.54</v>
      </c>
      <c r="K131">
        <v>73.03</v>
      </c>
      <c r="L131">
        <v>27.64</v>
      </c>
      <c r="M131">
        <v>56.36</v>
      </c>
      <c r="N131">
        <v>65.680000000000007</v>
      </c>
      <c r="O131">
        <v>52.27</v>
      </c>
      <c r="P131">
        <v>57.82</v>
      </c>
      <c r="Q131">
        <v>20.034600000000001</v>
      </c>
      <c r="R131">
        <v>1246.96</v>
      </c>
      <c r="S131">
        <v>34.844799999999999</v>
      </c>
      <c r="T131">
        <v>20.079999999999998</v>
      </c>
      <c r="U131">
        <v>17.27</v>
      </c>
      <c r="V131">
        <v>37.43</v>
      </c>
      <c r="W131">
        <v>45.79</v>
      </c>
      <c r="X131">
        <v>26.65</v>
      </c>
      <c r="Y131">
        <v>47.28</v>
      </c>
      <c r="Z131">
        <v>41.94</v>
      </c>
      <c r="AA131">
        <v>77.790000000000006</v>
      </c>
      <c r="AB131">
        <v>53.2</v>
      </c>
      <c r="AC131">
        <v>40.64</v>
      </c>
      <c r="AD131">
        <v>572.85</v>
      </c>
      <c r="AE131">
        <v>635.91999999999996</v>
      </c>
      <c r="AF131">
        <v>42.35</v>
      </c>
      <c r="AG131">
        <v>52.37</v>
      </c>
      <c r="AH131">
        <v>45.23</v>
      </c>
      <c r="AI131">
        <v>49.99</v>
      </c>
    </row>
    <row r="132" spans="1:35" x14ac:dyDescent="0.45">
      <c r="A132" s="2">
        <v>45877</v>
      </c>
      <c r="B132">
        <v>30.27</v>
      </c>
      <c r="C132">
        <v>31.41</v>
      </c>
      <c r="D132">
        <v>17.829999999999998</v>
      </c>
      <c r="E132">
        <v>26.63</v>
      </c>
      <c r="F132">
        <v>33.97</v>
      </c>
      <c r="G132">
        <v>51.72</v>
      </c>
      <c r="H132">
        <v>24.51</v>
      </c>
      <c r="I132">
        <v>60.29</v>
      </c>
      <c r="J132">
        <v>61.64</v>
      </c>
      <c r="K132">
        <v>73.5</v>
      </c>
      <c r="L132">
        <v>27.81</v>
      </c>
      <c r="M132">
        <v>56.45</v>
      </c>
      <c r="N132">
        <v>65.069199999999995</v>
      </c>
      <c r="O132">
        <v>52.12</v>
      </c>
      <c r="P132">
        <v>58.19</v>
      </c>
      <c r="Q132">
        <v>19.93</v>
      </c>
      <c r="R132">
        <v>1229.4000000000001</v>
      </c>
      <c r="S132">
        <v>34.68</v>
      </c>
      <c r="T132">
        <v>20.14</v>
      </c>
      <c r="U132">
        <v>17.18</v>
      </c>
      <c r="V132">
        <v>37.83</v>
      </c>
      <c r="W132">
        <v>45.744999999999997</v>
      </c>
      <c r="X132">
        <v>26.63</v>
      </c>
      <c r="Y132">
        <v>47.34</v>
      </c>
      <c r="Z132">
        <v>42.34</v>
      </c>
      <c r="AA132">
        <v>77.930000000000007</v>
      </c>
      <c r="AB132">
        <v>53.6</v>
      </c>
      <c r="AC132">
        <v>40.53</v>
      </c>
      <c r="AD132">
        <v>574.54999999999995</v>
      </c>
      <c r="AE132">
        <v>637.17999999999995</v>
      </c>
      <c r="AF132">
        <v>42.68</v>
      </c>
      <c r="AG132">
        <v>52.52</v>
      </c>
      <c r="AH132">
        <v>45.88</v>
      </c>
      <c r="AI132">
        <v>50.16</v>
      </c>
    </row>
    <row r="133" spans="1:35" x14ac:dyDescent="0.45">
      <c r="A133" s="2">
        <v>45876</v>
      </c>
      <c r="B133">
        <v>30.3</v>
      </c>
      <c r="C133">
        <v>30.74</v>
      </c>
      <c r="D133">
        <v>17.72</v>
      </c>
      <c r="E133">
        <v>26.49</v>
      </c>
      <c r="F133">
        <v>33.53</v>
      </c>
      <c r="G133">
        <v>50.705500000000001</v>
      </c>
      <c r="H133">
        <v>24.38</v>
      </c>
      <c r="I133">
        <v>60.36</v>
      </c>
      <c r="J133">
        <v>61.65</v>
      </c>
      <c r="K133">
        <v>73.44</v>
      </c>
      <c r="L133">
        <v>28.05</v>
      </c>
      <c r="M133">
        <v>56.66</v>
      </c>
      <c r="N133">
        <v>64.58</v>
      </c>
      <c r="O133">
        <v>52.53</v>
      </c>
      <c r="P133">
        <v>58.2</v>
      </c>
      <c r="Q133">
        <v>19.946000000000002</v>
      </c>
      <c r="R133">
        <v>1218.33</v>
      </c>
      <c r="S133">
        <v>34.61</v>
      </c>
      <c r="T133">
        <v>20.100000000000001</v>
      </c>
      <c r="U133">
        <v>16.8</v>
      </c>
      <c r="V133">
        <v>37.83</v>
      </c>
      <c r="W133">
        <v>45.795000000000002</v>
      </c>
      <c r="X133">
        <v>26.6</v>
      </c>
      <c r="Y133">
        <v>47.34</v>
      </c>
      <c r="Z133">
        <v>42.33</v>
      </c>
      <c r="AA133">
        <v>76.62</v>
      </c>
      <c r="AB133">
        <v>53.68</v>
      </c>
      <c r="AC133">
        <v>40.49</v>
      </c>
      <c r="AD133">
        <v>569.24</v>
      </c>
      <c r="AE133">
        <v>632.25</v>
      </c>
      <c r="AF133">
        <v>42.49</v>
      </c>
      <c r="AG133">
        <v>52.2</v>
      </c>
      <c r="AH133">
        <v>45.6</v>
      </c>
      <c r="AI133">
        <v>49.95</v>
      </c>
    </row>
    <row r="134" spans="1:35" x14ac:dyDescent="0.45">
      <c r="A134" s="2">
        <v>45875</v>
      </c>
      <c r="B134">
        <v>30.33</v>
      </c>
      <c r="C134">
        <v>30.09</v>
      </c>
      <c r="D134">
        <v>17.66</v>
      </c>
      <c r="E134">
        <v>26.41</v>
      </c>
      <c r="F134">
        <v>32.840000000000003</v>
      </c>
      <c r="G134">
        <v>50.183300000000003</v>
      </c>
      <c r="H134">
        <v>24.4</v>
      </c>
      <c r="I134">
        <v>59.14</v>
      </c>
      <c r="J134">
        <v>60.76</v>
      </c>
      <c r="K134">
        <v>73.180000000000007</v>
      </c>
      <c r="L134">
        <v>27.45</v>
      </c>
      <c r="M134">
        <v>56.17</v>
      </c>
      <c r="N134">
        <v>64.2</v>
      </c>
      <c r="O134">
        <v>52.255000000000003</v>
      </c>
      <c r="P134">
        <v>58.36</v>
      </c>
      <c r="Q134">
        <v>19.850000000000001</v>
      </c>
      <c r="R134">
        <v>1242.3499999999999</v>
      </c>
      <c r="S134">
        <v>34.46</v>
      </c>
      <c r="T134">
        <v>20.25</v>
      </c>
      <c r="U134">
        <v>17.09</v>
      </c>
      <c r="V134">
        <v>38.04</v>
      </c>
      <c r="W134">
        <v>45.63</v>
      </c>
      <c r="X134">
        <v>26.66</v>
      </c>
      <c r="Y134">
        <v>47.73</v>
      </c>
      <c r="Z134">
        <v>41.84</v>
      </c>
      <c r="AA134">
        <v>76.03</v>
      </c>
      <c r="AB134">
        <v>52.98</v>
      </c>
      <c r="AC134">
        <v>40.380000000000003</v>
      </c>
      <c r="AD134">
        <v>567.32000000000005</v>
      </c>
      <c r="AE134">
        <v>632.78</v>
      </c>
      <c r="AF134">
        <v>42.02</v>
      </c>
      <c r="AG134">
        <v>51.43</v>
      </c>
      <c r="AH134">
        <v>44.82</v>
      </c>
      <c r="AI134">
        <v>49.52</v>
      </c>
    </row>
    <row r="135" spans="1:35" x14ac:dyDescent="0.45">
      <c r="A135" s="2">
        <v>45874</v>
      </c>
      <c r="B135">
        <v>30.17</v>
      </c>
      <c r="C135">
        <v>30.26</v>
      </c>
      <c r="D135">
        <v>17.62</v>
      </c>
      <c r="E135">
        <v>26.16</v>
      </c>
      <c r="F135">
        <v>31.79</v>
      </c>
      <c r="G135">
        <v>49.7</v>
      </c>
      <c r="H135">
        <v>24.24</v>
      </c>
      <c r="I135">
        <v>58.92</v>
      </c>
      <c r="J135">
        <v>60.19</v>
      </c>
      <c r="K135">
        <v>72.89</v>
      </c>
      <c r="L135">
        <v>27.02</v>
      </c>
      <c r="M135">
        <v>55.4</v>
      </c>
      <c r="N135">
        <v>62.98</v>
      </c>
      <c r="O135">
        <v>52.41</v>
      </c>
      <c r="P135">
        <v>57.86</v>
      </c>
      <c r="Q135">
        <v>19.785</v>
      </c>
      <c r="R135">
        <v>1244.1400000000001</v>
      </c>
      <c r="S135">
        <v>34.29</v>
      </c>
      <c r="T135">
        <v>20.010000000000002</v>
      </c>
      <c r="U135">
        <v>16.670000000000002</v>
      </c>
      <c r="V135">
        <v>37.78</v>
      </c>
      <c r="W135">
        <v>45.255000000000003</v>
      </c>
      <c r="X135">
        <v>26.41</v>
      </c>
      <c r="Y135">
        <v>46.93</v>
      </c>
      <c r="Z135">
        <v>41.49</v>
      </c>
      <c r="AA135">
        <v>75.03</v>
      </c>
      <c r="AB135">
        <v>53.48</v>
      </c>
      <c r="AC135">
        <v>40.229999999999997</v>
      </c>
      <c r="AD135">
        <v>560.27</v>
      </c>
      <c r="AE135">
        <v>627.97</v>
      </c>
      <c r="AF135">
        <v>41.83</v>
      </c>
      <c r="AG135">
        <v>51.33</v>
      </c>
      <c r="AH135">
        <v>44.45</v>
      </c>
      <c r="AI135">
        <v>48.74</v>
      </c>
    </row>
    <row r="136" spans="1:35" x14ac:dyDescent="0.45">
      <c r="A136" s="2">
        <v>45873</v>
      </c>
      <c r="B136">
        <v>29.9</v>
      </c>
      <c r="C136">
        <v>30.24</v>
      </c>
      <c r="D136">
        <v>17.59</v>
      </c>
      <c r="E136">
        <v>26.35</v>
      </c>
      <c r="F136">
        <v>31.94</v>
      </c>
      <c r="G136">
        <v>49.27</v>
      </c>
      <c r="H136">
        <v>24.13</v>
      </c>
      <c r="I136">
        <v>58.84</v>
      </c>
      <c r="J136">
        <v>59.23</v>
      </c>
      <c r="K136">
        <v>72.33</v>
      </c>
      <c r="L136">
        <v>26.93</v>
      </c>
      <c r="M136">
        <v>55.05</v>
      </c>
      <c r="N136">
        <v>62.02</v>
      </c>
      <c r="O136">
        <v>52.48</v>
      </c>
      <c r="P136">
        <v>57.47</v>
      </c>
      <c r="Q136">
        <v>19.71</v>
      </c>
      <c r="R136">
        <v>1233.68</v>
      </c>
      <c r="S136">
        <v>34.32</v>
      </c>
      <c r="T136">
        <v>20.21</v>
      </c>
      <c r="U136">
        <v>16.579999999999998</v>
      </c>
      <c r="V136">
        <v>37.630000000000003</v>
      </c>
      <c r="W136">
        <v>44.93</v>
      </c>
      <c r="X136">
        <v>26.28</v>
      </c>
      <c r="Y136">
        <v>46.58</v>
      </c>
      <c r="Z136">
        <v>41.3</v>
      </c>
      <c r="AA136">
        <v>75.290000000000006</v>
      </c>
      <c r="AB136">
        <v>53.31</v>
      </c>
      <c r="AC136">
        <v>40.21</v>
      </c>
      <c r="AD136">
        <v>564.1</v>
      </c>
      <c r="AE136">
        <v>631.16999999999996</v>
      </c>
      <c r="AF136">
        <v>41.86</v>
      </c>
      <c r="AG136">
        <v>51.35</v>
      </c>
      <c r="AH136">
        <v>44.3</v>
      </c>
      <c r="AI136">
        <v>48.57</v>
      </c>
    </row>
    <row r="137" spans="1:35" x14ac:dyDescent="0.45">
      <c r="A137" s="2">
        <v>45870</v>
      </c>
      <c r="B137">
        <v>29.6</v>
      </c>
      <c r="C137">
        <v>29.98</v>
      </c>
      <c r="D137">
        <v>17.61</v>
      </c>
      <c r="E137">
        <v>25.78</v>
      </c>
      <c r="F137">
        <v>31.7</v>
      </c>
      <c r="G137">
        <v>48.35</v>
      </c>
      <c r="H137">
        <v>23.98</v>
      </c>
      <c r="I137">
        <v>58.39</v>
      </c>
      <c r="J137">
        <v>59.6</v>
      </c>
      <c r="K137">
        <v>70.650000000000006</v>
      </c>
      <c r="L137">
        <v>26.65</v>
      </c>
      <c r="M137">
        <v>53.43</v>
      </c>
      <c r="N137">
        <v>60.34</v>
      </c>
      <c r="O137">
        <v>52.72</v>
      </c>
      <c r="P137">
        <v>56.52</v>
      </c>
      <c r="Q137">
        <v>19.664999999999999</v>
      </c>
      <c r="R137">
        <v>1217.1500000000001</v>
      </c>
      <c r="S137">
        <v>33.92</v>
      </c>
      <c r="T137">
        <v>19.95</v>
      </c>
      <c r="U137">
        <v>15.95</v>
      </c>
      <c r="V137">
        <v>37.32</v>
      </c>
      <c r="W137">
        <v>44.69</v>
      </c>
      <c r="X137">
        <v>25.91</v>
      </c>
      <c r="Y137">
        <v>45.86</v>
      </c>
      <c r="Z137">
        <v>40.75</v>
      </c>
      <c r="AA137">
        <v>74.069999999999993</v>
      </c>
      <c r="AB137">
        <v>52.43</v>
      </c>
      <c r="AC137">
        <v>39.94</v>
      </c>
      <c r="AD137">
        <v>553.88</v>
      </c>
      <c r="AE137">
        <v>621.72</v>
      </c>
      <c r="AF137">
        <v>41.43</v>
      </c>
      <c r="AG137">
        <v>50.85</v>
      </c>
      <c r="AH137">
        <v>43.68</v>
      </c>
      <c r="AI137">
        <v>47.83</v>
      </c>
    </row>
    <row r="138" spans="1:35" x14ac:dyDescent="0.45">
      <c r="A138" s="2">
        <v>45869</v>
      </c>
      <c r="B138">
        <v>29.68</v>
      </c>
      <c r="C138">
        <v>29.83</v>
      </c>
      <c r="D138">
        <v>17.27</v>
      </c>
      <c r="E138">
        <v>25.42</v>
      </c>
      <c r="F138">
        <v>31.75</v>
      </c>
      <c r="G138">
        <v>48.65</v>
      </c>
      <c r="H138">
        <v>23.49</v>
      </c>
      <c r="I138">
        <v>58.36</v>
      </c>
      <c r="J138">
        <v>60.14</v>
      </c>
      <c r="K138">
        <v>72.81</v>
      </c>
      <c r="L138">
        <v>26.55</v>
      </c>
      <c r="M138">
        <v>53.05</v>
      </c>
      <c r="N138">
        <v>60.51</v>
      </c>
      <c r="O138">
        <v>52.64</v>
      </c>
      <c r="P138">
        <v>57.43</v>
      </c>
      <c r="Q138">
        <v>19.655000000000001</v>
      </c>
      <c r="R138">
        <v>1212.49</v>
      </c>
      <c r="S138">
        <v>33.85</v>
      </c>
      <c r="T138">
        <v>20.039899999999999</v>
      </c>
      <c r="U138">
        <v>16.010000000000002</v>
      </c>
      <c r="V138">
        <v>37.56</v>
      </c>
      <c r="W138">
        <v>45.05</v>
      </c>
      <c r="X138">
        <v>26.02</v>
      </c>
      <c r="Y138">
        <v>46.18</v>
      </c>
      <c r="Z138">
        <v>41.15</v>
      </c>
      <c r="AA138">
        <v>73.62</v>
      </c>
      <c r="AB138">
        <v>52.72</v>
      </c>
      <c r="AC138">
        <v>39.81</v>
      </c>
      <c r="AD138">
        <v>565.01</v>
      </c>
      <c r="AE138">
        <v>632.08000000000004</v>
      </c>
      <c r="AF138">
        <v>41.94</v>
      </c>
      <c r="AG138">
        <v>51.26</v>
      </c>
      <c r="AH138">
        <v>43.86</v>
      </c>
      <c r="AI138">
        <v>48.25</v>
      </c>
    </row>
    <row r="139" spans="1:35" x14ac:dyDescent="0.45">
      <c r="A139" s="2">
        <v>45868</v>
      </c>
      <c r="B139">
        <v>30.24</v>
      </c>
      <c r="C139">
        <v>29.48</v>
      </c>
      <c r="D139">
        <v>17.579999999999998</v>
      </c>
      <c r="E139">
        <v>26.175000000000001</v>
      </c>
      <c r="F139">
        <v>32.21</v>
      </c>
      <c r="G139">
        <v>47.99</v>
      </c>
      <c r="H139">
        <v>23.84</v>
      </c>
      <c r="I139">
        <v>58.35</v>
      </c>
      <c r="J139">
        <v>60.17</v>
      </c>
      <c r="K139">
        <v>73.680000000000007</v>
      </c>
      <c r="L139">
        <v>26.88</v>
      </c>
      <c r="M139">
        <v>53.99</v>
      </c>
      <c r="N139">
        <v>60.44</v>
      </c>
      <c r="O139">
        <v>52.7</v>
      </c>
      <c r="P139">
        <v>57.89</v>
      </c>
      <c r="Q139">
        <v>19.66</v>
      </c>
      <c r="R139">
        <v>1219.6199999999999</v>
      </c>
      <c r="S139">
        <v>33.659999999999997</v>
      </c>
      <c r="T139">
        <v>20.260000000000002</v>
      </c>
      <c r="U139">
        <v>16.03</v>
      </c>
      <c r="V139">
        <v>37.619999999999997</v>
      </c>
      <c r="W139">
        <v>45.19</v>
      </c>
      <c r="X139">
        <v>26.15</v>
      </c>
      <c r="Y139">
        <v>46.38</v>
      </c>
      <c r="Z139">
        <v>41.63</v>
      </c>
      <c r="AA139">
        <v>73.98</v>
      </c>
      <c r="AB139">
        <v>53.48</v>
      </c>
      <c r="AC139">
        <v>40.04</v>
      </c>
      <c r="AD139">
        <v>568.02</v>
      </c>
      <c r="AE139">
        <v>634.46</v>
      </c>
      <c r="AF139">
        <v>42.47</v>
      </c>
      <c r="AG139">
        <v>52.2</v>
      </c>
      <c r="AH139">
        <v>44.54</v>
      </c>
      <c r="AI139">
        <v>49.13</v>
      </c>
    </row>
    <row r="140" spans="1:35" x14ac:dyDescent="0.45">
      <c r="A140" s="2">
        <v>45867</v>
      </c>
      <c r="B140">
        <v>30.44</v>
      </c>
      <c r="C140">
        <v>29.83</v>
      </c>
      <c r="D140">
        <v>17.8</v>
      </c>
      <c r="E140">
        <v>26.37</v>
      </c>
      <c r="F140">
        <v>32.25</v>
      </c>
      <c r="G140">
        <v>49.44</v>
      </c>
      <c r="H140">
        <v>24.04</v>
      </c>
      <c r="I140">
        <v>58.62</v>
      </c>
      <c r="J140">
        <v>60.93</v>
      </c>
      <c r="K140">
        <v>73.489999999999995</v>
      </c>
      <c r="L140">
        <v>26.76</v>
      </c>
      <c r="M140">
        <v>54.54</v>
      </c>
      <c r="N140">
        <v>60.98</v>
      </c>
      <c r="O140">
        <v>53.49</v>
      </c>
      <c r="P140">
        <v>58.56</v>
      </c>
      <c r="Q140">
        <v>19.600000000000001</v>
      </c>
      <c r="R140">
        <v>1191.75</v>
      </c>
      <c r="S140">
        <v>33.28</v>
      </c>
      <c r="T140">
        <v>20.145</v>
      </c>
      <c r="U140">
        <v>15.9</v>
      </c>
      <c r="V140">
        <v>37.39</v>
      </c>
      <c r="W140">
        <v>45.834299999999999</v>
      </c>
      <c r="X140">
        <v>26.37</v>
      </c>
      <c r="Y140">
        <v>46.79</v>
      </c>
      <c r="Z140">
        <v>41.89</v>
      </c>
      <c r="AA140">
        <v>73.88</v>
      </c>
      <c r="AB140">
        <v>54.12</v>
      </c>
      <c r="AC140">
        <v>40.39</v>
      </c>
      <c r="AD140">
        <v>567.26</v>
      </c>
      <c r="AE140">
        <v>635.26</v>
      </c>
      <c r="AF140">
        <v>42.91</v>
      </c>
      <c r="AG140">
        <v>52.69</v>
      </c>
      <c r="AH140">
        <v>44.96</v>
      </c>
      <c r="AI140">
        <v>49.06</v>
      </c>
    </row>
    <row r="141" spans="1:35" x14ac:dyDescent="0.45">
      <c r="A141" s="2">
        <v>45866</v>
      </c>
      <c r="B141">
        <v>30.29</v>
      </c>
      <c r="C141">
        <v>29.78</v>
      </c>
      <c r="D141">
        <v>17.75</v>
      </c>
      <c r="E141">
        <v>26.55</v>
      </c>
      <c r="F141">
        <v>32.130000000000003</v>
      </c>
      <c r="G141">
        <v>49.15</v>
      </c>
      <c r="H141">
        <v>24.05</v>
      </c>
      <c r="I141">
        <v>59.06</v>
      </c>
      <c r="J141">
        <v>60.06</v>
      </c>
      <c r="K141">
        <v>72.709999999999994</v>
      </c>
      <c r="L141">
        <v>26.52</v>
      </c>
      <c r="M141">
        <v>54.22</v>
      </c>
      <c r="N141">
        <v>60.45</v>
      </c>
      <c r="O141">
        <v>53.23</v>
      </c>
      <c r="P141">
        <v>58.7</v>
      </c>
      <c r="Q141">
        <v>19.600000000000001</v>
      </c>
      <c r="R141">
        <v>1208.1300000000001</v>
      </c>
      <c r="S141">
        <v>33.43</v>
      </c>
      <c r="T141">
        <v>20.32</v>
      </c>
      <c r="U141">
        <v>16.78</v>
      </c>
      <c r="V141">
        <v>37.61</v>
      </c>
      <c r="W141">
        <v>45.64</v>
      </c>
      <c r="X141">
        <v>26.22</v>
      </c>
      <c r="Y141">
        <v>46.72</v>
      </c>
      <c r="Z141">
        <v>41.67</v>
      </c>
      <c r="AA141">
        <v>74.27</v>
      </c>
      <c r="AB141">
        <v>54.16</v>
      </c>
      <c r="AC141">
        <v>40.119999999999997</v>
      </c>
      <c r="AD141">
        <v>568.14</v>
      </c>
      <c r="AE141">
        <v>636.94000000000005</v>
      </c>
      <c r="AF141">
        <v>42.8</v>
      </c>
      <c r="AG141">
        <v>52.91</v>
      </c>
      <c r="AH141">
        <v>45.78</v>
      </c>
      <c r="AI141">
        <v>48.78</v>
      </c>
    </row>
    <row r="142" spans="1:35" x14ac:dyDescent="0.45">
      <c r="A142" s="2">
        <v>45863</v>
      </c>
      <c r="B142">
        <v>30.31</v>
      </c>
      <c r="C142">
        <v>30.34</v>
      </c>
      <c r="D142">
        <v>17.600000000000001</v>
      </c>
      <c r="E142">
        <v>26.752199999999998</v>
      </c>
      <c r="F142">
        <v>33.35</v>
      </c>
      <c r="G142">
        <v>49.61</v>
      </c>
      <c r="H142">
        <v>24.19</v>
      </c>
      <c r="I142">
        <v>59.43</v>
      </c>
      <c r="J142">
        <v>61.05</v>
      </c>
      <c r="K142">
        <v>73.209999999999994</v>
      </c>
      <c r="L142">
        <v>26.94</v>
      </c>
      <c r="M142">
        <v>54.74</v>
      </c>
      <c r="N142">
        <v>62.15</v>
      </c>
      <c r="O142">
        <v>53.8</v>
      </c>
      <c r="P142">
        <v>58.93</v>
      </c>
      <c r="Q142">
        <v>19.63</v>
      </c>
      <c r="R142">
        <v>1206.58</v>
      </c>
      <c r="S142">
        <v>33.79</v>
      </c>
      <c r="T142">
        <v>20.350000000000001</v>
      </c>
      <c r="U142">
        <v>16.47</v>
      </c>
      <c r="V142">
        <v>37.72</v>
      </c>
      <c r="W142">
        <v>46.051099999999998</v>
      </c>
      <c r="X142">
        <v>26.48</v>
      </c>
      <c r="Y142">
        <v>47.01</v>
      </c>
      <c r="Z142">
        <v>42.81</v>
      </c>
      <c r="AA142">
        <v>75.680000000000007</v>
      </c>
      <c r="AB142">
        <v>55.16</v>
      </c>
      <c r="AC142">
        <v>40.64</v>
      </c>
      <c r="AD142">
        <v>566.37</v>
      </c>
      <c r="AE142">
        <v>637.1</v>
      </c>
      <c r="AF142">
        <v>43.72</v>
      </c>
      <c r="AG142">
        <v>53.5</v>
      </c>
      <c r="AH142">
        <v>46.38</v>
      </c>
      <c r="AI142">
        <v>49.56</v>
      </c>
    </row>
    <row r="143" spans="1:35" x14ac:dyDescent="0.45">
      <c r="A143" s="2">
        <v>45862</v>
      </c>
      <c r="B143">
        <v>30.45</v>
      </c>
      <c r="C143">
        <v>30.49</v>
      </c>
      <c r="D143">
        <v>17.809999999999999</v>
      </c>
      <c r="E143">
        <v>27</v>
      </c>
      <c r="F143">
        <v>33.29</v>
      </c>
      <c r="G143">
        <v>49.98</v>
      </c>
      <c r="H143">
        <v>24.3</v>
      </c>
      <c r="I143">
        <v>59.39</v>
      </c>
      <c r="J143">
        <v>60.85</v>
      </c>
      <c r="K143">
        <v>73.31</v>
      </c>
      <c r="L143">
        <v>27.13</v>
      </c>
      <c r="M143">
        <v>55.44</v>
      </c>
      <c r="N143">
        <v>62</v>
      </c>
      <c r="O143">
        <v>54.06</v>
      </c>
      <c r="P143">
        <v>59.18</v>
      </c>
      <c r="Q143">
        <v>19.61</v>
      </c>
      <c r="R143">
        <v>1198.1099999999999</v>
      </c>
      <c r="S143">
        <v>33.950000000000003</v>
      </c>
      <c r="T143">
        <v>20.11</v>
      </c>
      <c r="U143">
        <v>15.994999999999999</v>
      </c>
      <c r="V143">
        <v>37.68</v>
      </c>
      <c r="W143">
        <v>45.98</v>
      </c>
      <c r="X143">
        <v>26.58</v>
      </c>
      <c r="Y143">
        <v>46.97</v>
      </c>
      <c r="Z143">
        <v>42.7</v>
      </c>
      <c r="AA143">
        <v>76.55</v>
      </c>
      <c r="AB143">
        <v>55.12</v>
      </c>
      <c r="AC143">
        <v>40.770000000000003</v>
      </c>
      <c r="AD143">
        <v>565.01</v>
      </c>
      <c r="AE143">
        <v>634.41999999999996</v>
      </c>
      <c r="AF143">
        <v>43.4</v>
      </c>
      <c r="AG143">
        <v>53.93</v>
      </c>
      <c r="AH143">
        <v>45.9</v>
      </c>
      <c r="AI143">
        <v>49.12</v>
      </c>
    </row>
    <row r="144" spans="1:35" x14ac:dyDescent="0.45">
      <c r="A144" s="2">
        <v>45861</v>
      </c>
      <c r="B144">
        <v>30.35</v>
      </c>
      <c r="C144">
        <v>30.41</v>
      </c>
      <c r="D144">
        <v>17.809999999999999</v>
      </c>
      <c r="E144">
        <v>27.09</v>
      </c>
      <c r="F144">
        <v>33.450000000000003</v>
      </c>
      <c r="G144">
        <v>50.3</v>
      </c>
      <c r="H144">
        <v>24.21</v>
      </c>
      <c r="I144">
        <v>59.8</v>
      </c>
      <c r="J144">
        <v>60.47</v>
      </c>
      <c r="K144">
        <v>73.849999999999994</v>
      </c>
      <c r="L144">
        <v>27.48</v>
      </c>
      <c r="M144">
        <v>56.27</v>
      </c>
      <c r="N144">
        <v>62.58</v>
      </c>
      <c r="O144">
        <v>54.73</v>
      </c>
      <c r="P144">
        <v>59.25</v>
      </c>
      <c r="Q144">
        <v>19.54</v>
      </c>
      <c r="R144">
        <v>1157.6300000000001</v>
      </c>
      <c r="S144">
        <v>33.86</v>
      </c>
      <c r="T144">
        <v>20.105</v>
      </c>
      <c r="U144">
        <v>16</v>
      </c>
      <c r="V144">
        <v>37.97</v>
      </c>
      <c r="W144">
        <v>46.134999999999998</v>
      </c>
      <c r="X144">
        <v>26.82</v>
      </c>
      <c r="Y144">
        <v>47.17</v>
      </c>
      <c r="Z144">
        <v>43.21</v>
      </c>
      <c r="AA144">
        <v>76.489999999999995</v>
      </c>
      <c r="AB144">
        <v>56.2</v>
      </c>
      <c r="AC144">
        <v>40.9</v>
      </c>
      <c r="AD144">
        <v>563.80999999999995</v>
      </c>
      <c r="AE144">
        <v>634.21</v>
      </c>
      <c r="AF144">
        <v>44.4</v>
      </c>
      <c r="AG144">
        <v>54.25</v>
      </c>
      <c r="AH144">
        <v>46.3</v>
      </c>
      <c r="AI144">
        <v>49.84</v>
      </c>
    </row>
    <row r="145" spans="1:35" x14ac:dyDescent="0.45">
      <c r="A145" s="2">
        <v>45860</v>
      </c>
      <c r="B145">
        <v>30.364999999999998</v>
      </c>
      <c r="C145">
        <v>30.39</v>
      </c>
      <c r="D145">
        <v>17.559999999999999</v>
      </c>
      <c r="E145">
        <v>26.52</v>
      </c>
      <c r="F145">
        <v>32.93</v>
      </c>
      <c r="G145">
        <v>49.55</v>
      </c>
      <c r="H145">
        <v>23.99</v>
      </c>
      <c r="I145">
        <v>58.72</v>
      </c>
      <c r="J145">
        <v>59.03</v>
      </c>
      <c r="K145">
        <v>72.89</v>
      </c>
      <c r="L145">
        <v>27</v>
      </c>
      <c r="M145">
        <v>55.74</v>
      </c>
      <c r="N145">
        <v>61.43</v>
      </c>
      <c r="O145">
        <v>54.61</v>
      </c>
      <c r="P145">
        <v>58.664999999999999</v>
      </c>
      <c r="Q145">
        <v>19.34</v>
      </c>
      <c r="R145">
        <v>1161.01</v>
      </c>
      <c r="S145">
        <v>33.869999999999997</v>
      </c>
      <c r="T145">
        <v>19.795000000000002</v>
      </c>
      <c r="U145">
        <v>15.82</v>
      </c>
      <c r="V145">
        <v>37.5</v>
      </c>
      <c r="W145">
        <v>46.155000000000001</v>
      </c>
      <c r="X145">
        <v>26.55</v>
      </c>
      <c r="Y145">
        <v>47.09</v>
      </c>
      <c r="Z145">
        <v>42.42</v>
      </c>
      <c r="AA145">
        <v>72.98</v>
      </c>
      <c r="AB145">
        <v>54.96</v>
      </c>
      <c r="AC145">
        <v>40.43</v>
      </c>
      <c r="AD145">
        <v>561.25</v>
      </c>
      <c r="AE145">
        <v>628.86</v>
      </c>
      <c r="AF145">
        <v>43.16</v>
      </c>
      <c r="AG145">
        <v>53.37</v>
      </c>
      <c r="AH145">
        <v>45.21</v>
      </c>
      <c r="AI145">
        <v>48.55</v>
      </c>
    </row>
    <row r="146" spans="1:35" x14ac:dyDescent="0.45">
      <c r="A146" s="2">
        <v>45859</v>
      </c>
      <c r="B146">
        <v>29.98</v>
      </c>
      <c r="C146">
        <v>30.3</v>
      </c>
      <c r="D146">
        <v>17.73</v>
      </c>
      <c r="E146">
        <v>26.34</v>
      </c>
      <c r="F146">
        <v>32.9</v>
      </c>
      <c r="G146">
        <v>48.93</v>
      </c>
      <c r="H146">
        <v>24.03</v>
      </c>
      <c r="I146">
        <v>59.36</v>
      </c>
      <c r="J146">
        <v>59.24</v>
      </c>
      <c r="K146">
        <v>73.87</v>
      </c>
      <c r="L146">
        <v>27.08</v>
      </c>
      <c r="M146">
        <v>55.7</v>
      </c>
      <c r="N146">
        <v>61.53</v>
      </c>
      <c r="O146">
        <v>54.75</v>
      </c>
      <c r="P146">
        <v>57.81</v>
      </c>
      <c r="Q146">
        <v>19.12</v>
      </c>
      <c r="R146">
        <v>1143.31</v>
      </c>
      <c r="S146">
        <v>33.93</v>
      </c>
      <c r="T146">
        <v>19.899999999999999</v>
      </c>
      <c r="U146">
        <v>15.35</v>
      </c>
      <c r="V146">
        <v>37.82</v>
      </c>
      <c r="W146">
        <v>46.367600000000003</v>
      </c>
      <c r="X146">
        <v>26.37</v>
      </c>
      <c r="Y146">
        <v>46.71</v>
      </c>
      <c r="Z146">
        <v>42.42</v>
      </c>
      <c r="AA146">
        <v>72.61</v>
      </c>
      <c r="AB146">
        <v>54.51</v>
      </c>
      <c r="AC146">
        <v>40.01</v>
      </c>
      <c r="AD146">
        <v>564.16999999999996</v>
      </c>
      <c r="AE146">
        <v>628.77</v>
      </c>
      <c r="AF146">
        <v>43.03</v>
      </c>
      <c r="AG146">
        <v>53.41</v>
      </c>
      <c r="AH146">
        <v>45.25</v>
      </c>
      <c r="AI146">
        <v>48.03</v>
      </c>
    </row>
    <row r="147" spans="1:35" x14ac:dyDescent="0.45">
      <c r="A147" s="2">
        <v>45856</v>
      </c>
      <c r="B147">
        <v>29.73</v>
      </c>
      <c r="C147">
        <v>30.16</v>
      </c>
      <c r="D147">
        <v>17.690000000000001</v>
      </c>
      <c r="E147">
        <v>26.11</v>
      </c>
      <c r="F147">
        <v>32.86</v>
      </c>
      <c r="G147">
        <v>48.32</v>
      </c>
      <c r="H147">
        <v>23.93</v>
      </c>
      <c r="I147">
        <v>59.24</v>
      </c>
      <c r="J147">
        <v>59.46</v>
      </c>
      <c r="K147">
        <v>72.39</v>
      </c>
      <c r="L147">
        <v>26.85</v>
      </c>
      <c r="M147">
        <v>54.81</v>
      </c>
      <c r="N147">
        <v>61.2</v>
      </c>
      <c r="O147">
        <v>54.5</v>
      </c>
      <c r="P147">
        <v>57.45</v>
      </c>
      <c r="Q147">
        <v>18.91</v>
      </c>
      <c r="R147">
        <v>1121.1300000000001</v>
      </c>
      <c r="S147">
        <v>32.994999999999997</v>
      </c>
      <c r="T147">
        <v>19.98</v>
      </c>
      <c r="U147">
        <v>15.574999999999999</v>
      </c>
      <c r="V147">
        <v>38.130000000000003</v>
      </c>
      <c r="W147">
        <v>45.695</v>
      </c>
      <c r="X147">
        <v>26.45</v>
      </c>
      <c r="Y147">
        <v>46.59</v>
      </c>
      <c r="Z147">
        <v>42.13</v>
      </c>
      <c r="AA147">
        <v>71.81</v>
      </c>
      <c r="AB147">
        <v>54.48</v>
      </c>
      <c r="AC147">
        <v>39.799999999999997</v>
      </c>
      <c r="AD147">
        <v>561.26</v>
      </c>
      <c r="AE147">
        <v>627.58000000000004</v>
      </c>
      <c r="AF147">
        <v>42.92</v>
      </c>
      <c r="AG147">
        <v>53.46</v>
      </c>
      <c r="AH147">
        <v>44.65</v>
      </c>
      <c r="AI147">
        <v>47.79</v>
      </c>
    </row>
    <row r="148" spans="1:35" x14ac:dyDescent="0.45">
      <c r="A148" s="2">
        <v>45855</v>
      </c>
      <c r="B148">
        <v>29.6</v>
      </c>
      <c r="C148">
        <v>30.23</v>
      </c>
      <c r="D148">
        <v>17.760000000000002</v>
      </c>
      <c r="E148">
        <v>26.08</v>
      </c>
      <c r="F148">
        <v>32.340000000000003</v>
      </c>
      <c r="G148">
        <v>48.2014</v>
      </c>
      <c r="H148">
        <v>23.93</v>
      </c>
      <c r="I148">
        <v>59.48</v>
      </c>
      <c r="J148">
        <v>59.79</v>
      </c>
      <c r="K148">
        <v>73.06</v>
      </c>
      <c r="L148">
        <v>27.69</v>
      </c>
      <c r="M148">
        <v>53.57</v>
      </c>
      <c r="N148">
        <v>61.52</v>
      </c>
      <c r="O148">
        <v>55.01</v>
      </c>
      <c r="P148">
        <v>56.92</v>
      </c>
      <c r="Q148">
        <v>18.96</v>
      </c>
      <c r="R148">
        <v>1110.4000000000001</v>
      </c>
      <c r="S148">
        <v>33.15</v>
      </c>
      <c r="T148">
        <v>20.05</v>
      </c>
      <c r="U148">
        <v>15.67</v>
      </c>
      <c r="V148">
        <v>38.17</v>
      </c>
      <c r="W148">
        <v>45.872</v>
      </c>
      <c r="X148">
        <v>26.28</v>
      </c>
      <c r="Y148">
        <v>46.71</v>
      </c>
      <c r="Z148">
        <v>42.35</v>
      </c>
      <c r="AA148">
        <v>72.39</v>
      </c>
      <c r="AB148">
        <v>54.36</v>
      </c>
      <c r="AC148">
        <v>39.83</v>
      </c>
      <c r="AD148">
        <v>561.79999999999995</v>
      </c>
      <c r="AE148">
        <v>628.04</v>
      </c>
      <c r="AF148">
        <v>42.98</v>
      </c>
      <c r="AG148">
        <v>53.51</v>
      </c>
      <c r="AH148">
        <v>44.98</v>
      </c>
      <c r="AI148">
        <v>47.75</v>
      </c>
    </row>
    <row r="149" spans="1:35" x14ac:dyDescent="0.45">
      <c r="A149" s="2">
        <v>45854</v>
      </c>
      <c r="B149">
        <v>29.26</v>
      </c>
      <c r="C149">
        <v>29.77</v>
      </c>
      <c r="D149">
        <v>17.7</v>
      </c>
      <c r="E149">
        <v>26.35</v>
      </c>
      <c r="F149">
        <v>31.97</v>
      </c>
      <c r="G149">
        <v>48.003799999999998</v>
      </c>
      <c r="H149">
        <v>23.71</v>
      </c>
      <c r="I149">
        <v>58.98</v>
      </c>
      <c r="J149">
        <v>59.77</v>
      </c>
      <c r="K149">
        <v>73.08</v>
      </c>
      <c r="L149">
        <v>27.57</v>
      </c>
      <c r="M149">
        <v>53.43</v>
      </c>
      <c r="N149">
        <v>60.8</v>
      </c>
      <c r="O149">
        <v>55.27</v>
      </c>
      <c r="P149">
        <v>56.51</v>
      </c>
      <c r="Q149">
        <v>18.779</v>
      </c>
      <c r="R149">
        <v>1115.6500000000001</v>
      </c>
      <c r="S149">
        <v>32.5</v>
      </c>
      <c r="T149">
        <v>19.86</v>
      </c>
      <c r="U149">
        <v>15.41</v>
      </c>
      <c r="V149">
        <v>38.1</v>
      </c>
      <c r="W149">
        <v>45.56</v>
      </c>
      <c r="X149">
        <v>26.19</v>
      </c>
      <c r="Y149">
        <v>46.47</v>
      </c>
      <c r="Z149">
        <v>42.18</v>
      </c>
      <c r="AA149">
        <v>72.02</v>
      </c>
      <c r="AB149">
        <v>54.55</v>
      </c>
      <c r="AC149">
        <v>39.85</v>
      </c>
      <c r="AD149">
        <v>557.29</v>
      </c>
      <c r="AE149">
        <v>624.22</v>
      </c>
      <c r="AF149">
        <v>42.74</v>
      </c>
      <c r="AG149">
        <v>53.47</v>
      </c>
      <c r="AH149">
        <v>44.63</v>
      </c>
      <c r="AI149">
        <v>47.76</v>
      </c>
    </row>
    <row r="150" spans="1:35" x14ac:dyDescent="0.45">
      <c r="A150" s="2">
        <v>45853</v>
      </c>
      <c r="B150">
        <v>29.29</v>
      </c>
      <c r="C150">
        <v>29.89</v>
      </c>
      <c r="D150">
        <v>17.72</v>
      </c>
      <c r="E150">
        <v>26.96</v>
      </c>
      <c r="F150">
        <v>31.66</v>
      </c>
      <c r="G150">
        <v>48.12</v>
      </c>
      <c r="H150">
        <v>23.8</v>
      </c>
      <c r="I150">
        <v>58.27</v>
      </c>
      <c r="J150">
        <v>59.38</v>
      </c>
      <c r="K150">
        <v>73.069999999999993</v>
      </c>
      <c r="L150">
        <v>27.47</v>
      </c>
      <c r="M150">
        <v>52.86</v>
      </c>
      <c r="N150">
        <v>60.25</v>
      </c>
      <c r="O150">
        <v>54.875</v>
      </c>
      <c r="P150">
        <v>56.68</v>
      </c>
      <c r="Q150">
        <v>18.690000000000001</v>
      </c>
      <c r="R150">
        <v>1123</v>
      </c>
      <c r="S150">
        <v>32.840000000000003</v>
      </c>
      <c r="T150">
        <v>19.41</v>
      </c>
      <c r="U150">
        <v>15.04</v>
      </c>
      <c r="V150">
        <v>38.090000000000003</v>
      </c>
      <c r="W150">
        <v>44.89</v>
      </c>
      <c r="X150">
        <v>26.07</v>
      </c>
      <c r="Y150">
        <v>46.04</v>
      </c>
      <c r="Z150">
        <v>41.82</v>
      </c>
      <c r="AA150">
        <v>71.69</v>
      </c>
      <c r="AB150">
        <v>54.18</v>
      </c>
      <c r="AC150">
        <v>39.590000000000003</v>
      </c>
      <c r="AD150">
        <v>556.72</v>
      </c>
      <c r="AE150">
        <v>622.14</v>
      </c>
      <c r="AF150">
        <v>42.56</v>
      </c>
      <c r="AG150">
        <v>54.45</v>
      </c>
      <c r="AH150">
        <v>44.69</v>
      </c>
      <c r="AI150">
        <v>47.32</v>
      </c>
    </row>
    <row r="151" spans="1:35" x14ac:dyDescent="0.45">
      <c r="A151" s="2">
        <v>45852</v>
      </c>
      <c r="B151">
        <v>29.395</v>
      </c>
      <c r="C151">
        <v>30.21</v>
      </c>
      <c r="D151">
        <v>17.63</v>
      </c>
      <c r="E151">
        <v>27.36</v>
      </c>
      <c r="F151">
        <v>32.14</v>
      </c>
      <c r="G151">
        <v>48.69</v>
      </c>
      <c r="H151">
        <v>24.09</v>
      </c>
      <c r="I151">
        <v>57.81</v>
      </c>
      <c r="J151">
        <v>59.61</v>
      </c>
      <c r="K151">
        <v>73.2</v>
      </c>
      <c r="L151">
        <v>27.31</v>
      </c>
      <c r="M151">
        <v>52.99</v>
      </c>
      <c r="N151">
        <v>60.82</v>
      </c>
      <c r="O151">
        <v>54.92</v>
      </c>
      <c r="P151">
        <v>55.55</v>
      </c>
      <c r="Q151">
        <v>18.71</v>
      </c>
      <c r="R151">
        <v>1119.94</v>
      </c>
      <c r="S151">
        <v>32.97</v>
      </c>
      <c r="T151">
        <v>19.37</v>
      </c>
      <c r="U151">
        <v>15.24</v>
      </c>
      <c r="V151">
        <v>38.65</v>
      </c>
      <c r="W151">
        <v>45.49</v>
      </c>
      <c r="X151">
        <v>26.39</v>
      </c>
      <c r="Y151">
        <v>46.44</v>
      </c>
      <c r="Z151">
        <v>42.35</v>
      </c>
      <c r="AA151">
        <v>72.41</v>
      </c>
      <c r="AB151">
        <v>54.71</v>
      </c>
      <c r="AC151">
        <v>40.03</v>
      </c>
      <c r="AD151">
        <v>556.21</v>
      </c>
      <c r="AE151">
        <v>624.80999999999995</v>
      </c>
      <c r="AF151">
        <v>43.12</v>
      </c>
      <c r="AG151">
        <v>54.4</v>
      </c>
      <c r="AH151">
        <v>45.3</v>
      </c>
      <c r="AI151">
        <v>48.16</v>
      </c>
    </row>
    <row r="152" spans="1:35" x14ac:dyDescent="0.45">
      <c r="A152" s="2">
        <v>45849</v>
      </c>
      <c r="B152">
        <v>29.2</v>
      </c>
      <c r="C152">
        <v>30.51</v>
      </c>
      <c r="D152">
        <v>17.87</v>
      </c>
      <c r="E152">
        <v>27.13</v>
      </c>
      <c r="F152">
        <v>31.95</v>
      </c>
      <c r="G152">
        <v>48.83</v>
      </c>
      <c r="H152">
        <v>24.08</v>
      </c>
      <c r="I152">
        <v>58.3</v>
      </c>
      <c r="J152">
        <v>60.13</v>
      </c>
      <c r="K152">
        <v>72.56</v>
      </c>
      <c r="L152">
        <v>27.53</v>
      </c>
      <c r="M152">
        <v>52.98</v>
      </c>
      <c r="N152">
        <v>60.99</v>
      </c>
      <c r="O152">
        <v>54.88</v>
      </c>
      <c r="P152">
        <v>54.95</v>
      </c>
      <c r="Q152">
        <v>18.73</v>
      </c>
      <c r="R152">
        <v>1127.21</v>
      </c>
      <c r="S152">
        <v>33.17</v>
      </c>
      <c r="T152">
        <v>19.21</v>
      </c>
      <c r="U152">
        <v>15.22</v>
      </c>
      <c r="V152">
        <v>38.89</v>
      </c>
      <c r="W152">
        <v>45.76</v>
      </c>
      <c r="X152">
        <v>26.36</v>
      </c>
      <c r="Y152">
        <v>46.13</v>
      </c>
      <c r="Z152">
        <v>42.45</v>
      </c>
      <c r="AA152">
        <v>72.36</v>
      </c>
      <c r="AB152">
        <v>54.7</v>
      </c>
      <c r="AC152">
        <v>39.92</v>
      </c>
      <c r="AD152">
        <v>554.20000000000005</v>
      </c>
      <c r="AE152">
        <v>623.62</v>
      </c>
      <c r="AF152">
        <v>43.28</v>
      </c>
      <c r="AG152">
        <v>54.41</v>
      </c>
      <c r="AH152">
        <v>45.57</v>
      </c>
      <c r="AI152">
        <v>47.99</v>
      </c>
    </row>
    <row r="153" spans="1:35" x14ac:dyDescent="0.45">
      <c r="A153" s="2">
        <v>45848</v>
      </c>
      <c r="B153">
        <v>29.32</v>
      </c>
      <c r="C153">
        <v>31.1</v>
      </c>
      <c r="D153">
        <v>17.760000000000002</v>
      </c>
      <c r="E153">
        <v>27.19</v>
      </c>
      <c r="F153">
        <v>32.049999999999997</v>
      </c>
      <c r="G153">
        <v>49.12</v>
      </c>
      <c r="H153">
        <v>24.11</v>
      </c>
      <c r="I153">
        <v>58.38</v>
      </c>
      <c r="J153">
        <v>60.29</v>
      </c>
      <c r="K153">
        <v>73.14</v>
      </c>
      <c r="L153">
        <v>27.72</v>
      </c>
      <c r="M153">
        <v>53.95</v>
      </c>
      <c r="N153">
        <v>61.32</v>
      </c>
      <c r="O153">
        <v>55.27</v>
      </c>
      <c r="P153">
        <v>55.01</v>
      </c>
      <c r="Q153">
        <v>18.75</v>
      </c>
      <c r="R153">
        <v>1115.69</v>
      </c>
      <c r="S153">
        <v>33.25</v>
      </c>
      <c r="T153">
        <v>19.079999999999998</v>
      </c>
      <c r="U153">
        <v>15.12</v>
      </c>
      <c r="V153">
        <v>39</v>
      </c>
      <c r="W153">
        <v>46.01</v>
      </c>
      <c r="X153">
        <v>26.58</v>
      </c>
      <c r="Y153">
        <v>46.41</v>
      </c>
      <c r="Z153">
        <v>42.86</v>
      </c>
      <c r="AA153">
        <v>72.94</v>
      </c>
      <c r="AB153">
        <v>55.45</v>
      </c>
      <c r="AC153">
        <v>40.270000000000003</v>
      </c>
      <c r="AD153">
        <v>555.45000000000005</v>
      </c>
      <c r="AE153">
        <v>625.82000000000005</v>
      </c>
      <c r="AF153">
        <v>43.75</v>
      </c>
      <c r="AG153">
        <v>54.63</v>
      </c>
      <c r="AH153">
        <v>46.39</v>
      </c>
      <c r="AI153">
        <v>48.53</v>
      </c>
    </row>
    <row r="154" spans="1:35" x14ac:dyDescent="0.45">
      <c r="A154" s="2">
        <v>45847</v>
      </c>
      <c r="B154">
        <v>29.07</v>
      </c>
      <c r="C154">
        <v>31.04</v>
      </c>
      <c r="D154">
        <v>17.47</v>
      </c>
      <c r="E154">
        <v>27.15</v>
      </c>
      <c r="F154">
        <v>32.72</v>
      </c>
      <c r="G154">
        <v>48.81</v>
      </c>
      <c r="H154">
        <v>23.98</v>
      </c>
      <c r="I154">
        <v>58.03</v>
      </c>
      <c r="J154">
        <v>60.28</v>
      </c>
      <c r="K154">
        <v>72.08</v>
      </c>
      <c r="L154">
        <v>28.16</v>
      </c>
      <c r="M154">
        <v>54</v>
      </c>
      <c r="N154">
        <v>61.08</v>
      </c>
      <c r="O154">
        <v>55.66</v>
      </c>
      <c r="P154">
        <v>54.58</v>
      </c>
      <c r="Q154">
        <v>18.75</v>
      </c>
      <c r="R154">
        <v>1110.01</v>
      </c>
      <c r="S154">
        <v>32.79</v>
      </c>
      <c r="T154">
        <v>19.13</v>
      </c>
      <c r="U154">
        <v>14.89</v>
      </c>
      <c r="V154">
        <v>38.89</v>
      </c>
      <c r="W154">
        <v>46.07</v>
      </c>
      <c r="X154">
        <v>26.24</v>
      </c>
      <c r="Y154">
        <v>46.13</v>
      </c>
      <c r="Z154">
        <v>43.26</v>
      </c>
      <c r="AA154">
        <v>73.3</v>
      </c>
      <c r="AB154">
        <v>55.28</v>
      </c>
      <c r="AC154">
        <v>40.01</v>
      </c>
      <c r="AD154">
        <v>556.25</v>
      </c>
      <c r="AE154">
        <v>624.05999999999995</v>
      </c>
      <c r="AF154">
        <v>43.84</v>
      </c>
      <c r="AG154">
        <v>54.58</v>
      </c>
      <c r="AH154">
        <v>46.05</v>
      </c>
      <c r="AI154">
        <v>49.17</v>
      </c>
    </row>
    <row r="155" spans="1:35" x14ac:dyDescent="0.45">
      <c r="A155" s="2">
        <v>45846</v>
      </c>
      <c r="B155">
        <v>29.12</v>
      </c>
      <c r="C155">
        <v>31.41</v>
      </c>
      <c r="D155">
        <v>17.309999999999999</v>
      </c>
      <c r="E155">
        <v>26.78</v>
      </c>
      <c r="F155">
        <v>32.619999999999997</v>
      </c>
      <c r="G155">
        <v>49.3</v>
      </c>
      <c r="H155">
        <v>23.95</v>
      </c>
      <c r="I155">
        <v>57.66</v>
      </c>
      <c r="J155">
        <v>60.89</v>
      </c>
      <c r="K155">
        <v>72.08</v>
      </c>
      <c r="L155">
        <v>28.71</v>
      </c>
      <c r="M155">
        <v>53.81</v>
      </c>
      <c r="N155">
        <v>60.9</v>
      </c>
      <c r="O155">
        <v>55.69</v>
      </c>
      <c r="P155">
        <v>55.13</v>
      </c>
      <c r="Q155">
        <v>18.73</v>
      </c>
      <c r="R155">
        <v>1089.56</v>
      </c>
      <c r="S155">
        <v>32.119999999999997</v>
      </c>
      <c r="T155">
        <v>18.84</v>
      </c>
      <c r="U155">
        <v>14.51</v>
      </c>
      <c r="V155">
        <v>38.9</v>
      </c>
      <c r="W155">
        <v>45.98</v>
      </c>
      <c r="X155">
        <v>26.14</v>
      </c>
      <c r="Y155">
        <v>46</v>
      </c>
      <c r="Z155">
        <v>42.59</v>
      </c>
      <c r="AA155">
        <v>73.19</v>
      </c>
      <c r="AB155">
        <v>54.82</v>
      </c>
      <c r="AC155">
        <v>39.79</v>
      </c>
      <c r="AD155">
        <v>552.34</v>
      </c>
      <c r="AE155">
        <v>620.34</v>
      </c>
      <c r="AF155">
        <v>43.27</v>
      </c>
      <c r="AG155">
        <v>54.33</v>
      </c>
      <c r="AH155">
        <v>45.55</v>
      </c>
      <c r="AI155">
        <v>48.34</v>
      </c>
    </row>
    <row r="156" spans="1:35" x14ac:dyDescent="0.45">
      <c r="A156" s="2">
        <v>45845</v>
      </c>
      <c r="B156">
        <v>28.86</v>
      </c>
      <c r="C156">
        <v>31.02</v>
      </c>
      <c r="D156">
        <v>17.34</v>
      </c>
      <c r="E156">
        <v>26.72</v>
      </c>
      <c r="F156">
        <v>32.25</v>
      </c>
      <c r="G156">
        <v>49.62</v>
      </c>
      <c r="H156">
        <v>23.93</v>
      </c>
      <c r="I156">
        <v>57.63</v>
      </c>
      <c r="J156">
        <v>61.11</v>
      </c>
      <c r="K156">
        <v>70.069999999999993</v>
      </c>
      <c r="L156">
        <v>28.6</v>
      </c>
      <c r="M156">
        <v>53.84</v>
      </c>
      <c r="N156">
        <v>59.12</v>
      </c>
      <c r="O156">
        <v>55.36</v>
      </c>
      <c r="P156">
        <v>54.62</v>
      </c>
      <c r="Q156">
        <v>18.68</v>
      </c>
      <c r="R156">
        <v>1082.42</v>
      </c>
      <c r="S156">
        <v>32.44</v>
      </c>
      <c r="T156">
        <v>18.86</v>
      </c>
      <c r="U156">
        <v>14.18</v>
      </c>
      <c r="V156">
        <v>39.08</v>
      </c>
      <c r="W156">
        <v>45.5</v>
      </c>
      <c r="X156">
        <v>25.98</v>
      </c>
      <c r="Y156">
        <v>46.18</v>
      </c>
      <c r="Z156">
        <v>42.23</v>
      </c>
      <c r="AA156">
        <v>72.819999999999993</v>
      </c>
      <c r="AB156">
        <v>54.53</v>
      </c>
      <c r="AC156">
        <v>39.42</v>
      </c>
      <c r="AD156">
        <v>552.03</v>
      </c>
      <c r="AE156">
        <v>620.67999999999995</v>
      </c>
      <c r="AF156">
        <v>42.68</v>
      </c>
      <c r="AG156">
        <v>53.98</v>
      </c>
      <c r="AH156">
        <v>45.52</v>
      </c>
      <c r="AI156">
        <v>47.87</v>
      </c>
    </row>
    <row r="157" spans="1:35" x14ac:dyDescent="0.45">
      <c r="A157" s="2">
        <v>45841</v>
      </c>
      <c r="B157">
        <v>28.91</v>
      </c>
      <c r="C157">
        <v>31.82</v>
      </c>
      <c r="D157">
        <v>17.47</v>
      </c>
      <c r="E157">
        <v>27.08</v>
      </c>
      <c r="F157">
        <v>32.82</v>
      </c>
      <c r="G157">
        <v>50.06</v>
      </c>
      <c r="H157">
        <v>24.41</v>
      </c>
      <c r="I157">
        <v>59.44</v>
      </c>
      <c r="J157">
        <v>61.7</v>
      </c>
      <c r="K157">
        <v>72.7</v>
      </c>
      <c r="L157">
        <v>29.31</v>
      </c>
      <c r="M157">
        <v>54.79</v>
      </c>
      <c r="N157">
        <v>59.72</v>
      </c>
      <c r="O157">
        <v>55.79</v>
      </c>
      <c r="P157">
        <v>54.72</v>
      </c>
      <c r="Q157">
        <v>18.63</v>
      </c>
      <c r="R157">
        <v>1106.73</v>
      </c>
      <c r="S157">
        <v>33.04</v>
      </c>
      <c r="T157">
        <v>18.84</v>
      </c>
      <c r="U157">
        <v>13.96</v>
      </c>
      <c r="V157">
        <v>38.89</v>
      </c>
      <c r="W157">
        <v>45.96</v>
      </c>
      <c r="X157">
        <v>26.48</v>
      </c>
      <c r="Y157">
        <v>46.67</v>
      </c>
      <c r="Z157">
        <v>42.21</v>
      </c>
      <c r="AA157">
        <v>74.599999999999994</v>
      </c>
      <c r="AB157">
        <v>54.9</v>
      </c>
      <c r="AC157">
        <v>39.82</v>
      </c>
      <c r="AD157">
        <v>556.22</v>
      </c>
      <c r="AE157">
        <v>625.34</v>
      </c>
      <c r="AF157">
        <v>43.08</v>
      </c>
      <c r="AG157">
        <v>54.29</v>
      </c>
      <c r="AH157">
        <v>45.62</v>
      </c>
      <c r="AI157">
        <v>48.21</v>
      </c>
    </row>
    <row r="158" spans="1:35" x14ac:dyDescent="0.45">
      <c r="A158" s="2">
        <v>45840</v>
      </c>
      <c r="B158">
        <v>28.7</v>
      </c>
      <c r="C158">
        <v>31.85</v>
      </c>
      <c r="D158">
        <v>17.48</v>
      </c>
      <c r="E158">
        <v>27</v>
      </c>
      <c r="F158">
        <v>32.19</v>
      </c>
      <c r="G158">
        <v>49.75</v>
      </c>
      <c r="H158">
        <v>24.41</v>
      </c>
      <c r="I158">
        <v>58.75</v>
      </c>
      <c r="J158">
        <v>61.59</v>
      </c>
      <c r="K158">
        <v>71.95</v>
      </c>
      <c r="L158">
        <v>28.91</v>
      </c>
      <c r="M158">
        <v>54.31</v>
      </c>
      <c r="N158">
        <v>59.34</v>
      </c>
      <c r="O158">
        <v>55.6</v>
      </c>
      <c r="P158">
        <v>55</v>
      </c>
      <c r="Q158">
        <v>18.559999999999999</v>
      </c>
      <c r="R158">
        <v>1107.69</v>
      </c>
      <c r="S158">
        <v>33.07</v>
      </c>
      <c r="T158">
        <v>18.600000000000001</v>
      </c>
      <c r="U158">
        <v>13.76</v>
      </c>
      <c r="V158">
        <v>38.44</v>
      </c>
      <c r="W158">
        <v>46.265000000000001</v>
      </c>
      <c r="X158">
        <v>26.54</v>
      </c>
      <c r="Y158">
        <v>46.33</v>
      </c>
      <c r="Z158">
        <v>42.17</v>
      </c>
      <c r="AA158">
        <v>74.459999999999994</v>
      </c>
      <c r="AB158">
        <v>55.27</v>
      </c>
      <c r="AC158">
        <v>39.61</v>
      </c>
      <c r="AD158">
        <v>550.79999999999995</v>
      </c>
      <c r="AE158">
        <v>620.45000000000005</v>
      </c>
      <c r="AF158">
        <v>43.27</v>
      </c>
      <c r="AG158">
        <v>54.3</v>
      </c>
      <c r="AH158">
        <v>45.51</v>
      </c>
      <c r="AI158">
        <v>48.29</v>
      </c>
    </row>
    <row r="159" spans="1:35" x14ac:dyDescent="0.45">
      <c r="A159" s="2">
        <v>45839</v>
      </c>
      <c r="B159">
        <v>28.71</v>
      </c>
      <c r="C159">
        <v>31.51</v>
      </c>
      <c r="D159">
        <v>17.489999999999998</v>
      </c>
      <c r="E159">
        <v>27.14</v>
      </c>
      <c r="F159">
        <v>32.06</v>
      </c>
      <c r="G159">
        <v>48.857199999999999</v>
      </c>
      <c r="H159">
        <v>24.38</v>
      </c>
      <c r="I159">
        <v>57.58</v>
      </c>
      <c r="J159">
        <v>61.12</v>
      </c>
      <c r="K159">
        <v>71.64</v>
      </c>
      <c r="L159">
        <v>28.79</v>
      </c>
      <c r="M159">
        <v>54.21</v>
      </c>
      <c r="N159">
        <v>58.63</v>
      </c>
      <c r="O159">
        <v>55.84</v>
      </c>
      <c r="P159">
        <v>55.27</v>
      </c>
      <c r="Q159">
        <v>18.579999999999998</v>
      </c>
      <c r="R159">
        <v>1100.01</v>
      </c>
      <c r="S159">
        <v>32.479999999999997</v>
      </c>
      <c r="T159">
        <v>18.66</v>
      </c>
      <c r="U159">
        <v>13.72</v>
      </c>
      <c r="V159">
        <v>38.25</v>
      </c>
      <c r="W159">
        <v>45.96</v>
      </c>
      <c r="X159">
        <v>26.35</v>
      </c>
      <c r="Y159">
        <v>46.19</v>
      </c>
      <c r="Z159">
        <v>42.01</v>
      </c>
      <c r="AA159">
        <v>74.42</v>
      </c>
      <c r="AB159">
        <v>54.98</v>
      </c>
      <c r="AC159">
        <v>39.85</v>
      </c>
      <c r="AD159">
        <v>546.99</v>
      </c>
      <c r="AE159">
        <v>617.65</v>
      </c>
      <c r="AF159">
        <v>42.87</v>
      </c>
      <c r="AG159">
        <v>54.07</v>
      </c>
      <c r="AH159">
        <v>45.19</v>
      </c>
      <c r="AI159">
        <v>48.05</v>
      </c>
    </row>
    <row r="160" spans="1:35" x14ac:dyDescent="0.45">
      <c r="A160" s="2">
        <v>45838</v>
      </c>
      <c r="B160">
        <v>28.71</v>
      </c>
      <c r="C160">
        <v>31.45</v>
      </c>
      <c r="D160">
        <v>17.63</v>
      </c>
      <c r="E160">
        <v>27.12</v>
      </c>
      <c r="F160">
        <v>32.26</v>
      </c>
      <c r="G160">
        <v>48.59</v>
      </c>
      <c r="H160">
        <v>24.34</v>
      </c>
      <c r="I160">
        <v>57.4</v>
      </c>
      <c r="J160">
        <v>60.56</v>
      </c>
      <c r="K160">
        <v>71.78</v>
      </c>
      <c r="L160">
        <v>28.85</v>
      </c>
      <c r="M160">
        <v>53.75</v>
      </c>
      <c r="N160">
        <v>58.04</v>
      </c>
      <c r="O160">
        <v>55.68</v>
      </c>
      <c r="P160">
        <v>55.1</v>
      </c>
      <c r="Q160">
        <v>18.62</v>
      </c>
      <c r="R160">
        <v>1062.78</v>
      </c>
      <c r="S160">
        <v>32.26</v>
      </c>
      <c r="T160">
        <v>18.72</v>
      </c>
      <c r="U160">
        <v>13.75</v>
      </c>
      <c r="V160">
        <v>38.54</v>
      </c>
      <c r="W160">
        <v>45.61</v>
      </c>
      <c r="X160">
        <v>26.32</v>
      </c>
      <c r="Y160">
        <v>46.2</v>
      </c>
      <c r="Z160">
        <v>42.31</v>
      </c>
      <c r="AA160">
        <v>74.97</v>
      </c>
      <c r="AB160">
        <v>54.81</v>
      </c>
      <c r="AC160">
        <v>39.72</v>
      </c>
      <c r="AD160">
        <v>551.64</v>
      </c>
      <c r="AE160">
        <v>617.85</v>
      </c>
      <c r="AF160">
        <v>42.8</v>
      </c>
      <c r="AG160">
        <v>54.5</v>
      </c>
      <c r="AH160">
        <v>45.74</v>
      </c>
      <c r="AI160">
        <v>48.14</v>
      </c>
    </row>
    <row r="161" spans="1:35" x14ac:dyDescent="0.45">
      <c r="A161" s="2">
        <v>45835</v>
      </c>
      <c r="B161">
        <v>28.46</v>
      </c>
      <c r="C161">
        <v>31.05</v>
      </c>
      <c r="D161">
        <v>17.489999999999998</v>
      </c>
      <c r="E161">
        <v>27.23</v>
      </c>
      <c r="F161">
        <v>31.69</v>
      </c>
      <c r="G161">
        <v>48.49</v>
      </c>
      <c r="H161">
        <v>24.07</v>
      </c>
      <c r="I161">
        <v>57.85</v>
      </c>
      <c r="J161">
        <v>60.32</v>
      </c>
      <c r="K161">
        <v>70.739999999999995</v>
      </c>
      <c r="L161">
        <v>28.14</v>
      </c>
      <c r="M161">
        <v>52.64</v>
      </c>
      <c r="N161">
        <v>58.17</v>
      </c>
      <c r="O161">
        <v>55.86</v>
      </c>
      <c r="P161">
        <v>55.18</v>
      </c>
      <c r="Q161">
        <v>18.57</v>
      </c>
      <c r="R161">
        <v>1067.6300000000001</v>
      </c>
      <c r="S161">
        <v>30.49</v>
      </c>
      <c r="T161">
        <v>18.57</v>
      </c>
      <c r="U161">
        <v>13.73</v>
      </c>
      <c r="V161">
        <v>38.26</v>
      </c>
      <c r="W161">
        <v>45.37</v>
      </c>
      <c r="X161">
        <v>26.09</v>
      </c>
      <c r="Y161">
        <v>45.58</v>
      </c>
      <c r="Z161">
        <v>42.3</v>
      </c>
      <c r="AA161">
        <v>75.28</v>
      </c>
      <c r="AB161">
        <v>54.63</v>
      </c>
      <c r="AC161">
        <v>39.72</v>
      </c>
      <c r="AD161">
        <v>548.09</v>
      </c>
      <c r="AE161">
        <v>614.91</v>
      </c>
      <c r="AF161">
        <v>42.61</v>
      </c>
      <c r="AG161">
        <v>54.36</v>
      </c>
      <c r="AH161">
        <v>46.02</v>
      </c>
      <c r="AI161">
        <v>47.86</v>
      </c>
    </row>
    <row r="162" spans="1:35" x14ac:dyDescent="0.45">
      <c r="A162" s="2">
        <v>45834</v>
      </c>
      <c r="B162">
        <v>28.79</v>
      </c>
      <c r="C162">
        <v>31.26</v>
      </c>
      <c r="D162">
        <v>17.510000000000002</v>
      </c>
      <c r="E162">
        <v>26.85</v>
      </c>
      <c r="F162">
        <v>31.65</v>
      </c>
      <c r="G162">
        <v>49.107799999999997</v>
      </c>
      <c r="H162">
        <v>24.07</v>
      </c>
      <c r="I162">
        <v>57.85</v>
      </c>
      <c r="J162">
        <v>60.31</v>
      </c>
      <c r="K162">
        <v>71.94</v>
      </c>
      <c r="L162">
        <v>28.13</v>
      </c>
      <c r="M162">
        <v>52.98</v>
      </c>
      <c r="N162">
        <v>59.31</v>
      </c>
      <c r="O162">
        <v>55.71</v>
      </c>
      <c r="P162">
        <v>55.54</v>
      </c>
      <c r="Q162">
        <v>18.53</v>
      </c>
      <c r="R162">
        <v>1068.73</v>
      </c>
      <c r="S162">
        <v>30.19</v>
      </c>
      <c r="T162">
        <v>18.5</v>
      </c>
      <c r="U162">
        <v>13.61</v>
      </c>
      <c r="V162">
        <v>38.159999999999997</v>
      </c>
      <c r="W162">
        <v>45.32</v>
      </c>
      <c r="X162">
        <v>26.43</v>
      </c>
      <c r="Y162">
        <v>45.92</v>
      </c>
      <c r="Z162">
        <v>41.64</v>
      </c>
      <c r="AA162">
        <v>73.97</v>
      </c>
      <c r="AB162">
        <v>54.26</v>
      </c>
      <c r="AC162">
        <v>39.69</v>
      </c>
      <c r="AD162">
        <v>546.22</v>
      </c>
      <c r="AE162">
        <v>611.87</v>
      </c>
      <c r="AF162">
        <v>42.14</v>
      </c>
      <c r="AG162">
        <v>53.97</v>
      </c>
      <c r="AH162">
        <v>45.33</v>
      </c>
      <c r="AI162">
        <v>47.5</v>
      </c>
    </row>
    <row r="163" spans="1:35" x14ac:dyDescent="0.45">
      <c r="A163" s="2">
        <v>45833</v>
      </c>
      <c r="B163">
        <v>28.805</v>
      </c>
      <c r="C163">
        <v>30.86</v>
      </c>
      <c r="D163">
        <v>17.18</v>
      </c>
      <c r="E163">
        <v>26.81</v>
      </c>
      <c r="F163">
        <v>30.57</v>
      </c>
      <c r="G163">
        <v>47.315899999999999</v>
      </c>
      <c r="H163">
        <v>23.82</v>
      </c>
      <c r="I163">
        <v>57.31</v>
      </c>
      <c r="J163">
        <v>59.68</v>
      </c>
      <c r="K163">
        <v>72.37</v>
      </c>
      <c r="L163">
        <v>27.57</v>
      </c>
      <c r="M163">
        <v>52.89</v>
      </c>
      <c r="N163">
        <v>58.42</v>
      </c>
      <c r="O163">
        <v>55</v>
      </c>
      <c r="P163">
        <v>55.53</v>
      </c>
      <c r="Q163">
        <v>18.36</v>
      </c>
      <c r="R163">
        <v>1094.58</v>
      </c>
      <c r="S163">
        <v>30.68</v>
      </c>
      <c r="T163">
        <v>18.22</v>
      </c>
      <c r="U163">
        <v>13.54</v>
      </c>
      <c r="V163">
        <v>37.82</v>
      </c>
      <c r="W163">
        <v>44.6</v>
      </c>
      <c r="X163">
        <v>26.03</v>
      </c>
      <c r="Y163">
        <v>45.32</v>
      </c>
      <c r="Z163">
        <v>41.15</v>
      </c>
      <c r="AA163">
        <v>72.44</v>
      </c>
      <c r="AB163">
        <v>53.75</v>
      </c>
      <c r="AC163">
        <v>39.28</v>
      </c>
      <c r="AD163">
        <v>541.16</v>
      </c>
      <c r="AE163">
        <v>607.12</v>
      </c>
      <c r="AF163">
        <v>41.89</v>
      </c>
      <c r="AG163">
        <v>53.8</v>
      </c>
      <c r="AH163">
        <v>44.67</v>
      </c>
      <c r="AI163">
        <v>47.17</v>
      </c>
    </row>
    <row r="164" spans="1:35" x14ac:dyDescent="0.45">
      <c r="A164" s="2">
        <v>45832</v>
      </c>
      <c r="B164">
        <v>28.55</v>
      </c>
      <c r="C164">
        <v>30.96</v>
      </c>
      <c r="D164">
        <v>17.38</v>
      </c>
      <c r="E164">
        <v>26.61</v>
      </c>
      <c r="F164">
        <v>30.56</v>
      </c>
      <c r="G164">
        <v>47.313000000000002</v>
      </c>
      <c r="H164">
        <v>23.77</v>
      </c>
      <c r="I164">
        <v>56.82</v>
      </c>
      <c r="J164">
        <v>59.21</v>
      </c>
      <c r="K164">
        <v>72.650000000000006</v>
      </c>
      <c r="L164">
        <v>27.98</v>
      </c>
      <c r="M164">
        <v>53.46</v>
      </c>
      <c r="N164">
        <v>57.86</v>
      </c>
      <c r="O164">
        <v>54.8</v>
      </c>
      <c r="P164">
        <v>55.57</v>
      </c>
      <c r="Q164">
        <v>18.25</v>
      </c>
      <c r="R164">
        <v>1113.58</v>
      </c>
      <c r="S164">
        <v>30.86</v>
      </c>
      <c r="T164">
        <v>18.3</v>
      </c>
      <c r="U164">
        <v>13.62</v>
      </c>
      <c r="V164">
        <v>37.72</v>
      </c>
      <c r="W164">
        <v>44.79</v>
      </c>
      <c r="X164">
        <v>26.05</v>
      </c>
      <c r="Y164">
        <v>45.62</v>
      </c>
      <c r="Z164">
        <v>41.39</v>
      </c>
      <c r="AA164">
        <v>72.739999999999995</v>
      </c>
      <c r="AB164">
        <v>54.32</v>
      </c>
      <c r="AC164">
        <v>39.409999999999997</v>
      </c>
      <c r="AD164">
        <v>539.78</v>
      </c>
      <c r="AE164">
        <v>606.78</v>
      </c>
      <c r="AF164">
        <v>42.04</v>
      </c>
      <c r="AG164">
        <v>54.16</v>
      </c>
      <c r="AH164">
        <v>44.95</v>
      </c>
      <c r="AI164">
        <v>47.2</v>
      </c>
    </row>
    <row r="165" spans="1:35" x14ac:dyDescent="0.45">
      <c r="A165" s="2">
        <v>45831</v>
      </c>
      <c r="B165">
        <v>28.03</v>
      </c>
      <c r="C165">
        <v>30.03</v>
      </c>
      <c r="D165">
        <v>16.89</v>
      </c>
      <c r="E165">
        <v>25.96</v>
      </c>
      <c r="F165">
        <v>29.51</v>
      </c>
      <c r="G165">
        <v>46.97</v>
      </c>
      <c r="H165">
        <v>23.53</v>
      </c>
      <c r="I165">
        <v>55.18</v>
      </c>
      <c r="J165">
        <v>57.94</v>
      </c>
      <c r="K165">
        <v>69.42</v>
      </c>
      <c r="L165">
        <v>27.66</v>
      </c>
      <c r="M165">
        <v>52.35</v>
      </c>
      <c r="N165">
        <v>56.55</v>
      </c>
      <c r="O165">
        <v>54.31</v>
      </c>
      <c r="P165">
        <v>54.13</v>
      </c>
      <c r="Q165">
        <v>17.96</v>
      </c>
      <c r="R165">
        <v>1114.49</v>
      </c>
      <c r="S165">
        <v>30.08</v>
      </c>
      <c r="T165">
        <v>17.66</v>
      </c>
      <c r="U165">
        <v>13.4</v>
      </c>
      <c r="V165">
        <v>37.1</v>
      </c>
      <c r="W165">
        <v>44.86</v>
      </c>
      <c r="X165">
        <v>25.79</v>
      </c>
      <c r="Y165">
        <v>45.33</v>
      </c>
      <c r="Z165">
        <v>40.75</v>
      </c>
      <c r="AA165">
        <v>72.02</v>
      </c>
      <c r="AB165">
        <v>53.46</v>
      </c>
      <c r="AC165">
        <v>39.17</v>
      </c>
      <c r="AD165">
        <v>531.65</v>
      </c>
      <c r="AE165">
        <v>600.15</v>
      </c>
      <c r="AF165">
        <v>41.57</v>
      </c>
      <c r="AG165">
        <v>53.03</v>
      </c>
      <c r="AH165">
        <v>43.96</v>
      </c>
      <c r="AI165">
        <v>46.45</v>
      </c>
    </row>
    <row r="166" spans="1:35" x14ac:dyDescent="0.45">
      <c r="A166" s="2">
        <v>45828</v>
      </c>
      <c r="B166">
        <v>27.925000000000001</v>
      </c>
      <c r="C166">
        <v>30.1</v>
      </c>
      <c r="D166">
        <v>17.18</v>
      </c>
      <c r="E166">
        <v>26.5</v>
      </c>
      <c r="F166">
        <v>29.72</v>
      </c>
      <c r="G166">
        <v>47.08</v>
      </c>
      <c r="H166">
        <v>23.41</v>
      </c>
      <c r="I166">
        <v>54.84</v>
      </c>
      <c r="J166">
        <v>58.11</v>
      </c>
      <c r="K166">
        <v>68.53</v>
      </c>
      <c r="L166">
        <v>27.67</v>
      </c>
      <c r="M166">
        <v>51.73</v>
      </c>
      <c r="N166">
        <v>54.71</v>
      </c>
      <c r="O166">
        <v>53.9</v>
      </c>
      <c r="P166">
        <v>53.5</v>
      </c>
      <c r="Q166">
        <v>17.72</v>
      </c>
      <c r="R166">
        <v>1122.7</v>
      </c>
      <c r="S166">
        <v>29.96</v>
      </c>
      <c r="T166">
        <v>17.260000000000002</v>
      </c>
      <c r="U166">
        <v>13.345000000000001</v>
      </c>
      <c r="V166">
        <v>36.56</v>
      </c>
      <c r="W166">
        <v>44.6</v>
      </c>
      <c r="X166">
        <v>25.55</v>
      </c>
      <c r="Y166">
        <v>45.1</v>
      </c>
      <c r="Z166">
        <v>40.340000000000003</v>
      </c>
      <c r="AA166">
        <v>71.760000000000005</v>
      </c>
      <c r="AB166">
        <v>52.68</v>
      </c>
      <c r="AC166">
        <v>38.9</v>
      </c>
      <c r="AD166">
        <v>526.83000000000004</v>
      </c>
      <c r="AE166">
        <v>594.28</v>
      </c>
      <c r="AF166">
        <v>41.29</v>
      </c>
      <c r="AG166">
        <v>51.892699999999998</v>
      </c>
      <c r="AH166">
        <v>43.81</v>
      </c>
      <c r="AI166">
        <v>46.36</v>
      </c>
    </row>
    <row r="167" spans="1:35" x14ac:dyDescent="0.45">
      <c r="A167" s="2">
        <v>45826</v>
      </c>
      <c r="B167">
        <v>27.96</v>
      </c>
      <c r="C167">
        <v>30.34</v>
      </c>
      <c r="D167">
        <v>17.87</v>
      </c>
      <c r="E167">
        <v>26.7</v>
      </c>
      <c r="F167">
        <v>29.36</v>
      </c>
      <c r="G167">
        <v>47.413699999999999</v>
      </c>
      <c r="H167">
        <v>23.59</v>
      </c>
      <c r="I167">
        <v>56.03</v>
      </c>
      <c r="J167">
        <v>58.97</v>
      </c>
      <c r="K167">
        <v>67.87</v>
      </c>
      <c r="L167">
        <v>28.08</v>
      </c>
      <c r="M167">
        <v>51.8</v>
      </c>
      <c r="N167">
        <v>54.58</v>
      </c>
      <c r="O167">
        <v>53.79</v>
      </c>
      <c r="P167">
        <v>53.93</v>
      </c>
      <c r="Q167">
        <v>17.82</v>
      </c>
      <c r="R167">
        <v>1128.6199999999999</v>
      </c>
      <c r="S167">
        <v>30.11</v>
      </c>
      <c r="T167">
        <v>16.989999999999998</v>
      </c>
      <c r="U167">
        <v>13.36</v>
      </c>
      <c r="V167">
        <v>36.36</v>
      </c>
      <c r="W167">
        <v>45.08</v>
      </c>
      <c r="X167">
        <v>25.86</v>
      </c>
      <c r="Y167">
        <v>45.32</v>
      </c>
      <c r="Z167">
        <v>40.28</v>
      </c>
      <c r="AA167">
        <v>73.05</v>
      </c>
      <c r="AB167">
        <v>53.25</v>
      </c>
      <c r="AC167">
        <v>39.22</v>
      </c>
      <c r="AD167">
        <v>528.99</v>
      </c>
      <c r="AE167">
        <v>597.44000000000005</v>
      </c>
      <c r="AF167">
        <v>41.67</v>
      </c>
      <c r="AG167">
        <v>52.247599999999998</v>
      </c>
      <c r="AH167">
        <v>43.98</v>
      </c>
      <c r="AI167">
        <v>46.46</v>
      </c>
    </row>
    <row r="168" spans="1:35" x14ac:dyDescent="0.45">
      <c r="A168" s="2">
        <v>45825</v>
      </c>
      <c r="B168">
        <v>28</v>
      </c>
      <c r="C168">
        <v>30.45</v>
      </c>
      <c r="D168">
        <v>18.02</v>
      </c>
      <c r="E168">
        <v>26.98</v>
      </c>
      <c r="F168">
        <v>29.39</v>
      </c>
      <c r="G168">
        <v>47.62</v>
      </c>
      <c r="H168">
        <v>23.53</v>
      </c>
      <c r="I168">
        <v>55.65</v>
      </c>
      <c r="J168">
        <v>58.91</v>
      </c>
      <c r="K168">
        <v>66.63</v>
      </c>
      <c r="L168">
        <v>28.11</v>
      </c>
      <c r="M168">
        <v>51.56</v>
      </c>
      <c r="N168">
        <v>54.88</v>
      </c>
      <c r="O168">
        <v>53.83</v>
      </c>
      <c r="P168">
        <v>54.44</v>
      </c>
      <c r="Q168">
        <v>17.895</v>
      </c>
      <c r="R168">
        <v>1141.58</v>
      </c>
      <c r="S168">
        <v>30.21</v>
      </c>
      <c r="T168">
        <v>17.239999999999998</v>
      </c>
      <c r="U168">
        <v>13.31</v>
      </c>
      <c r="V168">
        <v>36.83</v>
      </c>
      <c r="W168">
        <v>45.09</v>
      </c>
      <c r="X168">
        <v>25.77</v>
      </c>
      <c r="Y168">
        <v>45.45</v>
      </c>
      <c r="Z168">
        <v>40.4</v>
      </c>
      <c r="AA168">
        <v>72.28</v>
      </c>
      <c r="AB168">
        <v>53.42</v>
      </c>
      <c r="AC168">
        <v>39.200000000000003</v>
      </c>
      <c r="AD168">
        <v>529.08000000000004</v>
      </c>
      <c r="AE168">
        <v>597.53</v>
      </c>
      <c r="AF168">
        <v>41.74</v>
      </c>
      <c r="AG168">
        <v>52.33</v>
      </c>
      <c r="AH168">
        <v>44.43</v>
      </c>
      <c r="AI168">
        <v>46.26</v>
      </c>
    </row>
    <row r="169" spans="1:35" x14ac:dyDescent="0.45">
      <c r="A169" s="2">
        <v>45824</v>
      </c>
      <c r="B169">
        <v>28.12</v>
      </c>
      <c r="C169">
        <v>31.11</v>
      </c>
      <c r="D169">
        <v>18.010000000000002</v>
      </c>
      <c r="E169">
        <v>27.35</v>
      </c>
      <c r="F169">
        <v>29.38</v>
      </c>
      <c r="G169">
        <v>47.7117</v>
      </c>
      <c r="H169">
        <v>23.93</v>
      </c>
      <c r="I169">
        <v>56.46</v>
      </c>
      <c r="J169">
        <v>59.82</v>
      </c>
      <c r="K169">
        <v>68.19</v>
      </c>
      <c r="L169">
        <v>28.31</v>
      </c>
      <c r="M169">
        <v>53.04</v>
      </c>
      <c r="N169">
        <v>55.79</v>
      </c>
      <c r="O169">
        <v>54.56</v>
      </c>
      <c r="P169">
        <v>55.01</v>
      </c>
      <c r="Q169">
        <v>18.045000000000002</v>
      </c>
      <c r="R169">
        <v>1139.1600000000001</v>
      </c>
      <c r="S169">
        <v>30.63</v>
      </c>
      <c r="T169">
        <v>17.559999999999999</v>
      </c>
      <c r="U169">
        <v>13.26</v>
      </c>
      <c r="V169">
        <v>37.479999999999997</v>
      </c>
      <c r="W169">
        <v>45.97</v>
      </c>
      <c r="X169">
        <v>26.09</v>
      </c>
      <c r="Y169">
        <v>45.76</v>
      </c>
      <c r="Z169">
        <v>41.13</v>
      </c>
      <c r="AA169">
        <v>73.150000000000006</v>
      </c>
      <c r="AB169">
        <v>53.77</v>
      </c>
      <c r="AC169">
        <v>39.619999999999997</v>
      </c>
      <c r="AD169">
        <v>534.29</v>
      </c>
      <c r="AE169">
        <v>602.67999999999995</v>
      </c>
      <c r="AF169">
        <v>42.21</v>
      </c>
      <c r="AG169">
        <v>53.08</v>
      </c>
      <c r="AH169">
        <v>44.91</v>
      </c>
      <c r="AI169">
        <v>47.21</v>
      </c>
    </row>
    <row r="170" spans="1:35" x14ac:dyDescent="0.45">
      <c r="A170" s="2">
        <v>45821</v>
      </c>
      <c r="B170">
        <v>28.15</v>
      </c>
      <c r="C170">
        <v>31.83</v>
      </c>
      <c r="D170">
        <v>18.62</v>
      </c>
      <c r="E170">
        <v>27.66</v>
      </c>
      <c r="F170">
        <v>29.86</v>
      </c>
      <c r="G170">
        <v>48.2913</v>
      </c>
      <c r="H170">
        <v>24.26</v>
      </c>
      <c r="I170">
        <v>55.85</v>
      </c>
      <c r="J170">
        <v>61.06</v>
      </c>
      <c r="K170">
        <v>66.42</v>
      </c>
      <c r="L170">
        <v>28.14</v>
      </c>
      <c r="M170">
        <v>53.3</v>
      </c>
      <c r="N170">
        <v>56</v>
      </c>
      <c r="O170">
        <v>54.04</v>
      </c>
      <c r="P170">
        <v>54.77</v>
      </c>
      <c r="Q170">
        <v>18.2</v>
      </c>
      <c r="R170">
        <v>1135.24</v>
      </c>
      <c r="S170">
        <v>30.75</v>
      </c>
      <c r="T170">
        <v>17.88</v>
      </c>
      <c r="U170">
        <v>13.02</v>
      </c>
      <c r="V170">
        <v>37.130000000000003</v>
      </c>
      <c r="W170">
        <v>45.19</v>
      </c>
      <c r="X170">
        <v>26.32</v>
      </c>
      <c r="Y170">
        <v>45.88</v>
      </c>
      <c r="Z170">
        <v>41.51</v>
      </c>
      <c r="AA170">
        <v>73.599999999999994</v>
      </c>
      <c r="AB170">
        <v>55.22</v>
      </c>
      <c r="AC170">
        <v>40.42</v>
      </c>
      <c r="AD170">
        <v>526.96</v>
      </c>
      <c r="AE170">
        <v>597</v>
      </c>
      <c r="AF170">
        <v>42.83</v>
      </c>
      <c r="AG170">
        <v>53.54</v>
      </c>
      <c r="AH170">
        <v>45.49</v>
      </c>
      <c r="AI170">
        <v>47.43</v>
      </c>
    </row>
    <row r="171" spans="1:35" x14ac:dyDescent="0.45">
      <c r="A171" s="2">
        <v>45820</v>
      </c>
      <c r="B171">
        <v>28.42</v>
      </c>
      <c r="C171">
        <v>32.51</v>
      </c>
      <c r="D171">
        <v>18.899999999999999</v>
      </c>
      <c r="E171">
        <v>28.08</v>
      </c>
      <c r="F171">
        <v>30.63</v>
      </c>
      <c r="G171">
        <v>48.584800000000001</v>
      </c>
      <c r="H171">
        <v>24.54</v>
      </c>
      <c r="I171">
        <v>56.74</v>
      </c>
      <c r="J171">
        <v>61.57</v>
      </c>
      <c r="K171">
        <v>67.69</v>
      </c>
      <c r="L171">
        <v>28.15</v>
      </c>
      <c r="M171">
        <v>54.77</v>
      </c>
      <c r="N171">
        <v>56.89</v>
      </c>
      <c r="O171">
        <v>54.8</v>
      </c>
      <c r="P171">
        <v>55.79</v>
      </c>
      <c r="Q171">
        <v>18.899999999999999</v>
      </c>
      <c r="R171">
        <v>1136.43</v>
      </c>
      <c r="S171">
        <v>31.57</v>
      </c>
      <c r="T171">
        <v>18.395</v>
      </c>
      <c r="U171">
        <v>13.36</v>
      </c>
      <c r="V171">
        <v>38.07</v>
      </c>
      <c r="W171">
        <v>46.07</v>
      </c>
      <c r="X171">
        <v>26.64</v>
      </c>
      <c r="Y171">
        <v>46</v>
      </c>
      <c r="Z171">
        <v>42.22</v>
      </c>
      <c r="AA171">
        <v>74.209999999999994</v>
      </c>
      <c r="AB171">
        <v>56.27</v>
      </c>
      <c r="AC171">
        <v>40.78</v>
      </c>
      <c r="AD171">
        <v>533.66</v>
      </c>
      <c r="AE171">
        <v>603.75</v>
      </c>
      <c r="AF171">
        <v>43.57</v>
      </c>
      <c r="AG171">
        <v>54.73</v>
      </c>
      <c r="AH171">
        <v>46.02</v>
      </c>
      <c r="AI171">
        <v>48.25</v>
      </c>
    </row>
    <row r="172" spans="1:35" x14ac:dyDescent="0.45">
      <c r="A172" s="2">
        <v>45819</v>
      </c>
      <c r="B172">
        <v>28.29</v>
      </c>
      <c r="C172">
        <v>32.54</v>
      </c>
      <c r="D172">
        <v>18.91</v>
      </c>
      <c r="E172">
        <v>27.93</v>
      </c>
      <c r="F172">
        <v>30.62</v>
      </c>
      <c r="G172">
        <v>48.44</v>
      </c>
      <c r="H172">
        <v>24.45</v>
      </c>
      <c r="I172">
        <v>55.83</v>
      </c>
      <c r="J172">
        <v>61.56</v>
      </c>
      <c r="K172">
        <v>66.989999999999995</v>
      </c>
      <c r="L172">
        <v>28.22</v>
      </c>
      <c r="M172">
        <v>54.08</v>
      </c>
      <c r="N172">
        <v>56.52</v>
      </c>
      <c r="O172">
        <v>55.33</v>
      </c>
      <c r="P172">
        <v>55.86</v>
      </c>
      <c r="Q172">
        <v>18.96</v>
      </c>
      <c r="R172">
        <v>1140.6300000000001</v>
      </c>
      <c r="S172">
        <v>32.11</v>
      </c>
      <c r="T172">
        <v>18.72</v>
      </c>
      <c r="U172">
        <v>13.32</v>
      </c>
      <c r="V172">
        <v>38.46</v>
      </c>
      <c r="W172">
        <v>45.76</v>
      </c>
      <c r="X172">
        <v>26.6</v>
      </c>
      <c r="Y172">
        <v>45.66</v>
      </c>
      <c r="Z172">
        <v>42.11</v>
      </c>
      <c r="AA172">
        <v>73.67</v>
      </c>
      <c r="AB172">
        <v>55.43</v>
      </c>
      <c r="AC172">
        <v>40.409999999999997</v>
      </c>
      <c r="AD172">
        <v>532.41</v>
      </c>
      <c r="AE172">
        <v>601.36</v>
      </c>
      <c r="AF172">
        <v>43.11</v>
      </c>
      <c r="AG172">
        <v>54.37</v>
      </c>
      <c r="AH172">
        <v>45.9</v>
      </c>
      <c r="AI172">
        <v>47.93</v>
      </c>
    </row>
    <row r="173" spans="1:35" x14ac:dyDescent="0.45">
      <c r="A173" s="2">
        <v>45818</v>
      </c>
      <c r="B173">
        <v>28.1</v>
      </c>
      <c r="C173">
        <v>31.82</v>
      </c>
      <c r="D173">
        <v>18.84</v>
      </c>
      <c r="E173">
        <v>27.82</v>
      </c>
      <c r="F173">
        <v>30.83</v>
      </c>
      <c r="G173">
        <v>48.231099999999998</v>
      </c>
      <c r="H173">
        <v>24.28</v>
      </c>
      <c r="I173">
        <v>55.8</v>
      </c>
      <c r="J173">
        <v>61.36</v>
      </c>
      <c r="K173">
        <v>66.16</v>
      </c>
      <c r="L173">
        <v>27.72</v>
      </c>
      <c r="M173">
        <v>54.66</v>
      </c>
      <c r="N173">
        <v>56.48</v>
      </c>
      <c r="O173">
        <v>55.26</v>
      </c>
      <c r="P173">
        <v>55.69</v>
      </c>
      <c r="Q173">
        <v>18.920000000000002</v>
      </c>
      <c r="R173">
        <v>1132.02</v>
      </c>
      <c r="S173">
        <v>32.17</v>
      </c>
      <c r="T173">
        <v>18.78</v>
      </c>
      <c r="U173">
        <v>13.4</v>
      </c>
      <c r="V173">
        <v>38.72</v>
      </c>
      <c r="W173">
        <v>45.65</v>
      </c>
      <c r="X173">
        <v>26.71</v>
      </c>
      <c r="Y173">
        <v>45.43</v>
      </c>
      <c r="Z173">
        <v>42.12</v>
      </c>
      <c r="AA173">
        <v>73.88</v>
      </c>
      <c r="AB173">
        <v>55.67</v>
      </c>
      <c r="AC173">
        <v>40.31</v>
      </c>
      <c r="AD173">
        <v>534.21</v>
      </c>
      <c r="AE173">
        <v>603.08000000000004</v>
      </c>
      <c r="AF173">
        <v>43.21</v>
      </c>
      <c r="AG173">
        <v>54.57</v>
      </c>
      <c r="AH173">
        <v>45.94</v>
      </c>
      <c r="AI173">
        <v>47.93</v>
      </c>
    </row>
    <row r="174" spans="1:35" x14ac:dyDescent="0.45">
      <c r="A174" s="2">
        <v>45817</v>
      </c>
      <c r="B174">
        <v>28.3</v>
      </c>
      <c r="C174">
        <v>31.75</v>
      </c>
      <c r="D174">
        <v>18.59</v>
      </c>
      <c r="E174">
        <v>28.12</v>
      </c>
      <c r="F174">
        <v>30</v>
      </c>
      <c r="G174">
        <v>48.53</v>
      </c>
      <c r="H174">
        <v>24.32</v>
      </c>
      <c r="I174">
        <v>54.71</v>
      </c>
      <c r="J174">
        <v>61.09</v>
      </c>
      <c r="K174">
        <v>66.48</v>
      </c>
      <c r="L174">
        <v>27.62</v>
      </c>
      <c r="M174">
        <v>54.44</v>
      </c>
      <c r="N174">
        <v>55.85</v>
      </c>
      <c r="O174">
        <v>55.24</v>
      </c>
      <c r="P174">
        <v>55.52</v>
      </c>
      <c r="Q174">
        <v>18.829999999999998</v>
      </c>
      <c r="R174">
        <v>1149.18</v>
      </c>
      <c r="S174">
        <v>31.66</v>
      </c>
      <c r="T174">
        <v>18.71</v>
      </c>
      <c r="U174">
        <v>13.26</v>
      </c>
      <c r="V174">
        <v>38.57</v>
      </c>
      <c r="W174">
        <v>45.32</v>
      </c>
      <c r="X174">
        <v>26.44</v>
      </c>
      <c r="Y174">
        <v>45.3</v>
      </c>
      <c r="Z174">
        <v>42.31</v>
      </c>
      <c r="AA174">
        <v>73.930000000000007</v>
      </c>
      <c r="AB174">
        <v>55.62</v>
      </c>
      <c r="AC174">
        <v>40.340000000000003</v>
      </c>
      <c r="AD174">
        <v>530.70000000000005</v>
      </c>
      <c r="AE174">
        <v>599.67999999999995</v>
      </c>
      <c r="AF174">
        <v>43.08</v>
      </c>
      <c r="AG174">
        <v>54.02</v>
      </c>
      <c r="AH174">
        <v>45.91</v>
      </c>
      <c r="AI174">
        <v>48.18</v>
      </c>
    </row>
    <row r="175" spans="1:35" x14ac:dyDescent="0.45">
      <c r="A175" s="2">
        <v>45814</v>
      </c>
      <c r="B175">
        <v>28.22</v>
      </c>
      <c r="C175">
        <v>31.84</v>
      </c>
      <c r="D175">
        <v>18.510000000000002</v>
      </c>
      <c r="E175">
        <v>27.95</v>
      </c>
      <c r="F175">
        <v>29.46</v>
      </c>
      <c r="G175">
        <v>48.5916</v>
      </c>
      <c r="H175">
        <v>24.25</v>
      </c>
      <c r="I175">
        <v>54.11</v>
      </c>
      <c r="J175">
        <v>61.24</v>
      </c>
      <c r="K175">
        <v>65.569999999999993</v>
      </c>
      <c r="L175">
        <v>27.72</v>
      </c>
      <c r="M175">
        <v>53.94</v>
      </c>
      <c r="N175">
        <v>55.46</v>
      </c>
      <c r="O175">
        <v>54.91</v>
      </c>
      <c r="P175">
        <v>54.92</v>
      </c>
      <c r="Q175">
        <v>18.829999999999998</v>
      </c>
      <c r="R175">
        <v>1164.01</v>
      </c>
      <c r="S175">
        <v>31.61</v>
      </c>
      <c r="T175">
        <v>18.670000000000002</v>
      </c>
      <c r="U175">
        <v>13.64</v>
      </c>
      <c r="V175">
        <v>38.51</v>
      </c>
      <c r="W175">
        <v>45.31</v>
      </c>
      <c r="X175">
        <v>26.37</v>
      </c>
      <c r="Y175">
        <v>45.39</v>
      </c>
      <c r="Z175">
        <v>42.52</v>
      </c>
      <c r="AA175">
        <v>73.819999999999993</v>
      </c>
      <c r="AB175">
        <v>55.64</v>
      </c>
      <c r="AC175">
        <v>40.35</v>
      </c>
      <c r="AD175">
        <v>529.91999999999996</v>
      </c>
      <c r="AE175">
        <v>599.14</v>
      </c>
      <c r="AF175">
        <v>43.04</v>
      </c>
      <c r="AG175">
        <v>53.63</v>
      </c>
      <c r="AH175">
        <v>46.14</v>
      </c>
      <c r="AI175">
        <v>48.3</v>
      </c>
    </row>
    <row r="176" spans="1:35" x14ac:dyDescent="0.45">
      <c r="A176" s="2">
        <v>45813</v>
      </c>
      <c r="B176">
        <v>28.29</v>
      </c>
      <c r="C176">
        <v>32.17</v>
      </c>
      <c r="D176">
        <v>18.559999999999999</v>
      </c>
      <c r="E176">
        <v>27.96</v>
      </c>
      <c r="F176">
        <v>29.75</v>
      </c>
      <c r="G176">
        <v>48.796100000000003</v>
      </c>
      <c r="H176">
        <v>24.31</v>
      </c>
      <c r="I176">
        <v>53.74</v>
      </c>
      <c r="J176">
        <v>60.72</v>
      </c>
      <c r="K176">
        <v>65.36</v>
      </c>
      <c r="L176">
        <v>27.6</v>
      </c>
      <c r="M176">
        <v>54.03</v>
      </c>
      <c r="N176">
        <v>55.77</v>
      </c>
      <c r="O176">
        <v>54.18</v>
      </c>
      <c r="P176">
        <v>54.99</v>
      </c>
      <c r="Q176">
        <v>18.78</v>
      </c>
      <c r="R176">
        <v>1160.74</v>
      </c>
      <c r="S176">
        <v>31.44</v>
      </c>
      <c r="T176">
        <v>18.61</v>
      </c>
      <c r="U176">
        <v>13.74</v>
      </c>
      <c r="V176">
        <v>38.479999999999997</v>
      </c>
      <c r="W176">
        <v>45.53</v>
      </c>
      <c r="X176">
        <v>26.36</v>
      </c>
      <c r="Y176">
        <v>45.32</v>
      </c>
      <c r="Z176">
        <v>42.57</v>
      </c>
      <c r="AA176">
        <v>73.39</v>
      </c>
      <c r="AB176">
        <v>55.47</v>
      </c>
      <c r="AC176">
        <v>40.22</v>
      </c>
      <c r="AD176">
        <v>524.79</v>
      </c>
      <c r="AE176">
        <v>593.04999999999995</v>
      </c>
      <c r="AF176">
        <v>43.04</v>
      </c>
      <c r="AG176">
        <v>53.36</v>
      </c>
      <c r="AH176">
        <v>46.17</v>
      </c>
      <c r="AI176">
        <v>47.98</v>
      </c>
    </row>
    <row r="177" spans="1:35" x14ac:dyDescent="0.45">
      <c r="A177" s="2">
        <v>45812</v>
      </c>
      <c r="B177">
        <v>28.18</v>
      </c>
      <c r="C177">
        <v>31.88</v>
      </c>
      <c r="D177">
        <v>18.45</v>
      </c>
      <c r="E177">
        <v>27.66</v>
      </c>
      <c r="F177">
        <v>30.22</v>
      </c>
      <c r="G177">
        <v>48.064999999999998</v>
      </c>
      <c r="H177">
        <v>24.14</v>
      </c>
      <c r="I177">
        <v>53.96</v>
      </c>
      <c r="J177">
        <v>60.25</v>
      </c>
      <c r="K177">
        <v>63.98</v>
      </c>
      <c r="L177">
        <v>27.44</v>
      </c>
      <c r="M177">
        <v>53.46</v>
      </c>
      <c r="N177">
        <v>55.24</v>
      </c>
      <c r="O177">
        <v>53.92</v>
      </c>
      <c r="P177">
        <v>54.79</v>
      </c>
      <c r="Q177">
        <v>18.91</v>
      </c>
      <c r="R177">
        <v>1163.42</v>
      </c>
      <c r="S177">
        <v>31.36</v>
      </c>
      <c r="T177">
        <v>18.59</v>
      </c>
      <c r="U177">
        <v>13.86</v>
      </c>
      <c r="V177">
        <v>38.380000000000003</v>
      </c>
      <c r="W177">
        <v>45.25</v>
      </c>
      <c r="X177">
        <v>26.33</v>
      </c>
      <c r="Y177">
        <v>45.25</v>
      </c>
      <c r="Z177">
        <v>42.46</v>
      </c>
      <c r="AA177">
        <v>74.08</v>
      </c>
      <c r="AB177">
        <v>55.56</v>
      </c>
      <c r="AC177">
        <v>40.19</v>
      </c>
      <c r="AD177">
        <v>528.77</v>
      </c>
      <c r="AE177">
        <v>595.92999999999995</v>
      </c>
      <c r="AF177">
        <v>43.08</v>
      </c>
      <c r="AG177">
        <v>53.23</v>
      </c>
      <c r="AH177">
        <v>45.93</v>
      </c>
      <c r="AI177">
        <v>47.74</v>
      </c>
    </row>
    <row r="178" spans="1:35" x14ac:dyDescent="0.45">
      <c r="A178" s="2">
        <v>45811</v>
      </c>
      <c r="B178">
        <v>27.96</v>
      </c>
      <c r="C178">
        <v>31.58</v>
      </c>
      <c r="D178">
        <v>18.420000000000002</v>
      </c>
      <c r="E178">
        <v>27.78</v>
      </c>
      <c r="F178">
        <v>29.92</v>
      </c>
      <c r="G178">
        <v>47.95</v>
      </c>
      <c r="H178">
        <v>24.09</v>
      </c>
      <c r="I178">
        <v>53.15</v>
      </c>
      <c r="J178">
        <v>60.39</v>
      </c>
      <c r="K178">
        <v>61.89</v>
      </c>
      <c r="L178">
        <v>27.58</v>
      </c>
      <c r="M178">
        <v>53.13</v>
      </c>
      <c r="N178">
        <v>55.29</v>
      </c>
      <c r="O178">
        <v>53.96</v>
      </c>
      <c r="P178">
        <v>53.76</v>
      </c>
      <c r="Q178">
        <v>19.079999999999998</v>
      </c>
      <c r="R178">
        <v>1178.43</v>
      </c>
      <c r="S178">
        <v>30.84</v>
      </c>
      <c r="T178">
        <v>18.59</v>
      </c>
      <c r="U178">
        <v>13.96</v>
      </c>
      <c r="V178">
        <v>38</v>
      </c>
      <c r="W178">
        <v>44.61</v>
      </c>
      <c r="X178">
        <v>26.07</v>
      </c>
      <c r="Y178">
        <v>45.34</v>
      </c>
      <c r="Z178">
        <v>42.12</v>
      </c>
      <c r="AA178">
        <v>74.13</v>
      </c>
      <c r="AB178">
        <v>55.03</v>
      </c>
      <c r="AC178">
        <v>40.06</v>
      </c>
      <c r="AD178">
        <v>527.29999999999995</v>
      </c>
      <c r="AE178">
        <v>596.09</v>
      </c>
      <c r="AF178">
        <v>42.84</v>
      </c>
      <c r="AG178">
        <v>52.95</v>
      </c>
      <c r="AH178">
        <v>45.2</v>
      </c>
      <c r="AI178">
        <v>47.87</v>
      </c>
    </row>
    <row r="179" spans="1:35" x14ac:dyDescent="0.45">
      <c r="A179" s="2">
        <v>45810</v>
      </c>
      <c r="B179">
        <v>27.72</v>
      </c>
      <c r="C179">
        <v>31.53</v>
      </c>
      <c r="D179">
        <v>18.559999999999999</v>
      </c>
      <c r="E179">
        <v>27.6</v>
      </c>
      <c r="F179">
        <v>30.49</v>
      </c>
      <c r="G179">
        <v>47.72</v>
      </c>
      <c r="H179">
        <v>24.15</v>
      </c>
      <c r="I179">
        <v>52.84</v>
      </c>
      <c r="J179">
        <v>60.64</v>
      </c>
      <c r="K179">
        <v>61.74</v>
      </c>
      <c r="L179">
        <v>27.27</v>
      </c>
      <c r="M179">
        <v>53.27</v>
      </c>
      <c r="N179">
        <v>55.7</v>
      </c>
      <c r="O179">
        <v>54.54</v>
      </c>
      <c r="P179">
        <v>53.26</v>
      </c>
      <c r="Q179">
        <v>18.8</v>
      </c>
      <c r="R179">
        <v>1176.3599999999999</v>
      </c>
      <c r="S179">
        <v>30.05</v>
      </c>
      <c r="T179">
        <v>18.45</v>
      </c>
      <c r="U179">
        <v>13.81</v>
      </c>
      <c r="V179">
        <v>38.159999999999997</v>
      </c>
      <c r="W179">
        <v>45.04</v>
      </c>
      <c r="X179">
        <v>26.15</v>
      </c>
      <c r="Y179">
        <v>45.39</v>
      </c>
      <c r="Z179">
        <v>42.34</v>
      </c>
      <c r="AA179">
        <v>75.040000000000006</v>
      </c>
      <c r="AB179">
        <v>55.54</v>
      </c>
      <c r="AC179">
        <v>40.29</v>
      </c>
      <c r="AD179">
        <v>523.21</v>
      </c>
      <c r="AE179">
        <v>592.71</v>
      </c>
      <c r="AF179">
        <v>43.14</v>
      </c>
      <c r="AG179">
        <v>53.285800000000002</v>
      </c>
      <c r="AH179">
        <v>45.62</v>
      </c>
      <c r="AI179">
        <v>48.32</v>
      </c>
    </row>
    <row r="180" spans="1:35" x14ac:dyDescent="0.45">
      <c r="A180" s="2">
        <v>45807</v>
      </c>
      <c r="B180">
        <v>27.67</v>
      </c>
      <c r="C180">
        <v>31.5</v>
      </c>
      <c r="D180">
        <v>18.88</v>
      </c>
      <c r="E180">
        <v>27.24</v>
      </c>
      <c r="F180">
        <v>30.37</v>
      </c>
      <c r="G180">
        <v>46.64</v>
      </c>
      <c r="H180">
        <v>23.96</v>
      </c>
      <c r="I180">
        <v>52.38</v>
      </c>
      <c r="J180">
        <v>60.17</v>
      </c>
      <c r="K180">
        <v>60.63</v>
      </c>
      <c r="L180">
        <v>27.21</v>
      </c>
      <c r="M180">
        <v>52.21</v>
      </c>
      <c r="N180">
        <v>55</v>
      </c>
      <c r="O180">
        <v>54.31</v>
      </c>
      <c r="P180">
        <v>52.82</v>
      </c>
      <c r="Q180">
        <v>18.75</v>
      </c>
      <c r="R180">
        <v>1173.3699999999999</v>
      </c>
      <c r="S180">
        <v>29.99</v>
      </c>
      <c r="T180">
        <v>18.57</v>
      </c>
      <c r="U180">
        <v>13.59</v>
      </c>
      <c r="V180">
        <v>38.33</v>
      </c>
      <c r="W180">
        <v>44.39</v>
      </c>
      <c r="X180">
        <v>25.81</v>
      </c>
      <c r="Y180">
        <v>44.96</v>
      </c>
      <c r="Z180">
        <v>41.97</v>
      </c>
      <c r="AA180">
        <v>74.12</v>
      </c>
      <c r="AB180">
        <v>55.18</v>
      </c>
      <c r="AC180">
        <v>39.92</v>
      </c>
      <c r="AD180">
        <v>519.11</v>
      </c>
      <c r="AE180">
        <v>589.39</v>
      </c>
      <c r="AF180">
        <v>42.49</v>
      </c>
      <c r="AG180">
        <v>52.85</v>
      </c>
      <c r="AH180">
        <v>45.45</v>
      </c>
      <c r="AI180">
        <v>47.77</v>
      </c>
    </row>
    <row r="181" spans="1:35" x14ac:dyDescent="0.45">
      <c r="A181" s="2">
        <v>45806</v>
      </c>
      <c r="B181">
        <v>28.02</v>
      </c>
      <c r="C181">
        <v>32.08</v>
      </c>
      <c r="D181">
        <v>18.95</v>
      </c>
      <c r="E181">
        <v>27.84</v>
      </c>
      <c r="F181">
        <v>30.72</v>
      </c>
      <c r="G181">
        <v>46.613599999999998</v>
      </c>
      <c r="H181">
        <v>24.3</v>
      </c>
      <c r="I181">
        <v>52.87</v>
      </c>
      <c r="J181">
        <v>61.23</v>
      </c>
      <c r="K181">
        <v>61.8</v>
      </c>
      <c r="L181">
        <v>27.7</v>
      </c>
      <c r="M181">
        <v>53.05</v>
      </c>
      <c r="N181">
        <v>55.71</v>
      </c>
      <c r="O181">
        <v>54.59</v>
      </c>
      <c r="P181">
        <v>53.86</v>
      </c>
      <c r="Q181">
        <v>18.829999999999998</v>
      </c>
      <c r="R181">
        <v>1179.81</v>
      </c>
      <c r="S181">
        <v>30.54</v>
      </c>
      <c r="T181">
        <v>18.59</v>
      </c>
      <c r="U181">
        <v>13.51</v>
      </c>
      <c r="V181">
        <v>38.39</v>
      </c>
      <c r="W181">
        <v>43.97</v>
      </c>
      <c r="X181">
        <v>25.64</v>
      </c>
      <c r="Y181">
        <v>44.78</v>
      </c>
      <c r="Z181">
        <v>41.85</v>
      </c>
      <c r="AA181">
        <v>74.03</v>
      </c>
      <c r="AB181">
        <v>54.9</v>
      </c>
      <c r="AC181">
        <v>39.79</v>
      </c>
      <c r="AD181">
        <v>519.92999999999995</v>
      </c>
      <c r="AE181">
        <v>590.04999999999995</v>
      </c>
      <c r="AF181">
        <v>42.76</v>
      </c>
      <c r="AG181">
        <v>52.94</v>
      </c>
      <c r="AH181">
        <v>45.36</v>
      </c>
      <c r="AI181">
        <v>47.58</v>
      </c>
    </row>
    <row r="182" spans="1:35" x14ac:dyDescent="0.45">
      <c r="A182" s="2">
        <v>45805</v>
      </c>
      <c r="B182">
        <v>27.83</v>
      </c>
      <c r="C182">
        <v>32.17</v>
      </c>
      <c r="D182">
        <v>18.91</v>
      </c>
      <c r="E182">
        <v>27.93</v>
      </c>
      <c r="F182">
        <v>31.25</v>
      </c>
      <c r="G182">
        <v>46.5428</v>
      </c>
      <c r="H182">
        <v>24.47</v>
      </c>
      <c r="I182">
        <v>53.26</v>
      </c>
      <c r="J182">
        <v>60.9</v>
      </c>
      <c r="K182">
        <v>60.75</v>
      </c>
      <c r="L182">
        <v>27.69</v>
      </c>
      <c r="M182">
        <v>52.03</v>
      </c>
      <c r="N182">
        <v>55.85</v>
      </c>
      <c r="O182">
        <v>54.284999999999997</v>
      </c>
      <c r="P182">
        <v>53.33</v>
      </c>
      <c r="Q182">
        <v>18.940000000000001</v>
      </c>
      <c r="R182">
        <v>1189.1400000000001</v>
      </c>
      <c r="S182">
        <v>30.56</v>
      </c>
      <c r="T182">
        <v>18.66</v>
      </c>
      <c r="U182">
        <v>13.71</v>
      </c>
      <c r="V182">
        <v>38.6</v>
      </c>
      <c r="W182">
        <v>44.23</v>
      </c>
      <c r="X182">
        <v>25.56</v>
      </c>
      <c r="Y182">
        <v>44.76</v>
      </c>
      <c r="Z182">
        <v>41.77</v>
      </c>
      <c r="AA182">
        <v>73.61</v>
      </c>
      <c r="AB182">
        <v>54.62</v>
      </c>
      <c r="AC182">
        <v>39.67</v>
      </c>
      <c r="AD182">
        <v>518.91</v>
      </c>
      <c r="AE182">
        <v>587.73</v>
      </c>
      <c r="AF182">
        <v>42.47</v>
      </c>
      <c r="AG182">
        <v>52.59</v>
      </c>
      <c r="AH182">
        <v>45.24</v>
      </c>
      <c r="AI182">
        <v>47.55</v>
      </c>
    </row>
    <row r="183" spans="1:35" x14ac:dyDescent="0.45">
      <c r="A183" s="2">
        <v>45804</v>
      </c>
      <c r="B183">
        <v>27.9</v>
      </c>
      <c r="C183">
        <v>32.75</v>
      </c>
      <c r="D183">
        <v>19.04</v>
      </c>
      <c r="E183">
        <v>27.78</v>
      </c>
      <c r="F183">
        <v>30.82</v>
      </c>
      <c r="G183">
        <v>46.83</v>
      </c>
      <c r="H183">
        <v>24.52</v>
      </c>
      <c r="I183">
        <v>53.58</v>
      </c>
      <c r="J183">
        <v>61.13</v>
      </c>
      <c r="K183">
        <v>59.98</v>
      </c>
      <c r="L183">
        <v>27.99</v>
      </c>
      <c r="M183">
        <v>51.91</v>
      </c>
      <c r="N183">
        <v>55.02</v>
      </c>
      <c r="O183">
        <v>54.53</v>
      </c>
      <c r="P183">
        <v>54.04</v>
      </c>
      <c r="Q183">
        <v>18.91</v>
      </c>
      <c r="R183">
        <v>1187.06</v>
      </c>
      <c r="S183">
        <v>30.86</v>
      </c>
      <c r="T183">
        <v>18.62</v>
      </c>
      <c r="U183">
        <v>13.585000000000001</v>
      </c>
      <c r="V183">
        <v>38.21</v>
      </c>
      <c r="W183">
        <v>45.38</v>
      </c>
      <c r="X183">
        <v>25.87</v>
      </c>
      <c r="Y183">
        <v>44.82</v>
      </c>
      <c r="Z183">
        <v>42.31</v>
      </c>
      <c r="AA183">
        <v>74.95</v>
      </c>
      <c r="AB183">
        <v>55.2</v>
      </c>
      <c r="AC183">
        <v>40.07</v>
      </c>
      <c r="AD183">
        <v>521.22</v>
      </c>
      <c r="AE183">
        <v>591.15</v>
      </c>
      <c r="AF183">
        <v>42.92</v>
      </c>
      <c r="AG183">
        <v>53</v>
      </c>
      <c r="AH183">
        <v>45.55</v>
      </c>
      <c r="AI183">
        <v>47.66</v>
      </c>
    </row>
    <row r="184" spans="1:35" x14ac:dyDescent="0.45">
      <c r="A184" s="2">
        <v>45800</v>
      </c>
      <c r="B184">
        <v>28.2</v>
      </c>
      <c r="C184">
        <v>32.85</v>
      </c>
      <c r="D184">
        <v>19.16</v>
      </c>
      <c r="E184">
        <v>27.81</v>
      </c>
      <c r="F184">
        <v>29.85</v>
      </c>
      <c r="G184">
        <v>46.76</v>
      </c>
      <c r="H184">
        <v>24.58</v>
      </c>
      <c r="I184">
        <v>53.52</v>
      </c>
      <c r="J184">
        <v>60.67</v>
      </c>
      <c r="K184">
        <v>58.96</v>
      </c>
      <c r="L184">
        <v>27.65</v>
      </c>
      <c r="M184">
        <v>52.52</v>
      </c>
      <c r="N184">
        <v>53.23</v>
      </c>
      <c r="O184">
        <v>54.58</v>
      </c>
      <c r="P184">
        <v>54.78</v>
      </c>
      <c r="Q184">
        <v>19.149999999999999</v>
      </c>
      <c r="R184">
        <v>1195.77</v>
      </c>
      <c r="S184">
        <v>31.24</v>
      </c>
      <c r="T184">
        <v>18.45</v>
      </c>
      <c r="U184">
        <v>13.14</v>
      </c>
      <c r="V184">
        <v>39.17</v>
      </c>
      <c r="W184">
        <v>45.36</v>
      </c>
      <c r="X184">
        <v>25.65</v>
      </c>
      <c r="Y184">
        <v>44.44</v>
      </c>
      <c r="Z184">
        <v>41.26</v>
      </c>
      <c r="AA184">
        <v>73.03</v>
      </c>
      <c r="AB184">
        <v>55.03</v>
      </c>
      <c r="AC184">
        <v>39.880000000000003</v>
      </c>
      <c r="AD184">
        <v>509.24</v>
      </c>
      <c r="AE184">
        <v>579.11</v>
      </c>
      <c r="AF184">
        <v>42.4</v>
      </c>
      <c r="AG184">
        <v>52.26</v>
      </c>
      <c r="AH184">
        <v>45.32</v>
      </c>
      <c r="AI184">
        <v>46.96</v>
      </c>
    </row>
    <row r="185" spans="1:35" x14ac:dyDescent="0.45">
      <c r="A185" s="2">
        <v>45799</v>
      </c>
      <c r="B185">
        <v>28.3</v>
      </c>
      <c r="C185">
        <v>32.634999999999998</v>
      </c>
      <c r="D185">
        <v>18.91</v>
      </c>
      <c r="E185">
        <v>27.27</v>
      </c>
      <c r="F185">
        <v>29.99</v>
      </c>
      <c r="G185">
        <v>45.76</v>
      </c>
      <c r="H185">
        <v>24.24</v>
      </c>
      <c r="I185">
        <v>53.7</v>
      </c>
      <c r="J185">
        <v>59.83</v>
      </c>
      <c r="K185">
        <v>58.29</v>
      </c>
      <c r="L185">
        <v>27.52</v>
      </c>
      <c r="M185">
        <v>51.43</v>
      </c>
      <c r="N185">
        <v>53.88</v>
      </c>
      <c r="O185">
        <v>53.79</v>
      </c>
      <c r="P185">
        <v>54.75</v>
      </c>
      <c r="Q185">
        <v>19.11</v>
      </c>
      <c r="R185">
        <v>1194.49</v>
      </c>
      <c r="S185">
        <v>31.7</v>
      </c>
      <c r="T185">
        <v>18.53</v>
      </c>
      <c r="U185">
        <v>13.17</v>
      </c>
      <c r="V185">
        <v>39.28</v>
      </c>
      <c r="W185">
        <v>45.08</v>
      </c>
      <c r="X185">
        <v>25.41</v>
      </c>
      <c r="Y185">
        <v>44</v>
      </c>
      <c r="Z185">
        <v>41.64</v>
      </c>
      <c r="AA185">
        <v>72.37</v>
      </c>
      <c r="AB185">
        <v>54.77</v>
      </c>
      <c r="AC185">
        <v>39.53</v>
      </c>
      <c r="AD185">
        <v>514</v>
      </c>
      <c r="AE185">
        <v>583.09</v>
      </c>
      <c r="AF185">
        <v>42.65</v>
      </c>
      <c r="AG185">
        <v>52.54</v>
      </c>
      <c r="AH185">
        <v>45.09</v>
      </c>
      <c r="AI185">
        <v>47.54</v>
      </c>
    </row>
    <row r="186" spans="1:35" x14ac:dyDescent="0.45">
      <c r="A186" s="2">
        <v>45798</v>
      </c>
      <c r="B186">
        <v>28.4</v>
      </c>
      <c r="C186">
        <v>32.69</v>
      </c>
      <c r="D186">
        <v>18.79</v>
      </c>
      <c r="E186">
        <v>27.46</v>
      </c>
      <c r="F186">
        <v>30.09</v>
      </c>
      <c r="G186">
        <v>45.66</v>
      </c>
      <c r="H186">
        <v>24.49</v>
      </c>
      <c r="I186">
        <v>53.72</v>
      </c>
      <c r="J186">
        <v>60.32</v>
      </c>
      <c r="K186">
        <v>59.1</v>
      </c>
      <c r="L186">
        <v>27.67</v>
      </c>
      <c r="M186">
        <v>51.45</v>
      </c>
      <c r="N186">
        <v>54.14</v>
      </c>
      <c r="O186">
        <v>54.03</v>
      </c>
      <c r="P186">
        <v>54.99</v>
      </c>
      <c r="Q186">
        <v>19.18</v>
      </c>
      <c r="R186">
        <v>1216.71</v>
      </c>
      <c r="S186">
        <v>31.42</v>
      </c>
      <c r="T186">
        <v>18.57</v>
      </c>
      <c r="U186">
        <v>13.21</v>
      </c>
      <c r="V186">
        <v>39.299999999999997</v>
      </c>
      <c r="W186">
        <v>45.22</v>
      </c>
      <c r="X186">
        <v>25.41</v>
      </c>
      <c r="Y186">
        <v>43.94</v>
      </c>
      <c r="Z186">
        <v>41.68</v>
      </c>
      <c r="AA186">
        <v>72.31</v>
      </c>
      <c r="AB186">
        <v>55.04</v>
      </c>
      <c r="AC186">
        <v>39.43</v>
      </c>
      <c r="AD186">
        <v>513.04</v>
      </c>
      <c r="AE186">
        <v>582.86</v>
      </c>
      <c r="AF186">
        <v>42.71</v>
      </c>
      <c r="AG186">
        <v>52.48</v>
      </c>
      <c r="AH186">
        <v>45.94</v>
      </c>
      <c r="AI186">
        <v>47.65</v>
      </c>
    </row>
    <row r="187" spans="1:35" x14ac:dyDescent="0.45">
      <c r="A187" s="2">
        <v>45797</v>
      </c>
      <c r="B187">
        <v>28.28</v>
      </c>
      <c r="C187">
        <v>32.75</v>
      </c>
      <c r="D187">
        <v>18.53</v>
      </c>
      <c r="E187">
        <v>27.36</v>
      </c>
      <c r="F187">
        <v>30.77</v>
      </c>
      <c r="G187">
        <v>45.57</v>
      </c>
      <c r="H187">
        <v>24.5</v>
      </c>
      <c r="I187">
        <v>53.48</v>
      </c>
      <c r="J187">
        <v>60.53</v>
      </c>
      <c r="K187">
        <v>58.4</v>
      </c>
      <c r="L187">
        <v>28.16</v>
      </c>
      <c r="M187">
        <v>51.61</v>
      </c>
      <c r="N187">
        <v>53.89</v>
      </c>
      <c r="O187">
        <v>54.07</v>
      </c>
      <c r="P187">
        <v>55.2</v>
      </c>
      <c r="Q187">
        <v>19.059999999999999</v>
      </c>
      <c r="R187">
        <v>1214.3900000000001</v>
      </c>
      <c r="S187">
        <v>31.86</v>
      </c>
      <c r="T187">
        <v>18.71</v>
      </c>
      <c r="U187">
        <v>13.09</v>
      </c>
      <c r="V187">
        <v>39.89</v>
      </c>
      <c r="W187">
        <v>45.2</v>
      </c>
      <c r="X187">
        <v>25.63</v>
      </c>
      <c r="Y187">
        <v>44.19</v>
      </c>
      <c r="Z187">
        <v>41.77</v>
      </c>
      <c r="AA187">
        <v>72.989999999999995</v>
      </c>
      <c r="AB187">
        <v>55.17</v>
      </c>
      <c r="AC187">
        <v>39.61</v>
      </c>
      <c r="AD187">
        <v>520.27</v>
      </c>
      <c r="AE187">
        <v>592.85</v>
      </c>
      <c r="AF187">
        <v>43.1</v>
      </c>
      <c r="AG187">
        <v>52.8</v>
      </c>
      <c r="AH187">
        <v>46.35</v>
      </c>
      <c r="AI187">
        <v>47.84</v>
      </c>
    </row>
    <row r="188" spans="1:35" x14ac:dyDescent="0.45">
      <c r="A188" s="2">
        <v>45796</v>
      </c>
      <c r="B188">
        <v>28.14</v>
      </c>
      <c r="C188">
        <v>32.96</v>
      </c>
      <c r="D188">
        <v>18.739999999999998</v>
      </c>
      <c r="E188">
        <v>27.9</v>
      </c>
      <c r="F188">
        <v>30.53</v>
      </c>
      <c r="G188">
        <v>45.16</v>
      </c>
      <c r="H188">
        <v>24.69</v>
      </c>
      <c r="I188">
        <v>53.82</v>
      </c>
      <c r="J188">
        <v>60.57</v>
      </c>
      <c r="K188">
        <v>58.82</v>
      </c>
      <c r="L188">
        <v>28.18</v>
      </c>
      <c r="M188">
        <v>51.08</v>
      </c>
      <c r="N188">
        <v>52.9</v>
      </c>
      <c r="O188">
        <v>54.78</v>
      </c>
      <c r="P188">
        <v>54.7</v>
      </c>
      <c r="Q188">
        <v>19.05</v>
      </c>
      <c r="R188">
        <v>1210.94</v>
      </c>
      <c r="S188">
        <v>32.49</v>
      </c>
      <c r="T188">
        <v>18.649999999999999</v>
      </c>
      <c r="U188">
        <v>12.865</v>
      </c>
      <c r="V188">
        <v>39.909999999999997</v>
      </c>
      <c r="W188">
        <v>45.15</v>
      </c>
      <c r="X188">
        <v>25.63</v>
      </c>
      <c r="Y188">
        <v>44.05</v>
      </c>
      <c r="Z188">
        <v>41.56</v>
      </c>
      <c r="AA188">
        <v>72.569999999999993</v>
      </c>
      <c r="AB188">
        <v>55.02</v>
      </c>
      <c r="AC188">
        <v>39.33</v>
      </c>
      <c r="AD188">
        <v>522.01</v>
      </c>
      <c r="AE188">
        <v>594.85</v>
      </c>
      <c r="AF188">
        <v>42.73</v>
      </c>
      <c r="AG188">
        <v>52.645000000000003</v>
      </c>
      <c r="AH188">
        <v>46.19</v>
      </c>
      <c r="AI188">
        <v>47.3</v>
      </c>
    </row>
    <row r="189" spans="1:35" x14ac:dyDescent="0.45">
      <c r="A189" s="2">
        <v>45793</v>
      </c>
      <c r="B189">
        <v>28.24</v>
      </c>
      <c r="C189">
        <v>32.61</v>
      </c>
      <c r="D189">
        <v>18.39</v>
      </c>
      <c r="E189">
        <v>27.69</v>
      </c>
      <c r="F189">
        <v>30.32</v>
      </c>
      <c r="G189">
        <v>44.57</v>
      </c>
      <c r="H189">
        <v>24.87</v>
      </c>
      <c r="I189">
        <v>54.01</v>
      </c>
      <c r="J189">
        <v>59.51</v>
      </c>
      <c r="K189">
        <v>58.79</v>
      </c>
      <c r="L189">
        <v>28</v>
      </c>
      <c r="M189">
        <v>51.24</v>
      </c>
      <c r="N189">
        <v>52.5</v>
      </c>
      <c r="O189">
        <v>54.66</v>
      </c>
      <c r="P189">
        <v>54.42</v>
      </c>
      <c r="Q189">
        <v>18.88</v>
      </c>
      <c r="R189">
        <v>1206.5899999999999</v>
      </c>
      <c r="S189">
        <v>32.43</v>
      </c>
      <c r="T189">
        <v>18.48</v>
      </c>
      <c r="U189">
        <v>12.75</v>
      </c>
      <c r="V189">
        <v>40.19</v>
      </c>
      <c r="W189">
        <v>45.41</v>
      </c>
      <c r="X189">
        <v>25.47</v>
      </c>
      <c r="Y189">
        <v>43.89</v>
      </c>
      <c r="Z189">
        <v>40.85</v>
      </c>
      <c r="AA189">
        <v>72.489999999999995</v>
      </c>
      <c r="AB189">
        <v>54.41</v>
      </c>
      <c r="AC189">
        <v>38.9</v>
      </c>
      <c r="AD189">
        <v>521.51</v>
      </c>
      <c r="AE189">
        <v>594.20000000000005</v>
      </c>
      <c r="AF189">
        <v>42.25</v>
      </c>
      <c r="AG189">
        <v>52.19</v>
      </c>
      <c r="AH189">
        <v>45.61</v>
      </c>
      <c r="AI189">
        <v>46.85</v>
      </c>
    </row>
    <row r="190" spans="1:35" x14ac:dyDescent="0.45">
      <c r="A190" s="2">
        <v>45792</v>
      </c>
      <c r="B190">
        <v>28.25</v>
      </c>
      <c r="C190">
        <v>33.07</v>
      </c>
      <c r="D190">
        <v>18.27</v>
      </c>
      <c r="E190">
        <v>27.62</v>
      </c>
      <c r="F190">
        <v>30.49</v>
      </c>
      <c r="G190">
        <v>45.06</v>
      </c>
      <c r="H190">
        <v>25.08</v>
      </c>
      <c r="I190">
        <v>53.99</v>
      </c>
      <c r="J190">
        <v>59.26</v>
      </c>
      <c r="K190">
        <v>58.8</v>
      </c>
      <c r="L190">
        <v>28.01</v>
      </c>
      <c r="M190">
        <v>51.09</v>
      </c>
      <c r="N190">
        <v>52.15</v>
      </c>
      <c r="O190">
        <v>54.77</v>
      </c>
      <c r="P190">
        <v>54.57</v>
      </c>
      <c r="Q190">
        <v>18.84</v>
      </c>
      <c r="R190">
        <v>1220.27</v>
      </c>
      <c r="S190">
        <v>31.91</v>
      </c>
      <c r="T190">
        <v>18.3</v>
      </c>
      <c r="U190">
        <v>12.81</v>
      </c>
      <c r="V190">
        <v>40.130000000000003</v>
      </c>
      <c r="W190">
        <v>45.6</v>
      </c>
      <c r="X190">
        <v>25.55</v>
      </c>
      <c r="Y190">
        <v>43.83</v>
      </c>
      <c r="Z190">
        <v>40.86</v>
      </c>
      <c r="AA190">
        <v>72.3</v>
      </c>
      <c r="AB190">
        <v>54.02</v>
      </c>
      <c r="AC190">
        <v>38.799999999999997</v>
      </c>
      <c r="AD190">
        <v>519.25</v>
      </c>
      <c r="AE190">
        <v>590.46</v>
      </c>
      <c r="AF190">
        <v>42.09</v>
      </c>
      <c r="AG190">
        <v>52.25</v>
      </c>
      <c r="AH190">
        <v>45.62</v>
      </c>
      <c r="AI190">
        <v>46.53</v>
      </c>
    </row>
    <row r="191" spans="1:35" x14ac:dyDescent="0.45">
      <c r="A191" s="2">
        <v>45791</v>
      </c>
      <c r="B191">
        <v>28.58</v>
      </c>
      <c r="C191">
        <v>33.24</v>
      </c>
      <c r="D191">
        <v>17.97</v>
      </c>
      <c r="E191">
        <v>28.01</v>
      </c>
      <c r="F191">
        <v>30.68</v>
      </c>
      <c r="G191">
        <v>44.95</v>
      </c>
      <c r="H191">
        <v>25.07</v>
      </c>
      <c r="I191">
        <v>53.77</v>
      </c>
      <c r="J191">
        <v>59.36</v>
      </c>
      <c r="K191">
        <v>58.61</v>
      </c>
      <c r="L191">
        <v>28.2</v>
      </c>
      <c r="M191">
        <v>50.22</v>
      </c>
      <c r="N191">
        <v>52.22</v>
      </c>
      <c r="O191">
        <v>53.97</v>
      </c>
      <c r="P191">
        <v>55.6</v>
      </c>
      <c r="Q191">
        <v>18.829999999999998</v>
      </c>
      <c r="R191">
        <v>1187.8599999999999</v>
      </c>
      <c r="S191">
        <v>32.479999999999997</v>
      </c>
      <c r="T191">
        <v>18.16</v>
      </c>
      <c r="U191">
        <v>12.82</v>
      </c>
      <c r="V191">
        <v>40.21</v>
      </c>
      <c r="W191">
        <v>45.33</v>
      </c>
      <c r="X191">
        <v>25.16</v>
      </c>
      <c r="Y191">
        <v>43.44</v>
      </c>
      <c r="Z191">
        <v>40.340000000000003</v>
      </c>
      <c r="AA191">
        <v>71.45</v>
      </c>
      <c r="AB191">
        <v>52.94</v>
      </c>
      <c r="AC191">
        <v>38.25</v>
      </c>
      <c r="AD191">
        <v>518.67999999999995</v>
      </c>
      <c r="AE191">
        <v>587.59</v>
      </c>
      <c r="AF191">
        <v>41.88</v>
      </c>
      <c r="AG191">
        <v>52.2</v>
      </c>
      <c r="AH191">
        <v>45.11</v>
      </c>
      <c r="AI191">
        <v>46.26</v>
      </c>
    </row>
    <row r="192" spans="1:35" x14ac:dyDescent="0.45">
      <c r="A192" s="2">
        <v>45790</v>
      </c>
      <c r="B192">
        <v>28.34</v>
      </c>
      <c r="C192">
        <v>32.56</v>
      </c>
      <c r="D192">
        <v>17.54</v>
      </c>
      <c r="E192">
        <v>28.06</v>
      </c>
      <c r="F192">
        <v>30.8</v>
      </c>
      <c r="G192">
        <v>45.11</v>
      </c>
      <c r="H192">
        <v>24.87</v>
      </c>
      <c r="I192">
        <v>53.28</v>
      </c>
      <c r="J192">
        <v>59.08</v>
      </c>
      <c r="K192">
        <v>58.12</v>
      </c>
      <c r="L192">
        <v>28.33</v>
      </c>
      <c r="M192">
        <v>50.41</v>
      </c>
      <c r="N192">
        <v>52.07</v>
      </c>
      <c r="O192">
        <v>54.01</v>
      </c>
      <c r="P192">
        <v>54.7</v>
      </c>
      <c r="Q192">
        <v>18.755299999999998</v>
      </c>
      <c r="R192">
        <v>1198.98</v>
      </c>
      <c r="S192">
        <v>32.46</v>
      </c>
      <c r="T192">
        <v>18.36</v>
      </c>
      <c r="U192">
        <v>12.74</v>
      </c>
      <c r="V192">
        <v>40.299999999999997</v>
      </c>
      <c r="W192">
        <v>45.62</v>
      </c>
      <c r="X192">
        <v>25.42</v>
      </c>
      <c r="Y192">
        <v>43.4</v>
      </c>
      <c r="Z192">
        <v>40.590000000000003</v>
      </c>
      <c r="AA192">
        <v>72.25</v>
      </c>
      <c r="AB192">
        <v>53.19</v>
      </c>
      <c r="AC192">
        <v>38.42</v>
      </c>
      <c r="AD192">
        <v>515.59</v>
      </c>
      <c r="AE192">
        <v>586.84</v>
      </c>
      <c r="AF192">
        <v>42.1</v>
      </c>
      <c r="AG192">
        <v>52.04</v>
      </c>
      <c r="AH192">
        <v>45.23</v>
      </c>
      <c r="AI192">
        <v>46</v>
      </c>
    </row>
    <row r="193" spans="1:35" x14ac:dyDescent="0.45">
      <c r="A193" s="2">
        <v>45789</v>
      </c>
      <c r="B193">
        <v>28.45</v>
      </c>
      <c r="C193">
        <v>32.35</v>
      </c>
      <c r="D193">
        <v>17.399999999999999</v>
      </c>
      <c r="E193">
        <v>27.75</v>
      </c>
      <c r="F193">
        <v>30.5</v>
      </c>
      <c r="G193">
        <v>44.74</v>
      </c>
      <c r="H193">
        <v>24.5</v>
      </c>
      <c r="I193">
        <v>52.95</v>
      </c>
      <c r="J193">
        <v>57.84</v>
      </c>
      <c r="K193">
        <v>58.04</v>
      </c>
      <c r="L193">
        <v>27.49</v>
      </c>
      <c r="M193">
        <v>50.19</v>
      </c>
      <c r="N193">
        <v>51.6</v>
      </c>
      <c r="O193">
        <v>54.32</v>
      </c>
      <c r="P193">
        <v>55.06</v>
      </c>
      <c r="Q193">
        <v>18.7</v>
      </c>
      <c r="R193">
        <v>1197.26</v>
      </c>
      <c r="S193">
        <v>32.619999999999997</v>
      </c>
      <c r="T193">
        <v>18.13</v>
      </c>
      <c r="U193">
        <v>12.69</v>
      </c>
      <c r="V193">
        <v>40.04</v>
      </c>
      <c r="W193">
        <v>44.75</v>
      </c>
      <c r="X193">
        <v>25.18</v>
      </c>
      <c r="Y193">
        <v>43.08</v>
      </c>
      <c r="Z193">
        <v>40.380000000000003</v>
      </c>
      <c r="AA193">
        <v>72.8</v>
      </c>
      <c r="AB193">
        <v>53.53</v>
      </c>
      <c r="AC193">
        <v>38.24</v>
      </c>
      <c r="AD193">
        <v>507.85</v>
      </c>
      <c r="AE193">
        <v>582.99</v>
      </c>
      <c r="AF193">
        <v>41.81</v>
      </c>
      <c r="AG193">
        <v>51.6</v>
      </c>
      <c r="AH193">
        <v>45.09</v>
      </c>
      <c r="AI193">
        <v>45.66</v>
      </c>
    </row>
    <row r="194" spans="1:35" x14ac:dyDescent="0.45">
      <c r="A194" s="2">
        <v>45786</v>
      </c>
      <c r="B194">
        <v>27.78</v>
      </c>
      <c r="C194">
        <v>32.200000000000003</v>
      </c>
      <c r="D194">
        <v>17.41</v>
      </c>
      <c r="E194">
        <v>27.62</v>
      </c>
      <c r="F194">
        <v>30.88</v>
      </c>
      <c r="G194">
        <v>45.330300000000001</v>
      </c>
      <c r="H194">
        <v>24.45</v>
      </c>
      <c r="I194">
        <v>51.75</v>
      </c>
      <c r="J194">
        <v>58.12</v>
      </c>
      <c r="K194">
        <v>57.69</v>
      </c>
      <c r="L194">
        <v>27.56</v>
      </c>
      <c r="M194">
        <v>50.64</v>
      </c>
      <c r="N194">
        <v>51.048299999999998</v>
      </c>
      <c r="O194">
        <v>52.39</v>
      </c>
      <c r="P194">
        <v>53.25</v>
      </c>
      <c r="Q194">
        <v>18.690000000000001</v>
      </c>
      <c r="R194">
        <v>1171.1199999999999</v>
      </c>
      <c r="S194">
        <v>31.41</v>
      </c>
      <c r="T194">
        <v>18.149999999999999</v>
      </c>
      <c r="U194">
        <v>12.49</v>
      </c>
      <c r="V194">
        <v>39.54</v>
      </c>
      <c r="W194">
        <v>45.17</v>
      </c>
      <c r="X194">
        <v>25.01</v>
      </c>
      <c r="Y194">
        <v>42.85</v>
      </c>
      <c r="Z194">
        <v>40.770000000000003</v>
      </c>
      <c r="AA194">
        <v>72.010000000000005</v>
      </c>
      <c r="AB194">
        <v>53.58</v>
      </c>
      <c r="AC194">
        <v>38.29</v>
      </c>
      <c r="AD194">
        <v>487.97</v>
      </c>
      <c r="AE194">
        <v>564.34</v>
      </c>
      <c r="AF194">
        <v>41.68</v>
      </c>
      <c r="AG194">
        <v>50.79</v>
      </c>
      <c r="AH194">
        <v>44.38</v>
      </c>
      <c r="AI194">
        <v>45.81</v>
      </c>
    </row>
    <row r="195" spans="1:35" x14ac:dyDescent="0.45">
      <c r="A195" s="2">
        <v>45785</v>
      </c>
      <c r="B195">
        <v>27.85</v>
      </c>
      <c r="C195">
        <v>32.15</v>
      </c>
      <c r="D195">
        <v>17.45</v>
      </c>
      <c r="E195">
        <v>27.16</v>
      </c>
      <c r="F195">
        <v>29.94</v>
      </c>
      <c r="G195">
        <v>45.02</v>
      </c>
      <c r="H195">
        <v>24.31</v>
      </c>
      <c r="I195">
        <v>51.16</v>
      </c>
      <c r="J195">
        <v>58.11</v>
      </c>
      <c r="K195">
        <v>57.2</v>
      </c>
      <c r="L195">
        <v>27.48</v>
      </c>
      <c r="M195">
        <v>49.85</v>
      </c>
      <c r="N195">
        <v>50.26</v>
      </c>
      <c r="O195">
        <v>51.54</v>
      </c>
      <c r="P195">
        <v>53.45</v>
      </c>
      <c r="Q195">
        <v>18.614999999999998</v>
      </c>
      <c r="R195">
        <v>1159.53</v>
      </c>
      <c r="S195">
        <v>31.19</v>
      </c>
      <c r="T195">
        <v>18.14</v>
      </c>
      <c r="U195">
        <v>12.6</v>
      </c>
      <c r="V195">
        <v>39.44</v>
      </c>
      <c r="W195">
        <v>44.23</v>
      </c>
      <c r="X195">
        <v>24.83</v>
      </c>
      <c r="Y195">
        <v>42.81</v>
      </c>
      <c r="Z195">
        <v>40.46</v>
      </c>
      <c r="AA195">
        <v>71.83</v>
      </c>
      <c r="AB195">
        <v>53.58</v>
      </c>
      <c r="AC195">
        <v>38.11</v>
      </c>
      <c r="AD195">
        <v>488.29</v>
      </c>
      <c r="AE195">
        <v>565.05999999999995</v>
      </c>
      <c r="AF195">
        <v>41.32</v>
      </c>
      <c r="AG195">
        <v>50.32</v>
      </c>
      <c r="AH195">
        <v>44.26</v>
      </c>
      <c r="AI195">
        <v>45.36</v>
      </c>
    </row>
    <row r="196" spans="1:35" x14ac:dyDescent="0.45">
      <c r="A196" s="2">
        <v>45784</v>
      </c>
      <c r="B196">
        <v>27.58</v>
      </c>
      <c r="C196">
        <v>31.75</v>
      </c>
      <c r="D196">
        <v>17.71</v>
      </c>
      <c r="E196">
        <v>27.56</v>
      </c>
      <c r="F196">
        <v>29.66</v>
      </c>
      <c r="G196">
        <v>44.79</v>
      </c>
      <c r="H196">
        <v>24.68</v>
      </c>
      <c r="I196">
        <v>51</v>
      </c>
      <c r="J196">
        <v>59.09</v>
      </c>
      <c r="K196">
        <v>57.79</v>
      </c>
      <c r="L196">
        <v>26.4</v>
      </c>
      <c r="M196">
        <v>50.23</v>
      </c>
      <c r="N196">
        <v>50.37</v>
      </c>
      <c r="O196">
        <v>53.22</v>
      </c>
      <c r="P196">
        <v>52.69</v>
      </c>
      <c r="Q196">
        <v>18.510000000000002</v>
      </c>
      <c r="R196">
        <v>1159</v>
      </c>
      <c r="S196">
        <v>30.31</v>
      </c>
      <c r="T196">
        <v>18.18</v>
      </c>
      <c r="U196">
        <v>12.42</v>
      </c>
      <c r="V196">
        <v>39.53</v>
      </c>
      <c r="W196">
        <v>44.56</v>
      </c>
      <c r="X196">
        <v>24.89</v>
      </c>
      <c r="Y196">
        <v>42.89</v>
      </c>
      <c r="Z196">
        <v>40.44</v>
      </c>
      <c r="AA196">
        <v>71.98</v>
      </c>
      <c r="AB196">
        <v>54.15</v>
      </c>
      <c r="AC196">
        <v>38.43</v>
      </c>
      <c r="AD196">
        <v>483.3</v>
      </c>
      <c r="AE196">
        <v>561.15</v>
      </c>
      <c r="AF196">
        <v>41.32</v>
      </c>
      <c r="AG196">
        <v>50.21</v>
      </c>
      <c r="AH196">
        <v>44.38</v>
      </c>
      <c r="AI196">
        <v>44.99</v>
      </c>
    </row>
    <row r="197" spans="1:35" x14ac:dyDescent="0.45">
      <c r="A197" s="2">
        <v>45783</v>
      </c>
      <c r="B197">
        <v>27.82</v>
      </c>
      <c r="C197">
        <v>31.62</v>
      </c>
      <c r="D197">
        <v>17.739999999999998</v>
      </c>
      <c r="E197">
        <v>27.35</v>
      </c>
      <c r="F197">
        <v>29.48</v>
      </c>
      <c r="G197">
        <v>45.45</v>
      </c>
      <c r="H197">
        <v>24.64</v>
      </c>
      <c r="I197">
        <v>51.56</v>
      </c>
      <c r="J197">
        <v>58.39</v>
      </c>
      <c r="K197">
        <v>58.5</v>
      </c>
      <c r="L197">
        <v>26.61</v>
      </c>
      <c r="M197">
        <v>50.71</v>
      </c>
      <c r="N197">
        <v>50.13</v>
      </c>
      <c r="O197">
        <v>53.68</v>
      </c>
      <c r="P197">
        <v>53.95</v>
      </c>
      <c r="Q197">
        <v>18.55</v>
      </c>
      <c r="R197">
        <v>1146.8599999999999</v>
      </c>
      <c r="S197">
        <v>30.76</v>
      </c>
      <c r="T197">
        <v>18.309999999999999</v>
      </c>
      <c r="U197">
        <v>12.22</v>
      </c>
      <c r="V197">
        <v>39.72</v>
      </c>
      <c r="W197">
        <v>44.82</v>
      </c>
      <c r="X197">
        <v>25.05</v>
      </c>
      <c r="Y197">
        <v>42.77</v>
      </c>
      <c r="Z197">
        <v>40.67</v>
      </c>
      <c r="AA197">
        <v>72.430000000000007</v>
      </c>
      <c r="AB197">
        <v>54.34</v>
      </c>
      <c r="AC197">
        <v>38.57</v>
      </c>
      <c r="AD197">
        <v>481.41</v>
      </c>
      <c r="AE197">
        <v>558.79999999999995</v>
      </c>
      <c r="AF197">
        <v>41.62</v>
      </c>
      <c r="AG197">
        <v>49.98</v>
      </c>
      <c r="AH197">
        <v>44.18</v>
      </c>
      <c r="AI197">
        <v>45.22</v>
      </c>
    </row>
    <row r="198" spans="1:35" x14ac:dyDescent="0.45">
      <c r="A198" s="2">
        <v>45782</v>
      </c>
      <c r="B198">
        <v>27.7</v>
      </c>
      <c r="C198">
        <v>31.58</v>
      </c>
      <c r="D198">
        <v>17.649999999999999</v>
      </c>
      <c r="E198">
        <v>27.03</v>
      </c>
      <c r="F198">
        <v>29.83</v>
      </c>
      <c r="G198">
        <v>44.700299999999999</v>
      </c>
      <c r="H198">
        <v>24.86</v>
      </c>
      <c r="I198">
        <v>52.96</v>
      </c>
      <c r="J198">
        <v>56.68</v>
      </c>
      <c r="K198">
        <v>58.38</v>
      </c>
      <c r="L198">
        <v>26.71</v>
      </c>
      <c r="M198">
        <v>50.44</v>
      </c>
      <c r="N198">
        <v>50.44</v>
      </c>
      <c r="O198">
        <v>54.32</v>
      </c>
      <c r="P198">
        <v>53.4</v>
      </c>
      <c r="Q198">
        <v>18.55</v>
      </c>
      <c r="R198">
        <v>1153.77</v>
      </c>
      <c r="S198">
        <v>30.7</v>
      </c>
      <c r="T198">
        <v>18.23</v>
      </c>
      <c r="U198">
        <v>12.27</v>
      </c>
      <c r="V198">
        <v>39.71</v>
      </c>
      <c r="W198">
        <v>44.49</v>
      </c>
      <c r="X198">
        <v>24.99</v>
      </c>
      <c r="Y198">
        <v>42.66</v>
      </c>
      <c r="Z198">
        <v>40.72</v>
      </c>
      <c r="AA198">
        <v>72.39</v>
      </c>
      <c r="AB198">
        <v>54.64</v>
      </c>
      <c r="AC198">
        <v>38.64</v>
      </c>
      <c r="AD198">
        <v>485.93</v>
      </c>
      <c r="AE198">
        <v>563.51</v>
      </c>
      <c r="AF198">
        <v>41.84</v>
      </c>
      <c r="AG198">
        <v>50.14</v>
      </c>
      <c r="AH198">
        <v>44.28</v>
      </c>
      <c r="AI198">
        <v>45.07</v>
      </c>
    </row>
    <row r="199" spans="1:35" x14ac:dyDescent="0.45">
      <c r="A199" s="2">
        <v>45779</v>
      </c>
      <c r="B199">
        <v>27.66</v>
      </c>
      <c r="C199">
        <v>31.35</v>
      </c>
      <c r="D199">
        <v>17.63</v>
      </c>
      <c r="E199">
        <v>27.27</v>
      </c>
      <c r="F199">
        <v>30.09</v>
      </c>
      <c r="G199">
        <v>44.44</v>
      </c>
      <c r="H199">
        <v>24.85</v>
      </c>
      <c r="I199">
        <v>50.95</v>
      </c>
      <c r="J199">
        <v>56.94</v>
      </c>
      <c r="K199">
        <v>57.71</v>
      </c>
      <c r="L199">
        <v>27.12</v>
      </c>
      <c r="M199">
        <v>50.19</v>
      </c>
      <c r="N199">
        <v>50.1</v>
      </c>
      <c r="O199">
        <v>53.91</v>
      </c>
      <c r="P199">
        <v>53.42</v>
      </c>
      <c r="Q199">
        <v>18.54</v>
      </c>
      <c r="R199">
        <v>1144.05</v>
      </c>
      <c r="S199">
        <v>30.94</v>
      </c>
      <c r="T199">
        <v>18.14</v>
      </c>
      <c r="U199">
        <v>12.24</v>
      </c>
      <c r="V199">
        <v>40.33</v>
      </c>
      <c r="W199">
        <v>44.29</v>
      </c>
      <c r="X199">
        <v>25.31</v>
      </c>
      <c r="Y199">
        <v>42.84</v>
      </c>
      <c r="Z199">
        <v>40.340000000000003</v>
      </c>
      <c r="AA199">
        <v>71.89</v>
      </c>
      <c r="AB199">
        <v>54.47</v>
      </c>
      <c r="AC199">
        <v>38.6</v>
      </c>
      <c r="AD199">
        <v>488.83</v>
      </c>
      <c r="AE199">
        <v>566.76</v>
      </c>
      <c r="AF199">
        <v>41.86</v>
      </c>
      <c r="AG199">
        <v>50.27</v>
      </c>
      <c r="AH199">
        <v>44.55</v>
      </c>
      <c r="AI199">
        <v>44.99</v>
      </c>
    </row>
    <row r="200" spans="1:35" x14ac:dyDescent="0.45">
      <c r="A200" s="2">
        <v>45778</v>
      </c>
      <c r="B200">
        <v>26.92</v>
      </c>
      <c r="C200">
        <v>31.07</v>
      </c>
      <c r="D200">
        <v>17.3</v>
      </c>
      <c r="E200">
        <v>26.86</v>
      </c>
      <c r="F200">
        <v>29.45</v>
      </c>
      <c r="G200">
        <v>43.74</v>
      </c>
      <c r="H200">
        <v>24.12</v>
      </c>
      <c r="I200">
        <v>47.82</v>
      </c>
      <c r="J200">
        <v>56.67</v>
      </c>
      <c r="K200">
        <v>55.6</v>
      </c>
      <c r="L200">
        <v>26.88</v>
      </c>
      <c r="M200">
        <v>49.27</v>
      </c>
      <c r="N200">
        <v>49.3</v>
      </c>
      <c r="O200">
        <v>53.54</v>
      </c>
      <c r="P200">
        <v>51.59</v>
      </c>
      <c r="Q200">
        <v>18.34</v>
      </c>
      <c r="R200">
        <v>1134.71</v>
      </c>
      <c r="S200">
        <v>30.66</v>
      </c>
      <c r="T200">
        <v>17.96</v>
      </c>
      <c r="U200">
        <v>12.11</v>
      </c>
      <c r="V200">
        <v>40.01</v>
      </c>
      <c r="W200">
        <v>43.06</v>
      </c>
      <c r="X200">
        <v>24.65</v>
      </c>
      <c r="Y200">
        <v>42.31</v>
      </c>
      <c r="Z200">
        <v>39.46</v>
      </c>
      <c r="AA200">
        <v>71.17</v>
      </c>
      <c r="AB200">
        <v>53.52</v>
      </c>
      <c r="AC200">
        <v>37.880000000000003</v>
      </c>
      <c r="AD200">
        <v>481.68</v>
      </c>
      <c r="AE200">
        <v>558.47</v>
      </c>
      <c r="AF200">
        <v>41.07</v>
      </c>
      <c r="AG200">
        <v>48.78</v>
      </c>
      <c r="AH200">
        <v>43.12</v>
      </c>
      <c r="AI200">
        <v>44.26</v>
      </c>
    </row>
    <row r="201" spans="1:35" x14ac:dyDescent="0.45">
      <c r="A201" s="2">
        <v>45777</v>
      </c>
      <c r="B201">
        <v>27.06</v>
      </c>
      <c r="C201">
        <v>31.13</v>
      </c>
      <c r="D201">
        <v>17.309999999999999</v>
      </c>
      <c r="E201">
        <v>26.89</v>
      </c>
      <c r="F201">
        <v>29.48</v>
      </c>
      <c r="G201">
        <v>44.33</v>
      </c>
      <c r="H201">
        <v>24.17</v>
      </c>
      <c r="I201">
        <v>47.48</v>
      </c>
      <c r="J201">
        <v>56.97</v>
      </c>
      <c r="K201">
        <v>56.19</v>
      </c>
      <c r="L201">
        <v>27.04</v>
      </c>
      <c r="M201">
        <v>49.52</v>
      </c>
      <c r="N201">
        <v>49.52</v>
      </c>
      <c r="O201">
        <v>53.57</v>
      </c>
      <c r="P201">
        <v>51.66</v>
      </c>
      <c r="Q201">
        <v>18.309999999999999</v>
      </c>
      <c r="R201">
        <v>1150.95</v>
      </c>
      <c r="S201">
        <v>30.67</v>
      </c>
      <c r="T201">
        <v>17.88</v>
      </c>
      <c r="U201">
        <v>12.07</v>
      </c>
      <c r="V201">
        <v>40.43</v>
      </c>
      <c r="W201">
        <v>42.61</v>
      </c>
      <c r="X201">
        <v>24.67</v>
      </c>
      <c r="Y201">
        <v>42.45</v>
      </c>
      <c r="Z201">
        <v>39.49</v>
      </c>
      <c r="AA201">
        <v>71.430000000000007</v>
      </c>
      <c r="AB201">
        <v>53.86</v>
      </c>
      <c r="AC201">
        <v>38.1</v>
      </c>
      <c r="AD201">
        <v>475.47</v>
      </c>
      <c r="AE201">
        <v>554.54</v>
      </c>
      <c r="AF201">
        <v>41.04</v>
      </c>
      <c r="AG201">
        <v>48.85</v>
      </c>
      <c r="AH201">
        <v>43.64</v>
      </c>
      <c r="AI201">
        <v>44.21</v>
      </c>
    </row>
    <row r="202" spans="1:35" x14ac:dyDescent="0.45">
      <c r="A202" s="2">
        <v>45776</v>
      </c>
      <c r="B202">
        <v>27.14</v>
      </c>
      <c r="C202">
        <v>31.44</v>
      </c>
      <c r="D202">
        <v>17.100000000000001</v>
      </c>
      <c r="E202">
        <v>26.41</v>
      </c>
      <c r="F202">
        <v>30.3</v>
      </c>
      <c r="G202">
        <v>44.8</v>
      </c>
      <c r="H202">
        <v>23.7</v>
      </c>
      <c r="I202">
        <v>47.15</v>
      </c>
      <c r="J202">
        <v>56.42</v>
      </c>
      <c r="K202">
        <v>56.1</v>
      </c>
      <c r="L202">
        <v>27.36</v>
      </c>
      <c r="M202">
        <v>49.14</v>
      </c>
      <c r="N202">
        <v>49.99</v>
      </c>
      <c r="O202">
        <v>53.54</v>
      </c>
      <c r="P202">
        <v>51.68</v>
      </c>
      <c r="Q202">
        <v>18.2</v>
      </c>
      <c r="R202">
        <v>1141.28</v>
      </c>
      <c r="S202">
        <v>31.18</v>
      </c>
      <c r="T202">
        <v>17.989999999999998</v>
      </c>
      <c r="U202">
        <v>12.05</v>
      </c>
      <c r="V202">
        <v>40.74</v>
      </c>
      <c r="W202">
        <v>43.35</v>
      </c>
      <c r="X202">
        <v>24.55</v>
      </c>
      <c r="Y202">
        <v>42.45</v>
      </c>
      <c r="Z202">
        <v>39.67</v>
      </c>
      <c r="AA202">
        <v>72.02</v>
      </c>
      <c r="AB202">
        <v>53.67</v>
      </c>
      <c r="AC202">
        <v>38.35</v>
      </c>
      <c r="AD202">
        <v>475.53</v>
      </c>
      <c r="AE202">
        <v>554.32000000000005</v>
      </c>
      <c r="AF202">
        <v>40.94</v>
      </c>
      <c r="AG202">
        <v>48.92</v>
      </c>
      <c r="AH202">
        <v>43</v>
      </c>
      <c r="AI202">
        <v>44.67</v>
      </c>
    </row>
    <row r="204" spans="1:35" x14ac:dyDescent="0.45">
      <c r="A204" t="s">
        <v>78</v>
      </c>
      <c r="B204">
        <f>AVERAGE(_xlfn.ANCHORARRAY(B2))</f>
        <v>32.179581094527357</v>
      </c>
      <c r="C204">
        <f t="shared" ref="C204:AI204" si="0">AVERAGE(_xlfn.ANCHORARRAY(C2))</f>
        <v>35.180373134328356</v>
      </c>
      <c r="D204">
        <f t="shared" si="0"/>
        <v>18.12587064676616</v>
      </c>
      <c r="E204">
        <f t="shared" si="0"/>
        <v>26.046354228855726</v>
      </c>
      <c r="F204">
        <f t="shared" si="0"/>
        <v>33.147910447761191</v>
      </c>
      <c r="G204">
        <f t="shared" si="0"/>
        <v>60.054856716417966</v>
      </c>
      <c r="H204">
        <f t="shared" si="0"/>
        <v>25.775920398009944</v>
      </c>
      <c r="I204">
        <f t="shared" si="0"/>
        <v>61.395323383084552</v>
      </c>
      <c r="J204">
        <f t="shared" si="0"/>
        <v>65.393681592039783</v>
      </c>
      <c r="K204">
        <f t="shared" si="0"/>
        <v>83.722935323383055</v>
      </c>
      <c r="L204">
        <f t="shared" si="0"/>
        <v>30.436218905472639</v>
      </c>
      <c r="M204">
        <f t="shared" si="0"/>
        <v>61.515422885572129</v>
      </c>
      <c r="N204">
        <f t="shared" si="0"/>
        <v>63.194512935323381</v>
      </c>
      <c r="O204">
        <f t="shared" si="0"/>
        <v>53.691965174129365</v>
      </c>
      <c r="P204">
        <f t="shared" si="0"/>
        <v>60.026343283582165</v>
      </c>
      <c r="Q204">
        <f t="shared" si="0"/>
        <v>19.249153731343288</v>
      </c>
      <c r="R204">
        <f t="shared" si="0"/>
        <v>1240.7916915422879</v>
      </c>
      <c r="S204">
        <f t="shared" si="0"/>
        <v>34.134700497512412</v>
      </c>
      <c r="T204">
        <f t="shared" si="0"/>
        <v>19.333913432835828</v>
      </c>
      <c r="U204">
        <f t="shared" si="0"/>
        <v>16.786492537313439</v>
      </c>
      <c r="V204">
        <f t="shared" si="0"/>
        <v>38.493383084577125</v>
      </c>
      <c r="W204">
        <f t="shared" si="0"/>
        <v>45.669089552238773</v>
      </c>
      <c r="X204">
        <f t="shared" si="0"/>
        <v>26.523930348258705</v>
      </c>
      <c r="Y204">
        <f t="shared" si="0"/>
        <v>49.476965174129347</v>
      </c>
      <c r="Z204">
        <f t="shared" si="0"/>
        <v>41.834726368159231</v>
      </c>
      <c r="AA204">
        <f t="shared" si="0"/>
        <v>79.294776119402997</v>
      </c>
      <c r="AB204">
        <f t="shared" si="0"/>
        <v>56.553432835820921</v>
      </c>
      <c r="AC204">
        <f t="shared" si="0"/>
        <v>41.920049751243774</v>
      </c>
      <c r="AD204">
        <f t="shared" si="0"/>
        <v>580.72865671641785</v>
      </c>
      <c r="AE204">
        <f t="shared" si="0"/>
        <v>648.18532338308455</v>
      </c>
      <c r="AF204">
        <f t="shared" si="0"/>
        <v>43.780199004975152</v>
      </c>
      <c r="AG204">
        <f t="shared" si="0"/>
        <v>56.076871144278662</v>
      </c>
      <c r="AH204">
        <f t="shared" si="0"/>
        <v>47.39009950248758</v>
      </c>
      <c r="AI204">
        <f t="shared" si="0"/>
        <v>51.008457711442773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1171172"><![CDATA[{"EWJ^FG_PRICE(0,-200D)":[93.85,93.37,93.97,93.1,91.29,89.4,86.1,87.49,86.68,85.89,85.72,86.09,85.21,85.84,84.63,84.56,84.86,84.78,83.72,85.48,85.42,85.04,84.45,85.29,84.61,82.86,82.92,83.07,83.13,81.33,80.74,80.98,81.09,80.97,81.0,81.14,80.46,80.58,79.97,79.74,80.85,84.87,84.0,84.22,83.91,83.31,83.19,83.7,83.62,82.61,82.47,82.53,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,72.49,72.3,71.45,72.25,72.8,72.01,71.83,71.98,72.43,72.39,71.89,71.17,71.43,72.02],"TUR^FG_PRICE(0,-200D)":[42.22,41.91,41.21,40.97,41.54,40.84,40.66,41.37,41.54,41.14,41.25,41.58,40.39,39.56,39.86,39.43,39.08,38.64,38.87,38.41,37.94,37.59,37.73,37.54,37.16,36.73,36.63,36.77,35.81,34.92,34.42,34.42,34.41,34.76,34.87,34.815,34.61,34.86,34.82,34.735,34.71,35.29,34.82,34.82,34.73,34.66,34.42,33.84,33.55,33.87,34.1,34.03,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,32.43,31.91,32.48,32.46,32.62,31.41,31.19,30.31,30.76,30.7,30.94,30.66,30.67,31.18],"EWY^FG_PRICE(0,-200D)":[133.97,130.8,130.6,124.45,126.05,124.71,120.21,120.26,124.32,120.93,122.41,124.5,125.56,122.7,117.32,117.97,115.99,115.66,110.97,112.22,111.05,109.64,107.54,108.93,108.89,106.59,107.03,107.61,104.83,102.22,97.22,98.62,98.72,95.84,94.6,92.7,91.75,91.34,90.07,88.58,89.52,92.73,92.67,94.96,96.75,95.57,95.07,94.3,91.87,93.0,92.07,90.62,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,58.79,58.8,58.61,58.12,58.04,57.69,57.2,57.79,58.5,58.38,57.71,55.6,56.19,56.1],"ECH^FG_PRICE(0,-200D)":[43.81,44.25,45.35,44.54,46.17,45.24,45.19,45.66,47.19,46.05,45.24,46.875,47.06,47.37,46.78,46.4,46.175,45.2,43.89,44.09,44.15,44.51,44.34,43.87,42.85,42.75,42.39,42.55,41.6,40.37,40.4,40.54,40.15,40.29,40.03,39.92,39.79,39.31,38.69,38.28,38.84,38.995,39.78,39.28,38.75,38.34,38.24,38.18,38.51,38.62,38.29,37.69,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,32.61,33.07,33.24,32.56,32.35,32.2,32.15,31.75,31.62,31.58,31.35,31.07,31.13,31.44],"KSA^FG_TOTAL_RETURNC(-5AY,0,AM)":[-0.4662633,7.026863,4.668796,3.2060266,5.660093,-0.07741451,6.3016534,1.2633681,2.8310895,2.7531505,-9.618741,11.95997,1.4689326,3.830731,7.4860573,-5.467975,-7.981533,-6.632769,13.193059,-5.401272,-2.7276874,-0.45152903,-10.097832,5.50189,-3.3324897,-2.8947353,9.132791,1.5892744,2.1025896,3.2461286,-4.763019,-2.3651123,-7.3933897,4.8773885,6.1054826,6.091094,2.2684813,2.1266818,-1.5226185,-2.7057707,-4.8580112,2.8671145,-0.6786227,0.6588578,1.4545441,-1.0274827,1.8831491,-0.30508637,2.9803753,-5.8352947,-1.0994494,1.819098,-7.866001,6.510079,-3.7284672,-1.9230723,10.811543,-4.816908,-3.4340262,3.4099698,2.4862647],"GREK^FG_TOTAL_RETURNC(-5AY,0,AM)":[-4.905808,10.028887,5.1012754,2.6766539,4.275286,-8.866668,2.3043156,2.2624254,-3.2961845,1.0846019,-4.506433,9.380341,2.6242137,-16.808731,14.344263,-10.17921,-4.2298436,-7.263899,12.792789,-8.666134,-0.39352775,14.003504,3.196001,9.527373,12.687874,-6.823826,7.5232983,-1.1145473,13.525354,8.354675,-3.7634432,-8.752328,-5.422741,7.64488,7.8178763,5.738771,0.7432103,1.628077,-3.0287862,8.105314,-2.8772712,3.5754442,-1.2380958,0.43394566,-0.4666388,-3.5344958,2.7534962,0.10726452,8.441055,9.467053,-1.9432068,13.392866,7.5475335,10.563051,9.542537,-2.454722,0.67516565,-1.4327109,3.9740205,4.7796607,4.2029023],"EPOL^FG_TOTAL_RETURNC(-5AY,0,AM)":[-1.9959152,0.36553144,-0.36420226,7.362926,7.634592,-2.1295846,3.0092597,4.5842767,1.2892127,-4.1578236,-8.679628,11.758936,-10.960108,-15.706545,8.820081,-19.26999,-3.3169389,-8.119363,12.6132965,-16.968477,-10.016155,31.597841,6.196642,10.653591,-6.851739,-3.2974005,10.163927,5.7142973,3.4909844,10.826993,-0.8345604,-12.128716,0.90141296,12.004459,14.705885,-3.3389807,0.8792162,9.128451,-2.3539364,8.092987,-6.8458614,10.932053,-7.3812304,1.4836788,-0.29239655,-8.253044,3.6986232,-2.6456475,21.522558,6.651199,-1.1965215,13.027525,-3.0519426,8.866334,6.635368,-5.253893,0.40272474,5.307007,3.1350732,6.0127735,4.3779373],"EWG^FG_PRICE(0,-200D)":[43.97,43.96,44.05,44.22,44.32,43.53,42.84,43.25,43.51,43.48,43.11,43.44,44.01,44.3,43.84,43.48,43.1,42.82,42.54,43.34,43.24,43.49,43.57,43.83,43.41,43.31,43.26,43.13,43.05,42.56,42.5,42.75,42.51,42.65,42.57,42.44,42.34,42.1,41.94,41.61,42.03,42.1,42.18,42.39,41.94,41.53,41.34,41.41,41.14,40.95,40.89,40.52,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,40.85,40.86,40.34,40.59,40.38,40.77,40.46,40.44,40.67,40.72,40.34,39.46,39.49,39.67],"SET-BKK^FG_PRICE(0,-200D)":[1430.41,1441.53,1411.7,1410.44,1400.89,1354.01,1346.23,1346.54,1336.11,1321.42,1325.62,1331.07,1338.9,1334.45,1307.07,1314.39,1311.64,1317.56,1296.37,1283.2,1275.6,1261.39,1244.3,1235.3,1242.2,1254.09,1253.6,1280.82,1274.75,1280.05,1259.67,1254.03,1259.25,1264.77,1275.33,1271.11,1269.68,1252.19,1250.07,1256.85,1260.68,1273.4,1254.1,1253.54,1269.87,1261.39,1273.77,1274.82,1277.58,1276.57,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,1206.59,1220.27,1187.86,1198.98,1197.26,1171.12,1159.53,1159.0,1146.86,1153.77,1144.05,1134.71,1150.95,1141.28],"EWW^FG_PRICE(0,-200D)":[81.03,79.92,80.7,80.48,80.67,79.87,76.83,77.22,78.76,75.43,75.12,78.45,78.73,77.86,76.7,76.08,75.75,75.36,74.61,74.0,73.25,73.38,71.97,72.06,71.06,70.48,69.92,70.04,70.58,69.66,69.33,69.49,70.51,71.15,70.95,71.04,69.95,68.85,68.75,67.45,68.28,70.48,70.69,71.06,69.04,69.27,68.64,68.68,68.82,68.43,68.71,68.46,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,59.51,59.26,59.36,59.08,57.84,58.12,58.11,59.09,58.39,56.68,56.94,56.67,56.97,56.42],"CNYA^FG_PRICE(0,-200D)":[35.3684,35.56,35.76,35.715,35.82,35.41,34.84,35.14,35.0,34.72,35.11,35.89,35.52,35.64,35.58,35.55,35.78,35.805,35.5,35.515,35.87,35.6,35.59,36.23,35.83,35.49,35.5,35.64,35.21,34.91,34.58,34.59,34.37,34.71,34.44,34.31,34.24,33.89,33.58,33.63,33.197,34.05,34.08,34.09,34.34,34.225,34.36,34.21,33.74,33.76,33.81,34.25,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,28.24,28.25,28.58,28.34,28.45,27.78,27.85,27.58,27.82,27.7,27.66,26.92,27.06,27.14],"VNM^FG_TOTAL_RETURNC(-5AY,0,AM)":[-3.1199574,-1.2770653,6.917882,-2.4723768,7.8748584,-3.9500058,3.279543,-0.050401688,-1.1598587,5.663264,-0.14485121,0.74346066,-5.354553,-5.555558,1.1872649,-18.773335,-1.8384755,-4.949832,10.274458,-6.4454374,-14.597541,-10.463262,14.005351,-1.3512433,-5.044037,-1.4333904,4.6621084,2.0841837,6.8855166,4.8689127,8.3928585,1.021421,-10.632748,-4.306573,2.2120476,0.16807318,2.0424247,4.7729015,-2.5716364,-5.354452,2.9482007,-3.6377728,-4.658633,4.296553,2.180934,-6.87747,-0.42445064,-4.006815,2.0426273,8.268059,-4.581994,7.3294044,2.197802,16.897083,14.717472,2.9209614,9.015036,-11.077082,0.40183067,13.43869,-4.595959],"EPHE^FG_TOTAL_RETURNC(-5AY,0,AM)":[-4.1843534,-5.094939,-2.6342094,-2.397263,11.878454,-6.0625196,-5.0084057,9.695684,2.6129007,5.1241755,-3.9843261,0.06251335,-0.15619993,-5.788481,0.19927025,-7.5903234,-2.2335231,-7.535267,10.036135,-5.3265214,-12.56262,10.577345,6.4312577,8.051168,-0.76601505,-8.175439,0.89797974,-0.28403997,-1.5201092,5.308342,-6.6345396,-2.500999,0.48860312,-1.0940075,4.260552,5.41656,1.3528705,3.9302945,-7.206565,-1.3071895,-4.6975017,5.103731,3.0398726,7.892716,1.7755628,-9.909285,-1.0457039,-2.8803706,-0.9756088,4.1871905,-1.6548455,12.41988,-1.4255166,-0.74713826,-1.51124,-3.443116,-1.9379854,-6.3636303,5.107641,6.2158346,2.782011],"EWZ^FG_TOTAL_RETURNC(-5AY,0,AM)":[-3.4565926,-7.604766,1.0814071,9.895981,10.646379,-2.1588087,-6.188178,-4.4336376,-7.864213,-5.2502275,-1.5436232,1.9567847,12.95588,2.613771,12.67606,-15.186167,-4.666126,-9.545141,21.866667,-3.6573946,2.4659276,-2.9765666,-6.9134417,11.358488,-3.253138,-6.83012,10.225558,1.6371012,8.539856,3.4843206,-3.3670008,0.72853565,-4.937106,6.9467545,7.145059,2.7171135,-6.027955,1.2705326,-4.3145657,1.6309619,-11.309081,6.815684,2.7787328,-1.0347128,-4.4856668,-2.789545,-8.281875,-5.5531683,11.617708,-2.5923014,-0.443542,14.742804,-0.67067146,-0.38737655,2.3610592,6.564939,-2.8305054,13.022614,1.0309339,1.4468312,16.641129],"EWQ^FG_PRICE(0,-200D)":[46.7,46.68,47.08,46.83,46.99,46.4,45.73,46.03,45.69,45.68,45.35,45.82,45.53,46.15,45.65,45.51,45.16,45.05,44.55,45.29,45.4,45.87,45.96,46.1,45.88,45.46,45.4,45.6,45.42,45.31,44.99,45.14,44.99,45.18,44.98,44.9,44.96,44.91,44.8,44.62,44.94,45.18,44.88,45.0,44.58,44.21,44.65,44.62,44.75,44.79,44.44,44.41,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,42.25,42.09,41.88,42.1,41.81,41.68,41.32,41.32,41.62,41.84,41.86,41.07,41.04,40.94],"MCHI^FG_PRICE(0,-200D)":[60.35,60.58,61.93,61.99,61.97,61.67,60.1,60.31,61.07,61.61,62.4,64.23,63.91,63.29,62.66,62.74,62.78,62.49,61.65,62.52,63.59,63.55,63.52,64.26,62.22,62.28,61.88,62.71,62.67,62.24,60.07,60.58,60.37,61.27,60.61,60.67,60.89,60.63,59.99,59.47,59.7,60.87,61.52,61.69,61.81,61.35,62.22,62.66,61.98,61.88,62.24,62.66,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,54.42,54.57,55.6,54.7,55.06,53.25,53.45,52.69,53.95,53.4,53.42,51.59,51.66,51.68],"EWM^FG_PRICE(0,-200D)":[29.72,29.71,29.98,29.69,29.83,29.57,29.18,29.49,29.42,29.32,29.18,29.27,29.84,30.06,29.5,28.78,28.43,28.26,27.88,28.17,28.28,28.2,28.05,27.97,27.59,27.36,27.43,27.63,27.61,27.42,27.36,27.57,27.53,27.64,27.69,27.53,27.41,27.2,26.88,26.6,26.79,27.09,26.98,26.87,26.52,26.37,26.32,26.64,26.59,26.73,26.67,26.6,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,24.87,25.08,25.07,24.87,24.5,24.45,24.31,24.68,24.64,24.86,24.85,24.12,24.17,23.7],"EWI^FG_TOTAL_RETURNC(-5AY,0,AM)":[3.1687856,2.1985173,1.4235973,0.90454817,5.4745436,-4.924357,5.897033,-3.5061836,-1.1603057,4.788387,-5.12439,5.9249997,-4.403448,-16.433239,8.752335,-7.1575346,-7.3857727,-5.418718,10.28645,-6.8870544,-7.0160627,24.363636,2.6166677,7.0860505,3.2748103,-4.8708735,8.969069,-1.2298942,0.49101114,7.9752564,-3.708166,-2.0037591,-3.9297104,4.3565035,7.966864,1.2914896,-1.3573289,11.426867,-3.4362376,6.5332174,-2.8719366,3.9922953,-4.421502,5.5678725,0.5772829,-5.4787455,3.9194107,-2.3779988,11.104977,4.2764783,-3.3619463,13.496184,3.1086922,2.9415488,6.480515,1.2133121,-2.3588598,6.8910837,-0.5928099,3.4816504,1.3318777],"TUR^FG_TOTAL_RETURNC(-5AY,0,AM)":[3.3970237,-5.236137,-16.28747,-1.2510836,5.718267,-10.085112,9.039295,-0.7378459,-7.826853,5.9772253,-7.916504,0.29298067,-1.7526805,-9.0188265,26.034855,-8.5133915,-7.314658,-4.926628,15.931654,11.887777,5.524862,20.982683,18.296968,-5.118781,-11.982113,22.62106,-4.5015097,-6.275308,-7.5584354,7.019365,16.284334,4.7513127,-0.92839,-9.665322,-0.80024004,2.0865798,10.085773,-4.9435797,7.885802,6.4448595,3.5550237,4.331088,-11.439115,-4.661459,-8.05791,3.8918614,7.835281,-5.222946,-0.28089285,6.7323923,-15.333855,1.184535,-5.2680197,9.511698,3.919208,-6.3823643,2.386117,-0.7869303,6.223309,9.478903,11.900353],"ECH^FG_TOTAL_RETURNC(-5AY,0,AM)":[0.80845356,5.0586104,2.1432757,-9.859157,-4.462248,-6.8906965,1.968646,-1.7876267,-12.923187,13.712382,-10.763717,6.8523765,5.5356383,-0.7924497,7.9117537,-7.5784326,5.4397464,-14.070731,23.358143,-2.573198,-12.714028,14.774632,-0.18677711,2.242148,7.273388,-3.9523005,2.0219922,5.4937363,-1.7713726,6.803906,-3.67527,-8.258438,-7.8373375,-0.9225786,13.603234,-6.4942303,-6.060606,10.779905,-1.4006615,6.1682224,-3.259325,2.4271846,-5.9424043,0.5813956,3.0828476,-6.0934544,2.5477648,-2.0827591,15.9109,2.1276593,-4.6034994,14.688277,-2.2420168,-2.0754397,6.653559,2.0897388,-3.3112645,14.290166,8.362842,11.858379,-1.1953056],"INDA^FG_PRICE(0,-200D)":[52.89,53.11,53.53,53.74,53.44,53.28,52.95,53.44,53.15,53.28,51.74,51.61,51.49,51.69,51.44,51.24,51.795,51.55,51.73,52.85,53.22,53.25,53.04,53.4,53.175,53.72,54.2,54.08,54.29,54.56,54.05,53.64,53.47,53.84,54.01,54.47,54.19,54.15,53.28,52.97,52.95,53.1,53.14,53.57,53.36,53.27,53.08,53.97,53.76,53.41,53.88,54.33,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,54.66,54.77,53.97,54.01,54.32,52.39,51.54,53.22,53.68,54.32,53.91,53.54,53.57,53.54],"SET-BKK^FG_TOTAL_RETURNC(-5AY,0,AM)":[-2.5179207,3.9672494,-1.7261922,0.4548669,5.712056,-4.0065765,-2.716124,6.8990827,0.6047368,-0.5901575,-0.49634576,3.333068,1.1416435,-2.4240792,0.98490715,-5.372864,0.9896636,-3.3286273,4.8784614,2.3935676,-6.038803,4.902041,-0.69504976,3.433156,-1.0013461,-5.5150805,1.2459755,-1.9665122,0.06725788,-4.376602,2.7536511,0.009775162,-5.5076838,-4.3853164,-2.1021843,4.091406,-1.5422404,-0.518775,0.8573413,-1.7101347,-4.4240417,1.5444636,-2.571243,9.755039,3.2090902,-1.2672603,-1.3641298,-5.401391,-5.1855507,-9.693092,-2.671516,7.59573,-7.550299,-0.13983846,13.941299,1.2673855,-0.51329136,0.035738945,-2.589631,-1.4990747,15.794539],"KSA^FG_PRICE(0,-200D)":[39.16,38.94,39.19,39.23,39.46,39.75,39.22,39.63,39.57,39.79,39.86,39.87,40.14,40.12,39.61,39.01,38.93,38.3,37.94,37.83,37.99,38.21,38.21,37.82,36.87,36.82,36.32,37.03,36.0,36.77,36.41,36.05,36.39,36.57,36.6,36.76,36.55,36.36,36.3,35.83,36.09,36.81,37.4,37.62,37.66,37.43,37.19,37.2,37.17,37.04,36.98,37.06,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,40.19,40.13,40.21,40.3,40.04,39.54,39.44,39.53,39.72,39.71,40.33,40.01,40.43,40.74],"EWC^FG_TOTAL_RETURNC(-5AY,0,AM)":[2.9108047,4.866171,1.7401457,3.4492612,4.8575044,-1.8244267,1.5620708,-0.9281337,2.1413207,4.821801,-6.479943,5.686426,-0.48680305,-0.82389116,3.3489108,-9.821653,-1.7802238,-5.6857166,9.784925,-5.463582,-8.902508,12.271714,-2.3359299,3.201902,2.6429176,-8.368313,8.39951,-1.9442141,-0.23495555,3.3750415,-1.6042769,-1.0297477,-4.104042,0.84388256,6.963539,2.835238,-2.809143,8.104277,-2.6212335,2.5841117,-3.0529082,5.491805,-0.4662037,5.4905057,2.6147008,1.2980819,-0.30849576,-3.8926244,6.7269087,-7.5729074,1.4503837,8.853781,5.7142854,1.217103,3.273356,4.114187,1.9959688,0.09883642,6.4178467,3.1992912,1.9049287],"QAT^FG_TOTAL_RETURNC(-5AY,0,AM)":[-2.5974035,-1.2714624,3.2865882,1.778233,0.0039100647,0.17545223,1.5469313,1.9881248,4.7594905,2.80329,-4.400319,5.5466175,8.691597,2.1496177,5.8080792,-6.483686,-6.0485363,-6.1826706,16.12581,-4.471201,-2.025199,1.9586563,-13.402057,-0.15707016,-5.558467,0.8328676,0.0,5.947137,-2.2310734,-0.71823597,2.6711226,-3.6856413,-3.9392292,0.820148,-2.1499038,6.8883657,-4.7777834,5.309212,-4.099721,-0.4043877,-0.15906692,5.656934,-0.2302885,4.6739697,1.2127995,0.054466724,-0.59880614,-2.800709,3.2627463,-0.5543232,-1.8394649,6.5036893,-2.9607594,5.386555,9.770417,-4.9610853,-1.4585555,-0.025963783,0.36363602,3.2553434,1.9619584],"EWT^FG_TOTAL_RETURNC(-5AY,0,AM)":[3.3966184,-1.6846359,4.1466713,-4.4257936,9.34757,1.4798522,-2.6217818,4.2854786,-7.959056,8.348549,0.64377785,5.896151,-3.6183655,-7.4471354,-0.7450342,-10.09174,-1.3172567,-7.802212,8.095431,-9.866065,-10.485554,12.43862,2.9270768,3.12351,4.4855475,-2.9652596,3.10148,-4.2026043,12.537516,0.061547756,-6.1103106,-0.21839142,-0.39396286,1.1645794,7.428324,0.50998926,3.3786893,6.8874717,-0.7387638,2.4602056,6.21469,7.9217315,-6.671363,-0.88645816,4.8334956,-1.8333614,1.0539889,-5.0082803,5.172062,-6.128234,-8.079797,16.790878,4.8235774,4.386747,4.682672,2.949369,2.7534604,-0.8828938,0.1718998,7.871461,10.514379],"EZA^FG_PRICE(0,-200D)":[75.32,74.15,76.53,75.41,75.72,74.77,71.6,73.98,74.56,73.25,73.2,79.58,80.14,79.02,77.38,76.34,75.56,73.52,73.44,72.78,73.74,73.39,73.09,72.78,70.69,70.34,71.45,72.74,70.24,69.4,68.8,69.23,68.43,70.31,69.92,69.54,68.79,67.6,67.51,66.64,65.7,69.61,68.63,69.5,68.18,66.91,66.39,67.88,67.05,66.92,66.5,67.45,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,51.24,51.09,50.22,50.41,50.19,50.64,49.85,50.23,50.71,50.44,50.19,49.27,49.52,49.14],"EWA^FG_TOTAL_RETURNC(-5AY,0,AM)":[2.655232,0.03979206,1.6308665,2.7397275,4.252124,-3.9273798,2.6224494,-2.25479,-0.9996176,1.2427211,-4.2327223,3.285253,-4.903537,3.0431032,8.69565,-10.8301935,-6.4676642,-2.5221825,11.403931,-7.0107517,-7.076782,13.489294,3.2024503,3.9393902,1.9158602,-9.644455,7.1460843,-3.3769548,1.1779547,3.079629,-5.036277,-1.5730381,-3.3789933,1.5595436,9.911596,2.4492145,-3.078866,7.006097,-2.8060198,2.594149,0.86758137,5.6471467,-3.9016783,5.3999186,2.0801306,-3.7358463,-1.6072094,-3.2629192,7.4539423,-10.288382,-1.0860145,11.638117,3.540516,1.6772509,2.0864964,1.226306,-2.129221,-2.7006745,2.2359252,1.296246,10.412717],"UAE^FG_PRICE(0,-200D)":[21.94,21.89,21.83,21.9,21.89,21.73,21.39,21.29,21.11,20.94,20.49,20.66,20.75,20.71,20.41,20.46,20.62,20.3,20.09,19.87,19.73,19.59,19.76,19.55,19.43,19.65,19.65,19.425,19.22,19.2151,19.12,19.05,19.6,19.54,19.52,19.56,19.45,19.25,19.31,19.1129,19.24,19.38,19.35,19.51,19.4401,19.38,19.08,19.22,19.05,18.85,18.53,18.4941,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,18.48,18.3,18.16,18.36,18.13,18.15,18.14,18.18,18.31,18.23,18.14,17.96,17.88,17.99],"EWI^FG_PRICE(0,-200D)":[55.54,56.52,56.98,57.32,57.61,56.28,55.7,56.95,56.93,56.37,55.88,56.17,55.83,56.63,55.39,54.91,54.77,54.44,54.02,54.92,54.8,55.04,54.81,55.32,55.03,55.24,54.97,55.29,55.67,55.16,54.33,54.59,54.16,54.62,54.56,54.4,54.24,54.21,53.81,53.51,53.58,54.35,53.66,53.95,53.55,53.02,52.98,52.98,53.15,53.29,53.0,52.66,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,46.85,46.53,46.26,46.0,45.66,45.81,45.36,44.99,45.22,45.07,44.99,44.26,44.21,44.67],"QQQ^FG_TOTAL_RETURNC(-5AY,0,AM)":[6.458044,-6.238675,8.103073,-6.2419295,6.857896,6.329155,1.7659068,2.0362139,-4.231,9.638893,-0.6181896,-3.5977483,-8.1025305,-6.5291286,6.898606,-12.8222885,-8.786511,3.9126992,15.662527,-11.105061,-8.308154,7.1200013,0.2396226,-2.4241567,8.374559,-4.5353055,9.966839,1.8360019,11.761999,4.5176506,-3.4049869,2.1761656,-2.2453249,3.2659888,7.033217,1.6962409,4.636681,2.730143,-0.3192544,1.0975003,7.5923085,3.963542,-6.515503,2.7584434,3.93641,3.8288474,3.5685778,-4.5545044,6.00127,-12.606835,-2.83494,13.46612,2.2052407,5.2862167,4.7167063,1.0890126,2.7347684,1.0614514,0.857985,2.1875262,-3.883499],"EWU^FG_TOTAL_RETURNC(-5AY,0,AM)":[-0.58593154,4.354942,0.47066212,4.153645,2.8788686,-1.9857764,1.9655347,-2.0759225,0.63596964,0.842607,-2.4598598,8.425034,-0.08698702,-8.589667,8.190477,-7.4823976,-3.2671452,-2.8046727,7.4201345,-7.6750875,-6.962246,11.206257,6.831038,3.7531734,0.64378977,-4.447156,7.6824903,-1.657778,-0.7886052,1.886785,-1.335758,-1.5076995,-1.0621607,-1.2630224,5.4684997,1.6197205,-3.2966971,6.5656543,-0.11847615,7.265711,-1.0860205,2.6788235,-0.16652346,2.5854945,-0.9485185,-5.3351583,2.630055,-3.9963782,9.763408,1.3096809,-4.20146,8.012366,5.2056193,0.78470707,3.6072254,1.4023185,0.11922121,2.5005937,0.5576134,5.9444785,5.0466895],"EIDO^FG_TOTAL_RETURNC(-5AY,0,AM)":[-3.0413628,-3.638643,-8.1163225,1.3698578,4.3394804,-10.112357,3.7999988,3.420031,12.529111,-0.9105921,-2.869016,1.5591145,1.3219595,2.525258,2.134645,-6.4308643,-1.2903273,-5.295676,12.954342,0.37128925,-5.1376877,2.9029489,-2.3502946,-2.787453,4.793906,-5.3441644,9.485102,-2.8052807,1.7267585,0.68143606,-3.045684,-0.7417083,-4.483521,-3.5434902,2.7671814,5.956471,-2.1201372,2.797842,-5.794561,-4.939419,-5.059558,9.620535,2.3890734,6.3333273,-1.9256592,-6.712323,-2.790016,-6.8190155,-3.402847,-4.943186,-5.1404657,10.523009,6.1573505,-1.4451087,5.372131,-5.3106728,-1.4582157,4.0409803,2.625823,2.4226546,-6.621128],"SPY^FG_PRICE(0,-200D)":[681.75,681.27,691.96,692.12,693.95,690.62,677.62,686.19,689.53,695.41,691.97,694.04,695.42,695.49,692.73,689.23,688.98,685.4,677.58,691.66,692.24,690.36,693.77,695.16,694.07,689.51,689.58,691.81,687.72,683.17,681.92,687.01,687.85,690.31,690.38,687.96,684.83,680.59,676.47,671.4,678.87,680.73,681.76,689.17,687.57,683.04,683.63,685.69,684.39,683.89,681.53,680.27,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,594.2,590.46,587.59,586.84,582.99,564.34,565.06,561.15,558.8,563.51,566.76,558.47,554.54,554.32],"EPU^FG_PRICE(0,-200D)":[86.67,87.03,90.05,89.43,91.08,88.15,85.17,88.38,91.33,87.4,86.6,92.57,92.07,91.61,90.43,88.38,86.2,85.04,84.78,82.63,83.01,82.26,80.99,80.55,78.19,76.55,75.42,76.71,74.87,72.71,72.35,72.91,71.95,73.77,72.74,72.78,72.08,71.2,69.98,69.18,69.3,69.25,69.3,69.68,68.29,67.48,66.53,67.03,67.0,66.03,64.67,64.57,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,44.57,45.06,44.95,45.11,44.74,45.3303,45.02,44.79,45.45,44.7003,44.44,43.74,44.33,44.8],"EWW^FG_TOTAL_RETURNC(-5AY,0,AM)":[-3.6491394,3.1051636,3.28542,3.0262828,6.6179395,-4.823673,5.6643963,1.1084199,-2.7307153,-0.040984154,-3.4692764,10.467375,-1.8912077,-2.3251176,8.850455,-8.598131,-4.4044733,-1.9982696,7.8457475,-4.829425,-1.1660576,17.129124,-2.920103,11.137259,0.705719,-2.6979685,8.804464,2.796626,2.3132563,1.8069506,-3.3940613,-3.432715,-8.477968,7.458055,10.9451885,3.0498743,0.30144453,0.9316206,0.37219524,1.3349175,-17.875677,10.98131,-9.603238,-2.5797188,1.2688518,-8.443803,3.9865136,-6.5963507,10.366631,-2.2718668,-0.9962857,16.574585,3.3513904,0.26023388,3.0933022,6.662369,-0.98306537,2.9173613,4.912448,3.789568,12.5885725],"CNYA^FG_TOTAL_RETURNC(-5AY,0,AM)":[6.4713597,-14.531827,-2.770102,2.7180552,6.452477,-0.6564081,-1.9594431,1.9288898,-1.2311935,0.30009747,3.5224795,-6.618804,-4.685247,-5.2684546,-3.2730281,-9.546071,5.489218,4.766035,-1.2958407,-6.5642414,-9.476829,3.1373858,4.04644,7.0933223,0.5298853,-4.9780426,1.7257214,-5.755824,-4.6889424,2.298069,-2.7383566,-3.3324182,-2.881235,-0.6150484,-2.756095,-4.4424,1.5303016,6.6720366,-3.6511004,6.135857,-4.248232,-1.003474,-2.1746576,-4.9903927,26.468122,-0.13266802,-3.885752,-6.9123564,6.6009045,0.8540869,-4.4107256,4.614246,-0.67043304,4.1434765,6.1986327,8.352137,1.011908,2.0624638,-1.616621,6.162286,-0.622648],"EWN^FG_TOTAL_RETURNC(-5AY,0,AM)":[7.9108,-2.4363756,6.57748,-1.2133837,6.0343146,-2.3723364,5.518949,3.649485,-6.1382055,6.3390136,-8.110416,1.5454412,-8.664775,-14.419013,5.996883,-8.93951,-5.2031937,-2.6731849,13.5853405,-11.54446,-10.052908,23.36601,5.818641,5.6675076,0.6674528,-5.991,7.25441,-1.996249,3.7858963,5.3700686,-5.096388,-7.996738,-4.7582808,7.1676016,9.796119,-0.5688429,5.575943,6.389916,-1.5117526,5.247879,1.9652009,2.912438,-8.053184,2.1896362,1.1926413,-10.44746,3.3459783,-3.6174178,10.119724,-2.3997903,-3.7202537,13.599646,2.8823972,2.9815793,-1.9297898,2.4362803,5.653131,1.4891744,-0.01706481,7.6933384,1.4313936],"EWU^FG_PRICE(0,-200D)":[47.25,47.01,47.43,46.74,47.02,46.9,45.94,47.05,46.47,46.54,46.16,46.44,46.24,46.5,45.83,45.57,45.07,45.16,44.7,45.18,45.09,45.28,44.98,45.09,44.79,44.6,44.49,45.05,44.81,44.46,43.98,44.22,44.02,44.24,44.08,43.98,43.79,43.54,43.13,42.94,42.73,43.75,43.28,43.65,43.46,42.88,43.08,43.22,43.42,43.46,43.01,42.93,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,38.9,38.8,38.25,38.42,38.24,38.29,38.11,38.43,38.57,38.64,38.6,37.88,38.1,38.35],"EPHE^FG_PRICE(0,-200D)":[26.97,26.94,27.25,26.93,26.42,26.73,26.45,26.33,26.45,26.24,25.97,25.65,26.33,26.23,26.03,26.21,26.35,26.27,26.0,26.42,26.38,26.04,26.24,26.41,26.13,26.08,25.92,25.98,25.46,25.3,24.92,25.06,25.09,25.08,24.94,24.93,24.96,24.66,25.01,25.1,25.19,24.95,24.9,25.02,24.73,24.67,24.58,24.73,24.2,24.68,25.06,25.24,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,27.69,27.62,28.01,28.06,27.75,27.62,27.16,27.56,27.35,27.03,27.27,26.86,26.89,26.41],"EWQ^FG_TOTAL_RETURNC(-5AY,0,AM)":[0.52940845,4.0959716,2.3046613,3.1318665,5.372882,-3.55317,4.8502564,-1.8958569,-2.2159278,5.559945,-3.826481,4.7745943,-4.8879805,-12.981802,5.8136106,-5.7267485,-4.288268,-2.9850721,11.487186,-8.739651,-6.518817,18.296194,4.0506363,6.858146,1.3439417,-3.382951,10.504198,-1.8504441,-1.1176467,5.6608796,-3.3864021,-4.2898235,-5.1380215,3.0250669,9.004474,-0.84632635,-0.7031262,9.152889,-4.8294067,6.1095595,-5.175245,1.489079,-4.072857,3.1118155,0.61382055,-8.159632,1.9927979,-2.067995,11.3344555,1.479435,-3.7064493,8.031809,1.7339706,3.3353448,0.0693202,0.41561127,-0.32191873,3.8985014,-0.35523772,2.926147,1.6101003],"SPY^FG_TOTAL_RETURNC(-5AY,0,AM)":[3.3834456999999998,0.36164522,5.1145673,-0.624907,3.4196138,2.9988527,2.371502,0.14799833,-2.237451,7.373965,-0.14980435,-0.08294582,-5.1815805,-4.6292486,5.8567047,-9.381694,-6.6514015,1.4567375,12.741863,-7.960665,-6.516081,8.891439,0.868237,-0.4024744,3.595984,-6.654072,7.7088594,-0.45468807,6.0910106,3.3380628,-0.86973906,0.192976,-3.0165553,2.0139098,6.8856597,1.7249584,3.650248,4.430449,-0.68256855,1.9692659,4.135084,3.5669565,-3.2054186,3.6842346,3.4430623,3.0384064,1.1755109,-3.4568906,4.8745155,-9.56325,-2.8788865,9.907484,1.7313004,4.7685266,3.4107327,1.9414067,1.1346459,1.3573885,1.4463425,2.0596623,-1.732564],"INDA^FG_TOTAL_RETURNC(-5AY,0,AM)":[3.2405138,-0.32550693,-5.6683006,3.635013,7.9735756,-2.2782564,4.6061516,6.8484306,1.1948109,1.6209722,-6.1453285,7.9315424,-8.550728,-4.709077,6.9375157,-10.086643,-2.3721337,0.050616264,10.574245,-0.48043728,-6.1839046,7.8902125,-1.862365,-1.7357111,-5.628824,-3.369099,4.209709,2.4039626,3.3897758,3.5881758,-1.2451887,3.4158707,-1.4409244,-0.08997321,7.9693913,4.1701436,0.02001524,0.92054605,2.4588466,0.0967741,5.5684447,4.5238137,-2.6984394,4.177916,-1.1408806,-6.8543434,4.298854,-8.170116,-0.5133331,-3.730899,4.638219,6.4026833,0.05555153,1.5544057,-3.9540827,0.83476305,-0.33866763,2.3220658,-1.9557238,-0.18817782,-0.28280616],"EPU^FG_TOTAL_RETURNC(-5AY,0,AM)":[5.5197597,-2.09772,-3.1733096,-1.9047618,-11.019981,-6.828475,-7.780486,2.3352146,5.2999616,5.941975,-5.225551,18.74554,1.6506553,8.709776,-4.644215,-18.370836,2.8217912,-14.567203,12.438213,-5.9340596,-1.1292875,16.423786,-0.82348585,11.489069,-6.5068426,-3.0303001,8.447802,-3.9582014,3.9941072,5.2835464,1.0645986,-4.301399,-7.1724596,-0.6373644,9.105074,9.958374,-1.7152905,14.942181,3.9182544,6.6015244,-3.3091009,5.192387,-6.084287,2.2291422,8.12664,-3.5119653,1.3235569,-3.9126158,5.634856,0.16595125,-0.3905356,7.1878433,7.0523143,3.0144095,6.81957,10.7515335,9.76665,-1.4035642,10.844528,17.348349,7.0132136],"EZA^FG_TOTAL_RETURNC(-5AY,0,AM)":[12.046278,-0.97185373,2.5352716,-0.97706914,6.265497,-10.193157,3.1729221,-0.30959845,1.4078736,-2.5112271,-6.224805,11.101091,3.939879,2.3642063,2.672267,-15.634876,-5.1054597,-3.2526076,12.760735,-13.427645,-6.711912,18.162214,-0.39385557,10.808921,-8.181244,-7.6536474,7.9910994,-10.2176485,6.5117955,4.5576453,-5.151522,-4.1533527,-1.358974,0.25993586,3.8371801,0.0852108,-5.279112,5.733335,-0.1261115,8.459604,-4.5077085,11.688948,-0.620842,3.4582734,7.9577327,-7.4510574,5.806172,-12.264353,12.858189,-0.4774332,-0.52333474,10.499787,5.7329893,0.5722523,10.154772,3.786838,8.981347,2.757156,1.179409,12.352716,3.0510426],"EWJ^FG_TOTAL_RETURNC(-5AY,0,AM)":[3.3959627,-3.6477983,1.0733962,-5.32434,5.177474,-0.6823361,0.33620596,7.532048,-8.305102,3.5461068,-3.2846272,0.62789917,-4.9769697,-8.474046,0.034165382,-3.82514,-4.508078,-0.9951174,8.15475,-9.977203,-4.2267265,11.734796,2.009976,1.5200377,2.3251653,-3.184712,4.694164,2.24185,6.2431097,-0.51959753,-2.8648317,1.4828086,-4.3352547,1.4434338,5.906689,5.2434325,0.46665668,3.9406776,-0.44688582,-1.9982576,-0.04159212,6.329119,-5.3081217,3.3427,1.6888499,-4.658699,2.6572227,-4.449421,5.86977,0.0,-4.9667954,9.76907,1.8685102,-0.8902252,9.549475,1.8796563,-1.8202066,4.6916366,1.1926293,4.3424845,11.130846],"EWG^FG_TOTAL_RETURNC(-5AY,0,AM)":[1.6034603,0.72836876,4.609835,0.05760193,4.2752624,-2.1336257,1.3769388,-1.7260909,-5.1252484,3.5204887,-4.4978023,3.2313824,-5.308938,-15.394365,2.3212314,-5.6714177,-4.1460094,-8.719235,10.603296,-8.719009,-7.8768673,22.014736,3.5386205,8.132291,0.8636236,-3.853017,8.237469,-1.0970175,1.107645,3.4519196,-4.290092,-3.6641777,-5.1698685,2.8426766,11.662245,-0.9103775,-1.403147,9.024644,-3.6930919,6.347096,-2.5022507,4.2796493,-4.3859663,6.1599016,2.4382591,-5.8752594,6.0179234,-3.7741482,14.245367,3.2408714,-3.2455444,11.602974,2.266562,3.9535522,-0.16489625,-2.5247753,1.1377335,-1.2685478,2.2545457,3.2953978,0.9180665],"EWM^FG_TOTAL_RETURNC(-5AY,0,AM)":[-2.6096046,-1.1075377,-0.975436,-0.94856024,0.64225197,-5.813509,-0.7214427,6.0153365,2.0563602,-4.5149207,-3.9782524,6.1790586,-0.51465034,-0.31834245,2.7544975,-7.420355,-5.748934,-3.3621073,7.1462154,-3.773588,-9.347927,9.104633,5.2972317,3.6693215,-2.1748424,-6.0157003,4.5918345,-3.9024353,-4.909378,3.11265,2.2999525,-0.9836137,-1.4191091,0.81573725,1.2375116,2.34164,-1.0285139,3.8734078,-1.5916348,5.5915,1.3793826,2.2807002,3.7307024,7.193053,-0.115698576,-5.5598497,1.2673855,-3.0176878,3.2230735,-5.875105,-1.9642115,10.730195,-2.452755,1.3649344,4.941857,0.7914424,0.9422898,3.0727386,1.8113136,5.6168914,5.9536576],"EWZ^FG_PRICE(0,-200D)":[38.06,38.49,39.16,38.32,38.42,37.56,36.91,36.98,38.04,37.45,37.04,38.12,38.33,37.89,36.61,36.59,35.95,35.02,33.62,33.17,33.36,33.16,32.63,32.93,33.06,32.88,32.7,33.11,32.79,32.2,31.77,31.99,31.42,31.73,31.55,31.65,30.97,31.17,31.17,31.0,31.6,33.58,33.32,33.16,32.77,32.74,32.75,32.53,34.72,34.2,34.03,33.4,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,28.0,28.01,28.2,28.33,27.49,27.56,27.48,26.4,26.61,26.71,27.12,26.88,27.04,27.36],"EWD^FG_PRICE(0,-200D)":[53.47,53.42,54.56,54.17,53.38,52.93,51.86,52.92,53.23,52.88,52.27,53.45,52.93,53.64,52.72,52.38,51.74,51.52,50.46,51.31,51.05,50.61,50.7,50.91,50.78,50.28,50.87,50.11,50.39,49.6,49.23,49.55,49.32,49.65,49.31,49.21,48.8,48.55,48.18,47.62,48.23,49.11,49.38,49.67,49.36,48.55,48.4,48.37,48.09,47.77,47.61,47.58,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,45.61,45.62,45.11,45.23,45.09,44.38,44.26,44.38,44.18,44.28,44.55,43.12,43.64,43.0],"ENZL^FG_PRICE(0,-200D)":[46.7721,47.4568,47.898,47.995,47.975,47.6,47.11,46.72,47.242,47.1177,46.9408,47.234,47.11,47.52,46.87,46.624,46.755,46.11,46.09,45.755,45.6301,45.89,45.52,46.1,45.98,46.115,46.295,46.1476,45.8584,45.4719,45.2715,45.41,45.41,45.73,45.74,45.54,45.18,44.82,44.6999,44.635,45.1265,45.75,45.71,46.35,46.2943,45.9504,46.0267,45.995,46.005,46.1656,45.8184,45.48,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,45.41,45.6,45.33,45.62,44.75,45.17,44.23,44.56,44.82,44.49,44.29,43.06,42.61,43.35],"EWN^FG_PRICE(0,-200D)":[61.65,61.53,63.06,63.07,62.99,62.03,60.56,61.07,61.9,62.77,62.27,63.48,63.05,63.7,62.81,62.33,62.14,61.539,60.64,61.91,61.6,60.67,60.78,61.04,60.4,59.21,59.8,60.44,60.14,58.64,57.03,57.227,57.0,57.16,57.1,56.84,57.01,56.61,56.02,55.57,56.41,58.76,58.6,59.5,58.8,58.55,58.7224,58.55,58.78,59.18,58.57,58.32,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,52.19,52.25,52.2,52.04,51.6,50.79,50.32,50.21,49.98,50.14,50.27,48.78,48.85,48.92],"EWC^FG_PRICE(0,-200D)":[56.17,55.26,56.58,56.72,56.27,55.01,54.14,55.01,54.84,54.55,54.26,56.53,56.35,56.18,55.69,55.77,55.2,55.02,54.75,55.13,55.22,55.18,55.12,55.09,54.63,54.46,54.01,54.65,54.59,54.19,53.93,54.3,54.33,54.8,54.6,54.54,54.17,53.68,53.22,52.81,52.98,53.8,53.89,54.08,53.72,53.07,52.95,53.29,53.07,52.47,52.14,52.18,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,43.89,43.83,43.44,43.4,43.08,42.85,42.81,42.89,42.77,42.66,42.84,42.31,42.45,42.45],"QAT^FG_PRICE(0,-200D)":[20.0967,20.075,20.125,20.095,20.1,19.94,19.82,19.96,19.9169,19.97,19.71,19.82,20.0,19.94,19.937,19.82,19.9,19.71,19.71,19.46,19.425,19.6596,19.71,19.6099,19.36,19.28,19.405,19.3551,19.19,18.825,18.8183,18.95,18.8751,18.865,18.96,18.9302,18.8396,18.775,18.74,18.6081,18.6969,19.01,19.32,19.315,19.1685,19.0414,18.9554,18.9304,18.9402,18.9302,18.775,18.71,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,18.88,18.84,18.83,18.7553,18.7,18.69,18.615,18.51,18.55,18.55,18.54,18.34,18.31,18.2],"EWT^FG_PRICE(0,-200D)":[73.05,72.56,73.35,71.44,70.76,70.05,67.86,68.15,68.83,68.94,68.06,69.83,71.19,71.32,69.94,69.71,68.25,67.45,66.54,67.34,67.29,66.51,66.1,66.62,65.92,65.44,65.59,65.83,65.3,64.77,63.53,63.71,63.33,63.02,62.53,62.5,61.98,61.64,60.87,60.03,61.12,64.11,64.1,65.92,66.8,65.72,65.57,65.35,64.51,64.85,64.63,64.13,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,54.01,53.99,53.77,53.28,52.95,51.75,51.16,51.0,51.56,52.96,50.95,47.82,47.48,47.15],"CNYA^JULIAN(FG_PRICE(0,-200D).DATES)":[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],"EWL^FG_TOTAL_RETURNC(-5AY,0,AM)":[0.08826256,-3.1084657,4.7554016,1.3683677,8.325684,-0.40290356,3.236246,-3.154391,-2.8727531,6.3736796,-0.3720343,0.88443756,-5.2211165,-7.173693,9.588135,-11.456865,-6.9714904,2.7284145,7.212472,-6.7954597,-8.997804,16.050375,0.23088455,2.741301,0.67265034,-4.07573,9.867657,2.1766663,-3.041768,2.9880047,-1.5247822,-3.1612933,-2.1763265,-2.20204,9.09934,1.8723369,-4.6992483,6.793773,-6.484711,4.696071,4.751289,1.6751766,0.36166906,2.882886,0.15567541,-7.5577974,-0.8406937,-2.161932,11.351824,1.4396787,-2.0905256,4.191971,3.8165092,0.94349384,-0.91407895,2.675283,0.7726908,3.156197,0.8988738,3.0837774,6.01629],"UAE^FG_TOTAL_RETURNC(-5AY,0,AM)":[1.8245339,0.87685585,1.8140674,1.2620687,10.188543,-3.6501408,3.2330275,3.7680984,-2.6123464,10.44879,8.082271,-4.9591484,4.6040535,6.4553857,5.5126786,-9.613377,-6.3042345,-4.3533144,12.137198,-7.411766,-4.5743284,7.0572495,-7.5723944,1.1800408,0.1999259,-5.02162,2.2408962,1.3698578,-1.026398,6.5918565,0.3289461,-0.1311481,-6.2376857,2.4509788,-1.6746402,6.4256787,-4.7337294,0.2070427,-0.13774633,0.20689964,-4.789859,5.484593,3.4900308,3.991735,-2.3163438,3.7262917,1.1757016,8.193612,4.9581885,-4.496294,-1.6090631,11.205328,-2.614385,11.084914,3.7480593,-3.8133502,-0.052165985,0.1565814,0.8337617,3.1184912,11.032391],"EWA^FG_PRICE(0,-200D)":[29.16,29.1,29.3,28.64,28.83,28.23,27.84,28.35,28.12,27.95,27.75,28.42,28.17,28.24,27.62,27.38,27.07,26.7,26.46,26.74,26.65,26.54,26.41,26.45,26.26,26.37,26.27,26.49,26.61,26.47,26.19,26.41,26.48,26.68,26.6,26.61,26.15,25.88,25.81,25.58,25.82,26.42,26.52,26.64,26.65,26.35,26.24,26.34,26.29,26.13,25.93,25.73,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,25.47,25.55,25.16,25.42,25.18,25.01,24.83,24.89,25.05,24.99,25.31,24.65,24.67,24.55],"EWY^FG_TOTAL_RETURNC(-5AY,0,AM)":[-0.5285442,-6.4505816,5.0551057,-3.5250902,3.8332224,-2.126515,-4.764533,-2.443546,-7.0750237,1.8395543,-0.014400482,0.4357338,-6.979716,-7.9423904,4.678881,-6.7758026,-7.9859495,-5.40989,9.105265,-12.36533,-9.926605,23.71155,-2.9352605,7.158792,0.304389,-5.733907,8.454763,-7.405096,13.902485,-0.7998824,-5.748844,-1.7268717,-5.2716436,1.582706,6.902337,-1.3242722,2.2001266,6.984532,-6.677592,3.8651943,-0.292176,5.8760166,-7.3707223,-0.45604706,0.14218092,-11.847294,0.1968503,-2.150029,5.346787,-2.0053208,-1.6479552,7.015276,14.280796,9.244204,2.9768467,5.2730203,6.305623,12.497007,-1.4882565,18.686878,24.576902],"EWD^FG_TOTAL_RETURNC(-5AY,0,AM)":[3.727901,5.344224,4.275584,0.3186822,4.4090867,-1.3491094,3.0296683,-2.6138484,-3.187251,5.414772,-5.7035327,3.134942,-10.873824,-12.004889,7.5298667,-10.49096,-4.382926,-5.0947485,10.736502,-10.434532,-8.811879,23.488962,2.0455003,2.1663785,1.2157202,-6.508374,8.75411,-1.0164917,0.0,2.331388,-7.648492,-4.8164425,2.715218,-0.600785,15.865814,0.9727359,-2.329266,12.2764225,-6.517017,5.0865054,2.3103833,1.5617371,-5.4300785,5.1066995,0.79768896,-8.03358,1.5906096,-4.3121157,17.569756,-1.7339766,-6.408167,12.205399,0.5748391,2.4297714,0.987494,2.6510239,0.16934872,2.0076036,2.299571,3.952992,5.4635167],"QQQ^FG_PRICE(0,-200D)":[601.92,600.64,613.11,611.47,614.32,609.65,597.03,605.75,616.52,626.14,621.87,629.43,633.22,631.13,625.46,622.72,620.76,616.28,608.06,621.26,621.78,619.55,626.24,627.17,626.65,620.47,624.02,623.42,617.99,613.12,614.31,619.43,620.87,623.89,623.93,622.11,619.21,617.05,609.11,600.41,611.75,610.54,613.62,625.58,627.61,625.05,624.28,625.48,622.94,623.52,622.0,617.17,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,521.51,519.25,518.68,515.59,507.85,487.97,488.29,483.3,481.41,485.93,488.83,481.68,475.47,475.53],"GREK^FG_PRICE(0,-200D)":[71.9,73.56,73.84,74.54,74.77,75.17,74.65,76.09,76.02,74.66,73.75,75.62,77.2,75.35,73.06,72.25,72.2,70.74,69.88,70.03,69.84,69.15,69.0,69.49,68.98,69.19,67.98,67.39,67.61,67.4446,65.91,66.5,68.0,68.61,68.16,68.21,68.39,67.25,66.94,66.25,66.81,67.45,67.24,67.67,66.77,65.8,66.97,66.45,66.3,66.37,66.64,66.28,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,52.5,52.15,52.22,52.07,51.6,51.0483,50.26,50.37,50.13,50.44,50.1,49.3,49.52,49.99],"EPOL^FG_PRICE(0,-200D)":[37.67,37.91,38.39,38.11,38.76,37.92,37.37,38.28,38.35,37.66,37.59,38.38,38.25,38.44,37.74,36.89,37.26,36.15,35.84,35.92,36.15,36.03,36.09,36.38,36.2,35.82,36.6,36.26,36.17,36.25,35.19,35.16,34.96,35.2,35.15,34.99,35.2,34.78,34.41,34.27,34.41,35.9,35.2,35.27,34.88,34.25,33.51,33.44,33.53,33.61,33.65,33.9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,30.32,30.49,30.68,30.8,30.5,30.88,29.94,29.66,29.48,29.83,30.09,29.45,29.48,30.3],"ECH^JULIAN(FG_TOTAL_RETURNC(-5AY,0,AM).DATES)":[44239,44267,44299,44329,44358,44390,44421,44452,44482,44512,44543,44574,44603,44631,44664,44694,44725,44755,44785,44817,44847,44876,44908,44939,44970,44998,45029,45058,45090,45120,45149,45182,45212,45243,45273,45303,45335,45364,45394,45425,45456,45485,45517,45548,45576,45609,45639,45670,45701,45729,45758,45790,45821,45849,45882,45912,45943,45974,46003,46035,46066],"VNM^FG_PRICE(0,-200D)":[18.89,18.51,18.71,18.08,18.045,18.03,18.12,18.61,18.45,18.77,19.07,18.81,18.5,18.76,18.91,19.42,19.625,19.39,19.51,19.73,19.53,19.69,19.8,19.67,19.28,19.31,19.44,19.43,19.02,19.11,19.08,19.01,18.92,18.4,19.01,19.08,18.61,18.39,17.88,17.54,17.85,17.42,17.49,18.27,18.28,18.65,18.72,18.65,18.59,18.69,18.65,18.38,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,12.75,12.81,12.82,12.74,12.69,12.49,12.6,12.42,12.22,12.27,12.24,12.11,12.07,12.05],"MCHI^FG_TOTAL_RETURNC(-5AY,0,AM)":[12.976206,-12.274324,-3.418094,-6.086212,6.47645,-3.865981,-9.102524,0.5758524,-1.9550383,0.64094067,-8.254349,-1.7870963,-1.5506327,-21.086472,7.413447,-8.380741,6.4761877,2.717495,-4.8724833,-5.1020384,-14.716423,5.982685,13.672781,12.203253,-3.0809224,-9.747225,4.519403,-6.1713276,0.7349014,2.88378,-3.393048,-3.4249544,-2.4847567,-0.5791068,-4.6598315,-2.8311908,-3.4295976,8.891845,-3.6782742,17.362522,-5.4861126,1.4522791,-4.1808662,-3.011614,28.704155,-9.270519,0.96315145,-7.3043227,18.19011,7.560277,-10.919851,10.104668,0.12797117,1.3054132,10.209286,5.5977583,-1.0164201,1.8325448,-4.5609655,4.5221567,-4.9905596],"EWL^FG_PRICE(0,-200D)":[63.79,63.46,63.24,63.43,63.45,63.09,62.24,62.47,61.89,62.25,61.54,62.22,61.05,62.57,61.19,60.87,60.59,60.49,60.16,60.51,60.52,60.87,60.17,60.63,60.58,60.21,60.31,60.55,60.43,60.34,59.96,60.17,60.35,60.54,60.53,60.4,59.93,59.57,59.47,58.84,59.02,59.06,58.37,58.49,58.38,57.69,57.76,58.03,57.91,58.07,57.94,57.42,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,54.41,54.02,52.94,53.19,53.53,53.58,53.58,54.15,54.34,54.64,54.47,53.52,53.86,53.67],"EIDO^FG_PRICE(0,-200D)":[17.77,17.89,18.09,17.75,17.6,17.6,17.51,17.79,17.59,17.41,17.65,17.58,17.26,19.18,19.2,19.01,19.05,18.94,19.13,19.14,19.22,19.14,19.03,18.99,19.01,18.99,19.03,19.08,19.04,18.81,18.7,18.67,18.67,18.47,18.45,18.56,18.68,18.58,18.63,18.6,18.67,18.86,18.76,18.68,18.86,18.68,18.87,18.82,18.79,18.83,18.92,18.79,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,18.39,18.27,17.97,17.54,17.4,17.41,17.45,17.71,17.74,17.65,17.63,17.3,17.31,17.1],"ENZL^FG_TOTAL_RETURNC(-5AY,0,AM)":[-3.7688792,-2.7735472,-0.6112814,-0.33117533,-0.9151161,-0.8701265,0.16254187,3.7812471,-2.8459728,-0.9657204,-4.293269,0.017237663,-7.722807,0.6538391,-1.5033424,-12.794423,-4.1170597,2.7131796,11.4539385,-8.185619,-11.47505,12.42342,9.42074,1.1409163,1.8009067,-6.920677,5.534661,-1.0686636,-2.878201,6.6985726,-8.16924,-5.7324767,-2.1171212,-0.71329474,10.938585,2.6141286,-7.4812946,2.8077245,-2.4907112,0.4929304,3.4398794,1.8244982,0.40528774,6.139791,-1.0408342,-4.4700623,-3.0700862,-2.093321,2.0800352,-7.1760836,1.1453152,7.6197147,-0.94257,2.22013,0.1311183,2.007866,-2.7599514,-1.1146307,1.7056942,0.8537531,2.750659]}]]></FdsFormulaCache>
</file>

<file path=customXml/itemProps1.xml><?xml version="1.0" encoding="utf-8"?>
<ds:datastoreItem xmlns:ds="http://schemas.openxmlformats.org/officeDocument/2006/customXml" ds:itemID="{F73F2CB4-2219-4122-AF09-357F9C3058E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2026-02-15T15:59:32Z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