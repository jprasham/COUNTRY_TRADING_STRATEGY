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BD1A35B1-ED10-4AB9-8979-6C03840EA829}" xr6:coauthVersionLast="47" xr6:coauthVersionMax="47" xr10:uidLastSave="{00000000-0000-0000-0000-000000000000}"/>
  <bookViews>
    <workbookView xWindow="25620" yWindow="-98" windowWidth="22140" windowHeight="11821" firstSheet="1" activeTab="1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V2" i="1" a="1"/>
  <c r="U2" i="1" a="1"/>
  <c r="P2" i="6" a="1"/>
  <c r="AI2" i="1" a="1"/>
  <c r="K2" i="1" a="1"/>
  <c r="Z2" i="1" a="1"/>
  <c r="J2" i="1" a="1"/>
  <c r="V2" i="6" a="1"/>
  <c r="Y2" i="1" a="1"/>
  <c r="AC2" i="6" a="1"/>
  <c r="AF2" i="1" a="1"/>
  <c r="T2" i="6" a="1"/>
  <c r="D2" i="6" a="1"/>
  <c r="W2" i="1" a="1"/>
  <c r="AI2" i="6" a="1"/>
  <c r="AA2" i="6" a="1"/>
  <c r="S2" i="6" a="1"/>
  <c r="K2" i="6" a="1"/>
  <c r="C2" i="6" a="1"/>
  <c r="AD2" i="1" a="1"/>
  <c r="N2" i="1" a="1"/>
  <c r="F2" i="1" a="1"/>
  <c r="R2" i="6" a="1"/>
  <c r="M2" i="1" a="1"/>
  <c r="T2" i="1" a="1"/>
  <c r="D2" i="1" a="1"/>
  <c r="AD2" i="6" a="1"/>
  <c r="E2" i="6" a="1"/>
  <c r="X2" i="1" a="1"/>
  <c r="L2" i="6" a="1"/>
  <c r="Z2" i="6" a="1"/>
  <c r="J2" i="6" a="1"/>
  <c r="AC2" i="1" a="1"/>
  <c r="E2" i="1" a="1"/>
  <c r="AB2" i="1" a="1"/>
  <c r="L2" i="1" a="1"/>
  <c r="AF2" i="6" a="1"/>
  <c r="AA2" i="1" a="1"/>
  <c r="W2" i="6" a="1"/>
  <c r="B2" i="1" a="1"/>
  <c r="F2" i="6" a="1"/>
  <c r="I2" i="1" a="1"/>
  <c r="A2" i="1" a="1"/>
  <c r="M2" i="6" a="1"/>
  <c r="H2" i="1" a="1"/>
  <c r="AE2" i="1" a="1"/>
  <c r="G2" i="1" a="1"/>
  <c r="AH2" i="6" a="1"/>
  <c r="B2" i="6" a="1"/>
  <c r="C2" i="1" a="1"/>
  <c r="AH2" i="1" a="1"/>
  <c r="AG2" i="1" a="1"/>
  <c r="U2" i="6" a="1"/>
  <c r="AG2" i="6" a="1"/>
  <c r="Y2" i="6" a="1"/>
  <c r="Q2" i="6" a="1"/>
  <c r="I2" i="6" a="1"/>
  <c r="A2" i="6" a="1"/>
  <c r="X2" i="6" a="1"/>
  <c r="H2" i="6" a="1"/>
  <c r="S2" i="1" a="1"/>
  <c r="AE2" i="6" a="1"/>
  <c r="O2" i="6" a="1"/>
  <c r="G2" i="6" a="1"/>
  <c r="R2" i="1" a="1"/>
  <c r="N2" i="6" a="1"/>
  <c r="Q2" i="1" a="1"/>
  <c r="P2" i="1" a="1"/>
  <c r="AB2" i="6" a="1"/>
  <c r="O2" i="1" a="1"/>
  <c r="O2" i="1" l="1"/>
  <c r="AB2" i="6"/>
  <c r="P2" i="1"/>
  <c r="Q2" i="1"/>
  <c r="N2" i="6"/>
  <c r="R2" i="1"/>
  <c r="G2" i="6"/>
  <c r="O2" i="6"/>
  <c r="AE2" i="6"/>
  <c r="S2" i="1"/>
  <c r="H2" i="6"/>
  <c r="X2" i="6"/>
  <c r="A2" i="6"/>
  <c r="I2" i="6"/>
  <c r="Q2" i="6"/>
  <c r="Y2" i="6"/>
  <c r="AG2" i="6"/>
  <c r="U2" i="6"/>
  <c r="AG2" i="1"/>
  <c r="AH2" i="1"/>
  <c r="C2" i="1"/>
  <c r="B2" i="6"/>
  <c r="AH2" i="6"/>
  <c r="G2" i="1"/>
  <c r="AE2" i="1"/>
  <c r="AE68" i="1" s="1"/>
  <c r="H2" i="1"/>
  <c r="M2" i="6"/>
  <c r="A2" i="1"/>
  <c r="I2" i="1"/>
  <c r="F2" i="6"/>
  <c r="B2" i="1"/>
  <c r="W2" i="6"/>
  <c r="AA2" i="1"/>
  <c r="AF2" i="6"/>
  <c r="L2" i="1"/>
  <c r="AB2" i="1"/>
  <c r="E2" i="1"/>
  <c r="AC2" i="1"/>
  <c r="J2" i="6"/>
  <c r="Z2" i="6"/>
  <c r="L2" i="6"/>
  <c r="X2" i="1"/>
  <c r="E2" i="6"/>
  <c r="AD2" i="6"/>
  <c r="D2" i="1"/>
  <c r="T2" i="1"/>
  <c r="M2" i="1"/>
  <c r="R2" i="6"/>
  <c r="F2" i="1"/>
  <c r="N2" i="1"/>
  <c r="AD2" i="1"/>
  <c r="C2" i="6"/>
  <c r="K2" i="6"/>
  <c r="S2" i="6"/>
  <c r="AA2" i="6"/>
  <c r="AI2" i="6"/>
  <c r="W2" i="1"/>
  <c r="W68" i="1" s="1"/>
  <c r="D2" i="6"/>
  <c r="T2" i="6"/>
  <c r="AF2" i="1"/>
  <c r="AF68" i="1" s="1"/>
  <c r="AC2" i="6"/>
  <c r="Y2" i="1"/>
  <c r="Y68" i="1" s="1"/>
  <c r="V2" i="6"/>
  <c r="J2" i="1"/>
  <c r="Z2" i="1"/>
  <c r="K2" i="1"/>
  <c r="AI2" i="1"/>
  <c r="P2" i="6"/>
  <c r="U2" i="1"/>
  <c r="V2" i="1"/>
  <c r="AC68" i="1"/>
  <c r="AA68" i="1"/>
  <c r="AB68" i="1"/>
  <c r="AI68" i="1"/>
  <c r="X68" i="1"/>
  <c r="AG68" i="1"/>
  <c r="Z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D68" i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95D755D0-157D-43E8-9D27-C25809C57827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Timestamp="1764515817"&gt;&lt;FQL&gt;&lt;Q&gt;KSA^FG_TOTAL_RETURNC(-5AY,0,AM)&lt;/Q&gt;&lt;R&gt;61&lt;/R&gt;&lt;C&gt;1&lt;/C&gt;&lt;D xsi:type="xsd:double"&gt;8.379507&lt;/D&gt;&lt;D xsi:type="xsd:double"&gt;0.4975319&lt;/D&gt;&lt;D xsi:type="xsd:double"&gt;0.51020384&lt;/D&gt;&lt;D xsi:type="xsd:double"&gt;1.967001&lt;/D&gt;&lt;D xsi:type="xsd:double"&gt;7.1250796&lt;/D&gt;&lt;D xsi:type="xsd:double"&gt;12.082481&lt;/D&gt;&lt;D xsi:type="xsd:double"&gt;-0.12956262&lt;/D&gt;&lt;D xsi:type="xsd:double"&gt;3.3001423&lt;/D&gt;&lt;D xsi:type="xsd:double"&gt;0.22819042&lt;/D&gt;&lt;D xsi:type="xsd:double"&gt;3.4151316&lt;/D&gt;&lt;D xsi:type="xsd:double"&gt;1.8835664&lt;/D&gt;&lt;D xsi:type="xsd:double"&gt;4.417765&lt;/D&gt;&lt;D xsi:type="xsd:double"&gt;-7.9328594&lt;/D&gt;&lt;D xsi:type="xsd:double"&gt;3.6844492&lt;/D&gt;&lt;D xsi:type="xsd:double"&gt;8.4848995&lt;/D&gt;&lt;D xsi:type="xsd:double"&gt;4.181576&lt;/D&gt;&lt;D xsi:type="xsd:double"&gt;2.4898052&lt;/D&gt;&lt;D xsi:type="xsd:double"&gt;6.6806197&lt;/D&gt;&lt;D xsi:type="xsd:double"&gt;-9.540629&lt;/D&gt;&lt;D xsi:type="xsd:double"&gt;-8.881468&lt;/D&gt;&lt;D xsi:type="xsd:double"&gt;4.7504783&lt;/D&gt;&lt;D xsi:type="xsd:double"&gt;4.0540576&lt;/D&gt;&lt;D xsi:type="xsd:double"&gt;-9.575165&lt;/D&gt;&lt;D xsi:type="xsd:double"&gt;5.038953&lt;/D&gt;&lt;D xsi:type="xsd:double"&gt;-9.015072&lt;/D&gt;&lt;D xsi:type="xsd:double"&gt;-2.9683232&lt;/D&gt;&lt;D xsi:type="xsd:double"&gt;4.404354&lt;/D&gt;&lt;D xsi:type="xsd:double"&gt;-7.801777&lt;/D&gt;&lt;D xsi:type="xsd:double"&gt;4.8787236&lt;/D&gt;&lt;D xsi:type="xsd:double"&gt;8.199739&lt;/D&gt;&lt;D xsi:type="xsd:double"&gt;-0.8501291&lt;/D&gt;&lt;D xsi:type="xsd:double"&gt;1.9558907&lt;/D&gt;&lt;D xsi:type="xsd:double"&gt;3.719914&lt;/D&gt;&lt;D xsi:type="xsd:double"&gt;-4.289728&lt;/D&gt;&lt;D xsi:type="xsd:double"&gt;-4.7024307&lt;/D&gt;&lt;D xsi:type="xsd:double"&gt;-6.553584&lt;/D&gt;&lt;D xsi:type="xsd:double"&gt;8.855891&lt;/D&gt;&lt;D xsi:type="xsd:double"&gt;8.290804&lt;/D&gt;&lt;D xsi:type="xsd:double"&gt;1.9385338&lt;/D&gt;&lt;D xsi:type="xsd:double"&gt;3.339529&lt;/D&gt;&lt;D xsi:type="xsd:double"&gt;-0.8976698&lt;/D&gt;&lt;D xsi:type="xsd:double"&gt;-3.1702936&lt;/D&gt;&lt;D xsi:type="xsd:double"&gt;-5.7998123&lt;/D&gt;&lt;D xsi:type="xsd:double"&gt;2.3557663&lt;/D&gt;&lt;D xsi:type="xsd:double"&gt;2.683413&lt;/D&gt;&lt;D xsi:type="xsd:double"&gt;1.5104294&lt;/D&gt;&lt;D xsi:type="xsd:double"&gt;2.290976&lt;/D&gt;&lt;D xsi:type="xsd:double"&gt;-2.5629222&lt;/D&gt;&lt;D xsi:type="xsd:double"&gt;-4.4312773&lt;/D&gt;&lt;D xsi:type="xsd:double"&gt;2.1080375&lt;/D&gt;&lt;D xsi:type="xsd:double"&gt;4.8621535&lt;/D&gt;&lt;D xsi:type="xsd:double"&gt;-2.903682&lt;/D&gt;&lt;D xsi:type="xsd:double"&gt;-0.14588237&lt;/D&gt;&lt;D xsi:type="xsd:double"&gt;-0.5356729&lt;/D&gt;&lt;D xsi:type="xsd:double"&gt;-5.507958&lt;/D&gt;&lt;D xsi:type="xsd:double"&gt;0.79416037&lt;/D&gt;&lt;D xsi:type="xsd:double"&gt;-1.6988993&lt;/D&gt;&lt;D xsi:type="xsd:double"&gt;-0.37223697&lt;/D&gt;&lt;D xsi:type="xsd:double"&gt;6.618631&lt;/D&gt;&lt;D xsi:type="xsd:double"&gt;2.352941&lt;/D&gt;&lt;D xsi:type="xsd:double"&gt;-8.43727&lt;/D&gt;&lt;/FQL&gt;&lt;FQL&gt;&lt;Q&gt;VNM^FG_TOTAL_RETURNC(-5AY,0,AM)&lt;/Q&gt;&lt;R&gt;61&lt;/R&gt;&lt;C&gt;1&lt;/C&gt;&lt;D xsi:type="xsd:double"&gt;11.59122&lt;/D&gt;&lt;D xsi:type="xsd:double"&gt;5.538559&lt;/D&gt;&lt;D xsi:type="xsd:double"&gt;-1.5789509&lt;/D&gt;&lt;D xsi:type="xsd:double"&gt;4.575169&lt;/D&gt;&lt;D xsi:type="xsd:double"&gt;1.3636351&lt;/D&gt;&lt;D xsi:type="xsd:double"&gt;6.558299&lt;/D&gt;&lt;D xsi:type="xsd:double"&gt;3.5244584&lt;/D&gt;&lt;D xsi:type="xsd:double"&gt;4.6747923&lt;/D&gt;&lt;D xsi:type="xsd:double"&gt;-6.2135935&lt;/D&gt;&lt;D xsi:type="xsd:double"&gt;2.2774339&lt;/D&gt;&lt;D xsi:type="xsd:double"&gt;-2.8340042&lt;/D&gt;&lt;D xsi:type="xsd:double"&gt;5.4166555&lt;/D&gt;&lt;D xsi:type="xsd:double"&gt;2.1739125&lt;/D&gt;&lt;D xsi:type="xsd:double"&gt;2.2986054&lt;/D&gt;&lt;D xsi:type="xsd:double"&gt;-6.888354&lt;/D&gt;&lt;D xsi:type="xsd:double"&gt;-0.45918226&lt;/D&gt;&lt;D xsi:type="xsd:double"&gt;-3.0240893&lt;/D&gt;&lt;D xsi:type="xsd:double"&gt;-10.676533&lt;/D&gt;&lt;D xsi:type="xsd:double"&gt;-5.917162&lt;/D&gt;&lt;D xsi:type="xsd:double"&gt;-6.79245&lt;/D&gt;&lt;D xsi:type="xsd:double"&gt;-0.13495088&lt;/D&gt;&lt;D xsi:type="xsd:double"&gt;3.6486506&lt;/D&gt;&lt;D xsi:type="xsd:double"&gt;-11.994785&lt;/D&gt;&lt;D xsi:type="xsd:double"&gt;-12.962961&lt;/D&gt;&lt;D xsi:type="xsd:double"&gt;0.42552948&lt;/D&gt;&lt;D xsi:type="xsd:double"&gt;1.3669491&lt;/D&gt;&lt;D xsi:type="xsd:double"&gt;9.704638&lt;/D&gt;&lt;D xsi:type="xsd:double"&gt;-13.384617&lt;/D&gt;&lt;D xsi:type="xsd:double"&gt;7.371223&lt;/D&gt;&lt;D xsi:type="xsd:double"&gt;0.49626827&lt;/D&gt;&lt;D xsi:type="xsd:double"&gt;1.2345672&lt;/D&gt;&lt;D xsi:type="xsd:double"&gt;10.406506&lt;/D&gt;&lt;D xsi:type="xsd:double"&gt;9.057438&lt;/D&gt;&lt;D xsi:type="xsd:double"&gt;0.67521334&lt;/D&gt;&lt;D xsi:type="xsd:double"&gt;-9.322596&lt;/D&gt;&lt;D xsi:type="xsd:double"&gt;-10.872782&lt;/D&gt;&lt;D xsi:type="xsd:double"&gt;9.211612&lt;/D&gt;&lt;D xsi:type="xsd:double"&gt;3.4370303&lt;/D&gt;&lt;D xsi:type="xsd:double"&gt;-0.30983686&lt;/D&gt;&lt;D xsi:type="xsd:double"&gt;5.011654&lt;/D&gt;&lt;D xsi:type="xsd:double"&gt;2.8486848&lt;/D&gt;&lt;D xsi:type="xsd:double"&gt;-11.51079&lt;/D&gt;&lt;D xsi:type="xsd:double"&gt;4.2276382&lt;/D&gt;&lt;D xsi:type="xsd:double"&gt;-5.0701976&lt;/D&gt;&lt;D xsi:type="xsd:double"&gt;-0.9860277&lt;/D&gt;&lt;D xsi:type="xsd:double"&gt;3.7344337&lt;/D&gt;&lt;D xsi:type="xsd:double"&gt;2.4000049&lt;/D&gt;&lt;D xsi:type="xsd:double"&gt;-6.953126&lt;/D&gt;&lt;D xsi:type="xsd:double"&gt;-2.1410584&lt;/D&gt;&lt;D xsi:type="xsd:double"&gt;-0.98670125&lt;/D&gt;&lt;D xsi:type="xsd:double"&gt;0.43327808&lt;/D&gt;&lt;D xsi:type="xsd:double"&gt;3.8826585&lt;/D&gt;&lt;D xsi:type="xsd:double"&gt;2.823925&lt;/D&gt;&lt;D xsi:type="xsd:double"&gt;-3.4733474&lt;/D&gt;&lt;D xsi:type="xsd:double"&gt;14.728033&lt;/D&gt;&lt;D xsi:type="xsd:double"&gt;0.14587641&lt;/D&gt;&lt;D xsi:type="xsd:double"&gt;22.214138&lt;/D&gt;&lt;D xsi:type="xsd:double"&gt;9.147799&lt;/D&gt;&lt;D xsi:type="xsd:double"&gt;-4.1769085&lt;/D&gt;&lt;D xsi:type="xsd:double"&gt;3.5897493&lt;/D&gt;&lt;D xsi:type="xsd:double"&gt;0.8800864&lt;/D&gt;&lt;/FQL&gt;&lt;FQL&gt;&lt;Q&gt;MCHI^FG_PRICE(0,-200D)&lt;/Q&gt;&lt;R&gt;201&lt;/R&gt;&lt;C&gt;1&lt;/C&gt;&lt;D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xsi:type="xsd:double"&gt;51.68&lt;/D&gt;&lt;D xsi:type="xsd:double"&gt;51.85&lt;/D&gt;&lt;D xsi:type="xsd:double"&gt;51.91&lt;/D&gt;&lt;D xsi:type="xsd:double"&gt;51.97&lt;/D&gt;&lt;D xsi:type="xsd:double"&gt;51.66&lt;/D&gt;&lt;D xsi:type="xsd:double"&gt;50.9&lt;/D&gt;&lt;D xsi:type="xsd:double"&gt;49.39&lt;/D&gt;&lt;D xsi:type="xsd:double"&gt;49.29&lt;/D&gt;&lt;D xsi:type="xsd:double"&gt;49.16&lt;/D&gt;&lt;D xsi:type="xsd:double"&gt;50.17&lt;/D&gt;&lt;D xsi:type="xsd:double"&gt;50.56&lt;/D&gt;&lt;D xsi:type="xsd:double"&gt;49.68&lt;/D&gt;&lt;D xsi:type="xsd:double"&gt;47.98&lt;/D&gt;&lt;D xsi:type="xsd:double"&gt;48.06&lt;/D&gt;&lt;D xsi:type="xsd:double"&gt;45.22&lt;/D&gt;&lt;D xsi:type="xsd:double"&gt;46&lt;/D&gt;&lt;D xsi:type="xsd:double"&gt;50&lt;/D&gt;&lt;D xsi:type="xsd:double"&gt;53.67&lt;/D&gt;&lt;D xsi:type="xsd:double"&gt;54.16&lt;/D&gt;&lt;D xsi:type="xsd:double"&gt;54.55&lt;/D&gt;&lt;D xsi:type="xsd:double"&gt;54.4&lt;/D&gt;&lt;D xsi:type="xsd:double"&gt;54.57&lt;/D&gt;&lt;D xsi:type="xsd:double"&gt;55.81&lt;/D&gt;&lt;D xsi:type="xsd:double"&gt;55&lt;/D&gt;&lt;D xsi:type="xsd:double"&gt;55&lt;/D&gt;&lt;D xsi:type="xsd:double"&gt;55.61&lt;/D&gt;&lt;D xsi:type="xsd:double"&gt;55.65&lt;/D&gt;&lt;D xsi:type="xsd:double"&gt;56.69&lt;/D&gt;&lt;D xsi:type="xsd:double"&gt;58.31&lt;/D&gt;&lt;D xsi:type="xsd:double"&gt;58.36&lt;/D&gt;&lt;D xsi:type="xsd:double"&gt;58.65&lt;/D&gt;&lt;D xsi:type="xsd:double"&gt;57.37&lt;/D&gt;&lt;D xsi:type="xsd:double"&gt;55.77&lt;/D&gt;&lt;D xsi:type="xsd:double"&gt;55.63&lt;/D&gt;&lt;D xsi:type="xsd:double"&gt;55.83&lt;/D&gt;&lt;D xsi:type="xsd:double"&gt;54.79&lt;/D&gt;&lt;D xsi:type="xsd:double"&gt;56.5&lt;/D&gt;&lt;D xsi:type="xsd:double"&gt;56.53&lt;/D&gt;&lt;D xsi:type="xsd:double"&gt;56.22&lt;/D&gt;&lt;D xsi:type="xsd:double"&gt;53.6&lt;/D&gt;&lt;D xsi:type="xsd:double"&gt;52.81&lt;/D&gt;&lt;D xsi:type="xsd:double"&gt;53.58&lt;/D&gt;&lt;D xsi:type="xsd:double"&gt;54.91&lt;/D&gt;&lt;D xsi:type="xsd:double"&gt;55.4&lt;/D&gt;&lt;D xsi:type="xsd:double"&gt;54.06&lt;/D&gt;&lt;D xsi:type="xsd:double"&gt;53.59&lt;/D&gt;&lt;D xsi:type="xsd:double"&gt;55.77&lt;/D&gt;&lt;D xsi:type="xsd:double"&gt;54.73&lt;/D&gt;&lt;D xsi:type="xsd:double"&gt;53.73&lt;/D&gt;&lt;D xsi:type="xsd:double"&gt;53.99&lt;/D&gt;&lt;D xsi:type="xsd:double"&gt;53.46&lt;/D&gt;&lt;D xsi:type="xsd:double"&gt;51.85&lt;/D&gt;&lt;D xsi:type="xsd:double"&gt;51.87&lt;/D&gt;&lt;/FQL&gt;&lt;FQL&gt;&lt;Q&gt;EWI^FG_TOTAL_RETURNC(-5AY,0,AM)&lt;/Q&gt;&lt;R&gt;61&lt;/R&gt;&lt;C&gt;1&lt;/C&gt;&lt;D xsi:type="xsd:double"&gt;27.304506&lt;/D&gt;&lt;D xsi:type="xsd:double"&gt;2.6943803&lt;/D&gt;&lt;D xsi:type="xsd:double"&gt;-2.5943398&lt;/D&gt;&lt;D xsi:type="xsd:double"&gt;3.493607&lt;/D&gt;&lt;D xsi:type="xsd:double"&gt;5.080211&lt;/D&gt;&lt;D xsi:type="xsd:double"&gt;2.7035594&lt;/D&gt;&lt;D xsi:type="xsd:double"&gt;3.778255&lt;/D&gt;&lt;D xsi:type="xsd:double"&gt;-1.2575924&lt;/D&gt;&lt;D xsi:type="xsd:double"&gt;-0.948292&lt;/D&gt;&lt;D xsi:type="xsd:double"&gt;1.7294526&lt;/D&gt;&lt;D xsi:type="xsd:double"&gt;-2.914387&lt;/D&gt;&lt;D xsi:type="xsd:double"&gt;5.284548&lt;/D&gt;&lt;D xsi:type="xsd:double"&gt;-6.0588064&lt;/D&gt;&lt;D xsi:type="xsd:double"&gt;5.528319&lt;/D&gt;&lt;D xsi:type="xsd:double"&gt;-2.9474318&lt;/D&gt;&lt;D xsi:type="xsd:double"&gt;-5.29117&lt;/D&gt;&lt;D xsi:type="xsd:double"&gt;-3.3388436&lt;/D&gt;&lt;D xsi:type="xsd:double"&gt;-5.3009567&lt;/D&gt;&lt;D xsi:type="xsd:double"&gt;4.6226025&lt;/D&gt;&lt;D xsi:type="xsd:double"&gt;-12.086779&lt;/D&gt;&lt;D xsi:type="xsd:double"&gt;-2.913797&lt;/D&gt;&lt;D xsi:type="xsd:double"&gt;-2.8761983&lt;/D&gt;&lt;D xsi:type="xsd:double"&gt;-5.6652365&lt;/D&gt;&lt;D xsi:type="xsd:double"&gt;10.41857&lt;/D&gt;&lt;D xsi:type="xsd:double"&gt;11.907697&lt;/D&gt;&lt;D xsi:type="xsd:double"&gt;-0.028580427&lt;/D&gt;&lt;D xsi:type="xsd:double"&gt;12.149536&lt;/D&gt;&lt;D xsi:type="xsd:double"&gt;0.033330917&lt;/D&gt;&lt;D xsi:type="xsd:double"&gt;-1.1329591&lt;/D&gt;&lt;D xsi:type="xsd:double"&gt;6.707108&lt;/D&gt;&lt;D xsi:type="xsd:double"&gt;-3.7586868&lt;/D&gt;&lt;D xsi:type="xsd:double"&gt;4.8074365&lt;/D&gt;&lt;D xsi:type="xsd:double"&gt;6.9939017&lt;/D&gt;&lt;D xsi:type="xsd:double"&gt;-4.5877037&lt;/D&gt;&lt;D xsi:type="xsd:double"&gt;-4.556876&lt;/D&gt;&lt;D xsi:type="xsd:double"&gt;-4.2476177&lt;/D&gt;&lt;D xsi:type="xsd:double"&gt;12.861073&lt;/D&gt;&lt;D xsi:type="xsd:double"&gt;4.655504&lt;/D&gt;&lt;D xsi:type="xsd:double"&gt;-1.3561308&lt;/D&gt;&lt;D xsi:type="xsd:double"&gt;6.485367&lt;/D&gt;&lt;D xsi:type="xsd:double"&gt;5.865848&lt;/D&gt;&lt;D xsi:type="xsd:double"&gt;-1.2725353&lt;/D&gt;&lt;D xsi:type="xsd:double"&gt;4.296446&lt;/D&gt;&lt;D xsi:type="xsd:double"&gt;-5.4123697&lt;/D&gt;&lt;D xsi:type="xsd:double"&gt;4.6025157&lt;/D&gt;&lt;D xsi:type="xsd:double"&gt;2.640009&lt;/D&gt;&lt;D xsi:type="xsd:double"&gt;2.4681687&lt;/D&gt;&lt;D xsi:type="xsd:double"&gt;-1.850909&lt;/D&gt;&lt;D xsi:type="xsd:double"&gt;-7.026601&lt;/D&gt;&lt;D xsi:type="xsd:double"&gt;1.645112&lt;/D&gt;&lt;D xsi:type="xsd:double"&gt;7.1329474&lt;/D&gt;&lt;D xsi:type="xsd:double"&gt;5.6994796&lt;/D&gt;&lt;D xsi:type="xsd:double"&gt;4.9019575&lt;/D&gt;&lt;D xsi:type="xsd:double"&gt;3.3411264&lt;/D&gt;&lt;D xsi:type="xsd:double"&gt;7.5062156&lt;/D&gt;&lt;D xsi:type="xsd:double"&gt;2.403617&lt;/D&gt;&lt;D xsi:type="xsd:double"&gt;1.9222736&lt;/D&gt;&lt;D xsi:type="xsd:double"&gt;4.9405456&lt;/D&gt;&lt;D xsi:type="xsd:double"&gt;0.6837368&lt;/D&gt;&lt;D xsi:type="xsd:double"&gt;1.2417555&lt;/D&gt;&lt;D xsi:type="xsd:double"&gt;1.4373302&lt;/D&gt;&lt;/FQL&gt;&lt;FQL&gt;&lt;Q&gt;EWY^FG_TOTAL_RETURNC(-5AY,0,AM)&lt;/Q&gt;&lt;R&gt;61&lt;/R&gt;&lt;C&gt;1&lt;/C&gt;&lt;D xsi:type="xsd:double"&gt;17.916107&lt;/D&gt;&lt;D xsi:type="xsd:double"&gt;7.3369026&lt;/D&gt;&lt;D xsi:type="xsd:double"&gt;11.093688&lt;/D&gt;&lt;D xsi:type="xsd:double"&gt;-4.515356&lt;/D&gt;&lt;D xsi:type="xsd:double"&gt;1.3299942&lt;/D&gt;&lt;D xsi:type="xsd:double"&gt;4.20686&lt;/D&gt;&lt;D xsi:type="xsd:double"&gt;-0.925827&lt;/D&gt;&lt;D xsi:type="xsd:double"&gt;1.5321136&lt;/D&gt;&lt;D xsi:type="xsd:double"&gt;-3.7243187&lt;/D&gt;&lt;D xsi:type="xsd:double"&gt;-4.7354403&lt;/D&gt;&lt;D xsi:type="xsd:double"&gt;-5.4842415&lt;/D&gt;&lt;D xsi:type="xsd:double"&gt;0.11110306&lt;/D&gt;&lt;D xsi:type="xsd:double"&gt;-6.572938&lt;/D&gt;&lt;D xsi:type="xsd:double"&gt;6.26359&lt;/D&gt;&lt;D xsi:type="xsd:double"&gt;-10.417461&lt;/D&gt;&lt;D xsi:type="xsd:double"&gt;2.5637507&lt;/D&gt;&lt;D xsi:type="xsd:double"&gt;-2.1129787&lt;/D&gt;&lt;D xsi:type="xsd:double"&gt;-6.391084&lt;/D&gt;&lt;D xsi:type="xsd:double"&gt;1.8839478&lt;/D&gt;&lt;D xsi:type="xsd:double"&gt;-12.633133&lt;/D&gt;&lt;D xsi:type="xsd:double"&gt;2.472055&lt;/D&gt;&lt;D xsi:type="xsd:double"&gt;-4.3456736&lt;/D&gt;&lt;D xsi:type="xsd:double"&gt;-14.73484&lt;/D&gt;&lt;D xsi:type="xsd:double"&gt;4.9837947&lt;/D&gt;&lt;D xsi:type="xsd:double"&gt;9.687376&lt;/D&gt;&lt;D xsi:type="xsd:double"&gt;0.7877946&lt;/D&gt;&lt;D xsi:type="xsd:double"&gt;15.544963&lt;/D&gt;&lt;D xsi:type="xsd:double"&gt;-10.5641365&lt;/D&gt;&lt;D xsi:type="xsd:double"&gt;2.6153803&lt;/D&gt;&lt;D xsi:type="xsd:double"&gt;1.0661364&lt;/D&gt;&lt;D xsi:type="xsd:double"&gt;4.005277&lt;/D&gt;&lt;D xsi:type="xsd:double"&gt;0.28526783&lt;/D&gt;&lt;D xsi:type="xsd:double"&gt;6.652975&lt;/D&gt;&lt;D xsi:type="xsd:double"&gt;-7.37887&lt;/D&gt;&lt;D xsi:type="xsd:double"&gt;-5.1831665&lt;/D&gt;&lt;D xsi:type="xsd:double"&gt;-7.811713&lt;/D&gt;&lt;D xsi:type="xsd:double"&gt;16.19693&lt;/D&gt;&lt;D xsi:type="xsd:double"&gt;6.640148&lt;/D&gt;&lt;D xsi:type="xsd:double"&gt;-9.821165&lt;/D&gt;&lt;D xsi:type="xsd:double"&gt;7.8151345&lt;/D&gt;&lt;D xsi:type="xsd:double"&gt;4.6141863&lt;/D&gt;&lt;D xsi:type="xsd:double"&gt;-5.6176424&lt;/D&gt;&lt;D xsi:type="xsd:double"&gt;2.194512&lt;/D&gt;&lt;D xsi:type="xsd:double"&gt;2.101028&lt;/D&gt;&lt;D xsi:type="xsd:double"&gt;-1.5736043&lt;/D&gt;&lt;D xsi:type="xsd:double"&gt;0.7071495&lt;/D&gt;&lt;D xsi:type="xsd:double"&gt;1.2669683&lt;/D&gt;&lt;D xsi:type="xsd:double"&gt;-6.964117&lt;/D&gt;&lt;D xsi:type="xsd:double"&gt;-5.8003902&lt;/D&gt;&lt;D xsi:type="xsd:double"&gt;-9.344679&lt;/D&gt;&lt;D xsi:type="xsd:double"&gt;5.5188537&lt;/D&gt;&lt;D xsi:type="xsd:double"&gt;0.6814003&lt;/D&gt;&lt;D xsi:type="xsd:double"&gt;0.21950006&lt;/D&gt;&lt;D xsi:type="xsd:double"&gt;1.5696287&lt;/D&gt;&lt;D xsi:type="xsd:double"&gt;9.164417&lt;/D&gt;&lt;D xsi:type="xsd:double"&gt;16.444445&lt;/D&gt;&lt;D xsi:type="xsd:double"&gt;2.7848482&lt;/D&gt;&lt;D xsi:type="xsd:double"&gt;1.2790561&lt;/D&gt;&lt;D xsi:type="xsd:double"&gt;7.10212&lt;/D&gt;&lt;D xsi:type="xsd:double"&gt;19.754017&lt;/D&gt;&lt;D xsi:type="xsd:double"&gt;-3.7903607&lt;/D&gt;&lt;/FQL&gt;&lt;FQL&gt;&lt;Q&gt;EWG^FG_TOTAL_RETURNC(-5AY,0,AM)&lt;/Q&gt;&lt;R&gt;61&lt;/R&gt;&lt;C&gt;1&lt;/C&gt;&lt;D xsi:type="xsd:double"&gt;16.489769&lt;/D&gt;&lt;D xsi:type="xsd:double"&gt;6.1037419999999996&lt;/D&gt;&lt;D xsi:type="xsd:double"&gt;-0.9627342&lt;/D&gt;&lt;D xsi:type="xsd:double"&gt;0.37629604&lt;/D&gt;&lt;D xsi:type="xsd:double"&gt;3.7488341&lt;/D&gt;&lt;D xsi:type="xsd:double"&gt;6.293285&lt;/D&gt;&lt;D xsi:type="xsd:double"&gt;1.3597727&lt;/D&gt;&lt;D xsi:type="xsd:double"&gt;-0.8874178&lt;/D&gt;&lt;D xsi:type="xsd:double"&gt;-0.917691&lt;/D&gt;&lt;D xsi:type="xsd:double"&gt;1.3603568&lt;/D&gt;&lt;D xsi:type="xsd:double"&gt;-4.88292&lt;/D&gt;&lt;D xsi:type="xsd:double"&gt;2.311623&lt;/D&gt;&lt;D xsi:type="xsd:double"&gt;-6.1913195&lt;/D&gt;&lt;D xsi:type="xsd:double"&gt;3.8363576&lt;/D&gt;&lt;D xsi:type="xsd:double"&gt;-4.350239&lt;/D&gt;&lt;D xsi:type="xsd:double"&gt;-7.623887&lt;/D&gt;&lt;D xsi:type="xsd:double"&gt;-1.5474558&lt;/D&gt;&lt;D xsi:type="xsd:double"&gt;-8.06846&lt;/D&gt;&lt;D xsi:type="xsd:double"&gt;3.9513707&lt;/D&gt;&lt;D xsi:type="xsd:double"&gt;-10.887194&lt;/D&gt;&lt;D xsi:type="xsd:double"&gt;-2.36786&lt;/D&gt;&lt;D xsi:type="xsd:double"&gt;-6.323087&lt;/D&gt;&lt;D xsi:type="xsd:double"&gt;-6.796116&lt;/D&gt;&lt;D xsi:type="xsd:double"&gt;9.920633&lt;/D&gt;&lt;D xsi:type="xsd:double"&gt;12.0036125&lt;/D&gt;&lt;D xsi:type="xsd:double"&gt;-0.8933723&lt;/D&gt;&lt;D xsi:type="xsd:double"&gt;13.826752&lt;/D&gt;&lt;D xsi:type="xsd:double"&gt;-2.5008917&lt;/D&gt;&lt;D xsi:type="xsd:double"&gt;0.7695079&lt;/D&gt;&lt;D xsi:type="xsd:double"&gt;6.945455&lt;/D&gt;&lt;D xsi:type="xsd:double"&gt;-2.8221667&lt;/D&gt;&lt;D xsi:type="xsd:double"&gt;1.4157176&lt;/D&gt;&lt;D xsi:type="xsd:double"&gt;4.2892575&lt;/D&gt;&lt;D xsi:type="xsd:double"&gt;-6.1182857&lt;/D&gt;&lt;D xsi:type="xsd:double"&gt;-5.430847&lt;/D&gt;&lt;D xsi:type="xsd:double"&gt;-5.168456&lt;/D&gt;&lt;D xsi:type="xsd:double"&gt;14.00888&lt;/D&gt;&lt;D xsi:type="xsd:double"&gt;5.033815&lt;/D&gt;&lt;D xsi:type="xsd:double"&gt;-0.9103179&lt;/D&gt;&lt;D xsi:type="xsd:double"&gt;3.7427664&lt;/D&gt;&lt;D xsi:type="xsd:double"&gt;4.1324973&lt;/D&gt;&lt;D xsi:type="xsd:double"&gt;-2.48819&lt;/D&gt;&lt;D xsi:type="xsd:double"&gt;4.134381&lt;/D&gt;&lt;D xsi:type="xsd:double"&gt;-2.6821733&lt;/D&gt;&lt;D xsi:type="xsd:double"&gt;2.2534251&lt;/D&gt;&lt;D xsi:type="xsd:double"&gt;3.6729455&lt;/D&gt;&lt;D xsi:type="xsd:double"&gt;4.5286536&lt;/D&gt;&lt;D xsi:type="xsd:double"&gt;-2.652526&lt;/D&gt;&lt;D xsi:type="xsd:double"&gt;-3.966087&lt;/D&gt;&lt;D xsi:type="xsd:double"&gt;1.3240814&lt;/D&gt;&lt;D xsi:type="xsd:double"&gt;7.5295687&lt;/D&gt;&lt;D xsi:type="xsd:double"&gt;4.369211&lt;/D&gt;&lt;D xsi:type="xsd:double"&gt;3.6595464&lt;/D&gt;&lt;D xsi:type="xsd:double"&gt;5.562985&lt;/D&gt;&lt;D xsi:type="xsd:double"&gt;5.8272123&lt;/D&gt;&lt;D xsi:type="xsd:double"&gt;2.9414296&lt;/D&gt;&lt;D xsi:type="xsd:double"&gt;-1.4893651&lt;/D&gt;&lt;D xsi:type="xsd:double"&gt;0.83993673&lt;/D&gt;&lt;D xsi:type="xsd:double"&gt;-1.9514501&lt;/D&gt;&lt;D xsi:type="xsd:double"&gt;1.2621403&lt;/D&gt;&lt;D xsi:type="xsd:double"&gt;-1.917553&lt;/D&gt;&lt;/FQL&gt;&lt;FQL&gt;&lt;Q&gt;EWW^FG_TOTAL_RETURNC(-5AY,0,AM)&lt;/Q&gt;&lt;R&gt;61&lt;/R&gt;&lt;C&gt;1&lt;/C&gt;&lt;D xsi:type="xsd:double"&gt;20.699715&lt;/D&gt;&lt;D xsi:type="xsd:double"&gt;3.5574675&lt;/D&gt;&lt;D xsi:type="xsd:double"&gt;-0.9674251&lt;/D&gt;&lt;D xsi:type="xsd:double"&gt;-3.1212807&lt;/D&gt;&lt;D xsi:type="xsd:double"&gt;8.28824&lt;/D&gt;&lt;D xsi:type="xsd:double"&gt;5.5416822&lt;/D&gt;&lt;D xsi:type="xsd:double"&gt;3.5291553&lt;/D&gt;&lt;D xsi:type="xsd:double"&gt;1.1187434&lt;/D&gt;&lt;D xsi:type="xsd:double"&gt;2.154553&lt;/D&gt;&lt;D xsi:type="xsd:double"&gt;1.33847&lt;/D&gt;&lt;D xsi:type="xsd:double"&gt;-2.8216898&lt;/D&gt;&lt;D xsi:type="xsd:double"&gt;0.47364235&lt;/D&gt;&lt;D xsi:type="xsd:double"&gt;-9.346181&lt;/D&gt;&lt;D xsi:type="xsd:double"&gt;15.426338&lt;/D&gt;&lt;D xsi:type="xsd:double"&gt;-5.9197426&lt;/D&gt;&lt;D xsi:type="xsd:double"&gt;6.292224&lt;/D&gt;&lt;D xsi:type="xsd:double"&gt;6.5752864&lt;/D&gt;&lt;D xsi:type="xsd:double"&gt;-5.8527527&lt;/D&gt;&lt;D xsi:type="xsd:double"&gt;5.2464843&lt;/D&gt;&lt;D xsi:type="xsd:double"&gt;-10.021395&lt;/D&gt;&lt;D xsi:type="xsd:double"&gt;-0.42454004&lt;/D&gt;&lt;D xsi:type="xsd:double"&gt;-0.7887423&lt;/D&gt;&lt;D xsi:type="xsd:double"&gt;-2.7288377&lt;/D&gt;&lt;D xsi:type="xsd:double"&gt;9.96244&lt;/D&gt;&lt;D xsi:type="xsd:double"&gt;7.292092&lt;/D&gt;&lt;D xsi:type="xsd:double"&gt;-3.110665&lt;/D&gt;&lt;D xsi:type="xsd:double"&gt;14.474463&lt;/D&gt;&lt;D xsi:type="xsd:double"&gt;-0.70628524&lt;/D&gt;&lt;D xsi:type="xsd:double"&gt;1.2144327&lt;/D&gt;&lt;D xsi:type="xsd:double"&gt;4.3537855&lt;/D&gt;&lt;D xsi:type="xsd:double"&gt;0.5584717&lt;/D&gt;&lt;D xsi:type="xsd:double"&gt;2.6161194&lt;/D&gt;&lt;D xsi:type="xsd:double"&gt;4.8107743&lt;/D&gt;&lt;D xsi:type="xsd:double"&gt;-3.3047736&lt;/D&gt;&lt;D xsi:type="xsd:double"&gt;-7.484174&lt;/D&gt;&lt;D xsi:type="xsd:double"&gt;-6.7385015&lt;/D&gt;&lt;D xsi:type="xsd:double"&gt;14.524115&lt;/D&gt;&lt;D xsi:type="xsd:double"&gt;10.502565&lt;/D&gt;&lt;D xsi:type="xsd:double"&gt;-2.3101807&lt;/D&gt;&lt;D xsi:type="xsd:double"&gt;-2.2593737&lt;/D&gt;&lt;D xsi:type="xsd:double"&gt;6.8115234&lt;/D&gt;&lt;D xsi:type="xsd:double"&gt;-3.5492718&lt;/D&gt;&lt;D xsi:type="xsd:double"&gt;-2.3036659&lt;/D&gt;&lt;D xsi:type="xsd:double"&gt;-12.593042&lt;/D&gt;&lt;D xsi:type="xsd:double"&gt;0.017666817&lt;/D&gt;&lt;D xsi:type="xsd:double"&gt;-6.835037&lt;/D&gt;&lt;D xsi:type="xsd:double"&gt;2.293837&lt;/D&gt;&lt;D xsi:type="xsd:double"&gt;-2.5574446&lt;/D&gt;&lt;D xsi:type="xsd:double"&gt;-6.5424147&lt;/D&gt;&lt;D xsi:type="xsd:double"&gt;0.7700801&lt;/D&gt;&lt;D xsi:type="xsd:double"&gt;3.4590483&lt;/D&gt;&lt;D xsi:type="xsd:double"&gt;1.7522693&lt;/D&gt;&lt;D xsi:type="xsd:double"&gt;2.1773577&lt;/D&gt;&lt;D xsi:type="xsd:double"&gt;12.592018&lt;/D&gt;&lt;D xsi:type="xsd:double"&gt;4.783213&lt;/D&gt;&lt;D xsi:type="xsd:double"&gt;0.8412719&lt;/D&gt;&lt;D xsi:type="xsd:double"&gt;-0.431031&lt;/D&gt;&lt;D xsi:type="xsd:double"&gt;4.0959&lt;/D&gt;&lt;D xsi:type="xsd:double"&gt;7.389629&lt;/D&gt;&lt;D xsi:type="xsd:double"&gt;-0.059580803&lt;/D&gt;&lt;D xsi:type="xsd:double"&gt;1.9672155&lt;/D&gt;&lt;/FQL&gt;&lt;FQL&gt;&lt;Q&gt;KSA^FG_PRICE(0,-200D)&lt;/Q&gt;&lt;R&gt;201&lt;/R&gt;&lt;C&gt;1&lt;/C&gt;&lt;D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xsi:type="xsd:double"&gt;40.74&lt;/D&gt;&lt;D xsi:type="xsd:double"&gt;40.85&lt;/D&gt;&lt;D xsi:type="xsd:double"&gt;41.16&lt;/D&gt;&lt;D xsi:type="xsd:double"&gt;41.05&lt;/D&gt;&lt;D xsi:type="xsd:double"&gt;40.37&lt;/D&gt;&lt;D xsi:type="xsd:double"&gt;40.41&lt;/D&gt;&lt;D xsi:type="xsd:double"&gt;39.9&lt;/D&gt;&lt;D xsi:type="xsd:double"&gt;40.19&lt;/D&gt;&lt;D xsi:type="xsd:double"&gt;40.04&lt;/D&gt;&lt;D xsi:type="xsd:double"&gt;40.24&lt;/D&gt;&lt;D xsi:type="xsd:double"&gt;40.01&lt;/D&gt;&lt;D xsi:type="xsd:double"&gt;39.58&lt;/D&gt;&lt;D xsi:type="xsd:double"&gt;39.34&lt;/D&gt;&lt;D xsi:type="xsd:double"&gt;40.2&lt;/D&gt;&lt;D xsi:type="xsd:double"&gt;38.17&lt;/D&gt;&lt;D xsi:type="xsd:double"&gt;38.75&lt;/D&gt;&lt;D xsi:type="xsd:double"&gt;38.98&lt;/D&gt;&lt;D xsi:type="xsd:double"&gt;40.61&lt;/D&gt;&lt;D xsi:type="xsd:double"&gt;41.52&lt;/D&gt;&lt;D xsi:type="xsd:double"&gt;41.34&lt;/D&gt;&lt;D xsi:type="xsd:double"&gt;41.37&lt;/D&gt;&lt;D xsi:type="xsd:double"&gt;41.07&lt;/D&gt;&lt;D xsi:type="xsd:double"&gt;41.39&lt;/D&gt;&lt;D xsi:type="xsd:double"&gt;40.87&lt;/D&gt;&lt;D xsi:type="xsd:double"&gt;40.28&lt;/D&gt;&lt;D xsi:type="xsd:double"&gt;40.49&lt;/D&gt;&lt;D xsi:type="xsd:double"&gt;40.34&lt;/D&gt;&lt;D xsi:type="xsd:double"&gt;40.35&lt;/D&gt;&lt;D xsi:type="xsd:double"&gt;40.38&lt;/D&gt;&lt;D xsi:type="xsd:double"&gt;40.59&lt;/D&gt;&lt;D xsi:type="xsd:double"&gt;41.13&lt;/D&gt;&lt;D xsi:type="xsd:double"&gt;40.48&lt;/D&gt;&lt;D xsi:type="xsd:double"&gt;40.02&lt;/D&gt;&lt;D xsi:type="xsd:double"&gt;40.06&lt;/D&gt;&lt;D xsi:type="xsd:double"&gt;39.95&lt;/D&gt;&lt;D xsi:type="xsd:double"&gt;40.04&lt;/D&gt;&lt;D xsi:type="xsd:double"&gt;40.39&lt;/D&gt;&lt;D xsi:type="xsd:double"&gt;40.27&lt;/D&gt;&lt;D xsi:type="xsd:double"&gt;40.75&lt;/D&gt;&lt;D xsi:type="xsd:double"&gt;40.64&lt;/D&gt;&lt;D xsi:type="xsd:double"&gt;41.07&lt;/D&gt;&lt;D xsi:type="xsd:double"&gt;41.13&lt;/D&gt;&lt;D xsi:type="xsd:double"&gt;41.17&lt;/D&gt;&lt;D xsi:type="xsd:double"&gt;41.63&lt;/D&gt;&lt;D xsi:type="xsd:double"&gt;41.95&lt;/D&gt;&lt;D xsi:type="xsd:double"&gt;41.96&lt;/D&gt;&lt;D xsi:type="xsd:double"&gt;42.03&lt;/D&gt;&lt;D xsi:type="xsd:double"&gt;42.43&lt;/D&gt;&lt;D xsi:type="xsd:double"&gt;42.11&lt;/D&gt;&lt;D xsi:type="xsd:double"&gt;42.14&lt;/D&gt;&lt;D xsi:type="xsd:double"&gt;42.5&lt;/D&gt;&lt;D xsi:type="xsd:double"&gt;42.5&lt;/D&gt;&lt;D xsi:type="xsd:double"&gt;42.18&lt;/D&gt;&lt;/FQL&gt;&lt;FQL&gt;&lt;Q&gt;EWC^FG_TOTAL_RETURNC(-5AY,0,AM)&lt;/Q&gt;&lt;R&gt;61&lt;/R&gt;&lt;C&gt;1&lt;/C&gt;&lt;D xsi:type="xsd:double"&gt;15.094339&lt;/D&gt;&lt;D xsi:type="xsd:double"&gt;2.4134398&lt;/D&gt;&lt;D xsi:type="xsd:double"&gt;0.94002485&lt;/D&gt;&lt;D xsi:type="xsd:double"&gt;3.3076406&lt;/D&gt;&lt;D xsi:type="xsd:double"&gt;6.061554&lt;/D&gt;&lt;D xsi:type="xsd:double"&gt;5.5978894&lt;/D&gt;&lt;D xsi:type="xsd:double"&gt;5.1068544&lt;/D&gt;&lt;D xsi:type="xsd:double"&gt;-0.58006644&lt;/D&gt;&lt;D xsi:type="xsd:double"&gt;-0.9620428&lt;/D&gt;&lt;D xsi:type="xsd:double"&gt;1.349163&lt;/D&gt;&lt;D xsi:type="xsd:double"&gt;-2.8221548&lt;/D&gt;&lt;D xsi:type="xsd:double"&gt;8.493149&lt;/D&gt;&lt;D xsi:type="xsd:double"&gt;-3.5606086&lt;/D&gt;&lt;D xsi:type="xsd:double"&gt;1.4270306&lt;/D&gt;&lt;D xsi:type="xsd:double"&gt;-2.405864&lt;/D&gt;&lt;D xsi:type="xsd:double"&gt;2.41158&lt;/D&gt;&lt;D xsi:type="xsd:double"&gt;5.6253195&lt;/D&gt;&lt;D xsi:type="xsd:double"&gt;-6.167942&lt;/D&gt;&lt;D xsi:type="xsd:double"&gt;-0.68638325&lt;/D&gt;&lt;D xsi:type="xsd:double"&gt;-8.17222&lt;/D&gt;&lt;D xsi:type="xsd:double"&gt;1.6622901&lt;/D&gt;&lt;D xsi:type="xsd:double"&gt;0.2868533&lt;/D&gt;&lt;D xsi:type="xsd:double"&gt;-9.782606&lt;/D&gt;&lt;D xsi:type="xsd:double"&gt;5.009508&lt;/D&gt;&lt;D xsi:type="xsd:double"&gt;4.7403336&lt;/D&gt;&lt;D xsi:type="xsd:double"&gt;-5.2403746&lt;/D&gt;&lt;D xsi:type="xsd:double"&gt;10.092581&lt;/D&gt;&lt;D xsi:type="xsd:double"&gt;-4.54163&lt;/D&gt;&lt;D xsi:type="xsd:double"&gt;-2.5256991&lt;/D&gt;&lt;D xsi:type="xsd:double"&gt;6.0560465&lt;/D&gt;&lt;D xsi:type="xsd:double"&gt;-4.034096&lt;/D&gt;&lt;D xsi:type="xsd:double"&gt;2.777481&lt;/D&gt;&lt;D xsi:type="xsd:double"&gt;4.102409&lt;/D&gt;&lt;D xsi:type="xsd:double"&gt;-5.1984367&lt;/D&gt;&lt;D xsi:type="xsd:double"&gt;-0.56013465&lt;/D&gt;&lt;D xsi:type="xsd:double"&gt;-6.670618&lt;/D&gt;&lt;D xsi:type="xsd:double"&gt;9.783995&lt;/D&gt;&lt;D xsi:type="xsd:double"&gt;7.639003&lt;/D&gt;&lt;D xsi:type="xsd:double"&gt;-0.6267011&lt;/D&gt;&lt;D xsi:type="xsd:double"&gt;0.19193888&lt;/D&gt;&lt;D xsi:type="xsd:double"&gt;4.7618985&lt;/D&gt;&lt;D xsi:type="xsd:double"&gt;-1.6980112&lt;/D&gt;&lt;D xsi:type="xsd:double"&gt;1.3553023&lt;/D&gt;&lt;D xsi:type="xsd:double"&gt;-1.8322468&lt;/D&gt;&lt;D xsi:type="xsd:double"&gt;3.3432245&lt;/D&gt;&lt;D xsi:type="xsd:double"&gt;4.4873357&lt;/D&gt;&lt;D xsi:type="xsd:double"&gt;3.4956336&lt;/D&gt;&lt;D xsi:type="xsd:double"&gt;-0.04824996&lt;/D&gt;&lt;D xsi:type="xsd:double"&gt;3.379202&lt;/D&gt;&lt;D xsi:type="xsd:double"&gt;-4.8335195&lt;/D&gt;&lt;D xsi:type="xsd:double"&gt;2.8344035&lt;/D&gt;&lt;D xsi:type="xsd:double"&gt;-0.31431317&lt;/D&gt;&lt;D xsi:type="xsd:double"&gt;-1.6007781&lt;/D&gt;&lt;D xsi:type="xsd:double"&gt;4.436779&lt;/D&gt;&lt;D xsi:type="xsd:double"&gt;5.640781&lt;/D&gt;&lt;D xsi:type="xsd:double"&gt;2.5128126&lt;/D&gt;&lt;D xsi:type="xsd:double"&gt;2.5010943&lt;/D&gt;&lt;D xsi:type="xsd:double"&gt;3.7243128&lt;/D&gt;&lt;D xsi:type="xsd:double"&gt;3.2191515&lt;/D&gt;&lt;D xsi:type="xsd:double"&gt;2.7788877&lt;/D&gt;&lt;D xsi:type="xsd:double"&gt;2.5092363&lt;/D&gt;&lt;/FQL&gt;&lt;FQL&gt;&lt;Q&gt;EWU^FG_PRICE(0,-200D)&lt;/Q&gt;&lt;R&gt;201&lt;/R&gt;&lt;C&gt;1&lt;/C&gt;&lt;D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</t>
        </r>
      </text>
    </comment>
    <comment ref="A2" authorId="0" shapeId="0" xr:uid="{0006B55F-229D-4140-B9B1-2BBF7B23C514}">
      <text>
        <r>
          <rPr>
            <b/>
            <sz val="9"/>
            <color indexed="81"/>
            <rFont val="Tahoma"/>
            <charset val="1"/>
          </rPr>
          <t>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xsi:type="xsd:double"&gt;38.35&lt;/D&gt;&lt;D xsi:type="xsd:double"&gt;38.19&lt;/D&gt;&lt;D xsi:type="xsd:double"&gt;37.94&lt;/D&gt;&lt;D xsi:type="xsd:double"&gt;37.89&lt;/D&gt;&lt;D xsi:type="xsd:double"&gt;37.55&lt;/D&gt;&lt;D xsi:type="xsd:double"&gt;37.58&lt;/D&gt;&lt;D xsi:type="xsd:double"&gt;36.82&lt;/D&gt;&lt;D xsi:type="xsd:double"&gt;36.97&lt;/D&gt;&lt;D xsi:type="xsd:double"&gt;36.55&lt;/D&gt;&lt;D xsi:type="xsd:double"&gt;36.65&lt;/D&gt;&lt;D xsi:type="xsd:double"&gt;36.15&lt;/D&gt;&lt;D xsi:type="xsd:double"&gt;35.57&lt;/D&gt;&lt;D xsi:type="xsd:double"&gt;34.67&lt;/D&gt;&lt;D xsi:type="xsd:double"&gt;35.11&lt;/D&gt;&lt;D xsi:type="xsd:double"&gt;33.19&lt;/D&gt;&lt;D xsi:type="xsd:double"&gt;33.29&lt;/D&gt;&lt;D xsi:type="xsd:double"&gt;34.62&lt;/D&gt;&lt;D xsi:type="xsd:double"&gt;37.28&lt;/D&gt;&lt;D xsi:type="xsd:double"&gt;37.61&lt;/D&gt;&lt;D xsi:type="xsd:double"&gt;37.44&lt;/D&gt;&lt;D xsi:type="xsd:double"&gt;37.47&lt;/D&gt;&lt;D xsi:type="xsd:double"&gt;37.59&lt;/D&gt;&lt;D xsi:type="xsd:double"&gt;37.66&lt;/D&gt;&lt;D xsi:type="xsd:double"&gt;37.51&lt;/D&gt;&lt;D xsi:type="xsd:double"&gt;37.64&lt;/D&gt;&lt;D xsi:type="xsd:double"&gt;37.53&lt;/D&gt;&lt;D xsi:type="xsd:double"&gt;37.53&lt;/D&gt;&lt;D xsi:type="xsd:double"&gt;37.88&lt;/D&gt;&lt;D xsi:type="xsd:double"&gt;37.99&lt;/D&gt;&lt;D xsi:type="xsd:double"&gt;37.95&lt;/D&gt;&lt;D xsi:type="xsd:double"&gt;37.97&lt;/D&gt;&lt;D xsi:type="xsd:double"&gt;37.71&lt;/D&gt;&lt;D xsi:type="xsd:double"&gt;37.13&lt;/D&gt;&lt;D xsi:type="xsd:double"&gt;37.12&lt;/D&gt;&lt;D xsi:type="xsd:double"&gt;36.96&lt;/D&gt;&lt;D xsi:type="xsd:double"&gt;37.05&lt;/D&gt;&lt;D xsi:type="xsd:double"&gt;37.83&lt;/D&gt;&lt;D xsi:type="xsd:double"&gt;37.25&lt;/D&gt;&lt;D xsi:type="xsd:double"&gt;37.92&lt;/D&gt;&lt;D xsi:type="xsd:double"&gt;37.55&lt;/D&gt;&lt;D xsi:type="xsd:double"&gt;37.42&lt;/D&gt;&lt;D xsi:type="xsd:double"&gt;37.04&lt;/D&gt;&lt;D xsi:type="xsd:double"&gt;36.7&lt;/D&gt;&lt;D xsi:type="xsd:double"&gt;36.75&lt;/D&gt;&lt;D xsi:type="xsd:double"&gt;36.72&lt;/D&gt;&lt;D xsi:type="xsd:double"&gt;36.39&lt;/D&gt;&lt;D xsi:type="xsd:double"&gt;36.36&lt;/D&gt;&lt;D xsi:type="xsd:double"&gt;36.55&lt;/D&gt;&lt;D xsi:type="xsd:double"&gt;36.64&lt;/D&gt;&lt;D xsi:type="xsd:double"&gt;36.85&lt;/D&gt;&lt;D xsi:type="xsd:double"&gt;36.55&lt;/D&gt;&lt;D xsi:type="xsd:double"&gt;36.65&lt;/D&gt;&lt;D xsi:type="xsd:double"&gt;36.57&lt;/D&gt;&lt;/FQL&gt;&lt;FQL&gt;&lt;Q&gt;EWQ^FG_TOTAL_RETURNC(-5AY,0,AM)&lt;/Q&gt;&lt;R&gt;61&lt;/R&gt;&lt;C&gt;1&lt;/C&gt;&lt;D xsi:type="xsd:double"&gt;25&lt;/D&gt;&lt;D xsi:type="xsd:double"&gt;1.7076015&lt;/D&gt;&lt;D xsi:type="xsd:double"&gt;-1.5201151&lt;/D&gt;&lt;D xsi:type="xsd:double"&gt;2.5120974&lt;/D&gt;&lt;D xsi:type="xsd:double"&gt;2.863896&lt;/D&gt;&lt;D xsi:type="xsd:double"&gt;7.7497125&lt;/D&gt;&lt;D xsi:type="xsd:double"&gt;3.8359046&lt;/D&gt;&lt;D xsi:type="xsd:double"&gt;-0.7247567&lt;/D&gt;&lt;D xsi:type="xsd:double"&gt;-0.28743148&lt;/D&gt;&lt;D xsi:type="xsd:double"&gt;0.9433985&lt;/D&gt;&lt;D xsi:type="xsd:double"&gt;-2.2845328&lt;/D&gt;&lt;D xsi:type="xsd:double"&gt;4.7821403&lt;/D&gt;&lt;D xsi:type="xsd:double"&gt;-4.386407&lt;/D&gt;&lt;D xsi:type="xsd:double"&gt;5.845809&lt;/D&gt;&lt;D xsi:type="xsd:double"&gt;-3.578782&lt;/D&gt;&lt;D xsi:type="xsd:double"&gt;-5.6608796&lt;/D&gt;&lt;D xsi:type="xsd:double"&gt;-0.5377948&lt;/D&gt;&lt;D xsi:type="xsd:double"&gt;-4.809332&lt;/D&gt;&lt;D xsi:type="xsd:double"&gt;3.2884836&lt;/D&gt;&lt;D xsi:type="xsd:double"&gt;-9.118265&lt;/D&gt;&lt;D xsi:type="xsd:double"&gt;2.7541041&lt;/D&gt;&lt;D xsi:type="xsd:double"&gt;-4.3714104&lt;/D&gt;&lt;D xsi:type="xsd:double"&gt;-9.309303&lt;/D&gt;&lt;D xsi:type="xsd:double"&gt;11.074316&lt;/D&gt;&lt;D xsi:type="xsd:double"&gt;8.943356&lt;/D&gt;&lt;D xsi:type="xsd:double"&gt;0.42171478&lt;/D&gt;&lt;D xsi:type="xsd:double"&gt;11.972046&lt;/D&gt;&lt;D xsi:type="xsd:double"&gt;-0.89551806&lt;/D&gt;&lt;D xsi:type="xsd:double"&gt;-0.054764748&lt;/D&gt;&lt;D xsi:type="xsd:double"&gt;8.410954&lt;/D&gt;&lt;D xsi:type="xsd:double"&gt;-4.068738&lt;/D&gt;&lt;D xsi:type="xsd:double"&gt;2.1817803&lt;/D&gt;&lt;D xsi:type="xsd:double"&gt;3.2946706&lt;/D&gt;&lt;D xsi:type="xsd:double"&gt;-3.8019836&lt;/D&gt;&lt;D xsi:type="xsd:double"&gt;-5.782497&lt;/D&gt;&lt;D xsi:type="xsd:double"&gt;-4.954958&lt;/D&gt;&lt;D xsi:type="xsd:double"&gt;11.34479&lt;/D&gt;&lt;D xsi:type="xsd:double"&gt;4.774821&lt;/D&gt;&lt;D xsi:type="xsd:double"&gt;-0.30667782&lt;/D&gt;&lt;D xsi:type="xsd:double"&gt;3.2812119&lt;/D&gt;&lt;D xsi:type="xsd:double"&gt;2.7798414&lt;/D&gt;&lt;D xsi:type="xsd:double"&gt;-1.7870128&lt;/D&gt;&lt;D xsi:type="xsd:double"&gt;2.8276443&lt;/D&gt;&lt;D xsi:type="xsd:double"&gt;-7.5617847&lt;/D&gt;&lt;D xsi:type="xsd:double"&gt;2.3822188&lt;/D&gt;&lt;D xsi:type="xsd:double"&gt;2.843845&lt;/D&gt;&lt;D xsi:type="xsd:double"&gt;3.3685327&lt;/D&gt;&lt;D xsi:type="xsd:double"&gt;-5.5933833&lt;/D&gt;&lt;D xsi:type="xsd:double"&gt;-7.727975&lt;/D&gt;&lt;D xsi:type="xsd:double"&gt;1.4230609&lt;/D&gt;&lt;D xsi:type="xsd:double"&gt;7.4597836&lt;/D&gt;&lt;D xsi:type="xsd:double"&gt;2.0387173&lt;/D&gt;&lt;D xsi:type="xsd:double"&gt;2.048552&lt;/D&gt;&lt;D xsi:type="xsd:double"&gt;1.7100453&lt;/D&gt;&lt;D xsi:type="xsd:double"&gt;3.484404&lt;/D&gt;&lt;D xsi:type="xsd:double"&gt;2.5980353&lt;/D&gt;&lt;D xsi:type="xsd:double"&gt;0.44590235&lt;/D&gt;&lt;D xsi:type="xsd:double"&gt;0.23365021&lt;/D&gt;&lt;D xsi:type="xsd:double"&gt;1.6083837&lt;/D&gt;&lt;D xsi:type="xsd:double"&gt;3.5558581&lt;/D&gt;&lt;D xsi:type="xsd:double"&gt;-1.2627363&lt;/D&gt;&lt;/FQL&gt;&lt;FQL&gt;&lt;Q&gt;UAE^FG_PRICE(0,-200D)&lt;/Q&gt;&lt;R&gt;201&lt;/R&gt;&lt;C&gt;1&lt;/C&gt;&lt;D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xsi:type="xsd:double"&gt;17.99&lt;/D&gt;&lt;D xsi:type="xsd:double"&gt;17.64&lt;/D&gt;&lt;D xsi:type="xsd:double"&gt;17.47&lt;/D&gt;&lt;D xsi:type="xsd:double"&gt;17.57&lt;/D&gt;&lt;D xsi:type="xsd:double"&gt;17.23&lt;/D&gt;&lt;D xsi:type="xsd:double"&gt;17.01&lt;/D&gt;&lt;D xsi:type="xsd:double"&gt;16.76&lt;/D&gt;&lt;D xsi:type="xsd:double"&gt;16.76&lt;/D&gt;&lt;D xsi:type="xsd:double"&gt;16.68&lt;/D&gt;&lt;D xsi:type="xsd:double"&gt;16.79&lt;/D&gt;&lt;D xsi:type="xsd:double"&gt;16.71&lt;/D&gt;&lt;D xsi:type="xsd:double"&gt;16.51&lt;/D&gt;&lt;D xsi:type="xsd:double"&gt;16.17&lt;/D&gt;&lt;D xsi:type="xsd:double"&gt;16.46&lt;/D&gt;&lt;D xsi:type="xsd:double"&gt;15.58&lt;/D&gt;&lt;D xsi:type="xsd:double"&gt;15.88&lt;/D&gt;&lt;D xsi:type="xsd:double"&gt;15.6&lt;/D&gt;&lt;D xsi:type="xsd:double"&gt;16.35&lt;/D&gt;&lt;D xsi:type="xsd:double"&gt;17&lt;/D&gt;&lt;D xsi:type="xsd:double"&gt;16.93&lt;/D&gt;&lt;D xsi:type="xsd:double"&gt;16.97&lt;/D&gt;&lt;D xsi:type="xsd:double"&gt;16.85&lt;/D&gt;&lt;D xsi:type="xsd:double"&gt;17.05&lt;/D&gt;&lt;D xsi:type="xsd:double"&gt;16.91&lt;/D&gt;&lt;D xsi:type="xsd:double"&gt;16.91&lt;/D&gt;&lt;D xsi:type="xsd:double"&gt;17.04&lt;/D&gt;&lt;D xsi:type="xsd:double"&gt;16.83&lt;/D&gt;&lt;D xsi:type="xsd:double"&gt;16.95&lt;/D&gt;&lt;D xsi:type="xsd:double"&gt;17.02&lt;/D&gt;&lt;D xsi:type="xsd:double"&gt;16.94&lt;/D&gt;&lt;D xsi:type="xsd:double"&gt;17.1&lt;/D&gt;&lt;D xsi:type="xsd:double"&gt;16.97&lt;/D&gt;&lt;D xsi:type="xsd:double"&gt;16.78&lt;/D&gt;&lt;D xsi:type="xsd:double"&gt;16.78&lt;/D&gt;&lt;D xsi:type="xsd:double"&gt;16.58&lt;/D&gt;&lt;D xsi:type="xsd:double"&gt;16.61&lt;/D&gt;&lt;D xsi:type="xsd:double"&gt;16.92&lt;/D&gt;&lt;D xsi:type="xsd:double"&gt;17.09&lt;/D&gt;&lt;D xsi:type="xsd:double"&gt;17.3&lt;/D&gt;&lt;D xsi:type="xsd:double"&gt;17.32&lt;/D&gt;&lt;D xsi:type="xsd:double"&gt;17.12&lt;/D&gt;&lt;D xsi:type="xsd:double"&gt;17.45&lt;/D&gt;&lt;D xsi:type="xsd:double"&gt;17.42&lt;/D&gt;&lt;D xsi:type="xsd:double"&gt;17.47&lt;/D&gt;&lt;D xsi:type="xsd:double"&gt;17.36&lt;/D&gt;&lt;D xsi:type="xsd:double"&gt;17.3&lt;/D&gt;&lt;D xsi:type="xsd:double"&gt;17.39&lt;/D&gt;&lt;D xsi:type="xsd:double"&gt;17.69&lt;/D&gt;&lt;D xsi:type="xsd:double"&gt;17.55&lt;/D&gt;&lt;D xsi:type="xsd:double"&gt;17.49&lt;/D&gt;&lt;D xsi:type="xsd:double"&gt;17.56&lt;/D&gt;&lt;D xsi:type="xsd:double"&gt;17.57&lt;/D&gt;&lt;D xsi:type="xsd:double"&gt;17.56&lt;/D&gt;&lt;/FQL&gt;&lt;FQL&gt;&lt;Q&gt;EIDO^FG_PRICE(0,-200D)&lt;/Q&gt;&lt;R&gt;201&lt;/R&gt;&lt;C&gt;1&lt;/C&gt;&lt;D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xsi:type="xsd:double"&gt;17.1&lt;/D&gt;&lt;D xsi:type="xsd:double"&gt;16.93&lt;/D&gt;&lt;D xsi:type="xsd:double"&gt;16.77&lt;/D&gt;&lt;D xsi:type="xsd:double"&gt;16.76&lt;/D&gt;&lt;D xsi:type="xsd:double"&gt;16.61&lt;/D&gt;&lt;D xsi:type="xsd:double"&gt;16.36&lt;/D&gt;&lt;D xsi:type="xsd:double"&gt;16.03&lt;/D&gt;&lt;D xsi:type="xsd:double"&gt;16.13&lt;/D&gt;&lt;D xsi:type="xsd:double"&gt;15.93&lt;/D&gt;&lt;D xsi:type="xsd:double"&gt;16.14&lt;/D&gt;&lt;D xsi:type="xsd:double"&gt;16.09&lt;/D&gt;&lt;D xsi:type="xsd:double"&gt;15.87&lt;/D&gt;&lt;D xsi:type="xsd:double"&gt;15.45&lt;/D&gt;&lt;D xsi:type="xsd:double"&gt;15.56&lt;/D&gt;&lt;D xsi:type="xsd:double"&gt;14.36&lt;/D&gt;&lt;D xsi:type="xsd:double"&gt;15.15&lt;/D&gt;&lt;D xsi:type="xsd:double"&gt;15.09&lt;/D&gt;&lt;D xsi:type="xsd:double"&gt;15.88&lt;/D&gt;&lt;D xsi:type="xsd:double"&gt;16.33&lt;/D&gt;&lt;D xsi:type="xsd:double"&gt;16.25&lt;/D&gt;&lt;D xsi:type="xsd:double"&gt;16.3&lt;/D&gt;&lt;D xsi:type="xsd:double"&gt;16.37&lt;/D&gt;&lt;D xsi:type="xsd:double"&gt;16.42&lt;/D&gt;&lt;D xsi:type="xsd:double"&gt;16.31&lt;/D&gt;&lt;D xsi:type="xsd:double"&gt;15.72&lt;/D&gt;&lt;D xsi:type="xsd:double"&gt;15.34&lt;/D&gt;&lt;D xsi:type="xsd:double"&gt;15.62&lt;/D&gt;&lt;D xsi:type="xsd:double"&gt;15.91&lt;/D&gt;&lt;D xsi:type="xsd:double"&gt;15.95&lt;/D&gt;&lt;D xsi:type="xsd:double"&gt;15.74&lt;/D&gt;&lt;D xsi:type="xsd:double"&gt;16.62&lt;/D&gt;&lt;D xsi:type="xsd:double"&gt;16.57&lt;/D&gt;&lt;D xsi:type="xsd:double"&gt;16.73&lt;/D&gt;&lt;D xsi:type="xsd:double"&gt;16.87&lt;/D&gt;&lt;D xsi:type="xsd:double"&gt;16.46&lt;/D&gt;&lt;D xsi:type="xsd:double"&gt;16.69&lt;/D&gt;&lt;D xsi:type="xsd:double"&gt;17.1&lt;/D&gt;&lt;D xsi:type="xsd:double"&gt;17.12&lt;/D&gt;&lt;D xsi:type="xsd:double"&gt;17.05&lt;/D&gt;&lt;D xsi:type="xsd:double"&gt;16.46&lt;/D&gt;&lt;D xsi:type="xsd:double"&gt;16.66&lt;/D&gt;&lt;D xsi:type="xsd:double"&gt;15.96&lt;/D&gt;&lt;D xsi:type="xsd:double"&gt;16.41&lt;/D&gt;&lt;D xsi:type="xsd:double"&gt;16.98&lt;/D&gt;&lt;D xsi:type="xsd:double"&gt;17.15&lt;/D&gt;&lt;D xsi:type="xsd:double"&gt;17.57&lt;/D&gt;&lt;D xsi:type="xsd:double"&gt;17.6&lt;/D&gt;&lt;D xsi:type="xsd:double"&gt;17.84&lt;/D&gt;&lt;D xsi:type="xsd:double"&gt;17.79&lt;/D&gt;&lt;D xsi:type="xsd:double"&gt;18.15&lt;/D&gt;&lt;D xsi:type="xsd:double"&gt;17.67&lt;/D&gt;&lt;D xsi:type="xsd:double"&gt;17.6&lt;/D&gt;&lt;D xsi:type="xsd:double"&gt;17.47&lt;/D&gt;&lt;/FQL&gt;&lt;FQL&gt;&lt;Q&gt;ENZL^FG_TOTAL_RETURNC(-5AY,0,AM)&lt;/Q&gt;&lt;R&gt;61&lt;/R&gt;&lt;C&gt;1&lt;/C&gt;&lt;D xsi:type="xsd:double"&gt;9.838783&lt;/D&gt;&lt;D xsi:type="xsd:double"&gt;3.297639&lt;/D&gt;&lt;D xsi:type="xsd:double"&gt;1.5557885&lt;/D&gt;&lt;D xsi:type="xsd:double"&gt;-8.768606&lt;/D&gt;&lt;D xsi:type="xsd:double"&gt;-1.039499&lt;/D&gt;&lt;D xsi:type="xsd:double"&gt;5.187452&lt;/D&gt;&lt;D xsi:type="xsd:double"&gt;-5.323392&lt;/D&gt;&lt;D xsi:type="xsd:double"&gt;0.11086464&lt;/D&gt;&lt;D xsi:type="xsd:double"&gt;-0.9649992&lt;/D&gt;&lt;D xsi:type="xsd:double"&gt;3.7819982&lt;/D&gt;&lt;D xsi:type="xsd:double"&gt;-1.6231716&lt;/D&gt;&lt;D xsi:type="xsd:double"&gt;2.84698&lt;/D&gt;&lt;D xsi:type="xsd:double"&gt;-8.773202&lt;/D&gt;&lt;D xsi:type="xsd:double"&gt;2.4558902&lt;/D&gt;&lt;D xsi:type="xsd:double"&gt;-12.010932&lt;/D&gt;&lt;D xsi:type="xsd:double"&gt;5.6310654&lt;/D&gt;&lt;D xsi:type="xsd:double"&gt;-0.4544139&lt;/D&gt;&lt;D xsi:type="xsd:double"&gt;-6.3945055&lt;/D&gt;&lt;D xsi:type="xsd:double"&gt;-5.5458665&lt;/D&gt;&lt;D xsi:type="xsd:double"&gt;-4.7831116&lt;/D&gt;&lt;D xsi:type="xsd:double"&gt;5.6147337&lt;/D&gt;&lt;D xsi:type="xsd:double"&gt;-2.6476145&lt;/D&gt;&lt;D xsi:type="xsd:double"&gt;-7.9538107&lt;/D&gt;&lt;D xsi:type="xsd:double"&gt;1.02005&lt;/D&gt;&lt;D xsi:type="xsd:double"&gt;6.476319&lt;/D&gt;&lt;D xsi:type="xsd:double"&gt;5.9833884&lt;/D&gt;&lt;D xsi:type="xsd:double"&gt;7.957828&lt;/D&gt;&lt;D xsi:type="xsd:double"&gt;-6.279916&lt;/D&gt;&lt;D xsi:type="xsd:double"&gt;0.51072836&lt;/D&gt;&lt;D xsi:type="xsd:double"&gt;1.4634132&lt;/D&gt;&lt;D xsi:type="xsd:double"&gt;-3.0849278&lt;/D&gt;&lt;D xsi:type="xsd:double"&gt;-0.91962814&lt;/D&gt;&lt;D xsi:type="xsd:double"&gt;3.4555435&lt;/D&gt;&lt;D xsi:type="xsd:double"&gt;-8.411402&lt;/D&gt;&lt;D xsi:type="xsd:double"&gt;-1.8901527&lt;/D&gt;&lt;D xsi:type="xsd:double"&gt;-6.9809556&lt;/D&gt;&lt;D xsi:type="xsd:double"&gt;11.330402&lt;/D&gt;&lt;D xsi:type="xsd:double"&gt;8.4931965&lt;/D&gt;&lt;D xsi:type="xsd:double"&gt;-3.4184515&lt;/D&gt;&lt;D xsi:type="xsd:double"&gt;-3.5181284&lt;/D&gt;&lt;D xsi:type="xsd:double"&gt;0.530386&lt;/D&gt;&lt;D xsi:type="xsd:double"&gt;-2.681911&lt;/D&gt;&lt;D xsi:type="xsd:double"&gt;0.8583665&lt;/D&gt;&lt;D xsi:type="xsd:double"&gt;2.5942802&lt;/D&gt;&lt;D xsi:type="xsd:double"&gt;0.5279422&lt;/D&gt;&lt;D xsi:type="xsd:double"&gt;8.096277&lt;/D&gt;&lt;D xsi:type="xsd:double"&gt;0.5870342&lt;/D&gt;&lt;D xsi:type="xsd:double"&gt;-3.1193376&lt;/D&gt;&lt;D xsi:type="xsd:double"&gt;1.7241359&lt;/D&gt;&lt;D xsi:type="xsd:double"&gt;-4.8704205&lt;/D&gt;&lt;D xsi:type="xsd:double"&gt;-1.3269544&lt;/D&gt;&lt;D xsi:type="xsd:double"&gt;-6.5917134&lt;/D&gt;&lt;D xsi:type="xsd:double"&gt;-0.75525045&lt;/D&gt;&lt;D xsi:type="xsd:double"&gt;3.6860824&lt;/D&gt;&lt;D xsi:type="xsd:double"&gt;1.4449596&lt;/D&gt;&lt;D xsi:type="xsd:double"&gt;3.5486937&lt;/D&gt;&lt;D xsi:type="xsd:double"&gt;0.5951047&lt;/D&gt;&lt;D xsi:type="xsd:double"&gt;-1.6871154&lt;/D&gt;&lt;D xsi:type="xsd:double"&gt;1.1031985&lt;/D&gt;&lt;D xsi:type="xsd:double"&gt;1.0580778&lt;/D&gt;&lt;D xsi:type="xsd:double"&gt;-0.47835112&lt;/D&gt;&lt;/FQL&gt;&lt;FQL&gt;&lt;Q&gt;EWI^FG_PRICE(0,-200D)&lt;/Q&gt;&lt;R&gt;201&lt;/R&gt;&lt;C&gt;1&lt;/C&gt;&lt;D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xsi:type="xsd:double"&gt;44.67&lt;/D&gt;&lt;D xsi:type="xsd:double"&gt;44.23&lt;/D&gt;&lt;D xsi:type="xsd:double"&gt;44.04&lt;/D&gt;&lt;D xsi:type="xsd:double"&gt;43.48&lt;/D&gt;&lt;D xsi:type="xsd:double"&gt;42.69&lt;/D&gt;&lt;D xsi:type="xsd:double"&gt;42.81&lt;/D&gt;&lt;D xsi:type="xsd:double"&gt;41.94&lt;/D&gt;&lt;D xsi:type="xsd:double"&gt;42.13&lt;/D&gt;&lt;D xsi:type="xsd:double"&gt;41.76&lt;/D&gt;&lt;D xsi:type="xsd:double"&gt;41.54&lt;/D&gt;&lt;D xsi:type="xsd:double"&gt;40.92&lt;/D&gt;&lt;D xsi:type="xsd:double"&gt;40.53&lt;/D&gt;&lt;D xsi:type="xsd:double"&gt;39.66&lt;/D&gt;&lt;D xsi:type="xsd:double"&gt;40.22&lt;/D&gt;&lt;D xsi:type="xsd:double"&gt;36.6&lt;/D&gt;&lt;D xsi:type="xsd:double"&gt;37.06&lt;/D&gt;&lt;D xsi:type="xsd:double"&gt;38.49&lt;/D&gt;&lt;D xsi:type="xsd:double"&gt;41.77&lt;/D&gt;&lt;D xsi:type="xsd:double"&gt;42.66&lt;/D&gt;&lt;D xsi:type="xsd:double"&gt;42.46&lt;/D&gt;&lt;D xsi:type="xsd:double"&gt;42.32&lt;/D&gt;&lt;D xsi:type="xsd:double"&gt;42.8&lt;/D&gt;&lt;D xsi:type="xsd:double"&gt;43.07&lt;/D&gt;&lt;D xsi:type="xsd:double"&gt;42.61&lt;/D&gt;&lt;D xsi:type="xsd:double"&gt;43.42&lt;/D&gt;&lt;D xsi:type="xsd:double"&gt;42.98&lt;/D&gt;&lt;D xsi:type="xsd:double"&gt;42.95&lt;/D&gt;&lt;D xsi:type="xsd:double"&gt;43.26&lt;/D&gt;&lt;D xsi:type="xsd:double"&gt;43.99&lt;/D&gt;&lt;D xsi:type="xsd:double"&gt;43.92&lt;/D&gt;&lt;D xsi:type="xsd:double"&gt;43.53&lt;/D&gt;&lt;D xsi:type="xsd:double"&gt;43.03&lt;/D&gt;&lt;D xsi:type="xsd:double"&gt;41.94&lt;/D&gt;&lt;D xsi:type="xsd:double"&gt;42.5&lt;/D&gt;&lt;D xsi:type="xsd:double"&gt;42.27&lt;/D&gt;&lt;D xsi:type="xsd:double"&gt;42.15&lt;/D&gt;&lt;D xsi:type="xsd:double"&gt;42.85&lt;/D&gt;&lt;D xsi:type="xsd:double"&gt;42.27&lt;/D&gt;&lt;D xsi:type="xsd:double"&gt;42.69&lt;/D&gt;&lt;D xsi:type="xsd:double"&gt;41.28&lt;/D&gt;&lt;D xsi:type="xsd:double"&gt;41.31&lt;/D&gt;&lt;D xsi:type="xsd:double"&gt;40.8&lt;/D&gt;&lt;D xsi:type="xsd:double"&gt;40.61&lt;/D&gt;&lt;D xsi:type="xsd:double"&gt;41.27&lt;/D&gt;&lt;D xsi:type="xsd:double"&gt;41.47&lt;/D&gt;&lt;D xsi:type="xsd:double"&gt;40.79&lt;/D&gt;&lt;D xsi:type="xsd:double"&gt;40.6&lt;/D&gt;&lt;D xsi:type="xsd:double"&gt;40.83&lt;/D&gt;&lt;D xsi:type="xsd:double"&gt;40.57&lt;/D&gt;&lt;D xsi:type="xsd:double"&gt;41.09&lt;/D&gt;&lt;D xsi:type="xsd:double"&gt;40.59&lt;/D&gt;&lt;D xsi:type="xsd:double"&gt;40.22&lt;/D&gt;&lt;D xsi:type="xsd:double"&gt;39.95&lt;/D&gt;&lt;/FQL&gt;&lt;FQL&gt;&lt;Q&gt;EWJ^FG_PRICE(0,-200D)&lt;/Q&gt;&lt;R&gt;201&lt;/R&gt;&lt;C&gt;1&lt;/C&gt;&lt;D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</t>
        </r>
      </text>
    </comment>
    <comment ref="A3" authorId="0" shapeId="0" xr:uid="{85105F24-CE1D-4263-BEF7-67C7EEB8BC4B}">
      <text>
        <r>
          <rPr>
            <b/>
            <sz val="9"/>
            <color indexed="81"/>
            <rFont val="Tahoma"/>
            <charset val="1"/>
          </rPr>
          <t>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xsi:type="xsd:double"&gt;72.02&lt;/D&gt;&lt;D xsi:type="xsd:double"&gt;71.74&lt;/D&gt;&lt;D xsi:type="xsd:double"&gt;70.77&lt;/D&gt;&lt;D xsi:type="xsd:double"&gt;70.28&lt;/D&gt;&lt;D xsi:type="xsd:double"&gt;69.48&lt;/D&gt;&lt;D xsi:type="xsd:double"&gt;69.27&lt;/D&gt;&lt;D xsi:type="xsd:double"&gt;67.92&lt;/D&gt;&lt;D xsi:type="xsd:double"&gt;68.07&lt;/D&gt;&lt;D xsi:type="xsd:double"&gt;66.78&lt;/D&gt;&lt;D xsi:type="xsd:double"&gt;67.44&lt;/D&gt;&lt;D xsi:type="xsd:double"&gt;66.9&lt;/D&gt;&lt;D xsi:type="xsd:double"&gt;65.82&lt;/D&gt;&lt;D xsi:type="xsd:double"&gt;64.22&lt;/D&gt;&lt;D xsi:type="xsd:double"&gt;66.34&lt;/D&gt;&lt;D xsi:type="xsd:double"&gt;61.65&lt;/D&gt;&lt;D xsi:type="xsd:double"&gt;61.32&lt;/D&gt;&lt;D xsi:type="xsd:double"&gt;61.51&lt;/D&gt;&lt;D xsi:type="xsd:double"&gt;65.41&lt;/D&gt;&lt;D xsi:type="xsd:double"&gt;68.22&lt;/D&gt;&lt;D xsi:type="xsd:double"&gt;68.2&lt;/D&gt;&lt;D xsi:type="xsd:double"&gt;68.56&lt;/D&gt;&lt;D xsi:type="xsd:double"&gt;69.22&lt;/D&gt;&lt;D xsi:type="xsd:double"&gt;70.65&lt;/D&gt;&lt;D xsi:type="xsd:double"&gt;70.75&lt;/D&gt;&lt;D xsi:type="xsd:double"&gt;71.68&lt;/D&gt;&lt;D xsi:type="xsd:double"&gt;71.17&lt;/D&gt;&lt;D xsi:type="xsd:double"&gt;71.33&lt;/D&gt;&lt;D xsi:type="xsd:double"&gt;71.32&lt;/D&gt;&lt;D xsi:type="xsd:double"&gt;71.7&lt;/D&gt;&lt;D xsi:type="xsd:double"&gt;70.89&lt;/D&gt;&lt;D xsi:type="xsd:double"&gt;71.09&lt;/D&gt;&lt;D xsi:type="xsd:double"&gt;70.35&lt;/D&gt;&lt;D xsi:type="xsd:double"&gt;69.26&lt;/D&gt;&lt;D xsi:type="xsd:double"&gt;69.52&lt;/D&gt;&lt;D xsi:type="xsd:double"&gt;68.26&lt;/D&gt;&lt;D xsi:type="xsd:double"&gt;68.68&lt;/D&gt;&lt;D xsi:type="xsd:double"&gt;70.17&lt;/D&gt;&lt;D xsi:type="xsd:double"&gt;69.61&lt;/D&gt;&lt;D xsi:type="xsd:double"&gt;70.15&lt;/D&gt;&lt;D xsi:type="xsd:double"&gt;68.64&lt;/D&gt;&lt;D xsi:type="xsd:double"&gt;69.21&lt;/D&gt;&lt;D xsi:type="xsd:double"&gt;68.47&lt;/D&gt;&lt;D xsi:type="xsd:double"&gt;69&lt;/D&gt;&lt;D xsi:type="xsd:double"&gt;69.51&lt;/D&gt;&lt;D xsi:type="xsd:double"&gt;69.47&lt;/D&gt;&lt;D xsi:type="xsd:double"&gt;68.78&lt;/D&gt;&lt;D xsi:type="xsd:double"&gt;69.09&lt;/D&gt;&lt;D xsi:type="xsd:double"&gt;69.71&lt;/D&gt;&lt;D xsi:type="xsd:double"&gt;69.62&lt;/D&gt;&lt;D xsi:type="xsd:double"&gt;70.1&lt;/D&gt;&lt;D xsi:type="xsd:double"&gt;69.37&lt;/D&gt;&lt;D xsi:type="xsd:double"&gt;69.26&lt;/D&gt;&lt;D xsi:type="xsd:double"&gt;68.02&lt;/D&gt;&lt;/FQL&gt;&lt;FQL&gt;&lt;Q&gt;TUR^FG_PRICE(0,-200D)&lt;/Q&gt;&lt;R&gt;201&lt;/R&gt;&lt;C&gt;1&lt;/C&gt;&lt;D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xsi:type="xsd:double"&gt;31.18&lt;/D&gt;&lt;D xsi:type="xsd:double"&gt;31.48&lt;/D&gt;&lt;D xsi:type="xsd:double"&gt;31.96&lt;/D&gt;&lt;D xsi:type="xsd:double"&gt;32.18&lt;/D&gt;&lt;D xsi:type="xsd:double"&gt;31.77&lt;/D&gt;&lt;D xsi:type="xsd:double"&gt;31.66&lt;/D&gt;&lt;D xsi:type="xsd:double"&gt;31.71&lt;/D&gt;&lt;D xsi:type="xsd:double"&gt;31.91&lt;/D&gt;&lt;D xsi:type="xsd:double"&gt;31.21&lt;/D&gt;&lt;D xsi:type="xsd:double"&gt;31.85&lt;/D&gt;&lt;D xsi:type="xsd:double"&gt;32.13&lt;/D&gt;&lt;D xsi:type="xsd:double"&gt;32.08&lt;/D&gt;&lt;D xsi:type="xsd:double"&gt;31.9&lt;/D&gt;&lt;D xsi:type="xsd:double"&gt;32.83&lt;/D&gt;&lt;D xsi:type="xsd:double"&gt;31.83&lt;/D&gt;&lt;D xsi:type="xsd:double"&gt;31.86&lt;/D&gt;&lt;D xsi:type="xsd:double"&gt;31.67&lt;/D&gt;&lt;D xsi:type="xsd:double"&gt;32.2&lt;/D&gt;&lt;D xsi:type="xsd:double"&gt;32.44&lt;/D&gt;&lt;D xsi:type="xsd:double"&gt;32.89&lt;/D&gt;&lt;D xsi:type="xsd:double"&gt;32.82&lt;/D&gt;&lt;D xsi:type="xsd:double"&gt;32.67&lt;/D&gt;&lt;D xsi:type="xsd:double"&gt;32.31&lt;/D&gt;&lt;D xsi:type="xsd:double"&gt;32.76&lt;/D&gt;&lt;D xsi:type="xsd:double"&gt;32.63&lt;/D&gt;&lt;D xsi:type="xsd:double"&gt;31.74&lt;/D&gt;&lt;D xsi:type="xsd:double"&gt;30.77&lt;/D&gt;&lt;D xsi:type="xsd:double"&gt;33.28&lt;/D&gt;&lt;D xsi:type="xsd:double"&gt;33.04&lt;/D&gt;&lt;D xsi:type="xsd:double"&gt;37.79&lt;/D&gt;&lt;D xsi:type="xsd:double"&gt;38.55&lt;/D&gt;&lt;D xsi:type="xsd:double"&gt;38.34&lt;/D&gt;&lt;D xsi:type="xsd:double"&gt;37.89&lt;/D&gt;&lt;D xsi:type="xsd:double"&gt;37.62&lt;/D&gt;&lt;D xsi:type="xsd:double"&gt;37.05&lt;/D&gt;&lt;D xsi:type="xsd:double"&gt;36.82&lt;/D&gt;&lt;D xsi:type="xsd:double"&gt;37.28&lt;/D&gt;&lt;D xsi:type="xsd:double"&gt;37.28&lt;/D&gt;&lt;D xsi:type="xsd:double"&gt;36.34&lt;/D&gt;&lt;D xsi:type="xsd:double"&gt;35.2&lt;/D&gt;&lt;D xsi:type="xsd:double"&gt;34.97&lt;/D&gt;&lt;D xsi:type="xsd:double"&gt;34.28&lt;/D&gt;&lt;D xsi:type="xsd:double"&gt;34.55&lt;/D&gt;&lt;D xsi:type="xsd:double"&gt;33.88&lt;/D&gt;&lt;D xsi:type="xsd:double"&gt;33.54&lt;/D&gt;&lt;D xsi:type="xsd:double"&gt;33.97&lt;/D&gt;&lt;D xsi:type="xsd:double"&gt;33.66&lt;/D&gt;&lt;D xsi:type="xsd:double"&gt;34.78&lt;/D&gt;&lt;D xsi:type="xsd:double"&gt;34.625&lt;/D&gt;&lt;D xsi:type="xsd:double"&gt;35.32&lt;/D&gt;&lt;D xsi:type="xsd:double"&gt;35.23&lt;/D&gt;&lt;D xsi:type="xsd:double"&gt;35.5&lt;/D&gt;&lt;D xsi:type="xsd:double"&gt;34.88&lt;/D&gt;&lt;/FQL&gt;&lt;FQL&gt;&lt;Q&gt;EWY^FG_PRICE(0,-200D)&lt;/Q&gt;&lt;R&gt;201&lt;/R&gt;&lt;C&gt;1&lt;/C&gt;&lt;D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xsi:type="xsd:double"&gt;56.1&lt;/D&gt;&lt;D xsi:type="xsd:double"&gt;55.65&lt;/D&gt;&lt;D xsi:type="xsd:double"&gt;55.81&lt;/D&gt;&lt;D xsi:type="xsd:double"&gt;55.95&lt;/D&gt;&lt;D xsi:type="xsd:double"&gt;55.6&lt;/D&gt;&lt;D xsi:type="xsd:double"&gt;54.81&lt;/D&gt;&lt;D xsi:type="xsd:double"&gt;54.39&lt;/D&gt;&lt;D xsi:type="xsd:double"&gt;54.31&lt;/D&gt;&lt;D xsi:type="xsd:double"&gt;54.06&lt;/D&gt;&lt;D xsi:type="xsd:double"&gt;54.38&lt;/D&gt;&lt;D xsi:type="xsd:double"&gt;54.35&lt;/D&gt;&lt;D xsi:type="xsd:double"&gt;54.31&lt;/D&gt;&lt;D xsi:type="xsd:double"&gt;51.82&lt;/D&gt;&lt;D xsi:type="xsd:double"&gt;53.28&lt;/D&gt;&lt;D xsi:type="xsd:double"&gt;48.92&lt;/D&gt;&lt;D xsi:type="xsd:double"&gt;50.78&lt;/D&gt;&lt;D xsi:type="xsd:double"&gt;51.25&lt;/D&gt;&lt;D xsi:type="xsd:double"&gt;53.14&lt;/D&gt;&lt;D xsi:type="xsd:double"&gt;54.63&lt;/D&gt;&lt;D xsi:type="xsd:double"&gt;54.85&lt;/D&gt;&lt;D xsi:type="xsd:double"&gt;54.04&lt;/D&gt;&lt;D xsi:type="xsd:double"&gt;54.79&lt;/D&gt;&lt;D xsi:type="xsd:double"&gt;56.49&lt;/D&gt;&lt;D xsi:type="xsd:double"&gt;56.81&lt;/D&gt;&lt;D xsi:type="xsd:double"&gt;57.07&lt;/D&gt;&lt;D xsi:type="xsd:double"&gt;57.31&lt;/D&gt;&lt;D xsi:type="xsd:double"&gt;56.86&lt;/D&gt;&lt;D xsi:type="xsd:double"&gt;56.73&lt;/D&gt;&lt;D xsi:type="xsd:double"&gt;57.24&lt;/D&gt;&lt;D xsi:type="xsd:double"&gt;56.97&lt;/D&gt;&lt;D xsi:type="xsd:double"&gt;57.86&lt;/D&gt;&lt;D xsi:type="xsd:double"&gt;56.14&lt;/D&gt;&lt;D xsi:type="xsd:double"&gt;55.22&lt;/D&gt;&lt;D xsi:type="xsd:double"&gt;55.95&lt;/D&gt;&lt;D xsi:type="xsd:double"&gt;54.69&lt;/D&gt;&lt;D xsi:type="xsd:double"&gt;54.09&lt;/D&gt;&lt;D xsi:type="xsd:double"&gt;55.68&lt;/D&gt;&lt;D xsi:type="xsd:double"&gt;54.94&lt;/D&gt;&lt;D xsi:type="xsd:double"&gt;56.05&lt;/D&gt;&lt;D xsi:type="xsd:double"&gt;54.57&lt;/D&gt;&lt;D xsi:type="xsd:double"&gt;54.32&lt;/D&gt;&lt;D xsi:type="xsd:double"&gt;54.67&lt;/D&gt;&lt;D xsi:type="xsd:double"&gt;55.95&lt;/D&gt;&lt;D xsi:type="xsd:double"&gt;57.81&lt;/D&gt;&lt;D xsi:type="xsd:double"&gt;57.55&lt;/D&gt;&lt;D xsi:type="xsd:double"&gt;57.47&lt;/D&gt;&lt;D xsi:type="xsd:double"&gt;57.59&lt;/D&gt;&lt;D xsi:type="xsd:double"&gt;58.46&lt;/D&gt;&lt;D xsi:type="xsd:double"&gt;58.28&lt;/D&gt;&lt;D xsi:type="xsd:double"&gt;57.44&lt;/D&gt;&lt;D xsi:type="xsd:double"&gt;56.68&lt;/D&gt;&lt;D xsi:type="xsd:double"&gt;56.35&lt;/D&gt;&lt;D xsi:type="xsd:double"&gt;55.16&lt;/D&gt;&lt;/FQL&gt;&lt;FQL&gt;&lt;Q&gt;ECH^FG_PRICE(0,-200D)&lt;/Q&gt;&lt;R&gt;201&lt;/R&gt;&lt;C&gt;1&lt;/C&gt;&lt;D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xsi:type="xsd:double"&gt;31.44&lt;/D&gt;&lt;D xsi:type="xsd:double"&gt;31.24&lt;/D&gt;&lt;D xsi:type="xsd:double"&gt;31.67&lt;/D&gt;&lt;D xsi:type="xsd:double"&gt;31.7&lt;/D&gt;&lt;D xsi:type="xsd:double"&gt;31.19&lt;/D&gt;&lt;D xsi:type="xsd:double"&gt;30.91&lt;/D&gt;&lt;D xsi:type="xsd:double"&gt;30.05&lt;/D&gt;&lt;D xsi:type="xsd:double"&gt;29.95&lt;/D&gt;&lt;D xsi:type="xsd:double"&gt;29.43&lt;/D&gt;&lt;D xsi:type="xsd:double"&gt;29.35&lt;/D&gt;&lt;D xsi:type="xsd:double"&gt;29.13&lt;/D&gt;&lt;D xsi:type="xsd:double"&gt;28.39&lt;/D&gt;&lt;D xsi:type="xsd:double"&gt;27.51&lt;/D&gt;&lt;D xsi:type="xsd:double"&gt;28.24&lt;/D&gt;&lt;D xsi:type="xsd:double"&gt;26.5&lt;/D&gt;&lt;D xsi:type="xsd:double"&gt;27.09&lt;/D&gt;&lt;D xsi:type="xsd:double"&gt;28.19&lt;/D&gt;&lt;D xsi:type="xsd:double"&gt;30.07&lt;/D&gt;&lt;D xsi:type="xsd:double"&gt;29.91&lt;/D&gt;&lt;D xsi:type="xsd:double"&gt;30.2&lt;/D&gt;&lt;D xsi:type="xsd:double"&gt;29.82&lt;/D&gt;&lt;D xsi:type="xsd:double"&gt;29.76&lt;/D&gt;&lt;D xsi:type="xsd:double"&gt;30.17&lt;/D&gt;&lt;D xsi:type="xsd:double"&gt;30.27&lt;/D&gt;&lt;D xsi:type="xsd:double"&gt;30.76&lt;/D&gt;&lt;D xsi:type="xsd:double"&gt;30.41&lt;/D&gt;&lt;D xsi:type="xsd:double"&gt;30.3&lt;/D&gt;&lt;D xsi:type="xsd:double"&gt;30.52&lt;/D&gt;&lt;D xsi:type="xsd:double"&gt;30.94&lt;/D&gt;&lt;D xsi:type="xsd:double"&gt;30.9&lt;/D&gt;&lt;D xsi:type="xsd:double"&gt;30.71&lt;/D&gt;&lt;D xsi:type="xsd:double"&gt;30.06&lt;/D&gt;&lt;D xsi:type="xsd:double"&gt;29.76&lt;/D&gt;&lt;D xsi:type="xsd:double"&gt;29.34&lt;/D&gt;&lt;D xsi:type="xsd:double"&gt;29.39&lt;/D&gt;&lt;D xsi:type="xsd:double"&gt;29.16&lt;/D&gt;&lt;D xsi:type="xsd:double"&gt;29.77&lt;/D&gt;&lt;D xsi:type="xsd:double"&gt;29.69&lt;/D&gt;&lt;D xsi:type="xsd:double"&gt;29.39&lt;/D&gt;&lt;D xsi:type="xsd:double"&gt;28.9&lt;/D&gt;&lt;D xsi:type="xsd:double"&gt;28.36&lt;/D&gt;&lt;D xsi:type="xsd:double"&gt;28.62&lt;/D&gt;&lt;D xsi:type="xsd:double"&gt;28.74&lt;/D&gt;&lt;D xsi:type="xsd:double"&gt;28.89&lt;/D&gt;&lt;D xsi:type="xsd:double"&gt;28.93&lt;/D&gt;&lt;D xsi:type="xsd:double"&gt;28.88&lt;/D&gt;&lt;D xsi:type="xsd:double"&gt;28.67&lt;/D&gt;&lt;D xsi:type="xsd:double"&gt;28.9&lt;/D&gt;&lt;D xsi:type="xsd:double"&gt;28.6&lt;/D&gt;&lt;D xsi:type="xsd:double"&gt;28.42&lt;/D&gt;&lt;D xsi:type="xsd:double"&gt;29.15&lt;/D&gt;&lt;D xsi:type="xsd:double"&gt;29.14&lt;/D&gt;&lt;D xsi:type="xsd:double"&gt;28.54&lt;/D&gt;&lt;/FQL&gt;&lt;FQL&gt;&lt;Q&gt;QQQ^FG_TOTAL_RETURNC(-5AY,0,AM)&lt;/Q&gt;&lt;R&gt;61&lt;/R&gt;&lt;C&gt;1&lt;/C&gt;&lt;D xsi:type="xsd:double"&gt;10.075831&lt;/D&gt;&lt;D xsi:type="xsd:double"&gt;4.7617555&lt;/D&gt;&lt;D xsi:type="xsd:double"&gt;2.7632117&lt;/D&gt;&lt;D xsi:type="xsd:double"&gt;-2.2345304&lt;/D&gt;&lt;D xsi:type="xsd:double"&gt;0.71669817&lt;/D&gt;&lt;D xsi:type="xsd:double"&gt;7.278478&lt;/D&gt;&lt;D xsi:type="xsd:double"&gt;-1.4955759&lt;/D&gt;&lt;D xsi:type="xsd:double"&gt;6.045437&lt;/D&gt;&lt;D xsi:type="xsd:double"&gt;3.42654&lt;/D&gt;&lt;D xsi:type="xsd:double"&gt;2.790916&lt;/D&gt;&lt;D xsi:type="xsd:double"&gt;-4.191762&lt;/D&gt;&lt;D xsi:type="xsd:double"&gt;6.766331&lt;/D&gt;&lt;D xsi:type="xsd:double"&gt;1.8166661&lt;/D&gt;&lt;D xsi:type="xsd:double"&gt;2.7935624&lt;/D&gt;&lt;D xsi:type="xsd:double"&gt;-12.402582&lt;/D&gt;&lt;D xsi:type="xsd:double"&gt;-1.4212608&lt;/D&gt;&lt;D xsi:type="xsd:double"&gt;5.3524017&lt;/D&gt;&lt;D xsi:type="xsd:double"&gt;-10.112083&lt;/D&gt;&lt;D xsi:type="xsd:double"&gt;-5.7650685&lt;/D&gt;&lt;D xsi:type="xsd:double"&gt;-8.097053&lt;/D&gt;&lt;D xsi:type="xsd:double"&gt;9.265005&lt;/D&gt;&lt;D xsi:type="xsd:double"&gt;-0.7649839&lt;/D&gt;&lt;D xsi:type="xsd:double"&gt;-8.782601&lt;/D&gt;&lt;D xsi:type="xsd:double"&gt;0.45723915&lt;/D&gt;&lt;D xsi:type="xsd:double"&gt;0.5298257&lt;/D&gt;&lt;D xsi:type="xsd:double"&gt;-7.774049&lt;/D&gt;&lt;D xsi:type="xsd:double"&gt;13.902342&lt;/D&gt;&lt;D xsi:type="xsd:double"&gt;-0.91136694&lt;/D&gt;&lt;D xsi:type="xsd:double"&gt;4.7806263&lt;/D&gt;&lt;D xsi:type="xsd:double"&gt;5.027354&lt;/D&gt;&lt;D xsi:type="xsd:double"&gt;8.010912&lt;/D&gt;&lt;D xsi:type="xsd:double"&gt;4.776323&lt;/D&gt;&lt;D xsi:type="xsd:double"&gt;5.195594&lt;/D&gt;&lt;D xsi:type="xsd:double"&gt;-4.360074&lt;/D&gt;&lt;D xsi:type="xsd:double"&gt;-2.2447228&lt;/D&gt;&lt;D xsi:type="xsd:double"&gt;-3.5473883&lt;/D&gt;&lt;D xsi:type="xsd:double"&gt;12.997019&lt;/D&gt;&lt;D xsi:type="xsd:double"&gt;5.674863&lt;/D&gt;&lt;D xsi:type="xsd:double"&gt;3.0415773&lt;/D&gt;&lt;D xsi:type="xsd:double"&gt;2.7040362&lt;/D&gt;&lt;D xsi:type="xsd:double"&gt;2.1416664&lt;/D&gt;&lt;D xsi:type="xsd:double"&gt;-2.9301167&lt;/D&gt;&lt;D xsi:type="xsd:double"&gt;6.6542864&lt;/D&gt;&lt;D xsi:type="xsd:double"&gt;4.3943167&lt;/D&gt;&lt;D xsi:type="xsd:double"&gt;-3.3687413&lt;/D&gt;&lt;D xsi:type="xsd:double"&gt;1.81005&lt;/D&gt;&lt;D xsi:type="xsd:double"&gt;3.411913&lt;/D&gt;&lt;D xsi:type="xsd:double"&gt;1.7770886&lt;/D&gt;&lt;D xsi:type="xsd:double"&gt;1.9983888&lt;/D&gt;&lt;D xsi:type="xsd:double"&gt;3.5808802&lt;/D&gt;&lt;D xsi:type="xsd:double"&gt;-0.14352202&lt;/D&gt;&lt;D xsi:type="xsd:double"&gt;-2.6139736&lt;/D&gt;&lt;D xsi:type="xsd:double"&gt;-7.5852513&lt;/D&gt;&lt;D xsi:type="xsd:double"&gt;0.7399678&lt;/D&gt;&lt;D xsi:type="xsd:double"&gt;9.843135&lt;/D&gt;&lt;D xsi:type="xsd:double"&gt;5.7407737&lt;/D&gt;&lt;D xsi:type="xsd:double"&gt;3.6581516&lt;/D&gt;&lt;D xsi:type="xsd:double"&gt;1.5735507&lt;/D&gt;&lt;D xsi:type="xsd:double"&gt;3.3923745&lt;/D&gt;&lt;D xsi:type="xsd:double"&gt;6.19998&lt;/D&gt;&lt;D xsi:type="xsd:double"&gt;-2.159828&lt;/D&gt;&lt;/FQL&gt;&lt;FQL&gt;&lt;Q&gt;GREK^FG_TOTAL_RETURNC(-5AY,0,AM)&lt;/Q&gt;&lt;R&gt;61&lt;/R&gt;&lt;C&gt;1&lt;/C&gt;&lt;D xsi:type="xsd:double"&gt;29.350222&lt;/D&gt;&lt;D xsi:type="xsd:double"&gt;12.899113&lt;/D&gt;&lt;D xsi:type="xsd:double"&gt;-9.164542&lt;/D&gt;&lt;D xsi:type="xsd:double"&gt;5.3813577&lt;/D&gt;&lt;D xsi:type="xsd:double"&gt;6.8757534&lt;/D&gt;&lt;D xsi:type="xsd:double"&gt;7.5244546&lt;/D&gt;&lt;D xsi:type="xsd:double"&gt;-0.9797096&lt;/D&gt;&lt;D xsi:type="xsd:double"&gt;0.6713748&lt;/D&gt;&lt;D xsi:type="xsd:double"&gt;-4.071605&lt;/D&gt;&lt;D xsi:type="xsd:double"&gt;5.0493956&lt;/D&gt;&lt;D xsi:type="xsd:double"&gt;-5.99094&lt;/D&gt;&lt;D xsi:type="xsd:double"&gt;6.520939&lt;/D&gt;&lt;D xsi:type="xsd:double"&gt;-11.234778&lt;/D&gt;&lt;D xsi:type="xsd:double"&gt;5.1332235&lt;/D&gt;&lt;D xsi:type="xsd:double"&gt;6.6032767&lt;/D&gt;&lt;D xsi:type="xsd:double"&gt;-3.2154322&lt;/D&gt;&lt;D xsi:type="xsd:double"&gt;-2.8792918&lt;/D&gt;&lt;D xsi:type="xsd:double"&gt;3.2687187&lt;/D&gt;&lt;D xsi:type="xsd:double"&gt;-2.0610929&lt;/D&gt;&lt;D xsi:type="xsd:double"&gt;-11.424279&lt;/D&gt;&lt;D xsi:type="xsd:double"&gt;1.2760758&lt;/D&gt;&lt;D xsi:type="xsd:double"&gt;1.0079741&lt;/D&gt;&lt;D xsi:type="xsd:double"&gt;-11.060291&lt;/D&gt;&lt;D xsi:type="xsd:double"&gt;12.716234&lt;/D&gt;&lt;D xsi:type="xsd:double"&gt;7.424307&lt;/D&gt;&lt;D xsi:type="xsd:double"&gt;3.8609982&lt;/D&gt;&lt;D xsi:type="xsd:double"&gt;14.269197&lt;/D&gt;&lt;D xsi:type="xsd:double"&gt;8.678246&lt;/D&gt;&lt;D xsi:type="xsd:double"&gt;-9.060198&lt;/D&gt;&lt;D xsi:type="xsd:double"&gt;5.808842&lt;/D&gt;&lt;D xsi:type="xsd:double"&gt;10.533035&lt;/D&gt;&lt;D xsi:type="xsd:double"&gt;4.5913935&lt;/D&gt;&lt;D xsi:type="xsd:double"&gt;8.363235&lt;/D&gt;&lt;D xsi:type="xsd:double"&gt;-2.9728353&lt;/D&gt;&lt;D xsi:type="xsd:double"&gt;-12.810362&lt;/D&gt;&lt;D xsi:type="xsd:double"&gt;0.78765154&lt;/D&gt;&lt;D xsi:type="xsd:double"&gt;12.052894&lt;/D&gt;&lt;D xsi:type="xsd:double"&gt;1.396811&lt;/D&gt;&lt;D xsi:type="xsd:double"&gt;4.723346&lt;/D&gt;&lt;D xsi:type="xsd:double"&gt;3.1443357&lt;/D&gt;&lt;D xsi:type="xsd:double"&gt;-0.024992228&lt;/D&gt;&lt;D xsi:type="xsd:double"&gt;2.411902&lt;/D&gt;&lt;D xsi:type="xsd:double"&gt;3.4533262&lt;/D&gt;&lt;D xsi:type="xsd:double"&gt;-5.8918357&lt;/D&gt;&lt;D xsi:type="xsd:double"&gt;6.8896055&lt;/D&gt;&lt;D xsi:type="xsd:double"&gt;-1.3643801&lt;/D&gt;&lt;D xsi:type="xsd:double"&gt;5.0908685&lt;/D&gt;&lt;D xsi:type="xsd:double"&gt;-9.768849&lt;/D&gt;&lt;D xsi:type="xsd:double"&gt;-2.2132754&lt;/D&gt;&lt;D xsi:type="xsd:double"&gt;4.501033&lt;/D&gt;&lt;D xsi:type="xsd:double"&gt;7.0188284&lt;/D&gt;&lt;D xsi:type="xsd:double"&gt;2.1348119&lt;/D&gt;&lt;D xsi:type="xsd:double"&gt;13.833022&lt;/D&gt;&lt;D xsi:type="xsd:double"&gt;2.5580645&lt;/D&gt;&lt;D xsi:type="xsd:double"&gt;12.3516445&lt;/D&gt;&lt;D xsi:type="xsd:double"&gt;5.7341456&lt;/D&gt;&lt;D xsi:type="xsd:double"&gt;3.9195538&lt;/D&gt;&lt;D xsi:type="xsd:double"&gt;5.7733655&lt;/D&gt;&lt;D xsi:type="xsd:double"&gt;-0.18767715&lt;/D&gt;&lt;D xsi:type="xsd:double"&gt;-1.4572263&lt;/D&gt;&lt;D xsi:type="xsd:double"&gt;3.863895&lt;/D&gt;&lt;/FQL&gt;&lt;FQL&gt;&lt;Q&gt;EPOL^FG_TOTAL_RETURNC(-5AY,0,AM)&lt;/Q&gt;&lt;R&gt;61&lt;/R&gt;&lt;C&gt;1&lt;/C&gt;&lt;D xsi:type="xsd:double"&gt;26.05933&lt;/D&gt;&lt;D xsi:type="xsd:double"&gt;9.924722&lt;/D&gt;&lt;D xsi:type="xsd:double"&gt;-1.7930329&lt;/D&gt;&lt;D xsi:type="xsd:double"&gt;-2.6082397&lt;/D&gt;&lt;D xsi:type="xsd:double"&gt;-2.4102867&lt;/D&gt;&lt;D xsi:type="xsd:double"&gt;9.330416&lt;/D&gt;&lt;D xsi:type="xsd:double"&gt;13.152611&lt;/D&gt;&lt;D xsi:type="xsd:double"&gt;-0.5303621&lt;/D&gt;&lt;D xsi:type="xsd:double"&gt;-3.756708&lt;/D&gt;&lt;D xsi:type="xsd:double"&gt;3.8568735&lt;/D&gt;&lt;D xsi:type="xsd:double"&gt;-3.3109605&lt;/D&gt;&lt;D xsi:type="xsd:double"&gt;8.051825&lt;/D&gt;&lt;D xsi:type="xsd:double"&gt;-15.28908&lt;/D&gt;&lt;D xsi:type="xsd:double"&gt;6.7463517&lt;/D&gt;&lt;D xsi:type="xsd:double"&gt;-3.1354666&lt;/D&gt;&lt;D xsi:type="xsd:double"&gt;-11.489993&lt;/D&gt;&lt;D xsi:type="xsd:double"&gt;5.1368&lt;/D&gt;&lt;D xsi:type="xsd:double"&gt;-13.5953245&lt;/D&gt;&lt;D xsi:type="xsd:double"&gt;1.0448694&lt;/D&gt;&lt;D xsi:type="xsd:double"&gt;-9.77025&lt;/D&gt;&lt;D xsi:type="xsd:double"&gt;-5.306119&lt;/D&gt;&lt;D xsi:type="xsd:double"&gt;-7.6149464&lt;/D&gt;&lt;D xsi:type="xsd:double"&gt;-11.430788&lt;/D&gt;&lt;D xsi:type="xsd:double"&gt;9.569788&lt;/D&gt;&lt;D xsi:type="xsd:double"&gt;17.628216&lt;/D&gt;&lt;D xsi:type="xsd:double"&gt;4.319072&lt;/D&gt;&lt;D xsi:type="xsd:double"&gt;11.229229&lt;/D&gt;&lt;D xsi:type="xsd:double"&gt;-5.7945013&lt;/D&gt;&lt;D xsi:type="xsd:double"&gt;-5.389982&lt;/D&gt;&lt;D xsi:type="xsd:double"&gt;18.09652&lt;/D&gt;&lt;D xsi:type="xsd:double"&gt;1.2485743&lt;/D&gt;&lt;D xsi:type="xsd:double"&gt;6.0538054&lt;/D&gt;&lt;D xsi:type="xsd:double"&gt;11.046516&lt;/D&gt;&lt;D xsi:type="xsd:double"&gt;-8.138985&lt;/D&gt;&lt;D xsi:type="xsd:double"&gt;-12.746107&lt;/D&gt;&lt;D xsi:type="xsd:double"&gt;14.608073&lt;/D&gt;&lt;D xsi:type="xsd:double"&gt;15.647674&lt;/D&gt;&lt;D xsi:type="xsd:double"&gt;5.5515885&lt;/D&gt;&lt;D xsi:type="xsd:double"&gt;-7.121009&lt;/D&gt;&lt;D xsi:type="xsd:double"&gt;9.830666&lt;/D&gt;&lt;D xsi:type="xsd:double"&gt;1.0278344&lt;/D&gt;&lt;D xsi:type="xsd:double"&gt;1.186943&lt;/D&gt;&lt;D xsi:type="xsd:double"&gt;5.6975245&lt;/D&gt;&lt;D xsi:type="xsd:double"&gt;-0.949347&lt;/D&gt;&lt;D xsi:type="xsd:double"&gt;-2.731347&lt;/D&gt;&lt;D xsi:type="xsd:double"&gt;1.8021822&lt;/D&gt;&lt;D xsi:type="xsd:double"&gt;2.3466468&lt;/D&gt;&lt;D xsi:type="xsd:double"&gt;-9.654069&lt;/D&gt;&lt;D xsi:type="xsd:double"&gt;-2.5823712&lt;/D&gt;&lt;D xsi:type="xsd:double"&gt;0.19267797&lt;/D&gt;&lt;D xsi:type="xsd:double"&gt;11.753548&lt;/D&gt;&lt;D xsi:type="xsd:double"&gt;7.2095037&lt;/D&gt;&lt;D xsi:type="xsd:double"&gt;12.460446&lt;/D&gt;&lt;D xsi:type="xsd:double"&gt;6.5775514&lt;/D&gt;&lt;D xsi:type="xsd:double"&gt;3.1353116&lt;/D&gt;&lt;D xsi:type="xsd:double"&gt;3.1774402&lt;/D&gt;&lt;D xsi:type="xsd:double"&gt;1.3884544&lt;/D&gt;&lt;D xsi:type="xsd:double"&gt;-0.18674731&lt;/D&gt;&lt;D xsi:type="xsd:double"&gt;0.31181574&lt;/D&gt;&lt;D xsi:type="xsd:double"&gt;8.330738&lt;/D&gt;&lt;D xsi:type="xsd:double"&gt;-2.2381604&lt;/D&gt;&lt;/FQL&gt;&lt;FQL&gt;&lt;Q&gt;SET-BKK^FG_PRICE(0,-200D)&lt;/Q&gt;&lt;R&gt;201&lt;/R&gt;&lt;C&gt;1&lt;/C&gt;&lt;D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</t>
        </r>
      </text>
    </comment>
    <comment ref="A4" authorId="0" shapeId="0" xr:uid="{CA808987-EA17-4F5D-9F2C-4007ECB512B9}">
      <text>
        <r>
          <rPr>
            <b/>
            <sz val="9"/>
            <color indexed="81"/>
            <rFont val="Tahoma"/>
            <charset val="1"/>
          </rPr>
          <t xml:space="preserve">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xsi:type="xsd:double"&gt;1141.28&lt;/D&gt;&lt;D xsi:type="xsd:double"&gt;1138.9&lt;/D&gt;&lt;D xsi:type="xsd:double"&gt;1128.66&lt;/D&gt;&lt;D xsi:type="xsd:double"&gt;1133.95&lt;/D&gt;&lt;D xsi:type="xsd:double"&gt;1088.18&lt;/D&gt;&lt;D xsi:type="xsd:double"&gt;1074.59&lt;/D&gt;&lt;D xsi:type="xsd:double"&gt;1125.21&lt;/D&gt;&lt;D xsi:type="xsd:double"&gt;1161.81&lt;/D&gt;&lt;D xsi:type="xsd:double"&gt;1172.69&lt;/D&gt;&lt;D xsi:type="xsd:double"&gt;1168.02&lt;/D&gt;&lt;D xsi:type="xsd:double"&gt;1158.09&lt;/D&gt;&lt;D xsi:type="xsd:double"&gt;1175.45&lt;/D&gt;&lt;D xsi:type="xsd:double"&gt;1187.9&lt;/D&gt;&lt;D xsi:type="xsd:double"&gt;1190.36&lt;/D&gt;&lt;D xsi:type="xsd:double"&gt;1184.93&lt;/D&gt;&lt;D xsi:type="xsd:double"&gt;1190.06&lt;/D&gt;&lt;D xsi:type="xsd:double"&gt;1186.61&lt;/D&gt;&lt;D xsi:type="xsd:double"&gt;1181.71&lt;/D&gt;&lt;D xsi:type="xsd:double"&gt;1189.66&lt;/D&gt;&lt;D xsi:type="xsd:double"&gt;1176.17&lt;/D&gt;&lt;D xsi:type="xsd:double"&gt;1170.2&lt;/D&gt;&lt;D xsi:type="xsd:double"&gt;1173.76&lt;/D&gt;&lt;D xsi:type="xsd:double"&gt;1159.64&lt;/D&gt;&lt;D xsi:type="xsd:double"&gt;1160.06&lt;/D&gt;&lt;D xsi:type="xsd:double"&gt;1187.63&lt;/D&gt;&lt;D xsi:type="xsd:double"&gt;1177.44&lt;/D&gt;&lt;D xsi:type="xsd:double"&gt;1202.03&lt;/D&gt;&lt;D xsi:type="xsd:double"&gt;1189.55&lt;/D&gt;&lt;D xsi:type="xsd:double"&gt;1206.96&lt;/D&gt;&lt;D xsi:type="xsd:double"&gt;1177.64&lt;/D&gt;&lt;D xsi:type="xsd:double"&gt;1188.41&lt;/D&gt;&lt;D xsi:type="xsd:double"&gt;1203.72&lt;/D&gt;&lt;D xsi:type="xsd:double"&gt;1215.73&lt;/D&gt;&lt;D xsi:type="xsd:double"&gt;1231.14&lt;/D&gt;&lt;D xsi:type="xsd:double"&gt;1206.39&lt;/D&gt;&lt;D xsi:type="xsd:double"&gt;1235.85&lt;/D&gt;&lt;D xsi:type="xsd:double"&gt;1246.21&lt;/D&gt;&lt;D xsi:type="xsd:double"&gt;1245.61&lt;/D&gt;&lt;D xsi:type="xsd:double"&gt;1262.27&lt;/D&gt;&lt;D xsi:type="xsd:double"&gt;1257.48&lt;/D&gt;&lt;D xsi:type="xsd:double"&gt;1256.48&lt;/D&gt;&lt;D xsi:type="xsd:double"&gt;1272.1&lt;/D&gt;&lt;D xsi:type="xsd:double"&gt;1284.11&lt;/D&gt;&lt;D xsi:type="xsd:double"&gt;1283.97&lt;/D&gt;&lt;D xsi:type="xsd:double"&gt;1270.49&lt;/D&gt;&lt;D xsi:type="xsd:double"&gt;1282.09&lt;/D&gt;&lt;D xsi:type="xsd:double"&gt;1262.07&lt;/D&gt;&lt;D xsi:type="xsd:double"&gt;1286.74&lt;/D&gt;&lt;D xsi:type="xsd:double"&gt;1301.02&lt;/D&gt;&lt;D xsi:type="xsd:double"&gt;1304.39&lt;/D&gt;&lt;D xsi:type="xsd:double"&gt;1314.5&lt;/D&gt;&lt;/FQL&gt;&lt;FQL&gt;&lt;Q&gt;EZA^FG_TOTAL_RETURNC(-5AY,0,AM)&lt;/Q&gt;&lt;R&gt;61&lt;/R&gt;&lt;C&gt;1&lt;/C&gt;&lt;D xsi:type="xsd:double"&gt;16.323208&lt;/D&gt;&lt;D xsi:type="xsd:double"&gt;6.2060833&lt;/D&gt;&lt;D xsi:type="xsd:double"&gt;2.7434826&lt;/D&gt;&lt;D xsi:type="xsd:double"&gt;2.915001&lt;/D&gt;&lt;D xsi:type="xsd:double"&gt;6.5297365&lt;/D&gt;&lt;D xsi:type="xsd:double"&gt;4.586971&lt;/D&gt;&lt;D xsi:type="xsd:double"&gt;3.0273676&lt;/D&gt;&lt;D xsi:type="xsd:double"&gt;-7.899624&lt;/D&gt;&lt;D xsi:type="xsd:double"&gt;-1.7956614&lt;/D&gt;&lt;D xsi:type="xsd:double"&gt;1.4711976&lt;/D&gt;&lt;D xsi:type="xsd:double"&gt;-4.2667747&lt;/D&gt;&lt;D xsi:type="xsd:double"&gt;3.7645936&lt;/D&gt;&lt;D xsi:type="xsd:double"&gt;-11.530441&lt;/D&gt;&lt;D xsi:type="xsd:double"&gt;9.938156&lt;/D&gt;&lt;D xsi:type="xsd:double"&gt;4.5267463&lt;/D&gt;&lt;D xsi:type="xsd:double"&gt;9.117281&lt;/D&gt;&lt;D xsi:type="xsd:double"&gt;4.538548&lt;/D&gt;&lt;D xsi:type="xsd:double"&gt;-13.169843&lt;/D&gt;&lt;D xsi:type="xsd:double"&gt;0.18827915&lt;/D&gt;&lt;D xsi:type="xsd:double"&gt;-7.7520313&lt;/D&gt;&lt;D xsi:type="xsd:double"&gt;-0.78685284&lt;/D&gt;&lt;D xsi:type="xsd:double"&gt;-0.6298125&lt;/D&gt;&lt;D xsi:type="xsd:double"&gt;-12.206566&lt;/D&gt;&lt;D xsi:type="xsd:double"&gt;2.9411674&lt;/D&gt;&lt;D xsi:type="xsd:double"&gt;13.714277&lt;/D&gt;&lt;D xsi:type="xsd:double"&gt;-0.69841146&lt;/D&gt;&lt;D xsi:type="xsd:double"&gt;7.6599717&lt;/D&gt;&lt;D xsi:type="xsd:double"&gt;-11.106289&lt;/D&gt;&lt;D xsi:type="xsd:double"&gt;2.4890184&lt;/D&gt;&lt;D xsi:type="xsd:double"&gt;2.261901&lt;/D&gt;&lt;D xsi:type="xsd:double"&gt;-12.665897&lt;/D&gt;&lt;D xsi:type="xsd:double"&gt;7.2952986&lt;/D&gt;&lt;D xsi:type="xsd:double"&gt;13.725985&lt;/D&gt;&lt;D xsi:type="xsd:double"&gt;-9.7355&lt;/D&gt;&lt;D xsi:type="xsd:double"&gt;-6.870234&lt;/D&gt;&lt;D xsi:type="xsd:double"&gt;-2.0623982&lt;/D&gt;&lt;D xsi:type="xsd:double"&gt;10.853136&lt;/D&gt;&lt;D xsi:type="xsd:double"&gt;0.9521842&lt;/D&gt;&lt;D xsi:type="xsd:double"&gt;-3.1997979&lt;/D&gt;&lt;D xsi:type="xsd:double"&gt;-6.8887177&lt;/D&gt;&lt;D xsi:type="xsd:double"&gt;6.1517477&lt;/D&gt;&lt;D xsi:type="xsd:double"&gt;2.2210956&lt;/D&gt;&lt;D xsi:type="xsd:double"&gt;6.8930984&lt;/D&gt;&lt;D xsi:type="xsd:double"&gt;2.8039455&lt;/D&gt;&lt;D xsi:type="xsd:double"&gt;1.2696147&lt;/D&gt;&lt;D xsi:type="xsd:double"&gt;7.317078&lt;/D&gt;&lt;D xsi:type="xsd:double"&gt;9.494472&lt;/D&gt;&lt;D xsi:type="xsd:double"&gt;-2.5412202&lt;/D&gt;&lt;D xsi:type="xsd:double"&gt;-6.767517&lt;/D&gt;&lt;D xsi:type="xsd:double"&gt;-3.7508488&lt;/D&gt;&lt;D xsi:type="xsd:double"&gt;0.8411288&lt;/D&gt;&lt;D xsi:type="xsd:double"&gt;2.8730392&lt;/D&gt;&lt;D xsi:type="xsd:double"&gt;7.207203&lt;/D&gt;&lt;D xsi:type="xsd:double"&gt;3.1302571&lt;/D&gt;&lt;D xsi:type="xsd:double"&gt;5.9889913&lt;/D&gt;&lt;D xsi:type="xsd:double"&gt;2.3659468&lt;/D&gt;&lt;D xsi:type="xsd:double"&gt;3.001523&lt;/D&gt;&lt;D xsi:type="xsd:double"&gt;5.403912&lt;/D&gt;&lt;D xsi:type="xsd:double"&gt;10.761154&lt;/D&gt;&lt;D xsi:type="xsd:double"&gt;3.0489802&lt;/D&gt;&lt;D xsi:type="xsd:double"&gt;2.3148775&lt;/D&gt;&lt;/FQL&gt;&lt;FQL&gt;&lt;Q&gt;UAE^FG_TOTAL_RETURNC(-5AY,0,AM)&lt;/Q&gt;&lt;R&gt;61&lt;/R&gt;&lt;C&gt;1&lt;/C&gt;&lt;D xsi:type="xsd:double"&gt;10.254229&lt;/D&gt;&lt;D xsi:type="xsd:double"&gt;2.9512286&lt;/D&gt;&lt;D xsi:type="xsd:double"&gt;10.707331&lt;/D&gt;&lt;D xsi:type="xsd:double"&gt;-2.4371624&lt;/D&gt;&lt;D xsi:type="xsd:double"&gt;3.3567429&lt;/D&gt;&lt;D xsi:type="xsd:double"&gt;3.1722069&lt;/D&gt;&lt;D xsi:type="xsd:double"&gt;8.784771&lt;/D&gt;&lt;D xsi:type="xsd:double"&gt;-1.2464225&lt;/D&gt;&lt;D xsi:type="xsd:double"&gt;-0.26168823&lt;/D&gt;&lt;D xsi:type="xsd:double"&gt;4.4908047&lt;/D&gt;&lt;D xsi:type="xsd:double"&gt;-0.033837557&lt;/D&gt;&lt;D xsi:type="xsd:double"&gt;0.05890131&lt;/D&gt;&lt;D xsi:type="xsd:double"&gt;10.970521&lt;/D&gt;&lt;D xsi:type="xsd:double"&gt;0.16274452&lt;/D&gt;&lt;D xsi:type="xsd:double"&gt;3.9975286&lt;/D&gt;&lt;D xsi:type="xsd:double"&gt;4.3674946&lt;/D&gt;&lt;D xsi:type="xsd:double"&gt;7.2405815&lt;/D&gt;&lt;D xsi:type="xsd:double"&gt;0.053167343&lt;/D&gt;&lt;D xsi:type="xsd:double"&gt;-9.936232&lt;/D&gt;&lt;D xsi:type="xsd:double"&gt;-5.696887&lt;/D&gt;&lt;D xsi:type="xsd:double"&gt;4.4145823&lt;/D&gt;&lt;D xsi:type="xsd:double"&gt;1.6550183&lt;/D&gt;&lt;D xsi:type="xsd:double"&gt;-7.9571486&lt;/D&gt;&lt;D xsi:type="xsd:double"&gt;1.5062213&lt;/D&gt;&lt;D xsi:type="xsd:double"&gt;-0.5806446&lt;/D&gt;&lt;D xsi:type="xsd:double"&gt;-2.123046&lt;/D&gt;&lt;D xsi:type="xsd:double"&gt;-5.116284&lt;/D&gt;&lt;D xsi:type="xsd:double"&gt;2.5910378&lt;/D&gt;&lt;D xsi:type="xsd:double"&gt;-4.300338&lt;/D&gt;&lt;D xsi:type="xsd:double"&gt;10.271036&lt;/D&gt;&lt;D xsi:type="xsd:double"&gt;-5.821472&lt;/D&gt;&lt;D xsi:type="xsd:double"&gt;3.9209008&lt;/D&gt;&lt;D xsi:type="xsd:double"&gt;3.598106&lt;/D&gt;&lt;D xsi:type="xsd:double"&gt;-0.6887317&lt;/D&gt;&lt;D xsi:type="xsd:double"&gt;1.6832829&lt;/D&gt;&lt;D xsi:type="xsd:double"&gt;-13.400388&lt;/D&gt;&lt;D xsi:type="xsd:double"&gt;11.652303&lt;/D&gt;&lt;D xsi:type="xsd:double"&gt;0.24778843&lt;/D&gt;&lt;D xsi:type="xsd:double"&gt;1.1455536&lt;/D&gt;&lt;D xsi:type="xsd:double"&gt;-2.9980004&lt;/D&gt;&lt;D xsi:type="xsd:double"&gt;1.5796661&lt;/D&gt;&lt;D xsi:type="xsd:double"&gt;-3.0425966&lt;/D&gt;&lt;D xsi:type="xsd:double"&gt;-5.29986&lt;/D&gt;&lt;D xsi:type="xsd:double"&gt;5.2382708&lt;/D&gt;&lt;D xsi:type="xsd:double"&gt;6.6909075&lt;/D&gt;&lt;D xsi:type="xsd:double"&gt;0.47715902&lt;/D&gt;&lt;D xsi:type="xsd:double"&gt;4.681146&lt;/D&gt;&lt;D xsi:type="xsd:double"&gt;-2.3979247&lt;/D&gt;&lt;D xsi:type="xsd:double"&gt;2.8266907&lt;/D&gt;&lt;D xsi:type="xsd:double"&gt;6.057894&lt;/D&gt;&lt;D xsi:type="xsd:double"&gt;4.9679874999999996&lt;/D&gt;&lt;D xsi:type="xsd:double"&gt;1.3356686&lt;/D&gt;&lt;D xsi:type="xsd:double"&gt;-3.4383953&lt;/D&gt;&lt;D xsi:type="xsd:double"&gt;4.688418&lt;/D&gt;&lt;D xsi:type="xsd:double"&gt;5.782318&lt;/D&gt;&lt;D xsi:type="xsd:double"&gt;2.8952837&lt;/D&gt;&lt;D xsi:type="xsd:double"&gt;9.423804&lt;/D&gt;&lt;D xsi:type="xsd:double"&gt;-3.8877904&lt;/D&gt;&lt;D xsi:type="xsd:double"&gt;-2.8161883&lt;/D&gt;&lt;D xsi:type="xsd:double"&gt;5.4267645&lt;/D&gt;&lt;D xsi:type="xsd:double"&gt;-7.14643&lt;/D&gt;&lt;/FQL&gt;&lt;FQL&gt;&lt;Q&gt;EIDO^FG_TOTAL_RETURNC(-5AY,0,AM)&lt;/Q&gt;&lt;R&gt;61&lt;/R&gt;&lt;C&gt;1&lt;/C&gt;&lt;D xsi:type="xsd:double"&gt;24.137926&lt;/D&gt;&lt;D xsi:type="xsd:double"&gt;5.3629994&lt;/D&gt;&lt;D xsi:type="xsd:double"&gt;-1.9814491&lt;/D&gt;&lt;D xsi:type="xsd:double"&gt;-1.7204285&lt;/D&gt;&lt;D xsi:type="xsd:double"&gt;0.7877469&lt;/D&gt;&lt;D xsi:type="xsd:double"&gt;-5.601394&lt;/D&gt;&lt;D xsi:type="xsd:double"&gt;-1.7479241&lt;/D&gt;&lt;D xsi:type="xsd:double"&gt;-4.924589&lt;/D&gt;&lt;D xsi:type="xsd:double"&gt;-0.5450964&lt;/D&gt;&lt;D xsi:type="xsd:double"&gt;4.0856957&lt;/D&gt;&lt;D xsi:type="xsd:double"&gt;0.38295984&lt;/D&gt;&lt;D xsi:type="xsd:double"&gt;13.82929&lt;/D&gt;&lt;D xsi:type="xsd:double"&gt;-3.812325&lt;/D&gt;&lt;D xsi:type="xsd:double"&gt;1.8470287&lt;/D&gt;&lt;D xsi:type="xsd:double"&gt;-0.08612871&lt;/D&gt;&lt;D xsi:type="xsd:double"&gt;4.870689&lt;/D&gt;&lt;D xsi:type="xsd:double"&gt;2.4249911&lt;/D&gt;&lt;D xsi:type="xsd:double"&gt;1.4446259&lt;/D&gt;&lt;D xsi:type="xsd:double"&gt;-2.808547&lt;/D&gt;&lt;D xsi:type="xsd:double"&gt;-6.2252464&lt;/D&gt;&lt;D xsi:type="xsd:double"&gt;1.7165542&lt;/D&gt;&lt;D xsi:type="xsd:double"&gt;1.9472003&lt;/D&gt;&lt;D xsi:type="xsd:double"&gt;1.3157964&lt;/D&gt;&lt;D xsi:type="xsd:double"&gt;-0.54461956&lt;/D&gt;&lt;D xsi:type="xsd:double"&gt;-1.9376516&lt;/D&gt;&lt;D xsi:type="xsd:double"&gt;-4.457408&lt;/D&gt;&lt;D xsi:type="xsd:double"&gt;6.9482207&lt;/D&gt;&lt;D xsi:type="xsd:double"&gt;-2.7176201&lt;/D&gt;&lt;D xsi:type="xsd:double"&gt;1.2658238&lt;/D&gt;&lt;D xsi:type="xsd:double"&gt;6.681025&lt;/D&gt;&lt;D xsi:type="xsd:double"&gt;-3.8787842&lt;/D&gt;&lt;D xsi:type="xsd:double"&gt;-1.2304068&lt;/D&gt;&lt;D xsi:type="xsd:double"&gt;1.5204191&lt;/D&gt;&lt;D xsi:type="xsd:double"&gt;-1.1981189&lt;/D&gt;&lt;D xsi:type="xsd:double"&gt;-3.248161&lt;/D&gt;&lt;D xsi:type="xsd:double"&gt;-8.863026&lt;/D&gt;&lt;D xsi:type="xsd:double"&gt;7.31827&lt;/D&gt;&lt;D xsi:type="xsd:double"&gt;2.561617&lt;/D&gt;&lt;D xsi:type="xsd:double"&gt;-3.9586127&lt;/D&gt;&lt;D xsi:type="xsd:double"&gt;5.5737734&lt;/D&gt;&lt;D xsi:type="xsd:double"&gt;-0.044363737&lt;/D&gt;&lt;D xsi:type="xsd:double"&gt;-9.853536&lt;/D&gt;&lt;D xsi:type="xsd:double"&gt;0.5908489&lt;/D&gt;&lt;D xsi:type="xsd:double"&gt;-2.361524&lt;/D&gt;&lt;D xsi:type="xsd:double"&gt;4.3591022&lt;/D&gt;&lt;D xsi:type="xsd:double"&gt;9.696663&lt;/D&gt;&lt;D xsi:type="xsd:double"&gt;4.3064356&lt;/D&gt;&lt;D xsi:type="xsd:double"&gt;-5.5628004&lt;/D&gt;&lt;D xsi:type="xsd:double"&gt;-7.2710514&lt;/D&gt;&lt;D xsi:type="xsd:double"&gt;-6.5402327&lt;/D&gt;&lt;D xsi:type="xsd:double"&gt;-0.22305846&lt;/D&gt;&lt;D xsi:type="xsd:double"&gt;-13.729727&lt;/D&gt;&lt;D xsi:type="xsd:double"&gt;2.5689244&lt;/D&gt;&lt;D xsi:type="xsd:double"&gt;3.4208894&lt;/D&gt;&lt;D xsi:type="xsd:double"&gt;11.695218&lt;/D&gt;&lt;D xsi:type="xsd:double"&gt;-5.0201235&lt;/D&gt;&lt;D xsi:type="xsd:double"&gt;1.4865637&lt;/D&gt;&lt;D xsi:type="xsd:double"&gt;2.4788737&lt;/D&gt;&lt;D xsi:type="xsd:double"&gt;-3.2435417&lt;/D&gt;&lt;D xsi:type="xsd:double"&gt;2.5568128&lt;/D&gt;&lt;D xsi:type="xsd:double"&gt;3.4349084&lt;/D&gt;&lt;/FQL&gt;&lt;FQL&gt;&lt;Q&gt;QQQ^FG_PRICE(0,-200D)&lt;/Q&gt;&lt;R&gt;201&lt;/R&gt;&lt;C&gt;1&lt;/C&gt;&lt;D xsi:type="xsd:double"&gt;619.25&lt;/D&gt;&lt;D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xsi:type="xsd:double"&gt;475.53&lt;/D&gt;&lt;D xsi:type="xsd:double"&gt;472.41&lt;/D&gt;&lt;D xsi:type="xsd:double"&gt;472.56&lt;/D&gt;&lt;D xsi:type="xsd:double"&gt;467.35&lt;/D&gt;&lt;D xsi:type="xsd:double"&gt;454.56&lt;/D&gt;&lt;D xsi:type="xsd:double"&gt;444.48&lt;/D&gt;&lt;D xsi:type="xsd:double"&gt;433.11&lt;/D&gt;&lt;D xsi:type="xsd:double"&gt;444.1&lt;/D&gt;&lt;D xsi:type="xsd:double"&gt;444.18&lt;/D&gt;&lt;D xsi:type="xsd:double"&gt;457.99&lt;/D&gt;&lt;D xsi:type="xsd:double"&gt;457.48&lt;/D&gt;&lt;D xsi:type="xsd:double"&gt;454.4&lt;/D&gt;&lt;D xsi:type="xsd:double"&gt;446.18&lt;/D&gt;&lt;D xsi:type="xsd:double"&gt;466&lt;/D&gt;&lt;D xsi:type="xsd:double"&gt;416.06&lt;/D&gt;&lt;D xsi:type="xsd:double"&gt;423.69&lt;/D&gt;&lt;D xsi:type="xsd:double"&gt;422.67&lt;/D&gt;&lt;D xsi:type="xsd:double"&gt;450.66&lt;/D&gt;&lt;D xsi:type="xsd:double"&gt;476.15&lt;/D&gt;&lt;D xsi:type="xsd:double"&gt;472.7&lt;/D&gt;&lt;D xsi:type="xsd:double"&gt;468.92&lt;/D&gt;&lt;D xsi:type="xsd:double"&gt;468.94&lt;/D&gt;&lt;D xsi:type="xsd:double"&gt;481.62&lt;/D&gt;&lt;D xsi:type="xsd:double"&gt;484.38&lt;/D&gt;&lt;D xsi:type="xsd:double"&gt;493.46&lt;/D&gt;&lt;D xsi:type="xsd:double"&gt;490.66&lt;/D&gt;&lt;D xsi:type="xsd:double"&gt;480.84&lt;/D&gt;&lt;D xsi:type="xsd:double"&gt;479.26&lt;/D&gt;&lt;D xsi:type="xsd:double"&gt;480.89&lt;/D&gt;&lt;D xsi:type="xsd:double"&gt;474.54&lt;/D&gt;&lt;D xsi:type="xsd:double"&gt;482.77&lt;/D&gt;&lt;D xsi:type="xsd:double"&gt;479.66&lt;/D&gt;&lt;D xsi:type="xsd:double"&gt;468.34&lt;/D&gt;&lt;D xsi:type="xsd:double"&gt;476.92&lt;/D&gt;&lt;D xsi:type="xsd:double"&gt;471.6&lt;/D&gt;&lt;D xsi:type="xsd:double"&gt;472.73&lt;/D&gt;&lt;D xsi:type="xsd:double"&gt;491.79&lt;/D&gt;&lt;D xsi:type="xsd:double"&gt;488.2&lt;/D&gt;&lt;D xsi:type="xsd:double"&gt;502.01&lt;/D&gt;&lt;D xsi:type="xsd:double"&gt;495.55&lt;/D&gt;&lt;D xsi:type="xsd:double"&gt;497.05&lt;/D&gt;&lt;D xsi:type="xsd:double"&gt;508.17&lt;/D&gt;&lt;D xsi:type="xsd:double"&gt;500.27&lt;/D&gt;&lt;D xsi:type="xsd:double"&gt;514.56&lt;/D&gt;&lt;D xsi:type="xsd:double"&gt;513.32&lt;/D&gt;&lt;D xsi:type="xsd:double"&gt;519.87&lt;/D&gt;&lt;D xsi:type="xsd:double"&gt;526.08&lt;/D&gt;&lt;D xsi:type="xsd:double"&gt;537.23&lt;/D&gt;&lt;D xsi:type="xsd:double"&gt;539.52&lt;/D&gt;&lt;D xsi:type="xsd:double"&gt;539.37&lt;/D&gt;&lt;D xsi:type="xsd:double"&gt;538.15&lt;/D&gt;&lt;D xsi:type="xsd:double"&gt;535.9&lt;/D&gt;&lt;D xsi:type="xsd:double"&gt;528.3&lt;/D&gt;&lt;/FQL&gt;&lt;FQL&gt;&lt;Q&gt;EPHE^FG_PRICE(0,-200D)&lt;/Q&gt;&lt;R&gt;201&lt;/R&gt;&lt;C&gt;1&lt;/C&gt;&lt;D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xsi:type="xsd:double"&gt;26.41&lt;/D&gt;&lt;D xsi:type="xsd:double"&gt;26.18&lt;/D&gt;&lt;D xsi:type="xsd:double"&gt;26.26&lt;/D&gt;&lt;D xsi:type="xsd:double"&gt;25.96&lt;/D&gt;&lt;D xsi:type="xsd:double"&gt;25.59&lt;/D&gt;&lt;D xsi:type="xsd:double"&gt;25.55&lt;/D&gt;&lt;D xsi:type="xsd:double"&gt;25.17&lt;/D&gt;&lt;D xsi:type="xsd:double"&gt;25.3019&lt;/D&gt;&lt;D xsi:type="xsd:double"&gt;25.25&lt;/D&gt;&lt;D xsi:type="xsd:double"&gt;25.4141&lt;/D&gt;&lt;D xsi:type="xsd:double"&gt;25.19&lt;/D&gt;&lt;D xsi:type="xsd:double"&gt;24.96&lt;/D&gt;&lt;D xsi:type="xsd:double"&gt;24.18&lt;/D&gt;&lt;D xsi:type="xsd:double"&gt;25.16&lt;/D&gt;&lt;D xsi:type="xsd:double"&gt;24.13&lt;/D&gt;&lt;D xsi:type="xsd:double"&gt;24.14&lt;/D&gt;&lt;D xsi:type="xsd:double"&gt;23.83&lt;/D&gt;&lt;D xsi:type="xsd:double"&gt;25.04&lt;/D&gt;&lt;D xsi:type="xsd:double"&gt;25.56&lt;/D&gt;&lt;D xsi:type="xsd:double"&gt;25.26&lt;/D&gt;&lt;D xsi:type="xsd:double"&gt;25.3&lt;/D&gt;&lt;D xsi:type="xsd:double"&gt;24.98&lt;/D&gt;&lt;D xsi:type="xsd:double"&gt;25.1&lt;/D&gt;&lt;D xsi:type="xsd:double"&gt;25.022&lt;/D&gt;&lt;D xsi:type="xsd:double"&gt;25.2&lt;/D&gt;&lt;D xsi:type="xsd:double"&gt;25.43&lt;/D&gt;&lt;D xsi:type="xsd:double"&gt;25.79&lt;/D&gt;&lt;D xsi:type="xsd:double"&gt;25.91&lt;/D&gt;&lt;D xsi:type="xsd:double"&gt;25.87&lt;/D&gt;&lt;D xsi:type="xsd:double"&gt;25.67&lt;/D&gt;&lt;D xsi:type="xsd:double"&gt;26&lt;/D&gt;&lt;D xsi:type="xsd:double"&gt;25.785&lt;/D&gt;&lt;D xsi:type="xsd:double"&gt;25.38&lt;/D&gt;&lt;D xsi:type="xsd:double"&gt;25.08&lt;/D&gt;&lt;D xsi:type="xsd:double"&gt;25.07&lt;/D&gt;&lt;D xsi:type="xsd:double"&gt;25.47&lt;/D&gt;&lt;D xsi:type="xsd:double"&gt;25.36&lt;/D&gt;&lt;D xsi:type="xsd:double"&gt;25.14&lt;/D&gt;&lt;D xsi:type="xsd:double"&gt;24.71&lt;/D&gt;&lt;D xsi:type="xsd:double"&gt;24.25&lt;/D&gt;&lt;D xsi:type="xsd:double"&gt;24.05&lt;/D&gt;&lt;D xsi:type="xsd:double"&gt;24&lt;/D&gt;&lt;D xsi:type="xsd:double"&gt;24.3&lt;/D&gt;&lt;D xsi:type="xsd:double"&gt;24.46&lt;/D&gt;&lt;D xsi:type="xsd:double"&gt;24.17&lt;/D&gt;&lt;D xsi:type="xsd:double"&gt;24.33&lt;/D&gt;&lt;D xsi:type="xsd:double"&gt;24.41&lt;/D&gt;&lt;D xsi:type="xsd:double"&gt;24.36&lt;/D&gt;&lt;D xsi:type="xsd:double"&gt;24.37&lt;/D&gt;&lt;D xsi:type="xsd:double"&gt;24.3&lt;/D&gt;&lt;D xsi:type="xsd:double"&gt;24.29&lt;/D&gt;&lt;D xsi:type="xsd:double"&gt;24.36&lt;/D&gt;&lt;D xsi:type="xsd:double"&gt;23.82&lt;/D&gt;&lt;/FQL&gt;&lt;FQL&gt;&lt;Q&gt;EWA^FG_TOTAL_RETURNC(-5AY,0,AM)&lt;/Q&gt;&lt;R&gt;61&lt;/R&gt;&lt;C&gt;1&lt;/C&gt;&lt;D xsi:type="xsd:double"&gt;17.795742&lt;/D&gt;&lt;D xsi:type="xsd:double"&gt;4.0948033&lt;/D&gt;&lt;D xsi:type="xsd:double"&gt;1.7879486&lt;/D&gt;&lt;D xsi:type="xsd:double"&gt;0.12254715&lt;/D&gt;&lt;D xsi:type="xsd:double"&gt;2.2031784&lt;/D&gt;&lt;D xsi:type="xsd:double"&gt;5.628741&lt;/D&gt;&lt;D xsi:type="xsd:double"&gt;1.058209&lt;/D&gt;&lt;D xsi:type="xsd:double"&gt;-0.7675588&lt;/D&gt;&lt;D xsi:type="xsd:double"&gt;-1.4138341&lt;/D&gt;&lt;D xsi:type="xsd:double"&gt;0.813961&lt;/D&gt;&lt;D xsi:type="xsd:double"&gt;-4.921186&lt;/D&gt;&lt;D xsi:type="xsd:double"&gt;8.57259&lt;/D&gt;&lt;D xsi:type="xsd:double"&gt;-8.528864&lt;/D&gt;&lt;D xsi:type="xsd:double"&gt;5.0019383&lt;/D&gt;&lt;D xsi:type="xsd:double"&gt;-9.290653&lt;/D&gt;&lt;D xsi:type="xsd:double"&gt;6.557369&lt;/D&gt;&lt;D xsi:type="xsd:double"&gt;9.64657&lt;/D&gt;&lt;D xsi:type="xsd:double"&gt;-5.2711487&lt;/D&gt;&lt;D xsi:type="xsd:double"&gt;-0.12009144&lt;/D&gt;&lt;D xsi:type="xsd:double"&gt;-10.960942&lt;/D&gt;&lt;D xsi:type="xsd:double"&gt;4.3215632&lt;/D&gt;&lt;D xsi:type="xsd:double"&gt;-0.04454255&lt;/D&gt;&lt;D xsi:type="xsd:double"&gt;-10.026735&lt;/D&gt;&lt;D xsi:type="xsd:double"&gt;2.9717684&lt;/D&gt;&lt;D xsi:type="xsd:double"&gt;9.908605&lt;/D&gt;&lt;D xsi:type="xsd:double"&gt;-1.4366686&lt;/D&gt;&lt;D xsi:type="xsd:double"&gt;12.799633&lt;/D&gt;&lt;D xsi:type="xsd:double"&gt;-8.259827&lt;/D&gt;&lt;D xsi:type="xsd:double"&gt;-2.3164272&lt;/D&gt;&lt;D xsi:type="xsd:double"&gt;3.5346746&lt;/D&gt;&lt;D xsi:type="xsd:double"&gt;-3.1114936&lt;/D&gt;&lt;D xsi:type="xsd:double"&gt;0.9812474&lt;/D&gt;&lt;D xsi:type="xsd:double"&gt;4.0954113&lt;/D&gt;&lt;D xsi:type="xsd:double"&gt;-6.1392126&lt;/D&gt;&lt;D xsi:type="xsd:double"&gt;-0.3684938&lt;/D&gt;&lt;D xsi:type="xsd:double"&gt;-4.993063&lt;/D&gt;&lt;D xsi:type="xsd:double"&gt;9.537721&lt;/D&gt;&lt;D xsi:type="xsd:double"&gt;11.037647&lt;/D&gt;&lt;D xsi:type="xsd:double"&gt;-3.2666385&lt;/D&gt;&lt;D xsi:type="xsd:double"&gt;0.0844121&lt;/D&gt;&lt;D xsi:type="xsd:double"&gt;4.0067554&lt;/D&gt;&lt;D xsi:type="xsd:double"&gt;-3.8118422&lt;/D&gt;&lt;D xsi:type="xsd:double"&gt;3.7942767&lt;/D&gt;&lt;D xsi:type="xsd:double"&gt;1.1618257&lt;/D&gt;&lt;D xsi:type="xsd:double"&gt;1.0233283&lt;/D&gt;&lt;D xsi:type="xsd:double"&gt;4.4975758&lt;/D&gt;&lt;D xsi:type="xsd:double"&gt;4.885602&lt;/D&gt;&lt;D xsi:type="xsd:double"&gt;-4.2513847&lt;/D&gt;&lt;D xsi:type="xsd:double"&gt;1.3513565&lt;/D&gt;&lt;D xsi:type="xsd:double"&gt;-6.8036914&lt;/D&gt;&lt;D xsi:type="xsd:double"&gt;3.034091&lt;/D&gt;&lt;D xsi:type="xsd:double"&gt;-3.2271147&lt;/D&gt;&lt;D xsi:type="xsd:double"&gt;-2.1675706&lt;/D&gt;&lt;D xsi:type="xsd:double"&gt;4.4738054&lt;/D&gt;&lt;D xsi:type="xsd:double"&gt;4.2414308&lt;/D&gt;&lt;D xsi:type="xsd:double"&gt;3.628087&lt;/D&gt;&lt;D xsi:type="xsd:double"&gt;0.498271&lt;/D&gt;&lt;D xsi:type="xsd:double"&gt;3.3180833&lt;/D&gt;&lt;D xsi:type="xsd:double"&gt;-1.5503883&lt;/D&gt;&lt;D xsi:type="xsd:double"&gt;3.187108&lt;/D&gt;&lt;D xsi:type="xsd:double"&gt;-6.068313&lt;/D&gt;&lt;/FQL&gt;&lt;FQL&gt;&lt;Q&gt;EWZ^FG_PRICE(0,-200D)&lt;/Q&gt;&lt;R&gt;201&lt;/R&gt;&lt;C&gt;1&lt;/C&gt;&lt;D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</t>
        </r>
      </text>
    </comment>
    <comment ref="A5" authorId="0" shapeId="0" xr:uid="{48EA88BC-CE77-409B-9A8B-44A3EF9260A8}">
      <text>
        <r>
          <rPr>
            <b/>
            <sz val="9"/>
            <color indexed="81"/>
            <rFont val="Tahoma"/>
            <charset val="1"/>
          </rPr>
          <t>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xsi:type="xsd:double"&gt;27.36&lt;/D&gt;&lt;D xsi:type="xsd:double"&gt;27.21&lt;/D&gt;&lt;D xsi:type="xsd:double"&gt;26.94&lt;/D&gt;&lt;D xsi:type="xsd:double"&gt;26.74&lt;/D&gt;&lt;D xsi:type="xsd:double"&gt;26.31&lt;/D&gt;&lt;D xsi:type="xsd:double"&gt;25.86&lt;/D&gt;&lt;D xsi:type="xsd:double"&gt;25.2&lt;/D&gt;&lt;D xsi:type="xsd:double"&gt;25.22&lt;/D&gt;&lt;D xsi:type="xsd:double"&gt;24.79&lt;/D&gt;&lt;D xsi:type="xsd:double"&gt;24.86&lt;/D&gt;&lt;D xsi:type="xsd:double"&gt;25.01&lt;/D&gt;&lt;D xsi:type="xsd:double"&gt;24.69&lt;/D&gt;&lt;D xsi:type="xsd:double"&gt;24.19&lt;/D&gt;&lt;D xsi:type="xsd:double"&gt;24.71&lt;/D&gt;&lt;D xsi:type="xsd:double"&gt;23.44&lt;/D&gt;&lt;D xsi:type="xsd:double"&gt;23.95&lt;/D&gt;&lt;D xsi:type="xsd:double"&gt;24.5&lt;/D&gt;&lt;D xsi:type="xsd:double"&gt;26.33&lt;/D&gt;&lt;D xsi:type="xsd:double"&gt;26.14&lt;/D&gt;&lt;D xsi:type="xsd:double"&gt;26.14&lt;/D&gt;&lt;D xsi:type="xsd:double"&gt;25.85&lt;/D&gt;&lt;D xsi:type="xsd:double"&gt;25.96&lt;/D&gt;&lt;D xsi:type="xsd:double"&gt;26.33&lt;/D&gt;&lt;D xsi:type="xsd:double"&gt;26.3&lt;/D&gt;&lt;D xsi:type="xsd:double"&gt;26.42&lt;/D&gt;&lt;D xsi:type="xsd:double"&gt;26.19&lt;/D&gt;&lt;D xsi:type="xsd:double"&gt;26.57&lt;/D&gt;&lt;D xsi:type="xsd:double"&gt;26.58&lt;/D&gt;&lt;D xsi:type="xsd:double"&gt;26.94&lt;/D&gt;&lt;D xsi:type="xsd:double"&gt;26.57&lt;/D&gt;&lt;D xsi:type="xsd:double"&gt;26.45&lt;/D&gt;&lt;D xsi:type="xsd:double"&gt;25.84&lt;/D&gt;&lt;D xsi:type="xsd:double"&gt;24.8&lt;/D&gt;&lt;D xsi:type="xsd:double"&gt;24.48&lt;/D&gt;&lt;D xsi:type="xsd:double"&gt;24.38&lt;/D&gt;&lt;D xsi:type="xsd:double"&gt;24.3&lt;/D&gt;&lt;D xsi:type="xsd:double"&gt;24.82&lt;/D&gt;&lt;D xsi:type="xsd:double"&gt;24.57&lt;/D&gt;&lt;D xsi:type="xsd:double"&gt;24.58&lt;/D&gt;&lt;D xsi:type="xsd:double"&gt;23.91&lt;/D&gt;&lt;D xsi:type="xsd:double"&gt;24.14&lt;/D&gt;&lt;D xsi:type="xsd:double"&gt;24.11&lt;/D&gt;&lt;D xsi:type="xsd:double"&gt;24.71&lt;/D&gt;&lt;D xsi:type="xsd:double"&gt;24.88&lt;/D&gt;&lt;D xsi:type="xsd:double"&gt;25.28&lt;/D&gt;&lt;D xsi:type="xsd:double"&gt;25.06&lt;/D&gt;&lt;D xsi:type="xsd:double"&gt;25.47&lt;/D&gt;&lt;D xsi:type="xsd:double"&gt;26.2&lt;/D&gt;&lt;D xsi:type="xsd:double"&gt;26.09&lt;/D&gt;&lt;D xsi:type="xsd:double"&gt;26.39&lt;/D&gt;&lt;D xsi:type="xsd:double"&gt;26.37&lt;/D&gt;&lt;D xsi:type="xsd:double"&gt;25.46&lt;/D&gt;&lt;D xsi:type="xsd:double"&gt;25.34&lt;/D&gt;&lt;/FQL&gt;&lt;FQL&gt;&lt;Q&gt;EWG^FG_PRICE(0,-200D)&lt;/Q&gt;&lt;R&gt;201&lt;/R&gt;&lt;C&gt;1&lt;/C&gt;&lt;D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xsi:type="xsd:double"&gt;39.67&lt;/D&gt;&lt;D xsi:type="xsd:double"&gt;39.47&lt;/D&gt;&lt;D xsi:type="xsd:double"&gt;39.36&lt;/D&gt;&lt;D xsi:type="xsd:double"&gt;39.03&lt;/D&gt;&lt;D xsi:type="xsd:double"&gt;38.44&lt;/D&gt;&lt;D xsi:type="xsd:double"&gt;38.03&lt;/D&gt;&lt;D xsi:type="xsd:double"&gt;37.03&lt;/D&gt;&lt;D xsi:type="xsd:double"&gt;37.4&lt;/D&gt;&lt;D xsi:type="xsd:double"&gt;37.22&lt;/D&gt;&lt;D xsi:type="xsd:double"&gt;37.2&lt;/D&gt;&lt;D xsi:type="xsd:double"&gt;36.82&lt;/D&gt;&lt;D xsi:type="xsd:double"&gt;36.37&lt;/D&gt;&lt;D xsi:type="xsd:double"&gt;35.8&lt;/D&gt;&lt;D xsi:type="xsd:double"&gt;36.22&lt;/D&gt;&lt;D xsi:type="xsd:double"&gt;33.22&lt;/D&gt;&lt;D xsi:type="xsd:double"&gt;33.55&lt;/D&gt;&lt;D xsi:type="xsd:double"&gt;34.32&lt;/D&gt;&lt;D xsi:type="xsd:double"&gt;36.73&lt;/D&gt;&lt;D xsi:type="xsd:double"&gt;37.38&lt;/D&gt;&lt;D xsi:type="xsd:double"&gt;37.29&lt;/D&gt;&lt;D xsi:type="xsd:double"&gt;37.08&lt;/D&gt;&lt;D xsi:type="xsd:double"&gt;37.39&lt;/D&gt;&lt;D xsi:type="xsd:double"&gt;37.59&lt;/D&gt;&lt;D xsi:type="xsd:double"&gt;37.56&lt;/D&gt;&lt;D xsi:type="xsd:double"&gt;38.38&lt;/D&gt;&lt;D xsi:type="xsd:double"&gt;38.03&lt;/D&gt;&lt;D xsi:type="xsd:double"&gt;38.09&lt;/D&gt;&lt;D xsi:type="xsd:double"&gt;38.36&lt;/D&gt;&lt;D xsi:type="xsd:double"&gt;39.04&lt;/D&gt;&lt;D xsi:type="xsd:double"&gt;39.31&lt;/D&gt;&lt;D xsi:type="xsd:double"&gt;39.03&lt;/D&gt;&lt;D xsi:type="xsd:double"&gt;38.62&lt;/D&gt;&lt;D xsi:type="xsd:double"&gt;37.59&lt;/D&gt;&lt;D xsi:type="xsd:double"&gt;37.99&lt;/D&gt;&lt;D xsi:type="xsd:double"&gt;37.74&lt;/D&gt;&lt;D xsi:type="xsd:double"&gt;37.79&lt;/D&gt;&lt;D xsi:type="xsd:double"&gt;38.81&lt;/D&gt;&lt;D xsi:type="xsd:double"&gt;38.59&lt;/D&gt;&lt;D xsi:type="xsd:double"&gt;38.53&lt;/D&gt;&lt;D xsi:type="xsd:double"&gt;37.03&lt;/D&gt;&lt;D xsi:type="xsd:double"&gt;37.16&lt;/D&gt;&lt;D xsi:type="xsd:double"&gt;36.07&lt;/D&gt;&lt;D xsi:type="xsd:double"&gt;36&lt;/D&gt;&lt;D xsi:type="xsd:double"&gt;36.71&lt;/D&gt;&lt;D xsi:type="xsd:double"&gt;36.58&lt;/D&gt;&lt;D xsi:type="xsd:double"&gt;36.07&lt;/D&gt;&lt;D xsi:type="xsd:double"&gt;35.91&lt;/D&gt;&lt;D xsi:type="xsd:double"&gt;36.19&lt;/D&gt;&lt;D xsi:type="xsd:double"&gt;36.06&lt;/D&gt;&lt;D xsi:type="xsd:double"&gt;36.9&lt;/D&gt;&lt;D xsi:type="xsd:double"&gt;36.42&lt;/D&gt;&lt;D xsi:type="xsd:double"&gt;36.41&lt;/D&gt;&lt;D xsi:type="xsd:double"&gt;35.75&lt;/D&gt;&lt;/FQL&gt;&lt;FQL&gt;&lt;Q&gt;EWW^FG_PRICE(0,-200D)&lt;/Q&gt;&lt;R&gt;201&lt;/R&gt;&lt;C&gt;1&lt;/C&gt;&lt;D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xsi:type="xsd:double"&gt;56.42&lt;/D&gt;&lt;D xsi:type="xsd:double"&gt;58.12&lt;/D&gt;&lt;D xsi:type="xsd:double"&gt;57.94&lt;/D&gt;&lt;D xsi:type="xsd:double"&gt;57.34&lt;/D&gt;&lt;D xsi:type="xsd:double"&gt;56.51&lt;/D&gt;&lt;D xsi:type="xsd:double"&gt;55.51&lt;/D&gt;&lt;D xsi:type="xsd:double"&gt;54.34&lt;/D&gt;&lt;D xsi:type="xsd:double"&gt;54.93&lt;/D&gt;&lt;D xsi:type="xsd:double"&gt;53.02&lt;/D&gt;&lt;D xsi:type="xsd:double"&gt;52.19&lt;/D&gt;&lt;D xsi:type="xsd:double"&gt;51.91&lt;/D&gt;&lt;D xsi:type="xsd:double"&gt;50.68&lt;/D&gt;&lt;D xsi:type="xsd:double"&gt;50.3&lt;/D&gt;&lt;D xsi:type="xsd:double"&gt;51.86&lt;/D&gt;&lt;D xsi:type="xsd:double"&gt;48.06&lt;/D&gt;&lt;D xsi:type="xsd:double"&gt;48.52&lt;/D&gt;&lt;D xsi:type="xsd:double"&gt;49.92&lt;/D&gt;&lt;D xsi:type="xsd:double"&gt;54.26&lt;/D&gt;&lt;D xsi:type="xsd:double"&gt;52.16&lt;/D&gt;&lt;D xsi:type="xsd:double"&gt;52.05&lt;/D&gt;&lt;D xsi:type="xsd:double"&gt;50.96&lt;/D&gt;&lt;D xsi:type="xsd:double"&gt;51.62&lt;/D&gt;&lt;D xsi:type="xsd:double"&gt;52.15&lt;/D&gt;&lt;D xsi:type="xsd:double"&gt;52.01&lt;/D&gt;&lt;D xsi:type="xsd:double"&gt;52.59&lt;/D&gt;&lt;D xsi:type="xsd:double"&gt;52.04&lt;/D&gt;&lt;D xsi:type="xsd:double"&gt;51.7&lt;/D&gt;&lt;D xsi:type="xsd:double"&gt;52.26&lt;/D&gt;&lt;D xsi:type="xsd:double"&gt;52.42&lt;/D&gt;&lt;D xsi:type="xsd:double"&gt;52.41&lt;/D&gt;&lt;D xsi:type="xsd:double"&gt;53.28&lt;/D&gt;&lt;D xsi:type="xsd:double"&gt;52.36&lt;/D&gt;&lt;D xsi:type="xsd:double"&gt;51.19&lt;/D&gt;&lt;D xsi:type="xsd:double"&gt;50.98&lt;/D&gt;&lt;D xsi:type="xsd:double"&gt;50.25&lt;/D&gt;&lt;D xsi:type="xsd:double"&gt;50.16&lt;/D&gt;&lt;D xsi:type="xsd:double"&gt;51.53&lt;/D&gt;&lt;D xsi:type="xsd:double"&gt;51.45&lt;/D&gt;&lt;D xsi:type="xsd:double"&gt;51.03&lt;/D&gt;&lt;D xsi:type="xsd:double"&gt;50.02&lt;/D&gt;&lt;D xsi:type="xsd:double"&gt;49.85&lt;/D&gt;&lt;D xsi:type="xsd:double"&gt;50.52&lt;/D&gt;&lt;D xsi:type="xsd:double"&gt;50.59&lt;/D&gt;&lt;D xsi:type="xsd:double"&gt;51.49&lt;/D&gt;&lt;D xsi:type="xsd:double"&gt;51.05&lt;/D&gt;&lt;D xsi:type="xsd:double"&gt;51.67&lt;/D&gt;&lt;D xsi:type="xsd:double"&gt;51.99&lt;/D&gt;&lt;D xsi:type="xsd:double"&gt;52.86&lt;/D&gt;&lt;D xsi:type="xsd:double"&gt;52.25&lt;/D&gt;&lt;D xsi:type="xsd:double"&gt;53.22&lt;/D&gt;&lt;D xsi:type="xsd:double"&gt;52.67&lt;/D&gt;&lt;D xsi:type="xsd:double"&gt;52.38&lt;/D&gt;&lt;D xsi:type="xsd:double"&gt;51.91&lt;/D&gt;&lt;/FQL&gt;&lt;FQL&gt;&lt;Q&gt;EWU^FG_TOTAL_RETURNC(-5AY,0,AM)&lt;/Q&gt;&lt;R&gt;61&lt;/R&gt;&lt;C&gt;1&lt;/C&gt;&lt;D xsi:type="xsd:double"&gt;19.784773&lt;/D&gt;&lt;D xsi:type="xsd:double"&gt;2.7185082&lt;/D&gt;&lt;D xsi:type="xsd:double"&gt;2.0074844&lt;/D&gt;&lt;D xsi:type="xsd:double"&gt;1.3008714&lt;/D&gt;&lt;D xsi:type="xsd:double"&gt;3.9183378&lt;/D&gt;&lt;D xsi:type="xsd:double"&gt;3.929019&lt;/D&gt;&lt;D xsi:type="xsd:double"&gt;3.0182958&lt;/D&gt;&lt;D xsi:type="xsd:double"&gt;-1.1392236&lt;/D&gt;&lt;D xsi:type="xsd:double"&gt;-0.51749945&lt;/D&gt;&lt;D xsi:type="xsd:double"&gt;1.5911937&lt;/D&gt;&lt;D xsi:type="xsd:double"&gt;-3.1927764&lt;/D&gt;&lt;D xsi:type="xsd:double"&gt;5.693841&lt;/D&gt;&lt;D xsi:type="xsd:double"&gt;-5.5637302&lt;/D&gt;&lt;D xsi:type="xsd:double"&gt;6.5324664&lt;/D&gt;&lt;D xsi:type="xsd:double"&gt;1.4431834&lt;/D&gt;&lt;D xsi:type="xsd:double"&gt;-0.7409632&lt;/D&gt;&lt;D xsi:type="xsd:double"&gt;0.14929771&lt;/D&gt;&lt;D xsi:type="xsd:double"&gt;-3.2200396&lt;/D&gt;&lt;D xsi:type="xsd:double"&gt;2.3105383&lt;/D&gt;&lt;D xsi:type="xsd:double"&gt;-7.2099924&lt;/D&gt;&lt;D xsi:type="xsd:double"&gt;0.79312325&lt;/D&gt;&lt;D xsi:type="xsd:double"&gt;-2.426231&lt;/D&gt;&lt;D xsi:type="xsd:double"&gt;-11.794358&lt;/D&gt;&lt;D xsi:type="xsd:double"&gt;7.9238057&lt;/D&gt;&lt;D xsi:type="xsd:double"&gt;8.54218&lt;/D&gt;&lt;D xsi:type="xsd:double"&gt;0.8361459&lt;/D&gt;&lt;D xsi:type="xsd:double"&gt;6.644857&lt;/D&gt;&lt;D xsi:type="xsd:double"&gt;-0.92082024&lt;/D&gt;&lt;D xsi:type="xsd:double"&gt;-2.385372&lt;/D&gt;&lt;D xsi:type="xsd:double"&gt;7.680106&lt;/D&gt;&lt;D xsi:type="xsd:double"&gt;-4.391396&lt;/D&gt;&lt;D xsi:type="xsd:double"&gt;0.46557188&lt;/D&gt;&lt;D xsi:type="xsd:double"&gt;4.097593&lt;/D&gt;&lt;D xsi:type="xsd:double"&gt;-4.3870153&lt;/D&gt;&lt;D xsi:type="xsd:double"&gt;-0.28284192&lt;/D&gt;&lt;D xsi:type="xsd:double"&gt;-4.7904196&lt;/D&gt;&lt;D xsi:type="xsd:double"&gt;7.3816657&lt;/D&gt;&lt;D xsi:type="xsd:double"&gt;4.225838&lt;/D&gt;&lt;D xsi:type="xsd:double"&gt;-1.2405455&lt;/D&gt;&lt;D xsi:type="xsd:double"&gt;-0.18381476&lt;/D&gt;&lt;D xsi:type="xsd:double"&gt;5.003059&lt;/D&gt;&lt;D xsi:type="xsd:double"&gt;1.8123388&lt;/D&gt;&lt;D xsi:type="xsd:double"&gt;3.674984&lt;/D&gt;&lt;D xsi:type="xsd:double"&gt;-1.5146196&lt;/D&gt;&lt;D xsi:type="xsd:double"&gt;3.2683492&lt;/D&gt;&lt;D xsi:type="xsd:double"&gt;3.77568&lt;/D&gt;&lt;D xsi:type="xsd:double"&gt;0.77581406&lt;/D&gt;&lt;D xsi:type="xsd:double"&gt;-3.1324565&lt;/D&gt;&lt;D xsi:type="xsd:double"&gt;-2.5212467&lt;/D&gt;&lt;D xsi:type="xsd:double"&gt;-2.5222123&lt;/D&gt;&lt;D xsi:type="xsd:double"&gt;4.0341616&lt;/D&gt;&lt;D xsi:type="xsd:double"&gt;4.840076&lt;/D&gt;&lt;D xsi:type="xsd:double"&gt;1.4848828&lt;/D&gt;&lt;D xsi:type="xsd:double"&gt;1.5961647&lt;/D&gt;&lt;D xsi:type="xsd:double"&gt;3.8753629&lt;/D&gt;&lt;D xsi:type="xsd:double"&gt;2.175653&lt;/D&gt;&lt;D xsi:type="xsd:double"&gt;1.0070443&lt;/D&gt;&lt;D xsi:type="xsd:double"&gt;3.6141634&lt;/D&gt;&lt;D xsi:type="xsd:double"&gt;0.024056435&lt;/D&gt;&lt;D xsi:type="xsd:double"&gt;3.222692&lt;/D&gt;&lt;D xsi:type="xsd:double"&gt;0.53589344&lt;/D&gt;&lt;/FQL&gt;&lt;FQL&gt;&lt;Q&gt;EPHE^FG_TOTAL_RETURNC(-5AY,0,AM)&lt;/Q&gt;&lt;R&gt;61&lt;/R&gt;&lt;C&gt;1&lt;/C&gt;&lt;D xsi:type="xsd:double"&gt;10.308182&lt;/D&gt;&lt;D xsi:type="xsd:double"&gt;4.547119&lt;/D&gt;&lt;D xsi:type="xsd:double"&gt;-4.940748&lt;/D&gt;&lt;D xsi:type="xsd:double"&gt;-2.234453&lt;/D&gt;&lt;D xsi:type="xsd:double"&gt;-0.8943379&lt;/D&gt;&lt;D xsi:type="xsd:double"&gt;-2.4398386&lt;/D&gt;&lt;D xsi:type="xsd:double"&gt;5.4813266&lt;/D&gt;&lt;D xsi:type="xsd:double"&gt;2.2168517&lt;/D&gt;&lt;D xsi:type="xsd:double"&gt;-9.6289215&lt;/D&gt;&lt;D xsi:type="xsd:double"&gt;7.1504474&lt;/D&gt;&lt;D xsi:type="xsd:double"&gt;-2.7750254&lt;/D&gt;&lt;D xsi:type="xsd:double"&gt;8.59667&lt;/D&gt;&lt;D xsi:type="xsd:double"&gt;0.25031567&lt;/D&gt;&lt;D xsi:type="xsd:double"&gt;1.1821985&lt;/D&gt;&lt;D xsi:type="xsd:double"&gt;-1.8885434&lt;/D&gt;&lt;D xsi:type="xsd:double"&gt;3.9760232&lt;/D&gt;&lt;D xsi:type="xsd:double"&gt;-6.4946947&lt;/D&gt;&lt;D xsi:type="xsd:double"&gt;-4.316783&lt;/D&gt;&lt;D xsi:type="xsd:double"&gt;0.16961098&lt;/D&gt;&lt;D xsi:type="xsd:double"&gt;-11.602211&lt;/D&gt;&lt;D xsi:type="xsd:double"&gt;-0.6589174&lt;/D&gt;&lt;D xsi:type="xsd:double"&gt;5.189228&lt;/D&gt;&lt;D xsi:type="xsd:double"&gt;-15.207708&lt;/D&gt;&lt;D xsi:type="xsd:double"&gt;5.2493334&lt;/D&gt;&lt;D xsi:type="xsd:double"&gt;9.891939&lt;/D&gt;&lt;D xsi:type="xsd:double"&gt;-2.0428061&lt;/D&gt;&lt;D xsi:type="xsd:double"&gt;12.878203&lt;/D&gt;&lt;D xsi:type="xsd:double"&gt;-9.243989&lt;/D&gt;&lt;D xsi:type="xsd:double"&gt;3.2563448&lt;/D&gt;&lt;D xsi:type="xsd:double"&gt;-0.91676116&lt;/D&gt;&lt;D xsi:type="xsd:double"&gt;-3.6269426&lt;/D&gt;&lt;D xsi:type="xsd:double"&gt;1.9863605&lt;/D&gt;&lt;D xsi:type="xsd:double"&gt;3.125&lt;/D&gt;&lt;D xsi:type="xsd:double"&gt;-9.940868&lt;/D&gt;&lt;D xsi:type="xsd:double"&gt;3.3647895&lt;/D&gt;&lt;D xsi:type="xsd:double"&gt;-7.661772&lt;/D&gt;&lt;D xsi:type="xsd:double"&gt;8.813405&lt;/D&gt;&lt;D xsi:type="xsd:double"&gt;3.8087726&lt;/D&gt;&lt;D xsi:type="xsd:double"&gt;1.45818&lt;/D&gt;&lt;D xsi:type="xsd:double"&gt;3.5174012&lt;/D&gt;&lt;D xsi:type="xsd:double"&gt;0.94994307&lt;/D&gt;&lt;D xsi:type="xsd:double"&gt;-8.17951&lt;/D&gt;&lt;D xsi:type="xsd:double"&gt;-1.1825025&lt;/D&gt;&lt;D xsi:type="xsd:double"&gt;-2.1736681&lt;/D&gt;&lt;D xsi:type="xsd:double"&gt;5.1324487&lt;/D&gt;&lt;D xsi:type="xsd:double"&gt;8.897638&lt;/D&gt;&lt;D xsi:type="xsd:double"&gt;7.375276&lt;/D&gt;&lt;D xsi:type="xsd:double"&gt;-5.3198633&lt;/D&gt;&lt;D xsi:type="xsd:double"&gt;-8.357042&lt;/D&gt;&lt;D xsi:type="xsd:double"&gt;-1.360929&lt;/D&gt;&lt;D xsi:type="xsd:double"&gt;-4.8412743&lt;/D&gt;&lt;D xsi:type="xsd:double"&gt;0.08339882&lt;/D&gt;&lt;D xsi:type="xsd:double"&gt;4.0833354&lt;/D&gt;&lt;D xsi:type="xsd:double"&gt;4.8038483&lt;/D&gt;&lt;D xsi:type="xsd:double"&gt;6.684494&lt;/D&gt;&lt;D xsi:type="xsd:double"&gt;-1.3443112&lt;/D&gt;&lt;D xsi:type="xsd:double"&gt;-2.497244&lt;/D&gt;&lt;D xsi:type="xsd:double"&gt;-0.6026387&lt;/D&gt;&lt;D xsi:type="xsd:double"&gt;-4.8124256&lt;/D&gt;&lt;D xsi:type="xsd:double"&gt;-2.7070045&lt;/D&gt;&lt;D xsi:type="xsd:double"&gt;3.1505704&lt;/D&gt;&lt;/FQL&gt;&lt;FQL&gt;&lt;Q&gt;EWL^FG_TOTAL_RETURNC(-5AY,0,AM)&lt;/Q&gt;&lt;R&gt;61&lt;/R&gt;&lt;C&gt;1&lt;/C&gt;&lt;D xsi:type="xsd:double"&gt;10.040879&lt;/D&gt;&lt;D xsi:type="xsd:double"&gt;3.188324&lt;/D&gt;&lt;D xsi:type="xsd:double"&gt;1.8235087&lt;/D&gt;&lt;D xsi:type="xsd:double"&gt;-4.421842&lt;/D&gt;&lt;D xsi:type="xsd:double"&gt;3.5854697&lt;/D&gt;&lt;D xsi:type="xsd:double"&gt;4.309964&lt;/D&gt;&lt;D xsi:type="xsd:double"&gt;4.3245554&lt;/D&gt;&lt;D xsi:type="xsd:double"&gt;2.6804686&lt;/D&gt;&lt;D xsi:type="xsd:double"&gt;1.2823105&lt;/D&gt;&lt;D xsi:type="xsd:double"&gt;2.8135061&lt;/D&gt;&lt;D xsi:type="xsd:double"&gt;-8.874125&lt;/D&gt;&lt;D xsi:type="xsd:double"&gt;7.357359&lt;/D&gt;&lt;D xsi:type="xsd:double"&gt;-1.4385581&lt;/D&gt;&lt;D xsi:type="xsd:double"&gt;7.4194193&lt;/D&gt;&lt;D xsi:type="xsd:double"&gt;-8.133614&lt;/D&gt;&lt;D xsi:type="xsd:double"&gt;-1.520133&lt;/D&gt;&lt;D xsi:type="xsd:double"&gt;1.7939091&lt;/D&gt;&lt;D xsi:type="xsd:double"&gt;-3.6885202&lt;/D&gt;&lt;D xsi:type="xsd:double"&gt;-2.6170194&lt;/D&gt;&lt;D xsi:type="xsd:double"&gt;-8.371091&lt;/D&gt;&lt;D xsi:type="xsd:double"&gt;4.841852&lt;/D&gt;&lt;D xsi:type="xsd:double"&gt;-4.200512&lt;/D&gt;&lt;D xsi:type="xsd:double"&gt;-7.6550364&lt;/D&gt;&lt;D xsi:type="xsd:double"&gt;3.2266498&lt;/D&gt;&lt;D xsi:type="xsd:double"&gt;8.233809&lt;/D&gt;&lt;D xsi:type="xsd:double"&gt;-1.5026987&lt;/D&gt;&lt;D xsi:type="xsd:double"&gt;7.246721&lt;/D&gt;&lt;D xsi:type="xsd:double"&gt;-3.600806&lt;/D&gt;&lt;D xsi:type="xsd:double"&gt;1.1759281&lt;/D&gt;&lt;D xsi:type="xsd:double"&gt;9.594345&lt;/D&gt;&lt;D xsi:type="xsd:double"&gt;-1.5595734&lt;/D&gt;&lt;D xsi:type="xsd:double"&gt;-1.3403177&lt;/D&gt;&lt;D xsi:type="xsd:double"&gt;4.684758&lt;/D&gt;&lt;D xsi:type="xsd:double"&gt;-4.0987015&lt;/D&gt;&lt;D xsi:type="xsd:double"&gt;-5.1897106&lt;/D&gt;&lt;D xsi:type="xsd:double"&gt;-4.300827&lt;/D&gt;&lt;D xsi:type="xsd:double"&gt;7.714486&lt;/D&gt;&lt;D xsi:type="xsd:double"&gt;6.7826867&lt;/D&gt;&lt;D xsi:type="xsd:double"&gt;-0.08357763&lt;/D&gt;&lt;D xsi:type="xsd:double"&gt;-1.6311169&lt;/D&gt;&lt;D xsi:type="xsd:double"&gt;1.1904716&lt;/D&gt;&lt;D xsi:type="xsd:double"&gt;-3.4873962&lt;/D&gt;&lt;D xsi:type="xsd:double"&gt;4.5276523&lt;/D&gt;&lt;D xsi:type="xsd:double"&gt;2.5016904&lt;/D&gt;&lt;D xsi:type="xsd:double"&gt;3.8373828&lt;/D&gt;&lt;D xsi:type="xsd:double"&gt;5.2936435&lt;/D&gt;&lt;D xsi:type="xsd:double"&gt;-0.43634772&lt;/D&gt;&lt;D xsi:type="xsd:double"&gt;-2.439022&lt;/D&gt;&lt;D xsi:type="xsd:double"&gt;-7.0312557&lt;/D&gt;&lt;D xsi:type="xsd:double"&gt;-2.6470542&lt;/D&gt;&lt;D xsi:type="xsd:double"&gt;7.272327&lt;/D&gt;&lt;D xsi:type="xsd:double"&gt;4.0635705&lt;/D&gt;&lt;D xsi:type="xsd:double"&gt;1.4498353&lt;/D&gt;&lt;D xsi:type="xsd:double"&gt;2.34375&lt;/D&gt;&lt;D xsi:type="xsd:double"&gt;1.6942859&lt;/D&gt;&lt;D xsi:type="xsd:double"&gt;1.921761&lt;/D&gt;&lt;D xsi:type="xsd:double"&gt;-0.86033344&lt;/D&gt;&lt;D xsi:type="xsd:double"&gt;2.160275&lt;/D&gt;&lt;D xsi:type="xsd:double"&gt;-1.9338548&lt;/D&gt;&lt;D xsi:type="xsd:double"&gt;3.5200834&lt;/D&gt;&lt;D xsi:type="xsd:double"&gt;2.9375196&lt;/D&gt;&lt;/FQL&gt;&lt;FQL&gt;&lt;Q&gt;EWZ^FG_TOTAL_RETURNC(-5AY,0,AM)&lt;/Q&gt;&lt;R&gt;61&lt;/R&gt;&lt;C&gt;1&lt;/C&gt;&lt;D xsi:type="xsd:double"&gt;25.248432&lt;/D&gt;&lt;D xsi:type="xsd:double"&gt;8.994091&lt;/D&gt;&lt;D xsi:type="xsd:double"&gt;-3.5859823&lt;/D&gt;&lt;D xsi:type="xsd:double"&gt;-10.115528&lt;/D&gt;&lt;D xsi:type="xsd:double"&gt;1.5987515&lt;/D&gt;&lt;D xsi:type="xsd:double"&gt;13.020682&lt;/D&gt;&lt;D xsi:type="xsd:double"&gt;6.224406&lt;/D&gt;&lt;D xsi:type="xsd:double"&gt;7.4283004&lt;/D&gt;&lt;D xsi:type="xsd:double"&gt;-3.7891626&lt;/D&gt;&lt;D xsi:type="xsd:double"&gt;-6.639743&lt;/D&gt;&lt;D xsi:type="xsd:double"&gt;-13.115191&lt;/D&gt;&lt;D xsi:type="xsd:double"&gt;-6.3492117&lt;/D&gt;&lt;D xsi:type="xsd:double"&gt;-2.359593&lt;/D&gt;&lt;D xsi:type="xsd:double"&gt;1.7046094&lt;/D&gt;&lt;D xsi:type="xsd:double"&gt;12.170828&lt;/D&gt;&lt;D xsi:type="xsd:double"&gt;5.585873&lt;/D&gt;&lt;D xsi:type="xsd:double"&gt;13.712382&lt;/D&gt;&lt;D xsi:type="xsd:double"&gt;-10.588241&lt;/D&gt;&lt;D xsi:type="xsd:double"&gt;6.818187&lt;/D&gt;&lt;D xsi:type="xsd:double"&gt;-18.876802&lt;/D&gt;&lt;D xsi:type="xsd:double"&gt;4.229939&lt;/D&gt;&lt;D xsi:type="xsd:double"&gt;11.030173&lt;/D&gt;&lt;D xsi:type="xsd:double"&gt;-8.434862&lt;/D&gt;&lt;D xsi:type="xsd:double"&gt;7.301271&lt;/D&gt;&lt;D xsi:type="xsd:double"&gt;-5.7233753&lt;/D&gt;&lt;D xsi:type="xsd:double"&gt;3.1642437&lt;/D&gt;&lt;D xsi:type="xsd:double"&gt;4.9261093&lt;/D&gt;&lt;D xsi:type="xsd:double"&gt;-8.551306&lt;/D&gt;&lt;D xsi:type="xsd:double"&gt;-2.1635473&lt;/D&gt;&lt;D xsi:type="xsd:double"&gt;5.9595227&lt;/D&gt;&lt;D xsi:type="xsd:double"&gt;5.907321&lt;/D&gt;&lt;D xsi:type="xsd:double"&gt;8.579838&lt;/D&gt;&lt;D xsi:type="xsd:double"&gt;5.2316427&lt;/D&gt;&lt;D xsi:type="xsd:double"&gt;-5.091339&lt;/D&gt;&lt;D xsi:type="xsd:double"&gt;-3.8813531&lt;/D&gt;&lt;D xsi:type="xsd:double"&gt;-1.7399848&lt;/D&gt;&lt;D xsi:type="xsd:double"&gt;13.9993305&lt;/D&gt;&lt;D xsi:type="xsd:double"&gt;6.620884&lt;/D&gt;&lt;D xsi:type="xsd:double"&gt;-4.955858&lt;/D&gt;&lt;D xsi:type="xsd:double"&gt;-0.05993247&lt;/D&gt;&lt;D xsi:type="xsd:double"&gt;-2.7886093&lt;/D&gt;&lt;D xsi:type="xsd:double"&gt;-2.7143657&lt;/D&gt;&lt;D xsi:type="xsd:double"&gt;-3.6144614&lt;/D&gt;&lt;D xsi:type="xsd:double"&gt;-7.1470795&lt;/D&gt;&lt;D xsi:type="xsd:double"&gt;1.5001774&lt;/D&gt;&lt;D xsi:type="xsd:double"&gt;10.093737&lt;/D&gt;&lt;D xsi:type="xsd:double"&gt;-2.6522636&lt;/D&gt;&lt;D xsi:type="xsd:double"&gt;-4.0026846&lt;/D&gt;&lt;D xsi:type="xsd:double"&gt;-7.288021&lt;/D&gt;&lt;D xsi:type="xsd:double"&gt;-10.859966&lt;/D&gt;&lt;D xsi:type="xsd:double"&gt;9.840429&lt;/D&gt;&lt;D xsi:type="xsd:double"&gt;-2.7037919&lt;/D&gt;&lt;D xsi:type="xsd:double"&gt;7.6731563&lt;/D&gt;&lt;D xsi:type="xsd:double"&gt;4.8151016&lt;/D&gt;&lt;D xsi:type="xsd:double"&gt;1.7640591&lt;/D&gt;&lt;D xsi:type="xsd:double"&gt;3.4745216&lt;/D&gt;&lt;D xsi:type="xsd:double"&gt;-5.7569265&lt;/D&gt;&lt;D xsi:type="xsd:double"&gt;11.199093&lt;/D&gt;&lt;D xsi:type="xsd:double"&gt;4.2048097&lt;/D&gt;&lt;D xsi:type="xsd:double"&gt;0.6182909&lt;/D&gt;&lt;D xsi:type="xsd:double"&gt;8.69987&lt;/D&gt;&lt;/FQL&gt;&lt;FQL&gt;&lt;Q&gt;EWQ^FG_PRICE(0,-200D)&lt;/Q&gt;&lt;R&gt;201&lt;/R&gt;&lt;C&gt;1&lt;/C&gt;&lt;D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xsi:type="xsd:double"&gt;40.94&lt;/D&gt;&lt;D xsi:type="xsd:double"&gt;41.04&lt;/D&gt;&lt;D xsi:type="xsd:double"&gt;40.95&lt;/D&gt;&lt;D xsi:type="xsd:double"&gt;40.72&lt;/D&gt;&lt;D xsi:type="xsd:double"&gt;40.12&lt;/D&gt;&lt;D xsi:type="xsd:</t>
        </r>
      </text>
    </comment>
    <comment ref="A6" authorId="0" shapeId="0" xr:uid="{CBA5B426-48D3-404B-B50F-3A350F4A9C7D}">
      <text>
        <r>
          <rPr>
            <b/>
            <sz val="9"/>
            <color indexed="81"/>
            <rFont val="Tahoma"/>
            <charset val="1"/>
          </rPr>
          <t>double"&gt;39.84&lt;/D&gt;&lt;D xsi:type="xsd:double"&gt;38.97&lt;/D&gt;&lt;D xsi:type="xsd:double"&gt;39.22&lt;/D&gt;&lt;D xsi:type="xsd:double"&gt;38.96&lt;/D&gt;&lt;D xsi:type="xsd:double"&gt;39&lt;/D&gt;&lt;D xsi:type="xsd:double"&gt;38.85&lt;/D&gt;&lt;D xsi:type="xsd:double"&gt;38.97&lt;/D&gt;&lt;D xsi:type="xsd:double"&gt;37.99&lt;/D&gt;&lt;D xsi:type="xsd:double"&gt;38.61&lt;/D&gt;&lt;D xsi:type="xsd:double"&gt;35.65&lt;/D&gt;&lt;D xsi:type="xsd:double"&gt;35.97&lt;/D&gt;&lt;D xsi:type="xsd:double"&gt;37.21&lt;/D&gt;&lt;D xsi:type="xsd:double"&gt;39.48&lt;/D&gt;&lt;D xsi:type="xsd:double"&gt;40.18&lt;/D&gt;&lt;D xsi:type="xsd:double"&gt;40.05&lt;/D&gt;&lt;D xsi:type="xsd:double"&gt;39.8&lt;/D&gt;&lt;D xsi:type="xsd:double"&gt;40.35&lt;/D&gt;&lt;D xsi:type="xsd:double"&gt;40.55&lt;/D&gt;&lt;D xsi:type="xsd:double"&gt;40.48&lt;/D&gt;&lt;D xsi:type="xsd:double"&gt;41.23&lt;/D&gt;&lt;D xsi:type="xsd:double"&gt;40.91&lt;/D&gt;&lt;D xsi:type="xsd:double"&gt;40.91&lt;/D&gt;&lt;D xsi:type="xsd:double"&gt;41.28&lt;/D&gt;&lt;D xsi:type="xsd:double"&gt;41.97&lt;/D&gt;&lt;D xsi:type="xsd:double"&gt;41.81&lt;/D&gt;&lt;D xsi:type="xsd:double"&gt;41.68&lt;/D&gt;&lt;D xsi:type="xsd:double"&gt;41.29&lt;/D&gt;&lt;D xsi:type="xsd:double"&gt;40.47&lt;/D&gt;&lt;D xsi:type="xsd:double"&gt;40.97&lt;/D&gt;&lt;D xsi:type="xsd:double"&gt;41.09&lt;/D&gt;&lt;D xsi:type="xsd:double"&gt;41&lt;/D&gt;&lt;D xsi:type="xsd:double"&gt;41.87&lt;/D&gt;&lt;D xsi:type="xsd:double"&gt;41.43&lt;/D&gt;&lt;D xsi:type="xsd:double"&gt;42.02&lt;/D&gt;&lt;D xsi:type="xsd:double"&gt;40.78&lt;/D&gt;&lt;D xsi:type="xsd:double"&gt;40.36&lt;/D&gt;&lt;D xsi:type="xsd:double"&gt;39.54&lt;/D&gt;&lt;D xsi:type="xsd:double"&gt;39.44&lt;/D&gt;&lt;D xsi:type="xsd:double"&gt;39.89&lt;/D&gt;&lt;D xsi:type="xsd:double"&gt;39.89&lt;/D&gt;&lt;D xsi:type="xsd:double"&gt;39.58&lt;/D&gt;&lt;D xsi:type="xsd:double"&gt;39.78&lt;/D&gt;&lt;D xsi:type="xsd:double"&gt;40.09&lt;/D&gt;&lt;D xsi:type="xsd:double"&gt;39.72&lt;/D&gt;&lt;D xsi:type="xsd:double"&gt;40.29&lt;/D&gt;&lt;D xsi:type="xsd:double"&gt;40.29&lt;/D&gt;&lt;D xsi:type="xsd:double"&gt;39.88&lt;/D&gt;&lt;D xsi:type="xsd:double"&gt;39.61&lt;/D&gt;&lt;/FQL&gt;&lt;FQL&gt;&lt;Q&gt;EWJ^FG_TOTAL_RETURNC(-5AY,0,AM)&lt;/Q&gt;&lt;R&gt;61&lt;/R&gt;&lt;C&gt;1&lt;/C&gt;&lt;D xsi:type="xsd:double"&gt;13.914692&lt;/D&gt;&lt;D xsi:type="xsd:double"&gt;0.78594685&lt;/D&gt;&lt;D xsi:type="xsd:double"&gt;2.932775&lt;/D&gt;&lt;D xsi:type="xsd:double"&gt;-0.3214538&lt;/D&gt;&lt;D xsi:type="xsd:double"&gt;2.7704477&lt;/D&gt;&lt;D xsi:type="xsd:double"&gt;-3.0380785&lt;/D&gt;&lt;D xsi:type="xsd:double"&gt;0.88261366&lt;/D&gt;&lt;D xsi:type="xsd:double"&gt;0.087714195&lt;/D&gt;&lt;D xsi:type="xsd:double"&gt;-0.7631302&lt;/D&gt;&lt;D xsi:type="xsd:double"&gt;0.7542014&lt;/D&gt;&lt;D xsi:type="xsd:double"&gt;4.2565703&lt;/D&gt;&lt;D xsi:type="xsd:double"&gt;-3.5618722&lt;/D&gt;&lt;D xsi:type="xsd:double"&gt;-2.248174&lt;/D&gt;&lt;D xsi:type="xsd:double"&gt;2.0238519&lt;/D&gt;&lt;D xsi:type="xsd:double"&gt;-6.9267273&lt;/D&gt;&lt;D xsi:type="xsd:double"&gt;0.3027916&lt;/D&gt;&lt;D xsi:type="xsd:double"&gt;-1.8112481&lt;/D&gt;&lt;D xsi:type="xsd:double"&gt;-7.2815537&lt;/D&gt;&lt;D xsi:type="xsd:double"&gt;1.8150091&lt;/D&gt;&lt;D xsi:type="xsd:double"&gt;-8.004845&lt;/D&gt;&lt;D xsi:type="xsd:double"&gt;4.6660423&lt;/D&gt;&lt;D xsi:type="xsd:double"&gt;-2.1391392&lt;/D&gt;&lt;D xsi:type="xsd:double"&gt;-8.633351&lt;/D&gt;&lt;D xsi:type="xsd:double"&gt;1.085639&lt;/D&gt;&lt;D xsi:type="xsd:double"&gt;10.44153&lt;/D&gt;&lt;D xsi:type="xsd:double"&gt;-2.7737677&lt;/D&gt;&lt;D xsi:type="xsd:double"&gt;9.188795&lt;/D&gt;&lt;D xsi:type="xsd:double"&gt;-4.896295&lt;/D&gt;&lt;D xsi:type="xsd:double"&gt;2.7708292&lt;/D&gt;&lt;D xsi:type="xsd:double"&gt;2.3482323&lt;/D&gt;&lt;D xsi:type="xsd:double"&gt;2.3963332&lt;/D&gt;&lt;D xsi:type="xsd:double"&gt;3.330183&lt;/D&gt;&lt;D xsi:type="xsd:double"&gt;3.0410886&lt;/D&gt;&lt;D xsi:type="xsd:double"&gt;-4.7409716&lt;/D&gt;&lt;D xsi:type="xsd:double"&gt;0.77456236&lt;/D&gt;&lt;D xsi:type="xsd:double"&gt;-5.445629&lt;/D&gt;&lt;D xsi:type="xsd:double"&gt;8.180559&lt;/D&gt;&lt;D xsi:type="xsd:double"&gt;3.8251758&lt;/D&gt;&lt;D xsi:type="xsd:double"&gt;2.1080494&lt;/D&gt;&lt;D xsi:type="xsd:double"&gt;5.0160527&lt;/D&gt;&lt;D xsi:type="xsd:double"&gt;3.9027214&lt;/D&gt;&lt;D xsi:type="xsd:double"&gt;-5.9145093&lt;/D&gt;&lt;D xsi:type="xsd:double"&gt;2.562189&lt;/D&gt;&lt;D xsi:type="xsd:double"&gt;-0.1452446&lt;/D&gt;&lt;D xsi:type="xsd:double"&gt;0.65944195&lt;/D&gt;&lt;D xsi:type="xsd:double"&gt;3.9743662&lt;/D&gt;&lt;D xsi:type="xsd:double"&gt;-0.47605038&lt;/D&gt;&lt;D xsi:type="xsd:double"&gt;-4.755211&lt;/D&gt;&lt;D xsi:type="xsd:double"&gt;0.2658844&lt;/D&gt;&lt;D xsi:type="xsd:double"&gt;1.3437033&lt;/D&gt;&lt;D xsi:type="xsd:double"&gt;0.856328&lt;/D&gt;&lt;D xsi:type="xsd:double"&gt;0.23423433&lt;/D&gt;&lt;D xsi:type="xsd:double"&gt;1.0953665&lt;/D&gt;&lt;D xsi:type="xsd:double"&gt;3.6405563&lt;/D&gt;&lt;D xsi:type="xsd:double"&gt;2.6066422&lt;/D&gt;&lt;D xsi:type="xsd:double"&gt;3.0952096&lt;/D&gt;&lt;D xsi:type="xsd:double"&gt;-1.3416588&lt;/D&gt;&lt;D xsi:type="xsd:double"&gt;6.759131&lt;/D&gt;&lt;D xsi:type="xsd:double"&gt;1.4503717&lt;/D&gt;&lt;D xsi:type="xsd:double"&gt;4.338634&lt;/D&gt;&lt;D xsi:type="xsd:double"&gt;-1.0961473&lt;/D&gt;&lt;/FQL&gt;&lt;FQL&gt;&lt;Q&gt;ENZL^FG_PRICE(0,-200D)&lt;/Q&gt;&lt;R&gt;201&lt;/R&gt;&lt;C&gt;1&lt;/C&gt;&lt;D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xsi:type="xsd:double"&gt;43.35&lt;/D&gt;&lt;D xsi:type="xsd:double"&gt;43.6&lt;/D&gt;&lt;D xsi:type="xsd:double"&gt;43.76&lt;/D&gt;&lt;D xsi:type="xsd:double"&gt;43.805&lt;/D&gt;&lt;D xsi:type="xsd:double"&gt;42.8238&lt;/D&gt;&lt;D xsi:type="xsd:double"&gt;43.095&lt;/D&gt;&lt;D xsi:type="xsd:double"&gt;43.38&lt;/D&gt;&lt;D xsi:type="xsd:double"&gt;43.5&lt;/D&gt;&lt;D xsi:type="xsd:double"&gt;43.03&lt;/D&gt;&lt;D xsi:type="xsd:double"&gt;42.68&lt;/D&gt;&lt;D xsi:type="xsd:double"&gt;43.1&lt;/D&gt;&lt;D xsi:type="xsd:double"&gt;42.39&lt;/D&gt;&lt;D xsi:type="xsd:double"&gt;41.79&lt;/D&gt;&lt;D xsi:type="xsd:double"&gt;41.36&lt;/D&gt;&lt;D xsi:type="xsd:double"&gt;39.48&lt;/D&gt;&lt;D xsi:type="xsd:double"&gt;39.39&lt;/D&gt;&lt;D xsi:type="xsd:double"&gt;40.13&lt;/D&gt;&lt;D xsi:type="xsd:double"&gt;42.72&lt;/D&gt;&lt;D xsi:type="xsd:double"&gt;42.67&lt;/D&gt;&lt;D xsi:type="xsd:double"&gt;42.39&lt;/D&gt;&lt;D xsi:type="xsd:double"&gt;42.08&lt;/D&gt;&lt;D xsi:type="xsd:double"&gt;42.05&lt;/D&gt;&lt;D xsi:type="xsd:double"&gt;42.6&lt;/D&gt;&lt;D xsi:type="xsd:double"&gt;42.48&lt;/D&gt;&lt;D xsi:type="xsd:double"&gt;42.41&lt;/D&gt;&lt;D xsi:type="xsd:double"&gt;41.83&lt;/D&gt;&lt;D xsi:type="xsd:double"&gt;41.82&lt;/D&gt;&lt;D xsi:type="xsd:double"&gt;41.75&lt;/D&gt;&lt;D xsi:type="xsd:double"&gt;42.29&lt;/D&gt;&lt;D xsi:type="xsd:double"&gt;41.95&lt;/D&gt;&lt;D xsi:type="xsd:double"&gt;42.77&lt;/D&gt;&lt;D xsi:type="xsd:double"&gt;42.45&lt;/D&gt;&lt;D xsi:type="xsd:double"&gt;41.91&lt;/D&gt;&lt;D xsi:type="xsd:double"&gt;42.34&lt;/D&gt;&lt;D xsi:type="xsd:double"&gt;42.39&lt;/D&gt;&lt;D xsi:type="xsd:double"&gt;42.75&lt;/D&gt;&lt;D xsi:type="xsd:double"&gt;42.985&lt;/D&gt;&lt;D xsi:type="xsd:double"&gt;42.72&lt;/D&gt;&lt;D xsi:type="xsd:double"&gt;42.94&lt;/D&gt;&lt;D xsi:type="xsd:double"&gt;42.25&lt;/D&gt;&lt;D xsi:type="xsd:double"&gt;42.18&lt;/D&gt;&lt;D xsi:type="xsd:double"&gt;42.37&lt;/D&gt;&lt;D xsi:type="xsd:double"&gt;42.37&lt;/D&gt;&lt;D xsi:type="xsd:double"&gt;42.96&lt;/D&gt;&lt;D xsi:type="xsd:double"&gt;42.49&lt;/D&gt;&lt;D xsi:type="xsd:double"&gt;43.55&lt;/D&gt;&lt;D xsi:type="xsd:double"&gt;44.2&lt;/D&gt;&lt;D xsi:type="xsd:double"&gt;45.22&lt;/D&gt;&lt;D xsi:type="xsd:double"&gt;45.2&lt;/D&gt;&lt;D xsi:type="xsd:double"&gt;45.17&lt;/D&gt;&lt;D xsi:type="xsd:double"&gt;45.67&lt;/D&gt;&lt;D xsi:type="xsd:double"&gt;45.15&lt;/D&gt;&lt;D xsi:type="xsd:double"&gt;44.83&lt;/D&gt;&lt;/FQL&gt;&lt;FQL&gt;&lt;Q&gt;CNYA^FG_TOTAL_RETURNC(-5AY,0,AM)&lt;/Q&gt;&lt;R&gt;61&lt;/R&gt;&lt;C&gt;1&lt;/C&gt;&lt;D xsi:type="xsd:double"&gt;7.9712152&lt;/D&gt;&lt;D xsi:type="xsd:double"&gt;3.0203223&lt;/D&gt;&lt;D xsi:type="xsd:double"&gt;7.6644063&lt;/D&gt;&lt;D xsi:type="xsd:double"&gt;-1.8639088&lt;/D&gt;&lt;D xsi:type="xsd:double"&gt;-5.491996&lt;/D&gt;&lt;D xsi:type="xsd:double"&gt;3.1719208&lt;/D&gt;&lt;D xsi:type="xsd:double"&gt;6.266129&lt;/D&gt;&lt;D xsi:type="xsd:double"&gt;-1.6281545&lt;/D&gt;&lt;D xsi:type="xsd:double"&gt;-5.194515&lt;/D&gt;&lt;D xsi:type="xsd:double"&gt;0.47438145&lt;/D&gt;&lt;D xsi:type="xsd:double"&gt;-0.5665779&lt;/D&gt;&lt;D xsi:type="xsd:double"&gt;2.6115894&lt;/D&gt;&lt;D xsi:type="xsd:double"&gt;-0.23137927&lt;/D&gt;&lt;D xsi:type="xsd:double"&gt;2.0913124&lt;/D&gt;&lt;D xsi:type="xsd:double"&gt;-8.768916&lt;/D&gt;&lt;D xsi:type="xsd:double"&gt;3.002894&lt;/D&gt;&lt;D xsi:type="xsd:double"&gt;-10.978288&lt;/D&gt;&lt;D xsi:type="xsd:double"&gt;-10.660463&lt;/D&gt;&lt;D xsi:type="xsd:double"&gt;3.2822132&lt;/D&gt;&lt;D xsi:type="xsd:double"&gt;11.792051&lt;/D&gt;&lt;D xsi:type="xsd:double"&gt;-4.7644434&lt;/D&gt;&lt;D xsi:type="xsd:double"&gt;-4.276127&lt;/D&gt;&lt;D xsi:type="xsd:double"&gt;-9.372258&lt;/D&gt;&lt;D xsi:type="xsd:double"&gt;-8.956188&lt;/D&gt;&lt;D xsi:type="xsd:double"&gt;6.157112&lt;/D&gt;&lt;D xsi:type="xsd:double"&gt;5.2733064&lt;/D&gt;&lt;D xsi:type="xsd:double"&gt;14.725912&lt;/D&gt;&lt;D xsi:type="xsd:double"&gt;-7.718402&lt;/D&gt;&lt;D xsi:type="xsd:double"&gt;-0.73528886&lt;/D&gt;&lt;D xsi:type="xsd:double"&gt;-0.43210983&lt;/D&gt;&lt;D xsi:type="xsd:double"&gt;-6.6955924&lt;/D&gt;&lt;D xsi:type="xsd:double"&gt;-3.0055583&lt;/D&gt;&lt;D xsi:type="xsd:double"&gt;6.9847226&lt;/D&gt;&lt;D xsi:type="xsd:double"&gt;-8.61758&lt;/D&gt;&lt;D xsi:type="xsd:double"&gt;-1.4531016&lt;/D&gt;&lt;D xsi:type="xsd:double"&gt;-4.4531527&lt;/D&gt;&lt;D xsi:type="xsd:double"&gt;2.5727034&lt;/D&gt;&lt;D xsi:type="xsd:double"&gt;-2.4969518&lt;/D&gt;&lt;D xsi:type="xsd:double"&gt;-3.8058221&lt;/D&gt;&lt;D xsi:type="xsd:double"&gt;2.9874802&lt;/D&gt;&lt;D xsi:type="xsd:double"&gt;1.7248154&lt;/D&gt;&lt;D xsi:type="xsd:double"&gt;1.657021&lt;/D&gt;&lt;D xsi:type="xsd:double"&gt;0.53070784&lt;/D&gt;&lt;D xsi:type="xsd:double"&gt;-4.2032185&lt;/D&gt;&lt;D xsi:type="xsd:double"&gt;-0.9869695&lt;/D&gt;&lt;D xsi:type="xsd:double"&gt;-2.0534277&lt;/D&gt;&lt;D xsi:type="xsd:double"&gt;17.850601&lt;/D&gt;&lt;D xsi:type="xsd:double"&gt;2.625215&lt;/D&gt;&lt;D xsi:type="xsd:double"&gt;-2.625376&lt;/D&gt;&lt;D xsi:type="xsd:double"&gt;1.032877&lt;/D&gt;&lt;D xsi:type="xsd:double"&gt;-3.3916116&lt;/D&gt;&lt;D xsi:type="xsd:double"&gt;1.1943579&lt;/D&gt;&lt;D xsi:type="xsd:double"&gt;0.4291892&lt;/D&gt;&lt;D xsi:type="xsd:double"&gt;-3.3475816&lt;/D&gt;&lt;D xsi:type="xsd:double"&gt;2.5423765&lt;/D&gt;&lt;D xsi:type="xsd:double"&gt;2.6713371&lt;/D&gt;&lt;D xsi:type="xsd:double"&gt;6.4300895&lt;/D&gt;&lt;D xsi:type="xsd:double"&gt;9.475077&lt;/D&gt;&lt;D xsi:type="xsd:double"&gt;1.1459589&lt;/D&gt;&lt;D xsi:type="xsd:double"&gt;4.2039394&lt;/D&gt;&lt;D xsi:type="xsd:double"&gt;-2.8612316&lt;/D&gt;&lt;/FQL&gt;&lt;FQL&gt;&lt;Q&gt;EPOL^FG_PRICE(0,-200D)&lt;/Q&gt;&lt;R&gt;201&lt;/R&gt;&lt;C&gt;1&lt;/C&gt;&lt;D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xsi:type="xsd:double"&gt;30.3&lt;/D&gt;&lt;D xsi:type="xsd:double"&gt;30.3&lt;/D&gt;&lt;D xsi:type="xsd:double"&gt;30.04&lt;/D&gt;&lt;D xsi:type="xsd:double"&gt;30.19&lt;/D&gt;&lt;D xsi:type="xsd:double"&gt;29.43&lt;/D&gt;&lt;D xsi:type="xsd:double"&gt;29.25&lt;/D&gt;&lt;D xsi:type="xsd:double"&gt;28.63&lt;/D&gt;&lt;D xsi:type="xsd:double"&gt;28.29&lt;/D&gt;&lt;D xsi:type="xsd:double"&gt;27.74&lt;/D&gt;&lt;D xsi:type="xsd:double"&gt;27.58&lt;/D&gt;&lt;D xsi:type="xsd:double"&gt;27.59&lt;/D&gt;&lt;D xsi:type="xsd:double"&gt;27.25&lt;/D&gt;&lt;D xsi:type="xsd:double"&gt;26.93&lt;/D&gt;&lt;D xsi:type="xsd:double"&gt;27.69&lt;/D&gt;&lt;D xsi:type="xsd:double"&gt;24.7&lt;/D&gt;&lt;D xsi:type="xsd:double"&gt;24.54&lt;/D&gt;&lt;D xsi:type="xsd:double"&gt;25.14&lt;/D&gt;&lt;D xsi:type="xsd:double"&gt;27.51&lt;/D&gt;&lt;D xsi:type="xsd:double"&gt;28.79&lt;/D&gt;&lt;D xsi:type="xsd:double"&gt;28.28&lt;/D&gt;&lt;D xsi:type="xsd:double"&gt;28.01&lt;/D&gt;&lt;D xsi:type="xsd:double"&gt;28.43&lt;/D&gt;&lt;D xsi:type="xsd:double"&gt;28.69&lt;/D&gt;&lt;D xsi:type="xsd:double"&gt;28.42&lt;/D&gt;&lt;D xsi:type="xsd:double"&gt;29.11&lt;/D&gt;&lt;D xsi:type="xsd:double"&gt;28.56&lt;/D&gt;&lt;D xsi:type="xsd:double"&gt;28.13&lt;/D&gt;&lt;D xsi:type="xsd:double"&gt;28.35&lt;/D&gt;&lt;D xsi:type="xsd:double"&gt;28.79&lt;/D&gt;&lt;D xsi:type="xsd:double"&gt;29.15&lt;/D&gt;&lt;D xsi:type="xsd:double"&gt;29.01&lt;/D&gt;&lt;D xsi:type="xsd:double"&gt;28.5&lt;/D&gt;&lt;D xsi:type="xsd:double"&gt;27.58&lt;/D&gt;&lt;D xsi:type="xsd:double"&gt;27.17&lt;/D&gt;&lt;D xsi:type="xsd:double"&gt;26.88&lt;/D&gt;&lt;D xsi:type="xsd:double"&gt;26.44&lt;/D&gt;&lt;D xsi:type="xsd:double"&gt;27.42&lt;/D&gt;&lt;D xsi:type="xsd:double"&gt;26.86&lt;/D&gt;&lt;D xsi:type="xsd:double"&gt;26.92&lt;/D&gt;&lt;D xsi:type="xsd:double"&gt;25.51&lt;/D&gt;&lt;D xsi:type="xsd:double"&gt;25.68&lt;/D&gt;&lt;D xsi:type="xsd:double"&gt;25.28&lt;/D&gt;&lt;D xsi:type="xsd:double"&gt;25.55&lt;/D&gt;&lt;D xsi:type="xsd:double"&gt;26.18&lt;/D&gt;&lt;D xsi:type="xsd:double"&gt;25.95&lt;/D&gt;&lt;D xsi:type="xsd:double"&gt;25.62&lt;/D&gt;&lt;D xsi:type="xsd:double"&gt;25.99&lt;/D&gt;&lt;D xsi:type="xsd:double"&gt;26.19&lt;/D&gt;&lt;D xsi:type="xsd:double"&gt;26.12&lt;/D&gt;&lt;D xsi:type="xsd:double"&gt;26.74&lt;/D&gt;&lt;D xsi:type="xsd:double"&gt;25.77&lt;/D&gt;&lt;D xsi:type="xsd:double"&gt;25.86&lt;/D&gt;&lt;D xsi:type="xsd:double"&gt;25.67&lt;/D&gt;&lt;/FQL&gt;&lt;FQL&gt;&lt;Q&gt;EWT^FG_TOTAL_RETURNC(-5AY,0,AM)&lt;/Q&gt;&lt;R&gt;61&lt;/R&gt;&lt;C&gt;1&lt;/C&gt;&lt;D xsi:type="xsd:double"&gt;10.434973&lt;/D&gt;&lt;D xsi:type="xsd:double"&gt;6.2549233&lt;/D&gt;&lt;D xsi:type="xsd:double"&gt;8.946967&lt;/D&gt;&lt;D xsi:type="xsd:double"&gt;2.3463488&lt;/D&gt;&lt;D xsi:type="xsd:double"&gt;1.5055656&lt;/D&gt;&lt;D xsi:type="xsd:double"&gt;9.708405&lt;/D&gt;&lt;D xsi:type="xsd:double"&gt;-4.194188&lt;/D&gt;&lt;D xsi:type="xsd:double"&gt;2.6940346&lt;/D&gt;&lt;D xsi:type="xsd:double"&gt;-1.6239882&lt;/D&gt;&lt;D xsi:type="xsd:double"&gt;1.4920592&lt;/D&gt;&lt;D xsi:type="xsd:double"&gt;-1.8141985&lt;/D&gt;&lt;D xsi:type="xsd:double"&gt;1.4972925&lt;/D&gt;&lt;D xsi:type="xsd:double"&gt;-0.078475475&lt;/D&gt;&lt;D xsi:type="xsd:double"&gt;7.7236056&lt;/D&gt;&lt;D xsi:type="xsd:double"&gt;-5.992508&lt;/D&gt;&lt;D xsi:type="xsd:double"&gt;1.8645406&lt;/D&gt;&lt;D xsi:type="xsd:double"&gt;-3.9737105&lt;/D&gt;&lt;D xsi:type="xsd:double"&gt;-7.8038454&lt;/D&gt;&lt;D xsi:type="xsd:double"&gt;-0.9719014&lt;/D&gt;&lt;D xsi:type="xsd:double"&gt;-7.601714&lt;/D&gt;&lt;D xsi:type="xsd:double"&gt;-1.0042489&lt;/D&gt;&lt;D xsi:type="xsd:double"&gt;-0.8193493&lt;/D&gt;&lt;D xsi:type="xsd:double"&gt;-12.608183&lt;/D&gt;&lt;D xsi:type="xsd:double"&gt;-5.5367947&lt;/D&gt;&lt;D xsi:type="xsd:double"&gt;14.867759&lt;/D&gt;&lt;D xsi:type="xsd:double"&gt;-2.567935&lt;/D&gt;&lt;D xsi:type="xsd:double"&gt;14.020109&lt;/D&gt;&lt;D xsi:type="xsd:double"&gt;-3.7241101&lt;/D&gt;&lt;D xsi:type="xsd:double"&gt;3.0670643&lt;/D&gt;&lt;D xsi:type="xsd:double"&gt;-2.4650276&lt;/D&gt;&lt;D xsi:type="xsd:double"&gt;6.557381&lt;/D&gt;&lt;D xsi:type="xsd:double"&gt;0.66239834&lt;/D&gt;&lt;D xsi:type="xsd:double"&gt;3.5448909&lt;/D&gt;&lt;D xsi:type="xsd:double"&gt;-6.068057&lt;/D&gt;&lt;D xsi:type="xsd:double"&gt;-2.3134053&lt;/D&gt;&lt;D xsi:type="xsd:double"&gt;-2.9043794&lt;/D&gt;&lt;D xsi:type="xsd:double"&gt;12.172115&lt;/D&gt;&lt;D xsi:type="xsd:double"&gt;6.436622&lt;/D&gt;&lt;D xsi:type="xsd:double"&gt;-2.2376657&lt;/D&gt;&lt;D xsi:type="xsd:double"&gt;1.9111156&lt;/D&gt;&lt;D xsi:type="xsd:double"&gt;6.149149&lt;/D&gt;&lt;D xsi:type="xsd:double"&gt;-3.2456875&lt;/D&gt;&lt;D xsi:type="xsd:double"&gt;11.040342&lt;/D&gt;&lt;D xsi:type="xsd:double"&gt;3.61377&lt;/D&gt;&lt;D xsi:type="xsd:double"&gt;-3.7829816&lt;/D&gt;&lt;D xsi:type="xsd:double"&gt;3.5673141&lt;/D&gt;&lt;D xsi:type="xsd:double"&gt;2.777779&lt;/D&gt;&lt;D xsi:type="xsd:double"&gt;-0.03603697&lt;/D&gt;&lt;D xsi:type="xsd:double"&gt;-5.028844&lt;/D&gt;&lt;D xsi:type="xsd:double"&gt;2.9939055&lt;/D&gt;&lt;D xsi:type="xsd:double"&gt;-2.6070416&lt;/D&gt;&lt;D xsi:type="xsd:double"&gt;-0.7229388&lt;/D&gt;&lt;D xsi:type="xsd:double"&gt;-5.884671&lt;/D&gt;&lt;D xsi:type="xsd:double"&gt;-2.8230846&lt;/D&gt;&lt;D xsi:type="xsd:double"&gt;14.611567&lt;/D&gt;&lt;D xsi:type="xsd:double"&gt;8.618105&lt;/D&gt;&lt;D xsi:type="xsd:double"&gt;2.0916224&lt;/D&gt;&lt;D xsi:type="xsd:double"&gt;1.422286&lt;/D&gt;&lt;D xsi:type="xsd:double"&gt;4.7412395&lt;/D&gt;&lt;D xsi:type="xsd:double"&gt;6.9333673&lt;/D&gt;&lt;D xsi:type="xsd:double"&gt;-3.8455725&lt;/D&gt;&lt;/FQL&gt;&lt;FQL&gt;&lt;Q&gt;ECH^JULIAN(FG_TOTAL_RETURNC(-5AY,0,AM).DATES)&lt;/Q&gt;&lt;R&gt;61&lt;/R&gt;&lt;C&gt;1&lt;/C&gt;&lt;D xsi:type="xsd:long"&gt;44162&lt;/D&gt;&lt;D xsi:type="xsd:long"&gt;44193&lt;/D&gt;&lt;D xsi:type="xsd:long"&gt;44224&lt;/D&gt;&lt;D xsi:type="xsd:long"&gt;44253&lt;/D&gt;&lt;D xsi:type="xsd:long"&gt;44281&lt;/D&gt;&lt;D xsi:type="xsd:long"&gt;44314&lt;/D&gt;&lt;D xsi:type="xsd:long"&gt;44344&lt;/D&gt;&lt;D xsi:type="xsd:long"&gt;44375&lt;/D&gt;&lt;D xsi:type="xsd:long"&gt;44405&lt;/D&gt;&lt;D xsi:type="xsd:long"&gt;44435&lt;/D&gt;&lt;D xsi:type="xsd:long"&gt;44467&lt;/D&gt;&lt;D xsi:type="xsd:long"&gt;44497&lt;/D&gt;&lt;D xsi:type="xsd:long"&gt;44526&lt;/D&gt;&lt;D xsi:type="xsd:long"&gt;44558&lt;/D&gt;&lt;D xsi:type="xsd:long"&gt;44589&lt;/D&gt;&lt;D xsi:type="xsd:long"&gt;44620&lt;/D&gt;&lt;D xsi:type="xsd:long"&gt;44648&lt;/D&gt;&lt;D xsi:type="xsd:long"&gt;44679&lt;/D&gt;&lt;D xsi:type="xsd:long"&gt;44708&lt;/D&gt;&lt;D xsi:type="xsd:long"&gt;44740&lt;/D&gt;&lt;D xsi:type="xsd:long"&gt;44770&lt;/D&gt;&lt;D xsi:type="xsd:long"&gt;44799&lt;/D&gt;&lt;D xsi:type="xsd:long"&gt;44832&lt;/D&gt;&lt;D xsi:type="xsd:long"&gt;44862&lt;/D&gt;&lt;D xsi:type="xsd:long"&gt;44893&lt;/D&gt;&lt;D xsi:type="xsd:long"&gt;44923&lt;/D&gt;&lt;D xsi:type="xsd:long"&gt;44953&lt;/D&gt;&lt;D xsi:type="xsd:long"&gt;44985&lt;/D&gt;&lt;D xsi:type="xsd:long"&gt;45013&lt;/D&gt;&lt;D xsi:type="xsd:long"&gt;45044&lt;/D&gt;&lt;D xsi:type="xsd:long"&gt;45072&lt;/D&gt;&lt;D xsi:type="xsd:long"&gt;45105&lt;/D&gt;&lt;D xsi:type="xsd:long"&gt;45135&lt;/D&gt;&lt;D xsi:type="xsd:long"&gt;45166&lt;/D&gt;&lt;D xsi:type="xsd:long"&gt;45197&lt;/D&gt;&lt;D xsi:type="xsd:long"&gt;45226&lt;/D&gt;&lt;D xsi:type="xsd:long"&gt;45258&lt;/D&gt;&lt;D xsi:type="xsd:long"&gt;45288&lt;/D&gt;&lt;D xsi:type="xsd:long"&gt;45317&lt;/D&gt;&lt;D xsi:type="xsd:long"&gt;45350&lt;/D&gt;&lt;D xsi:type="xsd:long"&gt;45379&lt;/D&gt;&lt;D xsi:type="xsd:long"&gt;45408&lt;/D&gt;&lt;D xsi:type="xsd:long"&gt;45440&lt;/D&gt;&lt;D xsi:type="xsd:long"&gt;45471&lt;/D&gt;&lt;D xsi:type="xsd:long"&gt;45499&lt;/D&gt;&lt;D xsi:type="xsd:long"&gt;45532&lt;/D&gt;&lt;D xsi:type="xsd:long"&gt;45562&lt;/D&gt;&lt;D xsi:type="xsd:long"&gt;45593&lt;/D&gt;&lt;D xsi:type="xsd:long"&gt;45623&lt;/D&gt;&lt;D xsi:type="xsd:long"&gt;45653&lt;/D&gt;&lt;D xsi:type="xsd:long"&gt;45685&lt;/D&gt;&lt;D xsi:type="xsd:long"&gt;45716&lt;/D&gt;&lt;D xsi:type="xsd:long"&gt;45744&lt;/D&gt;&lt;D xsi:type="xsd:long"&gt;45775&lt;/D&gt;&lt;D xsi:type="xsd:long"&gt;45805&lt;/D&gt;&lt;D xsi:type="xsd:long"&gt;45835&lt;/D&gt;&lt;D xsi:type="xsd:long"&gt;45866&lt;/D&gt;&lt;D xsi:type="xsd:long"&gt;45897&lt;/D&gt;&lt;D xsi:type="xsd:long"&gt;45926&lt;/D&gt;&lt;D xsi:type="xsd:long"&gt;45958&lt;/D&gt;&lt;D xsi:type="xsd:long"&gt;45989&lt;/D&gt;&lt;/FQL&gt;&lt;FQL&gt;&lt;Q&gt;EZA^FG_PRICE(0,-200D)&lt;/Q&gt;&lt;R&gt;201&lt;/R&gt;&lt;C&gt;1&lt;/C&gt;&lt;D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xsi:type="xsd:double"&gt;49.14&lt;/D&gt;&lt;D xsi:type="xsd:double"&gt;49.09&lt;/D&gt;&lt;D xsi:type="xsd:double"&gt;48.38&lt;/D&gt;&lt;D xsi:type="xsd:double"&gt;47.96&lt;/D&gt;&lt;D xsi:type="xsd:double"&gt;47.55&lt;/D&gt;&lt;D xsi:type="xsd:double"&gt;48.16&lt;/D&gt;&lt;D xsi:type="xsd:double"&gt;47.6&lt;/D&gt;&lt;D xsi:type="xsd:double"&gt;47.9&lt;/D&gt;&lt;D xsi:type="xsd:double"&gt;47.43&lt;/D&gt;&lt;D xsi:type="xsd:double"&gt;47.1&lt;/D&gt;&lt;D xsi:type="xsd:double"&gt;47.22&lt;/D&gt;&lt;D xsi:type="xsd:double"&gt;45.62&lt;/D&gt;&lt;D xsi:type="xsd:double"&gt;43.94&lt;/D&gt;&lt;D xsi:type="xsd:double"&gt;44.27&lt;/D&gt;&lt;D xsi:type="xsd:double"&gt;40.54&lt;/D&gt;&lt;D xsi:type="xsd:double"&gt;40.77&lt;/D&gt;&lt;D xsi:type="xsd:double"&gt;41.29&lt;/D&gt;&lt;D xsi:type="xsd:double"&gt;44.88&lt;/D&gt;&lt;D xsi:type="xsd:double"&gt;46.65&lt;/D&gt;&lt;D xsi:type="xsd:double"&gt;48.1&lt;/D&gt;&lt;D xsi:type="xsd:double"&gt;48.13&lt;/D&gt;&lt;D xsi:type="xsd:double"&gt;47.6&lt;/D&gt;&lt;D xsi:type="xsd:double"&gt;48.21&lt;/D&gt;&lt;D xsi:type="xsd:double"&gt;48.16&lt;/D&gt;&lt;D xsi:type="xsd:double"&gt;47.93&lt;/D&gt;&lt;D xsi:type="xsd:double"&gt;47.71&lt;/D&gt;&lt;D xsi:type="xsd:double"&gt;47.6&lt;/D&gt;&lt;D xsi:type="xsd:double"&gt;48.03&lt;/D&gt;&lt;D xsi:type="xsd:double"&gt;48.77&lt;/D&gt;&lt;D xsi:type="xsd:double"&gt;47.69&lt;/D&gt;&lt;D xsi:type="xsd:double"&gt;47.74&lt;/D&gt;&lt;D xsi:type="xsd:double"&gt;47&lt;/D&gt;&lt;D xsi:type="xsd:double"&gt;45.86&lt;/D&gt;&lt;D xsi:type="xsd:double"&gt;45.97&lt;/D&gt;&lt;D xsi:type="xsd:double"&gt;46.31&lt;/D&gt;&lt;D xsi:type="xsd:double"&gt;45.77&lt;/D&gt;&lt;D xsi:type="xsd:double"&gt;46.84&lt;/D&gt;&lt;D xsi:type="xsd:double"&gt;46.57&lt;/D&gt;&lt;D xsi:type="xsd:double"&gt;46.39&lt;/D&gt;&lt;D xsi:type="xsd:double"&gt;45.07&lt;/D&gt;&lt;D xsi:type="xsd:double"&gt;44.54&lt;/D&gt;&lt;D xsi:type="xsd:double"&gt;44.4&lt;/D&gt;&lt;D xsi:type="xsd:double"&gt;45.21&lt;/D&gt;&lt;D xsi:type="xsd:double"&gt;46.1&lt;/D&gt;&lt;D xsi:type="xsd:double"&gt;46.13&lt;/D&gt;&lt;D xsi:type="xsd:double"&gt;46.06&lt;/D&gt;&lt;D xsi:type="xsd:double"&gt;46.58&lt;/D&gt;&lt;D xsi:type="xsd:double"&gt;46.83&lt;/D&gt;&lt;D xsi:type="xsd:double"&gt;46.22&lt;/D&gt;&lt;D xsi:type="xsd:double"&gt;46.73&lt;/D&gt;&lt;D xsi:type="xsd:double"&gt;46.21&lt;/D&gt;&lt;D xsi:type="xsd:double"&gt;46.08&lt;/D&gt;&lt;D xsi:type="xsd:double"&gt;45.88&lt;/D&gt;&lt;/FQL&gt;&lt;FQL&gt;&lt;Q&gt;EWM^FG_TOTAL_RETURNC(-5AY,0,AM)&lt;/Q&gt;&lt;R&gt;61&lt;/R&gt;&lt;C&gt;1&lt;/C&gt;&lt;D xsi:type="xsd:double"&gt;10.3515625&lt;/D&gt;&lt;D xsi:type="xsd:double"&gt;2.5132656&lt;/D&gt;&lt;D xsi:type="xsd:double"&gt;-5.2486124&lt;/D&gt;&lt;D xsi:type="xsd:double"&gt;-0.8746326&lt;/D&gt;&lt;D xsi:type="xsd:double"&gt;2.2058725&lt;/D&gt;&lt;D xsi:type="xsd:double"&gt;0.79137087&lt;/D&gt;&lt;D xsi:type="xsd:double"&gt;-2.2127092&lt;/D&gt;&lt;D xsi:type="xsd:double"&gt;-3.061813&lt;/D&gt;&lt;D xsi:type="xsd:double"&gt;-3.611654&lt;/D&gt;&lt;D xsi:type="xsd:double"&gt;6.325543&lt;/D&gt;&lt;D xsi:type="xsd:double"&gt;-3.3345938&lt;/D&gt;&lt;D xsi:type="xsd:double"&gt;3.1360269&lt;/D&gt;&lt;D xsi:type="xsd:double"&gt;-7.031548&lt;/D&gt;&lt;D xsi:type="xsd:double"&gt;4.8493385&lt;/D&gt;&lt;D xsi:type="xsd:double"&gt;-1.7317772&lt;/D&gt;&lt;D xsi:type="xsd:double"&gt;6.270492&lt;/D&gt;&lt;D xsi:type="xsd:double"&gt;-0.65560937&lt;/D&gt;&lt;D xsi:type="xsd:double"&gt;-4.1925488&lt;/D&gt;&lt;D xsi:type="xsd:double"&gt;-2.4311185&lt;/D&gt;&lt;D xsi:type="xsd:double"&gt;-6.9393516&lt;/D&gt;&lt;D xsi:type="xsd:double"&gt;2.5045633&lt;/D&gt;&lt;D xsi:type="xsd:double"&gt;-0.8440733&lt;/D&gt;&lt;D xsi:type="xsd:double"&gt;-7.8853073&lt;/D&gt;&lt;D xsi:type="xsd:double"&gt;1.4591455&lt;/D&gt;&lt;D xsi:type="xsd:double"&gt;7.71811&lt;/D&gt;&lt;D xsi:type="xsd:double"&gt;0.78829527&lt;/D&gt;&lt;D xsi:type="xsd:double"&gt;6.9995522&lt;/D&gt;&lt;D xsi:type="xsd:double"&gt;-9.41667&lt;/D&gt;&lt;D xsi:type="xsd:double"&gt;1.2879491&lt;/D&gt;&lt;D xsi:type="xsd:double"&gt;-1.1353314&lt;/D&gt;&lt;D xsi:t</t>
        </r>
      </text>
    </comment>
    <comment ref="A7" authorId="0" shapeId="0" xr:uid="{776C1F65-A2A9-47F1-BDF9-0F3F2E31F5C4}">
      <text>
        <r>
          <rPr>
            <b/>
            <sz val="9"/>
            <color indexed="81"/>
            <rFont val="Tahoma"/>
            <charset val="1"/>
          </rPr>
          <t>ype="xsd:double"&gt;-3.8585186&lt;/D&gt;&lt;D xsi:type="xsd:double"&gt;-2.714783&lt;/D&gt;&lt;D xsi:type="xsd:double"&gt;7.8500032&lt;/D&gt;&lt;D xsi:type="xsd:double"&gt;-2.735281&lt;/D&gt;&lt;D xsi:type="xsd:double"&gt;-0.66729784&lt;/D&gt;&lt;D xsi:type="xsd:double"&gt;-2.06334&lt;/D&gt;&lt;D xsi:type="xsd:double"&gt;4.262626&lt;/D&gt;&lt;D xsi:type="xsd:double"&gt;1.4327288&lt;/D&gt;&lt;D xsi:type="xsd:double"&gt;-0.4243195&lt;/D&gt;&lt;D xsi:type="xsd:double"&gt;2.0359755&lt;/D&gt;&lt;D xsi:type="xsd:double"&gt;1.1137009&lt;/D&gt;&lt;D xsi:type="xsd:double"&gt;2.2487402&lt;/D&gt;&lt;D xsi:type="xsd:double"&gt;3.9048433&lt;/D&gt;&lt;D xsi:type="xsd:double"&gt;-1.4265776&lt;/D&gt;&lt;D xsi:type="xsd:double"&gt;3.027606&lt;/D&gt;&lt;D xsi:type="xsd:double"&gt;11.408817&lt;/D&gt;&lt;D xsi:type="xsd:double"&gt;5.7020903&lt;/D&gt;&lt;D xsi:type="xsd:double"&gt;-8.256883&lt;/D&gt;&lt;D xsi:type="xsd:double"&gt;-1.3199985&lt;/D&gt;&lt;D xsi:type="xsd:double"&gt;0.39002895&lt;/D&gt;&lt;D xsi:type="xsd:double"&gt;-2.0156324&lt;/D&gt;&lt;D xsi:type="xsd:double"&gt;-0.6297231&lt;/D&gt;&lt;D xsi:type="xsd:double"&gt;-2.8305888&lt;/D&gt;&lt;D xsi:type="xsd:double"&gt;3.0869484&lt;/D&gt;&lt;D xsi:type="xsd:double"&gt;3.2053947&lt;/D&gt;&lt;D xsi:type="xsd:double"&gt;0.4532814&lt;/D&gt;&lt;D xsi:type="xsd:double"&gt;-0.083094835&lt;/D&gt;&lt;D xsi:type="xsd:double"&gt;4.4906497&lt;/D&gt;&lt;D xsi:type="xsd:double"&gt;2.3875833&lt;/D&gt;&lt;D xsi:type="xsd:double"&gt;1.0882258&lt;/D&gt;&lt;D xsi:type="xsd:double"&gt;1.6147614&lt;/D&gt;&lt;/FQL&gt;&lt;FQL&gt;&lt;Q&gt;SPY^FG_TOTAL_RETURNC(-5AY,0,AM)&lt;/Q&gt;&lt;R&gt;61&lt;/R&gt;&lt;C&gt;1&lt;/C&gt;&lt;D xsi:type="xsd:double"&gt;11.32983&lt;/D&gt;&lt;D xsi:type="xsd:double"&gt;2.7752638&lt;/D&gt;&lt;D xsi:type="xsd:double"&gt;1.467073&lt;/D&gt;&lt;D xsi:type="xsd:double"&gt;0.7229209&lt;/D&gt;&lt;D xsi:type="xsd:double"&gt;4.4481993&lt;/D&gt;&lt;D xsi:type="xsd:double"&gt;5.40936&lt;/D&gt;&lt;D xsi:type="xsd:double"&gt;0.6324887&lt;/D&gt;&lt;D xsi:type="xsd:double"&gt;2.1063328&lt;/D&gt;&lt;D xsi:type="xsd:double"&gt;2.657497&lt;/D&gt;&lt;D xsi:type="xsd:double"&gt;2.6023746&lt;/D&gt;&lt;D xsi:type="xsd:double"&gt;-3.3596337&lt;/D&gt;&lt;D xsi:type="xsd:double"&gt;5.671859&lt;/D&gt;&lt;D xsi:type="xsd:double"&gt;0.14182329&lt;/D&gt;&lt;D xsi:type="xsd:double"&gt;4.269755&lt;/D&gt;&lt;D xsi:type="xsd:double"&gt;-7.3227463&lt;/D&gt;&lt;D xsi:type="xsd:double"&gt;-1.2037575&lt;/D&gt;&lt;D xsi:type="xsd:double"&gt;4.736519&lt;/D&gt;&lt;D xsi:type="xsd:double"&gt;-6.163496&lt;/D&gt;&lt;D xsi:type="xsd:double"&gt;-2.933544&lt;/D&gt;&lt;D xsi:type="xsd:double"&gt;-7.9394636&lt;/D&gt;&lt;D xsi:type="xsd:double"&gt;6.6780567&lt;/D&gt;&lt;D xsi:type="xsd:double"&gt;-0.18716455&lt;/D&gt;&lt;D xsi:type="xsd:double"&gt;-8.202571&lt;/D&gt;&lt;D xsi:type="xsd:double"&gt;4.9901485&lt;/D&gt;&lt;D xsi:type="xsd:double"&gt;1.7711163&lt;/D&gt;&lt;D xsi:type="xsd:double"&gt;-4.42003&lt;/D&gt;&lt;D xsi:type="xsd:double"&gt;7.704556&lt;/D&gt;&lt;D xsi:type="xsd:double"&gt;-2.322024&lt;/D&gt;&lt;D xsi:type="xsd:double"&gt;0.2190113&lt;/D&gt;&lt;D xsi:type="xsd:double"&gt;5.139029&lt;/D&gt;&lt;D xsi:type="xsd:double"&gt;0.9833336&lt;/D&gt;&lt;D xsi:type="xsd:double"&gt;4.284787&lt;/D&gt;&lt;D xsi:type="xsd:double"&gt;4.704511&lt;/D&gt;&lt;D xsi:type="xsd:double"&gt;-3.0990124&lt;/D&gt;&lt;D xsi:type="xsd:double"&gt;-2.8705955&lt;/D&gt;&lt;D xsi:type="xsd:double"&gt;-4.163164&lt;/D&gt;&lt;D xsi:type="xsd:double"&gt;10.774815&lt;/D&gt;&lt;D xsi:type="xsd:double"&gt;5.208707&lt;/D&gt;&lt;D xsi:type="xsd:double"&gt;2.2488356&lt;/D&gt;&lt;D xsi:type="xsd:double"&gt;3.8673878&lt;/D&gt;&lt;D xsi:type="xsd:double"&gt;3.6436558&lt;/D&gt;&lt;D xsi:type="xsd:double"&gt;-2.8313577&lt;/D&gt;&lt;D xsi:type="xsd:double"&gt;4.2399526&lt;/D&gt;&lt;D xsi:type="xsd:double"&gt;3.0516744&lt;/D&gt;&lt;D xsi:type="xsd:double"&gt;0.04043579&lt;/D&gt;&lt;D xsi:type="xsd:double"&gt;2.5457382&lt;/D&gt;&lt;D xsi:type="xsd:double"&gt;2.6733756&lt;/D&gt;&lt;D xsi:type="xsd:double"&gt;1.637888&lt;/D&gt;&lt;D xsi:type="xsd:double"&gt;3.0990124&lt;/D&gt;&lt;D xsi:type="xsd:double"&gt;-0.3075421&lt;/D&gt;&lt;D xsi:type="xsd:double"&gt;1.5982985&lt;/D&gt;&lt;D xsi:type="xsd:double"&gt;-1.7104506&lt;/D&gt;&lt;D xsi:type="xsd:double"&gt;-6.201744&lt;/D&gt;&lt;D xsi:type="xsd:double"&gt;-0.86563826&lt;/D&gt;&lt;D xsi:type="xsd:double"&gt;6.6951036&lt;/D&gt;&lt;D xsi:type="xsd:double"&gt;4.934621&lt;/D&gt;&lt;D xsi:type="xsd:double"&gt;3.5826445&lt;/D&gt;&lt;D xsi:type="xsd:double"&gt;1.8808603&lt;/D&gt;&lt;D xsi:type="xsd:double"&gt;2.2693038&lt;/D&gt;&lt;D xsi:type="xsd:double"&gt;3.8137197&lt;/D&gt;&lt;D xsi:type="xsd:double"&gt;-0.53415895&lt;/D&gt;&lt;/FQL&gt;&lt;FQL&gt;&lt;Q&gt;EPU^FG_TOTAL_RETURNC(-5AY,0,AM)&lt;/Q&gt;&lt;R&gt;61&lt;/R&gt;&lt;C&gt;1&lt;/C&gt;&lt;D xsi:type="xsd:double"&gt;14.071417&lt;/D&gt;&lt;D xsi:type="xsd:double"&gt;3.5146952&lt;/D&gt;&lt;D xsi:type="xsd:double"&gt;0.28951168&lt;/D&gt;&lt;D xsi:type="xsd:double"&gt;7.0150137&lt;/D&gt;&lt;D xsi:type="xsd:double"&gt;-7.3104916&lt;/D&gt;&lt;D xsi:type="xsd:double"&gt;-7.5960455&lt;/D&gt;&lt;D xsi:type="xsd:double"&gt;3.6535382&lt;/D&gt;&lt;D xsi:type="xsd:double"&gt;-10.248507&lt;/D&gt;&lt;D xsi:type="xsd:double"&gt;-1.6729295&lt;/D&gt;&lt;D xsi:type="xsd:double"&gt;-7.8125&lt;/D&gt;&lt;D xsi:type="xsd:double"&gt;0.37665367&lt;/D&gt;&lt;D xsi:type="xsd:double"&gt;13.358343&lt;/D&gt;&lt;D xsi:type="xsd:double"&gt;-7.5769606&lt;/D&gt;&lt;D xsi:type="xsd:double"&gt;7.6868176&lt;/D&gt;&lt;D xsi:type="xsd:double"&gt;10.827374&lt;/D&gt;&lt;D xsi:type="xsd:double"&gt;7.035339&lt;/D&gt;&lt;D xsi:type="xsd:double"&gt;7.032144&lt;/D&gt;&lt;D xsi:type="xsd:double"&gt;-14.642&lt;/D&gt;&lt;D xsi:type="xsd:double"&gt;-1.8535972&lt;/D&gt;&lt;D xsi:type="xsd:double"&gt;-11.445207&lt;/D&gt;&lt;D xsi:type="xsd:double"&gt;-4.4977546&lt;/D&gt;&lt;D xsi:type="xsd:double"&gt;3.5714269&lt;/D&gt;&lt;D xsi:type="xsd:double"&gt;-7.4270544&lt;/D&gt;&lt;D xsi:type="xsd:double"&gt;8.350384&lt;/D&gt;&lt;D xsi:type="xsd:double"&gt;7.706845&lt;/D&gt;&lt;D xsi:type="xsd:double"&gt;2.4008036&lt;/D&gt;&lt;D xsi:type="xsd:double"&gt;9.864068&lt;/D&gt;&lt;D xsi:type="xsd:double"&gt;-7.868016&lt;/D&gt;&lt;D xsi:type="xsd:double"&gt;3.3402205&lt;/D&gt;&lt;D xsi:type="xsd:double"&gt;3.3655405&lt;/D&gt;&lt;D xsi:type="xsd:double"&gt;-4.5280457&lt;/D&gt;&lt;D xsi:type="xsd:double"&gt;3.7826657&lt;/D&gt;&lt;D xsi:type="xsd:double"&gt;11.558962&lt;/D&gt;&lt;D xsi:type="xsd:double"&gt;-4.419237&lt;/D&gt;&lt;D xsi:type="xsd:double"&gt;-6.497961&lt;/D&gt;&lt;D xsi:type="xsd:double"&gt;-2.698636&lt;/D&gt;&lt;D xsi:type="xsd:double"&gt;6.1042547&lt;/D&gt;&lt;D xsi:type="xsd:double"&gt;14.122879&lt;/D&gt;&lt;D xsi:type="xsd:double"&gt;-2.2293031&lt;/D&gt;&lt;D xsi:type="xsd:double"&gt;2.8149247&lt;/D&gt;&lt;D xsi:type="xsd:double"&gt;12.814867&lt;/D&gt;&lt;D xsi:type="xsd:double"&gt;4.90222&lt;/D&gt;&lt;D xsi:type="xsd:double"&gt;6.8137884&lt;/D&gt;&lt;D xsi:type="xsd:double"&gt;-6.086087&lt;/D&gt;&lt;D xsi:type="xsd:double"&gt;1.019144&lt;/D&gt;&lt;D xsi:type="xsd:double"&gt;-1.3341486&lt;/D&gt;&lt;D xsi:type="xsd:double"&gt;9.856391&lt;/D&gt;&lt;D xsi:type="xsd:double"&gt;2.156639&lt;/D&gt;&lt;D xsi:type="xsd:double"&gt;-4.133332&lt;/D&gt;&lt;D xsi:type="xsd:double"&gt;-4.247361&lt;/D&gt;&lt;D xsi:type="xsd:double"&gt;-0.40332675&lt;/D&gt;&lt;D xsi:type="xsd:double"&gt;2.6617408&lt;/D&gt;&lt;D xsi:type="xsd:double"&gt;7.960868&lt;/D&gt;&lt;D xsi:type="xsd:double"&gt;0.90789795&lt;/D&gt;&lt;D xsi:type="xsd:double"&gt;4.351139&lt;/D&gt;&lt;D xsi:type="xsd:double"&gt;6.1401963&lt;/D&gt;&lt;D xsi:type="xsd:double"&gt;1.3611078&lt;/D&gt;&lt;D xsi:type="xsd:double"&gt;8.685244&lt;/D&gt;&lt;D xsi:type="xsd:double"&gt;11.009609&lt;/D&gt;&lt;D xsi:type="xsd:double"&gt;5.446875&lt;/D&gt;&lt;D xsi:type="xsd:double"&gt;3.1025171&lt;/D&gt;&lt;/FQL&gt;&lt;FQL&gt;&lt;Q&gt;EWD^FG_PRICE(0,-200D)&lt;/Q&gt;&lt;R&gt;201&lt;/R&gt;&lt;C&gt;1&lt;/C&gt;&lt;D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xsi:type="xsd:double"&gt;43&lt;/D&gt;&lt;D xsi:type="xsd:double"&gt;43.61&lt;/D&gt;&lt;D xsi:type="xsd:double"&gt;43.62&lt;/D&gt;&lt;D xsi:type="xsd:double"&gt;43.32&lt;/D&gt;&lt;D xsi:type="xsd:double"&gt;42.43&lt;/D&gt;&lt;D xsi:type="xsd:double"&gt;42.68&lt;/D&gt;&lt;D xsi:type="xsd:double"&gt;41.77&lt;/D&gt;&lt;D xsi:type="xsd:double"&gt;41.9&lt;/D&gt;&lt;D xsi:type="xsd:double"&gt;41.07&lt;/D&gt;&lt;D xsi:type="xsd:double"&gt;41.39&lt;/D&gt;&lt;D xsi:type="xsd:double"&gt;40.72&lt;/D&gt;&lt;D xsi:type="xsd:double"&gt;40.31&lt;/D&gt;&lt;D xsi:type="xsd:double"&gt;39.65&lt;/D&gt;&lt;D xsi:type="xsd:double"&gt;39.92&lt;/D&gt;&lt;D xsi:type="xsd:double"&gt;37.07&lt;/D&gt;&lt;D xsi:type="xsd:double"&gt;37.34&lt;/D&gt;&lt;D xsi:type="xsd:double"&gt;38.17&lt;/D&gt;&lt;D xsi:type="xsd:double"&gt;41.47&lt;/D&gt;&lt;D xsi:type="xsd:double"&gt;42.61&lt;/D&gt;&lt;D xsi:type="xsd:double"&gt;42.25&lt;/D&gt;&lt;D xsi:type="xsd:double"&gt;42.08&lt;/D&gt;&lt;D xsi:type="xsd:double"&gt;42.94&lt;/D&gt;&lt;D xsi:type="xsd:double"&gt;43.53&lt;/D&gt;&lt;D xsi:type="xsd:double"&gt;43.58&lt;/D&gt;&lt;D xsi:type="xsd:double"&gt;44.67&lt;/D&gt;&lt;D xsi:type="xsd:double"&gt;44.24&lt;/D&gt;&lt;D xsi:type="xsd:double"&gt;44.03&lt;/D&gt;&lt;D xsi:type="xsd:double"&gt;44.41&lt;/D&gt;&lt;D xsi:type="xsd:double"&gt;44.73&lt;/D&gt;&lt;D xsi:type="xsd:double"&gt;44.67&lt;/D&gt;&lt;D xsi:type="xsd:double"&gt;44.97&lt;/D&gt;&lt;D xsi:type="xsd:double"&gt;44.55&lt;/D&gt;&lt;D xsi:type="xsd:double"&gt;43.07&lt;/D&gt;&lt;D xsi:type="xsd:double"&gt;43.77&lt;/D&gt;&lt;D xsi:type="xsd:double"&gt;43.88&lt;/D&gt;&lt;D xsi:type="xsd:double"&gt;43.82&lt;/D&gt;&lt;D xsi:type="xsd:double"&gt;45.12&lt;/D&gt;&lt;D xsi:type="xsd:double"&gt;44.31&lt;/D&gt;&lt;D xsi:type="xsd:double"&gt;45.1&lt;/D&gt;&lt;D xsi:type="xsd:double"&gt;43.32&lt;/D&gt;&lt;D xsi:type="xsd:double"&gt;43.9&lt;/D&gt;&lt;D xsi:type="xsd:double"&gt;43.14&lt;/D&gt;&lt;D xsi:type="xsd:double"&gt;43.07&lt;/D&gt;&lt;D xsi:type="xsd:double"&gt;43.85&lt;/D&gt;&lt;D xsi:type="xsd:double"&gt;43.85&lt;/D&gt;&lt;D xsi:type="xsd:double"&gt;43.38&lt;/D&gt;&lt;D xsi:type="xsd:double"&gt;43.66&lt;/D&gt;&lt;D xsi:type="xsd:double"&gt;44.15&lt;/D&gt;&lt;D xsi:type="xsd:double"&gt;43.57&lt;/D&gt;&lt;D xsi:type="xsd:double"&gt;44.29&lt;/D&gt;&lt;D xsi:type="xsd:double"&gt;43.91&lt;/D&gt;&lt;D xsi:type="xsd:double"&gt;43.83&lt;/D&gt;&lt;D xsi:type="xsd:double"&gt;42.98&lt;/D&gt;&lt;/FQL&gt;&lt;FQL&gt;&lt;Q&gt;CNYA^FG_PRICE(0,-200D)&lt;/Q&gt;&lt;R&gt;201&lt;/R&gt;&lt;C&gt;1&lt;/C&gt;&lt;D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xsi:type="xsd:double"&gt;27.14&lt;/D&gt;&lt;D xsi:type="xsd:double"&gt;27.14&lt;/D&gt;&lt;D xsi:type="xsd:double"&gt;27.25&lt;/D&gt;&lt;D xsi:type="xsd:double"&gt;27.29&lt;/D&gt;&lt;D xsi:type="xsd:double"&gt;27.2&lt;/D&gt;&lt;D xsi:type="xsd:double"&gt;27.16&lt;/D&gt;&lt;D xsi:type="xsd:double"&gt;27.04&lt;/D&gt;&lt;D xsi:type="xsd:double"&gt;26.82&lt;/D&gt;&lt;D xsi:type="xsd:double"&gt;26.92&lt;/D&gt;&lt;D xsi:type="xsd:double"&gt;26.7&lt;/D&gt;&lt;D xsi:type="xsd:double"&gt;26.96&lt;/D&gt;&lt;D xsi:type="xsd:double"&gt;27.09&lt;/D&gt;&lt;D xsi:type="xsd:double"&gt;26.64&lt;/D&gt;&lt;D xsi:type="xsd:double"&gt;26.4&lt;/D&gt;&lt;D xsi:type="xsd:double"&gt;24.95&lt;/D&gt;&lt;D xsi:type="xsd:double"&gt;24.71&lt;/D&gt;&lt;D xsi:type="xsd:double"&gt;26.56&lt;/D&gt;&lt;D xsi:type="xsd:double"&gt;27.65&lt;/D&gt;&lt;D xsi:type="xsd:double"&gt;27.91&lt;/D&gt;&lt;D xsi:type="xsd:double"&gt;27.92&lt;/D&gt;&lt;D xsi:type="xsd:double"&gt;28.03&lt;/D&gt;&lt;D xsi:type="xsd:double"&gt;28.08&lt;/D&gt;&lt;D xsi:type="xsd:double"&gt;28.34&lt;/D&gt;&lt;D xsi:type="xsd:double"&gt;28.16&lt;/D&gt;&lt;D xsi:type="xsd:double"&gt;28.33&lt;/D&gt;&lt;D xsi:type="xsd:double"&gt;28.3&lt;/D&gt;&lt;D xsi:type="xsd:double"&gt;28.17&lt;/D&gt;&lt;D xsi:type="xsd:double"&gt;28.46&lt;/D&gt;&lt;D xsi:type="xsd:double"&gt;28.96&lt;/D&gt;&lt;D xsi:type="xsd:double"&gt;29.02&lt;/D&gt;&lt;D xsi:type="xsd:double"&gt;29.2&lt;/D&gt;&lt;D xsi:type="xsd:double"&gt;29.34&lt;/D&gt;&lt;D xsi:type="xsd:double"&gt;28.34&lt;/D&gt;&lt;D xsi:type="xsd:double"&gt;28.435&lt;/D&gt;&lt;D xsi:type="xsd:double"&gt;28.51&lt;/D&gt;&lt;D xsi:type="xsd:double"&gt;28.09&lt;/D&gt;&lt;D xsi:type="xsd:double"&gt;28.45&lt;/D&gt;&lt;D xsi:type="xsd:double"&gt;28.625&lt;/D&gt;&lt;D xsi:type="xsd:double"&gt;28.38&lt;/D&gt;&lt;D xsi:type="xsd:double"&gt;27.97&lt;/D&gt;&lt;D xsi:type="xsd:double"&gt;27.77&lt;/D&gt;&lt;D xsi:type="xsd:double"&gt;27.96&lt;/D&gt;&lt;D xsi:type="xsd:double"&gt;28.41&lt;/D&gt;&lt;D xsi:type="xsd:double"&gt;28.5&lt;/D&gt;&lt;D xsi:type="xsd:double"&gt;28.38&lt;/D&gt;&lt;D xsi:type="xsd:double"&gt;28.45&lt;/D&gt;&lt;D xsi:type="xsd:double"&gt;28.73&lt;/D&gt;&lt;D xsi:type="xsd:double"&gt;28.63&lt;/D&gt;&lt;D xsi:type="xsd:double"&gt;28.23&lt;/D&gt;&lt;D xsi:type="xsd:double"&gt;28.12&lt;/D&gt;&lt;D xsi:type="xsd:double"&gt;28.55&lt;/D&gt;&lt;D xsi:type="xsd:double"&gt;28.1&lt;/D&gt;&lt;D xsi:type="xsd:double"&gt;28.118&lt;/D&gt;&lt;/FQL&gt;&lt;FQL&gt;&lt;Q&gt;ECH^FG_TOTAL_RETURNC(-5AY,0,AM)&lt;/Q&gt;&lt;R&gt;61&lt;/R&gt;&lt;C&gt;1&lt;/C&gt;&lt;D xsi:type="xsd:double"&gt;15.723789&lt;/D&gt;&lt;D xsi:type="xsd:double"&gt;8.39616&lt;/D&gt;&lt;D xsi:type="xsd:double"&gt;1.7333388&lt;/D&gt;&lt;D xsi:type="xsd:double"&gt;2.9161215&lt;/D&gt;&lt;D xsi:type="xsd:double"&gt;6.94046&lt;/D&gt;&lt;D xsi:type="xsd:double"&gt;-1.7564774&lt;/D&gt;&lt;D xsi:type="xsd:double"&gt;-10.87879&lt;/D&gt;&lt;D xsi:type="xsd:double"&gt;-1.3090551&lt;/D&gt;&lt;D xsi:type="xsd:double"&gt;-6.061673&lt;/D&gt;&lt;D xsi:type="xsd:double"&gt;4.51324&lt;/D&gt;&lt;D xsi:type="xsd:double"&gt;-6.852251&lt;/D&gt;&lt;D xsi:type="xsd:double"&gt;-4.9425306&lt;/D&gt;&lt;D xsi:type="xsd:double"&gt;7.013297&lt;/D&gt;&lt;D xsi:type="xsd:double"&gt;-10.98178&lt;/D&gt;&lt;D xsi:type="xsd:double"&gt;12.227524&lt;/D&gt;&lt;D xsi:type="xsd:double"&gt;1.323986&lt;/D&gt;&lt;D xsi:type="xsd:double"&gt;12.336659&lt;/D&gt;&lt;D xsi:type="xsd:double"&gt;-12.863499&lt;/D&gt;&lt;D xsi:type="xsd:double"&gt;20.533966&lt;/D&gt;&lt;D xsi:type="xsd:double"&gt;-17.027832&lt;/D&gt;&lt;D xsi:type="xsd:double"&gt;6.9007754&lt;/D&gt;&lt;D xsi:type="xsd:double"&gt;6.5317035&lt;/D&gt;&lt;D xsi:type="xsd:double"&gt;-12.405878&lt;/D&gt;&lt;D xsi:type="xsd:double"&gt;3.9705276&lt;/D&gt;&lt;D xsi:type="xsd:double"&gt;-0.27558804&lt;/D&gt;&lt;D xsi:type="xsd:double"&gt;7.351768&lt;/D&gt;&lt;D xsi:type="xsd:double"&gt;8.600533&lt;/D&gt;&lt;D xsi:type="xsd:double"&gt;-2.3619294&lt;/D&gt;&lt;D xsi:type="xsd:double"&gt;1.1739612&lt;/D&gt;&lt;D xsi:type="xsd:double"&gt;-0.1054883&lt;/D&gt;&lt;D xsi:type="xsd:double"&gt;3.4494877&lt;/D&gt;&lt;D xsi:type="xsd:double"&gt;1.297617&lt;/D&gt;&lt;D xsi:type="xsd:double"&gt;8.487606&lt;/D&gt;&lt;D xsi:type="xsd:double"&gt;-8.564067&lt;/D&gt;&lt;D xsi:type="xsd:double"&gt;-9.052813&lt;/D&gt;&lt;D xsi:type="xsd:double"&gt;-5.958414&lt;/D&gt;&lt;D xsi:type="xsd:double"&gt;9.757101&lt;/D&gt;&lt;D xsi:type="xsd:double"&gt;6.00394&lt;/D&gt;&lt;D xsi:type="xsd:double"&gt;-7.6566935&lt;/D&gt;&lt;D xsi:type="xsd:double"&gt;-0.65560937&lt;/D&gt;&lt;D xsi:type="xsd:double"&gt;3.1444073&lt;/D&gt;&lt;D xsi:type="xsd:double"&gt;-0.30109286&lt;/D&gt;&lt;D xsi:type="xsd:double"&gt;11.098528&lt;/D&gt;&lt;D xsi:type="xsd:double"&gt;-9.817332&lt;/D&gt;&lt;D xsi:type="xsd:double"&gt;-0.5411744&lt;/D&gt;&lt;D xsi:type="xsd:double"&gt;2.8760195&lt;/D&gt;&lt;D xsi:type="xsd:double"&gt;3.9289832&lt;/D&gt;&lt;D xsi:type="xsd:double"&gt;-2.580881&lt;/D&gt;&lt;D xsi:type="xsd:double"&gt;-5.3358135&lt;/D&gt;&lt;D xsi:type="xsd:double"&gt;-0.5775213&lt;/D&gt;&lt;D xsi:type="xsd:double"&gt;5.489266&lt;/D&gt;&lt;D xsi:type="xsd:double"&gt;7.9185486&lt;/D&gt;&lt;D xsi:type="xsd:double"&gt;3.9832234&lt;/D&gt;&lt;D xsi:type="xsd:double"&gt;4.9731135&lt;/D&gt;&lt;D xsi:type="xsd:double"&gt;2.976942&lt;/D&gt;&lt;D xsi:type="xsd:double"&gt;-1.3955295&lt;/D&gt;&lt;D xsi:type="xsd:double"&gt;-4.090172&lt;/D&gt;&lt;D xsi:type="xsd:double"&gt;9.402287&lt;/D&gt;&lt;D xsi:type="xsd:double"&gt;1.8109202&lt;/D&gt;&lt;D xsi:type="xsd:double"&gt;4.4015765&lt;/D&gt;&lt;D xsi:type="xsd:double"&gt;9.327173&lt;/D&gt;&lt;/FQL&gt;&lt;FQL&gt;&lt;Q&gt;EWD^FG_TOTAL_RETURNC(-5AY,0,AM)&lt;/Q&gt;&lt;R&gt;61&lt;/R&gt;&lt;C&gt;1&lt;/C&gt;&lt;D xsi:type="xsd:double"&gt;17.466867&lt;/D&gt;&lt;D xsi:type="xsd:double"&gt;1.0010242&lt;/D&gt;&lt;D xsi:type="xsd:double"&gt;3.5017489999999998&lt;/D&gt;&lt;D xsi:type="xsd:double"&gt;1.5466452&lt;/D&gt;&lt;D xsi:type="xsd:double"&gt;7.5202227&lt;/D&gt;&lt;D xsi:type="xsd:double"&gt;5.422759&lt;/D&gt;&lt;D xsi:type="xsd:double"&gt;1.7635942&lt;/D&gt;&lt;D xsi:type="xsd:double"&gt;-2.0625472&lt;/D&gt;&lt;D xsi:type="xsd:double"&gt;4.2681575&lt;/D&gt;&lt;D xsi:type="xsd:double"&gt;-0.37212968&lt;/D&gt;&lt;D xsi:type="xsd:double"&gt;-6.391364&lt;/D&gt;&lt;D xsi:type="xsd:double"&gt;7.337618&lt;/D&gt;&lt;D xsi:type="xsd:double"&gt;-7.9512596&lt;/D&gt;&lt;D xsi:type="xsd:double"&gt;7.671201&lt;/D&gt;&lt;D xsi:type="xsd:double"&gt;-11.383284&lt;/D&gt;&lt;D xsi:type="xsd:double"&gt;-8.270675&lt;/D&gt;&lt;D xsi:type="xsd:double"&gt;2.8820753&lt;/D&gt;&lt;D xsi:type="xsd:double"&gt;-6.8619847&lt;/D&gt;&lt;D xsi:type="xsd:double"&gt;0.8553982&lt;/D&gt;&lt;D xsi:type="xsd:double"&gt;-12.870413&lt;/D&gt;&lt;D xsi:type="xsd:double"&gt;6.720507&lt;/D&gt;&lt;D xsi:type="xsd:double"&gt;-7.9927325&lt;/D&gt;&lt;D xsi:type="xsd:double"&gt;-9.27937&lt;/D&gt;&lt;D xsi:type="xsd:double"&gt;9.466815&lt;/D&gt;&lt;D xsi:type="xsd:double"&gt;9.112&lt;/D&gt;&lt;D xsi:type="xsd:double"&gt;-1.5356302&lt;/D&gt;&lt;D xsi:type="xsd:double"&gt;10.018611&lt;/D&gt;&lt;D xsi:type="xsd:double"&gt;-0.42289495&lt;/D&gt;&lt;D xsi:type="xsd:double"&gt;-4.3601394&lt;/D&gt;&lt;D xsi:type="xsd:double"&gt;10.153937&lt;/D&gt;&lt;D xsi:type="xsd:double"&gt;-6.04676&lt;/D&gt;&lt;D xsi:type="xsd:double"&gt;-0.5720854&lt;/D&gt;&lt;D xsi:type="xsd:double"&gt;2.8768659&lt;/D&gt;&lt;D xsi:type="xsd:double"&gt;-7.270688&lt;/D&gt;&lt;D xsi:type="xsd:double"&gt;-0.8443892&lt;/D&gt;&lt;D xsi:type="xsd:double"&gt;-6.3260374&lt;/D&gt;&lt;D xsi:type="xsd:double"&gt;17.662346&lt;/D&gt;&lt;D xsi:type="xsd:double"&gt;12.394023&lt;/D&gt;&lt;D xsi:type="xsd:double"&gt;-6.2138376&lt;/D&gt;&lt;D xsi:type="xsd:double"&gt;5.8208227&lt;/D&gt;&lt;D xsi:type="xsd:double"&gt;1.2927771&lt;/D&gt;&lt;D xsi:type="xsd:double"&gt;-2.202195&lt;/D&gt;&lt;D xsi:type="xsd:double"&gt;7.1136117&lt;/D&gt;&lt;D xsi:type="xsd:double"&gt;-2.2967875&lt;/D&gt;&lt;D xsi:type="xsd:double"&gt;-1.4658391&lt;/D&gt;&lt;D xsi:type="xsd:double"&gt;5.4967284&lt;/D&gt;&lt;D xsi:type="xsd:double"&gt;4.445505&lt;/D&gt;&lt;D xsi:type="xsd:double"&gt;-5.6750536&lt;/D&gt;&lt;D xsi:type="xsd:double"&gt;-6.914127&lt;/D&gt;&lt;D xsi:type="xsd:double"&gt;-1.7982781&lt;/D&gt;&lt;D xsi:type="xsd:double"&gt;7.77601&lt;/D&gt;&lt;D xsi:type="xsd:double"&gt;6.2299848&lt;/D&gt;&lt;D xsi:type="xsd:double"&gt;-0.4636109&lt;/D&gt;&lt;D xsi:type="xsd:double"&gt;1.5603185&lt;/D&gt;&lt;D xsi:type="xsd:double"&gt;3.7376761&lt;/D&gt;&lt;D xsi:type="xsd:double"&gt;4.0128946&lt;/D&gt;&lt;D xsi:type="xsd:double"&gt;-0.5215168&lt;/D&gt;&lt;D xsi:type="xsd:double"&gt;1.8567085&lt;/D&gt;&lt;D xsi:type="xsd:double"&gt;1.222384&lt;/D&gt;&lt;D xsi:type="xsd:double"&gt;3.9618611&lt;/D&gt;&lt;D xsi:type="xsd:double"&gt;-2.363968&lt;/D&gt;&lt;/FQL&gt;&lt;FQL&gt;&lt;Q&gt;EWN^FG_TOTAL_RETURNC(-5AY,0,AM)&lt;/Q&gt;&lt;R&gt;61&lt;/R&gt;&lt;C&gt;1&lt;/C&gt;&lt;D xsi:type="xsd:double"&gt;15.289986&lt;/D&gt;&lt;D xsi:type="xsd:double"&gt;5.7052374&lt;/D&gt;&lt;D xsi:type="xsd:double"&gt;3.9064407&lt;/D&gt;&lt;D xsi:type="xsd:double"&gt;2.1582723&lt;/D&gt;&lt;D xsi:type="xsd:double"&gt;5.270326&lt;/D&gt;&lt;D xsi:type="xsd:double"&gt;5.826497&lt;/D&gt;&lt;D xsi:type="xsd:double"&gt;0.9380102&lt;/D&gt;&lt;D xsi:type="xsd:double"&gt;-0.8629322&lt;/D&gt;&lt;D xsi:type="xsd:double"&gt;1.7641068&lt;/D&gt;&lt;D xsi:type="xsd:double"&gt;5.9060693&lt;/D&gt;&lt;D xsi:type="xsd:double"&gt;-4.4156847&lt;/D&gt;&lt;D xsi:type="xsd:double"&gt;4.639578&lt;/D&gt;&lt;D xsi:type="xsd:double"&gt;-5.994284&lt;/D&gt;&lt;D xsi:type="xsd:double"&gt;1.814878&lt;/D&gt;&lt;D xsi:type="xsd:double"&gt;-10.037917&lt;/D&gt;&lt;D xsi:type="xsd:double"&gt;-4.991126&lt;/D&gt;&lt;D xsi:type="xsd:double"&gt;-0.37357807&lt;/D&gt;&lt;D xsi:type="xsd:double"&gt;-8.600884&lt;/D&gt;&lt;D xsi:type="xsd:double"&gt;0.69230795&lt;/D&gt;&lt;D xsi:type="xsd:double"&gt;-8.5457325&lt;/D&gt;&lt;D xsi:type="xsd:double"&gt;6.036675&lt;/D&gt;&lt;D xsi:type="xsd:double"&gt;-6.8103256&lt;/D&gt;&lt;D xsi:type="xsd:double"&gt;-10.904938&lt;/D&gt;&lt;D xsi:type="xsd:double"&gt;6.312084&lt;/D&gt;&lt;D xsi:type="xsd:double"&gt;14.466548&lt;/D&gt;&lt;D xsi:type="xsd:double"&gt;-2.001816&lt;/D&gt;&lt;D xsi:type="xsd:double"&gt;14.733707&lt;/D&gt;&lt;D xsi:type="xsd:double"&gt;-3.8642764&lt;/D&gt;&lt;D xsi:type="xsd:double"&gt;-0.88235736&lt;/D&gt;&lt;D xsi:type="xsd:double"&gt;4.6488643&lt;/D&gt;&lt;D xsi:type="xsd:double"&gt;1.6304374&lt;/D&gt;&lt;D xsi:type="xsd:double"&gt;0.72067976&lt;/D&gt;&lt;D xsi:type="xsd:double"&gt;5.0653577&lt;/D&gt;&lt;D xsi:type="xsd:double"&gt;-8.75361&lt;/D&gt;&lt;D xsi:type="xsd:double"&gt;-8.205503&lt;/D&gt;&lt;D xsi:type="xsd:double"&gt;-2.5331616&lt;/D&gt;&lt;D xsi:type="xsd:double"&gt;14.382911&lt;/D&gt;&lt;D xsi:type="xsd:double"&gt;7.011175&lt;/D&gt;&lt;D xsi:type="xsd:double"&gt;2.9121876&lt;/D&gt;&lt;D xsi:type="xsd:double"&gt;3.352201&lt;/D&gt;&lt;D xsi:type="xsd:double"&gt;4.212296&lt;/D&gt;&lt;D xsi:type="xsd:double"&gt;-2.1624923&lt;/D&gt;&lt;D xsi:type="xsd:double"&gt;7.3125362&lt;/D&gt;&lt;D xsi:type="xsd:double"&gt;-2.2201061&lt;/D&gt;&lt;D xsi:type="xsd:double"&gt;-2.9066265&lt;/D&gt;&lt;D xsi:type="xsd:double"&gt;3.2396913&lt;/D&gt;&lt;D xsi:type="xsd:double"&gt;1.7080426&lt;/D&gt;&lt;D xsi:type="xsd:double"&gt;-6.5221667&lt;/D&gt;&lt;D xsi:type="xsd:double"&gt;-5.9527874&lt;/D&gt;&lt;D xsi:type="xsd:double"&gt;1.0458589&lt;/D&gt;&lt;D xsi:type="xsd:double"&gt;0.99778175&lt;/D&gt;&lt;D xsi:type="xsd:double"&gt;3.5565257&lt;/D&gt;&lt;D xsi:type="xsd:double"&gt;0.36040545&lt;/D&gt;&lt;D xsi:type="xsd:double"&gt;3.0629516&lt;/D&gt;&lt;D xsi:type="xsd:double"&gt;7.7884793&lt;/D&gt;&lt;D xsi:type="xsd:double"&gt;4.745531&lt;/D&gt;&lt;D xsi:type="xsd:double"&gt;-2.6674032&lt;/D&gt;&lt;D xsi:type="xsd:double"&gt;1.1150956&lt;/D&gt;&lt;D xsi:type="xsd:double"&gt;6.766355&lt;/D&gt;&lt;D xsi:type="xsd:double"&gt;3.3088207&lt;/D&gt;&lt;D xsi:type="xsd:double"&gt;-1.42349&lt;/D&gt;&lt;/FQL&gt;&lt;FQL&gt;&lt;Q&gt;VNM^FG_PRICE(0,-200D)&lt;/Q&gt;&lt;R&gt;201&lt;/R&gt;&lt;C&gt;1&lt;/C&gt;&lt;D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xsi:type="xsd:double"&gt;12.05&lt;/D&gt;&lt;D xsi:type="xsd:double"&gt;11.95&lt;/D&gt;&lt;D xsi:type="xsd:double"&gt;12.01&lt;/D&gt;&lt;D xsi:type="xsd:double"&gt;12&lt;/D&gt;&lt;D xsi:type="xsd:double"&gt;11.62&lt;/D&gt;&lt;D xsi:type="xsd:double"&gt;11.64&lt;/D&gt;&lt;D xsi:type="xsd:double"&gt;11.51&lt;/D&gt;&lt;D xsi:type="xsd:double"&gt;11.73&lt;/D&gt;&lt;D xsi:type="xsd:double"&gt;11.5&lt;/D&gt;&lt;D xsi:type="xsd:double"&gt;11.74&lt;/D&gt;&lt;D xsi:type="xsd:double"&gt;11.93&lt;/D&gt;&lt;D xsi:type="xsd:double"&gt;11.87&lt;/D&gt;&lt;D xsi:type="xsd:double"&gt;11.31&lt;/D&gt;&lt;D xsi:type="xsd:double"&gt;11.46&lt;/D&gt;&lt;D xsi:type="xsd:double"&gt;10.13&lt;/D&gt;&lt;D xsi:type="xsd:double"&gt;11.16&lt;/D&gt;&lt;D xsi:type="xsd:double"&gt;11.64&lt;/D&gt;&lt;D xsi:type="xsd:double"&gt;11.4&lt;/D&gt;&lt;D xsi:type="xsd:double"&gt;12.7&lt;/D&gt;&lt;D xsi:type="xsd:double"&gt;12.56&lt;/D&gt;&lt;D xsi:type="xsd:double"&gt;12.48&lt;/D&gt;&lt;D xsi:type="xsd:double"&gt;12.38&lt;/D&gt;&lt;D xsi:type="xsd:double"&gt;12.56&lt;/D&gt;&lt;D xsi:type="xsd:double"&gt;12.49&lt;/</t>
        </r>
      </text>
    </comment>
    <comment ref="A8" authorId="0" shapeId="0" xr:uid="{7250A6D8-DDA1-4ACD-9604-92FB9A62CE4E}">
      <text>
        <r>
          <rPr>
            <b/>
            <sz val="9"/>
            <color indexed="81"/>
            <rFont val="Tahoma"/>
            <charset val="1"/>
          </rPr>
          <t>D&gt;&lt;D xsi:type="xsd:double"&gt;12.69&lt;/D&gt;&lt;D xsi:type="xsd:double"&gt;12.7&lt;/D&gt;&lt;D xsi:type="xsd:double"&gt;12.54&lt;/D&gt;&lt;D xsi:type="xsd:double"&gt;12.4&lt;/D&gt;&lt;D xsi:type="xsd:double"&gt;12.6&lt;/D&gt;&lt;D xsi:type="xsd:double"&gt;12.62&lt;/D&gt;&lt;D xsi:type="xsd:double"&gt;12.76&lt;/D&gt;&lt;D xsi:type="xsd:double"&gt;12.66&lt;/D&gt;&lt;D xsi:type="xsd:double"&gt;12.44&lt;/D&gt;&lt;D xsi:type="xsd:double"&gt;12.58&lt;/D&gt;&lt;D xsi:type="xsd:double"&gt;12.41&lt;/D&gt;&lt;D xsi:type="xsd:double"&gt;12.24&lt;/D&gt;&lt;D xsi:type="xsd:double"&gt;12.4&lt;/D&gt;&lt;D xsi:type="xsd:double"&gt;12.2&lt;/D&gt;&lt;D xsi:type="xsd:double"&gt;11.95&lt;/D&gt;&lt;D xsi:type="xsd:double"&gt;11.97&lt;/D&gt;&lt;D xsi:type="xsd:double"&gt;12.04&lt;/D&gt;&lt;D xsi:type="xsd:double"&gt;12.04&lt;/D&gt;&lt;D xsi:type="xsd:double"&gt;11.965&lt;/D&gt;&lt;D xsi:type="xsd:double"&gt;11.89&lt;/D&gt;&lt;D xsi:type="xsd:double"&gt;11.94&lt;/D&gt;&lt;D xsi:type="xsd:double"&gt;11.945&lt;/D&gt;&lt;D xsi:type="xsd:double"&gt;11.75&lt;/D&gt;&lt;D xsi:type="xsd:double"&gt;11.82&lt;/D&gt;&lt;D xsi:type="xsd:double"&gt;11.77&lt;/D&gt;&lt;D xsi:type="xsd:double"&gt;11.51&lt;/D&gt;&lt;D xsi:type="xsd:double"&gt;11.48&lt;/D&gt;&lt;D xsi:type="xsd:double"&gt;11.49&lt;/D&gt;&lt;D xsi:type="xsd:double"&gt;11.33&lt;/D&gt;&lt;/FQL&gt;&lt;FQL&gt;&lt;Q&gt;EWN^FG_PRICE(0,-200D)&lt;/Q&gt;&lt;R&gt;201&lt;/R&gt;&lt;C&gt;1&lt;/C&gt;&lt;D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xsi:type="xsd:double"&gt;48.92&lt;/D&gt;&lt;D xsi:type="xsd:double"&gt;48.79&lt;/D&gt;&lt;D xsi:type="xsd:double"&gt;48.78&lt;/D&gt;&lt;D xsi:type="xsd:double"&gt;48.41&lt;/D&gt;&lt;D xsi:type="xsd:double"&gt;47.77&lt;/D&gt;&lt;D xsi:type="xsd:double"&gt;47.1&lt;/D&gt;&lt;D xsi:type="xsd:double"&gt;46.09&lt;/D&gt;&lt;D xsi:type="xsd:double"&gt;46.55&lt;/D&gt;&lt;D xsi:type="xsd:double"&gt;46.26&lt;/D&gt;&lt;D xsi:type="xsd:double"&gt;46.89&lt;/D&gt;&lt;D xsi:type="xsd:double"&gt;46.61&lt;/D&gt;&lt;D xsi:type="xsd:double"&gt;45.81&lt;/D&gt;&lt;D xsi:type="xsd:double"&gt;44.67&lt;/D&gt;&lt;D xsi:type="xsd:double"&gt;46.05&lt;/D&gt;&lt;D xsi:type="xsd:double"&gt;41.88&lt;/D&gt;&lt;D xsi:type="xsd:double"&gt;42.58&lt;/D&gt;&lt;D xsi:type="xsd:double"&gt;43.14&lt;/D&gt;&lt;D xsi:type="xsd:double"&gt;45.71&lt;/D&gt;&lt;D xsi:type="xsd:double"&gt;46.87&lt;/D&gt;&lt;D xsi:type="xsd:double"&gt;46.7&lt;/D&gt;&lt;D xsi:type="xsd:double"&gt;46.73&lt;/D&gt;&lt;D xsi:type="xsd:double"&gt;47.34&lt;/D&gt;&lt;D xsi:type="xsd:double"&gt;47.8176&lt;/D&gt;&lt;D xsi:type="xsd:double"&gt;47.8398&lt;/D&gt;&lt;D xsi:type="xsd:double"&gt;48.56&lt;/D&gt;&lt;D xsi:type="xsd:double"&gt;48.33&lt;/D&gt;&lt;D xsi:type="xsd:double"&gt;48.25&lt;/D&gt;&lt;D xsi:type="xsd:double"&gt;48.87&lt;/D&gt;&lt;D xsi:type="xsd:double"&gt;49.49&lt;/D&gt;&lt;D xsi:type="xsd:double"&gt;49.28&lt;/D&gt;&lt;D xsi:type="xsd:double"&gt;49.21&lt;/D&gt;&lt;D xsi:type="xsd:double"&gt;48.68&lt;/D&gt;&lt;D xsi:type="xsd:double"&gt;47.5801&lt;/D&gt;&lt;D xsi:type="xsd:double"&gt;48.12&lt;/D&gt;&lt;D xsi:type="xsd:double"&gt;47.81&lt;/D&gt;&lt;D xsi:type="xsd:double"&gt;47.48&lt;/D&gt;&lt;D xsi:type="xsd:double"&gt;49.36&lt;/D&gt;&lt;D xsi:type="xsd:double"&gt;48.48&lt;/D&gt;&lt;D xsi:type="xsd:double"&gt;49.02&lt;/D&gt;&lt;D xsi:type="xsd:double"&gt;47.8&lt;/D&gt;&lt;D xsi:type="xsd:double"&gt;47.37&lt;/D&gt;&lt;D xsi:type="xsd:double"&gt;47.17&lt;/D&gt;&lt;D xsi:type="xsd:double"&gt;47.08&lt;/D&gt;&lt;D xsi:type="xsd:double"&gt;48.46&lt;/D&gt;&lt;D xsi:type="xsd:double"&gt;48.58&lt;/D&gt;&lt;D xsi:type="xsd:double"&gt;48.18&lt;/D&gt;&lt;D xsi:type="xsd:double"&gt;48.17&lt;/D&gt;&lt;D xsi:type="xsd:double"&gt;48.53&lt;/D&gt;&lt;D xsi:type="xsd:double"&gt;48.38&lt;/D&gt;&lt;D xsi:type="xsd:double"&gt;49.15&lt;/D&gt;&lt;D xsi:type="xsd:double"&gt;48.94&lt;/D&gt;&lt;D xsi:type="xsd:double"&gt;48.75&lt;/D&gt;&lt;D xsi:type="xsd:double"&gt;47.9035&lt;/D&gt;&lt;/FQL&gt;&lt;FQL&gt;&lt;Q&gt;EWC^FG_PRICE(0,-200D)&lt;/Q&gt;&lt;R&gt;201&lt;/R&gt;&lt;C&gt;1&lt;/C&gt;&lt;D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xsi:type="xsd:double"&gt;42.45&lt;/D&gt;&lt;D xsi:type="xsd:double"&gt;42.37&lt;/D&gt;&lt;D xsi:type="xsd:double"&gt;42.04&lt;/D&gt;&lt;D xsi:type="xsd:double"&gt;42.06&lt;/D&gt;&lt;D xsi:type="xsd:double"&gt;41.52&lt;/D&gt;&lt;D xsi:type="xsd:double"&gt;41.39&lt;/D&gt;&lt;D xsi:type="xsd:double"&gt;40.77&lt;/D&gt;&lt;D xsi:type="xsd:double"&gt;41.1&lt;/D&gt;&lt;D xsi:type="xsd:double"&gt;40.83&lt;/D&gt;&lt;D xsi:type="xsd:double"&gt;40.53&lt;/D&gt;&lt;D xsi:type="xsd:double"&gt;40.44&lt;/D&gt;&lt;D xsi:type="xsd:double"&gt;39.87&lt;/D&gt;&lt;D xsi:type="xsd:double"&gt;38.74&lt;/D&gt;&lt;D xsi:type="xsd:double"&gt;39.54&lt;/D&gt;&lt;D xsi:type="xsd:double"&gt;37.17&lt;/D&gt;&lt;D xsi:type="xsd:double"&gt;37.79&lt;/D&gt;&lt;D xsi:type="xsd:double"&gt;38.41&lt;/D&gt;&lt;D xsi:type="xsd:double"&gt;40.62&lt;/D&gt;&lt;D xsi:type="xsd:double"&gt;41.59&lt;/D&gt;&lt;D xsi:type="xsd:double"&gt;41.13&lt;/D&gt;&lt;D xsi:type="xsd:double"&gt;40.75&lt;/D&gt;&lt;D xsi:type="xsd:double"&gt;40.57&lt;/D&gt;&lt;D xsi:type="xsd:double"&gt;41.25&lt;/D&gt;&lt;D xsi:type="xsd:double"&gt;41.38&lt;/D&gt;&lt;D xsi:type="xsd:double"&gt;41.71&lt;/D&gt;&lt;D xsi:type="xsd:double"&gt;41.51&lt;/D&gt;&lt;D xsi:type="xsd:double"&gt;40.88&lt;/D&gt;&lt;D xsi:type="xsd:double"&gt;41.03&lt;/D&gt;&lt;D xsi:type="xsd:double"&gt;41.04&lt;/D&gt;&lt;D xsi:type="xsd:double"&gt;40.52&lt;/D&gt;&lt;D xsi:type="xsd:double"&gt;40.69&lt;/D&gt;&lt;D xsi:type="xsd:double"&gt;40.11&lt;/D&gt;&lt;D xsi:type="xsd:double"&gt;39.3&lt;/D&gt;&lt;D xsi:type="xsd:double"&gt;39.84&lt;/D&gt;&lt;D xsi:type="xsd:double"&gt;39.48&lt;/D&gt;&lt;D xsi:type="xsd:double"&gt;39.68&lt;/D&gt;&lt;D xsi:type="xsd:double"&gt;40.47&lt;/D&gt;&lt;D xsi:type="xsd:double"&gt;40.37&lt;/D&gt;&lt;D xsi:type="xsd:double"&gt;40.73&lt;/D&gt;&lt;D xsi:type="xsd:double"&gt;39.77&lt;/D&gt;&lt;D xsi:type="xsd:double"&gt;40.45&lt;/D&gt;&lt;D xsi:type="xsd:double"&gt;41.23&lt;/D&gt;&lt;D xsi:type="xsd:double"&gt;40.8&lt;/D&gt;&lt;D xsi:type="xsd:double"&gt;41.43&lt;/D&gt;&lt;D xsi:type="xsd:double"&gt;41.35&lt;/D&gt;&lt;D xsi:type="xsd:double"&gt;41.38&lt;/D&gt;&lt;D xsi:type="xsd:double"&gt;41.55&lt;/D&gt;&lt;D xsi:type="xsd:double"&gt;42.22&lt;/D&gt;&lt;D xsi:type="xsd:double"&gt;42.23&lt;/D&gt;&lt;D xsi:type="xsd:double"&gt;42.44&lt;/D&gt;&lt;D xsi:type="xsd:double"&gt;42.17&lt;/D&gt;&lt;D xsi:type="xsd:double"&gt;42.52&lt;/D&gt;&lt;D xsi:type="xsd:double"&gt;41.96&lt;/D&gt;&lt;/FQL&gt;&lt;FQL&gt;&lt;Q&gt;QAT^FG_PRICE(0,-200D)&lt;/Q&gt;&lt;R&gt;201&lt;/R&gt;&lt;C&gt;1&lt;/C&gt;&lt;D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xsi:type="xsd:double"&gt;18.2&lt;/D&gt;&lt;D xsi:type="xsd:double"&gt;18.14&lt;/D&gt;&lt;D xsi:type="xsd:double"&gt;18.16&lt;/D&gt;&lt;D xsi:type="xsd:double"&gt;18.12&lt;/D&gt;&lt;D xsi:type="xsd:double"&gt;17.9&lt;/D&gt;&lt;D xsi:type="xsd:double"&gt;17.91&lt;/D&gt;&lt;D xsi:type="xsd:double"&gt;17.78&lt;/D&gt;&lt;D xsi:type="xsd:double"&gt;17.72&lt;/D&gt;&lt;D xsi:type="xsd:double"&gt;17.78&lt;/D&gt;&lt;D xsi:type="xsd:double"&gt;17.89&lt;/D&gt;&lt;D xsi:type="xsd:double"&gt;17.79&lt;/D&gt;&lt;D xsi:type="xsd:double"&gt;17.61&lt;/D&gt;&lt;D xsi:type="xsd:double"&gt;17.52&lt;/D&gt;&lt;D xsi:type="xsd:double"&gt;17.57&lt;/D&gt;&lt;D xsi:type="xsd:double"&gt;17.23&lt;/D&gt;&lt;D xsi:type="xsd:double"&gt;17.16&lt;/D&gt;&lt;D xsi:type="xsd:double"&gt;16.83&lt;/D&gt;&lt;D xsi:type="xsd:double"&gt;17.66&lt;/D&gt;&lt;D xsi:type="xsd:double"&gt;17.86&lt;/D&gt;&lt;D xsi:type="xsd:double"&gt;17.88&lt;/D&gt;&lt;D xsi:type="xsd:double"&gt;17.84&lt;/D&gt;&lt;D xsi:type="xsd:double"&gt;17.75&lt;/D&gt;&lt;D xsi:type="xsd:double"&gt;17.87&lt;/D&gt;&lt;D xsi:type="xsd:double"&gt;17.79&lt;/D&gt;&lt;D xsi:type="xsd:double"&gt;17.87&lt;/D&gt;&lt;D xsi:type="xsd:double"&gt;17.86&lt;/D&gt;&lt;D xsi:type="xsd:double"&gt;17.99&lt;/D&gt;&lt;D xsi:type="xsd:double"&gt;17.92&lt;/D&gt;&lt;D xsi:type="xsd:double"&gt;18.14&lt;/D&gt;&lt;D xsi:type="xsd:double"&gt;18.15&lt;/D&gt;&lt;D xsi:type="xsd:double"&gt;18.18&lt;/D&gt;&lt;D xsi:type="xsd:double"&gt;18.12&lt;/D&gt;&lt;D xsi:type="xsd:double"&gt;17.94&lt;/D&gt;&lt;D xsi:type="xsd:double"&gt;18.08&lt;/D&gt;&lt;D xsi:type="xsd:double"&gt;18.05&lt;/D&gt;&lt;D xsi:type="xsd:double"&gt;18.07&lt;/D&gt;&lt;D xsi:type="xsd:double"&gt;18.07&lt;/D&gt;&lt;D xsi:type="xsd:double"&gt;18.14&lt;/D&gt;&lt;D xsi:type="xsd:double"&gt;18.05&lt;/D&gt;&lt;D xsi:type="xsd:double"&gt;17.96&lt;/D&gt;&lt;D xsi:type="xsd:double"&gt;17.94&lt;/D&gt;&lt;D xsi:type="xsd:double"&gt;18&lt;/D&gt;&lt;D xsi:type="xsd:double"&gt;17.86&lt;/D&gt;&lt;D xsi:type="xsd:double"&gt;18.1&lt;/D&gt;&lt;D xsi:type="xsd:double"&gt;18.13&lt;/D&gt;&lt;D xsi:type="xsd:double"&gt;18.07&lt;/D&gt;&lt;D xsi:type="xsd:double"&gt;17.97&lt;/D&gt;&lt;D xsi:type="xsd:double"&gt;18.08&lt;/D&gt;&lt;D xsi:type="xsd:double"&gt;18.07&lt;/D&gt;&lt;D xsi:type="xsd:double"&gt;18.06&lt;/D&gt;&lt;D xsi:type="xsd:double"&gt;17.98&lt;/D&gt;&lt;D xsi:type="xsd:double"&gt;18.04&lt;/D&gt;&lt;D xsi:type="xsd:double"&gt;17.89&lt;/D&gt;&lt;/FQL&gt;&lt;FQL&gt;&lt;Q&gt;EWT^FG_PRICE(0,-200D)&lt;/Q&gt;&lt;R&gt;201&lt;/R&gt;&lt;C&gt;1&lt;/C&gt;&lt;D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xsi:type="xsd:double"&gt;47.15&lt;/D&gt;&lt;D xsi:type="xsd:double"&gt;46.47&lt;/D&gt;&lt;D xsi:type="xsd:double"&gt;46.34&lt;/D&gt;&lt;D xsi:type="xsd:double"&gt;46.18&lt;/D&gt;&lt;D xsi:type="xsd:double"&gt;45.5&lt;/D&gt;&lt;D xsi:type="xsd:double"&gt;44.33&lt;/D&gt;&lt;D xsi:type="xsd:double"&gt;44.22&lt;/D&gt;&lt;D xsi:type="xsd:double"&gt;44.88&lt;/D&gt;&lt;D xsi:type="xsd:double"&gt;44.99&lt;/D&gt;&lt;D xsi:type="xsd:double"&gt;46.05&lt;/D&gt;&lt;D xsi:type="xsd:double"&gt;45.77&lt;/D&gt;&lt;D xsi:type="xsd:double"&gt;45.62&lt;/D&gt;&lt;D xsi:type="xsd:double"&gt;43.32&lt;/D&gt;&lt;D xsi:type="xsd:double"&gt;44.79&lt;/D&gt;&lt;D xsi:type="xsd:double"&gt;40.95&lt;/D&gt;&lt;D xsi:type="xsd:double"&gt;42.03&lt;/D&gt;&lt;D xsi:type="xsd:double"&gt;43.82&lt;/D&gt;&lt;D xsi:type="xsd:double"&gt;46.05&lt;/D&gt;&lt;D xsi:type="xsd:double"&gt;48.48&lt;/D&gt;&lt;D xsi:type="xsd:double"&gt;48.2&lt;/D&gt;&lt;D xsi:type="xsd:double"&gt;47.48&lt;/D&gt;&lt;D xsi:type="xsd:double"&gt;47.82&lt;/D&gt;&lt;D xsi:type="xsd:double"&gt;49.2&lt;/D&gt;&lt;D xsi:type="xsd:double"&gt;49.51&lt;/D&gt;&lt;D xsi:type="xsd:double"&gt;50.46&lt;/D&gt;&lt;D xsi:type="xsd:double"&gt;50.38&lt;/D&gt;&lt;D xsi:type="xsd:double"&gt;50.22&lt;/D&gt;&lt;D xsi:type="xsd:double"&gt;50.28&lt;/D&gt;&lt;D xsi:type="xsd:double"&gt;50.14&lt;/D&gt;&lt;D xsi:type="xsd:double"&gt;50.2&lt;/D&gt;&lt;D xsi:type="xsd:double"&gt;50.71&lt;/D&gt;&lt;D xsi:type="xsd:double"&gt;50.27&lt;/D&gt;&lt;D xsi:type="xsd:double"&gt;49.63&lt;/D&gt;&lt;D xsi:type="xsd:double"&gt;50.67&lt;/D&gt;&lt;D xsi:type="xsd:double"&gt;49.98&lt;/D&gt;&lt;D xsi:type="xsd:double"&gt;49.89&lt;/D&gt;&lt;D xsi:type="xsd:double"&gt;51.23&lt;/D&gt;&lt;D xsi:type="xsd:double"&gt;50.79&lt;/D&gt;&lt;D xsi:type="xsd:double"&gt;52.07&lt;/D&gt;&lt;D xsi:type="xsd:double"&gt;51.04&lt;/D&gt;&lt;D xsi:type="xsd:double"&gt;50.25&lt;/D&gt;&lt;D xsi:type="xsd:double"&gt;50.81&lt;/D&gt;&lt;D xsi:type="xsd:double"&gt;50.83&lt;/D&gt;&lt;D xsi:type="xsd:double"&gt;53.08&lt;/D&gt;&lt;D xsi:type="xsd:double"&gt;52.37&lt;/D&gt;&lt;D xsi:type="xsd:double"&gt;52.57&lt;/D&gt;&lt;D xsi:type="xsd:double"&gt;52.95&lt;/D&gt;&lt;D xsi:type="xsd:double"&gt;53.17&lt;/D&gt;&lt;D xsi:type="xsd:double"&gt;53.11&lt;/D&gt;&lt;D xsi:type="xsd:double"&gt;53.17&lt;/D&gt;&lt;D xsi:type="xsd:double"&gt;52.75&lt;/D&gt;&lt;D xsi:type="xsd:double"&gt;52.87&lt;/D&gt;&lt;D xsi:type="xsd:double"&gt;52.35&lt;/D&gt;&lt;/FQL&gt;&lt;FQL&gt;&lt;Q&gt;CNYA^JULIAN(FG_PRICE(0,-200D).DATES)&lt;/Q&gt;&lt;R&gt;201&lt;/R&gt;&lt;C&gt;1&lt;/C&gt;&lt;D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</t>
        </r>
      </text>
    </comment>
    <comment ref="A9" authorId="0" shapeId="0" xr:uid="{2E74EE01-094C-4A33-9EE9-6693B2D99719}">
      <text>
        <r>
          <rPr>
            <b/>
            <sz val="9"/>
            <color indexed="81"/>
            <rFont val="Tahoma"/>
            <charset val="1"/>
          </rPr>
          <t xml:space="preserve">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xsi:type="xsd:long"&gt;45700&lt;/D&gt;&lt;/FQL&gt;&lt;FQL&gt;&lt;Q&gt;EWA^FG_PRICE(0,-200D)&lt;/Q&gt;&lt;R&gt;201&lt;/R&gt;&lt;C&gt;1&lt;/C&gt;&lt;D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xsi:type="xsd:double"&gt;24.55&lt;/D&gt;&lt;D xsi:type="xsd:double"&gt;24.52&lt;/D&gt;&lt;D xsi:type="xsd:double"&gt;24.51&lt;/D&gt;&lt;D xsi:type="xsd:double"&gt;24.51&lt;/D&gt;&lt;D xsi:type="xsd:double"&gt;24&lt;/D&gt;&lt;D xsi:type="xsd:double"&gt;23.96&lt;/D&gt;&lt;D xsi:type="xsd:double"&gt;23.48&lt;/D&gt;&lt;D xsi:type="xsd:double"&gt;23.61&lt;/D&gt;&lt;D xsi:type="xsd:double"&gt;23.42&lt;/D&gt;&lt;D xsi:type="xsd:double"&gt;23.36&lt;/D&gt;&lt;D xsi:type="xsd:double"&gt;23.29&lt;/D&gt;&lt;D xsi:type="xsd:double"&gt;22.77&lt;/D&gt;&lt;D xsi:type="xsd:double"&gt;22.35&lt;/D&gt;&lt;D xsi:type="xsd:double"&gt;22.81&lt;/D&gt;&lt;D xsi:type="xsd:double"&gt;20.82&lt;/D&gt;&lt;D xsi:type="xsd:double"&gt;20.85&lt;/D&gt;&lt;D xsi:type="xsd:double"&gt;21.15&lt;/D&gt;&lt;D xsi:type="xsd:double"&gt;23.25&lt;/D&gt;&lt;D xsi:type="xsd:double"&gt;23.89&lt;/D&gt;&lt;D xsi:type="xsd:double"&gt;23.71&lt;/D&gt;&lt;D xsi:type="xsd:double"&gt;23.44&lt;/D&gt;&lt;D xsi:type="xsd:double"&gt;23.47&lt;/D&gt;&lt;D xsi:type="xsd:double"&gt;23.75&lt;/D&gt;&lt;D xsi:type="xsd:double"&gt;23.71&lt;/D&gt;&lt;D xsi:type="xsd:double"&gt;23.81&lt;/D&gt;&lt;D xsi:type="xsd:double"&gt;23.7&lt;/D&gt;&lt;D xsi:type="xsd:double"&gt;23.43&lt;/D&gt;&lt;D xsi:type="xsd:double"&gt;23.53&lt;/D&gt;&lt;D xsi:type="xsd:double"&gt;23.65&lt;/D&gt;&lt;D xsi:type="xsd:double"&gt;23.43&lt;/D&gt;&lt;D xsi:type="xsd:double"&gt;23.87&lt;/D&gt;&lt;D xsi:type="xsd:double"&gt;23.5&lt;/D&gt;&lt;D xsi:type="xsd:double"&gt;23.02&lt;/D&gt;&lt;D xsi:type="xsd:double"&gt;23.31&lt;/D&gt;&lt;D xsi:type="xsd:double"&gt;23.32&lt;/D&gt;&lt;D xsi:type="xsd:double"&gt;23.42&lt;/D&gt;&lt;D xsi:type="xsd:double"&gt;23.89&lt;/D&gt;&lt;D xsi:type="xsd:double"&gt;24.02&lt;/D&gt;&lt;D xsi:type="xsd:double"&gt;24.41&lt;/D&gt;&lt;D xsi:type="xsd:double"&gt;23.92&lt;/D&gt;&lt;D xsi:type="xsd:double"&gt;23.95&lt;/D&gt;&lt;D xsi:type="xsd:double"&gt;23.99&lt;/D&gt;&lt;D xsi:type="xsd:double"&gt;24.07&lt;/D&gt;&lt;D xsi:type="xsd:double"&gt;24.44&lt;/D&gt;&lt;D xsi:type="xsd:double"&gt;24.54&lt;/D&gt;&lt;D xsi:type="xsd:double"&gt;24.63&lt;/D&gt;&lt;D xsi:type="xsd:double"&gt;24.55&lt;/D&gt;&lt;D xsi:type="xsd:double"&gt;25.09&lt;/D&gt;&lt;D xsi:type="xsd:double"&gt;25.04&lt;/D&gt;&lt;D xsi:type="xsd:double"&gt;25.42&lt;/D&gt;&lt;D xsi:type="xsd:double"&gt;25.47&lt;/D&gt;&lt;D xsi:type="xsd:double"&gt;25.66&lt;/D&gt;&lt;D xsi:type="xsd:double"&gt;25.26&lt;/D&gt;&lt;/FQL&gt;&lt;FQL&gt;&lt;Q&gt;EWM^FG_PRICE(0,-200D)&lt;/Q&gt;&lt;R&gt;201&lt;/R&gt;&lt;C&gt;1&lt;/C&gt;&lt;D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xsi:type="xsd:double"&gt;23.7&lt;/D&gt;&lt;D xsi:type="xsd:double"&gt;23.71&lt;/D&gt;&lt;D xsi:type="xsd:double"&gt;23.43&lt;/D&gt;&lt;D xsi:type="xsd:double"&gt;23.43&lt;/D&gt;&lt;D xsi:type="xsd:double"&gt;23.07&lt;/D&gt;&lt;D xsi:type="xsd:double"&gt;22.91&lt;/D&gt;&lt;D xsi:type="xsd:double"&gt;23.04&lt;/D&gt;&lt;D xsi:type="xsd:double"&gt;22.77&lt;/D&gt;&lt;D xsi:type="xsd:double"&gt;22.44&lt;/D&gt;&lt;D xsi:type="xsd:double"&gt;22.63&lt;/D&gt;&lt;D xsi:type="xsd:double"&gt;22.65&lt;/D&gt;&lt;D xsi:type="xsd:double"&gt;22.46&lt;/D&gt;&lt;D xsi:type="xsd:double"&gt;22.05&lt;/D&gt;&lt;D xsi:type="xsd:double"&gt;22.14&lt;/D&gt;&lt;D xsi:type="xsd:double"&gt;21.2&lt;/D&gt;&lt;D xsi:type="xsd:double"&gt;21.75&lt;/D&gt;&lt;D xsi:type="xsd:double"&gt;21.91&lt;/D&gt;&lt;D xsi:type="xsd:double"&gt;23.01&lt;/D&gt;&lt;D xsi:type="xsd:double"&gt;23.32&lt;/D&gt;&lt;D xsi:type="xsd:double"&gt;23.03&lt;/D&gt;&lt;D xsi:type="xsd:double"&gt;23.08&lt;/D&gt;&lt;D xsi:type="xsd:double"&gt;23&lt;/D&gt;&lt;D xsi:type="xsd:double"&gt;23.55&lt;/D&gt;&lt;D xsi:type="xsd:double"&gt;23.21&lt;/D&gt;&lt;D xsi:type="xsd:double"&gt;23.17&lt;/D&gt;&lt;D xsi:type="xsd:double"&gt;23&lt;/D&gt;&lt;D xsi:type="xsd:double"&gt;23.15&lt;/D&gt;&lt;D xsi:type="xsd:double"&gt;22.94&lt;/D&gt;&lt;D xsi:type="xsd:double"&gt;23.32&lt;/D&gt;&lt;D xsi:type="xsd:double"&gt;23.39&lt;/D&gt;&lt;D xsi:type="xsd:double"&gt;23.44&lt;/D&gt;&lt;D xsi:type="xsd:double"&gt;23.21&lt;/D&gt;&lt;D xsi:type="xsd:double"&gt;22.91&lt;/D&gt;&lt;D xsi:type="xsd:double"&gt;22.53&lt;/D&gt;&lt;D xsi:type="xsd:double"&gt;23.1&lt;/D&gt;&lt;D xsi:type="xsd:double"&gt;23.12&lt;/D&gt;&lt;D xsi:type="xsd:double"&gt;23.29&lt;/D&gt;&lt;D xsi:type="xsd:double"&gt;23.42&lt;/D&gt;&lt;D xsi:type="xsd:double"&gt;23.73&lt;/D&gt;&lt;D xsi:type="xsd:double"&gt;23.23&lt;/D&gt;&lt;D xsi:type="xsd:double"&gt;23.4&lt;/D&gt;&lt;D xsi:type="xsd:double"&gt;23.67&lt;/D&gt;&lt;D xsi:type="xsd:double"&gt;23.76&lt;/D&gt;&lt;D xsi:type="xsd:double"&gt;24.16&lt;/D&gt;&lt;D xsi:type="xsd:double"&gt;23.96&lt;/D&gt;&lt;D xsi:type="xsd:double"&gt;24.24&lt;/D&gt;&lt;D xsi:type="xsd:double"&gt;24.23&lt;/D&gt;&lt;D xsi:type="xsd:double"&gt;24.28&lt;/D&gt;&lt;D xsi:type="xsd:double"&gt;24.12&lt;/D&gt;&lt;D xsi:type="xsd:double"&gt;24.07&lt;/D&gt;&lt;D xsi:type="xsd:double"&gt;24.43&lt;/D&gt;&lt;D xsi:type="xsd:double"&gt;24.34&lt;/D&gt;&lt;D xsi:type="xsd:double"&gt;24.07&lt;/D&gt;&lt;/FQL&gt;&lt;FQL&gt;&lt;Q&gt;TUR^FG_TOTAL_RETURNC(-5AY,0,AM)&lt;/Q&gt;&lt;R&gt;61&lt;/R&gt;&lt;C&gt;1&lt;/C&gt;&lt;D xsi:type="xsd:double"&gt;26.663006&lt;/D&gt;&lt;D xsi:type="xsd:double"&gt;12.25872&lt;/D&gt;&lt;D xsi:type="xsd:double"&gt;5.896032&lt;/D&gt;&lt;D xsi:type="xsd:double"&gt;-2.124542&lt;/D&gt;&lt;D xsi:type="xsd:double"&gt;-13.922155&lt;/D&gt;&lt;D xsi:type="xsd:double"&gt;1.6086936&lt;/D&gt;&lt;D xsi:type="xsd:double"&gt;-1.8827558&lt;/D&gt;&lt;D xsi:type="xsd:double"&gt;-4.480648&lt;/D&gt;&lt;D xsi:type="xsd:double"&gt;0.3291011&lt;/D&gt;&lt;D xsi:type="xsd:double"&gt;11.29334&lt;/D&gt;&lt;D xsi:type="xsd:double"&gt;-11.410522&lt;/D&gt;&lt;D xsi:type="xsd:double"&gt;2.3288965&lt;/D&gt;&lt;D xsi:type="xsd:double"&gt;-9.42871&lt;/D&gt;&lt;D xsi:type="xsd:double"&gt;6.5763593&lt;/D&gt;&lt;D xsi:type="xsd:double"&gt;-4.784918&lt;/D&gt;&lt;D xsi:type="xsd:double"&gt;-4.9746275&lt;/D&gt;&lt;D xsi:type="xsd:double"&gt;6.7841887&lt;/D&gt;&lt;D xsi:type="xsd:double"&gt;12.556278&lt;/D&gt;&lt;D xsi:type="xsd:double"&gt;-8.311117&lt;/D&gt;&lt;D xsi:type="xsd:double"&gt;-1.7979503&lt;/D&gt;&lt;D xsi:type="xsd:double"&gt;-4.060918&lt;/D&gt;&lt;D xsi:type="xsd:double"&gt;17.989422&lt;/D&gt;&lt;D xsi:type="xsd:double"&gt;0.89685917&lt;/D&gt;&lt;D xsi:type="xsd:double"&gt;18.977785&lt;/D&gt;&lt;D xsi:type="xsd:double"&gt;24.54239&lt;/D&gt;&lt;D xsi:type="xsd:double"&gt;8.004654&lt;/D&gt;&lt;D xsi:type="xsd:double"&gt;-1.5908539&lt;/D&gt;&lt;D xsi:type="xsd:double"&gt;0.6239414&lt;/D&gt;&lt;D xsi:type="xsd:double"&gt;-7.9763174&lt;/D&gt;&lt;D xsi:type="xsd:double"&gt;-5.14549&lt;/D&gt;&lt;D xsi:type="xsd:double"&gt;-4.5204997&lt;/D&gt;&lt;D xsi:type="xsd:double"&gt;-1.8331528&lt;/D&gt;&lt;D xsi:type="xsd:double"&gt;18.915058&lt;/D&gt;&lt;D xsi:type="xsd:double"&gt;14.090633&lt;/D&gt;&lt;D xsi:type="xsd:double"&gt;0.065767765&lt;/D&gt;&lt;D xsi:type="xsd:double"&gt;-10.620403&lt;/D&gt;&lt;D xsi:type="xsd:double"&gt;6.029415&lt;/D&gt;&lt;D xsi:type="xsd:double"&gt;-10.041195&lt;/D&gt;&lt;D xsi:type="xsd:double"&gt;9.971952&lt;/D&gt;&lt;D xsi:type="xsd:double"&gt;5.695665&lt;/D&gt;&lt;D xsi:type="xsd:double"&gt;-3.6461115&lt;/D&gt;&lt;D xsi:type="xsd:double"&gt;10.378408&lt;/D&gt;&lt;D xsi:type="xsd:double"&gt;9.024453&lt;/D&gt;&lt;D xsi:type="xsd:double"&gt;-1.6413987&lt;/D&gt;&lt;D xsi:type="xsd:double"&gt;1.7134786&lt;/D&gt;&lt;D xsi:type="xsd:double"&gt;-13.944787&lt;/D&gt;&lt;D xsi:type="xsd:double"&gt;0&lt;/D&gt;&lt;D xsi:type="xsd:double"&gt;-7.803154&lt;/D&gt;&lt;D xsi:type="xsd:double"&gt;6.576228&lt;/D&gt;&lt;D xsi:type="xsd:double"&gt;2.8390408&lt;/D&gt;&lt;D xsi:type="xsd:double"&gt;-0.99945664&lt;/D&gt;&lt;D xsi:type="xsd:double"&gt;-6.466585&lt;/D&gt;&lt;D xsi:type="xsd:double"&gt;-4.6966195&lt;/D&gt;&lt;D xsi:type="xsd:double"&gt;-3.6424816&lt;/D&gt;&lt;D xsi:type="xsd:double"&gt;-2.9224932&lt;/D&gt;&lt;D xsi:type="xsd:double"&gt;1.289475&lt;/D&gt;&lt;D xsi:type="xsd:double"&gt;9.642506&lt;/D&gt;&lt;D xsi:type="xsd:double"&gt;6.3117027&lt;/D&gt;&lt;D xsi:type="xsd:double"&gt;-2.1665752&lt;/D&gt;&lt;D xsi:type="xsd:double"&gt;-2.2720754&lt;/D&gt;&lt;D xsi:type="xsd:double"&gt;-1.4125943&lt;/D&gt;&lt;/FQL&gt;&lt;FQL&gt;&lt;Q&gt;SPY^FG_PRICE(0,-200D)&lt;/Q&gt;&lt;R&gt;201&lt;/R&gt;&lt;C&gt;1&lt;/C&gt;&lt;D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xsi:type="xsd:double"&gt;554.32&lt;/D&gt;&lt;D xsi:type="xsd:double"&gt;550.85&lt;/D&gt;&lt;D xsi:type="xsd:double"&gt;550.64&lt;/D&gt;&lt;D xsi:type="xsd:double"&gt;546.69&lt;/D&gt;&lt;D xsi:type="xsd:double"&gt;535.42&lt;/D&gt;&lt;D xsi:type="xsd:double"&gt;527.25&lt;/D&gt;&lt;D xsi:type="xsd:double"&gt;513.88&lt;/D&gt;&lt;D xsi:type="xsd:double"&gt;526.41&lt;/D&gt;&lt;D xsi:type="xsd:double"&gt;525.66&lt;/D&gt;&lt;D xsi:type="xsd:double"&gt;537.61&lt;/D&gt;&lt;D xsi:type="xsd:double"&gt;539.12&lt;/D&gt;&lt;D xsi:type="xsd:double"&gt;533.94&lt;/D&gt;&lt;D xsi:type="xsd:double"&gt;524.58&lt;/D&gt;&lt;D xsi:type="xsd:double"&gt;548.62&lt;/D&gt;&lt;D xsi:type="xsd:double"&gt;496.48&lt;/D&gt;&lt;D xsi:type="xsd:double"&gt;504.38&lt;/D&gt;&lt;D xsi:type="xsd:double"&gt;505.28&lt;/D&gt;&lt;D xsi:type="xsd:double"&gt;536.7&lt;/D&gt;&lt;D xsi:type="xsd:double"&gt;564.52&lt;/D&gt;&lt;D xsi:type="xsd:double"&gt;560.97&lt;/D&gt;&lt;D xsi:type="xsd:double"&gt;559.39&lt;/D&gt;&lt;D xsi:type="xsd:double"&gt;555.66&lt;/D&gt;&lt;D xsi:type="xsd:double"&gt;567.08&lt;/D&gt;&lt;D xsi:type="xsd:double"&gt;568.59&lt;/D&gt;&lt;D xsi:type="xsd:double"&gt;575.46&lt;/D&gt;&lt;D xsi:type="xsd:double"&gt;574.08&lt;/D&gt;&lt;D xsi:type="xsd:double"&gt;563.98&lt;/D&gt;&lt;D xsi:type="xsd:double"&gt;565.49&lt;/D&gt;&lt;D xsi:type="xsd:double"&gt;567.13&lt;/D&gt;&lt;D xsi:type="xsd:double"&gt;561.02&lt;/D&gt;&lt;D xsi:type="xsd:double"&gt;567.15&lt;/D&gt;&lt;D xsi:type="xsd:double"&gt;562.81&lt;/D&gt;&lt;D xsi:type="xsd:double"&gt;551.42&lt;/D&gt;&lt;D xsi:type="xsd:double"&gt;558.87&lt;/D&gt;&lt;D xsi:type="xsd:double"&gt;555.92&lt;/D&gt;&lt;D xsi:type="xsd:double"&gt;560.58&lt;/D&gt;&lt;D xsi:type="xsd:double"&gt;575.92&lt;/D&gt;&lt;D xsi:type="xsd:double"&gt;572.71&lt;/D&gt;&lt;D xsi:type="xsd:double"&gt;583.06&lt;/D&gt;&lt;D xsi:type="xsd:double"&gt;576.86&lt;/D&gt;&lt;D xsi:type="xsd:double"&gt;583.77&lt;/D&gt;&lt;D xsi:type="xsd:double"&gt;594.18&lt;/D&gt;&lt;D xsi:type="xsd:double"&gt;585.05&lt;/D&gt;&lt;D xsi:type="xsd:double"&gt;594.54&lt;/D&gt;&lt;D xsi:type="xsd:double"&gt;594.24&lt;/D&gt;&lt;D xsi:type="xsd:double"&gt;597.21&lt;/D&gt;&lt;D xsi:type="xsd:double"&gt;599.94&lt;/D&gt;&lt;D xsi:type="xsd:double"&gt;610.38&lt;/D&gt;&lt;D xsi:type="xsd:double"&gt;612.93&lt;/D&gt;&lt;D xsi:type="xsd:double"&gt;611.49&lt;/D&gt;&lt;D xsi:type="xsd:double"&gt;609.7&lt;/D&gt;&lt;D xsi:type="xsd:double"&gt;609.73&lt;/D&gt;&lt;D xsi:type="xsd:double"&gt;603.36&lt;/D&gt;&lt;/FQL&gt;&lt;FQL&gt;&lt;Q&gt;INDA^FG_PRICE(0,-200D)&lt;/Q&gt;&lt;R&gt;201&lt;/R&gt;&lt;C&gt;1&lt;/C&gt;&lt;D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xsi:type="xsd:double"&gt;53.54&lt;/D&gt;&lt;D xsi:type="xsd:double"&gt;53.29&lt;/D&gt;&lt;D xsi:type="xsd:double"&gt;52.85&lt;/D&gt;&lt;D xsi:type="xsd:double"&gt;53.74&lt;/D&gt;&lt;D xsi:type="xsd:double"&gt;53.18&lt;/D&gt;&lt;D xsi:type="xsd:double"&gt;53.5&lt;/D&gt;&lt;D xsi:type="xsd:double"&gt;53&lt;/D&gt;&lt;D xsi:type="xsd:double"&gt;52.26&lt;/D&gt;&lt;D xsi:type="xsd:double"&gt;51.13&lt;/D&gt;&lt;D xsi:type="xsd:double"&gt;51.13&lt;/D&gt;&lt;D xsi:type="xsd:double"&gt;51.03&lt;/D&gt;&lt;D xsi:type="xsd:double"&gt;50.76&lt;/D&gt;&lt;D xsi:type="xsd:double"&gt;50.52&lt;/D&gt;&lt;D xsi:type="xsd:double"&gt;51.22&lt;/D&gt;&lt;D xsi:type="xsd:double"&gt;49.16&lt;/D&gt;&lt;D xsi:type="xsd:double"&gt;49.13&lt;/D&gt;&lt;D xsi:type="xsd:double"&gt;49.19&lt;/D&gt;&lt;D xsi:type="xsd:double"&gt;51.18&lt;/D&gt;&lt;D xsi:type="xsd:double"&gt;51.56&lt;/D&gt;&lt;D xsi:type="xsd:double"&gt;51.05&lt;/D&gt;&lt;D xsi:type="xsd:double"&gt;51.48&lt;/D&gt;&lt;D xsi:type="xsd:double"&gt;51.28&lt;/D&gt;&lt;D xsi:type="xsd:double"&gt;51.79&lt;/D&gt;&lt;D xsi:type="xsd:double"&gt;51.4&lt;/D&gt;&lt;D xsi:type="xsd:double"&gt;52.04&lt;/D&gt;&lt;D xsi:type="xsd:double"&gt;52.12&lt;/D&gt;&lt;D xsi:type="xsd:double"&gt;51.47&lt;/D&gt;&lt;D xsi:type="xsd:double"&gt;50.76&lt;/D&gt;&lt;D xsi:type="xsd:double"&gt;50.61&lt;/D&gt;&lt;D xsi:type="xsd:double"&gt;49.88&lt;/D&gt;&lt;D xsi:type="xsd:double"&gt;49.44&lt;/D&gt;&lt;D xsi:type="xsd:double"&gt;48.91&lt;/D&gt;&lt;D xsi:type="xsd:double"&gt;48.51&lt;/D&gt;&lt;D xsi:type="xsd:double"&gt;48.73&lt;/D&gt;&lt;D xsi:type="xsd:double"&gt;48.66&lt;/D&gt;&lt;D xsi:type="xsd:double"&gt;48.36&lt;/D&gt;&lt;D xsi:type="xsd:double"&gt;49.08&lt;/D&gt;&lt;D xsi:type="xsd:double"&gt;48.94&lt;/D&gt;&lt;D xsi:type="xsd:double"&gt;48.93&lt;/D&gt;&lt;D xsi:type="xsd:double"&gt;47.85&lt;/D&gt;&lt;D xsi:type="xsd:double"&gt;47.8&lt;/D&gt;&lt;D xsi:type="xsd:double"&gt;48.1&lt;/D&gt;&lt;D xsi:type="xsd:double"&gt;48.55&lt;/D&gt;&lt;D xsi:type="xsd:double"&gt;49.02&lt;/D&gt;&lt;D xsi:type="xsd:double"&gt;49.25&lt;/D&gt;&lt;D xsi:type="xsd:double"&gt;49.26&lt;/D&gt;&lt;D xsi:type="xsd:double"&gt;49.3&lt;/D&gt;&lt;D xsi:type="xsd:double"&gt;50.08&lt;/D&gt;&lt;D xsi:type="xsd:double"&gt;49.76&lt;/D&gt;&lt;D xsi:type="xsd:double"&gt;49.58&lt;/D&gt;&lt;D xsi:type="xsd:double"&gt;49.59&lt;/D&gt;&lt;D xsi:type="xsd:double"&gt;50.39&lt;/D&gt;&lt;D xsi:type="xsd:double"&gt;49.8&lt;/D&gt;&lt;/FQL&gt;&lt;FQL&gt;&lt;Q&gt;EPU^FG_PRICE(0,-200D)&lt;/Q&gt;&lt;R&gt;201&lt;/R&gt;&lt;C&gt;1&lt;/C&gt;&lt;D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</t>
        </r>
      </text>
    </comment>
    <comment ref="A10" authorId="0" shapeId="0" xr:uid="{CDAE5E16-514E-4C1E-A720-7EB4962A1E2F}">
      <text>
        <r>
          <rPr>
            <b/>
            <sz val="9"/>
            <color indexed="81"/>
            <rFont val="Tahoma"/>
            <charset val="1"/>
          </rPr>
          <t>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xsi:type="xsd:double"&gt;44.8&lt;/D&gt;&lt;D xsi:type="xsd:double"&gt;44.6021&lt;/D&gt;&lt;D xsi:type="xsd:double"&gt;44.4285&lt;/D&gt;&lt;D xsi:type="xsd:double"&gt;44.55&lt;/D&gt;&lt;D xsi:type="xsd:double"&gt;43.98&lt;/D&gt;&lt;D xsi:type="xsd:double"&gt;43.836&lt;/D&gt;&lt;D xsi:type="xsd:double"&gt;43.48&lt;/D&gt;&lt;D xsi:type="xsd:double"&gt;43.2&lt;/D&gt;&lt;D xsi:type="xsd:double"&gt;43.3511&lt;/D&gt;&lt;D xsi:type="xsd:double"&gt;43.15&lt;/D&gt;&lt;D xsi:type="xsd:double"&gt;43.14&lt;/D&gt;&lt;D xsi:type="xsd:double"&gt;42.085&lt;/D&gt;&lt;D xsi:type="xsd:double"&gt;40.8059&lt;/D&gt;&lt;D xsi:type="xsd:double"&gt;41.46&lt;/D&gt;&lt;D xsi:type="xsd:double"&gt;38.53&lt;/D&gt;&lt;D xsi:type="xsd:double"&gt;39.07&lt;/D&gt;&lt;D xsi:type="xsd:double"&gt;40.05&lt;/D&gt;&lt;D xsi:type="xsd:double"&gt;43.42&lt;/D&gt;&lt;D xsi:type="xsd:double"&gt;44.85&lt;/D&gt;&lt;D xsi:type="xsd:double"&gt;44.57&lt;/D&gt;&lt;D xsi:type="xsd:double"&gt;43.89&lt;/D&gt;&lt;D xsi:type="xsd:double"&gt;44.2008&lt;/D&gt;&lt;D xsi:type="xsd:double"&gt;44.86&lt;/D&gt;&lt;D xsi:type="xsd:double"&gt;44.4931&lt;/D&gt;&lt;D xsi:type="xsd:double"&gt;45.2331&lt;/D&gt;&lt;D xsi:type="xsd:double"&gt;44.6&lt;/D&gt;&lt;D xsi:type="xsd:double"&gt;44.66&lt;/D&gt;&lt;D xsi:type="xsd:double"&gt;44.5894&lt;/D&gt;&lt;D xsi:type="xsd:double"&gt;44.48&lt;/D&gt;&lt;D xsi:type="xsd:double"&gt;44.2814&lt;/D&gt;&lt;D xsi:type="xsd:double"&gt;44.12&lt;/D&gt;&lt;D xsi:type="xsd:double"&gt;43.37&lt;/D&gt;&lt;D xsi:type="xsd:double"&gt;42.25&lt;/D&gt;&lt;D xsi:type="xsd:double"&gt;41.7471&lt;/D&gt;&lt;D xsi:type="xsd:double"&gt;41.1012&lt;/D&gt;&lt;D xsi:type="xsd:double"&gt;40.6935&lt;/D&gt;&lt;D xsi:type="xsd:double"&gt;41.5776&lt;/D&gt;&lt;D xsi:type="xsd:double"&gt;41.46&lt;/D&gt;&lt;D xsi:type="xsd:double"&gt;41.4694&lt;/D&gt;&lt;D xsi:type="xsd:double"&gt;40.4409&lt;/D&gt;&lt;D xsi:type="xsd:double"&gt;40.5245&lt;/D&gt;&lt;D xsi:type="xsd:double"&gt;40.9415&lt;/D&gt;&lt;D xsi:type="xsd:double"&gt;40.6676&lt;/D&gt;&lt;D xsi:type="xsd:double"&gt;41.4594&lt;/D&gt;&lt;D xsi:type="xsd:double"&gt;40.996&lt;/D&gt;&lt;D xsi:type="xsd:double"&gt;41.0138&lt;/D&gt;&lt;D xsi:type="xsd:double"&gt;41.09&lt;/D&gt;&lt;D xsi:type="xsd:double"&gt;42.13&lt;/D&gt;&lt;D xsi:type="xsd:double"&gt;41.6891&lt;/D&gt;&lt;D xsi:type="xsd:double"&gt;42.0243&lt;/D&gt;&lt;D xsi:type="xsd:double"&gt;42.28&lt;/D&gt;&lt;D xsi:type="xsd:double"&gt;42.18&lt;/D&gt;&lt;D xsi:type="xsd:double"&gt;41.7901&lt;/D&gt;&lt;/FQL&gt;&lt;FQL&gt;&lt;Q&gt;SET-BKK^FG_TOTAL_RETURNC(-5AY,0,AM)&lt;/Q&gt;&lt;R&gt;61&lt;/R&gt;&lt;C&gt;1&lt;/C&gt;&lt;D xsi:type="xsd:double"&gt;19.027447&lt;/D&gt;&lt;D xsi:type="xsd:double"&gt;1.0356307&lt;/D&gt;&lt;D xsi:type="xsd:double"&gt;1.0904074&lt;/D&gt;&lt;D xsi:type="xsd:double"&gt;1.925087&lt;/D&gt;&lt;D xsi:type="xsd:double"&gt;5.216527&lt;/D&gt;&lt;D xsi:type="xsd:double"&gt;0.12255907&lt;/D&gt;&lt;D xsi:type="xsd:double"&gt;0.32914877&lt;/D&gt;&lt;D xsi:type="xsd:double"&gt;-0.17762184&lt;/D&gt;&lt;D xsi:type="xsd:double"&gt;-2.630496&lt;/D&gt;&lt;D xsi:type="xsd:double"&gt;4.7846317&lt;/D&gt;&lt;D xsi:type="xsd:double"&gt;0.3289461&lt;/D&gt;&lt;D xsi:type="xsd:double"&gt;0.48314333&lt;/D&gt;&lt;D xsi:type="xsd:double"&gt;-0.8434415&lt;/D&gt;&lt;D xsi:type="xsd:double"&gt;1.9191504&lt;/D&gt;&lt;D xsi:type="xsd:double"&gt;-0.12244582&lt;/D&gt;&lt;D xsi:type="xsd:double"&gt;2.7855873&lt;/D&gt;&lt;D xsi:type="xsd:double"&gt;-0.05221963&lt;/D&gt;&lt;D xsi:type="xsd:double"&gt;-0.98320246&lt;/D&gt;&lt;D xsi:type="xsd:double"&gt;-1.73828&lt;/D&gt;&lt;D xsi:type="xsd:double"&gt;-2.7020633&lt;/D&gt;&lt;D xsi:type="xsd:double"&gt;-1.1326611&lt;/D&gt;&lt;D xsi:type="xsd:double"&gt;4.3370724&lt;/D&gt;&lt;D xsi:type="xsd:double"&gt;-2.769369&lt;/D&gt;&lt;D xsi:type="xsd:double"&gt;0.4276991&lt;/D&gt;&lt;D xsi:type="xsd:double"&gt;0.67493916&lt;/D&gt;&lt;D xsi:type="xsd:double"&gt;1.8782735&lt;/D&gt;&lt;D xsi:type="xsd:double"&gt;2.0652294&lt;/D&gt;&lt;D xsi:type="xsd:double"&gt;-3.5062194&lt;/D&gt;&lt;D xsi:type="xsd:double"&gt;-0.9517014&lt;/D&gt;&lt;D xsi:type="xsd:double"&gt;-4.84097&lt;/D&gt;&lt;D xsi:type="xsd:double"&gt;0.112485886&lt;/D&gt;&lt;D xsi:type="xsd:double"&gt;-4.1748285&lt;/D&gt;&lt;D xsi:type="xsd:double"&gt;5.2040577&lt;/D&gt;&lt;D xsi:type="xsd:double"&gt;1.276505&lt;/D&gt;&lt;D xsi:type="xsd:double"&gt;-5.1715612&lt;/D&gt;&lt;D xsi:type="xsd:double"&gt;-6.336111&lt;/D&gt;&lt;D xsi:type="xsd:double"&gt;0.9501338&lt;/D&gt;&lt;D xsi:type="xsd:double"&gt;1.0296702&lt;/D&gt;&lt;D xsi:type="xsd:double"&gt;-3.3689976&lt;/D&gt;&lt;D xsi:type="xsd:double"&gt;1.0159731&lt;/D&gt;&lt;D xsi:type="xsd:double"&gt;-0.8472979&lt;/D&gt;&lt;D xsi:type="xsd:double"&gt;-0.75894&lt;/D&gt;&lt;D xsi:type="xsd:double"&gt;0.20295382&lt;/D&gt;&lt;D xsi:type="xsd:double"&gt;-4.53071&lt;/D&gt;&lt;D xsi:type="xsd:double"&gt;0.48041344&lt;/D&gt;&lt;D xsi:type="xsd:double"&gt;4.475951&lt;/D&gt;&lt;D xsi:type="xsd:double"&gt;6.1820865&lt;/D&gt;&lt;D xsi:type="xsd:double"&gt;0.19860268&lt;/D&gt;&lt;D xsi:type="xsd:double"&gt;-1.7219186&lt;/D&gt;&lt;D xsi:type="xsd:double"&gt;-1.8592358&lt;/D&gt;&lt;D xsi:type="xsd:double"&gt;-3.9737105&lt;/D&gt;&lt;D xsi:type="xsd:double"&gt;-10.555297&lt;/D&gt;&lt;D xsi:type="xsd:double"&gt;-2.3485541&lt;/D&gt;&lt;D xsi:type="xsd:double"&gt;-1.3543665&lt;/D&gt;&lt;D xsi:type="xsd:double"&gt;0.10434389&lt;/D&gt;&lt;D xsi:type="xsd:double"&gt;-6.7474127&lt;/D&gt;&lt;D xsi:type="xsd:double"&gt;12.447107&lt;/D&gt;&lt;D xsi:type="xsd:double"&gt;2.7063131&lt;/D&gt;&lt;D xsi:type="xsd:double"&gt;2.2918344&lt;/D&gt;&lt;D xsi:type="xsd:double"&gt;2.779305&lt;/D&gt;&lt;D xsi:type="xsd:double"&gt;-4.381871&lt;/D&gt;&lt;/FQL&gt;&lt;FQL&gt;&lt;Q&gt;GREK^FG_PRICE(0,-200D)&lt;/Q&gt;&lt;R&gt;201&lt;/R&gt;&lt;C&gt;1&lt;/C&gt;&lt;D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xsi:type="xsd:double"&gt;49.99&lt;/D&gt;&lt;D xsi:type="xsd:double"&gt;49.71&lt;/D&gt;&lt;D xsi:type="xsd:double"&gt;49.52&lt;/D&gt;&lt;D xsi:type="xsd:double"&gt;49.95&lt;/D&gt;&lt;D xsi:type="xsd:double"&gt;49.35&lt;/D&gt;&lt;D xsi:type="xsd:double"&gt;49.05&lt;/D&gt;&lt;D xsi:type="xsd:double"&gt;47.02&lt;/D&gt;&lt;D xsi:type="xsd:double"&gt;47.34&lt;/D&gt;&lt;D xsi:type="xsd:double"&gt;47.35&lt;/D&gt;&lt;D xsi:type="xsd:double"&gt;47.415&lt;/D&gt;&lt;D xsi:type="xsd:double"&gt;46.92&lt;/D&gt;&lt;D xsi:type="xsd:double"&gt;45.92&lt;/D&gt;&lt;D xsi:type="xsd:double"&gt;44.76&lt;/D&gt;&lt;D xsi:type="xsd:double"&gt;44.85&lt;/D&gt;&lt;D xsi:type="xsd:double"&gt;42.65&lt;/D&gt;&lt;D xsi:type="xsd:double"&gt;40.77&lt;/D&gt;&lt;D xsi:type="xsd:double"&gt;43.59&lt;/D&gt;&lt;D xsi:type="xsd:double"&gt;47.32&lt;/D&gt;&lt;D xsi:type="xsd:double"&gt;48.1&lt;/D&gt;&lt;D xsi:type="xsd:double"&gt;47.63&lt;/D&gt;&lt;D xsi:type="xsd:double"&gt;46.97&lt;/D&gt;&lt;D xsi:type="xsd:double"&gt;48.4701&lt;/D&gt;&lt;D xsi:type="xsd:double"&gt;48.9&lt;/D&gt;&lt;D xsi:type="xsd:double"&gt;48.42&lt;/D&gt;&lt;D xsi:type="xsd:double"&gt;48.48&lt;/D&gt;&lt;D xsi:type="xsd:double"&gt;48.31&lt;/D&gt;&lt;D xsi:type="xsd:double"&gt;46.99&lt;/D&gt;&lt;D xsi:type="xsd:double"&gt;47.865&lt;/D&gt;&lt;D xsi:type="xsd:double"&gt;48.03&lt;/D&gt;&lt;D xsi:type="xsd:double"&gt;48.1505&lt;/D&gt;&lt;D xsi:type="xsd:double"&gt;48.59&lt;/D&gt;&lt;D xsi:type="xsd:double"&gt;47.95&lt;/D&gt;&lt;D xsi:type="xsd:double"&gt;46.83&lt;/D&gt;&lt;D xsi:type="xsd:double"&gt;46.85&lt;/D&gt;&lt;D xsi:type="xsd:double"&gt;45.64&lt;/D&gt;&lt;D xsi:type="xsd:double"&gt;44.77&lt;/D&gt;&lt;D xsi:type="xsd:double"&gt;45.53&lt;/D&gt;&lt;D xsi:type="xsd:double"&gt;44.85&lt;/D&gt;&lt;D xsi:type="xsd:double"&gt;45.28&lt;/D&gt;&lt;D xsi:type="xsd:double"&gt;43.36&lt;/D&gt;&lt;D xsi:type="xsd:double"&gt;43.25&lt;/D&gt;&lt;D xsi:type="xsd:double"&gt;42.58&lt;/D&gt;&lt;D xsi:type="xsd:double"&gt;42.0296&lt;/D&gt;&lt;D xsi:type="xsd:double"&gt;42.4371&lt;/D&gt;&lt;D xsi:type="xsd:double"&gt;42.663&lt;/D&gt;&lt;D xsi:type="xsd:double"&gt;42.46&lt;/D&gt;&lt;D xsi:type="xsd:double"&gt;43.1&lt;/D&gt;&lt;D xsi:type="xsd:double"&gt;43.26&lt;/D&gt;&lt;D xsi:type="xsd:double"&gt;42.79&lt;/D&gt;&lt;D xsi:type="xsd:double"&gt;43.24&lt;/D&gt;&lt;D xsi:type="xsd:double"&gt;42.93&lt;/D&gt;&lt;D xsi:type="xsd:double"&gt;42.78&lt;/D&gt;&lt;D xsi:type="xsd:double"&gt;41.984&lt;/D&gt;&lt;/FQL&gt;&lt;FQL&gt;&lt;Q&gt;QAT^FG_TOTAL_RETURNC(-5AY,0,AM)&lt;/Q&gt;&lt;R&gt;61&lt;/R&gt;&lt;C&gt;1&lt;/C&gt;&lt;D xsi:type="xsd:double"&gt;4.9382687&lt;/D&gt;&lt;D xsi:type="xsd:double"&gt;4.3697357&lt;/D&gt;&lt;D xsi:type="xsd:double"&gt;1.341927&lt;/D&gt;&lt;D xsi:type="xsd:double"&gt;-4.766947&lt;/D&gt;&lt;D xsi:type="xsd:double"&gt;4.226923&lt;/D&gt;&lt;D xsi:type="xsd:double"&gt;5.6563497&lt;/D&gt;&lt;D xsi:type="xsd:double"&gt;-2.2504985&lt;/D&gt;&lt;D xsi:type="xsd:double"&gt;-0.80580115&lt;/D&gt;&lt;D xsi:type="xsd:double"&gt;-0.3461182&lt;/D&gt;&lt;D xsi:type="xsd:double"&gt;5.476892&lt;/D&gt;&lt;D xsi:type="xsd:double"&gt;1.7730474&lt;/D&gt;&lt;D xsi:type="xsd:double"&gt;4.1314125&lt;/D&gt;&lt;D xsi:type="xsd:double"&gt;-3.3460855&lt;/D&gt;&lt;D xsi:type="xsd:double"&gt;1.5292525&lt;/D&gt;&lt;D xsi:type="xsd:double"&gt;7.085979&lt;/D&gt;&lt;D xsi:type="xsd:double"&gt;4.787755&lt;/D&gt;&lt;D xsi:type="xsd:double"&gt;5.790162&lt;/D&gt;&lt;D xsi:type="xsd:double"&gt;-2.057612&lt;/D&gt;&lt;D xsi:type="xsd:double"&gt;-3.6554575&lt;/D&gt;&lt;D xsi:type="xsd:double"&gt;-5.3865967&lt;/D&gt;&lt;D xsi:type="xsd:double"&gt;5.436349&lt;/D&gt;&lt;D xsi:type="xsd:double"&gt;4.568064&lt;/D&gt;&lt;D xsi:type="xsd:double"&gt;-7.8287244&lt;/D&gt;&lt;D xsi:type="xsd:double"&gt;-1.6893446&lt;/D&gt;&lt;D xsi:type="xsd:double"&gt;-4.534608&lt;/D&gt;&lt;D xsi:type="xsd:double"&gt;-7.363838&lt;/D&gt;&lt;D xsi:type="xsd:double"&gt;5.1059246&lt;/D&gt;&lt;D xsi:type="xsd:double"&gt;-5.581397&lt;/D&gt;&lt;D xsi:type="xsd:double"&gt;-0.6020844&lt;/D&gt;&lt;D xsi:type="xsd:double"&gt;1.541853&lt;/D&gt;&lt;D xsi:type="xsd:double"&gt;3.7418604&lt;/D&gt;&lt;D xsi:type="xsd:double"&gt;-3.5159945&lt;/D&gt;&lt;D xsi:type="xsd:double"&gt;6.3063025&lt;/D&gt;&lt;D xsi:type="xsd:double"&gt;-4.608047&lt;/D&gt;&lt;D xsi:type="xsd:double"&gt;-2.665186&lt;/D&gt;&lt;D xsi:type="xsd:double"&gt;-9.640616&lt;/D&gt;&lt;D xsi:type="xsd:double"&gt;9.406567&lt;/D&gt;&lt;D xsi:type="xsd:double"&gt;4.6162724&lt;/D&gt;&lt;D xsi:type="xsd:double"&gt;-2.0683944&lt;/D&gt;&lt;D xsi:type="xsd:double"&gt;2.6753068&lt;/D&gt;&lt;D xsi:type="xsd:double"&gt;-3.236425&lt;/D&gt;&lt;D xsi:type="xsd:double"&gt;-2.4943233&lt;/D&gt;&lt;D xsi:type="xsd:double"&gt;-3.4302354&lt;/D&gt;&lt;D xsi:type="xsd:double"&gt;6.4012766&lt;/D&gt;&lt;D xsi:type="xsd:double"&gt;2.5473952&lt;/D&gt;&lt;D xsi:type="xsd:double"&gt;1.2709498&lt;/D&gt;&lt;D xsi:type="xsd:double"&gt;4.9058676&lt;/D&gt;&lt;D xsi:type="xsd:double"&gt;-0.3262639&lt;/D&gt;&lt;D xsi:type="xsd:double"&gt;-1.7184973&lt;/D&gt;&lt;D xsi:type="xsd:double"&gt;0.043845177&lt;/D&gt;&lt;D xsi:type="xsd:double"&gt;1.8038273&lt;/D&gt;&lt;D xsi:type="xsd:double"&gt;-0.33222437&lt;/D&gt;&lt;D xsi:type="xsd:double"&gt;-1.3888896&lt;/D&gt;&lt;D xsi:type="xsd:double"&gt;2.1971822&lt;/D&gt;&lt;D xsi:type="xsd:double"&gt;4.4101477&lt;/D&gt;&lt;D xsi:type="xsd:double"&gt;0.40394068&lt;/D&gt;&lt;D xsi:type="xsd:double"&gt;5.5465817&lt;/D&gt;&lt;D xsi:type="xsd:double"&gt;1.836729&lt;/D&gt;&lt;D xsi:type="xsd:double"&gt;-2.7054071&lt;/D&gt;&lt;D xsi:type="xsd:double"&gt;-1.158601&lt;/D&gt;&lt;D xsi:type="xsd:double"&gt;-1.641053&lt;/D&gt;&lt;/FQL&gt;&lt;FQL&gt;&lt;Q&gt;MCHI^FG_TOTAL_RETURNC(-5AY,0,AM)&lt;/Q&gt;&lt;R&gt;61&lt;/R&gt;&lt;C&gt;1&lt;/C&gt;&lt;D xsi:type="xsd:double"&gt;6.2927127&lt;/D&gt;&lt;D xsi:type="xsd:double"&gt;-5.3802786&lt;/D&gt;&lt;D xsi:type="xsd:double"&gt;15.116274&lt;/D&gt;&lt;D xsi:type="xsd:double"&gt;-2.2334456&lt;/D&gt;&lt;D xsi:type="xsd:double"&gt;-6.6123304&lt;/D&gt;&lt;D xsi:type="xsd:double"&gt;2.9379249&lt;/D&gt;&lt;D xsi:type="xsd:double"&gt;-2.2689283&lt;/D&gt;&lt;D xsi:type="xsd:double"&gt;2.2619843&lt;/D&gt;&lt;D xsi:type="xsd:double"&gt;-13.80673&lt;/D&gt;&lt;D xsi:type="xsd:double"&gt;-4.1678247&lt;/D&gt;&lt;D xsi:type="xsd:double"&gt;-2.3340106&lt;/D&gt;&lt;D xsi:type="xsd:double"&gt;4.497552&lt;/D&gt;&lt;D xsi:type="xsd:double"&gt;-6.2784076&lt;/D&gt;&lt;D xsi:type="xsd:double"&gt;-5.5181084&lt;/D&gt;&lt;D xsi:type="xsd:double"&gt;-3.3451855&lt;/D&gt;&lt;D xsi:type="xsd:double"&gt;-2.006352&lt;/D&gt;&lt;D xsi:type="xsd:double"&gt;-8.36035&lt;/D&gt;&lt;D xsi:type="xsd:double"&gt;-9.420961&lt;/D&gt;&lt;D xsi:type="xsd:double"&gt;3.206575&lt;/D&gt;&lt;D xsi:type="xsd:double"&gt;12.124062&lt;/D&gt;&lt;D xsi:type="xsd:double"&gt;-8.325887&lt;/D&gt;&lt;D xsi:type="xsd:double"&gt;-1.8125117&lt;/D&gt;&lt;D xsi:type="xsd:double"&gt;-12.743157&lt;/D&gt;&lt;D xsi:type="xsd:double"&gt;-17.515928&lt;/D&gt;&lt;D xsi:type="xsd:double"&gt;18.725872&lt;/D&gt;&lt;D xsi:type="xsd:double"&gt;11.170208&lt;/D&gt;&lt;D xsi:type="xsd:double"&gt;18.893135&lt;/D&gt;&lt;D xsi:type="xsd:double"&gt;-14.642411&lt;/D&gt;&lt;D xsi:type="xsd:double"&gt;3.7400723&lt;/D&gt;&lt;D xsi:type="xsd:double"&gt;-3.8872123&lt;/D&gt;&lt;D xsi:type="xsd:double"&gt;-6.3704967&lt;/D&gt;&lt;D xsi:type="xsd:double"&gt;1.6311765&lt;/D&gt;&lt;D xsi:type="xsd:double"&gt;10.004449&lt;/D&gt;&lt;D xsi:type="xsd:double"&gt;-9.7615185&lt;/D&gt;&lt;D xsi:type="xsd:double"&gt;-3.7850022&lt;/D&gt;&lt;D xsi:type="xsd:double"&gt;-2.4208605&lt;/D&gt;&lt;D xsi:type="xsd:double"&gt;3.1727195&lt;/D&gt;&lt;D xsi:type="xsd:double"&gt;-4.083252&lt;/D&gt;&lt;D xsi:type="xsd:double"&gt;-5.659914&lt;/D&gt;&lt;D xsi:type="xsd:double"&gt;1.9387007&lt;/D&gt;&lt;D xsi:type="xsd:double"&gt;2.1074295&lt;/D&gt;&lt;D xsi:type="xsd:double"&gt;6.594515&lt;/D&gt;&lt;D xsi:type="xsd:double"&gt;6.257379&lt;/D&gt;&lt;D xsi:type="xsd:double"&gt;-5.8765054&lt;/D&gt;&lt;D xsi:type="xsd:double"&gt;-2.1816432&lt;/D&gt;&lt;D xsi:type="xsd:double"&gt;-0.4363656&lt;/D&gt;&lt;D xsi:type="xsd:double"&gt;24.153889&lt;/D&gt;&lt;D xsi:type="xsd:double"&gt;-0.8433044&lt;/D&gt;&lt;D xsi:type="xsd:double"&gt;-6.566453&lt;/D&gt;&lt;D xsi:type="xsd:double"&gt;2.3831248&lt;/D&gt;&lt;D xsi:type="xsd:double"&gt;1.9591331&lt;/D&gt;&lt;D xsi:type="xsd:double"&gt;10.702478&lt;/D&gt;&lt;D xsi:type="xsd:double"&gt;1.8476963&lt;/D&gt;&lt;D xsi:type="xsd:double"&gt;-4.9844265&lt;/D&gt;&lt;D xsi:type="xsd:double"&gt;2.854395&lt;/D&gt;&lt;D xsi:type="xsd:double"&gt;4.476309&lt;/D&gt;&lt;D xsi:type="xsd:double"&gt;6.3791275&lt;/D&gt;&lt;D xsi:type="xsd:double"&gt;2.9812574&lt;/D&gt;&lt;D xsi:type="xsd:double"&gt;6.40198&lt;/D&gt;&lt;D xsi:type="xsd:double"&gt;1.243782&lt;/D&gt;&lt;D xsi:type="xsd:double"&gt;-4.4840336&lt;/D&gt;&lt;/FQL&gt;&lt;FQL&gt;&lt;Q&gt;EWL^FG_PRICE(0,-200D)&lt;/Q&gt;&lt;R&gt;201&lt;/R&gt;&lt;C&gt;1&lt;/C&gt;&lt;D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xsi:type="xsd:double"&gt;53.67&lt;/D&gt;&lt;D xsi:type="xsd:double"&gt;53.71&lt;/D&gt;&lt;D xsi:type="xsd:double"&gt;53.04&lt;/D&gt;&lt;D xsi:type="xsd:double"&gt;52.96&lt;/D&gt;&lt;D xsi:type="xsd:double"&gt;52.23&lt;/D&gt;&lt;D xsi:type="xsd:double"&gt;52.45&lt;/D&gt;&lt;D xsi:type="xsd:double"&gt;51.82&lt;/D&gt;&lt;D xsi:type="xsd:double"&gt;51.95&lt;/D&gt;&lt;D xsi:type="xsd:double"&gt;51.29&lt;/D&gt;&lt;D xsi:type="xsd:double"&gt;51.45&lt;/D&gt;&lt;D xsi:type="xsd:double"&gt;51.2&lt;/D&gt;&lt;D xsi:type="xsd:double"&gt;51.05&lt;/D&gt;&lt;D xsi:type="xsd:double"&gt;49.7&lt;/D&gt;&lt;D xsi:type="xsd:double"&gt;49.71&lt;/D&gt;&lt;D xsi:type="xsd:double"&gt;47.12&lt;/D&gt;&lt;D xsi:type="xsd:double"&gt;47.04&lt;/D&gt;&lt;D xsi:type="xsd:double"&gt;48.36&lt;/D&gt;&lt;D xsi:type="xsd:double"&gt;51.41&lt;/D&gt;&lt;D xsi:type="xsd:double"&gt;51.49&lt;/D&gt;&lt;D xsi:type="xsd:double"&gt;51.76&lt;/D&gt;&lt;D xsi:type="xsd:double"&gt;51.79&lt;/D&gt;&lt;D xsi:type="xsd:double"&gt;52.48&lt;/D&gt;&lt;D xsi:type="xsd:double"&gt;52.59&lt;/D&gt;&lt;D xsi:type="xsd:double"&gt;52.45&lt;/D&gt;&lt;D xsi:type="xsd:double"&gt;52.98&lt;/D&gt;&lt;D xsi:type="xsd:double"&gt;52.9&lt;/D&gt;&lt;D xsi:type="xsd:double"&gt;53.06&lt;/D&gt;&lt;D xsi:type="xsd:double"&gt;53.28&lt;/D&gt;&lt;D xsi:type="xsd:double"&gt;53.24&lt;/D&gt;&lt;D xsi:type="xsd:double"&gt;53.43&lt;/D&gt;&lt;D xsi:type="xsd:double"&gt;53.33&lt;/D&gt;&lt;D xsi:type="xsd:double"&gt;52.59&lt;/D&gt;&lt;D xsi:type="xsd:double"&gt;52.14&lt;/D&gt;&lt;D xsi:type="xsd:double"&gt;52.41&lt;/D&gt;&lt;D xsi:type="xsd:double"&gt;51.87&lt;/D&gt;&lt;D xsi:type="xsd:double"&gt;52.62&lt;/D&gt;&lt;D xsi:type="xsd:double"&gt;53.53&lt;/D&gt;&lt;D xsi:type="xsd:double"&gt;52.59&lt;/D&gt;&lt;D xsi:type="xsd:double"&gt;52.86&lt;/D&gt;&lt;D xsi:type="xsd:double"&gt;52.71&lt;/D&gt;&lt;D xsi:type="xsd:double"&gt;52.3&lt;/D&gt;&lt;D xsi:type="xsd:double"&gt;51.73&lt;/D&gt;&lt;D xsi:type="xsd:double"&gt;51.33&lt;/D&gt;&lt;D xsi:type="xsd:double"&gt;52.03&lt;/D&gt;&lt;D xsi:type="xsd:double"&gt;51.97&lt;/D&gt;&lt;D xsi:type="xsd:double"&gt;51.54&lt;/D&gt;&lt;D xsi:type="xsd:double"&gt;51.62&lt;/D&gt;&lt;D xsi:type="xsd:double"&gt;51.29&lt;/D&gt;&lt;D xsi:type="xsd:double"&gt;50.86&lt;/D&gt;&lt;D xsi:type="xsd:double"&gt;51.31&lt;/D&gt;&lt;D xsi:type="xsd:double"&gt;51.41&lt;/D&gt;&lt;D xsi:type="xsd:double"&gt;51.4&lt;/D&gt;&lt;D xsi:type="xsd:double"&gt;50.22&lt;/D&gt;&lt;/FQL&gt;&lt;FQL&gt;&lt;Q&gt;INDA^FG_TOTAL_RETURNC(-5AY,0,AM)&lt;/Q&gt;&lt;R&gt;61&lt;/R&gt;&lt;C&gt;1&lt;/C&gt;&lt;D xsi:type="xsd:double"&gt;10.25641&lt;/D&gt;&lt;D xsi:type="xsd:double"&gt;7.497716&lt;/D&gt;&lt;D xsi:type="xsd:double"&gt;1.7623305&lt;/D&gt;&lt;D xsi:type="xsd:double"&gt;1.5091538&lt;/D&gt;&lt;D xsi:type="xsd:double"&gt;3.6314964&lt;/D&gt;&lt;D xsi:type="xsd:double"&gt;-2.2342443&lt;/D&gt;&lt;D xsi:type="xsd:double"&gt;6.519127&lt;/D&gt;&lt;D xsi:type="xsd:double"&gt;0.81562996&lt;/D&gt;&lt;D xsi:type="xsd:double"&gt;-0.403589&lt;/D&gt;&lt;D xsi:type="xsd:double"&gt;7.091403&lt;/D&gt;&lt;D xsi:type="xsd:double"&gt;3.0271173&lt;/D&gt;&lt;D xsi:type="xsd:double"&gt;0.2652526&lt;/D&gt;&lt;D xsi:type="xsd:double"&gt;-4.008955&lt;/D&gt;&lt;D xsi:type="xsd:double"&gt;2.6395082&lt;/D&gt;&lt;D xsi:type="xsd:double"&gt;-1.4740825&lt;/D&gt;&lt;D xsi:type="xsd:double"&gt;-2.3219466&lt;/D&gt;&lt;D xsi:type="xsd:double"&gt;1.9428492&lt;/D&gt;&lt;D xsi:type="xsd:double"&gt;-0.06726384&lt;/D&gt;&lt;D xsi:type="xsd:double"&gt;-7.202154&lt;/D&gt;&lt;D xsi:type="xsd:double"&gt;-5.3675056&lt;/D&gt;&lt;D xsi:type="xsd:double"&gt;7.4092984&lt;/D&gt;&lt;D xsi:type="xsd:double"&gt;1.3558507&lt;/D&gt;&lt;D xsi:type="xsd:double"&gt;-2.9335856&lt;/D&gt;&lt;D xsi:type="xsd:double"&gt;2.3694396&lt;/D&gt;&lt;D xsi:type="xsd:double"&gt;1.9839406&lt;/D&gt;&lt;D xsi:type="xsd:double"&gt;-3.1727612&lt;/D&gt;&lt;D xsi:type="xsd:double"&gt;-2.296108&lt;/D&gt;&lt;D xsi:type="xsd:double"&gt;-5.018359&lt;/D&gt;&lt;D xsi:type="xsd:double"&gt;-1.0309219&lt;/D&gt;&lt;D xsi:type="xsd:double"&gt;7.0833206&lt;/D&gt;&lt;D xsi:type="xsd:double"&gt;2.1887183&lt;/D&gt;&lt;D xsi:type="xsd:double"&gt;3.3602953&lt;/D&gt;&lt;D xsi:type="xsd:double"&gt;2.652824&lt;/D&gt;&lt;D xsi:type="xsd:double"&gt;-1.3932586&lt;/D&gt;&lt;D xsi:type="xsd:double"&gt;0.84320307&lt;/D&gt;&lt;D xsi:type="xsd:double"&gt;-2.9152572&lt;/D&gt;&lt;D xsi:type="xsd:double"&gt;5.889201&lt;/D&gt;&lt;D xsi:type="xsd:double"&gt;7.7599406&lt;/D&gt;&lt;D xsi:type="xsd:double"&gt;0.34679174&lt;/D&gt;&lt;D xsi:type="xsd:double"&gt;3.8015962&lt;/D&gt;&lt;D xsi:type="xsd:double"&gt;1.037991&lt;/D&gt;&lt;D xsi:type="xsd:double"&gt;1.4150023&lt;/D&gt;&lt;D xsi:type="xsd:double"&gt;2.3700356&lt;/D&gt;&lt;D xsi:type="xsd:double"&gt;4.144883&lt;/D&gt;&lt;D xsi:type="xsd:double"&gt;1.864469&lt;/D&gt;&lt;D xsi:type="xsd:double"&gt;0.58078766&lt;/D&gt;&lt;D xsi:type="xsd:double"&gt;3.4645677&lt;/D&gt;&lt;D xsi:type="xsd:double"&gt;-6.697112&lt;/D&gt;&lt;D xsi:type="xsd:double"&gt;-0.5075216&lt;/D&gt;&lt;D xsi:type="xsd:double"&gt;-2.5530815&lt;/D&gt;&lt;D xsi:type="xsd:double"&gt;-5.517894&lt;/D&gt;&lt;D xsi:type="xsd:double"&gt;-4.125971&lt;/D&gt;&lt;D xsi:type="xsd:double"&gt;6.611228&lt;/D&gt;&lt;D xsi:type="xsd:double"&gt;3.919661&lt;/D&gt;&lt;D xsi:type="xsd:double"&gt;1.8671393&lt;/D&gt;&lt;D xsi:type="xsd:double"&gt;2.9013515&lt;/D&gt;&lt;D xsi:type="xsd:double"&gt;-4.7082005&lt;/D&gt;&lt;D xsi:type="xsd:double"&gt;-1.296258&lt;/D&gt;&lt;D xsi:type="xsd:double"&gt;-0.55196285&lt;/D&gt;&lt;D xsi:type="xsd:double"&gt;4.382777&lt;/D&gt;&lt;D xsi:type="xsd:double"&gt;0.31169653&lt;/D&gt;&lt;/FQL&gt;&lt;/Schema&gt;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<sst xmlns="http://schemas.openxmlformats.org/spreadsheetml/2006/main" count="167" uniqueCount="82">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</sst>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tabSelected="1" workbookViewId="0">
      <selection activeCell="D11" sqref="D11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MONTHLY_RETURNS!$B$73:$AI$73=1)),"")</f>
        <v/>
      </c>
      <c r="B2" s="4" t="str" cm="1">
        <f t="array" ref="B2">IFERROR(TRANSPOSE(_xlfn._xlws.FILTER(MONTHLY_RETURNS!B65:AI65, MONTHLY_RETURNS!$B$73:$AI$73=1)),"")</f>
        <v/>
      </c>
      <c r="C2" s="4" t="str" cm="1">
        <f t="array" ref="C2">IFERROR(TRANSPOSE(_xlfn._xlws.FILTER(MONTHLY_RETURNS!B66:AI66, MONTHLY_RETURNS!$B$73:$AI$73=1)),"")</f>
        <v/>
      </c>
      <c r="D2" s="4" t="str" cm="1">
        <f t="array" ref="D2">IFERROR(TRANSPOSE(_xlfn._xlws.FILTER(MONTHLY_RETURNS!B67:AI67, MONTHLY_RETURNS!$B$73:$AI$73=1)),"")</f>
        <v/>
      </c>
      <c r="E2" s="4" t="str" cm="1">
        <f t="array" ref="E2">IFERROR(TRANSPOSE(_xlfn._xlws.FILTER(MONTHLY_RETURNS!B68:AI68, MONTHLY_RETURNS!$B$73:$AI$73=1)),"")</f>
        <v/>
      </c>
      <c r="F2" s="4" t="str" cm="1">
        <f t="array" ref="F2">IFERROR(TRANSPOSE(_xlfn._xlws.FILTER(MONTHLY_RETURNS!B69:AI69, MONTHLY_RETURNS!$B$73:$AI$73=1)),"")</f>
        <v/>
      </c>
      <c r="G2" s="4" t="str" cm="1">
        <f t="array" ref="G2">IFERROR(TRANSPOSE(_xlfn._xlws.FILTER(MONTHLY_RETURNS!B70:AI70, MONTHLY_RETURNS!$B$73:$AI$73=1)),"")</f>
        <v/>
      </c>
      <c r="H2" s="1" t="str" cm="1">
        <f t="array" ref="H2">IFERROR(TRANSPOSE(_xlfn._xlws.FILTER(MONTHLY_RETURNS!B71:AI71, MONTHLY_RETURNS!$B$73:$AI$73=1)),"")</f>
        <v/>
      </c>
      <c r="I2" s="1" t="str" cm="1">
        <f t="array" ref="I2">IFERROR(TRANSPOSE(_xlfn._xlws.FILTER(MONTHLY_RETURNS!B72:AI72, MONTHLY_RETURNS!$B$73:$AI$73=1)),"")</f>
        <v/>
      </c>
    </row>
    <row r="3" spans="1:9" x14ac:dyDescent="0.45">
      <c r="A3" s="5"/>
      <c r="B3" s="4"/>
      <c r="C3" s="4"/>
      <c r="D3" s="4"/>
      <c r="E3" s="4"/>
      <c r="F3" s="4"/>
      <c r="G3" s="4"/>
      <c r="H3" s="1"/>
      <c r="I3" s="1"/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workbookViewId="0">
      <selection activeCell="F15" sqref="F15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>KSA</v>
      </c>
      <c r="B2" s="4" t="str" cm="1">
        <f t="array" ref="B2">IFERROR(TRANSPOSE(_xlfn._xlws.FILTER(MONTHLY_RETURNS!B65:AI65, MONTHLY_RETURNS!$B$74:$AI$74=1)),"")</f>
        <v>Saudi Arabia</v>
      </c>
      <c r="C2" s="4" t="str" cm="1">
        <f t="array" ref="C2">IFERROR(TRANSPOSE(_xlfn._xlws.FILTER(MONTHLY_RETURNS!B66:AI66, MONTHLY_RETURNS!$B$74:$AI$74=1)),"")</f>
        <v>EMERGING</v>
      </c>
      <c r="D2" s="4" cm="1">
        <f t="array" ref="D2">IFERROR(TRANSPOSE(_xlfn._xlws.FILTER(MONTHLY_RETURNS!B67:AI67, MONTHLY_RETURNS!$B$74:$AI$74=1)),"")</f>
        <v>-8.4372699999999995E-2</v>
      </c>
      <c r="E2" s="4" cm="1">
        <f t="array" ref="E2">IFERROR(TRANSPOSE(_xlfn._xlws.FILTER(MONTHLY_RETURNS!B68:AI68, MONTHLY_RETURNS!$B$74:$AI$74=1)),"")</f>
        <v>7.4798395032786916E-3</v>
      </c>
      <c r="F2" s="4" cm="1">
        <f t="array" ref="F2">IFERROR(TRANSPOSE(_xlfn._xlws.FILTER(MONTHLY_RETURNS!B69:AI69, MONTHLY_RETURNS!$B$74:$AI$74=1)),"")</f>
        <v>3.6672332347284398E-2</v>
      </c>
      <c r="G2" s="4" cm="1">
        <f t="array" ref="G2">IFERROR(TRANSPOSE(_xlfn._xlws.FILTER(MONTHLY_RETURNS!B70:AI70, MONTHLY_RETURNS!$B$74:$AI$74=1)),"")</f>
        <v>7.3344664694568795E-2</v>
      </c>
      <c r="H2" cm="1">
        <f t="array" ref="H2">IFERROR(TRANSPOSE(_xlfn._xlws.FILTER(MONTHLY_RETURNS!B71:AI71, MONTHLY_RETURNS!$B$74:$AI$74=1)),"")</f>
        <v>37.44</v>
      </c>
      <c r="I2" cm="1">
        <f t="array" ref="I2">IFERROR(TRANSPOSE(_xlfn._xlws.FILTER(MONTHLY_RETURNS!B72:AI72, MONTHLY_RETURNS!$B$74:$AI$74=1)),"")</f>
        <v>39.246169154228859</v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50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44162</v>
      </c>
      <c r="B2" s="3" cm="1">
        <f t="array" ref="B2:B62">_xll.FDS(B1,"FG_TOTAL_RETURNC(-5AY,0,AM)")/100</f>
        <v>7.9712151999999994E-2</v>
      </c>
      <c r="C2" s="3" cm="1">
        <f t="array" ref="C2:C62">_xll.FDS(C1,"FG_TOTAL_RETURNC(-5AY,0,AM)")/100</f>
        <v>0.15723788999999999</v>
      </c>
      <c r="D2" s="3" cm="1">
        <f t="array" ref="D2:D62">_xll.FDS(D1,"FG_TOTAL_RETURNC(-5AY,0,AM)")/100</f>
        <v>0.24137926000000001</v>
      </c>
      <c r="E2" s="3" cm="1">
        <f t="array" ref="E2:E62">_xll.FDS(E1,"FG_TOTAL_RETURNC(-5AY,0,AM)")/100</f>
        <v>0.10308182</v>
      </c>
      <c r="F2" s="3" cm="1">
        <f t="array" ref="F2:F62">_xll.FDS(F1,"FG_TOTAL_RETURNC(-5AY,0,AM)")/100</f>
        <v>0.26059329999999997</v>
      </c>
      <c r="G2" s="3" cm="1">
        <f t="array" ref="G2:G62">_xll.FDS(G1,"FG_TOTAL_RETURNC(-5AY,0,AM)")/100</f>
        <v>0.14071417</v>
      </c>
      <c r="H2" s="3" cm="1">
        <f t="array" ref="H2:H62">_xll.FDS(H1,"FG_TOTAL_RETURNC(-5AY,0,AM)")/100</f>
        <v>0.103515625</v>
      </c>
      <c r="I2" s="3" cm="1">
        <f t="array" ref="I2:I62">_xll.FDS(I1,"FG_TOTAL_RETURNC(-5AY,0,AM)")/100</f>
        <v>0.10434972999999999</v>
      </c>
      <c r="J2" s="3" cm="1">
        <f t="array" ref="J2:J62">_xll.FDS(J1,"FG_TOTAL_RETURNC(-5AY,0,AM)")/100</f>
        <v>0.20699715000000002</v>
      </c>
      <c r="K2" s="3" cm="1">
        <f t="array" ref="K2:K62">_xll.FDS(K1,"FG_TOTAL_RETURNC(-5AY,0,AM)")/100</f>
        <v>0.17916107000000001</v>
      </c>
      <c r="L2" s="3" cm="1">
        <f t="array" ref="L2:L62">_xll.FDS(L1,"FG_TOTAL_RETURNC(-5AY,0,AM)")/100</f>
        <v>0.25248431999999998</v>
      </c>
      <c r="M2" s="3" cm="1">
        <f t="array" ref="M2:M62">_xll.FDS(M1,"FG_TOTAL_RETURNC(-5AY,0,AM)")/100</f>
        <v>0.16323208</v>
      </c>
      <c r="N2" s="3" cm="1">
        <f t="array" ref="N2:N62">_xll.FDS(N1,"FG_TOTAL_RETURNC(-5AY,0,AM)")/100</f>
        <v>0.29350221999999998</v>
      </c>
      <c r="O2" s="3" cm="1">
        <f t="array" ref="O2:O62">_xll.FDS(O1,"FG_TOTAL_RETURNC(-5AY,0,AM)")/100</f>
        <v>0.10256410000000001</v>
      </c>
      <c r="P2" s="3" cm="1">
        <f t="array" ref="P2:P62">_xll.FDS(P1,"FG_TOTAL_RETURNC(-5AY,0,AM)")/100</f>
        <v>6.2927126999999999E-2</v>
      </c>
      <c r="Q2" s="3" cm="1">
        <f t="array" ref="Q2:Q62">_xll.FDS(Q1,"FG_TOTAL_RETURNC(-5AY,0,AM)")/100</f>
        <v>4.9382687000000001E-2</v>
      </c>
      <c r="R2" s="3" cm="1">
        <f t="array" ref="R2:R62">_xll.FDS(R1,"FG_TOTAL_RETURNC(-5AY,0,AM)")/100</f>
        <v>0.19027446999999997</v>
      </c>
      <c r="S2" s="3" cm="1">
        <f t="array" ref="S2:S62">_xll.FDS(S1,"FG_TOTAL_RETURNC(-5AY,0,AM)")/100</f>
        <v>0.26663006</v>
      </c>
      <c r="T2" s="3" cm="1">
        <f t="array" ref="T2:T62">_xll.FDS(T1,"FG_TOTAL_RETURNC(-5AY,0,AM)")/100</f>
        <v>0.10254229000000001</v>
      </c>
      <c r="U2" s="3" cm="1">
        <f t="array" ref="U2:U62">_xll.FDS(U1,"FG_TOTAL_RETURNC(-5AY,0,AM)")/100</f>
        <v>0.11591219999999999</v>
      </c>
      <c r="V2" s="3" cm="1">
        <f t="array" ref="V2:V62">_xll.FDS(V1,"FG_TOTAL_RETURNC(-5AY,0,AM)")/100</f>
        <v>8.3795069999999999E-2</v>
      </c>
      <c r="W2" s="3" cm="1">
        <f t="array" ref="W2:W62">_xll.FDS(W1,"FG_TOTAL_RETURNC(-5AY,0,AM)")/100</f>
        <v>9.8387829999999996E-2</v>
      </c>
      <c r="X2" s="3" cm="1">
        <f t="array" ref="X2:X62">_xll.FDS(X1,"FG_TOTAL_RETURNC(-5AY,0,AM)")/100</f>
        <v>0.17795742000000001</v>
      </c>
      <c r="Y2" s="3" cm="1">
        <f t="array" ref="Y2:Y62">_xll.FDS(Y1,"FG_TOTAL_RETURNC(-5AY,0,AM)")/100</f>
        <v>0.15094339000000001</v>
      </c>
      <c r="Z2" s="3" cm="1">
        <f t="array" ref="Z2:Z62">_xll.FDS(Z1,"FG_TOTAL_RETURNC(-5AY,0,AM)")/100</f>
        <v>0.16489768999999999</v>
      </c>
      <c r="AA2" s="3" cm="1">
        <f t="array" ref="AA2:AA62">_xll.FDS(AA1,"FG_TOTAL_RETURNC(-5AY,0,AM)")/100</f>
        <v>0.13914692000000001</v>
      </c>
      <c r="AB2" s="3" cm="1">
        <f t="array" ref="AB2:AB62">_xll.FDS(AB1,"FG_TOTAL_RETURNC(-5AY,0,AM)")/100</f>
        <v>0.10040879</v>
      </c>
      <c r="AC2" s="3" cm="1">
        <f t="array" ref="AC2:AC62">_xll.FDS(AC1,"FG_TOTAL_RETURNC(-5AY,0,AM)")/100</f>
        <v>0.19784773</v>
      </c>
      <c r="AD2" s="3" cm="1">
        <f t="array" ref="AD2:AD62">_xll.FDS(AD1,"FG_TOTAL_RETURNC(-5AY,0,AM)")/100</f>
        <v>0.10075831</v>
      </c>
      <c r="AE2" s="3" cm="1">
        <f t="array" ref="AE2:AE62">_xll.FDS(AE1,"FG_TOTAL_RETURNC(-5AY,0,AM)")/100</f>
        <v>0.11329829999999999</v>
      </c>
      <c r="AF2" s="3" cm="1">
        <f t="array" ref="AF2:AF62">_xll.FDS(AF1,"FG_TOTAL_RETURNC(-5AY,0,AM)")/100</f>
        <v>0.25</v>
      </c>
      <c r="AG2" s="3" cm="1">
        <f t="array" ref="AG2:AG62">_xll.FDS(AG1,"FG_TOTAL_RETURNC(-5AY,0,AM)")/100</f>
        <v>0.15289986</v>
      </c>
      <c r="AH2" s="3" cm="1">
        <f t="array" ref="AH2:AH62">_xll.FDS(AH1,"FG_TOTAL_RETURNC(-5AY,0,AM)")/100</f>
        <v>0.17466867</v>
      </c>
      <c r="AI2" s="3" cm="1">
        <f t="array" ref="AI2:AI62">_xll.FDS(AI1,"FG_TOTAL_RETURNC(-5AY,0,AM)")/100</f>
        <v>0.27304506000000001</v>
      </c>
      <c r="AJ2" s="3"/>
      <c r="AK2" s="3"/>
      <c r="AL2" s="3"/>
    </row>
    <row r="3" spans="1:38" x14ac:dyDescent="0.45">
      <c r="A3" s="2">
        <v>44193</v>
      </c>
      <c r="B3" s="3">
        <v>3.0203223000000001E-2</v>
      </c>
      <c r="C3" s="3">
        <v>8.3961599999999997E-2</v>
      </c>
      <c r="D3" s="3">
        <v>5.3629993999999993E-2</v>
      </c>
      <c r="E3" s="3">
        <v>4.5471190000000002E-2</v>
      </c>
      <c r="F3" s="3">
        <v>9.9247219999999997E-2</v>
      </c>
      <c r="G3" s="3">
        <v>3.5146951999999995E-2</v>
      </c>
      <c r="H3" s="3">
        <v>2.5132656E-2</v>
      </c>
      <c r="I3" s="3">
        <v>6.2549232999999996E-2</v>
      </c>
      <c r="J3" s="3">
        <v>3.5574675E-2</v>
      </c>
      <c r="K3" s="3">
        <v>7.3369026000000004E-2</v>
      </c>
      <c r="L3" s="3">
        <v>8.9940909999999985E-2</v>
      </c>
      <c r="M3" s="3">
        <v>6.2060833000000003E-2</v>
      </c>
      <c r="N3" s="3">
        <v>0.12899113000000001</v>
      </c>
      <c r="O3" s="3">
        <v>7.4977160000000001E-2</v>
      </c>
      <c r="P3" s="3">
        <v>-5.3802785999999998E-2</v>
      </c>
      <c r="Q3" s="3">
        <v>4.3697356999999999E-2</v>
      </c>
      <c r="R3" s="3">
        <v>1.0356307E-2</v>
      </c>
      <c r="S3" s="3">
        <v>0.12258720000000001</v>
      </c>
      <c r="T3" s="3">
        <v>2.9512285999999999E-2</v>
      </c>
      <c r="U3" s="3">
        <v>5.5385590000000005E-2</v>
      </c>
      <c r="V3" s="3">
        <v>4.9753190000000006E-3</v>
      </c>
      <c r="W3" s="3">
        <v>3.2976390000000001E-2</v>
      </c>
      <c r="X3" s="3">
        <v>4.0948032999999995E-2</v>
      </c>
      <c r="Y3" s="3">
        <v>2.4134397999999998E-2</v>
      </c>
      <c r="Z3" s="3">
        <v>6.1037419999999995E-2</v>
      </c>
      <c r="AA3" s="3">
        <v>7.8594684999999994E-3</v>
      </c>
      <c r="AB3" s="3">
        <v>3.188324E-2</v>
      </c>
      <c r="AC3" s="3">
        <v>2.7185081999999999E-2</v>
      </c>
      <c r="AD3" s="3">
        <v>4.7617554999999999E-2</v>
      </c>
      <c r="AE3" s="3">
        <v>2.7752638E-2</v>
      </c>
      <c r="AF3" s="3">
        <v>1.7076015E-2</v>
      </c>
      <c r="AG3" s="3">
        <v>5.7052373999999996E-2</v>
      </c>
      <c r="AH3" s="3">
        <v>1.0010242000000001E-2</v>
      </c>
      <c r="AI3" s="3">
        <v>2.6943803000000002E-2</v>
      </c>
      <c r="AJ3" s="3"/>
      <c r="AK3" s="3"/>
      <c r="AL3" s="3"/>
    </row>
    <row r="4" spans="1:38" x14ac:dyDescent="0.45">
      <c r="A4" s="2">
        <v>44224</v>
      </c>
      <c r="B4" s="3">
        <v>7.6644062999999998E-2</v>
      </c>
      <c r="C4" s="3">
        <v>1.7333388000000002E-2</v>
      </c>
      <c r="D4" s="3">
        <v>-1.9814491E-2</v>
      </c>
      <c r="E4" s="3">
        <v>-4.9407480000000004E-2</v>
      </c>
      <c r="F4" s="3">
        <v>-1.7930329000000002E-2</v>
      </c>
      <c r="G4" s="3">
        <v>2.8951167999999999E-3</v>
      </c>
      <c r="H4" s="3">
        <v>-5.2486123999999995E-2</v>
      </c>
      <c r="I4" s="3">
        <v>8.9469670000000001E-2</v>
      </c>
      <c r="J4" s="3">
        <v>-9.674251E-3</v>
      </c>
      <c r="K4" s="3">
        <v>0.11093688</v>
      </c>
      <c r="L4" s="3">
        <v>-3.5859822999999999E-2</v>
      </c>
      <c r="M4" s="3">
        <v>2.7434826000000002E-2</v>
      </c>
      <c r="N4" s="3">
        <v>-9.1645420000000005E-2</v>
      </c>
      <c r="O4" s="3">
        <v>1.7623304999999999E-2</v>
      </c>
      <c r="P4" s="3">
        <v>0.15116274000000002</v>
      </c>
      <c r="Q4" s="3">
        <v>1.3419270000000001E-2</v>
      </c>
      <c r="R4" s="3">
        <v>1.0904074E-2</v>
      </c>
      <c r="S4" s="3">
        <v>5.8960319999999997E-2</v>
      </c>
      <c r="T4" s="3">
        <v>0.10707331</v>
      </c>
      <c r="U4" s="3">
        <v>-1.5789509E-2</v>
      </c>
      <c r="V4" s="3">
        <v>5.1020383999999998E-3</v>
      </c>
      <c r="W4" s="3">
        <v>1.5557885E-2</v>
      </c>
      <c r="X4" s="3">
        <v>1.7879486E-2</v>
      </c>
      <c r="Y4" s="3">
        <v>9.4002484999999997E-3</v>
      </c>
      <c r="Z4" s="3">
        <v>-9.6273420000000005E-3</v>
      </c>
      <c r="AA4" s="3">
        <v>2.932775E-2</v>
      </c>
      <c r="AB4" s="3">
        <v>1.8235087000000001E-2</v>
      </c>
      <c r="AC4" s="3">
        <v>2.0074844000000001E-2</v>
      </c>
      <c r="AD4" s="3">
        <v>2.7632116999999998E-2</v>
      </c>
      <c r="AE4" s="3">
        <v>1.467073E-2</v>
      </c>
      <c r="AF4" s="3">
        <v>-1.5201151E-2</v>
      </c>
      <c r="AG4" s="3">
        <v>3.9064407000000002E-2</v>
      </c>
      <c r="AH4" s="3">
        <v>3.5017489999999998E-2</v>
      </c>
      <c r="AI4" s="3">
        <v>-2.5943398000000003E-2</v>
      </c>
      <c r="AJ4" s="3"/>
      <c r="AK4" s="3"/>
      <c r="AL4" s="3"/>
    </row>
    <row r="5" spans="1:38" x14ac:dyDescent="0.45">
      <c r="A5" s="2">
        <v>44253</v>
      </c>
      <c r="B5" s="3">
        <v>-1.8639087999999998E-2</v>
      </c>
      <c r="C5" s="3">
        <v>2.9161215000000001E-2</v>
      </c>
      <c r="D5" s="3">
        <v>-1.7204285E-2</v>
      </c>
      <c r="E5" s="3">
        <v>-2.2344529999999998E-2</v>
      </c>
      <c r="F5" s="3">
        <v>-2.6082397E-2</v>
      </c>
      <c r="G5" s="3">
        <v>7.0150137000000001E-2</v>
      </c>
      <c r="H5" s="3">
        <v>-8.7463260000000004E-3</v>
      </c>
      <c r="I5" s="3">
        <v>2.3463487999999998E-2</v>
      </c>
      <c r="J5" s="3">
        <v>-3.1212806999999999E-2</v>
      </c>
      <c r="K5" s="3">
        <v>-4.5153559999999995E-2</v>
      </c>
      <c r="L5" s="3">
        <v>-0.10115528</v>
      </c>
      <c r="M5" s="3">
        <v>2.9150010000000001E-2</v>
      </c>
      <c r="N5" s="3">
        <v>5.3813576999999994E-2</v>
      </c>
      <c r="O5" s="3">
        <v>1.5091538E-2</v>
      </c>
      <c r="P5" s="3">
        <v>-2.2334455999999999E-2</v>
      </c>
      <c r="Q5" s="3">
        <v>-4.7669469999999999E-2</v>
      </c>
      <c r="R5" s="3">
        <v>1.925087E-2</v>
      </c>
      <c r="S5" s="3">
        <v>-2.1245420000000001E-2</v>
      </c>
      <c r="T5" s="3">
        <v>-2.4371624000000001E-2</v>
      </c>
      <c r="U5" s="3">
        <v>4.5751689999999998E-2</v>
      </c>
      <c r="V5" s="3">
        <v>1.9670010000000002E-2</v>
      </c>
      <c r="W5" s="3">
        <v>-8.7686059999999996E-2</v>
      </c>
      <c r="X5" s="3">
        <v>1.2254714999999998E-3</v>
      </c>
      <c r="Y5" s="3">
        <v>3.3076406000000003E-2</v>
      </c>
      <c r="Z5" s="3">
        <v>3.7629603999999998E-3</v>
      </c>
      <c r="AA5" s="3">
        <v>-3.2145380000000003E-3</v>
      </c>
      <c r="AB5" s="3">
        <v>-4.4218420000000001E-2</v>
      </c>
      <c r="AC5" s="3">
        <v>1.3008713999999999E-2</v>
      </c>
      <c r="AD5" s="3">
        <v>-2.2345304E-2</v>
      </c>
      <c r="AE5" s="3">
        <v>7.2292089999999995E-3</v>
      </c>
      <c r="AF5" s="3">
        <v>2.5120974000000001E-2</v>
      </c>
      <c r="AG5" s="3">
        <v>2.1582723000000002E-2</v>
      </c>
      <c r="AH5" s="3">
        <v>1.5466451999999999E-2</v>
      </c>
      <c r="AI5" s="3">
        <v>3.493607E-2</v>
      </c>
      <c r="AJ5" s="3"/>
      <c r="AK5" s="3"/>
      <c r="AL5" s="3"/>
    </row>
    <row r="6" spans="1:38" x14ac:dyDescent="0.45">
      <c r="A6" s="2">
        <v>44281</v>
      </c>
      <c r="B6" s="3">
        <v>-5.4919960000000004E-2</v>
      </c>
      <c r="C6" s="3">
        <v>6.9404599999999997E-2</v>
      </c>
      <c r="D6" s="3">
        <v>7.8774689999999998E-3</v>
      </c>
      <c r="E6" s="3">
        <v>-8.9433789999999996E-3</v>
      </c>
      <c r="F6" s="3">
        <v>-2.4102867E-2</v>
      </c>
      <c r="G6" s="3">
        <v>-7.3104915999999992E-2</v>
      </c>
      <c r="H6" s="3">
        <v>2.2058724999999998E-2</v>
      </c>
      <c r="I6" s="3">
        <v>1.5055655999999999E-2</v>
      </c>
      <c r="J6" s="3">
        <v>8.2882399999999995E-2</v>
      </c>
      <c r="K6" s="3">
        <v>1.3299942E-2</v>
      </c>
      <c r="L6" s="3">
        <v>1.5987515000000001E-2</v>
      </c>
      <c r="M6" s="3">
        <v>6.5297364999999996E-2</v>
      </c>
      <c r="N6" s="3">
        <v>6.8757533999999995E-2</v>
      </c>
      <c r="O6" s="3">
        <v>3.6314963999999998E-2</v>
      </c>
      <c r="P6" s="3">
        <v>-6.6123304000000008E-2</v>
      </c>
      <c r="Q6" s="3">
        <v>4.2269230000000005E-2</v>
      </c>
      <c r="R6" s="3">
        <v>5.216527E-2</v>
      </c>
      <c r="S6" s="3">
        <v>-0.13922155</v>
      </c>
      <c r="T6" s="3">
        <v>3.3567429000000003E-2</v>
      </c>
      <c r="U6" s="3">
        <v>1.3636351E-2</v>
      </c>
      <c r="V6" s="3">
        <v>7.1250796000000005E-2</v>
      </c>
      <c r="W6" s="3">
        <v>-1.039499E-2</v>
      </c>
      <c r="X6" s="3">
        <v>2.2031784000000002E-2</v>
      </c>
      <c r="Y6" s="3">
        <v>6.0615540000000002E-2</v>
      </c>
      <c r="Z6" s="3">
        <v>3.7488341000000001E-2</v>
      </c>
      <c r="AA6" s="3">
        <v>2.7704477000000002E-2</v>
      </c>
      <c r="AB6" s="3">
        <v>3.5854696999999998E-2</v>
      </c>
      <c r="AC6" s="3">
        <v>3.9183378000000005E-2</v>
      </c>
      <c r="AD6" s="3">
        <v>7.1669817E-3</v>
      </c>
      <c r="AE6" s="3">
        <v>4.4481992999999997E-2</v>
      </c>
      <c r="AF6" s="3">
        <v>2.8638960000000001E-2</v>
      </c>
      <c r="AG6" s="3">
        <v>5.2703260000000002E-2</v>
      </c>
      <c r="AH6" s="3">
        <v>7.5202226999999996E-2</v>
      </c>
      <c r="AI6" s="3">
        <v>5.0802110000000004E-2</v>
      </c>
      <c r="AJ6" s="3"/>
      <c r="AK6" s="3"/>
      <c r="AL6" s="3"/>
    </row>
    <row r="7" spans="1:38" x14ac:dyDescent="0.45">
      <c r="A7" s="2">
        <v>44314</v>
      </c>
      <c r="B7" s="3">
        <v>3.1719207999999999E-2</v>
      </c>
      <c r="C7" s="3">
        <v>-1.7564774000000002E-2</v>
      </c>
      <c r="D7" s="3">
        <v>-5.6013939999999998E-2</v>
      </c>
      <c r="E7" s="3">
        <v>-2.4398385999999998E-2</v>
      </c>
      <c r="F7" s="3">
        <v>9.3304159999999997E-2</v>
      </c>
      <c r="G7" s="3">
        <v>-7.5960454999999996E-2</v>
      </c>
      <c r="H7" s="3">
        <v>7.9137086999999991E-3</v>
      </c>
      <c r="I7" s="3">
        <v>9.7084050000000005E-2</v>
      </c>
      <c r="J7" s="3">
        <v>5.5416822000000004E-2</v>
      </c>
      <c r="K7" s="3">
        <v>4.2068599999999998E-2</v>
      </c>
      <c r="L7" s="3">
        <v>0.13020682</v>
      </c>
      <c r="M7" s="3">
        <v>4.5869710000000001E-2</v>
      </c>
      <c r="N7" s="3">
        <v>7.5244546000000009E-2</v>
      </c>
      <c r="O7" s="3">
        <v>-2.2342443E-2</v>
      </c>
      <c r="P7" s="3">
        <v>2.9379249E-2</v>
      </c>
      <c r="Q7" s="3">
        <v>5.6563496999999997E-2</v>
      </c>
      <c r="R7" s="3">
        <v>1.2255907000000002E-3</v>
      </c>
      <c r="S7" s="3">
        <v>1.6086936E-2</v>
      </c>
      <c r="T7" s="3">
        <v>3.1722068999999999E-2</v>
      </c>
      <c r="U7" s="3">
        <v>6.5582989999999994E-2</v>
      </c>
      <c r="V7" s="3">
        <v>0.12082480999999999</v>
      </c>
      <c r="W7" s="3">
        <v>5.1874520000000007E-2</v>
      </c>
      <c r="X7" s="3">
        <v>5.6287409999999996E-2</v>
      </c>
      <c r="Y7" s="3">
        <v>5.5978893999999994E-2</v>
      </c>
      <c r="Z7" s="3">
        <v>6.2932849999999999E-2</v>
      </c>
      <c r="AA7" s="3">
        <v>-3.0380785E-2</v>
      </c>
      <c r="AB7" s="3">
        <v>4.3099640000000002E-2</v>
      </c>
      <c r="AC7" s="3">
        <v>3.9290189999999996E-2</v>
      </c>
      <c r="AD7" s="3">
        <v>7.2784779999999993E-2</v>
      </c>
      <c r="AE7" s="3">
        <v>5.4093600000000006E-2</v>
      </c>
      <c r="AF7" s="3">
        <v>7.7497125E-2</v>
      </c>
      <c r="AG7" s="3">
        <v>5.8264969999999999E-2</v>
      </c>
      <c r="AH7" s="3">
        <v>5.4227589999999999E-2</v>
      </c>
      <c r="AI7" s="3">
        <v>2.7035594E-2</v>
      </c>
      <c r="AJ7" s="3"/>
      <c r="AK7" s="3"/>
      <c r="AL7" s="3"/>
    </row>
    <row r="8" spans="1:38" x14ac:dyDescent="0.45">
      <c r="A8" s="2">
        <v>44344</v>
      </c>
      <c r="B8" s="3">
        <v>6.2661290000000008E-2</v>
      </c>
      <c r="C8" s="3">
        <v>-0.10878790000000001</v>
      </c>
      <c r="D8" s="3">
        <v>-1.7479241E-2</v>
      </c>
      <c r="E8" s="3">
        <v>5.4813265999999999E-2</v>
      </c>
      <c r="F8" s="3">
        <v>0.13152611</v>
      </c>
      <c r="G8" s="3">
        <v>3.6535381999999998E-2</v>
      </c>
      <c r="H8" s="3">
        <v>-2.2127092000000001E-2</v>
      </c>
      <c r="I8" s="3">
        <v>-4.1941879999999994E-2</v>
      </c>
      <c r="J8" s="3">
        <v>3.5291553000000003E-2</v>
      </c>
      <c r="K8" s="3">
        <v>-9.258269999999999E-3</v>
      </c>
      <c r="L8" s="3">
        <v>6.2244060000000004E-2</v>
      </c>
      <c r="M8" s="3">
        <v>3.0273675999999999E-2</v>
      </c>
      <c r="N8" s="3">
        <v>-9.7970959999999999E-3</v>
      </c>
      <c r="O8" s="3">
        <v>6.5191269999999996E-2</v>
      </c>
      <c r="P8" s="3">
        <v>-2.2689282999999998E-2</v>
      </c>
      <c r="Q8" s="3">
        <v>-2.2504984999999998E-2</v>
      </c>
      <c r="R8" s="3">
        <v>3.2914876999999999E-3</v>
      </c>
      <c r="S8" s="3">
        <v>-1.8827558000000001E-2</v>
      </c>
      <c r="T8" s="3">
        <v>8.7847709999999996E-2</v>
      </c>
      <c r="U8" s="3">
        <v>3.5244583999999995E-2</v>
      </c>
      <c r="V8" s="3">
        <v>-1.2956261999999999E-3</v>
      </c>
      <c r="W8" s="3">
        <v>-5.3233920000000004E-2</v>
      </c>
      <c r="X8" s="3">
        <v>1.0582089999999999E-2</v>
      </c>
      <c r="Y8" s="3">
        <v>5.1068543999999993E-2</v>
      </c>
      <c r="Z8" s="3">
        <v>1.3597726999999999E-2</v>
      </c>
      <c r="AA8" s="3">
        <v>8.8261365999999994E-3</v>
      </c>
      <c r="AB8" s="3">
        <v>4.3245554000000005E-2</v>
      </c>
      <c r="AC8" s="3">
        <v>3.0182958000000003E-2</v>
      </c>
      <c r="AD8" s="3">
        <v>-1.4955758999999999E-2</v>
      </c>
      <c r="AE8" s="3">
        <v>6.3248870000000004E-3</v>
      </c>
      <c r="AF8" s="3">
        <v>3.8359046000000001E-2</v>
      </c>
      <c r="AG8" s="3">
        <v>9.3801019999999995E-3</v>
      </c>
      <c r="AH8" s="3">
        <v>1.7635942000000002E-2</v>
      </c>
      <c r="AI8" s="3">
        <v>3.7782549999999998E-2</v>
      </c>
      <c r="AJ8" s="3"/>
      <c r="AK8" s="3"/>
      <c r="AL8" s="3"/>
    </row>
    <row r="9" spans="1:38" x14ac:dyDescent="0.45">
      <c r="A9" s="2">
        <v>44375</v>
      </c>
      <c r="B9" s="3">
        <v>-1.6281544999999998E-2</v>
      </c>
      <c r="C9" s="3">
        <v>-1.3090550999999999E-2</v>
      </c>
      <c r="D9" s="3">
        <v>-4.924589E-2</v>
      </c>
      <c r="E9" s="3">
        <v>2.2168516999999999E-2</v>
      </c>
      <c r="F9" s="3">
        <v>-5.3036209999999997E-3</v>
      </c>
      <c r="G9" s="3">
        <v>-0.10248507</v>
      </c>
      <c r="H9" s="3">
        <v>-3.061813E-2</v>
      </c>
      <c r="I9" s="3">
        <v>2.6940346E-2</v>
      </c>
      <c r="J9" s="3">
        <v>1.1187434000000001E-2</v>
      </c>
      <c r="K9" s="3">
        <v>1.5321135999999999E-2</v>
      </c>
      <c r="L9" s="3">
        <v>7.4283004E-2</v>
      </c>
      <c r="M9" s="3">
        <v>-7.8996239999999995E-2</v>
      </c>
      <c r="N9" s="3">
        <v>6.7137480000000003E-3</v>
      </c>
      <c r="O9" s="3">
        <v>8.1562995999999999E-3</v>
      </c>
      <c r="P9" s="3">
        <v>2.2619843000000001E-2</v>
      </c>
      <c r="Q9" s="3">
        <v>-8.0580115000000001E-3</v>
      </c>
      <c r="R9" s="3">
        <v>-1.7762184000000001E-3</v>
      </c>
      <c r="S9" s="3">
        <v>-4.4806480000000003E-2</v>
      </c>
      <c r="T9" s="3">
        <v>-1.2464225000000001E-2</v>
      </c>
      <c r="U9" s="3">
        <v>4.6747922999999997E-2</v>
      </c>
      <c r="V9" s="3">
        <v>3.3001423000000002E-2</v>
      </c>
      <c r="W9" s="3">
        <v>1.1086463999999999E-3</v>
      </c>
      <c r="X9" s="3">
        <v>-7.6755879999999997E-3</v>
      </c>
      <c r="Y9" s="3">
        <v>-5.8006643999999998E-3</v>
      </c>
      <c r="Z9" s="3">
        <v>-8.8741779999999999E-3</v>
      </c>
      <c r="AA9" s="3">
        <v>8.771419499999999E-4</v>
      </c>
      <c r="AB9" s="3">
        <v>2.6804686000000001E-2</v>
      </c>
      <c r="AC9" s="3">
        <v>-1.1392236E-2</v>
      </c>
      <c r="AD9" s="3">
        <v>6.045437E-2</v>
      </c>
      <c r="AE9" s="3">
        <v>2.1063328000000003E-2</v>
      </c>
      <c r="AF9" s="3">
        <v>-7.2475669999999999E-3</v>
      </c>
      <c r="AG9" s="3">
        <v>-8.629322E-3</v>
      </c>
      <c r="AH9" s="3">
        <v>-2.0625471999999999E-2</v>
      </c>
      <c r="AI9" s="3">
        <v>-1.2575924E-2</v>
      </c>
      <c r="AJ9" s="3"/>
      <c r="AK9" s="3"/>
      <c r="AL9" s="3"/>
    </row>
    <row r="10" spans="1:38" x14ac:dyDescent="0.45">
      <c r="A10" s="2">
        <v>44405</v>
      </c>
      <c r="B10" s="3">
        <v>-5.1945150000000002E-2</v>
      </c>
      <c r="C10" s="3">
        <v>-6.0616730000000001E-2</v>
      </c>
      <c r="D10" s="3">
        <v>-5.450964E-3</v>
      </c>
      <c r="E10" s="3">
        <v>-9.6289215000000011E-2</v>
      </c>
      <c r="F10" s="3">
        <v>-3.7567080000000003E-2</v>
      </c>
      <c r="G10" s="3">
        <v>-1.6729294999999998E-2</v>
      </c>
      <c r="H10" s="3">
        <v>-3.6116540000000003E-2</v>
      </c>
      <c r="I10" s="3">
        <v>-1.6239882000000001E-2</v>
      </c>
      <c r="J10" s="3">
        <v>2.154553E-2</v>
      </c>
      <c r="K10" s="3">
        <v>-3.7243186999999997E-2</v>
      </c>
      <c r="L10" s="3">
        <v>-3.7891625999999998E-2</v>
      </c>
      <c r="M10" s="3">
        <v>-1.7956613999999999E-2</v>
      </c>
      <c r="N10" s="3">
        <v>-4.0716049999999997E-2</v>
      </c>
      <c r="O10" s="3">
        <v>-4.0358899999999994E-3</v>
      </c>
      <c r="P10" s="3">
        <v>-0.1380673</v>
      </c>
      <c r="Q10" s="3">
        <v>-3.4611819999999997E-3</v>
      </c>
      <c r="R10" s="3">
        <v>-2.6304959999999999E-2</v>
      </c>
      <c r="S10" s="3">
        <v>3.2910109999999999E-3</v>
      </c>
      <c r="T10" s="3">
        <v>-2.6168823000000002E-3</v>
      </c>
      <c r="U10" s="3">
        <v>-6.2135935000000003E-2</v>
      </c>
      <c r="V10" s="3">
        <v>2.2819042E-3</v>
      </c>
      <c r="W10" s="3">
        <v>-9.6499919999999996E-3</v>
      </c>
      <c r="X10" s="3">
        <v>-1.4138341E-2</v>
      </c>
      <c r="Y10" s="3">
        <v>-9.6204280000000003E-3</v>
      </c>
      <c r="Z10" s="3">
        <v>-9.1769099999999999E-3</v>
      </c>
      <c r="AA10" s="3">
        <v>-7.6313019999999995E-3</v>
      </c>
      <c r="AB10" s="3">
        <v>1.2823105E-2</v>
      </c>
      <c r="AC10" s="3">
        <v>-5.1749944999999993E-3</v>
      </c>
      <c r="AD10" s="3">
        <v>3.4265400000000001E-2</v>
      </c>
      <c r="AE10" s="3">
        <v>2.6574970000000003E-2</v>
      </c>
      <c r="AF10" s="3">
        <v>-2.8743148E-3</v>
      </c>
      <c r="AG10" s="3">
        <v>1.7641067999999999E-2</v>
      </c>
      <c r="AH10" s="3">
        <v>4.2681574999999999E-2</v>
      </c>
      <c r="AI10" s="3">
        <v>-9.4829200000000006E-3</v>
      </c>
      <c r="AJ10" s="3"/>
      <c r="AK10" s="3"/>
      <c r="AL10" s="3"/>
    </row>
    <row r="11" spans="1:38" x14ac:dyDescent="0.45">
      <c r="A11" s="2">
        <v>44435</v>
      </c>
      <c r="B11" s="3">
        <v>4.7438144999999996E-3</v>
      </c>
      <c r="C11" s="3">
        <v>4.5132399999999996E-2</v>
      </c>
      <c r="D11" s="3">
        <v>4.0856956999999999E-2</v>
      </c>
      <c r="E11" s="3">
        <v>7.1504473999999998E-2</v>
      </c>
      <c r="F11" s="3">
        <v>3.8568735E-2</v>
      </c>
      <c r="G11" s="3">
        <v>-7.8125E-2</v>
      </c>
      <c r="H11" s="3">
        <v>6.3255430000000001E-2</v>
      </c>
      <c r="I11" s="3">
        <v>1.4920592E-2</v>
      </c>
      <c r="J11" s="3">
        <v>1.3384700000000001E-2</v>
      </c>
      <c r="K11" s="3">
        <v>-4.7354402999999996E-2</v>
      </c>
      <c r="L11" s="3">
        <v>-6.6397430000000007E-2</v>
      </c>
      <c r="M11" s="3">
        <v>1.4711976E-2</v>
      </c>
      <c r="N11" s="3">
        <v>5.0493956000000007E-2</v>
      </c>
      <c r="O11" s="3">
        <v>7.0914030000000003E-2</v>
      </c>
      <c r="P11" s="3">
        <v>-4.1678246999999995E-2</v>
      </c>
      <c r="Q11" s="3">
        <v>5.4768920000000006E-2</v>
      </c>
      <c r="R11" s="3">
        <v>4.7846316999999999E-2</v>
      </c>
      <c r="S11" s="3">
        <v>0.1129334</v>
      </c>
      <c r="T11" s="3">
        <v>4.4908047E-2</v>
      </c>
      <c r="U11" s="3">
        <v>2.2774339000000001E-2</v>
      </c>
      <c r="V11" s="3">
        <v>3.4151316000000001E-2</v>
      </c>
      <c r="W11" s="3">
        <v>3.7819982000000002E-2</v>
      </c>
      <c r="X11" s="3">
        <v>8.1396100000000002E-3</v>
      </c>
      <c r="Y11" s="3">
        <v>1.3491629999999999E-2</v>
      </c>
      <c r="Z11" s="3">
        <v>1.3603568E-2</v>
      </c>
      <c r="AA11" s="3">
        <v>7.5420140000000005E-3</v>
      </c>
      <c r="AB11" s="3">
        <v>2.8135061000000003E-2</v>
      </c>
      <c r="AC11" s="3">
        <v>1.5911937000000001E-2</v>
      </c>
      <c r="AD11" s="3">
        <v>2.7909160000000002E-2</v>
      </c>
      <c r="AE11" s="3">
        <v>2.6023746E-2</v>
      </c>
      <c r="AF11" s="3">
        <v>9.4339850000000006E-3</v>
      </c>
      <c r="AG11" s="3">
        <v>5.9060693000000004E-2</v>
      </c>
      <c r="AH11" s="3">
        <v>-3.7212968000000001E-3</v>
      </c>
      <c r="AI11" s="3">
        <v>1.7294525999999998E-2</v>
      </c>
      <c r="AJ11" s="3"/>
      <c r="AK11" s="3"/>
      <c r="AL11" s="3"/>
    </row>
    <row r="12" spans="1:38" x14ac:dyDescent="0.45">
      <c r="A12" s="2">
        <v>44467</v>
      </c>
      <c r="B12" s="3">
        <v>-5.6657789999999993E-3</v>
      </c>
      <c r="C12" s="3">
        <v>-6.8522509999999995E-2</v>
      </c>
      <c r="D12" s="3">
        <v>3.8295984000000002E-3</v>
      </c>
      <c r="E12" s="3">
        <v>-2.7750254000000002E-2</v>
      </c>
      <c r="F12" s="3">
        <v>-3.3109605E-2</v>
      </c>
      <c r="G12" s="3">
        <v>3.7665366999999998E-3</v>
      </c>
      <c r="H12" s="3">
        <v>-3.3345937999999999E-2</v>
      </c>
      <c r="I12" s="3">
        <v>-1.8141984999999999E-2</v>
      </c>
      <c r="J12" s="3">
        <v>-2.8216898000000001E-2</v>
      </c>
      <c r="K12" s="3">
        <v>-5.4842415000000005E-2</v>
      </c>
      <c r="L12" s="3">
        <v>-0.13115190999999998</v>
      </c>
      <c r="M12" s="3">
        <v>-4.2667746999999999E-2</v>
      </c>
      <c r="N12" s="3">
        <v>-5.9909400000000002E-2</v>
      </c>
      <c r="O12" s="3">
        <v>3.0271172999999998E-2</v>
      </c>
      <c r="P12" s="3">
        <v>-2.3340105999999999E-2</v>
      </c>
      <c r="Q12" s="3">
        <v>1.7730474E-2</v>
      </c>
      <c r="R12" s="3">
        <v>3.289461E-3</v>
      </c>
      <c r="S12" s="3">
        <v>-0.11410522000000001</v>
      </c>
      <c r="T12" s="3">
        <v>-3.3837556999999997E-4</v>
      </c>
      <c r="U12" s="3">
        <v>-2.8340041999999999E-2</v>
      </c>
      <c r="V12" s="3">
        <v>1.8835664000000002E-2</v>
      </c>
      <c r="W12" s="3">
        <v>-1.6231716E-2</v>
      </c>
      <c r="X12" s="3">
        <v>-4.9211859999999996E-2</v>
      </c>
      <c r="Y12" s="3">
        <v>-2.8221547999999999E-2</v>
      </c>
      <c r="Z12" s="3">
        <v>-4.8829200000000003E-2</v>
      </c>
      <c r="AA12" s="3">
        <v>4.2565702999999996E-2</v>
      </c>
      <c r="AB12" s="3">
        <v>-8.8741249999999994E-2</v>
      </c>
      <c r="AC12" s="3">
        <v>-3.1927763999999997E-2</v>
      </c>
      <c r="AD12" s="3">
        <v>-4.1917619999999996E-2</v>
      </c>
      <c r="AE12" s="3">
        <v>-3.3596336999999997E-2</v>
      </c>
      <c r="AF12" s="3">
        <v>-2.2845328000000002E-2</v>
      </c>
      <c r="AG12" s="3">
        <v>-4.4156846999999999E-2</v>
      </c>
      <c r="AH12" s="3">
        <v>-6.3913640000000008E-2</v>
      </c>
      <c r="AI12" s="3">
        <v>-2.9143870000000002E-2</v>
      </c>
      <c r="AJ12" s="3"/>
      <c r="AK12" s="3"/>
      <c r="AL12" s="3"/>
    </row>
    <row r="13" spans="1:38" x14ac:dyDescent="0.45">
      <c r="A13" s="2">
        <v>44497</v>
      </c>
      <c r="B13" s="3">
        <v>2.6115894000000001E-2</v>
      </c>
      <c r="C13" s="3">
        <v>-4.9425306000000002E-2</v>
      </c>
      <c r="D13" s="3">
        <v>0.1382929</v>
      </c>
      <c r="E13" s="3">
        <v>8.5966699999999993E-2</v>
      </c>
      <c r="F13" s="3">
        <v>8.0518249999999986E-2</v>
      </c>
      <c r="G13" s="3">
        <v>0.13358343</v>
      </c>
      <c r="H13" s="3">
        <v>3.1360269000000003E-2</v>
      </c>
      <c r="I13" s="3">
        <v>1.4972925E-2</v>
      </c>
      <c r="J13" s="3">
        <v>4.7364234999999998E-3</v>
      </c>
      <c r="K13" s="3">
        <v>1.1110306E-3</v>
      </c>
      <c r="L13" s="3">
        <v>-6.3492117000000001E-2</v>
      </c>
      <c r="M13" s="3">
        <v>3.7645935999999998E-2</v>
      </c>
      <c r="N13" s="3">
        <v>6.5209390000000006E-2</v>
      </c>
      <c r="O13" s="3">
        <v>2.6525260000000001E-3</v>
      </c>
      <c r="P13" s="3">
        <v>4.4975519999999998E-2</v>
      </c>
      <c r="Q13" s="3">
        <v>4.1314125E-2</v>
      </c>
      <c r="R13" s="3">
        <v>4.8314333000000001E-3</v>
      </c>
      <c r="S13" s="3">
        <v>2.3288964999999998E-2</v>
      </c>
      <c r="T13" s="3">
        <v>5.8901310000000003E-4</v>
      </c>
      <c r="U13" s="3">
        <v>5.4166554999999998E-2</v>
      </c>
      <c r="V13" s="3">
        <v>4.4177649999999999E-2</v>
      </c>
      <c r="W13" s="3">
        <v>2.84698E-2</v>
      </c>
      <c r="X13" s="3">
        <v>8.5725899999999994E-2</v>
      </c>
      <c r="Y13" s="3">
        <v>8.4931490000000012E-2</v>
      </c>
      <c r="Z13" s="3">
        <v>2.3116230000000001E-2</v>
      </c>
      <c r="AA13" s="3">
        <v>-3.5618721999999998E-2</v>
      </c>
      <c r="AB13" s="3">
        <v>7.3573589999999994E-2</v>
      </c>
      <c r="AC13" s="3">
        <v>5.6938410000000002E-2</v>
      </c>
      <c r="AD13" s="3">
        <v>6.7663310000000004E-2</v>
      </c>
      <c r="AE13" s="3">
        <v>5.6718590000000006E-2</v>
      </c>
      <c r="AF13" s="3">
        <v>4.7821402999999998E-2</v>
      </c>
      <c r="AG13" s="3">
        <v>4.6395780000000005E-2</v>
      </c>
      <c r="AH13" s="3">
        <v>7.3376179999999999E-2</v>
      </c>
      <c r="AI13" s="3">
        <v>5.284548E-2</v>
      </c>
      <c r="AJ13" s="3"/>
      <c r="AK13" s="3"/>
      <c r="AL13" s="3"/>
    </row>
    <row r="14" spans="1:38" x14ac:dyDescent="0.45">
      <c r="A14" s="2">
        <v>44526</v>
      </c>
      <c r="B14" s="3">
        <v>-2.3137927000000001E-3</v>
      </c>
      <c r="C14" s="3">
        <v>7.0132970000000003E-2</v>
      </c>
      <c r="D14" s="3">
        <v>-3.8123249999999997E-2</v>
      </c>
      <c r="E14" s="3">
        <v>2.5031567000000001E-3</v>
      </c>
      <c r="F14" s="3">
        <v>-0.15289079999999999</v>
      </c>
      <c r="G14" s="3">
        <v>-7.5769605999999989E-2</v>
      </c>
      <c r="H14" s="3">
        <v>-7.031548E-2</v>
      </c>
      <c r="I14" s="3">
        <v>-7.8475475000000007E-4</v>
      </c>
      <c r="J14" s="3">
        <v>-9.3461809999999992E-2</v>
      </c>
      <c r="K14" s="3">
        <v>-6.5729380000000004E-2</v>
      </c>
      <c r="L14" s="3">
        <v>-2.3595929999999998E-2</v>
      </c>
      <c r="M14" s="3">
        <v>-0.11530441</v>
      </c>
      <c r="N14" s="3">
        <v>-0.11234778000000001</v>
      </c>
      <c r="O14" s="3">
        <v>-4.0089550000000002E-2</v>
      </c>
      <c r="P14" s="3">
        <v>-6.2784076000000008E-2</v>
      </c>
      <c r="Q14" s="3">
        <v>-3.3460854999999998E-2</v>
      </c>
      <c r="R14" s="3">
        <v>-8.4344149999999989E-3</v>
      </c>
      <c r="S14" s="3">
        <v>-9.4287100000000013E-2</v>
      </c>
      <c r="T14" s="3">
        <v>0.10970521</v>
      </c>
      <c r="U14" s="3">
        <v>2.1739125000000002E-2</v>
      </c>
      <c r="V14" s="3">
        <v>-7.9328594000000002E-2</v>
      </c>
      <c r="W14" s="3">
        <v>-8.7732019999999994E-2</v>
      </c>
      <c r="X14" s="3">
        <v>-8.5288639999999999E-2</v>
      </c>
      <c r="Y14" s="3">
        <v>-3.5606086000000002E-2</v>
      </c>
      <c r="Z14" s="3">
        <v>-6.1913194999999997E-2</v>
      </c>
      <c r="AA14" s="3">
        <v>-2.248174E-2</v>
      </c>
      <c r="AB14" s="3">
        <v>-1.4385581000000001E-2</v>
      </c>
      <c r="AC14" s="3">
        <v>-5.5637302E-2</v>
      </c>
      <c r="AD14" s="3">
        <v>1.8166661000000001E-2</v>
      </c>
      <c r="AE14" s="3">
        <v>1.4182328999999998E-3</v>
      </c>
      <c r="AF14" s="3">
        <v>-4.3864070000000005E-2</v>
      </c>
      <c r="AG14" s="3">
        <v>-5.9942840000000004E-2</v>
      </c>
      <c r="AH14" s="3">
        <v>-7.9512596000000005E-2</v>
      </c>
      <c r="AI14" s="3">
        <v>-6.0588063999999997E-2</v>
      </c>
      <c r="AJ14" s="3"/>
      <c r="AK14" s="3"/>
      <c r="AL14" s="3"/>
    </row>
    <row r="15" spans="1:38" x14ac:dyDescent="0.45">
      <c r="A15" s="2">
        <v>44558</v>
      </c>
      <c r="B15" s="3">
        <v>2.0913124000000002E-2</v>
      </c>
      <c r="C15" s="3">
        <v>-0.10981780000000001</v>
      </c>
      <c r="D15" s="3">
        <v>1.8470287000000002E-2</v>
      </c>
      <c r="E15" s="3">
        <v>1.1821985E-2</v>
      </c>
      <c r="F15" s="3">
        <v>6.7463517000000001E-2</v>
      </c>
      <c r="G15" s="3">
        <v>7.686817600000001E-2</v>
      </c>
      <c r="H15" s="3">
        <v>4.8493385E-2</v>
      </c>
      <c r="I15" s="3">
        <v>7.7236055999999997E-2</v>
      </c>
      <c r="J15" s="3">
        <v>0.15426338000000001</v>
      </c>
      <c r="K15" s="3">
        <v>6.2635899999999994E-2</v>
      </c>
      <c r="L15" s="3">
        <v>1.7046094000000001E-2</v>
      </c>
      <c r="M15" s="3">
        <v>9.9381559999999994E-2</v>
      </c>
      <c r="N15" s="3">
        <v>5.1332234999999997E-2</v>
      </c>
      <c r="O15" s="3">
        <v>2.6395082E-2</v>
      </c>
      <c r="P15" s="3">
        <v>-5.5181083999999998E-2</v>
      </c>
      <c r="Q15" s="3">
        <v>1.5292525E-2</v>
      </c>
      <c r="R15" s="3">
        <v>1.9191503999999998E-2</v>
      </c>
      <c r="S15" s="3">
        <v>6.5763592999999995E-2</v>
      </c>
      <c r="T15" s="3">
        <v>1.6274452E-3</v>
      </c>
      <c r="U15" s="3">
        <v>2.2986053999999999E-2</v>
      </c>
      <c r="V15" s="3">
        <v>3.6844492E-2</v>
      </c>
      <c r="W15" s="3">
        <v>2.4558901999999997E-2</v>
      </c>
      <c r="X15" s="3">
        <v>5.0019383000000001E-2</v>
      </c>
      <c r="Y15" s="3">
        <v>1.4270306E-2</v>
      </c>
      <c r="Z15" s="3">
        <v>3.8363575999999996E-2</v>
      </c>
      <c r="AA15" s="3">
        <v>2.0238519E-2</v>
      </c>
      <c r="AB15" s="3">
        <v>7.4194193000000006E-2</v>
      </c>
      <c r="AC15" s="3">
        <v>6.5324663999999991E-2</v>
      </c>
      <c r="AD15" s="3">
        <v>2.7935623999999999E-2</v>
      </c>
      <c r="AE15" s="3">
        <v>4.2697550000000001E-2</v>
      </c>
      <c r="AF15" s="3">
        <v>5.8458089999999997E-2</v>
      </c>
      <c r="AG15" s="3">
        <v>1.814878E-2</v>
      </c>
      <c r="AH15" s="3">
        <v>7.6712009999999997E-2</v>
      </c>
      <c r="AI15" s="3">
        <v>5.5283189999999996E-2</v>
      </c>
      <c r="AJ15" s="3"/>
      <c r="AK15" s="3"/>
      <c r="AL15" s="3"/>
    </row>
    <row r="16" spans="1:38" x14ac:dyDescent="0.45">
      <c r="A16" s="2">
        <v>44589</v>
      </c>
      <c r="B16" s="3">
        <v>-8.7689160000000002E-2</v>
      </c>
      <c r="C16" s="3">
        <v>0.12227524000000001</v>
      </c>
      <c r="D16" s="3">
        <v>-8.612871E-4</v>
      </c>
      <c r="E16" s="3">
        <v>-1.8885434E-2</v>
      </c>
      <c r="F16" s="3">
        <v>-3.1354666000000003E-2</v>
      </c>
      <c r="G16" s="3">
        <v>0.10827374000000001</v>
      </c>
      <c r="H16" s="3">
        <v>-1.7317771999999999E-2</v>
      </c>
      <c r="I16" s="3">
        <v>-5.9925079999999999E-2</v>
      </c>
      <c r="J16" s="3">
        <v>-5.9197426000000004E-2</v>
      </c>
      <c r="K16" s="3">
        <v>-0.10417461</v>
      </c>
      <c r="L16" s="3">
        <v>0.12170828</v>
      </c>
      <c r="M16" s="3">
        <v>4.5267463000000001E-2</v>
      </c>
      <c r="N16" s="3">
        <v>6.6032767000000006E-2</v>
      </c>
      <c r="O16" s="3">
        <v>-1.4740824999999999E-2</v>
      </c>
      <c r="P16" s="3">
        <v>-3.3451855000000003E-2</v>
      </c>
      <c r="Q16" s="3">
        <v>7.0859790000000006E-2</v>
      </c>
      <c r="R16" s="3">
        <v>-1.2244582E-3</v>
      </c>
      <c r="S16" s="3">
        <v>-4.7849180000000005E-2</v>
      </c>
      <c r="T16" s="3">
        <v>3.9975285999999999E-2</v>
      </c>
      <c r="U16" s="3">
        <v>-6.8883539999999993E-2</v>
      </c>
      <c r="V16" s="3">
        <v>8.4848994999999997E-2</v>
      </c>
      <c r="W16" s="3">
        <v>-0.12010932000000001</v>
      </c>
      <c r="X16" s="3">
        <v>-9.2906530000000001E-2</v>
      </c>
      <c r="Y16" s="3">
        <v>-2.4058639999999999E-2</v>
      </c>
      <c r="Z16" s="3">
        <v>-4.3502390000000002E-2</v>
      </c>
      <c r="AA16" s="3">
        <v>-6.926727299999999E-2</v>
      </c>
      <c r="AB16" s="3">
        <v>-8.1336140000000001E-2</v>
      </c>
      <c r="AC16" s="3">
        <v>1.4431833999999999E-2</v>
      </c>
      <c r="AD16" s="3">
        <v>-0.12402582000000001</v>
      </c>
      <c r="AE16" s="3">
        <v>-7.3227463000000007E-2</v>
      </c>
      <c r="AF16" s="3">
        <v>-3.5787819999999998E-2</v>
      </c>
      <c r="AG16" s="3">
        <v>-0.10037917</v>
      </c>
      <c r="AH16" s="3">
        <v>-0.11383283999999999</v>
      </c>
      <c r="AI16" s="3">
        <v>-2.9474317999999999E-2</v>
      </c>
      <c r="AJ16" s="3"/>
      <c r="AK16" s="3"/>
      <c r="AL16" s="3"/>
    </row>
    <row r="17" spans="1:38" x14ac:dyDescent="0.45">
      <c r="A17" s="2">
        <v>44620</v>
      </c>
      <c r="B17" s="3">
        <v>3.002894E-2</v>
      </c>
      <c r="C17" s="3">
        <v>1.3239860000000001E-2</v>
      </c>
      <c r="D17" s="3">
        <v>4.8706889999999996E-2</v>
      </c>
      <c r="E17" s="3">
        <v>3.9760232E-2</v>
      </c>
      <c r="F17" s="3">
        <v>-0.11489993</v>
      </c>
      <c r="G17" s="3">
        <v>7.0353390000000002E-2</v>
      </c>
      <c r="H17" s="3">
        <v>6.2704919999999997E-2</v>
      </c>
      <c r="I17" s="3">
        <v>1.8645406E-2</v>
      </c>
      <c r="J17" s="3">
        <v>6.2922240000000004E-2</v>
      </c>
      <c r="K17" s="3">
        <v>2.5637507E-2</v>
      </c>
      <c r="L17" s="3">
        <v>5.5858730000000002E-2</v>
      </c>
      <c r="M17" s="3">
        <v>9.1172810000000007E-2</v>
      </c>
      <c r="N17" s="3">
        <v>-3.2154321999999999E-2</v>
      </c>
      <c r="O17" s="3">
        <v>-2.3219466000000001E-2</v>
      </c>
      <c r="P17" s="3">
        <v>-2.0063520000000001E-2</v>
      </c>
      <c r="Q17" s="3">
        <v>4.7877549999999998E-2</v>
      </c>
      <c r="R17" s="3">
        <v>2.7855873E-2</v>
      </c>
      <c r="S17" s="3">
        <v>-4.9746275000000006E-2</v>
      </c>
      <c r="T17" s="3">
        <v>4.3674945999999999E-2</v>
      </c>
      <c r="U17" s="3">
        <v>-4.5918225999999999E-3</v>
      </c>
      <c r="V17" s="3">
        <v>4.181576E-2</v>
      </c>
      <c r="W17" s="3">
        <v>5.6310653999999995E-2</v>
      </c>
      <c r="X17" s="3">
        <v>6.557368999999999E-2</v>
      </c>
      <c r="Y17" s="3">
        <v>2.41158E-2</v>
      </c>
      <c r="Z17" s="3">
        <v>-7.623887E-2</v>
      </c>
      <c r="AA17" s="3">
        <v>3.0279159999999999E-3</v>
      </c>
      <c r="AB17" s="3">
        <v>-1.5201329999999999E-2</v>
      </c>
      <c r="AC17" s="3">
        <v>-7.4096320000000002E-3</v>
      </c>
      <c r="AD17" s="3">
        <v>-1.4212608E-2</v>
      </c>
      <c r="AE17" s="3">
        <v>-1.2037575E-2</v>
      </c>
      <c r="AF17" s="3">
        <v>-5.6608796000000003E-2</v>
      </c>
      <c r="AG17" s="3">
        <v>-4.9911260000000006E-2</v>
      </c>
      <c r="AH17" s="3">
        <v>-8.2706750000000009E-2</v>
      </c>
      <c r="AI17" s="3">
        <v>-5.2911699999999999E-2</v>
      </c>
      <c r="AJ17" s="3"/>
      <c r="AK17" s="3"/>
      <c r="AL17" s="3"/>
    </row>
    <row r="18" spans="1:38" x14ac:dyDescent="0.45">
      <c r="A18" s="2">
        <v>44648</v>
      </c>
      <c r="B18" s="3">
        <v>-0.10978287999999999</v>
      </c>
      <c r="C18" s="3">
        <v>0.12336659</v>
      </c>
      <c r="D18" s="3">
        <v>2.4249911000000002E-2</v>
      </c>
      <c r="E18" s="3">
        <v>-6.4946947000000005E-2</v>
      </c>
      <c r="F18" s="3">
        <v>5.1367999999999997E-2</v>
      </c>
      <c r="G18" s="3">
        <v>7.0321439999999999E-2</v>
      </c>
      <c r="H18" s="3">
        <v>-6.5560936999999996E-3</v>
      </c>
      <c r="I18" s="3">
        <v>-3.9737105000000002E-2</v>
      </c>
      <c r="J18" s="3">
        <v>6.5752864000000008E-2</v>
      </c>
      <c r="K18" s="3">
        <v>-2.1129787000000001E-2</v>
      </c>
      <c r="L18" s="3">
        <v>0.13712382000000001</v>
      </c>
      <c r="M18" s="3">
        <v>4.5385479999999999E-2</v>
      </c>
      <c r="N18" s="3">
        <v>-2.8792917999999997E-2</v>
      </c>
      <c r="O18" s="3">
        <v>1.9428491999999999E-2</v>
      </c>
      <c r="P18" s="3">
        <v>-8.3603499999999997E-2</v>
      </c>
      <c r="Q18" s="3">
        <v>5.7901619999999994E-2</v>
      </c>
      <c r="R18" s="3">
        <v>-5.2219630000000005E-4</v>
      </c>
      <c r="S18" s="3">
        <v>6.784188699999999E-2</v>
      </c>
      <c r="T18" s="3">
        <v>7.2405814999999998E-2</v>
      </c>
      <c r="U18" s="3">
        <v>-3.0240893000000001E-2</v>
      </c>
      <c r="V18" s="3">
        <v>2.4898052E-2</v>
      </c>
      <c r="W18" s="3">
        <v>-4.544139E-3</v>
      </c>
      <c r="X18" s="3">
        <v>9.6465700000000001E-2</v>
      </c>
      <c r="Y18" s="3">
        <v>5.6253194999999999E-2</v>
      </c>
      <c r="Z18" s="3">
        <v>-1.5474558000000001E-2</v>
      </c>
      <c r="AA18" s="3">
        <v>-1.8112481E-2</v>
      </c>
      <c r="AB18" s="3">
        <v>1.7939091000000001E-2</v>
      </c>
      <c r="AC18" s="3">
        <v>1.4929771E-3</v>
      </c>
      <c r="AD18" s="3">
        <v>5.3524017E-2</v>
      </c>
      <c r="AE18" s="3">
        <v>4.7365190000000001E-2</v>
      </c>
      <c r="AF18" s="3">
        <v>-5.3779480000000005E-3</v>
      </c>
      <c r="AG18" s="3">
        <v>-3.7357807E-3</v>
      </c>
      <c r="AH18" s="3">
        <v>2.8820752999999998E-2</v>
      </c>
      <c r="AI18" s="3">
        <v>-3.3388436000000001E-2</v>
      </c>
      <c r="AJ18" s="3"/>
      <c r="AK18" s="3"/>
      <c r="AL18" s="3"/>
    </row>
    <row r="19" spans="1:38" x14ac:dyDescent="0.45">
      <c r="A19" s="2">
        <v>44679</v>
      </c>
      <c r="B19" s="3">
        <v>-0.10660463000000001</v>
      </c>
      <c r="C19" s="3">
        <v>-0.12863499</v>
      </c>
      <c r="D19" s="3">
        <v>1.4446258999999999E-2</v>
      </c>
      <c r="E19" s="3">
        <v>-4.3167829999999997E-2</v>
      </c>
      <c r="F19" s="3">
        <v>-0.135953245</v>
      </c>
      <c r="G19" s="3">
        <v>-0.14641999999999999</v>
      </c>
      <c r="H19" s="3">
        <v>-4.1925487999999997E-2</v>
      </c>
      <c r="I19" s="3">
        <v>-7.8038454000000007E-2</v>
      </c>
      <c r="J19" s="3">
        <v>-5.8527526999999996E-2</v>
      </c>
      <c r="K19" s="3">
        <v>-6.3910839999999997E-2</v>
      </c>
      <c r="L19" s="3">
        <v>-0.10588241</v>
      </c>
      <c r="M19" s="3">
        <v>-0.13169843000000001</v>
      </c>
      <c r="N19" s="3">
        <v>3.2687186999999999E-2</v>
      </c>
      <c r="O19" s="3">
        <v>-6.7263840000000006E-4</v>
      </c>
      <c r="P19" s="3">
        <v>-9.4209609999999999E-2</v>
      </c>
      <c r="Q19" s="3">
        <v>-2.0576120000000003E-2</v>
      </c>
      <c r="R19" s="3">
        <v>-9.8320245999999993E-3</v>
      </c>
      <c r="S19" s="3">
        <v>0.12556278000000001</v>
      </c>
      <c r="T19" s="3">
        <v>5.3167342999999999E-4</v>
      </c>
      <c r="U19" s="3">
        <v>-0.10676532999999999</v>
      </c>
      <c r="V19" s="3">
        <v>6.6806196999999998E-2</v>
      </c>
      <c r="W19" s="3">
        <v>-6.3945055000000001E-2</v>
      </c>
      <c r="X19" s="3">
        <v>-5.2711487000000001E-2</v>
      </c>
      <c r="Y19" s="3">
        <v>-6.1679419999999999E-2</v>
      </c>
      <c r="Z19" s="3">
        <v>-8.0684599999999995E-2</v>
      </c>
      <c r="AA19" s="3">
        <v>-7.2815537E-2</v>
      </c>
      <c r="AB19" s="3">
        <v>-3.6885201999999999E-2</v>
      </c>
      <c r="AC19" s="3">
        <v>-3.2200395999999999E-2</v>
      </c>
      <c r="AD19" s="3">
        <v>-0.10112082999999999</v>
      </c>
      <c r="AE19" s="3">
        <v>-6.1634960000000003E-2</v>
      </c>
      <c r="AF19" s="3">
        <v>-4.8093320000000002E-2</v>
      </c>
      <c r="AG19" s="3">
        <v>-8.6008840000000003E-2</v>
      </c>
      <c r="AH19" s="3">
        <v>-6.8619846999999998E-2</v>
      </c>
      <c r="AI19" s="3">
        <v>-5.3009567000000007E-2</v>
      </c>
      <c r="AJ19" s="3"/>
      <c r="AK19" s="3"/>
      <c r="AL19" s="3"/>
    </row>
    <row r="20" spans="1:38" x14ac:dyDescent="0.45">
      <c r="A20" s="2">
        <v>44708</v>
      </c>
      <c r="B20" s="3">
        <v>3.2822132000000004E-2</v>
      </c>
      <c r="C20" s="3">
        <v>0.20533966000000001</v>
      </c>
      <c r="D20" s="3">
        <v>-2.8085469999999998E-2</v>
      </c>
      <c r="E20" s="3">
        <v>1.6961098E-3</v>
      </c>
      <c r="F20" s="3">
        <v>1.0448694000000001E-2</v>
      </c>
      <c r="G20" s="3">
        <v>-1.8535972000000001E-2</v>
      </c>
      <c r="H20" s="3">
        <v>-2.4311185000000003E-2</v>
      </c>
      <c r="I20" s="3">
        <v>-9.7190139999999998E-3</v>
      </c>
      <c r="J20" s="3">
        <v>5.2464842999999997E-2</v>
      </c>
      <c r="K20" s="3">
        <v>1.8839478E-2</v>
      </c>
      <c r="L20" s="3">
        <v>6.8181870000000006E-2</v>
      </c>
      <c r="M20" s="3">
        <v>1.8827915000000001E-3</v>
      </c>
      <c r="N20" s="3">
        <v>-2.0610928999999997E-2</v>
      </c>
      <c r="O20" s="3">
        <v>-7.2021539999999995E-2</v>
      </c>
      <c r="P20" s="3">
        <v>3.2065749999999997E-2</v>
      </c>
      <c r="Q20" s="3">
        <v>-3.6554574999999999E-2</v>
      </c>
      <c r="R20" s="3">
        <v>-1.73828E-2</v>
      </c>
      <c r="S20" s="3">
        <v>-8.3111169999999998E-2</v>
      </c>
      <c r="T20" s="3">
        <v>-9.9362320000000004E-2</v>
      </c>
      <c r="U20" s="3">
        <v>-5.9171620000000001E-2</v>
      </c>
      <c r="V20" s="3">
        <v>-9.5406289999999991E-2</v>
      </c>
      <c r="W20" s="3">
        <v>-5.5458664999999997E-2</v>
      </c>
      <c r="X20" s="3">
        <v>-1.2009143999999999E-3</v>
      </c>
      <c r="Y20" s="3">
        <v>-6.8638325E-3</v>
      </c>
      <c r="Z20" s="3">
        <v>3.9513707000000002E-2</v>
      </c>
      <c r="AA20" s="3">
        <v>1.8150091E-2</v>
      </c>
      <c r="AB20" s="3">
        <v>-2.6170194000000001E-2</v>
      </c>
      <c r="AC20" s="3">
        <v>2.3105383E-2</v>
      </c>
      <c r="AD20" s="3">
        <v>-5.7650685E-2</v>
      </c>
      <c r="AE20" s="3">
        <v>-2.9335440000000001E-2</v>
      </c>
      <c r="AF20" s="3">
        <v>3.2884836000000001E-2</v>
      </c>
      <c r="AG20" s="3">
        <v>6.9230795000000001E-3</v>
      </c>
      <c r="AH20" s="3">
        <v>8.5539819999999999E-3</v>
      </c>
      <c r="AI20" s="3">
        <v>4.6226025000000004E-2</v>
      </c>
      <c r="AJ20" s="3"/>
      <c r="AK20" s="3"/>
      <c r="AL20" s="3"/>
    </row>
    <row r="21" spans="1:38" x14ac:dyDescent="0.45">
      <c r="A21" s="2">
        <v>44740</v>
      </c>
      <c r="B21" s="3">
        <v>0.11792051000000001</v>
      </c>
      <c r="C21" s="3">
        <v>-0.17027832000000001</v>
      </c>
      <c r="D21" s="3">
        <v>-6.2252463999999993E-2</v>
      </c>
      <c r="E21" s="3">
        <v>-0.11602211000000001</v>
      </c>
      <c r="F21" s="3">
        <v>-9.7702500000000012E-2</v>
      </c>
      <c r="G21" s="3">
        <v>-0.11445207</v>
      </c>
      <c r="H21" s="3">
        <v>-6.9393516000000002E-2</v>
      </c>
      <c r="I21" s="3">
        <v>-7.6017139999999997E-2</v>
      </c>
      <c r="J21" s="3">
        <v>-0.10021395</v>
      </c>
      <c r="K21" s="3">
        <v>-0.12633133000000002</v>
      </c>
      <c r="L21" s="3">
        <v>-0.18876802000000001</v>
      </c>
      <c r="M21" s="3">
        <v>-7.7520312999999993E-2</v>
      </c>
      <c r="N21" s="3">
        <v>-0.11424279</v>
      </c>
      <c r="O21" s="3">
        <v>-5.3675056000000006E-2</v>
      </c>
      <c r="P21" s="3">
        <v>0.12124062000000001</v>
      </c>
      <c r="Q21" s="3">
        <v>-5.3865967000000001E-2</v>
      </c>
      <c r="R21" s="3">
        <v>-2.7020632999999999E-2</v>
      </c>
      <c r="S21" s="3">
        <v>-1.7979502999999997E-2</v>
      </c>
      <c r="T21" s="3">
        <v>-5.6968870000000005E-2</v>
      </c>
      <c r="U21" s="3">
        <v>-6.7924499999999999E-2</v>
      </c>
      <c r="V21" s="3">
        <v>-8.8814679999999993E-2</v>
      </c>
      <c r="W21" s="3">
        <v>-4.7831116E-2</v>
      </c>
      <c r="X21" s="3">
        <v>-0.10960942</v>
      </c>
      <c r="Y21" s="3">
        <v>-8.1722199999999995E-2</v>
      </c>
      <c r="Z21" s="3">
        <v>-0.10887193999999999</v>
      </c>
      <c r="AA21" s="3">
        <v>-8.0048449999999993E-2</v>
      </c>
      <c r="AB21" s="3">
        <v>-8.3710909999999999E-2</v>
      </c>
      <c r="AC21" s="3">
        <v>-7.2099923999999996E-2</v>
      </c>
      <c r="AD21" s="3">
        <v>-8.0970530000000013E-2</v>
      </c>
      <c r="AE21" s="3">
        <v>-7.9394636000000005E-2</v>
      </c>
      <c r="AF21" s="3">
        <v>-9.118264999999999E-2</v>
      </c>
      <c r="AG21" s="3">
        <v>-8.5457325000000001E-2</v>
      </c>
      <c r="AH21" s="3">
        <v>-0.12870413</v>
      </c>
      <c r="AI21" s="3">
        <v>-0.12086779</v>
      </c>
      <c r="AJ21" s="3"/>
      <c r="AK21" s="3"/>
      <c r="AL21" s="3"/>
    </row>
    <row r="22" spans="1:38" x14ac:dyDescent="0.45">
      <c r="A22" s="2">
        <v>44770</v>
      </c>
      <c r="B22" s="3">
        <v>-4.7644433999999999E-2</v>
      </c>
      <c r="C22" s="3">
        <v>6.9007753999999991E-2</v>
      </c>
      <c r="D22" s="3">
        <v>1.7165541999999999E-2</v>
      </c>
      <c r="E22" s="3">
        <v>-6.5891739999999997E-3</v>
      </c>
      <c r="F22" s="3">
        <v>-5.3061190000000001E-2</v>
      </c>
      <c r="G22" s="3">
        <v>-4.4977546000000007E-2</v>
      </c>
      <c r="H22" s="3">
        <v>2.5045633000000001E-2</v>
      </c>
      <c r="I22" s="3">
        <v>-1.0042489000000002E-2</v>
      </c>
      <c r="J22" s="3">
        <v>-4.2454004E-3</v>
      </c>
      <c r="K22" s="3">
        <v>2.4720550000000001E-2</v>
      </c>
      <c r="L22" s="3">
        <v>4.2299389999999999E-2</v>
      </c>
      <c r="M22" s="3">
        <v>-7.8685283999999998E-3</v>
      </c>
      <c r="N22" s="3">
        <v>1.2760758000000001E-2</v>
      </c>
      <c r="O22" s="3">
        <v>7.4092984000000001E-2</v>
      </c>
      <c r="P22" s="3">
        <v>-8.3258869999999999E-2</v>
      </c>
      <c r="Q22" s="3">
        <v>5.436349E-2</v>
      </c>
      <c r="R22" s="3">
        <v>-1.1326611E-2</v>
      </c>
      <c r="S22" s="3">
        <v>-4.0609180000000002E-2</v>
      </c>
      <c r="T22" s="3">
        <v>4.4145823000000001E-2</v>
      </c>
      <c r="U22" s="3">
        <v>-1.3495088E-3</v>
      </c>
      <c r="V22" s="3">
        <v>4.7504783000000002E-2</v>
      </c>
      <c r="W22" s="3">
        <v>5.6147337000000005E-2</v>
      </c>
      <c r="X22" s="3">
        <v>4.3215631999999997E-2</v>
      </c>
      <c r="Y22" s="3">
        <v>1.6622901000000002E-2</v>
      </c>
      <c r="Z22" s="3">
        <v>-2.3678599999999998E-2</v>
      </c>
      <c r="AA22" s="3">
        <v>4.6660422999999999E-2</v>
      </c>
      <c r="AB22" s="3">
        <v>4.841852E-2</v>
      </c>
      <c r="AC22" s="3">
        <v>7.9312324999999996E-3</v>
      </c>
      <c r="AD22" s="3">
        <v>9.2650049999999998E-2</v>
      </c>
      <c r="AE22" s="3">
        <v>6.6780566999999999E-2</v>
      </c>
      <c r="AF22" s="3">
        <v>2.7541041000000002E-2</v>
      </c>
      <c r="AG22" s="3">
        <v>6.0366749999999997E-2</v>
      </c>
      <c r="AH22" s="3">
        <v>6.7205069999999992E-2</v>
      </c>
      <c r="AI22" s="3">
        <v>-2.9137970000000003E-2</v>
      </c>
      <c r="AJ22" s="3"/>
      <c r="AK22" s="3"/>
      <c r="AL22" s="3"/>
    </row>
    <row r="23" spans="1:38" x14ac:dyDescent="0.45">
      <c r="A23" s="2">
        <v>44799</v>
      </c>
      <c r="B23" s="3">
        <v>-4.2761269999999997E-2</v>
      </c>
      <c r="C23" s="3">
        <v>6.5317034999999996E-2</v>
      </c>
      <c r="D23" s="3">
        <v>1.9472003000000002E-2</v>
      </c>
      <c r="E23" s="3">
        <v>5.1892279999999999E-2</v>
      </c>
      <c r="F23" s="3">
        <v>-7.6149464E-2</v>
      </c>
      <c r="G23" s="3">
        <v>3.5714269E-2</v>
      </c>
      <c r="H23" s="3">
        <v>-8.4407330000000006E-3</v>
      </c>
      <c r="I23" s="3">
        <v>-8.1934929999999996E-3</v>
      </c>
      <c r="J23" s="3">
        <v>-7.8874229999999993E-3</v>
      </c>
      <c r="K23" s="3">
        <v>-4.3456735999999996E-2</v>
      </c>
      <c r="L23" s="3">
        <v>0.11030173</v>
      </c>
      <c r="M23" s="3">
        <v>-6.2981249999999999E-3</v>
      </c>
      <c r="N23" s="3">
        <v>1.0079741E-2</v>
      </c>
      <c r="O23" s="3">
        <v>1.3558506999999999E-2</v>
      </c>
      <c r="P23" s="3">
        <v>-1.8125117E-2</v>
      </c>
      <c r="Q23" s="3">
        <v>4.5680639999999995E-2</v>
      </c>
      <c r="R23" s="3">
        <v>4.3370723999999999E-2</v>
      </c>
      <c r="S23" s="3">
        <v>0.17989422000000002</v>
      </c>
      <c r="T23" s="3">
        <v>1.6550183E-2</v>
      </c>
      <c r="U23" s="3">
        <v>3.6486506000000002E-2</v>
      </c>
      <c r="V23" s="3">
        <v>4.0540576000000002E-2</v>
      </c>
      <c r="W23" s="3">
        <v>-2.6476145E-2</v>
      </c>
      <c r="X23" s="3">
        <v>-4.4542550000000001E-4</v>
      </c>
      <c r="Y23" s="3">
        <v>2.8685329999999999E-3</v>
      </c>
      <c r="Z23" s="3">
        <v>-6.3230869999999995E-2</v>
      </c>
      <c r="AA23" s="3">
        <v>-2.1391391999999999E-2</v>
      </c>
      <c r="AB23" s="3">
        <v>-4.200512E-2</v>
      </c>
      <c r="AC23" s="3">
        <v>-2.4262309999999999E-2</v>
      </c>
      <c r="AD23" s="3">
        <v>-7.6498390000000003E-3</v>
      </c>
      <c r="AE23" s="3">
        <v>-1.8716455000000001E-3</v>
      </c>
      <c r="AF23" s="3">
        <v>-4.3714104000000004E-2</v>
      </c>
      <c r="AG23" s="3">
        <v>-6.8103256000000001E-2</v>
      </c>
      <c r="AH23" s="3">
        <v>-7.9927324999999994E-2</v>
      </c>
      <c r="AI23" s="3">
        <v>-2.8761983000000001E-2</v>
      </c>
      <c r="AJ23" s="3"/>
      <c r="AK23" s="3"/>
      <c r="AL23" s="3"/>
    </row>
    <row r="24" spans="1:38" x14ac:dyDescent="0.45">
      <c r="A24" s="2">
        <v>44832</v>
      </c>
      <c r="B24" s="3">
        <v>-9.372258E-2</v>
      </c>
      <c r="C24" s="3">
        <v>-0.12405877999999999</v>
      </c>
      <c r="D24" s="3">
        <v>1.3157963999999999E-2</v>
      </c>
      <c r="E24" s="3">
        <v>-0.15207708</v>
      </c>
      <c r="F24" s="3">
        <v>-0.11430788</v>
      </c>
      <c r="G24" s="3">
        <v>-7.4270544000000008E-2</v>
      </c>
      <c r="H24" s="3">
        <v>-7.8853072999999996E-2</v>
      </c>
      <c r="I24" s="3">
        <v>-0.12608183000000001</v>
      </c>
      <c r="J24" s="3">
        <v>-2.7288377000000003E-2</v>
      </c>
      <c r="K24" s="3">
        <v>-0.14734839999999999</v>
      </c>
      <c r="L24" s="3">
        <v>-8.4348620000000013E-2</v>
      </c>
      <c r="M24" s="3">
        <v>-0.12206566000000001</v>
      </c>
      <c r="N24" s="3">
        <v>-0.11060291</v>
      </c>
      <c r="O24" s="3">
        <v>-2.9335855999999997E-2</v>
      </c>
      <c r="P24" s="3">
        <v>-0.12743156999999999</v>
      </c>
      <c r="Q24" s="3">
        <v>-7.8287243999999992E-2</v>
      </c>
      <c r="R24" s="3">
        <v>-2.7693690000000003E-2</v>
      </c>
      <c r="S24" s="3">
        <v>8.9685917000000004E-3</v>
      </c>
      <c r="T24" s="3">
        <v>-7.9571485999999997E-2</v>
      </c>
      <c r="U24" s="3">
        <v>-0.11994785000000001</v>
      </c>
      <c r="V24" s="3">
        <v>-9.5751650000000008E-2</v>
      </c>
      <c r="W24" s="3">
        <v>-7.9538106999999997E-2</v>
      </c>
      <c r="X24" s="3">
        <v>-0.10026735000000001</v>
      </c>
      <c r="Y24" s="3">
        <v>-9.7826059999999992E-2</v>
      </c>
      <c r="Z24" s="3">
        <v>-6.7961159999999993E-2</v>
      </c>
      <c r="AA24" s="3">
        <v>-8.6333509999999988E-2</v>
      </c>
      <c r="AB24" s="3">
        <v>-7.6550363999999996E-2</v>
      </c>
      <c r="AC24" s="3">
        <v>-0.11794358000000001</v>
      </c>
      <c r="AD24" s="3">
        <v>-8.7826009999999996E-2</v>
      </c>
      <c r="AE24" s="3">
        <v>-8.2025710000000002E-2</v>
      </c>
      <c r="AF24" s="3">
        <v>-9.3093029999999993E-2</v>
      </c>
      <c r="AG24" s="3">
        <v>-0.10904938</v>
      </c>
      <c r="AH24" s="3">
        <v>-9.2793700000000007E-2</v>
      </c>
      <c r="AI24" s="3">
        <v>-5.6652364999999996E-2</v>
      </c>
      <c r="AJ24" s="3"/>
      <c r="AK24" s="3"/>
      <c r="AL24" s="3"/>
    </row>
    <row r="25" spans="1:38" x14ac:dyDescent="0.45">
      <c r="A25" s="2">
        <v>44862</v>
      </c>
      <c r="B25" s="3">
        <v>-8.9561879999999996E-2</v>
      </c>
      <c r="C25" s="3">
        <v>3.9705275999999998E-2</v>
      </c>
      <c r="D25" s="3">
        <v>-5.4461956000000002E-3</v>
      </c>
      <c r="E25" s="3">
        <v>5.2493334000000003E-2</v>
      </c>
      <c r="F25" s="3">
        <v>9.5697880000000013E-2</v>
      </c>
      <c r="G25" s="3">
        <v>8.3503839999999996E-2</v>
      </c>
      <c r="H25" s="3">
        <v>1.4591455E-2</v>
      </c>
      <c r="I25" s="3">
        <v>-5.5367947000000001E-2</v>
      </c>
      <c r="J25" s="3">
        <v>9.9624400000000002E-2</v>
      </c>
      <c r="K25" s="3">
        <v>4.9837947E-2</v>
      </c>
      <c r="L25" s="3">
        <v>7.3012709999999995E-2</v>
      </c>
      <c r="M25" s="3">
        <v>2.9411673999999999E-2</v>
      </c>
      <c r="N25" s="3">
        <v>0.12716234000000001</v>
      </c>
      <c r="O25" s="3">
        <v>2.3694396000000003E-2</v>
      </c>
      <c r="P25" s="3">
        <v>-0.17515928</v>
      </c>
      <c r="Q25" s="3">
        <v>-1.6893445999999999E-2</v>
      </c>
      <c r="R25" s="3">
        <v>4.276991E-3</v>
      </c>
      <c r="S25" s="3">
        <v>0.18977785</v>
      </c>
      <c r="T25" s="3">
        <v>1.5062213E-2</v>
      </c>
      <c r="U25" s="3">
        <v>-0.12962961000000001</v>
      </c>
      <c r="V25" s="3">
        <v>5.0389530000000002E-2</v>
      </c>
      <c r="W25" s="3">
        <v>1.0200499999999999E-2</v>
      </c>
      <c r="X25" s="3">
        <v>2.9717684000000001E-2</v>
      </c>
      <c r="Y25" s="3">
        <v>5.009508E-2</v>
      </c>
      <c r="Z25" s="3">
        <v>9.9206330000000009E-2</v>
      </c>
      <c r="AA25" s="3">
        <v>1.085639E-2</v>
      </c>
      <c r="AB25" s="3">
        <v>3.2266498000000005E-2</v>
      </c>
      <c r="AC25" s="3">
        <v>7.9238057000000001E-2</v>
      </c>
      <c r="AD25" s="3">
        <v>4.5723915E-3</v>
      </c>
      <c r="AE25" s="3">
        <v>4.9901485000000002E-2</v>
      </c>
      <c r="AF25" s="3">
        <v>0.11074315999999999</v>
      </c>
      <c r="AG25" s="3">
        <v>6.3120839999999998E-2</v>
      </c>
      <c r="AH25" s="3">
        <v>9.4668150000000006E-2</v>
      </c>
      <c r="AI25" s="3">
        <v>0.10418570000000001</v>
      </c>
      <c r="AJ25" s="3"/>
      <c r="AK25" s="3"/>
      <c r="AL25" s="3"/>
    </row>
    <row r="26" spans="1:38" x14ac:dyDescent="0.45">
      <c r="A26" s="2">
        <v>44893</v>
      </c>
      <c r="B26" s="3">
        <v>6.157112E-2</v>
      </c>
      <c r="C26" s="3">
        <v>-2.7558803999999998E-3</v>
      </c>
      <c r="D26" s="3">
        <v>-1.9376516E-2</v>
      </c>
      <c r="E26" s="3">
        <v>9.891939000000001E-2</v>
      </c>
      <c r="F26" s="3">
        <v>0.17628215999999999</v>
      </c>
      <c r="G26" s="3">
        <v>7.7068450000000011E-2</v>
      </c>
      <c r="H26" s="3">
        <v>7.7181100000000002E-2</v>
      </c>
      <c r="I26" s="3">
        <v>0.14867759</v>
      </c>
      <c r="J26" s="3">
        <v>7.292092E-2</v>
      </c>
      <c r="K26" s="3">
        <v>9.6873760000000003E-2</v>
      </c>
      <c r="L26" s="3">
        <v>-5.7233752999999998E-2</v>
      </c>
      <c r="M26" s="3">
        <v>0.13714277</v>
      </c>
      <c r="N26" s="3">
        <v>7.4243069999999994E-2</v>
      </c>
      <c r="O26" s="3">
        <v>1.9839406E-2</v>
      </c>
      <c r="P26" s="3">
        <v>0.18725871999999999</v>
      </c>
      <c r="Q26" s="3">
        <v>-4.5346080000000004E-2</v>
      </c>
      <c r="R26" s="3">
        <v>6.7493915999999998E-3</v>
      </c>
      <c r="S26" s="3">
        <v>0.2454239</v>
      </c>
      <c r="T26" s="3">
        <v>-5.8064459999999998E-3</v>
      </c>
      <c r="U26" s="3">
        <v>4.2552948E-3</v>
      </c>
      <c r="V26" s="3">
        <v>-9.0150720000000004E-2</v>
      </c>
      <c r="W26" s="3">
        <v>6.4763189999999998E-2</v>
      </c>
      <c r="X26" s="3">
        <v>9.9086049999999995E-2</v>
      </c>
      <c r="Y26" s="3">
        <v>4.7403335999999997E-2</v>
      </c>
      <c r="Z26" s="3">
        <v>0.12003612499999999</v>
      </c>
      <c r="AA26" s="3">
        <v>0.1044153</v>
      </c>
      <c r="AB26" s="3">
        <v>8.2338090000000003E-2</v>
      </c>
      <c r="AC26" s="3">
        <v>8.5421800000000006E-2</v>
      </c>
      <c r="AD26" s="3">
        <v>5.2982569999999998E-3</v>
      </c>
      <c r="AE26" s="3">
        <v>1.7711163000000002E-2</v>
      </c>
      <c r="AF26" s="3">
        <v>8.9433559999999995E-2</v>
      </c>
      <c r="AG26" s="3">
        <v>0.14466547999999999</v>
      </c>
      <c r="AH26" s="3">
        <v>9.1120000000000007E-2</v>
      </c>
      <c r="AI26" s="3">
        <v>0.11907697</v>
      </c>
      <c r="AJ26" s="3"/>
      <c r="AK26" s="3"/>
      <c r="AL26" s="3"/>
    </row>
    <row r="27" spans="1:38" x14ac:dyDescent="0.45">
      <c r="A27" s="2">
        <v>44923</v>
      </c>
      <c r="B27" s="3">
        <v>5.2733064000000003E-2</v>
      </c>
      <c r="C27" s="3">
        <v>7.3517680000000002E-2</v>
      </c>
      <c r="D27" s="3">
        <v>-4.4574080000000002E-2</v>
      </c>
      <c r="E27" s="3">
        <v>-2.0428061000000001E-2</v>
      </c>
      <c r="F27" s="3">
        <v>4.3190720000000002E-2</v>
      </c>
      <c r="G27" s="3">
        <v>2.4008036E-2</v>
      </c>
      <c r="H27" s="3">
        <v>7.8829526999999993E-3</v>
      </c>
      <c r="I27" s="3">
        <v>-2.567935E-2</v>
      </c>
      <c r="J27" s="3">
        <v>-3.110665E-2</v>
      </c>
      <c r="K27" s="3">
        <v>7.8779460000000003E-3</v>
      </c>
      <c r="L27" s="3">
        <v>3.1642437000000002E-2</v>
      </c>
      <c r="M27" s="3">
        <v>-6.9841145999999998E-3</v>
      </c>
      <c r="N27" s="3">
        <v>3.8609982000000001E-2</v>
      </c>
      <c r="O27" s="3">
        <v>-3.1727612000000002E-2</v>
      </c>
      <c r="P27" s="3">
        <v>0.11170208000000001</v>
      </c>
      <c r="Q27" s="3">
        <v>-7.3638380000000003E-2</v>
      </c>
      <c r="R27" s="3">
        <v>1.8782734999999998E-2</v>
      </c>
      <c r="S27" s="3">
        <v>8.0046539999999999E-2</v>
      </c>
      <c r="T27" s="3">
        <v>-2.123046E-2</v>
      </c>
      <c r="U27" s="3">
        <v>1.3669491000000001E-2</v>
      </c>
      <c r="V27" s="3">
        <v>-2.9683232E-2</v>
      </c>
      <c r="W27" s="3">
        <v>5.9833883999999997E-2</v>
      </c>
      <c r="X27" s="3">
        <v>-1.4366686E-2</v>
      </c>
      <c r="Y27" s="3">
        <v>-5.2403746000000001E-2</v>
      </c>
      <c r="Z27" s="3">
        <v>-8.9337229999999993E-3</v>
      </c>
      <c r="AA27" s="3">
        <v>-2.7737677000000002E-2</v>
      </c>
      <c r="AB27" s="3">
        <v>-1.5026987E-2</v>
      </c>
      <c r="AC27" s="3">
        <v>8.3614589999999999E-3</v>
      </c>
      <c r="AD27" s="3">
        <v>-7.7740489999999995E-2</v>
      </c>
      <c r="AE27" s="3">
        <v>-4.4200299999999998E-2</v>
      </c>
      <c r="AF27" s="3">
        <v>4.2171478000000004E-3</v>
      </c>
      <c r="AG27" s="3">
        <v>-2.0018159999999997E-2</v>
      </c>
      <c r="AH27" s="3">
        <v>-1.5356301999999999E-2</v>
      </c>
      <c r="AI27" s="3">
        <v>-2.8580426999999997E-4</v>
      </c>
      <c r="AJ27" s="3"/>
      <c r="AK27" s="3"/>
      <c r="AL27" s="3"/>
    </row>
    <row r="28" spans="1:38" x14ac:dyDescent="0.45">
      <c r="A28" s="2">
        <v>44953</v>
      </c>
      <c r="B28" s="3">
        <v>0.14725911999999999</v>
      </c>
      <c r="C28" s="3">
        <v>8.6005330000000005E-2</v>
      </c>
      <c r="D28" s="3">
        <v>6.9482207000000004E-2</v>
      </c>
      <c r="E28" s="3">
        <v>0.12878202999999999</v>
      </c>
      <c r="F28" s="3">
        <v>0.11229229</v>
      </c>
      <c r="G28" s="3">
        <v>9.8640679999999994E-2</v>
      </c>
      <c r="H28" s="3">
        <v>6.9995522000000004E-2</v>
      </c>
      <c r="I28" s="3">
        <v>0.14020109</v>
      </c>
      <c r="J28" s="3">
        <v>0.14474463000000001</v>
      </c>
      <c r="K28" s="3">
        <v>0.15544963000000001</v>
      </c>
      <c r="L28" s="3">
        <v>4.9261093000000006E-2</v>
      </c>
      <c r="M28" s="3">
        <v>7.6599716999999998E-2</v>
      </c>
      <c r="N28" s="3">
        <v>0.14269197</v>
      </c>
      <c r="O28" s="3">
        <v>-2.2961079999999998E-2</v>
      </c>
      <c r="P28" s="3">
        <v>0.18893135</v>
      </c>
      <c r="Q28" s="3">
        <v>5.1059245999999996E-2</v>
      </c>
      <c r="R28" s="3">
        <v>2.0652294000000002E-2</v>
      </c>
      <c r="S28" s="3">
        <v>-1.5908538999999999E-2</v>
      </c>
      <c r="T28" s="3">
        <v>-5.1162840000000001E-2</v>
      </c>
      <c r="U28" s="3">
        <v>9.7046379999999988E-2</v>
      </c>
      <c r="V28" s="3">
        <v>4.4043539999999999E-2</v>
      </c>
      <c r="W28" s="3">
        <v>7.9578280000000001E-2</v>
      </c>
      <c r="X28" s="3">
        <v>0.12799632999999999</v>
      </c>
      <c r="Y28" s="3">
        <v>0.10092580999999999</v>
      </c>
      <c r="Z28" s="3">
        <v>0.13826752</v>
      </c>
      <c r="AA28" s="3">
        <v>9.188795000000001E-2</v>
      </c>
      <c r="AB28" s="3">
        <v>7.2467210000000004E-2</v>
      </c>
      <c r="AC28" s="3">
        <v>6.6448569999999998E-2</v>
      </c>
      <c r="AD28" s="3">
        <v>0.13902342000000001</v>
      </c>
      <c r="AE28" s="3">
        <v>7.7045559999999999E-2</v>
      </c>
      <c r="AF28" s="3">
        <v>0.11972046</v>
      </c>
      <c r="AG28" s="3">
        <v>0.14733707000000001</v>
      </c>
      <c r="AH28" s="3">
        <v>0.10018610999999999</v>
      </c>
      <c r="AI28" s="3">
        <v>0.12149536</v>
      </c>
      <c r="AJ28" s="3"/>
      <c r="AK28" s="3"/>
      <c r="AL28" s="3"/>
    </row>
    <row r="29" spans="1:38" x14ac:dyDescent="0.45">
      <c r="A29" s="2">
        <v>44985</v>
      </c>
      <c r="B29" s="3">
        <v>-7.7184020000000006E-2</v>
      </c>
      <c r="C29" s="3">
        <v>-2.3619294000000002E-2</v>
      </c>
      <c r="D29" s="3">
        <v>-2.7176201000000001E-2</v>
      </c>
      <c r="E29" s="3">
        <v>-9.2439889999999997E-2</v>
      </c>
      <c r="F29" s="3">
        <v>-5.7945013000000004E-2</v>
      </c>
      <c r="G29" s="3">
        <v>-7.8680159999999999E-2</v>
      </c>
      <c r="H29" s="3">
        <v>-9.4166699999999992E-2</v>
      </c>
      <c r="I29" s="3">
        <v>-3.7241100999999999E-2</v>
      </c>
      <c r="J29" s="3">
        <v>-7.0628524000000007E-3</v>
      </c>
      <c r="K29" s="3">
        <v>-0.105641365</v>
      </c>
      <c r="L29" s="3">
        <v>-8.5513060000000002E-2</v>
      </c>
      <c r="M29" s="3">
        <v>-0.11106289</v>
      </c>
      <c r="N29" s="3">
        <v>8.6782459999999992E-2</v>
      </c>
      <c r="O29" s="3">
        <v>-5.018359E-2</v>
      </c>
      <c r="P29" s="3">
        <v>-0.14642411</v>
      </c>
      <c r="Q29" s="3">
        <v>-5.5813969999999997E-2</v>
      </c>
      <c r="R29" s="3">
        <v>-3.5062193999999998E-2</v>
      </c>
      <c r="S29" s="3">
        <v>6.2394139999999996E-3</v>
      </c>
      <c r="T29" s="3">
        <v>2.5910378000000001E-2</v>
      </c>
      <c r="U29" s="3">
        <v>-0.13384617000000001</v>
      </c>
      <c r="V29" s="3">
        <v>-7.801777E-2</v>
      </c>
      <c r="W29" s="3">
        <v>-6.2799160000000007E-2</v>
      </c>
      <c r="X29" s="3">
        <v>-8.2598270000000001E-2</v>
      </c>
      <c r="Y29" s="3">
        <v>-4.5416299999999993E-2</v>
      </c>
      <c r="Z29" s="3">
        <v>-2.5008916999999999E-2</v>
      </c>
      <c r="AA29" s="3">
        <v>-4.8962950000000005E-2</v>
      </c>
      <c r="AB29" s="3">
        <v>-3.6008060000000001E-2</v>
      </c>
      <c r="AC29" s="3">
        <v>-9.2082023999999988E-3</v>
      </c>
      <c r="AD29" s="3">
        <v>-9.1136693999999997E-3</v>
      </c>
      <c r="AE29" s="3">
        <v>-2.322024E-2</v>
      </c>
      <c r="AF29" s="3">
        <v>-8.9551805999999994E-3</v>
      </c>
      <c r="AG29" s="3">
        <v>-3.8642764000000003E-2</v>
      </c>
      <c r="AH29" s="3">
        <v>-4.2289494999999998E-3</v>
      </c>
      <c r="AI29" s="3">
        <v>3.3330917000000003E-4</v>
      </c>
      <c r="AJ29" s="3"/>
      <c r="AK29" s="3"/>
      <c r="AL29" s="3"/>
    </row>
    <row r="30" spans="1:38" x14ac:dyDescent="0.45">
      <c r="A30" s="2">
        <v>45013</v>
      </c>
      <c r="B30" s="3">
        <v>-7.3528886000000003E-3</v>
      </c>
      <c r="C30" s="3">
        <v>1.1739612E-2</v>
      </c>
      <c r="D30" s="3">
        <v>1.2658237999999999E-2</v>
      </c>
      <c r="E30" s="3">
        <v>3.2563448000000002E-2</v>
      </c>
      <c r="F30" s="3">
        <v>-5.3899820000000001E-2</v>
      </c>
      <c r="G30" s="3">
        <v>3.3402204999999997E-2</v>
      </c>
      <c r="H30" s="3">
        <v>1.2879491E-2</v>
      </c>
      <c r="I30" s="3">
        <v>3.0670643000000001E-2</v>
      </c>
      <c r="J30" s="3">
        <v>1.2144327E-2</v>
      </c>
      <c r="K30" s="3">
        <v>2.6153803E-2</v>
      </c>
      <c r="L30" s="3">
        <v>-2.1635472999999999E-2</v>
      </c>
      <c r="M30" s="3">
        <v>2.4890183999999999E-2</v>
      </c>
      <c r="N30" s="3">
        <v>-9.0601979999999999E-2</v>
      </c>
      <c r="O30" s="3">
        <v>-1.0309219000000001E-2</v>
      </c>
      <c r="P30" s="3">
        <v>3.7400722999999997E-2</v>
      </c>
      <c r="Q30" s="3">
        <v>-6.020844E-3</v>
      </c>
      <c r="R30" s="3">
        <v>-9.5170140000000007E-3</v>
      </c>
      <c r="S30" s="3">
        <v>-7.9763174000000006E-2</v>
      </c>
      <c r="T30" s="3">
        <v>-4.3003380000000001E-2</v>
      </c>
      <c r="U30" s="3">
        <v>7.371222999999999E-2</v>
      </c>
      <c r="V30" s="3">
        <v>4.8787235999999998E-2</v>
      </c>
      <c r="W30" s="3">
        <v>5.1072836E-3</v>
      </c>
      <c r="X30" s="3">
        <v>-2.3164272E-2</v>
      </c>
      <c r="Y30" s="3">
        <v>-2.5256991000000003E-2</v>
      </c>
      <c r="Z30" s="3">
        <v>7.6950790000000005E-3</v>
      </c>
      <c r="AA30" s="3">
        <v>2.7708292000000002E-2</v>
      </c>
      <c r="AB30" s="3">
        <v>1.1759281E-2</v>
      </c>
      <c r="AC30" s="3">
        <v>-2.3853719999999998E-2</v>
      </c>
      <c r="AD30" s="3">
        <v>4.7806262999999995E-2</v>
      </c>
      <c r="AE30" s="3">
        <v>2.190113E-3</v>
      </c>
      <c r="AF30" s="3">
        <v>-5.4764747999999999E-4</v>
      </c>
      <c r="AG30" s="3">
        <v>-8.8235736000000006E-3</v>
      </c>
      <c r="AH30" s="3">
        <v>-4.3601394000000002E-2</v>
      </c>
      <c r="AI30" s="3">
        <v>-1.1329591000000002E-2</v>
      </c>
      <c r="AJ30" s="3"/>
      <c r="AK30" s="3"/>
      <c r="AL30" s="3"/>
    </row>
    <row r="31" spans="1:38" x14ac:dyDescent="0.45">
      <c r="A31" s="2">
        <v>45044</v>
      </c>
      <c r="B31" s="3">
        <v>-4.3210982999999994E-3</v>
      </c>
      <c r="C31" s="3">
        <v>-1.0548829999999999E-3</v>
      </c>
      <c r="D31" s="3">
        <v>6.6810250000000002E-2</v>
      </c>
      <c r="E31" s="3">
        <v>-9.1676116000000002E-3</v>
      </c>
      <c r="F31" s="3">
        <v>0.18096520000000002</v>
      </c>
      <c r="G31" s="3">
        <v>3.3655404999999999E-2</v>
      </c>
      <c r="H31" s="3">
        <v>-1.1353314000000002E-2</v>
      </c>
      <c r="I31" s="3">
        <v>-2.4650275999999999E-2</v>
      </c>
      <c r="J31" s="3">
        <v>4.3537855E-2</v>
      </c>
      <c r="K31" s="3">
        <v>1.0661364E-2</v>
      </c>
      <c r="L31" s="3">
        <v>5.9595227000000001E-2</v>
      </c>
      <c r="M31" s="3">
        <v>2.2619009999999998E-2</v>
      </c>
      <c r="N31" s="3">
        <v>5.8088420000000002E-2</v>
      </c>
      <c r="O31" s="3">
        <v>7.083320600000001E-2</v>
      </c>
      <c r="P31" s="3">
        <v>-3.8872123000000001E-2</v>
      </c>
      <c r="Q31" s="3">
        <v>1.541853E-2</v>
      </c>
      <c r="R31" s="3">
        <v>-4.8409700000000007E-2</v>
      </c>
      <c r="S31" s="3">
        <v>-5.1454899999999998E-2</v>
      </c>
      <c r="T31" s="3">
        <v>0.10271036</v>
      </c>
      <c r="U31" s="3">
        <v>4.9626827000000002E-3</v>
      </c>
      <c r="V31" s="3">
        <v>8.1997389999999989E-2</v>
      </c>
      <c r="W31" s="3">
        <v>1.4634131999999999E-2</v>
      </c>
      <c r="X31" s="3">
        <v>3.5346746000000005E-2</v>
      </c>
      <c r="Y31" s="3">
        <v>6.0560465000000001E-2</v>
      </c>
      <c r="Z31" s="3">
        <v>6.9454550000000004E-2</v>
      </c>
      <c r="AA31" s="3">
        <v>2.3482322999999999E-2</v>
      </c>
      <c r="AB31" s="3">
        <v>9.594345E-2</v>
      </c>
      <c r="AC31" s="3">
        <v>7.6801060000000004E-2</v>
      </c>
      <c r="AD31" s="3">
        <v>5.0273539999999999E-2</v>
      </c>
      <c r="AE31" s="3">
        <v>5.1390289999999998E-2</v>
      </c>
      <c r="AF31" s="3">
        <v>8.4109539999999997E-2</v>
      </c>
      <c r="AG31" s="3">
        <v>4.6488642999999996E-2</v>
      </c>
      <c r="AH31" s="3">
        <v>0.10153937</v>
      </c>
      <c r="AI31" s="3">
        <v>6.7071080000000005E-2</v>
      </c>
      <c r="AJ31" s="3"/>
      <c r="AK31" s="3"/>
      <c r="AL31" s="3"/>
    </row>
    <row r="32" spans="1:38" x14ac:dyDescent="0.45">
      <c r="A32" s="2">
        <v>45072</v>
      </c>
      <c r="B32" s="3">
        <v>-6.6955924E-2</v>
      </c>
      <c r="C32" s="3">
        <v>3.4494877E-2</v>
      </c>
      <c r="D32" s="3">
        <v>-3.8787842000000003E-2</v>
      </c>
      <c r="E32" s="3">
        <v>-3.6269426E-2</v>
      </c>
      <c r="F32" s="3">
        <v>1.2485743000000001E-2</v>
      </c>
      <c r="G32" s="3">
        <v>-4.5280456999999996E-2</v>
      </c>
      <c r="H32" s="3">
        <v>-3.8585186E-2</v>
      </c>
      <c r="I32" s="3">
        <v>6.557381000000001E-2</v>
      </c>
      <c r="J32" s="3">
        <v>5.5847170000000003E-3</v>
      </c>
      <c r="K32" s="3">
        <v>4.0052770000000001E-2</v>
      </c>
      <c r="L32" s="3">
        <v>5.9073209999999994E-2</v>
      </c>
      <c r="M32" s="3">
        <v>-0.12665896999999998</v>
      </c>
      <c r="N32" s="3">
        <v>0.10533035</v>
      </c>
      <c r="O32" s="3">
        <v>2.1887183000000001E-2</v>
      </c>
      <c r="P32" s="3">
        <v>-6.3704967000000001E-2</v>
      </c>
      <c r="Q32" s="3">
        <v>3.7418604000000001E-2</v>
      </c>
      <c r="R32" s="3">
        <v>1.1248588599999999E-3</v>
      </c>
      <c r="S32" s="3">
        <v>-4.5204997000000004E-2</v>
      </c>
      <c r="T32" s="3">
        <v>-5.8214719999999998E-2</v>
      </c>
      <c r="U32" s="3">
        <v>1.2345672E-2</v>
      </c>
      <c r="V32" s="3">
        <v>-8.5012909999999994E-3</v>
      </c>
      <c r="W32" s="3">
        <v>-3.0849278000000001E-2</v>
      </c>
      <c r="X32" s="3">
        <v>-3.1114936000000003E-2</v>
      </c>
      <c r="Y32" s="3">
        <v>-4.0340960000000002E-2</v>
      </c>
      <c r="Z32" s="3">
        <v>-2.8221666999999999E-2</v>
      </c>
      <c r="AA32" s="3">
        <v>2.3963332E-2</v>
      </c>
      <c r="AB32" s="3">
        <v>-1.5595734000000002E-2</v>
      </c>
      <c r="AC32" s="3">
        <v>-4.3913960000000002E-2</v>
      </c>
      <c r="AD32" s="3">
        <v>8.0109119999999992E-2</v>
      </c>
      <c r="AE32" s="3">
        <v>9.8333359999999998E-3</v>
      </c>
      <c r="AF32" s="3">
        <v>-4.0687379999999995E-2</v>
      </c>
      <c r="AG32" s="3">
        <v>1.6304374E-2</v>
      </c>
      <c r="AH32" s="3">
        <v>-6.0467599999999996E-2</v>
      </c>
      <c r="AI32" s="3">
        <v>-3.7586868000000002E-2</v>
      </c>
      <c r="AJ32" s="3"/>
      <c r="AK32" s="3"/>
      <c r="AL32" s="3"/>
    </row>
    <row r="33" spans="1:38" x14ac:dyDescent="0.45">
      <c r="A33" s="2">
        <v>45105</v>
      </c>
      <c r="B33" s="3">
        <v>-3.0055583E-2</v>
      </c>
      <c r="C33" s="3">
        <v>1.297617E-2</v>
      </c>
      <c r="D33" s="3">
        <v>-1.2304068E-2</v>
      </c>
      <c r="E33" s="3">
        <v>1.9863604999999999E-2</v>
      </c>
      <c r="F33" s="3">
        <v>6.0538054000000001E-2</v>
      </c>
      <c r="G33" s="3">
        <v>3.7826657E-2</v>
      </c>
      <c r="H33" s="3">
        <v>-2.7147830000000001E-2</v>
      </c>
      <c r="I33" s="3">
        <v>6.6239834000000001E-3</v>
      </c>
      <c r="J33" s="3">
        <v>2.6161194000000002E-2</v>
      </c>
      <c r="K33" s="3">
        <v>2.8526783000000001E-3</v>
      </c>
      <c r="L33" s="3">
        <v>8.5798380000000007E-2</v>
      </c>
      <c r="M33" s="3">
        <v>7.2952985999999997E-2</v>
      </c>
      <c r="N33" s="3">
        <v>4.5913934999999996E-2</v>
      </c>
      <c r="O33" s="3">
        <v>3.3602953000000005E-2</v>
      </c>
      <c r="P33" s="3">
        <v>1.6311764999999999E-2</v>
      </c>
      <c r="Q33" s="3">
        <v>-3.5159944999999998E-2</v>
      </c>
      <c r="R33" s="3">
        <v>-4.1748285000000003E-2</v>
      </c>
      <c r="S33" s="3">
        <v>-1.8331528E-2</v>
      </c>
      <c r="T33" s="3">
        <v>3.9209008000000004E-2</v>
      </c>
      <c r="U33" s="3">
        <v>0.10406506</v>
      </c>
      <c r="V33" s="3">
        <v>1.9558907E-2</v>
      </c>
      <c r="W33" s="3">
        <v>-9.1962814000000007E-3</v>
      </c>
      <c r="X33" s="3">
        <v>9.8124739999999998E-3</v>
      </c>
      <c r="Y33" s="3">
        <v>2.7774809999999997E-2</v>
      </c>
      <c r="Z33" s="3">
        <v>1.4157176E-2</v>
      </c>
      <c r="AA33" s="3">
        <v>3.3301829999999998E-2</v>
      </c>
      <c r="AB33" s="3">
        <v>-1.3403176999999999E-2</v>
      </c>
      <c r="AC33" s="3">
        <v>4.6557187999999999E-3</v>
      </c>
      <c r="AD33" s="3">
        <v>4.7763229999999997E-2</v>
      </c>
      <c r="AE33" s="3">
        <v>4.2847869999999996E-2</v>
      </c>
      <c r="AF33" s="3">
        <v>2.1817802999999997E-2</v>
      </c>
      <c r="AG33" s="3">
        <v>7.2067976000000002E-3</v>
      </c>
      <c r="AH33" s="3">
        <v>-5.720854E-3</v>
      </c>
      <c r="AI33" s="3">
        <v>4.8074364999999994E-2</v>
      </c>
      <c r="AJ33" s="3"/>
      <c r="AK33" s="3"/>
      <c r="AL33" s="3"/>
    </row>
    <row r="34" spans="1:38" x14ac:dyDescent="0.45">
      <c r="A34" s="2">
        <v>45135</v>
      </c>
      <c r="B34" s="3">
        <v>6.9847225999999998E-2</v>
      </c>
      <c r="C34" s="3">
        <v>8.4876059999999989E-2</v>
      </c>
      <c r="D34" s="3">
        <v>1.5204191000000001E-2</v>
      </c>
      <c r="E34" s="3">
        <v>3.125E-2</v>
      </c>
      <c r="F34" s="3">
        <v>0.11046516000000001</v>
      </c>
      <c r="G34" s="3">
        <v>0.11558961999999999</v>
      </c>
      <c r="H34" s="3">
        <v>7.8500031999999997E-2</v>
      </c>
      <c r="I34" s="3">
        <v>3.5448909000000001E-2</v>
      </c>
      <c r="J34" s="3">
        <v>4.8107743000000001E-2</v>
      </c>
      <c r="K34" s="3">
        <v>6.6529749999999999E-2</v>
      </c>
      <c r="L34" s="3">
        <v>5.2316426999999999E-2</v>
      </c>
      <c r="M34" s="3">
        <v>0.13725984999999999</v>
      </c>
      <c r="N34" s="3">
        <v>8.3632349999999994E-2</v>
      </c>
      <c r="O34" s="3">
        <v>2.6528239999999998E-2</v>
      </c>
      <c r="P34" s="3">
        <v>0.10004448999999999</v>
      </c>
      <c r="Q34" s="3">
        <v>6.3063024999999995E-2</v>
      </c>
      <c r="R34" s="3">
        <v>5.2040576999999998E-2</v>
      </c>
      <c r="S34" s="3">
        <v>0.18915057999999998</v>
      </c>
      <c r="T34" s="3">
        <v>3.5981060000000002E-2</v>
      </c>
      <c r="U34" s="3">
        <v>9.0574379999999996E-2</v>
      </c>
      <c r="V34" s="3">
        <v>3.7199139999999999E-2</v>
      </c>
      <c r="W34" s="3">
        <v>3.4555435000000002E-2</v>
      </c>
      <c r="X34" s="3">
        <v>4.0954113E-2</v>
      </c>
      <c r="Y34" s="3">
        <v>4.1024089999999999E-2</v>
      </c>
      <c r="Z34" s="3">
        <v>4.2892574999999995E-2</v>
      </c>
      <c r="AA34" s="3">
        <v>3.0410886000000002E-2</v>
      </c>
      <c r="AB34" s="3">
        <v>4.6847580000000007E-2</v>
      </c>
      <c r="AC34" s="3">
        <v>4.0975930000000001E-2</v>
      </c>
      <c r="AD34" s="3">
        <v>5.1955939999999999E-2</v>
      </c>
      <c r="AE34" s="3">
        <v>4.7045110000000001E-2</v>
      </c>
      <c r="AF34" s="3">
        <v>3.2946705999999999E-2</v>
      </c>
      <c r="AG34" s="3">
        <v>5.0653576999999998E-2</v>
      </c>
      <c r="AH34" s="3">
        <v>2.8768658999999999E-2</v>
      </c>
      <c r="AI34" s="3">
        <v>6.9939017000000006E-2</v>
      </c>
      <c r="AJ34" s="3"/>
      <c r="AK34" s="3"/>
      <c r="AL34" s="3"/>
    </row>
    <row r="35" spans="1:38" x14ac:dyDescent="0.45">
      <c r="A35" s="2">
        <v>45166</v>
      </c>
      <c r="B35" s="3">
        <v>-8.6175799999999997E-2</v>
      </c>
      <c r="C35" s="3">
        <v>-8.5640670000000002E-2</v>
      </c>
      <c r="D35" s="3">
        <v>-1.1981189000000001E-2</v>
      </c>
      <c r="E35" s="3">
        <v>-9.9408679999999999E-2</v>
      </c>
      <c r="F35" s="3">
        <v>-8.138985E-2</v>
      </c>
      <c r="G35" s="3">
        <v>-4.4192370000000002E-2</v>
      </c>
      <c r="H35" s="3">
        <v>-2.7352810000000002E-2</v>
      </c>
      <c r="I35" s="3">
        <v>-6.0680569999999996E-2</v>
      </c>
      <c r="J35" s="3">
        <v>-3.3047736000000001E-2</v>
      </c>
      <c r="K35" s="3">
        <v>-7.3788699999999999E-2</v>
      </c>
      <c r="L35" s="3">
        <v>-5.0913389999999996E-2</v>
      </c>
      <c r="M35" s="3">
        <v>-9.7354999999999997E-2</v>
      </c>
      <c r="N35" s="3">
        <v>-2.9728352999999999E-2</v>
      </c>
      <c r="O35" s="3">
        <v>-1.3932586E-2</v>
      </c>
      <c r="P35" s="3">
        <v>-9.7615184999999993E-2</v>
      </c>
      <c r="Q35" s="3">
        <v>-4.6080469999999998E-2</v>
      </c>
      <c r="R35" s="3">
        <v>1.276505E-2</v>
      </c>
      <c r="S35" s="3">
        <v>0.14090633</v>
      </c>
      <c r="T35" s="3">
        <v>-6.8873169999999996E-3</v>
      </c>
      <c r="U35" s="3">
        <v>6.7521333999999997E-3</v>
      </c>
      <c r="V35" s="3">
        <v>-4.2897280000000003E-2</v>
      </c>
      <c r="W35" s="3">
        <v>-8.4114020000000012E-2</v>
      </c>
      <c r="X35" s="3">
        <v>-6.1392125999999998E-2</v>
      </c>
      <c r="Y35" s="3">
        <v>-5.1984367000000004E-2</v>
      </c>
      <c r="Z35" s="3">
        <v>-6.1182857000000007E-2</v>
      </c>
      <c r="AA35" s="3">
        <v>-4.7409715999999998E-2</v>
      </c>
      <c r="AB35" s="3">
        <v>-4.0987014999999995E-2</v>
      </c>
      <c r="AC35" s="3">
        <v>-4.3870152999999995E-2</v>
      </c>
      <c r="AD35" s="3">
        <v>-4.3600739999999999E-2</v>
      </c>
      <c r="AE35" s="3">
        <v>-3.0990123999999997E-2</v>
      </c>
      <c r="AF35" s="3">
        <v>-3.8019836000000001E-2</v>
      </c>
      <c r="AG35" s="3">
        <v>-8.7536100000000006E-2</v>
      </c>
      <c r="AH35" s="3">
        <v>-7.2706880000000002E-2</v>
      </c>
      <c r="AI35" s="3">
        <v>-4.5877036999999996E-2</v>
      </c>
      <c r="AJ35" s="3"/>
      <c r="AK35" s="3"/>
      <c r="AL35" s="3"/>
    </row>
    <row r="36" spans="1:38" x14ac:dyDescent="0.45">
      <c r="A36" s="2">
        <v>45197</v>
      </c>
      <c r="B36" s="3">
        <v>-1.4531016000000001E-2</v>
      </c>
      <c r="C36" s="3">
        <v>-9.0528129999999998E-2</v>
      </c>
      <c r="D36" s="3">
        <v>-3.2481610000000001E-2</v>
      </c>
      <c r="E36" s="3">
        <v>3.3647895000000004E-2</v>
      </c>
      <c r="F36" s="3">
        <v>-0.12746107000000001</v>
      </c>
      <c r="G36" s="3">
        <v>-6.4979610000000007E-2</v>
      </c>
      <c r="H36" s="3">
        <v>-6.6729784000000006E-3</v>
      </c>
      <c r="I36" s="3">
        <v>-2.3134052999999998E-2</v>
      </c>
      <c r="J36" s="3">
        <v>-7.4841740000000004E-2</v>
      </c>
      <c r="K36" s="3">
        <v>-5.1831664999999999E-2</v>
      </c>
      <c r="L36" s="3">
        <v>-3.8813530999999998E-2</v>
      </c>
      <c r="M36" s="3">
        <v>-6.8702340000000001E-2</v>
      </c>
      <c r="N36" s="3">
        <v>-0.12810362</v>
      </c>
      <c r="O36" s="3">
        <v>8.4320307000000008E-3</v>
      </c>
      <c r="P36" s="3">
        <v>-3.7850022000000004E-2</v>
      </c>
      <c r="Q36" s="3">
        <v>-2.6651859999999999E-2</v>
      </c>
      <c r="R36" s="3">
        <v>-5.1715612000000001E-2</v>
      </c>
      <c r="S36" s="3">
        <v>6.5767765000000007E-4</v>
      </c>
      <c r="T36" s="3">
        <v>1.6832829000000001E-2</v>
      </c>
      <c r="U36" s="3">
        <v>-9.322596000000001E-2</v>
      </c>
      <c r="V36" s="3">
        <v>-4.7024307000000001E-2</v>
      </c>
      <c r="W36" s="3">
        <v>-1.8901527000000001E-2</v>
      </c>
      <c r="X36" s="3">
        <v>-3.684938E-3</v>
      </c>
      <c r="Y36" s="3">
        <v>-5.6013464999999998E-3</v>
      </c>
      <c r="Z36" s="3">
        <v>-5.4308469999999998E-2</v>
      </c>
      <c r="AA36" s="3">
        <v>7.7456236000000003E-3</v>
      </c>
      <c r="AB36" s="3">
        <v>-5.1897105999999998E-2</v>
      </c>
      <c r="AC36" s="3">
        <v>-2.8284192000000001E-3</v>
      </c>
      <c r="AD36" s="3">
        <v>-2.2447228E-2</v>
      </c>
      <c r="AE36" s="3">
        <v>-2.8705954999999998E-2</v>
      </c>
      <c r="AF36" s="3">
        <v>-5.7824970000000003E-2</v>
      </c>
      <c r="AG36" s="3">
        <v>-8.2055030000000001E-2</v>
      </c>
      <c r="AH36" s="3">
        <v>-8.4438919999999997E-3</v>
      </c>
      <c r="AI36" s="3">
        <v>-4.556876E-2</v>
      </c>
      <c r="AJ36" s="3"/>
      <c r="AK36" s="3"/>
      <c r="AL36" s="3"/>
    </row>
    <row r="37" spans="1:38" x14ac:dyDescent="0.45">
      <c r="A37" s="2">
        <v>45226</v>
      </c>
      <c r="B37" s="3">
        <v>-4.4531527000000001E-2</v>
      </c>
      <c r="C37" s="3">
        <v>-5.9584140000000001E-2</v>
      </c>
      <c r="D37" s="3">
        <v>-8.8630260000000002E-2</v>
      </c>
      <c r="E37" s="3">
        <v>-7.661772E-2</v>
      </c>
      <c r="F37" s="3">
        <v>0.14608072999999999</v>
      </c>
      <c r="G37" s="3">
        <v>-2.6986360000000001E-2</v>
      </c>
      <c r="H37" s="3">
        <v>-2.0633400000000003E-2</v>
      </c>
      <c r="I37" s="3">
        <v>-2.9043793999999998E-2</v>
      </c>
      <c r="J37" s="3">
        <v>-6.7385014999999993E-2</v>
      </c>
      <c r="K37" s="3">
        <v>-7.8117130000000007E-2</v>
      </c>
      <c r="L37" s="3">
        <v>-1.7399847999999999E-2</v>
      </c>
      <c r="M37" s="3">
        <v>-2.0623981999999999E-2</v>
      </c>
      <c r="N37" s="3">
        <v>7.8765154000000007E-3</v>
      </c>
      <c r="O37" s="3">
        <v>-2.9152572000000002E-2</v>
      </c>
      <c r="P37" s="3">
        <v>-2.4208604999999998E-2</v>
      </c>
      <c r="Q37" s="3">
        <v>-9.6406159999999991E-2</v>
      </c>
      <c r="R37" s="3">
        <v>-6.3361109999999998E-2</v>
      </c>
      <c r="S37" s="3">
        <v>-0.10620402999999999</v>
      </c>
      <c r="T37" s="3">
        <v>-0.13400387999999999</v>
      </c>
      <c r="U37" s="3">
        <v>-0.10872782</v>
      </c>
      <c r="V37" s="3">
        <v>-6.5535839999999998E-2</v>
      </c>
      <c r="W37" s="3">
        <v>-6.9809555999999995E-2</v>
      </c>
      <c r="X37" s="3">
        <v>-4.9930630000000004E-2</v>
      </c>
      <c r="Y37" s="3">
        <v>-6.6706180000000004E-2</v>
      </c>
      <c r="Z37" s="3">
        <v>-5.1684559999999997E-2</v>
      </c>
      <c r="AA37" s="3">
        <v>-5.4456290000000004E-2</v>
      </c>
      <c r="AB37" s="3">
        <v>-4.3008270000000001E-2</v>
      </c>
      <c r="AC37" s="3">
        <v>-4.7904195999999996E-2</v>
      </c>
      <c r="AD37" s="3">
        <v>-3.5473883000000005E-2</v>
      </c>
      <c r="AE37" s="3">
        <v>-4.1631639999999998E-2</v>
      </c>
      <c r="AF37" s="3">
        <v>-4.9549580000000003E-2</v>
      </c>
      <c r="AG37" s="3">
        <v>-2.5331616000000001E-2</v>
      </c>
      <c r="AH37" s="3">
        <v>-6.3260373999999994E-2</v>
      </c>
      <c r="AI37" s="3">
        <v>-4.2476177000000004E-2</v>
      </c>
      <c r="AJ37" s="3"/>
      <c r="AK37" s="3"/>
      <c r="AL37" s="3"/>
    </row>
    <row r="38" spans="1:38" x14ac:dyDescent="0.45">
      <c r="A38" s="2">
        <v>45258</v>
      </c>
      <c r="B38" s="3">
        <v>2.5727033999999999E-2</v>
      </c>
      <c r="C38" s="3">
        <v>9.757101E-2</v>
      </c>
      <c r="D38" s="3">
        <v>7.3182700000000003E-2</v>
      </c>
      <c r="E38" s="3">
        <v>8.8134049999999992E-2</v>
      </c>
      <c r="F38" s="3">
        <v>0.15647674</v>
      </c>
      <c r="G38" s="3">
        <v>6.1042547000000003E-2</v>
      </c>
      <c r="H38" s="3">
        <v>4.2626259999999999E-2</v>
      </c>
      <c r="I38" s="3">
        <v>0.12172115</v>
      </c>
      <c r="J38" s="3">
        <v>0.14524115000000001</v>
      </c>
      <c r="K38" s="3">
        <v>0.16196929999999998</v>
      </c>
      <c r="L38" s="3">
        <v>0.13999330499999998</v>
      </c>
      <c r="M38" s="3">
        <v>0.10853135999999999</v>
      </c>
      <c r="N38" s="3">
        <v>0.12052894</v>
      </c>
      <c r="O38" s="3">
        <v>5.8892010000000002E-2</v>
      </c>
      <c r="P38" s="3">
        <v>3.1727195E-2</v>
      </c>
      <c r="Q38" s="3">
        <v>9.4065670000000004E-2</v>
      </c>
      <c r="R38" s="3">
        <v>9.5013379999999998E-3</v>
      </c>
      <c r="S38" s="3">
        <v>6.0294150000000005E-2</v>
      </c>
      <c r="T38" s="3">
        <v>0.11652303</v>
      </c>
      <c r="U38" s="3">
        <v>9.211612000000001E-2</v>
      </c>
      <c r="V38" s="3">
        <v>8.8558909999999991E-2</v>
      </c>
      <c r="W38" s="3">
        <v>0.11330401999999999</v>
      </c>
      <c r="X38" s="3">
        <v>9.537720999999999E-2</v>
      </c>
      <c r="Y38" s="3">
        <v>9.7839950000000009E-2</v>
      </c>
      <c r="Z38" s="3">
        <v>0.14008879999999999</v>
      </c>
      <c r="AA38" s="3">
        <v>8.1805590000000011E-2</v>
      </c>
      <c r="AB38" s="3">
        <v>7.7144859999999996E-2</v>
      </c>
      <c r="AC38" s="3">
        <v>7.3816657000000008E-2</v>
      </c>
      <c r="AD38" s="3">
        <v>0.12997018999999999</v>
      </c>
      <c r="AE38" s="3">
        <v>0.10774815</v>
      </c>
      <c r="AF38" s="3">
        <v>0.11344789999999999</v>
      </c>
      <c r="AG38" s="3">
        <v>0.14382911000000001</v>
      </c>
      <c r="AH38" s="3">
        <v>0.17662345999999998</v>
      </c>
      <c r="AI38" s="3">
        <v>0.12861073000000001</v>
      </c>
      <c r="AJ38" s="3"/>
      <c r="AK38" s="3"/>
      <c r="AL38" s="3"/>
    </row>
    <row r="39" spans="1:38" x14ac:dyDescent="0.45">
      <c r="A39" s="2">
        <v>45288</v>
      </c>
      <c r="B39" s="3">
        <v>-2.4969518000000003E-2</v>
      </c>
      <c r="C39" s="3">
        <v>6.00394E-2</v>
      </c>
      <c r="D39" s="3">
        <v>2.5616170000000001E-2</v>
      </c>
      <c r="E39" s="3">
        <v>3.8087726000000002E-2</v>
      </c>
      <c r="F39" s="3">
        <v>5.5515885000000001E-2</v>
      </c>
      <c r="G39" s="3">
        <v>0.14122878999999999</v>
      </c>
      <c r="H39" s="3">
        <v>1.4327288000000001E-2</v>
      </c>
      <c r="I39" s="3">
        <v>6.4366220000000002E-2</v>
      </c>
      <c r="J39" s="3">
        <v>0.10502565000000001</v>
      </c>
      <c r="K39" s="3">
        <v>6.6401479999999999E-2</v>
      </c>
      <c r="L39" s="3">
        <v>6.6208840000000005E-2</v>
      </c>
      <c r="M39" s="3">
        <v>9.5218420000000008E-3</v>
      </c>
      <c r="N39" s="3">
        <v>1.3968110000000001E-2</v>
      </c>
      <c r="O39" s="3">
        <v>7.7599405999999996E-2</v>
      </c>
      <c r="P39" s="3">
        <v>-4.0832519999999997E-2</v>
      </c>
      <c r="Q39" s="3">
        <v>4.6162723999999995E-2</v>
      </c>
      <c r="R39" s="3">
        <v>1.0296702E-2</v>
      </c>
      <c r="S39" s="3">
        <v>-0.10041195</v>
      </c>
      <c r="T39" s="3">
        <v>2.4778843000000002E-3</v>
      </c>
      <c r="U39" s="3">
        <v>3.4370302999999998E-2</v>
      </c>
      <c r="V39" s="3">
        <v>8.2908040000000002E-2</v>
      </c>
      <c r="W39" s="3">
        <v>8.4931964999999998E-2</v>
      </c>
      <c r="X39" s="3">
        <v>0.11037647</v>
      </c>
      <c r="Y39" s="3">
        <v>7.6390029999999998E-2</v>
      </c>
      <c r="Z39" s="3">
        <v>5.0338149999999998E-2</v>
      </c>
      <c r="AA39" s="3">
        <v>3.8251757999999997E-2</v>
      </c>
      <c r="AB39" s="3">
        <v>6.7826866999999999E-2</v>
      </c>
      <c r="AC39" s="3">
        <v>4.2258380000000005E-2</v>
      </c>
      <c r="AD39" s="3">
        <v>5.6748630000000001E-2</v>
      </c>
      <c r="AE39" s="3">
        <v>5.2087070000000006E-2</v>
      </c>
      <c r="AF39" s="3">
        <v>4.7748209999999999E-2</v>
      </c>
      <c r="AG39" s="3">
        <v>7.011175E-2</v>
      </c>
      <c r="AH39" s="3">
        <v>0.12394023000000001</v>
      </c>
      <c r="AI39" s="3">
        <v>4.6555039999999999E-2</v>
      </c>
      <c r="AJ39" s="3"/>
      <c r="AK39" s="3"/>
      <c r="AL39" s="3"/>
    </row>
    <row r="40" spans="1:38" x14ac:dyDescent="0.45">
      <c r="A40" s="2">
        <v>45317</v>
      </c>
      <c r="B40" s="3">
        <v>-3.8058220999999996E-2</v>
      </c>
      <c r="C40" s="3">
        <v>-7.6566935000000003E-2</v>
      </c>
      <c r="D40" s="3">
        <v>-3.9586126999999999E-2</v>
      </c>
      <c r="E40" s="3">
        <v>1.4581800000000001E-2</v>
      </c>
      <c r="F40" s="3">
        <v>-7.1210090000000004E-2</v>
      </c>
      <c r="G40" s="3">
        <v>-2.2293031000000001E-2</v>
      </c>
      <c r="H40" s="3">
        <v>-4.243195E-3</v>
      </c>
      <c r="I40" s="3">
        <v>-2.2376657000000001E-2</v>
      </c>
      <c r="J40" s="3">
        <v>-2.3101807000000002E-2</v>
      </c>
      <c r="K40" s="3">
        <v>-9.8211650000000011E-2</v>
      </c>
      <c r="L40" s="3">
        <v>-4.9558579999999998E-2</v>
      </c>
      <c r="M40" s="3">
        <v>-3.1997979000000003E-2</v>
      </c>
      <c r="N40" s="3">
        <v>4.7233460000000005E-2</v>
      </c>
      <c r="O40" s="3">
        <v>3.4679174000000002E-3</v>
      </c>
      <c r="P40" s="3">
        <v>-5.6599139999999999E-2</v>
      </c>
      <c r="Q40" s="3">
        <v>-2.0683943999999999E-2</v>
      </c>
      <c r="R40" s="3">
        <v>-3.3689976000000003E-2</v>
      </c>
      <c r="S40" s="3">
        <v>9.9719520000000006E-2</v>
      </c>
      <c r="T40" s="3">
        <v>1.1455535999999999E-2</v>
      </c>
      <c r="U40" s="3">
        <v>-3.0983686E-3</v>
      </c>
      <c r="V40" s="3">
        <v>1.9385338000000002E-2</v>
      </c>
      <c r="W40" s="3">
        <v>-3.4184514999999999E-2</v>
      </c>
      <c r="X40" s="3">
        <v>-3.2666384999999999E-2</v>
      </c>
      <c r="Y40" s="3">
        <v>-6.2670110000000003E-3</v>
      </c>
      <c r="Z40" s="3">
        <v>-9.1031789999999994E-3</v>
      </c>
      <c r="AA40" s="3">
        <v>2.1080494000000002E-2</v>
      </c>
      <c r="AB40" s="3">
        <v>-8.3577629999999998E-4</v>
      </c>
      <c r="AC40" s="3">
        <v>-1.2405455000000001E-2</v>
      </c>
      <c r="AD40" s="3">
        <v>3.0415773E-2</v>
      </c>
      <c r="AE40" s="3">
        <v>2.2488356000000001E-2</v>
      </c>
      <c r="AF40" s="3">
        <v>-3.0667782000000001E-3</v>
      </c>
      <c r="AG40" s="3">
        <v>2.9121876000000001E-2</v>
      </c>
      <c r="AH40" s="3">
        <v>-6.2138375999999995E-2</v>
      </c>
      <c r="AI40" s="3">
        <v>-1.3561308000000001E-2</v>
      </c>
      <c r="AJ40" s="3"/>
      <c r="AK40" s="3"/>
      <c r="AL40" s="3"/>
    </row>
    <row r="41" spans="1:38" x14ac:dyDescent="0.45">
      <c r="A41" s="2">
        <v>45350</v>
      </c>
      <c r="B41" s="3">
        <v>2.9874801999999999E-2</v>
      </c>
      <c r="C41" s="3">
        <v>-6.5560936999999996E-3</v>
      </c>
      <c r="D41" s="3">
        <v>5.5737734000000004E-2</v>
      </c>
      <c r="E41" s="3">
        <v>3.5174012000000004E-2</v>
      </c>
      <c r="F41" s="3">
        <v>9.8306660000000004E-2</v>
      </c>
      <c r="G41" s="3">
        <v>2.8149247000000002E-2</v>
      </c>
      <c r="H41" s="3">
        <v>2.0359755E-2</v>
      </c>
      <c r="I41" s="3">
        <v>1.9111156000000001E-2</v>
      </c>
      <c r="J41" s="3">
        <v>-2.2593736999999999E-2</v>
      </c>
      <c r="K41" s="3">
        <v>7.8151344999999997E-2</v>
      </c>
      <c r="L41" s="3">
        <v>-5.9932470000000006E-4</v>
      </c>
      <c r="M41" s="3">
        <v>-6.8887176999999994E-2</v>
      </c>
      <c r="N41" s="3">
        <v>3.1443356999999998E-2</v>
      </c>
      <c r="O41" s="3">
        <v>3.8015962E-2</v>
      </c>
      <c r="P41" s="3">
        <v>1.9387007000000001E-2</v>
      </c>
      <c r="Q41" s="3">
        <v>2.6753068000000001E-2</v>
      </c>
      <c r="R41" s="3">
        <v>1.0159731E-2</v>
      </c>
      <c r="S41" s="3">
        <v>5.6956649999999998E-2</v>
      </c>
      <c r="T41" s="3">
        <v>-2.9980004000000001E-2</v>
      </c>
      <c r="U41" s="3">
        <v>5.0116540000000001E-2</v>
      </c>
      <c r="V41" s="3">
        <v>3.3395290000000001E-2</v>
      </c>
      <c r="W41" s="3">
        <v>-3.5181284E-2</v>
      </c>
      <c r="X41" s="3">
        <v>8.4412100000000009E-4</v>
      </c>
      <c r="Y41" s="3">
        <v>1.9193888E-3</v>
      </c>
      <c r="Z41" s="3">
        <v>3.7427663999999999E-2</v>
      </c>
      <c r="AA41" s="3">
        <v>5.0160527000000003E-2</v>
      </c>
      <c r="AB41" s="3">
        <v>-1.6311169E-2</v>
      </c>
      <c r="AC41" s="3">
        <v>-1.8381476E-3</v>
      </c>
      <c r="AD41" s="3">
        <v>2.7040361999999998E-2</v>
      </c>
      <c r="AE41" s="3">
        <v>3.8673878000000002E-2</v>
      </c>
      <c r="AF41" s="3">
        <v>3.2812119000000001E-2</v>
      </c>
      <c r="AG41" s="3">
        <v>3.3522009999999998E-2</v>
      </c>
      <c r="AH41" s="3">
        <v>5.8208227000000001E-2</v>
      </c>
      <c r="AI41" s="3">
        <v>6.4853670000000002E-2</v>
      </c>
      <c r="AJ41" s="3"/>
      <c r="AK41" s="3"/>
      <c r="AL41" s="3"/>
    </row>
    <row r="42" spans="1:38" x14ac:dyDescent="0.45">
      <c r="A42" s="2">
        <v>45379</v>
      </c>
      <c r="B42" s="3">
        <v>1.7248154000000002E-2</v>
      </c>
      <c r="C42" s="3">
        <v>3.1444073000000003E-2</v>
      </c>
      <c r="D42" s="3">
        <v>-4.4363737000000002E-4</v>
      </c>
      <c r="E42" s="3">
        <v>9.4994307000000004E-3</v>
      </c>
      <c r="F42" s="3">
        <v>1.0278344E-2</v>
      </c>
      <c r="G42" s="3">
        <v>0.12814866999999999</v>
      </c>
      <c r="H42" s="3">
        <v>1.1137009E-2</v>
      </c>
      <c r="I42" s="3">
        <v>6.1491490000000003E-2</v>
      </c>
      <c r="J42" s="3">
        <v>6.8115233999999997E-2</v>
      </c>
      <c r="K42" s="3">
        <v>4.6141862999999998E-2</v>
      </c>
      <c r="L42" s="3">
        <v>-2.7886093000000001E-2</v>
      </c>
      <c r="M42" s="3">
        <v>6.1517476999999994E-2</v>
      </c>
      <c r="N42" s="3">
        <v>-2.4992227999999999E-4</v>
      </c>
      <c r="O42" s="3">
        <v>1.0379910000000001E-2</v>
      </c>
      <c r="P42" s="3">
        <v>2.1074295E-2</v>
      </c>
      <c r="Q42" s="3">
        <v>-3.2364250000000004E-2</v>
      </c>
      <c r="R42" s="3">
        <v>-8.4729790000000003E-3</v>
      </c>
      <c r="S42" s="3">
        <v>-3.6461115000000002E-2</v>
      </c>
      <c r="T42" s="3">
        <v>1.5796661E-2</v>
      </c>
      <c r="U42" s="3">
        <v>2.8486847999999999E-2</v>
      </c>
      <c r="V42" s="3">
        <v>-8.976698E-3</v>
      </c>
      <c r="W42" s="3">
        <v>5.3038600000000005E-3</v>
      </c>
      <c r="X42" s="3">
        <v>4.0067554000000005E-2</v>
      </c>
      <c r="Y42" s="3">
        <v>4.7618985000000003E-2</v>
      </c>
      <c r="Z42" s="3">
        <v>4.1324973000000001E-2</v>
      </c>
      <c r="AA42" s="3">
        <v>3.9027213999999998E-2</v>
      </c>
      <c r="AB42" s="3">
        <v>1.1904715999999999E-2</v>
      </c>
      <c r="AC42" s="3">
        <v>5.0030590000000007E-2</v>
      </c>
      <c r="AD42" s="3">
        <v>2.1416664000000002E-2</v>
      </c>
      <c r="AE42" s="3">
        <v>3.6436558000000001E-2</v>
      </c>
      <c r="AF42" s="3">
        <v>2.7798414E-2</v>
      </c>
      <c r="AG42" s="3">
        <v>4.2122960000000001E-2</v>
      </c>
      <c r="AH42" s="3">
        <v>1.2927770999999999E-2</v>
      </c>
      <c r="AI42" s="3">
        <v>5.8658479999999999E-2</v>
      </c>
      <c r="AJ42" s="3"/>
      <c r="AK42" s="3"/>
      <c r="AL42" s="3"/>
    </row>
    <row r="43" spans="1:38" x14ac:dyDescent="0.45">
      <c r="A43" s="2">
        <v>45408</v>
      </c>
      <c r="B43" s="3">
        <v>1.6570210000000002E-2</v>
      </c>
      <c r="C43" s="3">
        <v>-3.0109286000000002E-3</v>
      </c>
      <c r="D43" s="3">
        <v>-9.8535360000000002E-2</v>
      </c>
      <c r="E43" s="3">
        <v>-8.1795100000000009E-2</v>
      </c>
      <c r="F43" s="3">
        <v>1.186943E-2</v>
      </c>
      <c r="G43" s="3">
        <v>4.9022199999999995E-2</v>
      </c>
      <c r="H43" s="3">
        <v>2.2487402E-2</v>
      </c>
      <c r="I43" s="3">
        <v>-3.2456874999999996E-2</v>
      </c>
      <c r="J43" s="3">
        <v>-3.5492717999999999E-2</v>
      </c>
      <c r="K43" s="3">
        <v>-5.6176424000000003E-2</v>
      </c>
      <c r="L43" s="3">
        <v>-2.7143657000000002E-2</v>
      </c>
      <c r="M43" s="3">
        <v>2.2210956E-2</v>
      </c>
      <c r="N43" s="3">
        <v>2.4119020000000001E-2</v>
      </c>
      <c r="O43" s="3">
        <v>1.4150023000000001E-2</v>
      </c>
      <c r="P43" s="3">
        <v>6.5945150000000008E-2</v>
      </c>
      <c r="Q43" s="3">
        <v>-2.4943232999999999E-2</v>
      </c>
      <c r="R43" s="3">
        <v>-7.5893999999999996E-3</v>
      </c>
      <c r="S43" s="3">
        <v>0.10378408</v>
      </c>
      <c r="T43" s="3">
        <v>-3.0425965999999999E-2</v>
      </c>
      <c r="U43" s="3">
        <v>-0.1151079</v>
      </c>
      <c r="V43" s="3">
        <v>-3.1702936000000001E-2</v>
      </c>
      <c r="W43" s="3">
        <v>-2.681911E-2</v>
      </c>
      <c r="X43" s="3">
        <v>-3.8118421999999999E-2</v>
      </c>
      <c r="Y43" s="3">
        <v>-1.6980112000000002E-2</v>
      </c>
      <c r="Z43" s="3">
        <v>-2.4881899999999998E-2</v>
      </c>
      <c r="AA43" s="3">
        <v>-5.9145092999999996E-2</v>
      </c>
      <c r="AB43" s="3">
        <v>-3.4873962000000001E-2</v>
      </c>
      <c r="AC43" s="3">
        <v>1.8123388000000001E-2</v>
      </c>
      <c r="AD43" s="3">
        <v>-2.9301167000000003E-2</v>
      </c>
      <c r="AE43" s="3">
        <v>-2.8313576999999999E-2</v>
      </c>
      <c r="AF43" s="3">
        <v>-1.7870127999999999E-2</v>
      </c>
      <c r="AG43" s="3">
        <v>-2.1624922999999997E-2</v>
      </c>
      <c r="AH43" s="3">
        <v>-2.2021950000000002E-2</v>
      </c>
      <c r="AI43" s="3">
        <v>-1.2725353E-2</v>
      </c>
      <c r="AJ43" s="3"/>
      <c r="AK43" s="3"/>
      <c r="AL43" s="3"/>
    </row>
    <row r="44" spans="1:38" x14ac:dyDescent="0.45">
      <c r="A44" s="2">
        <v>45440</v>
      </c>
      <c r="B44" s="3">
        <v>5.3070784000000008E-3</v>
      </c>
      <c r="C44" s="3">
        <v>0.11098528000000001</v>
      </c>
      <c r="D44" s="3">
        <v>5.9084890000000003E-3</v>
      </c>
      <c r="E44" s="3">
        <v>-1.1825024999999999E-2</v>
      </c>
      <c r="F44" s="3">
        <v>5.6975245000000001E-2</v>
      </c>
      <c r="G44" s="3">
        <v>6.8137883999999996E-2</v>
      </c>
      <c r="H44" s="3">
        <v>3.9048433E-2</v>
      </c>
      <c r="I44" s="3">
        <v>0.11040342</v>
      </c>
      <c r="J44" s="3">
        <v>-2.3036659000000001E-2</v>
      </c>
      <c r="K44" s="3">
        <v>2.1945119999999999E-2</v>
      </c>
      <c r="L44" s="3">
        <v>-3.6144613999999999E-2</v>
      </c>
      <c r="M44" s="3">
        <v>6.8930984000000001E-2</v>
      </c>
      <c r="N44" s="3">
        <v>3.4533261999999995E-2</v>
      </c>
      <c r="O44" s="3">
        <v>2.3700355999999999E-2</v>
      </c>
      <c r="P44" s="3">
        <v>6.2573790000000004E-2</v>
      </c>
      <c r="Q44" s="3">
        <v>-3.4302354E-2</v>
      </c>
      <c r="R44" s="3">
        <v>2.0295382000000001E-3</v>
      </c>
      <c r="S44" s="3">
        <v>9.0244529999999989E-2</v>
      </c>
      <c r="T44" s="3">
        <v>-5.29986E-2</v>
      </c>
      <c r="U44" s="3">
        <v>4.2276382000000001E-2</v>
      </c>
      <c r="V44" s="3">
        <v>-5.7998122999999999E-2</v>
      </c>
      <c r="W44" s="3">
        <v>8.5836650000000007E-3</v>
      </c>
      <c r="X44" s="3">
        <v>3.7942767000000002E-2</v>
      </c>
      <c r="Y44" s="3">
        <v>1.3553022999999999E-2</v>
      </c>
      <c r="Z44" s="3">
        <v>4.1343810000000002E-2</v>
      </c>
      <c r="AA44" s="3">
        <v>2.5621890000000001E-2</v>
      </c>
      <c r="AB44" s="3">
        <v>4.5276522999999999E-2</v>
      </c>
      <c r="AC44" s="3">
        <v>3.6749839999999999E-2</v>
      </c>
      <c r="AD44" s="3">
        <v>6.6542864000000007E-2</v>
      </c>
      <c r="AE44" s="3">
        <v>4.2399525999999993E-2</v>
      </c>
      <c r="AF44" s="3">
        <v>2.8276443000000002E-2</v>
      </c>
      <c r="AG44" s="3">
        <v>7.3125361999999999E-2</v>
      </c>
      <c r="AH44" s="3">
        <v>7.1136116999999999E-2</v>
      </c>
      <c r="AI44" s="3">
        <v>4.2964460000000003E-2</v>
      </c>
      <c r="AJ44" s="3"/>
      <c r="AK44" s="3"/>
      <c r="AL44" s="3"/>
    </row>
    <row r="45" spans="1:38" x14ac:dyDescent="0.45">
      <c r="A45" s="2">
        <v>45471</v>
      </c>
      <c r="B45" s="3">
        <v>-4.2032185E-2</v>
      </c>
      <c r="C45" s="3">
        <v>-9.8173320000000008E-2</v>
      </c>
      <c r="D45" s="3">
        <v>-2.3615240000000003E-2</v>
      </c>
      <c r="E45" s="3">
        <v>-2.1736681000000001E-2</v>
      </c>
      <c r="F45" s="3">
        <v>-9.4934700000000004E-3</v>
      </c>
      <c r="G45" s="3">
        <v>-6.0860869999999997E-2</v>
      </c>
      <c r="H45" s="3">
        <v>-1.4265775999999999E-2</v>
      </c>
      <c r="I45" s="3">
        <v>3.6137700000000002E-2</v>
      </c>
      <c r="J45" s="3">
        <v>-0.12593042000000002</v>
      </c>
      <c r="K45" s="3">
        <v>2.1010279999999999E-2</v>
      </c>
      <c r="L45" s="3">
        <v>-7.1470795000000004E-2</v>
      </c>
      <c r="M45" s="3">
        <v>2.8039455000000001E-2</v>
      </c>
      <c r="N45" s="3">
        <v>-5.8918356999999998E-2</v>
      </c>
      <c r="O45" s="3">
        <v>4.1448829999999999E-2</v>
      </c>
      <c r="P45" s="3">
        <v>-5.8765054000000004E-2</v>
      </c>
      <c r="Q45" s="3">
        <v>6.4012765999999999E-2</v>
      </c>
      <c r="R45" s="3">
        <v>-4.5307100000000003E-2</v>
      </c>
      <c r="S45" s="3">
        <v>-1.6413987000000001E-2</v>
      </c>
      <c r="T45" s="3">
        <v>5.2382707999999993E-2</v>
      </c>
      <c r="U45" s="3">
        <v>-5.0701976000000003E-2</v>
      </c>
      <c r="V45" s="3">
        <v>2.3557663E-2</v>
      </c>
      <c r="W45" s="3">
        <v>2.5942802000000001E-2</v>
      </c>
      <c r="X45" s="3">
        <v>1.1618257E-2</v>
      </c>
      <c r="Y45" s="3">
        <v>-1.8322468000000001E-2</v>
      </c>
      <c r="Z45" s="3">
        <v>-2.6821733E-2</v>
      </c>
      <c r="AA45" s="3">
        <v>-1.452446E-3</v>
      </c>
      <c r="AB45" s="3">
        <v>2.5016904000000003E-2</v>
      </c>
      <c r="AC45" s="3">
        <v>-1.5146196000000001E-2</v>
      </c>
      <c r="AD45" s="3">
        <v>4.3943166999999998E-2</v>
      </c>
      <c r="AE45" s="3">
        <v>3.0516743999999998E-2</v>
      </c>
      <c r="AF45" s="3">
        <v>-7.5617847000000002E-2</v>
      </c>
      <c r="AG45" s="3">
        <v>-2.2201061000000001E-2</v>
      </c>
      <c r="AH45" s="3">
        <v>-2.2967875000000002E-2</v>
      </c>
      <c r="AI45" s="3">
        <v>-5.4123696999999998E-2</v>
      </c>
      <c r="AJ45" s="3"/>
      <c r="AK45" s="3"/>
      <c r="AL45" s="3"/>
    </row>
    <row r="46" spans="1:38" x14ac:dyDescent="0.45">
      <c r="A46" s="2">
        <v>45499</v>
      </c>
      <c r="B46" s="3">
        <v>-9.8696950000000012E-3</v>
      </c>
      <c r="C46" s="3">
        <v>-5.4117440000000004E-3</v>
      </c>
      <c r="D46" s="3">
        <v>4.3591022E-2</v>
      </c>
      <c r="E46" s="3">
        <v>5.1324487000000002E-2</v>
      </c>
      <c r="F46" s="3">
        <v>-2.7313469999999999E-2</v>
      </c>
      <c r="G46" s="3">
        <v>1.0191440000000001E-2</v>
      </c>
      <c r="H46" s="3">
        <v>3.027606E-2</v>
      </c>
      <c r="I46" s="3">
        <v>-3.7829815999999995E-2</v>
      </c>
      <c r="J46" s="3">
        <v>1.7666817000000002E-4</v>
      </c>
      <c r="K46" s="3">
        <v>-1.5736042999999998E-2</v>
      </c>
      <c r="L46" s="3">
        <v>1.5001774000000001E-2</v>
      </c>
      <c r="M46" s="3">
        <v>1.2696147E-2</v>
      </c>
      <c r="N46" s="3">
        <v>6.8896054999999998E-2</v>
      </c>
      <c r="O46" s="3">
        <v>1.8644689999999998E-2</v>
      </c>
      <c r="P46" s="3">
        <v>-2.1816432E-2</v>
      </c>
      <c r="Q46" s="3">
        <v>2.5473952000000001E-2</v>
      </c>
      <c r="R46" s="3">
        <v>4.8041344E-3</v>
      </c>
      <c r="S46" s="3">
        <v>1.7134785999999999E-2</v>
      </c>
      <c r="T46" s="3">
        <v>6.6909074999999998E-2</v>
      </c>
      <c r="U46" s="3">
        <v>-9.8602769999999989E-3</v>
      </c>
      <c r="V46" s="3">
        <v>2.6834129999999998E-2</v>
      </c>
      <c r="W46" s="3">
        <v>5.2794220000000006E-3</v>
      </c>
      <c r="X46" s="3">
        <v>1.0233282999999999E-2</v>
      </c>
      <c r="Y46" s="3">
        <v>3.3432244999999999E-2</v>
      </c>
      <c r="Z46" s="3">
        <v>2.2534250999999998E-2</v>
      </c>
      <c r="AA46" s="3">
        <v>6.5944195000000004E-3</v>
      </c>
      <c r="AB46" s="3">
        <v>3.8373827999999999E-2</v>
      </c>
      <c r="AC46" s="3">
        <v>3.2683492000000001E-2</v>
      </c>
      <c r="AD46" s="3">
        <v>-3.3687412999999999E-2</v>
      </c>
      <c r="AE46" s="3">
        <v>4.0435789999999997E-4</v>
      </c>
      <c r="AF46" s="3">
        <v>2.3822188000000001E-2</v>
      </c>
      <c r="AG46" s="3">
        <v>-2.9066264999999997E-2</v>
      </c>
      <c r="AH46" s="3">
        <v>-1.4658391E-2</v>
      </c>
      <c r="AI46" s="3">
        <v>4.6025156999999997E-2</v>
      </c>
      <c r="AJ46" s="3"/>
      <c r="AK46" s="3"/>
      <c r="AL46" s="3"/>
    </row>
    <row r="47" spans="1:38" x14ac:dyDescent="0.45">
      <c r="A47" s="2">
        <v>45532</v>
      </c>
      <c r="B47" s="3">
        <v>-2.0534277E-2</v>
      </c>
      <c r="C47" s="3">
        <v>2.8760194999999999E-2</v>
      </c>
      <c r="D47" s="3">
        <v>9.6966629999999998E-2</v>
      </c>
      <c r="E47" s="3">
        <v>8.8976380000000008E-2</v>
      </c>
      <c r="F47" s="3">
        <v>1.8021822E-2</v>
      </c>
      <c r="G47" s="3">
        <v>-1.3341486E-2</v>
      </c>
      <c r="H47" s="3">
        <v>0.11408817</v>
      </c>
      <c r="I47" s="3">
        <v>3.5673140999999998E-2</v>
      </c>
      <c r="J47" s="3">
        <v>-6.8350369999999994E-2</v>
      </c>
      <c r="K47" s="3">
        <v>7.0714949999999997E-3</v>
      </c>
      <c r="L47" s="3">
        <v>0.10093737000000001</v>
      </c>
      <c r="M47" s="3">
        <v>7.3170780000000005E-2</v>
      </c>
      <c r="N47" s="3">
        <v>-1.3643801000000001E-2</v>
      </c>
      <c r="O47" s="3">
        <v>5.8078766000000002E-3</v>
      </c>
      <c r="P47" s="3">
        <v>-4.3636560000000005E-3</v>
      </c>
      <c r="Q47" s="3">
        <v>1.2709498E-2</v>
      </c>
      <c r="R47" s="3">
        <v>4.4759510000000002E-2</v>
      </c>
      <c r="S47" s="3">
        <v>-0.13944787</v>
      </c>
      <c r="T47" s="3">
        <v>4.7715902000000001E-3</v>
      </c>
      <c r="U47" s="3">
        <v>3.7344336999999998E-2</v>
      </c>
      <c r="V47" s="3">
        <v>1.5104294000000001E-2</v>
      </c>
      <c r="W47" s="3">
        <v>8.0962770000000003E-2</v>
      </c>
      <c r="X47" s="3">
        <v>4.4975757999999998E-2</v>
      </c>
      <c r="Y47" s="3">
        <v>4.4873357000000003E-2</v>
      </c>
      <c r="Z47" s="3">
        <v>3.6729455000000001E-2</v>
      </c>
      <c r="AA47" s="3">
        <v>3.9743661999999999E-2</v>
      </c>
      <c r="AB47" s="3">
        <v>5.2936434999999997E-2</v>
      </c>
      <c r="AC47" s="3">
        <v>3.77568E-2</v>
      </c>
      <c r="AD47" s="3">
        <v>1.8100499999999999E-2</v>
      </c>
      <c r="AE47" s="3">
        <v>2.5457382000000001E-2</v>
      </c>
      <c r="AF47" s="3">
        <v>2.8438450000000001E-2</v>
      </c>
      <c r="AG47" s="3">
        <v>3.2396912999999999E-2</v>
      </c>
      <c r="AH47" s="3">
        <v>5.4967284000000005E-2</v>
      </c>
      <c r="AI47" s="3">
        <v>2.6400090000000001E-2</v>
      </c>
      <c r="AJ47" s="3"/>
      <c r="AK47" s="3"/>
      <c r="AL47" s="3"/>
    </row>
    <row r="48" spans="1:38" x14ac:dyDescent="0.45">
      <c r="A48" s="2">
        <v>45562</v>
      </c>
      <c r="B48" s="3">
        <v>0.17850601000000002</v>
      </c>
      <c r="C48" s="3">
        <v>3.9289831999999997E-2</v>
      </c>
      <c r="D48" s="3">
        <v>4.3064356000000005E-2</v>
      </c>
      <c r="E48" s="3">
        <v>7.3752760000000001E-2</v>
      </c>
      <c r="F48" s="3">
        <v>2.3466467999999997E-2</v>
      </c>
      <c r="G48" s="3">
        <v>9.8563910000000005E-2</v>
      </c>
      <c r="H48" s="3">
        <v>5.7020902999999998E-2</v>
      </c>
      <c r="I48" s="3">
        <v>2.7777790000000004E-2</v>
      </c>
      <c r="J48" s="3">
        <v>2.293837E-2</v>
      </c>
      <c r="K48" s="3">
        <v>1.2669683000000001E-2</v>
      </c>
      <c r="L48" s="3">
        <v>-2.6522635999999999E-2</v>
      </c>
      <c r="M48" s="3">
        <v>9.4944719999999996E-2</v>
      </c>
      <c r="N48" s="3">
        <v>5.0908685000000002E-2</v>
      </c>
      <c r="O48" s="3">
        <v>3.4645677E-2</v>
      </c>
      <c r="P48" s="3">
        <v>0.24153889000000001</v>
      </c>
      <c r="Q48" s="3">
        <v>4.9058675999999996E-2</v>
      </c>
      <c r="R48" s="3">
        <v>6.1820864999999996E-2</v>
      </c>
      <c r="S48" s="3">
        <v>0</v>
      </c>
      <c r="T48" s="3">
        <v>4.6811459999999999E-2</v>
      </c>
      <c r="U48" s="3">
        <v>2.4000048999999999E-2</v>
      </c>
      <c r="V48" s="3">
        <v>2.2909760000000001E-2</v>
      </c>
      <c r="W48" s="3">
        <v>5.8703419999999997E-3</v>
      </c>
      <c r="X48" s="3">
        <v>4.8856020000000007E-2</v>
      </c>
      <c r="Y48" s="3">
        <v>3.4956336000000005E-2</v>
      </c>
      <c r="Z48" s="3">
        <v>4.5286536000000002E-2</v>
      </c>
      <c r="AA48" s="3">
        <v>-4.7605037999999995E-3</v>
      </c>
      <c r="AB48" s="3">
        <v>-4.3634772000000002E-3</v>
      </c>
      <c r="AC48" s="3">
        <v>7.7581405999999995E-3</v>
      </c>
      <c r="AD48" s="3">
        <v>3.4119130000000004E-2</v>
      </c>
      <c r="AE48" s="3">
        <v>2.6733756000000001E-2</v>
      </c>
      <c r="AF48" s="3">
        <v>3.3685327000000001E-2</v>
      </c>
      <c r="AG48" s="3">
        <v>1.7080425999999999E-2</v>
      </c>
      <c r="AH48" s="3">
        <v>4.4455049999999996E-2</v>
      </c>
      <c r="AI48" s="3">
        <v>2.4681687000000001E-2</v>
      </c>
      <c r="AJ48" s="3"/>
      <c r="AK48" s="3"/>
      <c r="AL48" s="3"/>
    </row>
    <row r="49" spans="1:38" x14ac:dyDescent="0.45">
      <c r="A49" s="2">
        <v>45593</v>
      </c>
      <c r="B49" s="3">
        <v>2.6252149999999998E-2</v>
      </c>
      <c r="C49" s="3">
        <v>-2.5808810000000001E-2</v>
      </c>
      <c r="D49" s="3">
        <v>-5.5628004000000002E-2</v>
      </c>
      <c r="E49" s="3">
        <v>-5.3198632999999995E-2</v>
      </c>
      <c r="F49" s="3">
        <v>-9.6540689999999998E-2</v>
      </c>
      <c r="G49" s="3">
        <v>2.1566390000000001E-2</v>
      </c>
      <c r="H49" s="3">
        <v>-8.2568829999999996E-2</v>
      </c>
      <c r="I49" s="3">
        <v>-3.603697E-4</v>
      </c>
      <c r="J49" s="3">
        <v>-2.5574446000000001E-2</v>
      </c>
      <c r="K49" s="3">
        <v>-6.9641170000000002E-2</v>
      </c>
      <c r="L49" s="3">
        <v>-4.0026846000000005E-2</v>
      </c>
      <c r="M49" s="3">
        <v>-2.5412202000000002E-2</v>
      </c>
      <c r="N49" s="3">
        <v>-9.7688489999999989E-2</v>
      </c>
      <c r="O49" s="3">
        <v>-6.6971119999999995E-2</v>
      </c>
      <c r="P49" s="3">
        <v>-8.4330439999999989E-3</v>
      </c>
      <c r="Q49" s="3">
        <v>-3.2626389999999999E-3</v>
      </c>
      <c r="R49" s="3">
        <v>1.9860267999999999E-3</v>
      </c>
      <c r="S49" s="3">
        <v>-7.8031539999999996E-2</v>
      </c>
      <c r="T49" s="3">
        <v>-2.3979246999999999E-2</v>
      </c>
      <c r="U49" s="3">
        <v>-6.9531259999999998E-2</v>
      </c>
      <c r="V49" s="3">
        <v>-2.5629222E-2</v>
      </c>
      <c r="W49" s="3">
        <v>-3.1193376000000002E-2</v>
      </c>
      <c r="X49" s="3">
        <v>-4.2513847E-2</v>
      </c>
      <c r="Y49" s="3">
        <v>-4.8249959999999999E-4</v>
      </c>
      <c r="Z49" s="3">
        <v>-2.6525259999999998E-2</v>
      </c>
      <c r="AA49" s="3">
        <v>-4.7552110000000002E-2</v>
      </c>
      <c r="AB49" s="3">
        <v>-2.4390220000000001E-2</v>
      </c>
      <c r="AC49" s="3">
        <v>-3.1324564999999999E-2</v>
      </c>
      <c r="AD49" s="3">
        <v>1.7770886E-2</v>
      </c>
      <c r="AE49" s="3">
        <v>1.6378879999999998E-2</v>
      </c>
      <c r="AF49" s="3">
        <v>-5.5933833000000002E-2</v>
      </c>
      <c r="AG49" s="3">
        <v>-6.5221666999999997E-2</v>
      </c>
      <c r="AH49" s="3">
        <v>-5.6750535999999997E-2</v>
      </c>
      <c r="AI49" s="3">
        <v>-1.8509089999999999E-2</v>
      </c>
      <c r="AJ49" s="3"/>
      <c r="AK49" s="3"/>
      <c r="AL49" s="3"/>
    </row>
    <row r="50" spans="1:38" x14ac:dyDescent="0.45">
      <c r="A50" s="2">
        <v>45623</v>
      </c>
      <c r="B50" s="3">
        <v>-2.6253760000000001E-2</v>
      </c>
      <c r="C50" s="3">
        <v>-5.3358135000000001E-2</v>
      </c>
      <c r="D50" s="3">
        <v>-7.2710514000000004E-2</v>
      </c>
      <c r="E50" s="3">
        <v>-8.3570419999999992E-2</v>
      </c>
      <c r="F50" s="3">
        <v>-2.5823711999999999E-2</v>
      </c>
      <c r="G50" s="3">
        <v>-4.133332E-2</v>
      </c>
      <c r="H50" s="3">
        <v>-1.3199985000000001E-2</v>
      </c>
      <c r="I50" s="3">
        <v>-5.0288440000000004E-2</v>
      </c>
      <c r="J50" s="3">
        <v>-6.5424147000000002E-2</v>
      </c>
      <c r="K50" s="3">
        <v>-5.8003901999999996E-2</v>
      </c>
      <c r="L50" s="3">
        <v>-7.2880210000000001E-2</v>
      </c>
      <c r="M50" s="3">
        <v>-6.7675169999999993E-2</v>
      </c>
      <c r="N50" s="3">
        <v>-2.2132754000000001E-2</v>
      </c>
      <c r="O50" s="3">
        <v>-5.0752160000000004E-3</v>
      </c>
      <c r="P50" s="3">
        <v>-6.5664529999999999E-2</v>
      </c>
      <c r="Q50" s="3">
        <v>-1.7184972999999999E-2</v>
      </c>
      <c r="R50" s="3">
        <v>-1.7219186000000001E-2</v>
      </c>
      <c r="S50" s="3">
        <v>6.5762280000000006E-2</v>
      </c>
      <c r="T50" s="3">
        <v>2.8266906999999997E-2</v>
      </c>
      <c r="U50" s="3">
        <v>-2.1410584E-2</v>
      </c>
      <c r="V50" s="3">
        <v>-4.4312773E-2</v>
      </c>
      <c r="W50" s="3">
        <v>1.7241359000000001E-2</v>
      </c>
      <c r="X50" s="3">
        <v>1.3513565E-2</v>
      </c>
      <c r="Y50" s="3">
        <v>3.3792019999999999E-2</v>
      </c>
      <c r="Z50" s="3">
        <v>-3.9660870000000001E-2</v>
      </c>
      <c r="AA50" s="3">
        <v>2.6588440000000001E-3</v>
      </c>
      <c r="AB50" s="3">
        <v>-7.0312556999999998E-2</v>
      </c>
      <c r="AC50" s="3">
        <v>-2.5212466999999999E-2</v>
      </c>
      <c r="AD50" s="3">
        <v>1.9983888000000002E-2</v>
      </c>
      <c r="AE50" s="3">
        <v>3.0990123999999997E-2</v>
      </c>
      <c r="AF50" s="3">
        <v>-7.7279749999999994E-2</v>
      </c>
      <c r="AG50" s="3">
        <v>-5.9527874000000001E-2</v>
      </c>
      <c r="AH50" s="3">
        <v>-6.9141269999999991E-2</v>
      </c>
      <c r="AI50" s="3">
        <v>-7.0266010000000004E-2</v>
      </c>
      <c r="AJ50" s="3"/>
      <c r="AK50" s="3"/>
      <c r="AL50" s="3"/>
    </row>
    <row r="51" spans="1:38" x14ac:dyDescent="0.45">
      <c r="A51" s="2">
        <v>45653</v>
      </c>
      <c r="B51" s="3">
        <v>1.0328770000000001E-2</v>
      </c>
      <c r="C51" s="3">
        <v>-5.7752130000000004E-3</v>
      </c>
      <c r="D51" s="3">
        <v>-6.5402326999999996E-2</v>
      </c>
      <c r="E51" s="3">
        <v>-1.3609290000000001E-2</v>
      </c>
      <c r="F51" s="3">
        <v>1.9267797E-3</v>
      </c>
      <c r="G51" s="3">
        <v>-4.2473609999999995E-2</v>
      </c>
      <c r="H51" s="3">
        <v>3.9002894999999997E-3</v>
      </c>
      <c r="I51" s="3">
        <v>2.9939054999999999E-2</v>
      </c>
      <c r="J51" s="3">
        <v>7.7008010000000002E-3</v>
      </c>
      <c r="K51" s="3">
        <v>-9.3446789999999988E-2</v>
      </c>
      <c r="L51" s="3">
        <v>-0.10859966</v>
      </c>
      <c r="M51" s="3">
        <v>-3.7508488E-2</v>
      </c>
      <c r="N51" s="3">
        <v>4.5010329999999994E-2</v>
      </c>
      <c r="O51" s="3">
        <v>-2.5530814999999998E-2</v>
      </c>
      <c r="P51" s="3">
        <v>2.3831247999999999E-2</v>
      </c>
      <c r="Q51" s="3">
        <v>4.3845176999999998E-4</v>
      </c>
      <c r="R51" s="3">
        <v>-1.8592358E-2</v>
      </c>
      <c r="S51" s="3">
        <v>2.8390407999999999E-2</v>
      </c>
      <c r="T51" s="3">
        <v>6.0578939999999998E-2</v>
      </c>
      <c r="U51" s="3">
        <v>-9.8670124999999994E-3</v>
      </c>
      <c r="V51" s="3">
        <v>2.1080374999999998E-2</v>
      </c>
      <c r="W51" s="3">
        <v>-4.8704205E-2</v>
      </c>
      <c r="X51" s="3">
        <v>-6.8036914000000004E-2</v>
      </c>
      <c r="Y51" s="3">
        <v>-4.8335195000000004E-2</v>
      </c>
      <c r="Z51" s="3">
        <v>1.3240814E-2</v>
      </c>
      <c r="AA51" s="3">
        <v>1.3437033000000001E-2</v>
      </c>
      <c r="AB51" s="3">
        <v>-2.6470542E-2</v>
      </c>
      <c r="AC51" s="3">
        <v>-2.5222122999999999E-2</v>
      </c>
      <c r="AD51" s="3">
        <v>3.5808802000000001E-2</v>
      </c>
      <c r="AE51" s="3">
        <v>-3.0754210000000001E-3</v>
      </c>
      <c r="AF51" s="3">
        <v>1.4230609E-2</v>
      </c>
      <c r="AG51" s="3">
        <v>1.0458589000000001E-2</v>
      </c>
      <c r="AH51" s="3">
        <v>-1.7982781E-2</v>
      </c>
      <c r="AI51" s="3">
        <v>1.645112E-2</v>
      </c>
      <c r="AJ51" s="3"/>
      <c r="AK51" s="3"/>
      <c r="AL51" s="3"/>
    </row>
    <row r="52" spans="1:38" x14ac:dyDescent="0.45">
      <c r="A52" s="2">
        <v>45685</v>
      </c>
      <c r="B52" s="3">
        <v>-3.3916116000000003E-2</v>
      </c>
      <c r="C52" s="3">
        <v>5.4892659999999996E-2</v>
      </c>
      <c r="D52" s="3">
        <v>-2.2305846000000001E-3</v>
      </c>
      <c r="E52" s="3">
        <v>-4.8412743000000001E-2</v>
      </c>
      <c r="F52" s="3">
        <v>0.11753548</v>
      </c>
      <c r="G52" s="3">
        <v>-4.0332674999999998E-3</v>
      </c>
      <c r="H52" s="3">
        <v>-2.0156324E-2</v>
      </c>
      <c r="I52" s="3">
        <v>-2.6070415999999999E-2</v>
      </c>
      <c r="J52" s="3">
        <v>3.4590482999999998E-2</v>
      </c>
      <c r="K52" s="3">
        <v>5.5188537000000003E-2</v>
      </c>
      <c r="L52" s="3">
        <v>9.8404290000000005E-2</v>
      </c>
      <c r="M52" s="3">
        <v>8.4112879999999994E-3</v>
      </c>
      <c r="N52" s="3">
        <v>7.0188284000000004E-2</v>
      </c>
      <c r="O52" s="3">
        <v>-5.5178940000000003E-2</v>
      </c>
      <c r="P52" s="3">
        <v>1.9591331E-2</v>
      </c>
      <c r="Q52" s="3">
        <v>1.8038273000000001E-2</v>
      </c>
      <c r="R52" s="3">
        <v>-3.9737105000000002E-2</v>
      </c>
      <c r="S52" s="3">
        <v>-9.9945664E-3</v>
      </c>
      <c r="T52" s="3">
        <v>4.9679874999999998E-2</v>
      </c>
      <c r="U52" s="3">
        <v>4.3327807999999999E-3</v>
      </c>
      <c r="V52" s="3">
        <v>4.8621535E-2</v>
      </c>
      <c r="W52" s="3">
        <v>-1.3269543999999999E-2</v>
      </c>
      <c r="X52" s="3">
        <v>3.0340910000000002E-2</v>
      </c>
      <c r="Y52" s="3">
        <v>2.8344035E-2</v>
      </c>
      <c r="Z52" s="3">
        <v>7.5295687E-2</v>
      </c>
      <c r="AA52" s="3">
        <v>8.5632799999999995E-3</v>
      </c>
      <c r="AB52" s="3">
        <v>7.2723269999999993E-2</v>
      </c>
      <c r="AC52" s="3">
        <v>4.0341615999999997E-2</v>
      </c>
      <c r="AD52" s="3">
        <v>-1.4352201999999999E-3</v>
      </c>
      <c r="AE52" s="3">
        <v>1.5982985000000002E-2</v>
      </c>
      <c r="AF52" s="3">
        <v>7.4597836000000001E-2</v>
      </c>
      <c r="AG52" s="3">
        <v>9.9778174999999997E-3</v>
      </c>
      <c r="AH52" s="3">
        <v>7.7760099999999999E-2</v>
      </c>
      <c r="AI52" s="3">
        <v>7.1329474000000004E-2</v>
      </c>
      <c r="AJ52" s="3"/>
      <c r="AK52" s="3"/>
      <c r="AL52" s="3"/>
    </row>
    <row r="53" spans="1:38" x14ac:dyDescent="0.45">
      <c r="A53" s="2">
        <v>45716</v>
      </c>
      <c r="B53" s="3">
        <v>1.1943578999999999E-2</v>
      </c>
      <c r="C53" s="3">
        <v>7.9185485999999999E-2</v>
      </c>
      <c r="D53" s="3">
        <v>-0.13729727</v>
      </c>
      <c r="E53" s="3">
        <v>8.3398819999999999E-4</v>
      </c>
      <c r="F53" s="3">
        <v>7.2095037000000001E-2</v>
      </c>
      <c r="G53" s="3">
        <v>2.6617407999999999E-2</v>
      </c>
      <c r="H53" s="3">
        <v>-6.2972309999999995E-3</v>
      </c>
      <c r="I53" s="3">
        <v>-7.2293879999999998E-3</v>
      </c>
      <c r="J53" s="3">
        <v>1.7522692999999999E-2</v>
      </c>
      <c r="K53" s="3">
        <v>6.8140029999999999E-3</v>
      </c>
      <c r="L53" s="3">
        <v>-2.7037919000000001E-2</v>
      </c>
      <c r="M53" s="3">
        <v>2.8730392E-2</v>
      </c>
      <c r="N53" s="3">
        <v>2.1348118999999999E-2</v>
      </c>
      <c r="O53" s="3">
        <v>-4.1259709999999998E-2</v>
      </c>
      <c r="P53" s="3">
        <v>0.10702477999999999</v>
      </c>
      <c r="Q53" s="3">
        <v>-3.3222436999999997E-3</v>
      </c>
      <c r="R53" s="3">
        <v>-0.10555297</v>
      </c>
      <c r="S53" s="3">
        <v>-6.4665849999999997E-2</v>
      </c>
      <c r="T53" s="3">
        <v>1.3356686E-2</v>
      </c>
      <c r="U53" s="3">
        <v>3.8826584999999997E-2</v>
      </c>
      <c r="V53" s="3">
        <v>-2.9036819999999998E-2</v>
      </c>
      <c r="W53" s="3">
        <v>-6.5917134000000002E-2</v>
      </c>
      <c r="X53" s="3">
        <v>-3.2271147E-2</v>
      </c>
      <c r="Y53" s="3">
        <v>-3.1431316999999998E-3</v>
      </c>
      <c r="Z53" s="3">
        <v>4.3692109999999999E-2</v>
      </c>
      <c r="AA53" s="3">
        <v>2.3423432999999999E-3</v>
      </c>
      <c r="AB53" s="3">
        <v>4.0635705000000001E-2</v>
      </c>
      <c r="AC53" s="3">
        <v>4.8400760000000001E-2</v>
      </c>
      <c r="AD53" s="3">
        <v>-2.6139736E-2</v>
      </c>
      <c r="AE53" s="3">
        <v>-1.7104505999999998E-2</v>
      </c>
      <c r="AF53" s="3">
        <v>2.0387173000000001E-2</v>
      </c>
      <c r="AG53" s="3">
        <v>3.5565256999999996E-2</v>
      </c>
      <c r="AH53" s="3">
        <v>6.2299848000000005E-2</v>
      </c>
      <c r="AI53" s="3">
        <v>5.6994796E-2</v>
      </c>
      <c r="AJ53" s="3"/>
      <c r="AK53" s="3"/>
      <c r="AL53" s="3"/>
    </row>
    <row r="54" spans="1:38" x14ac:dyDescent="0.45">
      <c r="A54" s="2">
        <v>45744</v>
      </c>
      <c r="B54" s="3">
        <v>4.2918920000000003E-3</v>
      </c>
      <c r="C54" s="3">
        <v>3.9832234000000001E-2</v>
      </c>
      <c r="D54" s="3">
        <v>2.5689244000000003E-2</v>
      </c>
      <c r="E54" s="3">
        <v>4.0833354000000002E-2</v>
      </c>
      <c r="F54" s="3">
        <v>0.12460445999999999</v>
      </c>
      <c r="G54" s="3">
        <v>7.9608680000000001E-2</v>
      </c>
      <c r="H54" s="3">
        <v>-2.8305888000000001E-2</v>
      </c>
      <c r="I54" s="3">
        <v>-5.8846709999999997E-2</v>
      </c>
      <c r="J54" s="3">
        <v>2.1773576999999999E-2</v>
      </c>
      <c r="K54" s="3">
        <v>2.1950006000000001E-3</v>
      </c>
      <c r="L54" s="3">
        <v>7.6731563000000003E-2</v>
      </c>
      <c r="M54" s="3">
        <v>7.2072029999999995E-2</v>
      </c>
      <c r="N54" s="3">
        <v>0.13833022</v>
      </c>
      <c r="O54" s="3">
        <v>6.6112279999999995E-2</v>
      </c>
      <c r="P54" s="3">
        <v>1.8476962999999999E-2</v>
      </c>
      <c r="Q54" s="3">
        <v>-1.3888896E-2</v>
      </c>
      <c r="R54" s="3">
        <v>-2.3485540999999999E-2</v>
      </c>
      <c r="S54" s="3">
        <v>-4.6966194999999995E-2</v>
      </c>
      <c r="T54" s="3">
        <v>-3.4383952999999995E-2</v>
      </c>
      <c r="U54" s="3">
        <v>2.823925E-2</v>
      </c>
      <c r="V54" s="3">
        <v>-1.4588237000000002E-3</v>
      </c>
      <c r="W54" s="3">
        <v>-7.5525045000000004E-3</v>
      </c>
      <c r="X54" s="3">
        <v>-2.1675705999999999E-2</v>
      </c>
      <c r="Y54" s="3">
        <v>-1.6007781000000002E-2</v>
      </c>
      <c r="Z54" s="3">
        <v>3.6595464000000001E-2</v>
      </c>
      <c r="AA54" s="3">
        <v>1.0953665E-2</v>
      </c>
      <c r="AB54" s="3">
        <v>1.4498352999999999E-2</v>
      </c>
      <c r="AC54" s="3">
        <v>1.4848828000000001E-2</v>
      </c>
      <c r="AD54" s="3">
        <v>-7.585251300000001E-2</v>
      </c>
      <c r="AE54" s="3">
        <v>-6.201744E-2</v>
      </c>
      <c r="AF54" s="3">
        <v>2.048552E-2</v>
      </c>
      <c r="AG54" s="3">
        <v>3.6040545000000004E-3</v>
      </c>
      <c r="AH54" s="3">
        <v>-4.6361090000000002E-3</v>
      </c>
      <c r="AI54" s="3">
        <v>4.9019575000000003E-2</v>
      </c>
      <c r="AJ54" s="3"/>
      <c r="AK54" s="3"/>
      <c r="AL54" s="3"/>
    </row>
    <row r="55" spans="1:38" x14ac:dyDescent="0.45">
      <c r="A55" s="2">
        <v>45775</v>
      </c>
      <c r="B55" s="3">
        <v>-3.3475815999999999E-2</v>
      </c>
      <c r="C55" s="3">
        <v>4.9731135000000003E-2</v>
      </c>
      <c r="D55" s="3">
        <v>3.4208894000000004E-2</v>
      </c>
      <c r="E55" s="3">
        <v>4.8038483E-2</v>
      </c>
      <c r="F55" s="3">
        <v>6.5775513999999993E-2</v>
      </c>
      <c r="G55" s="3">
        <v>9.0789794999999989E-3</v>
      </c>
      <c r="H55" s="3">
        <v>3.0869483999999999E-2</v>
      </c>
      <c r="I55" s="3">
        <v>-2.8230846E-2</v>
      </c>
      <c r="J55" s="3">
        <v>0.12592017999999999</v>
      </c>
      <c r="K55" s="3">
        <v>1.5696287E-2</v>
      </c>
      <c r="L55" s="3">
        <v>4.8151016000000005E-2</v>
      </c>
      <c r="M55" s="3">
        <v>3.1302571000000001E-2</v>
      </c>
      <c r="N55" s="3">
        <v>2.5580644999999999E-2</v>
      </c>
      <c r="O55" s="3">
        <v>3.919661E-2</v>
      </c>
      <c r="P55" s="3">
        <v>-4.9844264999999999E-2</v>
      </c>
      <c r="Q55" s="3">
        <v>2.1971821999999998E-2</v>
      </c>
      <c r="R55" s="3">
        <v>-1.3543665E-2</v>
      </c>
      <c r="S55" s="3">
        <v>-3.6424815999999999E-2</v>
      </c>
      <c r="T55" s="3">
        <v>4.6884180000000004E-2</v>
      </c>
      <c r="U55" s="3">
        <v>-3.4733474E-2</v>
      </c>
      <c r="V55" s="3">
        <v>-5.3567290000000002E-3</v>
      </c>
      <c r="W55" s="3">
        <v>3.6860824E-2</v>
      </c>
      <c r="X55" s="3">
        <v>4.4738053999999999E-2</v>
      </c>
      <c r="Y55" s="3">
        <v>4.4367789999999997E-2</v>
      </c>
      <c r="Z55" s="3">
        <v>5.5629850000000002E-2</v>
      </c>
      <c r="AA55" s="3">
        <v>3.6405563000000002E-2</v>
      </c>
      <c r="AB55" s="3">
        <v>2.34375E-2</v>
      </c>
      <c r="AC55" s="3">
        <v>1.5961647000000002E-2</v>
      </c>
      <c r="AD55" s="3">
        <v>7.3996779999999998E-3</v>
      </c>
      <c r="AE55" s="3">
        <v>-8.6563826E-3</v>
      </c>
      <c r="AF55" s="3">
        <v>1.7100453000000002E-2</v>
      </c>
      <c r="AG55" s="3">
        <v>3.0629515999999999E-2</v>
      </c>
      <c r="AH55" s="3">
        <v>1.5603184999999999E-2</v>
      </c>
      <c r="AI55" s="3">
        <v>3.3411263999999996E-2</v>
      </c>
      <c r="AJ55" s="3"/>
      <c r="AK55" s="3"/>
      <c r="AL55" s="3"/>
    </row>
    <row r="56" spans="1:38" x14ac:dyDescent="0.45">
      <c r="A56" s="2">
        <v>45805</v>
      </c>
      <c r="B56" s="3">
        <v>2.5423765000000001E-2</v>
      </c>
      <c r="C56" s="3">
        <v>2.9769420000000001E-2</v>
      </c>
      <c r="D56" s="3">
        <v>0.11695218</v>
      </c>
      <c r="E56" s="3">
        <v>6.6844940000000005E-2</v>
      </c>
      <c r="F56" s="3">
        <v>3.1353116E-2</v>
      </c>
      <c r="G56" s="3">
        <v>4.3511389999999997E-2</v>
      </c>
      <c r="H56" s="3">
        <v>3.2053946999999999E-2</v>
      </c>
      <c r="I56" s="3">
        <v>0.14611567</v>
      </c>
      <c r="J56" s="3">
        <v>4.783213E-2</v>
      </c>
      <c r="K56" s="3">
        <v>9.1644169999999997E-2</v>
      </c>
      <c r="L56" s="3">
        <v>1.7640591000000001E-2</v>
      </c>
      <c r="M56" s="3">
        <v>5.9889913000000003E-2</v>
      </c>
      <c r="N56" s="3">
        <v>0.123516445</v>
      </c>
      <c r="O56" s="3">
        <v>1.8671393000000001E-2</v>
      </c>
      <c r="P56" s="3">
        <v>2.8543949999999998E-2</v>
      </c>
      <c r="Q56" s="3">
        <v>4.4101476999999993E-2</v>
      </c>
      <c r="R56" s="3">
        <v>1.0434388999999999E-3</v>
      </c>
      <c r="S56" s="3">
        <v>-2.9224931999999999E-2</v>
      </c>
      <c r="T56" s="3">
        <v>5.7823180000000002E-2</v>
      </c>
      <c r="U56" s="3">
        <v>0.14728032999999999</v>
      </c>
      <c r="V56" s="3">
        <v>-5.5079580000000003E-2</v>
      </c>
      <c r="W56" s="3">
        <v>1.4449596E-2</v>
      </c>
      <c r="X56" s="3">
        <v>4.2414307999999998E-2</v>
      </c>
      <c r="Y56" s="3">
        <v>5.6407809999999996E-2</v>
      </c>
      <c r="Z56" s="3">
        <v>5.8272123000000002E-2</v>
      </c>
      <c r="AA56" s="3">
        <v>2.6066421999999999E-2</v>
      </c>
      <c r="AB56" s="3">
        <v>1.6942858999999998E-2</v>
      </c>
      <c r="AC56" s="3">
        <v>3.8753628999999998E-2</v>
      </c>
      <c r="AD56" s="3">
        <v>9.8431350000000001E-2</v>
      </c>
      <c r="AE56" s="3">
        <v>6.6951036000000005E-2</v>
      </c>
      <c r="AF56" s="3">
        <v>3.484404E-2</v>
      </c>
      <c r="AG56" s="3">
        <v>7.7884792999999994E-2</v>
      </c>
      <c r="AH56" s="3">
        <v>3.7376761000000001E-2</v>
      </c>
      <c r="AI56" s="3">
        <v>7.5062156000000005E-2</v>
      </c>
      <c r="AJ56" s="3"/>
      <c r="AK56" s="3"/>
      <c r="AL56" s="3"/>
    </row>
    <row r="57" spans="1:38" x14ac:dyDescent="0.45">
      <c r="A57" s="2">
        <v>45835</v>
      </c>
      <c r="B57" s="3">
        <v>2.6713371E-2</v>
      </c>
      <c r="C57" s="3">
        <v>-1.3955295000000001E-2</v>
      </c>
      <c r="D57" s="3">
        <v>-5.0201235000000004E-2</v>
      </c>
      <c r="E57" s="3">
        <v>-1.3443112E-2</v>
      </c>
      <c r="F57" s="3">
        <v>3.1774402E-2</v>
      </c>
      <c r="G57" s="3">
        <v>6.1401963000000004E-2</v>
      </c>
      <c r="H57" s="3">
        <v>4.5328139999999996E-3</v>
      </c>
      <c r="I57" s="3">
        <v>8.6181049999999995E-2</v>
      </c>
      <c r="J57" s="3">
        <v>8.4127189999999991E-3</v>
      </c>
      <c r="K57" s="3">
        <v>0.16444445000000002</v>
      </c>
      <c r="L57" s="3">
        <v>3.4745216000000002E-2</v>
      </c>
      <c r="M57" s="3">
        <v>2.3659468000000003E-2</v>
      </c>
      <c r="N57" s="3">
        <v>5.7341455999999999E-2</v>
      </c>
      <c r="O57" s="3">
        <v>2.9013515E-2</v>
      </c>
      <c r="P57" s="3">
        <v>4.4763089999999998E-2</v>
      </c>
      <c r="Q57" s="3">
        <v>4.0394068E-3</v>
      </c>
      <c r="R57" s="3">
        <v>-6.7474126999999995E-2</v>
      </c>
      <c r="S57" s="3">
        <v>1.289475E-2</v>
      </c>
      <c r="T57" s="3">
        <v>2.8952836999999999E-2</v>
      </c>
      <c r="U57" s="3">
        <v>1.4587641E-3</v>
      </c>
      <c r="V57" s="3">
        <v>7.9416036999999991E-3</v>
      </c>
      <c r="W57" s="3">
        <v>3.5486936999999996E-2</v>
      </c>
      <c r="X57" s="3">
        <v>3.628087E-2</v>
      </c>
      <c r="Y57" s="3">
        <v>2.5128126000000001E-2</v>
      </c>
      <c r="Z57" s="3">
        <v>2.9414296000000003E-2</v>
      </c>
      <c r="AA57" s="3">
        <v>3.0952095999999998E-2</v>
      </c>
      <c r="AB57" s="3">
        <v>1.921761E-2</v>
      </c>
      <c r="AC57" s="3">
        <v>2.175653E-2</v>
      </c>
      <c r="AD57" s="3">
        <v>5.7407737E-2</v>
      </c>
      <c r="AE57" s="3">
        <v>4.9346210000000001E-2</v>
      </c>
      <c r="AF57" s="3">
        <v>2.5980352999999998E-2</v>
      </c>
      <c r="AG57" s="3">
        <v>4.7455310000000001E-2</v>
      </c>
      <c r="AH57" s="3">
        <v>4.0128945999999999E-2</v>
      </c>
      <c r="AI57" s="3">
        <v>2.4036170000000003E-2</v>
      </c>
      <c r="AJ57" s="3"/>
      <c r="AK57" s="3"/>
      <c r="AL57" s="3"/>
    </row>
    <row r="58" spans="1:38" x14ac:dyDescent="0.45">
      <c r="A58" s="2">
        <v>45866</v>
      </c>
      <c r="B58" s="3">
        <v>6.4300894999999997E-2</v>
      </c>
      <c r="C58" s="3">
        <v>-4.0901720000000003E-2</v>
      </c>
      <c r="D58" s="3">
        <v>1.4865637000000001E-2</v>
      </c>
      <c r="E58" s="3">
        <v>-2.4972439999999999E-2</v>
      </c>
      <c r="F58" s="3">
        <v>1.3884544E-2</v>
      </c>
      <c r="G58" s="3">
        <v>1.3611078E-2</v>
      </c>
      <c r="H58" s="3">
        <v>-8.3094835000000009E-4</v>
      </c>
      <c r="I58" s="3">
        <v>2.0916223999999997E-2</v>
      </c>
      <c r="J58" s="3">
        <v>-4.3103100000000004E-3</v>
      </c>
      <c r="K58" s="3">
        <v>2.7848481999999997E-2</v>
      </c>
      <c r="L58" s="3">
        <v>-5.7569264999999994E-2</v>
      </c>
      <c r="M58" s="3">
        <v>3.001523E-2</v>
      </c>
      <c r="N58" s="3">
        <v>3.9195538000000002E-2</v>
      </c>
      <c r="O58" s="3">
        <v>-4.7082005000000003E-2</v>
      </c>
      <c r="P58" s="3">
        <v>6.3791274999999995E-2</v>
      </c>
      <c r="Q58" s="3">
        <v>5.5465817000000001E-2</v>
      </c>
      <c r="R58" s="3">
        <v>0.12447107</v>
      </c>
      <c r="S58" s="3">
        <v>9.6425059999999993E-2</v>
      </c>
      <c r="T58" s="3">
        <v>9.4238040000000009E-2</v>
      </c>
      <c r="U58" s="3">
        <v>0.22214137999999997</v>
      </c>
      <c r="V58" s="3">
        <v>-1.6988992999999997E-2</v>
      </c>
      <c r="W58" s="3">
        <v>5.9510470000000001E-3</v>
      </c>
      <c r="X58" s="3">
        <v>4.9827100000000004E-3</v>
      </c>
      <c r="Y58" s="3">
        <v>2.5010943000000001E-2</v>
      </c>
      <c r="Z58" s="3">
        <v>-1.4893651000000001E-2</v>
      </c>
      <c r="AA58" s="3">
        <v>-1.3416588E-2</v>
      </c>
      <c r="AB58" s="3">
        <v>-8.6033344000000008E-3</v>
      </c>
      <c r="AC58" s="3">
        <v>1.0070443E-2</v>
      </c>
      <c r="AD58" s="3">
        <v>3.6581516000000001E-2</v>
      </c>
      <c r="AE58" s="3">
        <v>3.5826444999999998E-2</v>
      </c>
      <c r="AF58" s="3">
        <v>4.4590235000000001E-3</v>
      </c>
      <c r="AG58" s="3">
        <v>-2.6674032E-2</v>
      </c>
      <c r="AH58" s="3">
        <v>-5.2151680000000001E-3</v>
      </c>
      <c r="AI58" s="3">
        <v>1.9222736000000001E-2</v>
      </c>
      <c r="AJ58" s="3"/>
      <c r="AK58" s="3"/>
      <c r="AL58" s="3"/>
    </row>
    <row r="59" spans="1:38" x14ac:dyDescent="0.45">
      <c r="A59" s="2">
        <v>45897</v>
      </c>
      <c r="B59" s="3">
        <v>9.4750770000000012E-2</v>
      </c>
      <c r="C59" s="3">
        <v>9.4022869999999995E-2</v>
      </c>
      <c r="D59" s="3">
        <v>2.4788736999999998E-2</v>
      </c>
      <c r="E59" s="3">
        <v>-6.0263869999999994E-3</v>
      </c>
      <c r="F59" s="3">
        <v>-1.8674731E-3</v>
      </c>
      <c r="G59" s="3">
        <v>8.6852440000000003E-2</v>
      </c>
      <c r="H59" s="3">
        <v>4.4906496999999997E-2</v>
      </c>
      <c r="I59" s="3">
        <v>1.4222859999999999E-2</v>
      </c>
      <c r="J59" s="3">
        <v>4.0959000000000002E-2</v>
      </c>
      <c r="K59" s="3">
        <v>1.2790561000000001E-2</v>
      </c>
      <c r="L59" s="3">
        <v>0.11199092999999999</v>
      </c>
      <c r="M59" s="3">
        <v>5.4039120000000003E-2</v>
      </c>
      <c r="N59" s="3">
        <v>5.7733654999999995E-2</v>
      </c>
      <c r="O59" s="3">
        <v>-1.296258E-2</v>
      </c>
      <c r="P59" s="3">
        <v>2.9812574000000001E-2</v>
      </c>
      <c r="Q59" s="3">
        <v>1.8367290000000001E-2</v>
      </c>
      <c r="R59" s="3">
        <v>2.7063131000000001E-2</v>
      </c>
      <c r="S59" s="3">
        <v>6.3117026999999992E-2</v>
      </c>
      <c r="T59" s="3">
        <v>-3.8877903999999998E-2</v>
      </c>
      <c r="U59" s="3">
        <v>9.1477989999999995E-2</v>
      </c>
      <c r="V59" s="3">
        <v>-3.7223696999999999E-3</v>
      </c>
      <c r="W59" s="3">
        <v>-1.6871153999999999E-2</v>
      </c>
      <c r="X59" s="3">
        <v>3.3180833E-2</v>
      </c>
      <c r="Y59" s="3">
        <v>3.7243128E-2</v>
      </c>
      <c r="Z59" s="3">
        <v>8.3993673000000001E-3</v>
      </c>
      <c r="AA59" s="3">
        <v>6.7591310000000002E-2</v>
      </c>
      <c r="AB59" s="3">
        <v>2.160275E-2</v>
      </c>
      <c r="AC59" s="3">
        <v>3.6141633999999999E-2</v>
      </c>
      <c r="AD59" s="3">
        <v>1.5735506999999999E-2</v>
      </c>
      <c r="AE59" s="3">
        <v>1.8808603E-2</v>
      </c>
      <c r="AF59" s="3">
        <v>2.3365020999999999E-3</v>
      </c>
      <c r="AG59" s="3">
        <v>1.1150956E-2</v>
      </c>
      <c r="AH59" s="3">
        <v>1.8567085000000001E-2</v>
      </c>
      <c r="AI59" s="3">
        <v>4.9405456E-2</v>
      </c>
      <c r="AJ59" s="3"/>
      <c r="AK59" s="3"/>
      <c r="AL59" s="3"/>
    </row>
    <row r="60" spans="1:38" x14ac:dyDescent="0.45">
      <c r="A60" s="2">
        <v>45926</v>
      </c>
      <c r="B60" s="3">
        <v>1.1459588999999999E-2</v>
      </c>
      <c r="C60" s="3">
        <v>1.8109202000000001E-2</v>
      </c>
      <c r="D60" s="3">
        <v>-3.2435417000000001E-2</v>
      </c>
      <c r="E60" s="3">
        <v>-4.8124256000000004E-2</v>
      </c>
      <c r="F60" s="3">
        <v>3.1181574E-3</v>
      </c>
      <c r="G60" s="3">
        <v>0.11009608999999999</v>
      </c>
      <c r="H60" s="3">
        <v>2.3875833000000003E-2</v>
      </c>
      <c r="I60" s="3">
        <v>4.7412394999999996E-2</v>
      </c>
      <c r="J60" s="3">
        <v>7.3896290000000003E-2</v>
      </c>
      <c r="K60" s="3">
        <v>7.1021200000000007E-2</v>
      </c>
      <c r="L60" s="3">
        <v>4.2048097E-2</v>
      </c>
      <c r="M60" s="3">
        <v>0.10761153999999999</v>
      </c>
      <c r="N60" s="3">
        <v>-1.8767714999999999E-3</v>
      </c>
      <c r="O60" s="3">
        <v>-5.5196285000000001E-3</v>
      </c>
      <c r="P60" s="3">
        <v>6.4019800000000002E-2</v>
      </c>
      <c r="Q60" s="3">
        <v>-2.7054070999999999E-2</v>
      </c>
      <c r="R60" s="3">
        <v>2.2918344E-2</v>
      </c>
      <c r="S60" s="3">
        <v>-2.1665752E-2</v>
      </c>
      <c r="T60" s="3">
        <v>-2.8161882999999999E-2</v>
      </c>
      <c r="U60" s="3">
        <v>-4.1769084999999997E-2</v>
      </c>
      <c r="V60" s="3">
        <v>6.6186309999999998E-2</v>
      </c>
      <c r="W60" s="3">
        <v>1.1031984999999999E-2</v>
      </c>
      <c r="X60" s="3">
        <v>-1.5503883000000001E-2</v>
      </c>
      <c r="Y60" s="3">
        <v>3.2191515000000004E-2</v>
      </c>
      <c r="Z60" s="3">
        <v>-1.9514501E-2</v>
      </c>
      <c r="AA60" s="3">
        <v>1.4503717000000001E-2</v>
      </c>
      <c r="AB60" s="3">
        <v>-1.9338548000000001E-2</v>
      </c>
      <c r="AC60" s="3">
        <v>2.4056435000000001E-4</v>
      </c>
      <c r="AD60" s="3">
        <v>3.3923744999999998E-2</v>
      </c>
      <c r="AE60" s="3">
        <v>2.2693037999999999E-2</v>
      </c>
      <c r="AF60" s="3">
        <v>1.6083837E-2</v>
      </c>
      <c r="AG60" s="3">
        <v>6.7663550000000003E-2</v>
      </c>
      <c r="AH60" s="3">
        <v>1.222384E-2</v>
      </c>
      <c r="AI60" s="3">
        <v>6.8373679999999999E-3</v>
      </c>
      <c r="AJ60" s="3"/>
      <c r="AK60" s="3"/>
      <c r="AL60" s="3"/>
    </row>
    <row r="61" spans="1:38" x14ac:dyDescent="0.45">
      <c r="A61" s="2">
        <v>45958</v>
      </c>
      <c r="B61" s="3">
        <v>4.2039394000000001E-2</v>
      </c>
      <c r="C61" s="3">
        <v>4.4015764999999998E-2</v>
      </c>
      <c r="D61" s="3">
        <v>2.5568127999999999E-2</v>
      </c>
      <c r="E61" s="3">
        <v>-2.7070045000000001E-2</v>
      </c>
      <c r="F61" s="3">
        <v>8.330738E-2</v>
      </c>
      <c r="G61" s="3">
        <v>5.4468750000000003E-2</v>
      </c>
      <c r="H61" s="3">
        <v>1.0882258000000001E-2</v>
      </c>
      <c r="I61" s="3">
        <v>6.9333672999999998E-2</v>
      </c>
      <c r="J61" s="3">
        <v>-5.9580803000000007E-4</v>
      </c>
      <c r="K61" s="3">
        <v>0.19754017000000001</v>
      </c>
      <c r="L61" s="3">
        <v>6.1829089999999995E-3</v>
      </c>
      <c r="M61" s="3">
        <v>3.0489802E-2</v>
      </c>
      <c r="N61" s="3">
        <v>-1.4572263E-2</v>
      </c>
      <c r="O61" s="3">
        <v>4.3827770000000002E-2</v>
      </c>
      <c r="P61" s="3">
        <v>1.2437819999999999E-2</v>
      </c>
      <c r="Q61" s="3">
        <v>-1.1586010000000001E-2</v>
      </c>
      <c r="R61" s="3">
        <v>2.779305E-2</v>
      </c>
      <c r="S61" s="3">
        <v>-2.2720753999999999E-2</v>
      </c>
      <c r="T61" s="3">
        <v>5.4267645000000003E-2</v>
      </c>
      <c r="U61" s="3">
        <v>3.5897492999999996E-2</v>
      </c>
      <c r="V61" s="3">
        <v>2.3529410000000001E-2</v>
      </c>
      <c r="W61" s="3">
        <v>1.0580777999999999E-2</v>
      </c>
      <c r="X61" s="3">
        <v>3.1871079999999996E-2</v>
      </c>
      <c r="Y61" s="3">
        <v>2.7788877E-2</v>
      </c>
      <c r="Z61" s="3">
        <v>1.2621403E-2</v>
      </c>
      <c r="AA61" s="3">
        <v>4.3386339999999995E-2</v>
      </c>
      <c r="AB61" s="3">
        <v>3.5200834E-2</v>
      </c>
      <c r="AC61" s="3">
        <v>3.2226919999999999E-2</v>
      </c>
      <c r="AD61" s="3">
        <v>6.1999800000000001E-2</v>
      </c>
      <c r="AE61" s="3">
        <v>3.8137196999999998E-2</v>
      </c>
      <c r="AF61" s="3">
        <v>3.5558580999999999E-2</v>
      </c>
      <c r="AG61" s="3">
        <v>3.3088207000000001E-2</v>
      </c>
      <c r="AH61" s="3">
        <v>3.9618610999999998E-2</v>
      </c>
      <c r="AI61" s="3">
        <v>1.2417555E-2</v>
      </c>
      <c r="AJ61" s="3"/>
      <c r="AK61" s="3"/>
      <c r="AL61" s="3"/>
    </row>
    <row r="62" spans="1:38" x14ac:dyDescent="0.45">
      <c r="A62" s="2">
        <v>45989</v>
      </c>
      <c r="B62" s="3">
        <v>-2.8612315999999999E-2</v>
      </c>
      <c r="C62" s="3">
        <v>9.3271729999999997E-2</v>
      </c>
      <c r="D62" s="3">
        <v>3.4349084000000002E-2</v>
      </c>
      <c r="E62" s="3">
        <v>3.1505703999999995E-2</v>
      </c>
      <c r="F62" s="3">
        <v>-2.2381603999999999E-2</v>
      </c>
      <c r="G62" s="3">
        <v>3.1025171000000001E-2</v>
      </c>
      <c r="H62" s="3">
        <v>1.6147613999999998E-2</v>
      </c>
      <c r="I62" s="3">
        <v>-3.8455724999999996E-2</v>
      </c>
      <c r="J62" s="3">
        <v>1.9672155E-2</v>
      </c>
      <c r="K62" s="3">
        <v>-3.7903606999999999E-2</v>
      </c>
      <c r="L62" s="3">
        <v>8.6998700000000012E-2</v>
      </c>
      <c r="M62" s="3">
        <v>2.3148775E-2</v>
      </c>
      <c r="N62" s="3">
        <v>3.8638949999999998E-2</v>
      </c>
      <c r="O62" s="3">
        <v>3.1169653000000003E-3</v>
      </c>
      <c r="P62" s="3">
        <v>-4.4840336000000001E-2</v>
      </c>
      <c r="Q62" s="3">
        <v>-1.641053E-2</v>
      </c>
      <c r="R62" s="3">
        <v>-4.3818710000000004E-2</v>
      </c>
      <c r="S62" s="3">
        <v>-1.4125943E-2</v>
      </c>
      <c r="T62" s="3">
        <v>-7.1464299999999994E-2</v>
      </c>
      <c r="U62" s="3">
        <v>8.8008640000000003E-3</v>
      </c>
      <c r="V62" s="3">
        <v>-8.4372699999999995E-2</v>
      </c>
      <c r="W62" s="3">
        <v>-4.7835111999999999E-3</v>
      </c>
      <c r="X62" s="3">
        <v>-6.0683130000000002E-2</v>
      </c>
      <c r="Y62" s="3">
        <v>2.5092362999999999E-2</v>
      </c>
      <c r="Z62" s="3">
        <v>-1.917553E-2</v>
      </c>
      <c r="AA62" s="3">
        <v>-1.0961472999999999E-2</v>
      </c>
      <c r="AB62" s="3">
        <v>2.9375195999999999E-2</v>
      </c>
      <c r="AC62" s="3">
        <v>5.3589344000000002E-3</v>
      </c>
      <c r="AD62" s="3">
        <v>-2.1598280000000001E-2</v>
      </c>
      <c r="AE62" s="3">
        <v>-5.3415895000000005E-3</v>
      </c>
      <c r="AF62" s="3">
        <v>-1.2627363000000001E-2</v>
      </c>
      <c r="AG62" s="3">
        <v>-1.42349E-2</v>
      </c>
      <c r="AH62" s="3">
        <v>-2.363968E-2</v>
      </c>
      <c r="AI62" s="3">
        <v>1.4373301999999999E-2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-2.8612315999999999E-2</v>
      </c>
      <c r="C67" s="3">
        <f t="shared" ref="C67:AI67" si="2">C62</f>
        <v>9.3271729999999997E-2</v>
      </c>
      <c r="D67" s="3">
        <f t="shared" si="2"/>
        <v>3.4349084000000002E-2</v>
      </c>
      <c r="E67" s="3">
        <f t="shared" si="2"/>
        <v>3.1505703999999995E-2</v>
      </c>
      <c r="F67" s="3">
        <f t="shared" si="2"/>
        <v>-2.2381603999999999E-2</v>
      </c>
      <c r="G67" s="3">
        <f t="shared" si="2"/>
        <v>3.1025171000000001E-2</v>
      </c>
      <c r="H67" s="3">
        <f t="shared" si="2"/>
        <v>1.6147613999999998E-2</v>
      </c>
      <c r="I67" s="3">
        <f t="shared" si="2"/>
        <v>-3.8455724999999996E-2</v>
      </c>
      <c r="J67" s="3">
        <f t="shared" si="2"/>
        <v>1.9672155E-2</v>
      </c>
      <c r="K67" s="3">
        <f t="shared" si="2"/>
        <v>-3.7903606999999999E-2</v>
      </c>
      <c r="L67" s="3">
        <f t="shared" si="2"/>
        <v>8.6998700000000012E-2</v>
      </c>
      <c r="M67" s="3">
        <f t="shared" si="2"/>
        <v>2.3148775E-2</v>
      </c>
      <c r="N67" s="3">
        <f t="shared" si="2"/>
        <v>3.8638949999999998E-2</v>
      </c>
      <c r="O67" s="3">
        <f t="shared" si="2"/>
        <v>3.1169653000000003E-3</v>
      </c>
      <c r="P67" s="3">
        <f t="shared" si="2"/>
        <v>-4.4840336000000001E-2</v>
      </c>
      <c r="Q67" s="3">
        <f t="shared" si="2"/>
        <v>-1.641053E-2</v>
      </c>
      <c r="R67" s="3">
        <f t="shared" si="2"/>
        <v>-4.3818710000000004E-2</v>
      </c>
      <c r="S67" s="3">
        <f t="shared" si="2"/>
        <v>-1.4125943E-2</v>
      </c>
      <c r="T67" s="3">
        <f t="shared" si="2"/>
        <v>-7.1464299999999994E-2</v>
      </c>
      <c r="U67" s="3">
        <f t="shared" si="2"/>
        <v>8.8008640000000003E-3</v>
      </c>
      <c r="V67" s="3">
        <f t="shared" si="2"/>
        <v>-8.4372699999999995E-2</v>
      </c>
      <c r="W67" s="3">
        <f t="shared" si="2"/>
        <v>-4.7835111999999999E-3</v>
      </c>
      <c r="X67" s="3">
        <f t="shared" si="2"/>
        <v>-6.0683130000000002E-2</v>
      </c>
      <c r="Y67" s="3">
        <f t="shared" si="2"/>
        <v>2.5092362999999999E-2</v>
      </c>
      <c r="Z67" s="3">
        <f t="shared" si="2"/>
        <v>-1.917553E-2</v>
      </c>
      <c r="AA67" s="3">
        <f t="shared" si="2"/>
        <v>-1.0961472999999999E-2</v>
      </c>
      <c r="AB67" s="3">
        <f t="shared" si="2"/>
        <v>2.9375195999999999E-2</v>
      </c>
      <c r="AC67" s="3">
        <f t="shared" si="2"/>
        <v>5.3589344000000002E-3</v>
      </c>
      <c r="AD67" s="3">
        <f t="shared" si="2"/>
        <v>-2.1598280000000001E-2</v>
      </c>
      <c r="AE67" s="3">
        <f t="shared" si="2"/>
        <v>-5.3415895000000005E-3</v>
      </c>
      <c r="AF67" s="3">
        <f t="shared" si="2"/>
        <v>-1.2627363000000001E-2</v>
      </c>
      <c r="AG67" s="3">
        <f t="shared" si="2"/>
        <v>-1.42349E-2</v>
      </c>
      <c r="AH67" s="3">
        <f t="shared" si="2"/>
        <v>-2.363968E-2</v>
      </c>
      <c r="AI67" s="3">
        <f t="shared" si="2"/>
        <v>1.4373301999999999E-2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1.9552530213114761E-3</v>
      </c>
      <c r="C68" s="4">
        <f t="shared" si="3"/>
        <v>1.3797486004918031E-2</v>
      </c>
      <c r="D68" s="4">
        <f t="shared" si="3"/>
        <v>4.4721961595081986E-3</v>
      </c>
      <c r="E68" s="4">
        <f t="shared" si="3"/>
        <v>1.2598230786885246E-3</v>
      </c>
      <c r="F68" s="4">
        <f t="shared" si="3"/>
        <v>2.0517697557377045E-2</v>
      </c>
      <c r="G68" s="4">
        <f t="shared" si="3"/>
        <v>1.8771404008196726E-2</v>
      </c>
      <c r="H68" s="4">
        <f t="shared" si="3"/>
        <v>4.470771056557377E-3</v>
      </c>
      <c r="I68" s="4">
        <f t="shared" si="3"/>
        <v>1.3440667720491807E-2</v>
      </c>
      <c r="J68" s="4">
        <f t="shared" si="3"/>
        <v>1.5856436325245898E-2</v>
      </c>
      <c r="K68" s="4">
        <f t="shared" si="3"/>
        <v>9.5000464016393449E-3</v>
      </c>
      <c r="L68" s="4">
        <f t="shared" si="3"/>
        <v>1.2752603398360658E-2</v>
      </c>
      <c r="M68" s="4">
        <f t="shared" si="3"/>
        <v>1.5497248811475408E-2</v>
      </c>
      <c r="N68" s="4">
        <f t="shared" si="3"/>
        <v>2.649391451836066E-2</v>
      </c>
      <c r="O68" s="4">
        <f t="shared" si="3"/>
        <v>1.0012460634426229E-2</v>
      </c>
      <c r="P68" s="4">
        <f t="shared" si="3"/>
        <v>1.3019865901639372E-3</v>
      </c>
      <c r="Q68" s="4">
        <f t="shared" si="3"/>
        <v>5.6932256290163942E-3</v>
      </c>
      <c r="R68" s="4">
        <f t="shared" si="3"/>
        <v>1.5258544255737712E-3</v>
      </c>
      <c r="S68" s="4">
        <f t="shared" si="3"/>
        <v>1.6287269212295077E-2</v>
      </c>
      <c r="T68" s="4">
        <f t="shared" si="3"/>
        <v>1.3885015333770491E-2</v>
      </c>
      <c r="U68" s="4">
        <f t="shared" si="3"/>
        <v>7.2838229393442592E-3</v>
      </c>
      <c r="V68" s="4">
        <f t="shared" si="3"/>
        <v>7.4798395032786916E-3</v>
      </c>
      <c r="W68" s="4">
        <f t="shared" si="3"/>
        <v>-1.4641210180327869E-3</v>
      </c>
      <c r="X68" s="4">
        <f t="shared" si="3"/>
        <v>9.268884075409831E-3</v>
      </c>
      <c r="Y68" s="4">
        <f t="shared" si="3"/>
        <v>1.4145210173770493E-2</v>
      </c>
      <c r="Z68" s="4">
        <f t="shared" si="3"/>
        <v>1.0988156503278685E-2</v>
      </c>
      <c r="AA68" s="4">
        <f t="shared" si="3"/>
        <v>8.2244930762295099E-3</v>
      </c>
      <c r="AB68" s="4">
        <f t="shared" si="3"/>
        <v>9.1429692967213115E-3</v>
      </c>
      <c r="AC68" s="4">
        <f t="shared" si="3"/>
        <v>1.3710081623770491E-2</v>
      </c>
      <c r="AD68" s="4">
        <f t="shared" si="3"/>
        <v>1.5567300681967213E-2</v>
      </c>
      <c r="AE68" s="4">
        <f t="shared" si="3"/>
        <v>1.4198980527868848E-2</v>
      </c>
      <c r="AF68" s="4">
        <f t="shared" si="3"/>
        <v>1.2689220300327876E-2</v>
      </c>
      <c r="AG68" s="4">
        <f t="shared" si="3"/>
        <v>1.1929788504918033E-2</v>
      </c>
      <c r="AH68" s="4">
        <f t="shared" si="3"/>
        <v>1.0400016536065575E-2</v>
      </c>
      <c r="AI68" s="4">
        <f t="shared" si="3"/>
        <v>1.8449713031147539E-2</v>
      </c>
    </row>
    <row r="69" spans="1:38" x14ac:dyDescent="0.45">
      <c r="A69" t="s">
        <v>21</v>
      </c>
      <c r="B69" s="4">
        <f t="shared" ref="B69:AI69" si="4">STDEV(B40:B62)</f>
        <v>4.9266547462346842E-2</v>
      </c>
      <c r="C69" s="4">
        <f t="shared" si="4"/>
        <v>5.4063934680513202E-2</v>
      </c>
      <c r="D69" s="4">
        <f t="shared" si="4"/>
        <v>6.0774647915107942E-2</v>
      </c>
      <c r="E69" s="4">
        <f t="shared" si="4"/>
        <v>4.7896356072710131E-2</v>
      </c>
      <c r="F69" s="4">
        <f t="shared" si="4"/>
        <v>5.5243675664002838E-2</v>
      </c>
      <c r="G69" s="4">
        <f t="shared" si="4"/>
        <v>5.0221868184327924E-2</v>
      </c>
      <c r="H69" s="4">
        <f t="shared" si="4"/>
        <v>3.6616154205026057E-2</v>
      </c>
      <c r="I69" s="4">
        <f t="shared" si="4"/>
        <v>5.3083313207372286E-2</v>
      </c>
      <c r="J69" s="4">
        <f t="shared" si="4"/>
        <v>5.2599524197524304E-2</v>
      </c>
      <c r="K69" s="4">
        <f t="shared" si="4"/>
        <v>7.3090447607720224E-2</v>
      </c>
      <c r="L69" s="4">
        <f t="shared" si="4"/>
        <v>6.2231561968554922E-2</v>
      </c>
      <c r="M69" s="4">
        <f t="shared" si="4"/>
        <v>4.7295002575330036E-2</v>
      </c>
      <c r="N69" s="4">
        <f t="shared" si="4"/>
        <v>5.1838793892377361E-2</v>
      </c>
      <c r="O69" s="4">
        <f t="shared" si="4"/>
        <v>3.4534563312096409E-2</v>
      </c>
      <c r="P69" s="4">
        <f t="shared" si="4"/>
        <v>6.6337020400470473E-2</v>
      </c>
      <c r="Q69" s="4">
        <f t="shared" si="4"/>
        <v>2.8869623222579677E-2</v>
      </c>
      <c r="R69" s="4">
        <f t="shared" si="4"/>
        <v>4.620793956413706E-2</v>
      </c>
      <c r="S69" s="4">
        <f t="shared" si="4"/>
        <v>6.3012963185787418E-2</v>
      </c>
      <c r="T69" s="4">
        <f t="shared" si="4"/>
        <v>4.4941232779450634E-2</v>
      </c>
      <c r="U69" s="4">
        <f t="shared" si="4"/>
        <v>6.9847519217793058E-2</v>
      </c>
      <c r="V69" s="4">
        <f t="shared" si="4"/>
        <v>3.6672332347284398E-2</v>
      </c>
      <c r="W69" s="4">
        <f t="shared" si="4"/>
        <v>3.1710815203598114E-2</v>
      </c>
      <c r="X69" s="4">
        <f t="shared" si="4"/>
        <v>3.6814761453390736E-2</v>
      </c>
      <c r="Y69" s="4">
        <f t="shared" si="4"/>
        <v>2.63018780827893E-2</v>
      </c>
      <c r="Z69" s="4">
        <f t="shared" si="4"/>
        <v>3.2949796087976553E-2</v>
      </c>
      <c r="AA69" s="4">
        <f t="shared" si="4"/>
        <v>2.9308570019805861E-2</v>
      </c>
      <c r="AB69" s="4">
        <f t="shared" si="4"/>
        <v>3.2799332746819454E-2</v>
      </c>
      <c r="AC69" s="4">
        <f t="shared" si="4"/>
        <v>2.4643980992804435E-2</v>
      </c>
      <c r="AD69" s="4">
        <f t="shared" si="4"/>
        <v>3.82084599137823E-2</v>
      </c>
      <c r="AE69" s="4">
        <f t="shared" si="4"/>
        <v>2.8398865511246877E-2</v>
      </c>
      <c r="AF69" s="4">
        <f t="shared" si="4"/>
        <v>3.6360775490683062E-2</v>
      </c>
      <c r="AG69" s="4">
        <f t="shared" si="4"/>
        <v>3.8813392220288699E-2</v>
      </c>
      <c r="AH69" s="4">
        <f t="shared" si="4"/>
        <v>4.2769309944089555E-2</v>
      </c>
      <c r="AI69" s="4">
        <f t="shared" si="4"/>
        <v>3.7621213420281754E-2</v>
      </c>
    </row>
    <row r="70" spans="1:38" x14ac:dyDescent="0.45">
      <c r="A70" t="s">
        <v>36</v>
      </c>
      <c r="B70" s="3">
        <f>B69*2</f>
        <v>9.8533094924693684E-2</v>
      </c>
      <c r="C70" s="3">
        <f t="shared" ref="C70:AI70" si="5">C69*2</f>
        <v>0.1081278693610264</v>
      </c>
      <c r="D70" s="3">
        <f t="shared" si="5"/>
        <v>0.12154929583021588</v>
      </c>
      <c r="E70" s="3">
        <f t="shared" si="5"/>
        <v>9.5792712145420261E-2</v>
      </c>
      <c r="F70" s="3">
        <f t="shared" si="5"/>
        <v>0.11048735132800568</v>
      </c>
      <c r="G70" s="3">
        <f t="shared" si="5"/>
        <v>0.10044373636865585</v>
      </c>
      <c r="H70" s="3">
        <f t="shared" si="5"/>
        <v>7.3232308410052113E-2</v>
      </c>
      <c r="I70" s="3">
        <f t="shared" si="5"/>
        <v>0.10616662641474457</v>
      </c>
      <c r="J70" s="3">
        <f t="shared" si="5"/>
        <v>0.10519904839504861</v>
      </c>
      <c r="K70" s="3">
        <f t="shared" si="5"/>
        <v>0.14618089521544045</v>
      </c>
      <c r="L70" s="3">
        <f t="shared" si="5"/>
        <v>0.12446312393710984</v>
      </c>
      <c r="M70" s="3">
        <f t="shared" si="5"/>
        <v>9.4590005150660073E-2</v>
      </c>
      <c r="N70" s="3">
        <f t="shared" si="5"/>
        <v>0.10367758778475472</v>
      </c>
      <c r="O70" s="3">
        <f t="shared" si="5"/>
        <v>6.9069126624192817E-2</v>
      </c>
      <c r="P70" s="3">
        <f t="shared" si="5"/>
        <v>0.13267404080094095</v>
      </c>
      <c r="Q70" s="3">
        <f t="shared" si="5"/>
        <v>5.7739246445159355E-2</v>
      </c>
      <c r="R70" s="3">
        <f t="shared" si="5"/>
        <v>9.241587912827412E-2</v>
      </c>
      <c r="S70" s="3">
        <f t="shared" si="5"/>
        <v>0.12602592637157484</v>
      </c>
      <c r="T70" s="3">
        <f t="shared" si="5"/>
        <v>8.9882465558901267E-2</v>
      </c>
      <c r="U70" s="3">
        <f t="shared" si="5"/>
        <v>0.13969503843558612</v>
      </c>
      <c r="V70" s="3">
        <f t="shared" si="5"/>
        <v>7.3344664694568795E-2</v>
      </c>
      <c r="W70" s="3">
        <f t="shared" si="5"/>
        <v>6.3421630407196228E-2</v>
      </c>
      <c r="X70" s="3">
        <f t="shared" si="5"/>
        <v>7.3629522906781472E-2</v>
      </c>
      <c r="Y70" s="3">
        <f t="shared" si="5"/>
        <v>5.2603756165578601E-2</v>
      </c>
      <c r="Z70" s="3">
        <f t="shared" si="5"/>
        <v>6.5899592175953106E-2</v>
      </c>
      <c r="AA70" s="3">
        <f t="shared" si="5"/>
        <v>5.8617140039611722E-2</v>
      </c>
      <c r="AB70" s="3">
        <f t="shared" si="5"/>
        <v>6.5598665493638908E-2</v>
      </c>
      <c r="AC70" s="3">
        <f t="shared" si="5"/>
        <v>4.928796198560887E-2</v>
      </c>
      <c r="AD70" s="3">
        <f t="shared" si="5"/>
        <v>7.64169198275646E-2</v>
      </c>
      <c r="AE70" s="3">
        <f t="shared" si="5"/>
        <v>5.6797731022493754E-2</v>
      </c>
      <c r="AF70" s="3">
        <f t="shared" si="5"/>
        <v>7.2721550981366123E-2</v>
      </c>
      <c r="AG70" s="3">
        <f t="shared" si="5"/>
        <v>7.7626784440577398E-2</v>
      </c>
      <c r="AH70" s="3">
        <f t="shared" si="5"/>
        <v>8.553861988817911E-2</v>
      </c>
      <c r="AI70" s="3">
        <f t="shared" si="5"/>
        <v>7.5242426840563509E-2</v>
      </c>
    </row>
    <row r="71" spans="1:38" x14ac:dyDescent="0.45">
      <c r="A71" t="s">
        <v>79</v>
      </c>
      <c r="B71">
        <f>PRICE_DATA!B2</f>
        <v>33.950000000000003</v>
      </c>
      <c r="C71">
        <f>PRICE_DATA!C2</f>
        <v>37.86</v>
      </c>
      <c r="D71">
        <f>PRICE_DATA!D2</f>
        <v>18.670000000000002</v>
      </c>
      <c r="E71">
        <f>PRICE_DATA!E2</f>
        <v>25.21</v>
      </c>
      <c r="F71">
        <f>PRICE_DATA!F2</f>
        <v>34.07</v>
      </c>
      <c r="G71">
        <f>PRICE_DATA!G2</f>
        <v>64.47</v>
      </c>
      <c r="H71">
        <f>PRICE_DATA!H2</f>
        <v>26.43</v>
      </c>
      <c r="I71">
        <f>PRICE_DATA!I2</f>
        <v>64.510000000000005</v>
      </c>
      <c r="J71">
        <f>PRICE_DATA!J2</f>
        <v>68.42</v>
      </c>
      <c r="K71">
        <f>PRICE_DATA!K2</f>
        <v>90.87</v>
      </c>
      <c r="L71">
        <f>PRICE_DATA!L2</f>
        <v>33.61</v>
      </c>
      <c r="M71">
        <f>PRICE_DATA!M2</f>
        <v>66.739999999999995</v>
      </c>
      <c r="N71">
        <f>PRICE_DATA!N2</f>
        <v>65.319999999999993</v>
      </c>
      <c r="O71">
        <f>PRICE_DATA!O2</f>
        <v>54.71</v>
      </c>
      <c r="P71">
        <f>PRICE_DATA!P2</f>
        <v>62.2</v>
      </c>
      <c r="Q71">
        <f>PRICE_DATA!Q2</f>
        <v>18.88</v>
      </c>
      <c r="R71">
        <f>PRICE_DATA!R2</f>
        <v>1256.69</v>
      </c>
      <c r="S71">
        <f>PRICE_DATA!S2</f>
        <v>33.5</v>
      </c>
      <c r="T71">
        <f>PRICE_DATA!T2</f>
        <v>18.579999999999998</v>
      </c>
      <c r="U71">
        <f>PRICE_DATA!U2</f>
        <v>18.34</v>
      </c>
      <c r="V71">
        <f>PRICE_DATA!V2</f>
        <v>37.44</v>
      </c>
      <c r="W71">
        <f>PRICE_DATA!W2</f>
        <v>45.625700000000002</v>
      </c>
      <c r="X71">
        <f>PRICE_DATA!X2</f>
        <v>25.85</v>
      </c>
      <c r="Y71">
        <f>PRICE_DATA!Y2</f>
        <v>52.7</v>
      </c>
      <c r="Z71">
        <f>PRICE_DATA!Z2</f>
        <v>40.92</v>
      </c>
      <c r="AA71">
        <f>PRICE_DATA!AA2</f>
        <v>83.01</v>
      </c>
      <c r="AB71">
        <f>PRICE_DATA!AB2</f>
        <v>57.82</v>
      </c>
      <c r="AC71">
        <f>PRICE_DATA!AC2</f>
        <v>43.15</v>
      </c>
      <c r="AD71">
        <f>PRICE_DATA!AD2</f>
        <v>619.25</v>
      </c>
      <c r="AE71">
        <f>PRICE_DATA!AE2</f>
        <v>683.39</v>
      </c>
      <c r="AF71">
        <f>PRICE_DATA!AF2</f>
        <v>44.57</v>
      </c>
      <c r="AG71">
        <f>PRICE_DATA!AG2</f>
        <v>58.17</v>
      </c>
      <c r="AH71">
        <f>PRICE_DATA!AH2</f>
        <v>47.91</v>
      </c>
      <c r="AI71">
        <f>PRICE_DATA!AI2</f>
        <v>52.93</v>
      </c>
    </row>
    <row r="72" spans="1:38" x14ac:dyDescent="0.45">
      <c r="A72" t="s">
        <v>80</v>
      </c>
      <c r="B72" s="7">
        <f>PRICE_DATA!B204</f>
        <v>30.348250746268654</v>
      </c>
      <c r="C72" s="7">
        <f>PRICE_DATA!C204</f>
        <v>31.855771144278613</v>
      </c>
      <c r="D72" s="7">
        <f>PRICE_DATA!D204</f>
        <v>17.582935323383079</v>
      </c>
      <c r="E72" s="7">
        <f>PRICE_DATA!E204</f>
        <v>25.867513432835821</v>
      </c>
      <c r="F72" s="7">
        <f>PRICE_DATA!F204</f>
        <v>30.902686567164171</v>
      </c>
      <c r="G72" s="7">
        <f>PRICE_DATA!G204</f>
        <v>50.803774129353187</v>
      </c>
      <c r="H72" s="7">
        <f>PRICE_DATA!H204</f>
        <v>24.537462686567146</v>
      </c>
      <c r="I72" s="7">
        <f>PRICE_DATA!I204</f>
        <v>56.849552238805963</v>
      </c>
      <c r="J72" s="7">
        <f>PRICE_DATA!J204</f>
        <v>60.02293532338313</v>
      </c>
      <c r="K72" s="7">
        <f>PRICE_DATA!K204</f>
        <v>70.31507462686568</v>
      </c>
      <c r="L72" s="7">
        <f>PRICE_DATA!L204</f>
        <v>28.146666666666636</v>
      </c>
      <c r="M72" s="7">
        <f>PRICE_DATA!M204</f>
        <v>55.013781094527346</v>
      </c>
      <c r="N72" s="7">
        <f>PRICE_DATA!N204</f>
        <v>56.968790049751256</v>
      </c>
      <c r="O72" s="7">
        <f>PRICE_DATA!O204</f>
        <v>52.959776119402981</v>
      </c>
      <c r="P72" s="7">
        <f>PRICE_DATA!P204</f>
        <v>57.846840796019904</v>
      </c>
      <c r="Q72" s="7">
        <f>PRICE_DATA!Q204</f>
        <v>18.863385074626869</v>
      </c>
      <c r="R72" s="7">
        <f>PRICE_DATA!R204</f>
        <v>1217.7982089552233</v>
      </c>
      <c r="S72" s="7">
        <f>PRICE_DATA!S204</f>
        <v>33.239551243781079</v>
      </c>
      <c r="T72" s="7">
        <f>PRICE_DATA!T204</f>
        <v>18.559897512437811</v>
      </c>
      <c r="U72" s="7">
        <f>PRICE_DATA!U204</f>
        <v>15.035845771144267</v>
      </c>
      <c r="V72" s="7">
        <f>PRICE_DATA!V204</f>
        <v>39.246169154228859</v>
      </c>
      <c r="W72" s="7">
        <f>PRICE_DATA!W204</f>
        <v>44.774597512437815</v>
      </c>
      <c r="X72" s="7">
        <f>PRICE_DATA!X204</f>
        <v>25.692736318407977</v>
      </c>
      <c r="Y72" s="7">
        <f>PRICE_DATA!Y204</f>
        <v>45.925373134328375</v>
      </c>
      <c r="Z72" s="7">
        <f>PRICE_DATA!Z204</f>
        <v>40.391293532338324</v>
      </c>
      <c r="AA72" s="7">
        <f>PRICE_DATA!AA204</f>
        <v>75.204477611940305</v>
      </c>
      <c r="AB72" s="7">
        <f>PRICE_DATA!AB204</f>
        <v>54.317562189054762</v>
      </c>
      <c r="AC72" s="7">
        <f>PRICE_DATA!AC204</f>
        <v>39.874626865671637</v>
      </c>
      <c r="AD72" s="7">
        <f>PRICE_DATA!AD204</f>
        <v>545.10970149253706</v>
      </c>
      <c r="AE72" s="7">
        <f>PRICE_DATA!AE204</f>
        <v>615.9919402985073</v>
      </c>
      <c r="AF72" s="7">
        <f>PRICE_DATA!AF204</f>
        <v>42.396318407960209</v>
      </c>
      <c r="AG72" s="7">
        <f>PRICE_DATA!AG204</f>
        <v>52.85220746268655</v>
      </c>
      <c r="AH72" s="7">
        <f>PRICE_DATA!AH204</f>
        <v>45.388059701492502</v>
      </c>
      <c r="AI72" s="7">
        <f>PRICE_DATA!AI204</f>
        <v>47.614577114427881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1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45989</v>
      </c>
      <c r="B2" cm="1">
        <f t="array" ref="B2:B202">_xll.FDS(B1,"FG_PRICE(0,-200D)")</f>
        <v>33.950000000000003</v>
      </c>
      <c r="C2" cm="1">
        <f t="array" ref="C2:C202">_xll.FDS(C1,"FG_PRICE(0,-200D)")</f>
        <v>37.86</v>
      </c>
      <c r="D2" cm="1">
        <f t="array" ref="D2:D202">_xll.FDS(D1,"FG_PRICE(0,-200D)")</f>
        <v>18.670000000000002</v>
      </c>
      <c r="E2" cm="1">
        <f t="array" ref="E2:E202">_xll.FDS(E1,"FG_PRICE(0,-200D)")</f>
        <v>25.21</v>
      </c>
      <c r="F2" cm="1">
        <f t="array" ref="F2:F202">_xll.FDS(F1,"FG_PRICE(0,-200D)")</f>
        <v>34.07</v>
      </c>
      <c r="G2" cm="1">
        <f t="array" ref="G2:G202">_xll.FDS(G1,"FG_PRICE(0,-200D)")</f>
        <v>64.47</v>
      </c>
      <c r="H2" cm="1">
        <f t="array" ref="H2:H202">_xll.FDS(H1,"FG_PRICE(0,-200D)")</f>
        <v>26.43</v>
      </c>
      <c r="I2" cm="1">
        <f t="array" ref="I2:I202">_xll.FDS(I1,"FG_PRICE(0,-200D)")</f>
        <v>64.510000000000005</v>
      </c>
      <c r="J2" cm="1">
        <f t="array" ref="J2:J202">_xll.FDS(J1,"FG_PRICE(0,-200D)")</f>
        <v>68.42</v>
      </c>
      <c r="K2" cm="1">
        <f t="array" ref="K2:K202">_xll.FDS(K1,"FG_PRICE(0,-200D)")</f>
        <v>90.87</v>
      </c>
      <c r="L2" cm="1">
        <f t="array" ref="L2:L202">_xll.FDS(L1,"FG_PRICE(0,-200D)")</f>
        <v>33.61</v>
      </c>
      <c r="M2" cm="1">
        <f t="array" ref="M2:M202">_xll.FDS(M1,"FG_PRICE(0,-200D)")</f>
        <v>66.739999999999995</v>
      </c>
      <c r="N2" cm="1">
        <f t="array" ref="N2:N202">_xll.FDS(N1,"FG_PRICE(0,-200D)")</f>
        <v>65.319999999999993</v>
      </c>
      <c r="O2" cm="1">
        <f t="array" ref="O2:O202">_xll.FDS(O1,"FG_PRICE(0,-200D)")</f>
        <v>54.71</v>
      </c>
      <c r="P2" cm="1">
        <f t="array" ref="P2:P202">_xll.FDS(P1,"FG_PRICE(0,-200D)")</f>
        <v>62.2</v>
      </c>
      <c r="Q2" cm="1">
        <f t="array" ref="Q2:Q202">_xll.FDS(Q1,"FG_PRICE(0,-200D)")</f>
        <v>18.88</v>
      </c>
      <c r="R2" cm="1">
        <f t="array" ref="R2:R202">_xll.FDS(R1,"FG_PRICE(0,-200D)")</f>
        <v>1256.69</v>
      </c>
      <c r="S2" cm="1">
        <f t="array" ref="S2:S202">_xll.FDS(S1,"FG_PRICE(0,-200D)")</f>
        <v>33.5</v>
      </c>
      <c r="T2" cm="1">
        <f t="array" ref="T2:T202">_xll.FDS(T1,"FG_PRICE(0,-200D)")</f>
        <v>18.579999999999998</v>
      </c>
      <c r="U2" cm="1">
        <f t="array" ref="U2:U202">_xll.FDS(U1,"FG_PRICE(0,-200D)")</f>
        <v>18.34</v>
      </c>
      <c r="V2" cm="1">
        <f t="array" ref="V2:V202">_xll.FDS(V1,"FG_PRICE(0,-200D)")</f>
        <v>37.44</v>
      </c>
      <c r="W2" cm="1">
        <f t="array" ref="W2:W202">_xll.FDS(W1,"FG_PRICE(0,-200D)")</f>
        <v>45.625700000000002</v>
      </c>
      <c r="X2" cm="1">
        <f t="array" ref="X2:X202">_xll.FDS(X1,"FG_PRICE(0,-200D)")</f>
        <v>25.85</v>
      </c>
      <c r="Y2" cm="1">
        <f t="array" ref="Y2:Y202">_xll.FDS(Y1,"FG_PRICE(0,-200D)")</f>
        <v>52.7</v>
      </c>
      <c r="Z2" cm="1">
        <f t="array" ref="Z2:Z202">_xll.FDS(Z1,"FG_PRICE(0,-200D)")</f>
        <v>40.92</v>
      </c>
      <c r="AA2" cm="1">
        <f t="array" ref="AA2:AA202">_xll.FDS(AA1,"FG_PRICE(0,-200D)")</f>
        <v>83.01</v>
      </c>
      <c r="AB2" cm="1">
        <f t="array" ref="AB2:AB202">_xll.FDS(AB1,"FG_PRICE(0,-200D)")</f>
        <v>57.82</v>
      </c>
      <c r="AC2" cm="1">
        <f t="array" ref="AC2:AC202">_xll.FDS(AC1,"FG_PRICE(0,-200D)")</f>
        <v>43.15</v>
      </c>
      <c r="AD2" cm="1">
        <f t="array" ref="AD2:AD202">_xll.FDS(AD1,"FG_PRICE(0,-200D)")</f>
        <v>619.25</v>
      </c>
      <c r="AE2" cm="1">
        <f t="array" ref="AE2:AE202">_xll.FDS(AE1,"FG_PRICE(0,-200D)")</f>
        <v>683.39</v>
      </c>
      <c r="AF2" cm="1">
        <f t="array" ref="AF2:AF202">_xll.FDS(AF1,"FG_PRICE(0,-200D)")</f>
        <v>44.57</v>
      </c>
      <c r="AG2" cm="1">
        <f t="array" ref="AG2:AG202">_xll.FDS(AG1,"FG_PRICE(0,-200D)")</f>
        <v>58.17</v>
      </c>
      <c r="AH2" cm="1">
        <f t="array" ref="AH2:AH202">_xll.FDS(AH1,"FG_PRICE(0,-200D)")</f>
        <v>47.91</v>
      </c>
      <c r="AI2" cm="1">
        <f t="array" ref="AI2:AI202">_xll.FDS(AI1,"FG_PRICE(0,-200D)")</f>
        <v>52.93</v>
      </c>
    </row>
    <row r="3" spans="1:35" x14ac:dyDescent="0.45">
      <c r="A3" s="2">
        <v>45987</v>
      </c>
      <c r="B3">
        <v>33.590000000000003</v>
      </c>
      <c r="C3">
        <v>37.61</v>
      </c>
      <c r="D3">
        <v>18.87</v>
      </c>
      <c r="E3">
        <v>25.02</v>
      </c>
      <c r="F3">
        <v>34.07</v>
      </c>
      <c r="G3">
        <v>63.1</v>
      </c>
      <c r="H3">
        <v>26.64</v>
      </c>
      <c r="I3">
        <v>63.66</v>
      </c>
      <c r="J3">
        <v>67.88</v>
      </c>
      <c r="K3">
        <v>91.55</v>
      </c>
      <c r="L3">
        <v>33.47</v>
      </c>
      <c r="M3">
        <v>67.83</v>
      </c>
      <c r="N3">
        <v>66.150000000000006</v>
      </c>
      <c r="O3">
        <v>54.67</v>
      </c>
      <c r="P3">
        <v>61.91</v>
      </c>
      <c r="Q3">
        <v>18.885000000000002</v>
      </c>
      <c r="R3">
        <v>1252.71</v>
      </c>
      <c r="S3">
        <v>33.590000000000003</v>
      </c>
      <c r="T3">
        <v>18.53</v>
      </c>
      <c r="U3">
        <v>18.239999999999998</v>
      </c>
      <c r="V3">
        <v>37.380000000000003</v>
      </c>
      <c r="W3">
        <v>45.47</v>
      </c>
      <c r="X3">
        <v>25.82</v>
      </c>
      <c r="Y3">
        <v>52.25</v>
      </c>
      <c r="Z3">
        <v>40.6</v>
      </c>
      <c r="AA3">
        <v>83.26</v>
      </c>
      <c r="AB3">
        <v>57.55</v>
      </c>
      <c r="AC3">
        <v>42.99</v>
      </c>
      <c r="AD3">
        <v>614.27</v>
      </c>
      <c r="AE3">
        <v>679.68</v>
      </c>
      <c r="AF3">
        <v>44.43</v>
      </c>
      <c r="AG3">
        <v>57.79</v>
      </c>
      <c r="AH3">
        <v>47.43</v>
      </c>
      <c r="AI3">
        <v>52.54</v>
      </c>
    </row>
    <row r="4" spans="1:35" x14ac:dyDescent="0.45">
      <c r="A4" s="2">
        <v>45986</v>
      </c>
      <c r="B4">
        <v>33.51</v>
      </c>
      <c r="C4">
        <v>37.270000000000003</v>
      </c>
      <c r="D4">
        <v>18.73</v>
      </c>
      <c r="E4">
        <v>25</v>
      </c>
      <c r="F4">
        <v>33.729999999999997</v>
      </c>
      <c r="G4">
        <v>61.56</v>
      </c>
      <c r="H4">
        <v>26.49</v>
      </c>
      <c r="I4">
        <v>62.8</v>
      </c>
      <c r="J4">
        <v>67.75</v>
      </c>
      <c r="K4">
        <v>89.79</v>
      </c>
      <c r="L4">
        <v>32.549999999999997</v>
      </c>
      <c r="M4">
        <v>66.3</v>
      </c>
      <c r="N4">
        <v>65.48</v>
      </c>
      <c r="O4">
        <v>54.28</v>
      </c>
      <c r="P4">
        <v>62.2</v>
      </c>
      <c r="Q4">
        <v>18.77</v>
      </c>
      <c r="R4">
        <v>1261.18</v>
      </c>
      <c r="S4">
        <v>33.54</v>
      </c>
      <c r="T4">
        <v>18.71</v>
      </c>
      <c r="U4">
        <v>17.75</v>
      </c>
      <c r="V4">
        <v>37.590000000000003</v>
      </c>
      <c r="W4">
        <v>44.699399999999997</v>
      </c>
      <c r="X4">
        <v>25.62</v>
      </c>
      <c r="Y4">
        <v>51.56</v>
      </c>
      <c r="Z4">
        <v>40.19</v>
      </c>
      <c r="AA4">
        <v>81.92</v>
      </c>
      <c r="AB4">
        <v>57.26</v>
      </c>
      <c r="AC4">
        <v>42.52</v>
      </c>
      <c r="AD4">
        <v>608.89</v>
      </c>
      <c r="AE4">
        <v>675.02</v>
      </c>
      <c r="AF4">
        <v>44.06</v>
      </c>
      <c r="AG4">
        <v>56.872</v>
      </c>
      <c r="AH4">
        <v>47.06</v>
      </c>
      <c r="AI4">
        <v>52.16</v>
      </c>
    </row>
    <row r="5" spans="1:35" x14ac:dyDescent="0.45">
      <c r="A5" s="2">
        <v>45985</v>
      </c>
      <c r="B5">
        <v>33.11</v>
      </c>
      <c r="C5">
        <v>36.61</v>
      </c>
      <c r="D5">
        <v>18.78</v>
      </c>
      <c r="E5">
        <v>24.97</v>
      </c>
      <c r="F5">
        <v>32.94</v>
      </c>
      <c r="G5">
        <v>61.02</v>
      </c>
      <c r="H5">
        <v>26.47</v>
      </c>
      <c r="I5">
        <v>62.51</v>
      </c>
      <c r="J5">
        <v>66.55</v>
      </c>
      <c r="K5">
        <v>90.3</v>
      </c>
      <c r="L5">
        <v>32.200000000000003</v>
      </c>
      <c r="M5">
        <v>65.89</v>
      </c>
      <c r="N5">
        <v>63.99</v>
      </c>
      <c r="O5">
        <v>54.22</v>
      </c>
      <c r="P5">
        <v>61.96</v>
      </c>
      <c r="Q5">
        <v>18.850000000000001</v>
      </c>
      <c r="R5">
        <v>1268.78</v>
      </c>
      <c r="S5">
        <v>33.76</v>
      </c>
      <c r="T5">
        <v>18.75</v>
      </c>
      <c r="U5">
        <v>17.91</v>
      </c>
      <c r="V5">
        <v>38.159999999999997</v>
      </c>
      <c r="W5">
        <v>44.47</v>
      </c>
      <c r="X5">
        <v>25.44</v>
      </c>
      <c r="Y5">
        <v>51.05</v>
      </c>
      <c r="Z5">
        <v>39.47</v>
      </c>
      <c r="AA5">
        <v>81.739999999999995</v>
      </c>
      <c r="AB5">
        <v>56.39</v>
      </c>
      <c r="AC5">
        <v>41.92</v>
      </c>
      <c r="AD5">
        <v>605.16</v>
      </c>
      <c r="AE5">
        <v>668.73</v>
      </c>
      <c r="AF5">
        <v>43.33</v>
      </c>
      <c r="AG5">
        <v>55.95</v>
      </c>
      <c r="AH5">
        <v>46.26</v>
      </c>
      <c r="AI5">
        <v>51.19</v>
      </c>
    </row>
    <row r="6" spans="1:35" x14ac:dyDescent="0.45">
      <c r="A6" s="2">
        <v>45982</v>
      </c>
      <c r="B6">
        <v>33.06</v>
      </c>
      <c r="C6">
        <v>36.340000000000003</v>
      </c>
      <c r="D6">
        <v>18.37</v>
      </c>
      <c r="E6">
        <v>25.06</v>
      </c>
      <c r="F6">
        <v>33.04</v>
      </c>
      <c r="G6">
        <v>59.64</v>
      </c>
      <c r="H6">
        <v>26.29</v>
      </c>
      <c r="I6">
        <v>61.8</v>
      </c>
      <c r="J6">
        <v>66.040000000000006</v>
      </c>
      <c r="K6">
        <v>89.22</v>
      </c>
      <c r="L6">
        <v>32.03</v>
      </c>
      <c r="M6">
        <v>64.86</v>
      </c>
      <c r="N6">
        <v>64.64</v>
      </c>
      <c r="O6">
        <v>54.21</v>
      </c>
      <c r="P6">
        <v>60.92</v>
      </c>
      <c r="Q6">
        <v>18.68</v>
      </c>
      <c r="R6">
        <v>1252.73</v>
      </c>
      <c r="S6">
        <v>33.78</v>
      </c>
      <c r="T6">
        <v>18.68</v>
      </c>
      <c r="U6">
        <v>17.72</v>
      </c>
      <c r="V6">
        <v>38.28</v>
      </c>
      <c r="W6">
        <v>44.33</v>
      </c>
      <c r="X6">
        <v>25.33</v>
      </c>
      <c r="Y6">
        <v>50.43</v>
      </c>
      <c r="Z6">
        <v>39.4</v>
      </c>
      <c r="AA6">
        <v>81.19</v>
      </c>
      <c r="AB6">
        <v>56.69</v>
      </c>
      <c r="AC6">
        <v>42.06</v>
      </c>
      <c r="AD6">
        <v>590.07000000000005</v>
      </c>
      <c r="AE6">
        <v>659.03</v>
      </c>
      <c r="AF6">
        <v>43.69</v>
      </c>
      <c r="AG6">
        <v>55.92</v>
      </c>
      <c r="AH6">
        <v>46.06</v>
      </c>
      <c r="AI6">
        <v>51.47</v>
      </c>
    </row>
    <row r="7" spans="1:35" x14ac:dyDescent="0.45">
      <c r="A7" s="2">
        <v>45981</v>
      </c>
      <c r="B7">
        <v>33.46</v>
      </c>
      <c r="C7">
        <v>36.590000000000003</v>
      </c>
      <c r="D7">
        <v>18.329999999999998</v>
      </c>
      <c r="E7">
        <v>24.37</v>
      </c>
      <c r="F7">
        <v>32.56</v>
      </c>
      <c r="G7">
        <v>59.5</v>
      </c>
      <c r="H7">
        <v>26.05</v>
      </c>
      <c r="I7">
        <v>61.68</v>
      </c>
      <c r="J7">
        <v>66.02</v>
      </c>
      <c r="K7">
        <v>88.53</v>
      </c>
      <c r="L7">
        <v>31.9</v>
      </c>
      <c r="M7">
        <v>64.930000000000007</v>
      </c>
      <c r="N7">
        <v>62.76</v>
      </c>
      <c r="O7">
        <v>54.72</v>
      </c>
      <c r="P7">
        <v>60.88</v>
      </c>
      <c r="Q7">
        <v>18.614999999999998</v>
      </c>
      <c r="R7">
        <v>1254.4000000000001</v>
      </c>
      <c r="S7">
        <v>33.58</v>
      </c>
      <c r="T7">
        <v>18.758199999999999</v>
      </c>
      <c r="U7">
        <v>17.45</v>
      </c>
      <c r="V7">
        <v>38.19</v>
      </c>
      <c r="W7">
        <v>43.75</v>
      </c>
      <c r="X7">
        <v>24.95</v>
      </c>
      <c r="Y7">
        <v>49.91</v>
      </c>
      <c r="Z7">
        <v>38.89</v>
      </c>
      <c r="AA7">
        <v>79.489999999999995</v>
      </c>
      <c r="AB7">
        <v>55.69</v>
      </c>
      <c r="AC7">
        <v>41.34</v>
      </c>
      <c r="AD7">
        <v>585.66999999999996</v>
      </c>
      <c r="AE7">
        <v>652.53</v>
      </c>
      <c r="AF7">
        <v>42.99</v>
      </c>
      <c r="AG7">
        <v>55.52</v>
      </c>
      <c r="AH7">
        <v>45.38</v>
      </c>
      <c r="AI7">
        <v>50.81</v>
      </c>
    </row>
    <row r="8" spans="1:35" x14ac:dyDescent="0.45">
      <c r="A8" s="2">
        <v>45980</v>
      </c>
      <c r="B8">
        <v>33.880000000000003</v>
      </c>
      <c r="C8">
        <v>37.11</v>
      </c>
      <c r="D8">
        <v>18.48</v>
      </c>
      <c r="E8">
        <v>24.23</v>
      </c>
      <c r="F8">
        <v>33.29</v>
      </c>
      <c r="G8">
        <v>61.25</v>
      </c>
      <c r="H8">
        <v>26.33</v>
      </c>
      <c r="I8">
        <v>62.5</v>
      </c>
      <c r="J8">
        <v>66.77</v>
      </c>
      <c r="K8">
        <v>90.56</v>
      </c>
      <c r="L8">
        <v>32.49</v>
      </c>
      <c r="M8">
        <v>66.569999999999993</v>
      </c>
      <c r="N8">
        <v>63.34</v>
      </c>
      <c r="O8">
        <v>54.83</v>
      </c>
      <c r="P8">
        <v>61.91</v>
      </c>
      <c r="Q8">
        <v>18.954999999999998</v>
      </c>
      <c r="R8">
        <v>1281.81</v>
      </c>
      <c r="S8">
        <v>33.659999999999997</v>
      </c>
      <c r="T8">
        <v>18.87</v>
      </c>
      <c r="U8">
        <v>17.61</v>
      </c>
      <c r="V8">
        <v>38.43</v>
      </c>
      <c r="W8">
        <v>43.6663</v>
      </c>
      <c r="X8">
        <v>25.3</v>
      </c>
      <c r="Y8">
        <v>50.62</v>
      </c>
      <c r="Z8">
        <v>39.51</v>
      </c>
      <c r="AA8">
        <v>80.680000000000007</v>
      </c>
      <c r="AB8">
        <v>56.36</v>
      </c>
      <c r="AC8">
        <v>41.73</v>
      </c>
      <c r="AD8">
        <v>599.87</v>
      </c>
      <c r="AE8">
        <v>662.63</v>
      </c>
      <c r="AF8">
        <v>43.44</v>
      </c>
      <c r="AG8">
        <v>57.05</v>
      </c>
      <c r="AH8">
        <v>46.17</v>
      </c>
      <c r="AI8">
        <v>51.34</v>
      </c>
    </row>
    <row r="9" spans="1:35" x14ac:dyDescent="0.45">
      <c r="A9" s="2">
        <v>45979</v>
      </c>
      <c r="B9">
        <v>33.93</v>
      </c>
      <c r="C9">
        <v>36.83</v>
      </c>
      <c r="D9">
        <v>18.260000000000002</v>
      </c>
      <c r="E9">
        <v>24.02</v>
      </c>
      <c r="F9">
        <v>32.869999999999997</v>
      </c>
      <c r="G9">
        <v>60.32</v>
      </c>
      <c r="H9">
        <v>26.16</v>
      </c>
      <c r="I9">
        <v>62.67</v>
      </c>
      <c r="J9">
        <v>66.67</v>
      </c>
      <c r="K9">
        <v>91.59</v>
      </c>
      <c r="L9">
        <v>32.71</v>
      </c>
      <c r="M9">
        <v>66.16</v>
      </c>
      <c r="N9">
        <v>63.2</v>
      </c>
      <c r="O9">
        <v>54.61</v>
      </c>
      <c r="P9">
        <v>62.42</v>
      </c>
      <c r="Q9">
        <v>18.815000000000001</v>
      </c>
      <c r="R9">
        <v>1272.17</v>
      </c>
      <c r="S9">
        <v>33.299999999999997</v>
      </c>
      <c r="T9">
        <v>18.850000000000001</v>
      </c>
      <c r="U9">
        <v>17.73</v>
      </c>
      <c r="V9">
        <v>38.79</v>
      </c>
      <c r="W9">
        <v>44.235900000000001</v>
      </c>
      <c r="X9">
        <v>25.4</v>
      </c>
      <c r="Y9">
        <v>50.53</v>
      </c>
      <c r="Z9">
        <v>39.53</v>
      </c>
      <c r="AA9">
        <v>80.78</v>
      </c>
      <c r="AB9">
        <v>56.58</v>
      </c>
      <c r="AC9">
        <v>42.19</v>
      </c>
      <c r="AD9">
        <v>596.30999999999995</v>
      </c>
      <c r="AE9">
        <v>660.08</v>
      </c>
      <c r="AF9">
        <v>43.63</v>
      </c>
      <c r="AG9">
        <v>56.63</v>
      </c>
      <c r="AH9">
        <v>46.49</v>
      </c>
      <c r="AI9">
        <v>51.81</v>
      </c>
    </row>
    <row r="10" spans="1:35" x14ac:dyDescent="0.45">
      <c r="A10" s="2">
        <v>45978</v>
      </c>
      <c r="B10">
        <v>33.89</v>
      </c>
      <c r="C10">
        <v>37.31</v>
      </c>
      <c r="D10">
        <v>18.38</v>
      </c>
      <c r="E10">
        <v>23.95</v>
      </c>
      <c r="F10">
        <v>33.39</v>
      </c>
      <c r="G10">
        <v>61.163600000000002</v>
      </c>
      <c r="H10">
        <v>26.23</v>
      </c>
      <c r="I10">
        <v>63.16</v>
      </c>
      <c r="J10">
        <v>65.87</v>
      </c>
      <c r="K10">
        <v>93.02</v>
      </c>
      <c r="L10">
        <v>32.78</v>
      </c>
      <c r="M10">
        <v>66.13</v>
      </c>
      <c r="N10">
        <v>64.5</v>
      </c>
      <c r="O10">
        <v>54.65</v>
      </c>
      <c r="P10">
        <v>62.78</v>
      </c>
      <c r="Q10">
        <v>18.89</v>
      </c>
      <c r="R10">
        <v>1270.04</v>
      </c>
      <c r="S10">
        <v>33.08</v>
      </c>
      <c r="T10">
        <v>18.93</v>
      </c>
      <c r="U10">
        <v>17.66</v>
      </c>
      <c r="V10">
        <v>38.450000000000003</v>
      </c>
      <c r="W10">
        <v>44.493200000000002</v>
      </c>
      <c r="X10">
        <v>25.64</v>
      </c>
      <c r="Y10">
        <v>50.34</v>
      </c>
      <c r="Z10">
        <v>40.01</v>
      </c>
      <c r="AA10">
        <v>82.47</v>
      </c>
      <c r="AB10">
        <v>56.81</v>
      </c>
      <c r="AC10">
        <v>42.44</v>
      </c>
      <c r="AD10">
        <v>603.66</v>
      </c>
      <c r="AE10">
        <v>665.67</v>
      </c>
      <c r="AF10">
        <v>44.2</v>
      </c>
      <c r="AG10">
        <v>57.36</v>
      </c>
      <c r="AH10">
        <v>47.22</v>
      </c>
      <c r="AI10">
        <v>52.56</v>
      </c>
    </row>
    <row r="11" spans="1:35" x14ac:dyDescent="0.45">
      <c r="A11" s="2">
        <v>45975</v>
      </c>
      <c r="B11">
        <v>34.19</v>
      </c>
      <c r="C11">
        <v>36.369999999999997</v>
      </c>
      <c r="D11">
        <v>18.38</v>
      </c>
      <c r="E11">
        <v>23.28</v>
      </c>
      <c r="F11">
        <v>34.159999999999997</v>
      </c>
      <c r="G11">
        <v>62.34</v>
      </c>
      <c r="H11">
        <v>26.45</v>
      </c>
      <c r="I11">
        <v>65.17</v>
      </c>
      <c r="J11">
        <v>67.22</v>
      </c>
      <c r="K11">
        <v>94.13</v>
      </c>
      <c r="L11">
        <v>33.18</v>
      </c>
      <c r="M11">
        <v>66.989999999999995</v>
      </c>
      <c r="N11">
        <v>65</v>
      </c>
      <c r="O11">
        <v>54.62</v>
      </c>
      <c r="P11">
        <v>63.5</v>
      </c>
      <c r="Q11">
        <v>19.285</v>
      </c>
      <c r="R11">
        <v>1280.07</v>
      </c>
      <c r="S11">
        <v>32.85</v>
      </c>
      <c r="T11">
        <v>19.170000000000002</v>
      </c>
      <c r="U11">
        <v>17.59</v>
      </c>
      <c r="V11">
        <v>38.83</v>
      </c>
      <c r="W11">
        <v>44.844999999999999</v>
      </c>
      <c r="X11">
        <v>25.95</v>
      </c>
      <c r="Y11">
        <v>50.89</v>
      </c>
      <c r="Z11">
        <v>40.86</v>
      </c>
      <c r="AA11">
        <v>83.98</v>
      </c>
      <c r="AB11">
        <v>57.55</v>
      </c>
      <c r="AC11">
        <v>42.77</v>
      </c>
      <c r="AD11">
        <v>608.86</v>
      </c>
      <c r="AE11">
        <v>671.93</v>
      </c>
      <c r="AF11">
        <v>44.84</v>
      </c>
      <c r="AG11">
        <v>58.13</v>
      </c>
      <c r="AH11">
        <v>47.65</v>
      </c>
      <c r="AI11">
        <v>53.2</v>
      </c>
    </row>
    <row r="12" spans="1:35" x14ac:dyDescent="0.45">
      <c r="A12" s="2">
        <v>45974</v>
      </c>
      <c r="B12">
        <v>34.64</v>
      </c>
      <c r="C12">
        <v>36.71</v>
      </c>
      <c r="D12">
        <v>18.28</v>
      </c>
      <c r="E12">
        <v>23.69</v>
      </c>
      <c r="F12">
        <v>34.130000000000003</v>
      </c>
      <c r="G12">
        <v>62.52</v>
      </c>
      <c r="H12">
        <v>26.5</v>
      </c>
      <c r="I12">
        <v>63.99</v>
      </c>
      <c r="J12">
        <v>67.38</v>
      </c>
      <c r="K12">
        <v>94.07</v>
      </c>
      <c r="L12">
        <v>32.979999999999997</v>
      </c>
      <c r="M12">
        <v>67.83</v>
      </c>
      <c r="N12">
        <v>64.67</v>
      </c>
      <c r="O12">
        <v>54.2</v>
      </c>
      <c r="P12">
        <v>64.459999999999994</v>
      </c>
      <c r="Q12">
        <v>19.25</v>
      </c>
      <c r="R12">
        <v>1269.26</v>
      </c>
      <c r="S12">
        <v>32.78</v>
      </c>
      <c r="T12">
        <v>19.190000000000001</v>
      </c>
      <c r="U12">
        <v>17.420000000000002</v>
      </c>
      <c r="V12">
        <v>38.729999999999997</v>
      </c>
      <c r="W12">
        <v>44.943399999999997</v>
      </c>
      <c r="X12">
        <v>25.94</v>
      </c>
      <c r="Y12">
        <v>50.64</v>
      </c>
      <c r="Z12">
        <v>41.25</v>
      </c>
      <c r="AA12">
        <v>83.01</v>
      </c>
      <c r="AB12">
        <v>57.85</v>
      </c>
      <c r="AC12">
        <v>43.04</v>
      </c>
      <c r="AD12">
        <v>608.4</v>
      </c>
      <c r="AE12">
        <v>672.04</v>
      </c>
      <c r="AF12">
        <v>45.04</v>
      </c>
      <c r="AG12">
        <v>58.61</v>
      </c>
      <c r="AH12">
        <v>48.27</v>
      </c>
      <c r="AI12">
        <v>53.98</v>
      </c>
    </row>
    <row r="13" spans="1:35" x14ac:dyDescent="0.45">
      <c r="A13" s="2">
        <v>45973</v>
      </c>
      <c r="B13">
        <v>34.43</v>
      </c>
      <c r="C13">
        <v>37.26</v>
      </c>
      <c r="D13">
        <v>18.440000000000001</v>
      </c>
      <c r="E13">
        <v>23.6</v>
      </c>
      <c r="F13">
        <v>34.42</v>
      </c>
      <c r="G13">
        <v>64.38</v>
      </c>
      <c r="H13">
        <v>26.53</v>
      </c>
      <c r="I13">
        <v>65.41</v>
      </c>
      <c r="J13">
        <v>68.16</v>
      </c>
      <c r="K13">
        <v>95.92</v>
      </c>
      <c r="L13">
        <v>33.22</v>
      </c>
      <c r="M13">
        <v>68.08</v>
      </c>
      <c r="N13">
        <v>64.319999999999993</v>
      </c>
      <c r="O13">
        <v>54.56</v>
      </c>
      <c r="P13">
        <v>64.58</v>
      </c>
      <c r="Q13">
        <v>19.555</v>
      </c>
      <c r="R13">
        <v>1287.44</v>
      </c>
      <c r="S13">
        <v>33.03</v>
      </c>
      <c r="T13">
        <v>19.48</v>
      </c>
      <c r="U13">
        <v>17.53</v>
      </c>
      <c r="V13">
        <v>39.17</v>
      </c>
      <c r="W13">
        <v>45.657200000000003</v>
      </c>
      <c r="X13">
        <v>26.58</v>
      </c>
      <c r="Y13">
        <v>51.75</v>
      </c>
      <c r="Z13">
        <v>41.68</v>
      </c>
      <c r="AA13">
        <v>84.34</v>
      </c>
      <c r="AB13">
        <v>58.06</v>
      </c>
      <c r="AC13">
        <v>43.51</v>
      </c>
      <c r="AD13">
        <v>621.08000000000004</v>
      </c>
      <c r="AE13">
        <v>683.38</v>
      </c>
      <c r="AF13">
        <v>45.14</v>
      </c>
      <c r="AG13">
        <v>59.03</v>
      </c>
      <c r="AH13">
        <v>48.82</v>
      </c>
      <c r="AI13">
        <v>54.12</v>
      </c>
    </row>
    <row r="14" spans="1:35" x14ac:dyDescent="0.45">
      <c r="A14" s="2">
        <v>45972</v>
      </c>
      <c r="B14">
        <v>34.47</v>
      </c>
      <c r="C14">
        <v>36.5</v>
      </c>
      <c r="D14">
        <v>18.45</v>
      </c>
      <c r="E14">
        <v>23.41</v>
      </c>
      <c r="F14">
        <v>34.56</v>
      </c>
      <c r="G14">
        <v>63.04</v>
      </c>
      <c r="H14">
        <v>26.78</v>
      </c>
      <c r="I14">
        <v>65.39</v>
      </c>
      <c r="J14">
        <v>69.34</v>
      </c>
      <c r="K14">
        <v>95.29</v>
      </c>
      <c r="L14">
        <v>33.49</v>
      </c>
      <c r="M14">
        <v>66.53</v>
      </c>
      <c r="N14">
        <v>63.63</v>
      </c>
      <c r="O14">
        <v>54.74</v>
      </c>
      <c r="P14">
        <v>64.53</v>
      </c>
      <c r="Q14">
        <v>19.6479</v>
      </c>
      <c r="R14">
        <v>1284.81</v>
      </c>
      <c r="S14">
        <v>32.85</v>
      </c>
      <c r="T14">
        <v>19.690000000000001</v>
      </c>
      <c r="U14">
        <v>16.93</v>
      </c>
      <c r="V14">
        <v>39.39</v>
      </c>
      <c r="W14">
        <v>45.674999999999997</v>
      </c>
      <c r="X14">
        <v>26.63</v>
      </c>
      <c r="Y14">
        <v>51.04</v>
      </c>
      <c r="Z14">
        <v>41.23</v>
      </c>
      <c r="AA14">
        <v>83.75</v>
      </c>
      <c r="AB14">
        <v>57.67</v>
      </c>
      <c r="AC14">
        <v>43.65</v>
      </c>
      <c r="AD14">
        <v>621.57000000000005</v>
      </c>
      <c r="AE14">
        <v>683</v>
      </c>
      <c r="AF14">
        <v>44.71</v>
      </c>
      <c r="AG14">
        <v>58.73</v>
      </c>
      <c r="AH14">
        <v>48.48</v>
      </c>
      <c r="AI14">
        <v>53.75</v>
      </c>
    </row>
    <row r="15" spans="1:35" x14ac:dyDescent="0.45">
      <c r="A15" s="2">
        <v>45971</v>
      </c>
      <c r="B15">
        <v>34.770000000000003</v>
      </c>
      <c r="C15">
        <v>36.299999999999997</v>
      </c>
      <c r="D15">
        <v>18.55</v>
      </c>
      <c r="E15">
        <v>23.7</v>
      </c>
      <c r="F15">
        <v>34.44</v>
      </c>
      <c r="G15">
        <v>63.13</v>
      </c>
      <c r="H15">
        <v>26.47</v>
      </c>
      <c r="I15">
        <v>65.75</v>
      </c>
      <c r="J15">
        <v>67.91</v>
      </c>
      <c r="K15">
        <v>95.67</v>
      </c>
      <c r="L15">
        <v>32.72</v>
      </c>
      <c r="M15">
        <v>66.62</v>
      </c>
      <c r="N15">
        <v>63.69</v>
      </c>
      <c r="O15">
        <v>54.15</v>
      </c>
      <c r="P15">
        <v>64.7</v>
      </c>
      <c r="Q15">
        <v>19.48</v>
      </c>
      <c r="R15">
        <v>1300.47</v>
      </c>
      <c r="S15">
        <v>33.549999999999997</v>
      </c>
      <c r="T15">
        <v>19.53</v>
      </c>
      <c r="U15">
        <v>16.71</v>
      </c>
      <c r="V15">
        <v>39.32</v>
      </c>
      <c r="W15">
        <v>45.684100000000001</v>
      </c>
      <c r="X15">
        <v>26.81</v>
      </c>
      <c r="Y15">
        <v>50.89</v>
      </c>
      <c r="Z15">
        <v>40.96</v>
      </c>
      <c r="AA15">
        <v>83.68</v>
      </c>
      <c r="AB15">
        <v>56.36</v>
      </c>
      <c r="AC15">
        <v>43.44</v>
      </c>
      <c r="AD15">
        <v>623.23</v>
      </c>
      <c r="AE15">
        <v>681.44</v>
      </c>
      <c r="AF15">
        <v>44.19</v>
      </c>
      <c r="AG15">
        <v>58.56</v>
      </c>
      <c r="AH15">
        <v>47.74</v>
      </c>
      <c r="AI15">
        <v>53.15</v>
      </c>
    </row>
    <row r="16" spans="1:35" x14ac:dyDescent="0.45">
      <c r="A16" s="2">
        <v>45968</v>
      </c>
      <c r="B16">
        <v>34.6</v>
      </c>
      <c r="C16">
        <v>35.799999999999997</v>
      </c>
      <c r="D16">
        <v>18.53</v>
      </c>
      <c r="E16">
        <v>23.79</v>
      </c>
      <c r="F16">
        <v>33.840000000000003</v>
      </c>
      <c r="G16">
        <v>61.77</v>
      </c>
      <c r="H16">
        <v>26.23</v>
      </c>
      <c r="I16">
        <v>64.61</v>
      </c>
      <c r="J16">
        <v>67.819999999999993</v>
      </c>
      <c r="K16">
        <v>91.8</v>
      </c>
      <c r="L16">
        <v>32.299999999999997</v>
      </c>
      <c r="M16">
        <v>64.239999999999995</v>
      </c>
      <c r="N16">
        <v>62.35</v>
      </c>
      <c r="O16">
        <v>53.75</v>
      </c>
      <c r="P16">
        <v>63.61</v>
      </c>
      <c r="Q16">
        <v>19.420000000000002</v>
      </c>
      <c r="R16">
        <v>1306.26</v>
      </c>
      <c r="S16">
        <v>33.86</v>
      </c>
      <c r="T16">
        <v>19.43</v>
      </c>
      <c r="U16">
        <v>16.88</v>
      </c>
      <c r="V16">
        <v>39.28</v>
      </c>
      <c r="W16">
        <v>45.580800000000004</v>
      </c>
      <c r="X16">
        <v>26.44</v>
      </c>
      <c r="Y16">
        <v>50.1</v>
      </c>
      <c r="Z16">
        <v>40.479999999999997</v>
      </c>
      <c r="AA16">
        <v>83.29</v>
      </c>
      <c r="AB16">
        <v>55.74</v>
      </c>
      <c r="AC16">
        <v>42.87</v>
      </c>
      <c r="AD16">
        <v>609.74</v>
      </c>
      <c r="AE16">
        <v>670.97</v>
      </c>
      <c r="AF16">
        <v>43.78</v>
      </c>
      <c r="AG16">
        <v>57.74</v>
      </c>
      <c r="AH16">
        <v>47.24</v>
      </c>
      <c r="AI16">
        <v>52.19</v>
      </c>
    </row>
    <row r="17" spans="1:35" x14ac:dyDescent="0.45">
      <c r="A17" s="2">
        <v>45967</v>
      </c>
      <c r="B17">
        <v>34.590000000000003</v>
      </c>
      <c r="C17">
        <v>35.25</v>
      </c>
      <c r="D17">
        <v>18.440000000000001</v>
      </c>
      <c r="E17">
        <v>24.11</v>
      </c>
      <c r="F17">
        <v>33.950000000000003</v>
      </c>
      <c r="G17">
        <v>61.75</v>
      </c>
      <c r="H17">
        <v>26.01</v>
      </c>
      <c r="I17">
        <v>64.94</v>
      </c>
      <c r="J17">
        <v>66.97</v>
      </c>
      <c r="K17">
        <v>93.51</v>
      </c>
      <c r="L17">
        <v>32.04</v>
      </c>
      <c r="M17">
        <v>63.7</v>
      </c>
      <c r="N17">
        <v>62.47</v>
      </c>
      <c r="O17">
        <v>53.62</v>
      </c>
      <c r="P17">
        <v>63.97</v>
      </c>
      <c r="Q17">
        <v>19.46</v>
      </c>
      <c r="R17">
        <v>1302.9100000000001</v>
      </c>
      <c r="S17">
        <v>34.25</v>
      </c>
      <c r="T17">
        <v>19.309999999999999</v>
      </c>
      <c r="U17">
        <v>17.32</v>
      </c>
      <c r="V17">
        <v>39.299999999999997</v>
      </c>
      <c r="W17">
        <v>45.333100000000002</v>
      </c>
      <c r="X17">
        <v>26.46</v>
      </c>
      <c r="Y17">
        <v>49.75</v>
      </c>
      <c r="Z17">
        <v>40.39</v>
      </c>
      <c r="AA17">
        <v>82.96</v>
      </c>
      <c r="AB17">
        <v>55.22</v>
      </c>
      <c r="AC17">
        <v>42.62</v>
      </c>
      <c r="AD17">
        <v>611.66999999999996</v>
      </c>
      <c r="AE17">
        <v>670.31</v>
      </c>
      <c r="AF17">
        <v>43.42</v>
      </c>
      <c r="AG17">
        <v>57.96</v>
      </c>
      <c r="AH17">
        <v>46.98</v>
      </c>
      <c r="AI17">
        <v>51.75</v>
      </c>
    </row>
    <row r="18" spans="1:35" x14ac:dyDescent="0.45">
      <c r="A18" s="2">
        <v>45966</v>
      </c>
      <c r="B18">
        <v>34.380000000000003</v>
      </c>
      <c r="C18">
        <v>35.299999999999997</v>
      </c>
      <c r="D18">
        <v>18.54</v>
      </c>
      <c r="E18">
        <v>24.19</v>
      </c>
      <c r="F18">
        <v>33.51</v>
      </c>
      <c r="G18">
        <v>61.39</v>
      </c>
      <c r="H18">
        <v>26.2</v>
      </c>
      <c r="I18">
        <v>66.03</v>
      </c>
      <c r="J18">
        <v>67.180000000000007</v>
      </c>
      <c r="K18">
        <v>96.62</v>
      </c>
      <c r="L18">
        <v>32.1</v>
      </c>
      <c r="M18">
        <v>63.4</v>
      </c>
      <c r="N18">
        <v>62.68</v>
      </c>
      <c r="O18">
        <v>54.3</v>
      </c>
      <c r="P18">
        <v>63.36</v>
      </c>
      <c r="Q18">
        <v>19.414999999999999</v>
      </c>
      <c r="R18">
        <v>1313.31</v>
      </c>
      <c r="S18">
        <v>34.130000000000003</v>
      </c>
      <c r="T18">
        <v>19.350000000000001</v>
      </c>
      <c r="U18">
        <v>17.57</v>
      </c>
      <c r="V18">
        <v>39.35</v>
      </c>
      <c r="W18">
        <v>45.91</v>
      </c>
      <c r="X18">
        <v>26.67</v>
      </c>
      <c r="Y18">
        <v>50.26</v>
      </c>
      <c r="Z18">
        <v>40.729999999999997</v>
      </c>
      <c r="AA18">
        <v>82.8</v>
      </c>
      <c r="AB18">
        <v>55.4</v>
      </c>
      <c r="AC18">
        <v>42.61</v>
      </c>
      <c r="AD18">
        <v>623.28</v>
      </c>
      <c r="AE18">
        <v>677.58</v>
      </c>
      <c r="AF18">
        <v>43.88</v>
      </c>
      <c r="AG18">
        <v>58.26</v>
      </c>
      <c r="AH18">
        <v>47.29</v>
      </c>
      <c r="AI18">
        <v>52</v>
      </c>
    </row>
    <row r="19" spans="1:35" x14ac:dyDescent="0.45">
      <c r="A19" s="2">
        <v>45965</v>
      </c>
      <c r="B19">
        <v>33.97</v>
      </c>
      <c r="C19">
        <v>34.5</v>
      </c>
      <c r="D19">
        <v>18.36</v>
      </c>
      <c r="E19">
        <v>24.38</v>
      </c>
      <c r="F19">
        <v>33.31</v>
      </c>
      <c r="G19">
        <v>60.31</v>
      </c>
      <c r="H19">
        <v>25.98</v>
      </c>
      <c r="I19">
        <v>65.430000000000007</v>
      </c>
      <c r="J19">
        <v>65.650000000000006</v>
      </c>
      <c r="K19">
        <v>95.76</v>
      </c>
      <c r="L19">
        <v>31.18</v>
      </c>
      <c r="M19">
        <v>61.44</v>
      </c>
      <c r="N19">
        <v>62.17</v>
      </c>
      <c r="O19">
        <v>54.02</v>
      </c>
      <c r="P19">
        <v>62.73</v>
      </c>
      <c r="Q19">
        <v>19.434999999999999</v>
      </c>
      <c r="R19">
        <v>1295.29</v>
      </c>
      <c r="S19">
        <v>33.909999999999997</v>
      </c>
      <c r="T19">
        <v>19.36</v>
      </c>
      <c r="U19">
        <v>17.53</v>
      </c>
      <c r="V19">
        <v>39.68</v>
      </c>
      <c r="W19">
        <v>45.38</v>
      </c>
      <c r="X19">
        <v>26.41</v>
      </c>
      <c r="Y19">
        <v>49.72</v>
      </c>
      <c r="Z19">
        <v>40.340000000000003</v>
      </c>
      <c r="AA19">
        <v>82.83</v>
      </c>
      <c r="AB19">
        <v>55.06</v>
      </c>
      <c r="AC19">
        <v>42.18</v>
      </c>
      <c r="AD19">
        <v>619.25</v>
      </c>
      <c r="AE19">
        <v>675.24</v>
      </c>
      <c r="AF19">
        <v>43.63</v>
      </c>
      <c r="AG19">
        <v>57.82</v>
      </c>
      <c r="AH19">
        <v>46.87</v>
      </c>
      <c r="AI19">
        <v>51.38</v>
      </c>
    </row>
    <row r="20" spans="1:35" x14ac:dyDescent="0.45">
      <c r="A20" s="2">
        <v>45964</v>
      </c>
      <c r="B20">
        <v>34.377099999999999</v>
      </c>
      <c r="C20">
        <v>35.93</v>
      </c>
      <c r="D20">
        <v>18.45</v>
      </c>
      <c r="E20">
        <v>24.15</v>
      </c>
      <c r="F20">
        <v>33.78</v>
      </c>
      <c r="G20">
        <v>62.16</v>
      </c>
      <c r="H20">
        <v>26.06</v>
      </c>
      <c r="I20">
        <v>66.900000000000006</v>
      </c>
      <c r="J20">
        <v>66.23</v>
      </c>
      <c r="K20">
        <v>100.78</v>
      </c>
      <c r="L20">
        <v>31.52</v>
      </c>
      <c r="M20">
        <v>63.76</v>
      </c>
      <c r="N20">
        <v>63.18</v>
      </c>
      <c r="O20">
        <v>54.24</v>
      </c>
      <c r="P20">
        <v>63.55</v>
      </c>
      <c r="Q20">
        <v>19.315000000000001</v>
      </c>
      <c r="R20">
        <v>1298.5999999999999</v>
      </c>
      <c r="S20">
        <v>34.450000000000003</v>
      </c>
      <c r="T20">
        <v>19.579999999999998</v>
      </c>
      <c r="U20">
        <v>17.09</v>
      </c>
      <c r="V20">
        <v>40</v>
      </c>
      <c r="W20">
        <v>45.705599999999997</v>
      </c>
      <c r="X20">
        <v>26.84</v>
      </c>
      <c r="Y20">
        <v>50.67</v>
      </c>
      <c r="Z20">
        <v>40.909999999999997</v>
      </c>
      <c r="AA20">
        <v>83.64</v>
      </c>
      <c r="AB20">
        <v>55.12</v>
      </c>
      <c r="AC20">
        <v>42.53</v>
      </c>
      <c r="AD20">
        <v>632.08000000000004</v>
      </c>
      <c r="AE20">
        <v>683.34</v>
      </c>
      <c r="AF20">
        <v>44.07</v>
      </c>
      <c r="AG20">
        <v>58.68</v>
      </c>
      <c r="AH20">
        <v>47.7</v>
      </c>
      <c r="AI20">
        <v>51.79</v>
      </c>
    </row>
    <row r="21" spans="1:35" x14ac:dyDescent="0.45">
      <c r="A21" s="2">
        <v>45961</v>
      </c>
      <c r="B21">
        <v>34.299999999999997</v>
      </c>
      <c r="C21">
        <v>35.32</v>
      </c>
      <c r="D21">
        <v>18.28</v>
      </c>
      <c r="E21">
        <v>24.55</v>
      </c>
      <c r="F21">
        <v>33.71</v>
      </c>
      <c r="G21">
        <v>62.78</v>
      </c>
      <c r="H21">
        <v>25.85</v>
      </c>
      <c r="I21">
        <v>66.650000000000006</v>
      </c>
      <c r="J21">
        <v>66.53</v>
      </c>
      <c r="K21">
        <v>97</v>
      </c>
      <c r="L21">
        <v>31.17</v>
      </c>
      <c r="M21">
        <v>63.77</v>
      </c>
      <c r="N21">
        <v>62.22</v>
      </c>
      <c r="O21">
        <v>53.97</v>
      </c>
      <c r="P21">
        <v>63.57</v>
      </c>
      <c r="Q21">
        <v>19.3</v>
      </c>
      <c r="R21">
        <v>1308.8599999999999</v>
      </c>
      <c r="S21">
        <v>34.15</v>
      </c>
      <c r="T21">
        <v>19.68</v>
      </c>
      <c r="U21">
        <v>17.43</v>
      </c>
      <c r="V21">
        <v>40.28</v>
      </c>
      <c r="W21">
        <v>45.89</v>
      </c>
      <c r="X21">
        <v>26.77</v>
      </c>
      <c r="Y21">
        <v>50.74</v>
      </c>
      <c r="Z21">
        <v>40.729999999999997</v>
      </c>
      <c r="AA21">
        <v>83.45</v>
      </c>
      <c r="AB21">
        <v>55.36</v>
      </c>
      <c r="AC21">
        <v>42.67</v>
      </c>
      <c r="AD21">
        <v>629.07000000000005</v>
      </c>
      <c r="AE21">
        <v>682.06</v>
      </c>
      <c r="AF21">
        <v>44.28</v>
      </c>
      <c r="AG21">
        <v>58.8</v>
      </c>
      <c r="AH21">
        <v>47.99</v>
      </c>
      <c r="AI21">
        <v>51.81</v>
      </c>
    </row>
    <row r="22" spans="1:35" x14ac:dyDescent="0.45">
      <c r="A22" s="2">
        <v>45960</v>
      </c>
      <c r="B22">
        <v>34.9</v>
      </c>
      <c r="C22">
        <v>35.340000000000003</v>
      </c>
      <c r="D22">
        <v>18.27</v>
      </c>
      <c r="E22">
        <v>24.4</v>
      </c>
      <c r="F22">
        <v>34.22</v>
      </c>
      <c r="G22">
        <v>63.11</v>
      </c>
      <c r="H22">
        <v>25.88</v>
      </c>
      <c r="I22">
        <v>66.540000000000006</v>
      </c>
      <c r="J22">
        <v>66.73</v>
      </c>
      <c r="K22">
        <v>95.26</v>
      </c>
      <c r="L22">
        <v>31.05</v>
      </c>
      <c r="M22">
        <v>64.37</v>
      </c>
      <c r="N22">
        <v>62.69</v>
      </c>
      <c r="O22">
        <v>54.27</v>
      </c>
      <c r="P22">
        <v>64.38</v>
      </c>
      <c r="Q22">
        <v>19.289100000000001</v>
      </c>
      <c r="R22">
        <v>1309.5</v>
      </c>
      <c r="S22">
        <v>33.64</v>
      </c>
      <c r="T22">
        <v>20.149999999999999</v>
      </c>
      <c r="U22">
        <v>17.71</v>
      </c>
      <c r="V22">
        <v>40.229999999999997</v>
      </c>
      <c r="W22">
        <v>45.755000000000003</v>
      </c>
      <c r="X22">
        <v>26.89</v>
      </c>
      <c r="Y22">
        <v>50.67</v>
      </c>
      <c r="Z22">
        <v>41</v>
      </c>
      <c r="AA22">
        <v>83.21</v>
      </c>
      <c r="AB22">
        <v>55.6</v>
      </c>
      <c r="AC22">
        <v>42.75</v>
      </c>
      <c r="AD22">
        <v>626.04999999999995</v>
      </c>
      <c r="AE22">
        <v>679.83</v>
      </c>
      <c r="AF22">
        <v>44.44</v>
      </c>
      <c r="AG22">
        <v>59.48</v>
      </c>
      <c r="AH22">
        <v>48.49</v>
      </c>
      <c r="AI22">
        <v>51.82</v>
      </c>
    </row>
    <row r="23" spans="1:35" x14ac:dyDescent="0.45">
      <c r="A23" s="2">
        <v>45959</v>
      </c>
      <c r="B23">
        <v>35.270000000000003</v>
      </c>
      <c r="C23">
        <v>34.97</v>
      </c>
      <c r="D23">
        <v>18.32</v>
      </c>
      <c r="E23">
        <v>24.74</v>
      </c>
      <c r="F23">
        <v>34.53</v>
      </c>
      <c r="G23">
        <v>63.12</v>
      </c>
      <c r="H23">
        <v>25.91</v>
      </c>
      <c r="I23">
        <v>67.13</v>
      </c>
      <c r="J23">
        <v>67.430000000000007</v>
      </c>
      <c r="K23">
        <v>96.9</v>
      </c>
      <c r="L23">
        <v>31.18</v>
      </c>
      <c r="M23">
        <v>64.75</v>
      </c>
      <c r="N23">
        <v>63.76</v>
      </c>
      <c r="O23">
        <v>54.61</v>
      </c>
      <c r="P23">
        <v>65.489999999999995</v>
      </c>
      <c r="Q23">
        <v>19.25</v>
      </c>
      <c r="R23">
        <v>1314.65</v>
      </c>
      <c r="S23">
        <v>33.909999999999997</v>
      </c>
      <c r="T23">
        <v>20</v>
      </c>
      <c r="U23">
        <v>18.149999999999999</v>
      </c>
      <c r="V23">
        <v>41.03</v>
      </c>
      <c r="W23">
        <v>45.674999999999997</v>
      </c>
      <c r="X23">
        <v>27</v>
      </c>
      <c r="Y23">
        <v>50.75</v>
      </c>
      <c r="Z23">
        <v>41.27</v>
      </c>
      <c r="AA23">
        <v>83.23</v>
      </c>
      <c r="AB23">
        <v>55.66</v>
      </c>
      <c r="AC23">
        <v>42.83</v>
      </c>
      <c r="AD23">
        <v>635.77</v>
      </c>
      <c r="AE23">
        <v>687.39</v>
      </c>
      <c r="AF23">
        <v>44.86</v>
      </c>
      <c r="AG23">
        <v>59.366</v>
      </c>
      <c r="AH23">
        <v>48.74</v>
      </c>
      <c r="AI23">
        <v>52.11</v>
      </c>
    </row>
    <row r="24" spans="1:35" x14ac:dyDescent="0.45">
      <c r="A24" s="2">
        <v>45958</v>
      </c>
      <c r="B24">
        <v>34.950000000000003</v>
      </c>
      <c r="C24">
        <v>34.630000000000003</v>
      </c>
      <c r="D24">
        <v>18.05</v>
      </c>
      <c r="E24">
        <v>24.44</v>
      </c>
      <c r="F24">
        <v>34.85</v>
      </c>
      <c r="G24">
        <v>62.53</v>
      </c>
      <c r="H24">
        <v>26.01</v>
      </c>
      <c r="I24">
        <v>67.09</v>
      </c>
      <c r="J24">
        <v>67.099999999999994</v>
      </c>
      <c r="K24">
        <v>94.45</v>
      </c>
      <c r="L24">
        <v>30.92</v>
      </c>
      <c r="M24">
        <v>65.23</v>
      </c>
      <c r="N24">
        <v>62.89</v>
      </c>
      <c r="O24">
        <v>54.54</v>
      </c>
      <c r="P24">
        <v>65.12</v>
      </c>
      <c r="Q24">
        <v>19.195</v>
      </c>
      <c r="R24">
        <v>1315.64</v>
      </c>
      <c r="S24">
        <v>33.979999999999997</v>
      </c>
      <c r="T24">
        <v>20.010000000000002</v>
      </c>
      <c r="U24">
        <v>18.18</v>
      </c>
      <c r="V24">
        <v>40.89</v>
      </c>
      <c r="W24">
        <v>45.844999999999999</v>
      </c>
      <c r="X24">
        <v>27.52</v>
      </c>
      <c r="Y24">
        <v>51.41</v>
      </c>
      <c r="Z24">
        <v>41.72</v>
      </c>
      <c r="AA24">
        <v>83.93</v>
      </c>
      <c r="AB24">
        <v>56.17</v>
      </c>
      <c r="AC24">
        <v>42.92</v>
      </c>
      <c r="AD24">
        <v>632.91999999999996</v>
      </c>
      <c r="AE24">
        <v>687.06</v>
      </c>
      <c r="AF24">
        <v>45.14</v>
      </c>
      <c r="AG24">
        <v>59.01</v>
      </c>
      <c r="AH24">
        <v>49.07</v>
      </c>
      <c r="AI24">
        <v>52.18</v>
      </c>
    </row>
    <row r="25" spans="1:35" x14ac:dyDescent="0.45">
      <c r="A25" s="2">
        <v>45957</v>
      </c>
      <c r="B25">
        <v>34.950000000000003</v>
      </c>
      <c r="C25">
        <v>34.590000000000003</v>
      </c>
      <c r="D25">
        <v>18.09</v>
      </c>
      <c r="E25">
        <v>24.4</v>
      </c>
      <c r="F25">
        <v>34.200000000000003</v>
      </c>
      <c r="G25">
        <v>61.55</v>
      </c>
      <c r="H25">
        <v>25.96</v>
      </c>
      <c r="I25">
        <v>66.98</v>
      </c>
      <c r="J25">
        <v>66.33</v>
      </c>
      <c r="K25">
        <v>94.31</v>
      </c>
      <c r="L25">
        <v>30.77</v>
      </c>
      <c r="M25">
        <v>64.2</v>
      </c>
      <c r="N25">
        <v>63.03</v>
      </c>
      <c r="O25">
        <v>54.72</v>
      </c>
      <c r="P25">
        <v>65.59</v>
      </c>
      <c r="Q25">
        <v>19.195</v>
      </c>
      <c r="R25">
        <v>1314.28</v>
      </c>
      <c r="S25">
        <v>33.89</v>
      </c>
      <c r="T25">
        <v>19.97</v>
      </c>
      <c r="U25">
        <v>17.739999999999998</v>
      </c>
      <c r="V25">
        <v>40.61</v>
      </c>
      <c r="W25">
        <v>45.99</v>
      </c>
      <c r="X25">
        <v>27.37</v>
      </c>
      <c r="Y25">
        <v>50.79</v>
      </c>
      <c r="Z25">
        <v>41.78</v>
      </c>
      <c r="AA25">
        <v>83.53</v>
      </c>
      <c r="AB25">
        <v>56.94</v>
      </c>
      <c r="AC25">
        <v>42.98</v>
      </c>
      <c r="AD25">
        <v>628.09</v>
      </c>
      <c r="AE25">
        <v>685.24</v>
      </c>
      <c r="AF25">
        <v>45.33</v>
      </c>
      <c r="AG25">
        <v>59.564999999999998</v>
      </c>
      <c r="AH25">
        <v>49.23</v>
      </c>
      <c r="AI25">
        <v>51.93</v>
      </c>
    </row>
    <row r="26" spans="1:35" x14ac:dyDescent="0.45">
      <c r="A26" s="2">
        <v>45954</v>
      </c>
      <c r="B26">
        <v>34.479999999999997</v>
      </c>
      <c r="C26">
        <v>34.369999999999997</v>
      </c>
      <c r="D26">
        <v>18.3</v>
      </c>
      <c r="E26">
        <v>24.7</v>
      </c>
      <c r="F26">
        <v>33.909999999999997</v>
      </c>
      <c r="G26">
        <v>61.62</v>
      </c>
      <c r="H26">
        <v>25.69</v>
      </c>
      <c r="I26">
        <v>66.48</v>
      </c>
      <c r="J26">
        <v>65.37</v>
      </c>
      <c r="K26">
        <v>92.05</v>
      </c>
      <c r="L26">
        <v>30.48</v>
      </c>
      <c r="M26">
        <v>65.180000000000007</v>
      </c>
      <c r="N26">
        <v>63.27</v>
      </c>
      <c r="O26">
        <v>54.51</v>
      </c>
      <c r="P26">
        <v>64.510000000000005</v>
      </c>
      <c r="Q26">
        <v>19.29</v>
      </c>
      <c r="R26">
        <v>1323.52</v>
      </c>
      <c r="S26">
        <v>34.04</v>
      </c>
      <c r="T26">
        <v>19.98</v>
      </c>
      <c r="U26">
        <v>18.21</v>
      </c>
      <c r="V26">
        <v>40.729999999999997</v>
      </c>
      <c r="W26">
        <v>45.615000000000002</v>
      </c>
      <c r="X26">
        <v>27.18</v>
      </c>
      <c r="Y26">
        <v>50.84</v>
      </c>
      <c r="Z26">
        <v>41.59</v>
      </c>
      <c r="AA26">
        <v>82.5</v>
      </c>
      <c r="AB26">
        <v>57.12</v>
      </c>
      <c r="AC26">
        <v>42.78</v>
      </c>
      <c r="AD26">
        <v>617.1</v>
      </c>
      <c r="AE26">
        <v>677.25</v>
      </c>
      <c r="AF26">
        <v>45.11</v>
      </c>
      <c r="AG26">
        <v>58.91</v>
      </c>
      <c r="AH26">
        <v>48.86</v>
      </c>
      <c r="AI26">
        <v>51.27</v>
      </c>
    </row>
    <row r="27" spans="1:35" x14ac:dyDescent="0.45">
      <c r="A27" s="2">
        <v>45953</v>
      </c>
      <c r="B27">
        <v>34.06</v>
      </c>
      <c r="C27">
        <v>34.200000000000003</v>
      </c>
      <c r="D27">
        <v>18.3</v>
      </c>
      <c r="E27">
        <v>24.99</v>
      </c>
      <c r="F27">
        <v>34.17</v>
      </c>
      <c r="G27">
        <v>61.61</v>
      </c>
      <c r="H27">
        <v>25.65</v>
      </c>
      <c r="I27">
        <v>65.709999999999994</v>
      </c>
      <c r="J27">
        <v>66.02</v>
      </c>
      <c r="K27">
        <v>90.07</v>
      </c>
      <c r="L27">
        <v>30.47</v>
      </c>
      <c r="M27">
        <v>64.930000000000007</v>
      </c>
      <c r="N27">
        <v>64.06</v>
      </c>
      <c r="O27">
        <v>54.76</v>
      </c>
      <c r="P27">
        <v>64.11</v>
      </c>
      <c r="Q27">
        <v>19.260000000000002</v>
      </c>
      <c r="R27">
        <v>1313.91</v>
      </c>
      <c r="S27">
        <v>33.11</v>
      </c>
      <c r="T27">
        <v>19.920000000000002</v>
      </c>
      <c r="U27">
        <v>18.29</v>
      </c>
      <c r="V27">
        <v>40.67</v>
      </c>
      <c r="W27">
        <v>45.52</v>
      </c>
      <c r="X27">
        <v>27.19</v>
      </c>
      <c r="Y27">
        <v>50.58</v>
      </c>
      <c r="Z27">
        <v>41.55</v>
      </c>
      <c r="AA27">
        <v>82.22</v>
      </c>
      <c r="AB27">
        <v>57.17</v>
      </c>
      <c r="AC27">
        <v>42.6</v>
      </c>
      <c r="AD27">
        <v>610.58000000000004</v>
      </c>
      <c r="AE27">
        <v>671.76</v>
      </c>
      <c r="AF27">
        <v>45.27</v>
      </c>
      <c r="AG27">
        <v>58.87</v>
      </c>
      <c r="AH27">
        <v>48.65</v>
      </c>
      <c r="AI27">
        <v>51.17</v>
      </c>
    </row>
    <row r="28" spans="1:35" x14ac:dyDescent="0.45">
      <c r="A28" s="2">
        <v>45952</v>
      </c>
      <c r="B28">
        <v>33.86</v>
      </c>
      <c r="C28">
        <v>33.47</v>
      </c>
      <c r="D28">
        <v>17.89</v>
      </c>
      <c r="E28">
        <v>24.82</v>
      </c>
      <c r="F28">
        <v>33.83</v>
      </c>
      <c r="G28">
        <v>60.71</v>
      </c>
      <c r="H28">
        <v>25.47</v>
      </c>
      <c r="I28">
        <v>65.03</v>
      </c>
      <c r="J28">
        <v>65.510000000000005</v>
      </c>
      <c r="K28">
        <v>89.45</v>
      </c>
      <c r="L28">
        <v>30.03</v>
      </c>
      <c r="M28">
        <v>63.58</v>
      </c>
      <c r="N28">
        <v>63.56</v>
      </c>
      <c r="O28">
        <v>55.29</v>
      </c>
      <c r="P28">
        <v>63.03</v>
      </c>
      <c r="Q28">
        <v>19.14</v>
      </c>
      <c r="R28">
        <v>1302.3499999999999</v>
      </c>
      <c r="S28">
        <v>32.96</v>
      </c>
      <c r="T28">
        <v>19.690000000000001</v>
      </c>
      <c r="U28">
        <v>18.170000000000002</v>
      </c>
      <c r="V28">
        <v>40.51</v>
      </c>
      <c r="W28">
        <v>45.230899999999998</v>
      </c>
      <c r="X28">
        <v>27.07</v>
      </c>
      <c r="Y28">
        <v>50.2</v>
      </c>
      <c r="Z28">
        <v>41.44</v>
      </c>
      <c r="AA28">
        <v>82.18</v>
      </c>
      <c r="AB28">
        <v>57.14</v>
      </c>
      <c r="AC28">
        <v>42.41</v>
      </c>
      <c r="AD28">
        <v>605.49</v>
      </c>
      <c r="AE28">
        <v>667.8</v>
      </c>
      <c r="AF28">
        <v>44.91</v>
      </c>
      <c r="AG28">
        <v>58.12</v>
      </c>
      <c r="AH28">
        <v>48.36</v>
      </c>
      <c r="AI28">
        <v>50.66</v>
      </c>
    </row>
    <row r="29" spans="1:35" x14ac:dyDescent="0.45">
      <c r="A29" s="2">
        <v>45951</v>
      </c>
      <c r="B29">
        <v>33.880000000000003</v>
      </c>
      <c r="C29">
        <v>33.5</v>
      </c>
      <c r="D29">
        <v>18.170000000000002</v>
      </c>
      <c r="E29">
        <v>25.11</v>
      </c>
      <c r="F29">
        <v>33.1</v>
      </c>
      <c r="G29">
        <v>61.35</v>
      </c>
      <c r="H29">
        <v>25.74</v>
      </c>
      <c r="I29">
        <v>65.78</v>
      </c>
      <c r="J29">
        <v>65.069999999999993</v>
      </c>
      <c r="K29">
        <v>88.64</v>
      </c>
      <c r="L29">
        <v>29.94</v>
      </c>
      <c r="M29">
        <v>63.27</v>
      </c>
      <c r="N29">
        <v>63.28</v>
      </c>
      <c r="O29">
        <v>54.48</v>
      </c>
      <c r="P29">
        <v>63.44</v>
      </c>
      <c r="Q29">
        <v>19.09</v>
      </c>
      <c r="R29">
        <v>1290.72</v>
      </c>
      <c r="S29">
        <v>32.72</v>
      </c>
      <c r="T29">
        <v>19.579999999999998</v>
      </c>
      <c r="U29">
        <v>18.045000000000002</v>
      </c>
      <c r="V29">
        <v>40.47</v>
      </c>
      <c r="W29">
        <v>45.325000000000003</v>
      </c>
      <c r="X29">
        <v>27.11</v>
      </c>
      <c r="Y29">
        <v>49.99</v>
      </c>
      <c r="Z29">
        <v>41.69</v>
      </c>
      <c r="AA29">
        <v>82.57</v>
      </c>
      <c r="AB29">
        <v>57.11</v>
      </c>
      <c r="AC29">
        <v>41.96</v>
      </c>
      <c r="AD29">
        <v>611.38</v>
      </c>
      <c r="AE29">
        <v>671.29</v>
      </c>
      <c r="AF29">
        <v>44.98</v>
      </c>
      <c r="AG29">
        <v>58.35</v>
      </c>
      <c r="AH29">
        <v>48.54</v>
      </c>
      <c r="AI29">
        <v>51.1</v>
      </c>
    </row>
    <row r="30" spans="1:35" x14ac:dyDescent="0.45">
      <c r="A30" s="2">
        <v>45950</v>
      </c>
      <c r="B30">
        <v>33.64</v>
      </c>
      <c r="C30">
        <v>33.85</v>
      </c>
      <c r="D30">
        <v>17.82</v>
      </c>
      <c r="E30">
        <v>25.33</v>
      </c>
      <c r="F30">
        <v>33.49</v>
      </c>
      <c r="G30">
        <v>64</v>
      </c>
      <c r="H30">
        <v>25.82</v>
      </c>
      <c r="I30">
        <v>66.17</v>
      </c>
      <c r="J30">
        <v>65.94</v>
      </c>
      <c r="K30">
        <v>90.43</v>
      </c>
      <c r="L30">
        <v>30.22</v>
      </c>
      <c r="M30">
        <v>66.209999999999994</v>
      </c>
      <c r="N30">
        <v>62.99</v>
      </c>
      <c r="O30">
        <v>54.74</v>
      </c>
      <c r="P30">
        <v>64.12</v>
      </c>
      <c r="Q30">
        <v>19.135000000000002</v>
      </c>
      <c r="R30">
        <v>1284.47</v>
      </c>
      <c r="S30">
        <v>32.76</v>
      </c>
      <c r="T30">
        <v>19.57</v>
      </c>
      <c r="U30">
        <v>18.2</v>
      </c>
      <c r="V30">
        <v>40.89</v>
      </c>
      <c r="W30">
        <v>45.56</v>
      </c>
      <c r="X30">
        <v>27.26</v>
      </c>
      <c r="Y30">
        <v>50.72</v>
      </c>
      <c r="Z30">
        <v>41.88</v>
      </c>
      <c r="AA30">
        <v>83.54</v>
      </c>
      <c r="AB30">
        <v>57.68</v>
      </c>
      <c r="AC30">
        <v>42.16</v>
      </c>
      <c r="AD30">
        <v>611.54</v>
      </c>
      <c r="AE30">
        <v>671.3</v>
      </c>
      <c r="AF30">
        <v>45.2</v>
      </c>
      <c r="AG30">
        <v>58.85</v>
      </c>
      <c r="AH30">
        <v>48.09</v>
      </c>
      <c r="AI30">
        <v>51.24</v>
      </c>
    </row>
    <row r="31" spans="1:35" x14ac:dyDescent="0.45">
      <c r="A31" s="2">
        <v>45947</v>
      </c>
      <c r="B31">
        <v>33.61</v>
      </c>
      <c r="C31">
        <v>33.36</v>
      </c>
      <c r="D31">
        <v>17.3</v>
      </c>
      <c r="E31">
        <v>25.41</v>
      </c>
      <c r="F31">
        <v>32.92</v>
      </c>
      <c r="G31">
        <v>62.97</v>
      </c>
      <c r="H31">
        <v>25.7</v>
      </c>
      <c r="I31">
        <v>65.09</v>
      </c>
      <c r="J31">
        <v>66.13</v>
      </c>
      <c r="K31">
        <v>88.52</v>
      </c>
      <c r="L31">
        <v>29.71</v>
      </c>
      <c r="M31">
        <v>65.41</v>
      </c>
      <c r="N31">
        <v>62.75</v>
      </c>
      <c r="O31">
        <v>54.45</v>
      </c>
      <c r="P31">
        <v>63.31</v>
      </c>
      <c r="Q31">
        <v>19.085000000000001</v>
      </c>
      <c r="R31">
        <v>1274.6099999999999</v>
      </c>
      <c r="S31">
        <v>31.9</v>
      </c>
      <c r="T31">
        <v>19.63</v>
      </c>
      <c r="U31">
        <v>19.2</v>
      </c>
      <c r="V31">
        <v>40.78</v>
      </c>
      <c r="W31">
        <v>45.174999999999997</v>
      </c>
      <c r="X31">
        <v>26.92</v>
      </c>
      <c r="Y31">
        <v>50.28</v>
      </c>
      <c r="Z31">
        <v>41.38</v>
      </c>
      <c r="AA31">
        <v>82</v>
      </c>
      <c r="AB31">
        <v>57.78</v>
      </c>
      <c r="AC31">
        <v>42.07</v>
      </c>
      <c r="AD31">
        <v>603.92999999999995</v>
      </c>
      <c r="AE31">
        <v>664.39</v>
      </c>
      <c r="AF31">
        <v>45.23</v>
      </c>
      <c r="AG31">
        <v>58.65</v>
      </c>
      <c r="AH31">
        <v>47.79</v>
      </c>
      <c r="AI31">
        <v>50.77</v>
      </c>
    </row>
    <row r="32" spans="1:35" x14ac:dyDescent="0.45">
      <c r="A32" s="2">
        <v>45946</v>
      </c>
      <c r="B32">
        <v>34.020000000000003</v>
      </c>
      <c r="C32">
        <v>33.4</v>
      </c>
      <c r="D32">
        <v>17.36</v>
      </c>
      <c r="E32">
        <v>25.42</v>
      </c>
      <c r="F32">
        <v>32.83</v>
      </c>
      <c r="G32">
        <v>64.55</v>
      </c>
      <c r="H32">
        <v>25.58</v>
      </c>
      <c r="I32">
        <v>65.17</v>
      </c>
      <c r="J32">
        <v>67.05</v>
      </c>
      <c r="K32">
        <v>87.88</v>
      </c>
      <c r="L32">
        <v>29.24</v>
      </c>
      <c r="M32">
        <v>67.33</v>
      </c>
      <c r="N32">
        <v>63.87</v>
      </c>
      <c r="O32">
        <v>54.064999999999998</v>
      </c>
      <c r="P32">
        <v>63.4</v>
      </c>
      <c r="Q32">
        <v>19.1356</v>
      </c>
      <c r="R32">
        <v>1291.46</v>
      </c>
      <c r="S32">
        <v>32.340000000000003</v>
      </c>
      <c r="T32">
        <v>19.47</v>
      </c>
      <c r="U32">
        <v>19.64</v>
      </c>
      <c r="V32">
        <v>40.78</v>
      </c>
      <c r="W32">
        <v>45.42</v>
      </c>
      <c r="X32">
        <v>26.97</v>
      </c>
      <c r="Y32">
        <v>50.62</v>
      </c>
      <c r="Z32">
        <v>41.59</v>
      </c>
      <c r="AA32">
        <v>81.55</v>
      </c>
      <c r="AB32">
        <v>57.47</v>
      </c>
      <c r="AC32">
        <v>41.99</v>
      </c>
      <c r="AD32">
        <v>599.99</v>
      </c>
      <c r="AE32">
        <v>660.64</v>
      </c>
      <c r="AF32">
        <v>45.15</v>
      </c>
      <c r="AG32">
        <v>58.49</v>
      </c>
      <c r="AH32">
        <v>47.8</v>
      </c>
      <c r="AI32">
        <v>50.88</v>
      </c>
    </row>
    <row r="33" spans="1:35" x14ac:dyDescent="0.45">
      <c r="A33" s="2">
        <v>45945</v>
      </c>
      <c r="B33">
        <v>33.99</v>
      </c>
      <c r="C33">
        <v>33.409999999999997</v>
      </c>
      <c r="D33">
        <v>17.21</v>
      </c>
      <c r="E33">
        <v>25.44</v>
      </c>
      <c r="F33">
        <v>32.9</v>
      </c>
      <c r="G33">
        <v>64.099999999999994</v>
      </c>
      <c r="H33">
        <v>25.66</v>
      </c>
      <c r="I33">
        <v>64.989999999999995</v>
      </c>
      <c r="J33">
        <v>65.87</v>
      </c>
      <c r="K33">
        <v>85.17</v>
      </c>
      <c r="L33">
        <v>29.32</v>
      </c>
      <c r="M33">
        <v>66.03</v>
      </c>
      <c r="N33">
        <v>64.67</v>
      </c>
      <c r="O33">
        <v>53.76</v>
      </c>
      <c r="P33">
        <v>63.25</v>
      </c>
      <c r="Q33">
        <v>19.070699999999999</v>
      </c>
      <c r="R33">
        <v>1286.69</v>
      </c>
      <c r="S33">
        <v>32.56</v>
      </c>
      <c r="T33">
        <v>19.47</v>
      </c>
      <c r="U33">
        <v>19.420000000000002</v>
      </c>
      <c r="V33">
        <v>40.89</v>
      </c>
      <c r="W33">
        <v>45.14</v>
      </c>
      <c r="X33">
        <v>26.89</v>
      </c>
      <c r="Y33">
        <v>50.96</v>
      </c>
      <c r="Z33">
        <v>41.53</v>
      </c>
      <c r="AA33">
        <v>81.290000000000006</v>
      </c>
      <c r="AB33">
        <v>56.64</v>
      </c>
      <c r="AC33">
        <v>42.02</v>
      </c>
      <c r="AD33">
        <v>602.22</v>
      </c>
      <c r="AE33">
        <v>665.17</v>
      </c>
      <c r="AF33">
        <v>44.42</v>
      </c>
      <c r="AG33">
        <v>58.27</v>
      </c>
      <c r="AH33">
        <v>47.58</v>
      </c>
      <c r="AI33">
        <v>50.47</v>
      </c>
    </row>
    <row r="34" spans="1:35" x14ac:dyDescent="0.45">
      <c r="A34" s="2">
        <v>45944</v>
      </c>
      <c r="B34">
        <v>33.549999999999997</v>
      </c>
      <c r="C34">
        <v>32.799999999999997</v>
      </c>
      <c r="D34">
        <v>17.22</v>
      </c>
      <c r="E34">
        <v>25.45</v>
      </c>
      <c r="F34">
        <v>32.22</v>
      </c>
      <c r="G34">
        <v>63.3</v>
      </c>
      <c r="H34">
        <v>25.72</v>
      </c>
      <c r="I34">
        <v>63.7</v>
      </c>
      <c r="J34">
        <v>64.84</v>
      </c>
      <c r="K34">
        <v>82.69</v>
      </c>
      <c r="L34">
        <v>29.1</v>
      </c>
      <c r="M34">
        <v>65.31</v>
      </c>
      <c r="N34">
        <v>64.83</v>
      </c>
      <c r="O34">
        <v>52.78</v>
      </c>
      <c r="P34">
        <v>62.58</v>
      </c>
      <c r="Q34">
        <v>19.204999999999998</v>
      </c>
      <c r="R34">
        <v>1266.3800000000001</v>
      </c>
      <c r="S34">
        <v>32.35</v>
      </c>
      <c r="T34">
        <v>19.57</v>
      </c>
      <c r="U34">
        <v>19.690000000000001</v>
      </c>
      <c r="V34">
        <v>40.75</v>
      </c>
      <c r="W34">
        <v>45.066499999999998</v>
      </c>
      <c r="X34">
        <v>26.7</v>
      </c>
      <c r="Y34">
        <v>50.53</v>
      </c>
      <c r="Z34">
        <v>41.67</v>
      </c>
      <c r="AA34">
        <v>80.040000000000006</v>
      </c>
      <c r="AB34">
        <v>56.33</v>
      </c>
      <c r="AC34">
        <v>42.06</v>
      </c>
      <c r="AD34">
        <v>598</v>
      </c>
      <c r="AE34">
        <v>662.23</v>
      </c>
      <c r="AF34">
        <v>44.13</v>
      </c>
      <c r="AG34">
        <v>57.76</v>
      </c>
      <c r="AH34">
        <v>47.45</v>
      </c>
      <c r="AI34">
        <v>50.79</v>
      </c>
    </row>
    <row r="35" spans="1:35" x14ac:dyDescent="0.45">
      <c r="A35" s="2">
        <v>45943</v>
      </c>
      <c r="B35">
        <v>33.94</v>
      </c>
      <c r="C35">
        <v>32.119999999999997</v>
      </c>
      <c r="D35">
        <v>17.57</v>
      </c>
      <c r="E35">
        <v>25.3</v>
      </c>
      <c r="F35">
        <v>32.409999999999997</v>
      </c>
      <c r="G35">
        <v>63.41</v>
      </c>
      <c r="H35">
        <v>25.71</v>
      </c>
      <c r="I35">
        <v>64.56</v>
      </c>
      <c r="J35">
        <v>65.47</v>
      </c>
      <c r="K35">
        <v>83.62</v>
      </c>
      <c r="L35">
        <v>29.18</v>
      </c>
      <c r="M35">
        <v>66.010000000000005</v>
      </c>
      <c r="N35">
        <v>65.61</v>
      </c>
      <c r="O35">
        <v>52.97</v>
      </c>
      <c r="P35">
        <v>63.3</v>
      </c>
      <c r="Q35">
        <v>19.254999999999999</v>
      </c>
      <c r="R35">
        <v>1286.98</v>
      </c>
      <c r="S35">
        <v>33.04</v>
      </c>
      <c r="T35">
        <v>19.16</v>
      </c>
      <c r="U35">
        <v>19.59</v>
      </c>
      <c r="V35">
        <v>40.69</v>
      </c>
      <c r="W35">
        <v>45.45</v>
      </c>
      <c r="X35">
        <v>26.66</v>
      </c>
      <c r="Y35">
        <v>50.59</v>
      </c>
      <c r="Z35">
        <v>41.78</v>
      </c>
      <c r="AA35">
        <v>79.290000000000006</v>
      </c>
      <c r="AB35">
        <v>56.08</v>
      </c>
      <c r="AC35">
        <v>41.99</v>
      </c>
      <c r="AD35">
        <v>602.01</v>
      </c>
      <c r="AE35">
        <v>663.04</v>
      </c>
      <c r="AF35">
        <v>43.35</v>
      </c>
      <c r="AG35">
        <v>57.75</v>
      </c>
      <c r="AH35">
        <v>47.32</v>
      </c>
      <c r="AI35">
        <v>50.5</v>
      </c>
    </row>
    <row r="36" spans="1:35" x14ac:dyDescent="0.45">
      <c r="A36" s="2">
        <v>45940</v>
      </c>
      <c r="B36">
        <v>32.92</v>
      </c>
      <c r="C36">
        <v>31.5</v>
      </c>
      <c r="D36">
        <v>17.309999999999999</v>
      </c>
      <c r="E36">
        <v>24.87</v>
      </c>
      <c r="F36">
        <v>31.78</v>
      </c>
      <c r="G36">
        <v>60.91</v>
      </c>
      <c r="H36">
        <v>25.33</v>
      </c>
      <c r="I36">
        <v>61.62</v>
      </c>
      <c r="J36">
        <v>64.39</v>
      </c>
      <c r="K36">
        <v>80.72</v>
      </c>
      <c r="L36">
        <v>28.79</v>
      </c>
      <c r="M36">
        <v>63.32</v>
      </c>
      <c r="N36">
        <v>65.45</v>
      </c>
      <c r="O36">
        <v>52.77</v>
      </c>
      <c r="P36">
        <v>61.39</v>
      </c>
      <c r="Q36">
        <v>19.23</v>
      </c>
      <c r="R36">
        <v>1313.99</v>
      </c>
      <c r="S36">
        <v>32.840000000000003</v>
      </c>
      <c r="T36">
        <v>19</v>
      </c>
      <c r="U36">
        <v>18.98</v>
      </c>
      <c r="V36">
        <v>39.81</v>
      </c>
      <c r="W36">
        <v>45.805</v>
      </c>
      <c r="X36">
        <v>26.44</v>
      </c>
      <c r="Y36">
        <v>49.86</v>
      </c>
      <c r="Z36">
        <v>41.52</v>
      </c>
      <c r="AA36">
        <v>78.36</v>
      </c>
      <c r="AB36">
        <v>56.1</v>
      </c>
      <c r="AC36">
        <v>41.73</v>
      </c>
      <c r="AD36">
        <v>589.5</v>
      </c>
      <c r="AE36">
        <v>653.02</v>
      </c>
      <c r="AF36">
        <v>43.29</v>
      </c>
      <c r="AG36">
        <v>56.64</v>
      </c>
      <c r="AH36">
        <v>46.92</v>
      </c>
      <c r="AI36">
        <v>50.31</v>
      </c>
    </row>
    <row r="37" spans="1:35" x14ac:dyDescent="0.45">
      <c r="A37" s="2">
        <v>45939</v>
      </c>
      <c r="B37">
        <v>34.44</v>
      </c>
      <c r="C37">
        <v>32.520000000000003</v>
      </c>
      <c r="D37">
        <v>17.649999999999999</v>
      </c>
      <c r="E37">
        <v>25.2</v>
      </c>
      <c r="F37">
        <v>32.28</v>
      </c>
      <c r="G37">
        <v>62.65</v>
      </c>
      <c r="H37">
        <v>25.98</v>
      </c>
      <c r="I37">
        <v>64.83</v>
      </c>
      <c r="J37">
        <v>65.42</v>
      </c>
      <c r="K37">
        <v>83.43</v>
      </c>
      <c r="L37">
        <v>29.67</v>
      </c>
      <c r="M37">
        <v>65.06</v>
      </c>
      <c r="N37">
        <v>65.7</v>
      </c>
      <c r="O37">
        <v>52.81</v>
      </c>
      <c r="P37">
        <v>65.12</v>
      </c>
      <c r="Q37">
        <v>19.329999999999998</v>
      </c>
      <c r="R37">
        <v>1304.92</v>
      </c>
      <c r="S37">
        <v>33.369999999999997</v>
      </c>
      <c r="T37">
        <v>19.25</v>
      </c>
      <c r="U37">
        <v>18.75</v>
      </c>
      <c r="V37">
        <v>40.68</v>
      </c>
      <c r="W37">
        <v>46.575000000000003</v>
      </c>
      <c r="X37">
        <v>26.92</v>
      </c>
      <c r="Y37">
        <v>50.53</v>
      </c>
      <c r="Z37">
        <v>42.09</v>
      </c>
      <c r="AA37">
        <v>81.55</v>
      </c>
      <c r="AB37">
        <v>56.36</v>
      </c>
      <c r="AC37">
        <v>42.07</v>
      </c>
      <c r="AD37">
        <v>610.70000000000005</v>
      </c>
      <c r="AE37">
        <v>671.16</v>
      </c>
      <c r="AF37">
        <v>43.89</v>
      </c>
      <c r="AG37">
        <v>57.89</v>
      </c>
      <c r="AH37">
        <v>47.2</v>
      </c>
      <c r="AI37">
        <v>51.13</v>
      </c>
    </row>
    <row r="38" spans="1:35" x14ac:dyDescent="0.45">
      <c r="A38" s="2">
        <v>45938</v>
      </c>
      <c r="B38">
        <v>34.21</v>
      </c>
      <c r="C38">
        <v>32.79</v>
      </c>
      <c r="D38">
        <v>17.45</v>
      </c>
      <c r="E38">
        <v>25.67</v>
      </c>
      <c r="F38">
        <v>32.619999999999997</v>
      </c>
      <c r="G38">
        <v>63.53</v>
      </c>
      <c r="H38">
        <v>26.02</v>
      </c>
      <c r="I38">
        <v>65.650000000000006</v>
      </c>
      <c r="J38">
        <v>65.73</v>
      </c>
      <c r="K38">
        <v>84.19</v>
      </c>
      <c r="L38">
        <v>29.87</v>
      </c>
      <c r="M38">
        <v>66.8</v>
      </c>
      <c r="N38">
        <v>65.62</v>
      </c>
      <c r="O38">
        <v>52.63</v>
      </c>
      <c r="P38">
        <v>66.13</v>
      </c>
      <c r="Q38">
        <v>19.309999999999999</v>
      </c>
      <c r="R38">
        <v>1305.24</v>
      </c>
      <c r="S38">
        <v>33.615000000000002</v>
      </c>
      <c r="T38">
        <v>19.29</v>
      </c>
      <c r="U38">
        <v>18.43</v>
      </c>
      <c r="V38">
        <v>40.549999999999997</v>
      </c>
      <c r="W38">
        <v>47.094999999999999</v>
      </c>
      <c r="X38">
        <v>27.23</v>
      </c>
      <c r="Y38">
        <v>51.14</v>
      </c>
      <c r="Z38">
        <v>42.34</v>
      </c>
      <c r="AA38">
        <v>81.75</v>
      </c>
      <c r="AB38">
        <v>56.83</v>
      </c>
      <c r="AC38">
        <v>42.68</v>
      </c>
      <c r="AD38">
        <v>611.44000000000005</v>
      </c>
      <c r="AE38">
        <v>673.11</v>
      </c>
      <c r="AF38">
        <v>44.3</v>
      </c>
      <c r="AG38">
        <v>58.41</v>
      </c>
      <c r="AH38">
        <v>47.88</v>
      </c>
      <c r="AI38">
        <v>52.29</v>
      </c>
    </row>
    <row r="39" spans="1:35" x14ac:dyDescent="0.45">
      <c r="A39" s="2">
        <v>45937</v>
      </c>
      <c r="B39">
        <v>34.26</v>
      </c>
      <c r="C39">
        <v>32.270000000000003</v>
      </c>
      <c r="D39">
        <v>17.43</v>
      </c>
      <c r="E39">
        <v>25.36</v>
      </c>
      <c r="F39">
        <v>32.58</v>
      </c>
      <c r="G39">
        <v>61.87</v>
      </c>
      <c r="H39">
        <v>25.99</v>
      </c>
      <c r="I39">
        <v>64.81</v>
      </c>
      <c r="J39">
        <v>65.040000000000006</v>
      </c>
      <c r="K39">
        <v>83.35</v>
      </c>
      <c r="L39">
        <v>29.68</v>
      </c>
      <c r="M39">
        <v>64.790000000000006</v>
      </c>
      <c r="N39">
        <v>65.33</v>
      </c>
      <c r="O39">
        <v>52.88</v>
      </c>
      <c r="P39">
        <v>65.81</v>
      </c>
      <c r="Q39">
        <v>19.260000000000002</v>
      </c>
      <c r="R39">
        <v>1285.6400000000001</v>
      </c>
      <c r="S39">
        <v>33.69</v>
      </c>
      <c r="T39">
        <v>19.13</v>
      </c>
      <c r="U39">
        <v>18.23</v>
      </c>
      <c r="V39">
        <v>40.590000000000003</v>
      </c>
      <c r="W39">
        <v>47.05</v>
      </c>
      <c r="X39">
        <v>27.14</v>
      </c>
      <c r="Y39">
        <v>50.94</v>
      </c>
      <c r="Z39">
        <v>42.07</v>
      </c>
      <c r="AA39">
        <v>81.96</v>
      </c>
      <c r="AB39">
        <v>56.55</v>
      </c>
      <c r="AC39">
        <v>42.45</v>
      </c>
      <c r="AD39">
        <v>604.51</v>
      </c>
      <c r="AE39">
        <v>669.12</v>
      </c>
      <c r="AF39">
        <v>43.79</v>
      </c>
      <c r="AG39">
        <v>58.56</v>
      </c>
      <c r="AH39">
        <v>47.82</v>
      </c>
      <c r="AI39">
        <v>51.94</v>
      </c>
    </row>
    <row r="40" spans="1:35" x14ac:dyDescent="0.45">
      <c r="A40" s="2">
        <v>45936</v>
      </c>
      <c r="B40">
        <v>34.369999999999997</v>
      </c>
      <c r="C40">
        <v>32.049999999999997</v>
      </c>
      <c r="D40">
        <v>17.420000000000002</v>
      </c>
      <c r="E40">
        <v>25.1</v>
      </c>
      <c r="F40">
        <v>32.51</v>
      </c>
      <c r="G40">
        <v>62.71</v>
      </c>
      <c r="H40">
        <v>26.09</v>
      </c>
      <c r="I40">
        <v>65.03</v>
      </c>
      <c r="J40">
        <v>65.44</v>
      </c>
      <c r="K40">
        <v>84.78</v>
      </c>
      <c r="L40">
        <v>30.31</v>
      </c>
      <c r="M40">
        <v>65.319999999999993</v>
      </c>
      <c r="N40">
        <v>65.38</v>
      </c>
      <c r="O40">
        <v>52.76</v>
      </c>
      <c r="P40">
        <v>66.64</v>
      </c>
      <c r="Q40">
        <v>19.215</v>
      </c>
      <c r="R40">
        <v>1293.6099999999999</v>
      </c>
      <c r="S40">
        <v>33.47</v>
      </c>
      <c r="T40">
        <v>19.04</v>
      </c>
      <c r="U40">
        <v>18.434999999999999</v>
      </c>
      <c r="V40">
        <v>40.770000000000003</v>
      </c>
      <c r="W40">
        <v>47.134999999999998</v>
      </c>
      <c r="X40">
        <v>27.36</v>
      </c>
      <c r="Y40">
        <v>51.3</v>
      </c>
      <c r="Z40">
        <v>42.42</v>
      </c>
      <c r="AA40">
        <v>83.27</v>
      </c>
      <c r="AB40">
        <v>56.72</v>
      </c>
      <c r="AC40">
        <v>42.58</v>
      </c>
      <c r="AD40">
        <v>607.71</v>
      </c>
      <c r="AE40">
        <v>671.61</v>
      </c>
      <c r="AF40">
        <v>44.19</v>
      </c>
      <c r="AG40">
        <v>59.68</v>
      </c>
      <c r="AH40">
        <v>48.26</v>
      </c>
      <c r="AI40">
        <v>52.26</v>
      </c>
    </row>
    <row r="41" spans="1:35" x14ac:dyDescent="0.45">
      <c r="A41" s="2">
        <v>45933</v>
      </c>
      <c r="B41">
        <v>34.39</v>
      </c>
      <c r="C41">
        <v>32.32</v>
      </c>
      <c r="D41">
        <v>17.43</v>
      </c>
      <c r="E41">
        <v>25.59</v>
      </c>
      <c r="F41">
        <v>32.92</v>
      </c>
      <c r="G41">
        <v>62.31</v>
      </c>
      <c r="H41">
        <v>26.2</v>
      </c>
      <c r="I41">
        <v>64.64</v>
      </c>
      <c r="J41">
        <v>66.81</v>
      </c>
      <c r="K41">
        <v>83.85</v>
      </c>
      <c r="L41">
        <v>30.33</v>
      </c>
      <c r="M41">
        <v>65.06</v>
      </c>
      <c r="N41">
        <v>66.17</v>
      </c>
      <c r="O41">
        <v>52.45</v>
      </c>
      <c r="P41">
        <v>66.55</v>
      </c>
      <c r="Q41">
        <v>19.295000000000002</v>
      </c>
      <c r="R41">
        <v>1288.29</v>
      </c>
      <c r="S41">
        <v>33.74</v>
      </c>
      <c r="T41">
        <v>19.11</v>
      </c>
      <c r="U41">
        <v>17.53</v>
      </c>
      <c r="V41">
        <v>40.49</v>
      </c>
      <c r="W41">
        <v>47.188299999999998</v>
      </c>
      <c r="X41">
        <v>27.43</v>
      </c>
      <c r="Y41">
        <v>51.24</v>
      </c>
      <c r="Z41">
        <v>42.43</v>
      </c>
      <c r="AA41">
        <v>81.78</v>
      </c>
      <c r="AB41">
        <v>56.66</v>
      </c>
      <c r="AC41">
        <v>42.64</v>
      </c>
      <c r="AD41">
        <v>603.17999999999995</v>
      </c>
      <c r="AE41">
        <v>669.21</v>
      </c>
      <c r="AF41">
        <v>44.91</v>
      </c>
      <c r="AG41">
        <v>59.62</v>
      </c>
      <c r="AH41">
        <v>48.2</v>
      </c>
      <c r="AI41">
        <v>52.61</v>
      </c>
    </row>
    <row r="42" spans="1:35" x14ac:dyDescent="0.45">
      <c r="A42" s="2">
        <v>45932</v>
      </c>
      <c r="B42">
        <v>34.5182</v>
      </c>
      <c r="C42">
        <v>32.4</v>
      </c>
      <c r="D42">
        <v>17.440000000000001</v>
      </c>
      <c r="E42">
        <v>25.22</v>
      </c>
      <c r="F42">
        <v>32.81</v>
      </c>
      <c r="G42">
        <v>61.33</v>
      </c>
      <c r="H42">
        <v>26.27</v>
      </c>
      <c r="I42">
        <v>64</v>
      </c>
      <c r="J42">
        <v>66.900000000000006</v>
      </c>
      <c r="K42">
        <v>83.53</v>
      </c>
      <c r="L42">
        <v>30.24</v>
      </c>
      <c r="M42">
        <v>64.209999999999994</v>
      </c>
      <c r="N42">
        <v>65.25</v>
      </c>
      <c r="O42">
        <v>52.3</v>
      </c>
      <c r="P42">
        <v>66.989999999999995</v>
      </c>
      <c r="Q42">
        <v>19.274999999999999</v>
      </c>
      <c r="R42">
        <v>1275.03</v>
      </c>
      <c r="S42">
        <v>34.450000000000003</v>
      </c>
      <c r="T42">
        <v>19.079999999999998</v>
      </c>
      <c r="U42">
        <v>17.515000000000001</v>
      </c>
      <c r="V42">
        <v>40.479999999999997</v>
      </c>
      <c r="W42">
        <v>46.68</v>
      </c>
      <c r="X42">
        <v>27.18</v>
      </c>
      <c r="Y42">
        <v>50.59</v>
      </c>
      <c r="Z42">
        <v>42.47</v>
      </c>
      <c r="AA42">
        <v>80.150000000000006</v>
      </c>
      <c r="AB42">
        <v>56.25</v>
      </c>
      <c r="AC42">
        <v>42.26</v>
      </c>
      <c r="AD42">
        <v>605.73</v>
      </c>
      <c r="AE42">
        <v>669.22</v>
      </c>
      <c r="AF42">
        <v>44.77</v>
      </c>
      <c r="AG42">
        <v>59.51</v>
      </c>
      <c r="AH42">
        <v>47.94</v>
      </c>
      <c r="AI42">
        <v>52.33</v>
      </c>
    </row>
    <row r="43" spans="1:35" x14ac:dyDescent="0.45">
      <c r="A43" s="2">
        <v>45931</v>
      </c>
      <c r="B43">
        <v>34.369500000000002</v>
      </c>
      <c r="C43">
        <v>32.71</v>
      </c>
      <c r="D43">
        <v>17.46</v>
      </c>
      <c r="E43">
        <v>25.2</v>
      </c>
      <c r="F43">
        <v>32.6</v>
      </c>
      <c r="G43">
        <v>61.05</v>
      </c>
      <c r="H43">
        <v>26.21</v>
      </c>
      <c r="I43">
        <v>64.14</v>
      </c>
      <c r="J43">
        <v>66.78</v>
      </c>
      <c r="K43">
        <v>81.89</v>
      </c>
      <c r="L43">
        <v>30.58</v>
      </c>
      <c r="M43">
        <v>64.75</v>
      </c>
      <c r="N43">
        <v>65.56</v>
      </c>
      <c r="O43">
        <v>52.39</v>
      </c>
      <c r="P43">
        <v>66.25</v>
      </c>
      <c r="Q43">
        <v>19.39</v>
      </c>
      <c r="R43">
        <v>1274.17</v>
      </c>
      <c r="S43">
        <v>34.96</v>
      </c>
      <c r="T43">
        <v>18.989999999999998</v>
      </c>
      <c r="U43">
        <v>18.04</v>
      </c>
      <c r="V43">
        <v>40.25</v>
      </c>
      <c r="W43">
        <v>46.711599999999997</v>
      </c>
      <c r="X43">
        <v>27.15</v>
      </c>
      <c r="Y43">
        <v>50.57</v>
      </c>
      <c r="Z43">
        <v>42.13</v>
      </c>
      <c r="AA43">
        <v>80.209999999999994</v>
      </c>
      <c r="AB43">
        <v>55.94</v>
      </c>
      <c r="AC43">
        <v>42.5</v>
      </c>
      <c r="AD43">
        <v>603.25</v>
      </c>
      <c r="AE43">
        <v>668.45</v>
      </c>
      <c r="AF43">
        <v>44.49</v>
      </c>
      <c r="AG43">
        <v>58.84</v>
      </c>
      <c r="AH43">
        <v>47.61</v>
      </c>
      <c r="AI43">
        <v>52.41</v>
      </c>
    </row>
    <row r="44" spans="1:35" x14ac:dyDescent="0.45">
      <c r="A44" s="2">
        <v>45930</v>
      </c>
      <c r="B44">
        <v>34.340000000000003</v>
      </c>
      <c r="C44">
        <v>32.96</v>
      </c>
      <c r="D44">
        <v>17.55</v>
      </c>
      <c r="E44">
        <v>24.84</v>
      </c>
      <c r="F44">
        <v>32.200000000000003</v>
      </c>
      <c r="G44">
        <v>61.5</v>
      </c>
      <c r="H44">
        <v>25.92</v>
      </c>
      <c r="I44">
        <v>63.62</v>
      </c>
      <c r="J44">
        <v>68.209999999999994</v>
      </c>
      <c r="K44">
        <v>80.099999999999994</v>
      </c>
      <c r="L44">
        <v>31</v>
      </c>
      <c r="M44">
        <v>64.099999999999994</v>
      </c>
      <c r="N44">
        <v>64.400000000000006</v>
      </c>
      <c r="O44">
        <v>52.06</v>
      </c>
      <c r="P44">
        <v>65.849999999999994</v>
      </c>
      <c r="Q44">
        <v>19.53</v>
      </c>
      <c r="R44">
        <v>1288.07</v>
      </c>
      <c r="S44">
        <v>34.229999999999997</v>
      </c>
      <c r="T44">
        <v>18.89</v>
      </c>
      <c r="U44">
        <v>17.84</v>
      </c>
      <c r="V44">
        <v>40.58</v>
      </c>
      <c r="W44">
        <v>45.933399999999999</v>
      </c>
      <c r="X44">
        <v>27</v>
      </c>
      <c r="Y44">
        <v>50.55</v>
      </c>
      <c r="Z44">
        <v>41.61</v>
      </c>
      <c r="AA44">
        <v>80.209999999999994</v>
      </c>
      <c r="AB44">
        <v>55.24</v>
      </c>
      <c r="AC44">
        <v>41.97</v>
      </c>
      <c r="AD44">
        <v>600.37</v>
      </c>
      <c r="AE44">
        <v>666.18</v>
      </c>
      <c r="AF44">
        <v>43.93</v>
      </c>
      <c r="AG44">
        <v>58.01</v>
      </c>
      <c r="AH44">
        <v>47.2</v>
      </c>
      <c r="AI44">
        <v>51.95</v>
      </c>
    </row>
    <row r="45" spans="1:35" x14ac:dyDescent="0.45">
      <c r="A45" s="2">
        <v>45929</v>
      </c>
      <c r="B45">
        <v>34.200000000000003</v>
      </c>
      <c r="C45">
        <v>32.85</v>
      </c>
      <c r="D45">
        <v>17.690000000000001</v>
      </c>
      <c r="E45">
        <v>25.04</v>
      </c>
      <c r="F45">
        <v>32.11</v>
      </c>
      <c r="G45">
        <v>60.803600000000003</v>
      </c>
      <c r="H45">
        <v>25.78</v>
      </c>
      <c r="I45">
        <v>63.08</v>
      </c>
      <c r="J45">
        <v>67.459999999999994</v>
      </c>
      <c r="K45">
        <v>80.239999999999995</v>
      </c>
      <c r="L45">
        <v>30.99</v>
      </c>
      <c r="M45">
        <v>63.42</v>
      </c>
      <c r="N45">
        <v>64.27</v>
      </c>
      <c r="O45">
        <v>52.16</v>
      </c>
      <c r="P45">
        <v>65.53</v>
      </c>
      <c r="Q45">
        <v>19.425000000000001</v>
      </c>
      <c r="R45">
        <v>1278.74</v>
      </c>
      <c r="S45">
        <v>34.57</v>
      </c>
      <c r="T45">
        <v>18.82</v>
      </c>
      <c r="U45">
        <v>17.690000000000001</v>
      </c>
      <c r="V45">
        <v>40.15</v>
      </c>
      <c r="W45">
        <v>45.484999999999999</v>
      </c>
      <c r="X45">
        <v>26.98</v>
      </c>
      <c r="Y45">
        <v>50.46</v>
      </c>
      <c r="Z45">
        <v>41.31</v>
      </c>
      <c r="AA45">
        <v>80.510000000000005</v>
      </c>
      <c r="AB45">
        <v>54.57</v>
      </c>
      <c r="AC45">
        <v>41.63</v>
      </c>
      <c r="AD45">
        <v>598.73</v>
      </c>
      <c r="AE45">
        <v>663.68</v>
      </c>
      <c r="AF45">
        <v>43.78</v>
      </c>
      <c r="AG45">
        <v>57.67</v>
      </c>
      <c r="AH45">
        <v>47.22</v>
      </c>
      <c r="AI45">
        <v>51.5</v>
      </c>
    </row>
    <row r="46" spans="1:35" x14ac:dyDescent="0.45">
      <c r="A46" s="2">
        <v>45926</v>
      </c>
      <c r="B46">
        <v>33.54</v>
      </c>
      <c r="C46">
        <v>33.17</v>
      </c>
      <c r="D46">
        <v>17.600000000000001</v>
      </c>
      <c r="E46">
        <v>25.12</v>
      </c>
      <c r="F46">
        <v>32.17</v>
      </c>
      <c r="G46">
        <v>59.3</v>
      </c>
      <c r="H46">
        <v>25.73</v>
      </c>
      <c r="I46">
        <v>62.74</v>
      </c>
      <c r="J46">
        <v>67.14</v>
      </c>
      <c r="K46">
        <v>78.87</v>
      </c>
      <c r="L46">
        <v>30.73</v>
      </c>
      <c r="M46">
        <v>63.3</v>
      </c>
      <c r="N46">
        <v>63.82</v>
      </c>
      <c r="O46">
        <v>52.25</v>
      </c>
      <c r="P46">
        <v>64.319999999999993</v>
      </c>
      <c r="Q46">
        <v>19.420000000000002</v>
      </c>
      <c r="R46">
        <v>1288.26</v>
      </c>
      <c r="S46">
        <v>34.770000000000003</v>
      </c>
      <c r="T46">
        <v>18.98</v>
      </c>
      <c r="U46">
        <v>17.55</v>
      </c>
      <c r="V46">
        <v>39.950000000000003</v>
      </c>
      <c r="W46">
        <v>45.365000000000002</v>
      </c>
      <c r="X46">
        <v>26.67</v>
      </c>
      <c r="Y46">
        <v>50.02</v>
      </c>
      <c r="Z46">
        <v>41.2</v>
      </c>
      <c r="AA46">
        <v>80.44</v>
      </c>
      <c r="AB46">
        <v>54.26</v>
      </c>
      <c r="AC46">
        <v>41.58</v>
      </c>
      <c r="AD46">
        <v>595.97</v>
      </c>
      <c r="AE46">
        <v>661.82</v>
      </c>
      <c r="AF46">
        <v>43.59</v>
      </c>
      <c r="AG46">
        <v>57.12</v>
      </c>
      <c r="AH46">
        <v>47.2</v>
      </c>
      <c r="AI46">
        <v>51.54</v>
      </c>
    </row>
    <row r="47" spans="1:35" x14ac:dyDescent="0.45">
      <c r="A47" s="2">
        <v>45925</v>
      </c>
      <c r="B47">
        <v>33.880000000000003</v>
      </c>
      <c r="C47">
        <v>33.21</v>
      </c>
      <c r="D47">
        <v>17.41</v>
      </c>
      <c r="E47">
        <v>25.09</v>
      </c>
      <c r="F47">
        <v>31.57</v>
      </c>
      <c r="G47">
        <v>59.78</v>
      </c>
      <c r="H47">
        <v>25.27</v>
      </c>
      <c r="I47">
        <v>63.06</v>
      </c>
      <c r="J47">
        <v>66.180000000000007</v>
      </c>
      <c r="K47">
        <v>79.89</v>
      </c>
      <c r="L47">
        <v>30.58</v>
      </c>
      <c r="M47">
        <v>61.67</v>
      </c>
      <c r="N47">
        <v>63.96</v>
      </c>
      <c r="O47">
        <v>52.49</v>
      </c>
      <c r="P47">
        <v>64.760000000000005</v>
      </c>
      <c r="Q47">
        <v>19.37</v>
      </c>
      <c r="R47">
        <v>1278.4100000000001</v>
      </c>
      <c r="S47">
        <v>35.19</v>
      </c>
      <c r="T47">
        <v>18.84</v>
      </c>
      <c r="U47">
        <v>17.670000000000002</v>
      </c>
      <c r="V47">
        <v>39.840000000000003</v>
      </c>
      <c r="W47">
        <v>45.196899999999999</v>
      </c>
      <c r="X47">
        <v>26.47</v>
      </c>
      <c r="Y47">
        <v>50.05</v>
      </c>
      <c r="Z47">
        <v>40.75</v>
      </c>
      <c r="AA47">
        <v>80.459999999999994</v>
      </c>
      <c r="AB47">
        <v>53.86</v>
      </c>
      <c r="AC47">
        <v>41.04</v>
      </c>
      <c r="AD47">
        <v>593.53</v>
      </c>
      <c r="AE47">
        <v>658.05</v>
      </c>
      <c r="AF47">
        <v>43.05</v>
      </c>
      <c r="AG47">
        <v>57.02</v>
      </c>
      <c r="AH47">
        <v>46.62</v>
      </c>
      <c r="AI47">
        <v>50.94</v>
      </c>
    </row>
    <row r="48" spans="1:35" x14ac:dyDescent="0.45">
      <c r="A48" s="2">
        <v>45924</v>
      </c>
      <c r="B48">
        <v>33.680599999999998</v>
      </c>
      <c r="C48">
        <v>33.630000000000003</v>
      </c>
      <c r="D48">
        <v>17.68</v>
      </c>
      <c r="E48">
        <v>25.69</v>
      </c>
      <c r="F48">
        <v>32.090000000000003</v>
      </c>
      <c r="G48">
        <v>59.89</v>
      </c>
      <c r="H48">
        <v>25.33</v>
      </c>
      <c r="I48">
        <v>63.57</v>
      </c>
      <c r="J48">
        <v>66.47</v>
      </c>
      <c r="K48">
        <v>80.040000000000006</v>
      </c>
      <c r="L48">
        <v>31.05</v>
      </c>
      <c r="M48">
        <v>61.97</v>
      </c>
      <c r="N48">
        <v>65</v>
      </c>
      <c r="O48">
        <v>52.74</v>
      </c>
      <c r="P48">
        <v>64.58</v>
      </c>
      <c r="Q48">
        <v>19.565000000000001</v>
      </c>
      <c r="R48">
        <v>1273.2</v>
      </c>
      <c r="S48">
        <v>35.299999999999997</v>
      </c>
      <c r="T48">
        <v>18.68</v>
      </c>
      <c r="U48">
        <v>17.579999999999998</v>
      </c>
      <c r="V48">
        <v>40.54</v>
      </c>
      <c r="W48">
        <v>45.596299999999999</v>
      </c>
      <c r="X48">
        <v>26.47</v>
      </c>
      <c r="Y48">
        <v>50.24</v>
      </c>
      <c r="Z48">
        <v>41.24</v>
      </c>
      <c r="AA48">
        <v>80.849999999999994</v>
      </c>
      <c r="AB48">
        <v>54.51</v>
      </c>
      <c r="AC48">
        <v>41.35</v>
      </c>
      <c r="AD48">
        <v>596.1</v>
      </c>
      <c r="AE48">
        <v>661.1</v>
      </c>
      <c r="AF48">
        <v>43.41</v>
      </c>
      <c r="AG48">
        <v>57.27</v>
      </c>
      <c r="AH48">
        <v>47.01</v>
      </c>
      <c r="AI48">
        <v>51.29</v>
      </c>
    </row>
    <row r="49" spans="1:35" x14ac:dyDescent="0.45">
      <c r="A49" s="2">
        <v>45923</v>
      </c>
      <c r="B49">
        <v>33.47</v>
      </c>
      <c r="C49">
        <v>33.68</v>
      </c>
      <c r="D49">
        <v>17.760000000000002</v>
      </c>
      <c r="E49">
        <v>26.16</v>
      </c>
      <c r="F49">
        <v>32.04</v>
      </c>
      <c r="G49">
        <v>58.88</v>
      </c>
      <c r="H49">
        <v>25.74</v>
      </c>
      <c r="I49">
        <v>64.290000000000006</v>
      </c>
      <c r="J49">
        <v>67.430000000000007</v>
      </c>
      <c r="K49">
        <v>81.45</v>
      </c>
      <c r="L49">
        <v>31.32</v>
      </c>
      <c r="M49">
        <v>62.87</v>
      </c>
      <c r="N49">
        <v>65.23</v>
      </c>
      <c r="O49">
        <v>53.06</v>
      </c>
      <c r="P49">
        <v>63.66</v>
      </c>
      <c r="Q49">
        <v>19.785</v>
      </c>
      <c r="R49">
        <v>1282.54</v>
      </c>
      <c r="S49">
        <v>35.06</v>
      </c>
      <c r="T49">
        <v>19.14</v>
      </c>
      <c r="U49">
        <v>17.29</v>
      </c>
      <c r="V49">
        <v>40.78</v>
      </c>
      <c r="W49">
        <v>45.865900000000003</v>
      </c>
      <c r="X49">
        <v>26.87</v>
      </c>
      <c r="Y49">
        <v>50.53</v>
      </c>
      <c r="Z49">
        <v>41.27</v>
      </c>
      <c r="AA49">
        <v>81.09</v>
      </c>
      <c r="AB49">
        <v>55.24</v>
      </c>
      <c r="AC49">
        <v>41.47</v>
      </c>
      <c r="AD49">
        <v>598.20000000000005</v>
      </c>
      <c r="AE49">
        <v>663.21</v>
      </c>
      <c r="AF49">
        <v>43.89</v>
      </c>
      <c r="AG49">
        <v>57.62</v>
      </c>
      <c r="AH49">
        <v>47.85</v>
      </c>
      <c r="AI49">
        <v>51.51</v>
      </c>
    </row>
    <row r="50" spans="1:35" x14ac:dyDescent="0.45">
      <c r="A50" s="2">
        <v>45922</v>
      </c>
      <c r="B50">
        <v>33.67</v>
      </c>
      <c r="C50">
        <v>33.5</v>
      </c>
      <c r="D50">
        <v>17.73</v>
      </c>
      <c r="E50">
        <v>26.6</v>
      </c>
      <c r="F50">
        <v>32</v>
      </c>
      <c r="G50">
        <v>58.59</v>
      </c>
      <c r="H50">
        <v>25.79</v>
      </c>
      <c r="I50">
        <v>64.02</v>
      </c>
      <c r="J50">
        <v>66.900000000000006</v>
      </c>
      <c r="K50">
        <v>81.56</v>
      </c>
      <c r="L50">
        <v>30.79</v>
      </c>
      <c r="M50">
        <v>62.46</v>
      </c>
      <c r="N50">
        <v>64.760000000000005</v>
      </c>
      <c r="O50">
        <v>53.5</v>
      </c>
      <c r="P50">
        <v>64.430000000000007</v>
      </c>
      <c r="Q50">
        <v>19.940000000000001</v>
      </c>
      <c r="R50">
        <v>1292.72</v>
      </c>
      <c r="S50">
        <v>35.58</v>
      </c>
      <c r="T50">
        <v>19.55</v>
      </c>
      <c r="U50">
        <v>17.53</v>
      </c>
      <c r="V50">
        <v>38.18</v>
      </c>
      <c r="W50">
        <v>46.287199999999999</v>
      </c>
      <c r="X50">
        <v>26.92</v>
      </c>
      <c r="Y50">
        <v>50.88</v>
      </c>
      <c r="Z50">
        <v>41.24</v>
      </c>
      <c r="AA50">
        <v>81.25</v>
      </c>
      <c r="AB50">
        <v>55.57</v>
      </c>
      <c r="AC50">
        <v>41.61</v>
      </c>
      <c r="AD50">
        <v>602.20000000000005</v>
      </c>
      <c r="AE50">
        <v>666.84</v>
      </c>
      <c r="AF50">
        <v>43.78</v>
      </c>
      <c r="AG50">
        <v>57.36</v>
      </c>
      <c r="AH50">
        <v>47.63</v>
      </c>
      <c r="AI50">
        <v>51.74</v>
      </c>
    </row>
    <row r="51" spans="1:35" x14ac:dyDescent="0.45">
      <c r="A51" s="2">
        <v>45919</v>
      </c>
      <c r="B51">
        <v>33.450000000000003</v>
      </c>
      <c r="C51">
        <v>33.590000000000003</v>
      </c>
      <c r="D51">
        <v>17.79</v>
      </c>
      <c r="E51">
        <v>26.8</v>
      </c>
      <c r="F51">
        <v>31.76</v>
      </c>
      <c r="G51">
        <v>57.811199999999999</v>
      </c>
      <c r="H51">
        <v>25.59</v>
      </c>
      <c r="I51">
        <v>63.38</v>
      </c>
      <c r="J51">
        <v>66.099999999999994</v>
      </c>
      <c r="K51">
        <v>80.05</v>
      </c>
      <c r="L51">
        <v>30.93</v>
      </c>
      <c r="M51">
        <v>62.54</v>
      </c>
      <c r="N51">
        <v>64.14</v>
      </c>
      <c r="O51">
        <v>53.94</v>
      </c>
      <c r="P51">
        <v>64.44</v>
      </c>
      <c r="Q51">
        <v>19.940000000000001</v>
      </c>
      <c r="R51">
        <v>1297.01</v>
      </c>
      <c r="S51">
        <v>35.380000000000003</v>
      </c>
      <c r="T51">
        <v>19.47</v>
      </c>
      <c r="U51">
        <v>17.68</v>
      </c>
      <c r="V51">
        <v>37.83</v>
      </c>
      <c r="W51">
        <v>46.41</v>
      </c>
      <c r="X51">
        <v>26.89</v>
      </c>
      <c r="Y51">
        <v>50.73</v>
      </c>
      <c r="Z51">
        <v>41.22</v>
      </c>
      <c r="AA51">
        <v>80.790000000000006</v>
      </c>
      <c r="AB51">
        <v>55.26</v>
      </c>
      <c r="AC51">
        <v>41.36</v>
      </c>
      <c r="AD51">
        <v>599.35</v>
      </c>
      <c r="AE51">
        <v>663.7</v>
      </c>
      <c r="AF51">
        <v>43.68</v>
      </c>
      <c r="AG51">
        <v>56.84</v>
      </c>
      <c r="AH51">
        <v>47.43</v>
      </c>
      <c r="AI51">
        <v>51.37</v>
      </c>
    </row>
    <row r="52" spans="1:35" x14ac:dyDescent="0.45">
      <c r="A52" s="2">
        <v>45918</v>
      </c>
      <c r="B52">
        <v>33.479999999999997</v>
      </c>
      <c r="C52">
        <v>33.6</v>
      </c>
      <c r="D52">
        <v>17.72</v>
      </c>
      <c r="E52">
        <v>26.46</v>
      </c>
      <c r="F52">
        <v>32.07</v>
      </c>
      <c r="G52">
        <v>57.14</v>
      </c>
      <c r="H52">
        <v>25.6</v>
      </c>
      <c r="I52">
        <v>63.77</v>
      </c>
      <c r="J52">
        <v>65.95</v>
      </c>
      <c r="K52">
        <v>80.75</v>
      </c>
      <c r="L52">
        <v>30.82</v>
      </c>
      <c r="M52">
        <v>61.48</v>
      </c>
      <c r="N52">
        <v>64.3</v>
      </c>
      <c r="O52">
        <v>53.74</v>
      </c>
      <c r="P52">
        <v>64.75</v>
      </c>
      <c r="Q52">
        <v>19.940000000000001</v>
      </c>
      <c r="R52">
        <v>1306.69</v>
      </c>
      <c r="S52">
        <v>34.35</v>
      </c>
      <c r="T52">
        <v>19.36</v>
      </c>
      <c r="U52">
        <v>17.8</v>
      </c>
      <c r="V52">
        <v>37.770000000000003</v>
      </c>
      <c r="W52">
        <v>46.255000000000003</v>
      </c>
      <c r="X52">
        <v>26.89</v>
      </c>
      <c r="Y52">
        <v>50.18</v>
      </c>
      <c r="Z52">
        <v>41.45</v>
      </c>
      <c r="AA52">
        <v>81.489999999999995</v>
      </c>
      <c r="AB52">
        <v>55.21</v>
      </c>
      <c r="AC52">
        <v>41.66</v>
      </c>
      <c r="AD52">
        <v>595.32000000000005</v>
      </c>
      <c r="AE52">
        <v>662.26</v>
      </c>
      <c r="AF52">
        <v>43.84</v>
      </c>
      <c r="AG52">
        <v>56.97</v>
      </c>
      <c r="AH52">
        <v>47.56</v>
      </c>
      <c r="AI52">
        <v>51.44</v>
      </c>
    </row>
    <row r="53" spans="1:35" x14ac:dyDescent="0.45">
      <c r="A53" s="2">
        <v>45917</v>
      </c>
      <c r="B53">
        <v>33.96</v>
      </c>
      <c r="C53">
        <v>33.4</v>
      </c>
      <c r="D53">
        <v>17.98</v>
      </c>
      <c r="E53">
        <v>26.55</v>
      </c>
      <c r="F53">
        <v>32.32</v>
      </c>
      <c r="G53">
        <v>57.874499999999998</v>
      </c>
      <c r="H53">
        <v>25.95</v>
      </c>
      <c r="I53">
        <v>63.21</v>
      </c>
      <c r="J53">
        <v>66.53</v>
      </c>
      <c r="K53">
        <v>79.83</v>
      </c>
      <c r="L53">
        <v>30.94</v>
      </c>
      <c r="M53">
        <v>60.86</v>
      </c>
      <c r="N53">
        <v>64.099999999999994</v>
      </c>
      <c r="O53">
        <v>54.02</v>
      </c>
      <c r="P53">
        <v>65.8</v>
      </c>
      <c r="Q53">
        <v>19.850000000000001</v>
      </c>
      <c r="R53">
        <v>1308.19</v>
      </c>
      <c r="S53">
        <v>34.75</v>
      </c>
      <c r="T53">
        <v>19.16</v>
      </c>
      <c r="U53">
        <v>17.88</v>
      </c>
      <c r="V53">
        <v>37.43</v>
      </c>
      <c r="W53">
        <v>47.045000000000002</v>
      </c>
      <c r="X53">
        <v>27.14</v>
      </c>
      <c r="Y53">
        <v>49.98</v>
      </c>
      <c r="Z53">
        <v>41.06</v>
      </c>
      <c r="AA53">
        <v>81.17</v>
      </c>
      <c r="AB53">
        <v>55.29</v>
      </c>
      <c r="AC53">
        <v>41.79</v>
      </c>
      <c r="AD53">
        <v>590</v>
      </c>
      <c r="AE53">
        <v>659.18</v>
      </c>
      <c r="AF53">
        <v>43.53</v>
      </c>
      <c r="AG53">
        <v>55.8782</v>
      </c>
      <c r="AH53">
        <v>47.17</v>
      </c>
      <c r="AI53">
        <v>51.33</v>
      </c>
    </row>
    <row r="54" spans="1:35" x14ac:dyDescent="0.45">
      <c r="A54" s="2">
        <v>45916</v>
      </c>
      <c r="B54">
        <v>33.770000000000003</v>
      </c>
      <c r="C54">
        <v>33.76</v>
      </c>
      <c r="D54">
        <v>17.850000000000001</v>
      </c>
      <c r="E54">
        <v>26.22</v>
      </c>
      <c r="F54">
        <v>32.51</v>
      </c>
      <c r="G54">
        <v>57.915399999999998</v>
      </c>
      <c r="H54">
        <v>25.54</v>
      </c>
      <c r="I54">
        <v>63.32</v>
      </c>
      <c r="J54">
        <v>66.8</v>
      </c>
      <c r="K54">
        <v>80.69</v>
      </c>
      <c r="L54">
        <v>30.69</v>
      </c>
      <c r="M54">
        <v>61</v>
      </c>
      <c r="N54">
        <v>64.77</v>
      </c>
      <c r="O54">
        <v>53.87</v>
      </c>
      <c r="P54">
        <v>64.86</v>
      </c>
      <c r="Q54">
        <v>19.77</v>
      </c>
      <c r="R54">
        <v>1299.78</v>
      </c>
      <c r="S54">
        <v>34.82</v>
      </c>
      <c r="T54">
        <v>19.32</v>
      </c>
      <c r="U54">
        <v>18.059999999999999</v>
      </c>
      <c r="V54">
        <v>36.9</v>
      </c>
      <c r="W54">
        <v>47.020400000000002</v>
      </c>
      <c r="X54">
        <v>27.38</v>
      </c>
      <c r="Y54">
        <v>50.08</v>
      </c>
      <c r="Z54">
        <v>41.15</v>
      </c>
      <c r="AA54">
        <v>81.349999999999994</v>
      </c>
      <c r="AB54">
        <v>55.48</v>
      </c>
      <c r="AC54">
        <v>41.89</v>
      </c>
      <c r="AD54">
        <v>591.17999999999995</v>
      </c>
      <c r="AE54">
        <v>660</v>
      </c>
      <c r="AF54">
        <v>43.82</v>
      </c>
      <c r="AG54">
        <v>55.71</v>
      </c>
      <c r="AH54">
        <v>47.46</v>
      </c>
      <c r="AI54">
        <v>52.15</v>
      </c>
    </row>
    <row r="55" spans="1:35" x14ac:dyDescent="0.45">
      <c r="A55" s="2">
        <v>45915</v>
      </c>
      <c r="B55">
        <v>33.81</v>
      </c>
      <c r="C55">
        <v>33.799999999999997</v>
      </c>
      <c r="D55">
        <v>17.96</v>
      </c>
      <c r="E55">
        <v>25.71</v>
      </c>
      <c r="F55">
        <v>32.81</v>
      </c>
      <c r="G55">
        <v>58.435400000000001</v>
      </c>
      <c r="H55">
        <v>25.55</v>
      </c>
      <c r="I55">
        <v>63.02</v>
      </c>
      <c r="J55">
        <v>66.77</v>
      </c>
      <c r="K55">
        <v>79.19</v>
      </c>
      <c r="L55">
        <v>30.51</v>
      </c>
      <c r="M55">
        <v>60.93</v>
      </c>
      <c r="N55">
        <v>65.23</v>
      </c>
      <c r="O55">
        <v>53.43</v>
      </c>
      <c r="P55">
        <v>64.430000000000007</v>
      </c>
      <c r="Q55">
        <v>19.55</v>
      </c>
      <c r="R55">
        <v>1293.6199999999999</v>
      </c>
      <c r="S55">
        <v>34.24</v>
      </c>
      <c r="T55">
        <v>19.2</v>
      </c>
      <c r="U55">
        <v>18.399999999999999</v>
      </c>
      <c r="V55">
        <v>36.71</v>
      </c>
      <c r="W55">
        <v>47.107199999999999</v>
      </c>
      <c r="X55">
        <v>27.57</v>
      </c>
      <c r="Y55">
        <v>50.13</v>
      </c>
      <c r="Z55">
        <v>41.42</v>
      </c>
      <c r="AA55">
        <v>81.349999999999994</v>
      </c>
      <c r="AB55">
        <v>55.56</v>
      </c>
      <c r="AC55">
        <v>42.09</v>
      </c>
      <c r="AD55">
        <v>591.67999999999995</v>
      </c>
      <c r="AE55">
        <v>660.91</v>
      </c>
      <c r="AF55">
        <v>43.89</v>
      </c>
      <c r="AG55">
        <v>55.75</v>
      </c>
      <c r="AH55">
        <v>47.61</v>
      </c>
      <c r="AI55">
        <v>52.39</v>
      </c>
    </row>
    <row r="56" spans="1:35" x14ac:dyDescent="0.45">
      <c r="A56" s="2">
        <v>45912</v>
      </c>
      <c r="B56">
        <v>33.6</v>
      </c>
      <c r="C56">
        <v>33.22</v>
      </c>
      <c r="D56">
        <v>17.829999999999998</v>
      </c>
      <c r="E56">
        <v>25.8</v>
      </c>
      <c r="F56">
        <v>32.28</v>
      </c>
      <c r="G56">
        <v>57.768000000000001</v>
      </c>
      <c r="H56">
        <v>25.47</v>
      </c>
      <c r="I56">
        <v>62.83</v>
      </c>
      <c r="J56">
        <v>66.12</v>
      </c>
      <c r="K56">
        <v>78.66</v>
      </c>
      <c r="L56">
        <v>30.03</v>
      </c>
      <c r="M56">
        <v>60.57</v>
      </c>
      <c r="N56">
        <v>65.17</v>
      </c>
      <c r="O56">
        <v>53.15</v>
      </c>
      <c r="P56">
        <v>63.95</v>
      </c>
      <c r="Q56">
        <v>19.54</v>
      </c>
      <c r="R56">
        <v>1288.03</v>
      </c>
      <c r="S56">
        <v>32.270000000000003</v>
      </c>
      <c r="T56">
        <v>19.170000000000002</v>
      </c>
      <c r="U56">
        <v>17.97</v>
      </c>
      <c r="V56">
        <v>36.72</v>
      </c>
      <c r="W56">
        <v>46.74</v>
      </c>
      <c r="X56">
        <v>27.24</v>
      </c>
      <c r="Y56">
        <v>49.6</v>
      </c>
      <c r="Z56">
        <v>41.31</v>
      </c>
      <c r="AA56">
        <v>80.760000000000005</v>
      </c>
      <c r="AB56">
        <v>55.65</v>
      </c>
      <c r="AC56">
        <v>41.94</v>
      </c>
      <c r="AD56">
        <v>586.66</v>
      </c>
      <c r="AE56">
        <v>657.41</v>
      </c>
      <c r="AF56">
        <v>43.49</v>
      </c>
      <c r="AG56">
        <v>54.66</v>
      </c>
      <c r="AH56">
        <v>47.24</v>
      </c>
      <c r="AI56">
        <v>51.72</v>
      </c>
    </row>
    <row r="57" spans="1:35" x14ac:dyDescent="0.45">
      <c r="A57" s="2">
        <v>45911</v>
      </c>
      <c r="B57">
        <v>33.94</v>
      </c>
      <c r="C57">
        <v>34.020000000000003</v>
      </c>
      <c r="D57">
        <v>17.64</v>
      </c>
      <c r="E57">
        <v>26</v>
      </c>
      <c r="F57">
        <v>32.6</v>
      </c>
      <c r="G57">
        <v>57.547199999999997</v>
      </c>
      <c r="H57">
        <v>25.33</v>
      </c>
      <c r="I57">
        <v>62.74</v>
      </c>
      <c r="J57">
        <v>65.709999999999994</v>
      </c>
      <c r="K57">
        <v>77.86</v>
      </c>
      <c r="L57">
        <v>30.05</v>
      </c>
      <c r="M57">
        <v>60.56</v>
      </c>
      <c r="N57">
        <v>64.22</v>
      </c>
      <c r="O57">
        <v>53.24</v>
      </c>
      <c r="P57">
        <v>64.209999999999994</v>
      </c>
      <c r="Q57">
        <v>19.579999999999998</v>
      </c>
      <c r="R57">
        <v>1278.05</v>
      </c>
      <c r="S57">
        <v>32.32</v>
      </c>
      <c r="T57">
        <v>19.010000000000002</v>
      </c>
      <c r="U57">
        <v>18.03</v>
      </c>
      <c r="V57">
        <v>36.799999999999997</v>
      </c>
      <c r="W57">
        <v>47.225000000000001</v>
      </c>
      <c r="X57">
        <v>27.41</v>
      </c>
      <c r="Y57">
        <v>49.92</v>
      </c>
      <c r="Z57">
        <v>41.39</v>
      </c>
      <c r="AA57">
        <v>81.319999999999993</v>
      </c>
      <c r="AB57">
        <v>56.12</v>
      </c>
      <c r="AC57">
        <v>42.19</v>
      </c>
      <c r="AD57">
        <v>584.08000000000004</v>
      </c>
      <c r="AE57">
        <v>657.63</v>
      </c>
      <c r="AF57">
        <v>43.53</v>
      </c>
      <c r="AG57">
        <v>54.46</v>
      </c>
      <c r="AH57">
        <v>47.33</v>
      </c>
      <c r="AI57">
        <v>51.6</v>
      </c>
    </row>
    <row r="58" spans="1:35" x14ac:dyDescent="0.45">
      <c r="A58" s="2">
        <v>45910</v>
      </c>
      <c r="B58">
        <v>32.840000000000003</v>
      </c>
      <c r="C58">
        <v>32.89</v>
      </c>
      <c r="D58">
        <v>17.329999999999998</v>
      </c>
      <c r="E58">
        <v>25.92</v>
      </c>
      <c r="F58">
        <v>31.83</v>
      </c>
      <c r="G58">
        <v>56.45</v>
      </c>
      <c r="H58">
        <v>25.17</v>
      </c>
      <c r="I58">
        <v>62.56</v>
      </c>
      <c r="J58">
        <v>64.28</v>
      </c>
      <c r="K58">
        <v>76.650000000000006</v>
      </c>
      <c r="L58">
        <v>29.79</v>
      </c>
      <c r="M58">
        <v>59.73</v>
      </c>
      <c r="N58">
        <v>63.64</v>
      </c>
      <c r="O58">
        <v>53.16</v>
      </c>
      <c r="P58">
        <v>62.54</v>
      </c>
      <c r="Q58">
        <v>19.53</v>
      </c>
      <c r="R58">
        <v>1276.08</v>
      </c>
      <c r="S58">
        <v>32.92</v>
      </c>
      <c r="T58">
        <v>18.850000000000001</v>
      </c>
      <c r="U58">
        <v>17.75</v>
      </c>
      <c r="V58">
        <v>36.799999999999997</v>
      </c>
      <c r="W58">
        <v>46.85</v>
      </c>
      <c r="X58">
        <v>27.11</v>
      </c>
      <c r="Y58">
        <v>49.42</v>
      </c>
      <c r="Z58">
        <v>41.07</v>
      </c>
      <c r="AA58">
        <v>80.36</v>
      </c>
      <c r="AB58">
        <v>55.62</v>
      </c>
      <c r="AC58">
        <v>41.74</v>
      </c>
      <c r="AD58">
        <v>580.70000000000005</v>
      </c>
      <c r="AE58">
        <v>652.21</v>
      </c>
      <c r="AF58">
        <v>42.9</v>
      </c>
      <c r="AG58">
        <v>53.79</v>
      </c>
      <c r="AH58">
        <v>47.1</v>
      </c>
      <c r="AI58">
        <v>50.93</v>
      </c>
    </row>
    <row r="59" spans="1:35" x14ac:dyDescent="0.45">
      <c r="A59" s="2">
        <v>45909</v>
      </c>
      <c r="B59">
        <v>32.94</v>
      </c>
      <c r="C59">
        <v>32.695</v>
      </c>
      <c r="D59">
        <v>17.059999999999999</v>
      </c>
      <c r="E59">
        <v>26.09</v>
      </c>
      <c r="F59">
        <v>32.380000000000003</v>
      </c>
      <c r="G59">
        <v>56</v>
      </c>
      <c r="H59">
        <v>25.17</v>
      </c>
      <c r="I59">
        <v>61.62</v>
      </c>
      <c r="J59">
        <v>64.260000000000005</v>
      </c>
      <c r="K59">
        <v>74.92</v>
      </c>
      <c r="L59">
        <v>29.54</v>
      </c>
      <c r="M59">
        <v>59.03</v>
      </c>
      <c r="N59">
        <v>63.6</v>
      </c>
      <c r="O59">
        <v>52.71</v>
      </c>
      <c r="P59">
        <v>62.97</v>
      </c>
      <c r="Q59">
        <v>19.37</v>
      </c>
      <c r="R59">
        <v>1266.1099999999999</v>
      </c>
      <c r="S59">
        <v>32.68</v>
      </c>
      <c r="T59">
        <v>18.91</v>
      </c>
      <c r="U59">
        <v>17.670000000000002</v>
      </c>
      <c r="V59">
        <v>36.76</v>
      </c>
      <c r="W59">
        <v>46.655000000000001</v>
      </c>
      <c r="X59">
        <v>26.89</v>
      </c>
      <c r="Y59">
        <v>49.27</v>
      </c>
      <c r="Z59">
        <v>41.48</v>
      </c>
      <c r="AA59">
        <v>80.06</v>
      </c>
      <c r="AB59">
        <v>56.02</v>
      </c>
      <c r="AC59">
        <v>41.75</v>
      </c>
      <c r="AD59">
        <v>580.51</v>
      </c>
      <c r="AE59">
        <v>650.33000000000004</v>
      </c>
      <c r="AF59">
        <v>43.06</v>
      </c>
      <c r="AG59">
        <v>54.12</v>
      </c>
      <c r="AH59">
        <v>47.3</v>
      </c>
      <c r="AI59">
        <v>50.86</v>
      </c>
    </row>
    <row r="60" spans="1:35" x14ac:dyDescent="0.45">
      <c r="A60" s="2">
        <v>45908</v>
      </c>
      <c r="B60">
        <v>33.14</v>
      </c>
      <c r="C60">
        <v>33.229999999999997</v>
      </c>
      <c r="D60">
        <v>17.5</v>
      </c>
      <c r="E60">
        <v>26.09</v>
      </c>
      <c r="F60">
        <v>32.880000000000003</v>
      </c>
      <c r="G60">
        <v>56.647500000000001</v>
      </c>
      <c r="H60">
        <v>25.12</v>
      </c>
      <c r="I60">
        <v>60.98</v>
      </c>
      <c r="J60">
        <v>64.150000000000006</v>
      </c>
      <c r="K60">
        <v>74.19</v>
      </c>
      <c r="L60">
        <v>29.58</v>
      </c>
      <c r="M60">
        <v>59.34</v>
      </c>
      <c r="N60">
        <v>63.86</v>
      </c>
      <c r="O60">
        <v>52.89</v>
      </c>
      <c r="P60">
        <v>62.3</v>
      </c>
      <c r="Q60">
        <v>19.63</v>
      </c>
      <c r="R60">
        <v>1264.8</v>
      </c>
      <c r="S60">
        <v>32.54</v>
      </c>
      <c r="T60">
        <v>18.940000000000001</v>
      </c>
      <c r="U60">
        <v>17.37</v>
      </c>
      <c r="V60">
        <v>36.69</v>
      </c>
      <c r="W60">
        <v>46.74</v>
      </c>
      <c r="X60">
        <v>27</v>
      </c>
      <c r="Y60">
        <v>49.3</v>
      </c>
      <c r="Z60">
        <v>41.69</v>
      </c>
      <c r="AA60">
        <v>80.959999999999994</v>
      </c>
      <c r="AB60">
        <v>56.33</v>
      </c>
      <c r="AC60">
        <v>41.71</v>
      </c>
      <c r="AD60">
        <v>578.87</v>
      </c>
      <c r="AE60">
        <v>648.83000000000004</v>
      </c>
      <c r="AF60">
        <v>42.99</v>
      </c>
      <c r="AG60">
        <v>54.17</v>
      </c>
      <c r="AH60">
        <v>47.42</v>
      </c>
      <c r="AI60">
        <v>50.64</v>
      </c>
    </row>
    <row r="61" spans="1:35" x14ac:dyDescent="0.45">
      <c r="A61" s="2">
        <v>45905</v>
      </c>
      <c r="B61">
        <v>33.020000000000003</v>
      </c>
      <c r="C61">
        <v>33.83</v>
      </c>
      <c r="D61">
        <v>17.93</v>
      </c>
      <c r="E61">
        <v>26.06</v>
      </c>
      <c r="F61">
        <v>32.14</v>
      </c>
      <c r="G61">
        <v>56.5</v>
      </c>
      <c r="H61">
        <v>25.03</v>
      </c>
      <c r="I61">
        <v>60.21</v>
      </c>
      <c r="J61">
        <v>63.83</v>
      </c>
      <c r="K61">
        <v>73.63</v>
      </c>
      <c r="L61">
        <v>29.63</v>
      </c>
      <c r="M61">
        <v>57.92</v>
      </c>
      <c r="N61">
        <v>63.4</v>
      </c>
      <c r="O61">
        <v>52.48</v>
      </c>
      <c r="P61">
        <v>61.35</v>
      </c>
      <c r="Q61">
        <v>19.690000000000001</v>
      </c>
      <c r="R61">
        <v>1252.55</v>
      </c>
      <c r="S61">
        <v>33.33</v>
      </c>
      <c r="T61">
        <v>19.16</v>
      </c>
      <c r="U61">
        <v>17.97</v>
      </c>
      <c r="V61">
        <v>37.200000000000003</v>
      </c>
      <c r="W61">
        <v>46.13</v>
      </c>
      <c r="X61">
        <v>26.93</v>
      </c>
      <c r="Y61">
        <v>49.17</v>
      </c>
      <c r="Z61">
        <v>41.34</v>
      </c>
      <c r="AA61">
        <v>79.180000000000007</v>
      </c>
      <c r="AB61">
        <v>56.25</v>
      </c>
      <c r="AC61">
        <v>41.55</v>
      </c>
      <c r="AD61">
        <v>576.05999999999995</v>
      </c>
      <c r="AE61">
        <v>647.24</v>
      </c>
      <c r="AF61">
        <v>42.56</v>
      </c>
      <c r="AG61">
        <v>53.47</v>
      </c>
      <c r="AH61">
        <v>47.01</v>
      </c>
      <c r="AI61">
        <v>50.46</v>
      </c>
    </row>
    <row r="62" spans="1:35" x14ac:dyDescent="0.45">
      <c r="A62" s="2">
        <v>45904</v>
      </c>
      <c r="B62">
        <v>32.229999999999997</v>
      </c>
      <c r="C62">
        <v>33.4</v>
      </c>
      <c r="D62">
        <v>17.77</v>
      </c>
      <c r="E62">
        <v>25.78</v>
      </c>
      <c r="F62">
        <v>32.130000000000003</v>
      </c>
      <c r="G62">
        <v>55.73</v>
      </c>
      <c r="H62">
        <v>24.97</v>
      </c>
      <c r="I62">
        <v>59.3</v>
      </c>
      <c r="J62">
        <v>63.07</v>
      </c>
      <c r="K62">
        <v>73.069999999999993</v>
      </c>
      <c r="L62">
        <v>29.17</v>
      </c>
      <c r="M62">
        <v>56.57</v>
      </c>
      <c r="N62">
        <v>63.26</v>
      </c>
      <c r="O62">
        <v>52.59</v>
      </c>
      <c r="P62">
        <v>60.3</v>
      </c>
      <c r="Q62">
        <v>19.7</v>
      </c>
      <c r="R62">
        <v>1259.31</v>
      </c>
      <c r="S62">
        <v>33.729999999999997</v>
      </c>
      <c r="T62">
        <v>19.2</v>
      </c>
      <c r="U62">
        <v>18.43</v>
      </c>
      <c r="V62">
        <v>37.35</v>
      </c>
      <c r="W62">
        <v>45.37</v>
      </c>
      <c r="X62">
        <v>26.9</v>
      </c>
      <c r="Y62">
        <v>49.12</v>
      </c>
      <c r="Z62">
        <v>41.34</v>
      </c>
      <c r="AA62">
        <v>78.73</v>
      </c>
      <c r="AB62">
        <v>55.71</v>
      </c>
      <c r="AC62">
        <v>41.39</v>
      </c>
      <c r="AD62">
        <v>575.23</v>
      </c>
      <c r="AE62">
        <v>649.12</v>
      </c>
      <c r="AF62">
        <v>42.56</v>
      </c>
      <c r="AG62">
        <v>52.87</v>
      </c>
      <c r="AH62">
        <v>46.26</v>
      </c>
      <c r="AI62">
        <v>50.65</v>
      </c>
    </row>
    <row r="63" spans="1:35" x14ac:dyDescent="0.45">
      <c r="A63" s="2">
        <v>45903</v>
      </c>
      <c r="B63">
        <v>32.94</v>
      </c>
      <c r="C63">
        <v>33.049999999999997</v>
      </c>
      <c r="D63">
        <v>17.809999999999999</v>
      </c>
      <c r="E63">
        <v>25.58</v>
      </c>
      <c r="F63">
        <v>31.52</v>
      </c>
      <c r="G63">
        <v>56.01</v>
      </c>
      <c r="H63">
        <v>24.87</v>
      </c>
      <c r="I63">
        <v>58.73</v>
      </c>
      <c r="J63">
        <v>62.8</v>
      </c>
      <c r="K63">
        <v>72.91</v>
      </c>
      <c r="L63">
        <v>28.99</v>
      </c>
      <c r="M63">
        <v>57.7</v>
      </c>
      <c r="N63">
        <v>63.4</v>
      </c>
      <c r="O63">
        <v>52.62</v>
      </c>
      <c r="P63">
        <v>61.33</v>
      </c>
      <c r="Q63">
        <v>19.86</v>
      </c>
      <c r="R63">
        <v>1248.78</v>
      </c>
      <c r="S63">
        <v>33.51</v>
      </c>
      <c r="T63">
        <v>19.03</v>
      </c>
      <c r="U63">
        <v>18.25</v>
      </c>
      <c r="V63">
        <v>37.11</v>
      </c>
      <c r="W63">
        <v>45.494999999999997</v>
      </c>
      <c r="X63">
        <v>26.6</v>
      </c>
      <c r="Y63">
        <v>48.87</v>
      </c>
      <c r="Z63">
        <v>41.05</v>
      </c>
      <c r="AA63">
        <v>77.930000000000007</v>
      </c>
      <c r="AB63">
        <v>55.08</v>
      </c>
      <c r="AC63">
        <v>41.18</v>
      </c>
      <c r="AD63">
        <v>570.07000000000005</v>
      </c>
      <c r="AE63">
        <v>643.74</v>
      </c>
      <c r="AF63">
        <v>42.54</v>
      </c>
      <c r="AG63">
        <v>52.22</v>
      </c>
      <c r="AH63">
        <v>46.18</v>
      </c>
      <c r="AI63">
        <v>50.38</v>
      </c>
    </row>
    <row r="64" spans="1:35" x14ac:dyDescent="0.45">
      <c r="A64" s="2">
        <v>45902</v>
      </c>
      <c r="B64">
        <v>33.200000000000003</v>
      </c>
      <c r="C64">
        <v>32.729999999999997</v>
      </c>
      <c r="D64">
        <v>17.739999999999998</v>
      </c>
      <c r="E64">
        <v>25.68</v>
      </c>
      <c r="F64">
        <v>31.29</v>
      </c>
      <c r="G64">
        <v>54.91</v>
      </c>
      <c r="H64">
        <v>24.73</v>
      </c>
      <c r="I64">
        <v>58.05</v>
      </c>
      <c r="J64">
        <v>62.91</v>
      </c>
      <c r="K64">
        <v>71.92</v>
      </c>
      <c r="L64">
        <v>29</v>
      </c>
      <c r="M64">
        <v>57.25</v>
      </c>
      <c r="N64">
        <v>62.28</v>
      </c>
      <c r="O64">
        <v>52.35</v>
      </c>
      <c r="P64">
        <v>61.64</v>
      </c>
      <c r="Q64">
        <v>19.73</v>
      </c>
      <c r="R64">
        <v>1244.48</v>
      </c>
      <c r="S64">
        <v>33.97</v>
      </c>
      <c r="T64">
        <v>19.14</v>
      </c>
      <c r="U64">
        <v>18.14</v>
      </c>
      <c r="V64">
        <v>37.21</v>
      </c>
      <c r="W64">
        <v>45.380099999999999</v>
      </c>
      <c r="X64">
        <v>26.77</v>
      </c>
      <c r="Y64">
        <v>48.59</v>
      </c>
      <c r="Z64">
        <v>41.04</v>
      </c>
      <c r="AA64">
        <v>78.150000000000006</v>
      </c>
      <c r="AB64">
        <v>54.67</v>
      </c>
      <c r="AC64">
        <v>40.9</v>
      </c>
      <c r="AD64">
        <v>565.62</v>
      </c>
      <c r="AE64">
        <v>640.27</v>
      </c>
      <c r="AF64">
        <v>42.29</v>
      </c>
      <c r="AG64">
        <v>51.94</v>
      </c>
      <c r="AH64">
        <v>45.89</v>
      </c>
      <c r="AI64">
        <v>50.4</v>
      </c>
    </row>
    <row r="65" spans="1:35" x14ac:dyDescent="0.45">
      <c r="A65" s="2">
        <v>45898</v>
      </c>
      <c r="B65">
        <v>33.47</v>
      </c>
      <c r="C65">
        <v>32.81</v>
      </c>
      <c r="D65">
        <v>17.670000000000002</v>
      </c>
      <c r="E65">
        <v>26.15</v>
      </c>
      <c r="F65">
        <v>31.7</v>
      </c>
      <c r="G65">
        <v>53.8</v>
      </c>
      <c r="H65">
        <v>24.87</v>
      </c>
      <c r="I65">
        <v>58.82</v>
      </c>
      <c r="J65">
        <v>61.94</v>
      </c>
      <c r="K65">
        <v>72.239999999999995</v>
      </c>
      <c r="L65">
        <v>29.5</v>
      </c>
      <c r="M65">
        <v>57.67</v>
      </c>
      <c r="N65">
        <v>63.09</v>
      </c>
      <c r="O65">
        <v>51.98</v>
      </c>
      <c r="P65">
        <v>61.31</v>
      </c>
      <c r="Q65">
        <v>20</v>
      </c>
      <c r="R65">
        <v>1236.6099999999999</v>
      </c>
      <c r="S65">
        <v>35.29</v>
      </c>
      <c r="T65">
        <v>19.38</v>
      </c>
      <c r="U65">
        <v>18.29</v>
      </c>
      <c r="V65">
        <v>37.36</v>
      </c>
      <c r="W65">
        <v>44.86</v>
      </c>
      <c r="X65">
        <v>27.08</v>
      </c>
      <c r="Y65">
        <v>48.79</v>
      </c>
      <c r="Z65">
        <v>41.88</v>
      </c>
      <c r="AA65">
        <v>78.28</v>
      </c>
      <c r="AB65">
        <v>55.33</v>
      </c>
      <c r="AC65">
        <v>41.46</v>
      </c>
      <c r="AD65">
        <v>570.4</v>
      </c>
      <c r="AE65">
        <v>645.04999999999995</v>
      </c>
      <c r="AF65">
        <v>42.59</v>
      </c>
      <c r="AG65">
        <v>53</v>
      </c>
      <c r="AH65">
        <v>46.39</v>
      </c>
      <c r="AI65">
        <v>51.05</v>
      </c>
    </row>
    <row r="66" spans="1:35" x14ac:dyDescent="0.45">
      <c r="A66" s="2">
        <v>45897</v>
      </c>
      <c r="B66">
        <v>33.159999999999997</v>
      </c>
      <c r="C66">
        <v>32.58</v>
      </c>
      <c r="D66">
        <v>18.190000000000001</v>
      </c>
      <c r="E66">
        <v>26.39</v>
      </c>
      <c r="F66">
        <v>32.07</v>
      </c>
      <c r="G66">
        <v>53.418799999999997</v>
      </c>
      <c r="H66">
        <v>25.13</v>
      </c>
      <c r="I66">
        <v>59.9</v>
      </c>
      <c r="J66">
        <v>62.52</v>
      </c>
      <c r="K66">
        <v>73.64</v>
      </c>
      <c r="L66">
        <v>29.49</v>
      </c>
      <c r="M66">
        <v>57.15</v>
      </c>
      <c r="N66">
        <v>63.94</v>
      </c>
      <c r="O66">
        <v>52.54</v>
      </c>
      <c r="P66">
        <v>60.45</v>
      </c>
      <c r="Q66">
        <v>19.96</v>
      </c>
      <c r="R66">
        <v>1250.0899999999999</v>
      </c>
      <c r="S66">
        <v>35.54</v>
      </c>
      <c r="T66">
        <v>19.53</v>
      </c>
      <c r="U66">
        <v>18.315000000000001</v>
      </c>
      <c r="V66">
        <v>37.47</v>
      </c>
      <c r="W66">
        <v>44.87</v>
      </c>
      <c r="X66">
        <v>27.09</v>
      </c>
      <c r="Y66">
        <v>48.46</v>
      </c>
      <c r="Z66">
        <v>42.02</v>
      </c>
      <c r="AA66">
        <v>79.290000000000006</v>
      </c>
      <c r="AB66">
        <v>55.33</v>
      </c>
      <c r="AC66">
        <v>41.57</v>
      </c>
      <c r="AD66">
        <v>577.08000000000004</v>
      </c>
      <c r="AE66">
        <v>648.91999999999996</v>
      </c>
      <c r="AF66">
        <v>42.9</v>
      </c>
      <c r="AG66">
        <v>53.5</v>
      </c>
      <c r="AH66">
        <v>46.63</v>
      </c>
      <c r="AI66">
        <v>51.19</v>
      </c>
    </row>
    <row r="67" spans="1:35" x14ac:dyDescent="0.45">
      <c r="A67" s="2">
        <v>45896</v>
      </c>
      <c r="B67">
        <v>32.26</v>
      </c>
      <c r="C67">
        <v>32.549999999999997</v>
      </c>
      <c r="D67">
        <v>18.16</v>
      </c>
      <c r="E67">
        <v>26.56</v>
      </c>
      <c r="F67">
        <v>32.340000000000003</v>
      </c>
      <c r="G67">
        <v>52.967199999999998</v>
      </c>
      <c r="H67">
        <v>25.05</v>
      </c>
      <c r="I67">
        <v>59.77</v>
      </c>
      <c r="J67">
        <v>61.94</v>
      </c>
      <c r="K67">
        <v>72.47</v>
      </c>
      <c r="L67">
        <v>29.02</v>
      </c>
      <c r="M67">
        <v>57.38</v>
      </c>
      <c r="N67">
        <v>64.489999999999995</v>
      </c>
      <c r="O67">
        <v>52.68</v>
      </c>
      <c r="P67">
        <v>60.02</v>
      </c>
      <c r="Q67">
        <v>20.13</v>
      </c>
      <c r="R67">
        <v>1248.03</v>
      </c>
      <c r="S67">
        <v>35.51</v>
      </c>
      <c r="T67">
        <v>19.68</v>
      </c>
      <c r="U67">
        <v>18.02</v>
      </c>
      <c r="V67">
        <v>37.68</v>
      </c>
      <c r="W67">
        <v>44.67</v>
      </c>
      <c r="X67">
        <v>27</v>
      </c>
      <c r="Y67">
        <v>48.37</v>
      </c>
      <c r="Z67">
        <v>41.89</v>
      </c>
      <c r="AA67">
        <v>78.63</v>
      </c>
      <c r="AB67">
        <v>55.24</v>
      </c>
      <c r="AC67">
        <v>41.66</v>
      </c>
      <c r="AD67">
        <v>573.49</v>
      </c>
      <c r="AE67">
        <v>646.63</v>
      </c>
      <c r="AF67">
        <v>42.56</v>
      </c>
      <c r="AG67">
        <v>53.59</v>
      </c>
      <c r="AH67">
        <v>46.46</v>
      </c>
      <c r="AI67">
        <v>50.91</v>
      </c>
    </row>
    <row r="68" spans="1:35" x14ac:dyDescent="0.45">
      <c r="A68" s="2">
        <v>45895</v>
      </c>
      <c r="B68">
        <v>32.909999999999997</v>
      </c>
      <c r="C68">
        <v>32.44</v>
      </c>
      <c r="D68">
        <v>18.38</v>
      </c>
      <c r="E68">
        <v>26.12</v>
      </c>
      <c r="F68">
        <v>32.86</v>
      </c>
      <c r="G68">
        <v>53.39</v>
      </c>
      <c r="H68">
        <v>25.13</v>
      </c>
      <c r="I68">
        <v>59.5</v>
      </c>
      <c r="J68">
        <v>61.44</v>
      </c>
      <c r="K68">
        <v>72.39</v>
      </c>
      <c r="L68">
        <v>28.61</v>
      </c>
      <c r="M68">
        <v>58.1</v>
      </c>
      <c r="N68">
        <v>64.98</v>
      </c>
      <c r="O68">
        <v>52.55</v>
      </c>
      <c r="P68">
        <v>61.62</v>
      </c>
      <c r="Q68">
        <v>20.14</v>
      </c>
      <c r="R68">
        <v>1251.26</v>
      </c>
      <c r="S68">
        <v>35.97</v>
      </c>
      <c r="T68">
        <v>19.75</v>
      </c>
      <c r="U68">
        <v>17.96</v>
      </c>
      <c r="V68">
        <v>38.020000000000003</v>
      </c>
      <c r="W68">
        <v>45.19</v>
      </c>
      <c r="X68">
        <v>26.97</v>
      </c>
      <c r="Y68">
        <v>48.02</v>
      </c>
      <c r="Z68">
        <v>42.13</v>
      </c>
      <c r="AA68">
        <v>78.92</v>
      </c>
      <c r="AB68">
        <v>55.11</v>
      </c>
      <c r="AC68">
        <v>41.74</v>
      </c>
      <c r="AD68">
        <v>572.61</v>
      </c>
      <c r="AE68">
        <v>645.16</v>
      </c>
      <c r="AF68">
        <v>42.58</v>
      </c>
      <c r="AG68">
        <v>53.77</v>
      </c>
      <c r="AH68">
        <v>46.64</v>
      </c>
      <c r="AI68">
        <v>51.42</v>
      </c>
    </row>
    <row r="69" spans="1:35" x14ac:dyDescent="0.45">
      <c r="A69" s="2">
        <v>45894</v>
      </c>
      <c r="B69">
        <v>32.909999999999997</v>
      </c>
      <c r="C69">
        <v>32.71</v>
      </c>
      <c r="D69">
        <v>18.61</v>
      </c>
      <c r="E69">
        <v>26.69</v>
      </c>
      <c r="F69">
        <v>32.590000000000003</v>
      </c>
      <c r="G69">
        <v>52.93</v>
      </c>
      <c r="H69">
        <v>25.5</v>
      </c>
      <c r="I69">
        <v>59.26</v>
      </c>
      <c r="J69">
        <v>61.71</v>
      </c>
      <c r="K69">
        <v>72.73</v>
      </c>
      <c r="L69">
        <v>28.74</v>
      </c>
      <c r="M69">
        <v>58.35</v>
      </c>
      <c r="N69">
        <v>65.62</v>
      </c>
      <c r="O69">
        <v>53.23</v>
      </c>
      <c r="P69">
        <v>61.54</v>
      </c>
      <c r="Q69">
        <v>20.002600000000001</v>
      </c>
      <c r="R69">
        <v>1262.67</v>
      </c>
      <c r="S69">
        <v>35.93</v>
      </c>
      <c r="T69">
        <v>19.829999999999998</v>
      </c>
      <c r="U69">
        <v>17.22</v>
      </c>
      <c r="V69">
        <v>38.08</v>
      </c>
      <c r="W69">
        <v>45.62</v>
      </c>
      <c r="X69">
        <v>26.83</v>
      </c>
      <c r="Y69">
        <v>47.55</v>
      </c>
      <c r="Z69">
        <v>42.12</v>
      </c>
      <c r="AA69">
        <v>79.05</v>
      </c>
      <c r="AB69">
        <v>54.97</v>
      </c>
      <c r="AC69">
        <v>41.79</v>
      </c>
      <c r="AD69">
        <v>570.32000000000005</v>
      </c>
      <c r="AE69">
        <v>642.47</v>
      </c>
      <c r="AF69">
        <v>42.96</v>
      </c>
      <c r="AG69">
        <v>53.84</v>
      </c>
      <c r="AH69">
        <v>46.57</v>
      </c>
      <c r="AI69">
        <v>51.76</v>
      </c>
    </row>
    <row r="70" spans="1:35" x14ac:dyDescent="0.45">
      <c r="A70" s="2">
        <v>45891</v>
      </c>
      <c r="B70">
        <v>32.71</v>
      </c>
      <c r="C70">
        <v>32.799999999999997</v>
      </c>
      <c r="D70">
        <v>18.649999999999999</v>
      </c>
      <c r="E70">
        <v>26.63</v>
      </c>
      <c r="F70">
        <v>32.700000000000003</v>
      </c>
      <c r="G70">
        <v>53.23</v>
      </c>
      <c r="H70">
        <v>25.72</v>
      </c>
      <c r="I70">
        <v>59.66</v>
      </c>
      <c r="J70">
        <v>62.8</v>
      </c>
      <c r="K70">
        <v>73.510000000000005</v>
      </c>
      <c r="L70">
        <v>28.61</v>
      </c>
      <c r="M70">
        <v>58.8</v>
      </c>
      <c r="N70">
        <v>65.995000000000005</v>
      </c>
      <c r="O70">
        <v>53.58</v>
      </c>
      <c r="P70">
        <v>61.57</v>
      </c>
      <c r="Q70">
        <v>20.189599999999999</v>
      </c>
      <c r="R70">
        <v>1253.3900000000001</v>
      </c>
      <c r="S70">
        <v>35.69</v>
      </c>
      <c r="T70">
        <v>19.96</v>
      </c>
      <c r="U70">
        <v>17.36</v>
      </c>
      <c r="V70">
        <v>38.130000000000003</v>
      </c>
      <c r="W70">
        <v>45.782899999999998</v>
      </c>
      <c r="X70">
        <v>27.26</v>
      </c>
      <c r="Y70">
        <v>48.03</v>
      </c>
      <c r="Z70">
        <v>42.66</v>
      </c>
      <c r="AA70">
        <v>80.02</v>
      </c>
      <c r="AB70">
        <v>55.64</v>
      </c>
      <c r="AC70">
        <v>42.08</v>
      </c>
      <c r="AD70">
        <v>571.97</v>
      </c>
      <c r="AE70">
        <v>645.30999999999995</v>
      </c>
      <c r="AF70">
        <v>44.18</v>
      </c>
      <c r="AG70">
        <v>54.188000000000002</v>
      </c>
      <c r="AH70">
        <v>47.24</v>
      </c>
      <c r="AI70">
        <v>52.34</v>
      </c>
    </row>
    <row r="71" spans="1:35" x14ac:dyDescent="0.45">
      <c r="A71" s="2">
        <v>45890</v>
      </c>
      <c r="B71">
        <v>31.62</v>
      </c>
      <c r="C71">
        <v>31.9</v>
      </c>
      <c r="D71">
        <v>18.440000000000001</v>
      </c>
      <c r="E71">
        <v>26.15</v>
      </c>
      <c r="F71">
        <v>33.380000000000003</v>
      </c>
      <c r="G71">
        <v>52.009</v>
      </c>
      <c r="H71">
        <v>25.19</v>
      </c>
      <c r="I71">
        <v>58.57</v>
      </c>
      <c r="J71">
        <v>61.55</v>
      </c>
      <c r="K71">
        <v>71.22</v>
      </c>
      <c r="L71">
        <v>27.66</v>
      </c>
      <c r="M71">
        <v>56.91</v>
      </c>
      <c r="N71">
        <v>65.2</v>
      </c>
      <c r="O71">
        <v>53.57</v>
      </c>
      <c r="P71">
        <v>60</v>
      </c>
      <c r="Q71">
        <v>20.065000000000001</v>
      </c>
      <c r="R71">
        <v>1244.79</v>
      </c>
      <c r="S71">
        <v>35.51</v>
      </c>
      <c r="T71">
        <v>19.753</v>
      </c>
      <c r="U71">
        <v>17.600000000000001</v>
      </c>
      <c r="V71">
        <v>37.94</v>
      </c>
      <c r="W71">
        <v>45.58</v>
      </c>
      <c r="X71">
        <v>26.86</v>
      </c>
      <c r="Y71">
        <v>47.28</v>
      </c>
      <c r="Z71">
        <v>42.08</v>
      </c>
      <c r="AA71">
        <v>78.7</v>
      </c>
      <c r="AB71">
        <v>54.94</v>
      </c>
      <c r="AC71">
        <v>41.66</v>
      </c>
      <c r="AD71">
        <v>563.28</v>
      </c>
      <c r="AE71">
        <v>635.54999999999995</v>
      </c>
      <c r="AF71">
        <v>43.55</v>
      </c>
      <c r="AG71">
        <v>53.08</v>
      </c>
      <c r="AH71">
        <v>46.08</v>
      </c>
      <c r="AI71">
        <v>51.53</v>
      </c>
    </row>
    <row r="72" spans="1:35" x14ac:dyDescent="0.45">
      <c r="A72" s="2">
        <v>45889</v>
      </c>
      <c r="B72">
        <v>31.74</v>
      </c>
      <c r="C72">
        <v>32.04</v>
      </c>
      <c r="D72">
        <v>18.600000000000001</v>
      </c>
      <c r="E72">
        <v>26.35</v>
      </c>
      <c r="F72">
        <v>33.78</v>
      </c>
      <c r="G72">
        <v>51.75</v>
      </c>
      <c r="H72">
        <v>25.19</v>
      </c>
      <c r="I72">
        <v>58.78</v>
      </c>
      <c r="J72">
        <v>61.17</v>
      </c>
      <c r="K72">
        <v>71.36</v>
      </c>
      <c r="L72">
        <v>27.69</v>
      </c>
      <c r="M72">
        <v>57.11</v>
      </c>
      <c r="N72">
        <v>65.400000000000006</v>
      </c>
      <c r="O72">
        <v>53.8</v>
      </c>
      <c r="P72">
        <v>59.92</v>
      </c>
      <c r="Q72">
        <v>20.079999999999998</v>
      </c>
      <c r="R72">
        <v>1248.1300000000001</v>
      </c>
      <c r="S72">
        <v>35.04</v>
      </c>
      <c r="T72">
        <v>19.8</v>
      </c>
      <c r="U72">
        <v>17.690000000000001</v>
      </c>
      <c r="V72">
        <v>37.89</v>
      </c>
      <c r="W72">
        <v>45.674999999999997</v>
      </c>
      <c r="X72">
        <v>26.7</v>
      </c>
      <c r="Y72">
        <v>47.11</v>
      </c>
      <c r="Z72">
        <v>42.39</v>
      </c>
      <c r="AA72">
        <v>79.64</v>
      </c>
      <c r="AB72">
        <v>55.52</v>
      </c>
      <c r="AC72">
        <v>41.72</v>
      </c>
      <c r="AD72">
        <v>565.9</v>
      </c>
      <c r="AE72">
        <v>638.11</v>
      </c>
      <c r="AF72">
        <v>43.97</v>
      </c>
      <c r="AG72">
        <v>53.58</v>
      </c>
      <c r="AH72">
        <v>46.45</v>
      </c>
      <c r="AI72">
        <v>51.69</v>
      </c>
    </row>
    <row r="73" spans="1:35" x14ac:dyDescent="0.45">
      <c r="A73" s="2">
        <v>45888</v>
      </c>
      <c r="B73">
        <v>31.02</v>
      </c>
      <c r="C73">
        <v>32.19</v>
      </c>
      <c r="D73">
        <v>18.309999999999999</v>
      </c>
      <c r="E73">
        <v>26.25</v>
      </c>
      <c r="F73">
        <v>33.79</v>
      </c>
      <c r="G73">
        <v>51.68</v>
      </c>
      <c r="H73">
        <v>25.18</v>
      </c>
      <c r="I73">
        <v>60.09</v>
      </c>
      <c r="J73">
        <v>61.25</v>
      </c>
      <c r="K73">
        <v>71.44</v>
      </c>
      <c r="L73">
        <v>27.36</v>
      </c>
      <c r="M73">
        <v>56.67</v>
      </c>
      <c r="N73">
        <v>65.150000000000006</v>
      </c>
      <c r="O73">
        <v>53.65</v>
      </c>
      <c r="P73">
        <v>59.59</v>
      </c>
      <c r="Q73">
        <v>20.239999999999998</v>
      </c>
      <c r="R73">
        <v>1235.76</v>
      </c>
      <c r="S73">
        <v>34.5</v>
      </c>
      <c r="T73">
        <v>19.8383</v>
      </c>
      <c r="U73">
        <v>17.899999999999999</v>
      </c>
      <c r="V73">
        <v>37.840000000000003</v>
      </c>
      <c r="W73">
        <v>45.604999999999997</v>
      </c>
      <c r="X73">
        <v>26.61</v>
      </c>
      <c r="Y73">
        <v>47</v>
      </c>
      <c r="Z73">
        <v>42.39</v>
      </c>
      <c r="AA73">
        <v>80.02</v>
      </c>
      <c r="AB73">
        <v>54.9</v>
      </c>
      <c r="AC73">
        <v>41.29</v>
      </c>
      <c r="AD73">
        <v>569.28</v>
      </c>
      <c r="AE73">
        <v>639.80999999999995</v>
      </c>
      <c r="AF73">
        <v>43.82</v>
      </c>
      <c r="AG73">
        <v>53.215000000000003</v>
      </c>
      <c r="AH73">
        <v>46.56</v>
      </c>
      <c r="AI73">
        <v>51.62</v>
      </c>
    </row>
    <row r="74" spans="1:35" x14ac:dyDescent="0.45">
      <c r="A74" s="2">
        <v>45887</v>
      </c>
      <c r="B74">
        <v>31.32</v>
      </c>
      <c r="C74">
        <v>32.549999999999997</v>
      </c>
      <c r="D74">
        <v>18.43</v>
      </c>
      <c r="E74">
        <v>26.34</v>
      </c>
      <c r="F74">
        <v>33.64</v>
      </c>
      <c r="G74">
        <v>52.382100000000001</v>
      </c>
      <c r="H74">
        <v>25.13</v>
      </c>
      <c r="I74">
        <v>61.04</v>
      </c>
      <c r="J74">
        <v>61.19</v>
      </c>
      <c r="K74">
        <v>72.8</v>
      </c>
      <c r="L74">
        <v>28.29</v>
      </c>
      <c r="M74">
        <v>57.11</v>
      </c>
      <c r="N74">
        <v>65.58</v>
      </c>
      <c r="O74">
        <v>53.5</v>
      </c>
      <c r="P74">
        <v>60.04</v>
      </c>
      <c r="Q74">
        <v>20.38</v>
      </c>
      <c r="R74">
        <v>1242.31</v>
      </c>
      <c r="S74">
        <v>34.47</v>
      </c>
      <c r="T74">
        <v>19.965</v>
      </c>
      <c r="U74">
        <v>17.84</v>
      </c>
      <c r="V74">
        <v>37.83</v>
      </c>
      <c r="W74">
        <v>45.844999999999999</v>
      </c>
      <c r="X74">
        <v>26.84</v>
      </c>
      <c r="Y74">
        <v>47.35</v>
      </c>
      <c r="Z74">
        <v>42.45</v>
      </c>
      <c r="AA74">
        <v>80.3</v>
      </c>
      <c r="AB74">
        <v>54.35</v>
      </c>
      <c r="AC74">
        <v>41.29</v>
      </c>
      <c r="AD74">
        <v>577.11</v>
      </c>
      <c r="AE74">
        <v>643.29999999999995</v>
      </c>
      <c r="AF74">
        <v>43.55</v>
      </c>
      <c r="AG74">
        <v>53.13</v>
      </c>
      <c r="AH74">
        <v>46.28</v>
      </c>
      <c r="AI74">
        <v>51.54</v>
      </c>
    </row>
    <row r="75" spans="1:35" x14ac:dyDescent="0.45">
      <c r="A75" s="2">
        <v>45884</v>
      </c>
      <c r="B75">
        <v>30.97</v>
      </c>
      <c r="C75">
        <v>32.4</v>
      </c>
      <c r="D75">
        <v>18.5</v>
      </c>
      <c r="E75">
        <v>26.39</v>
      </c>
      <c r="F75">
        <v>33.450000000000003</v>
      </c>
      <c r="G75">
        <v>52.191600000000001</v>
      </c>
      <c r="H75">
        <v>24.98</v>
      </c>
      <c r="I75">
        <v>60.42</v>
      </c>
      <c r="J75">
        <v>61.34</v>
      </c>
      <c r="K75">
        <v>73.39</v>
      </c>
      <c r="L75">
        <v>28.2</v>
      </c>
      <c r="M75">
        <v>57.62</v>
      </c>
      <c r="N75">
        <v>66.89</v>
      </c>
      <c r="O75">
        <v>52.71</v>
      </c>
      <c r="P75">
        <v>59.68</v>
      </c>
      <c r="Q75">
        <v>20.54</v>
      </c>
      <c r="R75">
        <v>1259.42</v>
      </c>
      <c r="S75">
        <v>34.24</v>
      </c>
      <c r="T75">
        <v>19.905000000000001</v>
      </c>
      <c r="U75">
        <v>17.71</v>
      </c>
      <c r="V75">
        <v>37.549999999999997</v>
      </c>
      <c r="W75">
        <v>45.683999999999997</v>
      </c>
      <c r="X75">
        <v>26.83</v>
      </c>
      <c r="Y75">
        <v>47.27</v>
      </c>
      <c r="Z75">
        <v>42.58</v>
      </c>
      <c r="AA75">
        <v>80.150000000000006</v>
      </c>
      <c r="AB75">
        <v>54.5</v>
      </c>
      <c r="AC75">
        <v>41.27</v>
      </c>
      <c r="AD75">
        <v>577.34</v>
      </c>
      <c r="AE75">
        <v>643.44000000000005</v>
      </c>
      <c r="AF75">
        <v>43.89</v>
      </c>
      <c r="AG75">
        <v>53.16</v>
      </c>
      <c r="AH75">
        <v>46.61</v>
      </c>
      <c r="AI75">
        <v>51.79</v>
      </c>
    </row>
    <row r="76" spans="1:35" x14ac:dyDescent="0.45">
      <c r="A76" s="2">
        <v>45883</v>
      </c>
      <c r="B76">
        <v>30.72</v>
      </c>
      <c r="C76">
        <v>32.270000000000003</v>
      </c>
      <c r="D76">
        <v>18.63</v>
      </c>
      <c r="E76">
        <v>26.28</v>
      </c>
      <c r="F76">
        <v>33.270000000000003</v>
      </c>
      <c r="G76">
        <v>51.95</v>
      </c>
      <c r="H76">
        <v>25.03</v>
      </c>
      <c r="I76">
        <v>60.65</v>
      </c>
      <c r="J76">
        <v>60.99</v>
      </c>
      <c r="K76">
        <v>73.66</v>
      </c>
      <c r="L76">
        <v>27.89</v>
      </c>
      <c r="M76">
        <v>57.64</v>
      </c>
      <c r="N76">
        <v>66.53</v>
      </c>
      <c r="O76">
        <v>52.41</v>
      </c>
      <c r="P76">
        <v>59.3</v>
      </c>
      <c r="Q76">
        <v>20.52</v>
      </c>
      <c r="R76">
        <v>1266.67</v>
      </c>
      <c r="S76">
        <v>34.11</v>
      </c>
      <c r="T76">
        <v>19.98</v>
      </c>
      <c r="U76">
        <v>17.760000000000002</v>
      </c>
      <c r="V76">
        <v>37.590000000000003</v>
      </c>
      <c r="W76">
        <v>45.57</v>
      </c>
      <c r="X76">
        <v>26.74</v>
      </c>
      <c r="Y76">
        <v>47.33</v>
      </c>
      <c r="Z76">
        <v>42.5</v>
      </c>
      <c r="AA76">
        <v>78.8</v>
      </c>
      <c r="AB76">
        <v>54.1</v>
      </c>
      <c r="AC76">
        <v>41.5</v>
      </c>
      <c r="AD76">
        <v>579.89</v>
      </c>
      <c r="AE76">
        <v>644.95000000000005</v>
      </c>
      <c r="AF76">
        <v>43.5</v>
      </c>
      <c r="AG76">
        <v>53.3</v>
      </c>
      <c r="AH76">
        <v>46.06</v>
      </c>
      <c r="AI76">
        <v>51.56</v>
      </c>
    </row>
    <row r="77" spans="1:35" x14ac:dyDescent="0.45">
      <c r="A77" s="2">
        <v>45882</v>
      </c>
      <c r="B77">
        <v>31.01</v>
      </c>
      <c r="C77">
        <v>32.54</v>
      </c>
      <c r="D77">
        <v>18.829999999999998</v>
      </c>
      <c r="E77">
        <v>26.72</v>
      </c>
      <c r="F77">
        <v>34.07</v>
      </c>
      <c r="G77">
        <v>52.16</v>
      </c>
      <c r="H77">
        <v>25.27</v>
      </c>
      <c r="I77">
        <v>61.03</v>
      </c>
      <c r="J77">
        <v>61.99</v>
      </c>
      <c r="K77">
        <v>74.72</v>
      </c>
      <c r="L77">
        <v>28.18</v>
      </c>
      <c r="M77">
        <v>58.36</v>
      </c>
      <c r="N77">
        <v>66.81</v>
      </c>
      <c r="O77">
        <v>52.71</v>
      </c>
      <c r="P77">
        <v>60.56</v>
      </c>
      <c r="Q77">
        <v>20.56</v>
      </c>
      <c r="R77">
        <v>1277.43</v>
      </c>
      <c r="S77">
        <v>34.47</v>
      </c>
      <c r="T77">
        <v>19.93</v>
      </c>
      <c r="U77">
        <v>17.46</v>
      </c>
      <c r="V77">
        <v>37.44</v>
      </c>
      <c r="W77">
        <v>45.82</v>
      </c>
      <c r="X77">
        <v>26.91</v>
      </c>
      <c r="Y77">
        <v>47.64</v>
      </c>
      <c r="Z77">
        <v>42.38</v>
      </c>
      <c r="AA77">
        <v>79.27</v>
      </c>
      <c r="AB77">
        <v>54.2</v>
      </c>
      <c r="AC77">
        <v>41.36</v>
      </c>
      <c r="AD77">
        <v>580.34</v>
      </c>
      <c r="AE77">
        <v>644.89</v>
      </c>
      <c r="AF77">
        <v>43.31</v>
      </c>
      <c r="AG77">
        <v>53.36</v>
      </c>
      <c r="AH77">
        <v>46.02</v>
      </c>
      <c r="AI77">
        <v>51.1</v>
      </c>
    </row>
    <row r="78" spans="1:35" x14ac:dyDescent="0.45">
      <c r="A78" s="2">
        <v>45881</v>
      </c>
      <c r="B78">
        <v>30.73</v>
      </c>
      <c r="C78">
        <v>31.97</v>
      </c>
      <c r="D78">
        <v>18.61</v>
      </c>
      <c r="E78">
        <v>26.55</v>
      </c>
      <c r="F78">
        <v>33.99</v>
      </c>
      <c r="G78">
        <v>51.75</v>
      </c>
      <c r="H78">
        <v>24.94</v>
      </c>
      <c r="I78">
        <v>61.09</v>
      </c>
      <c r="J78">
        <v>62.33</v>
      </c>
      <c r="K78">
        <v>74.099999999999994</v>
      </c>
      <c r="L78">
        <v>28.39</v>
      </c>
      <c r="M78">
        <v>57.5</v>
      </c>
      <c r="N78">
        <v>66.349999999999994</v>
      </c>
      <c r="O78">
        <v>52.465000000000003</v>
      </c>
      <c r="P78">
        <v>58.73</v>
      </c>
      <c r="Q78">
        <v>20.27</v>
      </c>
      <c r="R78">
        <v>1259.07</v>
      </c>
      <c r="S78">
        <v>34.54</v>
      </c>
      <c r="T78">
        <v>20.149999999999999</v>
      </c>
      <c r="U78">
        <v>17.440000000000001</v>
      </c>
      <c r="V78">
        <v>37.49</v>
      </c>
      <c r="W78">
        <v>45.658999999999999</v>
      </c>
      <c r="X78">
        <v>26.96</v>
      </c>
      <c r="Y78">
        <v>47.51</v>
      </c>
      <c r="Z78">
        <v>42.15</v>
      </c>
      <c r="AA78">
        <v>79.23</v>
      </c>
      <c r="AB78">
        <v>53.81</v>
      </c>
      <c r="AC78">
        <v>41.03</v>
      </c>
      <c r="AD78">
        <v>580.04999999999995</v>
      </c>
      <c r="AE78">
        <v>642.69000000000005</v>
      </c>
      <c r="AF78">
        <v>42.89</v>
      </c>
      <c r="AG78">
        <v>52.967399999999998</v>
      </c>
      <c r="AH78">
        <v>45.99</v>
      </c>
      <c r="AI78">
        <v>50.64</v>
      </c>
    </row>
    <row r="79" spans="1:35" x14ac:dyDescent="0.45">
      <c r="A79" s="2">
        <v>45880</v>
      </c>
      <c r="B79">
        <v>30.295000000000002</v>
      </c>
      <c r="C79">
        <v>31.47</v>
      </c>
      <c r="D79">
        <v>17.98</v>
      </c>
      <c r="E79">
        <v>26.19</v>
      </c>
      <c r="F79">
        <v>33.44</v>
      </c>
      <c r="G79">
        <v>51.130899999999997</v>
      </c>
      <c r="H79">
        <v>24.6</v>
      </c>
      <c r="I79">
        <v>60.28</v>
      </c>
      <c r="J79">
        <v>61.54</v>
      </c>
      <c r="K79">
        <v>73.03</v>
      </c>
      <c r="L79">
        <v>27.64</v>
      </c>
      <c r="M79">
        <v>56.36</v>
      </c>
      <c r="N79">
        <v>65.680000000000007</v>
      </c>
      <c r="O79">
        <v>52.27</v>
      </c>
      <c r="P79">
        <v>57.82</v>
      </c>
      <c r="Q79">
        <v>20.034600000000001</v>
      </c>
      <c r="R79">
        <v>1265.1500000000001</v>
      </c>
      <c r="S79">
        <v>34.844799999999999</v>
      </c>
      <c r="T79">
        <v>20.079999999999998</v>
      </c>
      <c r="U79">
        <v>17.27</v>
      </c>
      <c r="V79">
        <v>37.43</v>
      </c>
      <c r="W79">
        <v>45.79</v>
      </c>
      <c r="X79">
        <v>26.65</v>
      </c>
      <c r="Y79">
        <v>47.28</v>
      </c>
      <c r="Z79">
        <v>41.94</v>
      </c>
      <c r="AA79">
        <v>77.790000000000006</v>
      </c>
      <c r="AB79">
        <v>53.2</v>
      </c>
      <c r="AC79">
        <v>40.64</v>
      </c>
      <c r="AD79">
        <v>572.85</v>
      </c>
      <c r="AE79">
        <v>635.91999999999996</v>
      </c>
      <c r="AF79">
        <v>42.35</v>
      </c>
      <c r="AG79">
        <v>52.37</v>
      </c>
      <c r="AH79">
        <v>45.23</v>
      </c>
      <c r="AI79">
        <v>49.99</v>
      </c>
    </row>
    <row r="80" spans="1:35" x14ac:dyDescent="0.45">
      <c r="A80" s="2">
        <v>45877</v>
      </c>
      <c r="B80">
        <v>30.27</v>
      </c>
      <c r="C80">
        <v>31.41</v>
      </c>
      <c r="D80">
        <v>17.829999999999998</v>
      </c>
      <c r="E80">
        <v>26.63</v>
      </c>
      <c r="F80">
        <v>33.97</v>
      </c>
      <c r="G80">
        <v>51.72</v>
      </c>
      <c r="H80">
        <v>24.51</v>
      </c>
      <c r="I80">
        <v>60.29</v>
      </c>
      <c r="J80">
        <v>61.64</v>
      </c>
      <c r="K80">
        <v>73.5</v>
      </c>
      <c r="L80">
        <v>27.81</v>
      </c>
      <c r="M80">
        <v>56.45</v>
      </c>
      <c r="N80">
        <v>65.069199999999995</v>
      </c>
      <c r="O80">
        <v>52.12</v>
      </c>
      <c r="P80">
        <v>58.19</v>
      </c>
      <c r="Q80">
        <v>19.93</v>
      </c>
      <c r="R80">
        <v>1264.47</v>
      </c>
      <c r="S80">
        <v>34.68</v>
      </c>
      <c r="T80">
        <v>20.14</v>
      </c>
      <c r="U80">
        <v>17.18</v>
      </c>
      <c r="V80">
        <v>37.83</v>
      </c>
      <c r="W80">
        <v>45.744999999999997</v>
      </c>
      <c r="X80">
        <v>26.63</v>
      </c>
      <c r="Y80">
        <v>47.34</v>
      </c>
      <c r="Z80">
        <v>42.34</v>
      </c>
      <c r="AA80">
        <v>77.930000000000007</v>
      </c>
      <c r="AB80">
        <v>53.6</v>
      </c>
      <c r="AC80">
        <v>40.53</v>
      </c>
      <c r="AD80">
        <v>574.54999999999995</v>
      </c>
      <c r="AE80">
        <v>637.17999999999995</v>
      </c>
      <c r="AF80">
        <v>42.68</v>
      </c>
      <c r="AG80">
        <v>52.52</v>
      </c>
      <c r="AH80">
        <v>45.88</v>
      </c>
      <c r="AI80">
        <v>50.16</v>
      </c>
    </row>
    <row r="81" spans="1:35" x14ac:dyDescent="0.45">
      <c r="A81" s="2">
        <v>45876</v>
      </c>
      <c r="B81">
        <v>30.3</v>
      </c>
      <c r="C81">
        <v>30.74</v>
      </c>
      <c r="D81">
        <v>17.72</v>
      </c>
      <c r="E81">
        <v>26.49</v>
      </c>
      <c r="F81">
        <v>33.53</v>
      </c>
      <c r="G81">
        <v>50.705500000000001</v>
      </c>
      <c r="H81">
        <v>24.38</v>
      </c>
      <c r="I81">
        <v>60.36</v>
      </c>
      <c r="J81">
        <v>61.65</v>
      </c>
      <c r="K81">
        <v>73.44</v>
      </c>
      <c r="L81">
        <v>28.05</v>
      </c>
      <c r="M81">
        <v>56.66</v>
      </c>
      <c r="N81">
        <v>64.58</v>
      </c>
      <c r="O81">
        <v>52.53</v>
      </c>
      <c r="P81">
        <v>58.2</v>
      </c>
      <c r="Q81">
        <v>19.946000000000002</v>
      </c>
      <c r="R81">
        <v>1246.96</v>
      </c>
      <c r="S81">
        <v>34.61</v>
      </c>
      <c r="T81">
        <v>20.100000000000001</v>
      </c>
      <c r="U81">
        <v>16.8</v>
      </c>
      <c r="V81">
        <v>37.83</v>
      </c>
      <c r="W81">
        <v>45.795000000000002</v>
      </c>
      <c r="X81">
        <v>26.6</v>
      </c>
      <c r="Y81">
        <v>47.34</v>
      </c>
      <c r="Z81">
        <v>42.33</v>
      </c>
      <c r="AA81">
        <v>76.62</v>
      </c>
      <c r="AB81">
        <v>53.68</v>
      </c>
      <c r="AC81">
        <v>40.49</v>
      </c>
      <c r="AD81">
        <v>569.24</v>
      </c>
      <c r="AE81">
        <v>632.25</v>
      </c>
      <c r="AF81">
        <v>42.49</v>
      </c>
      <c r="AG81">
        <v>52.2</v>
      </c>
      <c r="AH81">
        <v>45.6</v>
      </c>
      <c r="AI81">
        <v>49.95</v>
      </c>
    </row>
    <row r="82" spans="1:35" x14ac:dyDescent="0.45">
      <c r="A82" s="2">
        <v>45875</v>
      </c>
      <c r="B82">
        <v>30.33</v>
      </c>
      <c r="C82">
        <v>30.09</v>
      </c>
      <c r="D82">
        <v>17.66</v>
      </c>
      <c r="E82">
        <v>26.41</v>
      </c>
      <c r="F82">
        <v>32.840000000000003</v>
      </c>
      <c r="G82">
        <v>50.183300000000003</v>
      </c>
      <c r="H82">
        <v>24.4</v>
      </c>
      <c r="I82">
        <v>59.14</v>
      </c>
      <c r="J82">
        <v>60.76</v>
      </c>
      <c r="K82">
        <v>73.180000000000007</v>
      </c>
      <c r="L82">
        <v>27.45</v>
      </c>
      <c r="M82">
        <v>56.17</v>
      </c>
      <c r="N82">
        <v>64.2</v>
      </c>
      <c r="O82">
        <v>52.255000000000003</v>
      </c>
      <c r="P82">
        <v>58.36</v>
      </c>
      <c r="Q82">
        <v>19.850000000000001</v>
      </c>
      <c r="R82">
        <v>1229.4000000000001</v>
      </c>
      <c r="S82">
        <v>34.46</v>
      </c>
      <c r="T82">
        <v>20.25</v>
      </c>
      <c r="U82">
        <v>17.09</v>
      </c>
      <c r="V82">
        <v>38.04</v>
      </c>
      <c r="W82">
        <v>45.63</v>
      </c>
      <c r="X82">
        <v>26.66</v>
      </c>
      <c r="Y82">
        <v>47.73</v>
      </c>
      <c r="Z82">
        <v>41.84</v>
      </c>
      <c r="AA82">
        <v>76.03</v>
      </c>
      <c r="AB82">
        <v>52.98</v>
      </c>
      <c r="AC82">
        <v>40.380000000000003</v>
      </c>
      <c r="AD82">
        <v>567.32000000000005</v>
      </c>
      <c r="AE82">
        <v>632.78</v>
      </c>
      <c r="AF82">
        <v>42.02</v>
      </c>
      <c r="AG82">
        <v>51.43</v>
      </c>
      <c r="AH82">
        <v>44.82</v>
      </c>
      <c r="AI82">
        <v>49.52</v>
      </c>
    </row>
    <row r="83" spans="1:35" x14ac:dyDescent="0.45">
      <c r="A83" s="2">
        <v>45874</v>
      </c>
      <c r="B83">
        <v>30.17</v>
      </c>
      <c r="C83">
        <v>30.26</v>
      </c>
      <c r="D83">
        <v>17.62</v>
      </c>
      <c r="E83">
        <v>26.16</v>
      </c>
      <c r="F83">
        <v>31.79</v>
      </c>
      <c r="G83">
        <v>49.7</v>
      </c>
      <c r="H83">
        <v>24.24</v>
      </c>
      <c r="I83">
        <v>58.92</v>
      </c>
      <c r="J83">
        <v>60.19</v>
      </c>
      <c r="K83">
        <v>72.89</v>
      </c>
      <c r="L83">
        <v>27.02</v>
      </c>
      <c r="M83">
        <v>55.4</v>
      </c>
      <c r="N83">
        <v>62.98</v>
      </c>
      <c r="O83">
        <v>52.41</v>
      </c>
      <c r="P83">
        <v>57.86</v>
      </c>
      <c r="Q83">
        <v>19.785</v>
      </c>
      <c r="R83">
        <v>1218.33</v>
      </c>
      <c r="S83">
        <v>34.29</v>
      </c>
      <c r="T83">
        <v>20.010000000000002</v>
      </c>
      <c r="U83">
        <v>16.670000000000002</v>
      </c>
      <c r="V83">
        <v>37.78</v>
      </c>
      <c r="W83">
        <v>45.255000000000003</v>
      </c>
      <c r="X83">
        <v>26.41</v>
      </c>
      <c r="Y83">
        <v>46.93</v>
      </c>
      <c r="Z83">
        <v>41.49</v>
      </c>
      <c r="AA83">
        <v>75.03</v>
      </c>
      <c r="AB83">
        <v>53.48</v>
      </c>
      <c r="AC83">
        <v>40.229999999999997</v>
      </c>
      <c r="AD83">
        <v>560.27</v>
      </c>
      <c r="AE83">
        <v>627.97</v>
      </c>
      <c r="AF83">
        <v>41.83</v>
      </c>
      <c r="AG83">
        <v>51.33</v>
      </c>
      <c r="AH83">
        <v>44.45</v>
      </c>
      <c r="AI83">
        <v>48.74</v>
      </c>
    </row>
    <row r="84" spans="1:35" x14ac:dyDescent="0.45">
      <c r="A84" s="2">
        <v>45873</v>
      </c>
      <c r="B84">
        <v>29.9</v>
      </c>
      <c r="C84">
        <v>30.24</v>
      </c>
      <c r="D84">
        <v>17.59</v>
      </c>
      <c r="E84">
        <v>26.35</v>
      </c>
      <c r="F84">
        <v>31.94</v>
      </c>
      <c r="G84">
        <v>49.27</v>
      </c>
      <c r="H84">
        <v>24.13</v>
      </c>
      <c r="I84">
        <v>58.84</v>
      </c>
      <c r="J84">
        <v>59.23</v>
      </c>
      <c r="K84">
        <v>72.33</v>
      </c>
      <c r="L84">
        <v>26.93</v>
      </c>
      <c r="M84">
        <v>55.05</v>
      </c>
      <c r="N84">
        <v>62.02</v>
      </c>
      <c r="O84">
        <v>52.48</v>
      </c>
      <c r="P84">
        <v>57.47</v>
      </c>
      <c r="Q84">
        <v>19.71</v>
      </c>
      <c r="R84">
        <v>1242.3499999999999</v>
      </c>
      <c r="S84">
        <v>34.32</v>
      </c>
      <c r="T84">
        <v>20.21</v>
      </c>
      <c r="U84">
        <v>16.579999999999998</v>
      </c>
      <c r="V84">
        <v>37.630000000000003</v>
      </c>
      <c r="W84">
        <v>44.93</v>
      </c>
      <c r="X84">
        <v>26.28</v>
      </c>
      <c r="Y84">
        <v>46.58</v>
      </c>
      <c r="Z84">
        <v>41.3</v>
      </c>
      <c r="AA84">
        <v>75.290000000000006</v>
      </c>
      <c r="AB84">
        <v>53.31</v>
      </c>
      <c r="AC84">
        <v>40.21</v>
      </c>
      <c r="AD84">
        <v>564.1</v>
      </c>
      <c r="AE84">
        <v>631.16999999999996</v>
      </c>
      <c r="AF84">
        <v>41.86</v>
      </c>
      <c r="AG84">
        <v>51.35</v>
      </c>
      <c r="AH84">
        <v>44.3</v>
      </c>
      <c r="AI84">
        <v>48.57</v>
      </c>
    </row>
    <row r="85" spans="1:35" x14ac:dyDescent="0.45">
      <c r="A85" s="2">
        <v>45870</v>
      </c>
      <c r="B85">
        <v>29.6</v>
      </c>
      <c r="C85">
        <v>29.98</v>
      </c>
      <c r="D85">
        <v>17.61</v>
      </c>
      <c r="E85">
        <v>25.78</v>
      </c>
      <c r="F85">
        <v>31.7</v>
      </c>
      <c r="G85">
        <v>48.35</v>
      </c>
      <c r="H85">
        <v>23.98</v>
      </c>
      <c r="I85">
        <v>58.39</v>
      </c>
      <c r="J85">
        <v>59.6</v>
      </c>
      <c r="K85">
        <v>70.650000000000006</v>
      </c>
      <c r="L85">
        <v>26.65</v>
      </c>
      <c r="M85">
        <v>53.43</v>
      </c>
      <c r="N85">
        <v>60.34</v>
      </c>
      <c r="O85">
        <v>52.72</v>
      </c>
      <c r="P85">
        <v>56.52</v>
      </c>
      <c r="Q85">
        <v>19.664999999999999</v>
      </c>
      <c r="R85">
        <v>1244.1400000000001</v>
      </c>
      <c r="S85">
        <v>33.92</v>
      </c>
      <c r="T85">
        <v>19.95</v>
      </c>
      <c r="U85">
        <v>15.95</v>
      </c>
      <c r="V85">
        <v>37.32</v>
      </c>
      <c r="W85">
        <v>44.69</v>
      </c>
      <c r="X85">
        <v>25.91</v>
      </c>
      <c r="Y85">
        <v>45.86</v>
      </c>
      <c r="Z85">
        <v>40.75</v>
      </c>
      <c r="AA85">
        <v>74.069999999999993</v>
      </c>
      <c r="AB85">
        <v>52.43</v>
      </c>
      <c r="AC85">
        <v>39.94</v>
      </c>
      <c r="AD85">
        <v>553.88</v>
      </c>
      <c r="AE85">
        <v>621.72</v>
      </c>
      <c r="AF85">
        <v>41.43</v>
      </c>
      <c r="AG85">
        <v>50.85</v>
      </c>
      <c r="AH85">
        <v>43.68</v>
      </c>
      <c r="AI85">
        <v>47.83</v>
      </c>
    </row>
    <row r="86" spans="1:35" x14ac:dyDescent="0.45">
      <c r="A86" s="2">
        <v>45869</v>
      </c>
      <c r="B86">
        <v>29.68</v>
      </c>
      <c r="C86">
        <v>29.83</v>
      </c>
      <c r="D86">
        <v>17.27</v>
      </c>
      <c r="E86">
        <v>25.42</v>
      </c>
      <c r="F86">
        <v>31.75</v>
      </c>
      <c r="G86">
        <v>48.65</v>
      </c>
      <c r="H86">
        <v>23.49</v>
      </c>
      <c r="I86">
        <v>58.36</v>
      </c>
      <c r="J86">
        <v>60.14</v>
      </c>
      <c r="K86">
        <v>72.81</v>
      </c>
      <c r="L86">
        <v>26.55</v>
      </c>
      <c r="M86">
        <v>53.05</v>
      </c>
      <c r="N86">
        <v>60.51</v>
      </c>
      <c r="O86">
        <v>52.64</v>
      </c>
      <c r="P86">
        <v>57.43</v>
      </c>
      <c r="Q86">
        <v>19.655000000000001</v>
      </c>
      <c r="R86">
        <v>1233.68</v>
      </c>
      <c r="S86">
        <v>33.85</v>
      </c>
      <c r="T86">
        <v>20.039899999999999</v>
      </c>
      <c r="U86">
        <v>16.010000000000002</v>
      </c>
      <c r="V86">
        <v>37.56</v>
      </c>
      <c r="W86">
        <v>45.05</v>
      </c>
      <c r="X86">
        <v>26.02</v>
      </c>
      <c r="Y86">
        <v>46.18</v>
      </c>
      <c r="Z86">
        <v>41.15</v>
      </c>
      <c r="AA86">
        <v>73.62</v>
      </c>
      <c r="AB86">
        <v>52.72</v>
      </c>
      <c r="AC86">
        <v>39.81</v>
      </c>
      <c r="AD86">
        <v>565.01</v>
      </c>
      <c r="AE86">
        <v>632.08000000000004</v>
      </c>
      <c r="AF86">
        <v>41.94</v>
      </c>
      <c r="AG86">
        <v>51.26</v>
      </c>
      <c r="AH86">
        <v>43.86</v>
      </c>
      <c r="AI86">
        <v>48.25</v>
      </c>
    </row>
    <row r="87" spans="1:35" x14ac:dyDescent="0.45">
      <c r="A87" s="2">
        <v>45868</v>
      </c>
      <c r="B87">
        <v>30.24</v>
      </c>
      <c r="C87">
        <v>29.48</v>
      </c>
      <c r="D87">
        <v>17.579999999999998</v>
      </c>
      <c r="E87">
        <v>26.175000000000001</v>
      </c>
      <c r="F87">
        <v>32.21</v>
      </c>
      <c r="G87">
        <v>47.99</v>
      </c>
      <c r="H87">
        <v>23.84</v>
      </c>
      <c r="I87">
        <v>58.35</v>
      </c>
      <c r="J87">
        <v>60.17</v>
      </c>
      <c r="K87">
        <v>73.680000000000007</v>
      </c>
      <c r="L87">
        <v>26.88</v>
      </c>
      <c r="M87">
        <v>53.99</v>
      </c>
      <c r="N87">
        <v>60.44</v>
      </c>
      <c r="O87">
        <v>52.7</v>
      </c>
      <c r="P87">
        <v>57.89</v>
      </c>
      <c r="Q87">
        <v>19.66</v>
      </c>
      <c r="R87">
        <v>1217.1500000000001</v>
      </c>
      <c r="S87">
        <v>33.659999999999997</v>
      </c>
      <c r="T87">
        <v>20.260000000000002</v>
      </c>
      <c r="U87">
        <v>16.03</v>
      </c>
      <c r="V87">
        <v>37.619999999999997</v>
      </c>
      <c r="W87">
        <v>45.19</v>
      </c>
      <c r="X87">
        <v>26.15</v>
      </c>
      <c r="Y87">
        <v>46.38</v>
      </c>
      <c r="Z87">
        <v>41.63</v>
      </c>
      <c r="AA87">
        <v>73.98</v>
      </c>
      <c r="AB87">
        <v>53.48</v>
      </c>
      <c r="AC87">
        <v>40.04</v>
      </c>
      <c r="AD87">
        <v>568.02</v>
      </c>
      <c r="AE87">
        <v>634.46</v>
      </c>
      <c r="AF87">
        <v>42.47</v>
      </c>
      <c r="AG87">
        <v>52.2</v>
      </c>
      <c r="AH87">
        <v>44.54</v>
      </c>
      <c r="AI87">
        <v>49.13</v>
      </c>
    </row>
    <row r="88" spans="1:35" x14ac:dyDescent="0.45">
      <c r="A88" s="2">
        <v>45867</v>
      </c>
      <c r="B88">
        <v>30.44</v>
      </c>
      <c r="C88">
        <v>29.83</v>
      </c>
      <c r="D88">
        <v>17.8</v>
      </c>
      <c r="E88">
        <v>26.37</v>
      </c>
      <c r="F88">
        <v>32.25</v>
      </c>
      <c r="G88">
        <v>49.44</v>
      </c>
      <c r="H88">
        <v>24.04</v>
      </c>
      <c r="I88">
        <v>58.62</v>
      </c>
      <c r="J88">
        <v>60.93</v>
      </c>
      <c r="K88">
        <v>73.489999999999995</v>
      </c>
      <c r="L88">
        <v>26.76</v>
      </c>
      <c r="M88">
        <v>54.54</v>
      </c>
      <c r="N88">
        <v>60.98</v>
      </c>
      <c r="O88">
        <v>53.49</v>
      </c>
      <c r="P88">
        <v>58.56</v>
      </c>
      <c r="Q88">
        <v>19.600000000000001</v>
      </c>
      <c r="R88">
        <v>1212.49</v>
      </c>
      <c r="S88">
        <v>33.28</v>
      </c>
      <c r="T88">
        <v>20.145</v>
      </c>
      <c r="U88">
        <v>15.9</v>
      </c>
      <c r="V88">
        <v>37.39</v>
      </c>
      <c r="W88">
        <v>45.834299999999999</v>
      </c>
      <c r="X88">
        <v>26.37</v>
      </c>
      <c r="Y88">
        <v>46.79</v>
      </c>
      <c r="Z88">
        <v>41.89</v>
      </c>
      <c r="AA88">
        <v>73.88</v>
      </c>
      <c r="AB88">
        <v>54.12</v>
      </c>
      <c r="AC88">
        <v>40.39</v>
      </c>
      <c r="AD88">
        <v>567.26</v>
      </c>
      <c r="AE88">
        <v>635.26</v>
      </c>
      <c r="AF88">
        <v>42.91</v>
      </c>
      <c r="AG88">
        <v>52.69</v>
      </c>
      <c r="AH88">
        <v>44.96</v>
      </c>
      <c r="AI88">
        <v>49.06</v>
      </c>
    </row>
    <row r="89" spans="1:35" x14ac:dyDescent="0.45">
      <c r="A89" s="2">
        <v>45866</v>
      </c>
      <c r="B89">
        <v>30.29</v>
      </c>
      <c r="C89">
        <v>29.78</v>
      </c>
      <c r="D89">
        <v>17.75</v>
      </c>
      <c r="E89">
        <v>26.55</v>
      </c>
      <c r="F89">
        <v>32.130000000000003</v>
      </c>
      <c r="G89">
        <v>49.15</v>
      </c>
      <c r="H89">
        <v>24.05</v>
      </c>
      <c r="I89">
        <v>59.06</v>
      </c>
      <c r="J89">
        <v>60.06</v>
      </c>
      <c r="K89">
        <v>72.709999999999994</v>
      </c>
      <c r="L89">
        <v>26.52</v>
      </c>
      <c r="M89">
        <v>54.22</v>
      </c>
      <c r="N89">
        <v>60.45</v>
      </c>
      <c r="O89">
        <v>53.23</v>
      </c>
      <c r="P89">
        <v>58.7</v>
      </c>
      <c r="Q89">
        <v>19.600000000000001</v>
      </c>
      <c r="R89">
        <v>1219.6199999999999</v>
      </c>
      <c r="S89">
        <v>33.43</v>
      </c>
      <c r="T89">
        <v>20.32</v>
      </c>
      <c r="U89">
        <v>16.78</v>
      </c>
      <c r="V89">
        <v>37.61</v>
      </c>
      <c r="W89">
        <v>45.64</v>
      </c>
      <c r="X89">
        <v>26.22</v>
      </c>
      <c r="Y89">
        <v>46.72</v>
      </c>
      <c r="Z89">
        <v>41.67</v>
      </c>
      <c r="AA89">
        <v>74.27</v>
      </c>
      <c r="AB89">
        <v>54.16</v>
      </c>
      <c r="AC89">
        <v>40.119999999999997</v>
      </c>
      <c r="AD89">
        <v>568.14</v>
      </c>
      <c r="AE89">
        <v>636.94000000000005</v>
      </c>
      <c r="AF89">
        <v>42.8</v>
      </c>
      <c r="AG89">
        <v>52.91</v>
      </c>
      <c r="AH89">
        <v>45.78</v>
      </c>
      <c r="AI89">
        <v>48.78</v>
      </c>
    </row>
    <row r="90" spans="1:35" x14ac:dyDescent="0.45">
      <c r="A90" s="2">
        <v>45863</v>
      </c>
      <c r="B90">
        <v>30.31</v>
      </c>
      <c r="C90">
        <v>30.34</v>
      </c>
      <c r="D90">
        <v>17.600000000000001</v>
      </c>
      <c r="E90">
        <v>26.752199999999998</v>
      </c>
      <c r="F90">
        <v>33.35</v>
      </c>
      <c r="G90">
        <v>49.61</v>
      </c>
      <c r="H90">
        <v>24.19</v>
      </c>
      <c r="I90">
        <v>59.43</v>
      </c>
      <c r="J90">
        <v>61.05</v>
      </c>
      <c r="K90">
        <v>73.209999999999994</v>
      </c>
      <c r="L90">
        <v>26.94</v>
      </c>
      <c r="M90">
        <v>54.74</v>
      </c>
      <c r="N90">
        <v>62.15</v>
      </c>
      <c r="O90">
        <v>53.8</v>
      </c>
      <c r="P90">
        <v>58.93</v>
      </c>
      <c r="Q90">
        <v>19.63</v>
      </c>
      <c r="R90">
        <v>1191.75</v>
      </c>
      <c r="S90">
        <v>33.79</v>
      </c>
      <c r="T90">
        <v>20.350000000000001</v>
      </c>
      <c r="U90">
        <v>16.47</v>
      </c>
      <c r="V90">
        <v>37.72</v>
      </c>
      <c r="W90">
        <v>46.051099999999998</v>
      </c>
      <c r="X90">
        <v>26.48</v>
      </c>
      <c r="Y90">
        <v>47.01</v>
      </c>
      <c r="Z90">
        <v>42.81</v>
      </c>
      <c r="AA90">
        <v>75.680000000000007</v>
      </c>
      <c r="AB90">
        <v>55.16</v>
      </c>
      <c r="AC90">
        <v>40.64</v>
      </c>
      <c r="AD90">
        <v>566.37</v>
      </c>
      <c r="AE90">
        <v>637.1</v>
      </c>
      <c r="AF90">
        <v>43.72</v>
      </c>
      <c r="AG90">
        <v>53.5</v>
      </c>
      <c r="AH90">
        <v>46.38</v>
      </c>
      <c r="AI90">
        <v>49.56</v>
      </c>
    </row>
    <row r="91" spans="1:35" x14ac:dyDescent="0.45">
      <c r="A91" s="2">
        <v>45862</v>
      </c>
      <c r="B91">
        <v>30.45</v>
      </c>
      <c r="C91">
        <v>30.49</v>
      </c>
      <c r="D91">
        <v>17.809999999999999</v>
      </c>
      <c r="E91">
        <v>27</v>
      </c>
      <c r="F91">
        <v>33.29</v>
      </c>
      <c r="G91">
        <v>49.98</v>
      </c>
      <c r="H91">
        <v>24.3</v>
      </c>
      <c r="I91">
        <v>59.39</v>
      </c>
      <c r="J91">
        <v>60.85</v>
      </c>
      <c r="K91">
        <v>73.31</v>
      </c>
      <c r="L91">
        <v>27.13</v>
      </c>
      <c r="M91">
        <v>55.44</v>
      </c>
      <c r="N91">
        <v>62</v>
      </c>
      <c r="O91">
        <v>54.06</v>
      </c>
      <c r="P91">
        <v>59.18</v>
      </c>
      <c r="Q91">
        <v>19.61</v>
      </c>
      <c r="R91">
        <v>1208.1300000000001</v>
      </c>
      <c r="S91">
        <v>33.950000000000003</v>
      </c>
      <c r="T91">
        <v>20.11</v>
      </c>
      <c r="U91">
        <v>15.994999999999999</v>
      </c>
      <c r="V91">
        <v>37.68</v>
      </c>
      <c r="W91">
        <v>45.98</v>
      </c>
      <c r="X91">
        <v>26.58</v>
      </c>
      <c r="Y91">
        <v>46.97</v>
      </c>
      <c r="Z91">
        <v>42.7</v>
      </c>
      <c r="AA91">
        <v>76.55</v>
      </c>
      <c r="AB91">
        <v>55.12</v>
      </c>
      <c r="AC91">
        <v>40.770000000000003</v>
      </c>
      <c r="AD91">
        <v>565.01</v>
      </c>
      <c r="AE91">
        <v>634.41999999999996</v>
      </c>
      <c r="AF91">
        <v>43.4</v>
      </c>
      <c r="AG91">
        <v>53.93</v>
      </c>
      <c r="AH91">
        <v>45.9</v>
      </c>
      <c r="AI91">
        <v>49.12</v>
      </c>
    </row>
    <row r="92" spans="1:35" x14ac:dyDescent="0.45">
      <c r="A92" s="2">
        <v>45861</v>
      </c>
      <c r="B92">
        <v>30.35</v>
      </c>
      <c r="C92">
        <v>30.41</v>
      </c>
      <c r="D92">
        <v>17.809999999999999</v>
      </c>
      <c r="E92">
        <v>27.09</v>
      </c>
      <c r="F92">
        <v>33.450000000000003</v>
      </c>
      <c r="G92">
        <v>50.3</v>
      </c>
      <c r="H92">
        <v>24.21</v>
      </c>
      <c r="I92">
        <v>59.8</v>
      </c>
      <c r="J92">
        <v>60.47</v>
      </c>
      <c r="K92">
        <v>73.849999999999994</v>
      </c>
      <c r="L92">
        <v>27.48</v>
      </c>
      <c r="M92">
        <v>56.27</v>
      </c>
      <c r="N92">
        <v>62.58</v>
      </c>
      <c r="O92">
        <v>54.73</v>
      </c>
      <c r="P92">
        <v>59.25</v>
      </c>
      <c r="Q92">
        <v>19.54</v>
      </c>
      <c r="R92">
        <v>1206.58</v>
      </c>
      <c r="S92">
        <v>33.86</v>
      </c>
      <c r="T92">
        <v>20.105</v>
      </c>
      <c r="U92">
        <v>16</v>
      </c>
      <c r="V92">
        <v>37.97</v>
      </c>
      <c r="W92">
        <v>46.134999999999998</v>
      </c>
      <c r="X92">
        <v>26.82</v>
      </c>
      <c r="Y92">
        <v>47.17</v>
      </c>
      <c r="Z92">
        <v>43.21</v>
      </c>
      <c r="AA92">
        <v>76.489999999999995</v>
      </c>
      <c r="AB92">
        <v>56.2</v>
      </c>
      <c r="AC92">
        <v>40.9</v>
      </c>
      <c r="AD92">
        <v>563.80999999999995</v>
      </c>
      <c r="AE92">
        <v>634.21</v>
      </c>
      <c r="AF92">
        <v>44.4</v>
      </c>
      <c r="AG92">
        <v>54.25</v>
      </c>
      <c r="AH92">
        <v>46.3</v>
      </c>
      <c r="AI92">
        <v>49.84</v>
      </c>
    </row>
    <row r="93" spans="1:35" x14ac:dyDescent="0.45">
      <c r="A93" s="2">
        <v>45860</v>
      </c>
      <c r="B93">
        <v>30.364999999999998</v>
      </c>
      <c r="C93">
        <v>30.39</v>
      </c>
      <c r="D93">
        <v>17.559999999999999</v>
      </c>
      <c r="E93">
        <v>26.52</v>
      </c>
      <c r="F93">
        <v>32.93</v>
      </c>
      <c r="G93">
        <v>49.55</v>
      </c>
      <c r="H93">
        <v>23.99</v>
      </c>
      <c r="I93">
        <v>58.72</v>
      </c>
      <c r="J93">
        <v>59.03</v>
      </c>
      <c r="K93">
        <v>72.89</v>
      </c>
      <c r="L93">
        <v>27</v>
      </c>
      <c r="M93">
        <v>55.74</v>
      </c>
      <c r="N93">
        <v>61.43</v>
      </c>
      <c r="O93">
        <v>54.61</v>
      </c>
      <c r="P93">
        <v>58.664999999999999</v>
      </c>
      <c r="Q93">
        <v>19.34</v>
      </c>
      <c r="R93">
        <v>1198.1099999999999</v>
      </c>
      <c r="S93">
        <v>33.869999999999997</v>
      </c>
      <c r="T93">
        <v>19.795000000000002</v>
      </c>
      <c r="U93">
        <v>15.82</v>
      </c>
      <c r="V93">
        <v>37.5</v>
      </c>
      <c r="W93">
        <v>46.155000000000001</v>
      </c>
      <c r="X93">
        <v>26.55</v>
      </c>
      <c r="Y93">
        <v>47.09</v>
      </c>
      <c r="Z93">
        <v>42.42</v>
      </c>
      <c r="AA93">
        <v>72.98</v>
      </c>
      <c r="AB93">
        <v>54.96</v>
      </c>
      <c r="AC93">
        <v>40.43</v>
      </c>
      <c r="AD93">
        <v>561.25</v>
      </c>
      <c r="AE93">
        <v>628.86</v>
      </c>
      <c r="AF93">
        <v>43.16</v>
      </c>
      <c r="AG93">
        <v>53.37</v>
      </c>
      <c r="AH93">
        <v>45.21</v>
      </c>
      <c r="AI93">
        <v>48.55</v>
      </c>
    </row>
    <row r="94" spans="1:35" x14ac:dyDescent="0.45">
      <c r="A94" s="2">
        <v>45859</v>
      </c>
      <c r="B94">
        <v>29.98</v>
      </c>
      <c r="C94">
        <v>30.3</v>
      </c>
      <c r="D94">
        <v>17.73</v>
      </c>
      <c r="E94">
        <v>26.34</v>
      </c>
      <c r="F94">
        <v>32.9</v>
      </c>
      <c r="G94">
        <v>48.93</v>
      </c>
      <c r="H94">
        <v>24.03</v>
      </c>
      <c r="I94">
        <v>59.36</v>
      </c>
      <c r="J94">
        <v>59.24</v>
      </c>
      <c r="K94">
        <v>73.87</v>
      </c>
      <c r="L94">
        <v>27.08</v>
      </c>
      <c r="M94">
        <v>55.7</v>
      </c>
      <c r="N94">
        <v>61.53</v>
      </c>
      <c r="O94">
        <v>54.75</v>
      </c>
      <c r="P94">
        <v>57.81</v>
      </c>
      <c r="Q94">
        <v>19.12</v>
      </c>
      <c r="R94">
        <v>1157.6300000000001</v>
      </c>
      <c r="S94">
        <v>33.93</v>
      </c>
      <c r="T94">
        <v>19.899999999999999</v>
      </c>
      <c r="U94">
        <v>15.35</v>
      </c>
      <c r="V94">
        <v>37.82</v>
      </c>
      <c r="W94">
        <v>46.367600000000003</v>
      </c>
      <c r="X94">
        <v>26.37</v>
      </c>
      <c r="Y94">
        <v>46.71</v>
      </c>
      <c r="Z94">
        <v>42.42</v>
      </c>
      <c r="AA94">
        <v>72.61</v>
      </c>
      <c r="AB94">
        <v>54.51</v>
      </c>
      <c r="AC94">
        <v>40.01</v>
      </c>
      <c r="AD94">
        <v>564.16999999999996</v>
      </c>
      <c r="AE94">
        <v>628.77</v>
      </c>
      <c r="AF94">
        <v>43.03</v>
      </c>
      <c r="AG94">
        <v>53.41</v>
      </c>
      <c r="AH94">
        <v>45.25</v>
      </c>
      <c r="AI94">
        <v>48.03</v>
      </c>
    </row>
    <row r="95" spans="1:35" x14ac:dyDescent="0.45">
      <c r="A95" s="2">
        <v>45856</v>
      </c>
      <c r="B95">
        <v>29.73</v>
      </c>
      <c r="C95">
        <v>30.16</v>
      </c>
      <c r="D95">
        <v>17.690000000000001</v>
      </c>
      <c r="E95">
        <v>26.11</v>
      </c>
      <c r="F95">
        <v>32.86</v>
      </c>
      <c r="G95">
        <v>48.32</v>
      </c>
      <c r="H95">
        <v>23.93</v>
      </c>
      <c r="I95">
        <v>59.24</v>
      </c>
      <c r="J95">
        <v>59.46</v>
      </c>
      <c r="K95">
        <v>72.39</v>
      </c>
      <c r="L95">
        <v>26.85</v>
      </c>
      <c r="M95">
        <v>54.81</v>
      </c>
      <c r="N95">
        <v>61.2</v>
      </c>
      <c r="O95">
        <v>54.5</v>
      </c>
      <c r="P95">
        <v>57.45</v>
      </c>
      <c r="Q95">
        <v>18.91</v>
      </c>
      <c r="R95">
        <v>1161.01</v>
      </c>
      <c r="S95">
        <v>32.994999999999997</v>
      </c>
      <c r="T95">
        <v>19.98</v>
      </c>
      <c r="U95">
        <v>15.574999999999999</v>
      </c>
      <c r="V95">
        <v>38.130000000000003</v>
      </c>
      <c r="W95">
        <v>45.695</v>
      </c>
      <c r="X95">
        <v>26.45</v>
      </c>
      <c r="Y95">
        <v>46.59</v>
      </c>
      <c r="Z95">
        <v>42.13</v>
      </c>
      <c r="AA95">
        <v>71.81</v>
      </c>
      <c r="AB95">
        <v>54.48</v>
      </c>
      <c r="AC95">
        <v>39.799999999999997</v>
      </c>
      <c r="AD95">
        <v>561.26</v>
      </c>
      <c r="AE95">
        <v>627.58000000000004</v>
      </c>
      <c r="AF95">
        <v>42.92</v>
      </c>
      <c r="AG95">
        <v>53.46</v>
      </c>
      <c r="AH95">
        <v>44.65</v>
      </c>
      <c r="AI95">
        <v>47.79</v>
      </c>
    </row>
    <row r="96" spans="1:35" x14ac:dyDescent="0.45">
      <c r="A96" s="2">
        <v>45855</v>
      </c>
      <c r="B96">
        <v>29.6</v>
      </c>
      <c r="C96">
        <v>30.23</v>
      </c>
      <c r="D96">
        <v>17.760000000000002</v>
      </c>
      <c r="E96">
        <v>26.08</v>
      </c>
      <c r="F96">
        <v>32.340000000000003</v>
      </c>
      <c r="G96">
        <v>48.2014</v>
      </c>
      <c r="H96">
        <v>23.93</v>
      </c>
      <c r="I96">
        <v>59.48</v>
      </c>
      <c r="J96">
        <v>59.79</v>
      </c>
      <c r="K96">
        <v>73.06</v>
      </c>
      <c r="L96">
        <v>27.69</v>
      </c>
      <c r="M96">
        <v>53.57</v>
      </c>
      <c r="N96">
        <v>61.52</v>
      </c>
      <c r="O96">
        <v>55.01</v>
      </c>
      <c r="P96">
        <v>56.92</v>
      </c>
      <c r="Q96">
        <v>18.96</v>
      </c>
      <c r="R96">
        <v>1143.31</v>
      </c>
      <c r="S96">
        <v>33.15</v>
      </c>
      <c r="T96">
        <v>20.05</v>
      </c>
      <c r="U96">
        <v>15.67</v>
      </c>
      <c r="V96">
        <v>38.17</v>
      </c>
      <c r="W96">
        <v>45.872</v>
      </c>
      <c r="X96">
        <v>26.28</v>
      </c>
      <c r="Y96">
        <v>46.71</v>
      </c>
      <c r="Z96">
        <v>42.35</v>
      </c>
      <c r="AA96">
        <v>72.39</v>
      </c>
      <c r="AB96">
        <v>54.36</v>
      </c>
      <c r="AC96">
        <v>39.83</v>
      </c>
      <c r="AD96">
        <v>561.79999999999995</v>
      </c>
      <c r="AE96">
        <v>628.04</v>
      </c>
      <c r="AF96">
        <v>42.98</v>
      </c>
      <c r="AG96">
        <v>53.51</v>
      </c>
      <c r="AH96">
        <v>44.98</v>
      </c>
      <c r="AI96">
        <v>47.75</v>
      </c>
    </row>
    <row r="97" spans="1:35" x14ac:dyDescent="0.45">
      <c r="A97" s="2">
        <v>45854</v>
      </c>
      <c r="B97">
        <v>29.26</v>
      </c>
      <c r="C97">
        <v>29.77</v>
      </c>
      <c r="D97">
        <v>17.7</v>
      </c>
      <c r="E97">
        <v>26.35</v>
      </c>
      <c r="F97">
        <v>31.97</v>
      </c>
      <c r="G97">
        <v>48.003799999999998</v>
      </c>
      <c r="H97">
        <v>23.71</v>
      </c>
      <c r="I97">
        <v>58.98</v>
      </c>
      <c r="J97">
        <v>59.77</v>
      </c>
      <c r="K97">
        <v>73.08</v>
      </c>
      <c r="L97">
        <v>27.57</v>
      </c>
      <c r="M97">
        <v>53.43</v>
      </c>
      <c r="N97">
        <v>60.8</v>
      </c>
      <c r="O97">
        <v>55.27</v>
      </c>
      <c r="P97">
        <v>56.51</v>
      </c>
      <c r="Q97">
        <v>18.779</v>
      </c>
      <c r="R97">
        <v>1121.1300000000001</v>
      </c>
      <c r="S97">
        <v>32.5</v>
      </c>
      <c r="T97">
        <v>19.86</v>
      </c>
      <c r="U97">
        <v>15.41</v>
      </c>
      <c r="V97">
        <v>38.1</v>
      </c>
      <c r="W97">
        <v>45.56</v>
      </c>
      <c r="X97">
        <v>26.19</v>
      </c>
      <c r="Y97">
        <v>46.47</v>
      </c>
      <c r="Z97">
        <v>42.18</v>
      </c>
      <c r="AA97">
        <v>72.02</v>
      </c>
      <c r="AB97">
        <v>54.55</v>
      </c>
      <c r="AC97">
        <v>39.85</v>
      </c>
      <c r="AD97">
        <v>557.29</v>
      </c>
      <c r="AE97">
        <v>624.22</v>
      </c>
      <c r="AF97">
        <v>42.74</v>
      </c>
      <c r="AG97">
        <v>53.47</v>
      </c>
      <c r="AH97">
        <v>44.63</v>
      </c>
      <c r="AI97">
        <v>47.76</v>
      </c>
    </row>
    <row r="98" spans="1:35" x14ac:dyDescent="0.45">
      <c r="A98" s="2">
        <v>45853</v>
      </c>
      <c r="B98">
        <v>29.29</v>
      </c>
      <c r="C98">
        <v>29.89</v>
      </c>
      <c r="D98">
        <v>17.72</v>
      </c>
      <c r="E98">
        <v>26.96</v>
      </c>
      <c r="F98">
        <v>31.66</v>
      </c>
      <c r="G98">
        <v>48.12</v>
      </c>
      <c r="H98">
        <v>23.8</v>
      </c>
      <c r="I98">
        <v>58.27</v>
      </c>
      <c r="J98">
        <v>59.38</v>
      </c>
      <c r="K98">
        <v>73.069999999999993</v>
      </c>
      <c r="L98">
        <v>27.47</v>
      </c>
      <c r="M98">
        <v>52.86</v>
      </c>
      <c r="N98">
        <v>60.25</v>
      </c>
      <c r="O98">
        <v>54.875</v>
      </c>
      <c r="P98">
        <v>56.68</v>
      </c>
      <c r="Q98">
        <v>18.690000000000001</v>
      </c>
      <c r="R98">
        <v>1110.4000000000001</v>
      </c>
      <c r="S98">
        <v>32.840000000000003</v>
      </c>
      <c r="T98">
        <v>19.41</v>
      </c>
      <c r="U98">
        <v>15.04</v>
      </c>
      <c r="V98">
        <v>38.090000000000003</v>
      </c>
      <c r="W98">
        <v>44.89</v>
      </c>
      <c r="X98">
        <v>26.07</v>
      </c>
      <c r="Y98">
        <v>46.04</v>
      </c>
      <c r="Z98">
        <v>41.82</v>
      </c>
      <c r="AA98">
        <v>71.69</v>
      </c>
      <c r="AB98">
        <v>54.18</v>
      </c>
      <c r="AC98">
        <v>39.590000000000003</v>
      </c>
      <c r="AD98">
        <v>556.72</v>
      </c>
      <c r="AE98">
        <v>622.14</v>
      </c>
      <c r="AF98">
        <v>42.56</v>
      </c>
      <c r="AG98">
        <v>54.45</v>
      </c>
      <c r="AH98">
        <v>44.69</v>
      </c>
      <c r="AI98">
        <v>47.32</v>
      </c>
    </row>
    <row r="99" spans="1:35" x14ac:dyDescent="0.45">
      <c r="A99" s="2">
        <v>45852</v>
      </c>
      <c r="B99">
        <v>29.395</v>
      </c>
      <c r="C99">
        <v>30.21</v>
      </c>
      <c r="D99">
        <v>17.63</v>
      </c>
      <c r="E99">
        <v>27.36</v>
      </c>
      <c r="F99">
        <v>32.14</v>
      </c>
      <c r="G99">
        <v>48.69</v>
      </c>
      <c r="H99">
        <v>24.09</v>
      </c>
      <c r="I99">
        <v>57.81</v>
      </c>
      <c r="J99">
        <v>59.61</v>
      </c>
      <c r="K99">
        <v>73.2</v>
      </c>
      <c r="L99">
        <v>27.31</v>
      </c>
      <c r="M99">
        <v>52.99</v>
      </c>
      <c r="N99">
        <v>60.82</v>
      </c>
      <c r="O99">
        <v>54.92</v>
      </c>
      <c r="P99">
        <v>55.55</v>
      </c>
      <c r="Q99">
        <v>18.71</v>
      </c>
      <c r="R99">
        <v>1115.6500000000001</v>
      </c>
      <c r="S99">
        <v>32.97</v>
      </c>
      <c r="T99">
        <v>19.37</v>
      </c>
      <c r="U99">
        <v>15.24</v>
      </c>
      <c r="V99">
        <v>38.65</v>
      </c>
      <c r="W99">
        <v>45.49</v>
      </c>
      <c r="X99">
        <v>26.39</v>
      </c>
      <c r="Y99">
        <v>46.44</v>
      </c>
      <c r="Z99">
        <v>42.35</v>
      </c>
      <c r="AA99">
        <v>72.41</v>
      </c>
      <c r="AB99">
        <v>54.71</v>
      </c>
      <c r="AC99">
        <v>40.03</v>
      </c>
      <c r="AD99">
        <v>556.21</v>
      </c>
      <c r="AE99">
        <v>624.80999999999995</v>
      </c>
      <c r="AF99">
        <v>43.12</v>
      </c>
      <c r="AG99">
        <v>54.4</v>
      </c>
      <c r="AH99">
        <v>45.3</v>
      </c>
      <c r="AI99">
        <v>48.16</v>
      </c>
    </row>
    <row r="100" spans="1:35" x14ac:dyDescent="0.45">
      <c r="A100" s="2">
        <v>45849</v>
      </c>
      <c r="B100">
        <v>29.2</v>
      </c>
      <c r="C100">
        <v>30.51</v>
      </c>
      <c r="D100">
        <v>17.87</v>
      </c>
      <c r="E100">
        <v>27.13</v>
      </c>
      <c r="F100">
        <v>31.95</v>
      </c>
      <c r="G100">
        <v>48.83</v>
      </c>
      <c r="H100">
        <v>24.08</v>
      </c>
      <c r="I100">
        <v>58.3</v>
      </c>
      <c r="J100">
        <v>60.13</v>
      </c>
      <c r="K100">
        <v>72.56</v>
      </c>
      <c r="L100">
        <v>27.53</v>
      </c>
      <c r="M100">
        <v>52.98</v>
      </c>
      <c r="N100">
        <v>60.99</v>
      </c>
      <c r="O100">
        <v>54.88</v>
      </c>
      <c r="P100">
        <v>54.95</v>
      </c>
      <c r="Q100">
        <v>18.73</v>
      </c>
      <c r="R100">
        <v>1123</v>
      </c>
      <c r="S100">
        <v>33.17</v>
      </c>
      <c r="T100">
        <v>19.21</v>
      </c>
      <c r="U100">
        <v>15.22</v>
      </c>
      <c r="V100">
        <v>38.89</v>
      </c>
      <c r="W100">
        <v>45.76</v>
      </c>
      <c r="X100">
        <v>26.36</v>
      </c>
      <c r="Y100">
        <v>46.13</v>
      </c>
      <c r="Z100">
        <v>42.45</v>
      </c>
      <c r="AA100">
        <v>72.36</v>
      </c>
      <c r="AB100">
        <v>54.7</v>
      </c>
      <c r="AC100">
        <v>39.92</v>
      </c>
      <c r="AD100">
        <v>554.20000000000005</v>
      </c>
      <c r="AE100">
        <v>623.62</v>
      </c>
      <c r="AF100">
        <v>43.28</v>
      </c>
      <c r="AG100">
        <v>54.41</v>
      </c>
      <c r="AH100">
        <v>45.57</v>
      </c>
      <c r="AI100">
        <v>47.99</v>
      </c>
    </row>
    <row r="101" spans="1:35" x14ac:dyDescent="0.45">
      <c r="A101" s="2">
        <v>45848</v>
      </c>
      <c r="B101">
        <v>29.32</v>
      </c>
      <c r="C101">
        <v>31.1</v>
      </c>
      <c r="D101">
        <v>17.760000000000002</v>
      </c>
      <c r="E101">
        <v>27.19</v>
      </c>
      <c r="F101">
        <v>32.049999999999997</v>
      </c>
      <c r="G101">
        <v>49.12</v>
      </c>
      <c r="H101">
        <v>24.11</v>
      </c>
      <c r="I101">
        <v>58.38</v>
      </c>
      <c r="J101">
        <v>60.29</v>
      </c>
      <c r="K101">
        <v>73.14</v>
      </c>
      <c r="L101">
        <v>27.72</v>
      </c>
      <c r="M101">
        <v>53.95</v>
      </c>
      <c r="N101">
        <v>61.32</v>
      </c>
      <c r="O101">
        <v>55.27</v>
      </c>
      <c r="P101">
        <v>55.01</v>
      </c>
      <c r="Q101">
        <v>18.75</v>
      </c>
      <c r="R101">
        <v>1119.94</v>
      </c>
      <c r="S101">
        <v>33.25</v>
      </c>
      <c r="T101">
        <v>19.079999999999998</v>
      </c>
      <c r="U101">
        <v>15.12</v>
      </c>
      <c r="V101">
        <v>39</v>
      </c>
      <c r="W101">
        <v>46.01</v>
      </c>
      <c r="X101">
        <v>26.58</v>
      </c>
      <c r="Y101">
        <v>46.41</v>
      </c>
      <c r="Z101">
        <v>42.86</v>
      </c>
      <c r="AA101">
        <v>72.94</v>
      </c>
      <c r="AB101">
        <v>55.45</v>
      </c>
      <c r="AC101">
        <v>40.270000000000003</v>
      </c>
      <c r="AD101">
        <v>555.45000000000005</v>
      </c>
      <c r="AE101">
        <v>625.82000000000005</v>
      </c>
      <c r="AF101">
        <v>43.75</v>
      </c>
      <c r="AG101">
        <v>54.63</v>
      </c>
      <c r="AH101">
        <v>46.39</v>
      </c>
      <c r="AI101">
        <v>48.53</v>
      </c>
    </row>
    <row r="102" spans="1:35" x14ac:dyDescent="0.45">
      <c r="A102" s="2">
        <v>45847</v>
      </c>
      <c r="B102">
        <v>29.07</v>
      </c>
      <c r="C102">
        <v>31.04</v>
      </c>
      <c r="D102">
        <v>17.47</v>
      </c>
      <c r="E102">
        <v>27.15</v>
      </c>
      <c r="F102">
        <v>32.72</v>
      </c>
      <c r="G102">
        <v>48.81</v>
      </c>
      <c r="H102">
        <v>23.98</v>
      </c>
      <c r="I102">
        <v>58.03</v>
      </c>
      <c r="J102">
        <v>60.28</v>
      </c>
      <c r="K102">
        <v>72.08</v>
      </c>
      <c r="L102">
        <v>28.16</v>
      </c>
      <c r="M102">
        <v>54</v>
      </c>
      <c r="N102">
        <v>61.08</v>
      </c>
      <c r="O102">
        <v>55.66</v>
      </c>
      <c r="P102">
        <v>54.58</v>
      </c>
      <c r="Q102">
        <v>18.75</v>
      </c>
      <c r="R102">
        <v>1127.21</v>
      </c>
      <c r="S102">
        <v>32.79</v>
      </c>
      <c r="T102">
        <v>19.13</v>
      </c>
      <c r="U102">
        <v>14.89</v>
      </c>
      <c r="V102">
        <v>38.89</v>
      </c>
      <c r="W102">
        <v>46.07</v>
      </c>
      <c r="X102">
        <v>26.24</v>
      </c>
      <c r="Y102">
        <v>46.13</v>
      </c>
      <c r="Z102">
        <v>43.26</v>
      </c>
      <c r="AA102">
        <v>73.3</v>
      </c>
      <c r="AB102">
        <v>55.28</v>
      </c>
      <c r="AC102">
        <v>40.01</v>
      </c>
      <c r="AD102">
        <v>556.25</v>
      </c>
      <c r="AE102">
        <v>624.05999999999995</v>
      </c>
      <c r="AF102">
        <v>43.84</v>
      </c>
      <c r="AG102">
        <v>54.58</v>
      </c>
      <c r="AH102">
        <v>46.05</v>
      </c>
      <c r="AI102">
        <v>49.17</v>
      </c>
    </row>
    <row r="103" spans="1:35" x14ac:dyDescent="0.45">
      <c r="A103" s="2">
        <v>45846</v>
      </c>
      <c r="B103">
        <v>29.12</v>
      </c>
      <c r="C103">
        <v>31.41</v>
      </c>
      <c r="D103">
        <v>17.309999999999999</v>
      </c>
      <c r="E103">
        <v>26.78</v>
      </c>
      <c r="F103">
        <v>32.619999999999997</v>
      </c>
      <c r="G103">
        <v>49.3</v>
      </c>
      <c r="H103">
        <v>23.95</v>
      </c>
      <c r="I103">
        <v>57.66</v>
      </c>
      <c r="J103">
        <v>60.89</v>
      </c>
      <c r="K103">
        <v>72.08</v>
      </c>
      <c r="L103">
        <v>28.71</v>
      </c>
      <c r="M103">
        <v>53.81</v>
      </c>
      <c r="N103">
        <v>60.9</v>
      </c>
      <c r="O103">
        <v>55.69</v>
      </c>
      <c r="P103">
        <v>55.13</v>
      </c>
      <c r="Q103">
        <v>18.73</v>
      </c>
      <c r="R103">
        <v>1115.69</v>
      </c>
      <c r="S103">
        <v>32.119999999999997</v>
      </c>
      <c r="T103">
        <v>18.84</v>
      </c>
      <c r="U103">
        <v>14.51</v>
      </c>
      <c r="V103">
        <v>38.9</v>
      </c>
      <c r="W103">
        <v>45.98</v>
      </c>
      <c r="X103">
        <v>26.14</v>
      </c>
      <c r="Y103">
        <v>46</v>
      </c>
      <c r="Z103">
        <v>42.59</v>
      </c>
      <c r="AA103">
        <v>73.19</v>
      </c>
      <c r="AB103">
        <v>54.82</v>
      </c>
      <c r="AC103">
        <v>39.79</v>
      </c>
      <c r="AD103">
        <v>552.34</v>
      </c>
      <c r="AE103">
        <v>620.34</v>
      </c>
      <c r="AF103">
        <v>43.27</v>
      </c>
      <c r="AG103">
        <v>54.33</v>
      </c>
      <c r="AH103">
        <v>45.55</v>
      </c>
      <c r="AI103">
        <v>48.34</v>
      </c>
    </row>
    <row r="104" spans="1:35" x14ac:dyDescent="0.45">
      <c r="A104" s="2">
        <v>45845</v>
      </c>
      <c r="B104">
        <v>28.86</v>
      </c>
      <c r="C104">
        <v>31.02</v>
      </c>
      <c r="D104">
        <v>17.34</v>
      </c>
      <c r="E104">
        <v>26.72</v>
      </c>
      <c r="F104">
        <v>32.25</v>
      </c>
      <c r="G104">
        <v>49.62</v>
      </c>
      <c r="H104">
        <v>23.93</v>
      </c>
      <c r="I104">
        <v>57.63</v>
      </c>
      <c r="J104">
        <v>61.11</v>
      </c>
      <c r="K104">
        <v>70.069999999999993</v>
      </c>
      <c r="L104">
        <v>28.6</v>
      </c>
      <c r="M104">
        <v>53.84</v>
      </c>
      <c r="N104">
        <v>59.12</v>
      </c>
      <c r="O104">
        <v>55.36</v>
      </c>
      <c r="P104">
        <v>54.62</v>
      </c>
      <c r="Q104">
        <v>18.68</v>
      </c>
      <c r="R104">
        <v>1110.01</v>
      </c>
      <c r="S104">
        <v>32.44</v>
      </c>
      <c r="T104">
        <v>18.86</v>
      </c>
      <c r="U104">
        <v>14.18</v>
      </c>
      <c r="V104">
        <v>39.08</v>
      </c>
      <c r="W104">
        <v>45.5</v>
      </c>
      <c r="X104">
        <v>25.98</v>
      </c>
      <c r="Y104">
        <v>46.18</v>
      </c>
      <c r="Z104">
        <v>42.23</v>
      </c>
      <c r="AA104">
        <v>72.819999999999993</v>
      </c>
      <c r="AB104">
        <v>54.53</v>
      </c>
      <c r="AC104">
        <v>39.42</v>
      </c>
      <c r="AD104">
        <v>552.03</v>
      </c>
      <c r="AE104">
        <v>620.67999999999995</v>
      </c>
      <c r="AF104">
        <v>42.68</v>
      </c>
      <c r="AG104">
        <v>53.98</v>
      </c>
      <c r="AH104">
        <v>45.52</v>
      </c>
      <c r="AI104">
        <v>47.87</v>
      </c>
    </row>
    <row r="105" spans="1:35" x14ac:dyDescent="0.45">
      <c r="A105" s="2">
        <v>45841</v>
      </c>
      <c r="B105">
        <v>28.91</v>
      </c>
      <c r="C105">
        <v>31.82</v>
      </c>
      <c r="D105">
        <v>17.47</v>
      </c>
      <c r="E105">
        <v>27.08</v>
      </c>
      <c r="F105">
        <v>32.82</v>
      </c>
      <c r="G105">
        <v>50.06</v>
      </c>
      <c r="H105">
        <v>24.41</v>
      </c>
      <c r="I105">
        <v>59.44</v>
      </c>
      <c r="J105">
        <v>61.7</v>
      </c>
      <c r="K105">
        <v>72.7</v>
      </c>
      <c r="L105">
        <v>29.31</v>
      </c>
      <c r="M105">
        <v>54.79</v>
      </c>
      <c r="N105">
        <v>59.72</v>
      </c>
      <c r="O105">
        <v>55.79</v>
      </c>
      <c r="P105">
        <v>54.72</v>
      </c>
      <c r="Q105">
        <v>18.63</v>
      </c>
      <c r="R105">
        <v>1089.56</v>
      </c>
      <c r="S105">
        <v>33.04</v>
      </c>
      <c r="T105">
        <v>18.84</v>
      </c>
      <c r="U105">
        <v>13.96</v>
      </c>
      <c r="V105">
        <v>38.89</v>
      </c>
      <c r="W105">
        <v>45.96</v>
      </c>
      <c r="X105">
        <v>26.48</v>
      </c>
      <c r="Y105">
        <v>46.67</v>
      </c>
      <c r="Z105">
        <v>42.21</v>
      </c>
      <c r="AA105">
        <v>74.599999999999994</v>
      </c>
      <c r="AB105">
        <v>54.9</v>
      </c>
      <c r="AC105">
        <v>39.82</v>
      </c>
      <c r="AD105">
        <v>556.22</v>
      </c>
      <c r="AE105">
        <v>625.34</v>
      </c>
      <c r="AF105">
        <v>43.08</v>
      </c>
      <c r="AG105">
        <v>54.29</v>
      </c>
      <c r="AH105">
        <v>45.62</v>
      </c>
      <c r="AI105">
        <v>48.21</v>
      </c>
    </row>
    <row r="106" spans="1:35" x14ac:dyDescent="0.45">
      <c r="A106" s="2">
        <v>45840</v>
      </c>
      <c r="B106">
        <v>28.7</v>
      </c>
      <c r="C106">
        <v>31.85</v>
      </c>
      <c r="D106">
        <v>17.48</v>
      </c>
      <c r="E106">
        <v>27</v>
      </c>
      <c r="F106">
        <v>32.19</v>
      </c>
      <c r="G106">
        <v>49.75</v>
      </c>
      <c r="H106">
        <v>24.41</v>
      </c>
      <c r="I106">
        <v>58.75</v>
      </c>
      <c r="J106">
        <v>61.59</v>
      </c>
      <c r="K106">
        <v>71.95</v>
      </c>
      <c r="L106">
        <v>28.91</v>
      </c>
      <c r="M106">
        <v>54.31</v>
      </c>
      <c r="N106">
        <v>59.34</v>
      </c>
      <c r="O106">
        <v>55.6</v>
      </c>
      <c r="P106">
        <v>55</v>
      </c>
      <c r="Q106">
        <v>18.559999999999999</v>
      </c>
      <c r="R106">
        <v>1082.42</v>
      </c>
      <c r="S106">
        <v>33.07</v>
      </c>
      <c r="T106">
        <v>18.600000000000001</v>
      </c>
      <c r="U106">
        <v>13.76</v>
      </c>
      <c r="V106">
        <v>38.44</v>
      </c>
      <c r="W106">
        <v>46.265000000000001</v>
      </c>
      <c r="X106">
        <v>26.54</v>
      </c>
      <c r="Y106">
        <v>46.33</v>
      </c>
      <c r="Z106">
        <v>42.17</v>
      </c>
      <c r="AA106">
        <v>74.459999999999994</v>
      </c>
      <c r="AB106">
        <v>55.27</v>
      </c>
      <c r="AC106">
        <v>39.61</v>
      </c>
      <c r="AD106">
        <v>550.79999999999995</v>
      </c>
      <c r="AE106">
        <v>620.45000000000005</v>
      </c>
      <c r="AF106">
        <v>43.27</v>
      </c>
      <c r="AG106">
        <v>54.3</v>
      </c>
      <c r="AH106">
        <v>45.51</v>
      </c>
      <c r="AI106">
        <v>48.29</v>
      </c>
    </row>
    <row r="107" spans="1:35" x14ac:dyDescent="0.45">
      <c r="A107" s="2">
        <v>45839</v>
      </c>
      <c r="B107">
        <v>28.71</v>
      </c>
      <c r="C107">
        <v>31.51</v>
      </c>
      <c r="D107">
        <v>17.489999999999998</v>
      </c>
      <c r="E107">
        <v>27.14</v>
      </c>
      <c r="F107">
        <v>32.06</v>
      </c>
      <c r="G107">
        <v>48.857199999999999</v>
      </c>
      <c r="H107">
        <v>24.38</v>
      </c>
      <c r="I107">
        <v>57.58</v>
      </c>
      <c r="J107">
        <v>61.12</v>
      </c>
      <c r="K107">
        <v>71.64</v>
      </c>
      <c r="L107">
        <v>28.79</v>
      </c>
      <c r="M107">
        <v>54.21</v>
      </c>
      <c r="N107">
        <v>58.63</v>
      </c>
      <c r="O107">
        <v>55.84</v>
      </c>
      <c r="P107">
        <v>55.27</v>
      </c>
      <c r="Q107">
        <v>18.579999999999998</v>
      </c>
      <c r="R107">
        <v>1106.73</v>
      </c>
      <c r="S107">
        <v>32.479999999999997</v>
      </c>
      <c r="T107">
        <v>18.66</v>
      </c>
      <c r="U107">
        <v>13.72</v>
      </c>
      <c r="V107">
        <v>38.25</v>
      </c>
      <c r="W107">
        <v>45.96</v>
      </c>
      <c r="X107">
        <v>26.35</v>
      </c>
      <c r="Y107">
        <v>46.19</v>
      </c>
      <c r="Z107">
        <v>42.01</v>
      </c>
      <c r="AA107">
        <v>74.42</v>
      </c>
      <c r="AB107">
        <v>54.98</v>
      </c>
      <c r="AC107">
        <v>39.85</v>
      </c>
      <c r="AD107">
        <v>546.99</v>
      </c>
      <c r="AE107">
        <v>617.65</v>
      </c>
      <c r="AF107">
        <v>42.87</v>
      </c>
      <c r="AG107">
        <v>54.07</v>
      </c>
      <c r="AH107">
        <v>45.19</v>
      </c>
      <c r="AI107">
        <v>48.05</v>
      </c>
    </row>
    <row r="108" spans="1:35" x14ac:dyDescent="0.45">
      <c r="A108" s="2">
        <v>45838</v>
      </c>
      <c r="B108">
        <v>28.71</v>
      </c>
      <c r="C108">
        <v>31.45</v>
      </c>
      <c r="D108">
        <v>17.63</v>
      </c>
      <c r="E108">
        <v>27.12</v>
      </c>
      <c r="F108">
        <v>32.26</v>
      </c>
      <c r="G108">
        <v>48.59</v>
      </c>
      <c r="H108">
        <v>24.34</v>
      </c>
      <c r="I108">
        <v>57.4</v>
      </c>
      <c r="J108">
        <v>60.56</v>
      </c>
      <c r="K108">
        <v>71.78</v>
      </c>
      <c r="L108">
        <v>28.85</v>
      </c>
      <c r="M108">
        <v>53.75</v>
      </c>
      <c r="N108">
        <v>58.04</v>
      </c>
      <c r="O108">
        <v>55.68</v>
      </c>
      <c r="P108">
        <v>55.1</v>
      </c>
      <c r="Q108">
        <v>18.62</v>
      </c>
      <c r="R108">
        <v>1107.69</v>
      </c>
      <c r="S108">
        <v>32.26</v>
      </c>
      <c r="T108">
        <v>18.72</v>
      </c>
      <c r="U108">
        <v>13.75</v>
      </c>
      <c r="V108">
        <v>38.54</v>
      </c>
      <c r="W108">
        <v>45.61</v>
      </c>
      <c r="X108">
        <v>26.32</v>
      </c>
      <c r="Y108">
        <v>46.2</v>
      </c>
      <c r="Z108">
        <v>42.31</v>
      </c>
      <c r="AA108">
        <v>74.97</v>
      </c>
      <c r="AB108">
        <v>54.81</v>
      </c>
      <c r="AC108">
        <v>39.72</v>
      </c>
      <c r="AD108">
        <v>551.64</v>
      </c>
      <c r="AE108">
        <v>617.85</v>
      </c>
      <c r="AF108">
        <v>42.8</v>
      </c>
      <c r="AG108">
        <v>54.5</v>
      </c>
      <c r="AH108">
        <v>45.74</v>
      </c>
      <c r="AI108">
        <v>48.14</v>
      </c>
    </row>
    <row r="109" spans="1:35" x14ac:dyDescent="0.45">
      <c r="A109" s="2">
        <v>45835</v>
      </c>
      <c r="B109">
        <v>28.46</v>
      </c>
      <c r="C109">
        <v>31.05</v>
      </c>
      <c r="D109">
        <v>17.489999999999998</v>
      </c>
      <c r="E109">
        <v>27.23</v>
      </c>
      <c r="F109">
        <v>31.69</v>
      </c>
      <c r="G109">
        <v>48.49</v>
      </c>
      <c r="H109">
        <v>24.07</v>
      </c>
      <c r="I109">
        <v>57.85</v>
      </c>
      <c r="J109">
        <v>60.32</v>
      </c>
      <c r="K109">
        <v>70.739999999999995</v>
      </c>
      <c r="L109">
        <v>28.14</v>
      </c>
      <c r="M109">
        <v>52.64</v>
      </c>
      <c r="N109">
        <v>58.17</v>
      </c>
      <c r="O109">
        <v>55.86</v>
      </c>
      <c r="P109">
        <v>55.18</v>
      </c>
      <c r="Q109">
        <v>18.57</v>
      </c>
      <c r="R109">
        <v>1100.01</v>
      </c>
      <c r="S109">
        <v>30.49</v>
      </c>
      <c r="T109">
        <v>18.57</v>
      </c>
      <c r="U109">
        <v>13.73</v>
      </c>
      <c r="V109">
        <v>38.26</v>
      </c>
      <c r="W109">
        <v>45.37</v>
      </c>
      <c r="X109">
        <v>26.09</v>
      </c>
      <c r="Y109">
        <v>45.58</v>
      </c>
      <c r="Z109">
        <v>42.3</v>
      </c>
      <c r="AA109">
        <v>75.28</v>
      </c>
      <c r="AB109">
        <v>54.63</v>
      </c>
      <c r="AC109">
        <v>39.72</v>
      </c>
      <c r="AD109">
        <v>548.09</v>
      </c>
      <c r="AE109">
        <v>614.91</v>
      </c>
      <c r="AF109">
        <v>42.61</v>
      </c>
      <c r="AG109">
        <v>54.36</v>
      </c>
      <c r="AH109">
        <v>46.02</v>
      </c>
      <c r="AI109">
        <v>47.86</v>
      </c>
    </row>
    <row r="110" spans="1:35" x14ac:dyDescent="0.45">
      <c r="A110" s="2">
        <v>45834</v>
      </c>
      <c r="B110">
        <v>28.79</v>
      </c>
      <c r="C110">
        <v>31.26</v>
      </c>
      <c r="D110">
        <v>17.510000000000002</v>
      </c>
      <c r="E110">
        <v>26.85</v>
      </c>
      <c r="F110">
        <v>31.65</v>
      </c>
      <c r="G110">
        <v>49.107799999999997</v>
      </c>
      <c r="H110">
        <v>24.07</v>
      </c>
      <c r="I110">
        <v>57.85</v>
      </c>
      <c r="J110">
        <v>60.31</v>
      </c>
      <c r="K110">
        <v>71.94</v>
      </c>
      <c r="L110">
        <v>28.13</v>
      </c>
      <c r="M110">
        <v>52.98</v>
      </c>
      <c r="N110">
        <v>59.31</v>
      </c>
      <c r="O110">
        <v>55.71</v>
      </c>
      <c r="P110">
        <v>55.54</v>
      </c>
      <c r="Q110">
        <v>18.53</v>
      </c>
      <c r="R110">
        <v>1062.78</v>
      </c>
      <c r="S110">
        <v>30.19</v>
      </c>
      <c r="T110">
        <v>18.5</v>
      </c>
      <c r="U110">
        <v>13.61</v>
      </c>
      <c r="V110">
        <v>38.159999999999997</v>
      </c>
      <c r="W110">
        <v>45.32</v>
      </c>
      <c r="X110">
        <v>26.43</v>
      </c>
      <c r="Y110">
        <v>45.92</v>
      </c>
      <c r="Z110">
        <v>41.64</v>
      </c>
      <c r="AA110">
        <v>73.97</v>
      </c>
      <c r="AB110">
        <v>54.26</v>
      </c>
      <c r="AC110">
        <v>39.69</v>
      </c>
      <c r="AD110">
        <v>546.22</v>
      </c>
      <c r="AE110">
        <v>611.87</v>
      </c>
      <c r="AF110">
        <v>42.14</v>
      </c>
      <c r="AG110">
        <v>53.97</v>
      </c>
      <c r="AH110">
        <v>45.33</v>
      </c>
      <c r="AI110">
        <v>47.5</v>
      </c>
    </row>
    <row r="111" spans="1:35" x14ac:dyDescent="0.45">
      <c r="A111" s="2">
        <v>45833</v>
      </c>
      <c r="B111">
        <v>28.805</v>
      </c>
      <c r="C111">
        <v>30.86</v>
      </c>
      <c r="D111">
        <v>17.18</v>
      </c>
      <c r="E111">
        <v>26.81</v>
      </c>
      <c r="F111">
        <v>30.57</v>
      </c>
      <c r="G111">
        <v>47.315899999999999</v>
      </c>
      <c r="H111">
        <v>23.82</v>
      </c>
      <c r="I111">
        <v>57.31</v>
      </c>
      <c r="J111">
        <v>59.68</v>
      </c>
      <c r="K111">
        <v>72.37</v>
      </c>
      <c r="L111">
        <v>27.57</v>
      </c>
      <c r="M111">
        <v>52.89</v>
      </c>
      <c r="N111">
        <v>58.42</v>
      </c>
      <c r="O111">
        <v>55</v>
      </c>
      <c r="P111">
        <v>55.53</v>
      </c>
      <c r="Q111">
        <v>18.36</v>
      </c>
      <c r="R111">
        <v>1067.6300000000001</v>
      </c>
      <c r="S111">
        <v>30.68</v>
      </c>
      <c r="T111">
        <v>18.22</v>
      </c>
      <c r="U111">
        <v>13.54</v>
      </c>
      <c r="V111">
        <v>37.82</v>
      </c>
      <c r="W111">
        <v>44.6</v>
      </c>
      <c r="X111">
        <v>26.03</v>
      </c>
      <c r="Y111">
        <v>45.32</v>
      </c>
      <c r="Z111">
        <v>41.15</v>
      </c>
      <c r="AA111">
        <v>72.44</v>
      </c>
      <c r="AB111">
        <v>53.75</v>
      </c>
      <c r="AC111">
        <v>39.28</v>
      </c>
      <c r="AD111">
        <v>541.16</v>
      </c>
      <c r="AE111">
        <v>607.12</v>
      </c>
      <c r="AF111">
        <v>41.89</v>
      </c>
      <c r="AG111">
        <v>53.8</v>
      </c>
      <c r="AH111">
        <v>44.67</v>
      </c>
      <c r="AI111">
        <v>47.17</v>
      </c>
    </row>
    <row r="112" spans="1:35" x14ac:dyDescent="0.45">
      <c r="A112" s="2">
        <v>45832</v>
      </c>
      <c r="B112">
        <v>28.55</v>
      </c>
      <c r="C112">
        <v>30.96</v>
      </c>
      <c r="D112">
        <v>17.38</v>
      </c>
      <c r="E112">
        <v>26.61</v>
      </c>
      <c r="F112">
        <v>30.56</v>
      </c>
      <c r="G112">
        <v>47.313000000000002</v>
      </c>
      <c r="H112">
        <v>23.77</v>
      </c>
      <c r="I112">
        <v>56.82</v>
      </c>
      <c r="J112">
        <v>59.21</v>
      </c>
      <c r="K112">
        <v>72.650000000000006</v>
      </c>
      <c r="L112">
        <v>27.98</v>
      </c>
      <c r="M112">
        <v>53.46</v>
      </c>
      <c r="N112">
        <v>57.86</v>
      </c>
      <c r="O112">
        <v>54.8</v>
      </c>
      <c r="P112">
        <v>55.57</v>
      </c>
      <c r="Q112">
        <v>18.25</v>
      </c>
      <c r="R112">
        <v>1068.73</v>
      </c>
      <c r="S112">
        <v>30.86</v>
      </c>
      <c r="T112">
        <v>18.3</v>
      </c>
      <c r="U112">
        <v>13.62</v>
      </c>
      <c r="V112">
        <v>37.72</v>
      </c>
      <c r="W112">
        <v>44.79</v>
      </c>
      <c r="X112">
        <v>26.05</v>
      </c>
      <c r="Y112">
        <v>45.62</v>
      </c>
      <c r="Z112">
        <v>41.39</v>
      </c>
      <c r="AA112">
        <v>72.739999999999995</v>
      </c>
      <c r="AB112">
        <v>54.32</v>
      </c>
      <c r="AC112">
        <v>39.409999999999997</v>
      </c>
      <c r="AD112">
        <v>539.78</v>
      </c>
      <c r="AE112">
        <v>606.78</v>
      </c>
      <c r="AF112">
        <v>42.04</v>
      </c>
      <c r="AG112">
        <v>54.16</v>
      </c>
      <c r="AH112">
        <v>44.95</v>
      </c>
      <c r="AI112">
        <v>47.2</v>
      </c>
    </row>
    <row r="113" spans="1:35" x14ac:dyDescent="0.45">
      <c r="A113" s="2">
        <v>45831</v>
      </c>
      <c r="B113">
        <v>28.03</v>
      </c>
      <c r="C113">
        <v>30.03</v>
      </c>
      <c r="D113">
        <v>16.89</v>
      </c>
      <c r="E113">
        <v>25.96</v>
      </c>
      <c r="F113">
        <v>29.51</v>
      </c>
      <c r="G113">
        <v>46.97</v>
      </c>
      <c r="H113">
        <v>23.53</v>
      </c>
      <c r="I113">
        <v>55.18</v>
      </c>
      <c r="J113">
        <v>57.94</v>
      </c>
      <c r="K113">
        <v>69.42</v>
      </c>
      <c r="L113">
        <v>27.66</v>
      </c>
      <c r="M113">
        <v>52.35</v>
      </c>
      <c r="N113">
        <v>56.55</v>
      </c>
      <c r="O113">
        <v>54.31</v>
      </c>
      <c r="P113">
        <v>54.13</v>
      </c>
      <c r="Q113">
        <v>17.96</v>
      </c>
      <c r="R113">
        <v>1094.58</v>
      </c>
      <c r="S113">
        <v>30.08</v>
      </c>
      <c r="T113">
        <v>17.66</v>
      </c>
      <c r="U113">
        <v>13.4</v>
      </c>
      <c r="V113">
        <v>37.1</v>
      </c>
      <c r="W113">
        <v>44.86</v>
      </c>
      <c r="X113">
        <v>25.79</v>
      </c>
      <c r="Y113">
        <v>45.33</v>
      </c>
      <c r="Z113">
        <v>40.75</v>
      </c>
      <c r="AA113">
        <v>72.02</v>
      </c>
      <c r="AB113">
        <v>53.46</v>
      </c>
      <c r="AC113">
        <v>39.17</v>
      </c>
      <c r="AD113">
        <v>531.65</v>
      </c>
      <c r="AE113">
        <v>600.15</v>
      </c>
      <c r="AF113">
        <v>41.57</v>
      </c>
      <c r="AG113">
        <v>53.03</v>
      </c>
      <c r="AH113">
        <v>43.96</v>
      </c>
      <c r="AI113">
        <v>46.45</v>
      </c>
    </row>
    <row r="114" spans="1:35" x14ac:dyDescent="0.45">
      <c r="A114" s="2">
        <v>45828</v>
      </c>
      <c r="B114">
        <v>27.925000000000001</v>
      </c>
      <c r="C114">
        <v>30.1</v>
      </c>
      <c r="D114">
        <v>17.18</v>
      </c>
      <c r="E114">
        <v>26.5</v>
      </c>
      <c r="F114">
        <v>29.72</v>
      </c>
      <c r="G114">
        <v>47.08</v>
      </c>
      <c r="H114">
        <v>23.41</v>
      </c>
      <c r="I114">
        <v>54.84</v>
      </c>
      <c r="J114">
        <v>58.11</v>
      </c>
      <c r="K114">
        <v>68.53</v>
      </c>
      <c r="L114">
        <v>27.67</v>
      </c>
      <c r="M114">
        <v>51.73</v>
      </c>
      <c r="N114">
        <v>54.71</v>
      </c>
      <c r="O114">
        <v>53.9</v>
      </c>
      <c r="P114">
        <v>53.5</v>
      </c>
      <c r="Q114">
        <v>17.72</v>
      </c>
      <c r="R114">
        <v>1113.58</v>
      </c>
      <c r="S114">
        <v>29.96</v>
      </c>
      <c r="T114">
        <v>17.260000000000002</v>
      </c>
      <c r="U114">
        <v>13.345000000000001</v>
      </c>
      <c r="V114">
        <v>36.56</v>
      </c>
      <c r="W114">
        <v>44.6</v>
      </c>
      <c r="X114">
        <v>25.55</v>
      </c>
      <c r="Y114">
        <v>45.1</v>
      </c>
      <c r="Z114">
        <v>40.340000000000003</v>
      </c>
      <c r="AA114">
        <v>71.760000000000005</v>
      </c>
      <c r="AB114">
        <v>52.68</v>
      </c>
      <c r="AC114">
        <v>38.9</v>
      </c>
      <c r="AD114">
        <v>526.83000000000004</v>
      </c>
      <c r="AE114">
        <v>594.28</v>
      </c>
      <c r="AF114">
        <v>41.29</v>
      </c>
      <c r="AG114">
        <v>51.892699999999998</v>
      </c>
      <c r="AH114">
        <v>43.81</v>
      </c>
      <c r="AI114">
        <v>46.36</v>
      </c>
    </row>
    <row r="115" spans="1:35" x14ac:dyDescent="0.45">
      <c r="A115" s="2">
        <v>45826</v>
      </c>
      <c r="B115">
        <v>27.96</v>
      </c>
      <c r="C115">
        <v>30.34</v>
      </c>
      <c r="D115">
        <v>17.87</v>
      </c>
      <c r="E115">
        <v>26.7</v>
      </c>
      <c r="F115">
        <v>29.36</v>
      </c>
      <c r="G115">
        <v>47.413699999999999</v>
      </c>
      <c r="H115">
        <v>23.59</v>
      </c>
      <c r="I115">
        <v>56.03</v>
      </c>
      <c r="J115">
        <v>58.97</v>
      </c>
      <c r="K115">
        <v>67.87</v>
      </c>
      <c r="L115">
        <v>28.08</v>
      </c>
      <c r="M115">
        <v>51.8</v>
      </c>
      <c r="N115">
        <v>54.58</v>
      </c>
      <c r="O115">
        <v>53.79</v>
      </c>
      <c r="P115">
        <v>53.93</v>
      </c>
      <c r="Q115">
        <v>17.82</v>
      </c>
      <c r="R115">
        <v>1114.49</v>
      </c>
      <c r="S115">
        <v>30.11</v>
      </c>
      <c r="T115">
        <v>16.989999999999998</v>
      </c>
      <c r="U115">
        <v>13.36</v>
      </c>
      <c r="V115">
        <v>36.36</v>
      </c>
      <c r="W115">
        <v>45.08</v>
      </c>
      <c r="X115">
        <v>25.86</v>
      </c>
      <c r="Y115">
        <v>45.32</v>
      </c>
      <c r="Z115">
        <v>40.28</v>
      </c>
      <c r="AA115">
        <v>73.05</v>
      </c>
      <c r="AB115">
        <v>53.25</v>
      </c>
      <c r="AC115">
        <v>39.22</v>
      </c>
      <c r="AD115">
        <v>528.99</v>
      </c>
      <c r="AE115">
        <v>597.44000000000005</v>
      </c>
      <c r="AF115">
        <v>41.67</v>
      </c>
      <c r="AG115">
        <v>52.247599999999998</v>
      </c>
      <c r="AH115">
        <v>43.98</v>
      </c>
      <c r="AI115">
        <v>46.46</v>
      </c>
    </row>
    <row r="116" spans="1:35" x14ac:dyDescent="0.45">
      <c r="A116" s="2">
        <v>45825</v>
      </c>
      <c r="B116">
        <v>28</v>
      </c>
      <c r="C116">
        <v>30.45</v>
      </c>
      <c r="D116">
        <v>18.02</v>
      </c>
      <c r="E116">
        <v>26.98</v>
      </c>
      <c r="F116">
        <v>29.39</v>
      </c>
      <c r="G116">
        <v>47.62</v>
      </c>
      <c r="H116">
        <v>23.53</v>
      </c>
      <c r="I116">
        <v>55.65</v>
      </c>
      <c r="J116">
        <v>58.91</v>
      </c>
      <c r="K116">
        <v>66.63</v>
      </c>
      <c r="L116">
        <v>28.11</v>
      </c>
      <c r="M116">
        <v>51.56</v>
      </c>
      <c r="N116">
        <v>54.88</v>
      </c>
      <c r="O116">
        <v>53.83</v>
      </c>
      <c r="P116">
        <v>54.44</v>
      </c>
      <c r="Q116">
        <v>17.895</v>
      </c>
      <c r="R116">
        <v>1122.7</v>
      </c>
      <c r="S116">
        <v>30.21</v>
      </c>
      <c r="T116">
        <v>17.239999999999998</v>
      </c>
      <c r="U116">
        <v>13.31</v>
      </c>
      <c r="V116">
        <v>36.83</v>
      </c>
      <c r="W116">
        <v>45.09</v>
      </c>
      <c r="X116">
        <v>25.77</v>
      </c>
      <c r="Y116">
        <v>45.45</v>
      </c>
      <c r="Z116">
        <v>40.4</v>
      </c>
      <c r="AA116">
        <v>72.28</v>
      </c>
      <c r="AB116">
        <v>53.42</v>
      </c>
      <c r="AC116">
        <v>39.200000000000003</v>
      </c>
      <c r="AD116">
        <v>529.08000000000004</v>
      </c>
      <c r="AE116">
        <v>597.53</v>
      </c>
      <c r="AF116">
        <v>41.74</v>
      </c>
      <c r="AG116">
        <v>52.33</v>
      </c>
      <c r="AH116">
        <v>44.43</v>
      </c>
      <c r="AI116">
        <v>46.26</v>
      </c>
    </row>
    <row r="117" spans="1:35" x14ac:dyDescent="0.45">
      <c r="A117" s="2">
        <v>45824</v>
      </c>
      <c r="B117">
        <v>28.12</v>
      </c>
      <c r="C117">
        <v>31.11</v>
      </c>
      <c r="D117">
        <v>18.010000000000002</v>
      </c>
      <c r="E117">
        <v>27.35</v>
      </c>
      <c r="F117">
        <v>29.38</v>
      </c>
      <c r="G117">
        <v>47.7117</v>
      </c>
      <c r="H117">
        <v>23.93</v>
      </c>
      <c r="I117">
        <v>56.46</v>
      </c>
      <c r="J117">
        <v>59.82</v>
      </c>
      <c r="K117">
        <v>68.19</v>
      </c>
      <c r="L117">
        <v>28.31</v>
      </c>
      <c r="M117">
        <v>53.04</v>
      </c>
      <c r="N117">
        <v>55.79</v>
      </c>
      <c r="O117">
        <v>54.56</v>
      </c>
      <c r="P117">
        <v>55.01</v>
      </c>
      <c r="Q117">
        <v>18.045000000000002</v>
      </c>
      <c r="R117">
        <v>1128.6199999999999</v>
      </c>
      <c r="S117">
        <v>30.63</v>
      </c>
      <c r="T117">
        <v>17.559999999999999</v>
      </c>
      <c r="U117">
        <v>13.26</v>
      </c>
      <c r="V117">
        <v>37.479999999999997</v>
      </c>
      <c r="W117">
        <v>45.97</v>
      </c>
      <c r="X117">
        <v>26.09</v>
      </c>
      <c r="Y117">
        <v>45.76</v>
      </c>
      <c r="Z117">
        <v>41.13</v>
      </c>
      <c r="AA117">
        <v>73.150000000000006</v>
      </c>
      <c r="AB117">
        <v>53.77</v>
      </c>
      <c r="AC117">
        <v>39.619999999999997</v>
      </c>
      <c r="AD117">
        <v>534.29</v>
      </c>
      <c r="AE117">
        <v>602.67999999999995</v>
      </c>
      <c r="AF117">
        <v>42.21</v>
      </c>
      <c r="AG117">
        <v>53.08</v>
      </c>
      <c r="AH117">
        <v>44.91</v>
      </c>
      <c r="AI117">
        <v>47.21</v>
      </c>
    </row>
    <row r="118" spans="1:35" x14ac:dyDescent="0.45">
      <c r="A118" s="2">
        <v>45821</v>
      </c>
      <c r="B118">
        <v>28.15</v>
      </c>
      <c r="C118">
        <v>31.83</v>
      </c>
      <c r="D118">
        <v>18.62</v>
      </c>
      <c r="E118">
        <v>27.66</v>
      </c>
      <c r="F118">
        <v>29.86</v>
      </c>
      <c r="G118">
        <v>48.2913</v>
      </c>
      <c r="H118">
        <v>24.26</v>
      </c>
      <c r="I118">
        <v>55.85</v>
      </c>
      <c r="J118">
        <v>61.06</v>
      </c>
      <c r="K118">
        <v>66.42</v>
      </c>
      <c r="L118">
        <v>28.14</v>
      </c>
      <c r="M118">
        <v>53.3</v>
      </c>
      <c r="N118">
        <v>56</v>
      </c>
      <c r="O118">
        <v>54.04</v>
      </c>
      <c r="P118">
        <v>54.77</v>
      </c>
      <c r="Q118">
        <v>18.2</v>
      </c>
      <c r="R118">
        <v>1141.58</v>
      </c>
      <c r="S118">
        <v>30.75</v>
      </c>
      <c r="T118">
        <v>17.88</v>
      </c>
      <c r="U118">
        <v>13.02</v>
      </c>
      <c r="V118">
        <v>37.130000000000003</v>
      </c>
      <c r="W118">
        <v>45.19</v>
      </c>
      <c r="X118">
        <v>26.32</v>
      </c>
      <c r="Y118">
        <v>45.88</v>
      </c>
      <c r="Z118">
        <v>41.51</v>
      </c>
      <c r="AA118">
        <v>73.599999999999994</v>
      </c>
      <c r="AB118">
        <v>55.22</v>
      </c>
      <c r="AC118">
        <v>40.42</v>
      </c>
      <c r="AD118">
        <v>526.96</v>
      </c>
      <c r="AE118">
        <v>597</v>
      </c>
      <c r="AF118">
        <v>42.83</v>
      </c>
      <c r="AG118">
        <v>53.54</v>
      </c>
      <c r="AH118">
        <v>45.49</v>
      </c>
      <c r="AI118">
        <v>47.43</v>
      </c>
    </row>
    <row r="119" spans="1:35" x14ac:dyDescent="0.45">
      <c r="A119" s="2">
        <v>45820</v>
      </c>
      <c r="B119">
        <v>28.42</v>
      </c>
      <c r="C119">
        <v>32.51</v>
      </c>
      <c r="D119">
        <v>18.899999999999999</v>
      </c>
      <c r="E119">
        <v>28.08</v>
      </c>
      <c r="F119">
        <v>30.63</v>
      </c>
      <c r="G119">
        <v>48.584800000000001</v>
      </c>
      <c r="H119">
        <v>24.54</v>
      </c>
      <c r="I119">
        <v>56.74</v>
      </c>
      <c r="J119">
        <v>61.57</v>
      </c>
      <c r="K119">
        <v>67.69</v>
      </c>
      <c r="L119">
        <v>28.15</v>
      </c>
      <c r="M119">
        <v>54.77</v>
      </c>
      <c r="N119">
        <v>56.89</v>
      </c>
      <c r="O119">
        <v>54.8</v>
      </c>
      <c r="P119">
        <v>55.79</v>
      </c>
      <c r="Q119">
        <v>18.899999999999999</v>
      </c>
      <c r="R119">
        <v>1139.1600000000001</v>
      </c>
      <c r="S119">
        <v>31.57</v>
      </c>
      <c r="T119">
        <v>18.395</v>
      </c>
      <c r="U119">
        <v>13.36</v>
      </c>
      <c r="V119">
        <v>38.07</v>
      </c>
      <c r="W119">
        <v>46.07</v>
      </c>
      <c r="X119">
        <v>26.64</v>
      </c>
      <c r="Y119">
        <v>46</v>
      </c>
      <c r="Z119">
        <v>42.22</v>
      </c>
      <c r="AA119">
        <v>74.209999999999994</v>
      </c>
      <c r="AB119">
        <v>56.27</v>
      </c>
      <c r="AC119">
        <v>40.78</v>
      </c>
      <c r="AD119">
        <v>533.66</v>
      </c>
      <c r="AE119">
        <v>603.75</v>
      </c>
      <c r="AF119">
        <v>43.57</v>
      </c>
      <c r="AG119">
        <v>54.73</v>
      </c>
      <c r="AH119">
        <v>46.02</v>
      </c>
      <c r="AI119">
        <v>48.25</v>
      </c>
    </row>
    <row r="120" spans="1:35" x14ac:dyDescent="0.45">
      <c r="A120" s="2">
        <v>45819</v>
      </c>
      <c r="B120">
        <v>28.29</v>
      </c>
      <c r="C120">
        <v>32.54</v>
      </c>
      <c r="D120">
        <v>18.91</v>
      </c>
      <c r="E120">
        <v>27.93</v>
      </c>
      <c r="F120">
        <v>30.62</v>
      </c>
      <c r="G120">
        <v>48.44</v>
      </c>
      <c r="H120">
        <v>24.45</v>
      </c>
      <c r="I120">
        <v>55.83</v>
      </c>
      <c r="J120">
        <v>61.56</v>
      </c>
      <c r="K120">
        <v>66.989999999999995</v>
      </c>
      <c r="L120">
        <v>28.22</v>
      </c>
      <c r="M120">
        <v>54.08</v>
      </c>
      <c r="N120">
        <v>56.52</v>
      </c>
      <c r="O120">
        <v>55.33</v>
      </c>
      <c r="P120">
        <v>55.86</v>
      </c>
      <c r="Q120">
        <v>18.96</v>
      </c>
      <c r="R120">
        <v>1135.24</v>
      </c>
      <c r="S120">
        <v>32.11</v>
      </c>
      <c r="T120">
        <v>18.72</v>
      </c>
      <c r="U120">
        <v>13.32</v>
      </c>
      <c r="V120">
        <v>38.46</v>
      </c>
      <c r="W120">
        <v>45.76</v>
      </c>
      <c r="X120">
        <v>26.6</v>
      </c>
      <c r="Y120">
        <v>45.66</v>
      </c>
      <c r="Z120">
        <v>42.11</v>
      </c>
      <c r="AA120">
        <v>73.67</v>
      </c>
      <c r="AB120">
        <v>55.43</v>
      </c>
      <c r="AC120">
        <v>40.409999999999997</v>
      </c>
      <c r="AD120">
        <v>532.41</v>
      </c>
      <c r="AE120">
        <v>601.36</v>
      </c>
      <c r="AF120">
        <v>43.11</v>
      </c>
      <c r="AG120">
        <v>54.37</v>
      </c>
      <c r="AH120">
        <v>45.9</v>
      </c>
      <c r="AI120">
        <v>47.93</v>
      </c>
    </row>
    <row r="121" spans="1:35" x14ac:dyDescent="0.45">
      <c r="A121" s="2">
        <v>45818</v>
      </c>
      <c r="B121">
        <v>28.1</v>
      </c>
      <c r="C121">
        <v>31.82</v>
      </c>
      <c r="D121">
        <v>18.84</v>
      </c>
      <c r="E121">
        <v>27.82</v>
      </c>
      <c r="F121">
        <v>30.83</v>
      </c>
      <c r="G121">
        <v>48.231099999999998</v>
      </c>
      <c r="H121">
        <v>24.28</v>
      </c>
      <c r="I121">
        <v>55.8</v>
      </c>
      <c r="J121">
        <v>61.36</v>
      </c>
      <c r="K121">
        <v>66.16</v>
      </c>
      <c r="L121">
        <v>27.72</v>
      </c>
      <c r="M121">
        <v>54.66</v>
      </c>
      <c r="N121">
        <v>56.48</v>
      </c>
      <c r="O121">
        <v>55.26</v>
      </c>
      <c r="P121">
        <v>55.69</v>
      </c>
      <c r="Q121">
        <v>18.920000000000002</v>
      </c>
      <c r="R121">
        <v>1136.43</v>
      </c>
      <c r="S121">
        <v>32.17</v>
      </c>
      <c r="T121">
        <v>18.78</v>
      </c>
      <c r="U121">
        <v>13.4</v>
      </c>
      <c r="V121">
        <v>38.72</v>
      </c>
      <c r="W121">
        <v>45.65</v>
      </c>
      <c r="X121">
        <v>26.71</v>
      </c>
      <c r="Y121">
        <v>45.43</v>
      </c>
      <c r="Z121">
        <v>42.12</v>
      </c>
      <c r="AA121">
        <v>73.88</v>
      </c>
      <c r="AB121">
        <v>55.67</v>
      </c>
      <c r="AC121">
        <v>40.31</v>
      </c>
      <c r="AD121">
        <v>534.21</v>
      </c>
      <c r="AE121">
        <v>603.08000000000004</v>
      </c>
      <c r="AF121">
        <v>43.21</v>
      </c>
      <c r="AG121">
        <v>54.57</v>
      </c>
      <c r="AH121">
        <v>45.94</v>
      </c>
      <c r="AI121">
        <v>47.93</v>
      </c>
    </row>
    <row r="122" spans="1:35" x14ac:dyDescent="0.45">
      <c r="A122" s="2">
        <v>45817</v>
      </c>
      <c r="B122">
        <v>28.3</v>
      </c>
      <c r="C122">
        <v>31.75</v>
      </c>
      <c r="D122">
        <v>18.59</v>
      </c>
      <c r="E122">
        <v>28.12</v>
      </c>
      <c r="F122">
        <v>30</v>
      </c>
      <c r="G122">
        <v>48.53</v>
      </c>
      <c r="H122">
        <v>24.32</v>
      </c>
      <c r="I122">
        <v>54.71</v>
      </c>
      <c r="J122">
        <v>61.09</v>
      </c>
      <c r="K122">
        <v>66.48</v>
      </c>
      <c r="L122">
        <v>27.62</v>
      </c>
      <c r="M122">
        <v>54.44</v>
      </c>
      <c r="N122">
        <v>55.85</v>
      </c>
      <c r="O122">
        <v>55.24</v>
      </c>
      <c r="P122">
        <v>55.52</v>
      </c>
      <c r="Q122">
        <v>18.829999999999998</v>
      </c>
      <c r="R122">
        <v>1140.6300000000001</v>
      </c>
      <c r="S122">
        <v>31.66</v>
      </c>
      <c r="T122">
        <v>18.71</v>
      </c>
      <c r="U122">
        <v>13.26</v>
      </c>
      <c r="V122">
        <v>38.57</v>
      </c>
      <c r="W122">
        <v>45.32</v>
      </c>
      <c r="X122">
        <v>26.44</v>
      </c>
      <c r="Y122">
        <v>45.3</v>
      </c>
      <c r="Z122">
        <v>42.31</v>
      </c>
      <c r="AA122">
        <v>73.930000000000007</v>
      </c>
      <c r="AB122">
        <v>55.62</v>
      </c>
      <c r="AC122">
        <v>40.340000000000003</v>
      </c>
      <c r="AD122">
        <v>530.70000000000005</v>
      </c>
      <c r="AE122">
        <v>599.67999999999995</v>
      </c>
      <c r="AF122">
        <v>43.08</v>
      </c>
      <c r="AG122">
        <v>54.02</v>
      </c>
      <c r="AH122">
        <v>45.91</v>
      </c>
      <c r="AI122">
        <v>48.18</v>
      </c>
    </row>
    <row r="123" spans="1:35" x14ac:dyDescent="0.45">
      <c r="A123" s="2">
        <v>45814</v>
      </c>
      <c r="B123">
        <v>28.22</v>
      </c>
      <c r="C123">
        <v>31.84</v>
      </c>
      <c r="D123">
        <v>18.510000000000002</v>
      </c>
      <c r="E123">
        <v>27.95</v>
      </c>
      <c r="F123">
        <v>29.46</v>
      </c>
      <c r="G123">
        <v>48.5916</v>
      </c>
      <c r="H123">
        <v>24.25</v>
      </c>
      <c r="I123">
        <v>54.11</v>
      </c>
      <c r="J123">
        <v>61.24</v>
      </c>
      <c r="K123">
        <v>65.569999999999993</v>
      </c>
      <c r="L123">
        <v>27.72</v>
      </c>
      <c r="M123">
        <v>53.94</v>
      </c>
      <c r="N123">
        <v>55.46</v>
      </c>
      <c r="O123">
        <v>54.91</v>
      </c>
      <c r="P123">
        <v>54.92</v>
      </c>
      <c r="Q123">
        <v>18.829999999999998</v>
      </c>
      <c r="R123">
        <v>1132.02</v>
      </c>
      <c r="S123">
        <v>31.61</v>
      </c>
      <c r="T123">
        <v>18.670000000000002</v>
      </c>
      <c r="U123">
        <v>13.64</v>
      </c>
      <c r="V123">
        <v>38.51</v>
      </c>
      <c r="W123">
        <v>45.31</v>
      </c>
      <c r="X123">
        <v>26.37</v>
      </c>
      <c r="Y123">
        <v>45.39</v>
      </c>
      <c r="Z123">
        <v>42.52</v>
      </c>
      <c r="AA123">
        <v>73.819999999999993</v>
      </c>
      <c r="AB123">
        <v>55.64</v>
      </c>
      <c r="AC123">
        <v>40.35</v>
      </c>
      <c r="AD123">
        <v>529.91999999999996</v>
      </c>
      <c r="AE123">
        <v>599.14</v>
      </c>
      <c r="AF123">
        <v>43.04</v>
      </c>
      <c r="AG123">
        <v>53.63</v>
      </c>
      <c r="AH123">
        <v>46.14</v>
      </c>
      <c r="AI123">
        <v>48.3</v>
      </c>
    </row>
    <row r="124" spans="1:35" x14ac:dyDescent="0.45">
      <c r="A124" s="2">
        <v>45813</v>
      </c>
      <c r="B124">
        <v>28.29</v>
      </c>
      <c r="C124">
        <v>32.17</v>
      </c>
      <c r="D124">
        <v>18.559999999999999</v>
      </c>
      <c r="E124">
        <v>27.96</v>
      </c>
      <c r="F124">
        <v>29.75</v>
      </c>
      <c r="G124">
        <v>48.796100000000003</v>
      </c>
      <c r="H124">
        <v>24.31</v>
      </c>
      <c r="I124">
        <v>53.74</v>
      </c>
      <c r="J124">
        <v>60.72</v>
      </c>
      <c r="K124">
        <v>65.36</v>
      </c>
      <c r="L124">
        <v>27.6</v>
      </c>
      <c r="M124">
        <v>54.03</v>
      </c>
      <c r="N124">
        <v>55.77</v>
      </c>
      <c r="O124">
        <v>54.18</v>
      </c>
      <c r="P124">
        <v>54.99</v>
      </c>
      <c r="Q124">
        <v>18.78</v>
      </c>
      <c r="R124">
        <v>1149.18</v>
      </c>
      <c r="S124">
        <v>31.44</v>
      </c>
      <c r="T124">
        <v>18.61</v>
      </c>
      <c r="U124">
        <v>13.74</v>
      </c>
      <c r="V124">
        <v>38.479999999999997</v>
      </c>
      <c r="W124">
        <v>45.53</v>
      </c>
      <c r="X124">
        <v>26.36</v>
      </c>
      <c r="Y124">
        <v>45.32</v>
      </c>
      <c r="Z124">
        <v>42.57</v>
      </c>
      <c r="AA124">
        <v>73.39</v>
      </c>
      <c r="AB124">
        <v>55.47</v>
      </c>
      <c r="AC124">
        <v>40.22</v>
      </c>
      <c r="AD124">
        <v>524.79</v>
      </c>
      <c r="AE124">
        <v>593.04999999999995</v>
      </c>
      <c r="AF124">
        <v>43.04</v>
      </c>
      <c r="AG124">
        <v>53.36</v>
      </c>
      <c r="AH124">
        <v>46.17</v>
      </c>
      <c r="AI124">
        <v>47.98</v>
      </c>
    </row>
    <row r="125" spans="1:35" x14ac:dyDescent="0.45">
      <c r="A125" s="2">
        <v>45812</v>
      </c>
      <c r="B125">
        <v>28.18</v>
      </c>
      <c r="C125">
        <v>31.88</v>
      </c>
      <c r="D125">
        <v>18.45</v>
      </c>
      <c r="E125">
        <v>27.66</v>
      </c>
      <c r="F125">
        <v>30.22</v>
      </c>
      <c r="G125">
        <v>48.064999999999998</v>
      </c>
      <c r="H125">
        <v>24.14</v>
      </c>
      <c r="I125">
        <v>53.96</v>
      </c>
      <c r="J125">
        <v>60.25</v>
      </c>
      <c r="K125">
        <v>63.98</v>
      </c>
      <c r="L125">
        <v>27.44</v>
      </c>
      <c r="M125">
        <v>53.46</v>
      </c>
      <c r="N125">
        <v>55.24</v>
      </c>
      <c r="O125">
        <v>53.92</v>
      </c>
      <c r="P125">
        <v>54.79</v>
      </c>
      <c r="Q125">
        <v>18.91</v>
      </c>
      <c r="R125">
        <v>1164.01</v>
      </c>
      <c r="S125">
        <v>31.36</v>
      </c>
      <c r="T125">
        <v>18.59</v>
      </c>
      <c r="U125">
        <v>13.86</v>
      </c>
      <c r="V125">
        <v>38.380000000000003</v>
      </c>
      <c r="W125">
        <v>45.25</v>
      </c>
      <c r="X125">
        <v>26.33</v>
      </c>
      <c r="Y125">
        <v>45.25</v>
      </c>
      <c r="Z125">
        <v>42.46</v>
      </c>
      <c r="AA125">
        <v>74.08</v>
      </c>
      <c r="AB125">
        <v>55.56</v>
      </c>
      <c r="AC125">
        <v>40.19</v>
      </c>
      <c r="AD125">
        <v>528.77</v>
      </c>
      <c r="AE125">
        <v>595.92999999999995</v>
      </c>
      <c r="AF125">
        <v>43.08</v>
      </c>
      <c r="AG125">
        <v>53.23</v>
      </c>
      <c r="AH125">
        <v>45.93</v>
      </c>
      <c r="AI125">
        <v>47.74</v>
      </c>
    </row>
    <row r="126" spans="1:35" x14ac:dyDescent="0.45">
      <c r="A126" s="2">
        <v>45811</v>
      </c>
      <c r="B126">
        <v>27.96</v>
      </c>
      <c r="C126">
        <v>31.58</v>
      </c>
      <c r="D126">
        <v>18.420000000000002</v>
      </c>
      <c r="E126">
        <v>27.78</v>
      </c>
      <c r="F126">
        <v>29.92</v>
      </c>
      <c r="G126">
        <v>47.95</v>
      </c>
      <c r="H126">
        <v>24.09</v>
      </c>
      <c r="I126">
        <v>53.15</v>
      </c>
      <c r="J126">
        <v>60.39</v>
      </c>
      <c r="K126">
        <v>61.89</v>
      </c>
      <c r="L126">
        <v>27.58</v>
      </c>
      <c r="M126">
        <v>53.13</v>
      </c>
      <c r="N126">
        <v>55.29</v>
      </c>
      <c r="O126">
        <v>53.96</v>
      </c>
      <c r="P126">
        <v>53.76</v>
      </c>
      <c r="Q126">
        <v>19.079999999999998</v>
      </c>
      <c r="R126">
        <v>1160.74</v>
      </c>
      <c r="S126">
        <v>30.84</v>
      </c>
      <c r="T126">
        <v>18.59</v>
      </c>
      <c r="U126">
        <v>13.96</v>
      </c>
      <c r="V126">
        <v>38</v>
      </c>
      <c r="W126">
        <v>44.61</v>
      </c>
      <c r="X126">
        <v>26.07</v>
      </c>
      <c r="Y126">
        <v>45.34</v>
      </c>
      <c r="Z126">
        <v>42.12</v>
      </c>
      <c r="AA126">
        <v>74.13</v>
      </c>
      <c r="AB126">
        <v>55.03</v>
      </c>
      <c r="AC126">
        <v>40.06</v>
      </c>
      <c r="AD126">
        <v>527.29999999999995</v>
      </c>
      <c r="AE126">
        <v>596.09</v>
      </c>
      <c r="AF126">
        <v>42.84</v>
      </c>
      <c r="AG126">
        <v>52.95</v>
      </c>
      <c r="AH126">
        <v>45.2</v>
      </c>
      <c r="AI126">
        <v>47.87</v>
      </c>
    </row>
    <row r="127" spans="1:35" x14ac:dyDescent="0.45">
      <c r="A127" s="2">
        <v>45810</v>
      </c>
      <c r="B127">
        <v>27.72</v>
      </c>
      <c r="C127">
        <v>31.53</v>
      </c>
      <c r="D127">
        <v>18.559999999999999</v>
      </c>
      <c r="E127">
        <v>27.6</v>
      </c>
      <c r="F127">
        <v>30.49</v>
      </c>
      <c r="G127">
        <v>47.72</v>
      </c>
      <c r="H127">
        <v>24.15</v>
      </c>
      <c r="I127">
        <v>52.84</v>
      </c>
      <c r="J127">
        <v>60.64</v>
      </c>
      <c r="K127">
        <v>61.74</v>
      </c>
      <c r="L127">
        <v>27.27</v>
      </c>
      <c r="M127">
        <v>53.27</v>
      </c>
      <c r="N127">
        <v>55.7</v>
      </c>
      <c r="O127">
        <v>54.54</v>
      </c>
      <c r="P127">
        <v>53.26</v>
      </c>
      <c r="Q127">
        <v>18.8</v>
      </c>
      <c r="R127">
        <v>1163.42</v>
      </c>
      <c r="S127">
        <v>30.05</v>
      </c>
      <c r="T127">
        <v>18.45</v>
      </c>
      <c r="U127">
        <v>13.81</v>
      </c>
      <c r="V127">
        <v>38.159999999999997</v>
      </c>
      <c r="W127">
        <v>45.04</v>
      </c>
      <c r="X127">
        <v>26.15</v>
      </c>
      <c r="Y127">
        <v>45.39</v>
      </c>
      <c r="Z127">
        <v>42.34</v>
      </c>
      <c r="AA127">
        <v>75.040000000000006</v>
      </c>
      <c r="AB127">
        <v>55.54</v>
      </c>
      <c r="AC127">
        <v>40.29</v>
      </c>
      <c r="AD127">
        <v>523.21</v>
      </c>
      <c r="AE127">
        <v>592.71</v>
      </c>
      <c r="AF127">
        <v>43.14</v>
      </c>
      <c r="AG127">
        <v>53.285800000000002</v>
      </c>
      <c r="AH127">
        <v>45.62</v>
      </c>
      <c r="AI127">
        <v>48.32</v>
      </c>
    </row>
    <row r="128" spans="1:35" x14ac:dyDescent="0.45">
      <c r="A128" s="2">
        <v>45807</v>
      </c>
      <c r="B128">
        <v>27.67</v>
      </c>
      <c r="C128">
        <v>31.5</v>
      </c>
      <c r="D128">
        <v>18.88</v>
      </c>
      <c r="E128">
        <v>27.24</v>
      </c>
      <c r="F128">
        <v>30.37</v>
      </c>
      <c r="G128">
        <v>46.64</v>
      </c>
      <c r="H128">
        <v>23.96</v>
      </c>
      <c r="I128">
        <v>52.38</v>
      </c>
      <c r="J128">
        <v>60.17</v>
      </c>
      <c r="K128">
        <v>60.63</v>
      </c>
      <c r="L128">
        <v>27.21</v>
      </c>
      <c r="M128">
        <v>52.21</v>
      </c>
      <c r="N128">
        <v>55</v>
      </c>
      <c r="O128">
        <v>54.31</v>
      </c>
      <c r="P128">
        <v>52.82</v>
      </c>
      <c r="Q128">
        <v>18.75</v>
      </c>
      <c r="R128">
        <v>1178.43</v>
      </c>
      <c r="S128">
        <v>29.99</v>
      </c>
      <c r="T128">
        <v>18.57</v>
      </c>
      <c r="U128">
        <v>13.59</v>
      </c>
      <c r="V128">
        <v>38.33</v>
      </c>
      <c r="W128">
        <v>44.39</v>
      </c>
      <c r="X128">
        <v>25.81</v>
      </c>
      <c r="Y128">
        <v>44.96</v>
      </c>
      <c r="Z128">
        <v>41.97</v>
      </c>
      <c r="AA128">
        <v>74.12</v>
      </c>
      <c r="AB128">
        <v>55.18</v>
      </c>
      <c r="AC128">
        <v>39.92</v>
      </c>
      <c r="AD128">
        <v>519.11</v>
      </c>
      <c r="AE128">
        <v>589.39</v>
      </c>
      <c r="AF128">
        <v>42.49</v>
      </c>
      <c r="AG128">
        <v>52.85</v>
      </c>
      <c r="AH128">
        <v>45.45</v>
      </c>
      <c r="AI128">
        <v>47.77</v>
      </c>
    </row>
    <row r="129" spans="1:35" x14ac:dyDescent="0.45">
      <c r="A129" s="2">
        <v>45806</v>
      </c>
      <c r="B129">
        <v>28.02</v>
      </c>
      <c r="C129">
        <v>32.08</v>
      </c>
      <c r="D129">
        <v>18.95</v>
      </c>
      <c r="E129">
        <v>27.84</v>
      </c>
      <c r="F129">
        <v>30.72</v>
      </c>
      <c r="G129">
        <v>46.613599999999998</v>
      </c>
      <c r="H129">
        <v>24.3</v>
      </c>
      <c r="I129">
        <v>52.87</v>
      </c>
      <c r="J129">
        <v>61.23</v>
      </c>
      <c r="K129">
        <v>61.8</v>
      </c>
      <c r="L129">
        <v>27.7</v>
      </c>
      <c r="M129">
        <v>53.05</v>
      </c>
      <c r="N129">
        <v>55.71</v>
      </c>
      <c r="O129">
        <v>54.59</v>
      </c>
      <c r="P129">
        <v>53.86</v>
      </c>
      <c r="Q129">
        <v>18.829999999999998</v>
      </c>
      <c r="R129">
        <v>1176.3599999999999</v>
      </c>
      <c r="S129">
        <v>30.54</v>
      </c>
      <c r="T129">
        <v>18.59</v>
      </c>
      <c r="U129">
        <v>13.51</v>
      </c>
      <c r="V129">
        <v>38.39</v>
      </c>
      <c r="W129">
        <v>43.97</v>
      </c>
      <c r="X129">
        <v>25.64</v>
      </c>
      <c r="Y129">
        <v>44.78</v>
      </c>
      <c r="Z129">
        <v>41.85</v>
      </c>
      <c r="AA129">
        <v>74.03</v>
      </c>
      <c r="AB129">
        <v>54.9</v>
      </c>
      <c r="AC129">
        <v>39.79</v>
      </c>
      <c r="AD129">
        <v>519.92999999999995</v>
      </c>
      <c r="AE129">
        <v>590.04999999999995</v>
      </c>
      <c r="AF129">
        <v>42.76</v>
      </c>
      <c r="AG129">
        <v>52.94</v>
      </c>
      <c r="AH129">
        <v>45.36</v>
      </c>
      <c r="AI129">
        <v>47.58</v>
      </c>
    </row>
    <row r="130" spans="1:35" x14ac:dyDescent="0.45">
      <c r="A130" s="2">
        <v>45805</v>
      </c>
      <c r="B130">
        <v>27.83</v>
      </c>
      <c r="C130">
        <v>32.17</v>
      </c>
      <c r="D130">
        <v>18.91</v>
      </c>
      <c r="E130">
        <v>27.93</v>
      </c>
      <c r="F130">
        <v>31.25</v>
      </c>
      <c r="G130">
        <v>46.5428</v>
      </c>
      <c r="H130">
        <v>24.47</v>
      </c>
      <c r="I130">
        <v>53.26</v>
      </c>
      <c r="J130">
        <v>60.9</v>
      </c>
      <c r="K130">
        <v>60.75</v>
      </c>
      <c r="L130">
        <v>27.69</v>
      </c>
      <c r="M130">
        <v>52.03</v>
      </c>
      <c r="N130">
        <v>55.85</v>
      </c>
      <c r="O130">
        <v>54.284999999999997</v>
      </c>
      <c r="P130">
        <v>53.33</v>
      </c>
      <c r="Q130">
        <v>18.940000000000001</v>
      </c>
      <c r="R130">
        <v>1173.3699999999999</v>
      </c>
      <c r="S130">
        <v>30.56</v>
      </c>
      <c r="T130">
        <v>18.66</v>
      </c>
      <c r="U130">
        <v>13.71</v>
      </c>
      <c r="V130">
        <v>38.6</v>
      </c>
      <c r="W130">
        <v>44.23</v>
      </c>
      <c r="X130">
        <v>25.56</v>
      </c>
      <c r="Y130">
        <v>44.76</v>
      </c>
      <c r="Z130">
        <v>41.77</v>
      </c>
      <c r="AA130">
        <v>73.61</v>
      </c>
      <c r="AB130">
        <v>54.62</v>
      </c>
      <c r="AC130">
        <v>39.67</v>
      </c>
      <c r="AD130">
        <v>518.91</v>
      </c>
      <c r="AE130">
        <v>587.73</v>
      </c>
      <c r="AF130">
        <v>42.47</v>
      </c>
      <c r="AG130">
        <v>52.59</v>
      </c>
      <c r="AH130">
        <v>45.24</v>
      </c>
      <c r="AI130">
        <v>47.55</v>
      </c>
    </row>
    <row r="131" spans="1:35" x14ac:dyDescent="0.45">
      <c r="A131" s="2">
        <v>45804</v>
      </c>
      <c r="B131">
        <v>27.9</v>
      </c>
      <c r="C131">
        <v>32.75</v>
      </c>
      <c r="D131">
        <v>19.04</v>
      </c>
      <c r="E131">
        <v>27.78</v>
      </c>
      <c r="F131">
        <v>30.82</v>
      </c>
      <c r="G131">
        <v>46.83</v>
      </c>
      <c r="H131">
        <v>24.52</v>
      </c>
      <c r="I131">
        <v>53.58</v>
      </c>
      <c r="J131">
        <v>61.13</v>
      </c>
      <c r="K131">
        <v>59.98</v>
      </c>
      <c r="L131">
        <v>27.99</v>
      </c>
      <c r="M131">
        <v>51.91</v>
      </c>
      <c r="N131">
        <v>55.02</v>
      </c>
      <c r="O131">
        <v>54.53</v>
      </c>
      <c r="P131">
        <v>54.04</v>
      </c>
      <c r="Q131">
        <v>18.91</v>
      </c>
      <c r="R131">
        <v>1179.81</v>
      </c>
      <c r="S131">
        <v>30.86</v>
      </c>
      <c r="T131">
        <v>18.62</v>
      </c>
      <c r="U131">
        <v>13.585000000000001</v>
      </c>
      <c r="V131">
        <v>38.21</v>
      </c>
      <c r="W131">
        <v>45.38</v>
      </c>
      <c r="X131">
        <v>25.87</v>
      </c>
      <c r="Y131">
        <v>44.82</v>
      </c>
      <c r="Z131">
        <v>42.31</v>
      </c>
      <c r="AA131">
        <v>74.95</v>
      </c>
      <c r="AB131">
        <v>55.2</v>
      </c>
      <c r="AC131">
        <v>40.07</v>
      </c>
      <c r="AD131">
        <v>521.22</v>
      </c>
      <c r="AE131">
        <v>591.15</v>
      </c>
      <c r="AF131">
        <v>42.92</v>
      </c>
      <c r="AG131">
        <v>53</v>
      </c>
      <c r="AH131">
        <v>45.55</v>
      </c>
      <c r="AI131">
        <v>47.66</v>
      </c>
    </row>
    <row r="132" spans="1:35" x14ac:dyDescent="0.45">
      <c r="A132" s="2">
        <v>45800</v>
      </c>
      <c r="B132">
        <v>28.2</v>
      </c>
      <c r="C132">
        <v>32.85</v>
      </c>
      <c r="D132">
        <v>19.16</v>
      </c>
      <c r="E132">
        <v>27.81</v>
      </c>
      <c r="F132">
        <v>29.85</v>
      </c>
      <c r="G132">
        <v>46.76</v>
      </c>
      <c r="H132">
        <v>24.58</v>
      </c>
      <c r="I132">
        <v>53.52</v>
      </c>
      <c r="J132">
        <v>60.67</v>
      </c>
      <c r="K132">
        <v>58.96</v>
      </c>
      <c r="L132">
        <v>27.65</v>
      </c>
      <c r="M132">
        <v>52.52</v>
      </c>
      <c r="N132">
        <v>53.23</v>
      </c>
      <c r="O132">
        <v>54.58</v>
      </c>
      <c r="P132">
        <v>54.78</v>
      </c>
      <c r="Q132">
        <v>19.149999999999999</v>
      </c>
      <c r="R132">
        <v>1189.1400000000001</v>
      </c>
      <c r="S132">
        <v>31.24</v>
      </c>
      <c r="T132">
        <v>18.45</v>
      </c>
      <c r="U132">
        <v>13.14</v>
      </c>
      <c r="V132">
        <v>39.17</v>
      </c>
      <c r="W132">
        <v>45.36</v>
      </c>
      <c r="X132">
        <v>25.65</v>
      </c>
      <c r="Y132">
        <v>44.44</v>
      </c>
      <c r="Z132">
        <v>41.26</v>
      </c>
      <c r="AA132">
        <v>73.03</v>
      </c>
      <c r="AB132">
        <v>55.03</v>
      </c>
      <c r="AC132">
        <v>39.880000000000003</v>
      </c>
      <c r="AD132">
        <v>509.24</v>
      </c>
      <c r="AE132">
        <v>579.11</v>
      </c>
      <c r="AF132">
        <v>42.4</v>
      </c>
      <c r="AG132">
        <v>52.26</v>
      </c>
      <c r="AH132">
        <v>45.32</v>
      </c>
      <c r="AI132">
        <v>46.96</v>
      </c>
    </row>
    <row r="133" spans="1:35" x14ac:dyDescent="0.45">
      <c r="A133" s="2">
        <v>45799</v>
      </c>
      <c r="B133">
        <v>28.3</v>
      </c>
      <c r="C133">
        <v>32.634999999999998</v>
      </c>
      <c r="D133">
        <v>18.91</v>
      </c>
      <c r="E133">
        <v>27.27</v>
      </c>
      <c r="F133">
        <v>29.99</v>
      </c>
      <c r="G133">
        <v>45.76</v>
      </c>
      <c r="H133">
        <v>24.24</v>
      </c>
      <c r="I133">
        <v>53.7</v>
      </c>
      <c r="J133">
        <v>59.83</v>
      </c>
      <c r="K133">
        <v>58.29</v>
      </c>
      <c r="L133">
        <v>27.52</v>
      </c>
      <c r="M133">
        <v>51.43</v>
      </c>
      <c r="N133">
        <v>53.88</v>
      </c>
      <c r="O133">
        <v>53.79</v>
      </c>
      <c r="P133">
        <v>54.75</v>
      </c>
      <c r="Q133">
        <v>19.11</v>
      </c>
      <c r="R133">
        <v>1187.06</v>
      </c>
      <c r="S133">
        <v>31.7</v>
      </c>
      <c r="T133">
        <v>18.53</v>
      </c>
      <c r="U133">
        <v>13.17</v>
      </c>
      <c r="V133">
        <v>39.28</v>
      </c>
      <c r="W133">
        <v>45.08</v>
      </c>
      <c r="X133">
        <v>25.41</v>
      </c>
      <c r="Y133">
        <v>44</v>
      </c>
      <c r="Z133">
        <v>41.64</v>
      </c>
      <c r="AA133">
        <v>72.37</v>
      </c>
      <c r="AB133">
        <v>54.77</v>
      </c>
      <c r="AC133">
        <v>39.53</v>
      </c>
      <c r="AD133">
        <v>514</v>
      </c>
      <c r="AE133">
        <v>583.09</v>
      </c>
      <c r="AF133">
        <v>42.65</v>
      </c>
      <c r="AG133">
        <v>52.54</v>
      </c>
      <c r="AH133">
        <v>45.09</v>
      </c>
      <c r="AI133">
        <v>47.54</v>
      </c>
    </row>
    <row r="134" spans="1:35" x14ac:dyDescent="0.45">
      <c r="A134" s="2">
        <v>45798</v>
      </c>
      <c r="B134">
        <v>28.4</v>
      </c>
      <c r="C134">
        <v>32.69</v>
      </c>
      <c r="D134">
        <v>18.79</v>
      </c>
      <c r="E134">
        <v>27.46</v>
      </c>
      <c r="F134">
        <v>30.09</v>
      </c>
      <c r="G134">
        <v>45.66</v>
      </c>
      <c r="H134">
        <v>24.49</v>
      </c>
      <c r="I134">
        <v>53.72</v>
      </c>
      <c r="J134">
        <v>60.32</v>
      </c>
      <c r="K134">
        <v>59.1</v>
      </c>
      <c r="L134">
        <v>27.67</v>
      </c>
      <c r="M134">
        <v>51.45</v>
      </c>
      <c r="N134">
        <v>54.14</v>
      </c>
      <c r="O134">
        <v>54.03</v>
      </c>
      <c r="P134">
        <v>54.99</v>
      </c>
      <c r="Q134">
        <v>19.18</v>
      </c>
      <c r="R134">
        <v>1195.77</v>
      </c>
      <c r="S134">
        <v>31.42</v>
      </c>
      <c r="T134">
        <v>18.57</v>
      </c>
      <c r="U134">
        <v>13.21</v>
      </c>
      <c r="V134">
        <v>39.299999999999997</v>
      </c>
      <c r="W134">
        <v>45.22</v>
      </c>
      <c r="X134">
        <v>25.41</v>
      </c>
      <c r="Y134">
        <v>43.94</v>
      </c>
      <c r="Z134">
        <v>41.68</v>
      </c>
      <c r="AA134">
        <v>72.31</v>
      </c>
      <c r="AB134">
        <v>55.04</v>
      </c>
      <c r="AC134">
        <v>39.43</v>
      </c>
      <c r="AD134">
        <v>513.04</v>
      </c>
      <c r="AE134">
        <v>582.86</v>
      </c>
      <c r="AF134">
        <v>42.71</v>
      </c>
      <c r="AG134">
        <v>52.48</v>
      </c>
      <c r="AH134">
        <v>45.94</v>
      </c>
      <c r="AI134">
        <v>47.65</v>
      </c>
    </row>
    <row r="135" spans="1:35" x14ac:dyDescent="0.45">
      <c r="A135" s="2">
        <v>45797</v>
      </c>
      <c r="B135">
        <v>28.28</v>
      </c>
      <c r="C135">
        <v>32.75</v>
      </c>
      <c r="D135">
        <v>18.53</v>
      </c>
      <c r="E135">
        <v>27.36</v>
      </c>
      <c r="F135">
        <v>30.77</v>
      </c>
      <c r="G135">
        <v>45.57</v>
      </c>
      <c r="H135">
        <v>24.5</v>
      </c>
      <c r="I135">
        <v>53.48</v>
      </c>
      <c r="J135">
        <v>60.53</v>
      </c>
      <c r="K135">
        <v>58.4</v>
      </c>
      <c r="L135">
        <v>28.16</v>
      </c>
      <c r="M135">
        <v>51.61</v>
      </c>
      <c r="N135">
        <v>53.89</v>
      </c>
      <c r="O135">
        <v>54.07</v>
      </c>
      <c r="P135">
        <v>55.2</v>
      </c>
      <c r="Q135">
        <v>19.059999999999999</v>
      </c>
      <c r="R135">
        <v>1194.49</v>
      </c>
      <c r="S135">
        <v>31.86</v>
      </c>
      <c r="T135">
        <v>18.71</v>
      </c>
      <c r="U135">
        <v>13.09</v>
      </c>
      <c r="V135">
        <v>39.89</v>
      </c>
      <c r="W135">
        <v>45.2</v>
      </c>
      <c r="X135">
        <v>25.63</v>
      </c>
      <c r="Y135">
        <v>44.19</v>
      </c>
      <c r="Z135">
        <v>41.77</v>
      </c>
      <c r="AA135">
        <v>72.989999999999995</v>
      </c>
      <c r="AB135">
        <v>55.17</v>
      </c>
      <c r="AC135">
        <v>39.61</v>
      </c>
      <c r="AD135">
        <v>520.27</v>
      </c>
      <c r="AE135">
        <v>592.85</v>
      </c>
      <c r="AF135">
        <v>43.1</v>
      </c>
      <c r="AG135">
        <v>52.8</v>
      </c>
      <c r="AH135">
        <v>46.35</v>
      </c>
      <c r="AI135">
        <v>47.84</v>
      </c>
    </row>
    <row r="136" spans="1:35" x14ac:dyDescent="0.45">
      <c r="A136" s="2">
        <v>45796</v>
      </c>
      <c r="B136">
        <v>28.14</v>
      </c>
      <c r="C136">
        <v>32.96</v>
      </c>
      <c r="D136">
        <v>18.739999999999998</v>
      </c>
      <c r="E136">
        <v>27.9</v>
      </c>
      <c r="F136">
        <v>30.53</v>
      </c>
      <c r="G136">
        <v>45.16</v>
      </c>
      <c r="H136">
        <v>24.69</v>
      </c>
      <c r="I136">
        <v>53.82</v>
      </c>
      <c r="J136">
        <v>60.57</v>
      </c>
      <c r="K136">
        <v>58.82</v>
      </c>
      <c r="L136">
        <v>28.18</v>
      </c>
      <c r="M136">
        <v>51.08</v>
      </c>
      <c r="N136">
        <v>52.9</v>
      </c>
      <c r="O136">
        <v>54.78</v>
      </c>
      <c r="P136">
        <v>54.7</v>
      </c>
      <c r="Q136">
        <v>19.05</v>
      </c>
      <c r="R136">
        <v>1216.71</v>
      </c>
      <c r="S136">
        <v>32.49</v>
      </c>
      <c r="T136">
        <v>18.649999999999999</v>
      </c>
      <c r="U136">
        <v>12.865</v>
      </c>
      <c r="V136">
        <v>39.909999999999997</v>
      </c>
      <c r="W136">
        <v>45.15</v>
      </c>
      <c r="X136">
        <v>25.63</v>
      </c>
      <c r="Y136">
        <v>44.05</v>
      </c>
      <c r="Z136">
        <v>41.56</v>
      </c>
      <c r="AA136">
        <v>72.569999999999993</v>
      </c>
      <c r="AB136">
        <v>55.02</v>
      </c>
      <c r="AC136">
        <v>39.33</v>
      </c>
      <c r="AD136">
        <v>522.01</v>
      </c>
      <c r="AE136">
        <v>594.85</v>
      </c>
      <c r="AF136">
        <v>42.73</v>
      </c>
      <c r="AG136">
        <v>52.645000000000003</v>
      </c>
      <c r="AH136">
        <v>46.19</v>
      </c>
      <c r="AI136">
        <v>47.3</v>
      </c>
    </row>
    <row r="137" spans="1:35" x14ac:dyDescent="0.45">
      <c r="A137" s="2">
        <v>45793</v>
      </c>
      <c r="B137">
        <v>28.24</v>
      </c>
      <c r="C137">
        <v>32.61</v>
      </c>
      <c r="D137">
        <v>18.39</v>
      </c>
      <c r="E137">
        <v>27.69</v>
      </c>
      <c r="F137">
        <v>30.32</v>
      </c>
      <c r="G137">
        <v>44.57</v>
      </c>
      <c r="H137">
        <v>24.87</v>
      </c>
      <c r="I137">
        <v>54.01</v>
      </c>
      <c r="J137">
        <v>59.51</v>
      </c>
      <c r="K137">
        <v>58.79</v>
      </c>
      <c r="L137">
        <v>28</v>
      </c>
      <c r="M137">
        <v>51.24</v>
      </c>
      <c r="N137">
        <v>52.5</v>
      </c>
      <c r="O137">
        <v>54.66</v>
      </c>
      <c r="P137">
        <v>54.42</v>
      </c>
      <c r="Q137">
        <v>18.88</v>
      </c>
      <c r="R137">
        <v>1214.3900000000001</v>
      </c>
      <c r="S137">
        <v>32.43</v>
      </c>
      <c r="T137">
        <v>18.48</v>
      </c>
      <c r="U137">
        <v>12.75</v>
      </c>
      <c r="V137">
        <v>40.19</v>
      </c>
      <c r="W137">
        <v>45.41</v>
      </c>
      <c r="X137">
        <v>25.47</v>
      </c>
      <c r="Y137">
        <v>43.89</v>
      </c>
      <c r="Z137">
        <v>40.85</v>
      </c>
      <c r="AA137">
        <v>72.489999999999995</v>
      </c>
      <c r="AB137">
        <v>54.41</v>
      </c>
      <c r="AC137">
        <v>38.9</v>
      </c>
      <c r="AD137">
        <v>521.51</v>
      </c>
      <c r="AE137">
        <v>594.20000000000005</v>
      </c>
      <c r="AF137">
        <v>42.25</v>
      </c>
      <c r="AG137">
        <v>52.19</v>
      </c>
      <c r="AH137">
        <v>45.61</v>
      </c>
      <c r="AI137">
        <v>46.85</v>
      </c>
    </row>
    <row r="138" spans="1:35" x14ac:dyDescent="0.45">
      <c r="A138" s="2">
        <v>45792</v>
      </c>
      <c r="B138">
        <v>28.25</v>
      </c>
      <c r="C138">
        <v>33.07</v>
      </c>
      <c r="D138">
        <v>18.27</v>
      </c>
      <c r="E138">
        <v>27.62</v>
      </c>
      <c r="F138">
        <v>30.49</v>
      </c>
      <c r="G138">
        <v>45.06</v>
      </c>
      <c r="H138">
        <v>25.08</v>
      </c>
      <c r="I138">
        <v>53.99</v>
      </c>
      <c r="J138">
        <v>59.26</v>
      </c>
      <c r="K138">
        <v>58.8</v>
      </c>
      <c r="L138">
        <v>28.01</v>
      </c>
      <c r="M138">
        <v>51.09</v>
      </c>
      <c r="N138">
        <v>52.15</v>
      </c>
      <c r="O138">
        <v>54.77</v>
      </c>
      <c r="P138">
        <v>54.57</v>
      </c>
      <c r="Q138">
        <v>18.84</v>
      </c>
      <c r="R138">
        <v>1210.94</v>
      </c>
      <c r="S138">
        <v>31.91</v>
      </c>
      <c r="T138">
        <v>18.3</v>
      </c>
      <c r="U138">
        <v>12.81</v>
      </c>
      <c r="V138">
        <v>40.130000000000003</v>
      </c>
      <c r="W138">
        <v>45.6</v>
      </c>
      <c r="X138">
        <v>25.55</v>
      </c>
      <c r="Y138">
        <v>43.83</v>
      </c>
      <c r="Z138">
        <v>40.86</v>
      </c>
      <c r="AA138">
        <v>72.3</v>
      </c>
      <c r="AB138">
        <v>54.02</v>
      </c>
      <c r="AC138">
        <v>38.799999999999997</v>
      </c>
      <c r="AD138">
        <v>519.25</v>
      </c>
      <c r="AE138">
        <v>590.46</v>
      </c>
      <c r="AF138">
        <v>42.09</v>
      </c>
      <c r="AG138">
        <v>52.25</v>
      </c>
      <c r="AH138">
        <v>45.62</v>
      </c>
      <c r="AI138">
        <v>46.53</v>
      </c>
    </row>
    <row r="139" spans="1:35" x14ac:dyDescent="0.45">
      <c r="A139" s="2">
        <v>45791</v>
      </c>
      <c r="B139">
        <v>28.58</v>
      </c>
      <c r="C139">
        <v>33.24</v>
      </c>
      <c r="D139">
        <v>17.97</v>
      </c>
      <c r="E139">
        <v>28.01</v>
      </c>
      <c r="F139">
        <v>30.68</v>
      </c>
      <c r="G139">
        <v>44.95</v>
      </c>
      <c r="H139">
        <v>25.07</v>
      </c>
      <c r="I139">
        <v>53.77</v>
      </c>
      <c r="J139">
        <v>59.36</v>
      </c>
      <c r="K139">
        <v>58.61</v>
      </c>
      <c r="L139">
        <v>28.2</v>
      </c>
      <c r="M139">
        <v>50.22</v>
      </c>
      <c r="N139">
        <v>52.22</v>
      </c>
      <c r="O139">
        <v>53.97</v>
      </c>
      <c r="P139">
        <v>55.6</v>
      </c>
      <c r="Q139">
        <v>18.829999999999998</v>
      </c>
      <c r="R139">
        <v>1206.5899999999999</v>
      </c>
      <c r="S139">
        <v>32.479999999999997</v>
      </c>
      <c r="T139">
        <v>18.16</v>
      </c>
      <c r="U139">
        <v>12.82</v>
      </c>
      <c r="V139">
        <v>40.21</v>
      </c>
      <c r="W139">
        <v>45.33</v>
      </c>
      <c r="X139">
        <v>25.16</v>
      </c>
      <c r="Y139">
        <v>43.44</v>
      </c>
      <c r="Z139">
        <v>40.340000000000003</v>
      </c>
      <c r="AA139">
        <v>71.45</v>
      </c>
      <c r="AB139">
        <v>52.94</v>
      </c>
      <c r="AC139">
        <v>38.25</v>
      </c>
      <c r="AD139">
        <v>518.67999999999995</v>
      </c>
      <c r="AE139">
        <v>587.59</v>
      </c>
      <c r="AF139">
        <v>41.88</v>
      </c>
      <c r="AG139">
        <v>52.2</v>
      </c>
      <c r="AH139">
        <v>45.11</v>
      </c>
      <c r="AI139">
        <v>46.26</v>
      </c>
    </row>
    <row r="140" spans="1:35" x14ac:dyDescent="0.45">
      <c r="A140" s="2">
        <v>45790</v>
      </c>
      <c r="B140">
        <v>28.34</v>
      </c>
      <c r="C140">
        <v>32.56</v>
      </c>
      <c r="D140">
        <v>17.54</v>
      </c>
      <c r="E140">
        <v>28.06</v>
      </c>
      <c r="F140">
        <v>30.8</v>
      </c>
      <c r="G140">
        <v>45.11</v>
      </c>
      <c r="H140">
        <v>24.87</v>
      </c>
      <c r="I140">
        <v>53.28</v>
      </c>
      <c r="J140">
        <v>59.08</v>
      </c>
      <c r="K140">
        <v>58.12</v>
      </c>
      <c r="L140">
        <v>28.33</v>
      </c>
      <c r="M140">
        <v>50.41</v>
      </c>
      <c r="N140">
        <v>52.07</v>
      </c>
      <c r="O140">
        <v>54.01</v>
      </c>
      <c r="P140">
        <v>54.7</v>
      </c>
      <c r="Q140">
        <v>18.755299999999998</v>
      </c>
      <c r="R140">
        <v>1220.27</v>
      </c>
      <c r="S140">
        <v>32.46</v>
      </c>
      <c r="T140">
        <v>18.36</v>
      </c>
      <c r="U140">
        <v>12.74</v>
      </c>
      <c r="V140">
        <v>40.299999999999997</v>
      </c>
      <c r="W140">
        <v>45.62</v>
      </c>
      <c r="X140">
        <v>25.42</v>
      </c>
      <c r="Y140">
        <v>43.4</v>
      </c>
      <c r="Z140">
        <v>40.590000000000003</v>
      </c>
      <c r="AA140">
        <v>72.25</v>
      </c>
      <c r="AB140">
        <v>53.19</v>
      </c>
      <c r="AC140">
        <v>38.42</v>
      </c>
      <c r="AD140">
        <v>515.59</v>
      </c>
      <c r="AE140">
        <v>586.84</v>
      </c>
      <c r="AF140">
        <v>42.1</v>
      </c>
      <c r="AG140">
        <v>52.04</v>
      </c>
      <c r="AH140">
        <v>45.23</v>
      </c>
      <c r="AI140">
        <v>46</v>
      </c>
    </row>
    <row r="141" spans="1:35" x14ac:dyDescent="0.45">
      <c r="A141" s="2">
        <v>45789</v>
      </c>
      <c r="B141">
        <v>28.45</v>
      </c>
      <c r="C141">
        <v>32.35</v>
      </c>
      <c r="D141">
        <v>17.399999999999999</v>
      </c>
      <c r="E141">
        <v>27.75</v>
      </c>
      <c r="F141">
        <v>30.5</v>
      </c>
      <c r="G141">
        <v>44.74</v>
      </c>
      <c r="H141">
        <v>24.5</v>
      </c>
      <c r="I141">
        <v>52.95</v>
      </c>
      <c r="J141">
        <v>57.84</v>
      </c>
      <c r="K141">
        <v>58.04</v>
      </c>
      <c r="L141">
        <v>27.49</v>
      </c>
      <c r="M141">
        <v>50.19</v>
      </c>
      <c r="N141">
        <v>51.6</v>
      </c>
      <c r="O141">
        <v>54.32</v>
      </c>
      <c r="P141">
        <v>55.06</v>
      </c>
      <c r="Q141">
        <v>18.7</v>
      </c>
      <c r="R141">
        <v>1187.8599999999999</v>
      </c>
      <c r="S141">
        <v>32.619999999999997</v>
      </c>
      <c r="T141">
        <v>18.13</v>
      </c>
      <c r="U141">
        <v>12.69</v>
      </c>
      <c r="V141">
        <v>40.04</v>
      </c>
      <c r="W141">
        <v>44.75</v>
      </c>
      <c r="X141">
        <v>25.18</v>
      </c>
      <c r="Y141">
        <v>43.08</v>
      </c>
      <c r="Z141">
        <v>40.380000000000003</v>
      </c>
      <c r="AA141">
        <v>72.8</v>
      </c>
      <c r="AB141">
        <v>53.53</v>
      </c>
      <c r="AC141">
        <v>38.24</v>
      </c>
      <c r="AD141">
        <v>507.85</v>
      </c>
      <c r="AE141">
        <v>582.99</v>
      </c>
      <c r="AF141">
        <v>41.81</v>
      </c>
      <c r="AG141">
        <v>51.6</v>
      </c>
      <c r="AH141">
        <v>45.09</v>
      </c>
      <c r="AI141">
        <v>45.66</v>
      </c>
    </row>
    <row r="142" spans="1:35" x14ac:dyDescent="0.45">
      <c r="A142" s="2">
        <v>45786</v>
      </c>
      <c r="B142">
        <v>27.78</v>
      </c>
      <c r="C142">
        <v>32.200000000000003</v>
      </c>
      <c r="D142">
        <v>17.41</v>
      </c>
      <c r="E142">
        <v>27.62</v>
      </c>
      <c r="F142">
        <v>30.88</v>
      </c>
      <c r="G142">
        <v>45.330300000000001</v>
      </c>
      <c r="H142">
        <v>24.45</v>
      </c>
      <c r="I142">
        <v>51.75</v>
      </c>
      <c r="J142">
        <v>58.12</v>
      </c>
      <c r="K142">
        <v>57.69</v>
      </c>
      <c r="L142">
        <v>27.56</v>
      </c>
      <c r="M142">
        <v>50.64</v>
      </c>
      <c r="N142">
        <v>51.048299999999998</v>
      </c>
      <c r="O142">
        <v>52.39</v>
      </c>
      <c r="P142">
        <v>53.25</v>
      </c>
      <c r="Q142">
        <v>18.690000000000001</v>
      </c>
      <c r="R142">
        <v>1198.98</v>
      </c>
      <c r="S142">
        <v>31.41</v>
      </c>
      <c r="T142">
        <v>18.149999999999999</v>
      </c>
      <c r="U142">
        <v>12.49</v>
      </c>
      <c r="V142">
        <v>39.54</v>
      </c>
      <c r="W142">
        <v>45.17</v>
      </c>
      <c r="X142">
        <v>25.01</v>
      </c>
      <c r="Y142">
        <v>42.85</v>
      </c>
      <c r="Z142">
        <v>40.770000000000003</v>
      </c>
      <c r="AA142">
        <v>72.010000000000005</v>
      </c>
      <c r="AB142">
        <v>53.58</v>
      </c>
      <c r="AC142">
        <v>38.29</v>
      </c>
      <c r="AD142">
        <v>487.97</v>
      </c>
      <c r="AE142">
        <v>564.34</v>
      </c>
      <c r="AF142">
        <v>41.68</v>
      </c>
      <c r="AG142">
        <v>50.79</v>
      </c>
      <c r="AH142">
        <v>44.38</v>
      </c>
      <c r="AI142">
        <v>45.81</v>
      </c>
    </row>
    <row r="143" spans="1:35" x14ac:dyDescent="0.45">
      <c r="A143" s="2">
        <v>45785</v>
      </c>
      <c r="B143">
        <v>27.85</v>
      </c>
      <c r="C143">
        <v>32.15</v>
      </c>
      <c r="D143">
        <v>17.45</v>
      </c>
      <c r="E143">
        <v>27.16</v>
      </c>
      <c r="F143">
        <v>29.94</v>
      </c>
      <c r="G143">
        <v>45.02</v>
      </c>
      <c r="H143">
        <v>24.31</v>
      </c>
      <c r="I143">
        <v>51.16</v>
      </c>
      <c r="J143">
        <v>58.11</v>
      </c>
      <c r="K143">
        <v>57.2</v>
      </c>
      <c r="L143">
        <v>27.48</v>
      </c>
      <c r="M143">
        <v>49.85</v>
      </c>
      <c r="N143">
        <v>50.26</v>
      </c>
      <c r="O143">
        <v>51.54</v>
      </c>
      <c r="P143">
        <v>53.45</v>
      </c>
      <c r="Q143">
        <v>18.614999999999998</v>
      </c>
      <c r="R143">
        <v>1197.26</v>
      </c>
      <c r="S143">
        <v>31.19</v>
      </c>
      <c r="T143">
        <v>18.14</v>
      </c>
      <c r="U143">
        <v>12.6</v>
      </c>
      <c r="V143">
        <v>39.44</v>
      </c>
      <c r="W143">
        <v>44.23</v>
      </c>
      <c r="X143">
        <v>24.83</v>
      </c>
      <c r="Y143">
        <v>42.81</v>
      </c>
      <c r="Z143">
        <v>40.46</v>
      </c>
      <c r="AA143">
        <v>71.83</v>
      </c>
      <c r="AB143">
        <v>53.58</v>
      </c>
      <c r="AC143">
        <v>38.11</v>
      </c>
      <c r="AD143">
        <v>488.29</v>
      </c>
      <c r="AE143">
        <v>565.05999999999995</v>
      </c>
      <c r="AF143">
        <v>41.32</v>
      </c>
      <c r="AG143">
        <v>50.32</v>
      </c>
      <c r="AH143">
        <v>44.26</v>
      </c>
      <c r="AI143">
        <v>45.36</v>
      </c>
    </row>
    <row r="144" spans="1:35" x14ac:dyDescent="0.45">
      <c r="A144" s="2">
        <v>45784</v>
      </c>
      <c r="B144">
        <v>27.58</v>
      </c>
      <c r="C144">
        <v>31.75</v>
      </c>
      <c r="D144">
        <v>17.71</v>
      </c>
      <c r="E144">
        <v>27.56</v>
      </c>
      <c r="F144">
        <v>29.66</v>
      </c>
      <c r="G144">
        <v>44.79</v>
      </c>
      <c r="H144">
        <v>24.68</v>
      </c>
      <c r="I144">
        <v>51</v>
      </c>
      <c r="J144">
        <v>59.09</v>
      </c>
      <c r="K144">
        <v>57.79</v>
      </c>
      <c r="L144">
        <v>26.4</v>
      </c>
      <c r="M144">
        <v>50.23</v>
      </c>
      <c r="N144">
        <v>50.37</v>
      </c>
      <c r="O144">
        <v>53.22</v>
      </c>
      <c r="P144">
        <v>52.69</v>
      </c>
      <c r="Q144">
        <v>18.510000000000002</v>
      </c>
      <c r="R144">
        <v>1171.1199999999999</v>
      </c>
      <c r="S144">
        <v>30.31</v>
      </c>
      <c r="T144">
        <v>18.18</v>
      </c>
      <c r="U144">
        <v>12.42</v>
      </c>
      <c r="V144">
        <v>39.53</v>
      </c>
      <c r="W144">
        <v>44.56</v>
      </c>
      <c r="X144">
        <v>24.89</v>
      </c>
      <c r="Y144">
        <v>42.89</v>
      </c>
      <c r="Z144">
        <v>40.44</v>
      </c>
      <c r="AA144">
        <v>71.98</v>
      </c>
      <c r="AB144">
        <v>54.15</v>
      </c>
      <c r="AC144">
        <v>38.43</v>
      </c>
      <c r="AD144">
        <v>483.3</v>
      </c>
      <c r="AE144">
        <v>561.15</v>
      </c>
      <c r="AF144">
        <v>41.32</v>
      </c>
      <c r="AG144">
        <v>50.21</v>
      </c>
      <c r="AH144">
        <v>44.38</v>
      </c>
      <c r="AI144">
        <v>44.99</v>
      </c>
    </row>
    <row r="145" spans="1:35" x14ac:dyDescent="0.45">
      <c r="A145" s="2">
        <v>45783</v>
      </c>
      <c r="B145">
        <v>27.82</v>
      </c>
      <c r="C145">
        <v>31.62</v>
      </c>
      <c r="D145">
        <v>17.739999999999998</v>
      </c>
      <c r="E145">
        <v>27.35</v>
      </c>
      <c r="F145">
        <v>29.48</v>
      </c>
      <c r="G145">
        <v>45.45</v>
      </c>
      <c r="H145">
        <v>24.64</v>
      </c>
      <c r="I145">
        <v>51.56</v>
      </c>
      <c r="J145">
        <v>58.39</v>
      </c>
      <c r="K145">
        <v>58.5</v>
      </c>
      <c r="L145">
        <v>26.61</v>
      </c>
      <c r="M145">
        <v>50.71</v>
      </c>
      <c r="N145">
        <v>50.13</v>
      </c>
      <c r="O145">
        <v>53.68</v>
      </c>
      <c r="P145">
        <v>53.95</v>
      </c>
      <c r="Q145">
        <v>18.55</v>
      </c>
      <c r="R145">
        <v>1159.53</v>
      </c>
      <c r="S145">
        <v>30.76</v>
      </c>
      <c r="T145">
        <v>18.309999999999999</v>
      </c>
      <c r="U145">
        <v>12.22</v>
      </c>
      <c r="V145">
        <v>39.72</v>
      </c>
      <c r="W145">
        <v>44.82</v>
      </c>
      <c r="X145">
        <v>25.05</v>
      </c>
      <c r="Y145">
        <v>42.77</v>
      </c>
      <c r="Z145">
        <v>40.67</v>
      </c>
      <c r="AA145">
        <v>72.430000000000007</v>
      </c>
      <c r="AB145">
        <v>54.34</v>
      </c>
      <c r="AC145">
        <v>38.57</v>
      </c>
      <c r="AD145">
        <v>481.41</v>
      </c>
      <c r="AE145">
        <v>558.79999999999995</v>
      </c>
      <c r="AF145">
        <v>41.62</v>
      </c>
      <c r="AG145">
        <v>49.98</v>
      </c>
      <c r="AH145">
        <v>44.18</v>
      </c>
      <c r="AI145">
        <v>45.22</v>
      </c>
    </row>
    <row r="146" spans="1:35" x14ac:dyDescent="0.45">
      <c r="A146" s="2">
        <v>45782</v>
      </c>
      <c r="B146">
        <v>27.7</v>
      </c>
      <c r="C146">
        <v>31.58</v>
      </c>
      <c r="D146">
        <v>17.649999999999999</v>
      </c>
      <c r="E146">
        <v>27.03</v>
      </c>
      <c r="F146">
        <v>29.83</v>
      </c>
      <c r="G146">
        <v>44.700299999999999</v>
      </c>
      <c r="H146">
        <v>24.86</v>
      </c>
      <c r="I146">
        <v>52.96</v>
      </c>
      <c r="J146">
        <v>56.68</v>
      </c>
      <c r="K146">
        <v>58.38</v>
      </c>
      <c r="L146">
        <v>26.71</v>
      </c>
      <c r="M146">
        <v>50.44</v>
      </c>
      <c r="N146">
        <v>50.44</v>
      </c>
      <c r="O146">
        <v>54.32</v>
      </c>
      <c r="P146">
        <v>53.4</v>
      </c>
      <c r="Q146">
        <v>18.55</v>
      </c>
      <c r="R146">
        <v>1159</v>
      </c>
      <c r="S146">
        <v>30.7</v>
      </c>
      <c r="T146">
        <v>18.23</v>
      </c>
      <c r="U146">
        <v>12.27</v>
      </c>
      <c r="V146">
        <v>39.71</v>
      </c>
      <c r="W146">
        <v>44.49</v>
      </c>
      <c r="X146">
        <v>24.99</v>
      </c>
      <c r="Y146">
        <v>42.66</v>
      </c>
      <c r="Z146">
        <v>40.72</v>
      </c>
      <c r="AA146">
        <v>72.39</v>
      </c>
      <c r="AB146">
        <v>54.64</v>
      </c>
      <c r="AC146">
        <v>38.64</v>
      </c>
      <c r="AD146">
        <v>485.93</v>
      </c>
      <c r="AE146">
        <v>563.51</v>
      </c>
      <c r="AF146">
        <v>41.84</v>
      </c>
      <c r="AG146">
        <v>50.14</v>
      </c>
      <c r="AH146">
        <v>44.28</v>
      </c>
      <c r="AI146">
        <v>45.07</v>
      </c>
    </row>
    <row r="147" spans="1:35" x14ac:dyDescent="0.45">
      <c r="A147" s="2">
        <v>45779</v>
      </c>
      <c r="B147">
        <v>27.66</v>
      </c>
      <c r="C147">
        <v>31.35</v>
      </c>
      <c r="D147">
        <v>17.63</v>
      </c>
      <c r="E147">
        <v>27.27</v>
      </c>
      <c r="F147">
        <v>30.09</v>
      </c>
      <c r="G147">
        <v>44.44</v>
      </c>
      <c r="H147">
        <v>24.85</v>
      </c>
      <c r="I147">
        <v>50.95</v>
      </c>
      <c r="J147">
        <v>56.94</v>
      </c>
      <c r="K147">
        <v>57.71</v>
      </c>
      <c r="L147">
        <v>27.12</v>
      </c>
      <c r="M147">
        <v>50.19</v>
      </c>
      <c r="N147">
        <v>50.1</v>
      </c>
      <c r="O147">
        <v>53.91</v>
      </c>
      <c r="P147">
        <v>53.42</v>
      </c>
      <c r="Q147">
        <v>18.54</v>
      </c>
      <c r="R147">
        <v>1146.8599999999999</v>
      </c>
      <c r="S147">
        <v>30.94</v>
      </c>
      <c r="T147">
        <v>18.14</v>
      </c>
      <c r="U147">
        <v>12.24</v>
      </c>
      <c r="V147">
        <v>40.33</v>
      </c>
      <c r="W147">
        <v>44.29</v>
      </c>
      <c r="X147">
        <v>25.31</v>
      </c>
      <c r="Y147">
        <v>42.84</v>
      </c>
      <c r="Z147">
        <v>40.340000000000003</v>
      </c>
      <c r="AA147">
        <v>71.89</v>
      </c>
      <c r="AB147">
        <v>54.47</v>
      </c>
      <c r="AC147">
        <v>38.6</v>
      </c>
      <c r="AD147">
        <v>488.83</v>
      </c>
      <c r="AE147">
        <v>566.76</v>
      </c>
      <c r="AF147">
        <v>41.86</v>
      </c>
      <c r="AG147">
        <v>50.27</v>
      </c>
      <c r="AH147">
        <v>44.55</v>
      </c>
      <c r="AI147">
        <v>44.99</v>
      </c>
    </row>
    <row r="148" spans="1:35" x14ac:dyDescent="0.45">
      <c r="A148" s="2">
        <v>45778</v>
      </c>
      <c r="B148">
        <v>26.92</v>
      </c>
      <c r="C148">
        <v>31.07</v>
      </c>
      <c r="D148">
        <v>17.3</v>
      </c>
      <c r="E148">
        <v>26.86</v>
      </c>
      <c r="F148">
        <v>29.45</v>
      </c>
      <c r="G148">
        <v>43.74</v>
      </c>
      <c r="H148">
        <v>24.12</v>
      </c>
      <c r="I148">
        <v>47.82</v>
      </c>
      <c r="J148">
        <v>56.67</v>
      </c>
      <c r="K148">
        <v>55.6</v>
      </c>
      <c r="L148">
        <v>26.88</v>
      </c>
      <c r="M148">
        <v>49.27</v>
      </c>
      <c r="N148">
        <v>49.3</v>
      </c>
      <c r="O148">
        <v>53.54</v>
      </c>
      <c r="P148">
        <v>51.59</v>
      </c>
      <c r="Q148">
        <v>18.34</v>
      </c>
      <c r="R148">
        <v>1153.77</v>
      </c>
      <c r="S148">
        <v>30.66</v>
      </c>
      <c r="T148">
        <v>17.96</v>
      </c>
      <c r="U148">
        <v>12.11</v>
      </c>
      <c r="V148">
        <v>40.01</v>
      </c>
      <c r="W148">
        <v>43.06</v>
      </c>
      <c r="X148">
        <v>24.65</v>
      </c>
      <c r="Y148">
        <v>42.31</v>
      </c>
      <c r="Z148">
        <v>39.46</v>
      </c>
      <c r="AA148">
        <v>71.17</v>
      </c>
      <c r="AB148">
        <v>53.52</v>
      </c>
      <c r="AC148">
        <v>37.880000000000003</v>
      </c>
      <c r="AD148">
        <v>481.68</v>
      </c>
      <c r="AE148">
        <v>558.47</v>
      </c>
      <c r="AF148">
        <v>41.07</v>
      </c>
      <c r="AG148">
        <v>48.78</v>
      </c>
      <c r="AH148">
        <v>43.12</v>
      </c>
      <c r="AI148">
        <v>44.26</v>
      </c>
    </row>
    <row r="149" spans="1:35" x14ac:dyDescent="0.45">
      <c r="A149" s="2">
        <v>45777</v>
      </c>
      <c r="B149">
        <v>27.06</v>
      </c>
      <c r="C149">
        <v>31.13</v>
      </c>
      <c r="D149">
        <v>17.309999999999999</v>
      </c>
      <c r="E149">
        <v>26.89</v>
      </c>
      <c r="F149">
        <v>29.48</v>
      </c>
      <c r="G149">
        <v>44.33</v>
      </c>
      <c r="H149">
        <v>24.17</v>
      </c>
      <c r="I149">
        <v>47.48</v>
      </c>
      <c r="J149">
        <v>56.97</v>
      </c>
      <c r="K149">
        <v>56.19</v>
      </c>
      <c r="L149">
        <v>27.04</v>
      </c>
      <c r="M149">
        <v>49.52</v>
      </c>
      <c r="N149">
        <v>49.52</v>
      </c>
      <c r="O149">
        <v>53.57</v>
      </c>
      <c r="P149">
        <v>51.66</v>
      </c>
      <c r="Q149">
        <v>18.309999999999999</v>
      </c>
      <c r="R149">
        <v>1144.05</v>
      </c>
      <c r="S149">
        <v>30.67</v>
      </c>
      <c r="T149">
        <v>17.88</v>
      </c>
      <c r="U149">
        <v>12.07</v>
      </c>
      <c r="V149">
        <v>40.43</v>
      </c>
      <c r="W149">
        <v>42.61</v>
      </c>
      <c r="X149">
        <v>24.67</v>
      </c>
      <c r="Y149">
        <v>42.45</v>
      </c>
      <c r="Z149">
        <v>39.49</v>
      </c>
      <c r="AA149">
        <v>71.430000000000007</v>
      </c>
      <c r="AB149">
        <v>53.86</v>
      </c>
      <c r="AC149">
        <v>38.1</v>
      </c>
      <c r="AD149">
        <v>475.47</v>
      </c>
      <c r="AE149">
        <v>554.54</v>
      </c>
      <c r="AF149">
        <v>41.04</v>
      </c>
      <c r="AG149">
        <v>48.85</v>
      </c>
      <c r="AH149">
        <v>43.64</v>
      </c>
      <c r="AI149">
        <v>44.21</v>
      </c>
    </row>
    <row r="150" spans="1:35" x14ac:dyDescent="0.45">
      <c r="A150" s="2">
        <v>45776</v>
      </c>
      <c r="B150">
        <v>27.14</v>
      </c>
      <c r="C150">
        <v>31.44</v>
      </c>
      <c r="D150">
        <v>17.100000000000001</v>
      </c>
      <c r="E150">
        <v>26.41</v>
      </c>
      <c r="F150">
        <v>30.3</v>
      </c>
      <c r="G150">
        <v>44.8</v>
      </c>
      <c r="H150">
        <v>23.7</v>
      </c>
      <c r="I150">
        <v>47.15</v>
      </c>
      <c r="J150">
        <v>56.42</v>
      </c>
      <c r="K150">
        <v>56.1</v>
      </c>
      <c r="L150">
        <v>27.36</v>
      </c>
      <c r="M150">
        <v>49.14</v>
      </c>
      <c r="N150">
        <v>49.99</v>
      </c>
      <c r="O150">
        <v>53.54</v>
      </c>
      <c r="P150">
        <v>51.68</v>
      </c>
      <c r="Q150">
        <v>18.2</v>
      </c>
      <c r="R150">
        <v>1134.71</v>
      </c>
      <c r="S150">
        <v>31.18</v>
      </c>
      <c r="T150">
        <v>17.989999999999998</v>
      </c>
      <c r="U150">
        <v>12.05</v>
      </c>
      <c r="V150">
        <v>40.74</v>
      </c>
      <c r="W150">
        <v>43.35</v>
      </c>
      <c r="X150">
        <v>24.55</v>
      </c>
      <c r="Y150">
        <v>42.45</v>
      </c>
      <c r="Z150">
        <v>39.67</v>
      </c>
      <c r="AA150">
        <v>72.02</v>
      </c>
      <c r="AB150">
        <v>53.67</v>
      </c>
      <c r="AC150">
        <v>38.35</v>
      </c>
      <c r="AD150">
        <v>475.53</v>
      </c>
      <c r="AE150">
        <v>554.32000000000005</v>
      </c>
      <c r="AF150">
        <v>40.94</v>
      </c>
      <c r="AG150">
        <v>48.92</v>
      </c>
      <c r="AH150">
        <v>43</v>
      </c>
      <c r="AI150">
        <v>44.67</v>
      </c>
    </row>
    <row r="151" spans="1:35" x14ac:dyDescent="0.45">
      <c r="A151" s="2">
        <v>45775</v>
      </c>
      <c r="B151">
        <v>27.14</v>
      </c>
      <c r="C151">
        <v>31.24</v>
      </c>
      <c r="D151">
        <v>16.93</v>
      </c>
      <c r="E151">
        <v>26.18</v>
      </c>
      <c r="F151">
        <v>30.3</v>
      </c>
      <c r="G151">
        <v>44.6021</v>
      </c>
      <c r="H151">
        <v>23.71</v>
      </c>
      <c r="I151">
        <v>46.47</v>
      </c>
      <c r="J151">
        <v>58.12</v>
      </c>
      <c r="K151">
        <v>55.65</v>
      </c>
      <c r="L151">
        <v>27.21</v>
      </c>
      <c r="M151">
        <v>49.09</v>
      </c>
      <c r="N151">
        <v>49.71</v>
      </c>
      <c r="O151">
        <v>53.29</v>
      </c>
      <c r="P151">
        <v>51.85</v>
      </c>
      <c r="Q151">
        <v>18.14</v>
      </c>
      <c r="R151">
        <v>1150.95</v>
      </c>
      <c r="S151">
        <v>31.48</v>
      </c>
      <c r="T151">
        <v>17.64</v>
      </c>
      <c r="U151">
        <v>11.95</v>
      </c>
      <c r="V151">
        <v>40.85</v>
      </c>
      <c r="W151">
        <v>43.6</v>
      </c>
      <c r="X151">
        <v>24.52</v>
      </c>
      <c r="Y151">
        <v>42.37</v>
      </c>
      <c r="Z151">
        <v>39.47</v>
      </c>
      <c r="AA151">
        <v>71.739999999999995</v>
      </c>
      <c r="AB151">
        <v>53.71</v>
      </c>
      <c r="AC151">
        <v>38.19</v>
      </c>
      <c r="AD151">
        <v>472.41</v>
      </c>
      <c r="AE151">
        <v>550.85</v>
      </c>
      <c r="AF151">
        <v>41.04</v>
      </c>
      <c r="AG151">
        <v>48.79</v>
      </c>
      <c r="AH151">
        <v>43.61</v>
      </c>
      <c r="AI151">
        <v>44.23</v>
      </c>
    </row>
    <row r="152" spans="1:35" x14ac:dyDescent="0.45">
      <c r="A152" s="2">
        <v>45772</v>
      </c>
      <c r="B152">
        <v>27.25</v>
      </c>
      <c r="C152">
        <v>31.67</v>
      </c>
      <c r="D152">
        <v>16.77</v>
      </c>
      <c r="E152">
        <v>26.26</v>
      </c>
      <c r="F152">
        <v>30.04</v>
      </c>
      <c r="G152">
        <v>44.4285</v>
      </c>
      <c r="H152">
        <v>23.43</v>
      </c>
      <c r="I152">
        <v>46.34</v>
      </c>
      <c r="J152">
        <v>57.94</v>
      </c>
      <c r="K152">
        <v>55.81</v>
      </c>
      <c r="L152">
        <v>26.94</v>
      </c>
      <c r="M152">
        <v>48.38</v>
      </c>
      <c r="N152">
        <v>49.52</v>
      </c>
      <c r="O152">
        <v>52.85</v>
      </c>
      <c r="P152">
        <v>51.91</v>
      </c>
      <c r="Q152">
        <v>18.16</v>
      </c>
      <c r="R152">
        <v>1141.28</v>
      </c>
      <c r="S152">
        <v>31.96</v>
      </c>
      <c r="T152">
        <v>17.47</v>
      </c>
      <c r="U152">
        <v>12.01</v>
      </c>
      <c r="V152">
        <v>41.16</v>
      </c>
      <c r="W152">
        <v>43.76</v>
      </c>
      <c r="X152">
        <v>24.51</v>
      </c>
      <c r="Y152">
        <v>42.04</v>
      </c>
      <c r="Z152">
        <v>39.36</v>
      </c>
      <c r="AA152">
        <v>70.77</v>
      </c>
      <c r="AB152">
        <v>53.04</v>
      </c>
      <c r="AC152">
        <v>37.94</v>
      </c>
      <c r="AD152">
        <v>472.56</v>
      </c>
      <c r="AE152">
        <v>550.64</v>
      </c>
      <c r="AF152">
        <v>40.950000000000003</v>
      </c>
      <c r="AG152">
        <v>48.78</v>
      </c>
      <c r="AH152">
        <v>43.62</v>
      </c>
      <c r="AI152">
        <v>44.04</v>
      </c>
    </row>
    <row r="153" spans="1:35" x14ac:dyDescent="0.45">
      <c r="A153" s="2">
        <v>45771</v>
      </c>
      <c r="B153">
        <v>27.29</v>
      </c>
      <c r="C153">
        <v>31.7</v>
      </c>
      <c r="D153">
        <v>16.760000000000002</v>
      </c>
      <c r="E153">
        <v>25.96</v>
      </c>
      <c r="F153">
        <v>30.19</v>
      </c>
      <c r="G153">
        <v>44.55</v>
      </c>
      <c r="H153">
        <v>23.43</v>
      </c>
      <c r="I153">
        <v>46.18</v>
      </c>
      <c r="J153">
        <v>57.34</v>
      </c>
      <c r="K153">
        <v>55.95</v>
      </c>
      <c r="L153">
        <v>26.74</v>
      </c>
      <c r="M153">
        <v>47.96</v>
      </c>
      <c r="N153">
        <v>49.95</v>
      </c>
      <c r="O153">
        <v>53.74</v>
      </c>
      <c r="P153">
        <v>51.97</v>
      </c>
      <c r="Q153">
        <v>18.12</v>
      </c>
      <c r="R153">
        <v>1138.9000000000001</v>
      </c>
      <c r="S153">
        <v>32.18</v>
      </c>
      <c r="T153">
        <v>17.57</v>
      </c>
      <c r="U153">
        <v>12</v>
      </c>
      <c r="V153">
        <v>41.05</v>
      </c>
      <c r="W153">
        <v>43.805</v>
      </c>
      <c r="X153">
        <v>24.51</v>
      </c>
      <c r="Y153">
        <v>42.06</v>
      </c>
      <c r="Z153">
        <v>39.03</v>
      </c>
      <c r="AA153">
        <v>70.28</v>
      </c>
      <c r="AB153">
        <v>52.96</v>
      </c>
      <c r="AC153">
        <v>37.89</v>
      </c>
      <c r="AD153">
        <v>467.35</v>
      </c>
      <c r="AE153">
        <v>546.69000000000005</v>
      </c>
      <c r="AF153">
        <v>40.72</v>
      </c>
      <c r="AG153">
        <v>48.41</v>
      </c>
      <c r="AH153">
        <v>43.32</v>
      </c>
      <c r="AI153">
        <v>43.48</v>
      </c>
    </row>
    <row r="154" spans="1:35" x14ac:dyDescent="0.45">
      <c r="A154" s="2">
        <v>45770</v>
      </c>
      <c r="B154">
        <v>27.2</v>
      </c>
      <c r="C154">
        <v>31.19</v>
      </c>
      <c r="D154">
        <v>16.61</v>
      </c>
      <c r="E154">
        <v>25.59</v>
      </c>
      <c r="F154">
        <v>29.43</v>
      </c>
      <c r="G154">
        <v>43.98</v>
      </c>
      <c r="H154">
        <v>23.07</v>
      </c>
      <c r="I154">
        <v>45.5</v>
      </c>
      <c r="J154">
        <v>56.51</v>
      </c>
      <c r="K154">
        <v>55.6</v>
      </c>
      <c r="L154">
        <v>26.31</v>
      </c>
      <c r="M154">
        <v>47.55</v>
      </c>
      <c r="N154">
        <v>49.35</v>
      </c>
      <c r="O154">
        <v>53.18</v>
      </c>
      <c r="P154">
        <v>51.66</v>
      </c>
      <c r="Q154">
        <v>17.899999999999999</v>
      </c>
      <c r="R154">
        <v>1128.6600000000001</v>
      </c>
      <c r="S154">
        <v>31.77</v>
      </c>
      <c r="T154">
        <v>17.23</v>
      </c>
      <c r="U154">
        <v>11.62</v>
      </c>
      <c r="V154">
        <v>40.369999999999997</v>
      </c>
      <c r="W154">
        <v>42.823799999999999</v>
      </c>
      <c r="X154">
        <v>24</v>
      </c>
      <c r="Y154">
        <v>41.52</v>
      </c>
      <c r="Z154">
        <v>38.44</v>
      </c>
      <c r="AA154">
        <v>69.48</v>
      </c>
      <c r="AB154">
        <v>52.23</v>
      </c>
      <c r="AC154">
        <v>37.549999999999997</v>
      </c>
      <c r="AD154">
        <v>454.56</v>
      </c>
      <c r="AE154">
        <v>535.41999999999996</v>
      </c>
      <c r="AF154">
        <v>40.119999999999997</v>
      </c>
      <c r="AG154">
        <v>47.77</v>
      </c>
      <c r="AH154">
        <v>42.43</v>
      </c>
      <c r="AI154">
        <v>42.69</v>
      </c>
    </row>
    <row r="155" spans="1:35" x14ac:dyDescent="0.45">
      <c r="A155" s="2">
        <v>45769</v>
      </c>
      <c r="B155">
        <v>27.16</v>
      </c>
      <c r="C155">
        <v>30.91</v>
      </c>
      <c r="D155">
        <v>16.36</v>
      </c>
      <c r="E155">
        <v>25.55</v>
      </c>
      <c r="F155">
        <v>29.25</v>
      </c>
      <c r="G155">
        <v>43.835999999999999</v>
      </c>
      <c r="H155">
        <v>22.91</v>
      </c>
      <c r="I155">
        <v>44.33</v>
      </c>
      <c r="J155">
        <v>55.51</v>
      </c>
      <c r="K155">
        <v>54.81</v>
      </c>
      <c r="L155">
        <v>25.86</v>
      </c>
      <c r="M155">
        <v>48.16</v>
      </c>
      <c r="N155">
        <v>49.05</v>
      </c>
      <c r="O155">
        <v>53.5</v>
      </c>
      <c r="P155">
        <v>50.9</v>
      </c>
      <c r="Q155">
        <v>17.91</v>
      </c>
      <c r="R155">
        <v>1133.95</v>
      </c>
      <c r="S155">
        <v>31.66</v>
      </c>
      <c r="T155">
        <v>17.010000000000002</v>
      </c>
      <c r="U155">
        <v>11.64</v>
      </c>
      <c r="V155">
        <v>40.409999999999997</v>
      </c>
      <c r="W155">
        <v>43.094999999999999</v>
      </c>
      <c r="X155">
        <v>23.96</v>
      </c>
      <c r="Y155">
        <v>41.39</v>
      </c>
      <c r="Z155">
        <v>38.03</v>
      </c>
      <c r="AA155">
        <v>69.27</v>
      </c>
      <c r="AB155">
        <v>52.45</v>
      </c>
      <c r="AC155">
        <v>37.58</v>
      </c>
      <c r="AD155">
        <v>444.48</v>
      </c>
      <c r="AE155">
        <v>527.25</v>
      </c>
      <c r="AF155">
        <v>39.840000000000003</v>
      </c>
      <c r="AG155">
        <v>47.1</v>
      </c>
      <c r="AH155">
        <v>42.68</v>
      </c>
      <c r="AI155">
        <v>42.81</v>
      </c>
    </row>
    <row r="156" spans="1:35" x14ac:dyDescent="0.45">
      <c r="A156" s="2">
        <v>45768</v>
      </c>
      <c r="B156">
        <v>27.04</v>
      </c>
      <c r="C156">
        <v>30.05</v>
      </c>
      <c r="D156">
        <v>16.03</v>
      </c>
      <c r="E156">
        <v>25.17</v>
      </c>
      <c r="F156">
        <v>28.63</v>
      </c>
      <c r="G156">
        <v>43.48</v>
      </c>
      <c r="H156">
        <v>23.04</v>
      </c>
      <c r="I156">
        <v>44.22</v>
      </c>
      <c r="J156">
        <v>54.34</v>
      </c>
      <c r="K156">
        <v>54.39</v>
      </c>
      <c r="L156">
        <v>25.2</v>
      </c>
      <c r="M156">
        <v>47.6</v>
      </c>
      <c r="N156">
        <v>47.02</v>
      </c>
      <c r="O156">
        <v>53</v>
      </c>
      <c r="P156">
        <v>49.39</v>
      </c>
      <c r="Q156">
        <v>17.78</v>
      </c>
      <c r="R156">
        <v>1088.18</v>
      </c>
      <c r="S156">
        <v>31.71</v>
      </c>
      <c r="T156">
        <v>16.760000000000002</v>
      </c>
      <c r="U156">
        <v>11.51</v>
      </c>
      <c r="V156">
        <v>39.9</v>
      </c>
      <c r="W156">
        <v>43.38</v>
      </c>
      <c r="X156">
        <v>23.48</v>
      </c>
      <c r="Y156">
        <v>40.770000000000003</v>
      </c>
      <c r="Z156">
        <v>37.03</v>
      </c>
      <c r="AA156">
        <v>67.92</v>
      </c>
      <c r="AB156">
        <v>51.82</v>
      </c>
      <c r="AC156">
        <v>36.82</v>
      </c>
      <c r="AD156">
        <v>433.11</v>
      </c>
      <c r="AE156">
        <v>513.88</v>
      </c>
      <c r="AF156">
        <v>38.97</v>
      </c>
      <c r="AG156">
        <v>46.09</v>
      </c>
      <c r="AH156">
        <v>41.77</v>
      </c>
      <c r="AI156">
        <v>41.94</v>
      </c>
    </row>
    <row r="157" spans="1:35" x14ac:dyDescent="0.45">
      <c r="A157" s="2">
        <v>45764</v>
      </c>
      <c r="B157">
        <v>26.82</v>
      </c>
      <c r="C157">
        <v>29.95</v>
      </c>
      <c r="D157">
        <v>16.13</v>
      </c>
      <c r="E157">
        <v>25.3019</v>
      </c>
      <c r="F157">
        <v>28.29</v>
      </c>
      <c r="G157">
        <v>43.2</v>
      </c>
      <c r="H157">
        <v>22.77</v>
      </c>
      <c r="I157">
        <v>44.88</v>
      </c>
      <c r="J157">
        <v>54.93</v>
      </c>
      <c r="K157">
        <v>54.31</v>
      </c>
      <c r="L157">
        <v>25.22</v>
      </c>
      <c r="M157">
        <v>47.9</v>
      </c>
      <c r="N157">
        <v>47.34</v>
      </c>
      <c r="O157">
        <v>52.26</v>
      </c>
      <c r="P157">
        <v>49.29</v>
      </c>
      <c r="Q157">
        <v>17.72</v>
      </c>
      <c r="R157">
        <v>1074.5899999999999</v>
      </c>
      <c r="S157">
        <v>31.91</v>
      </c>
      <c r="T157">
        <v>16.760000000000002</v>
      </c>
      <c r="U157">
        <v>11.73</v>
      </c>
      <c r="V157">
        <v>40.19</v>
      </c>
      <c r="W157">
        <v>43.5</v>
      </c>
      <c r="X157">
        <v>23.61</v>
      </c>
      <c r="Y157">
        <v>41.1</v>
      </c>
      <c r="Z157">
        <v>37.4</v>
      </c>
      <c r="AA157">
        <v>68.069999999999993</v>
      </c>
      <c r="AB157">
        <v>51.95</v>
      </c>
      <c r="AC157">
        <v>36.97</v>
      </c>
      <c r="AD157">
        <v>444.1</v>
      </c>
      <c r="AE157">
        <v>526.41</v>
      </c>
      <c r="AF157">
        <v>39.22</v>
      </c>
      <c r="AG157">
        <v>46.55</v>
      </c>
      <c r="AH157">
        <v>41.9</v>
      </c>
      <c r="AI157">
        <v>42.13</v>
      </c>
    </row>
    <row r="158" spans="1:35" x14ac:dyDescent="0.45">
      <c r="A158" s="2">
        <v>45763</v>
      </c>
      <c r="B158">
        <v>26.92</v>
      </c>
      <c r="C158">
        <v>29.43</v>
      </c>
      <c r="D158">
        <v>15.93</v>
      </c>
      <c r="E158">
        <v>25.25</v>
      </c>
      <c r="F158">
        <v>27.74</v>
      </c>
      <c r="G158">
        <v>43.351100000000002</v>
      </c>
      <c r="H158">
        <v>22.44</v>
      </c>
      <c r="I158">
        <v>44.99</v>
      </c>
      <c r="J158">
        <v>53.02</v>
      </c>
      <c r="K158">
        <v>54.06</v>
      </c>
      <c r="L158">
        <v>24.79</v>
      </c>
      <c r="M158">
        <v>47.43</v>
      </c>
      <c r="N158">
        <v>47.35</v>
      </c>
      <c r="O158">
        <v>51.13</v>
      </c>
      <c r="P158">
        <v>49.16</v>
      </c>
      <c r="Q158">
        <v>17.78</v>
      </c>
      <c r="R158">
        <v>1125.21</v>
      </c>
      <c r="S158">
        <v>31.21</v>
      </c>
      <c r="T158">
        <v>16.68</v>
      </c>
      <c r="U158">
        <v>11.5</v>
      </c>
      <c r="V158">
        <v>40.04</v>
      </c>
      <c r="W158">
        <v>43.03</v>
      </c>
      <c r="X158">
        <v>23.42</v>
      </c>
      <c r="Y158">
        <v>40.83</v>
      </c>
      <c r="Z158">
        <v>37.22</v>
      </c>
      <c r="AA158">
        <v>66.78</v>
      </c>
      <c r="AB158">
        <v>51.29</v>
      </c>
      <c r="AC158">
        <v>36.549999999999997</v>
      </c>
      <c r="AD158">
        <v>444.18</v>
      </c>
      <c r="AE158">
        <v>525.66</v>
      </c>
      <c r="AF158">
        <v>38.96</v>
      </c>
      <c r="AG158">
        <v>46.26</v>
      </c>
      <c r="AH158">
        <v>41.07</v>
      </c>
      <c r="AI158">
        <v>41.76</v>
      </c>
    </row>
    <row r="159" spans="1:35" x14ac:dyDescent="0.45">
      <c r="A159" s="2">
        <v>45762</v>
      </c>
      <c r="B159">
        <v>26.7</v>
      </c>
      <c r="C159">
        <v>29.35</v>
      </c>
      <c r="D159">
        <v>16.14</v>
      </c>
      <c r="E159">
        <v>25.414100000000001</v>
      </c>
      <c r="F159">
        <v>27.58</v>
      </c>
      <c r="G159">
        <v>43.15</v>
      </c>
      <c r="H159">
        <v>22.63</v>
      </c>
      <c r="I159">
        <v>46.05</v>
      </c>
      <c r="J159">
        <v>52.19</v>
      </c>
      <c r="K159">
        <v>54.38</v>
      </c>
      <c r="L159">
        <v>24.86</v>
      </c>
      <c r="M159">
        <v>47.1</v>
      </c>
      <c r="N159">
        <v>47.414999999999999</v>
      </c>
      <c r="O159">
        <v>51.13</v>
      </c>
      <c r="P159">
        <v>50.17</v>
      </c>
      <c r="Q159">
        <v>17.89</v>
      </c>
      <c r="R159">
        <v>1161.81</v>
      </c>
      <c r="S159">
        <v>31.85</v>
      </c>
      <c r="T159">
        <v>16.79</v>
      </c>
      <c r="U159">
        <v>11.74</v>
      </c>
      <c r="V159">
        <v>40.24</v>
      </c>
      <c r="W159">
        <v>42.68</v>
      </c>
      <c r="X159">
        <v>23.36</v>
      </c>
      <c r="Y159">
        <v>40.53</v>
      </c>
      <c r="Z159">
        <v>37.200000000000003</v>
      </c>
      <c r="AA159">
        <v>67.44</v>
      </c>
      <c r="AB159">
        <v>51.45</v>
      </c>
      <c r="AC159">
        <v>36.65</v>
      </c>
      <c r="AD159">
        <v>457.99</v>
      </c>
      <c r="AE159">
        <v>537.61</v>
      </c>
      <c r="AF159">
        <v>39</v>
      </c>
      <c r="AG159">
        <v>46.89</v>
      </c>
      <c r="AH159">
        <v>41.39</v>
      </c>
      <c r="AI159">
        <v>41.54</v>
      </c>
    </row>
    <row r="160" spans="1:35" x14ac:dyDescent="0.45">
      <c r="A160" s="2">
        <v>45761</v>
      </c>
      <c r="B160">
        <v>26.96</v>
      </c>
      <c r="C160">
        <v>29.13</v>
      </c>
      <c r="D160">
        <v>16.09</v>
      </c>
      <c r="E160">
        <v>25.19</v>
      </c>
      <c r="F160">
        <v>27.59</v>
      </c>
      <c r="G160">
        <v>43.14</v>
      </c>
      <c r="H160">
        <v>22.65</v>
      </c>
      <c r="I160">
        <v>45.77</v>
      </c>
      <c r="J160">
        <v>51.91</v>
      </c>
      <c r="K160">
        <v>54.35</v>
      </c>
      <c r="L160">
        <v>25.01</v>
      </c>
      <c r="M160">
        <v>47.22</v>
      </c>
      <c r="N160">
        <v>46.92</v>
      </c>
      <c r="O160">
        <v>51.03</v>
      </c>
      <c r="P160">
        <v>50.56</v>
      </c>
      <c r="Q160">
        <v>17.79</v>
      </c>
      <c r="R160">
        <v>1172.69</v>
      </c>
      <c r="S160">
        <v>32.130000000000003</v>
      </c>
      <c r="T160">
        <v>16.71</v>
      </c>
      <c r="U160">
        <v>11.93</v>
      </c>
      <c r="V160">
        <v>40.01</v>
      </c>
      <c r="W160">
        <v>43.1</v>
      </c>
      <c r="X160">
        <v>23.29</v>
      </c>
      <c r="Y160">
        <v>40.44</v>
      </c>
      <c r="Z160">
        <v>36.82</v>
      </c>
      <c r="AA160">
        <v>66.900000000000006</v>
      </c>
      <c r="AB160">
        <v>51.2</v>
      </c>
      <c r="AC160">
        <v>36.15</v>
      </c>
      <c r="AD160">
        <v>457.48</v>
      </c>
      <c r="AE160">
        <v>539.12</v>
      </c>
      <c r="AF160">
        <v>38.85</v>
      </c>
      <c r="AG160">
        <v>46.61</v>
      </c>
      <c r="AH160">
        <v>40.72</v>
      </c>
      <c r="AI160">
        <v>40.92</v>
      </c>
    </row>
    <row r="161" spans="1:35" x14ac:dyDescent="0.45">
      <c r="A161" s="2">
        <v>45758</v>
      </c>
      <c r="B161">
        <v>27.09</v>
      </c>
      <c r="C161">
        <v>28.39</v>
      </c>
      <c r="D161">
        <v>15.87</v>
      </c>
      <c r="E161">
        <v>24.96</v>
      </c>
      <c r="F161">
        <v>27.25</v>
      </c>
      <c r="G161">
        <v>42.085000000000001</v>
      </c>
      <c r="H161">
        <v>22.46</v>
      </c>
      <c r="I161">
        <v>45.62</v>
      </c>
      <c r="J161">
        <v>50.68</v>
      </c>
      <c r="K161">
        <v>54.31</v>
      </c>
      <c r="L161">
        <v>24.69</v>
      </c>
      <c r="M161">
        <v>45.62</v>
      </c>
      <c r="N161">
        <v>45.92</v>
      </c>
      <c r="O161">
        <v>50.76</v>
      </c>
      <c r="P161">
        <v>49.68</v>
      </c>
      <c r="Q161">
        <v>17.61</v>
      </c>
      <c r="R161">
        <v>1168.02</v>
      </c>
      <c r="S161">
        <v>32.08</v>
      </c>
      <c r="T161">
        <v>16.510000000000002</v>
      </c>
      <c r="U161">
        <v>11.87</v>
      </c>
      <c r="V161">
        <v>39.58</v>
      </c>
      <c r="W161">
        <v>42.39</v>
      </c>
      <c r="X161">
        <v>22.77</v>
      </c>
      <c r="Y161">
        <v>39.869999999999997</v>
      </c>
      <c r="Z161">
        <v>36.369999999999997</v>
      </c>
      <c r="AA161">
        <v>65.819999999999993</v>
      </c>
      <c r="AB161">
        <v>51.05</v>
      </c>
      <c r="AC161">
        <v>35.57</v>
      </c>
      <c r="AD161">
        <v>454.4</v>
      </c>
      <c r="AE161">
        <v>533.94000000000005</v>
      </c>
      <c r="AF161">
        <v>38.97</v>
      </c>
      <c r="AG161">
        <v>45.81</v>
      </c>
      <c r="AH161">
        <v>40.31</v>
      </c>
      <c r="AI161">
        <v>40.53</v>
      </c>
    </row>
    <row r="162" spans="1:35" x14ac:dyDescent="0.45">
      <c r="A162" s="2">
        <v>45757</v>
      </c>
      <c r="B162">
        <v>26.64</v>
      </c>
      <c r="C162">
        <v>27.51</v>
      </c>
      <c r="D162">
        <v>15.45</v>
      </c>
      <c r="E162">
        <v>24.18</v>
      </c>
      <c r="F162">
        <v>26.93</v>
      </c>
      <c r="G162">
        <v>40.805900000000001</v>
      </c>
      <c r="H162">
        <v>22.05</v>
      </c>
      <c r="I162">
        <v>43.32</v>
      </c>
      <c r="J162">
        <v>50.3</v>
      </c>
      <c r="K162">
        <v>51.82</v>
      </c>
      <c r="L162">
        <v>24.19</v>
      </c>
      <c r="M162">
        <v>43.94</v>
      </c>
      <c r="N162">
        <v>44.76</v>
      </c>
      <c r="O162">
        <v>50.52</v>
      </c>
      <c r="P162">
        <v>47.98</v>
      </c>
      <c r="Q162">
        <v>17.52</v>
      </c>
      <c r="R162">
        <v>1158.0899999999999</v>
      </c>
      <c r="S162">
        <v>31.9</v>
      </c>
      <c r="T162">
        <v>16.170000000000002</v>
      </c>
      <c r="U162">
        <v>11.31</v>
      </c>
      <c r="V162">
        <v>39.340000000000003</v>
      </c>
      <c r="W162">
        <v>41.79</v>
      </c>
      <c r="X162">
        <v>22.35</v>
      </c>
      <c r="Y162">
        <v>38.74</v>
      </c>
      <c r="Z162">
        <v>35.799999999999997</v>
      </c>
      <c r="AA162">
        <v>64.22</v>
      </c>
      <c r="AB162">
        <v>49.7</v>
      </c>
      <c r="AC162">
        <v>34.67</v>
      </c>
      <c r="AD162">
        <v>446.18</v>
      </c>
      <c r="AE162">
        <v>524.58000000000004</v>
      </c>
      <c r="AF162">
        <v>37.99</v>
      </c>
      <c r="AG162">
        <v>44.67</v>
      </c>
      <c r="AH162">
        <v>39.65</v>
      </c>
      <c r="AI162">
        <v>39.659999999999997</v>
      </c>
    </row>
    <row r="163" spans="1:35" x14ac:dyDescent="0.45">
      <c r="A163" s="2">
        <v>45756</v>
      </c>
      <c r="B163">
        <v>26.4</v>
      </c>
      <c r="C163">
        <v>28.24</v>
      </c>
      <c r="D163">
        <v>15.56</v>
      </c>
      <c r="E163">
        <v>25.16</v>
      </c>
      <c r="F163">
        <v>27.69</v>
      </c>
      <c r="G163">
        <v>41.46</v>
      </c>
      <c r="H163">
        <v>22.14</v>
      </c>
      <c r="I163">
        <v>44.79</v>
      </c>
      <c r="J163">
        <v>51.86</v>
      </c>
      <c r="K163">
        <v>53.28</v>
      </c>
      <c r="L163">
        <v>24.71</v>
      </c>
      <c r="M163">
        <v>44.27</v>
      </c>
      <c r="N163">
        <v>44.85</v>
      </c>
      <c r="O163">
        <v>51.22</v>
      </c>
      <c r="P163">
        <v>48.06</v>
      </c>
      <c r="Q163">
        <v>17.57</v>
      </c>
      <c r="R163">
        <v>1175.45</v>
      </c>
      <c r="S163">
        <v>32.83</v>
      </c>
      <c r="T163">
        <v>16.46</v>
      </c>
      <c r="U163">
        <v>11.46</v>
      </c>
      <c r="V163">
        <v>40.200000000000003</v>
      </c>
      <c r="W163">
        <v>41.36</v>
      </c>
      <c r="X163">
        <v>22.81</v>
      </c>
      <c r="Y163">
        <v>39.54</v>
      </c>
      <c r="Z163">
        <v>36.22</v>
      </c>
      <c r="AA163">
        <v>66.34</v>
      </c>
      <c r="AB163">
        <v>49.71</v>
      </c>
      <c r="AC163">
        <v>35.11</v>
      </c>
      <c r="AD163">
        <v>466</v>
      </c>
      <c r="AE163">
        <v>548.62</v>
      </c>
      <c r="AF163">
        <v>38.61</v>
      </c>
      <c r="AG163">
        <v>46.05</v>
      </c>
      <c r="AH163">
        <v>39.92</v>
      </c>
      <c r="AI163">
        <v>40.22</v>
      </c>
    </row>
    <row r="164" spans="1:35" x14ac:dyDescent="0.45">
      <c r="A164" s="2">
        <v>45755</v>
      </c>
      <c r="B164">
        <v>24.95</v>
      </c>
      <c r="C164">
        <v>26.5</v>
      </c>
      <c r="D164">
        <v>14.36</v>
      </c>
      <c r="E164">
        <v>24.13</v>
      </c>
      <c r="F164">
        <v>24.7</v>
      </c>
      <c r="G164">
        <v>38.53</v>
      </c>
      <c r="H164">
        <v>21.2</v>
      </c>
      <c r="I164">
        <v>40.950000000000003</v>
      </c>
      <c r="J164">
        <v>48.06</v>
      </c>
      <c r="K164">
        <v>48.92</v>
      </c>
      <c r="L164">
        <v>23.44</v>
      </c>
      <c r="M164">
        <v>40.54</v>
      </c>
      <c r="N164">
        <v>42.65</v>
      </c>
      <c r="O164">
        <v>49.16</v>
      </c>
      <c r="P164">
        <v>45.22</v>
      </c>
      <c r="Q164">
        <v>17.23</v>
      </c>
      <c r="R164">
        <v>1187.9000000000001</v>
      </c>
      <c r="S164">
        <v>31.83</v>
      </c>
      <c r="T164">
        <v>15.58</v>
      </c>
      <c r="U164">
        <v>10.130000000000001</v>
      </c>
      <c r="V164">
        <v>38.17</v>
      </c>
      <c r="W164">
        <v>39.479999999999997</v>
      </c>
      <c r="X164">
        <v>20.82</v>
      </c>
      <c r="Y164">
        <v>37.17</v>
      </c>
      <c r="Z164">
        <v>33.22</v>
      </c>
      <c r="AA164">
        <v>61.65</v>
      </c>
      <c r="AB164">
        <v>47.12</v>
      </c>
      <c r="AC164">
        <v>33.19</v>
      </c>
      <c r="AD164">
        <v>416.06</v>
      </c>
      <c r="AE164">
        <v>496.48</v>
      </c>
      <c r="AF164">
        <v>35.65</v>
      </c>
      <c r="AG164">
        <v>41.88</v>
      </c>
      <c r="AH164">
        <v>37.07</v>
      </c>
      <c r="AI164">
        <v>36.6</v>
      </c>
    </row>
    <row r="165" spans="1:35" x14ac:dyDescent="0.45">
      <c r="A165" s="2">
        <v>45754</v>
      </c>
      <c r="B165">
        <v>24.71</v>
      </c>
      <c r="C165">
        <v>27.09</v>
      </c>
      <c r="D165">
        <v>15.15</v>
      </c>
      <c r="E165">
        <v>24.14</v>
      </c>
      <c r="F165">
        <v>24.54</v>
      </c>
      <c r="G165">
        <v>39.07</v>
      </c>
      <c r="H165">
        <v>21.75</v>
      </c>
      <c r="I165">
        <v>42.03</v>
      </c>
      <c r="J165">
        <v>48.52</v>
      </c>
      <c r="K165">
        <v>50.78</v>
      </c>
      <c r="L165">
        <v>23.95</v>
      </c>
      <c r="M165">
        <v>40.770000000000003</v>
      </c>
      <c r="N165">
        <v>40.770000000000003</v>
      </c>
      <c r="O165">
        <v>49.13</v>
      </c>
      <c r="P165">
        <v>46</v>
      </c>
      <c r="Q165">
        <v>17.16</v>
      </c>
      <c r="R165">
        <v>1190.3599999999999</v>
      </c>
      <c r="S165">
        <v>31.86</v>
      </c>
      <c r="T165">
        <v>15.88</v>
      </c>
      <c r="U165">
        <v>11.16</v>
      </c>
      <c r="V165">
        <v>38.75</v>
      </c>
      <c r="W165">
        <v>39.39</v>
      </c>
      <c r="X165">
        <v>20.85</v>
      </c>
      <c r="Y165">
        <v>37.79</v>
      </c>
      <c r="Z165">
        <v>33.549999999999997</v>
      </c>
      <c r="AA165">
        <v>61.32</v>
      </c>
      <c r="AB165">
        <v>47.04</v>
      </c>
      <c r="AC165">
        <v>33.29</v>
      </c>
      <c r="AD165">
        <v>423.69</v>
      </c>
      <c r="AE165">
        <v>504.38</v>
      </c>
      <c r="AF165">
        <v>35.97</v>
      </c>
      <c r="AG165">
        <v>42.58</v>
      </c>
      <c r="AH165">
        <v>37.340000000000003</v>
      </c>
      <c r="AI165">
        <v>37.06</v>
      </c>
    </row>
    <row r="166" spans="1:35" x14ac:dyDescent="0.45">
      <c r="A166" s="2">
        <v>45751</v>
      </c>
      <c r="B166">
        <v>26.56</v>
      </c>
      <c r="C166">
        <v>28.19</v>
      </c>
      <c r="D166">
        <v>15.09</v>
      </c>
      <c r="E166">
        <v>23.83</v>
      </c>
      <c r="F166">
        <v>25.14</v>
      </c>
      <c r="G166">
        <v>40.049999999999997</v>
      </c>
      <c r="H166">
        <v>21.91</v>
      </c>
      <c r="I166">
        <v>43.82</v>
      </c>
      <c r="J166">
        <v>49.92</v>
      </c>
      <c r="K166">
        <v>51.25</v>
      </c>
      <c r="L166">
        <v>24.5</v>
      </c>
      <c r="M166">
        <v>41.29</v>
      </c>
      <c r="N166">
        <v>43.59</v>
      </c>
      <c r="O166">
        <v>49.19</v>
      </c>
      <c r="P166">
        <v>50</v>
      </c>
      <c r="Q166">
        <v>16.829999999999998</v>
      </c>
      <c r="R166">
        <v>1184.93</v>
      </c>
      <c r="S166">
        <v>31.67</v>
      </c>
      <c r="T166">
        <v>15.6</v>
      </c>
      <c r="U166">
        <v>11.64</v>
      </c>
      <c r="V166">
        <v>38.979999999999997</v>
      </c>
      <c r="W166">
        <v>40.130000000000003</v>
      </c>
      <c r="X166">
        <v>21.15</v>
      </c>
      <c r="Y166">
        <v>38.409999999999997</v>
      </c>
      <c r="Z166">
        <v>34.32</v>
      </c>
      <c r="AA166">
        <v>61.51</v>
      </c>
      <c r="AB166">
        <v>48.36</v>
      </c>
      <c r="AC166">
        <v>34.619999999999997</v>
      </c>
      <c r="AD166">
        <v>422.67</v>
      </c>
      <c r="AE166">
        <v>505.28</v>
      </c>
      <c r="AF166">
        <v>37.21</v>
      </c>
      <c r="AG166">
        <v>43.14</v>
      </c>
      <c r="AH166">
        <v>38.17</v>
      </c>
      <c r="AI166">
        <v>38.49</v>
      </c>
    </row>
    <row r="167" spans="1:35" x14ac:dyDescent="0.45">
      <c r="A167" s="2">
        <v>45750</v>
      </c>
      <c r="B167">
        <v>27.65</v>
      </c>
      <c r="C167">
        <v>30.07</v>
      </c>
      <c r="D167">
        <v>15.88</v>
      </c>
      <c r="E167">
        <v>25.04</v>
      </c>
      <c r="F167">
        <v>27.51</v>
      </c>
      <c r="G167">
        <v>43.42</v>
      </c>
      <c r="H167">
        <v>23.01</v>
      </c>
      <c r="I167">
        <v>46.05</v>
      </c>
      <c r="J167">
        <v>54.26</v>
      </c>
      <c r="K167">
        <v>53.14</v>
      </c>
      <c r="L167">
        <v>26.33</v>
      </c>
      <c r="M167">
        <v>44.88</v>
      </c>
      <c r="N167">
        <v>47.32</v>
      </c>
      <c r="O167">
        <v>51.18</v>
      </c>
      <c r="P167">
        <v>53.67</v>
      </c>
      <c r="Q167">
        <v>17.66</v>
      </c>
      <c r="R167">
        <v>1190.06</v>
      </c>
      <c r="S167">
        <v>32.200000000000003</v>
      </c>
      <c r="T167">
        <v>16.350000000000001</v>
      </c>
      <c r="U167">
        <v>11.4</v>
      </c>
      <c r="V167">
        <v>40.61</v>
      </c>
      <c r="W167">
        <v>42.72</v>
      </c>
      <c r="X167">
        <v>23.25</v>
      </c>
      <c r="Y167">
        <v>40.619999999999997</v>
      </c>
      <c r="Z167">
        <v>36.729999999999997</v>
      </c>
      <c r="AA167">
        <v>65.41</v>
      </c>
      <c r="AB167">
        <v>51.41</v>
      </c>
      <c r="AC167">
        <v>37.28</v>
      </c>
      <c r="AD167">
        <v>450.66</v>
      </c>
      <c r="AE167">
        <v>536.70000000000005</v>
      </c>
      <c r="AF167">
        <v>39.479999999999997</v>
      </c>
      <c r="AG167">
        <v>45.71</v>
      </c>
      <c r="AH167">
        <v>41.47</v>
      </c>
      <c r="AI167">
        <v>41.77</v>
      </c>
    </row>
    <row r="168" spans="1:35" x14ac:dyDescent="0.45">
      <c r="A168" s="2">
        <v>45749</v>
      </c>
      <c r="B168">
        <v>27.91</v>
      </c>
      <c r="C168">
        <v>29.91</v>
      </c>
      <c r="D168">
        <v>16.329999999999998</v>
      </c>
      <c r="E168">
        <v>25.56</v>
      </c>
      <c r="F168">
        <v>28.79</v>
      </c>
      <c r="G168">
        <v>44.85</v>
      </c>
      <c r="H168">
        <v>23.32</v>
      </c>
      <c r="I168">
        <v>48.48</v>
      </c>
      <c r="J168">
        <v>52.16</v>
      </c>
      <c r="K168">
        <v>54.63</v>
      </c>
      <c r="L168">
        <v>26.14</v>
      </c>
      <c r="M168">
        <v>46.65</v>
      </c>
      <c r="N168">
        <v>48.1</v>
      </c>
      <c r="O168">
        <v>51.56</v>
      </c>
      <c r="P168">
        <v>54.16</v>
      </c>
      <c r="Q168">
        <v>17.86</v>
      </c>
      <c r="R168">
        <v>1186.6099999999999</v>
      </c>
      <c r="S168">
        <v>32.44</v>
      </c>
      <c r="T168">
        <v>17</v>
      </c>
      <c r="U168">
        <v>12.7</v>
      </c>
      <c r="V168">
        <v>41.52</v>
      </c>
      <c r="W168">
        <v>42.67</v>
      </c>
      <c r="X168">
        <v>23.89</v>
      </c>
      <c r="Y168">
        <v>41.59</v>
      </c>
      <c r="Z168">
        <v>37.380000000000003</v>
      </c>
      <c r="AA168">
        <v>68.22</v>
      </c>
      <c r="AB168">
        <v>51.49</v>
      </c>
      <c r="AC168">
        <v>37.61</v>
      </c>
      <c r="AD168">
        <v>476.15</v>
      </c>
      <c r="AE168">
        <v>564.52</v>
      </c>
      <c r="AF168">
        <v>40.18</v>
      </c>
      <c r="AG168">
        <v>46.87</v>
      </c>
      <c r="AH168">
        <v>42.61</v>
      </c>
      <c r="AI168">
        <v>42.66</v>
      </c>
    </row>
    <row r="169" spans="1:35" x14ac:dyDescent="0.45">
      <c r="A169" s="2">
        <v>45748</v>
      </c>
      <c r="B169">
        <v>27.92</v>
      </c>
      <c r="C169">
        <v>30.2</v>
      </c>
      <c r="D169">
        <v>16.25</v>
      </c>
      <c r="E169">
        <v>25.26</v>
      </c>
      <c r="F169">
        <v>28.28</v>
      </c>
      <c r="G169">
        <v>44.57</v>
      </c>
      <c r="H169">
        <v>23.03</v>
      </c>
      <c r="I169">
        <v>48.2</v>
      </c>
      <c r="J169">
        <v>52.05</v>
      </c>
      <c r="K169">
        <v>54.85</v>
      </c>
      <c r="L169">
        <v>26.14</v>
      </c>
      <c r="M169">
        <v>48.1</v>
      </c>
      <c r="N169">
        <v>47.63</v>
      </c>
      <c r="O169">
        <v>51.05</v>
      </c>
      <c r="P169">
        <v>54.55</v>
      </c>
      <c r="Q169">
        <v>17.88</v>
      </c>
      <c r="R169">
        <v>1181.71</v>
      </c>
      <c r="S169">
        <v>32.89</v>
      </c>
      <c r="T169">
        <v>16.93</v>
      </c>
      <c r="U169">
        <v>12.56</v>
      </c>
      <c r="V169">
        <v>41.34</v>
      </c>
      <c r="W169">
        <v>42.39</v>
      </c>
      <c r="X169">
        <v>23.71</v>
      </c>
      <c r="Y169">
        <v>41.13</v>
      </c>
      <c r="Z169">
        <v>37.29</v>
      </c>
      <c r="AA169">
        <v>68.2</v>
      </c>
      <c r="AB169">
        <v>51.76</v>
      </c>
      <c r="AC169">
        <v>37.44</v>
      </c>
      <c r="AD169">
        <v>472.7</v>
      </c>
      <c r="AE169">
        <v>560.97</v>
      </c>
      <c r="AF169">
        <v>40.049999999999997</v>
      </c>
      <c r="AG169">
        <v>46.7</v>
      </c>
      <c r="AH169">
        <v>42.25</v>
      </c>
      <c r="AI169">
        <v>42.46</v>
      </c>
    </row>
    <row r="170" spans="1:35" x14ac:dyDescent="0.45">
      <c r="A170" s="2">
        <v>45747</v>
      </c>
      <c r="B170">
        <v>28.03</v>
      </c>
      <c r="C170">
        <v>29.82</v>
      </c>
      <c r="D170">
        <v>16.3</v>
      </c>
      <c r="E170">
        <v>25.3</v>
      </c>
      <c r="F170">
        <v>28.01</v>
      </c>
      <c r="G170">
        <v>43.89</v>
      </c>
      <c r="H170">
        <v>23.08</v>
      </c>
      <c r="I170">
        <v>47.48</v>
      </c>
      <c r="J170">
        <v>50.96</v>
      </c>
      <c r="K170">
        <v>54.04</v>
      </c>
      <c r="L170">
        <v>25.85</v>
      </c>
      <c r="M170">
        <v>48.13</v>
      </c>
      <c r="N170">
        <v>46.97</v>
      </c>
      <c r="O170">
        <v>51.48</v>
      </c>
      <c r="P170">
        <v>54.4</v>
      </c>
      <c r="Q170">
        <v>17.84</v>
      </c>
      <c r="R170">
        <v>1189.6600000000001</v>
      </c>
      <c r="S170">
        <v>32.82</v>
      </c>
      <c r="T170">
        <v>16.97</v>
      </c>
      <c r="U170">
        <v>12.48</v>
      </c>
      <c r="V170">
        <v>41.37</v>
      </c>
      <c r="W170">
        <v>42.08</v>
      </c>
      <c r="X170">
        <v>23.44</v>
      </c>
      <c r="Y170">
        <v>40.75</v>
      </c>
      <c r="Z170">
        <v>37.08</v>
      </c>
      <c r="AA170">
        <v>68.56</v>
      </c>
      <c r="AB170">
        <v>51.79</v>
      </c>
      <c r="AC170">
        <v>37.47</v>
      </c>
      <c r="AD170">
        <v>468.92</v>
      </c>
      <c r="AE170">
        <v>559.39</v>
      </c>
      <c r="AF170">
        <v>39.799999999999997</v>
      </c>
      <c r="AG170">
        <v>46.73</v>
      </c>
      <c r="AH170">
        <v>42.08</v>
      </c>
      <c r="AI170">
        <v>42.32</v>
      </c>
    </row>
    <row r="171" spans="1:35" x14ac:dyDescent="0.45">
      <c r="A171" s="2">
        <v>45744</v>
      </c>
      <c r="B171">
        <v>28.08</v>
      </c>
      <c r="C171">
        <v>29.76</v>
      </c>
      <c r="D171">
        <v>16.37</v>
      </c>
      <c r="E171">
        <v>24.98</v>
      </c>
      <c r="F171">
        <v>28.43</v>
      </c>
      <c r="G171">
        <v>44.200800000000001</v>
      </c>
      <c r="H171">
        <v>23</v>
      </c>
      <c r="I171">
        <v>47.82</v>
      </c>
      <c r="J171">
        <v>51.62</v>
      </c>
      <c r="K171">
        <v>54.79</v>
      </c>
      <c r="L171">
        <v>25.96</v>
      </c>
      <c r="M171">
        <v>47.6</v>
      </c>
      <c r="N171">
        <v>48.470100000000002</v>
      </c>
      <c r="O171">
        <v>51.28</v>
      </c>
      <c r="P171">
        <v>54.57</v>
      </c>
      <c r="Q171">
        <v>17.75</v>
      </c>
      <c r="R171">
        <v>1176.17</v>
      </c>
      <c r="S171">
        <v>32.67</v>
      </c>
      <c r="T171">
        <v>16.850000000000001</v>
      </c>
      <c r="U171">
        <v>12.38</v>
      </c>
      <c r="V171">
        <v>41.07</v>
      </c>
      <c r="W171">
        <v>42.05</v>
      </c>
      <c r="X171">
        <v>23.47</v>
      </c>
      <c r="Y171">
        <v>40.57</v>
      </c>
      <c r="Z171">
        <v>37.39</v>
      </c>
      <c r="AA171">
        <v>69.22</v>
      </c>
      <c r="AB171">
        <v>52.48</v>
      </c>
      <c r="AC171">
        <v>37.590000000000003</v>
      </c>
      <c r="AD171">
        <v>468.94</v>
      </c>
      <c r="AE171">
        <v>555.66</v>
      </c>
      <c r="AF171">
        <v>40.35</v>
      </c>
      <c r="AG171">
        <v>47.34</v>
      </c>
      <c r="AH171">
        <v>42.94</v>
      </c>
      <c r="AI171">
        <v>42.8</v>
      </c>
    </row>
    <row r="172" spans="1:35" x14ac:dyDescent="0.45">
      <c r="A172" s="2">
        <v>45743</v>
      </c>
      <c r="B172">
        <v>28.34</v>
      </c>
      <c r="C172">
        <v>30.17</v>
      </c>
      <c r="D172">
        <v>16.420000000000002</v>
      </c>
      <c r="E172">
        <v>25.1</v>
      </c>
      <c r="F172">
        <v>28.69</v>
      </c>
      <c r="G172">
        <v>44.86</v>
      </c>
      <c r="H172">
        <v>23.55</v>
      </c>
      <c r="I172">
        <v>49.2</v>
      </c>
      <c r="J172">
        <v>52.15</v>
      </c>
      <c r="K172">
        <v>56.49</v>
      </c>
      <c r="L172">
        <v>26.33</v>
      </c>
      <c r="M172">
        <v>48.21</v>
      </c>
      <c r="N172">
        <v>48.9</v>
      </c>
      <c r="O172">
        <v>51.79</v>
      </c>
      <c r="P172">
        <v>55.81</v>
      </c>
      <c r="Q172">
        <v>17.87</v>
      </c>
      <c r="R172">
        <v>1170.2</v>
      </c>
      <c r="S172">
        <v>32.31</v>
      </c>
      <c r="T172">
        <v>17.05</v>
      </c>
      <c r="U172">
        <v>12.56</v>
      </c>
      <c r="V172">
        <v>41.39</v>
      </c>
      <c r="W172">
        <v>42.6</v>
      </c>
      <c r="X172">
        <v>23.75</v>
      </c>
      <c r="Y172">
        <v>41.25</v>
      </c>
      <c r="Z172">
        <v>37.590000000000003</v>
      </c>
      <c r="AA172">
        <v>70.650000000000006</v>
      </c>
      <c r="AB172">
        <v>52.59</v>
      </c>
      <c r="AC172">
        <v>37.659999999999997</v>
      </c>
      <c r="AD172">
        <v>481.62</v>
      </c>
      <c r="AE172">
        <v>567.08000000000004</v>
      </c>
      <c r="AF172">
        <v>40.549999999999997</v>
      </c>
      <c r="AG172">
        <v>47.817599999999999</v>
      </c>
      <c r="AH172">
        <v>43.53</v>
      </c>
      <c r="AI172">
        <v>43.07</v>
      </c>
    </row>
    <row r="173" spans="1:35" x14ac:dyDescent="0.45">
      <c r="A173" s="2">
        <v>45742</v>
      </c>
      <c r="B173">
        <v>28.16</v>
      </c>
      <c r="C173">
        <v>30.27</v>
      </c>
      <c r="D173">
        <v>16.309999999999999</v>
      </c>
      <c r="E173">
        <v>25.021999999999998</v>
      </c>
      <c r="F173">
        <v>28.42</v>
      </c>
      <c r="G173">
        <v>44.493099999999998</v>
      </c>
      <c r="H173">
        <v>23.21</v>
      </c>
      <c r="I173">
        <v>49.51</v>
      </c>
      <c r="J173">
        <v>52.01</v>
      </c>
      <c r="K173">
        <v>56.81</v>
      </c>
      <c r="L173">
        <v>26.3</v>
      </c>
      <c r="M173">
        <v>48.16</v>
      </c>
      <c r="N173">
        <v>48.42</v>
      </c>
      <c r="O173">
        <v>51.4</v>
      </c>
      <c r="P173">
        <v>55</v>
      </c>
      <c r="Q173">
        <v>17.79</v>
      </c>
      <c r="R173">
        <v>1173.76</v>
      </c>
      <c r="S173">
        <v>32.76</v>
      </c>
      <c r="T173">
        <v>16.91</v>
      </c>
      <c r="U173">
        <v>12.49</v>
      </c>
      <c r="V173">
        <v>40.869999999999997</v>
      </c>
      <c r="W173">
        <v>42.48</v>
      </c>
      <c r="X173">
        <v>23.71</v>
      </c>
      <c r="Y173">
        <v>41.38</v>
      </c>
      <c r="Z173">
        <v>37.56</v>
      </c>
      <c r="AA173">
        <v>70.75</v>
      </c>
      <c r="AB173">
        <v>52.45</v>
      </c>
      <c r="AC173">
        <v>37.51</v>
      </c>
      <c r="AD173">
        <v>484.38</v>
      </c>
      <c r="AE173">
        <v>568.59</v>
      </c>
      <c r="AF173">
        <v>40.479999999999997</v>
      </c>
      <c r="AG173">
        <v>47.839799999999997</v>
      </c>
      <c r="AH173">
        <v>43.58</v>
      </c>
      <c r="AI173">
        <v>42.61</v>
      </c>
    </row>
    <row r="174" spans="1:35" x14ac:dyDescent="0.45">
      <c r="A174" s="2">
        <v>45741</v>
      </c>
      <c r="B174">
        <v>28.33</v>
      </c>
      <c r="C174">
        <v>30.76</v>
      </c>
      <c r="D174">
        <v>15.72</v>
      </c>
      <c r="E174">
        <v>25.2</v>
      </c>
      <c r="F174">
        <v>29.11</v>
      </c>
      <c r="G174">
        <v>45.2331</v>
      </c>
      <c r="H174">
        <v>23.17</v>
      </c>
      <c r="I174">
        <v>50.46</v>
      </c>
      <c r="J174">
        <v>52.59</v>
      </c>
      <c r="K174">
        <v>57.07</v>
      </c>
      <c r="L174">
        <v>26.42</v>
      </c>
      <c r="M174">
        <v>47.93</v>
      </c>
      <c r="N174">
        <v>48.48</v>
      </c>
      <c r="O174">
        <v>52.04</v>
      </c>
      <c r="P174">
        <v>55</v>
      </c>
      <c r="Q174">
        <v>17.87</v>
      </c>
      <c r="R174">
        <v>1159.6400000000001</v>
      </c>
      <c r="S174">
        <v>32.630000000000003</v>
      </c>
      <c r="T174">
        <v>16.91</v>
      </c>
      <c r="U174">
        <v>12.69</v>
      </c>
      <c r="V174">
        <v>40.28</v>
      </c>
      <c r="W174">
        <v>42.41</v>
      </c>
      <c r="X174">
        <v>23.81</v>
      </c>
      <c r="Y174">
        <v>41.71</v>
      </c>
      <c r="Z174">
        <v>38.380000000000003</v>
      </c>
      <c r="AA174">
        <v>71.680000000000007</v>
      </c>
      <c r="AB174">
        <v>52.98</v>
      </c>
      <c r="AC174">
        <v>37.64</v>
      </c>
      <c r="AD174">
        <v>493.46</v>
      </c>
      <c r="AE174">
        <v>575.46</v>
      </c>
      <c r="AF174">
        <v>41.23</v>
      </c>
      <c r="AG174">
        <v>48.56</v>
      </c>
      <c r="AH174">
        <v>44.67</v>
      </c>
      <c r="AI174">
        <v>43.42</v>
      </c>
    </row>
    <row r="175" spans="1:35" x14ac:dyDescent="0.45">
      <c r="A175" s="2">
        <v>45740</v>
      </c>
      <c r="B175">
        <v>28.3</v>
      </c>
      <c r="C175">
        <v>30.41</v>
      </c>
      <c r="D175">
        <v>15.34</v>
      </c>
      <c r="E175">
        <v>25.43</v>
      </c>
      <c r="F175">
        <v>28.56</v>
      </c>
      <c r="G175">
        <v>44.6</v>
      </c>
      <c r="H175">
        <v>23</v>
      </c>
      <c r="I175">
        <v>50.38</v>
      </c>
      <c r="J175">
        <v>52.04</v>
      </c>
      <c r="K175">
        <v>57.31</v>
      </c>
      <c r="L175">
        <v>26.19</v>
      </c>
      <c r="M175">
        <v>47.71</v>
      </c>
      <c r="N175">
        <v>48.31</v>
      </c>
      <c r="O175">
        <v>52.12</v>
      </c>
      <c r="P175">
        <v>55.61</v>
      </c>
      <c r="Q175">
        <v>17.86</v>
      </c>
      <c r="R175">
        <v>1160.06</v>
      </c>
      <c r="S175">
        <v>31.74</v>
      </c>
      <c r="T175">
        <v>17.04</v>
      </c>
      <c r="U175">
        <v>12.7</v>
      </c>
      <c r="V175">
        <v>40.49</v>
      </c>
      <c r="W175">
        <v>41.83</v>
      </c>
      <c r="X175">
        <v>23.7</v>
      </c>
      <c r="Y175">
        <v>41.51</v>
      </c>
      <c r="Z175">
        <v>38.03</v>
      </c>
      <c r="AA175">
        <v>71.17</v>
      </c>
      <c r="AB175">
        <v>52.9</v>
      </c>
      <c r="AC175">
        <v>37.53</v>
      </c>
      <c r="AD175">
        <v>490.66</v>
      </c>
      <c r="AE175">
        <v>574.08000000000004</v>
      </c>
      <c r="AF175">
        <v>40.909999999999997</v>
      </c>
      <c r="AG175">
        <v>48.33</v>
      </c>
      <c r="AH175">
        <v>44.24</v>
      </c>
      <c r="AI175">
        <v>42.98</v>
      </c>
    </row>
    <row r="176" spans="1:35" x14ac:dyDescent="0.45">
      <c r="A176" s="2">
        <v>45737</v>
      </c>
      <c r="B176">
        <v>28.17</v>
      </c>
      <c r="C176">
        <v>30.3</v>
      </c>
      <c r="D176">
        <v>15.62</v>
      </c>
      <c r="E176">
        <v>25.79</v>
      </c>
      <c r="F176">
        <v>28.13</v>
      </c>
      <c r="G176">
        <v>44.66</v>
      </c>
      <c r="H176">
        <v>23.15</v>
      </c>
      <c r="I176">
        <v>50.22</v>
      </c>
      <c r="J176">
        <v>51.7</v>
      </c>
      <c r="K176">
        <v>56.86</v>
      </c>
      <c r="L176">
        <v>26.57</v>
      </c>
      <c r="M176">
        <v>47.6</v>
      </c>
      <c r="N176">
        <v>46.99</v>
      </c>
      <c r="O176">
        <v>51.47</v>
      </c>
      <c r="P176">
        <v>55.65</v>
      </c>
      <c r="Q176">
        <v>17.989999999999998</v>
      </c>
      <c r="R176">
        <v>1187.6300000000001</v>
      </c>
      <c r="S176">
        <v>30.77</v>
      </c>
      <c r="T176">
        <v>16.829999999999998</v>
      </c>
      <c r="U176">
        <v>12.54</v>
      </c>
      <c r="V176">
        <v>40.340000000000003</v>
      </c>
      <c r="W176">
        <v>41.82</v>
      </c>
      <c r="X176">
        <v>23.43</v>
      </c>
      <c r="Y176">
        <v>40.880000000000003</v>
      </c>
      <c r="Z176">
        <v>38.090000000000003</v>
      </c>
      <c r="AA176">
        <v>71.33</v>
      </c>
      <c r="AB176">
        <v>53.06</v>
      </c>
      <c r="AC176">
        <v>37.53</v>
      </c>
      <c r="AD176">
        <v>480.84</v>
      </c>
      <c r="AE176">
        <v>563.98</v>
      </c>
      <c r="AF176">
        <v>40.909999999999997</v>
      </c>
      <c r="AG176">
        <v>48.25</v>
      </c>
      <c r="AH176">
        <v>44.03</v>
      </c>
      <c r="AI176">
        <v>42.95</v>
      </c>
    </row>
    <row r="177" spans="1:35" x14ac:dyDescent="0.45">
      <c r="A177" s="2">
        <v>45736</v>
      </c>
      <c r="B177">
        <v>28.46</v>
      </c>
      <c r="C177">
        <v>30.52</v>
      </c>
      <c r="D177">
        <v>15.91</v>
      </c>
      <c r="E177">
        <v>25.91</v>
      </c>
      <c r="F177">
        <v>28.35</v>
      </c>
      <c r="G177">
        <v>44.589399999999998</v>
      </c>
      <c r="H177">
        <v>22.94</v>
      </c>
      <c r="I177">
        <v>50.28</v>
      </c>
      <c r="J177">
        <v>52.26</v>
      </c>
      <c r="K177">
        <v>56.73</v>
      </c>
      <c r="L177">
        <v>26.58</v>
      </c>
      <c r="M177">
        <v>48.03</v>
      </c>
      <c r="N177">
        <v>47.865000000000002</v>
      </c>
      <c r="O177">
        <v>50.76</v>
      </c>
      <c r="P177">
        <v>56.69</v>
      </c>
      <c r="Q177">
        <v>17.920000000000002</v>
      </c>
      <c r="R177">
        <v>1177.44</v>
      </c>
      <c r="S177">
        <v>33.28</v>
      </c>
      <c r="T177">
        <v>16.95</v>
      </c>
      <c r="U177">
        <v>12.4</v>
      </c>
      <c r="V177">
        <v>40.35</v>
      </c>
      <c r="W177">
        <v>41.75</v>
      </c>
      <c r="X177">
        <v>23.53</v>
      </c>
      <c r="Y177">
        <v>41.03</v>
      </c>
      <c r="Z177">
        <v>38.36</v>
      </c>
      <c r="AA177">
        <v>71.319999999999993</v>
      </c>
      <c r="AB177">
        <v>53.28</v>
      </c>
      <c r="AC177">
        <v>37.880000000000003</v>
      </c>
      <c r="AD177">
        <v>479.26</v>
      </c>
      <c r="AE177">
        <v>565.49</v>
      </c>
      <c r="AF177">
        <v>41.28</v>
      </c>
      <c r="AG177">
        <v>48.87</v>
      </c>
      <c r="AH177">
        <v>44.41</v>
      </c>
      <c r="AI177">
        <v>43.26</v>
      </c>
    </row>
    <row r="178" spans="1:35" x14ac:dyDescent="0.45">
      <c r="A178" s="2">
        <v>45735</v>
      </c>
      <c r="B178">
        <v>28.96</v>
      </c>
      <c r="C178">
        <v>30.94</v>
      </c>
      <c r="D178">
        <v>15.95</v>
      </c>
      <c r="E178">
        <v>25.87</v>
      </c>
      <c r="F178">
        <v>28.79</v>
      </c>
      <c r="G178">
        <v>44.48</v>
      </c>
      <c r="H178">
        <v>23.32</v>
      </c>
      <c r="I178">
        <v>50.14</v>
      </c>
      <c r="J178">
        <v>52.42</v>
      </c>
      <c r="K178">
        <v>57.24</v>
      </c>
      <c r="L178">
        <v>26.94</v>
      </c>
      <c r="M178">
        <v>48.77</v>
      </c>
      <c r="N178">
        <v>48.03</v>
      </c>
      <c r="O178">
        <v>50.61</v>
      </c>
      <c r="P178">
        <v>58.31</v>
      </c>
      <c r="Q178">
        <v>18.14</v>
      </c>
      <c r="R178">
        <v>1202.03</v>
      </c>
      <c r="S178">
        <v>33.04</v>
      </c>
      <c r="T178">
        <v>17.02</v>
      </c>
      <c r="U178">
        <v>12.6</v>
      </c>
      <c r="V178">
        <v>40.380000000000003</v>
      </c>
      <c r="W178">
        <v>42.29</v>
      </c>
      <c r="X178">
        <v>23.65</v>
      </c>
      <c r="Y178">
        <v>41.04</v>
      </c>
      <c r="Z178">
        <v>39.04</v>
      </c>
      <c r="AA178">
        <v>71.7</v>
      </c>
      <c r="AB178">
        <v>53.24</v>
      </c>
      <c r="AC178">
        <v>37.99</v>
      </c>
      <c r="AD178">
        <v>480.89</v>
      </c>
      <c r="AE178">
        <v>567.13</v>
      </c>
      <c r="AF178">
        <v>41.97</v>
      </c>
      <c r="AG178">
        <v>49.49</v>
      </c>
      <c r="AH178">
        <v>44.73</v>
      </c>
      <c r="AI178">
        <v>43.99</v>
      </c>
    </row>
    <row r="179" spans="1:35" x14ac:dyDescent="0.45">
      <c r="A179" s="2">
        <v>45734</v>
      </c>
      <c r="B179">
        <v>29.02</v>
      </c>
      <c r="C179">
        <v>30.9</v>
      </c>
      <c r="D179">
        <v>15.74</v>
      </c>
      <c r="E179">
        <v>25.67</v>
      </c>
      <c r="F179">
        <v>29.15</v>
      </c>
      <c r="G179">
        <v>44.281399999999998</v>
      </c>
      <c r="H179">
        <v>23.39</v>
      </c>
      <c r="I179">
        <v>50.2</v>
      </c>
      <c r="J179">
        <v>52.41</v>
      </c>
      <c r="K179">
        <v>56.97</v>
      </c>
      <c r="L179">
        <v>26.57</v>
      </c>
      <c r="M179">
        <v>47.69</v>
      </c>
      <c r="N179">
        <v>48.150500000000001</v>
      </c>
      <c r="O179">
        <v>49.88</v>
      </c>
      <c r="P179">
        <v>58.36</v>
      </c>
      <c r="Q179">
        <v>18.149999999999999</v>
      </c>
      <c r="R179">
        <v>1189.55</v>
      </c>
      <c r="S179">
        <v>37.79</v>
      </c>
      <c r="T179">
        <v>16.940000000000001</v>
      </c>
      <c r="U179">
        <v>12.62</v>
      </c>
      <c r="V179">
        <v>40.590000000000003</v>
      </c>
      <c r="W179">
        <v>41.95</v>
      </c>
      <c r="X179">
        <v>23.43</v>
      </c>
      <c r="Y179">
        <v>40.520000000000003</v>
      </c>
      <c r="Z179">
        <v>39.31</v>
      </c>
      <c r="AA179">
        <v>70.89</v>
      </c>
      <c r="AB179">
        <v>53.43</v>
      </c>
      <c r="AC179">
        <v>37.950000000000003</v>
      </c>
      <c r="AD179">
        <v>474.54</v>
      </c>
      <c r="AE179">
        <v>561.02</v>
      </c>
      <c r="AF179">
        <v>41.81</v>
      </c>
      <c r="AG179">
        <v>49.28</v>
      </c>
      <c r="AH179">
        <v>44.67</v>
      </c>
      <c r="AI179">
        <v>43.92</v>
      </c>
    </row>
    <row r="180" spans="1:35" x14ac:dyDescent="0.45">
      <c r="A180" s="2">
        <v>45733</v>
      </c>
      <c r="B180">
        <v>29.2</v>
      </c>
      <c r="C180">
        <v>30.71</v>
      </c>
      <c r="D180">
        <v>16.62</v>
      </c>
      <c r="E180">
        <v>26</v>
      </c>
      <c r="F180">
        <v>29.01</v>
      </c>
      <c r="G180">
        <v>44.12</v>
      </c>
      <c r="H180">
        <v>23.44</v>
      </c>
      <c r="I180">
        <v>50.71</v>
      </c>
      <c r="J180">
        <v>53.28</v>
      </c>
      <c r="K180">
        <v>57.86</v>
      </c>
      <c r="L180">
        <v>26.45</v>
      </c>
      <c r="M180">
        <v>47.74</v>
      </c>
      <c r="N180">
        <v>48.59</v>
      </c>
      <c r="O180">
        <v>49.44</v>
      </c>
      <c r="P180">
        <v>58.65</v>
      </c>
      <c r="Q180">
        <v>18.18</v>
      </c>
      <c r="R180">
        <v>1206.96</v>
      </c>
      <c r="S180">
        <v>38.549999999999997</v>
      </c>
      <c r="T180">
        <v>17.100000000000001</v>
      </c>
      <c r="U180">
        <v>12.76</v>
      </c>
      <c r="V180">
        <v>41.13</v>
      </c>
      <c r="W180">
        <v>42.77</v>
      </c>
      <c r="X180">
        <v>23.87</v>
      </c>
      <c r="Y180">
        <v>40.69</v>
      </c>
      <c r="Z180">
        <v>39.03</v>
      </c>
      <c r="AA180">
        <v>71.09</v>
      </c>
      <c r="AB180">
        <v>53.33</v>
      </c>
      <c r="AC180">
        <v>37.97</v>
      </c>
      <c r="AD180">
        <v>482.77</v>
      </c>
      <c r="AE180">
        <v>567.15</v>
      </c>
      <c r="AF180">
        <v>41.68</v>
      </c>
      <c r="AG180">
        <v>49.21</v>
      </c>
      <c r="AH180">
        <v>44.97</v>
      </c>
      <c r="AI180">
        <v>43.53</v>
      </c>
    </row>
    <row r="181" spans="1:35" x14ac:dyDescent="0.45">
      <c r="A181" s="2">
        <v>45730</v>
      </c>
      <c r="B181">
        <v>29.34</v>
      </c>
      <c r="C181">
        <v>30.06</v>
      </c>
      <c r="D181">
        <v>16.57</v>
      </c>
      <c r="E181">
        <v>25.785</v>
      </c>
      <c r="F181">
        <v>28.5</v>
      </c>
      <c r="G181">
        <v>43.37</v>
      </c>
      <c r="H181">
        <v>23.21</v>
      </c>
      <c r="I181">
        <v>50.27</v>
      </c>
      <c r="J181">
        <v>52.36</v>
      </c>
      <c r="K181">
        <v>56.14</v>
      </c>
      <c r="L181">
        <v>25.84</v>
      </c>
      <c r="M181">
        <v>47</v>
      </c>
      <c r="N181">
        <v>47.95</v>
      </c>
      <c r="O181">
        <v>48.91</v>
      </c>
      <c r="P181">
        <v>57.37</v>
      </c>
      <c r="Q181">
        <v>18.12</v>
      </c>
      <c r="R181">
        <v>1177.6400000000001</v>
      </c>
      <c r="S181">
        <v>38.340000000000003</v>
      </c>
      <c r="T181">
        <v>16.97</v>
      </c>
      <c r="U181">
        <v>12.66</v>
      </c>
      <c r="V181">
        <v>40.479999999999997</v>
      </c>
      <c r="W181">
        <v>42.45</v>
      </c>
      <c r="X181">
        <v>23.5</v>
      </c>
      <c r="Y181">
        <v>40.11</v>
      </c>
      <c r="Z181">
        <v>38.619999999999997</v>
      </c>
      <c r="AA181">
        <v>70.349999999999994</v>
      </c>
      <c r="AB181">
        <v>52.59</v>
      </c>
      <c r="AC181">
        <v>37.71</v>
      </c>
      <c r="AD181">
        <v>479.66</v>
      </c>
      <c r="AE181">
        <v>562.80999999999995</v>
      </c>
      <c r="AF181">
        <v>41.29</v>
      </c>
      <c r="AG181">
        <v>48.68</v>
      </c>
      <c r="AH181">
        <v>44.55</v>
      </c>
      <c r="AI181">
        <v>43.03</v>
      </c>
    </row>
    <row r="182" spans="1:35" x14ac:dyDescent="0.45">
      <c r="A182" s="2">
        <v>45729</v>
      </c>
      <c r="B182">
        <v>28.34</v>
      </c>
      <c r="C182">
        <v>29.76</v>
      </c>
      <c r="D182">
        <v>16.73</v>
      </c>
      <c r="E182">
        <v>25.38</v>
      </c>
      <c r="F182">
        <v>27.58</v>
      </c>
      <c r="G182">
        <v>42.25</v>
      </c>
      <c r="H182">
        <v>22.91</v>
      </c>
      <c r="I182">
        <v>49.63</v>
      </c>
      <c r="J182">
        <v>51.19</v>
      </c>
      <c r="K182">
        <v>55.22</v>
      </c>
      <c r="L182">
        <v>24.8</v>
      </c>
      <c r="M182">
        <v>45.86</v>
      </c>
      <c r="N182">
        <v>46.83</v>
      </c>
      <c r="O182">
        <v>48.51</v>
      </c>
      <c r="P182">
        <v>55.77</v>
      </c>
      <c r="Q182">
        <v>17.940000000000001</v>
      </c>
      <c r="R182">
        <v>1188.4100000000001</v>
      </c>
      <c r="S182">
        <v>37.89</v>
      </c>
      <c r="T182">
        <v>16.78</v>
      </c>
      <c r="U182">
        <v>12.44</v>
      </c>
      <c r="V182">
        <v>40.020000000000003</v>
      </c>
      <c r="W182">
        <v>41.91</v>
      </c>
      <c r="X182">
        <v>23.02</v>
      </c>
      <c r="Y182">
        <v>39.299999999999997</v>
      </c>
      <c r="Z182">
        <v>37.590000000000003</v>
      </c>
      <c r="AA182">
        <v>69.260000000000005</v>
      </c>
      <c r="AB182">
        <v>52.14</v>
      </c>
      <c r="AC182">
        <v>37.130000000000003</v>
      </c>
      <c r="AD182">
        <v>468.34</v>
      </c>
      <c r="AE182">
        <v>551.41999999999996</v>
      </c>
      <c r="AF182">
        <v>40.47</v>
      </c>
      <c r="AG182">
        <v>47.580100000000002</v>
      </c>
      <c r="AH182">
        <v>43.07</v>
      </c>
      <c r="AI182">
        <v>41.94</v>
      </c>
    </row>
    <row r="183" spans="1:35" x14ac:dyDescent="0.45">
      <c r="A183" s="2">
        <v>45728</v>
      </c>
      <c r="B183">
        <v>28.434999999999999</v>
      </c>
      <c r="C183">
        <v>29.34</v>
      </c>
      <c r="D183">
        <v>16.87</v>
      </c>
      <c r="E183">
        <v>25.08</v>
      </c>
      <c r="F183">
        <v>27.17</v>
      </c>
      <c r="G183">
        <v>41.747100000000003</v>
      </c>
      <c r="H183">
        <v>22.53</v>
      </c>
      <c r="I183">
        <v>50.67</v>
      </c>
      <c r="J183">
        <v>50.98</v>
      </c>
      <c r="K183">
        <v>55.95</v>
      </c>
      <c r="L183">
        <v>24.48</v>
      </c>
      <c r="M183">
        <v>45.97</v>
      </c>
      <c r="N183">
        <v>46.85</v>
      </c>
      <c r="O183">
        <v>48.73</v>
      </c>
      <c r="P183">
        <v>55.63</v>
      </c>
      <c r="Q183">
        <v>18.079999999999998</v>
      </c>
      <c r="R183">
        <v>1203.72</v>
      </c>
      <c r="S183">
        <v>37.619999999999997</v>
      </c>
      <c r="T183">
        <v>16.78</v>
      </c>
      <c r="U183">
        <v>12.58</v>
      </c>
      <c r="V183">
        <v>40.06</v>
      </c>
      <c r="W183">
        <v>42.34</v>
      </c>
      <c r="X183">
        <v>23.31</v>
      </c>
      <c r="Y183">
        <v>39.840000000000003</v>
      </c>
      <c r="Z183">
        <v>37.99</v>
      </c>
      <c r="AA183">
        <v>69.52</v>
      </c>
      <c r="AB183">
        <v>52.41</v>
      </c>
      <c r="AC183">
        <v>37.119999999999997</v>
      </c>
      <c r="AD183">
        <v>476.92</v>
      </c>
      <c r="AE183">
        <v>558.87</v>
      </c>
      <c r="AF183">
        <v>40.97</v>
      </c>
      <c r="AG183">
        <v>48.12</v>
      </c>
      <c r="AH183">
        <v>43.77</v>
      </c>
      <c r="AI183">
        <v>42.5</v>
      </c>
    </row>
    <row r="184" spans="1:35" x14ac:dyDescent="0.45">
      <c r="A184" s="2">
        <v>45727</v>
      </c>
      <c r="B184">
        <v>28.51</v>
      </c>
      <c r="C184">
        <v>29.39</v>
      </c>
      <c r="D184">
        <v>16.46</v>
      </c>
      <c r="E184">
        <v>25.07</v>
      </c>
      <c r="F184">
        <v>26.88</v>
      </c>
      <c r="G184">
        <v>41.101199999999999</v>
      </c>
      <c r="H184">
        <v>23.1</v>
      </c>
      <c r="I184">
        <v>49.98</v>
      </c>
      <c r="J184">
        <v>50.25</v>
      </c>
      <c r="K184">
        <v>54.69</v>
      </c>
      <c r="L184">
        <v>24.38</v>
      </c>
      <c r="M184">
        <v>46.31</v>
      </c>
      <c r="N184">
        <v>45.64</v>
      </c>
      <c r="O184">
        <v>48.66</v>
      </c>
      <c r="P184">
        <v>55.83</v>
      </c>
      <c r="Q184">
        <v>18.05</v>
      </c>
      <c r="R184">
        <v>1215.73</v>
      </c>
      <c r="S184">
        <v>37.049999999999997</v>
      </c>
      <c r="T184">
        <v>16.579999999999998</v>
      </c>
      <c r="U184">
        <v>12.41</v>
      </c>
      <c r="V184">
        <v>39.950000000000003</v>
      </c>
      <c r="W184">
        <v>42.39</v>
      </c>
      <c r="X184">
        <v>23.32</v>
      </c>
      <c r="Y184">
        <v>39.479999999999997</v>
      </c>
      <c r="Z184">
        <v>37.74</v>
      </c>
      <c r="AA184">
        <v>68.260000000000005</v>
      </c>
      <c r="AB184">
        <v>51.87</v>
      </c>
      <c r="AC184">
        <v>36.96</v>
      </c>
      <c r="AD184">
        <v>471.6</v>
      </c>
      <c r="AE184">
        <v>555.91999999999996</v>
      </c>
      <c r="AF184">
        <v>41.09</v>
      </c>
      <c r="AG184">
        <v>47.81</v>
      </c>
      <c r="AH184">
        <v>43.88</v>
      </c>
      <c r="AI184">
        <v>42.27</v>
      </c>
    </row>
    <row r="185" spans="1:35" x14ac:dyDescent="0.45">
      <c r="A185" s="2">
        <v>45726</v>
      </c>
      <c r="B185">
        <v>28.09</v>
      </c>
      <c r="C185">
        <v>29.16</v>
      </c>
      <c r="D185">
        <v>16.690000000000001</v>
      </c>
      <c r="E185">
        <v>25.47</v>
      </c>
      <c r="F185">
        <v>26.44</v>
      </c>
      <c r="G185">
        <v>40.6935</v>
      </c>
      <c r="H185">
        <v>23.12</v>
      </c>
      <c r="I185">
        <v>49.89</v>
      </c>
      <c r="J185">
        <v>50.16</v>
      </c>
      <c r="K185">
        <v>54.09</v>
      </c>
      <c r="L185">
        <v>24.3</v>
      </c>
      <c r="M185">
        <v>45.77</v>
      </c>
      <c r="N185">
        <v>44.77</v>
      </c>
      <c r="O185">
        <v>48.36</v>
      </c>
      <c r="P185">
        <v>54.79</v>
      </c>
      <c r="Q185">
        <v>18.07</v>
      </c>
      <c r="R185">
        <v>1231.1400000000001</v>
      </c>
      <c r="S185">
        <v>36.82</v>
      </c>
      <c r="T185">
        <v>16.61</v>
      </c>
      <c r="U185">
        <v>12.24</v>
      </c>
      <c r="V185">
        <v>40.04</v>
      </c>
      <c r="W185">
        <v>42.75</v>
      </c>
      <c r="X185">
        <v>23.42</v>
      </c>
      <c r="Y185">
        <v>39.68</v>
      </c>
      <c r="Z185">
        <v>37.79</v>
      </c>
      <c r="AA185">
        <v>68.680000000000007</v>
      </c>
      <c r="AB185">
        <v>52.62</v>
      </c>
      <c r="AC185">
        <v>37.049999999999997</v>
      </c>
      <c r="AD185">
        <v>472.73</v>
      </c>
      <c r="AE185">
        <v>560.58000000000004</v>
      </c>
      <c r="AF185">
        <v>41</v>
      </c>
      <c r="AG185">
        <v>47.48</v>
      </c>
      <c r="AH185">
        <v>43.82</v>
      </c>
      <c r="AI185">
        <v>42.15</v>
      </c>
    </row>
    <row r="186" spans="1:35" x14ac:dyDescent="0.45">
      <c r="A186" s="2">
        <v>45723</v>
      </c>
      <c r="B186">
        <v>28.45</v>
      </c>
      <c r="C186">
        <v>29.77</v>
      </c>
      <c r="D186">
        <v>17.100000000000001</v>
      </c>
      <c r="E186">
        <v>25.36</v>
      </c>
      <c r="F186">
        <v>27.42</v>
      </c>
      <c r="G186">
        <v>41.577599999999997</v>
      </c>
      <c r="H186">
        <v>23.29</v>
      </c>
      <c r="I186">
        <v>51.23</v>
      </c>
      <c r="J186">
        <v>51.53</v>
      </c>
      <c r="K186">
        <v>55.68</v>
      </c>
      <c r="L186">
        <v>24.82</v>
      </c>
      <c r="M186">
        <v>46.84</v>
      </c>
      <c r="N186">
        <v>45.53</v>
      </c>
      <c r="O186">
        <v>49.08</v>
      </c>
      <c r="P186">
        <v>56.5</v>
      </c>
      <c r="Q186">
        <v>18.07</v>
      </c>
      <c r="R186">
        <v>1206.3900000000001</v>
      </c>
      <c r="S186">
        <v>37.28</v>
      </c>
      <c r="T186">
        <v>16.920000000000002</v>
      </c>
      <c r="U186">
        <v>12.4</v>
      </c>
      <c r="V186">
        <v>40.39</v>
      </c>
      <c r="W186">
        <v>42.984999999999999</v>
      </c>
      <c r="X186">
        <v>23.89</v>
      </c>
      <c r="Y186">
        <v>40.47</v>
      </c>
      <c r="Z186">
        <v>38.81</v>
      </c>
      <c r="AA186">
        <v>70.17</v>
      </c>
      <c r="AB186">
        <v>53.53</v>
      </c>
      <c r="AC186">
        <v>37.83</v>
      </c>
      <c r="AD186">
        <v>491.79</v>
      </c>
      <c r="AE186">
        <v>575.91999999999996</v>
      </c>
      <c r="AF186">
        <v>41.87</v>
      </c>
      <c r="AG186">
        <v>49.36</v>
      </c>
      <c r="AH186">
        <v>45.12</v>
      </c>
      <c r="AI186">
        <v>42.85</v>
      </c>
    </row>
    <row r="187" spans="1:35" x14ac:dyDescent="0.45">
      <c r="A187" s="2">
        <v>45722</v>
      </c>
      <c r="B187">
        <v>28.625</v>
      </c>
      <c r="C187">
        <v>29.69</v>
      </c>
      <c r="D187">
        <v>17.12</v>
      </c>
      <c r="E187">
        <v>25.14</v>
      </c>
      <c r="F187">
        <v>26.86</v>
      </c>
      <c r="G187">
        <v>41.46</v>
      </c>
      <c r="H187">
        <v>23.42</v>
      </c>
      <c r="I187">
        <v>50.79</v>
      </c>
      <c r="J187">
        <v>51.45</v>
      </c>
      <c r="K187">
        <v>54.94</v>
      </c>
      <c r="L187">
        <v>24.57</v>
      </c>
      <c r="M187">
        <v>46.57</v>
      </c>
      <c r="N187">
        <v>44.85</v>
      </c>
      <c r="O187">
        <v>48.94</v>
      </c>
      <c r="P187">
        <v>56.53</v>
      </c>
      <c r="Q187">
        <v>18.14</v>
      </c>
      <c r="R187">
        <v>1235.8499999999999</v>
      </c>
      <c r="S187">
        <v>37.28</v>
      </c>
      <c r="T187">
        <v>17.09</v>
      </c>
      <c r="U187">
        <v>12.2</v>
      </c>
      <c r="V187">
        <v>40.270000000000003</v>
      </c>
      <c r="W187">
        <v>42.72</v>
      </c>
      <c r="X187">
        <v>24.02</v>
      </c>
      <c r="Y187">
        <v>40.369999999999997</v>
      </c>
      <c r="Z187">
        <v>38.590000000000003</v>
      </c>
      <c r="AA187">
        <v>69.61</v>
      </c>
      <c r="AB187">
        <v>52.59</v>
      </c>
      <c r="AC187">
        <v>37.25</v>
      </c>
      <c r="AD187">
        <v>488.2</v>
      </c>
      <c r="AE187">
        <v>572.71</v>
      </c>
      <c r="AF187">
        <v>41.43</v>
      </c>
      <c r="AG187">
        <v>48.48</v>
      </c>
      <c r="AH187">
        <v>44.31</v>
      </c>
      <c r="AI187">
        <v>42.27</v>
      </c>
    </row>
    <row r="188" spans="1:35" x14ac:dyDescent="0.45">
      <c r="A188" s="2">
        <v>45721</v>
      </c>
      <c r="B188">
        <v>28.38</v>
      </c>
      <c r="C188">
        <v>29.39</v>
      </c>
      <c r="D188">
        <v>17.05</v>
      </c>
      <c r="E188">
        <v>24.71</v>
      </c>
      <c r="F188">
        <v>26.92</v>
      </c>
      <c r="G188">
        <v>41.4694</v>
      </c>
      <c r="H188">
        <v>23.73</v>
      </c>
      <c r="I188">
        <v>52.07</v>
      </c>
      <c r="J188">
        <v>51.03</v>
      </c>
      <c r="K188">
        <v>56.05</v>
      </c>
      <c r="L188">
        <v>24.58</v>
      </c>
      <c r="M188">
        <v>46.39</v>
      </c>
      <c r="N188">
        <v>45.28</v>
      </c>
      <c r="O188">
        <v>48.93</v>
      </c>
      <c r="P188">
        <v>56.22</v>
      </c>
      <c r="Q188">
        <v>18.05</v>
      </c>
      <c r="R188">
        <v>1246.21</v>
      </c>
      <c r="S188">
        <v>36.340000000000003</v>
      </c>
      <c r="T188">
        <v>17.3</v>
      </c>
      <c r="U188">
        <v>11.95</v>
      </c>
      <c r="V188">
        <v>40.75</v>
      </c>
      <c r="W188">
        <v>42.94</v>
      </c>
      <c r="X188">
        <v>24.41</v>
      </c>
      <c r="Y188">
        <v>40.729999999999997</v>
      </c>
      <c r="Z188">
        <v>38.53</v>
      </c>
      <c r="AA188">
        <v>70.150000000000006</v>
      </c>
      <c r="AB188">
        <v>52.86</v>
      </c>
      <c r="AC188">
        <v>37.92</v>
      </c>
      <c r="AD188">
        <v>502.01</v>
      </c>
      <c r="AE188">
        <v>583.05999999999995</v>
      </c>
      <c r="AF188">
        <v>42.02</v>
      </c>
      <c r="AG188">
        <v>49.02</v>
      </c>
      <c r="AH188">
        <v>45.1</v>
      </c>
      <c r="AI188">
        <v>42.69</v>
      </c>
    </row>
    <row r="189" spans="1:35" x14ac:dyDescent="0.45">
      <c r="A189" s="2">
        <v>45720</v>
      </c>
      <c r="B189">
        <v>27.97</v>
      </c>
      <c r="C189">
        <v>28.9</v>
      </c>
      <c r="D189">
        <v>16.46</v>
      </c>
      <c r="E189">
        <v>24.25</v>
      </c>
      <c r="F189">
        <v>25.51</v>
      </c>
      <c r="G189">
        <v>40.440899999999999</v>
      </c>
      <c r="H189">
        <v>23.23</v>
      </c>
      <c r="I189">
        <v>51.04</v>
      </c>
      <c r="J189">
        <v>50.02</v>
      </c>
      <c r="K189">
        <v>54.57</v>
      </c>
      <c r="L189">
        <v>23.91</v>
      </c>
      <c r="M189">
        <v>45.07</v>
      </c>
      <c r="N189">
        <v>43.36</v>
      </c>
      <c r="O189">
        <v>47.85</v>
      </c>
      <c r="P189">
        <v>53.6</v>
      </c>
      <c r="Q189">
        <v>17.96</v>
      </c>
      <c r="R189">
        <v>1245.6099999999999</v>
      </c>
      <c r="S189">
        <v>35.200000000000003</v>
      </c>
      <c r="T189">
        <v>17.32</v>
      </c>
      <c r="U189">
        <v>11.97</v>
      </c>
      <c r="V189">
        <v>40.64</v>
      </c>
      <c r="W189">
        <v>42.25</v>
      </c>
      <c r="X189">
        <v>23.92</v>
      </c>
      <c r="Y189">
        <v>39.770000000000003</v>
      </c>
      <c r="Z189">
        <v>37.03</v>
      </c>
      <c r="AA189">
        <v>68.64</v>
      </c>
      <c r="AB189">
        <v>52.71</v>
      </c>
      <c r="AC189">
        <v>37.549999999999997</v>
      </c>
      <c r="AD189">
        <v>495.55</v>
      </c>
      <c r="AE189">
        <v>576.86</v>
      </c>
      <c r="AF189">
        <v>40.78</v>
      </c>
      <c r="AG189">
        <v>47.8</v>
      </c>
      <c r="AH189">
        <v>43.32</v>
      </c>
      <c r="AI189">
        <v>41.28</v>
      </c>
    </row>
    <row r="190" spans="1:35" x14ac:dyDescent="0.45">
      <c r="A190" s="2">
        <v>45719</v>
      </c>
      <c r="B190">
        <v>27.77</v>
      </c>
      <c r="C190">
        <v>28.36</v>
      </c>
      <c r="D190">
        <v>16.66</v>
      </c>
      <c r="E190">
        <v>24.05</v>
      </c>
      <c r="F190">
        <v>25.68</v>
      </c>
      <c r="G190">
        <v>40.524500000000003</v>
      </c>
      <c r="H190">
        <v>23.4</v>
      </c>
      <c r="I190">
        <v>50.25</v>
      </c>
      <c r="J190">
        <v>49.85</v>
      </c>
      <c r="K190">
        <v>54.32</v>
      </c>
      <c r="L190">
        <v>24.14</v>
      </c>
      <c r="M190">
        <v>44.54</v>
      </c>
      <c r="N190">
        <v>43.25</v>
      </c>
      <c r="O190">
        <v>47.8</v>
      </c>
      <c r="P190">
        <v>52.81</v>
      </c>
      <c r="Q190">
        <v>17.940000000000001</v>
      </c>
      <c r="R190">
        <v>1262.27</v>
      </c>
      <c r="S190">
        <v>34.97</v>
      </c>
      <c r="T190">
        <v>17.12</v>
      </c>
      <c r="U190">
        <v>12.04</v>
      </c>
      <c r="V190">
        <v>41.07</v>
      </c>
      <c r="W190">
        <v>42.18</v>
      </c>
      <c r="X190">
        <v>23.95</v>
      </c>
      <c r="Y190">
        <v>40.450000000000003</v>
      </c>
      <c r="Z190">
        <v>37.159999999999997</v>
      </c>
      <c r="AA190">
        <v>69.209999999999994</v>
      </c>
      <c r="AB190">
        <v>52.3</v>
      </c>
      <c r="AC190">
        <v>37.42</v>
      </c>
      <c r="AD190">
        <v>497.05</v>
      </c>
      <c r="AE190">
        <v>583.77</v>
      </c>
      <c r="AF190">
        <v>40.36</v>
      </c>
      <c r="AG190">
        <v>47.37</v>
      </c>
      <c r="AH190">
        <v>43.9</v>
      </c>
      <c r="AI190">
        <v>41.31</v>
      </c>
    </row>
    <row r="191" spans="1:35" x14ac:dyDescent="0.45">
      <c r="A191" s="2">
        <v>45716</v>
      </c>
      <c r="B191">
        <v>27.96</v>
      </c>
      <c r="C191">
        <v>28.62</v>
      </c>
      <c r="D191">
        <v>15.96</v>
      </c>
      <c r="E191">
        <v>24</v>
      </c>
      <c r="F191">
        <v>25.28</v>
      </c>
      <c r="G191">
        <v>40.941499999999998</v>
      </c>
      <c r="H191">
        <v>23.67</v>
      </c>
      <c r="I191">
        <v>50.81</v>
      </c>
      <c r="J191">
        <v>50.52</v>
      </c>
      <c r="K191">
        <v>54.67</v>
      </c>
      <c r="L191">
        <v>24.11</v>
      </c>
      <c r="M191">
        <v>44.4</v>
      </c>
      <c r="N191">
        <v>42.58</v>
      </c>
      <c r="O191">
        <v>48.1</v>
      </c>
      <c r="P191">
        <v>53.58</v>
      </c>
      <c r="Q191">
        <v>18</v>
      </c>
      <c r="R191">
        <v>1257.48</v>
      </c>
      <c r="S191">
        <v>34.28</v>
      </c>
      <c r="T191">
        <v>17.45</v>
      </c>
      <c r="U191">
        <v>12.04</v>
      </c>
      <c r="V191">
        <v>41.13</v>
      </c>
      <c r="W191">
        <v>42.37</v>
      </c>
      <c r="X191">
        <v>23.99</v>
      </c>
      <c r="Y191">
        <v>41.23</v>
      </c>
      <c r="Z191">
        <v>36.07</v>
      </c>
      <c r="AA191">
        <v>68.47</v>
      </c>
      <c r="AB191">
        <v>51.73</v>
      </c>
      <c r="AC191">
        <v>37.04</v>
      </c>
      <c r="AD191">
        <v>508.17</v>
      </c>
      <c r="AE191">
        <v>594.17999999999995</v>
      </c>
      <c r="AF191">
        <v>39.54</v>
      </c>
      <c r="AG191">
        <v>47.17</v>
      </c>
      <c r="AH191">
        <v>43.14</v>
      </c>
      <c r="AI191">
        <v>40.799999999999997</v>
      </c>
    </row>
    <row r="192" spans="1:35" x14ac:dyDescent="0.45">
      <c r="A192" s="2">
        <v>45715</v>
      </c>
      <c r="B192">
        <v>28.41</v>
      </c>
      <c r="C192">
        <v>28.74</v>
      </c>
      <c r="D192">
        <v>16.41</v>
      </c>
      <c r="E192">
        <v>24.3</v>
      </c>
      <c r="F192">
        <v>25.55</v>
      </c>
      <c r="G192">
        <v>40.6676</v>
      </c>
      <c r="H192">
        <v>23.76</v>
      </c>
      <c r="I192">
        <v>50.83</v>
      </c>
      <c r="J192">
        <v>50.59</v>
      </c>
      <c r="K192">
        <v>55.95</v>
      </c>
      <c r="L192">
        <v>24.71</v>
      </c>
      <c r="M192">
        <v>45.21</v>
      </c>
      <c r="N192">
        <v>42.029600000000002</v>
      </c>
      <c r="O192">
        <v>48.55</v>
      </c>
      <c r="P192">
        <v>54.91</v>
      </c>
      <c r="Q192">
        <v>17.86</v>
      </c>
      <c r="R192">
        <v>1256.48</v>
      </c>
      <c r="S192">
        <v>34.549999999999997</v>
      </c>
      <c r="T192">
        <v>17.420000000000002</v>
      </c>
      <c r="U192">
        <v>11.965</v>
      </c>
      <c r="V192">
        <v>41.17</v>
      </c>
      <c r="W192">
        <v>42.37</v>
      </c>
      <c r="X192">
        <v>24.07</v>
      </c>
      <c r="Y192">
        <v>40.799999999999997</v>
      </c>
      <c r="Z192">
        <v>36</v>
      </c>
      <c r="AA192">
        <v>69</v>
      </c>
      <c r="AB192">
        <v>51.33</v>
      </c>
      <c r="AC192">
        <v>36.700000000000003</v>
      </c>
      <c r="AD192">
        <v>500.27</v>
      </c>
      <c r="AE192">
        <v>585.04999999999995</v>
      </c>
      <c r="AF192">
        <v>39.44</v>
      </c>
      <c r="AG192">
        <v>47.08</v>
      </c>
      <c r="AH192">
        <v>43.07</v>
      </c>
      <c r="AI192">
        <v>40.61</v>
      </c>
    </row>
    <row r="193" spans="1:35" x14ac:dyDescent="0.45">
      <c r="A193" s="2">
        <v>45714</v>
      </c>
      <c r="B193">
        <v>28.5</v>
      </c>
      <c r="C193">
        <v>28.89</v>
      </c>
      <c r="D193">
        <v>16.98</v>
      </c>
      <c r="E193">
        <v>24.46</v>
      </c>
      <c r="F193">
        <v>26.18</v>
      </c>
      <c r="G193">
        <v>41.459400000000002</v>
      </c>
      <c r="H193">
        <v>24.16</v>
      </c>
      <c r="I193">
        <v>53.08</v>
      </c>
      <c r="J193">
        <v>51.49</v>
      </c>
      <c r="K193">
        <v>57.81</v>
      </c>
      <c r="L193">
        <v>24.88</v>
      </c>
      <c r="M193">
        <v>46.1</v>
      </c>
      <c r="N193">
        <v>42.437100000000001</v>
      </c>
      <c r="O193">
        <v>49.02</v>
      </c>
      <c r="P193">
        <v>55.4</v>
      </c>
      <c r="Q193">
        <v>18.100000000000001</v>
      </c>
      <c r="R193">
        <v>1272.0999999999999</v>
      </c>
      <c r="S193">
        <v>33.880000000000003</v>
      </c>
      <c r="T193">
        <v>17.47</v>
      </c>
      <c r="U193">
        <v>11.89</v>
      </c>
      <c r="V193">
        <v>41.63</v>
      </c>
      <c r="W193">
        <v>42.96</v>
      </c>
      <c r="X193">
        <v>24.44</v>
      </c>
      <c r="Y193">
        <v>41.43</v>
      </c>
      <c r="Z193">
        <v>36.71</v>
      </c>
      <c r="AA193">
        <v>69.510000000000005</v>
      </c>
      <c r="AB193">
        <v>52.03</v>
      </c>
      <c r="AC193">
        <v>36.75</v>
      </c>
      <c r="AD193">
        <v>514.55999999999995</v>
      </c>
      <c r="AE193">
        <v>594.54</v>
      </c>
      <c r="AF193">
        <v>39.89</v>
      </c>
      <c r="AG193">
        <v>48.46</v>
      </c>
      <c r="AH193">
        <v>43.85</v>
      </c>
      <c r="AI193">
        <v>41.27</v>
      </c>
    </row>
    <row r="194" spans="1:35" x14ac:dyDescent="0.45">
      <c r="A194" s="2">
        <v>45713</v>
      </c>
      <c r="B194">
        <v>28.38</v>
      </c>
      <c r="C194">
        <v>28.93</v>
      </c>
      <c r="D194">
        <v>17.149999999999999</v>
      </c>
      <c r="E194">
        <v>24.17</v>
      </c>
      <c r="F194">
        <v>25.95</v>
      </c>
      <c r="G194">
        <v>40.996000000000002</v>
      </c>
      <c r="H194">
        <v>23.96</v>
      </c>
      <c r="I194">
        <v>52.37</v>
      </c>
      <c r="J194">
        <v>51.05</v>
      </c>
      <c r="K194">
        <v>57.55</v>
      </c>
      <c r="L194">
        <v>25.28</v>
      </c>
      <c r="M194">
        <v>46.13</v>
      </c>
      <c r="N194">
        <v>42.662999999999997</v>
      </c>
      <c r="O194">
        <v>49.25</v>
      </c>
      <c r="P194">
        <v>54.06</v>
      </c>
      <c r="Q194">
        <v>18.13</v>
      </c>
      <c r="R194">
        <v>1284.1099999999999</v>
      </c>
      <c r="S194">
        <v>33.54</v>
      </c>
      <c r="T194">
        <v>17.36</v>
      </c>
      <c r="U194">
        <v>11.94</v>
      </c>
      <c r="V194">
        <v>41.95</v>
      </c>
      <c r="W194">
        <v>42.49</v>
      </c>
      <c r="X194">
        <v>24.54</v>
      </c>
      <c r="Y194">
        <v>41.35</v>
      </c>
      <c r="Z194">
        <v>36.58</v>
      </c>
      <c r="AA194">
        <v>69.47</v>
      </c>
      <c r="AB194">
        <v>51.97</v>
      </c>
      <c r="AC194">
        <v>36.72</v>
      </c>
      <c r="AD194">
        <v>513.32000000000005</v>
      </c>
      <c r="AE194">
        <v>594.24</v>
      </c>
      <c r="AF194">
        <v>39.89</v>
      </c>
      <c r="AG194">
        <v>48.58</v>
      </c>
      <c r="AH194">
        <v>43.85</v>
      </c>
      <c r="AI194">
        <v>41.47</v>
      </c>
    </row>
    <row r="195" spans="1:35" x14ac:dyDescent="0.45">
      <c r="A195" s="2">
        <v>45712</v>
      </c>
      <c r="B195">
        <v>28.45</v>
      </c>
      <c r="C195">
        <v>28.88</v>
      </c>
      <c r="D195">
        <v>17.57</v>
      </c>
      <c r="E195">
        <v>24.33</v>
      </c>
      <c r="F195">
        <v>25.62</v>
      </c>
      <c r="G195">
        <v>41.013800000000003</v>
      </c>
      <c r="H195">
        <v>24.24</v>
      </c>
      <c r="I195">
        <v>52.57</v>
      </c>
      <c r="J195">
        <v>51.67</v>
      </c>
      <c r="K195">
        <v>57.47</v>
      </c>
      <c r="L195">
        <v>25.06</v>
      </c>
      <c r="M195">
        <v>46.06</v>
      </c>
      <c r="N195">
        <v>42.46</v>
      </c>
      <c r="O195">
        <v>49.26</v>
      </c>
      <c r="P195">
        <v>53.59</v>
      </c>
      <c r="Q195">
        <v>18.07</v>
      </c>
      <c r="R195">
        <v>1283.97</v>
      </c>
      <c r="S195">
        <v>33.97</v>
      </c>
      <c r="T195">
        <v>17.3</v>
      </c>
      <c r="U195">
        <v>11.945</v>
      </c>
      <c r="V195">
        <v>41.96</v>
      </c>
      <c r="W195">
        <v>43.55</v>
      </c>
      <c r="X195">
        <v>24.63</v>
      </c>
      <c r="Y195">
        <v>41.38</v>
      </c>
      <c r="Z195">
        <v>36.07</v>
      </c>
      <c r="AA195">
        <v>68.78</v>
      </c>
      <c r="AB195">
        <v>51.54</v>
      </c>
      <c r="AC195">
        <v>36.39</v>
      </c>
      <c r="AD195">
        <v>519.87</v>
      </c>
      <c r="AE195">
        <v>597.21</v>
      </c>
      <c r="AF195">
        <v>39.58</v>
      </c>
      <c r="AG195">
        <v>48.18</v>
      </c>
      <c r="AH195">
        <v>43.38</v>
      </c>
      <c r="AI195">
        <v>40.79</v>
      </c>
    </row>
    <row r="196" spans="1:35" x14ac:dyDescent="0.45">
      <c r="A196" s="2">
        <v>45709</v>
      </c>
      <c r="B196">
        <v>28.73</v>
      </c>
      <c r="C196">
        <v>28.67</v>
      </c>
      <c r="D196">
        <v>17.600000000000001</v>
      </c>
      <c r="E196">
        <v>24.41</v>
      </c>
      <c r="F196">
        <v>25.99</v>
      </c>
      <c r="G196">
        <v>41.09</v>
      </c>
      <c r="H196">
        <v>24.23</v>
      </c>
      <c r="I196">
        <v>52.95</v>
      </c>
      <c r="J196">
        <v>51.99</v>
      </c>
      <c r="K196">
        <v>57.59</v>
      </c>
      <c r="L196">
        <v>25.47</v>
      </c>
      <c r="M196">
        <v>46.58</v>
      </c>
      <c r="N196">
        <v>43.1</v>
      </c>
      <c r="O196">
        <v>49.3</v>
      </c>
      <c r="P196">
        <v>55.77</v>
      </c>
      <c r="Q196">
        <v>17.97</v>
      </c>
      <c r="R196">
        <v>1270.49</v>
      </c>
      <c r="S196">
        <v>33.659999999999997</v>
      </c>
      <c r="T196">
        <v>17.39</v>
      </c>
      <c r="U196">
        <v>11.75</v>
      </c>
      <c r="V196">
        <v>42.03</v>
      </c>
      <c r="W196">
        <v>44.2</v>
      </c>
      <c r="X196">
        <v>24.55</v>
      </c>
      <c r="Y196">
        <v>41.55</v>
      </c>
      <c r="Z196">
        <v>35.909999999999997</v>
      </c>
      <c r="AA196">
        <v>69.09</v>
      </c>
      <c r="AB196">
        <v>51.62</v>
      </c>
      <c r="AC196">
        <v>36.36</v>
      </c>
      <c r="AD196">
        <v>526.08000000000004</v>
      </c>
      <c r="AE196">
        <v>599.94000000000005</v>
      </c>
      <c r="AF196">
        <v>39.78</v>
      </c>
      <c r="AG196">
        <v>48.17</v>
      </c>
      <c r="AH196">
        <v>43.66</v>
      </c>
      <c r="AI196">
        <v>40.6</v>
      </c>
    </row>
    <row r="197" spans="1:35" x14ac:dyDescent="0.45">
      <c r="A197" s="2">
        <v>45708</v>
      </c>
      <c r="B197">
        <v>28.63</v>
      </c>
      <c r="C197">
        <v>28.9</v>
      </c>
      <c r="D197">
        <v>17.84</v>
      </c>
      <c r="E197">
        <v>24.36</v>
      </c>
      <c r="F197">
        <v>26.19</v>
      </c>
      <c r="G197">
        <v>42.13</v>
      </c>
      <c r="H197">
        <v>24.28</v>
      </c>
      <c r="I197">
        <v>53.17</v>
      </c>
      <c r="J197">
        <v>52.86</v>
      </c>
      <c r="K197">
        <v>58.46</v>
      </c>
      <c r="L197">
        <v>26.2</v>
      </c>
      <c r="M197">
        <v>46.83</v>
      </c>
      <c r="N197">
        <v>43.26</v>
      </c>
      <c r="O197">
        <v>50.08</v>
      </c>
      <c r="P197">
        <v>54.73</v>
      </c>
      <c r="Q197">
        <v>18.079999999999998</v>
      </c>
      <c r="R197">
        <v>1282.0899999999999</v>
      </c>
      <c r="S197">
        <v>34.78</v>
      </c>
      <c r="T197">
        <v>17.690000000000001</v>
      </c>
      <c r="U197">
        <v>11.82</v>
      </c>
      <c r="V197">
        <v>42.43</v>
      </c>
      <c r="W197">
        <v>45.22</v>
      </c>
      <c r="X197">
        <v>25.09</v>
      </c>
      <c r="Y197">
        <v>42.22</v>
      </c>
      <c r="Z197">
        <v>36.19</v>
      </c>
      <c r="AA197">
        <v>69.709999999999994</v>
      </c>
      <c r="AB197">
        <v>51.29</v>
      </c>
      <c r="AC197">
        <v>36.549999999999997</v>
      </c>
      <c r="AD197">
        <v>537.23</v>
      </c>
      <c r="AE197">
        <v>610.38</v>
      </c>
      <c r="AF197">
        <v>40.090000000000003</v>
      </c>
      <c r="AG197">
        <v>48.53</v>
      </c>
      <c r="AH197">
        <v>44.15</v>
      </c>
      <c r="AI197">
        <v>40.83</v>
      </c>
    </row>
    <row r="198" spans="1:35" x14ac:dyDescent="0.45">
      <c r="A198" s="2">
        <v>45707</v>
      </c>
      <c r="B198">
        <v>28.23</v>
      </c>
      <c r="C198">
        <v>28.6</v>
      </c>
      <c r="D198">
        <v>17.79</v>
      </c>
      <c r="E198">
        <v>24.37</v>
      </c>
      <c r="F198">
        <v>26.12</v>
      </c>
      <c r="G198">
        <v>41.689100000000003</v>
      </c>
      <c r="H198">
        <v>24.12</v>
      </c>
      <c r="I198">
        <v>53.11</v>
      </c>
      <c r="J198">
        <v>52.25</v>
      </c>
      <c r="K198">
        <v>58.28</v>
      </c>
      <c r="L198">
        <v>26.09</v>
      </c>
      <c r="M198">
        <v>46.22</v>
      </c>
      <c r="N198">
        <v>42.79</v>
      </c>
      <c r="O198">
        <v>49.76</v>
      </c>
      <c r="P198">
        <v>53.73</v>
      </c>
      <c r="Q198">
        <v>18.07</v>
      </c>
      <c r="R198">
        <v>1262.07</v>
      </c>
      <c r="S198">
        <v>34.625</v>
      </c>
      <c r="T198">
        <v>17.55</v>
      </c>
      <c r="U198">
        <v>11.77</v>
      </c>
      <c r="V198">
        <v>42.11</v>
      </c>
      <c r="W198">
        <v>45.2</v>
      </c>
      <c r="X198">
        <v>25.04</v>
      </c>
      <c r="Y198">
        <v>42.23</v>
      </c>
      <c r="Z198">
        <v>36.06</v>
      </c>
      <c r="AA198">
        <v>69.62</v>
      </c>
      <c r="AB198">
        <v>50.86</v>
      </c>
      <c r="AC198">
        <v>36.64</v>
      </c>
      <c r="AD198">
        <v>539.52</v>
      </c>
      <c r="AE198">
        <v>612.92999999999995</v>
      </c>
      <c r="AF198">
        <v>39.72</v>
      </c>
      <c r="AG198">
        <v>48.38</v>
      </c>
      <c r="AH198">
        <v>43.57</v>
      </c>
      <c r="AI198">
        <v>40.57</v>
      </c>
    </row>
    <row r="199" spans="1:35" x14ac:dyDescent="0.45">
      <c r="A199" s="2">
        <v>45706</v>
      </c>
      <c r="B199">
        <v>28.12</v>
      </c>
      <c r="C199">
        <v>28.42</v>
      </c>
      <c r="D199">
        <v>18.149999999999999</v>
      </c>
      <c r="E199">
        <v>24.3</v>
      </c>
      <c r="F199">
        <v>26.74</v>
      </c>
      <c r="G199">
        <v>42.024299999999997</v>
      </c>
      <c r="H199">
        <v>24.07</v>
      </c>
      <c r="I199">
        <v>53.17</v>
      </c>
      <c r="J199">
        <v>53.22</v>
      </c>
      <c r="K199">
        <v>57.44</v>
      </c>
      <c r="L199">
        <v>26.39</v>
      </c>
      <c r="M199">
        <v>46.73</v>
      </c>
      <c r="N199">
        <v>43.24</v>
      </c>
      <c r="O199">
        <v>49.58</v>
      </c>
      <c r="P199">
        <v>53.99</v>
      </c>
      <c r="Q199">
        <v>18.059999999999999</v>
      </c>
      <c r="R199">
        <v>1286.74</v>
      </c>
      <c r="S199">
        <v>35.32</v>
      </c>
      <c r="T199">
        <v>17.489999999999998</v>
      </c>
      <c r="U199">
        <v>11.51</v>
      </c>
      <c r="V199">
        <v>42.14</v>
      </c>
      <c r="W199">
        <v>45.17</v>
      </c>
      <c r="X199">
        <v>25.42</v>
      </c>
      <c r="Y199">
        <v>42.44</v>
      </c>
      <c r="Z199">
        <v>36.9</v>
      </c>
      <c r="AA199">
        <v>70.099999999999994</v>
      </c>
      <c r="AB199">
        <v>51.31</v>
      </c>
      <c r="AC199">
        <v>36.85</v>
      </c>
      <c r="AD199">
        <v>539.37</v>
      </c>
      <c r="AE199">
        <v>611.49</v>
      </c>
      <c r="AF199">
        <v>40.29</v>
      </c>
      <c r="AG199">
        <v>49.15</v>
      </c>
      <c r="AH199">
        <v>44.29</v>
      </c>
      <c r="AI199">
        <v>41.09</v>
      </c>
    </row>
    <row r="200" spans="1:35" x14ac:dyDescent="0.45">
      <c r="A200" s="2">
        <v>45702</v>
      </c>
      <c r="B200">
        <v>28.55</v>
      </c>
      <c r="C200">
        <v>29.15</v>
      </c>
      <c r="D200">
        <v>17.670000000000002</v>
      </c>
      <c r="E200">
        <v>24.29</v>
      </c>
      <c r="F200">
        <v>25.77</v>
      </c>
      <c r="G200">
        <v>42.28</v>
      </c>
      <c r="H200">
        <v>24.43</v>
      </c>
      <c r="I200">
        <v>52.75</v>
      </c>
      <c r="J200">
        <v>52.67</v>
      </c>
      <c r="K200">
        <v>56.68</v>
      </c>
      <c r="L200">
        <v>26.37</v>
      </c>
      <c r="M200">
        <v>46.21</v>
      </c>
      <c r="N200">
        <v>42.93</v>
      </c>
      <c r="O200">
        <v>49.59</v>
      </c>
      <c r="P200">
        <v>53.46</v>
      </c>
      <c r="Q200">
        <v>17.98</v>
      </c>
      <c r="R200">
        <v>1301.02</v>
      </c>
      <c r="S200">
        <v>35.229999999999997</v>
      </c>
      <c r="T200">
        <v>17.559999999999999</v>
      </c>
      <c r="U200">
        <v>11.48</v>
      </c>
      <c r="V200">
        <v>42.5</v>
      </c>
      <c r="W200">
        <v>45.67</v>
      </c>
      <c r="X200">
        <v>25.47</v>
      </c>
      <c r="Y200">
        <v>42.17</v>
      </c>
      <c r="Z200">
        <v>36.42</v>
      </c>
      <c r="AA200">
        <v>69.37</v>
      </c>
      <c r="AB200">
        <v>51.41</v>
      </c>
      <c r="AC200">
        <v>36.549999999999997</v>
      </c>
      <c r="AD200">
        <v>538.15</v>
      </c>
      <c r="AE200">
        <v>609.70000000000005</v>
      </c>
      <c r="AF200">
        <v>40.29</v>
      </c>
      <c r="AG200">
        <v>48.94</v>
      </c>
      <c r="AH200">
        <v>43.91</v>
      </c>
      <c r="AI200">
        <v>40.590000000000003</v>
      </c>
    </row>
    <row r="201" spans="1:35" x14ac:dyDescent="0.45">
      <c r="A201" s="2">
        <v>45701</v>
      </c>
      <c r="B201">
        <v>28.1</v>
      </c>
      <c r="C201">
        <v>29.14</v>
      </c>
      <c r="D201">
        <v>17.600000000000001</v>
      </c>
      <c r="E201">
        <v>24.36</v>
      </c>
      <c r="F201">
        <v>25.86</v>
      </c>
      <c r="G201">
        <v>42.18</v>
      </c>
      <c r="H201">
        <v>24.34</v>
      </c>
      <c r="I201">
        <v>52.87</v>
      </c>
      <c r="J201">
        <v>52.38</v>
      </c>
      <c r="K201">
        <v>56.35</v>
      </c>
      <c r="L201">
        <v>25.46</v>
      </c>
      <c r="M201">
        <v>46.08</v>
      </c>
      <c r="N201">
        <v>42.78</v>
      </c>
      <c r="O201">
        <v>50.39</v>
      </c>
      <c r="P201">
        <v>51.85</v>
      </c>
      <c r="Q201">
        <v>18.04</v>
      </c>
      <c r="R201">
        <v>1304.3900000000001</v>
      </c>
      <c r="S201">
        <v>35.5</v>
      </c>
      <c r="T201">
        <v>17.57</v>
      </c>
      <c r="U201">
        <v>11.49</v>
      </c>
      <c r="V201">
        <v>42.5</v>
      </c>
      <c r="W201">
        <v>45.15</v>
      </c>
      <c r="X201">
        <v>25.66</v>
      </c>
      <c r="Y201">
        <v>42.52</v>
      </c>
      <c r="Z201">
        <v>36.409999999999997</v>
      </c>
      <c r="AA201">
        <v>69.260000000000005</v>
      </c>
      <c r="AB201">
        <v>51.4</v>
      </c>
      <c r="AC201">
        <v>36.65</v>
      </c>
      <c r="AD201">
        <v>535.9</v>
      </c>
      <c r="AE201">
        <v>609.73</v>
      </c>
      <c r="AF201">
        <v>39.880000000000003</v>
      </c>
      <c r="AG201">
        <v>48.75</v>
      </c>
      <c r="AH201">
        <v>43.83</v>
      </c>
      <c r="AI201">
        <v>40.22</v>
      </c>
    </row>
    <row r="202" spans="1:35" x14ac:dyDescent="0.45">
      <c r="A202" s="2">
        <v>45700</v>
      </c>
      <c r="B202">
        <v>28.117999999999999</v>
      </c>
      <c r="C202">
        <v>28.54</v>
      </c>
      <c r="D202">
        <v>17.47</v>
      </c>
      <c r="E202">
        <v>23.82</v>
      </c>
      <c r="F202">
        <v>25.67</v>
      </c>
      <c r="G202">
        <v>41.790100000000002</v>
      </c>
      <c r="H202">
        <v>24.07</v>
      </c>
      <c r="I202">
        <v>52.35</v>
      </c>
      <c r="J202">
        <v>51.91</v>
      </c>
      <c r="K202">
        <v>55.16</v>
      </c>
      <c r="L202">
        <v>25.34</v>
      </c>
      <c r="M202">
        <v>45.88</v>
      </c>
      <c r="N202">
        <v>41.984000000000002</v>
      </c>
      <c r="O202">
        <v>49.8</v>
      </c>
      <c r="P202">
        <v>51.87</v>
      </c>
      <c r="Q202">
        <v>17.89</v>
      </c>
      <c r="R202">
        <v>1314.5</v>
      </c>
      <c r="S202">
        <v>34.880000000000003</v>
      </c>
      <c r="T202">
        <v>17.559999999999999</v>
      </c>
      <c r="U202">
        <v>11.33</v>
      </c>
      <c r="V202">
        <v>42.18</v>
      </c>
      <c r="W202">
        <v>44.83</v>
      </c>
      <c r="X202">
        <v>25.26</v>
      </c>
      <c r="Y202">
        <v>41.96</v>
      </c>
      <c r="Z202">
        <v>35.75</v>
      </c>
      <c r="AA202">
        <v>68.02</v>
      </c>
      <c r="AB202">
        <v>50.22</v>
      </c>
      <c r="AC202">
        <v>36.57</v>
      </c>
      <c r="AD202">
        <v>528.29999999999995</v>
      </c>
      <c r="AE202">
        <v>603.36</v>
      </c>
      <c r="AF202">
        <v>39.61</v>
      </c>
      <c r="AG202">
        <v>47.903500000000001</v>
      </c>
      <c r="AH202">
        <v>42.98</v>
      </c>
      <c r="AI202">
        <v>39.950000000000003</v>
      </c>
    </row>
    <row r="204" spans="1:35" x14ac:dyDescent="0.45">
      <c r="A204" t="s">
        <v>78</v>
      </c>
      <c r="B204">
        <f>AVERAGE(_xlfn.ANCHORARRAY(B2))</f>
        <v>30.348250746268654</v>
      </c>
      <c r="C204">
        <f t="shared" ref="C204:AI204" si="0">AVERAGE(_xlfn.ANCHORARRAY(C2))</f>
        <v>31.855771144278613</v>
      </c>
      <c r="D204">
        <f t="shared" si="0"/>
        <v>17.582935323383079</v>
      </c>
      <c r="E204">
        <f t="shared" si="0"/>
        <v>25.867513432835821</v>
      </c>
      <c r="F204">
        <f t="shared" si="0"/>
        <v>30.902686567164171</v>
      </c>
      <c r="G204">
        <f t="shared" si="0"/>
        <v>50.803774129353187</v>
      </c>
      <c r="H204">
        <f t="shared" si="0"/>
        <v>24.537462686567146</v>
      </c>
      <c r="I204">
        <f t="shared" si="0"/>
        <v>56.849552238805963</v>
      </c>
      <c r="J204">
        <f t="shared" si="0"/>
        <v>60.02293532338313</v>
      </c>
      <c r="K204">
        <f t="shared" si="0"/>
        <v>70.31507462686568</v>
      </c>
      <c r="L204">
        <f t="shared" si="0"/>
        <v>28.146666666666636</v>
      </c>
      <c r="M204">
        <f t="shared" si="0"/>
        <v>55.013781094527346</v>
      </c>
      <c r="N204">
        <f t="shared" si="0"/>
        <v>56.968790049751256</v>
      </c>
      <c r="O204">
        <f t="shared" si="0"/>
        <v>52.959776119402981</v>
      </c>
      <c r="P204">
        <f t="shared" si="0"/>
        <v>57.846840796019904</v>
      </c>
      <c r="Q204">
        <f t="shared" si="0"/>
        <v>18.863385074626869</v>
      </c>
      <c r="R204">
        <f t="shared" si="0"/>
        <v>1217.7982089552233</v>
      </c>
      <c r="S204">
        <f t="shared" si="0"/>
        <v>33.239551243781079</v>
      </c>
      <c r="T204">
        <f t="shared" si="0"/>
        <v>18.559897512437811</v>
      </c>
      <c r="U204">
        <f t="shared" si="0"/>
        <v>15.035845771144267</v>
      </c>
      <c r="V204">
        <f t="shared" si="0"/>
        <v>39.246169154228859</v>
      </c>
      <c r="W204">
        <f t="shared" si="0"/>
        <v>44.774597512437815</v>
      </c>
      <c r="X204">
        <f t="shared" si="0"/>
        <v>25.692736318407977</v>
      </c>
      <c r="Y204">
        <f t="shared" si="0"/>
        <v>45.925373134328375</v>
      </c>
      <c r="Z204">
        <f t="shared" si="0"/>
        <v>40.391293532338324</v>
      </c>
      <c r="AA204">
        <f t="shared" si="0"/>
        <v>75.204477611940305</v>
      </c>
      <c r="AB204">
        <f t="shared" si="0"/>
        <v>54.317562189054762</v>
      </c>
      <c r="AC204">
        <f t="shared" si="0"/>
        <v>39.874626865671637</v>
      </c>
      <c r="AD204">
        <f t="shared" si="0"/>
        <v>545.10970149253706</v>
      </c>
      <c r="AE204">
        <f t="shared" si="0"/>
        <v>615.9919402985073</v>
      </c>
      <c r="AF204">
        <f t="shared" si="0"/>
        <v>42.396318407960209</v>
      </c>
      <c r="AG204">
        <f t="shared" si="0"/>
        <v>52.85220746268655</v>
      </c>
      <c r="AH204">
        <f t="shared" si="0"/>
        <v>45.388059701492502</v>
      </c>
      <c r="AI204">
        <f t="shared" si="0"/>
        <v>47.614577114427881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515817"><![CDATA[{"KSA^FG_TOTAL_RETURNC(-5AY,0,AM)":[8.379507,0.4975319,0.51020384,1.967001,7.1250796,12.082481,-0.12956262,3.3001423,0.22819042,3.4151316,1.8835664,4.417765,-7.9328594,3.6844492,8.4848995,4.181576,2.4898052,6.6806197,-9.540629,-8.881468,4.7504783,4.0540576,-9.575165,5.038953,-9.015072,-2.9683232,4.404354,-7.801777,4.8787236,8.199739,-0.8501291,1.9558907,3.719914,-4.289728,-4.7024307,-6.553584,8.855891,8.290804,1.9385338,3.339529,-0.8976698,-3.1702936,-5.7998123,2.3557663,2.683413,1.5104294,2.290976,-2.5629222,-4.4312773,2.1080375,4.8621535,-2.903682,-0.14588237,-0.5356729,-5.507958,0.79416037,-1.6988993,-0.37223697,6.618631,2.352941,-8.43727],"VNM^FG_TOTAL_RETURNC(-5AY,0,AM)":[11.59122,5.538559,-1.5789509,4.575169,1.3636351,6.558299,3.5244584,4.6747923,-6.2135935,2.2774339,-2.8340042,5.4166555,2.1739125,2.2986054,-6.888354,-0.45918226,-3.0240893,-10.676533,-5.917162,-6.79245,-0.13495088,3.6486506,-11.994785,-12.962961,0.42552948,1.3669491,9.704638,-13.384617,7.371223,0.49626827,1.2345672,10.406506,9.057438,0.67521334,-9.322596,-10.872782,9.211612,3.4370303,-0.30983686,5.011654,2.8486848,-11.51079,4.2276382,-5.0701976,-0.9860277,3.7344337,2.4000049,-6.953126,-2.1410584,-0.98670125,0.43327808,3.8826585,2.823925,-3.4733474,14.728033,0.14587641,22.214138,9.147799,-4.1769085,3.5897493,0.8800864],"MCHI^FG_PRICE(0,-200D)":[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,54.42,54.57,55.6,54.7,55.06,53.25,53.45,52.69,53.95,53.4,53.42,51.59,51.66,51.68,51.85,51.91,51.97,51.66,50.9,49.39,49.29,49.16,50.17,50.56,49.68,47.98,48.06,45.22,46.0,50.0,53.67,54.16,54.55,54.4,54.57,55.81,55.0,55.0,55.61,55.65,56.69,58.31,58.36,58.65,57.37,55.77,55.63,55.83,54.79,56.5,56.53,56.22,53.6,52.81,53.58,54.91,55.4,54.06,53.59,55.77,54.73,53.73,53.99,53.46,51.85,51.87],"EWI^FG_TOTAL_RETURNC(-5AY,0,AM)":[27.304506,2.6943803,-2.5943398,3.493607,5.080211,2.7035594,3.778255,-1.2575924,-0.948292,1.7294526,-2.914387,5.284548,-6.0588064,5.528319,-2.9474318,-5.29117,-3.3388436,-5.3009567,4.6226025,-12.086779,-2.913797,-2.8761983,-5.6652365,10.41857,11.907697,-0.028580427,12.149536,0.033330917,-1.1329591,6.707108,-3.7586868,4.8074365,6.9939017,-4.5877037,-4.556876,-4.2476177,12.861073,4.655504,-1.3561308,6.485367,5.865848,-1.2725353,4.296446,-5.4123697,4.6025157,2.640009,2.4681687,-1.850909,-7.026601,1.645112,7.1329474,5.6994796,4.9019575,3.3411264,7.5062156,2.403617,1.9222736,4.9405456,0.6837368,1.2417555,1.4373302],"EWY^FG_TOTAL_RETURNC(-5AY,0,AM)":[17.916107,7.3369026,11.093688,-4.515356,1.3299942,4.20686,-0.925827,1.5321136,-3.7243187,-4.7354403,-5.4842415,0.11110306,-6.572938,6.26359,-10.417461,2.5637507,-2.1129787,-6.391084,1.8839478,-12.633133,2.472055,-4.3456736,-14.73484,4.9837947,9.687376,0.7877946,15.544963,-10.5641365,2.6153803,1.0661364,4.005277,0.28526783,6.652975,-7.37887,-5.1831665,-7.811713,16.19693,6.640148,-9.821165,7.8151345,4.6141863,-5.6176424,2.194512,2.101028,-1.5736043,0.7071495,1.2669683,-6.964117,-5.8003902,-9.344679,5.5188537,0.6814003,0.21950006,1.5696287,9.164417,16.444445,2.7848482,1.2790561,7.10212,19.754017,-3.7903607],"EWG^FG_TOTAL_RETURNC(-5AY,0,AM)":[16.489769,6.1037419999999996,-0.9627342,0.37629604,3.7488341,6.293285,1.3597727,-0.8874178,-0.917691,1.3603568,-4.88292,2.311623,-6.1913195,3.8363576,-4.350239,-7.623887,-1.5474558,-8.06846,3.9513707,-10.887194,-2.36786,-6.323087,-6.796116,9.920633,12.0036125,-0.8933723,13.826752,-2.5008917,0.7695079,6.945455,-2.8221667,1.4157176,4.2892575,-6.1182857,-5.430847,-5.168456,14.00888,5.033815,-0.9103179,3.7427664,4.1324973,-2.48819,4.134381,-2.6821733,2.2534251,3.6729455,4.5286536,-2.652526,-3.966087,1.3240814,7.5295687,4.369211,3.6595464,5.562985,5.8272123,2.9414296,-1.4893651,0.83993673,-1.9514501,1.2621403,-1.917553],"EWW^FG_TOTAL_RETURNC(-5AY,0,AM)":[20.699715,3.5574675,-0.9674251,-3.1212807,8.28824,5.5416822,3.5291553,1.1187434,2.154553,1.33847,-2.8216898,0.47364235,-9.346181,15.426338,-5.9197426,6.292224,6.5752864,-5.8527527,5.2464843,-10.021395,-0.42454004,-0.7887423,-2.7288377,9.96244,7.292092,-3.110665,14.474463,-0.70628524,1.2144327,4.3537855,0.5584717,2.6161194,4.8107743,-3.3047736,-7.484174,-6.7385015,14.524115,10.502565,-2.3101807,-2.2593737,6.8115234,-3.5492718,-2.3036659,-12.593042,0.017666817,-6.835037,2.293837,-2.5574446,-6.5424147,0.7700801,3.4590483,1.7522693,2.1773577,12.592018,4.783213,0.8412719,-0.431031,4.0959,7.389629,-0.059580803,1.9672155],"KSA^FG_PRICE(0,-200D)":[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,40.19,40.13,40.21,40.3,40.04,39.54,39.44,39.53,39.72,39.71,40.33,40.01,40.43,40.74,40.85,41.16,41.05,40.37,40.41,39.9,40.19,40.04,40.24,40.01,39.58,39.34,40.2,38.17,38.75,38.98,40.61,41.52,41.34,41.37,41.07,41.39,40.87,40.28,40.49,40.34,40.35,40.38,40.59,41.13,40.48,40.02,40.06,39.95,40.04,40.39,40.27,40.75,40.64,41.07,41.13,41.17,41.63,41.95,41.96,42.03,42.43,42.11,42.14,42.5,42.5,42.18],"EWC^FG_TOTAL_RETURNC(-5AY,0,AM)":[15.094339,2.4134398,0.94002485,3.3076406,6.061554,5.5978894,5.1068544,-0.58006644,-0.9620428,1.349163,-2.8221548,8.493149,-3.5606086,1.4270306,-2.405864,2.41158,5.6253195,-6.167942,-0.68638325,-8.17222,1.6622901,0.2868533,-9.782606,5.009508,4.7403336,-5.2403746,10.092581,-4.54163,-2.5256991,6.0560465,-4.034096,2.777481,4.102409,-5.1984367,-0.56013465,-6.670618,9.783995,7.639003,-0.6267011,0.19193888,4.7618985,-1.6980112,1.3553023,-1.8322468,3.3432245,4.4873357,3.4956336,-0.04824996,3.379202,-4.8335195,2.8344035,-0.31431317,-1.6007781,4.436779,5.640781,2.5128126,2.5010943,3.7243128,3.2191515,2.7788877,2.5092363],"EWU^FG_PRICE(0,-200D)":[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,38.9,38.8,38.25,38.42,38.24,38.29,38.11,38.43,38.57,38.64,38.6,37.88,38.1,38.35,38.19,37.94,37.89,37.55,37.58,36.82,36.97,36.55,36.65,36.15,35.57,34.67,35.11,33.19,33.29,34.62,37.28,37.61,37.44,37.47,37.59,37.66,37.51,37.64,37.53,37.53,37.88,37.99,37.95,37.97,37.71,37.13,37.12,36.96,37.05,37.83,37.25,37.92,37.55,37.42,37.04,36.7,36.75,36.72,36.39,36.36,36.55,36.64,36.85,36.55,36.65,36.57],"EWQ^FG_TOTAL_RETURNC(-5AY,0,AM)":[25.0,1.7076015,-1.5201151,2.5120974,2.863896,7.7497125,3.8359046,-0.7247567,-0.28743148,0.9433985,-2.2845328,4.7821403,-4.386407,5.845809,-3.578782,-5.6608796,-0.5377948,-4.809332,3.2884836,-9.118265,2.7541041,-4.3714104,-9.309303,11.074316,8.943356,0.42171478,11.972046,-0.89551806,-0.054764748,8.410954,-4.068738,2.1817803,3.2946706,-3.8019836,-5.782497,-4.954958,11.34479,4.774821,-0.30667782,3.2812119,2.7798414,-1.7870128,2.8276443,-7.5617847,2.3822188,2.843845,3.3685327,-5.5933833,-7.727975,1.4230609,7.4597836,2.0387173,2.048552,1.7100453,3.484404,2.5980353,0.44590235,0.23365021,1.6083837,3.5558581,-1.2627363],"UAE^FG_PRICE(0,-200D)":[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,18.48,18.3,18.16,18.36,18.13,18.15,18.14,18.18,18.31,18.23,18.14,17.96,17.88,17.99,17.64,17.47,17.57,17.23,17.01,16.76,16.76,16.68,16.79,16.71,16.51,16.17,16.46,15.58,15.88,15.6,16.35,17.0,16.93,16.97,16.85,17.05,16.91,16.91,17.04,16.83,16.95,17.02,16.94,17.1,16.97,16.78,16.78,16.58,16.61,16.92,17.09,17.3,17.32,17.12,17.45,17.42,17.47,17.36,17.3,17.39,17.69,17.55,17.49,17.56,17.57,17.56],"EIDO^FG_PRICE(0,-200D)":[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,18.39,18.27,17.97,17.54,17.4,17.41,17.45,17.71,17.74,17.65,17.63,17.3,17.31,17.1,16.93,16.77,16.76,16.61,16.36,16.03,16.13,15.93,16.14,16.09,15.87,15.45,15.56,14.36,15.15,15.09,15.88,16.33,16.25,16.3,16.37,16.42,16.31,15.72,15.34,15.62,15.91,15.95,15.74,16.62,16.57,16.73,16.87,16.46,16.69,17.1,17.12,17.05,16.46,16.66,15.96,16.41,16.98,17.15,17.57,17.6,17.84,17.79,18.15,17.67,17.6,17.47],"ENZL^FG_TOTAL_RETURNC(-5AY,0,AM)":[9.838783,3.297639,1.5557885,-8.768606,-1.039499,5.187452,-5.323392,0.11086464,-0.9649992,3.7819982,-1.6231716,2.84698,-8.773202,2.4558902,-12.010932,5.6310654,-0.4544139,-6.3945055,-5.5458665,-4.7831116,5.6147337,-2.6476145,-7.9538107,1.02005,6.476319,5.9833884,7.957828,-6.279916,0.51072836,1.4634132,-3.0849278,-0.91962814,3.4555435,-8.411402,-1.8901527,-6.9809556,11.330402,8.4931965,-3.4184515,-3.5181284,0.530386,-2.681911,0.8583665,2.5942802,0.5279422,8.096277,0.5870342,-3.1193376,1.7241359,-4.8704205,-1.3269544,-6.5917134,-0.75525045,3.6860824,1.4449596,3.5486937,0.5951047,-1.6871154,1.1031985,1.0580778,-0.47835112],"EWI^FG_PRICE(0,-200D)":[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,46.85,46.53,46.26,46.0,45.66,45.81,45.36,44.99,45.22,45.07,44.99,44.26,44.21,44.67,44.23,44.04,43.48,42.69,42.81,41.94,42.13,41.76,41.54,40.92,40.53,39.66,40.22,36.6,37.06,38.49,41.77,42.66,42.46,42.32,42.8,43.07,42.61,43.42,42.98,42.95,43.26,43.99,43.92,43.53,43.03,41.94,42.5,42.27,42.15,42.85,42.27,42.69,41.28,41.31,40.8,40.61,41.27,41.47,40.79,40.6,40.83,40.57,41.09,40.59,40.22,39.95],"EWJ^FG_PRICE(0,-200D)":[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,72.49,72.3,71.45,72.25,72.8,72.01,71.83,71.98,72.43,72.39,71.89,71.17,71.43,72.02,71.74,70.77,70.28,69.48,69.27,67.92,68.07,66.78,67.44,66.9,65.82,64.22,66.34,61.65,61.32,61.51,65.41,68.22,68.2,68.56,69.22,70.65,70.75,71.68,71.17,71.33,71.32,71.7,70.89,71.09,70.35,69.26,69.52,68.26,68.68,70.17,69.61,70.15,68.64,69.21,68.47,69.0,69.51,69.47,68.78,69.09,69.71,69.62,70.1,69.37,69.26,68.02],"TUR^FG_PRICE(0,-200D)":[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,32.43,31.91,32.48,32.46,32.62,31.41,31.19,30.31,30.76,30.7,30.94,30.66,30.67,31.18,31.48,31.96,32.18,31.77,31.66,31.71,31.91,31.21,31.85,32.13,32.08,31.9,32.83,31.83,31.86,31.67,32.2,32.44,32.89,32.82,32.67,32.31,32.76,32.63,31.74,30.77,33.28,33.04,37.79,38.55,38.34,37.89,37.62,37.05,36.82,37.28,37.28,36.34,35.2,34.97,34.28,34.55,33.88,33.54,33.97,33.66,34.78,34.625,35.32,35.23,35.5,34.88],"EWY^FG_PRICE(0,-200D)":[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,58.79,58.8,58.61,58.12,58.04,57.69,57.2,57.79,58.5,58.38,57.71,55.6,56.19,56.1,55.65,55.81,55.95,55.6,54.81,54.39,54.31,54.06,54.38,54.35,54.31,51.82,53.28,48.92,50.78,51.25,53.14,54.63,54.85,54.04,54.79,56.49,56.81,57.07,57.31,56.86,56.73,57.24,56.97,57.86,56.14,55.22,55.95,54.69,54.09,55.68,54.94,56.05,54.57,54.32,54.67,55.95,57.81,57.55,57.47,57.59,58.46,58.28,57.44,56.68,56.35,55.16],"ECH^FG_PRICE(0,-200D)":[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,32.61,33.07,33.24,32.56,32.35,32.2,32.15,31.75,31.62,31.58,31.35,31.07,31.13,31.44,31.24,31.67,31.7,31.19,30.91,30.05,29.95,29.43,29.35,29.13,28.39,27.51,28.24,26.5,27.09,28.19,30.07,29.91,30.2,29.82,29.76,30.17,30.27,30.76,30.41,30.3,30.52,30.94,30.9,30.71,30.06,29.76,29.34,29.39,29.16,29.77,29.69,29.39,28.9,28.36,28.62,28.74,28.89,28.93,28.88,28.67,28.9,28.6,28.42,29.15,29.14,28.54],"QQQ^FG_TOTAL_RETURNC(-5AY,0,AM)":[10.075831,4.7617555,2.7632117,-2.2345304,0.71669817,7.278478,-1.4955759,6.045437,3.42654,2.790916,-4.191762,6.766331,1.8166661,2.7935624,-12.402582,-1.4212608,5.3524017,-10.112083,-5.7650685,-8.097053,9.265005,-0.7649839,-8.782601,0.45723915,0.5298257,-7.774049,13.902342,-0.91136694,4.7806263,5.027354,8.010912,4.776323,5.195594,-4.360074,-2.2447228,-3.5473883,12.997019,5.674863,3.0415773,2.7040362,2.1416664,-2.9301167,6.6542864,4.3943167,-3.3687413,1.81005,3.411913,1.7770886,1.9983888,3.5808802,-0.14352202,-2.6139736,-7.5852513,0.7399678,9.843135,5.7407737,3.6581516,1.5735507,3.3923745,6.19998,-2.159828],"GREK^FG_TOTAL_RETURNC(-5AY,0,AM)":[29.350222,12.899113,-9.164542,5.3813577,6.8757534,7.5244546,-0.9797096,0.6713748,-4.071605,5.0493956,-5.99094,6.520939,-11.234778,5.1332235,6.6032767,-3.2154322,-2.8792918,3.2687187,-2.0610929,-11.424279,1.2760758,1.0079741,-11.060291,12.716234,7.424307,3.8609982,14.269197,8.678246,-9.060198,5.808842,10.533035,4.5913935,8.363235,-2.9728353,-12.810362,0.78765154,12.052894,1.396811,4.723346,3.1443357,-0.024992228,2.411902,3.4533262,-5.8918357,6.8896055,-1.3643801,5.0908685,-9.768849,-2.2132754,4.501033,7.0188284,2.1348119,13.833022,2.5580645,12.3516445,5.7341456,3.9195538,5.7733655,-0.18767715,-1.4572263,3.863895],"EPOL^FG_TOTAL_RETURNC(-5AY,0,AM)":[26.05933,9.924722,-1.7930329,-2.6082397,-2.4102867,9.330416,13.152611,-0.5303621,-3.756708,3.8568735,-3.3109605,8.051825,-15.28908,6.7463517,-3.1354666,-11.489993,5.1368,-13.5953245,1.0448694,-9.77025,-5.306119,-7.6149464,-11.430788,9.569788,17.628216,4.319072,11.229229,-5.7945013,-5.389982,18.09652,1.2485743,6.0538054,11.046516,-8.138985,-12.746107,14.608073,15.647674,5.5515885,-7.121009,9.830666,1.0278344,1.186943,5.6975245,-0.949347,-2.731347,1.8021822,2.3466468,-9.654069,-2.5823712,0.19267797,11.753548,7.2095037,12.460446,6.5775514,3.1353116,3.1774402,1.3884544,-0.18674731,0.31181574,8.330738,-2.2381604],"SET-BKK^FG_PRICE(0,-200D)":[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,1206.59,1220.27,1187.86,1198.98,1197.26,1171.12,1159.53,1159.0,1146.86,1153.77,1144.05,1134.71,1150.95,1141.28,1138.9,1128.66,1133.95,1088.18,1074.59,1125.21,1161.81,1172.69,1168.02,1158.09,1175.45,1187.9,1190.36,1184.93,1190.06,1186.61,1181.71,1189.66,1176.17,1170.2,1173.76,1159.64,1160.06,1187.63,1177.44,1202.03,1189.55,1206.96,1177.64,1188.41,1203.72,1215.73,1231.14,1206.39,1235.85,1246.21,1245.61,1262.27,1257.48,1256.48,1272.1,1284.11,1283.97,1270.49,1282.09,1262.07,1286.74,1301.02,1304.39,1314.5],"EZA^FG_TOTAL_RETURNC(-5AY,0,AM)":[16.323208,6.2060833,2.7434826,2.915001,6.5297365,4.586971,3.0273676,-7.899624,-1.7956614,1.4711976,-4.2667747,3.7645936,-11.530441,9.938156,4.5267463,9.117281,4.538548,-13.169843,0.18827915,-7.7520313,-0.78685284,-0.6298125,-12.206566,2.9411674,13.714277,-0.69841146,7.6599717,-11.106289,2.4890184,2.261901,-12.665897,7.2952986,13.725985,-9.7355,-6.870234,-2.0623982,10.853136,0.9521842,-3.1997979,-6.8887177,6.1517477,2.2210956,6.8930984,2.8039455,1.2696147,7.317078,9.494472,-2.5412202,-6.767517,-3.7508488,0.8411288,2.8730392,7.207203,3.1302571,5.9889913,2.3659468,3.001523,5.403912,10.761154,3.0489802,2.3148775],"UAE^FG_TOTAL_RETURNC(-5AY,0,AM)":[10.254229,2.9512286,10.707331,-2.4371624,3.3567429,3.1722069,8.784771,-1.2464225,-0.26168823,4.4908047,-0.033837557,0.05890131,10.970521,0.16274452,3.9975286,4.3674946,7.2405815,0.053167343,-9.936232,-5.696887,4.4145823,1.6550183,-7.9571486,1.5062213,-0.5806446,-2.123046,-5.116284,2.5910378,-4.300338,10.271036,-5.821472,3.9209008,3.598106,-0.6887317,1.6832829,-13.400388,11.652303,0.24778843,1.1455536,-2.9980004,1.5796661,-3.0425966,-5.29986,5.2382708,6.6909075,0.47715902,4.681146,-2.3979247,2.8266907,6.057894,4.9679874999999996,1.3356686,-3.4383953,4.688418,5.782318,2.8952837,9.423804,-3.8877904,-2.8161883,5.4267645,-7.14643],"EIDO^FG_TOTAL_RETURNC(-5AY,0,AM)":[24.137926,5.3629994,-1.9814491,-1.7204285,0.7877469,-5.601394,-1.7479241,-4.924589,-0.5450964,4.0856957,0.38295984,13.82929,-3.812325,1.8470287,-0.08612871,4.870689,2.4249911,1.4446259,-2.808547,-6.2252464,1.7165542,1.9472003,1.3157964,-0.54461956,-1.9376516,-4.457408,6.9482207,-2.7176201,1.2658238,6.681025,-3.8787842,-1.2304068,1.5204191,-1.1981189,-3.248161,-8.863026,7.31827,2.561617,-3.9586127,5.5737734,-0.044363737,-9.853536,0.5908489,-2.361524,4.3591022,9.696663,4.3064356,-5.5628004,-7.2710514,-6.5402327,-0.22305846,-13.729727,2.5689244,3.4208894,11.695218,-5.0201235,1.4865637,2.4788737,-3.2435417,2.5568128,3.4349084],"QQQ^FG_PRICE(0,-200D)":[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,521.51,519.25,518.68,515.59,507.85,487.97,488.29,483.3,481.41,485.93,488.83,481.68,475.47,475.53,472.41,472.56,467.35,454.56,444.48,433.11,444.1,444.18,457.99,457.48,454.4,446.18,466.0,416.06,423.69,422.67,450.66,476.15,472.7,468.92,468.94,481.62,484.38,493.46,490.66,480.84,479.26,480.89,474.54,482.77,479.66,468.34,476.92,471.6,472.73,491.79,488.2,502.01,495.55,497.05,508.17,500.27,514.56,513.32,519.87,526.08,537.23,539.52,539.37,538.15,535.9,528.3],"EPHE^FG_PRICE(0,-200D)":[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,27.69,27.62,28.01,28.06,27.75,27.62,27.16,27.56,27.35,27.03,27.27,26.86,26.89,26.41,26.18,26.26,25.96,25.59,25.55,25.17,25.3019,25.25,25.4141,25.19,24.96,24.18,25.16,24.13,24.14,23.83,25.04,25.56,25.26,25.3,24.98,25.1,25.022,25.2,25.43,25.79,25.91,25.87,25.67,26.0,25.785,25.38,25.08,25.07,25.47,25.36,25.14,24.71,24.25,24.05,24.0,24.3,24.46,24.17,24.33,24.41,24.36,24.37,24.3,24.29,24.36,23.82],"EWA^FG_TOTAL_RETURNC(-5AY,0,AM)":[17.795742,4.0948033,1.7879486,0.12254715,2.2031784,5.628741,1.058209,-0.7675588,-1.4138341,0.813961,-4.921186,8.57259,-8.528864,5.0019383,-9.290653,6.557369,9.64657,-5.2711487,-0.12009144,-10.960942,4.3215632,-0.04454255,-10.026735,2.9717684,9.908605,-1.4366686,12.799633,-8.259827,-2.3164272,3.5346746,-3.1114936,0.9812474,4.0954113,-6.1392126,-0.3684938,-4.993063,9.537721,11.037647,-3.2666385,0.0844121,4.0067554,-3.8118422,3.7942767,1.1618257,1.0233283,4.4975758,4.885602,-4.2513847,1.3513565,-6.8036914,3.034091,-3.2271147,-2.1675706,4.4738054,4.2414308,3.628087,0.498271,3.3180833,-1.5503883,3.187108,-6.068313],"EWZ^FG_PRICE(0,-200D)":[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,28.0,28.01,28.2,28.33,27.49,27.56,27.48,26.4,26.61,26.71,27.12,26.88,27.04,27.36,27.21,26.94,26.74,26.31,25.86,25.2,25.22,24.79,24.86,25.01,24.69,24.19,24.71,23.44,23.95,24.5,26.33,26.14,26.14,25.85,25.96,26.33,26.3,26.42,26.19,26.57,26.58,26.94,26.57,26.45,25.84,24.8,24.48,24.38,24.3,24.82,24.57,24.58,23.91,24.14,24.11,24.71,24.88,25.28,25.06,25.47,26.2,26.09,26.39,26.37,25.46,25.34],"EWG^FG_PRICE(0,-200D)":[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,40.85,40.86,40.34,40.59,40.38,40.77,40.46,40.44,40.67,40.72,40.34,39.46,39.49,39.67,39.47,39.36,39.03,38.44,38.03,37.03,37.4,37.22,37.2,36.82,36.37,35.8,36.22,33.22,33.55,34.32,36.73,37.38,37.29,37.08,37.39,37.59,37.56,38.38,38.03,38.09,38.36,39.04,39.31,39.03,38.62,37.59,37.99,37.74,37.79,38.81,38.59,38.53,37.03,37.16,36.07,36.0,36.71,36.58,36.07,35.91,36.19,36.06,36.9,36.42,36.41,35.75],"EWW^FG_PRICE(0,-200D)":[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,59.51,59.26,59.36,59.08,57.84,58.12,58.11,59.09,58.39,56.68,56.94,56.67,56.97,56.42,58.12,57.94,57.34,56.51,55.51,54.34,54.93,53.02,52.19,51.91,50.68,50.3,51.86,48.06,48.52,49.92,54.26,52.16,52.05,50.96,51.62,52.15,52.01,52.59,52.04,51.7,52.26,52.42,52.41,53.28,52.36,51.19,50.98,50.25,50.16,51.53,51.45,51.03,50.02,49.85,50.52,50.59,51.49,51.05,51.67,51.99,52.86,52.25,53.22,52.67,52.38,51.91],"EWU^FG_TOTAL_RETURNC(-5AY,0,AM)":[19.784773,2.7185082,2.0074844,1.3008714,3.9183378,3.929019,3.0182958,-1.1392236,-0.51749945,1.5911937,-3.1927764,5.693841,-5.5637302,6.5324664,1.4431834,-0.7409632,0.14929771,-3.2200396,2.3105383,-7.2099924,0.79312325,-2.426231,-11.794358,7.9238057,8.54218,0.8361459,6.644857,-0.92082024,-2.385372,7.680106,-4.391396,0.46557188,4.097593,-4.3870153,-0.28284192,-4.7904196,7.3816657,4.225838,-1.2405455,-0.18381476,5.003059,1.8123388,3.674984,-1.5146196,3.2683492,3.77568,0.77581406,-3.1324565,-2.5212467,-2.5222123,4.0341616,4.840076,1.4848828,1.5961647,3.8753629,2.175653,1.0070443,3.6141634,0.024056435,3.222692,0.53589344],"EPHE^FG_TOTAL_RETURNC(-5AY,0,AM)":[10.308182,4.547119,-4.940748,-2.234453,-0.8943379,-2.4398386,5.4813266,2.2168517,-9.6289215,7.1504474,-2.7750254,8.59667,0.25031567,1.1821985,-1.8885434,3.9760232,-6.4946947,-4.316783,0.16961098,-11.602211,-0.6589174,5.189228,-15.207708,5.2493334,9.891939,-2.0428061,12.878203,-9.243989,3.2563448,-0.91676116,-3.6269426,1.9863605,3.125,-9.940868,3.3647895,-7.661772,8.813405,3.8087726,1.45818,3.5174012,0.94994307,-8.17951,-1.1825025,-2.1736681,5.1324487,8.897638,7.375276,-5.3198633,-8.357042,-1.360929,-4.8412743,0.08339882,4.0833354,4.8038483,6.684494,-1.3443112,-2.497244,-0.6026387,-4.8124256,-2.7070045,3.1505704],"EWL^FG_TOTAL_RETURNC(-5AY,0,AM)":[10.040879,3.188324,1.8235087,-4.421842,3.5854697,4.309964,4.3245554,2.6804686,1.2823105,2.8135061,-8.874125,7.357359,-1.4385581,7.4194193,-8.133614,-1.520133,1.7939091,-3.6885202,-2.6170194,-8.371091,4.841852,-4.200512,-7.6550364,3.2266498,8.233809,-1.5026987,7.246721,-3.600806,1.1759281,9.594345,-1.5595734,-1.3403177,4.684758,-4.0987015,-5.1897106,-4.300827,7.714486,6.7826867,-0.08357763,-1.6311169,1.1904716,-3.4873962,4.5276523,2.5016904,3.8373828,5.2936435,-0.43634772,-2.439022,-7.0312557,-2.6470542,7.272327,4.0635705,1.4498353,2.34375,1.6942859,1.921761,-0.86033344,2.160275,-1.9338548,3.5200834,2.9375196],"EWZ^FG_TOTAL_RETURNC(-5AY,0,AM)":[25.248432,8.994091,-3.5859823,-10.115528,1.5987515,13.020682,6.224406,7.4283004,-3.7891626,-6.639743,-13.115191,-6.3492117,-2.359593,1.7046094,12.170828,5.585873,13.712382,-10.588241,6.818187,-18.876802,4.229939,11.030173,-8.434862,7.301271,-5.7233753,3.1642437,4.9261093,-8.551306,-2.1635473,5.9595227,5.907321,8.579838,5.2316427,-5.091339,-3.8813531,-1.7399848,13.9993305,6.620884,-4.955858,-0.05993247,-2.7886093,-2.7143657,-3.6144614,-7.1470795,1.5001774,10.093737,-2.6522636,-4.0026846,-7.288021,-10.859966,9.840429,-2.7037919,7.6731563,4.8151016,1.7640591,3.4745216,-5.7569265,11.199093,4.2048097,0.6182909,8.69987],"EWQ^FG_PRICE(0,-200D)":[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,42.25,42.09,41.88,42.1,41.81,41.68,41.32,41.32,41.62,41.84,41.86,41.07,41.04,40.94,41.04,40.95,40.72,40.12,39.84,38.97,39.22,38.96,39.0,38.85,38.97,37.99,38.61,35.65,35.97,37.21,39.48,40.18,40.05,39.8,40.35,40.55,40.48,41.23,40.91,40.91,41.28,41.97,41.81,41.68,41.29,40.47,40.97,41.09,41.0,41.87,41.43,42.02,40.78,40.36,39.54,39.44,39.89,39.89,39.58,39.78,40.09,39.72,40.29,40.29,39.88,39.61],"EWJ^FG_TOTAL_RETURNC(-5AY,0,AM)":[13.914692,0.78594685,2.932775,-0.3214538,2.7704477,-3.0380785,0.88261366,0.087714195,-0.7631302,0.7542014,4.2565703,-3.5618722,-2.248174,2.0238519,-6.9267273,0.3027916,-1.8112481,-7.2815537,1.8150091,-8.004845,4.6660423,-2.1391392,-8.633351,1.085639,10.44153,-2.7737677,9.188795,-4.896295,2.7708292,2.3482323,2.3963332,3.330183,3.0410886,-4.7409716,0.77456236,-5.445629,8.180559,3.8251758,2.1080494,5.0160527,3.9027214,-5.9145093,2.562189,-0.1452446,0.65944195,3.9743662,-0.47605038,-4.755211,0.2658844,1.3437033,0.856328,0.23423433,1.0953665,3.6405563,2.6066422,3.0952096,-1.3416588,6.759131,1.4503717,4.338634,-1.0961473],"ENZL^FG_PRICE(0,-200D)":[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,45.41,45.6,45.33,45.62,44.75,45.17,44.23,44.56,44.82,44.49,44.29,43.06,42.61,43.35,43.6,43.76,43.805,42.8238,43.095,43.38,43.5,43.03,42.68,43.1,42.39,41.79,41.36,39.48,39.39,40.13,42.72,42.67,42.39,42.08,42.05,42.6,42.48,42.41,41.83,41.82,41.75,42.29,41.95,42.77,42.45,41.91,42.34,42.39,42.75,42.985,42.72,42.94,42.25,42.18,42.37,42.37,42.96,42.49,43.55,44.2,45.22,45.2,45.17,45.67,45.15,44.83],"CNYA^FG_TOTAL_RETURNC(-5AY,0,AM)":[7.9712152,3.0203223,7.6644063,-1.8639088,-5.491996,3.1719208,6.266129,-1.6281545,-5.194515,0.47438145,-0.5665779,2.6115894,-0.23137927,2.0913124,-8.768916,3.002894,-10.978288,-10.660463,3.2822132,11.792051,-4.7644434,-4.276127,-9.372258,-8.956188,6.157112,5.2733064,14.725912,-7.718402,-0.73528886,-0.43210983,-6.6955924,-3.0055583,6.9847226,-8.61758,-1.4531016,-4.4531527,2.5727034,-2.4969518,-3.8058221,2.9874802,1.7248154,1.657021,0.53070784,-4.2032185,-0.9869695,-2.0534277,17.850601,2.625215,-2.625376,1.032877,-3.3916116,1.1943579,0.4291892,-3.3475816,2.5423765,2.6713371,6.4300895,9.475077,1.1459589,4.2039394,-2.8612316],"EPOL^FG_PRICE(0,-200D)":[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,30.32,30.49,30.68,30.8,30.5,30.88,29.94,29.66,29.48,29.83,30.09,29.45,29.48,30.3,30.3,30.04,30.19,29.43,29.25,28.63,28.29,27.74,27.58,27.59,27.25,26.93,27.69,24.7,24.54,25.14,27.51,28.79,28.28,28.01,28.43,28.69,28.42,29.11,28.56,28.13,28.35,28.79,29.15,29.01,28.5,27.58,27.17,26.88,26.44,27.42,26.86,26.92,25.51,25.68,25.28,25.55,26.18,25.95,25.62,25.99,26.19,26.12,26.74,25.77,25.86,25.67],"EWT^FG_TOTAL_RETURNC(-5AY,0,AM)":[10.434973,6.2549233,8.946967,2.3463488,1.5055656,9.708405,-4.194188,2.6940346,-1.6239882,1.4920592,-1.8141985,1.4972925,-0.078475475,7.7236056,-5.992508,1.8645406,-3.9737105,-7.8038454,-0.9719014,-7.601714,-1.0042489,-0.8193493,-12.608183,-5.5367947,14.867759,-2.567935,14.020109,-3.7241101,3.0670643,-2.4650276,6.557381,0.66239834,3.5448909,-6.068057,-2.3134053,-2.9043794,12.172115,6.436622,-2.2376657,1.9111156,6.149149,-3.2456875,11.040342,3.61377,-3.7829816,3.5673141,2.777779,-0.03603697,-5.028844,2.9939055,-2.6070416,-0.7229388,-5.884671,-2.8230846,14.611567,8.618105,2.0916224,1.422286,4.7412395,6.9333673,-3.8455725],"ECH^JULIAN(FG_TOTAL_RETURNC(-5AY,0,AM).DATES)":[44162,44193,44224,44253,44281,44314,44344,44375,44405,44435,44467,44497,44526,44558,44589,44620,44648,44679,44708,44740,44770,44799,44832,44862,44893,44923,44953,44985,45013,45044,45072,45105,45135,45166,45197,45226,45258,45288,45317,45350,45379,45408,45440,45471,45499,45532,45562,45593,45623,45653,45685,45716,45744,45775,45805,45835,45866,45897,45926,45958,45989],"EZA^FG_PRICE(0,-200D)":[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,51.24,51.09,50.22,50.41,50.19,50.64,49.85,50.23,50.71,50.44,50.19,49.27,49.52,49.14,49.09,48.38,47.96,47.55,48.16,47.6,47.9,47.43,47.1,47.22,45.62,43.94,44.27,40.54,40.77,41.29,44.88,46.65,48.1,48.13,47.6,48.21,48.16,47.93,47.71,47.6,48.03,48.77,47.69,47.74,47.0,45.86,45.97,46.31,45.77,46.84,46.57,46.39,45.07,44.54,44.4,45.21,46.1,46.13,46.06,46.58,46.83,46.22,46.73,46.21,46.08,45.88],"EWM^FG_TOTAL_RETURNC(-5AY,0,AM)":[10.3515625,2.5132656,-5.2486124,-0.8746326,2.2058725,0.79137087,-2.2127092,-3.061813,-3.611654,6.325543,-3.3345938,3.1360269,-7.031548,4.8493385,-1.7317772,6.270492,-0.65560937,-4.1925488,-2.4311185,-6.9393516,2.5045633,-0.8440733,-7.8853073,1.4591455,7.71811,0.78829527,6.9995522,-9.41667,1.2879491,-1.1353314,-3.8585186,-2.714783,7.8500032,-2.735281,-0.66729784,-2.06334,4.262626,1.4327288,-0.4243195,2.0359755,1.1137009,2.2487402,3.9048433,-1.4265776,3.027606,11.408817,5.7020903,-8.256883,-1.3199985,0.39002895,-2.0156324,-0.6297231,-2.8305888,3.0869484,3.2053947,0.4532814,-0.083094835,4.4906497,2.3875833,1.0882258,1.6147614],"SPY^FG_TOTAL_RETURNC(-5AY,0,AM)":[11.32983,2.7752638,1.467073,0.7229209,4.4481993,5.40936,0.6324887,2.1063328,2.657497,2.6023746,-3.3596337,5.671859,0.14182329,4.269755,-7.3227463,-1.2037575,4.736519,-6.163496,-2.933544,-7.9394636,6.6780567,-0.18716455,-8.202571,4.9901485,1.7711163,-4.42003,7.704556,-2.322024,0.2190113,5.139029,0.9833336,4.284787,4.704511,-3.0990124,-2.8705955,-4.163164,10.774815,5.208707,2.2488356,3.8673878,3.6436558,-2.8313577,4.2399526,3.0516744,0.04043579,2.5457382,2.6733756,1.637888,3.0990124,-0.3075421,1.5982985,-1.7104506,-6.201744,-0.86563826,6.6951036,4.934621,3.5826445,1.8808603,2.2693038,3.8137197,-0.53415895],"EPU^FG_TOTAL_RETURNC(-5AY,0,AM)":[14.071417,3.5146952,0.28951168,7.0150137,-7.3104916,-7.5960455,3.6535382,-10.248507,-1.6729295,-7.8125,0.37665367,13.358343,-7.5769606,7.6868176,10.827374,7.035339,7.032144,-14.642,-1.8535972,-11.445207,-4.4977546,3.5714269,-7.4270544,8.350384,7.706845,2.4008036,9.864068,-7.868016,3.3402205,3.3655405,-4.5280457,3.7826657,11.558962,-4.419237,-6.497961,-2.698636,6.1042547,14.122879,-2.2293031,2.8149247,12.814867,4.90222,6.8137884,-6.086087,1.019144,-1.3341486,9.856391,2.156639,-4.133332,-4.247361,-0.40332675,2.6617408,7.960868,0.90789795,4.351139,6.1401963,1.3611078,8.685244,11.009609,5.446875,3.1025171],"EWD^FG_PRICE(0,-200D)":[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,45.61,45.62,45.11,45.23,45.09,44.38,44.26,44.38,44.18,44.28,44.55,43.12,43.64,43.0,43.61,43.62,43.32,42.43,42.68,41.77,41.9,41.07,41.39,40.72,40.31,39.65,39.92,37.07,37.34,38.17,41.47,42.61,42.25,42.08,42.94,43.53,43.58,44.67,44.24,44.03,44.41,44.73,44.67,44.97,44.55,43.07,43.77,43.88,43.82,45.12,44.31,45.1,43.32,43.9,43.14,43.07,43.85,43.85,43.38,43.66,44.15,43.57,44.29,43.91,43.83,42.98],"CNYA^FG_PRICE(0,-200D)":[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,28.24,28.25,28.58,28.34,28.45,27.78,27.85,27.58,27.82,27.7,27.66,26.92,27.06,27.14,27.14,27.25,27.29,27.2,27.16,27.04,26.82,26.92,26.7,26.96,27.09,26.64,26.4,24.95,24.71,26.56,27.65,27.91,27.92,28.03,28.08,28.34,28.16,28.33,28.3,28.17,28.46,28.96,29.02,29.2,29.34,28.34,28.435,28.51,28.09,28.45,28.625,28.38,27.97,27.77,27.96,28.41,28.5,28.38,28.45,28.73,28.63,28.23,28.12,28.55,28.1,28.118],"ECH^FG_TOTAL_RETURNC(-5AY,0,AM)":[15.723789,8.39616,1.7333388,2.9161215,6.94046,-1.7564774,-10.87879,-1.3090551,-6.061673,4.51324,-6.852251,-4.9425306,7.013297,-10.98178,12.227524,1.323986,12.336659,-12.863499,20.533966,-17.027832,6.9007754,6.5317035,-12.405878,3.9705276,-0.27558804,7.351768,8.600533,-2.3619294,1.1739612,-0.1054883,3.4494877,1.297617,8.487606,-8.564067,-9.052813,-5.958414,9.757101,6.00394,-7.6566935,-0.65560937,3.1444073,-0.30109286,11.098528,-9.817332,-0.5411744,2.8760195,3.9289832,-2.580881,-5.3358135,-0.5775213,5.489266,7.9185486,3.9832234,4.9731135,2.976942,-1.3955295,-4.090172,9.402287,1.8109202,4.4015765,9.327173],"EWD^FG_TOTAL_RETURNC(-5AY,0,AM)":[17.466867,1.0010242,3.5017489999999998,1.5466452,7.5202227,5.422759,1.7635942,-2.0625472,4.2681575,-0.37212968,-6.391364,7.337618,-7.9512596,7.671201,-11.383284,-8.270675,2.8820753,-6.8619847,0.8553982,-12.870413,6.720507,-7.9927325,-9.27937,9.466815,9.112,-1.5356302,10.018611,-0.42289495,-4.3601394,10.153937,-6.04676,-0.5720854,2.8768659,-7.270688,-0.8443892,-6.3260374,17.662346,12.394023,-6.2138376,5.8208227,1.2927771,-2.202195,7.1136117,-2.2967875,-1.4658391,5.4967284,4.445505,-5.6750536,-6.914127,-1.7982781,7.77601,6.2299848,-0.4636109,1.5603185,3.7376761,4.0128946,-0.5215168,1.8567085,1.222384,3.9618611,-2.363968],"EWN^FG_TOTAL_RETURNC(-5AY,0,AM)":[15.289986,5.7052374,3.9064407,2.1582723,5.270326,5.826497,0.9380102,-0.8629322,1.7641068,5.9060693,-4.4156847,4.639578,-5.994284,1.814878,-10.037917,-4.991126,-0.37357807,-8.600884,0.69230795,-8.5457325,6.036675,-6.8103256,-10.904938,6.312084,14.466548,-2.001816,14.733707,-3.8642764,-0.88235736,4.6488643,1.6304374,0.72067976,5.0653577,-8.75361,-8.205503,-2.5331616,14.382911,7.011175,2.9121876,3.352201,4.212296,-2.1624923,7.3125362,-2.2201061,-2.9066265,3.2396913,1.7080426,-6.5221667,-5.9527874,1.0458589,0.99778175,3.5565257,0.36040545,3.0629516,7.7884793,4.745531,-2.6674032,1.1150956,6.766355,3.3088207,-1.42349],"VNM^FG_PRICE(0,-200D)":[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,12.75,12.81,12.82,12.74,12.69,12.49,12.6,12.42,12.22,12.27,12.24,12.11,12.07,12.05,11.95,12.01,12.0,11.62,11.64,11.51,11.73,11.5,11.74,11.93,11.87,11.31,11.46,10.13,11.16,11.64,11.4,12.7,12.56,12.48,12.38,12.56,12.49,12.69,12.7,12.54,12.4,12.6,12.62,12.76,12.66,12.44,12.58,12.41,12.24,12.4,12.2,11.95,11.97,12.04,12.04,11.965,11.89,11.94,11.945,11.75,11.82,11.77,11.51,11.48,11.49,11.33],"EWN^FG_PRICE(0,-200D)":[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,52.19,52.25,52.2,52.04,51.6,50.79,50.32,50.21,49.98,50.14,50.27,48.78,48.85,48.92,48.79,48.78,48.41,47.77,47.1,46.09,46.55,46.26,46.89,46.61,45.81,44.67,46.05,41.88,42.58,43.14,45.71,46.87,46.7,46.73,47.34,47.8176,47.8398,48.56,48.33,48.25,48.87,49.49,49.28,49.21,48.68,47.5801,48.12,47.81,47.48,49.36,48.48,49.02,47.8,47.37,47.17,47.08,48.46,48.58,48.18,48.17,48.53,48.38,49.15,48.94,48.75,47.9035],"EWC^FG_PRICE(0,-200D)":[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,43.89,43.83,43.44,43.4,43.08,42.85,42.81,42.89,42.77,42.66,42.84,42.31,42.45,42.45,42.37,42.04,42.06,41.52,41.39,40.77,41.1,40.83,40.53,40.44,39.87,38.74,39.54,37.17,37.79,38.41,40.62,41.59,41.13,40.75,40.57,41.25,41.38,41.71,41.51,40.88,41.03,41.04,40.52,40.69,40.11,39.3,39.84,39.48,39.68,40.47,40.37,40.73,39.77,40.45,41.23,40.8,41.43,41.35,41.38,41.55,42.22,42.23,42.44,42.17,42.52,41.96],"QAT^FG_PRICE(0,-200D)":[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,18.88,18.84,18.83,18.7553,18.7,18.69,18.615,18.51,18.55,18.55,18.54,18.34,18.31,18.2,18.14,18.16,18.12,17.9,17.91,17.78,17.72,17.78,17.89,17.79,17.61,17.52,17.57,17.23,17.16,16.83,17.66,17.86,17.88,17.84,17.75,17.87,17.79,17.87,17.86,17.99,17.92,18.14,18.15,18.18,18.12,17.94,18.08,18.05,18.07,18.07,18.14,18.05,17.96,17.94,18.0,17.86,18.1,18.13,18.07,17.97,18.08,18.07,18.06,17.98,18.04,17.89],"EWT^FG_PRICE(0,-200D)":[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,54.01,53.99,53.77,53.28,52.95,51.75,51.16,51.0,51.56,52.96,50.95,47.82,47.48,47.15,46.47,46.34,46.18,45.5,44.33,44.22,44.88,44.99,46.05,45.77,45.62,43.32,44.79,40.95,42.03,43.82,46.05,48.48,48.2,47.48,47.82,49.2,49.51,50.46,50.38,50.22,50.28,50.14,50.2,50.71,50.27,49.63,50.67,49.98,49.89,51.23,50.79,52.07,51.04,50.25,50.81,50.83,53.08,52.37,52.57,52.95,53.17,53.11,53.17,52.75,52.87,52.35],"CNYA^JULIAN(FG_PRICE(0,-200D).DATES)":[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],"EWA^FG_PRICE(0,-200D)":[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,25.47,25.55,25.16,25.42,25.18,25.01,24.83,24.89,25.05,24.99,25.31,24.65,24.67,24.55,24.52,24.51,24.51,24.0,23.96,23.48,23.61,23.42,23.36,23.29,22.77,22.35,22.81,20.82,20.85,21.15,23.25,23.89,23.71,23.44,23.47,23.75,23.71,23.81,23.7,23.43,23.53,23.65,23.43,23.87,23.5,23.02,23.31,23.32,23.42,23.89,24.02,24.41,23.92,23.95,23.99,24.07,24.44,24.54,24.63,24.55,25.09,25.04,25.42,25.47,25.66,25.26],"EWM^FG_PRICE(0,-200D)":[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,24.87,25.08,25.07,24.87,24.5,24.45,24.31,24.68,24.64,24.86,24.85,24.12,24.17,23.7,23.71,23.43,23.43,23.07,22.91,23.04,22.77,22.44,22.63,22.65,22.46,22.05,22.14,21.2,21.75,21.91,23.01,23.32,23.03,23.08,23.0,23.55,23.21,23.17,23.0,23.15,22.94,23.32,23.39,23.44,23.21,22.91,22.53,23.1,23.12,23.29,23.42,23.73,23.23,23.4,23.67,23.76,24.16,23.96,24.24,24.23,24.28,24.12,24.07,24.43,24.34,24.07],"TUR^FG_TOTAL_RETURNC(-5AY,0,AM)":[26.663006,12.25872,5.896032,-2.124542,-13.922155,1.6086936,-1.8827558,-4.480648,0.3291011,11.29334,-11.410522,2.3288965,-9.42871,6.5763593,-4.784918,-4.9746275,6.7841887,12.556278,-8.311117,-1.7979503,-4.060918,17.989422,0.89685917,18.977785,24.54239,8.004654,-1.5908539,0.6239414,-7.9763174,-5.14549,-4.5204997,-1.8331528,18.915058,14.090633,0.065767765,-10.620403,6.029415,-10.041195,9.971952,5.695665,-3.6461115,10.378408,9.024453,-1.6413987,1.7134786,-13.944787,0.0,-7.803154,6.576228,2.8390408,-0.99945664,-6.466585,-4.6966195,-3.6424816,-2.9224932,1.289475,9.642506,6.3117027,-2.1665752,-2.2720754,-1.4125943],"SPY^FG_PRICE(0,-200D)":[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,594.2,590.46,587.59,586.84,582.99,564.34,565.06,561.15,558.8,563.51,566.76,558.47,554.54,554.32,550.85,550.64,546.69,535.42,527.25,513.88,526.41,525.66,537.61,539.12,533.94,524.58,548.62,496.48,504.38,505.28,536.7,564.52,560.97,559.39,555.66,567.08,568.59,575.46,574.08,563.98,565.49,567.13,561.02,567.15,562.81,551.42,558.87,555.92,560.58,575.92,572.71,583.06,576.86,583.77,594.18,585.05,594.54,594.24,597.21,599.94,610.38,612.93,611.49,609.7,609.73,603.36],"INDA^FG_PRICE(0,-200D)":[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,54.66,54.77,53.97,54.01,54.32,52.39,51.54,53.22,53.68,54.32,53.91,53.54,53.57,53.54,53.29,52.85,53.74,53.18,53.5,53.0,52.26,51.13,51.13,51.03,50.76,50.52,51.22,49.16,49.13,49.19,51.18,51.56,51.05,51.48,51.28,51.79,51.4,52.04,52.12,51.47,50.76,50.61,49.88,49.44,48.91,48.51,48.73,48.66,48.36,49.08,48.94,48.93,47.85,47.8,48.1,48.55,49.02,49.25,49.26,49.3,50.08,49.76,49.58,49.59,50.39,49.8],"EPU^FG_PRICE(0,-200D)":[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,44.57,45.06,44.95,45.11,44.74,45.3303,45.02,44.79,45.45,44.7003,44.44,43.74,44.33,44.8,44.6021,44.4285,44.55,43.98,43.836,43.48,43.2,43.3511,43.15,43.14,42.085,40.8059,41.46,38.53,39.07,40.05,43.42,44.85,44.57,43.89,44.2008,44.86,44.4931,45.2331,44.6,44.66,44.5894,44.48,44.2814,44.12,43.37,42.25,41.7471,41.1012,40.6935,41.5776,41.46,41.4694,40.4409,40.5245,40.9415,40.6676,41.4594,40.996,41.0138,41.09,42.13,41.6891,42.0243,42.28,42.18,41.7901],"SET-BKK^FG_TOTAL_RETURNC(-5AY,0,AM)":[19.027447,1.0356307,1.0904074,1.925087,5.216527,0.12255907,0.32914877,-0.17762184,-2.630496,4.7846317,0.3289461,0.48314333,-0.8434415,1.9191504,-0.12244582,2.7855873,-0.05221963,-0.98320246,-1.73828,-2.7020633,-1.1326611,4.3370724,-2.769369,0.4276991,0.67493916,1.8782735,2.0652294,-3.5062194,-0.9517014,-4.84097,0.112485886,-4.1748285,5.2040577,1.276505,-5.1715612,-6.336111,0.9501338,1.0296702,-3.3689976,1.0159731,-0.8472979,-0.75894,0.20295382,-4.53071,0.48041344,4.475951,6.1820865,0.19860268,-1.7219186,-1.8592358,-3.9737105,-10.555297,-2.3485541,-1.3543665,0.10434389,-6.7474127,12.447107,2.7063131,2.2918344,2.779305,-4.381871],"GREK^FG_PRICE(0,-200D)":[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,52.5,52.15,52.22,52.07,51.6,51.0483,50.26,50.37,50.13,50.44,50.1,49.3,49.52,49.99,49.71,49.52,49.95,49.35,49.05,47.02,47.34,47.35,47.415,46.92,45.92,44.76,44.85,42.65,40.77,43.59,47.32,48.1,47.63,46.97,48.4701,48.9,48.42,48.48,48.31,46.99,47.865,48.03,48.1505,48.59,47.95,46.83,46.85,45.64,44.77,45.53,44.85,45.28,43.36,43.25,42.58,42.0296,42.4371,42.663,42.46,43.1,43.26,42.79,43.24,42.93,42.78,41.984],"QAT^FG_TOTAL_RETURNC(-5AY,0,AM)":[4.9382687,4.3697357,1.341927,-4.766947,4.226923,5.6563497,-2.2504985,-0.80580115,-0.3461182,5.476892,1.7730474,4.1314125,-3.3460855,1.5292525,7.085979,4.787755,5.790162,-2.057612,-3.6554575,-5.3865967,5.436349,4.568064,-7.8287244,-1.6893446,-4.534608,-7.363838,5.1059246,-5.581397,-0.6020844,1.541853,3.7418604,-3.5159945,6.3063025,-4.608047,-2.665186,-9.640616,9.406567,4.6162724,-2.0683944,2.6753068,-3.236425,-2.4943233,-3.4302354,6.4012766,2.5473952,1.2709498,4.9058676,-0.3262639,-1.7184973,0.043845177,1.8038273,-0.33222437,-1.3888896,2.1971822,4.4101477,0.40394068,5.5465817,1.836729,-2.7054071,-1.158601,-1.641053],"MCHI^FG_TOTAL_RETURNC(-5AY,0,AM)":[6.2927127,-5.3802786,15.116274,-2.2334456,-6.6123304,2.9379249,-2.2689283,2.2619843,-13.80673,-4.1678247,-2.3340106,4.497552,-6.2784076,-5.5181084,-3.3451855,-2.006352,-8.36035,-9.420961,3.206575,12.124062,-8.325887,-1.8125117,-12.743157,-17.515928,18.725872,11.170208,18.893135,-14.642411,3.7400723,-3.8872123,-6.3704967,1.6311765,10.004449,-9.7615185,-3.7850022,-2.4208605,3.1727195,-4.083252,-5.659914,1.9387007,2.1074295,6.594515,6.257379,-5.8765054,-2.1816432,-0.4363656,24.153889,-0.8433044,-6.566453,2.3831248,1.9591331,10.702478,1.8476963,-4.9844265,2.854395,4.476309,6.3791275,2.9812574,6.40198,1.243782,-4.4840336],"EWL^FG_PRICE(0,-200D)":[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,54.41,54.02,52.94,53.19,53.53,53.58,53.58,54.15,54.34,54.64,54.47,53.52,53.86,53.67,53.71,53.04,52.96,52.23,52.45,51.82,51.95,51.29,51.45,51.2,51.05,49.7,49.71,47.12,47.04,48.36,51.41,51.49,51.76,51.79,52.48,52.59,52.45,52.98,52.9,53.06,53.28,53.24,53.43,53.33,52.59,52.14,52.41,51.87,52.62,53.53,52.59,52.86,52.71,52.3,51.73,51.33,52.03,51.97,51.54,51.62,51.29,50.86,51.31,51.41,51.4,50.22],"INDA^FG_TOTAL_RETURNC(-5AY,0,AM)":[10.25641,7.497716,1.7623305,1.5091538,3.6314964,-2.2342443,6.519127,0.81562996,-0.403589,7.091403,3.0271173,0.2652526,-4.008955,2.6395082,-1.4740825,-2.3219466,1.9428492,-0.06726384,-7.202154,-5.3675056,7.4092984,1.3558507,-2.9335856,2.3694396,1.9839406,-3.1727612,-2.296108,-5.018359,-1.0309219,7.0833206,2.1887183,3.3602953,2.652824,-1.3932586,0.84320307,-2.9152572,5.889201,7.7599406,0.34679174,3.8015962,1.037991,1.4150023,2.3700356,4.144883,1.864469,0.58078766,3.4645677,-6.697112,-0.5075216,-2.5530815,-5.517894,-4.125971,6.611228,3.919661,1.8671393,2.9013515,-4.7082005,-1.296258,-0.55196285,4.382777,0.31169653]}]]></FdsFormulaCache>
</file>

<file path=customXml/itemProps1.xml><?xml version="1.0" encoding="utf-8"?>
<ds:datastoreItem xmlns:ds="http://schemas.openxmlformats.org/officeDocument/2006/customXml" ds:itemID="{6946425F-E0E4-4DC4-AA55-08DC1C12F32E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2025-11-30T15:16:58Z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