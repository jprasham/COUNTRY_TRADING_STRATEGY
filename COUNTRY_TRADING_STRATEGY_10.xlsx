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ly Refresh\COUNTRY\"/>
    </mc:Choice>
  </mc:AlternateContent>
  <xr:revisionPtr revIDLastSave="0" documentId="13_ncr:1_{1AE9CC1D-9D2A-4E63-9343-94D0B012C678}" xr6:coauthVersionLast="47" xr6:coauthVersionMax="47" xr10:uidLastSave="{00000000-0000-0000-0000-000000000000}"/>
  <bookViews>
    <workbookView xWindow="25620" yWindow="-98" windowWidth="22140" windowHeight="11821" firstSheet="1" activeTab="1" xr2:uid="{AF2DC00A-F2B3-4A84-B5F7-D95E8D6DDD24}"/>
  </bookViews>
  <sheets>
    <sheet name="__FDSCACHE__" sheetId="3" state="veryHidden" r:id="rId1"/>
    <sheet name="FILTER1" sheetId="4" r:id="rId2"/>
    <sheet name="FILTER2" sheetId="5" r:id="rId3"/>
    <sheet name="MONTHLY_RETURNS" sheetId="1" r:id="rId4"/>
    <sheet name="PRICE_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4" i="1" l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I2" i="6" a="1"/>
  <c r="AA2" i="6" a="1"/>
  <c r="S2" i="6" a="1"/>
  <c r="K2" i="6" a="1"/>
  <c r="C2" i="6" a="1"/>
  <c r="AD2" i="1" a="1"/>
  <c r="V2" i="1" a="1"/>
  <c r="N2" i="1" a="1"/>
  <c r="F2" i="1" a="1"/>
  <c r="Z2" i="6" a="1"/>
  <c r="R2" i="6" a="1"/>
  <c r="J2" i="6" a="1"/>
  <c r="B2" i="6" a="1"/>
  <c r="AC2" i="1" a="1"/>
  <c r="U2" i="1" a="1"/>
  <c r="M2" i="1" a="1"/>
  <c r="E2" i="1" a="1"/>
  <c r="Y2" i="6" a="1"/>
  <c r="Q2" i="6" a="1"/>
  <c r="A2" i="6" a="1"/>
  <c r="AB2" i="1" a="1"/>
  <c r="L2" i="1" a="1"/>
  <c r="X2" i="6" a="1"/>
  <c r="AA2" i="1" a="1"/>
  <c r="AE2" i="6" a="1"/>
  <c r="AH2" i="1" a="1"/>
  <c r="J2" i="1" a="1"/>
  <c r="AD2" i="6" a="1"/>
  <c r="T2" i="6" a="1"/>
  <c r="P2" i="6" a="1"/>
  <c r="AG2" i="1" a="1"/>
  <c r="A2" i="1" a="1"/>
  <c r="AC2" i="6" a="1"/>
  <c r="AI2" i="1" a="1"/>
  <c r="AH2" i="6" a="1"/>
  <c r="Z2" i="1" a="1"/>
  <c r="M2" i="6" a="1"/>
  <c r="E2" i="6" a="1"/>
  <c r="AF2" i="1" a="1"/>
  <c r="P2" i="1" a="1"/>
  <c r="H2" i="1" a="1"/>
  <c r="L2" i="6" a="1"/>
  <c r="AE2" i="1" a="1"/>
  <c r="O2" i="1" a="1"/>
  <c r="G2" i="1" a="1"/>
  <c r="AG2" i="6" a="1"/>
  <c r="I2" i="6" a="1"/>
  <c r="T2" i="1" a="1"/>
  <c r="D2" i="1" a="1"/>
  <c r="AF2" i="6" a="1"/>
  <c r="H2" i="6" a="1"/>
  <c r="S2" i="1" a="1"/>
  <c r="K2" i="1" a="1"/>
  <c r="C2" i="1" a="1"/>
  <c r="W2" i="6" a="1"/>
  <c r="O2" i="6" a="1"/>
  <c r="G2" i="6" a="1"/>
  <c r="R2" i="1" a="1"/>
  <c r="B2" i="1" a="1"/>
  <c r="V2" i="6" a="1"/>
  <c r="N2" i="6" a="1"/>
  <c r="F2" i="6" a="1"/>
  <c r="Y2" i="1" a="1"/>
  <c r="Q2" i="1" a="1"/>
  <c r="I2" i="1" a="1"/>
  <c r="U2" i="6" a="1"/>
  <c r="X2" i="1" a="1"/>
  <c r="AB2" i="6" a="1"/>
  <c r="D2" i="6" a="1"/>
  <c r="W2" i="1" a="1"/>
  <c r="W2" i="1" l="1"/>
  <c r="D2" i="6"/>
  <c r="AB2" i="6"/>
  <c r="X2" i="1"/>
  <c r="U2" i="6"/>
  <c r="I2" i="1"/>
  <c r="Q2" i="1"/>
  <c r="Y2" i="1"/>
  <c r="F2" i="6"/>
  <c r="N2" i="6"/>
  <c r="V2" i="6"/>
  <c r="B2" i="1"/>
  <c r="R2" i="1"/>
  <c r="G2" i="6"/>
  <c r="O2" i="6"/>
  <c r="W2" i="6"/>
  <c r="C2" i="1"/>
  <c r="K2" i="1"/>
  <c r="S2" i="1"/>
  <c r="H2" i="6"/>
  <c r="AF2" i="6"/>
  <c r="D2" i="1"/>
  <c r="T2" i="1"/>
  <c r="I2" i="6"/>
  <c r="AG2" i="6"/>
  <c r="G2" i="1"/>
  <c r="O2" i="1"/>
  <c r="AE2" i="1"/>
  <c r="L2" i="6"/>
  <c r="H2" i="1"/>
  <c r="P2" i="1"/>
  <c r="AF2" i="1"/>
  <c r="E2" i="6"/>
  <c r="M2" i="6"/>
  <c r="Z2" i="1"/>
  <c r="AH2" i="6"/>
  <c r="AI2" i="1"/>
  <c r="AC2" i="6"/>
  <c r="A2" i="1"/>
  <c r="AG2" i="1"/>
  <c r="P2" i="6"/>
  <c r="T2" i="6"/>
  <c r="AD2" i="6"/>
  <c r="J2" i="1"/>
  <c r="AH2" i="1"/>
  <c r="AE2" i="6"/>
  <c r="AA2" i="1"/>
  <c r="AA68" i="1" s="1"/>
  <c r="X2" i="6"/>
  <c r="L2" i="1"/>
  <c r="AB2" i="1"/>
  <c r="A2" i="6"/>
  <c r="Q2" i="6"/>
  <c r="Y2" i="6"/>
  <c r="E2" i="1"/>
  <c r="M2" i="1"/>
  <c r="U2" i="1"/>
  <c r="AC2" i="1"/>
  <c r="B2" i="6"/>
  <c r="J2" i="6"/>
  <c r="R2" i="6"/>
  <c r="Z2" i="6"/>
  <c r="F2" i="1"/>
  <c r="N2" i="1"/>
  <c r="V2" i="1"/>
  <c r="AD2" i="1"/>
  <c r="C2" i="6"/>
  <c r="K2" i="6"/>
  <c r="S2" i="6"/>
  <c r="AA2" i="6"/>
  <c r="AI2" i="6"/>
  <c r="AG68" i="1"/>
  <c r="AF68" i="1"/>
  <c r="W68" i="1"/>
  <c r="Z68" i="1"/>
  <c r="AC68" i="1"/>
  <c r="AE68" i="1"/>
  <c r="Y68" i="1"/>
  <c r="AB68" i="1"/>
  <c r="AI68" i="1"/>
  <c r="X68" i="1"/>
  <c r="V67" i="1"/>
  <c r="W67" i="1"/>
  <c r="Y67" i="1"/>
  <c r="AA67" i="1"/>
  <c r="AC67" i="1"/>
  <c r="AE67" i="1"/>
  <c r="AG67" i="1"/>
  <c r="AI67" i="1"/>
  <c r="X67" i="1"/>
  <c r="Z67" i="1"/>
  <c r="AB67" i="1"/>
  <c r="AD67" i="1"/>
  <c r="AF67" i="1"/>
  <c r="AH67" i="1"/>
  <c r="W69" i="1"/>
  <c r="W70" i="1" s="1"/>
  <c r="Y69" i="1"/>
  <c r="Y70" i="1" s="1"/>
  <c r="AA69" i="1"/>
  <c r="AA70" i="1" s="1"/>
  <c r="AC69" i="1"/>
  <c r="AC70" i="1" s="1"/>
  <c r="AE69" i="1"/>
  <c r="AE70" i="1" s="1"/>
  <c r="AG69" i="1"/>
  <c r="AG70" i="1" s="1"/>
  <c r="AI69" i="1"/>
  <c r="AI70" i="1" s="1"/>
  <c r="X69" i="1"/>
  <c r="X70" i="1" s="1"/>
  <c r="Z69" i="1"/>
  <c r="Z70" i="1" s="1"/>
  <c r="AB69" i="1"/>
  <c r="AB70" i="1" s="1"/>
  <c r="AD69" i="1"/>
  <c r="AD70" i="1" s="1"/>
  <c r="AD68" i="1"/>
  <c r="AF69" i="1"/>
  <c r="AF70" i="1" s="1"/>
  <c r="AH69" i="1"/>
  <c r="AH70" i="1" s="1"/>
  <c r="AH68" i="1"/>
  <c r="V69" i="1"/>
  <c r="V70" i="1" s="1"/>
  <c r="V68" i="1"/>
  <c r="R204" i="6" l="1"/>
  <c r="R72" i="1" s="1"/>
  <c r="R71" i="1"/>
  <c r="E204" i="6"/>
  <c r="E72" i="1" s="1"/>
  <c r="E71" i="1"/>
  <c r="N204" i="6"/>
  <c r="N72" i="1" s="1"/>
  <c r="N71" i="1"/>
  <c r="AG71" i="1"/>
  <c r="AG204" i="6"/>
  <c r="AG72" i="1" s="1"/>
  <c r="X204" i="6"/>
  <c r="X72" i="1" s="1"/>
  <c r="X71" i="1"/>
  <c r="AI204" i="6"/>
  <c r="AI72" i="1" s="1"/>
  <c r="AI71" i="1"/>
  <c r="J204" i="6"/>
  <c r="J72" i="1" s="1"/>
  <c r="J71" i="1"/>
  <c r="AC204" i="6"/>
  <c r="AC72" i="1" s="1"/>
  <c r="AC71" i="1"/>
  <c r="T204" i="6"/>
  <c r="T72" i="1" s="1"/>
  <c r="T71" i="1"/>
  <c r="AE204" i="6"/>
  <c r="AE72" i="1" s="1"/>
  <c r="AE71" i="1"/>
  <c r="W204" i="6"/>
  <c r="W72" i="1" s="1"/>
  <c r="W71" i="1"/>
  <c r="F204" i="6"/>
  <c r="F72" i="1" s="1"/>
  <c r="F71" i="1"/>
  <c r="Y71" i="1"/>
  <c r="Y204" i="6"/>
  <c r="Y72" i="1" s="1"/>
  <c r="P71" i="1"/>
  <c r="P204" i="6"/>
  <c r="P72" i="1" s="1"/>
  <c r="AA204" i="6"/>
  <c r="AA72" i="1" s="1"/>
  <c r="AA71" i="1"/>
  <c r="S204" i="6"/>
  <c r="S72" i="1" s="1"/>
  <c r="S71" i="1"/>
  <c r="AH204" i="6"/>
  <c r="AH72" i="1" s="1"/>
  <c r="AH71" i="1"/>
  <c r="B71" i="1"/>
  <c r="B204" i="6"/>
  <c r="B72" i="1" s="1"/>
  <c r="U204" i="6"/>
  <c r="U72" i="1" s="1"/>
  <c r="U71" i="1"/>
  <c r="L204" i="6"/>
  <c r="L72" i="1" s="1"/>
  <c r="L71" i="1"/>
  <c r="O204" i="6"/>
  <c r="O72" i="1" s="1"/>
  <c r="O71" i="1"/>
  <c r="K204" i="6"/>
  <c r="K72" i="1" s="1"/>
  <c r="K71" i="1"/>
  <c r="AD204" i="6"/>
  <c r="AD72" i="1" s="1"/>
  <c r="AD71" i="1"/>
  <c r="Q71" i="1"/>
  <c r="Q204" i="6"/>
  <c r="Q72" i="1" s="1"/>
  <c r="H204" i="6"/>
  <c r="H72" i="1" s="1"/>
  <c r="H71" i="1"/>
  <c r="D204" i="6"/>
  <c r="D72" i="1" s="1"/>
  <c r="D71" i="1"/>
  <c r="C204" i="6"/>
  <c r="C72" i="1" s="1"/>
  <c r="C71" i="1"/>
  <c r="G204" i="6"/>
  <c r="G72" i="1" s="1"/>
  <c r="G71" i="1"/>
  <c r="Z71" i="1"/>
  <c r="Z204" i="6"/>
  <c r="Z72" i="1" s="1"/>
  <c r="M204" i="6"/>
  <c r="M72" i="1" s="1"/>
  <c r="M71" i="1"/>
  <c r="V204" i="6"/>
  <c r="V72" i="1" s="1"/>
  <c r="V71" i="1"/>
  <c r="I71" i="1"/>
  <c r="I204" i="6"/>
  <c r="I72" i="1" s="1"/>
  <c r="AF204" i="6"/>
  <c r="AF72" i="1" s="1"/>
  <c r="AF71" i="1"/>
  <c r="AB71" i="1"/>
  <c r="AB204" i="6"/>
  <c r="AB72" i="1" s="1"/>
  <c r="AD74" i="1"/>
  <c r="AD73" i="1"/>
  <c r="AI74" i="1"/>
  <c r="AI73" i="1"/>
  <c r="AA74" i="1"/>
  <c r="AA73" i="1"/>
  <c r="AB73" i="1"/>
  <c r="AB74" i="1"/>
  <c r="AG73" i="1"/>
  <c r="AG74" i="1"/>
  <c r="Y73" i="1"/>
  <c r="Y74" i="1"/>
  <c r="AH74" i="1"/>
  <c r="AH73" i="1"/>
  <c r="Z74" i="1"/>
  <c r="Z73" i="1"/>
  <c r="AE74" i="1"/>
  <c r="AE73" i="1"/>
  <c r="W74" i="1"/>
  <c r="W73" i="1"/>
  <c r="AF73" i="1"/>
  <c r="AF74" i="1"/>
  <c r="X73" i="1"/>
  <c r="X74" i="1"/>
  <c r="AC73" i="1"/>
  <c r="AC74" i="1"/>
  <c r="V74" i="1"/>
  <c r="V73" i="1"/>
  <c r="U67" i="1"/>
  <c r="U69" i="1"/>
  <c r="U70" i="1" s="1"/>
  <c r="U68" i="1"/>
  <c r="U73" i="1" l="1"/>
  <c r="U74" i="1"/>
  <c r="T67" i="1"/>
  <c r="T69" i="1"/>
  <c r="T70" i="1" s="1"/>
  <c r="T68" i="1"/>
  <c r="T73" i="1" l="1"/>
  <c r="T74" i="1"/>
  <c r="S67" i="1"/>
  <c r="S69" i="1"/>
  <c r="S70" i="1" s="1"/>
  <c r="S68" i="1"/>
  <c r="S74" i="1" l="1"/>
  <c r="S73" i="1"/>
  <c r="R67" i="1"/>
  <c r="R69" i="1"/>
  <c r="R70" i="1" s="1"/>
  <c r="R68" i="1"/>
  <c r="R74" i="1" l="1"/>
  <c r="R73" i="1"/>
  <c r="Q67" i="1"/>
  <c r="Q69" i="1"/>
  <c r="Q70" i="1" s="1"/>
  <c r="Q68" i="1"/>
  <c r="Q73" i="1" l="1"/>
  <c r="Q74" i="1"/>
  <c r="P67" i="1"/>
  <c r="P69" i="1"/>
  <c r="P70" i="1" s="1"/>
  <c r="P68" i="1"/>
  <c r="P73" i="1" l="1"/>
  <c r="P74" i="1"/>
  <c r="O67" i="1"/>
  <c r="O69" i="1"/>
  <c r="O70" i="1" s="1"/>
  <c r="O68" i="1"/>
  <c r="O74" i="1" l="1"/>
  <c r="O73" i="1"/>
  <c r="N67" i="1"/>
  <c r="N69" i="1"/>
  <c r="N70" i="1" s="1"/>
  <c r="N68" i="1"/>
  <c r="N74" i="1" l="1"/>
  <c r="N73" i="1"/>
  <c r="M67" i="1"/>
  <c r="M69" i="1"/>
  <c r="M70" i="1" s="1"/>
  <c r="M68" i="1"/>
  <c r="M73" i="1" l="1"/>
  <c r="M74" i="1"/>
  <c r="L67" i="1"/>
  <c r="L69" i="1"/>
  <c r="L70" i="1" s="1"/>
  <c r="L68" i="1"/>
  <c r="L73" i="1" l="1"/>
  <c r="L74" i="1"/>
  <c r="K67" i="1"/>
  <c r="K69" i="1"/>
  <c r="K70" i="1" s="1"/>
  <c r="K68" i="1"/>
  <c r="K74" i="1" l="1"/>
  <c r="K73" i="1"/>
  <c r="J67" i="1"/>
  <c r="J69" i="1"/>
  <c r="J70" i="1" s="1"/>
  <c r="J68" i="1"/>
  <c r="J74" i="1" l="1"/>
  <c r="J73" i="1"/>
  <c r="I67" i="1"/>
  <c r="I69" i="1"/>
  <c r="I70" i="1" s="1"/>
  <c r="I68" i="1"/>
  <c r="I73" i="1" l="1"/>
  <c r="I74" i="1"/>
  <c r="H67" i="1"/>
  <c r="H69" i="1"/>
  <c r="H70" i="1" s="1"/>
  <c r="H68" i="1"/>
  <c r="H73" i="1" l="1"/>
  <c r="H74" i="1"/>
  <c r="G67" i="1"/>
  <c r="G69" i="1"/>
  <c r="G70" i="1" s="1"/>
  <c r="G68" i="1"/>
  <c r="G74" i="1" l="1"/>
  <c r="G73" i="1"/>
  <c r="F67" i="1"/>
  <c r="F69" i="1"/>
  <c r="F70" i="1" s="1"/>
  <c r="F68" i="1"/>
  <c r="F74" i="1" l="1"/>
  <c r="F73" i="1"/>
  <c r="E67" i="1"/>
  <c r="E69" i="1"/>
  <c r="E70" i="1" s="1"/>
  <c r="E68" i="1"/>
  <c r="E73" i="1" l="1"/>
  <c r="E74" i="1"/>
  <c r="D67" i="1"/>
  <c r="D69" i="1"/>
  <c r="D70" i="1" s="1"/>
  <c r="D68" i="1"/>
  <c r="D73" i="1" l="1"/>
  <c r="D74" i="1"/>
  <c r="C67" i="1"/>
  <c r="C69" i="1"/>
  <c r="C70" i="1" s="1"/>
  <c r="C68" i="1"/>
  <c r="C74" i="1" l="1"/>
  <c r="C73" i="1"/>
  <c r="B67" i="1"/>
  <c r="B69" i="1"/>
  <c r="B70" i="1" s="1"/>
  <c r="B68" i="1"/>
  <c r="B74" i="1" l="1"/>
  <c r="B73" i="1"/>
  <c r="E2" i="4" l="1" a="1"/>
  <c r="E2" i="4" s="1"/>
  <c r="D2" i="4" a="1"/>
  <c r="D2" i="4" s="1"/>
  <c r="C2" i="4" a="1"/>
  <c r="C2" i="4" s="1"/>
  <c r="B2" i="4" a="1"/>
  <c r="B2" i="4" s="1"/>
  <c r="F2" i="4" a="1"/>
  <c r="F2" i="4" s="1"/>
  <c r="I2" i="4" a="1"/>
  <c r="I2" i="4" s="1"/>
  <c r="A2" i="4" a="1"/>
  <c r="A2" i="4" s="1"/>
  <c r="H2" i="4" a="1"/>
  <c r="H2" i="4" s="1"/>
  <c r="G2" i="4" a="1"/>
  <c r="G2" i="4" s="1"/>
  <c r="I2" i="5" a="1"/>
  <c r="I2" i="5" s="1"/>
  <c r="H2" i="5" a="1"/>
  <c r="H2" i="5" s="1"/>
  <c r="D2" i="5" a="1"/>
  <c r="D2" i="5" s="1"/>
  <c r="G2" i="5" a="1"/>
  <c r="G2" i="5" s="1"/>
  <c r="C2" i="5" a="1"/>
  <c r="C2" i="5" s="1"/>
  <c r="F2" i="5" a="1"/>
  <c r="F2" i="5" s="1"/>
  <c r="B2" i="5" a="1"/>
  <c r="B2" i="5" s="1"/>
  <c r="E2" i="5" a="1"/>
  <c r="E2" i="5" s="1"/>
  <c r="A2" i="5" a="1"/>
  <c r="A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Prasham Jain</author>
  </authors>
  <commentList>
    <comment ref="A1" authorId="0" shapeId="0" xr:uid="{511CE881-E4DF-4ADD-9290-96C0BF23CE76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Timestamp="1767953176"&gt;&lt;FQL&gt;&lt;Q&gt;EWI^FG_PRICE(0,-200D)&lt;/Q&gt;&lt;R&gt;201&lt;/R&gt;&lt;C&gt;1&lt;/C&gt;&lt;D xsi:type="xsd:double"&gt;55.24&lt;/D&gt;&lt;D xsi:type="xsd:double"&gt;54.97&lt;/D&gt;&lt;D xsi:type="xsd:double"&gt;55.29&lt;/D&gt;&lt;D xsi:type="xsd:double"&gt;55.67&lt;/D&gt;&lt;D xsi:type="xsd:double"&gt;55.16&lt;/D&gt;&lt;D xsi:type="xsd:double"&gt;54.33&lt;/D&gt;&lt;D xsi:type="xsd:double"&gt;54.59&lt;/D&gt;&lt;D xsi:type="xsd:double"&gt;54.16&lt;/D&gt;&lt;D xsi:type="xsd:double"&gt;54.62&lt;/D&gt;&lt;D xsi:type="xsd:double"&gt;54.56&lt;/D&gt;&lt;D xsi:type="xsd:double"&gt;54.4&lt;/D&gt;&lt;D xsi:type="xsd:double"&gt;54.24&lt;/D&gt;&lt;D xsi:type="xsd:double"&gt;54.21&lt;/D&gt;&lt;D xsi:type="xsd:double"&gt;53.81&lt;/D&gt;&lt;D xsi:type="xsd:double"&gt;53.51&lt;/D&gt;&lt;D xsi:type="xsd:double"&gt;53.58&lt;/D&gt;&lt;D xsi:type="xsd:double"&gt;54.35&lt;/D&gt;&lt;D xsi:type="xsd:double"&gt;53.66&lt;/D&gt;&lt;D xsi:type="xsd:double"&gt;53.95&lt;/D&gt;&lt;D xsi:type="xsd:double"&gt;53.55&lt;/D&gt;&lt;D xsi:type="xsd:double"&gt;53.02&lt;/D&gt;&lt;D xsi:type="xsd:double"&gt;52.98&lt;/D&gt;&lt;D xsi:type="xsd:double"&gt;52.98&lt;/D&gt;&lt;D xsi:type="xsd:double"&gt;53.15&lt;/D&gt;&lt;D xsi:type="xsd:double"&gt;53.29&lt;/D&gt;&lt;D xsi:type="xsd:double"&gt;53&lt;/D&gt;&lt;D xsi:type="xsd:double"&gt;52.66&lt;/D&gt;&lt;D xsi:type="xsd:double"&gt;52.93&lt;/D&gt;&lt;D xsi:type="xsd:double"&gt;52.54&lt;/D&gt;&lt;D xsi:type="xsd:double"&gt;52.16&lt;/D&gt;&lt;D xsi:type="xsd:double"&gt;51.19&lt;/D&gt;&lt;D xsi:type="xsd:double"&gt;51.47&lt;/D&gt;&lt;D xsi:type="xsd:double"&gt;50.81&lt;/D&gt;&lt;D xsi:type="xsd:double"&gt;51.34&lt;/D&gt;&lt;D xsi:type="xsd:double"&gt;51.81&lt;/D&gt;&lt;D xsi:type="xsd:double"&gt;52.56&lt;/D&gt;&lt;D xsi:type="xsd:double"&gt;53.2&lt;/D&gt;&lt;D xsi:type="xsd:double"&gt;53.98&lt;/D&gt;&lt;D xsi:type="xsd:double"&gt;54.12&lt;/D&gt;&lt;D xsi:type="xsd:double"&gt;53.75&lt;/D&gt;&lt;D xsi:type="xsd:double"&gt;53.15&lt;/D&gt;&lt;D xsi:type="xsd:double"&gt;52.19&lt;/D&gt;&lt;D xsi:type="xsd:double"&gt;51.75&lt;/D&gt;&lt;D xsi:type="xsd:double"&gt;52&lt;/D&gt;&lt;D xsi:type="xsd:double"&gt;51.38&lt;/D&gt;&lt;D xsi:type="xsd:double"&gt;51.79&lt;/D&gt;&lt;D xsi:type="xsd:double"&gt;51.81&lt;/D&gt;&lt;D xsi:type="xsd:double"&gt;51.82&lt;/D&gt;&lt;D xsi:type="xsd:double"&gt;52.11&lt;/D&gt;&lt;D xsi:type="xsd:double"&gt;52.18&lt;/D&gt;&lt;D xsi:type="xsd:double"&gt;51.93&lt;/D&gt;&lt;D xsi:type="xsd:double"&gt;51.27&lt;/D&gt;&lt;D xsi:type="xsd:double"&gt;51.17&lt;/D&gt;&lt;D xsi:type="xsd:double"&gt;50.66&lt;/D&gt;&lt;D xsi:type="xsd:double"&gt;51.1&lt;/D&gt;&lt;D xsi:type="xsd:double"&gt;51.24&lt;/D&gt;&lt;D xsi:type="xsd:double"&gt;50.77&lt;/D&gt;&lt;D xsi:type="xsd:double"&gt;50.88&lt;/D&gt;&lt;D xsi:type="xsd:double"&gt;50.47&lt;/D&gt;&lt;D xsi:type="xsd:double"&gt;50.79&lt;/D&gt;&lt;D xsi:type="xsd:double"&gt;50.5&lt;/D&gt;&lt;D xsi:type="xsd:double"&gt;50.31&lt;/D&gt;&lt;D xsi:type="xsd:double"&gt;51.13&lt;/D&gt;&lt;D xsi:type="xsd:double"&gt;52.29&lt;/D&gt;&lt;D xsi:type="xsd:double"&gt;51.94&lt;/D&gt;&lt;D xsi:type="xsd:double"&gt;52.26&lt;/D&gt;&lt;D xsi:type="xsd:double"&gt;52.61&lt;/D&gt;&lt;D xsi:type="xsd:double"&gt;52.33&lt;/D&gt;&lt;D xsi:type="xsd:double"&gt;52.41&lt;/D&gt;&lt;D xsi:type="xsd:double"&gt;51.95&lt;/D&gt;&lt;D xsi:type="xsd:double"&gt;51.5&lt;/D&gt;&lt;D xsi:type="xsd:double"&gt;51.54&lt;/D&gt;&lt;D xsi:type="xsd:double"&gt;50.94&lt;/D&gt;&lt;D xsi:type="xsd:double"&gt;51.29&lt;/D&gt;&lt;D xsi:type="xsd:double"&gt;51.51&lt;/D&gt;&lt;D xsi:type="xsd:double"&gt;51.74&lt;/D&gt;&lt;D xsi:type="xsd:double"&gt;51.37&lt;/D&gt;&lt;D xsi:type="xsd:double"&gt;51.44&lt;/D&gt;&lt;D xsi:type="xsd:double"&gt;51.33&lt;/D&gt;&lt;D xsi:type="xsd:double"&gt;52.15&lt;/D&gt;&lt;D xsi:type="xsd:double"&gt;52.39&lt;/D&gt;&lt;D xsi:type="xsd:double"&gt;51.72&lt;/D&gt;&lt;D xsi:type="xsd:double"&gt;51.6&lt;/D&gt;&lt;D xsi:type="xsd:double"&gt;50.93&lt;/D&gt;&lt;D xsi:type="xsd:double"&gt;50.86&lt;/D&gt;&lt;D xsi:type="xsd:double"&gt;50.64&lt;/D&gt;&lt;D xsi:type="xsd:double"&gt;50.46&lt;/D&gt;&lt;D xsi:type="xsd:double"&gt;50.65&lt;/D&gt;&lt;D xsi:type="xsd:double"&gt;50.38&lt;/D&gt;&lt;D xsi:type="xsd:double"&gt;50.4&lt;/D&gt;&lt;D xsi:type="xsd:double"&gt;51.05&lt;/D&gt;&lt;D xsi:type="xsd:double"&gt;51.19&lt;/D&gt;&lt;D xsi:type="xsd:double"&gt;50.91&lt;/D&gt;&lt;D xsi:type="xsd:double"&gt;51.42&lt;/D&gt;&lt;D xsi:type="xsd:double"&gt;51.76&lt;/D&gt;&lt;D xsi:type="xsd:double"&gt;52.34&lt;/D&gt;&lt;D xsi:type="xsd:double"&gt;51.53&lt;/D&gt;&lt;D xsi:type="xsd:double"&gt;51.69&lt;/D&gt;&lt;D xsi:type="xsd:double"&gt;51.62&lt;/D&gt;&lt;D xsi:type="xsd:double"&gt;51.54&lt;/D&gt;&lt;D xsi:type="xsd:double"&gt;51.79&lt;/D&gt;&lt;D xsi:type="xsd:double"&gt;51.56&lt;/D&gt;&lt;D xsi:type="xsd:double"&gt;51.1&lt;/D&gt;&lt;D xsi:type="xsd:double"&gt;50.64&lt;/D&gt;&lt;D xsi:type="xsd:double"&gt;49.99&lt;/D&gt;&lt;D xsi:type="xsd:double"&gt;50.16&lt;/D&gt;&lt;D xsi:type="xsd:double"&gt;49.95&lt;/D&gt;&lt;D xsi:type="xsd:double"&gt;49.52&lt;/D&gt;&lt;D xsi:type="xsd:double"&gt;48.74&lt;/D&gt;&lt;D xsi:type="xsd:double"&gt;48.57&lt;/D&gt;&lt;D xsi:type="xsd:double"&gt;47.83&lt;/D&gt;&lt;D xsi:type="xsd:double"&gt;48.25&lt;/D&gt;&lt;D xsi:type="xsd:double"&gt;49.13&lt;/D&gt;&lt;D xsi:type="xsd:double"&gt;49.06&lt;/D&gt;&lt;D xsi:type="xsd:double"&gt;48.78&lt;/D&gt;&lt;D xsi:type="xsd:double"&gt;49.56&lt;/D&gt;&lt;D xsi:type="xsd:double"&gt;49.12&lt;/D&gt;&lt;D xsi:type="xsd:double"&gt;49.84&lt;/D&gt;&lt;D xsi:type="xsd:double"&gt;48.55&lt;/D&gt;&lt;D xsi:type="xsd:double"&gt;48.03&lt;/D&gt;&lt;D xsi:type="xsd:double"&gt;47.79&lt;/D&gt;&lt;D xsi:type="xsd:double"&gt;47.75&lt;/D&gt;&lt;D xsi:type="xsd:double"&gt;47.76&lt;/D&gt;&lt;D xsi:type="xsd:double"&gt;47.32&lt;/D&gt;&lt;D xsi:type="xsd:double"&gt;48.16&lt;/D&gt;&lt;D xsi:type="xsd:double"&gt;47.99&lt;/D&gt;&lt;D xsi:type="xsd:double"&gt;48.53&lt;/D&gt;&lt;D xsi:type="xsd:double"&gt;49.17&lt;/D&gt;&lt;D xsi:type="xsd:double"&gt;48.34&lt;/D&gt;&lt;D xsi:type="xsd:double"&gt;47.87&lt;/D&gt;&lt;D xsi:type="xsd:double"&gt;48.21&lt;/D&gt;&lt;D xsi:type="xsd:double"&gt;48.29&lt;/D&gt;&lt;D xsi:type="xsd:double"&gt;48.05&lt;/D&gt;&lt;D xsi:type="xsd:double"&gt;48.14&lt;/D&gt;&lt;D xsi:type="xsd:double"&gt;47.86&lt;/D&gt;&lt;D xsi:type="xsd:double"&gt;47.5&lt;/D&gt;&lt;D xsi:type="xsd:double"&gt;47.17&lt;/D&gt;&lt;D xsi:type="xsd:double"&gt;47.2&lt;/D&gt;&lt;D xsi:type="xsd:double"&gt;46.45&lt;/D&gt;&lt;D xsi:type="xsd:double"&gt;46.36&lt;/D&gt;&lt;D xsi:type="xsd:double"&gt;46.46&lt;/D&gt;&lt;D xsi:type="xsd:double"&gt;46.26&lt;/D&gt;&lt;D xsi:type="xsd:double"&gt;47.21&lt;/D&gt;&lt;D xsi:type="xsd:double"&gt;47.43&lt;/D&gt;&lt;D xsi:type="xsd:double"&gt;48.25&lt;/D&gt;&lt;D xsi:type="xsd:double"&gt;47.93&lt;/D&gt;&lt;D xsi:type="xsd:double"&gt;47.93&lt;/D&gt;&lt;D xsi:type="xsd:double"&gt;48.18&lt;/D&gt;&lt;D xsi:type="xsd:double"&gt;48.3&lt;/D&gt;&lt;D xsi:type="xsd:double"&gt;47.98&lt;/D&gt;&lt;D xsi:type="xsd:double"&gt;47.74&lt;/D&gt;&lt;D xsi:type="xsd:double"&gt;47.87&lt;/D&gt;&lt;D xsi:type="xsd:double"&gt;48.32&lt;/D&gt;&lt;D xsi:type="xsd:double"&gt;47.77&lt;/D&gt;&lt;D xsi:type="xsd:double"&gt;47.58&lt;/D&gt;&lt;D xsi:type="xsd:double"&gt;47.55&lt;/D&gt;&lt;D xsi:type="xsd:double"&gt;47.66&lt;/D&gt;&lt;D xsi:type="xsd:double"&gt;46.96&lt;/D&gt;&lt;D xsi:type="xsd:double"&gt;47.54&lt;/D&gt;&lt;D xsi:type="xsd:double"&gt;47.65&lt;/D&gt;&lt;D xsi:type="xsd:double"&gt;47.84&lt;/D&gt;&lt;D xsi:type="xsd:double"&gt;47.3&lt;/D&gt;&lt;D xsi:type="xsd:double"&gt;46.85&lt;/D&gt;&lt;D xsi:type="xsd:double"&gt;46.53&lt;/D&gt;&lt;D xsi:type="xsd:double"&gt;46.26&lt;/D&gt;&lt;D xsi:type="xsd:double"&gt;46&lt;/D&gt;&lt;D xsi:type="xsd:double"&gt;45.66&lt;/D&gt;&lt;D xsi:type="xsd:double"&gt;45.81&lt;/D&gt;&lt;D xsi:type="xsd:double"&gt;45.36&lt;/D&gt;&lt;D xsi:type="xsd:double"&gt;44.99&lt;/D&gt;&lt;D xsi:type="xsd:double"&gt;45.22&lt;/D&gt;&lt;D xsi:type="xsd:double"&gt;45.07&lt;/D&gt;&lt;D xsi:type="xsd:double"&gt;44.99&lt;/D&gt;&lt;D xsi:type="xsd:double"&gt;44.26&lt;/D&gt;&lt;D xsi:type="xsd:double"&gt;44.21&lt;/D&gt;&lt;D xsi:type="xsd:double"&gt;44.67&lt;/D&gt;&lt;D xsi:type="xsd:double"&gt;44.23&lt;/D&gt;&lt;D xsi:type="xsd:double"&gt;44.04&lt;/D&gt;&lt;D xsi:type="xsd:double"&gt;43.48&lt;/D&gt;&lt;D xsi:type="xsd:double"&gt;42.69&lt;/D&gt;&lt;D xsi:type="xsd:double"&gt;42.81&lt;/D&gt;&lt;D xsi:type="xsd:double"&gt;41.94&lt;/D&gt;&lt;D xsi:type="xsd:double"&gt;42.13&lt;/D&gt;&lt;D xsi:type="xsd:double"&gt;41.76&lt;/D&gt;&lt;D xsi:type="xsd:double"&gt;41.54&lt;/D&gt;&lt;D xsi:type="xsd:double"&gt;40.92&lt;/D&gt;&lt;D xsi:type="xsd:double"&gt;40.53&lt;/D&gt;&lt;D xsi:type="xsd:double"&gt;39.66&lt;/D&gt;&lt;D xsi:type="xsd:double"&gt;40.22&lt;/D&gt;&lt;D xsi:type="xsd:double"&gt;36.6&lt;/D&gt;&lt;D xsi:type="xsd:double"&gt;37.06&lt;/D&gt;&lt;D xsi:type="xsd:double"&gt;38.49&lt;/D&gt;&lt;D xsi:type="xsd:double"&gt;41.77&lt;/D&gt;&lt;D xsi:type="xsd:double"&gt;42.66&lt;/D&gt;&lt;D xsi:type="xsd:double"&gt;42.46&lt;/D&gt;&lt;D xsi:type="xsd:double"&gt;42.32&lt;/D&gt;&lt;D xsi:type="xsd:double"&gt;42.8&lt;/D&gt;&lt;D xsi:type="xsd:double"&gt;43.07&lt;/D&gt;&lt;D xsi:type="xsd:double"&gt;42.61&lt;/D&gt;&lt;D xsi:type="xsd:double"&gt;43.42&lt;/D&gt;&lt;D xsi:type="xsd:double"&gt;42.98&lt;/D&gt;&lt;/FQL&gt;&lt;FQL&gt;&lt;Q&gt;EWJ^FG_PRICE(0,-200D)&lt;/Q&gt;&lt;R&gt;201&lt;/R&gt;&lt;C&gt;1&lt;/C&gt;&lt;D xsi:type="xsd:double"&gt;82.86&lt;/D&gt;&lt;D xsi:type="xsd:double"&gt;82.92&lt;/D&gt;&lt;D xsi:type="xsd:double"&gt;83.07&lt;/D&gt;&lt;D xsi:type="xsd:double"&gt;83.13&lt;/D&gt;&lt;D xsi:type="xsd:double"&gt;81.33&lt;/D&gt;&lt;D xsi:type="xsd:double"&gt;80.74&lt;/D&gt;&lt;D xsi:type="xsd:double"&gt;80.98&lt;/D&gt;&lt;D xsi:type="xsd:double"&gt;81.09&lt;/D&gt;&lt;D xsi:type="xsd:double"&gt;80.97&lt;/D&gt;&lt;D xsi:type="xsd:double"&gt;81&lt;/D&gt;&lt;D xsi:type="xsd:double"&gt;81.14&lt;/D&gt;&lt;D xsi:type="xsd:double"&gt;80.46&lt;/D&gt;&lt;D xsi:type="xsd:double"&gt;80.58&lt;/D&gt;&lt;D xsi:type="xsd:double"&gt;79.97&lt;/D&gt;&lt;D xsi:type="xsd:double"&gt;79.74&lt;/D&gt;&lt;D xsi:type="xsd:double"&gt;80.85&lt;/D&gt;&lt;D xsi:type="xsd:double"&gt;84.87&lt;/D&gt;&lt;D xsi:type="xsd:double"&gt;84&lt;/D&gt;&lt;D xsi:type="xsd:double"&gt;84.22&lt;/D&gt;&lt;D xsi:type="xsd:double"&gt;83.91&lt;/D&gt;&lt;D xsi:type="xsd:double"&gt;83.31&lt;/D&gt;&lt;D xsi:type="xsd:double"&gt;83.19&lt;/D&gt;&lt;D xsi:type="xsd:double"&gt;83.7&lt;/D&gt;&lt;D xsi:type="xsd:double"&gt;83.62&lt;/D&gt;&lt;D xsi:type="xsd:double"&gt;82.61&lt;/D&gt;&lt;D xsi:type="xsd:double"&gt;82.47&lt;/D&gt;&lt;D xsi:type="xsd:double"&gt;82.53&lt;/D&gt;&lt;D xsi:type="xsd:double"&gt;83.01&lt;/D&gt;&lt;D xsi:type="xsd:double"&gt;83.26&lt;/D&gt;&lt;D xsi:type="xsd:double"&gt;81.92&lt;/D&gt;&lt;D xsi:type="xsd:double"&gt;81.74&lt;/D&gt;&lt;D xsi:type="xsd:double"&gt;81.19&lt;/D&gt;&lt;D xsi:type="xsd:double"&gt;79.49&lt;/D&gt;&lt;D xsi:type="xsd:double"&gt;80.68&lt;/D&gt;&lt;D xsi:type="xsd:double"&gt;80.78&lt;/D&gt;&lt;D xsi:type="xsd:double"&gt;82.47&lt;/D&gt;&lt;D xsi:type="xsd:double"&gt;83.98&lt;/D&gt;&lt;D xsi:type="xsd:double"&gt;83.01&lt;/D&gt;&lt;D xsi:type="xsd:double"&gt;84.34&lt;/D&gt;&lt;D xsi:type="xsd:double"&gt;83.75&lt;/D&gt;&lt;D xsi:type="xsd:double"&gt;83.68&lt;/D&gt;&lt;D xsi:type="xsd:double"&gt;83.29&lt;/D&gt;&lt;D xsi:type="xsd:double"&gt;82.96&lt;/D&gt;&lt;D xsi:type="xsd:double"&gt;82.8&lt;/D&gt;&lt;D xsi:type="xsd:double"&gt;82.83&lt;/D&gt;&lt;D xsi:type="xsd:double"&gt;83.64&lt;/D&gt;&lt;D xsi:type="xsd:double"&gt;83.45&lt;/D&gt;&lt;D xsi:type="xsd:double"&gt;83.21&lt;/D&gt;&lt;D xsi:type="xsd:double"&gt;83.23&lt;/D&gt;&lt;D xsi:type="xsd:double"&gt;83.93&lt;/D&gt;&lt;D xsi:type="xsd:double"&gt;83.53&lt;/D&gt;&lt;D xsi:type="xsd:double"&gt;82.5&lt;/D&gt;&lt;D xsi:type="xsd:double"&gt;82.22&lt;/D&gt;&lt;D xsi:type="xsd:double"&gt;82.18&lt;/D&gt;&lt;D xsi:type="xsd:double"&gt;82.57&lt;/D&gt;&lt;D xsi:type="xsd:double"&gt;83.54&lt;/D&gt;&lt;D xsi:type="xsd:double"&gt;82&lt;/D&gt;&lt;D xsi:type="xsd:double"&gt;81.55&lt;/D&gt;&lt;D xsi:type="xsd:double"&gt;81.29&lt;/D&gt;&lt;D xsi:type="xsd:double"&gt;80.04&lt;/D&gt;&lt;D xsi:type="xsd:double"&gt;79.29&lt;/D&gt;&lt;D xsi:type="xsd:double"&gt;78.36&lt;/D&gt;&lt;D xsi:type="xsd:double"&gt;81.55&lt;/D&gt;&lt;D xsi:type="xsd:double"&gt;81.75&lt;/D&gt;&lt;D xsi:type="xsd:double"&gt;81.96&lt;/D&gt;&lt;D xsi:type="xsd:double"&gt;83.27&lt;/D&gt;&lt;D xsi:type="xsd:double"&gt;81.78&lt;/D&gt;&lt;D xsi:type="xsd:double"&gt;80.15&lt;/D&gt;&lt;D xsi:type="xsd:double"&gt;80.21&lt;/D&gt;&lt;D xsi:type="xsd:double"&gt;80.21&lt;/D&gt;&lt;D xsi:type="xsd:double"&gt;80.51&lt;/D&gt;&lt;D xsi:type="xsd:double"&gt;80.44&lt;/D&gt;&lt;D xsi:type="xsd:double"&gt;80.46&lt;/D&gt;&lt;D xsi:type="xsd:double"&gt;80.85&lt;/D&gt;&lt;D xsi:type="xsd:double"&gt;81.09&lt;/D&gt;&lt;D xsi:type="xsd:double"&gt;81.25&lt;/D&gt;&lt;D xsi:type="xsd:double"&gt;80.79&lt;/D&gt;&lt;D xsi:type="xsd:double"&gt;81.49&lt;/D&gt;&lt;D xsi:type="xsd:double"&gt;81.17&lt;/D&gt;&lt;D xsi:type="xsd:double"&gt;81.35&lt;/D&gt;&lt;D xsi:type="xsd:double"&gt;81.35&lt;/D&gt;&lt;D xsi:type="xsd:double"&gt;80.76&lt;/D&gt;&lt;D xsi:type="xsd:double"&gt;81.32&lt;/D&gt;&lt;D xsi:type="xsd:double"&gt;80.36&lt;/D&gt;&lt;D xsi:type="xsd:double"&gt;80.06&lt;/D&gt;&lt;D xsi:type="xsd:double"&gt;80.96&lt;/D&gt;&lt;D xsi:type="xsd:double"&gt;79.18&lt;/D&gt;&lt;D xsi:type="xsd:double"&gt;78.73&lt;/D&gt;&lt;D xsi:type="xsd:double"&gt;77.93&lt;/D&gt;&lt;D xsi:type="xsd:double"&gt;78.15&lt;/D&gt;&lt;D xsi:type="xsd:double"&gt;78.28&lt;/D&gt;&lt;D xsi:type="xsd:double"&gt;79.29&lt;/D&gt;&lt;D xsi:type="xsd:double"&gt;78.63&lt;/D&gt;&lt;D xsi:type="xsd:double"&gt;78.92&lt;/D&gt;&lt;D xsi:type="xsd:double"&gt;79.05&lt;/D&gt;&lt;D xsi:type="xsd:double"&gt;80.02&lt;/D&gt;&lt;D xsi:type="xsd:double"&gt;78.7&lt;/D&gt;&lt;D xsi:type="xsd:double"&gt;79.64&lt;/D&gt;&lt;D xsi:type="xsd:double"&gt;80.02&lt;/D&gt;&lt;D xsi:type="xsd:double"&gt;80.3&lt;/D&gt;&lt;D xsi:type="xsd:double"&gt;80.15&lt;/D&gt;&lt;D xsi:type="xsd:double"&gt;78.8&lt;/D&gt;&lt;D xsi:type="xsd:double"&gt;79.27&lt;/D&gt;&lt;D xsi:type="xsd:double"&gt;79.23&lt;/D&gt;&lt;D xsi:type="xsd:double"&gt;77.79&lt;/D&gt;&lt;D xsi:type="xsd:double"&gt;77.93&lt;/D&gt;&lt;D xsi:type="xsd:double"&gt;76.62&lt;/D&gt;&lt;D xsi:type="xsd:double"&gt;76.03&lt;/D&gt;&lt;D xsi:type="xsd:double"&gt;75.03&lt;/D&gt;&lt;D xsi:type="xsd:double"&gt;75.29&lt;/D&gt;&lt;D xsi:type="xsd:double"&gt;74.07&lt;/D&gt;&lt;D xsi:type="xsd:double"&gt;73.62&lt;/D&gt;&lt;D xsi:type="xsd:double"&gt;73.98&lt;/D&gt;&lt;D xsi:type="xsd:double"&gt;73.88&lt;/D&gt;&lt;D xsi:type="xsd:double"&gt;74.27&lt;/D&gt;&lt;D xsi:type="xsd:double"&gt;75.68&lt;/D&gt;&lt;D xsi:type="xsd:double"&gt;76.55&lt;/D&gt;&lt;D xsi:type="xsd:double"&gt;76.49&lt;/D&gt;&lt;D xsi:type="xsd:double"&gt;72.98&lt;/D&gt;&lt;D xsi:type="xsd:double"&gt;72.61&lt;/D&gt;&lt;D xsi:type="xsd:double"&gt;71.81&lt;/D&gt;&lt;D xsi:type="xsd:double"&gt;72.39&lt;/D&gt;&lt;D xsi:type="xsd:double"&gt;72.02&lt;/D&gt;&lt;D xsi:type="xsd:double"&gt;71.69&lt;/D&gt;&lt;D xsi:type="xsd:double"&gt;72.41&lt;/D&gt;&lt;D xsi:type="xsd:double"&gt;72.36&lt;/D&gt;&lt;D xsi:type="xsd:double"&gt;72.94&lt;/D&gt;&lt;D xsi:type="xsd:double"&gt;73.3&lt;/D&gt;&lt;D xsi:type="xsd:double"&gt;73.19&lt;/D&gt;&lt;D xsi:type="xsd:double"&gt;72.82&lt;/D&gt;&lt;D xsi:type="xsd:double"&gt;74.6&lt;/D&gt;&lt;D xsi:type="xsd:double"&gt;74.46&lt;/D&gt;&lt;D xsi:type="xsd:double"&gt;74.42&lt;/D&gt;&lt;D xsi:type="xsd:double"&gt;74.97&lt;/D&gt;&lt;D xsi:type="xsd:double"&gt;75.28&lt;/D&gt;&lt;D xsi:type="xsd:double"&gt;73.97&lt;/D&gt;&lt;D xsi:type="xsd:double"&gt;72.44&lt;/D&gt;&lt;D xsi:type="xsd:double"&gt;72.74&lt;/D&gt;&lt;D xsi:type="xsd:double"&gt;72.02&lt;/D&gt;&lt;D xsi:type="xsd:double"&gt;71.76&lt;/D&gt;&lt;D xsi:type="xsd:double"&gt;73.05&lt;/D&gt;&lt;D xsi:type="xsd:double"&gt;72.28&lt;/D&gt;&lt;D xsi:type="xsd:double"&gt;73.15&lt;/D&gt;&lt;D xsi:type="xsd:double"&gt;73.6&lt;/D&gt;&lt;D xsi:type="xsd:double"&gt;74.21&lt;/D&gt;&lt;D xsi:type="xsd:double"&gt;73.67&lt;/D&gt;&lt;D xsi:type="xsd:double"&gt;73.88&lt;/D&gt;&lt;D xsi:type="xsd:double"&gt;73.93&lt;/D&gt;&lt;D xsi:type="xsd:double"&gt;73.82&lt;/D&gt;&lt;D xsi:type="xsd:double"&gt;73.39&lt;/D&gt;&lt;D xsi:type="xsd:double"&gt;74.08&lt;/D&gt;&lt;D xsi:type="xsd:double"&gt;74.13&lt;/D&gt;&lt;D xsi:type="xsd:double"&gt;75.04&lt;/D&gt;&lt;D xsi:type="xsd:double"&gt;74.12&lt;/D&gt;&lt;D xsi:type="xsd:double"&gt;74.03&lt;/D&gt;&lt;D xsi:type="xsd:double"&gt;73.61&lt;/D&gt;&lt;D xsi:type="xsd:double"&gt;74.95&lt;/D&gt;&lt;D xsi:type="xsd:double"&gt;73.03&lt;/D&gt;&lt;D xsi:type="xsd:double"&gt;72.37&lt;/D&gt;&lt;D xsi:type="xsd:double"&gt;72.31&lt;/D&gt;&lt;D xsi:type="xsd:double"&gt;72.99&lt;/D&gt;&lt;D xsi:type="xsd:double"&gt;72.57&lt;/D&gt;&lt;D xsi:type="xsd:double"&gt;72.49&lt;/D&gt;&lt;D xsi:type="xsd:double"&gt;72.3&lt;/D&gt;&lt;D xsi:type="xsd:double"&gt;71.45&lt;/D&gt;&lt;D xsi:type="xsd:double"&gt;72.25&lt;/D&gt;&lt;D xsi:type="xsd:double"&gt;72.8&lt;/D&gt;&lt;D xsi:type="xsd:double"&gt;72.01&lt;/D&gt;&lt;D xsi:type="xsd:double"&gt;71.83&lt;/D&gt;&lt;D xsi:type="xsd:double"&gt;71.98&lt;/D&gt;&lt;D xsi:type="xsd:double"&gt;72.43&lt;/D&gt;&lt;D xsi:type="xsd:double"&gt;72.39&lt;/D&gt;&lt;D xsi:type="xsd:double"&gt;71.89&lt;/D&gt;&lt;D xsi:type="xsd:double"&gt;71.17&lt;/D&gt;&lt;D xsi:type="xsd:double"&gt;71.43&lt;/D&gt;&lt;D xsi:type="xsd:double"&gt;72.02&lt;/D&gt;&lt;D xsi:type="xsd:double"&gt;71.74&lt;/D&gt;&lt;D xsi:type="xsd:double"&gt;70.77&lt;/D&gt;&lt;D xsi:type="xsd:double"&gt;70.28&lt;/D&gt;&lt;D xsi:type="xsd:double"&gt;69.48&lt;/D&gt;&lt;D xsi:type="xsd:double"&gt;69.27&lt;/D&gt;&lt;D xsi:type="xsd:double"&gt;67.92&lt;/D&gt;&lt;D xsi:type="xsd:double"&gt;68.07&lt;/D&gt;&lt;D xsi:type="xsd:double"&gt;66.78&lt;/D&gt;&lt;D xsi:type="xsd:double"&gt;67.44&lt;/D&gt;&lt;D xsi:type="xsd:double"&gt;66.9&lt;/D&gt;&lt;D xsi:type="xsd:double"&gt;65.82&lt;/D&gt;&lt;D xsi:type="xsd:double"&gt;64.22&lt;/D&gt;&lt;D xsi:type="xsd:double"&gt;66.34&lt;/D&gt;&lt;D xsi:type="xsd:double"&gt;61.65&lt;/D&gt;&lt;D xsi:type="xsd:double"&gt;61.32&lt;/D&gt;&lt;D xsi:type="xsd:double"&gt;61.51&lt;/D&gt;&lt;D xsi:type="xsd:double"&gt;65.41&lt;/D&gt;&lt;D xsi:type="xsd:double"&gt;68.22&lt;/D&gt;&lt;D xsi:type="xsd:double"&gt;68.2&lt;/D&gt;&lt;D xsi:type="xsd:double"&gt;68.56&lt;/D&gt;&lt;D xsi:type="xsd:double"&gt;69.22&lt;/D&gt;&lt;D xsi:type="xsd:double"&gt;70.65&lt;/D&gt;&lt;D xsi:type="xsd:double"&gt;70.75&lt;/D&gt;&lt;D xsi:type="xsd:double"&gt;71.68&lt;/D&gt;&lt;D xsi:type="xsd:double"&gt;71.17&lt;/D&gt;&lt;/FQL&gt;&lt;FQL&gt;&lt;Q&gt;TUR^FG_PRICE(0,-200D)&lt;/Q&gt;&lt;R&gt;201&lt;/R&gt;&lt;C&gt;1&lt;/C&gt;&lt;D xsi:type="xsd:double"&gt;36.73&lt;/D&gt;&lt;D xsi:type="xsd:double"&gt;36.63&lt;/D&gt;&lt;D xsi:type="xsd:double"&gt;36.77&lt;/D&gt;&lt;D xsi:type="xsd:double"&gt;35.81&lt;/D&gt;&lt;D xsi:type="xsd:double"&gt;34.92&lt;/D&gt;&lt;D xsi:type="xsd:double"&gt;34.42&lt;/D&gt;&lt;D xsi:type="xsd:double"&gt;34.42&lt;/D&gt;&lt;D xsi:type="xsd:double"&gt;34.41&lt;/D&gt;&lt;D xsi:type="xsd:double"&gt;34.76&lt;/D&gt;&lt;D xsi:type="xsd:double"&gt;34.87&lt;/D&gt;&lt;D xsi:type="xsd:double"&gt;34.815&lt;/D&gt;&lt;D xsi:type="xsd:double"&gt;34.61&lt;/D&gt;&lt;D xsi:type="xsd:double"&gt;34.86&lt;/D&gt;&lt;D xsi:type="xsd:double"&gt;34.82&lt;/D&gt;&lt;D xsi:type="xsd:double"&gt;34.735&lt;/D&gt;&lt;D xsi:type="xsd:double"&gt;34.71&lt;/D&gt;&lt;D xsi:type="xsd:double"&gt;35.29&lt;/D&gt;&lt;D xsi:type="xsd:double"&gt;34.82&lt;/D&gt;&lt;D xsi:type="xsd:double"&gt;34.82&lt;/D&gt;&lt;D xsi:type="xsd:double"&gt;34.73&lt;/D&gt;&lt;D xsi:type="xsd:double"&gt;34.66&lt;/D&gt;&lt;D xsi:type="xsd:double"&gt;34.42&lt;/D&gt;&lt;D xsi:type="xsd:double"&gt;33.84&lt;/D&gt;&lt;D xsi:type="xsd:double"&gt;33.55&lt;/D&gt;&lt;D xsi:type="xsd:double"&gt;33.87&lt;/D&gt;&lt;D xsi:type="xsd:double"&gt;34.1&lt;/D&gt;&lt;D xsi:type="xsd:double"&gt;34.03&lt;/D&gt;&lt;D xsi:type="xsd:double"&gt;33.5&lt;/D&gt;&lt;D xsi:type="xsd:double"&gt;33.59&lt;/D&gt;&lt;D xsi:type="xsd:double"&gt;33.54&lt;/D&gt;&lt;D xsi:type="xsd:double"&gt;33.76&lt;/D&gt;&lt;D xsi:type="xsd:double"&gt;33.78&lt;/D&gt;&lt;D xsi:type="xsd:double"&gt;33.58&lt;/D&gt;&lt;D xsi:type="xsd:double"&gt;33.66&lt;/D&gt;&lt;D xsi:type="xsd:double"&gt;33.3&lt;/D&gt;&lt;D xsi:type="xsd:double"&gt;33.08&lt;/D&gt;&lt;D xsi:type="xsd:double"&gt;32.85&lt;/D&gt;&lt;D xsi:type="xsd:double"&gt;32.78&lt;/D&gt;&lt;D xsi:type="xsd:double"&gt;33.03&lt;/D&gt;&lt;D xsi:type="xsd:double"&gt;32.85&lt;/D&gt;&lt;D xsi:type="xsd:double"&gt;33.55&lt;/D&gt;&lt;D xsi:type="xsd:double"&gt;33.86&lt;/D&gt;&lt;D xsi:type="xsd:double"&gt;34.25&lt;/D&gt;&lt;D xsi:type="xsd:double"&gt;34.13&lt;/D&gt;&lt;D xsi:type="xsd:double"&gt;33.91&lt;/D&gt;&lt;D xsi:type="xsd:double"&gt;34.45&lt;/D&gt;&lt;D xsi:type="xsd:double"&gt;34.15&lt;/D&gt;&lt;D xsi:type="xsd:double"&gt;33.64&lt;/D&gt;&lt;D xsi:type="xsd:double"&gt;33.91&lt;/D&gt;&lt;D xsi:type="xsd:double"&gt;33.98&lt;/D&gt;&lt;D xsi:type="xsd:double"&gt;33.89&lt;/D&gt;&lt;D xsi:type="xsd:double"&gt;34.04&lt;/D&gt;&lt;D xsi:type="xsd:double"&gt;33.11&lt;/D&gt;&lt;D xsi:type="xsd:double"&gt;32.96&lt;/D&gt;&lt;D xsi:type="xsd:double"&gt;32.72&lt;/D&gt;&lt;D xsi:type="xsd:double"&gt;32.76&lt;/D&gt;&lt;D xsi:type="xsd:double"&gt;31.9&lt;/D&gt;&lt;D xsi:type="xsd:double"&gt;32.34&lt;/D&gt;&lt;D xsi:type="xsd:double"&gt;32.56&lt;/D&gt;&lt;D xsi:type="xsd:double"&gt;32.35&lt;/D&gt;&lt;D xsi:type="xsd:double"&gt;33.04&lt;/D&gt;&lt;D xsi:type="xsd:double"&gt;32.84&lt;/D&gt;&lt;D xsi:type="xsd:double"&gt;33.37&lt;/D&gt;&lt;D xsi:type="xsd:double"&gt;33.615&lt;/D&gt;&lt;D xsi:type="xsd:double"&gt;33.69&lt;/D&gt;&lt;D xsi:type="xsd:double"&gt;33.47&lt;/D&gt;&lt;D xsi:type="xsd:double"&gt;33.74&lt;/D&gt;&lt;D xsi:type="xsd:double"&gt;34.45&lt;/D&gt;&lt;D xsi:type="xsd:double"&gt;34.96&lt;/D&gt;&lt;D xsi:type="xsd:double"&gt;34.23&lt;/D&gt;&lt;D xsi:type="xsd:double"&gt;34.57&lt;/D&gt;&lt;D xsi:type="xsd:double"&gt;34.77&lt;/D&gt;&lt;D xsi:type="xsd:double"&gt;35.19&lt;/D&gt;&lt;D xsi:type="xsd:double"&gt;35.3&lt;/D&gt;&lt;D xsi:type="xsd:double"&gt;35.06&lt;/D&gt;&lt;D xsi:type="xsd:double"&gt;35.58&lt;/D&gt;&lt;D xsi:type="xsd:double"&gt;35.38&lt;/D&gt;&lt;D xsi:type="xsd:double"&gt;34.35&lt;/D&gt;&lt;D xsi:type="xsd:double"&gt;34.75&lt;/D&gt;&lt;D xsi:type="xsd:double"&gt;34.82&lt;/D&gt;&lt;D xsi:type="xsd:double"&gt;34.24&lt;/D&gt;&lt;D xsi:type="xsd:double"&gt;32.27&lt;/D&gt;&lt;D xsi:type="xsd:double"&gt;32.32&lt;/D&gt;&lt;D xsi:type="xsd:double"&gt;32.92&lt;/D&gt;&lt;D xsi:type="xsd:double"&gt;32.68&lt;/D&gt;&lt;D xsi:type="xsd:double"&gt;32.54&lt;/D&gt;&lt;D xsi:type="xsd:double"&gt;33.33&lt;/D&gt;&lt;D xsi:type="xsd:double"&gt;33.73&lt;/D&gt;&lt;D xsi:type="xsd:double"&gt;33.51&lt;/D&gt;&lt;D xsi:type="xsd:double"&gt;33.97&lt;/D&gt;&lt;D xsi:type="xsd:double"&gt;35.29&lt;/D&gt;&lt;D xsi:type="xsd:double"&gt;35.54&lt;/D&gt;&lt;D xsi:type="xsd:double"&gt;35.51&lt;/D&gt;&lt;D xsi:type="xsd:double"&gt;35.97&lt;/D&gt;&lt;D xsi:type="xsd:double"&gt;35.93&lt;/D&gt;&lt;D xsi:type="xsd:double"&gt;35.69&lt;/D&gt;&lt;D xsi:type="xsd:double"&gt;35.51&lt;/D&gt;&lt;D xsi:type="xsd:double"&gt;35.04&lt;/D&gt;&lt;D xsi:type="xsd:double"&gt;34.5&lt;/D&gt;&lt;D xsi:type="xsd:double"&gt;34.47&lt;/D&gt;&lt;D xsi:type="xsd:double"&gt;34.24&lt;/D&gt;&lt;D xsi:type="xsd:double"&gt;34.11&lt;/D&gt;&lt;D xsi:type="xsd:double"&gt;34.47&lt;/D&gt;&lt;D xsi:type="xsd:double"&gt;34.54&lt;/D&gt;&lt;D xsi:type="xsd:double"&gt;34.8448&lt;/D&gt;&lt;D xsi:type="xsd:double"&gt;34.68&lt;/D&gt;&lt;D xsi:type="xsd:double"&gt;34.61&lt;/D&gt;&lt;D xsi:type="xsd:double"&gt;34.46&lt;/D&gt;&lt;D xsi:type="xsd:double"&gt;34.29&lt;/D&gt;&lt;D xsi:type="xsd:double"&gt;34.32&lt;/D&gt;&lt;D xsi:type="xsd:double"&gt;33.92&lt;/D&gt;&lt;D xsi:type="xsd:double"&gt;33.85&lt;/D&gt;&lt;D xsi:type="xsd:double"&gt;33.66&lt;/D&gt;&lt;D xsi:type="xsd:double"&gt;33.28&lt;/D&gt;&lt;D xsi:type="xsd:double"&gt;33.43&lt;/D&gt;&lt;D xsi:type="xsd:double"&gt;33.79&lt;/D&gt;&lt;D xsi:type="xsd:double"&gt;33.95&lt;/D&gt;&lt;D xsi:type="xsd:double"&gt;33.86&lt;/D&gt;&lt;D xsi:type="xsd:double"&gt;33.87&lt;/D&gt;&lt;D xsi:type="xsd:double"&gt;33.93&lt;/D&gt;&lt;D xsi:type="xsd:double"&gt;32.995&lt;/D&gt;&lt;D xsi:type="xsd:double"&gt;33.15&lt;/D&gt;&lt;D xsi:type="xsd:double"&gt;32.5&lt;/D&gt;&lt;D xsi:type="xsd:double"&gt;32.84&lt;/D&gt;&lt;D xsi:type="xsd:double"&gt;32.97&lt;/D&gt;&lt;D xsi:type="xsd:double"&gt;33.17&lt;/D&gt;&lt;D xsi:type="xsd:double"&gt;33.25&lt;/D&gt;&lt;D xsi:type="xsd:double"&gt;32.79&lt;/D&gt;&lt;D xsi:type="xsd:double"&gt;32.12&lt;/D&gt;&lt;D xsi:type="xsd:double"&gt;32.44&lt;/D&gt;&lt;D xsi:type="xsd:double"&gt;33.04&lt;/D&gt;&lt;D xsi:type="xsd:double"&gt;33.07&lt;/D&gt;&lt;D xsi:type="xsd:double"&gt;32.48&lt;/D&gt;&lt;D xsi:type="xsd:double"&gt;32.26&lt;/D&gt;&lt;D xsi:type="xsd:double"&gt;30.49&lt;/D&gt;&lt;D xsi:type="xsd:double"&gt;30.19&lt;/D&gt;&lt;D xsi:type="xsd:double"&gt;30.68&lt;/D&gt;&lt;D xsi:type="xsd:double"&gt;30.86&lt;/D&gt;&lt;D xsi:type="xsd:double"&gt;30.08&lt;/D&gt;&lt;D xsi:type="xsd:double"&gt;29.96&lt;/D&gt;&lt;D xsi:type="xsd:double"&gt;30.11&lt;/D&gt;&lt;D xsi:type="xsd:double"&gt;30.21&lt;/D&gt;&lt;D xsi:type="xsd:double"&gt;30.63&lt;/D&gt;&lt;D xsi:type="xsd:double"&gt;30.75&lt;/D&gt;&lt;D xsi:type="xsd:double"&gt;31.57&lt;/D&gt;&lt;D xsi:type="xsd:double"&gt;32.11&lt;/D&gt;&lt;D xsi:type="xsd:double"&gt;32.17&lt;/D&gt;&lt;D xsi:type="xsd:double"&gt;31.66&lt;/D&gt;&lt;D xsi:type="xsd:double"&gt;31.61&lt;/D&gt;&lt;D xsi:type="xsd:double"&gt;31.44&lt;/D&gt;&lt;D xsi:type="xsd:double"&gt;31.36&lt;/D&gt;&lt;D xsi:type="xsd:double"&gt;30.84&lt;/D&gt;&lt;D xsi:type="xsd:double"&gt;30.05&lt;/D&gt;&lt;D xsi:type="xsd:double"&gt;29.99&lt;/D&gt;&lt;D xsi:type="xsd:double"&gt;30.54&lt;/D&gt;&lt;D xsi:type="xsd:double"&gt;30.56&lt;/D&gt;&lt;D xsi:type="xsd:double"&gt;30.86&lt;/D&gt;&lt;D xsi:type="xsd:double"&gt;31.24&lt;/D&gt;&lt;D xsi:type="xsd:double"&gt;31.7&lt;/D&gt;&lt;D xsi:type="xsd:double"&gt;31.42&lt;/D&gt;&lt;D xsi:type="xsd:double"&gt;31.86&lt;/D&gt;&lt;D xsi:type="xsd:double"&gt;32.49&lt;/D&gt;&lt;D xsi:type="xsd:double"&gt;32.43&lt;/D&gt;&lt;D xsi:type="xsd:double"&gt;31.91&lt;/D&gt;&lt;D xsi:type="xsd:double"&gt;32.48&lt;/D&gt;&lt;D xsi:type="xsd:double"&gt;32.46&lt;/D&gt;&lt;D xsi:type="xsd:double"&gt;32.62&lt;/D&gt;&lt;D xsi:type="xsd:double"&gt;31.41&lt;/D&gt;&lt;D xsi:type="xsd:double"&gt;31.19&lt;/D&gt;&lt;D xsi:type="xsd:double"&gt;30.31&lt;/D&gt;&lt;D xsi:type="xsd:double"&gt;30.76&lt;/D&gt;&lt;D xsi:type="xsd:double"&gt;30.7&lt;/D&gt;&lt;D xsi:type="xsd:double"&gt;30.94&lt;/D&gt;&lt;D xsi:type="xsd:double"&gt;30.66&lt;/D&gt;&lt;D xsi:type="xsd:double"&gt;30.67&lt;/D&gt;&lt;D xsi:type="xsd:double"&gt;31.18&lt;/D&gt;&lt;D xsi:type="xsd:double"&gt;31.48&lt;/D&gt;&lt;D xsi:type="xsd:double"&gt;31.96&lt;/D&gt;&lt;D xsi:type="xsd:double"&gt;32.18&lt;/D&gt;&lt;D xsi:type="xsd:double"&gt;31.77&lt;/D&gt;&lt;D xsi:type="xsd:double"&gt;31.66&lt;/D&gt;&lt;D xsi:type="xsd:double"&gt;31.71&lt;/D&gt;&lt;D xsi:type="xsd:double"&gt;31.91&lt;/D&gt;&lt;D xsi:type="xsd:double"&gt;31.21&lt;/D&gt;&lt;D xsi:type="xsd:double"&gt;31.85&lt;/D&gt;&lt;D xsi:type="xsd:double"&gt;32.13&lt;/D&gt;&lt;D xsi:type="xsd:double"&gt;32.08&lt;/D&gt;&lt;D xsi:type="xsd:double"&gt;31.9&lt;/D&gt;&lt;D xsi:type="xsd:double"&gt;32.83&lt;/D&gt;&lt;D xsi:type="xsd:double"&gt;31.83&lt;/D&gt;&lt;D xsi:type="xsd:double"&gt;31.86&lt;/D&gt;&lt;D xsi:type="xsd:double"&gt;31.67&lt;/D&gt;&lt;D xsi:type="xsd:double"&gt;32.2&lt;/D&gt;&lt;D xsi:type="xsd:double"&gt;32.44&lt;/D&gt;&lt;D xsi:type="xsd:double"&gt;32.89&lt;/D&gt;&lt;D xsi:type="xsd:double"&gt;32.82&lt;/D&gt;&lt;D xsi:type="xsd:double"&gt;32.67&lt;/D&gt;&lt;D xsi:type="xsd:double"&gt;32.31&lt;/D&gt;&lt;D xsi:type="xsd:double"&gt;32.76&lt;/D&gt;&lt;D xsi:type="xsd:double"&gt;32.63&lt;/D&gt;&lt;D xsi:type="xsd:double"&gt;31.74&lt;/D&gt;&lt;/FQL&gt;&lt;FQL&gt;&lt;Q&gt;EWY^FG_PRICE(0,-200D)&lt;/Q&gt;&lt;R&gt;201&lt;/R&gt;&lt;C&gt;1&lt;/C&gt;&lt;D xsi:type="xsd:double"&gt;106.59&lt;/D&gt;&lt;D xsi:type="xsd:double"&gt;107.03&lt;/D&gt;&lt;D xsi:type="xsd:double"&gt;107.61&lt;/D&gt;&lt;D xsi:type="xsd:double"&gt;104.83&lt;/D&gt;&lt;D xsi:type="xsd:double"&gt;102.22&lt;/D&gt;&lt;D xsi:type="xsd:double"&gt;97.22&lt;/D&gt;&lt;D xsi:type="xsd:double"&gt;98.62&lt;/D&gt;&lt;D xsi:type="xsd:double"&gt;98.72&lt;/D&gt;&lt;D xsi:type="xsd:double"&gt;95.84&lt;/D&gt;&lt;D xsi:type="xsd:double"&gt;94.6&lt;/D&gt;&lt;D xsi:type="xsd:double"&gt;92.7&lt;/D&gt;&lt;D xsi:type="xsd:double"&gt;91.75&lt;/D&gt;&lt;D xsi:type="xsd:double"&gt;91.34&lt;/D&gt;&lt;D xsi:type="xsd:double"&gt;90.07&lt;/D&gt;&lt;D xsi:type="xsd:double"&gt;88.58&lt;/D&gt;&lt;D xsi:type="xsd:double"&gt;89.52&lt;/D&gt;&lt;D xsi:type="xsd:double"&gt;92.73&lt;/D&gt;&lt;D xsi:type="xsd:double"&gt;92.67&lt;/D&gt;&lt;D xsi:type="xsd:double"&gt;94.96&lt;/D&gt;&lt;D xsi:type="xsd:double"&gt;96.75&lt;/D&gt;&lt;D xsi:type="xsd:double"&gt;95.57&lt;/D&gt;&lt;D xsi:type="xsd:double"&gt;95.07&lt;/D&gt;&lt;D xsi:type="xsd:double"&gt;94.3&lt;/D&gt;&lt;D xsi:type="xsd:double"&gt;91.87&lt;/D&gt;&lt;D xsi:type="xsd:double"&gt;93&lt;/D&gt;&lt;D xsi:type="xsd:double"&gt;92.07&lt;/D&gt;&lt;D xsi:type="xsd:double"&gt;90.62&lt;/D&gt;&lt;D xsi:type="xsd:double"&gt;90.87&lt;/D&gt;&lt;D xsi:type="xsd:double"&gt;91.55&lt;/D&gt;&lt;D xsi:type="xsd:double"&gt;89.79&lt;/D&gt;&lt;D xsi:type="xsd:double"&gt;90.3&lt;/D&gt;&lt;D xsi:type="xsd:double"&gt;89.22&lt;/D&gt;&lt;D xsi:type="xsd:double"&gt;88.53&lt;/D&gt;&lt;D xsi:type="xsd:double"&gt;90.56&lt;/D&gt;&lt;D xsi:type="xsd:double"&gt;91.59&lt;/D&gt;&lt;D xsi:type="xsd:double"&gt;93.02&lt;/D&gt;&lt;D xsi:type="xsd:double"&gt;94.13&lt;/D&gt;&lt;D xsi:type="xsd:double"&gt;94.07&lt;/D&gt;&lt;D xsi:type="xsd:double"&gt;95.92&lt;/D&gt;&lt;D xsi:type="xsd:double"&gt;95.29&lt;/D&gt;&lt;D xsi:type="xsd:double"&gt;95.67&lt;/D&gt;&lt;D xsi:type="xsd:double"&gt;91.8&lt;/D&gt;&lt;D xsi:type="xsd:double"&gt;93.51&lt;/D&gt;&lt;D xsi:type="xsd:double"&gt;96.62&lt;/D&gt;&lt;D xsi:type="xsd:double"&gt;95.76&lt;/D&gt;&lt;D xsi:type="xsd:double"&gt;100.78&lt;/D&gt;&lt;D xsi:type="xsd:double"&gt;97&lt;/D&gt;&lt;D xsi:type="xsd:double"&gt;95.26&lt;/D&gt;&lt;D xsi:type="xsd:double"&gt;96.9&lt;/D&gt;&lt;D xsi:type="xsd:double"&gt;94.45&lt;/D&gt;&lt;D xsi:type="xsd:double"&gt;94.31&lt;/D&gt;&lt;D xsi:type="xsd:double"&gt;92.05&lt;/D&gt;&lt;D xsi:type="xsd:double"&gt;90.07&lt;/D&gt;&lt;D xsi:type="xsd:double"&gt;89.45&lt;/D&gt;&lt;D xsi:type="xsd:double"&gt;88.64&lt;/D&gt;&lt;D xsi:type="xsd:double"&gt;90.43&lt;/D&gt;&lt;D xsi:type="xsd:double"&gt;88.52&lt;/D&gt;&lt;D xsi:type="xsd:double"&gt;87.88&lt;/D&gt;&lt;D xsi:type="xsd:double"&gt;85.17&lt;/D&gt;&lt;D xsi:type="xsd:double"&gt;82.69&lt;/D&gt;&lt;D xsi:type="xsd:double"&gt;83.62&lt;/D&gt;&lt;D xsi:type="xsd:double"&gt;80.72&lt;/D&gt;&lt;D xsi:type="xsd:double"&gt;83.43&lt;/D&gt;&lt;D xsi:type="xsd:double"&gt;84.19&lt;/D&gt;&lt;D xsi:type="xsd:double"&gt;83.35&lt;/D&gt;&lt;D xsi:type="xsd:double"&gt;84.78&lt;/D&gt;&lt;D xsi:type="xsd:double"&gt;83.85&lt;/D&gt;&lt;D xsi:type="xsd:double"&gt;83.53&lt;/D&gt;&lt;D xsi:type="xsd:double"&gt;81.89&lt;/D&gt;&lt;D xsi:type="xsd:double"&gt;80.1&lt;/D&gt;&lt;D xsi:type="xsd:double"&gt;80.24&lt;/D&gt;&lt;D xsi:type="xsd:double"&gt;78.87&lt;/D&gt;&lt;D xsi:type="xsd:double"&gt;79.89&lt;/D&gt;&lt;D xsi:type="xsd:double"&gt;80.04&lt;/D&gt;&lt;D xsi:type="xsd:double"&gt;81.45&lt;/D&gt;&lt;D xsi:type="xsd:double"&gt;81.56&lt;/D&gt;&lt;D xsi:type="xsd:double"&gt;80.05&lt;/D&gt;&lt;D xsi:type="xsd:double"&gt;80.75&lt;/D&gt;&lt;D xsi:type="xsd:double"&gt;79.83&lt;/D&gt;&lt;D xsi:type="xsd:double"&gt;80.69&lt;/D&gt;&lt;D xsi:type="xsd:double"&gt;79.19&lt;/D&gt;&lt;D xsi:type="xsd:double"&gt;78.66&lt;/D&gt;&lt;D xsi:type="xsd:double"&gt;77.86&lt;/D&gt;&lt;D xsi:type="xsd:double"&gt;76.65&lt;/D&gt;&lt;D xsi:type="xsd:double"&gt;74.92&lt;/D&gt;&lt;D xsi:type="xsd:double"&gt;74.19&lt;/D&gt;&lt;D xsi:type="xsd:double"&gt;73.63&lt;/D&gt;&lt;D xsi:type="xsd:double"&gt;73.07&lt;/D&gt;&lt;D xsi:type="xsd:double"&gt;72.91&lt;/D&gt;&lt;D xsi:type="xsd:double"&gt;71.92&lt;/D&gt;&lt;D xsi:type="xsd:double"&gt;72.24&lt;/D&gt;&lt;D xsi:type="xsd:double"&gt;73.64&lt;/D&gt;&lt;D xsi:type="xsd:double"&gt;72.47&lt;/D&gt;&lt;D xsi:type="xsd:double"&gt;72.39&lt;/D&gt;&lt;D xsi:type="xsd:double"&gt;72.73&lt;/D&gt;&lt;D xsi:type="xsd:double"&gt;73.51&lt;/D&gt;&lt;D xsi:type="xsd:double"&gt;71.22&lt;/D&gt;&lt;D xsi:type="xsd:double"&gt;71.36&lt;/D&gt;&lt;D xsi:type="xsd:double"&gt;71.44&lt;/D&gt;&lt;D xsi:type="xsd:double"&gt;72.8&lt;/D&gt;&lt;D xsi:type="xsd:double"&gt;73.39&lt;/D&gt;&lt;D xsi:type="xsd:double"&gt;73.66&lt;/D&gt;&lt;D xsi:type="xsd:double"&gt;74.72&lt;/D&gt;&lt;D xsi:type="xsd:double"&gt;74.1&lt;/D&gt;&lt;D xsi:type="xsd:double"&gt;73.03&lt;/D&gt;&lt;D xsi:type="xsd:double"&gt;73.5&lt;/D&gt;&lt;D xsi:type="xsd:double"&gt;73.44&lt;/D&gt;&lt;D xsi:type="xsd:double"&gt;73.18&lt;/D&gt;&lt;D xsi:type="xsd:double"&gt;72.89&lt;/D&gt;&lt;D xsi:type="xsd:double"&gt;72.33&lt;/D&gt;&lt;D xsi:type="xsd:double"&gt;70.65&lt;/D&gt;&lt;D xsi:type="xsd:double"&gt;72.81&lt;/D&gt;&lt;D xsi:type="xsd:double"&gt;73.68&lt;/D&gt;&lt;D xsi:type="xsd:double"&gt;73.49&lt;/D&gt;&lt;D xsi:type="xsd:double"&gt;72.71&lt;/D&gt;&lt;D xsi:type="xsd:double"&gt;73.21&lt;/D&gt;&lt;D xsi:type="xsd:double"&gt;73.31&lt;/D&gt;&lt;D xsi:type="xsd:double"&gt;73.85&lt;/D&gt;&lt;D xsi:type="xsd:double"&gt;72.89&lt;/D&gt;&lt;D xsi:type="xsd:double"&gt;73.87&lt;/D&gt;&lt;D xsi:type="xsd:double"&gt;72.39&lt;/D&gt;&lt;D xsi:type="xsd:double"&gt;73.06&lt;/D&gt;&lt;D xsi:type="xsd:double"&gt;73.08&lt;/D&gt;&lt;D xsi:type="xsd:double"&gt;73.07&lt;/D&gt;&lt;D xsi:type="xsd:double"&gt;73.2&lt;/D&gt;&lt;D xsi:type="xsd:double"&gt;72.56&lt;/D&gt;&lt;D xsi:type="xsd:double"&gt;73.14&lt;/D&gt;&lt;D xsi:type="xsd:double"&gt;72.08&lt;/D&gt;&lt;D xsi:type="xsd:double"&gt;72.08&lt;/D&gt;&lt;D xsi:type="xsd:double"&gt;70.07&lt;/D&gt;&lt;D xsi:type="xsd:double"&gt;72.7&lt;/D&gt;&lt;D xsi:type="xsd:double"&gt;71.95&lt;/D&gt;&lt;D xsi:type="xsd:double"&gt;71.64&lt;/D&gt;&lt;D xsi:type="xsd:double"&gt;71.78&lt;/D&gt;&lt;D xsi:type="xsd:double"&gt;70.74&lt;/D&gt;&lt;D xsi:type="xsd:double"&gt;71.94&lt;/D&gt;&lt;D xsi:type="xsd:double"&gt;72.37&lt;/D&gt;&lt;D xsi:type="xsd:double"&gt;72.65&lt;/D&gt;&lt;D xsi:type="xsd:double"&gt;69.42&lt;/D&gt;&lt;D xsi:type="xsd:double"&gt;68.53&lt;/D&gt;&lt;D xsi:type="xsd:double"&gt;67.87&lt;/D&gt;&lt;D xsi:type="xsd:double"&gt;66.63&lt;/D&gt;&lt;D xsi:type="xsd:double"&gt;68.19&lt;/D&gt;&lt;D xsi:type="xsd:double"&gt;66.42&lt;/D&gt;&lt;D xsi:type="xsd:double"&gt;67.69&lt;/D&gt;&lt;D xsi:type="xsd:double"&gt;66.99&lt;/D&gt;&lt;D xsi:type="xsd:double"&gt;66.16&lt;/D&gt;&lt;D xsi:type="xsd:double"&gt;66.48&lt;/D&gt;&lt;D xsi:type="xsd:double"&gt;65.57&lt;/D&gt;&lt;D xsi:type="xsd:double"&gt;65.36&lt;/D&gt;&lt;D xsi:type="xsd:double"&gt;63.98&lt;/D&gt;&lt;D xsi:type="xsd:double"&gt;61.89&lt;/D&gt;&lt;D xsi:type="xsd:double"&gt;61.74&lt;/D&gt;&lt;D xsi:type="xsd:double"&gt;60.63&lt;/D&gt;&lt;D xsi:type="xsd:double"&gt;61.8&lt;/D&gt;&lt;D xsi:type="xsd:double"&gt;60.75&lt;/D&gt;&lt;D xsi:type="xsd:double"&gt;59.98&lt;/D&gt;&lt;D xsi:type="xsd:double"&gt;58.96&lt;/D&gt;&lt;D xsi:type="xsd:double"&gt;58.29&lt;/D&gt;&lt;D xsi:type="xsd:double"&gt;59.1&lt;/D&gt;&lt;D xsi:type="xsd:double"&gt;58.4&lt;/D&gt;&lt;D xsi:type="xsd:double"&gt;58.82&lt;/D&gt;&lt;D xsi:type="xsd:double"&gt;58.79&lt;/D&gt;&lt;D xsi:type="xsd:double"&gt;58.8&lt;/D&gt;&lt;D xsi:type="xsd:double"&gt;58.61&lt;/D&gt;&lt;D xsi:type="xsd:double"&gt;58.12&lt;/D&gt;&lt;D xsi:type="xsd:double"&gt;58.04&lt;/D&gt;&lt;D xsi:type="xsd:double"&gt;57.69&lt;/D&gt;&lt;D xsi:type="xsd:double"&gt;57.2&lt;/D&gt;&lt;D xsi:type="xsd:double"&gt;57.79&lt;/D&gt;&lt;D xsi:type="xsd:double"&gt;58.5&lt;/D&gt;&lt;D xsi:type="xsd:double"&gt;58.38&lt;/D&gt;&lt;D xsi:type="xsd:double"&gt;57.71&lt;/D&gt;&lt;D xsi:type="xsd:double"&gt;55.6&lt;/D&gt;&lt;D xsi:type="xsd:double"&gt;56.19&lt;/D&gt;&lt;D xsi:type="xsd:double"&gt;56.1&lt;/D&gt;&lt;D xsi:type="xsd:double"&gt;55.65&lt;/D&gt;&lt;D xsi:type="xsd:double"&gt;55.81&lt;/D&gt;&lt;D xsi:type="xsd:double"&gt;55.95&lt;/D&gt;&lt;D xsi:type="xsd:double"&gt;55.6&lt;/D&gt;&lt;D xsi:type="xsd:double"&gt;54.81&lt;/D&gt;&lt;D xsi:type="xsd:double"&gt;54.39&lt;/D&gt;&lt;D xsi:type="xsd:double"&gt;54.31&lt;/D&gt;&lt;D xsi:type="xsd:double"&gt;54.06&lt;/D&gt;&lt;D xsi:type="xsd:double"&gt;54.38&lt;/D&gt;&lt;D xsi:type="xsd:double"&gt;54.35&lt;/D&gt;&lt;D xsi:type="xsd:double"&gt;54.31&lt;/D&gt;&lt;D xsi:type="xsd:double"&gt;51.82&lt;/D&gt;&lt;D xsi:type="xsd:double"&gt;53.28&lt;/D&gt;&lt;D xsi:type="xsd:double"&gt;48.92&lt;/D&gt;&lt;D xsi:type="xsd:double"&gt;50.78&lt;/D&gt;&lt;D xsi:type="xsd:double"&gt;51.25&lt;/D&gt;&lt;D xsi:type="xsd:double"&gt;53.14&lt;/D&gt;&lt;D xsi:type="xsd:double"&gt;54.63&lt;/D&gt;&lt;D xsi:type="xsd:double"&gt;54.85&lt;/D&gt;&lt;D xsi:type="xsd:double"&gt;54.04&lt;/D&gt;&lt;D xsi:type="xsd:double"&gt;54.79&lt;/D&gt;&lt;D xsi:type="xsd:double"&gt;56.49&lt;/D&gt;&lt;D xsi:type="xsd:double"&gt;56.81&lt;/D&gt;&lt;D xsi:type="xsd:double"&gt;57.07&lt;/D&gt;&lt;D xsi:type="xsd:double"&gt;57.31&lt;/D&gt;&lt;/FQL&gt;&lt;FQL&gt;&lt;Q&gt;ECH^FG_PRICE(0,-200D)&lt;/Q&gt;&lt;R&gt;201&lt;/R&gt;&lt;C&gt;1&lt;/C&gt;&lt;D xsi:type="xsd:double"&gt;42.75&lt;/D&gt;&lt;D xsi:type="xsd:double"&gt;42.39&lt;/D&gt;&lt;D xsi:type="xsd:double"&gt;42.55&lt;/D&gt;&lt;D xsi:type="xsd:double"&gt;41.6&lt;/D&gt;&lt;D xsi:type="xsd:double"&gt;40.37&lt;/D&gt;&lt;D xsi:type="xsd:double"&gt;40.4&lt;/D&gt;&lt;D xsi:type="xsd:double"&gt;40.54&lt;/D&gt;&lt;D xsi:type="xsd:double"&gt;40.15&lt;/D&gt;&lt;D xsi:type="xsd:double"&gt;40.29&lt;/D&gt;&lt;D xsi:type="xsd:double"&gt;40.03&lt;/D&gt;&lt;D xsi:type="xsd:double"&gt;39.92&lt;/D&gt;&lt;D xsi:type="xsd:double"&gt;39.79&lt;/D&gt;&lt;D xsi:type="xsd:double"&gt;39.31&lt;/D&gt;&lt;D xsi:type="xsd:double"&gt;38.69&lt;/D&gt;&lt;D xsi:type="xsd:double"&gt;38.28&lt;/D&gt;&lt;D xsi:type="xsd:double"&gt;38.84&lt;/D&gt;&lt;D xsi:type="xsd:double"&gt;38.995&lt;/D&gt;&lt;D xsi:type="xsd:double"&gt;39.78&lt;/D&gt;&lt;D xsi:type="xsd:double"&gt;39.28&lt;/D&gt;&lt;D xsi:type="xsd:double"&gt;38.75&lt;/D&gt;&lt;D xsi:type="xsd:double"&gt;38.34&lt;/D&gt;&lt;D xsi:type="xsd:double"&gt;38.24&lt;/D&gt;&lt;D xsi:type="xsd:double"&gt;38.18&lt;/D&gt;&lt;D xsi:type="xsd:double"&gt;38.51&lt;/D&gt;&lt;D xsi:type="xsd:double"&gt;38.62&lt;/D&gt;&lt;D xsi:type="xsd:double"&gt;38.29&lt;/D&gt;&lt;D xsi:type="xsd:double"&gt;37.69&lt;/D&gt;&lt;D xsi:type="xsd:double"&gt;37.86&lt;/D&gt;&lt;D xsi:type="xsd:double"&gt;37.61&lt;/D&gt;&lt;D xsi:type="xsd:double"&gt;37.27&lt;/D&gt;&lt;D xsi:type="xsd:double"&gt;36.61&lt;/D&gt;&lt;D xsi:type="xsd:double"&gt;36.34&lt;/D&gt;&lt;D xsi:type="xsd:double"&gt;36.59&lt;/D&gt;&lt;D xsi:type="xsd:double"&gt;37.11&lt;/D&gt;&lt;D xsi:type="xsd:double"&gt;36.83&lt;/D&gt;&lt;D xsi:type="xsd:double"&gt;37.31&lt;/D&gt;&lt;D xsi:type="xsd:double"&gt;36.37&lt;/D&gt;&lt;D xsi:type="xsd:double"&gt;36.71&lt;/D&gt;&lt;D xsi:type="xsd:double"&gt;37.26&lt;/D&gt;&lt;D xsi:type="xsd:double"&gt;36.5&lt;/D&gt;&lt;D xsi:type="xsd:double"&gt;36.3&lt;/D&gt;&lt;D xsi:type="xsd:double"&gt;35.8&lt;/D&gt;&lt;D xsi:type="xsd:double"&gt;35.25&lt;/D&gt;&lt;D xsi:type="xsd:double"&gt;35.3&lt;/D&gt;&lt;D xsi:type="xsd:double"&gt;34.5&lt;/D&gt;&lt;D xsi:type="xsd:double"&gt;35.93&lt;/D&gt;&lt;D xsi:type="xsd:double"&gt;35.32&lt;/D&gt;&lt;D xsi:type="xsd:double"&gt;35.34&lt;/D&gt;&lt;D xsi:type="xsd:double"&gt;34.97&lt;/D&gt;&lt;D xsi:type="xsd:double"&gt;34.63&lt;/D&gt;&lt;D xsi:type="xsd:double"&gt;34.59&lt;/D&gt;&lt;D xsi:type="xsd:double"&gt;34.37&lt;/D&gt;&lt;D xsi:type="xsd:double"&gt;34.2&lt;/D&gt;&lt;D xsi:type="xsd:double"&gt;33.47&lt;/D&gt;&lt;D xsi:type="xsd:double"&gt;33.5&lt;/D&gt;&lt;D xsi:type="xsd:double"&gt;33.85&lt;/D&gt;&lt;D xsi:type="xsd:double"&gt;33.36&lt;/D&gt;&lt;D xsi:type="xsd:double"&gt;33.4&lt;/D&gt;&lt;D xsi:type="xsd:double"&gt;33.41&lt;/D&gt;&lt;D xsi:type="xsd:double"&gt;32.8&lt;/D&gt;&lt;D xsi:type="xsd:double"&gt;32.12&lt;/D&gt;&lt;D xsi:type="xsd:double"&gt;31.5&lt;/D&gt;&lt;D xsi:type="xsd:double"&gt;32.52&lt;/D&gt;&lt;D xsi:type="xsd:double"&gt;32.79&lt;/D&gt;&lt;D xsi:type="xsd:double"&gt;32.27&lt;/D&gt;&lt;D xsi:type="xsd:double"&gt;32.05&lt;/D&gt;&lt;D xsi:type="xsd:double"&gt;32.32&lt;/D&gt;&lt;D xsi:type="xsd:double"&gt;32.4&lt;/D&gt;&lt;D xsi:type="xsd:double"&gt;32.71&lt;/D&gt;&lt;D xsi:type="xsd:double"&gt;32.96&lt;/D&gt;&lt;D xsi:type="xsd:double"&gt;32.85&lt;/D&gt;&lt;D xsi:type="xsd:double"&gt;33.17&lt;/D&gt;&lt;D xsi:type="xsd:double"&gt;33.21&lt;/D&gt;&lt;D xsi:type="xsd:double"&gt;33.63&lt;/D&gt;&lt;D xsi:type="xsd:double"&gt;33.68&lt;/D&gt;&lt;D xsi:type="xsd:double"&gt;33.5&lt;/D&gt;&lt;D xsi:type="xsd:double"&gt;33.59&lt;/D&gt;&lt;D xsi:type="xsd:double"&gt;33.6&lt;/D&gt;&lt;D xsi:type="xsd:double"&gt;33.4&lt;/D&gt;&lt;D xsi:type="xsd:double"&gt;33.76&lt;/D&gt;&lt;D xsi:type="xsd:double"&gt;33.8&lt;/D&gt;&lt;D xsi:type="xsd:double"&gt;33.22&lt;/D&gt;&lt;D xsi:type="xsd:double"&gt;34.02&lt;/D&gt;&lt;D xsi:type="xsd:double"&gt;32.89&lt;/D&gt;&lt;D xsi:type="xsd:double"&gt;32.695&lt;/D&gt;&lt;D xsi:type="xsd:double"&gt;33.23&lt;/D&gt;&lt;D xsi:type="xsd:double"&gt;33.83&lt;/D&gt;&lt;D xsi:type="xsd:double"&gt;33.4&lt;/D&gt;&lt;D xsi:type="xsd:double"&gt;33.05&lt;/D&gt;&lt;D xsi:type="xsd:double"&gt;32.73&lt;/D&gt;&lt;D xsi:type="xsd:double"&gt;32.81&lt;/D&gt;&lt;D xsi:type="xsd:double"&gt;32.58&lt;/D&gt;&lt;D xsi:type="xsd:double"&gt;32.55&lt;/D&gt;&lt;D xsi:type="xsd:double"&gt;32.44&lt;/D&gt;&lt;D xsi:type="xsd:double"&gt;32.71&lt;/D&gt;&lt;D xsi:type="xsd:double"&gt;32.8&lt;/D&gt;&lt;D xsi:type="xsd:double"&gt;31.9&lt;/D&gt;&lt;D xsi:type="xsd:double"&gt;32.04&lt;/D&gt;&lt;D xsi:type="xsd:double"&gt;32.19&lt;/D&gt;&lt;D xsi:type="xsd:double"&gt;32.55&lt;/D&gt;&lt;D xsi:type="xsd:double"&gt;32.4&lt;/D&gt;&lt;D xsi:type="xsd:double"&gt;32.27&lt;/D&gt;&lt;D xsi:type="xsd:double"&gt;32.54&lt;/D&gt;&lt;D xsi:type="xsd:double"&gt;31.97&lt;/D&gt;&lt;D xsi:type="xsd:double"&gt;31.47&lt;/D&gt;&lt;D xsi:type="xsd:double"&gt;31.41&lt;/D&gt;&lt;D xsi:type="xsd:double"&gt;30.74&lt;/D&gt;&lt;D xsi:type="xsd:double"&gt;30.09&lt;/D&gt;&lt;D xsi:type="xsd:double"&gt;30.26&lt;/D&gt;&lt;D xsi:type="xsd:double"&gt;30.24&lt;/D&gt;&lt;D xsi:type="xsd:double"&gt;29.98&lt;/D&gt;&lt;D xsi:type="xsd:double"&gt;29.83&lt;/D&gt;&lt;D xsi:type="xsd:double"&gt;29.48&lt;/D&gt;&lt;D xsi:type="xsd:double"&gt;29.83&lt;/D&gt;&lt;D xsi:type="xsd:double"&gt;29.78&lt;/D&gt;&lt;D xsi:type="xsd:double"&gt;30.34&lt;/D&gt;&lt;D xsi:type="xsd:double"&gt;30.49&lt;/D&gt;&lt;D xsi:type="xsd:double"&gt;30.41&lt;/D&gt;&lt;D xsi:type="xsd:double"&gt;30.39&lt;/D&gt;&lt;D xsi:type="xsd:double"&gt;30.3&lt;/D&gt;&lt;D xsi:type="xsd:double"&gt;30.16&lt;/D&gt;&lt;D xsi:type="xsd:double"&gt;30.23&lt;/D&gt;&lt;D xsi:type="xsd:double"&gt;29.77&lt;/D&gt;&lt;D xsi:type="xsd:double"&gt;29.89&lt;/D&gt;&lt;D xsi:type="xsd:double"&gt;30.21&lt;/D&gt;&lt;D xsi:type="xsd:double"&gt;30.51&lt;/D&gt;&lt;D xsi:type="xsd:double"&gt;31.1&lt;/D&gt;&lt;D xsi:type="xsd:double"&gt;31.04&lt;/D&gt;&lt;D xsi:type="xsd:double"&gt;31.41&lt;/D&gt;&lt;D xsi:type="xsd:double"&gt;31.02&lt;/D&gt;&lt;D xsi:type="xsd:double"&gt;31.82&lt;/D&gt;&lt;D xsi:type="xsd:double"&gt;31.85&lt;/D&gt;&lt;D xsi:type="xsd:double"&gt;31.51&lt;/D&gt;&lt;D xsi:type="xsd:double"&gt;31.45&lt;/D&gt;&lt;D xsi:type="xsd:double"&gt;31.05&lt;/D&gt;&lt;D xsi:type="xsd:double"&gt;31.26&lt;/D&gt;&lt;D xsi:type="xsd:double"&gt;30.86&lt;/D&gt;&lt;D xsi:type="xsd:double"&gt;30.96&lt;/D&gt;&lt;D xsi:type="xsd:double"&gt;30.03&lt;/D&gt;&lt;D xsi:type="xsd:double"&gt;30.1&lt;/D&gt;&lt;D xsi:type="xsd:double"&gt;30.34&lt;/D&gt;&lt;D xsi:type="xsd:double"&gt;30.45&lt;/D&gt;&lt;D xsi:type="xsd:double"&gt;31.11&lt;/D&gt;&lt;D xsi:type="xsd:double"&gt;31.83&lt;/D&gt;&lt;D xsi:type="xsd:double"&gt;32.51&lt;/D&gt;&lt;D xsi:type="xsd:double"&gt;32.54&lt;/D&gt;&lt;D xsi:type="xsd:double"&gt;31.82&lt;/D&gt;&lt;D xsi:type="xsd:double"&gt;31.75&lt;/D&gt;&lt;D xsi:type="xsd:double"&gt;31.84&lt;/</t>
        </r>
      </text>
    </comment>
    <comment ref="A2" authorId="0" shapeId="0" xr:uid="{955EB5A7-22E5-407B-8870-806BEDAD7175}">
      <text>
        <r>
          <rPr>
            <b/>
            <sz val="9"/>
            <color indexed="81"/>
            <rFont val="Tahoma"/>
            <charset val="1"/>
          </rPr>
          <t>D&gt;&lt;D xsi:type="xsd:double"&gt;32.17&lt;/D&gt;&lt;D xsi:type="xsd:double"&gt;31.88&lt;/D&gt;&lt;D xsi:type="xsd:double"&gt;31.58&lt;/D&gt;&lt;D xsi:type="xsd:double"&gt;31.53&lt;/D&gt;&lt;D xsi:type="xsd:double"&gt;31.5&lt;/D&gt;&lt;D xsi:type="xsd:double"&gt;32.08&lt;/D&gt;&lt;D xsi:type="xsd:double"&gt;32.17&lt;/D&gt;&lt;D xsi:type="xsd:double"&gt;32.75&lt;/D&gt;&lt;D xsi:type="xsd:double"&gt;32.85&lt;/D&gt;&lt;D xsi:type="xsd:double"&gt;32.635&lt;/D&gt;&lt;D xsi:type="xsd:double"&gt;32.69&lt;/D&gt;&lt;D xsi:type="xsd:double"&gt;32.75&lt;/D&gt;&lt;D xsi:type="xsd:double"&gt;32.96&lt;/D&gt;&lt;D xsi:type="xsd:double"&gt;32.61&lt;/D&gt;&lt;D xsi:type="xsd:double"&gt;33.07&lt;/D&gt;&lt;D xsi:type="xsd:double"&gt;33.24&lt;/D&gt;&lt;D xsi:type="xsd:double"&gt;32.56&lt;/D&gt;&lt;D xsi:type="xsd:double"&gt;32.35&lt;/D&gt;&lt;D xsi:type="xsd:double"&gt;32.2&lt;/D&gt;&lt;D xsi:type="xsd:double"&gt;32.15&lt;/D&gt;&lt;D xsi:type="xsd:double"&gt;31.75&lt;/D&gt;&lt;D xsi:type="xsd:double"&gt;31.62&lt;/D&gt;&lt;D xsi:type="xsd:double"&gt;31.58&lt;/D&gt;&lt;D xsi:type="xsd:double"&gt;31.35&lt;/D&gt;&lt;D xsi:type="xsd:double"&gt;31.07&lt;/D&gt;&lt;D xsi:type="xsd:double"&gt;31.13&lt;/D&gt;&lt;D xsi:type="xsd:double"&gt;31.44&lt;/D&gt;&lt;D xsi:type="xsd:double"&gt;31.24&lt;/D&gt;&lt;D xsi:type="xsd:double"&gt;31.67&lt;/D&gt;&lt;D xsi:type="xsd:double"&gt;31.7&lt;/D&gt;&lt;D xsi:type="xsd:double"&gt;31.19&lt;/D&gt;&lt;D xsi:type="xsd:double"&gt;30.91&lt;/D&gt;&lt;D xsi:type="xsd:double"&gt;30.05&lt;/D&gt;&lt;D xsi:type="xsd:double"&gt;29.95&lt;/D&gt;&lt;D xsi:type="xsd:double"&gt;29.43&lt;/D&gt;&lt;D xsi:type="xsd:double"&gt;29.35&lt;/D&gt;&lt;D xsi:type="xsd:double"&gt;29.13&lt;/D&gt;&lt;D xsi:type="xsd:double"&gt;28.39&lt;/D&gt;&lt;D xsi:type="xsd:double"&gt;27.51&lt;/D&gt;&lt;D xsi:type="xsd:double"&gt;28.24&lt;/D&gt;&lt;D xsi:type="xsd:double"&gt;26.5&lt;/D&gt;&lt;D xsi:type="xsd:double"&gt;27.09&lt;/D&gt;&lt;D xsi:type="xsd:double"&gt;28.19&lt;/D&gt;&lt;D xsi:type="xsd:double"&gt;30.07&lt;/D&gt;&lt;D xsi:type="xsd:double"&gt;29.91&lt;/D&gt;&lt;D xsi:type="xsd:double"&gt;30.2&lt;/D&gt;&lt;D xsi:type="xsd:double"&gt;29.82&lt;/D&gt;&lt;D xsi:type="xsd:double"&gt;29.76&lt;/D&gt;&lt;D xsi:type="xsd:double"&gt;30.17&lt;/D&gt;&lt;D xsi:type="xsd:double"&gt;30.27&lt;/D&gt;&lt;D xsi:type="xsd:double"&gt;30.76&lt;/D&gt;&lt;D xsi:type="xsd:double"&gt;30.41&lt;/D&gt;&lt;/FQL&gt;&lt;FQL&gt;&lt;Q&gt;QQQ^FG_TOTAL_RETURNC(-5AY,0,AM)&lt;/Q&gt;&lt;R&gt;61&lt;/R&gt;&lt;C&gt;1&lt;/C&gt;&lt;D xsi:type="xsd:double"&gt;3.6717772&lt;/D&gt;&lt;D xsi:type="xsd:double"&gt;4.560697&lt;/D&gt;&lt;D xsi:type="xsd:double"&gt;-10.084534&lt;/D&gt;&lt;D xsi:type="xsd:double"&gt;11.854065&lt;/D&gt;&lt;D xsi:type="xsd:double"&gt;-0.26261806&lt;/D&gt;&lt;D xsi:type="xsd:double"&gt;0.76600313&lt;/D&gt;&lt;D xsi:type="xsd:double"&gt;6.658554&lt;/D&gt;&lt;D xsi:type="xsd:double"&gt;2.586615&lt;/D&gt;&lt;D xsi:type="xsd:double"&gt;3.458774&lt;/D&gt;&lt;D xsi:type="xsd:double"&gt;-5.045229&lt;/D&gt;&lt;D xsi:type="xsd:double"&gt;10.217071&lt;/D&gt;&lt;D xsi:type="xsd:double"&gt;0.38938522&lt;/D&gt;&lt;D xsi:type="xsd:double"&gt;-4.8196135&lt;/D&gt;&lt;D xsi:type="xsd:double"&gt;-5.4599047&lt;/D&gt;&lt;D xsi:type="xsd:double"&gt;-9.960455&lt;/D&gt;&lt;D xsi:type="xsd:double"&gt;8.1127405&lt;/D&gt;&lt;D xsi:type="xsd:double"&gt;-11.427754&lt;/D&gt;&lt;D xsi:type="xsd:double"&gt;-0.5206108&lt;/D&gt;&lt;D xsi:type="xsd:double"&gt;-3.8147986&lt;/D&gt;&lt;D xsi:type="xsd:double"&gt;8.586418&lt;/D&gt;&lt;D xsi:type="xsd:double"&gt;-6.295407&lt;/D&gt;&lt;D xsi:type="xsd:double"&gt;-10.295666&lt;/D&gt;&lt;D xsi:type="xsd:double"&gt;0.16350746&lt;/D&gt;&lt;D xsi:type="xsd:double"&gt;5.3090453&lt;/D&gt;&lt;D xsi:type="xsd:double"&gt;-5.072016&lt;/D&gt;&lt;D xsi:type="xsd:double"&gt;13.232887&lt;/D&gt;&lt;D xsi:type="xsd:double"&gt;-2.151984&lt;/D&gt;&lt;D xsi:type="xsd:double"&gt;6.957495&lt;/D&gt;&lt;D xsi:type="xsd:double"&gt;1.7733097&lt;/D&gt;&lt;D xsi:type="xsd:double"&gt;9.101295&lt;/D&gt;&lt;D xsi:type="xsd:double"&gt;3.8490891&lt;/D&gt;&lt;D xsi:type="xsd:double"&gt;1.5727401&lt;/D&gt;&lt;D xsi:type="xsd:double"&gt;0.15591383&lt;/D&gt;&lt;D xsi:type="xsd:double"&gt;-1.9735515&lt;/D&gt;&lt;D xsi:type="xsd:double"&gt;2.2593856&lt;/D&gt;&lt;D xsi:type="xsd:double"&gt;5.1563263&lt;/D&gt;&lt;D xsi:type="xsd:double"&gt;3.5180807&lt;/D&gt;&lt;D xsi:type="xsd:double"&gt;6.874919&lt;/D&gt;&lt;D xsi:type="xsd:double"&gt;1.4394879&lt;/D&gt;&lt;D xsi:type="xsd:double"&gt;0.49145222&lt;/D&gt;&lt;D xsi:type="xsd:double"&gt;-0.12256503&lt;/D&gt;&lt;D xsi:type="xsd:double"&gt;5.203831&lt;/D&gt;&lt;D xsi:type="xsd:double"&gt;7.598734&lt;/D&gt;&lt;D xsi:type="xsd:double"&gt;-9.906703&lt;/D&gt;&lt;D xsi:type="xsd:double"&gt;0.13836622&lt;/D&gt;&lt;D xsi:type="xsd:double"&gt;9.203601&lt;/D&gt;&lt;D xsi:type="xsd:double"&gt;5.076647&lt;/D&gt;&lt;D xsi:type="xsd:double"&gt;2.4001122&lt;/D&gt;&lt;D xsi:type="xsd:double"&gt;-1.9730031&lt;/D&gt;&lt;D xsi:type="xsd:double"&gt;1.4846563&lt;/D&gt;&lt;D xsi:type="xsd:double"&gt;-5.953103&lt;/D&gt;&lt;D xsi:type="xsd:double"&gt;-15.275449&lt;/D&gt;&lt;D xsi:type="xsd:double"&gt;17.360485&lt;/D&gt;&lt;D xsi:type="xsd:double"&gt;8.525669&lt;/D&gt;&lt;D xsi:type="xsd:double"&gt;4.3467164&lt;/D&gt;&lt;D xsi:type="xsd:double"&gt;4.0210724&lt;/D&gt;&lt;D xsi:type="xsd:double"&gt;0.75188875&lt;/D&gt;&lt;D xsi:type="xsd:double"&gt;5.7481885&lt;/D&gt;&lt;D xsi:type="xsd:double"&gt;-0.27803183&lt;/D&gt;&lt;D xsi:type="xsd:double"&gt;2.3846269&lt;/D&gt;&lt;D xsi:type="xsd:double"&gt;-0.48285127&lt;/D&gt;&lt;/FQL&gt;&lt;FQL&gt;&lt;Q&gt;KSA^FG_TOTAL_RETURNC(-5AY,0,AM)&lt;/Q&gt;&lt;R&gt;61&lt;/R&gt;&lt;C&gt;1&lt;/C&gt;&lt;D xsi:type="xsd:double"&gt;2.2701263&lt;/D&gt;&lt;D xsi:type="xsd:double"&gt;-0.06299615&lt;/D&gt;&lt;D xsi:type="xsd:double"&gt;5.9565067&lt;/D&gt;&lt;D xsi:type="xsd:double"&gt;8.060682&lt;/D&gt;&lt;D xsi:type="xsd:double"&gt;4.1838646&lt;/D&gt;&lt;D xsi:type="xsd:double"&gt;3.2760978&lt;/D&gt;&lt;D xsi:type="xsd:double"&gt;0.63301325&lt;/D&gt;&lt;D xsi:type="xsd:double"&gt;3.9517522&lt;/D&gt;&lt;D xsi:type="xsd:double"&gt;3.1597257&lt;/D&gt;&lt;D xsi:type="xsd:double"&gt;2.0818353&lt;/D&gt;&lt;D xsi:type="xsd:double"&gt;2.2034645&lt;/D&gt;&lt;D xsi:type="xsd:double"&gt;-7.522935&lt;/D&gt;&lt;D xsi:type="xsd:double"&gt;4.6571136&lt;/D&gt;&lt;D xsi:type="xsd:double"&gt;7.0405602&lt;/D&gt;&lt;D xsi:type="xsd:double"&gt;6.020069&lt;/D&gt;&lt;D xsi:type="xsd:double"&gt;2.7339578&lt;/D&gt;&lt;D xsi:type="xsd:double"&gt;2.4564981&lt;/D&gt;&lt;D xsi:type="xsd:double"&gt;-9.430563&lt;/D&gt;&lt;D xsi:type="xsd:double"&gt;-8.107251&lt;/D&gt;&lt;D xsi:type="xsd:double"&gt;7.2309613&lt;/D&gt;&lt;D xsi:type="xsd:double"&gt;-3.0221045&lt;/D&gt;&lt;D xsi:type="xsd:double"&gt;-0.18604994&lt;/D&gt;&lt;D xsi:type="xsd:double"&gt;-2.5629044&lt;/D&gt;&lt;D xsi:type="xsd:double"&gt;-10.47346&lt;/D&gt;&lt;D xsi:type="xsd:double"&gt;3.8002133&lt;/D&gt;&lt;D xsi:type="xsd:double"&gt;-2.1326363&lt;/D&gt;&lt;D xsi:type="xsd:double"&gt;-0.35876036&lt;/D&gt;&lt;D xsi:type="xsd:double"&gt;6.73424&lt;/D&gt;&lt;D xsi:type="xsd:double"&gt;2.2488713&lt;/D&gt;&lt;D xsi:type="xsd:double"&gt;1.9787431&lt;/D&gt;&lt;D xsi:type="xsd:double"&gt;0.5819559&lt;/D&gt;&lt;D xsi:type="xsd:double"&gt;-3.134036&lt;/D&gt;&lt;D xsi:type="xsd:double"&gt;-0.44798255&lt;/D&gt;&lt;D xsi:type="xsd:double"&gt;-3.9999962&lt;/D&gt;&lt;D xsi:type="xsd:double"&gt;1.5885353&lt;/D&gt;&lt;D xsi:type="xsd:double"&gt;2.6659846&lt;/D&gt;&lt;D xsi:type="xsd:double"&gt;10.283697&lt;/D&gt;&lt;D xsi:type="xsd:double"&gt;-1.101166&lt;/D&gt;&lt;D xsi:type="xsd:double"&gt;2.7371883&lt;/D&gt;&lt;D xsi:type="xsd:double"&gt;1.422441&lt;/D&gt;&lt;D xsi:type="xsd:double"&gt;-3.2724798&lt;/D&gt;&lt;D xsi:type="xsd:double"&gt;-7.2266936&lt;/D&gt;&lt;D xsi:type="xsd:double"&gt;2.2544026&lt;/D&gt;&lt;D xsi:type="xsd:double"&gt;-0.590992&lt;/D&gt;&lt;D xsi:type="xsd:double"&gt;3.4431458&lt;/D&gt;&lt;D xsi:type="xsd:double"&gt;0.14368296&lt;/D&gt;&lt;D xsi:type="xsd:double"&gt;0.8847475&lt;/D&gt;&lt;D xsi:type="xsd:double"&gt;-1.3273239&lt;/D&gt;&lt;D xsi:type="xsd:double"&gt;0.30082464&lt;/D&gt;&lt;D xsi:type="xsd:double"&gt;2.709961&lt;/D&gt;&lt;D xsi:type="xsd:double"&gt;-3.9933443&lt;/D&gt;&lt;D xsi:type="xsd:double"&gt;-5.4964123&lt;/D&gt;&lt;D xsi:type="xsd:double"&gt;3.3272266&lt;/D&gt;&lt;D xsi:type="xsd:double"&gt;-2.3580134&lt;/D&gt;&lt;D xsi:type="xsd:double"&gt;2.7197242&lt;/D&gt;&lt;D xsi:type="xsd:double"&gt;-2.750641&lt;/D&gt;&lt;D xsi:type="xsd:double"&gt;-3.0134916&lt;/D&gt;&lt;D xsi:type="xsd:double"&gt;10.520577&lt;/D&gt;&lt;D xsi:type="xsd:double"&gt;-3.131938&lt;/D&gt;&lt;D xsi:type="xsd:double"&gt;-5.3207755&lt;/D&gt;&lt;D xsi:type="xsd:double"&gt;0.21082163&lt;/D&gt;&lt;/FQL&gt;&lt;FQL&gt;&lt;Q&gt;GREK^FG_TOTAL_RETURNC(-5AY,0,AM)&lt;/Q&gt;&lt;R&gt;61&lt;/R&gt;&lt;C&gt;1&lt;/C&gt;&lt;D xsi:type="xsd:double"&gt;2.9017448&lt;/D&gt;&lt;D xsi:type="xsd:double"&gt;-7.120985&lt;/D&gt;&lt;D xsi:type="xsd:double"&gt;5.894482&lt;/D&gt;&lt;D xsi:type="xsd:double"&gt;7.080579&lt;/D&gt;&lt;D xsi:type="xsd:double"&gt;4.47489&lt;/D&gt;&lt;D xsi:type="xsd:double"&gt;2.1224737&lt;/D&gt;&lt;D xsi:type="xsd:double"&gt;-7.8705254&lt;/D&gt;&lt;D xsi:type="xsd:double"&gt;2.218926&lt;/D&gt;&lt;D xsi:type="xsd:double"&gt;2.1707654&lt;/D&gt;&lt;D xsi:type="xsd:double"&gt;-0.9915054&lt;/D&gt;&lt;D xsi:type="xsd:double"&gt;2.2174597&lt;/D&gt;&lt;D xsi:type="xsd:double"&gt;-5.108464&lt;/D&gt;&lt;D xsi:type="xsd:double"&gt;1.8461585&lt;/D&gt;&lt;D xsi:type="xsd:double"&gt;8.287085&lt;/D&gt;&lt;D xsi:type="xsd:double"&gt;-18.107283&lt;/D&gt;&lt;D xsi:type="xsd:double"&gt;13.808929&lt;/D&gt;&lt;D xsi:type="xsd:double"&gt;-6.634903&lt;/D&gt;&lt;D xsi:type="xsd:double"&gt;4.08324&lt;/D&gt;&lt;D xsi:type="xsd:double"&gt;-14.569372&lt;/D&gt;&lt;D xsi:type="xsd:double"&gt;6.684375&lt;/D&gt;&lt;D xsi:type="xsd:double"&gt;-5.3112087&lt;/D&gt;&lt;D xsi:type="xsd:double"&gt;-4.20683&lt;/D&gt;&lt;D xsi:type="xsd:double"&gt;14.455628&lt;/D&gt;&lt;D xsi:type="xsd:double"&gt;6.754589&lt;/D&gt;&lt;D xsi:type="xsd:double"&gt;6.9387197&lt;/D&gt;&lt;D xsi:type="xsd:double"&gt;11.565733&lt;/D&gt;&lt;D xsi:type="xsd:double"&gt;-1.1265397&lt;/D&gt;&lt;D xsi:type="xsd:double"&gt;0.58612823&lt;/D&gt;&lt;D xsi:type="xsd:double"&gt;4.88832&lt;/D&gt;&lt;D xsi:type="xsd:double"&gt;9.9074&lt;/D&gt;&lt;D xsi:type="xsd:double"&gt;5.5305243&lt;/D&gt;&lt;D xsi:type="xsd:double"&gt;3.1049252&lt;/D&gt;&lt;D xsi:type="xsd:double"&gt;-7.840085&lt;/D&gt;&lt;D xsi:type="xsd:double"&gt;-10.309857&lt;/D&gt;&lt;D xsi:type="xsd:double"&gt;10.741198&lt;/D&gt;&lt;D xsi:type="xsd:double"&gt;3.3182144&lt;/D&gt;&lt;D xsi:type="xsd:double"&gt;6.8153024&lt;/D&gt;&lt;D xsi:type="xsd:double"&gt;5.873108&lt;/D&gt;&lt;D xsi:type="xsd:double"&gt;1.1144161&lt;/D&gt;&lt;D xsi:type="xsd:double"&gt;-2.0818055&lt;/D&gt;&lt;D xsi:type="xsd:double"&gt;4.077041&lt;/D&gt;&lt;D xsi:type="xsd:double"&gt;-0.26483536&lt;/D&gt;&lt;D xsi:type="xsd:double"&gt;0.16334057&lt;/D&gt;&lt;D xsi:type="xsd:double"&gt;-1.7615795&lt;/D&gt;&lt;D xsi:type="xsd:double"&gt;2.9722452&lt;/D&gt;&lt;D xsi:type="xsd:double"&gt;-0.9494245&lt;/D&gt;&lt;D xsi:type="xsd:double"&gt;-2.8226018&lt;/D&gt;&lt;D xsi:type="xsd:double"&gt;1.1876106&lt;/D&gt;&lt;D xsi:type="xsd:double"&gt;2.281797&lt;/D&gt;&lt;D xsi:type="xsd:double"&gt;2.4343133&lt;/D&gt;&lt;D xsi:type="xsd:double"&gt;11.008966&lt;/D&gt;&lt;D xsi:type="xsd:double"&gt;-6.3254952&lt;/D&gt;&lt;D xsi:type="xsd:double"&gt;17.842901&lt;/D&gt;&lt;D xsi:type="xsd:double"&gt;10.346198&lt;/D&gt;&lt;D xsi:type="xsd:double"&gt;11.474848&lt;/D&gt;&lt;D xsi:type="xsd:double"&gt;6.845975&lt;/D&gt;&lt;D xsi:type="xsd:double"&gt;-1.8583238&lt;/D&gt;&lt;D xsi:type="xsd:double"&gt;2.7560353&lt;/D&gt;&lt;D xsi:type="xsd:double"&gt;-4.98324&lt;/D&gt;&lt;D xsi:type="xsd:double"&gt;7.409787&lt;/D&gt;&lt;D xsi:type="xsd:double"&gt;5.491793&lt;/D&gt;&lt;/FQL&gt;&lt;FQL&gt;&lt;Q&gt;EPOL^FG_TOTAL_RETURNC(-5AY,0,AM)&lt;/Q&gt;&lt;R&gt;61&lt;/R&gt;&lt;C&gt;1&lt;/C&gt;&lt;D xsi:type="xsd:double"&gt;5.9552193&lt;/D&gt;&lt;D xsi:type="xsd:double"&gt;-6.4484596&lt;/D&gt;&lt;D xsi:type="xsd:double"&gt;-3.0809402&lt;/D&gt;&lt;D xsi:type="xsd:double"&gt;2.8017282&lt;/D&gt;&lt;D xsi:type="xsd:double"&gt;8.805037&lt;/D&gt;&lt;D xsi:type="xsd:double"&gt;9.200382&lt;/D&gt;&lt;D xsi:type="xsd:double"&gt;-4.373807&lt;/D&gt;&lt;D xsi:type="xsd:double"&gt;0.64754486&lt;/D&gt;&lt;D xsi:type="xsd:double"&gt;6.0661793&lt;/D&gt;&lt;D xsi:type="xsd:double"&gt;-0.30329227&lt;/D&gt;&lt;D xsi:type="xsd:double"&gt;2.2164345&lt;/D&gt;&lt;D xsi:type="xsd:double"&gt;-10.161572&lt;/D&gt;&lt;D xsi:type="xsd:double"&gt;4.9967766&lt;/D&gt;&lt;D xsi:type="xsd:double"&gt;-2.7790487&lt;/D&gt;&lt;D xsi:type="xsd:double"&gt;-23.992508&lt;/D&gt;&lt;D xsi:type="xsd:double"&gt;12.946987&lt;/D&gt;&lt;D xsi:type="xsd:double"&gt;-17.521835&lt;/D&gt;&lt;D xsi:type="xsd:double"&gt;6.419587&lt;/D&gt;&lt;D xsi:type="xsd:double"&gt;-11.452723&lt;/D&gt;&lt;D xsi:type="xsd:double"&gt;0.8504629&lt;/D&gt;&lt;D xsi:type="xsd:double"&gt;-14.195358&lt;/D&gt;&lt;D xsi:type="xsd:double"&gt;-10.647011&lt;/D&gt;&lt;D xsi:type="xsd:double"&gt;24.381304&lt;/D&gt;&lt;D xsi:type="xsd:double"&gt;10.316885&lt;/D&gt;&lt;D xsi:type="xsd:double"&gt;11.610389&lt;/D&gt;&lt;D xsi:type="xsd:double"&gt;-1.9488394&lt;/D&gt;&lt;D xsi:type="xsd:double"&gt;-1.0869563&lt;/D&gt;&lt;D xsi:type="xsd:double"&gt;-1.9780278&lt;/D&gt;&lt;D xsi:type="xsd:double"&gt;13.324797&lt;/D&gt;&lt;D xsi:type="xsd:double"&gt;5.257213&lt;/D&gt;&lt;D xsi:type="xsd:double"&gt;2.363038&lt;/D&gt;&lt;D xsi:type="xsd:double"&gt;5.4564595&lt;/D&gt;&lt;D xsi:type="xsd:double"&gt;-11.9900465&lt;/D&gt;&lt;D xsi:type="xsd:double"&gt;-3.3917487&lt;/D&gt;&lt;D xsi:type="xsd:double"&gt;17.554129&lt;/D&gt;&lt;D xsi:type="xsd:double"&gt;11.896467&lt;/D&gt;&lt;D xsi:type="xsd:double"&gt;1.5496612&lt;/D&gt;&lt;D xsi:type="xsd:double"&gt;0.18033981&lt;/D&gt;&lt;D xsi:type="xsd:double"&gt;3.1953216&lt;/D&gt;&lt;D xsi:type="xsd:double"&gt;7.5446963&lt;/D&gt;&lt;D xsi:type="xsd:double"&gt;0.40551424&lt;/D&gt;&lt;D xsi:type="xsd:double"&gt;-3.1098545&lt;/D&gt;&lt;D xsi:type="xsd:double"&gt;6.166327&lt;/D&gt;&lt;D xsi:type="xsd:double"&gt;-9.8399935&lt;/D&gt;&lt;D xsi:type="xsd:double"&gt;4.880202&lt;/D&gt;&lt;D xsi:type="xsd:double"&gt;-1.4805377&lt;/D&gt;&lt;D xsi:type="xsd:double"&gt;-1.7389476&lt;/D&gt;&lt;D xsi:type="xsd:double"&gt;0.85208416&lt;/D&gt;&lt;D xsi:type="xsd:double"&gt;-4.7915697&lt;/D&gt;&lt;D xsi:type="xsd:double"&gt;14.893616&lt;/D&gt;&lt;D xsi:type="xsd:double"&gt;12.839508&lt;/D&gt;&lt;D xsi:type="xsd:double"&gt;-9.919763&lt;/D&gt;&lt;D xsi:type="xsd:double"&gt;21.21457&lt;/D&gt;&lt;D xsi:type="xsd:double"&gt;-1.60321&lt;/D&gt;&lt;D xsi:type="xsd:double"&gt;12.658442&lt;/D&gt;&lt;D xsi:type="xsd:double"&gt;4.138577&lt;/D&gt;&lt;D xsi:type="xsd:double"&gt;-3.2087147&lt;/D&gt;&lt;D xsi:type="xsd:double"&gt;-0.7907629&lt;/D&gt;&lt;D xsi:type="xsd:double"&gt;3.7400365&lt;/D&gt;&lt;D xsi:type="xsd:double"&gt;-0.97518563&lt;/D&gt;&lt;D xsi:type="xsd:double"&gt;10.526192&lt;/D&gt;&lt;/FQL&gt;&lt;FQL&gt;&lt;Q&gt;EWG^FG_PRICE(0,-200D)&lt;/Q&gt;&lt;R&gt;201&lt;/R&gt;&lt;C&gt;1&lt;/C&gt;&lt;D xsi:type="xsd:double"&gt;43.31&lt;/D&gt;&lt;D xsi:type="xsd:double"&gt;43.26&lt;/D&gt;&lt;D xsi:type="xsd:double"&gt;43.13&lt;/D&gt;&lt;D xsi:type="xsd:double"&gt;43.05&lt;/D&gt;&lt;D xsi:type="xsd:double"&gt;42.56&lt;/D&gt;&lt;D xsi:type="xsd:double"&gt;42.5&lt;/D&gt;&lt;D xsi:type="xsd:double"&gt;42.75&lt;/D&gt;&lt;D xsi:type="xsd:double"&gt;42.51&lt;/D&gt;&lt;D xsi:type="xsd:double"&gt;42.65&lt;/D&gt;&lt;D xsi:type="xsd:double"&gt;42.57&lt;/D&gt;&lt;D xsi:type="xsd:double"&gt;42.44&lt;/D&gt;&lt;D xsi:type="xsd:double"&gt;42.34&lt;/D&gt;&lt;D xsi:type="xsd:double"&gt;42.1&lt;/D&gt;&lt;D xsi:type="xsd:double"&gt;41.94&lt;/D&gt;&lt;D xsi:type="xsd:double"&gt;41.61&lt;/D&gt;&lt;D xsi:type="xsd:double"&gt;42.03&lt;/D&gt;&lt;D xsi:type="xsd:double"&gt;42.1&lt;/D&gt;&lt;D xsi:type="xsd:double"&gt;42.18&lt;/D&gt;&lt;D xsi:type="xsd:double"&gt;42.39&lt;/D&gt;&lt;D xsi:type="xsd:double"&gt;41.94&lt;/D&gt;&lt;D xsi:type="xsd:double"&gt;41.53&lt;/D&gt;&lt;D xsi:type="xsd:double"&gt;41.34&lt;/D&gt;&lt;D xsi:type="xsd:double"&gt;41.41&lt;/D&gt;&lt;D xsi:type="xsd:double"&gt;41.14&lt;/D&gt;&lt;D xsi:type="xsd:double"&gt;40.95&lt;/D&gt;&lt;D xsi:type="xsd:double"&gt;40.89&lt;/D&gt;&lt;D xsi:type="xsd:double"&gt;40.52&lt;/D&gt;&lt;D xsi:type="xsd:double"&gt;40.92&lt;/D&gt;&lt;D xsi:type="xsd:double"&gt;40.6&lt;/D&gt;&lt;D xsi:type="xsd:double"&gt;40.19&lt;/D&gt;&lt;D xsi:type="xsd:double"&gt;39.47&lt;/D&gt;&lt;D xsi:type="xsd:double"&gt;39.4&lt;/D&gt;&lt;D xsi:type="xsd:double"&gt;38.89&lt;/D&gt;&lt;D xsi:type="xsd:double"&gt;39.51&lt;/D&gt;&lt;D xsi:type="xsd:double"&gt;39.53&lt;/D&gt;&lt;D xsi:type="xsd:double"&gt;40.01&lt;/D&gt;&lt;D xsi:type="xsd:double"&gt;40.86&lt;/D&gt;&lt;D xsi:type="xsd:double"&gt;41.25&lt;/D&gt;&lt;D xsi:type="xsd:double"&gt;41.68&lt;/D&gt;&lt;D xsi:type="xsd:double"&gt;41.23&lt;/D&gt;&lt;D xsi:type="xsd:double"&gt;40.96&lt;/D&gt;&lt;D xsi:type="xsd:double"&gt;40.48&lt;/D&gt;&lt;D xsi:type="xsd:double"&gt;40.39&lt;/D&gt;&lt;D xsi:type="xsd:double"&gt;40.73&lt;/D&gt;&lt;D xsi:type="xsd:double"&gt;40.34&lt;/D&gt;&lt;D xsi:type="xsd:double"&gt;40.91&lt;/D&gt;&lt;D xsi:type="xsd:double"&gt;40.73&lt;/D&gt;&lt;D xsi:type="xsd:double"&gt;41&lt;/D&gt;&lt;D xsi:type="xsd:double"&gt;41.27&lt;/D&gt;&lt;D xsi:type="xsd:double"&gt;41.72&lt;/D&gt;&lt;D xsi:type="xsd:double"&gt;41.78&lt;/D&gt;&lt;D xsi:type="xsd:double"&gt;41.59&lt;/D&gt;&lt;D xsi:type="xsd:double"&gt;41.55&lt;/D&gt;&lt;D xsi:type="xsd:double"&gt;41.44&lt;/D&gt;&lt;D xsi:type="xsd:double"&gt;41.69&lt;/D&gt;&lt;D xsi:type="xsd:double"&gt;41.88&lt;/D&gt;&lt;D xsi:type="xsd:double"&gt;41.38&lt;/D&gt;&lt;D xsi:type="xsd:double"&gt;41.59&lt;/D&gt;&lt;D xsi:type="xsd:double"&gt;41.53&lt;/D&gt;&lt;D xsi:type="xsd:double"&gt;41.67&lt;/D&gt;&lt;D xsi:type="xsd:double"&gt;41.78&lt;/D&gt;&lt;D xsi:type="xsd:double"&gt;41.52&lt;/D&gt;&lt;D xsi:type="xsd:double"&gt;42.09&lt;/D&gt;&lt;D xsi:type="xsd:double"&gt;42.34&lt;/D&gt;&lt;D xsi:type="xsd:double"&gt;42.07&lt;/D&gt;&lt;D xsi:type="xsd:double"&gt;42.42&lt;/D&gt;&lt;D xsi:type="xsd:double"&gt;42.43&lt;/D&gt;&lt;D xsi:type="xsd:double"&gt;42.47&lt;/D&gt;&lt;D xsi:type="xsd:double"&gt;42.13&lt;/D&gt;&lt;D xsi:type="xsd:double"&gt;41.61&lt;/D&gt;&lt;D xsi:type="xsd:double"&gt;41.31&lt;/D&gt;&lt;D xsi:type="xsd:double"&gt;41.2&lt;/D&gt;&lt;D xsi:type="xsd:double"&gt;40.75&lt;/D&gt;&lt;D xsi:type="xsd:double"&gt;41.24&lt;/D&gt;&lt;D xsi:type="xsd:double"&gt;41.27&lt;/D&gt;&lt;D xsi:type="xsd:double"&gt;41.24&lt;/D&gt;&lt;D xsi:type="xsd:double"&gt;41.22&lt;/D&gt;&lt;D xsi:type="xsd:double"&gt;41.45&lt;/D&gt;&lt;D xsi:type="xsd:double"&gt;41.06&lt;/D&gt;&lt;D xsi:type="xsd:double"&gt;41.15&lt;/D&gt;&lt;D xsi:type="xsd:double"&gt;41.42&lt;/D&gt;&lt;D xsi:type="xsd:double"&gt;41.31&lt;/D&gt;&lt;D xsi:type="xsd:double"&gt;41.39&lt;/D&gt;&lt;D xsi:type="xsd:double"&gt;41.07&lt;/D&gt;&lt;D xsi:type="xsd:double"&gt;41.48&lt;/D&gt;&lt;D xsi:type="xsd:double"&gt;41.69&lt;/D&gt;&lt;D xsi:type="xsd:double"&gt;41.34&lt;/D&gt;&lt;D xsi:type="xsd:double"&gt;41.34&lt;/D&gt;&lt;D xsi:type="xsd:double"&gt;41.05&lt;/D&gt;&lt;D xsi:type="xsd:double"&gt;41.04&lt;/D&gt;&lt;D xsi:type="xsd:double"&gt;41.88&lt;/D&gt;&lt;D xsi:type="xsd:double"&gt;42.02&lt;/D&gt;&lt;D xsi:type="xsd:double"&gt;41.89&lt;/D&gt;&lt;D xsi:type="xsd:double"&gt;42.13&lt;/D&gt;&lt;D xsi:type="xsd:double"&gt;42.12&lt;/D&gt;&lt;D xsi:type="xsd:double"&gt;42.66&lt;/D&gt;&lt;D xsi:type="xsd:double"&gt;42.08&lt;/D&gt;&lt;D xsi:type="xsd:double"&gt;42.39&lt;/D&gt;&lt;D xsi:type="xsd:double"&gt;42.39&lt;/D&gt;&lt;D xsi:type="xsd:double"&gt;42.45&lt;/D&gt;&lt;D xsi:type="xsd:double"&gt;42.58&lt;/D&gt;&lt;D xsi:type="xsd:double"&gt;42.5&lt;/D&gt;&lt;D xsi:type="xsd:double"&gt;42.38&lt;/D&gt;&lt;D xsi:type="xsd:double"&gt;42.15&lt;/D&gt;&lt;D xsi:type="xsd:double"&gt;41.94&lt;/D&gt;&lt;D xsi:type="xsd:double"&gt;42.34&lt;/D&gt;&lt;D xsi:type="xsd:double"&gt;42.33&lt;/D&gt;&lt;D xsi:type="xsd:double"&gt;41.84&lt;/D&gt;&lt;D xsi:type="xsd:double"&gt;41.49&lt;/D&gt;&lt;D xsi:type="xsd:double"&gt;41.3&lt;/D&gt;&lt;D xsi:type="xsd:double"&gt;40.75&lt;/D&gt;&lt;D xsi:type="xsd:double"&gt;41.15&lt;/D&gt;&lt;D xsi:type="xsd:double"&gt;41.63&lt;/D&gt;&lt;D xsi:type="xsd:double"&gt;41.89&lt;/D&gt;&lt;D xsi:type="xsd:double"&gt;41.67&lt;/D&gt;&lt;D xsi:type="xsd:double"&gt;42.81&lt;/D&gt;&lt;D xsi:type="xsd:double"&gt;42.7&lt;/D&gt;&lt;D xsi:type="xsd:double"&gt;43.21&lt;/D&gt;&lt;D xsi:type="xsd:double"&gt;42.42&lt;/D&gt;&lt;D xsi:type="xsd:double"&gt;42.42&lt;/D&gt;&lt;D xsi:type="xsd:double"&gt;42.13&lt;/D&gt;&lt;D xsi:type="xsd:double"&gt;42.35&lt;/D&gt;&lt;D xsi:type="xsd:double"&gt;42.18&lt;/D&gt;&lt;D xsi:type="xsd:double"&gt;41.82&lt;/D&gt;&lt;D xsi:type="xsd:double"&gt;42.35&lt;/D&gt;&lt;D xsi:type="xsd:double"&gt;42.45&lt;/D&gt;&lt;D xsi:type="xsd:double"&gt;42.86&lt;/D&gt;&lt;D xsi:type="xsd:double"&gt;43.26&lt;/D&gt;&lt;D xsi:type="xsd:double"&gt;42.59&lt;/D&gt;&lt;D xsi:type="xsd:double"&gt;42.23&lt;/D&gt;&lt;D xsi:type="xsd:double"&gt;42.21&lt;/D&gt;&lt;D xsi:type="xsd:double"&gt;42.17&lt;/D&gt;&lt;D xsi:type="xsd:double"&gt;42.01&lt;/D&gt;&lt;D xsi:type="xsd:double"&gt;42.31&lt;/D&gt;&lt;D xsi:type="xsd:double"&gt;42.3&lt;/D&gt;&lt;D xsi:type="xsd:double"&gt;41.64&lt;/D&gt;&lt;D xsi:type="xsd:double"&gt;41.15&lt;/D&gt;&lt;D xsi:type="xsd:double"&gt;41.39&lt;/D&gt;&lt;D xsi:type="xsd:double"&gt;40.75&lt;/D&gt;&lt;D xsi:type="xsd:double"&gt;40.34&lt;/D&gt;&lt;D xsi:type="xsd:double"&gt;40.28&lt;/D&gt;&lt;D xsi:type="xsd:double"&gt;40.4&lt;/D&gt;&lt;D xsi:type="xsd:double"&gt;41.13&lt;/D&gt;&lt;D xsi:type="xsd:double"&gt;41.51&lt;/D&gt;&lt;D xsi:type="xsd:double"&gt;42.22&lt;/D&gt;&lt;D xsi:type="xsd:double"&gt;42.11&lt;/D&gt;&lt;D xsi:type="xsd:double"&gt;42.12&lt;/D&gt;&lt;D xsi:type="xsd:double"&gt;42.31&lt;/D&gt;&lt;D xsi:type="xsd:double"&gt;42.52&lt;/D&gt;&lt;D xsi:type="xsd:double"&gt;42.57&lt;/D&gt;&lt;D xsi:type="xsd:double"&gt;42.46&lt;/D&gt;&lt;D xsi:type="xsd:double"&gt;42.12&lt;/D&gt;&lt;D xsi:type="xsd:double"&gt;42.34&lt;/D&gt;&lt;D xsi:type="xsd:double"&gt;41.97&lt;/D&gt;&lt;D xsi:type="xsd:double"&gt;41.85&lt;/D&gt;&lt;D xsi:type="xsd:double"&gt;41.77&lt;/D&gt;&lt;D xsi:type="xsd:double"&gt;42.31&lt;/D&gt;&lt;D xsi:type="xsd:double"&gt;41.26&lt;/D&gt;&lt;D xsi:type="xsd:double"&gt;41.64&lt;/D&gt;&lt;D xsi:type="xsd:double"&gt;41.68&lt;/D&gt;&lt;D xsi:type="xsd:double"&gt;41.77&lt;/D&gt;&lt;D xsi:type="xsd:double"&gt;41.56&lt;/D&gt;&lt;D xsi:type="xsd:double"&gt;40.85&lt;/D&gt;&lt;D xsi:type="xsd:double"&gt;40.86&lt;/D&gt;&lt;D xsi:type="xsd:double"&gt;40.34&lt;/D&gt;&lt;D xsi:type="xsd:double"&gt;40.59&lt;/D&gt;&lt;D xsi:type="xsd:double"&gt;40.38&lt;/D&gt;&lt;D xsi:type="xsd:double"&gt;40.77&lt;/D&gt;&lt;D xsi:type="xsd:double"&gt;40.46&lt;/D&gt;&lt;D xsi:type="xsd:double"&gt;40.44&lt;/D&gt;&lt;D xsi:type="xsd:double"&gt;40.67&lt;/D&gt;&lt;D xsi:type="xsd:double"&gt;40.72&lt;/D&gt;&lt;D xsi:type="xsd:double"&gt;40.34&lt;/D&gt;&lt;D xsi:type="xsd:double"&gt;39.46&lt;/D&gt;&lt;D xsi:type="xsd:double"&gt;39.49&lt;/D&gt;&lt;D xsi:type="xsd:double"&gt;39.67&lt;/D&gt;&lt;D xsi:type="xsd:double"&gt;39.47&lt;/D&gt;&lt;D xsi:type="xsd:double"&gt;39.36&lt;/D&gt;&lt;D xsi:type="xsd:double"&gt;39.03&lt;/D&gt;&lt;D xsi:type="xsd:double"&gt;38.44&lt;/D&gt;&lt;D xsi:type="xsd:double"&gt;38.03&lt;/D&gt;&lt;D xsi:type="xsd:double"&gt;37.03&lt;/D&gt;&lt;D xsi:type="xsd:double"&gt;37.4&lt;/D&gt;&lt;D xsi:type="xsd:double"&gt;37.22&lt;/D&gt;&lt;D xsi:type="xsd:double"&gt;37.2&lt;/D&gt;&lt;D xsi:type="xsd:double"&gt;36.82&lt;/D&gt;&lt;D xsi:type="xsd:double"&gt;36.37&lt;/D&gt;&lt;D xsi:type="xsd:double"&gt;35.8&lt;/D&gt;&lt;D xsi:type="xsd:double"&gt;36.22&lt;/D&gt;&lt;D xsi:type="xsd:double"&gt;33.22&lt;/D&gt;&lt;D xsi:type="xsd:double"&gt;33.55&lt;/D&gt;&lt;D xsi:type="xsd:double"&gt;34.32&lt;/D&gt;&lt;D xsi:type="xsd:double"&gt;36.73&lt;/D&gt;&lt;D xsi:type="xsd:double"&gt;37.38&lt;/D&gt;&lt;D xsi:type="xsd:double"&gt;37.29&lt;/D&gt;&lt;D xsi:type="xsd:double"&gt;37.08&lt;/D&gt;&lt;D xsi:type="xsd:double"&gt;37.39&lt;/D&gt;&lt;D xsi:type="xsd:double"&gt;37.59&lt;/D&gt;&lt;D xsi:type="xsd:double"&gt;37.56&lt;/D&gt;&lt;D xsi:type="xsd:double"&gt;38.38&lt;/D&gt;&lt;D xsi:type="xsd:double"&gt;38.03&lt;/D&gt;&lt;/FQL&gt;&lt;FQL&gt;&lt;Q&gt;SET-BKK^FG_PRICE(0,-200D)&lt;/Q&gt;&lt;R&gt;201&lt;/R&gt;&lt;C&gt;1&lt;/C&gt;&lt;D xsi:type="xsd:double"&gt;1253.6&lt;/D&gt;&lt;D xsi:type="xsd:double"&gt;1280.82&lt;/D&gt;&lt;D xsi:type="xsd:double"&gt;1274.75&lt;/D&gt;&lt;D xsi:type="xsd:double"&gt;1280.05&lt;/D&gt;&lt;D xsi:type="xsd:double"&gt;1259.67&lt;/D&gt;&lt;D xsi:type="xsd:double"&gt;1254.03&lt;/D&gt;&lt;D xsi:type="xsd:double"&gt;1259.25&lt;/D&gt;&lt;D xsi:type="xsd:double"&gt;1264.77&lt;/D&gt;&lt;D xsi:type="xsd:double"&gt;1275.33&lt;/D&gt;&lt;D xsi:type="xsd:double"&gt;1271.11&lt;/D&gt;&lt;D xsi:type="xsd:double"&gt;1269.68&lt;/D&gt;&lt;D xsi:type="xsd:double"&gt;1252.19&lt;/D&gt;&lt;D xsi:type="xsd:double"&gt;1250.07&lt;/D&gt;&lt;D xsi:type="xsd:double"&gt;1256.85&lt;/D&gt;&lt;D xsi:type="xsd:double"&gt;1260.68&lt;/D&gt;&lt;D xsi:type="xsd:double"&gt;1273.4&lt;/D&gt;&lt;D xsi:type="xsd:double"&gt;1254.1&lt;/D&gt;&lt;D xsi:type="xsd:double"&gt;1253.54&lt;/D&gt;&lt;D xsi:type="xsd:double"&gt;1269.87&lt;/D&gt;&lt;D xsi:type="xsd:double"&gt;1261.39&lt;/D&gt;&lt;D xsi:type="xsd:double"&gt;1273.77&lt;/D&gt;&lt;D xsi:type="xsd:double"&gt;1274.82&lt;/D&gt;&lt;D xsi:type="xsd:double"&gt;1277.58&lt;/D&gt;&lt;D xsi:type="xsd:double"&gt;1276.57&lt;/D&gt;&lt;D xsi:type="xsd:double"&gt;1256.69&lt;/D&gt;&lt;D xsi:type="xsd:double"&gt;1252.71&lt;/D&gt;&lt;D xsi:type="xsd:double"&gt;1261.18&lt;/D&gt;&lt;D xsi:type="xsd:double"&gt;1268.78&lt;/D&gt;&lt;D xsi:type="xsd:double"&gt;1252.73&lt;/D&gt;&lt;D xsi:type="xsd:double"&gt;1254.4&lt;/D&gt;&lt;D xsi:type="xsd:double"&gt;1281.81&lt;/D&gt;&lt;D xsi:type="xsd:double"&gt;1272.17&lt;/D&gt;&lt;D xsi:type="xsd:double"&gt;1270.04&lt;/D&gt;&lt;D xsi:type="xsd:double"&gt;1280.07&lt;/D&gt;&lt;D xsi:type="xsd:double"&gt;1269.26&lt;/D&gt;&lt;D xsi:type="xsd:double"&gt;1287.44&lt;/D&gt;&lt;D xsi:type="xsd:double"&gt;1284.81&lt;/D&gt;&lt;D xsi:type="xsd:double"&gt;1300.47&lt;/D&gt;&lt;D xsi:type="xsd:double"&gt;1306.26&lt;/D&gt;&lt;D xsi:type="xsd:double"&gt;1302.91&lt;/D&gt;&lt;D xsi:type="xsd:double"&gt;1313.31&lt;/D&gt;&lt;D xsi:type="xsd:double"&gt;1295.29&lt;/D&gt;&lt;D xsi:type="xsd:double"&gt;1298.6&lt;/D&gt;&lt;D xsi:type="xsd:double"&gt;1308.86&lt;/D&gt;&lt;D xsi:type="xsd:double"&gt;1309.5&lt;/D&gt;&lt;D xsi:type="xsd:double"&gt;1314.65&lt;/D&gt;&lt;D xsi:type="xsd:double"&gt;1315.64&lt;/D&gt;&lt;D xsi:type="xsd:double"&gt;1314.28&lt;/D&gt;&lt;D xsi:type="xsd:double"&gt;1323.52&lt;/D&gt;&lt;D xsi:type="xsd:double"&gt;1313.91&lt;/D&gt;&lt;D xsi:type="xsd:double"&gt;1302.35&lt;/D&gt;&lt;D xsi:type="xsd:double"&gt;1290.72&lt;/D&gt;&lt;D xsi:type="xsd:double"&gt;1284.47&lt;/D&gt;&lt;D xsi:type="xsd:double"&gt;1274.61&lt;/D&gt;&lt;D xsi:type="xsd:double"&gt;1291.46&lt;/D&gt;&lt;D xsi:type="xsd:double"&gt;1286.69&lt;/D&gt;&lt;D xsi:type="xsd:double"&gt;1266.38&lt;/D&gt;&lt;D xsi:type="xsd:double"&gt;1286.98&lt;/D&gt;&lt;D xsi:type="xsd:double"&gt;1313.99&lt;/D&gt;&lt;D xsi:type="xsd:double"&gt;1304.92&lt;/D&gt;&lt;D xsi:type="xsd:double"&gt;1305.24&lt;/D&gt;&lt;D xsi:type="xsd:double"&gt;1285.64&lt;/D&gt;&lt;D xsi:type="xsd:double"&gt;1293.61&lt;/D&gt;&lt;D xsi:type="xsd:double"&gt;1288.29&lt;/D&gt;&lt;D xsi:type="xsd:double"&gt;1275.03&lt;/D&gt;&lt;D xsi:type="xsd:double"&gt;1274.17&lt;/D&gt;&lt;D xsi:type="xsd:double"&gt;1288.07&lt;/D&gt;&lt;D xsi:type="xsd:double"&gt;1278.74&lt;/D&gt;&lt;D xsi:type="xsd:double"&gt;1288.26&lt;/D&gt;&lt;D xsi:type="xsd:double"&gt;1278.41&lt;/D&gt;&lt;D xsi:type="xsd:double"&gt;1273.2&lt;/D&gt;&lt;D xsi:type="xsd:double"&gt;1282.54&lt;/D&gt;&lt;D xsi:type="xsd:double"&gt;1292.72&lt;/D&gt;&lt;D xsi:type="xsd:double"&gt;1297.01&lt;/D&gt;&lt;D xsi:type="xsd:double"&gt;1306.69&lt;/D&gt;&lt;D xsi:type="xsd:double"&gt;1308.19&lt;/D&gt;&lt;D xsi:type="xsd:double"&gt;1299.78&lt;/D&gt;&lt;D xsi:type="xsd:double"&gt;1293.62&lt;/D&gt;&lt;D xsi:type="xsd:double"&gt;1288.03&lt;/D&gt;&lt;D xsi:type="xsd:double"&gt;1278.05&lt;/D&gt;&lt;D xsi:type="xsd:double"&gt;1276.08&lt;/D&gt;&lt;D xsi:type="xsd:double"&gt;1266.11&lt;/D&gt;&lt;D xsi:type="xsd:double"&gt;1264.8&lt;/D&gt;&lt;D xsi:type="xsd:double"&gt;1252.55&lt;/D&gt;&lt;D xsi:type="xsd:double"&gt;1259.31&lt;/D&gt;&lt;D xsi:type="xsd:double"&gt;1248.78&lt;/D&gt;&lt;D xsi:type="xsd:double"&gt;1244.48&lt;/D&gt;&lt;D xsi:type="xsd:double"&gt;1236.61&lt;/D&gt;&lt;D xsi:type="xsd:double"&gt;1250.09&lt;/D&gt;&lt;D xsi:type="xsd:double"&gt;1248.03&lt;/D&gt;&lt;D xsi:type="xsd:double"&gt;1251.26&lt;/D&gt;&lt;D xsi:type="xsd:double"&gt;1262.67&lt;/D&gt;&lt;D xsi:type="xsd:double"&gt;1253.39&lt;/D&gt;&lt;D xsi:type="xsd:double"&gt;1244.79&lt;/D&gt;&lt;D xsi:type="xsd:double"&gt;1248.13&lt;/D&gt;&lt;D xsi:type="xsd:double"&gt;1235.76&lt;/D&gt;&lt;D xsi:type="xsd:double"&gt;1242.31&lt;/D&gt;&lt;D xsi:type="xsd:double"&gt;1259.42&lt;/D&gt;&lt;D xsi:type="xsd:double"&gt;1266.67&lt;/D&gt;&lt;D xsi:type="xsd:double"&gt;1277.43&lt;/D&gt;&lt;D xsi:type="xsd:double"&gt;1259.07&lt;/D&gt;&lt;D xsi:type="xsd:double"&gt;1265.15&lt;/D&gt;&lt;D xsi:type="xsd:double"&gt;1264.47&lt;/D&gt;&lt;D xsi:type="xsd:double"&gt;1246.96&lt;/D&gt;&lt;D xsi:type="xsd:double"&gt;1229.4&lt;/D&gt;&lt;D xsi:type="xsd:double"&gt;1218.33&lt;/D&gt;&lt;D xsi:type="xsd:double"&gt;1242.35&lt;/D&gt;&lt;D xsi:type="xsd:double"&gt;1244.14&lt;/D&gt;&lt;D xsi:type="xsd:double"&gt;1233.68&lt;/D&gt;&lt;D xsi:type="xsd:double"&gt;1217.15&lt;/D&gt;&lt;D xsi:type="xsd:double"&gt;1212.49&lt;/D&gt;&lt;D xsi:type="xsd:double"&gt;1219.62&lt;/D&gt;&lt;D xsi:type="xsd:double"&gt;1191.75&lt;/D&gt;&lt;D xsi:type="xsd:double"&gt;1208.13&lt;/D&gt;&lt;D xsi:type="xsd:double"&gt;1206.58&lt;/D&gt;&lt;D xsi:type="xsd:double"&gt;1198.11&lt;/D&gt;&lt;D xsi:type="xsd:double"&gt;1157.63&lt;/D&gt;&lt;D xsi:type="xsd:double"&gt;1161.01&lt;/D&gt;&lt;D xsi:type="xsd:double"&gt;1143.31&lt;/D&gt;&lt;D xsi:type="xsd:double"&gt;1121.13&lt;/D&gt;&lt;D xsi:type="xsd:double"&gt;1110.4&lt;/D&gt;&lt;D xsi:type="xsd:double"&gt;1115.65&lt;/D&gt;&lt;D xsi:type="xsd:double"&gt;1123&lt;/D&gt;&lt;D xsi:type="xsd:double"&gt;1119.94&lt;/D&gt;&lt;D xsi:type="xsd:double"&gt;1127.21&lt;/D&gt;&lt;D xsi:type="xsd:double"&gt;1115.69&lt;/D&gt;&lt;D xsi:type="xsd:double"&gt;1110.01&lt;/D&gt;&lt;D xsi:type="xsd:double"&gt;1089.56&lt;/D&gt;&lt;D xsi:type="xsd:double"&gt;1082.42&lt;/D&gt;&lt;D xsi:type="xsd:double"&gt;1106.73&lt;/D&gt;&lt;D xsi:type="xsd:double"&gt;1107.69&lt;/D&gt;&lt;D xsi:type="xsd:double"&gt;1100.01&lt;/D&gt;&lt;D xsi:type="xsd:double"&gt;1062.78&lt;/D&gt;&lt;D xsi:type="xsd:double"&gt;1067.63&lt;/D&gt;&lt;D xsi:type="xsd:double"&gt;1068.73&lt;/D&gt;&lt;D xsi:type="xsd:double"&gt;1094.58&lt;/D&gt;&lt;D xsi:type="xsd:double"&gt;1113.58&lt;/D&gt;&lt;D xsi:type="xsd:double"&gt;1114.49&lt;/D&gt;&lt;D xsi:type="xsd:double"&gt;1122.7&lt;/D&gt;&lt;D xsi:type="xsd:double"&gt;1128.62&lt;/D&gt;&lt;D xsi:type="xsd:double"&gt;1141.58&lt;/D&gt;&lt;D xsi:type="xsd:double"&gt;1139.16&lt;/D&gt;&lt;D xsi:type="xsd:double"&gt;1135.24&lt;/D&gt;&lt;D xsi:type="xsd:double"&gt;1136.43&lt;/D&gt;&lt;D xsi:type="xsd:double"&gt;1140.63&lt;/D&gt;&lt;D xsi:type="xsd:double"&gt;1132.02&lt;/D&gt;&lt;D xsi:type="xsd:double"&gt;1149.18&lt;/D&gt;&lt;D xsi:type="xsd:double"&gt;1164.01&lt;/D&gt;&lt;D xsi:type="xsd:double"&gt;1160.74&lt;/D&gt;&lt;D xsi:type="xsd:double"&gt;1163.42&lt;/D&gt;&lt;D xsi:type="xsd:double"&gt;1178.43&lt;/D&gt;&lt;D xsi:type="xsd:double"&gt;1176.36&lt;/D&gt;&lt;D xsi:type="xsd:double"&gt;1173.37&lt;/D&gt;&lt;D xsi:type="xsd:double"&gt;1179.81&lt;/D&gt;&lt;D xsi:type="xsd:double"&gt;1189.14&lt;/D&gt;&lt;D xsi:type="xsd:double"&gt;1187.06&lt;/D&gt;&lt;D xsi:type="xsd:double"&gt;1195.77&lt;/D&gt;&lt;D xsi:type="xsd:double"&gt;1194.49&lt;/D&gt;&lt;D xsi:type="xsd:double"&gt;1216.71&lt;/D&gt;&lt;D xsi:type="xsd:double"&gt;1214.39&lt;/D&gt;&lt;D xsi:type="xsd:double"&gt;1210.94&lt;/D&gt;&lt;D xsi:type="xsd:double"&gt;1206.59&lt;/D&gt;&lt;D xsi:type="xsd:double"&gt;1220.27&lt;/D&gt;&lt;D xsi:type="xsd:double"&gt;1187.86&lt;/D&gt;&lt;D xsi:type="xsd:double"&gt;1198.98&lt;/D&gt;&lt;D xsi:type="xsd:double"&gt;1197.26&lt;/D&gt;&lt;D xsi:type="xsd:double"&gt;1171.12&lt;/D&gt;&lt;D xsi:type="xsd:double"&gt;1159.53&lt;/D&gt;&lt;D xsi:type="xsd:double"&gt;1159&lt;/D&gt;&lt;D xsi:type="xsd:double"&gt;1146.86&lt;/D&gt;&lt;D xsi:type="xsd:double"&gt;1153.77&lt;/D&gt;&lt;D xsi:type="xsd:double"&gt;1144.05&lt;/D&gt;&lt;D xsi:type="xsd:double"&gt;1134.71&lt;/D&gt;&lt;D xsi:type="xsd:double"&gt;1150.95&lt;/D&gt;&lt;D xsi:type="xsd:double"&gt;1141.28&lt;/D&gt;&lt;D xsi:type="xsd:double"&gt;1138.9&lt;/D&gt;&lt;D xsi:type="xsd:double"&gt;1128.66&lt;/D&gt;&lt;D xsi:type="xsd:double"&gt;1133.95&lt;/D&gt;&lt;D xsi:type="xsd:double"&gt;1088.18&lt;/D&gt;&lt;D xsi:type="xsd:double"&gt;1074.59&lt;/D&gt;&lt;D xsi:type="xsd:double"&gt;1125.21&lt;/D&gt;&lt;D xsi:type="xsd:double"&gt;1161.81&lt;/D&gt;&lt;D xsi:type="xsd:double"&gt;1172.69&lt;/D&gt;&lt;D xsi:type="xsd:double"&gt;1168.02&lt;/D&gt;&lt;D xsi:type="xsd:double"&gt;1158.09&lt;/D&gt;&lt;D xsi:type="xsd:double"&gt;1175.45&lt;/D&gt;&lt;D xsi:type="xsd:double"&gt;1187.9&lt;/D&gt;&lt;D xsi:type="xsd:double"&gt;1190.36&lt;/D&gt;&lt;D xsi:type="xsd:double"&gt;1184.93&lt;/D&gt;&lt;D xsi:type="xsd:double"&gt;1190.06&lt;/D&gt;&lt;D xsi:type="xsd:double"&gt;1186.61&lt;/D&gt;&lt;D xsi:type="xsd:double"&gt;1181.71&lt;/D&gt;&lt;D xsi:type="xsd:double"&gt;1189.66&lt;/D&gt;&lt;D xsi:type="xsd:double"&gt;1176.17&lt;/D&gt;&lt;D xsi:type="xsd:double"&gt;1170.2&lt;/D&gt;&lt;D xsi:type="xsd:double"&gt;1173.76&lt;/D&gt;&lt;D xsi:type="xsd:double"&gt;1159.64&lt;/D&gt;&lt;D xsi:type="xsd:double"&gt;1160.06&lt;/D&gt;&lt;D xsi:type="xsd:double"&gt;1187.63&lt;/D&gt;&lt;D xsi:type="xsd:double"&gt;1177.44&lt;/D&gt;&lt;D xsi:type="xsd:double"&gt;1202.03&lt;/D&gt;&lt;/FQL&gt;&lt;FQL&gt;&lt;Q&gt;EWW^FG_PRICE(0,-200D)&lt;/Q&gt;&lt;R&gt;201&lt;/R&gt;&lt;C&gt;1&lt;/C&gt;&lt;D xsi:type="xsd:double"&gt;70.48&lt;/D&gt;&lt;D xsi:type="xsd:double"&gt;69.92&lt;/D&gt;&lt;D xsi:type="xsd:double"&gt;70.04&lt;/D&gt;&lt;D xsi:type="xsd:double"&gt;70.58&lt;/D&gt;&lt;D xsi:type="xsd:double"&gt;69.66&lt;/D&gt;&lt;D xsi:type="xsd:double"&gt;69.33&lt;/D&gt;&lt;D xsi:type="xsd:double"&gt;69.49&lt;/D&gt;&lt;D xsi:type="xsd:double"&gt;70.51&lt;/D&gt;&lt;D xsi:type="xsd:double"&gt;71.15&lt;/D&gt;&lt;D xsi:type="xsd:double"&gt;70.95&lt;/D&gt;&lt;D xsi:type="xsd:double"&gt;71.04&lt;/D&gt;&lt;D xsi:type="xsd:double"&gt;69.95&lt;/D&gt;&lt;D xsi:type="xsd:double"&gt;68.85&lt;/D&gt;&lt;D xsi:type="xsd:double"&gt;68.75&lt;/D&gt;&lt;D xsi:type="xsd:double"&gt;67.45&lt;/D&gt;&lt;D xsi:type="xsd:double"&gt;68.28&lt;/D&gt;&lt;D xsi:type="xsd:double"&gt;70.48&lt;/D&gt;&lt;D xsi:type="xsd:double"&gt;70.69&lt;/D&gt;&lt;D xsi:type="xsd:double"&gt;71.06&lt;/D&gt;&lt;D xsi:type="xsd:double"&gt;69.04&lt;/D&gt;&lt;D xsi:type="xsd:double"&gt;69.27&lt;/D&gt;&lt;D xsi:type="xsd:double"&gt;68.64&lt;/D&gt;&lt;D xsi:type="xsd:double"&gt;68.68&lt;/D&gt;&lt;D xsi:type="xsd:double"&gt;68.82&lt;/D&gt;&lt;D xsi:type="xsd:double"&gt;68.43&lt;/D&gt;&lt;D xsi:type="xsd:double"&gt;68.71&lt;/D&gt;&lt;D xsi:type="xsd:double"&gt;68.46&lt;/D&gt;&lt;D xsi:type="xsd:double"&gt;68.42&lt;/D&gt;&lt;D xsi:type="xsd:double"&gt;67.88&lt;/D&gt;&lt;D xsi:type="xsd:double"&gt;67.75&lt;/D&gt;&lt;D xsi:type="xsd:double"&gt;66.55&lt;/D&gt;&lt;D xsi:type="xsd:double"&gt;66.04&lt;/D&gt;&lt;D xsi:type="xsd:double"&gt;66.02&lt;/D&gt;&lt;D xsi:type="xsd:double"&gt;66.77&lt;/D&gt;&lt;D xsi:type="xsd:double"&gt;66.67&lt;/D&gt;&lt;D xsi:type="xsd:double"&gt;65.87&lt;/D&gt;&lt;D xsi:type="xsd:double"&gt;67.22&lt;/D&gt;&lt;D xsi:type="xsd:double"&gt;67.38&lt;/D&gt;&lt;D xsi:type="xsd:double"&gt;68.16&lt;/D&gt;&lt;D xsi:type="xsd:double"&gt;69.34&lt;/D&gt;&lt;D xsi:type="xsd:double"&gt;67.91&lt;/D&gt;&lt;D xsi:type="xsd:double"&gt;67.82&lt;/D&gt;&lt;D xsi:type="xsd:double"&gt;66.97&lt;/D&gt;&lt;D xsi:type="xsd:double"&gt;67.18&lt;/D&gt;&lt;D xsi:type="xsd:double"&gt;65.65&lt;/D&gt;&lt;D xsi:type="xsd:double"&gt;66.23&lt;/D&gt;&lt;D xsi:type="xsd:double"&gt;66.53&lt;/D&gt;&lt;D xsi:type="xsd:double"&gt;66.73&lt;/D&gt;&lt;D xsi:type="xsd:double"&gt;67.43&lt;/D&gt;&lt;D xsi:type="xsd:double"&gt;67.1&lt;/D&gt;&lt;D xsi:type="xsd:double"&gt;66.33&lt;/D&gt;&lt;D xsi:type="xsd:double"&gt;65.37&lt;/D&gt;&lt;D xsi:type="xsd:double"&gt;66.02&lt;/D&gt;&lt;D xsi:type="xsd:double"&gt;65.51&lt;/D&gt;&lt;D xsi:type="xsd:double"&gt;65.07&lt;/D&gt;&lt;D xsi:type="xsd:double"&gt;65.94&lt;/D&gt;&lt;D xsi:type="xsd:double"&gt;66.13&lt;/D&gt;&lt;D xsi:type="xsd:double"&gt;67.05&lt;/D&gt;&lt;D xsi:type="xsd:double"&gt;65.87&lt;/D&gt;&lt;D xsi:type="xsd:double"&gt;64.84&lt;/D&gt;&lt;D xsi:type="xsd:double"&gt;65.47&lt;/D&gt;&lt;D xsi:type="xsd:double"&gt;64.39&lt;/D&gt;&lt;D xsi:type="xsd:double"&gt;65.42&lt;/D&gt;&lt;D xsi:type="xsd:double"&gt;65.73&lt;/D&gt;&lt;D xsi:type="xsd:double"&gt;65.04&lt;/D&gt;&lt;D xsi:type="xsd:double"&gt;65.44&lt;/D&gt;&lt;D xsi:type="xsd:double"&gt;66.81&lt;/D&gt;&lt;D xsi:type="xsd:double"&gt;66.9&lt;/D&gt;&lt;D xsi:type="xsd:double"&gt;66.78&lt;/D&gt;&lt;D xsi:type="xsd:double"&gt;68.21&lt;/D&gt;&lt;D xsi:type="xsd:double"&gt;67.46&lt;/D&gt;&lt;D xsi:type="xsd:double"&gt;67.14&lt;/D&gt;&lt;D xsi:type="xsd:double"&gt;66.18&lt;/D&gt;&lt;D xsi:type="xsd:double"&gt;66.47&lt;/D&gt;&lt;D xsi:type="xsd:double"&gt;67.43&lt;/D&gt;&lt;D xsi:type="xsd:double"&gt;66.9&lt;/D&gt;&lt;D xsi:type="xsd:double"&gt;66.1&lt;/D&gt;&lt;D xsi:type="xsd:double"&gt;65.95&lt;/D&gt;&lt;D xsi:type="xsd:double"&gt;66.53&lt;/D&gt;&lt;D xsi:type="xsd:double"&gt;66.8&lt;/D&gt;&lt;D xsi:type="xsd:double"&gt;66.77&lt;/D&gt;&lt;D xsi:type="xsd:double"&gt;66.12&lt;/D&gt;&lt;D xsi:type="xsd:double"&gt;65.71&lt;/D&gt;&lt;D xsi:type="xsd:double"&gt;64.28&lt;/D&gt;&lt;D xsi:type="xsd:double"&gt;64.26&lt;/D&gt;&lt;D xsi:type="xsd:double"&gt;64.15&lt;/D&gt;&lt;D xsi:type="xsd:double"&gt;63.83&lt;/D&gt;&lt;D xsi:type="xsd:double"&gt;63.07&lt;/D&gt;&lt;D xsi:type="xsd:double"&gt;62.8&lt;/D&gt;&lt;D xsi:type="xsd:double"&gt;62.91&lt;/D&gt;&lt;D xsi:type="xsd:double"&gt;61.94&lt;/D&gt;&lt;D xsi:type="xsd:double"&gt;62.52&lt;/D&gt;&lt;D xsi:type="xsd:double"&gt;61.94&lt;/D&gt;&lt;D xsi:type="xsd:double"&gt;61.44&lt;/D&gt;&lt;D xsi:type="xsd:double"&gt;61.71&lt;/D&gt;&lt;D xsi:type="xsd:double"&gt;62.8&lt;/D&gt;&lt;D xsi:type="xsd:double"&gt;61.55&lt;/D&gt;&lt;D xsi:type="xsd:double"&gt;61.17&lt;/D&gt;&lt;D xsi:type="xsd:double"&gt;61.25&lt;/D&gt;&lt;D xsi:type="xsd:double"&gt;61.19&lt;/D&gt;&lt;D xsi:type="xsd:double"&gt;61.34&lt;/D&gt;&lt;D xsi:type="xsd:double"&gt;60.99&lt;/D&gt;&lt;D xsi:type="xsd:double"&gt;61.99&lt;/D&gt;&lt;D xsi:type="xsd:double"&gt;62.33&lt;/D&gt;&lt;D xsi:type="xsd:double"&gt;61.54&lt;/D&gt;&lt;D xsi:type="xsd:double"&gt;61.64&lt;/D&gt;&lt;D xsi:type="xsd:double"&gt;61.65&lt;/D&gt;&lt;D xsi:type="xsd:double"&gt;60.76&lt;/D&gt;&lt;D xsi:type="xsd:double"&gt;60.19&lt;/D&gt;&lt;D xsi:type="xsd:double"&gt;59.23&lt;/D&gt;&lt;D xsi:type="xsd:double"&gt;59.6&lt;/D&gt;&lt;D xsi:type="xsd:double"&gt;60.14&lt;/D&gt;&lt;D xsi:type="xsd:double"&gt;60.17&lt;/D&gt;&lt;D xsi:type="xsd:double"&gt;60.93&lt;/D&gt;&lt;D xsi:type="xsd:double"&gt;60.06&lt;/D&gt;&lt;D xsi:type="xsd:double"&gt;61.05&lt;/D&gt;&lt;D xsi:type="xsd:double"&gt;60.85&lt;/D&gt;&lt;D xsi:type="xsd:double"&gt;60.47&lt;/D&gt;&lt;D xsi:type="xsd:double"&gt;59.03&lt;/D&gt;&lt;D xsi:type="xsd:double"&gt;59.24&lt;/D&gt;&lt;D xsi:type="xsd:double"&gt;59.46&lt;/D&gt;&lt;D xsi:type="xsd:double"&gt;59.79&lt;/D&gt;&lt;D xsi:type="xsd:double"&gt;59.77&lt;/D&gt;&lt;D xsi:type="xsd:double"&gt;59.38&lt;/D&gt;&lt;D xsi:type="xsd:double"&gt;59.61&lt;/D&gt;&lt;D xsi:type="xsd:double"&gt;60.13&lt;/D&gt;&lt;D xsi:type="xsd:double"&gt;60.29&lt;/D&gt;&lt;D xsi:type="xsd:double"&gt;60.28&lt;/D&gt;&lt;D xsi:type="xsd:double"&gt;60.89&lt;/D&gt;&lt;D xsi:type="xsd:double"&gt;61.11&lt;/D&gt;&lt;D xsi:type="xsd:double"&gt;61.7&lt;/D&gt;&lt;D xsi:type="xsd:double"&gt;61.59&lt;/D&gt;&lt;D xsi:type="xsd:double"&gt;61.12&lt;/D&gt;&lt;D xsi:type="xsd:double"&gt;60.56&lt;/D&gt;&lt;D xsi:type="xsd:double"&gt;60.32&lt;/D&gt;&lt;D xsi:type="xsd:double"&gt;60.31&lt;/D&gt;&lt;D xsi:type="xsd:double"&gt;59.68&lt;/D&gt;&lt;D xsi:type="xsd:double"&gt;59.21&lt;/D&gt;&lt;D xsi:type="xsd:double"&gt;57.94&lt;/D&gt;&lt;D xsi:type="xsd:double"&gt;58.11&lt;/D&gt;&lt;D xsi:type="xsd:double"&gt;58.97&lt;/D&gt;&lt;D xsi:type="xsd:double"&gt;58.91&lt;/D&gt;&lt;D xsi:type="xsd:double"&gt;59.82&lt;/D&gt;&lt;D xsi:type="xsd:double"&gt;61.06&lt;/D&gt;&lt;D xsi:type="xsd:double"&gt;61.57&lt;/D&gt;&lt;D xsi:type="xsd:double"&gt;61.56&lt;/D&gt;&lt;D xsi:type="xsd:double"&gt;61.36&lt;/D&gt;&lt;D xsi:type="xsd:double"&gt;61.09&lt;/D&gt;&lt;D xsi:type="xsd:double"&gt;61.24&lt;/D&gt;&lt;D xsi:type="xsd:double"&gt;60.72&lt;/D&gt;&lt;D xsi:type="xsd:double"&gt;60.25&lt;/D&gt;&lt;D xsi:type="xsd:double"&gt;60.39&lt;/D&gt;&lt;D xsi:type="xsd:double"&gt;60.64&lt;/D&gt;&lt;D xsi:type="xsd:double"&gt;60.17&lt;/D&gt;&lt;D xsi:type="xsd:double"&gt;61.23&lt;/D&gt;&lt;D xsi:type="xsd:double"&gt;60.9&lt;/D&gt;&lt;D xsi:type="xsd:double"&gt;61.13&lt;/D&gt;&lt;D xsi:type="xsd:double"&gt;60.67&lt;/D&gt;&lt;D xsi:type="xsd:double"&gt;59.83&lt;/D&gt;&lt;D xsi:type="xsd:double"&gt;60.32&lt;/D&gt;&lt;D xsi:type="xsd:double"&gt;60.53&lt;/D&gt;&lt;D xsi:type="xsd:double"&gt;60.57&lt;/D&gt;&lt;D xsi:type="xsd:double"&gt;59.51&lt;/D&gt;&lt;D xsi:type="xsd:double"&gt;59.26&lt;/D&gt;&lt;D xsi:type="xsd:double"&gt;59.36&lt;/D&gt;&lt;D xsi:type="xsd:double"&gt;59.08&lt;/D&gt;&lt;D xsi:type="xsd:double"&gt;57.84&lt;/D&gt;&lt;D xsi:type="xsd:double"&gt;58.12&lt;/D&gt;&lt;D xsi:type="xsd:double"&gt;58.11&lt;/D&gt;&lt;D xsi:type="xsd:double"&gt;59.09&lt;/D&gt;&lt;D xsi:type="xsd:double"&gt;58.39&lt;/D&gt;&lt;D xsi:type="xsd:double"&gt;56.68&lt;/D&gt;&lt;D xsi:type="xsd:double"&gt;56.94&lt;/D&gt;&lt;D xsi:type="xsd:double"&gt;56.67&lt;/D&gt;&lt;D xsi:type="xsd:double"&gt;56.97&lt;/D&gt;&lt;D xsi:type="xsd:double"&gt;56.42&lt;/D&gt;&lt;D xsi:type="xsd:double"&gt;58.12&lt;/D&gt;&lt;D xsi:type="xsd:double"&gt;57.94&lt;/D&gt;&lt;D xsi:type="xsd:double"&gt;57.34&lt;/D&gt;&lt;D xsi:type="xsd:double"&gt;56.51&lt;/D&gt;&lt;D xsi:type="xsd:double"&gt;55.51&lt;/D&gt;&lt;D xsi:type="xsd:double"&gt;54.34&lt;/D&gt;&lt;D xsi:type="xsd:double"&gt;54.93&lt;/D&gt;&lt;D xsi:type="xsd:double"&gt;53.02&lt;/D&gt;&lt;D xsi:type="xsd:double"&gt;52.19&lt;/D&gt;&lt;D xsi:type="xsd:double"&gt;51.91&lt;/D&gt;&lt;D xsi:type="xsd:double"&gt;50.68&lt;/D&gt;&lt;D xsi:type="xsd:double"&gt;50.3&lt;/D&gt;&lt;D xsi:type="xsd:double"&gt;51.86&lt;/D&gt;&lt;D xsi:type="xsd:double"&gt;48.06&lt;/D&gt;&lt;D xsi:type="xsd:double"&gt;48.52&lt;/D&gt;&lt;D xsi:type="xsd:double"&gt;49.92&lt;/D&gt;&lt;D xsi:type="xsd:double"&gt;54.26&lt;/D&gt;&lt;D xsi:type="xsd:double"&gt;52.16&lt;/D&gt;&lt;D xsi:type="xsd:double"&gt;52.05&lt;/D&gt;&lt;D xsi:type="xsd:double"&gt;50.96&lt;/D&gt;&lt;D xsi:type="xsd:double"&gt;51.62&lt;/D&gt;&lt;D xsi:type="xsd:double"&gt;52.15&lt;/D&gt;&lt;D xsi:type="xsd:double"&gt;52.01&lt;/D&gt;&lt;D xsi:type="xsd:double"&gt;52.59&lt;/D&gt;&lt;D xsi:type="xsd:double"&gt;52.04&lt;/D&gt;&lt;/FQL&gt;&lt;FQL&gt;&lt;Q&gt;CNYA^FG_PRICE(0,-200D)&lt;/Q&gt;&lt;R&gt;201&lt;/R&gt;&lt;C&gt;1&lt;/C&gt;&lt;D xsi:type="xsd:double"&gt;35.49&lt;/D&gt;&lt;D xsi:type="xsd:double"&gt;35.5&lt;/D&gt;&lt;D xsi:type="xsd:double"&gt;35.64&lt;/D&gt;&lt;D xsi:type="xsd:double"&gt;35.21&lt;/D&gt;&lt;D xsi:type="xsd:double"&gt;34.91&lt;/D&gt;&lt;D xsi:type="xsd:double"&gt;34.58&lt;/D&gt;&lt;D xsi:type="xsd:double"&gt;34.59&lt;/D&gt;&lt;D xsi:type="xsd:double"&gt;34.37&lt;/D&gt;&lt;D xsi:type="xsd:double"&gt;34.71&lt;/D&gt;&lt;D xsi:type="xsd:double"</t>
        </r>
      </text>
    </comment>
    <comment ref="A3" authorId="0" shapeId="0" xr:uid="{F7CC07E5-7A54-44DE-B431-1FBDBF7449E6}">
      <text>
        <r>
          <rPr>
            <b/>
            <sz val="9"/>
            <color indexed="81"/>
            <rFont val="Tahoma"/>
            <charset val="1"/>
          </rPr>
          <t>&gt;34.44&lt;/D&gt;&lt;D xsi:type="xsd:double"&gt;34.31&lt;/D&gt;&lt;D xsi:type="xsd:double"&gt;34.24&lt;/D&gt;&lt;D xsi:type="xsd:double"&gt;33.89&lt;/D&gt;&lt;D xsi:type="xsd:double"&gt;33.58&lt;/D&gt;&lt;D xsi:type="xsd:double"&gt;33.63&lt;/D&gt;&lt;D xsi:type="xsd:double"&gt;33.197&lt;/D&gt;&lt;D xsi:type="xsd:double"&gt;34.05&lt;/D&gt;&lt;D xsi:type="xsd:double"&gt;34.08&lt;/D&gt;&lt;D xsi:type="xsd:double"&gt;34.09&lt;/D&gt;&lt;D xsi:type="xsd:double"&gt;34.34&lt;/D&gt;&lt;D xsi:type="xsd:double"&gt;34.225&lt;/D&gt;&lt;D xsi:type="xsd:double"&gt;34.36&lt;/D&gt;&lt;D xsi:type="xsd:double"&gt;34.21&lt;/D&gt;&lt;D xsi:type="xsd:double"&gt;33.74&lt;/D&gt;&lt;D xsi:type="xsd:double"&gt;33.76&lt;/D&gt;&lt;D xsi:type="xsd:double"&gt;33.81&lt;/D&gt;&lt;D xsi:type="xsd:double"&gt;34.25&lt;/D&gt;&lt;D xsi:type="xsd:double"&gt;33.95&lt;/D&gt;&lt;D xsi:type="xsd:double"&gt;33.59&lt;/D&gt;&lt;D xsi:type="xsd:double"&gt;33.51&lt;/D&gt;&lt;D xsi:type="xsd:double"&gt;33.11&lt;/D&gt;&lt;D xsi:type="xsd:double"&gt;33.06&lt;/D&gt;&lt;D xsi:type="xsd:double"&gt;33.46&lt;/D&gt;&lt;D xsi:type="xsd:double"&gt;33.88&lt;/D&gt;&lt;D xsi:type="xsd:double"&gt;33.93&lt;/D&gt;&lt;D xsi:type="xsd:double"&gt;33.89&lt;/D&gt;&lt;D xsi:type="xsd:double"&gt;34.19&lt;/D&gt;&lt;D xsi:type="xsd:double"&gt;34.64&lt;/D&gt;&lt;D xsi:type="xsd:double"&gt;34.43&lt;/D&gt;&lt;D xsi:type="xsd:double"&gt;34.47&lt;/D&gt;&lt;D xsi:type="xsd:double"&gt;34.77&lt;/D&gt;&lt;D xsi:type="xsd:double"&gt;34.6&lt;/D&gt;&lt;D xsi:type="xsd:double"&gt;34.59&lt;/D&gt;&lt;D xsi:type="xsd:double"&gt;34.38&lt;/D&gt;&lt;D xsi:type="xsd:double"&gt;33.97&lt;/D&gt;&lt;D xsi:type="xsd:double"&gt;34.3771&lt;/D&gt;&lt;D xsi:type="xsd:double"&gt;34.3&lt;/D&gt;&lt;D xsi:type="xsd:double"&gt;34.9&lt;/D&gt;&lt;D xsi:type="xsd:double"&gt;35.27&lt;/D&gt;&lt;D xsi:type="xsd:double"&gt;34.95&lt;/D&gt;&lt;D xsi:type="xsd:double"&gt;34.95&lt;/D&gt;&lt;D xsi:type="xsd:double"&gt;34.48&lt;/D&gt;&lt;D xsi:type="xsd:double"&gt;34.06&lt;/D&gt;&lt;D xsi:type="xsd:double"&gt;33.86&lt;/D&gt;&lt;D xsi:type="xsd:double"&gt;33.88&lt;/D&gt;&lt;D xsi:type="xsd:double"&gt;33.64&lt;/D&gt;&lt;D xsi:type="xsd:double"&gt;33.61&lt;/D&gt;&lt;D xsi:type="xsd:double"&gt;34.02&lt;/D&gt;&lt;D xsi:type="xsd:double"&gt;33.99&lt;/D&gt;&lt;D xsi:type="xsd:double"&gt;33.55&lt;/D&gt;&lt;D xsi:type="xsd:double"&gt;33.94&lt;/D&gt;&lt;D xsi:type="xsd:double"&gt;32.92&lt;/D&gt;&lt;D xsi:type="xsd:double"&gt;34.44&lt;/D&gt;&lt;D xsi:type="xsd:double"&gt;34.21&lt;/D&gt;&lt;D xsi:type="xsd:double"&gt;34.26&lt;/D&gt;&lt;D xsi:type="xsd:double"&gt;34.37&lt;/D&gt;&lt;D xsi:type="xsd:double"&gt;34.39&lt;/D&gt;&lt;D xsi:type="xsd:double"&gt;34.5182&lt;/D&gt;&lt;D xsi:type="xsd:double"&gt;34.3695&lt;/D&gt;&lt;D xsi:type="xsd:double"&gt;34.34&lt;/D&gt;&lt;D xsi:type="xsd:double"&gt;34.2&lt;/D&gt;&lt;D xsi:type="xsd:double"&gt;33.54&lt;/D&gt;&lt;D xsi:type="xsd:double"&gt;33.88&lt;/D&gt;&lt;D xsi:type="xsd:double"&gt;33.6806&lt;/D&gt;&lt;D xsi:type="xsd:double"&gt;33.47&lt;/D&gt;&lt;D xsi:type="xsd:double"&gt;33.67&lt;/D&gt;&lt;D xsi:type="xsd:double"&gt;33.45&lt;/D&gt;&lt;D xsi:type="xsd:double"&gt;33.48&lt;/D&gt;&lt;D xsi:type="xsd:double"&gt;33.96&lt;/D&gt;&lt;D xsi:type="xsd:double"&gt;33.77&lt;/D&gt;&lt;D xsi:type="xsd:double"&gt;33.81&lt;/D&gt;&lt;D xsi:type="xsd:double"&gt;33.6&lt;/D&gt;&lt;D xsi:type="xsd:double"&gt;33.94&lt;/D&gt;&lt;D xsi:type="xsd:double"&gt;32.84&lt;/D&gt;&lt;D xsi:type="xsd:double"&gt;32.94&lt;/D&gt;&lt;D xsi:type="xsd:double"&gt;33.14&lt;/D&gt;&lt;D xsi:type="xsd:double"&gt;33.02&lt;/D&gt;&lt;D xsi:type="xsd:double"&gt;32.23&lt;/D&gt;&lt;D xsi:type="xsd:double"&gt;32.94&lt;/D&gt;&lt;D xsi:type="xsd:double"&gt;33.2&lt;/D&gt;&lt;D xsi:type="xsd:double"&gt;33.47&lt;/D&gt;&lt;D xsi:type="xsd:double"&gt;33.16&lt;/D&gt;&lt;D xsi:type="xsd:double"&gt;32.26&lt;/D&gt;&lt;D xsi:type="xsd:double"&gt;32.91&lt;/D&gt;&lt;D xsi:type="xsd:double"&gt;32.91&lt;/D&gt;&lt;D xsi:type="xsd:double"&gt;32.71&lt;/D&gt;&lt;D xsi:type="xsd:double"&gt;31.62&lt;/D&gt;&lt;D xsi:type="xsd:double"&gt;31.74&lt;/D&gt;&lt;D xsi:type="xsd:double"&gt;31.02&lt;/D&gt;&lt;D xsi:type="xsd:double"&gt;31.32&lt;/D&gt;&lt;D xsi:type="xsd:double"&gt;30.97&lt;/D&gt;&lt;D xsi:type="xsd:double"&gt;30.72&lt;/D&gt;&lt;D xsi:type="xsd:double"&gt;31.01&lt;/D&gt;&lt;D xsi:type="xsd:double"&gt;30.73&lt;/D&gt;&lt;D xsi:type="xsd:double"&gt;30.295&lt;/D&gt;&lt;D xsi:type="xsd:double"&gt;30.27&lt;/D&gt;&lt;D xsi:type="xsd:double"&gt;30.3&lt;/D&gt;&lt;D xsi:type="xsd:double"&gt;30.33&lt;/D&gt;&lt;D xsi:type="xsd:double"&gt;30.17&lt;/D&gt;&lt;D xsi:type="xsd:double"&gt;29.9&lt;/D&gt;&lt;D xsi:type="xsd:double"&gt;29.6&lt;/D&gt;&lt;D xsi:type="xsd:double"&gt;29.68&lt;/D&gt;&lt;D xsi:type="xsd:double"&gt;30.24&lt;/D&gt;&lt;D xsi:type="xsd:double"&gt;30.44&lt;/D&gt;&lt;D xsi:type="xsd:double"&gt;30.29&lt;/D&gt;&lt;D xsi:type="xsd:double"&gt;30.31&lt;/D&gt;&lt;D xsi:type="xsd:double"&gt;30.45&lt;/D&gt;&lt;D xsi:type="xsd:double"&gt;30.35&lt;/D&gt;&lt;D xsi:type="xsd:double"&gt;30.365&lt;/D&gt;&lt;D xsi:type="xsd:double"&gt;29.98&lt;/D&gt;&lt;D xsi:type="xsd:double"&gt;29.73&lt;/D&gt;&lt;D xsi:type="xsd:double"&gt;29.6&lt;/D&gt;&lt;D xsi:type="xsd:double"&gt;29.26&lt;/D&gt;&lt;D xsi:type="xsd:double"&gt;29.29&lt;/D&gt;&lt;D xsi:type="xsd:double"&gt;29.395&lt;/D&gt;&lt;D xsi:type="xsd:double"&gt;29.2&lt;/D&gt;&lt;D xsi:type="xsd:double"&gt;29.32&lt;/D&gt;&lt;D xsi:type="xsd:double"&gt;29.07&lt;/D&gt;&lt;D xsi:type="xsd:double"&gt;29.12&lt;/D&gt;&lt;D xsi:type="xsd:double"&gt;28.86&lt;/D&gt;&lt;D xsi:type="xsd:double"&gt;28.91&lt;/D&gt;&lt;D xsi:type="xsd:double"&gt;28.7&lt;/D&gt;&lt;D xsi:type="xsd:double"&gt;28.71&lt;/D&gt;&lt;D xsi:type="xsd:double"&gt;28.71&lt;/D&gt;&lt;D xsi:type="xsd:double"&gt;28.46&lt;/D&gt;&lt;D xsi:type="xsd:double"&gt;28.79&lt;/D&gt;&lt;D xsi:type="xsd:double"&gt;28.805&lt;/D&gt;&lt;D xsi:type="xsd:double"&gt;28.55&lt;/D&gt;&lt;D xsi:type="xsd:double"&gt;28.03&lt;/D&gt;&lt;D xsi:type="xsd:double"&gt;27.925&lt;/D&gt;&lt;D xsi:type="xsd:double"&gt;27.96&lt;/D&gt;&lt;D xsi:type="xsd:double"&gt;28&lt;/D&gt;&lt;D xsi:type="xsd:double"&gt;28.12&lt;/D&gt;&lt;D xsi:type="xsd:double"&gt;28.15&lt;/D&gt;&lt;D xsi:type="xsd:double"&gt;28.42&lt;/D&gt;&lt;D xsi:type="xsd:double"&gt;28.29&lt;/D&gt;&lt;D xsi:type="xsd:double"&gt;28.1&lt;/D&gt;&lt;D xsi:type="xsd:double"&gt;28.3&lt;/D&gt;&lt;D xsi:type="xsd:double"&gt;28.22&lt;/D&gt;&lt;D xsi:type="xsd:double"&gt;28.29&lt;/D&gt;&lt;D xsi:type="xsd:double"&gt;28.18&lt;/D&gt;&lt;D xsi:type="xsd:double"&gt;27.96&lt;/D&gt;&lt;D xsi:type="xsd:double"&gt;27.72&lt;/D&gt;&lt;D xsi:type="xsd:double"&gt;27.67&lt;/D&gt;&lt;D xsi:type="xsd:double"&gt;28.02&lt;/D&gt;&lt;D xsi:type="xsd:double"&gt;27.83&lt;/D&gt;&lt;D xsi:type="xsd:double"&gt;27.9&lt;/D&gt;&lt;D xsi:type="xsd:double"&gt;28.2&lt;/D&gt;&lt;D xsi:type="xsd:double"&gt;28.3&lt;/D&gt;&lt;D xsi:type="xsd:double"&gt;28.4&lt;/D&gt;&lt;D xsi:type="xsd:double"&gt;28.28&lt;/D&gt;&lt;D xsi:type="xsd:double"&gt;28.14&lt;/D&gt;&lt;D xsi:type="xsd:double"&gt;28.24&lt;/D&gt;&lt;D xsi:type="xsd:double"&gt;28.25&lt;/D&gt;&lt;D xsi:type="xsd:double"&gt;28.58&lt;/D&gt;&lt;D xsi:type="xsd:double"&gt;28.34&lt;/D&gt;&lt;D xsi:type="xsd:double"&gt;28.45&lt;/D&gt;&lt;D xsi:type="xsd:double"&gt;27.78&lt;/D&gt;&lt;D xsi:type="xsd:double"&gt;27.85&lt;/D&gt;&lt;D xsi:type="xsd:double"&gt;27.58&lt;/D&gt;&lt;D xsi:type="xsd:double"&gt;27.82&lt;/D&gt;&lt;D xsi:type="xsd:double"&gt;27.7&lt;/D&gt;&lt;D xsi:type="xsd:double"&gt;27.66&lt;/D&gt;&lt;D xsi:type="xsd:double"&gt;26.92&lt;/D&gt;&lt;D xsi:type="xsd:double"&gt;27.06&lt;/D&gt;&lt;D xsi:type="xsd:double"&gt;27.14&lt;/D&gt;&lt;D xsi:type="xsd:double"&gt;27.14&lt;/D&gt;&lt;D xsi:type="xsd:double"&gt;27.25&lt;/D&gt;&lt;D xsi:type="xsd:double"&gt;27.29&lt;/D&gt;&lt;D xsi:type="xsd:double"&gt;27.2&lt;/D&gt;&lt;D xsi:type="xsd:double"&gt;27.16&lt;/D&gt;&lt;D xsi:type="xsd:double"&gt;27.04&lt;/D&gt;&lt;D xsi:type="xsd:double"&gt;26.82&lt;/D&gt;&lt;D xsi:type="xsd:double"&gt;26.92&lt;/D&gt;&lt;D xsi:type="xsd:double"&gt;26.7&lt;/D&gt;&lt;D xsi:type="xsd:double"&gt;26.96&lt;/D&gt;&lt;D xsi:type="xsd:double"&gt;27.09&lt;/D&gt;&lt;D xsi:type="xsd:double"&gt;26.64&lt;/D&gt;&lt;D xsi:type="xsd:double"&gt;26.4&lt;/D&gt;&lt;D xsi:type="xsd:double"&gt;24.95&lt;/D&gt;&lt;D xsi:type="xsd:double"&gt;24.71&lt;/D&gt;&lt;D xsi:type="xsd:double"&gt;26.56&lt;/D&gt;&lt;D xsi:type="xsd:double"&gt;27.65&lt;/D&gt;&lt;D xsi:type="xsd:double"&gt;27.91&lt;/D&gt;&lt;D xsi:type="xsd:double"&gt;27.92&lt;/D&gt;&lt;D xsi:type="xsd:double"&gt;28.03&lt;/D&gt;&lt;D xsi:type="xsd:double"&gt;28.08&lt;/D&gt;&lt;D xsi:type="xsd:double"&gt;28.34&lt;/D&gt;&lt;D xsi:type="xsd:double"&gt;28.16&lt;/D&gt;&lt;D xsi:type="xsd:double"&gt;28.33&lt;/D&gt;&lt;D xsi:type="xsd:double"&gt;28.3&lt;/D&gt;&lt;/FQL&gt;&lt;FQL&gt;&lt;Q&gt;EWU^FG_TOTAL_RETURNC(-5AY,0,AM)&lt;/Q&gt;&lt;R&gt;61&lt;/R&gt;&lt;C&gt;1&lt;/C&gt;&lt;D xsi:type="xsd:double"&gt;6.4943075&lt;/D&gt;&lt;D xsi:type="xsd:double"&gt;-4.1906595&lt;/D&gt;&lt;D xsi:type="xsd:double"&gt;4.1736245&lt;/D&gt;&lt;D xsi:type="xsd:double"&gt;3.237176&lt;/D&gt;&lt;D xsi:type="xsd:double"&gt;5.215776&lt;/D&gt;&lt;D xsi:type="xsd:double"&gt;0.8557081&lt;/D&gt;&lt;D xsi:type="xsd:double"&gt;-3.2490253&lt;/D&gt;&lt;D xsi:type="xsd:double"&gt;2.2140265&lt;/D&gt;&lt;D xsi:type="xsd:double"&gt;-0.8423686&lt;/D&gt;&lt;D xsi:type="xsd:double"&gt;-0.5157709&lt;/D&gt;&lt;D xsi:type="xsd:double"&gt;2.5312543&lt;/D&gt;&lt;D xsi:type="xsd:double"&gt;-1.2790024&lt;/D&gt;&lt;D xsi:type="xsd:double"&gt;5.1986694&lt;/D&gt;&lt;D xsi:type="xsd:double"&gt;1.5008926&lt;/D&gt;&lt;D xsi:type="xsd:double"&gt;-9.625983&lt;/D&gt;&lt;D xsi:type="xsd:double"&gt;9.720886&lt;/D&gt;&lt;D xsi:type="xsd:double"&gt;-7.6315823&lt;/D&gt;&lt;D xsi:type="xsd:double"&gt;4.083574&lt;/D&gt;&lt;D xsi:type="xsd:double"&gt;-8.663553&lt;/D&gt;&lt;D xsi:type="xsd:double"&gt;4.2048097&lt;/D&gt;&lt;D xsi:type="xsd:double"&gt;-6.8987904&lt;/D&gt;&lt;D xsi:type="xsd:double"&gt;-6.8857074&lt;/D&gt;&lt;D xsi:type="xsd:double"&gt;8.708704&lt;/D&gt;&lt;D xsi:type="xsd:double"&gt;8.943367&lt;/D&gt;&lt;D xsi:type="xsd:double"&gt;1.9466639&lt;/D&gt;&lt;D xsi:type="xsd:double"&gt;1.7986655&lt;/D&gt;&lt;D xsi:type="xsd:double"&gt;-0.6509602&lt;/D&gt;&lt;D xsi:type="xsd:double"&gt;3.1513333&lt;/D&gt;&lt;D xsi:type="xsd:double"&gt;2.4198413&lt;/D&gt;&lt;D xsi:type="xsd:double"&gt;-2.78427&lt;/D&gt;&lt;D xsi:type="xsd:double"&gt;-2.6323974&lt;/D&gt;&lt;D xsi:type="xsd:double"&gt;3.435111&lt;/D&gt;&lt;D xsi:type="xsd:double"&gt;-2.3677766&lt;/D&gt;&lt;D xsi:type="xsd:double"&gt;-0.85039735&lt;/D&gt;&lt;D xsi:type="xsd:double"&gt;-1.2706459&lt;/D&gt;&lt;D xsi:type="xsd:double"&gt;4.8262596&lt;/D&gt;&lt;D xsi:type="xsd:double"&gt;3.997755&lt;/D&gt;&lt;D xsi:type="xsd:double"&gt;-2.4154544&lt;/D&gt;&lt;D xsi:type="xsd:double"&gt;3.125012&lt;/D&gt;&lt;D xsi:type="xsd:double"&gt;2.8502703&lt;/D&gt;&lt;D xsi:type="xsd:double"&gt;4.317391&lt;/D&gt;&lt;D xsi:type="xsd:double"&gt;0.47539473&lt;/D&gt;&lt;D xsi:type="xsd:double"&gt;0.42598248&lt;/D&gt;&lt;D xsi:type="xsd:double"&gt;-0.5651355&lt;/D&gt;&lt;D xsi:type="xsd:double"&gt;3.6942363&lt;/D&gt;&lt;D xsi:type="xsd:double"&gt;-0.13703108&lt;/D&gt;&lt;D xsi:type="xsd:double"&gt;-3.0460954&lt;/D&gt;&lt;D xsi:type="xsd:double"&gt;1.6133547&lt;/D&gt;&lt;D xsi:type="xsd:double"&gt;-3.3898115&lt;/D&gt;&lt;D xsi:type="xsd:double"&gt;5.652046&lt;/D&gt;&lt;D xsi:type="xsd:double"&gt;5.405414&lt;/D&gt;&lt;D xsi:type="xsd:double"&gt;-12.265408&lt;/D&gt;&lt;D xsi:type="xsd:double"&gt;14.823747&lt;/D&gt;&lt;D xsi:type="xsd:double"&gt;5.8777213&lt;/D&gt;&lt;D xsi:type="xsd:double"&gt;0.6307721&lt;/D&gt;&lt;D xsi:type="xsd:double"&gt;1.8597603&lt;/D&gt;&lt;D xsi:type="xsd:double"&gt;2.9114246&lt;/D&gt;&lt;D xsi:type="xsd:double"&gt;2.3255825&lt;/D&gt;&lt;D xsi:type="xsd:double"&gt;0.44517517&lt;/D&gt;&lt;D xsi:type="xsd:double"&gt;0.4898548&lt;/D&gt;&lt;D xsi:type="xsd:double"&gt;5.5371284&lt;/D&gt;&lt;/FQL&gt;&lt;FQL&gt;&lt;Q&gt;VNM^FG_TOTAL_RETURNC(-5AY,0,AM)&lt;/Q&gt;&lt;R&gt;61&lt;/R&gt;&lt;C&gt;1&lt;/C&gt;&lt;D xsi:type="xsd:double"&gt;12.16867&lt;/D&gt;&lt;D xsi:type="xsd:double"&gt;-5.157441&lt;/D&gt;&lt;D xsi:type="xsd:double"&gt;0.17172098&lt;/D&gt;&lt;D xsi:type="xsd:double"&gt;6.228578&lt;/D&gt;&lt;D xsi:type="xsd:double"&gt;2.4744391&lt;/D&gt;&lt;D xsi:type="xsd:double"&gt;3.4120798&lt;/D&gt;&lt;D xsi:type="xsd:double"&gt;1.6751289&lt;/D&gt;&lt;D xsi:type="xsd:double"&gt;-1.0983586&lt;/D&gt;&lt;D xsi:type="xsd:double"&gt;-0.20191073&lt;/D&gt;&lt;D xsi:type="xsd:double"&gt;-0.8598864&lt;/D&gt;&lt;D xsi:type="xsd:double"&gt;5.4591775&lt;/D&gt;&lt;D xsi:type="xsd:double"&gt;0.14513731&lt;/D&gt;&lt;D xsi:type="xsd:double"&gt;3.8990498&lt;/D&gt;&lt;D xsi:type="xsd:double"&gt;-8.177572&lt;/D&gt;&lt;D xsi:type="xsd:double"&gt;-3.4605622&lt;/D&gt;&lt;D xsi:type="xsd:double"&gt;-1.0542929&lt;/D&gt;&lt;D xsi:type="xsd:double"&gt;-11.454445&lt;/D&gt;&lt;D xsi:type="xsd:double"&gt;-3.9711237&lt;/D&gt;&lt;D xsi:type="xsd:double"&gt;-10.526318&lt;/D&gt;&lt;D xsi:type="xsd:double"&gt;7.5630307&lt;/D&gt;&lt;D xsi:type="xsd:double"&gt;-3.2552063&lt;/D&gt;&lt;D xsi:type="xsd:double"&gt;-16.487211&lt;/D&gt;&lt;D xsi:type="xsd:double"&gt;-9.3473015&lt;/D&gt;&lt;D xsi:type="xsd:double"&gt;13.955557&lt;/D&gt;&lt;D xsi:type="xsd:double"&gt;-2.1314442&lt;/D&gt;&lt;D xsi:type="xsd:double"&gt;-2.7353168&lt;/D&gt;&lt;D xsi:type="xsd:double"&gt;-2.8949559&lt;/D&gt;&lt;D xsi:type="xsd:double"&gt;4.6848416&lt;/D&gt;&lt;D xsi:type="xsd:double"&gt;-1.7087042&lt;/D&gt;&lt;D xsi:type="xsd:double"&gt;7.6159&lt;/D&gt;&lt;D xsi:type="xsd:double"&gt;3.4615397&lt;/D&gt;&lt;D xsi:type="xsd:double"&gt;13.531601&lt;/D&gt;&lt;D xsi:type="xsd:double"&gt;1.2442708&lt;/D&gt;&lt;D xsi:type="xsd:double"&gt;-13.518757&lt;/D&gt;&lt;D xsi:type="xsd:double"&gt;-2.056843&lt;/D&gt;&lt;D xsi:type="xsd:double"&gt;2.9400468&lt;/D&gt;&lt;D xsi:type="xsd:double"&gt;2.9370546&lt;/D&gt;&lt;D xsi:type="xsd:double"&gt;-0.6079018&lt;/D&gt;&lt;D xsi:type="xsd:double"&gt;2.905202&lt;/D&gt;&lt;D xsi:type="xsd:double"&gt;-1.5601814&lt;/D&gt;&lt;D xsi:type="xsd:double"&gt;-4.2264166&lt;/D&gt;&lt;D xsi:type="xsd:double"&gt;0.9456277&lt;/D&gt;&lt;D xsi:type="xsd:double"&gt;-3.3567548&lt;/D&gt;&lt;D xsi:type="xsd:double"&gt;-4.523426&lt;/D&gt;&lt;D xsi:type="xsd:double"&gt;6.3451767&lt;/D&gt;&lt;D xsi:type="xsd:double"&gt;-0.95465183&lt;/D&gt;&lt;D xsi:type="xsd:double"&gt;-4.2570233&lt;/D&gt;&lt;D xsi:type="xsd:double"&gt;0.41946173&lt;/D&gt;&lt;D xsi:type="xsd:double"&gt;-5.012536&lt;/D&gt;&lt;D xsi:type="xsd:double"&gt;0.7915616&lt;/D&gt;&lt;D xsi:type="xsd:double"&gt;8.202446&lt;/D&gt;&lt;D xsi:type="xsd:double"&gt;-18.306446&lt;/D&gt;&lt;D xsi:type="xsd:double"&gt;24.38302&lt;/D&gt;&lt;D xsi:type="xsd:double"&gt;8.253967&lt;/D&gt;&lt;D xsi:type="xsd:double"&gt;6.378293&lt;/D&gt;&lt;D xsi:type="xsd:double"&gt;18.401098&lt;/D&gt;&lt;D xsi:type="xsd:double"&gt;1.1059403&lt;/D&gt;&lt;D xsi:type="xsd:double"&gt;6.1024666&lt;/D&gt;&lt;D xsi:type="xsd:double"&gt;-8.41021&lt;/D&gt;&lt;D xsi:type="xsd:double"&gt;10.900474&lt;/D&gt;&lt;D xsi:type="xsd:double"&gt;3.3623338&lt;/D&gt;&lt;/FQL&gt;&lt;FQL&gt;&lt;Q&gt;EZA^FG_TOTAL_RETURNC(-5AY,0,AM)&lt;/Q&gt;&lt;R&gt;61&lt;/R&gt;&lt;C&gt;1&lt;/C&gt;&lt;D xsi:type="xsd:double"&gt;4.1429877&lt;/D&gt;&lt;D xsi:type="xsd:double"&gt;6.513405&lt;/D&gt;&lt;D xsi:type="xsd:double"&gt;-0.40202737&lt;/D&gt;&lt;D xsi:type="xsd:double"&gt;6.5646887&lt;/D&gt;&lt;D xsi:type="xsd:double"&gt;4.0271163&lt;/D&gt;&lt;D xsi:type="xsd:double"&gt;2.6830196&lt;/D&gt;&lt;D xsi:type="xsd:double"&gt;-9.589499&lt;/D&gt;&lt;D xsi:type="xsd:double"&gt;0.39583445&lt;/D&gt;&lt;D xsi:type="xsd:double"&gt;1.0583162&lt;/D&gt;&lt;D xsi:type="xsd:double"&gt;-0.9856224&lt;/D&gt;&lt;D xsi:type="xsd:double"&gt;0.9124875&lt;/D&gt;&lt;D xsi:type="xsd:double"&gt;-3.0004084&lt;/D&gt;&lt;D xsi:type="xsd:double"&gt;1.2680769&lt;/D&gt;&lt;D xsi:type="xsd:double"&gt;8.201218&lt;/D&gt;&lt;D xsi:type="xsd:double"&gt;-0.95721483&lt;/D&gt;&lt;D xsi:type="xsd:double"&gt;8.28402&lt;/D&gt;&lt;D xsi:type="xsd:double"&gt;-18.342442&lt;/D&gt;&lt;D xsi:type="xsd:double"&gt;5.732763&lt;/D&gt;&lt;D xsi:type="xsd:double"&gt;-8.4592705&lt;/D&gt;&lt;D xsi:type="xsd:double"&gt;2.521205&lt;/D&gt;&lt;D xsi:type="xsd:double"&gt;-8.802568&lt;/D&gt;&lt;D xsi:type="xsd:double"&gt;-5.645168&lt;/D&gt;&lt;D xsi:type="xsd:double"&gt;10.470093&lt;/D&gt;&lt;D xsi:type="xsd:double"&gt;6.1653733&lt;/D&gt;&lt;D xsi:type="xsd:double"&gt;4.5105815&lt;/D&gt;&lt;D xsi:type="xsd:double"&gt;-2.4115026&lt;/D&gt;&lt;D xsi:type="xsd:double"&gt;-8.206755&lt;/D&gt;&lt;D xsi:type="xsd:double"&gt;4.9147844&lt;/D&gt;&lt;D xsi:type="xsd:double"&gt;-0.09416342&lt;/D&gt;&lt;D xsi:type="xsd:double"&gt;-4.353505&lt;/D&gt;&lt;D xsi:type="xsd:double"&gt;-2.3308277&lt;/D&gt;&lt;D xsi:type="xsd:double"&gt;4.6445966&lt;/D&gt;&lt;D xsi:type="xsd:double"&gt;-5.7626247&lt;/D&gt;&lt;D xsi:type="xsd:double"&gt;-3.7991107&lt;/D&gt;&lt;D xsi:type="xsd:double"&gt;6.329453&lt;/D&gt;&lt;D xsi:type="xsd:double"&gt;-0.2289474&lt;/D&gt;&lt;D xsi:type="xsd:double"&gt;2.9002905&lt;/D&gt;&lt;D xsi:type="xsd:double"&gt;-3.5373807&lt;/D&gt;&lt;D xsi:type="xsd:double"&gt;1.2743711&lt;/D&gt;&lt;D xsi:type="xsd:double"&gt;3.7493706&lt;/D&gt;&lt;D xsi:type="xsd:double"&gt;2.574253&lt;/D&gt;&lt;D xsi:type="xsd:double"&gt;-3.7886083&lt;/D&gt;&lt;D xsi:type="xsd:double"&gt;12.906432&lt;/D&gt;&lt;D xsi:type="xsd:double"&gt;-1.0604739&lt;/D&gt;&lt;D xsi:type="xsd:double"&gt;3.4891725&lt;/D&gt;&lt;D xsi:type="xsd:double"&gt;7.9770803&lt;/D&gt;&lt;D xsi:type="xsd:double"&gt;0.02040863&lt;/D&gt;&lt;D xsi:type="xsd:double"&gt;-1.3466656&lt;/D&gt;&lt;D xsi:type="xsd:double"&gt;-9.153205&lt;/D&gt;&lt;D xsi:type="xsd:double"&gt;8.944845&lt;/D&gt;&lt;D xsi:type="xsd:double"&gt;3.1036735&lt;/D&gt;&lt;D xsi:type="xsd:double"&gt;-13.450039&lt;/D&gt;&lt;D xsi:type="xsd:double"&gt;22.964966&lt;/D&gt;&lt;D xsi:type="xsd:double"&gt;8.204615&lt;/D&gt;&lt;D xsi:type="xsd:double"&gt;0.9358525&lt;/D&gt;&lt;D xsi:type="xsd:double"&gt;4.9061537&lt;/D&gt;&lt;D xsi:type="xsd:double"&gt;5.119574&lt;/D&gt;&lt;D xsi:type="xsd:double"&gt;12.571621&lt;/D&gt;&lt;D xsi:type="xsd:double"&gt;-3.8323402&lt;/D&gt;&lt;D xsi:type="xsd:double"&gt;3.3468246&lt;/D&gt;&lt;D xsi:type="xsd:double"&gt;11.77361&lt;/D&gt;&lt;/FQL&gt;&lt;FQL&gt;&lt;Q&gt;EPHE^FG_TOTAL_RETURNC(-5AY,0,AM)&lt;/Q&gt;&lt;R&gt;61&lt;/R&gt;&lt;C&gt;1&lt;/C&gt;&lt;D xsi:type="xsd:double"&gt;1.743412&lt;/D&gt;&lt;D xsi:type="xsd:double"&gt;-4.556358&lt;/D&gt;&lt;D xsi:type="xsd:double"&gt;-5.87312&lt;/D&gt;&lt;D xsi:type="xsd:double"&gt;-1.3680339&lt;/D&gt;&lt;D xsi:type="xsd:double"&gt;-1.4208376&lt;/D&gt;&lt;D xsi:type="xsd:double"&gt;8.0302&lt;/D&gt;&lt;D xsi:type="xsd:double"&gt;-3.6695719&lt;/D&gt;&lt;D xsi:type="xsd:double"&gt;-5.644095&lt;/D&gt;&lt;D xsi:type="xsd:double"&gt;7.565093&lt;/D&gt;&lt;D xsi:type="xsd:double"&gt;1.6682982&lt;/D&gt;&lt;D xsi:type="xsd:double"&gt;6.9176316&lt;/D&gt;&lt;D xsi:type="xsd:double"&gt;-3.3403575&lt;/D&gt;&lt;D xsi:type="xsd:double"&gt;-4.1944265&lt;/D&gt;&lt;D xsi:type="xsd:double"&gt;5.577302&lt;/D&gt;&lt;D xsi:type="xsd:double"&gt;-4.6957016&lt;/D&gt;&lt;D xsi:type="xsd:double"&gt;-1.0372758&lt;/D&gt;&lt;D xsi:type="xsd:double"&gt;-5.2735033&lt;/D&gt;&lt;D xsi:type="xsd:double"&gt;-0.6224096&lt;/D&gt;&lt;D xsi:type="xsd:double"&gt;-9.7004175&lt;/D&gt;&lt;D xsi:type="xsd:double"&gt;2.3781657&lt;/D&gt;&lt;D xsi:type="xsd:double"&gt;-1.7136335&lt;/D&gt;&lt;D xsi:type="xsd:double"&gt;-12.9794655&lt;/D&gt;&lt;D xsi:type="xsd:double"&gt;9.2163925&lt;/D&gt;&lt;D xsi:type="xsd:double"&gt;9.009373&lt;/D&gt;&lt;D xsi:type="xsd:double"&gt;3.5458326&lt;/D&gt;&lt;D xsi:type="xsd:double"&gt;3.0116081&lt;/D&gt;&lt;D xsi:type="xsd:double"&gt;-5.565339&lt;/D&gt;&lt;D xsi:type="xsd:double"&gt;-0.52219033&lt;/D&gt;&lt;D xsi:type="xsd:double"&gt;1.1998534&lt;/D&gt;&lt;D xsi:type="xsd:double"&gt;-3.665799&lt;/D&gt;&lt;D xsi:type="xsd:double"&gt;-0.28065443&lt;/D&gt;&lt;D xsi:type="xsd:double"&gt;-0.030839443&lt;/D&gt;&lt;D xsi:type="xsd:double"&gt;-3.865677&lt;/D&gt;&lt;D xsi:type="xsd:double"&gt;0&lt;/D&gt;&lt;D xsi:type="xsd:double"&gt;-0.16247034&lt;/D&gt;&lt;D xsi:type="xsd:double"&gt;2.9292107&lt;/D&gt;&lt;D xsi:type="xsd:double"&gt;6.121266&lt;/D&gt;&lt;D xsi:type="xsd:double"&gt;2.891481&lt;/D&gt;&lt;D xsi:type="xsd:double"&gt;1.3138652&lt;/D&gt;&lt;D xsi:type="xsd:double"&gt;-4.3227673&lt;/D&gt;&lt;D xsi:type="xsd:double"&gt;-2.2590399&lt;/D&gt;&lt;D xsi:type="xsd:double"&gt;-4.776579&lt;/D&gt;&lt;D xsi:type="xsd:double"&gt;2.1269798&lt;/D&gt;&lt;D xsi:type="xsd:double"&gt;2.854836&lt;/D&gt;&lt;D xsi:type="xsd:double"&gt;7.8186035&lt;/D&gt;&lt;D xsi:type="xsd:double"&gt;7.5054407&lt;/D&gt;&lt;D xsi:type="xsd:double"&gt;-9.848231&lt;/D&gt;&lt;D xsi:type="xsd:double"&gt;-1.9827843&lt;/D&gt;&lt;D xsi:type="xsd:double"&gt;-4.2888284&lt;/D&gt;&lt;D xsi:type="xsd:double"&gt;-2.0112634&lt;/D&gt;&lt;D xsi:type="xsd:double"&gt;4.105091&lt;/D&gt;&lt;D xsi:type="xsd:double"&gt;-4.850161&lt;/D&gt;&lt;D xsi:type="xsd:double"&gt;12.556982&lt;/D&gt;&lt;D xsi:type="xsd:double"&gt;2.9086947&lt;/D&gt;&lt;D xsi:type="xsd:double"&gt;-3.0441046&lt;/D&gt;&lt;D xsi:type="xsd:double"&gt;-0.5601227&lt;/D&gt;&lt;D xsi:type="xsd:double"&gt;-2.0277858&lt;/D&gt;&lt;D xsi:type="xsd:double"&gt;-1.6098142&lt;/D&gt;&lt;D xsi:type="xsd:double"&gt;-7.323718&lt;/D&gt;&lt;D xsi:type="xsd:double"&gt;3.3207178&lt;/D&gt;&lt;D xsi:type="xsd:double"&gt;6.9425464&lt;/D&gt;&lt;/FQL&gt;&lt;FQL&gt;&lt;Q&gt;EWC^FG_PRICE(0,-200D)&lt;/Q&gt;&lt;R&gt;201&lt;/R&gt;&lt;C&gt;1&lt;/C&gt;&lt;D xsi:type="xsd:double"&gt;54.46&lt;/D&gt;&lt;D xsi:type="xsd:double"&gt;54.01&lt;/D&gt;&lt;D xsi:type="xsd:double"&gt;54.65&lt;/D&gt;&lt;D xsi:type="xsd:double"&gt;54.59&lt;/D&gt;&lt;D xsi:type="xsd:double"&gt;54.19&lt;/D&gt;&lt;D xsi:type="xsd:double"&gt;53.93&lt;/D&gt;&lt;D xsi:type="xsd:double"&gt;54.3&lt;/D&gt;&lt;D xsi:type="xsd:double"&gt;54.33&lt;/D&gt;&lt;D xsi:type="xsd:double"&gt;54.8&lt;/D&gt;&lt;D xsi:type="xsd:double"&gt;54.6&lt;/D&gt;&lt;D xsi:type="xsd:double"&gt;54.54&lt;/D&gt;&lt;D xsi:type="xsd:double"&gt;54.17&lt;/D&gt;&lt;D xsi:type="xsd:double"&gt;53.68&lt;/D&gt;&lt;D xsi:type="xsd:double"&gt;53.22&lt;/D&gt;&lt;D xsi:type="xsd:double"&gt;52.81&lt;/D&gt;&lt;D xsi:type="xsd:double"&gt;52.98&lt;/D&gt;&lt;D xsi:type="xsd:double"&gt;53.8&lt;/D&gt;&lt;D xsi:type="xsd:double"&gt;53.89&lt;/D&gt;&lt;D xsi:type="xsd:double"&gt;54.08&lt;/D&gt;&lt;D xsi:type="xsd:double"&gt;53.72&lt;/D&gt;&lt;D xsi:type="xsd:double"&gt;53.07&lt;/D&gt;&lt;D xsi:type="xsd:double"&gt;52.95&lt;/D&gt;&lt;D xsi:type="xsd:double"&gt;53.29&lt;/D&gt;&lt;D xsi:type="xsd:double"&gt;53.07&lt;/D&gt;&lt;D xsi:type="xsd:double"&gt;52.47&lt;/D&gt;&lt;D xsi:type="xsd:double"&gt;52.14&lt;/D&gt;&lt;D xsi:type="xsd:double"&gt;52.18&lt;/D&gt;&lt;D xsi:type="xsd:double"&gt;52.7&lt;/D&gt;&lt;D xsi:type="xsd:double"&gt;52.25&lt;/D&gt;&lt;D xsi:type="xsd:double"&gt;51.56&lt;/D&gt;&lt;D xsi:type="xsd:double"&gt;51.05&lt;/D&gt;&lt;D xsi:type="xsd:double"&gt;50.43&lt;/D&gt;&lt;D xsi:type="xsd:double"&gt;49.91&lt;/D&gt;&lt;D xsi:type="xsd:double"&gt;50.62&lt;/D&gt;&lt;D xsi:type="xsd:double"&gt;50.53&lt;/D&gt;&lt;D xsi:type="xsd:double"&gt;50.34&lt;/D&gt;&lt;D xsi:type="xsd:double"&gt;50.89&lt;/D&gt;&lt;D xsi:type="xsd:double"&gt;50.64&lt;/D&gt;&lt;D xsi:type="xsd:double"&gt;51.75&lt;/D&gt;&lt;D xsi:type="xsd:double"&gt;51.04&lt;/D&gt;&lt;D xsi:type="xsd:double"&gt;50.89&lt;/D&gt;&lt;D xsi:type="xsd:double"&gt;50.1&lt;/D&gt;&lt;D xsi:type="xsd:double"&gt;49.75&lt;/D&gt;&lt;D xsi:type="xsd:double"&gt;50.26&lt;/D&gt;&lt;D xsi:type="xsd:double"&gt;49.72&lt;/D&gt;&lt;D xsi:type="xsd:double"&gt;50.67&lt;/D&gt;&lt;D xsi:type="xsd:double"&gt;50.74&lt;/D&gt;&lt;D xsi:type="xsd:double"&gt;50.67&lt;/D&gt;&lt;D xsi:type="xsd:double"&gt;50.75&lt;/D&gt;&lt;D xsi:type="xsd:double"&gt;51.41&lt;/D&gt;&lt;D xsi:type="xsd:double"&gt;50.79&lt;/D&gt;&lt;D xsi:type="xsd:double"&gt;50.84&lt;/D&gt;&lt;D xsi:type="xsd:double"&gt;50.58&lt;/D&gt;&lt;D xsi:type="xsd:double"&gt;50.2&lt;/D&gt;&lt;D xsi:type="xsd:double"&gt;49.99&lt;/D&gt;&lt;D xsi:type="xsd:double"&gt;50.72&lt;/D&gt;&lt;D xsi:type="xsd:double"&gt;50.28&lt;/D&gt;&lt;D xsi:type="xsd:double"&gt;50.62&lt;/D&gt;&lt;D xsi:type="xsd:double"&gt;50.96&lt;/D&gt;&lt;D xsi:type="xsd:double"&gt;50.53&lt;/D&gt;&lt;D xsi:type="xsd:double"&gt;50.59&lt;/D&gt;&lt;D xsi:type="xsd:double"&gt;49.86&lt;/D&gt;&lt;D xsi:type="xsd:double"&gt;50.53&lt;/D&gt;&lt;D xsi:type="xsd:double"&gt;51.14&lt;/D&gt;&lt;D xsi:type="xsd:double"&gt;50.94&lt;/D&gt;&lt;D xsi:type="xsd:double"&gt;51.3&lt;/D&gt;&lt;D xsi:type="xsd:double"&gt;51.24&lt;/D&gt;&lt;D xsi:type="xsd:double"&gt;50.59&lt;/D&gt;&lt;D xsi:type="xsd:double"&gt;50.57&lt;/D&gt;&lt;D xsi:type="xsd:double"&gt;50.55&lt;/D&gt;&lt;D xsi:type="xsd:double"&gt;50.46&lt;/D&gt;&lt;D xsi:type="xsd:double"&gt;50.02&lt;/D&gt;&lt;D xsi:type="xsd:double"&gt;50.05&lt;/D&gt;&lt;D xsi:type="xsd:double"&gt;50.24&lt;/D&gt;&lt;D xsi:type="xsd:double"&gt;50.53&lt;/D&gt;&lt;D xsi:type="xsd:double"&gt;50.88&lt;/D&gt;&lt;D xsi:type="xsd:double"&gt;50.73&lt;/D&gt;&lt;D xsi:type="xsd:double"&gt;50.18&lt;/D&gt;&lt;D xsi:type="xsd:double"&gt;49.98&lt;/D&gt;&lt;D xsi:type="xsd:double"&gt;50.08&lt;/D&gt;&lt;D xsi:type="xsd:double"&gt;50.13&lt;/D&gt;&lt;D xsi:type="xsd:double"&gt;49.6&lt;/D&gt;&lt;D xsi:type="xsd:double"&gt;49.92&lt;/D&gt;&lt;D xsi:type="xsd:double"&gt;49.42&lt;/D&gt;&lt;D xsi:type="xsd:double"&gt;49.27&lt;/D&gt;&lt;D xsi:type="xsd:double"&gt;49.3&lt;/D&gt;&lt;D xsi:type="xsd:double"&gt;49.17&lt;/D&gt;&lt;D xsi:type="xsd:double"&gt;49.12&lt;/D&gt;&lt;D xsi:type="xsd:double"&gt;48.87&lt;/D&gt;&lt;D xsi:type="xsd:double"&gt;48.59&lt;/D&gt;&lt;D xsi:type="xsd:double"&gt;48.79&lt;/D&gt;&lt;D xsi:type="xsd:double"&gt;48.46&lt;/D&gt;&lt;D xsi:type="xsd:double"&gt;48.37&lt;/D&gt;&lt;D xsi:type="xsd:double"&gt;48.02&lt;/D&gt;&lt;D xsi:type="xsd:double"&gt;47.55&lt;/D&gt;&lt;D xsi:type="xsd:double"&gt;48.03&lt;/D&gt;&lt;D xsi:type="xsd:double"&gt;47.28&lt;/D&gt;&lt;D xsi:type="xsd:double"&gt;47.11&lt;/D&gt;&lt;D xsi:type="xsd:double"&gt;47&lt;/D&gt;&lt;D xsi:type="xsd:double"&gt;47.35&lt;/D&gt;&lt;D xsi:type="xsd:double"&gt;47.27&lt;/D&gt;&lt;D xsi:type="xsd:double"&gt;47.33&lt;/D&gt;&lt;D xsi:type="xsd:double"&gt;47.64&lt;/D&gt;&lt;D xsi:type="xsd:double"&gt;47.51&lt;/D&gt;&lt;D xsi:type="xsd:double"&gt;47.28&lt;/D&gt;&lt;D xsi:type="xsd:double"&gt;47.34&lt;/D&gt;&lt;D xsi:type="xsd:double"&gt;47.34&lt;/D&gt;&lt;D xsi:type="xsd:double"&gt;47.73&lt;/D&gt;&lt;D xsi:type="xsd:double"&gt;46.93&lt;/D&gt;&lt;D xsi:type="xsd:double"&gt;46.58&lt;/D&gt;&lt;D xsi:type="xsd:double"&gt;45.86&lt;/D&gt;&lt;D xsi:type="xsd:double"&gt;46.18&lt;/D&gt;&lt;D xsi:type="xsd:double"&gt;46.38&lt;/D&gt;&lt;D xsi:type="xsd:double"&gt;46.79&lt;/D&gt;&lt;D xsi:type="xsd:double"&gt;46.72&lt;/D&gt;&lt;D xsi:type="xsd:double"&gt;47.01&lt;/D&gt;&lt;D xsi:type="xsd:double"&gt;46.97&lt;/D&gt;&lt;D xsi:type="xsd:double"&gt;47.17&lt;/D&gt;&lt;D xsi:type="xsd:double"&gt;47.09&lt;/D&gt;&lt;D xsi:type="xsd:double"&gt;46.71&lt;/D&gt;&lt;D xsi:type="xsd:double"&gt;46.59&lt;/D&gt;&lt;D xsi:type="xsd:double"&gt;46.71&lt;/D&gt;&lt;D xsi:type="xsd:double"&gt;46.47&lt;/D&gt;&lt;D xsi:type="xsd:double"&gt;46.04&lt;/D&gt;&lt;D xsi:type="xsd:double"&gt;46.44&lt;/D&gt;&lt;D xsi:type="xsd:double"&gt;46.13&lt;/D&gt;&lt;D xsi:type="xsd:double"&gt;46.41&lt;/D&gt;&lt;D xsi:type="xsd:double"&gt;46.13&lt;/D&gt;&lt;D xsi:type="xsd:double"&gt;46&lt;/D&gt;&lt;D xsi:type="xsd:double"&gt;46.18&lt;/D&gt;&lt;D xsi:type="xsd:double"&gt;46.67&lt;/D&gt;&lt;D xsi:type="xsd:double"&gt;46.33&lt;/D&gt;&lt;D xsi:type="xsd:double"&gt;46.19&lt;/D&gt;&lt;D xsi:type="xsd:double"&gt;46.2&lt;/D&gt;&lt;D xsi:type="xsd:double"&gt;45.58&lt;/D&gt;&lt;D xsi:type="xsd:double"&gt;45.92&lt;/D&gt;&lt;D xsi:type="xsd:double"&gt;45.32&lt;/D&gt;&lt;D xsi:type="xsd:double"&gt;45.62&lt;/D&gt;&lt;D xsi:type="xsd:double"&gt;45.33&lt;/D&gt;&lt;D xsi:type="xsd:double"&gt;45.1&lt;/D&gt;&lt;D xsi:type="xsd:double"&gt;45.32&lt;/D&gt;&lt;D xsi:type="xsd:double"&gt;45.45&lt;/D&gt;&lt;D xsi:type="xsd:double"&gt;45.76&lt;/D&gt;&lt;D xsi:type="xsd:double"&gt;45.88&lt;/D&gt;&lt;D xsi:type="xsd:double"&gt;46&lt;/D&gt;&lt;D xsi:type="xsd:double"&gt;45.66&lt;/D&gt;&lt;D xsi:type="xsd:double"&gt;45.43&lt;/D&gt;&lt;D xsi:type="xsd:double"&gt;45.3&lt;/D&gt;&lt;D xsi:type="xsd:double"&gt;45.39&lt;/D&gt;&lt;D xsi:type="xsd:double"&gt;45.32&lt;/D&gt;&lt;D xsi:type="xsd:double"&gt;45.25&lt;/D&gt;&lt;D xsi:type="xsd:double"&gt;45.34&lt;/D&gt;&lt;D xsi:type="xsd:double"&gt;45.39&lt;/D&gt;&lt;D xsi:type="xsd:double"&gt;44.96&lt;/D&gt;&lt;D xsi:type="xsd:double"&gt;44.78&lt;/D&gt;&lt;D xsi:type="xsd:double"&gt;44.76&lt;/D&gt;&lt;D xsi:type="xsd:double"&gt;44.82&lt;/D&gt;&lt;D xsi:type="xsd:double"&gt;44.44&lt;/D&gt;&lt;D xsi:type="xsd:double"&gt;44&lt;/D&gt;&lt;D xsi:type="xsd:double"&gt;43.94&lt;/D&gt;&lt;D xsi:type="xsd:double"&gt;44.19&lt;/D&gt;&lt;D xsi:type="xsd:double"&gt;44.05&lt;/D&gt;&lt;D xsi:type="xsd:double"&gt;43.89&lt;/D&gt;&lt;D xsi:type="xsd:double"&gt;43.83&lt;/D&gt;&lt;D xsi:type="xsd:double"&gt;43.44&lt;/D&gt;&lt;D xsi:type="xsd:double"&gt;43.4&lt;/D&gt;&lt;D xsi:type="xsd:double"&gt;43.08&lt;/D&gt;&lt;D xsi:type="xsd:double"&gt;42.85&lt;/D&gt;&lt;D xsi:type="xsd:double"&gt;42.81&lt;/D&gt;&lt;D xsi:type="xsd:double"&gt;42.89&lt;/D&gt;&lt;D xsi:type="xsd:double"&gt;42.77&lt;/D&gt;&lt;D xsi:type="xsd:double"&gt;42.66&lt;/D&gt;&lt;D xsi:type="xsd:double"&gt;42.84&lt;/D&gt;&lt;D xsi:type="xsd:double"&gt;42.31&lt;/D&gt;&lt;D xsi:type="xsd:double"&gt;42.45&lt;/D&gt;&lt;D xsi:type="xsd:double"&gt;42.45&lt;/D&gt;&lt;D xsi:type="xsd:double"&gt;42.37&lt;/D&gt;&lt;D xsi:type="xsd:double"&gt;42.04&lt;/D&gt;&lt;D xsi:type="xsd:double"&gt;42.06&lt;/D&gt;&lt;D xsi:type="xsd:double"&gt;41.52&lt;/D&gt;&lt;D xsi:type="xsd:double"&gt;41.39&lt;/D&gt;&lt;D xsi:type="xsd:double"&gt;40.77&lt;/D&gt;&lt;D xsi:type="xsd:double"&gt;41.1&lt;/D&gt;&lt;D xsi:type="xsd:double"&gt;40.83&lt;/D&gt;&lt;D xsi:type="xsd:double"&gt;40.53&lt;/D&gt;&lt;D xsi:type="xsd:double"&gt;40.44&lt;/D&gt;&lt;D xsi:type="xsd:double"&gt;39.87&lt;/D&gt;&lt;D xsi:type="xsd:double"&gt;38.74&lt;/D&gt;&lt;D xsi:type="xsd:double"&gt;39.54&lt;/D&gt;&lt;D xsi:type="xsd:double"&gt;37.17&lt;/D&gt;&lt;D xsi:type="xsd:double"&gt;37.79&lt;/D&gt;&lt;D xsi:type="xsd:double"&gt;38.41&lt;/D&gt;&lt;D xsi:type="xsd:double"&gt;40.62&lt;/D&gt;&lt;D xsi:type="xsd:double"&gt;41.59&lt;/D&gt;&lt;D xsi:type="xsd:double"&gt;41.13&lt;/D&gt;&lt;D xsi:type="xsd:double"&gt;40.75&lt;/D&gt;&lt;D xsi:type="xsd:double"&gt;40.57&lt;/D&gt;&lt;D xsi:type="xsd:double"&gt;41.25&lt;/D&gt;&lt;D xsi:type="xsd:double"&gt;41.38&lt;/D&gt;&lt;D xsi:type="xsd:double"&gt;41.71&lt;/D&gt;&lt;D xsi:type="xsd:double"&gt;41.51&lt;/D&gt;&lt;/FQL&gt;&lt;FQL&gt;&lt;Q&gt;QAT^FG_PRICE(0,-200D)&lt;/Q&gt;&lt;R&gt;201&lt;/R&gt;&lt;C&gt;1&lt;/C&gt;&lt;D xsi:type="xsd:double"&gt;19.28&lt;/D&gt;&lt;D xsi:type="xsd:double"&gt;19.405&lt;/D&gt;&lt;D xsi:type="xsd:double"&gt;19.3551&lt;/D&gt;&lt;D xsi:type="xsd:double"&gt;19.19&lt;/D&gt;&lt;D xsi:type="xsd:double"&gt;18.825&lt;/D&gt;&lt;D xsi:type="xsd:double"&gt;18.8183&lt;/D&gt;&lt;D xsi:type="xsd:double"&gt;18.95&lt;/D&gt;&lt;D xsi:type="xsd:double"&gt;18.8751&lt;/D&gt;&lt;D xsi:type="xsd:double"&gt;18.865&lt;/D&gt;&lt;D xsi:type="xsd:double"&gt;18.96&lt;/D&gt;&lt;D xsi:type="xsd:double"&gt;18.9302&lt;/D&gt;&lt;D xsi:type="xsd:double"&gt;18.8396&lt;/D&gt;&lt;D xsi:type="xsd:double"&gt;18.775&lt;/D&gt;&lt;D xsi:type="xsd:double"&gt;18.74&lt;/D&gt;&lt;D xsi:type="xsd:double"&gt;18.6081&lt;/D&gt;&lt;D xsi:type="xsd:double"&gt;18.6969&lt;/D&gt;&lt;D xsi:type="xsd:double"&gt;19.01&lt;/D&gt;&lt;D xsi:type="xsd:double"&gt;19.32&lt;/D&gt;&lt;D xsi:type="xsd:double"&gt;19.315&lt;/D&gt;&lt;D xsi:type="xsd:double"&gt;19.1685&lt;/D&gt;&lt;D xsi:type="xsd:double"&gt;19.0414&lt;/D&gt;&lt;D xsi:type="xsd:double"&gt;18.9554&lt;/D&gt;&lt;D xsi:type="xsd:double"&gt;18.9304&lt;/D&gt;&lt;D xsi:type="xsd:double"&gt;18.9402&lt;/D&gt;&lt;D xsi:type="xsd:double"&gt;18.9302&lt;/D&gt;&lt;D xsi:type="xsd:double"&gt;18.775&lt;/D&gt;&lt;D xsi:type="xsd:double"&gt;18.71&lt;/D&gt;&lt;D xsi:type="xsd:double"&gt;18.88&lt;/D&gt;&lt;D xsi:type="xsd:double"&gt;18.885&lt;/D&gt;&lt;D xsi:type="xsd:double"&gt;18.77&lt;/D&gt;&lt;D xsi:type="xsd:double"&gt;18.85&lt;/D&gt;&lt;D xsi:type="xsd:double"&gt;18.68&lt;/D&gt;&lt;D xsi:type="xsd:double"&gt;18.615&lt;/D&gt;&lt;D xsi:type="xsd:double"&gt;18.955&lt;/D&gt;&lt;D xsi:type="xsd:double"&gt;18.815&lt;/D&gt;&lt;D xsi:type="xsd:double"&gt;18.89&lt;/D&gt;&lt;D xsi:type="xsd:double"&gt;19.285&lt;/D&gt;&lt;D xsi:type="xsd:double"&gt;19.25&lt;/D&gt;&lt;D xsi:type="xsd:double"&gt;19.555&lt;/D&gt;&lt;D xsi:type="xsd:double"&gt;19.6479&lt;/D&gt;&lt;D xsi:type="xsd:double"&gt;19.48&lt;/D&gt;&lt;D xsi:type="xsd:double"&gt;19.42&lt;/D&gt;&lt;D xsi:type="xsd:double"&gt;19.46&lt;/D&gt;&lt;D xsi:type="xsd:double"&gt;19.415&lt;/D&gt;&lt;D xsi:type="xsd:double"&gt;19.435&lt;/D&gt;&lt;D xsi:type="xsd:double"&gt;19.315&lt;/D&gt;&lt;D xsi:type="xsd:double"&gt;19.3&lt;/D&gt;&lt;D xsi:type="xsd:double"&gt;19.2891&lt;/D&gt;&lt;D xsi:type="xsd:double"&gt;19.25&lt;/D&gt;&lt;D xsi:type="xsd:double"&gt;19.195&lt;/D&gt;&lt;D xsi:type="xsd:double"&gt;19.195&lt;/D&gt;&lt;D xsi:type="xsd:double"&gt;19.29&lt;/D&gt;&lt;D xsi:type="xsd:double"&gt;19.26&lt;/D&gt;&lt;D xsi:type="xsd:double"&gt;19.14&lt;/D&gt;&lt;D xsi:type="xsd:double"&gt;19.09&lt;/D&gt;&lt;D xsi:type="xsd:double"&gt;19.135&lt;/D&gt;&lt;D xsi:type="xsd:double"&gt;19.085&lt;/D&gt;&lt;D xsi:type="xsd:double"&gt;19.1356&lt;/D&gt;&lt;D xsi:type="xsd:double"&gt;19.0707&lt;/D&gt;&lt;D xsi:type="xsd:double"&gt;19.205&lt;/D&gt;&lt;D xsi:type="xsd:double"&gt;19.255&lt;/D&gt;&lt;D xsi:type="xsd:double"&gt;19.23&lt;/D&gt;&lt;D xsi:type="xsd:double"&gt;19.33&lt;/D&gt;&lt;D xsi:type="xsd:double"&gt;19.31&lt;/D&gt;&lt;D xsi:type="xsd:double"&gt;19.26&lt;/D&gt;&lt;D xsi:type="xsd:double"&gt;19.215&lt;/D&gt;&lt;D xsi:type="xsd:double"&gt;19.295&lt;/D&gt;&lt;D xsi:type="xsd:double"&gt;19.275&lt;/D&gt;&lt;D xsi:type="xsd:double"&gt;19.39&lt;/D&gt;&lt;D xsi:type="xsd:double"&gt;19.53&lt;/D&gt;&lt;D xsi:type="xsd:double"&gt;19.425&lt;/D&gt;&lt;D xsi:type="xsd:double"&gt;19.42&lt;/D&gt;&lt;D xsi:type="xsd:double"&gt;19.37&lt;/D&gt;&lt;D xsi:type="xsd:double"&gt;19.565&lt;/D&gt;&lt;D xsi:type="xsd:double"&gt;19.785&lt;/D&gt;&lt;D xsi:type="xsd:double"&gt;19.94&lt;/D&gt;&lt;D xsi:type="xsd:double"&gt;19.94&lt;/D&gt;&lt;D xsi:type="xsd:double"&gt;19.94&lt;/D&gt;&lt;D xsi:type="xsd:double"&gt;19.85&lt;/D&gt;&lt;D xsi:type="xsd:double"&gt;19.77&lt;/D&gt;&lt;D xsi:type="xsd:double"&gt;19.55&lt;/D&gt;&lt;D xsi:type="xsd:double"&gt;19.54&lt;/D&gt;&lt;D xsi:type="xsd:double"&gt;19.58&lt;/D&gt;&lt;D xsi:type="xsd:double"&gt;19.53&lt;/D&gt;&lt;D xsi:type="xsd:double"&gt;19.37&lt;/D&gt;&lt;D xsi:type="xsd:double"&gt;19.63&lt;/D&gt;&lt;D xsi:type="xsd:double"&gt;19.69&lt;/D&gt;&lt;D xsi:type="xsd:double"&gt;19.7&lt;/D&gt;&lt;D xsi:type="xsd:double"&gt;19.86&lt;/D&gt;&lt;D xsi:type="xsd:double"&gt;19.73&lt;/D&gt;&lt;D xsi:type="xsd:double"&gt;20&lt;/D&gt;&lt;D xsi:type="xsd:double"&gt;19.96&lt;/D&gt;&lt;D xsi:type="xsd:double"&gt;20.13&lt;/D&gt;&lt;D xsi:type="xsd:double"&gt;20.14&lt;/D&gt;&lt;D xsi:type="xsd:double"&gt;20.0026&lt;/D&gt;&lt;D xsi:type="xsd:double"&gt;20.1896&lt;/D&gt;&lt;D xsi:type="xsd:double"&gt;20.065&lt;/D&gt;&lt;D xsi:type="xsd:double"&gt;20.08&lt;/D&gt;&lt;D xsi:type="xsd:double"&gt;20.24&lt;/D&gt;&lt;D xsi:type="xsd:double"&gt;20.38&lt;/D&gt;&lt;D xsi:type="xsd:double"&gt;20.54&lt;/D&gt;&lt;D xsi:type="xsd:double"&gt;20.52&lt;/D&gt;&lt;D xsi:type="xsd:double"&gt;20.56&lt;/D&gt;&lt;D xsi:type="xsd:double"&gt;20.27&lt;/D&gt;&lt;D xsi:type="xsd:double"&gt;20.0346&lt;/D&gt;&lt;D xsi:type="xsd:double"&gt;19.93&lt;/D&gt;&lt;D xsi:type="xsd:double"&gt;19.946&lt;/D&gt;&lt;D xsi:type="xsd:double"&gt;19.85&lt;/D&gt;&lt;D xsi:type="xsd:double"&gt;19.785&lt;/D&gt;&lt;D xsi:type="xsd:double"&gt;19.71&lt;/D&gt;&lt;D xsi:type="xsd:double"&gt;19.665&lt;/D&gt;&lt;D xsi:type="xsd:double"&gt;19.655&lt;/D&gt;&lt;D xsi:type="xsd:double"&gt;19.66&lt;/D&gt;&lt;D xsi:type="xsd:double"&gt;19.6&lt;/D&gt;&lt;D xsi:type="xsd:double"&gt;19.6&lt;/D&gt;&lt;D xsi:type="xsd:double"&gt;19.63&lt;/D&gt;&lt;D xsi:type="xsd:double"&gt;19.61&lt;/D&gt;&lt;D xsi:type="xsd:double"&gt;19.54&lt;/D&gt;&lt;D xsi:type="xsd:double"&gt;19.34&lt;/D&gt;&lt;D xsi:type="xsd:double"&gt;19.12&lt;/D&gt;&lt;D xsi:type="xsd:double"&gt;18.91&lt;/D&gt;&lt;D xsi:type="xsd:double"&gt;18.96&lt;/D&gt;&lt;D xsi:type="xsd:double"&gt;18.779&lt;/D&gt;&lt;D xsi:type="xsd:double"&gt;18.69&lt;/D&gt;&lt;D xsi:type="xsd:double"&gt;18.71&lt;/D&gt;&lt;D xsi:type="xsd:double"&gt;18.73&lt;/D&gt;&lt;D xsi:type="xsd:double"&gt;18.75&lt;/D&gt;&lt;D xsi:type="xsd:double"&gt;18.75&lt;/D&gt;&lt;D xsi:type="xsd:double"&gt;18.73&lt;/D&gt;&lt;D xsi:type="xsd:double"&gt;18.68&lt;/D&gt;&lt;D xsi:type="xsd:double"&gt;18.63&lt;/D&gt;&lt;D xsi:type="xsd:double"&gt;18.56&lt;/D&gt;&lt;D xsi:type="xsd:double"&gt;18.58&lt;/D&gt;&lt;D xsi:type="xsd:double"&gt;18.62&lt;/D&gt;&lt;D xsi:type="xsd:double"&gt;18.57&lt;/D&gt;&lt;D xsi:type="xsd:double"&gt;18.53&lt;/D&gt;&lt;D xsi:type="xsd:double"&gt;18.36&lt;/D&gt;&lt;D xsi:type="xsd:double"&gt;18.25&lt;/D&gt;&lt;D xsi:type="xsd:double"&gt;17.96&lt;/D&gt;&lt;D xsi:type="xsd:double"&gt;17.72&lt;/D&gt;&lt;D xsi:type="xsd:double"&gt;17.82&lt;/D&gt;&lt;D xsi:type="xsd:double"&gt;17.895&lt;/D&gt;&lt;D xsi:type="xsd:double"&gt;18.045&lt;/D&gt;&lt;D xsi:type="xsd:double"&gt;18.2&lt;/D&gt;&lt;D xsi:type="xsd:double"&gt;18.9&lt;/D&gt;&lt;D xsi:type="xsd:double"&gt;18.96&lt;/D&gt;&lt;D xsi:type="xsd:double"&gt;18.92&lt;/D&gt;&lt;D xsi:type="xsd:double"&gt;18.83&lt;/D&gt;&lt;D xsi:type="xsd:double"&gt;18.83&lt;/D&gt;&lt;D xsi:type="xsd:double"&gt;18.78&lt;/D&gt;&lt;D xsi:type="xsd:double"&gt;18.91&lt;/D&gt;&lt;D xsi:type="xsd:double"&gt;19.08&lt;/D&gt;&lt;D xsi:type="xsd:double"&gt;18.8&lt;/D&gt;&lt;D xsi:type="xsd:double"&gt;18.75&lt;/D&gt;&lt;D xsi:type="xsd:double"&gt;18.83&lt;/D&gt;&lt;D xsi:type="xsd:double"&gt;18.94&lt;/D&gt;&lt;D xsi:type="xsd:double"&gt;18.91&lt;/D&gt;&lt;D xsi:type="xsd:double"&gt;19.15&lt;/D&gt;&lt;D xsi:type="xsd:double"&gt;19.11&lt;/D&gt;&lt;D xsi:type="xsd:double"&gt;19.18&lt;/D&gt;&lt;D xsi:type="xsd:double"&gt;19.06&lt;/D&gt;&lt;D xsi:type="xsd:double"&gt;19.05&lt;/D&gt;&lt;D xsi:type="xsd:double"&gt;18.88&lt;/D&gt;&lt;D xsi:type="xsd:double"&gt;18.84&lt;/D&gt;&lt;D xsi:type="xsd:double"&gt;18.83&lt;/D&gt;&lt;D xsi:type="xsd:double"&gt;18.7553&lt;/D&gt;&lt;D xsi:type="xsd:double"&gt;18.7&lt;/D&gt;&lt;D xsi:type="xsd:double"&gt;18.69&lt;/D&gt;&lt;D xsi:type="xsd:double"&gt;18.615&lt;/D&gt;&lt;D xsi:type="xsd:double"&gt;18.51&lt;/D&gt;&lt;D xsi:type="xsd:double"&gt;18.55&lt;/D&gt;&lt;D xsi:type="xsd:double"&gt;18.55&lt;/D&gt;&lt;D xsi:type="xsd:double"&gt;18.54&lt;/D&gt;&lt;D xsi:type="xsd:double"&gt;18.34&lt;/D&gt;&lt;D xsi:type="xsd:double"&gt;18.31&lt;/D&gt;&lt;D xsi:type="xsd:double"&gt;18.2&lt;/D&gt;&lt;D xsi:type="xsd:double"&gt;18.14&lt;/D&gt;&lt;D xsi:type="xsd:double"&gt;18.16&lt;/D&gt;&lt;D xsi:type="xsd:double"&gt;18.12&lt;/D&gt;&lt;D xsi:type="xsd:double"&gt;17.9&lt;/D&gt;&lt;D xsi:type="xsd:double"&gt;17.91&lt;/D&gt;&lt;D xsi:type="xsd:double"&gt;17.78&lt;/D&gt;&lt;D xsi:type="xsd:double"&gt;17.72&lt;/D&gt;&lt;D xsi:type="xsd:double"&gt;17.78&lt;/D&gt;&lt;D xsi:type="xsd:double"&gt;17.89&lt;/D&gt;&lt;D xsi:type="xsd:double"&gt;17.79&lt;/D&gt;&lt;D xsi:type="xsd:double"&gt;17.61&lt;/D&gt;&lt;D xsi:type="xsd:double"&gt;17.52&lt;/D&gt;&lt;D xsi:type="xsd:double"&gt;17.57&lt;/D&gt;&lt;D xsi:type="xsd:double"&gt;17.23&lt;/D&gt;&lt;D xsi:type="xsd:double"&gt;17.16&lt;/D&gt;&lt;D xsi:type="xsd:double"&gt;16.83&lt;/D&gt;&lt;D xsi:type="xsd:double"&gt;17.66&lt;/D&gt;&lt;D xsi:type="xsd:double"&gt;17.86&lt;/D&gt;&lt;D xsi:type="xsd:double"&gt;17.88&lt;/D&gt;&lt;D xsi:type="xsd:double"&gt;17.84&lt;/D&gt;&lt;D xsi:type="xsd:double"&gt;17.75&lt;/D&gt;&lt;D xsi:type="xsd:double"&gt;17.87&lt;/D&gt;&lt;D xsi:type="xsd:double"&gt;17.79&lt;/D&gt;&lt;D xsi:type="xsd:double"&gt;17.87&lt;/D&gt;&lt;D xsi:type="xsd:double"&gt;17.86&lt;/D&gt;&lt;/FQL&gt;&lt;FQL&gt;&lt;Q&gt;CNYA^JULIAN(FG_PRICE(0,-200D).DATES)&lt;/Q&gt;&lt;R&gt;201&lt;/R&gt;&lt;C&gt;1&lt;/C&gt;&lt;D xsi:type="xsd:long"&gt;46030&lt;/D&gt;&lt;D xsi:type="xsd:long"&gt;46029&lt;/D&gt;&lt;D xsi:type="xsd:long"&gt;46028&lt;/D&gt;&lt;D xsi:type="xsd:long"&gt;46027&lt;/D&gt;&lt;D xsi:type="xsd:long"&gt;46024&lt;/D&gt;&lt;D xsi:type="xsd:long"&gt;46022&lt;/D&gt;&lt;D xsi:type="xsd:long"&gt;46021&lt;/D&gt;&lt;D xsi:type="xsd:long"&gt;46020&lt;/D&gt;&lt;D xsi:type="xsd:long"&gt;46017&lt;/D&gt;&lt;D xsi:type="xsd:long"&gt;46015&lt;/D&gt;&lt;D xsi:type="xsd:long"&gt;46014&lt;/D&gt;&lt;D xsi:type="xsd:long"&gt;46013&lt;/D&gt;&lt;D xsi:type="xsd:long"&gt;46010&lt;/D&gt;&lt;D xsi:type="xsd:long"&gt;46009&lt;/D&gt;&lt;D xsi:type="xsd:long"&gt;46008&lt;/D&gt;&lt;D xsi:type="xsd:long"&gt;46007&lt;/D&gt;&lt;D xsi:type="xsd:long"&gt;46006&lt;/D&gt;&lt;D xsi:type="xsd:long"&gt;46003&lt;/D&gt;&lt;D xsi:type="xsd:long"&gt;46002&lt;/D&gt;&lt;D xsi:type="xsd:long"&gt;46001&lt;/D&gt;&lt;D xsi:type="xsd:long"&gt;46000&lt;/D&gt;&lt;D xsi:type="xsd:long"&gt;45999&lt;/D&gt;&lt;D xsi:type="xsd:long"&gt;45996&lt;/D&gt;&lt;D xsi:type="xsd:long"&gt;45995&lt;/D&gt;&lt;D xsi:type="xsd:long"&gt;45994&lt;/D&gt;&lt;D xsi:type="xsd:long"&gt;45993&lt;/D&gt;&lt;D xsi:type="xsd:long"&gt;45992&lt;/D&gt;&lt;D xsi:type="xsd:long"&gt;45989&lt;/D&gt;&lt;D xsi:type="xsd:long"&gt;45987&lt;/D&gt;&lt;D xsi:type="xsd:long"&gt;45986&lt;/D&gt;&lt;D xsi:type="xsd:long"&gt;45985&lt;/D&gt;&lt;D xsi:type="xsd:long"&gt;45982&lt;/D&gt;&lt;D xsi:type="xsd:long"&gt;45981&lt;/D&gt;&lt;D xsi:type="xsd:long"&gt;45980&lt;/D&gt;&lt;D xsi:type="xsd:long"&gt;45979&lt;/D&gt;&lt;D xsi:type="xsd:long"&gt;45978&lt;/D&gt;&lt;D xsi:type="xsd:long"&gt;45975&lt;/D&gt;&lt;D xsi:type="xsd:long"&gt;45974&lt;/D&gt;&lt;D xsi:type="xsd:long"&gt;45973&lt;/D&gt;&lt;D xsi:type="xsd:long"&gt;45972&lt;/D&gt;&lt;D xsi:type="xsd:long"&gt;45971&lt;/D&gt;&lt;D xsi:type="xsd:long"&gt;45968&lt;/D&gt;&lt;D xsi:type="xsd:long"&gt;45967&lt;/D&gt;&lt;D xsi:type="xsd:long"&gt;45966&lt;/D&gt;&lt;D xsi:type="xsd:long"&gt;45965&lt;/D&gt;&lt;D xsi:type="xsd:long"&gt;45964&lt;/D&gt;&lt;D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</t>
        </r>
      </text>
    </comment>
    <comment ref="A4" authorId="0" shapeId="0" xr:uid="{DA7F9974-6B25-4F89-AE4F-705BD3642B58}">
      <text>
        <r>
          <rPr>
            <b/>
            <sz val="9"/>
            <color indexed="81"/>
            <rFont val="Tahoma"/>
            <charset val="1"/>
          </rPr>
          <t>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xsi:type="xsd:long"&gt;45740&lt;/D&gt;&lt;/FQL&gt;&lt;FQL&gt;&lt;Q&gt;EWL^FG_TOTAL_RETURNC(-5AY,0,AM)&lt;/Q&gt;&lt;R&gt;61&lt;/R&gt;&lt;C&gt;1&lt;/C&gt;&lt;D xsi:type="xsd:double"&gt;4.7047853&lt;/D&gt;&lt;D xsi:type="xsd:double"&gt;-2.0897508&lt;/D&gt;&lt;D xsi:type="xsd:double"&gt;-3.2801569&lt;/D&gt;&lt;D xsi:type="xsd:double"&gt;6.8524957&lt;/D&gt;&lt;D xsi:type="xsd:double"&gt;3.4347892&lt;/D&gt;&lt;D xsi:type="xsd:double"&gt;4.9390435&lt;/D&gt;&lt;D xsi:type="xsd:double"&gt;0.11069775&lt;/D&gt;&lt;D xsi:type="xsd:double"&gt;2.118981&lt;/D&gt;&lt;D xsi:type="xsd:double"&gt;-0.79808235&lt;/D&gt;&lt;D xsi:type="xsd:double"&gt;-4.20354&lt;/D&gt;&lt;D xsi:type="xsd:double"&gt;6.8234324&lt;/D&gt;&lt;D xsi:type="xsd:double"&gt;0.84512234&lt;/D&gt;&lt;D xsi:type="xsd:double"&gt;1.3837457&lt;/D&gt;&lt;D xsi:type="xsd:double"&gt;-6.093812&lt;/D&gt;&lt;D xsi:type="xsd:double"&gt;-9.048104&lt;/D&gt;&lt;D xsi:type="xsd:double"&gt;12.176455&lt;/D&gt;&lt;D xsi:type="xsd:double"&gt;-10.553771&lt;/D&gt;&lt;D xsi:type="xsd:double"&gt;-1.8618226&lt;/D&gt;&lt;D xsi:type="xsd:double"&gt;-3.4407377&lt;/D&gt;&lt;D xsi:type="xsd:double"&gt;4.0579677&lt;/D&gt;&lt;D xsi:type="xsd:double"&gt;-5.803156&lt;/D&gt;&lt;D xsi:type="xsd:double"&gt;-7.491374&lt;/D&gt;&lt;D xsi:type="xsd:double"&gt;5.94033&lt;/D&gt;&lt;D xsi:type="xsd:double"&gt;7.191348&lt;/D&gt;&lt;D xsi:type="xsd:double"&gt;2.768004&lt;/D&gt;&lt;D xsi:type="xsd:double"&gt;2.830398&lt;/D&gt;&lt;D xsi:type="xsd:double"&gt;-4.306322&lt;/D&gt;&lt;D xsi:type="xsd:double"&gt;7.1445107&lt;/D&gt;&lt;D xsi:type="xsd:double"&gt;5.715525&lt;/D&gt;&lt;D xsi:type="xsd:double"&gt;-3.6598504&lt;/D&gt;&lt;D xsi:type="xsd:double"&gt;-2.390784&lt;/D&gt;&lt;D xsi:type="xsd:double"&gt;3.5181522&lt;/D&gt;&lt;D xsi:type="xsd:double"&gt;-3.1619728&lt;/D&gt;&lt;D xsi:type="xsd:double"&gt;-3.3096433&lt;/D&gt;&lt;D xsi:type="xsd:double"&gt;-0.9878278&lt;/D&gt;&lt;D xsi:type="xsd:double"&gt;6.6125393&lt;/D&gt;&lt;D xsi:type="xsd:double"&gt;5.070722&lt;/D&gt;&lt;D xsi:type="xsd:double"&gt;-3.707534&lt;/D&gt;&lt;D xsi:type="xsd:double"&gt;3.7212253&lt;/D&gt;&lt;D xsi:type="xsd:double"&gt;-3.3388674&lt;/D&gt;&lt;D xsi:type="xsd:double"&gt;1.2229085&lt;/D&gt;&lt;D xsi:type="xsd:double"&gt;6.4222097&lt;/D&gt;&lt;D xsi:type="xsd:double"&gt;-1.318413&lt;/D&gt;&lt;D xsi:type="xsd:double"&gt;1.9575596&lt;/D&gt;&lt;D xsi:type="xsd:double"&gt;3.1123757&lt;/D&gt;&lt;D xsi:type="xsd:double"&gt;-0.68600774&lt;/D&gt;&lt;D xsi:type="xsd:double"&gt;-3.7892222&lt;/D&gt;&lt;D xsi:type="xsd:double"&gt;-1.025641&lt;/D&gt;&lt;D xsi:type="xsd:double"&gt;-2.5906742&lt;/D&gt;&lt;D xsi:type="xsd:double"&gt;5.51064&lt;/D&gt;&lt;D xsi:type="xsd:double"&gt;7.945144&lt;/D&gt;&lt;D xsi:type="xsd:double"&gt;-11.974591&lt;/D&gt;&lt;D xsi:type="xsd:double"&gt;13.709688&lt;/D&gt;&lt;D xsi:type="xsd:double"&gt;3.8447142&lt;/D&gt;&lt;D xsi:type="xsd:double"&gt;0.40129423&lt;/D&gt;&lt;D xsi:type="xsd:double"&gt;-2.2254646&lt;/D&gt;&lt;D xsi:type="xsd:double"&gt;5.0932884&lt;/D&gt;&lt;D xsi:type="xsd:double"&gt;0.88763237&lt;/D&gt;&lt;D xsi:type="xsd:double"&gt;-1.918&lt;/D&gt;&lt;D xsi:type="xsd:double"&gt;3.6239624&lt;/D&gt;&lt;D xsi:type="xsd:double"&gt;4.241693&lt;/D&gt;&lt;/FQL&gt;&lt;FQL&gt;&lt;Q&gt;EWZ^FG_TOTAL_RETURNC(-5AY,0,AM)&lt;/Q&gt;&lt;R&gt;61&lt;/R&gt;&lt;C&gt;1&lt;/C&gt;&lt;D xsi:type="xsd:double"&gt;4.793036&lt;/D&gt;&lt;D xsi:type="xsd:double"&gt;-3.7931025&lt;/D&gt;&lt;D xsi:type="xsd:double"&gt;-14.419627&lt;/D&gt;&lt;D xsi:type="xsd:double"&gt;10.631442&lt;/D&gt;&lt;D xsi:type="xsd:double"&gt;10.687244&lt;/D&gt;&lt;D xsi:type="xsd:double"&gt;9.550118&lt;/D&gt;&lt;D xsi:type="xsd:double"&gt;-7.027358&lt;/D&gt;&lt;D xsi:type="xsd:double"&gt;-1.4686644&lt;/D&gt;&lt;D xsi:type="xsd:double"&gt;-9.475649&lt;/D&gt;&lt;D xsi:type="xsd:double"&gt;-4.4986725&lt;/D&gt;&lt;D xsi:type="xsd:double"&gt;-7.8817725&lt;/D&gt;&lt;D xsi:type="xsd:double"&gt;4.5788765&lt;/D&gt;&lt;D xsi:type="xsd:double"&gt;-6.2235413&lt;/D&gt;&lt;D xsi:type="xsd:double"&gt;17.74844&lt;/D&gt;&lt;D xsi:type="xsd:double"&gt;3.5191536&lt;/D&gt;&lt;D xsi:type="xsd:double"&gt;13.898909&lt;/D&gt;&lt;D xsi:type="xsd:double"&gt;-17.221344&lt;/D&gt;&lt;D xsi:type="xsd:double"&gt;6.9559693&lt;/D&gt;&lt;D xsi:type="xsd:double"&gt;-13.9275255&lt;/D&gt;&lt;D xsi:type="xsd:double"&gt;11.365282&lt;/D&gt;&lt;D xsi:type="xsd:double"&gt;-0.55428743&lt;/D&gt;&lt;D xsi:type="xsd:double"&gt;6.426227&lt;/D&gt;&lt;D xsi:type="xsd:double"&gt;0.6469488&lt;/D&gt;&lt;D xsi:type="xsd:double"&gt;-8.264458&lt;/D&gt;&lt;D xsi:type="xsd:double"&gt;1.6317725&lt;/D&gt;&lt;D xsi:type="xsd:double"&gt;0.8833885&lt;/D&gt;&lt;D xsi:type="xsd:double"&gt;-1.2609422&lt;/D&gt;&lt;D xsi:type="xsd:double"&gt;-3.9020956&lt;/D&gt;&lt;D xsi:type="xsd:double"&gt;5.7954907&lt;/D&gt;&lt;D xsi:type="xsd:double"&gt;10.926807&lt;/D&gt;&lt;D xsi:type="xsd:double"&gt;3.1904578&lt;/D&gt;&lt;D xsi:type="xsd:double"&gt;-0.40599704&lt;/D&gt;&lt;D xsi:type="xsd:double"&gt;-4.1078687&lt;/D&gt;&lt;D xsi:type="xsd:double"&gt;-4.022235&lt;/D&gt;&lt;D xsi:type="xsd:double"&gt;8.960819&lt;/D&gt;&lt;D xsi:type="xsd:double"&gt;5.8474064&lt;/D&gt;&lt;D xsi:type="xsd:double"&gt;5.695951&lt;/D&gt;&lt;D xsi:type="xsd:double"&gt;-5.270779&lt;/D&gt;&lt;D xsi:type="xsd:double"&gt;-1.1617184&lt;/D&gt;&lt;D xsi:type="xsd:double"&gt;0.5876899&lt;/D&gt;&lt;D xsi:type="xsd:double"&gt;-0.36900043&lt;/D&gt;&lt;D xsi:type="xsd:double"&gt;-11.23457&lt;/D&gt;&lt;D xsi:type="xsd:double"&gt;1.9544005&lt;/D&gt;&lt;D xsi:type="xsd:double"&gt;0.07045269&lt;/D&gt;&lt;D xsi:type="xsd:double"&gt;3.343892&lt;/D&gt;&lt;D xsi:type="xsd:double"&gt;-1.3283432&lt;/D&gt;&lt;D xsi:type="xsd:double"&gt;-4.349327&lt;/D&gt;&lt;D xsi:type="xsd:double"&gt;-8.805484&lt;/D&gt;&lt;D xsi:type="xsd:double"&gt;-5.379677&lt;/D&gt;&lt;D xsi:type="xsd:double"&gt;10.275459&lt;/D&gt;&lt;D xsi:type="xsd:double"&gt;-1.5860438&lt;/D&gt;&lt;D xsi:type="xsd:double"&gt;-5.5600286&lt;/D&gt;&lt;D xsi:type="xsd:double"&gt;17.235493&lt;/D&gt;&lt;D xsi:type="xsd:double"&gt;0.873363&lt;/D&gt;&lt;D xsi:type="xsd:double"&gt;5.456221&lt;/D&gt;&lt;D xsi:type="xsd:double"&gt;-3.134793&lt;/D&gt;&lt;D xsi:type="xsd:double"&gt;6.3646197&lt;/D&gt;&lt;D xsi:type="xsd:double"&gt;0.98040104&lt;/D&gt;&lt;D xsi:type="xsd:double"&gt;8.135247&lt;/D&gt;&lt;D xsi:type="xsd:double"&gt;1.393187&lt;/D&gt;&lt;D xsi:type="xsd:double"&gt;4.0032387&lt;/D&gt;&lt;/FQL&gt;&lt;FQL&gt;&lt;Q&gt;EWA^FG_PRICE(0,-200D)&lt;/Q&gt;&lt;R&gt;201&lt;/R&gt;&lt;C&gt;1&lt;/C&gt;&lt;D xsi:type="xsd:double"&gt;26.37&lt;/D&gt;&lt;D xsi:type="xsd:double"&gt;26.27&lt;/D&gt;&lt;D xsi:type="xsd:double"&gt;26.49&lt;/D&gt;&lt;D xsi:type="xsd:double"&gt;26.61&lt;/D&gt;&lt;D xsi:type="xsd:double"&gt;26.47&lt;/D&gt;&lt;D xsi:type="xsd:double"&gt;26.19&lt;/D&gt;&lt;D xsi:type="xsd:double"&gt;26.41&lt;/D&gt;&lt;D xsi:type="xsd:double"&gt;26.48&lt;/D&gt;&lt;D xsi:type="xsd:double"&gt;26.68&lt;/D&gt;&lt;D xsi:type="xsd:double"&gt;26.6&lt;/D&gt;&lt;D xsi:type="xsd:double"&gt;26.61&lt;/D&gt;&lt;D xsi:type="xsd:double"&gt;26.15&lt;/D&gt;&lt;D xsi:type="xsd:double"&gt;25.88&lt;/D&gt;&lt;D xsi:type="xsd:double"&gt;25.81&lt;/D&gt;&lt;D xsi:type="xsd:double"&gt;25.58&lt;/D&gt;&lt;D xsi:type="xsd:double"&gt;25.82&lt;/D&gt;&lt;D xsi:type="xsd:double"&gt;26.42&lt;/D&gt;&lt;D xsi:type="xsd:double"&gt;26.52&lt;/D&gt;&lt;D xsi:type="xsd:double"&gt;26.64&lt;/D&gt;&lt;D xsi:type="xsd:double"&gt;26.65&lt;/D&gt;&lt;D xsi:type="xsd:double"&gt;26.35&lt;/D&gt;&lt;D xsi:type="xsd:double"&gt;26.24&lt;/D&gt;&lt;D xsi:type="xsd:double"&gt;26.34&lt;/D&gt;&lt;D xsi:type="xsd:double"&gt;26.29&lt;/D&gt;&lt;D xsi:type="xsd:double"&gt;26.13&lt;/D&gt;&lt;D xsi:type="xsd:double"&gt;25.93&lt;/D&gt;&lt;D xsi:type="xsd:double"&gt;25.73&lt;/D&gt;&lt;D xsi:type="xsd:double"&gt;25.85&lt;/D&gt;&lt;D xsi:type="xsd:double"&gt;25.82&lt;/D&gt;&lt;D xsi:type="xsd:double"&gt;25.62&lt;/D&gt;&lt;D xsi:type="xsd:double"&gt;25.44&lt;/D&gt;&lt;D xsi:type="xsd:double"&gt;25.33&lt;/D&gt;&lt;D xsi:type="xsd:double"&gt;24.95&lt;/D&gt;&lt;D xsi:type="xsd:double"&gt;25.3&lt;/D&gt;&lt;D xsi:type="xsd:double"&gt;25.4&lt;/D&gt;&lt;D xsi:type="xsd:double"&gt;25.64&lt;/D&gt;&lt;D xsi:type="xsd:double"&gt;25.95&lt;/D&gt;&lt;D xsi:type="xsd:double"&gt;25.94&lt;/D&gt;&lt;D xsi:type="xsd:double"&gt;26.58&lt;/D&gt;&lt;D xsi:type="xsd:double"&gt;26.63&lt;/D&gt;&lt;D xsi:type="xsd:double"&gt;26.81&lt;/D&gt;&lt;D xsi:type="xsd:double"&gt;26.44&lt;/D&gt;&lt;D xsi:type="xsd:double"&gt;26.46&lt;/D&gt;&lt;D xsi:type="xsd:double"&gt;26.67&lt;/D&gt;&lt;D xsi:type="xsd:double"&gt;26.41&lt;/D&gt;&lt;D xsi:type="xsd:double"&gt;26.84&lt;/D&gt;&lt;D xsi:type="xsd:double"&gt;26.77&lt;/D&gt;&lt;D xsi:type="xsd:double"&gt;26.89&lt;/D&gt;&lt;D xsi:type="xsd:double"&gt;27&lt;/D&gt;&lt;D xsi:type="xsd:double"&gt;27.52&lt;/D&gt;&lt;D xsi:type="xsd:double"&gt;27.37&lt;/D&gt;&lt;D xsi:type="xsd:double"&gt;27.18&lt;/D&gt;&lt;D xsi:type="xsd:double"&gt;27.19&lt;/D&gt;&lt;D xsi:type="xsd:double"&gt;27.07&lt;/D&gt;&lt;D xsi:type="xsd:double"&gt;27.11&lt;/D&gt;&lt;D xsi:type="xsd:double"&gt;27.26&lt;/D&gt;&lt;D xsi:type="xsd:double"&gt;26.92&lt;/D&gt;&lt;D xsi:type="xsd:double"&gt;26.97&lt;/D&gt;&lt;D xsi:type="xsd:double"&gt;26.89&lt;/D&gt;&lt;D xsi:type="xsd:double"&gt;26.7&lt;/D&gt;&lt;D xsi:type="xsd:double"&gt;26.66&lt;/D&gt;&lt;D xsi:type="xsd:double"&gt;26.44&lt;/D&gt;&lt;D xsi:type="xsd:double"&gt;26.92&lt;/D&gt;&lt;D xsi:type="xsd:double"&gt;27.23&lt;/D&gt;&lt;D xsi:type="xsd:double"&gt;27.14&lt;/D&gt;&lt;D xsi:type="xsd:double"&gt;27.36&lt;/D&gt;&lt;D xsi:type="xsd:double"&gt;27.43&lt;/D&gt;&lt;D xsi:type="xsd:double"&gt;27.18&lt;/D&gt;&lt;D xsi:type="xsd:double"&gt;27.15&lt;/D&gt;&lt;D xsi:type="xsd:double"&gt;27&lt;/D&gt;&lt;D xsi:type="xsd:double"&gt;26.98&lt;/D&gt;&lt;D xsi:type="xsd:double"&gt;26.67&lt;/D&gt;&lt;D xsi:type="xsd:double"&gt;26.47&lt;/D&gt;&lt;D xsi:type="xsd:double"&gt;26.47&lt;/D&gt;&lt;D xsi:type="xsd:double"&gt;26.87&lt;/D&gt;&lt;D xsi:type="xsd:double"&gt;26.92&lt;/D&gt;&lt;D xsi:type="xsd:double"&gt;26.89&lt;/D&gt;&lt;D xsi:type="xsd:double"&gt;26.89&lt;/D&gt;&lt;D xsi:type="xsd:double"&gt;27.14&lt;/D&gt;&lt;D xsi:type="xsd:double"&gt;27.38&lt;/D&gt;&lt;D xsi:type="xsd:double"&gt;27.57&lt;/D&gt;&lt;D xsi:type="xsd:double"&gt;27.24&lt;/D&gt;&lt;D xsi:type="xsd:double"&gt;27.41&lt;/D&gt;&lt;D xsi:type="xsd:double"&gt;27.11&lt;/D&gt;&lt;D xsi:type="xsd:double"&gt;26.89&lt;/D&gt;&lt;D xsi:type="xsd:double"&gt;27&lt;/D&gt;&lt;D xsi:type="xsd:double"&gt;26.93&lt;/D&gt;&lt;D xsi:type="xsd:double"&gt;26.9&lt;/D&gt;&lt;D xsi:type="xsd:double"&gt;26.6&lt;/D&gt;&lt;D xsi:type="xsd:double"&gt;26.77&lt;/D&gt;&lt;D xsi:type="xsd:double"&gt;27.08&lt;/D&gt;&lt;D xsi:type="xsd:double"&gt;27.09&lt;/D&gt;&lt;D xsi:type="xsd:double"&gt;27&lt;/D&gt;&lt;D xsi:type="xsd:double"&gt;26.97&lt;/D&gt;&lt;D xsi:type="xsd:double"&gt;26.83&lt;/D&gt;&lt;D xsi:type="xsd:double"&gt;27.26&lt;/D&gt;&lt;D xsi:type="xsd:double"&gt;26.86&lt;/D&gt;&lt;D xsi:type="xsd:double"&gt;26.7&lt;/D&gt;&lt;D xsi:type="xsd:double"&gt;26.61&lt;/D&gt;&lt;D xsi:type="xsd:double"&gt;26.84&lt;/D&gt;&lt;D xsi:type="xsd:double"&gt;26.83&lt;/D&gt;&lt;D xsi:type="xsd:double"&gt;26.74&lt;/D&gt;&lt;D xsi:type="xsd:double"&gt;26.91&lt;/D&gt;&lt;D xsi:type="xsd:double"&gt;26.96&lt;/D&gt;&lt;D xsi:type="xsd:double"&gt;26.65&lt;/D&gt;&lt;D xsi:type="xsd:double"&gt;26.63&lt;/D&gt;&lt;D xsi:type="xsd:double"&gt;26.6&lt;/D&gt;&lt;D xsi:type="xsd:double"&gt;26.66&lt;/D&gt;&lt;D xsi:type="xsd:double"&gt;26.41&lt;/D&gt;&lt;D xsi:type="xsd:double"&gt;26.28&lt;/D&gt;&lt;D xsi:type="xsd:double"&gt;25.91&lt;/D&gt;&lt;D xsi:type="xsd:double"&gt;26.02&lt;/D&gt;&lt;D xsi:type="xsd:double"&gt;26.15&lt;/D&gt;&lt;D xsi:type="xsd:double"&gt;26.37&lt;/D&gt;&lt;D xsi:type="xsd:double"&gt;26.22&lt;/D&gt;&lt;D xsi:type="xsd:double"&gt;26.48&lt;/D&gt;&lt;D xsi:type="xsd:double"&gt;26.58&lt;/D&gt;&lt;D xsi:type="xsd:double"&gt;26.82&lt;/D&gt;&lt;D xsi:type="xsd:double"&gt;26.55&lt;/D&gt;&lt;D xsi:type="xsd:double"&gt;26.37&lt;/D&gt;&lt;D xsi:type="xsd:double"&gt;26.45&lt;/D&gt;&lt;D xsi:type="xsd:double"&gt;26.28&lt;/D&gt;&lt;D xsi:type="xsd:double"&gt;26.19&lt;/D&gt;&lt;D xsi:type="xsd:double"&gt;26.07&lt;/D&gt;&lt;D xsi:type="xsd:double"&gt;26.39&lt;/D&gt;&lt;D xsi:type="xsd:double"&gt;26.36&lt;/D&gt;&lt;D xsi:type="xsd:double"&gt;26.58&lt;/D&gt;&lt;D xsi:type="xsd:double"&gt;26.24&lt;/D&gt;&lt;D xsi:type="xsd:double"&gt;26.14&lt;/D&gt;&lt;D xsi:type="xsd:double"&gt;25.98&lt;/D&gt;&lt;D xsi:type="xsd:double"&gt;26.48&lt;/D&gt;&lt;D xsi:type="xsd:double"&gt;26.54&lt;/D&gt;&lt;D xsi:type="xsd:double"&gt;26.35&lt;/D&gt;&lt;D xsi:type="xsd:double"&gt;26.32&lt;/D&gt;&lt;D xsi:type="xsd:double"&gt;26.09&lt;/D&gt;&lt;D xsi:type="xsd:double"&gt;26.43&lt;/D&gt;&lt;D xsi:type="xsd:double"&gt;26.03&lt;/D&gt;&lt;D xsi:type="xsd:double"&gt;26.05&lt;/D&gt;&lt;D xsi:type="xsd:double"&gt;25.79&lt;/D&gt;&lt;D xsi:type="xsd:double"&gt;25.55&lt;/D&gt;&lt;D xsi:type="xsd:double"&gt;25.86&lt;/D&gt;&lt;D xsi:type="xsd:double"&gt;25.77&lt;/D&gt;&lt;D xsi:type="xsd:double"&gt;26.09&lt;/D&gt;&lt;D xsi:type="xsd:double"&gt;26.32&lt;/D&gt;&lt;D xsi:type="xsd:double"&gt;26.64&lt;/D&gt;&lt;D xsi:type="xsd:double"&gt;26.6&lt;/D&gt;&lt;D xsi:type="xsd:double"&gt;26.71&lt;/D&gt;&lt;D xsi:type="xsd:double"&gt;26.44&lt;/D&gt;&lt;D xsi:type="xsd:double"&gt;26.37&lt;/D&gt;&lt;D xsi:type="xsd:double"&gt;26.36&lt;/D&gt;&lt;D xsi:type="xsd:double"&gt;26.33&lt;/D&gt;&lt;D xsi:type="xsd:double"&gt;26.07&lt;/D&gt;&lt;D xsi:type="xsd:double"&gt;26.15&lt;/D&gt;&lt;D xsi:type="xsd:double"&gt;25.81&lt;/D&gt;&lt;D xsi:type="xsd:double"&gt;25.64&lt;/D&gt;&lt;D xsi:type="xsd:double"&gt;25.56&lt;/D&gt;&lt;D xsi:type="xsd:double"&gt;25.87&lt;/D&gt;&lt;D xsi:type="xsd:double"&gt;25.65&lt;/D&gt;&lt;D xsi:type="xsd:double"&gt;25.41&lt;/D&gt;&lt;D xsi:type="xsd:double"&gt;25.41&lt;/D&gt;&lt;D xsi:type="xsd:double"&gt;25.63&lt;/D&gt;&lt;D xsi:type="xsd:double"&gt;25.63&lt;/D&gt;&lt;D xsi:type="xsd:double"&gt;25.47&lt;/D&gt;&lt;D xsi:type="xsd:double"&gt;25.55&lt;/D&gt;&lt;D xsi:type="xsd:double"&gt;25.16&lt;/D&gt;&lt;D xsi:type="xsd:double"&gt;25.42&lt;/D&gt;&lt;D xsi:type="xsd:double"&gt;25.18&lt;/D&gt;&lt;D xsi:type="xsd:double"&gt;25.01&lt;/D&gt;&lt;D xsi:type="xsd:double"&gt;24.83&lt;/D&gt;&lt;D xsi:type="xsd:double"&gt;24.89&lt;/D&gt;&lt;D xsi:type="xsd:double"&gt;25.05&lt;/D&gt;&lt;D xsi:type="xsd:double"&gt;24.99&lt;/D&gt;&lt;D xsi:type="xsd:double"&gt;25.31&lt;/D&gt;&lt;D xsi:type="xsd:double"&gt;24.65&lt;/D&gt;&lt;D xsi:type="xsd:double"&gt;24.67&lt;/D&gt;&lt;D xsi:type="xsd:double"&gt;24.55&lt;/D&gt;&lt;D xsi:type="xsd:double"&gt;24.52&lt;/D&gt;&lt;D xsi:type="xsd:double"&gt;24.51&lt;/D&gt;&lt;D xsi:type="xsd:double"&gt;24.51&lt;/D&gt;&lt;D xsi:type="xsd:double"&gt;24&lt;/D&gt;&lt;D xsi:type="xsd:double"&gt;23.96&lt;/D&gt;&lt;D xsi:type="xsd:double"&gt;23.48&lt;/D&gt;&lt;D xsi:type="xsd:double"&gt;23.61&lt;/D&gt;&lt;D xsi:type="xsd:double"&gt;23.42&lt;/D&gt;&lt;D xsi:type="xsd:double"&gt;23.36&lt;/D&gt;&lt;D xsi:type="xsd:double"&gt;23.29&lt;/D&gt;&lt;D xsi:type="xsd:double"&gt;22.77&lt;/D&gt;&lt;D xsi:type="xsd:double"&gt;22.35&lt;/D&gt;&lt;D xsi:type="xsd:double"&gt;22.81&lt;/D&gt;&lt;D xsi:type="xsd:double"&gt;20.82&lt;/D&gt;&lt;D xsi:type="xsd:double"&gt;20.85&lt;/D&gt;&lt;D xsi:type="xsd:double"&gt;21.15&lt;/D&gt;&lt;D xsi:type="xsd:double"&gt;23.25&lt;/D&gt;&lt;D xsi:type="xsd:double"&gt;23.89&lt;/D&gt;&lt;D xsi:type="xsd:double"&gt;23.71&lt;/D&gt;&lt;D xsi:type="xsd:double"&gt;23.44&lt;/D&gt;&lt;D xsi:type="xsd:double"&gt;23.47&lt;/D&gt;&lt;D xsi:type="xsd:double"&gt;23.75&lt;/D&gt;&lt;D xsi:type="xsd:double"&gt;23.71&lt;/D&gt;&lt;D xsi:type="xsd:double"&gt;23.81&lt;/D&gt;&lt;D xsi:type="xsd:double"&gt;23.7&lt;/D&gt;&lt;/FQL&gt;&lt;FQL&gt;&lt;Q&gt;EWJ^FG_TOTAL_RETURNC(-5AY,0,AM)&lt;/Q&gt;&lt;R&gt;61&lt;/R&gt;&lt;C&gt;1&lt;/C&gt;&lt;D xsi:type="xsd:double"&gt;6.624043&lt;/D&gt;&lt;D xsi:type="xsd:double"&gt;1.7318487&lt;/D&gt;&lt;D xsi:type="xsd:double"&gt;-4.3835936&lt;/D&gt;&lt;D xsi:type="xsd:double"&gt;2.6557922&lt;/D&gt;&lt;D xsi:type="xsd:double"&gt;-0.18789768&lt;/D&gt;&lt;D xsi:type="xsd:double"&gt;0.60817003&lt;/D&gt;&lt;D xsi:type="xsd:double"&gt;-3.3834994&lt;/D&gt;&lt;D xsi:type="xsd:double"&gt;1.770711&lt;/D&gt;&lt;D xsi:type="xsd:double"&gt;6.5320015&lt;/D&gt;&lt;D xsi:type="xsd:double"&gt;-6.0761213&lt;/D&gt;&lt;D xsi:type="xsd:double"&gt;3.463006&lt;/D&gt;&lt;D xsi:type="xsd:double"&gt;-1.8800735&lt;/D&gt;&lt;D xsi:type="xsd:double"&gt;-1.9375682&lt;/D&gt;&lt;D xsi:type="xsd:double"&gt;-3.0598462&lt;/D&gt;&lt;D xsi:type="xsd:double"&gt;-9.979879&lt;/D&gt;&lt;D xsi:type="xsd:double"&gt;2.148509&lt;/D&gt;&lt;D xsi:type="xsd:double"&gt;-4.610467&lt;/D&gt;&lt;D xsi:type="xsd:double"&gt;0.10584593&lt;/D&gt;&lt;D xsi:type="xsd:double"&gt;-4.413122&lt;/D&gt;&lt;D xsi:type="xsd:double"&gt;2.9225588&lt;/D&gt;&lt;D xsi:type="xsd:double"&gt;-5.7876644&lt;/D&gt;&lt;D xsi:type="xsd:double"&gt;-4.377037&lt;/D&gt;&lt;D xsi:type="xsd:double"&gt;4.1959405&lt;/D&gt;&lt;D xsi:type="xsd:double"&gt;6.146431&lt;/D&gt;&lt;D xsi:type="xsd:double"&gt;-0.35990477&lt;/D&gt;&lt;D xsi:type="xsd:double"&gt;5.4044127&lt;/D&gt;&lt;D xsi:type="xsd:double"&gt;-0.27714968&lt;/D&gt;&lt;D xsi:type="xsd:double"&gt;0.4168868&lt;/D&gt;&lt;D xsi:type="xsd:double"&gt;2.7503848&lt;/D&gt;&lt;D xsi:type="xsd:double"&gt;4.300201&lt;/D&gt;&lt;D xsi:type="xsd:double"&gt;0.19506216&lt;/D&gt;&lt;D xsi:type="xsd:double"&gt;0.1784563&lt;/D&gt;&lt;D xsi:type="xsd:double"&gt;-0.22671819&lt;/D&gt;&lt;D xsi:type="xsd:double"&gt;-3.6195397&lt;/D&gt;&lt;D xsi:type="xsd:double"&gt;0.43785572&lt;/D&gt;&lt;D xsi:type="xsd:double"&gt;5.264926&lt;/D&gt;&lt;D xsi:type="xsd:double"&gt;4.1232347&lt;/D&gt;&lt;D xsi:type="xsd:double"&gt;2.9941082&lt;/D&gt;&lt;D xsi:type="xsd:double"&gt;7.2149396&lt;/D&gt;&lt;D xsi:type="xsd:double"&gt;-1.3486922&lt;/D&gt;&lt;D xsi:type="xsd:double"&gt;-3.1045318&lt;/D&gt;&lt;D xsi:type="xsd:double"&gt;1.0141134&lt;/D&gt;&lt;D xsi:type="xsd:double"&gt;2.0519614&lt;/D&gt;&lt;D xsi:type="xsd:double"&gt;-5.874753&lt;/D&gt;&lt;D xsi:type="xsd:double"&gt;3.9066076&lt;/D&gt;&lt;D xsi:type="xsd:double"&gt;4.6556115&lt;/D&gt;&lt;D xsi:type="xsd:double"&gt;-2.5680602&lt;/D&gt;&lt;D xsi:type="xsd:double"&gt;2.3764968&lt;/D&gt;&lt;D xsi:type="xsd:double"&gt;-4.1189966&lt;/D&gt;&lt;D xsi:type="xsd:double"&gt;2.0566344&lt;/D&gt;&lt;D xsi:type="xsd:double"&gt;2.4678707&lt;/D&gt;&lt;D xsi:type="xsd:double"&gt;-12.141937&lt;/D&gt;&lt;D xsi:type="xsd:double"&gt;16.512573&lt;/D&gt;&lt;D xsi:type="xsd:double"&gt;2.770424&lt;/D&gt;&lt;D xsi:type="xsd:double"&gt;-0.052154064&lt;/D&gt;&lt;D xsi:type="xsd:double"&gt;6.476295&lt;/D&gt;&lt;D xsi:type="xsd:double"&gt;3.8881063&lt;/D&gt;&lt;D xsi:type="xsd:double"&gt;0.97578764&lt;/D&gt;&lt;D xsi:type="xsd:double"&gt;1.8837929&lt;/D&gt;&lt;D xsi:type="xsd:double"&gt;-0.120061636&lt;/D&gt;&lt;D xsi:type="xsd:double"&gt;3.3747792&lt;/D&gt;&lt;/FQL&gt;&lt;FQL&gt;&lt;Q&gt;SPY^FG_PRICE(0,-200D)&lt;/Q&gt;&lt;R&gt;201&lt;/R&gt;&lt;C&gt;1&lt;/C&gt;&lt;D xsi:type="xsd:double"&gt;689.51&lt;/D&gt;&lt;D xsi:type="xsd:double"&gt;689.58&lt;/D&gt;&lt;D xsi:type="xsd:double"&gt;691.81&lt;/D&gt;&lt;D xsi:type="xsd:double"&gt;687.72&lt;/D&gt;&lt;D xsi:type="xsd:double"&gt;683.17&lt;/D&gt;&lt;D xsi:type="xsd:double"&gt;681.92&lt;/D&gt;&lt;D xsi:type="xsd:double"&gt;687.01&lt;/D&gt;&lt;D xsi:type="xsd:double"&gt;687.85&lt;/D&gt;&lt;D xsi:type="xsd:double"&gt;690.31&lt;/D&gt;&lt;D xsi:type="xsd:double"&gt;690.38&lt;/D&gt;&lt;D xsi:type="xsd:double"&gt;687.96&lt;/D&gt;&lt;D xsi:type="xsd:double"&gt;684.83&lt;/D&gt;&lt;D xsi:type="xsd:double"&gt;680.59&lt;/D&gt;&lt;D xsi:type="xsd:double"&gt;676.47&lt;/D&gt;&lt;D xsi:type="xsd:double"&gt;671.4&lt;/D&gt;&lt;D xsi:type="xsd:double"&gt;678.87&lt;/D&gt;&lt;D xsi:type="xsd:double"&gt;680.73&lt;/D&gt;&lt;D xsi:type="xsd:double"&gt;681.76&lt;/D&gt;&lt;D xsi:type="xsd:double"&gt;689.17&lt;/D&gt;&lt;D xsi:type="xsd:double"&gt;687.57&lt;/D&gt;&lt;D xsi:type="xsd:double"&gt;683.04&lt;/D&gt;&lt;D xsi:type="xsd:double"&gt;683.63&lt;/D&gt;&lt;D xsi:type="xsd:double"&gt;685.69&lt;/D&gt;&lt;D xsi:type="xsd:double"&gt;684.39&lt;/D&gt;&lt;D xsi:type="xsd:double"&gt;683.89&lt;/D&gt;&lt;D xsi:type="xsd:double"&gt;681.53&lt;/D&gt;&lt;D xsi:type="xsd:double"&gt;680.27&lt;/D&gt;&lt;D xsi:type="xsd:double"&gt;683.39&lt;/D&gt;&lt;D xsi:type="xsd:double"&gt;679.68&lt;/D&gt;&lt;D xsi:type="xsd:double"&gt;675.02&lt;/D&gt;&lt;D xsi:type="xsd:double"&gt;668.73&lt;/D&gt;&lt;D xsi:type="xsd:double"&gt;659.03&lt;/D&gt;&lt;D xsi:type="xsd:double"&gt;652.53&lt;/D&gt;&lt;D xsi:type="xsd:double"&gt;662.63&lt;/D&gt;&lt;D xsi:type="xsd:double"&gt;660.08&lt;/D&gt;&lt;D xsi:type="xsd:double"&gt;665.67&lt;/D&gt;&lt;D xsi:type="xsd:double"&gt;671.93&lt;/D&gt;&lt;D xsi:type="xsd:double"&gt;672.04&lt;/D&gt;&lt;D xsi:type="xsd:double"&gt;683.38&lt;/D&gt;&lt;D xsi:type="xsd:double"&gt;683&lt;/D&gt;&lt;D xsi:type="xsd:double"&gt;681.44&lt;/D&gt;&lt;D xsi:type="xsd:double"&gt;670.97&lt;/D&gt;&lt;D xsi:type="xsd:double"&gt;670.31&lt;/D&gt;&lt;D xsi:type="xsd:double"&gt;677.58&lt;/D&gt;&lt;D xsi:type="xsd:double"&gt;675.24&lt;/D&gt;&lt;D xsi:type="xsd:double"&gt;683.34&lt;/D&gt;&lt;D xsi:type="xsd:double"&gt;682.06&lt;/D&gt;&lt;D xsi:type="xsd:double"&gt;679.83&lt;/D&gt;&lt;D xsi:type="xsd:double"&gt;687.39&lt;/D&gt;&lt;D xsi:type="xsd:double"&gt;687.06&lt;/D&gt;&lt;D xsi:type="xsd:double"&gt;685.24&lt;/D&gt;&lt;D xsi:type="xsd:double"&gt;677.25&lt;/D&gt;&lt;D xsi:type="xsd:double"&gt;671.76&lt;/D&gt;&lt;D xsi:type="xsd:double"&gt;667.8&lt;/D&gt;&lt;D xsi:type="xsd:double"&gt;671.29&lt;/D&gt;&lt;D xsi:type="xsd:double"&gt;671.3&lt;/D&gt;&lt;D xsi:type="xsd:double"&gt;664.39&lt;/D&gt;&lt;D xsi:type="xsd:double"&gt;660.64&lt;/D&gt;&lt;D xsi:type="xsd:double"&gt;665.17&lt;/D&gt;&lt;D xsi:type="xsd:double"&gt;662.23&lt;/D&gt;&lt;D xsi:type="xsd:double"&gt;663.04&lt;/D&gt;&lt;D xsi:type="xsd:double"&gt;653.02&lt;/D&gt;&lt;D xsi:type="xsd:double"&gt;671.16&lt;/D&gt;&lt;D xsi:type="xsd:double"&gt;673.11&lt;/D&gt;&lt;D xsi:type="xsd:double"&gt;669.12&lt;/D&gt;&lt;D xsi:type="xsd:double"&gt;671.61&lt;/D&gt;&lt;D xsi:type="xsd:double"&gt;669.21&lt;/D&gt;&lt;D xsi:type="xsd:double"&gt;669.22&lt;/D&gt;&lt;D xsi:type="xsd:double"&gt;668.45&lt;/D&gt;&lt;D xsi:type="xsd:double"&gt;666.18&lt;/D&gt;&lt;D xsi:type="xsd:double"&gt;663.68&lt;/D&gt;&lt;D xsi:type="xsd:double"&gt;661.82&lt;/D&gt;&lt;D xsi:type="xsd:double"&gt;658.05&lt;/D&gt;&lt;D xsi:type="xsd:double"&gt;661.1&lt;/D&gt;&lt;D xsi:type="xsd:double"&gt;663.21&lt;/D&gt;&lt;D xsi:type="xsd:double"&gt;666.84&lt;/D&gt;&lt;D xsi:type="xsd:double"&gt;663.7&lt;/D&gt;&lt;D xsi:type="xsd:double"&gt;662.26&lt;/D&gt;&lt;D xsi:type="xsd:double"&gt;659.18&lt;/D&gt;&lt;D xsi:type="xsd:double"&gt;660&lt;/D&gt;&lt;D xsi:type="xsd:double"&gt;660.91&lt;/D&gt;&lt;D xsi:type="xsd:double"&gt;657.41&lt;/D&gt;&lt;D xsi:type="xsd:double"&gt;657.63&lt;/D&gt;&lt;D xsi:type="xsd:double"&gt;652.21&lt;/D&gt;&lt;D xsi:type="xsd:double"&gt;650.33&lt;/D&gt;&lt;D xsi:type="xsd:double"&gt;648.83&lt;/D&gt;&lt;D xsi:type="xsd:double"&gt;647.24&lt;/D&gt;&lt;D xsi:type="xsd:double"&gt;649.12&lt;/D&gt;&lt;D xsi:type="xsd:double"&gt;643.74&lt;/D&gt;&lt;D xsi:type="xsd:double"&gt;640.27&lt;/D&gt;&lt;D xsi:type="xsd:double"&gt;645.05&lt;/D&gt;&lt;D xsi:type="xsd:double"&gt;648.92&lt;/D&gt;&lt;D xsi:type="xsd:double"&gt;646.63&lt;/D&gt;&lt;D xsi:type="xsd:double"&gt;645.16&lt;/D&gt;&lt;D xsi:type="xsd:double"&gt;642.47&lt;/D&gt;&lt;D xsi:type="xsd:double"&gt;645.31&lt;/D&gt;&lt;D xsi:type="xsd:double"&gt;635.55&lt;/D&gt;&lt;D xsi:type="xsd:double"&gt;638.11&lt;/D&gt;&lt;D xsi:type="xsd:double"&gt;639.81&lt;/D&gt;&lt;D xsi:type="xsd:double"&gt;643.3&lt;/D&gt;&lt;D xsi:type="xsd:double"&gt;643.44&lt;/D&gt;&lt;D xsi:type="xsd:double"&gt;644.95&lt;/D&gt;&lt;D xsi:type="xsd:double"&gt;644.89&lt;/D&gt;&lt;D xsi:type="xsd:double"&gt;642.69&lt;/D&gt;&lt;D xsi:type="xsd:double"&gt;635.92&lt;/D&gt;&lt;D xsi:type="xsd:double"&gt;637.18&lt;/D&gt;&lt;D xsi:type="xsd:double"&gt;632.25&lt;/D&gt;&lt;D xsi:type="xsd:double"&gt;632.78&lt;/D&gt;&lt;D xsi:type="xsd:double"&gt;627.97&lt;/D&gt;&lt;D xsi:type="xsd:double"&gt;631.17&lt;/D&gt;&lt;D xsi:type="xsd:double"&gt;621.72&lt;/D&gt;&lt;D xsi:type="xsd:double"&gt;632.08&lt;/D&gt;&lt;D xsi:type="xsd:double"&gt;634.46&lt;/D&gt;&lt;D xsi:type="xsd:double"&gt;635.26&lt;/D&gt;&lt;D xsi:type="xsd:double"&gt;636.94&lt;/D&gt;&lt;D xsi:type="xsd:double"&gt;637.1&lt;/D&gt;&lt;D xsi:type="xsd:double"&gt;634.42&lt;/D&gt;&lt;D xsi:type="xsd:double"&gt;634.21&lt;/D&gt;&lt;D xsi:type="xsd:double"&gt;628.86&lt;/D&gt;&lt;D xsi:type="xsd:double"&gt;628.77&lt;/D&gt;&lt;D xsi:type="xsd:double"&gt;627.58&lt;/D&gt;&lt;D xsi:type="xsd:double"&gt;628.04&lt;/D&gt;&lt;D xsi:type="xsd:double"&gt;624.22&lt;/D&gt;&lt;D xsi:type="xsd:double"&gt;622.14&lt;/D&gt;&lt;D xsi:type="xsd:double"&gt;624.81&lt;/D&gt;&lt;D xsi:type="xsd:double"&gt;623.62&lt;/D&gt;&lt;D xsi:type="xsd:double"&gt;625.82&lt;/D&gt;&lt;D xsi:type="xsd:double"&gt;624.06&lt;/D&gt;&lt;D xsi:type="xsd:double"&gt;620.34&lt;/D&gt;&lt;D xsi:type="xsd:double"&gt;620.68&lt;/D&gt;&lt;D xsi:type="xsd:double"&gt;625.34&lt;/D&gt;&lt;D xsi:type="xsd:double"&gt;620.45&lt;/D&gt;&lt;D xsi:type="xsd:double"&gt;617.65&lt;/D&gt;&lt;D xsi:type="xsd:double"&gt;617.85&lt;/D&gt;&lt;D xsi:type="xsd:double"&gt;614.91&lt;/D&gt;&lt;D xsi:type="xsd:double"&gt;611.87&lt;/D&gt;&lt;D xsi:type="xsd:double"&gt;607.12&lt;/D&gt;&lt;D xsi:type="xsd:double"&gt;606.78&lt;/D&gt;&lt;D xsi:type="xsd:double"&gt;600.15&lt;/D&gt;&lt;D xsi:type="xsd:double"&gt;594.28&lt;/D&gt;&lt;D xsi:type="xsd:double"&gt;597.44&lt;/D&gt;&lt;D xsi:type="xsd:double"&gt;597.53&lt;/D&gt;&lt;D xsi:type="xsd:double"&gt;602.68&lt;/D&gt;&lt;D xsi:type="xsd:double"&gt;597&lt;/D&gt;&lt;D xsi:type="xsd:double"&gt;603.75&lt;/D&gt;&lt;D xsi:type="xsd:double"&gt;601.36&lt;/D&gt;&lt;D xsi:type="xsd:double"&gt;603.08&lt;/D&gt;&lt;D xsi:type="xsd:double"&gt;599.68&lt;/D&gt;&lt;D xsi:type="xsd:double"&gt;599.14&lt;/D&gt;&lt;D xsi:type="xsd:double"&gt;593.05&lt;/D&gt;&lt;D xsi:type="xsd:double"&gt;595.93&lt;/D&gt;&lt;D xsi:type="xsd:double"&gt;596.09&lt;/D&gt;&lt;D xsi:type="xsd:double"&gt;592.71&lt;/D&gt;&lt;D xsi:type="xsd:double"&gt;589.39&lt;/D&gt;&lt;D xsi:type="xsd:double"&gt;590.05&lt;/D&gt;&lt;D xsi:type="xsd:double"&gt;587.73&lt;/D&gt;&lt;D xsi:type="xsd:double"&gt;591.15&lt;/D&gt;&lt;D xsi:type="xsd:double"&gt;579.11&lt;/D&gt;&lt;D xsi:type="xsd:double"&gt;583.09&lt;/D&gt;&lt;D xsi:type="xsd:double"&gt;582.86&lt;/D&gt;&lt;D xsi:type="xsd:double"&gt;592.85&lt;/D&gt;&lt;D xsi:type="xsd:double"&gt;594.85&lt;/D&gt;&lt;D xsi:type="xsd:double"&gt;594.2&lt;/D&gt;&lt;D xsi:type="xsd:double"&gt;590.46&lt;/D&gt;&lt;D xsi:type="xsd:double"&gt;587.59&lt;/D&gt;&lt;D xsi:type="xsd:double"&gt;586.84&lt;/D&gt;&lt;D xsi:type="xsd:double"&gt;582.99&lt;/D&gt;&lt;D xsi:type="xsd:double"&gt;564.34&lt;/D&gt;&lt;D xsi:type="xsd:double"&gt;565.06&lt;/D&gt;&lt;D xsi:type="xsd:double"&gt;561.15&lt;/D&gt;&lt;D xsi:type="xsd:double"&gt;558.8&lt;/D&gt;&lt;D xsi:type="xsd:double"&gt;563.51&lt;/D&gt;&lt;D xsi:type="xsd:double"&gt;566.76&lt;/D&gt;&lt;D xsi:type="xsd:double"&gt;558.47&lt;/D&gt;&lt;D xsi:type="xsd:double"&gt;554.54&lt;/D&gt;&lt;D xsi:type="xsd:double"&gt;554.32&lt;/D&gt;&lt;D xsi:type="xsd:double"&gt;550.85&lt;/D&gt;&lt;D xsi:type="xsd:double"&gt;550.64&lt;/D&gt;&lt;D xsi:type="xsd:double"&gt;546.69&lt;/D&gt;&lt;D xsi:type="xsd:double"&gt;535.42&lt;/D&gt;&lt;D xsi:type="xsd:double"&gt;527.25&lt;/D&gt;&lt;D xsi:type="xsd:double"&gt;513.88&lt;/D&gt;&lt;D xsi:type="xsd:double"&gt;526.41&lt;/D&gt;&lt;D xsi:type="xsd:double"&gt;525.66&lt;/D&gt;&lt;D xsi:type="xsd:double"&gt;537.61&lt;/D&gt;&lt;D xsi:type="xsd:double"&gt;539.12&lt;/D&gt;&lt;D xsi:type="xsd:double"&gt;533.94&lt;/D&gt;&lt;D xsi:type="xsd:double"&gt;524.58&lt;/D&gt;&lt;D xsi:type="xsd:double"&gt;548.62&lt;/D&gt;&lt;D xsi:type="xsd:double"&gt;496.48&lt;/D&gt;&lt;D xsi:type="xsd:double"&gt;504.38&lt;/D&gt;&lt;D xsi:type="xsd:double"&gt;505.28&lt;/D&gt;&lt;D xsi:type="xsd:double"&gt;536.7&lt;/D&gt;&lt;D xsi:type="xsd:double"&gt;564.52&lt;/D&gt;&lt;D xsi:type="xsd:double"&gt;560.97&lt;/D&gt;&lt;D xsi:type="xsd:double"&gt;559.39&lt;/D&gt;&lt;D xsi:type="xsd:double"&gt;555.66&lt;/D&gt;&lt;D xsi:type="xsd:double"&gt;567.08&lt;/D&gt;&lt;D xsi:type="xsd:double"&gt;568.59&lt;/D&gt;&lt;D xsi:type="xsd:double"&gt;575.46&lt;/D&gt;&lt;D xsi:type="xsd:double"&gt;574.08&lt;/D&gt;&lt;/FQL&gt;&lt;FQL&gt;&lt;Q&gt;EWD^FG_TOTAL_RETURNC(-5AY,0,AM)&lt;/Q&gt;&lt;R&gt;61&lt;/R&gt;&lt;C&gt;1&lt;/C&gt;&lt;D xsi:type="xsd:double"&gt;5.7416916&lt;/D&gt;&lt;D xsi:type="xsd:double"&gt;0.095403194&lt;/D&gt;&lt;D xsi:type="xsd:double"&gt;2.454126&lt;/D&gt;&lt;D xsi:type="xsd:double"&gt;8.674419&lt;/D&gt;&lt;D xsi:type="xsd:double"&gt;3.702116&lt;/D&gt;&lt;D xsi:type="xsd:double"&gt;1.9191146&lt;/D&gt;&lt;D xsi:type="xsd:double"&gt;-3.244567&lt;/D&gt;&lt;D xsi:type="xsd:double"&gt;3.3832908&lt;/D&gt;&lt;D xsi:type="xsd:double"&gt;-1.3256013&lt;/D&gt;&lt;D xsi:type="xsd:double"&gt;-5.6884947&lt;/D&gt;&lt;D xsi:type="xsd:double"&gt;8.858228&lt;/D&gt;&lt;D xsi:type="xsd:double"&gt;-4.5389533&lt;/D&gt;&lt;D xsi:type="xsd:double"&gt;1.4431&lt;/D&gt;&lt;D xsi:type="xsd:double"&gt;-7.4912844&lt;/D&gt;&lt;D xsi:type="xsd:double"&gt;-19.491524&lt;/D&gt;&lt;D xsi:type="xsd:double"&gt;14.766085&lt;/D&gt;&lt;D xsi:type="xsd:double"&gt;-13.477707&lt;/D&gt;&lt;D xsi:type="xsd:double"&gt;7.332158&lt;/D&gt;&lt;D xsi:type="xsd:double"&gt;-12.236172&lt;/D&gt;&lt;D xsi:type="xsd:double"&gt;7.237053&lt;/D&gt;&lt;D xsi:type="xsd:double"&gt;-10.55789&lt;/D&gt;&lt;D xsi:type="xsd:double"&gt;-9.121394&lt;/D&gt;&lt;D xsi:type="xsd:double"&gt;15.535057&lt;/D&gt;&lt;D xsi:type="xsd:double"&gt;7.601404&lt;/D&gt;&lt;D xsi:type="xsd:double"&gt;0.98963976&lt;/D&gt;&lt;D xsi:type="xsd:double"&gt;4.1974545&lt;/D&gt;&lt;D xsi:type="xsd:double"&gt;-1.2482226&lt;/D&gt;&lt;D xsi:type="xsd:double"&gt;0.8043647&lt;/D&gt;&lt;D xsi:type="xsd:double"&gt;5.7281256&lt;/D&gt;&lt;D xsi:type="xsd:double"&gt;-4.501343&lt;/D&gt;&lt;D xsi:type="xsd:double"&gt;-2.9918194&lt;/D&gt;&lt;D xsi:type="xsd:double"&gt;0&lt;/D&gt;&lt;D xsi:type="xsd:double"&gt;-4.829794&lt;/D&gt;&lt;D xsi:type="xsd:double"&gt;1.2228727&lt;/D&gt;&lt;D xsi:type="xsd:double"&gt;-1.2987018&lt;/D&gt;&lt;D xsi:type="xsd:double"&gt;14.626682&lt;/D&gt;&lt;D xsi:type="xsd:double"&gt;4.356885&lt;/D&gt;&lt;D xsi:type="xsd:double"&gt;-1.6251683&lt;/D&gt;&lt;D xsi:type="xsd:double"&gt;8.286703&lt;/D&gt;&lt;D xsi:type="xsd:double"&gt;-0.3937006&lt;/D&gt;&lt;D xsi:type="xsd:double"&gt;-1.3339937&lt;/D&gt;&lt;D xsi:type="xsd:double"&gt;4.5318007&lt;/D&gt;&lt;D xsi:type="xsd:double"&gt;-1.8933356&lt;/D&gt;&lt;D xsi:type="xsd:double"&gt;-3.6467433&lt;/D&gt;&lt;D xsi:type="xsd:double"&gt;2.883625&lt;/D&gt;&lt;D xsi:type="xsd:double"&gt;4.829836&lt;/D&gt;&lt;D xsi:type="xsd:double"&gt;-4.7744093&lt;/D&gt;&lt;D xsi:type="xsd:double"&gt;0.45124292&lt;/D&gt;&lt;D xsi:type="xsd:double"&gt;-4.7666607&lt;/D&gt;&lt;D xsi:type="xsd:double"&gt;9.564996&lt;/D&gt;&lt;D xsi:type="xsd:double"&gt;7.9167604&lt;/D&gt;&lt;D xsi:type="xsd:double"&gt;-17.841309&lt;/D&gt;&lt;D xsi:type="xsd:double"&gt;19.395733&lt;/D&gt;&lt;D xsi:type="xsd:double"&gt;4.2476296&lt;/D&gt;&lt;D xsi:type="xsd:double"&gt;0.94248056&lt;/D&gt;&lt;D xsi:type="xsd:double"&gt;0.72448254&lt;/D&gt;&lt;D xsi:type="xsd:double"&gt;3.356576&lt;/D&gt;&lt;D xsi:type="xsd:double"&gt;0.9700656&lt;/D&gt;&lt;D xsi:type="xsd:double"&gt;-1.3366759&lt;/D&gt;&lt;D xsi:type="xsd:double"&gt;2.4555445&lt;/D&gt;&lt;D xsi:type="xsd:double"&gt;5.1792383&lt;/D&gt;&lt;/FQL&gt;&lt;FQL&gt;&lt;Q&gt;EWW^FG_TOTAL_RETURNC(-5AY,0,AM)&lt;/Q&gt;&lt;R&gt;61&lt;/R&gt;&lt;C&gt;1&lt;/C&gt;&lt;D xsi:type="xsd:double"&gt;6.7250967&lt;/D&gt;&lt;D xsi:type="xsd:double"&gt;-6.5202894&lt;/D&gt;&lt;D xsi:type="xsd:double"&gt;-0.6880224&lt;/D&gt;&lt;D xsi:type="xsd:double"&gt;9.460104&lt;/D&gt;&lt;D xsi:type="xsd:double"&gt;2.6844144&lt;/D&gt;&lt;D xsi:type="xsd:double"&gt;5.65356&lt;/D&gt;&lt;D xsi:type="xsd:double"&gt;-4.2647305&lt;/D&gt;&lt;D xsi:type="xsd:double"&gt;3.430748&lt;/D&gt;&lt;D xsi:type="xsd:double"&gt;2.0884514&lt;/D&gt;&lt;D xsi:type="xsd:double"&gt;-3.6301672&lt;/D&gt;&lt;D xsi:type="xsd:double"&gt;3.870964&lt;/D&gt;&lt;D xsi:type="xsd:double"&gt;-4.0873585&lt;/D&gt;&lt;D xsi:type="xsd:double"&gt;7.5392127&lt;/D&gt;&lt;D xsi:type="xsd:double"&gt;-2.6792705&lt;/D&gt;&lt;D xsi:type="xsd:double"&gt;-3.076923&lt;/D&gt;&lt;D xsi:type="xsd:double"&gt;11.027563&lt;/D&gt;&lt;D xsi:type="xsd:double"&gt;-8.897668&lt;/D&gt;&lt;D xsi:type="xsd:double"&gt;4.2329073&lt;/D&gt;&lt;D xsi:type="xsd:double"&gt;-7.5574756&lt;/D&gt;&lt;D xsi:type="xsd:double"&gt;0.9356022&lt;/D&gt;&lt;D xsi:type="xsd:double"&gt;-1.0993719&lt;/D&gt;&lt;D xsi:type="xsd:double"&gt;-0.9808183&lt;/D&gt;&lt;D xsi:type="xsd:double"&gt;15.144181&lt;/D&gt;&lt;D xsi:type="xsd:double"&gt;0.4970312&lt;/D&gt;&lt;D xsi:type="xsd:double"&gt;4.2416573&lt;/D&gt;&lt;D xsi:type="xsd:double"&gt;4.0037155&lt;/D&gt;&lt;D xsi:type="xsd:double"&gt;6.374216&lt;/D&gt;&lt;D xsi:type="xsd:double"&gt;-1.3129056&lt;/D&gt;&lt;D xsi:type="xsd:double"&gt;4.5369267&lt;/D&gt;&lt;D xsi:type="xsd:double"&gt;2.2359252&lt;/D&gt;&lt;D xsi:type="xsd:double"&gt;0.65916777&lt;/D&gt;&lt;D xsi:type="xsd:double"&gt;-0.3833294&lt;/D&gt;&lt;D xsi:type="xsd:double"&gt;-4.793966&lt;/D&gt;&lt;D xsi:type="xsd:double"&gt;-7.8646064&lt;/D&gt;&lt;D xsi:type="xsd:double"&gt;7.5488925&lt;/D&gt;&lt;D xsi:type="xsd:double"&gt;8.650578&lt;/D&gt;&lt;D xsi:type="xsd:double"&gt;6.4036846&lt;/D&gt;&lt;D xsi:type="xsd:double"&gt;0.8060932&lt;/D&gt;&lt;D xsi:type="xsd:double"&gt;-2.8728008&lt;/D&gt;&lt;D xsi:type="xsd:double"&gt;7.5926304&lt;/D&gt;&lt;D xsi:type="xsd:double"&gt;-4.9737873&lt;/D&gt;&lt;D xsi:type="xsd:double"&gt;-14.628691&lt;/D&gt;&lt;D xsi:type="xsd:double"&gt;2.759838&lt;/D&gt;&lt;D xsi:type="xsd:double"&gt;-5.673641&lt;/D&gt;&lt;D xsi:type="xsd:double"&gt;-6.5600576&lt;/D&gt;&lt;D xsi:type="xsd:double"&gt;5.406463&lt;/D&gt;&lt;D xsi:type="xsd:double"&gt;-3.7084937&lt;/D&gt;&lt;D xsi:type="xsd:double"&gt;-0.9388745&lt;/D&gt;&lt;D xsi:type="xsd:double"&gt;-4.339451&lt;/D&gt;&lt;D xsi:type="xsd:double"&gt;5.737531&lt;/D&gt;&lt;D xsi:type="xsd:double"&gt;1.6771913&lt;/D&gt;&lt;D xsi:type="xsd:double"&gt;-6.7339363&lt;/D&gt;&lt;D xsi:type="xsd:double"&gt;20.91136&lt;/D&gt;&lt;D xsi:type="xsd:double"&gt;5.3863406&lt;/D&gt;&lt;D xsi:type="xsd:double"&gt;1.2290239&lt;/D&gt;&lt;D xsi:type="xsd:double"&gt;1.23173&lt;/D&gt;&lt;D xsi:type="xsd:double"&gt;4.0720344&lt;/D&gt;&lt;D xsi:type="xsd:double"&gt;2.4629831&lt;/D&gt;&lt;D xsi:type="xsd:double"&gt;3.1796694&lt;/D&gt;&lt;D xsi:type="xsd:double"&gt;1.2090802&lt;/D&gt;&lt;D xsi:type="xsd:double"&gt;4.6764135&lt;/D&gt;&lt;/FQL&gt;&lt;FQL&gt;&lt;Q&gt;QQQ^FG_PRICE(0,-200D)&lt;/Q&gt;&lt;R&gt;201&lt;/R&gt;&lt;C&gt;1&lt;/C&gt;&lt;D xsi:type="xsd:double"&gt;620.47&lt;/D&gt;&lt;D xsi:type="xsd:double"&gt;624.02&lt;/D&gt;&lt;D xsi:type="xsd:double"&gt;623.42&lt;/D&gt;&lt;D xsi:type="xsd:double"&gt;617.99&lt;/D&gt;&lt;D xsi:type="xsd:double"&gt;613.12&lt;/D&gt;&lt;D xsi:type="xsd:double"&gt;614.31&lt;/D&gt;&lt;D xsi:type="xsd:double"&gt;619.43&lt;/D&gt;&lt;D xsi:type="xsd:double"&gt;620.87&lt;/D&gt;&lt;D xsi:type="xsd:double"&gt;623.89&lt;/D&gt;&lt;D xsi:type="xsd:double"&gt;623.93&lt;/D&gt;&lt;D xsi:type="xsd:double"&gt;622.11&lt;/D&gt;&lt;D xsi:type="xsd:double"&gt;619.21&lt;/D&gt;&lt;D xsi:type="xsd:double"&gt;617.05&lt;/D&gt;&lt;D xsi:type="xsd:double"&gt;609.11&lt;/D&gt;&lt;D xsi:type="xsd:double"&gt;600.41&lt;/D&gt;&lt;D xsi:type="xsd:double"&gt;611.75&lt;/D&gt;&lt;D xsi:type="xsd:double"&gt;610.54&lt;/D&gt;&lt;D xsi:type="xsd:double"&gt;613.62&lt;/D&gt;&lt;D xsi:type="xsd:double"&gt;625.58&lt;/D&gt;&lt;D xsi:type="xsd:double"&gt;627.61&lt;/D&gt;&lt;D xsi:type="xsd:double"&gt;625.05&lt;/D&gt;&lt;D xsi:type="xsd:double"&gt;624.28&lt;/D&gt;&lt;D xsi:type="xsd:double"&gt;625.48&lt;/D&gt;&lt;D xsi:type="xsd:double"&gt;622.94&lt;/D&gt;&lt;D xsi:type="xsd:double"&gt;623.52&lt;/D&gt;&lt;D xsi:type="xsd:double"&gt;622&lt;/D&gt;&lt;D xsi:type="xsd:double"&gt;617.17&lt;/D&gt;&lt;D xsi:type="xsd:double"&gt;619.25&lt;/D&gt;&lt;D xsi:type="xsd:double"&gt;614.27&lt;/D&gt;&lt;D xsi:type="xsd:double"&gt;608.89&lt;/D&gt;&lt;D xsi:type="xsd:double"&gt;605.16&lt;/D&gt;&lt;D xsi:type="xsd:double"&gt;590.07&lt;/D&gt;&lt;D xsi:type="xsd:double"&gt;585.67&lt;/D&gt;&lt;D xsi:type="xsd:double"&gt;599.87&lt;/D&gt;&lt;D xsi:type="xsd:double"&gt;596.31&lt;/D&gt;&lt;D xsi:type="xsd:double"&gt;603.66&lt;/D&gt;&lt;D xsi:type="xsd:double"&gt;608.86&lt;/D&gt;&lt;D xsi:type="xsd:double"&gt;608.4&lt;/D&gt;&lt;D xsi:type="xsd:double"&gt;621.08&lt;/D&gt;&lt;D xsi:type="xsd:double"&gt;621.57&lt;/D&gt;&lt;D xsi:type="xsd:double"&gt;623.23&lt;/D&gt;&lt;D xsi:type="xsd:double"&gt;609.74&lt;/D&gt;&lt;D xsi:type="xsd:double"&gt;611.67&lt;/D&gt;&lt;D xsi:type="xsd:double"&gt;623.28&lt;/D&gt;&lt;D xsi:type="xsd:double"&gt;619.25&lt;/D&gt;&lt;D xsi:type="xsd:double"&gt;632.08&lt;/D&gt;&lt;D xsi:type="xsd:double"&gt;629.07&lt;/D&gt;&lt;D xsi:type="xsd:double"&gt;626.05&lt;/D&gt;&lt;D xsi:type="xsd:double"&gt;635.77&lt;/D&gt;&lt;D xsi:type="xsd:double"&gt;632.92&lt;/D&gt;&lt;D xsi:type="xsd:double"&gt;628.09&lt;/D&gt;&lt;D xsi:type="xsd:double"&gt;617.1&lt;/D&gt;&lt;D xsi:type="xsd:double"&gt;610.58&lt;/D&gt;&lt;D xsi:type="xsd:double"&gt;605.49&lt;/D&gt;&lt;D xsi:type="xsd:double"&gt;611.38&lt;/D&gt;&lt;D xsi:type="xsd:double"&gt;611.54&lt;/D&gt;&lt;D xsi:type="xsd:double"&gt;603.93&lt;/D&gt;&lt;D xsi:type="xsd:double"&gt;599.99&lt;/D&gt;&lt;D xsi:type="xsd:double"&gt;602.22&lt;/D&gt;&lt;D xsi:type="xsd:double"&gt;598&lt;/D&gt;&lt;D xsi:type="xsd:double"&gt;602.01&lt;/D&gt;&lt;D xsi:type="xsd:double"&gt;589.5&lt;/D&gt;&lt;D xsi:type="xsd:double"&gt;610.7&lt;/D&gt;&lt;D xsi:type="xsd:double"&gt;611.44&lt;/D&gt;&lt;D xsi:type="xsd:double"&gt;604.51&lt;/D&gt;&lt;D xsi:type="xsd:double"&gt;607.71&lt;/D&gt;&lt;D xsi:type="xsd:double"&gt;603.18&lt;/D&gt;&lt;D xsi:type="xsd:double"&gt;605.73&lt;/D&gt;&lt;D xsi:type="xsd:double"&gt;603.25&lt;/D&gt;&lt;D xsi:type="xsd:double"&gt;600.37&lt;/D&gt;&lt;D xsi:type="xsd:double"&gt;598.73&lt;/D&gt;&lt;D xsi:type="xsd:double"&gt;595.97&lt;/D&gt;&lt;D xsi:type="xsd:double"&gt;593.53&lt;/D&gt;&lt;D xsi:type="xsd:double"&gt;596.1&lt;/D&gt;&lt;D xsi:type="xsd:double"&gt;598.2&lt;/D&gt;&lt;D xsi:type="xsd:double"&gt;602.2&lt;/D&gt;&lt;D xsi:type="xsd:double"&gt;599.35&lt;/D&gt;&lt;D xsi:type="xsd:double"&gt;595.32&lt;/D&gt;&lt;D xsi:type="xsd:double"&gt;590&lt;/D&gt;&lt;D xsi:type="xsd:double"&gt;591.18&lt;/D&gt;&lt;D xsi:type="xsd:double"&gt;591.68&lt;/D&gt;&lt;D xsi:type="xsd:double"&gt;586.66&lt;/D&gt;&lt;D xsi:type="xsd:double"&gt;584.08&lt;/D&gt;&lt;D xsi:type="xsd:double"&gt;580.7&lt;/D&gt;&lt;D xsi:type="xsd:double"&gt;580.51&lt;/D&gt;&lt;D xsi:type="xsd:double"&gt;578.87&lt;/D&gt;&lt;D xsi:type="xsd:double"&gt;576.06&lt;/D&gt;&lt;D xsi:type="xsd:double"&gt;575.23&lt;/D&gt;&lt;D xsi:type="xsd:double"&gt;570.07&lt;/D&gt;&lt;D xsi:type="xsd:double"&gt;565.62&lt;/D&gt;&lt;D xsi:type="xsd:double"&gt;570.</t>
        </r>
      </text>
    </comment>
    <comment ref="A5" authorId="0" shapeId="0" xr:uid="{1B44AE52-0F88-4818-B94A-572A0E504AB3}">
      <text>
        <r>
          <rPr>
            <b/>
            <sz val="9"/>
            <color indexed="81"/>
            <rFont val="Tahoma"/>
            <charset val="1"/>
          </rPr>
          <t>4&lt;/D&gt;&lt;D xsi:type="xsd:double"&gt;577.08&lt;/D&gt;&lt;D xsi:type="xsd:double"&gt;573.49&lt;/D&gt;&lt;D xsi:type="xsd:double"&gt;572.61&lt;/D&gt;&lt;D xsi:type="xsd:double"&gt;570.32&lt;/D&gt;&lt;D xsi:type="xsd:double"&gt;571.97&lt;/D&gt;&lt;D xsi:type="xsd:double"&gt;563.28&lt;/D&gt;&lt;D xsi:type="xsd:double"&gt;565.9&lt;/D&gt;&lt;D xsi:type="xsd:double"&gt;569.28&lt;/D&gt;&lt;D xsi:type="xsd:double"&gt;577.11&lt;/D&gt;&lt;D xsi:type="xsd:double"&gt;577.34&lt;/D&gt;&lt;D xsi:type="xsd:double"&gt;579.89&lt;/D&gt;&lt;D xsi:type="xsd:double"&gt;580.34&lt;/D&gt;&lt;D xsi:type="xsd:double"&gt;580.05&lt;/D&gt;&lt;D xsi:type="xsd:double"&gt;572.85&lt;/D&gt;&lt;D xsi:type="xsd:double"&gt;574.55&lt;/D&gt;&lt;D xsi:type="xsd:double"&gt;569.24&lt;/D&gt;&lt;D xsi:type="xsd:double"&gt;567.32&lt;/D&gt;&lt;D xsi:type="xsd:double"&gt;560.27&lt;/D&gt;&lt;D xsi:type="xsd:double"&gt;564.1&lt;/D&gt;&lt;D xsi:type="xsd:double"&gt;553.88&lt;/D&gt;&lt;D xsi:type="xsd:double"&gt;565.01&lt;/D&gt;&lt;D xsi:type="xsd:double"&gt;568.02&lt;/D&gt;&lt;D xsi:type="xsd:double"&gt;567.26&lt;/D&gt;&lt;D xsi:type="xsd:double"&gt;568.14&lt;/D&gt;&lt;D xsi:type="xsd:double"&gt;566.37&lt;/D&gt;&lt;D xsi:type="xsd:double"&gt;565.01&lt;/D&gt;&lt;D xsi:type="xsd:double"&gt;563.81&lt;/D&gt;&lt;D xsi:type="xsd:double"&gt;561.25&lt;/D&gt;&lt;D xsi:type="xsd:double"&gt;564.17&lt;/D&gt;&lt;D xsi:type="xsd:double"&gt;561.26&lt;/D&gt;&lt;D xsi:type="xsd:double"&gt;561.8&lt;/D&gt;&lt;D xsi:type="xsd:double"&gt;557.29&lt;/D&gt;&lt;D xsi:type="xsd:double"&gt;556.72&lt;/D&gt;&lt;D xsi:type="xsd:double"&gt;556.21&lt;/D&gt;&lt;D xsi:type="xsd:double"&gt;554.2&lt;/D&gt;&lt;D xsi:type="xsd:double"&gt;555.45&lt;/D&gt;&lt;D xsi:type="xsd:double"&gt;556.25&lt;/D&gt;&lt;D xsi:type="xsd:double"&gt;552.34&lt;/D&gt;&lt;D xsi:type="xsd:double"&gt;552.03&lt;/D&gt;&lt;D xsi:type="xsd:double"&gt;556.22&lt;/D&gt;&lt;D xsi:type="xsd:double"&gt;550.8&lt;/D&gt;&lt;D xsi:type="xsd:double"&gt;546.99&lt;/D&gt;&lt;D xsi:type="xsd:double"&gt;551.64&lt;/D&gt;&lt;D xsi:type="xsd:double"&gt;548.09&lt;/D&gt;&lt;D xsi:type="xsd:double"&gt;546.22&lt;/D&gt;&lt;D xsi:type="xsd:double"&gt;541.16&lt;/D&gt;&lt;D xsi:type="xsd:double"&gt;539.78&lt;/D&gt;&lt;D xsi:type="xsd:double"&gt;531.65&lt;/D&gt;&lt;D xsi:type="xsd:double"&gt;526.83&lt;/D&gt;&lt;D xsi:type="xsd:double"&gt;528.99&lt;/D&gt;&lt;D xsi:type="xsd:double"&gt;529.08&lt;/D&gt;&lt;D xsi:type="xsd:double"&gt;534.29&lt;/D&gt;&lt;D xsi:type="xsd:double"&gt;526.96&lt;/D&gt;&lt;D xsi:type="xsd:double"&gt;533.66&lt;/D&gt;&lt;D xsi:type="xsd:double"&gt;532.41&lt;/D&gt;&lt;D xsi:type="xsd:double"&gt;534.21&lt;/D&gt;&lt;D xsi:type="xsd:double"&gt;530.7&lt;/D&gt;&lt;D xsi:type="xsd:double"&gt;529.92&lt;/D&gt;&lt;D xsi:type="xsd:double"&gt;524.79&lt;/D&gt;&lt;D xsi:type="xsd:double"&gt;528.77&lt;/D&gt;&lt;D xsi:type="xsd:double"&gt;527.3&lt;/D&gt;&lt;D xsi:type="xsd:double"&gt;523.21&lt;/D&gt;&lt;D xsi:type="xsd:double"&gt;519.11&lt;/D&gt;&lt;D xsi:type="xsd:double"&gt;519.93&lt;/D&gt;&lt;D xsi:type="xsd:double"&gt;518.91&lt;/D&gt;&lt;D xsi:type="xsd:double"&gt;521.22&lt;/D&gt;&lt;D xsi:type="xsd:double"&gt;509.24&lt;/D&gt;&lt;D xsi:type="xsd:double"&gt;514&lt;/D&gt;&lt;D xsi:type="xsd:double"&gt;513.04&lt;/D&gt;&lt;D xsi:type="xsd:double"&gt;520.27&lt;/D&gt;&lt;D xsi:type="xsd:double"&gt;522.01&lt;/D&gt;&lt;D xsi:type="xsd:double"&gt;521.51&lt;/D&gt;&lt;D xsi:type="xsd:double"&gt;519.25&lt;/D&gt;&lt;D xsi:type="xsd:double"&gt;518.68&lt;/D&gt;&lt;D xsi:type="xsd:double"&gt;515.59&lt;/D&gt;&lt;D xsi:type="xsd:double"&gt;507.85&lt;/D&gt;&lt;D xsi:type="xsd:double"&gt;487.97&lt;/D&gt;&lt;D xsi:type="xsd:double"&gt;488.29&lt;/D&gt;&lt;D xsi:type="xsd:double"&gt;483.3&lt;/D&gt;&lt;D xsi:type="xsd:double"&gt;481.41&lt;/D&gt;&lt;D xsi:type="xsd:double"&gt;485.93&lt;/D&gt;&lt;D xsi:type="xsd:double"&gt;488.83&lt;/D&gt;&lt;D xsi:type="xsd:double"&gt;481.68&lt;/D&gt;&lt;D xsi:type="xsd:double"&gt;475.47&lt;/D&gt;&lt;D xsi:type="xsd:double"&gt;475.53&lt;/D&gt;&lt;D xsi:type="xsd:double"&gt;472.41&lt;/D&gt;&lt;D xsi:type="xsd:double"&gt;472.56&lt;/D&gt;&lt;D xsi:type="xsd:double"&gt;467.35&lt;/D&gt;&lt;D xsi:type="xsd:double"&gt;454.56&lt;/D&gt;&lt;D xsi:type="xsd:double"&gt;444.48&lt;/D&gt;&lt;D xsi:type="xsd:double"&gt;433.11&lt;/D&gt;&lt;D xsi:type="xsd:double"&gt;444.1&lt;/D&gt;&lt;D xsi:type="xsd:double"&gt;444.18&lt;/D&gt;&lt;D xsi:type="xsd:double"&gt;457.99&lt;/D&gt;&lt;D xsi:type="xsd:double"&gt;457.48&lt;/D&gt;&lt;D xsi:type="xsd:double"&gt;454.4&lt;/D&gt;&lt;D xsi:type="xsd:double"&gt;446.18&lt;/D&gt;&lt;D xsi:type="xsd:double"&gt;466&lt;/D&gt;&lt;D xsi:type="xsd:double"&gt;416.06&lt;/D&gt;&lt;D xsi:type="xsd:double"&gt;423.69&lt;/D&gt;&lt;D xsi:type="xsd:double"&gt;422.67&lt;/D&gt;&lt;D xsi:type="xsd:double"&gt;450.66&lt;/D&gt;&lt;D xsi:type="xsd:double"&gt;476.15&lt;/D&gt;&lt;D xsi:type="xsd:double"&gt;472.7&lt;/D&gt;&lt;D xsi:type="xsd:double"&gt;468.92&lt;/D&gt;&lt;D xsi:type="xsd:double"&gt;468.94&lt;/D&gt;&lt;D xsi:type="xsd:double"&gt;481.62&lt;/D&gt;&lt;D xsi:type="xsd:double"&gt;484.38&lt;/D&gt;&lt;D xsi:type="xsd:double"&gt;493.46&lt;/D&gt;&lt;D xsi:type="xsd:double"&gt;490.66&lt;/D&gt;&lt;/FQL&gt;&lt;FQL&gt;&lt;Q&gt;UAE^FG_PRICE(0,-200D)&lt;/Q&gt;&lt;R&gt;201&lt;/R&gt;&lt;C&gt;1&lt;/C&gt;&lt;D xsi:type="xsd:double"&gt;19.65&lt;/D&gt;&lt;D xsi:type="xsd:double"&gt;19.65&lt;/D&gt;&lt;D xsi:type="xsd:double"&gt;19.425&lt;/D&gt;&lt;D xsi:type="xsd:double"&gt;19.22&lt;/D&gt;&lt;D xsi:type="xsd:double"&gt;19.2151&lt;/D&gt;&lt;D xsi:type="xsd:double"&gt;19.12&lt;/D&gt;&lt;D xsi:type="xsd:double"&gt;19.05&lt;/D&gt;&lt;D xsi:type="xsd:double"&gt;19.6&lt;/D&gt;&lt;D xsi:type="xsd:double"&gt;19.54&lt;/D&gt;&lt;D xsi:type="xsd:double"&gt;19.52&lt;/D&gt;&lt;D xsi:type="xsd:double"&gt;19.56&lt;/D&gt;&lt;D xsi:type="xsd:double"&gt;19.45&lt;/D&gt;&lt;D xsi:type="xsd:double"&gt;19.25&lt;/D&gt;&lt;D xsi:type="xsd:double"&gt;19.31&lt;/D&gt;&lt;D xsi:type="xsd:double"&gt;19.1129&lt;/D&gt;&lt;D xsi:type="xsd:double"&gt;19.24&lt;/D&gt;&lt;D xsi:type="xsd:double"&gt;19.38&lt;/D&gt;&lt;D xsi:type="xsd:double"&gt;19.35&lt;/D&gt;&lt;D xsi:type="xsd:double"&gt;19.51&lt;/D&gt;&lt;D xsi:type="xsd:double"&gt;19.4401&lt;/D&gt;&lt;D xsi:type="xsd:double"&gt;19.38&lt;/D&gt;&lt;D xsi:type="xsd:double"&gt;19.08&lt;/D&gt;&lt;D xsi:type="xsd:double"&gt;19.22&lt;/D&gt;&lt;D xsi:type="xsd:double"&gt;19.05&lt;/D&gt;&lt;D xsi:type="xsd:double"&gt;18.85&lt;/D&gt;&lt;D xsi:type="xsd:double"&gt;18.53&lt;/D&gt;&lt;D xsi:type="xsd:double"&gt;18.4941&lt;/D&gt;&lt;D xsi:type="xsd:double"&gt;18.58&lt;/D&gt;&lt;D xsi:type="xsd:double"&gt;18.53&lt;/D&gt;&lt;D xsi:type="xsd:double"&gt;18.71&lt;/D&gt;&lt;D xsi:type="xsd:double"&gt;18.75&lt;/D&gt;&lt;D xsi:type="xsd:double"&gt;18.68&lt;/D&gt;&lt;D xsi:type="xsd:double"&gt;18.7582&lt;/D&gt;&lt;D xsi:type="xsd:double"&gt;18.87&lt;/D&gt;&lt;D xsi:type="xsd:double"&gt;18.85&lt;/D&gt;&lt;D xsi:type="xsd:double"&gt;18.93&lt;/D&gt;&lt;D xsi:type="xsd:double"&gt;19.17&lt;/D&gt;&lt;D xsi:type="xsd:double"&gt;19.19&lt;/D&gt;&lt;D xsi:type="xsd:double"&gt;19.48&lt;/D&gt;&lt;D xsi:type="xsd:double"&gt;19.69&lt;/D&gt;&lt;D xsi:type="xsd:double"&gt;19.53&lt;/D&gt;&lt;D xsi:type="xsd:double"&gt;19.43&lt;/D&gt;&lt;D xsi:type="xsd:double"&gt;19.31&lt;/D&gt;&lt;D xsi:type="xsd:double"&gt;19.35&lt;/D&gt;&lt;D xsi:type="xsd:double"&gt;19.36&lt;/D&gt;&lt;D xsi:type="xsd:double"&gt;19.58&lt;/D&gt;&lt;D xsi:type="xsd:double"&gt;19.68&lt;/D&gt;&lt;D xsi:type="xsd:double"&gt;20.15&lt;/D&gt;&lt;D xsi:type="xsd:double"&gt;20&lt;/D&gt;&lt;D xsi:type="xsd:double"&gt;20.01&lt;/D&gt;&lt;D xsi:type="xsd:double"&gt;19.97&lt;/D&gt;&lt;D xsi:type="xsd:double"&gt;19.98&lt;/D&gt;&lt;D xsi:type="xsd:double"&gt;19.92&lt;/D&gt;&lt;D xsi:type="xsd:double"&gt;19.69&lt;/D&gt;&lt;D xsi:type="xsd:double"&gt;19.58&lt;/D&gt;&lt;D xsi:type="xsd:double"&gt;19.57&lt;/D&gt;&lt;D xsi:type="xsd:double"&gt;19.63&lt;/D&gt;&lt;D xsi:type="xsd:double"&gt;19.47&lt;/D&gt;&lt;D xsi:type="xsd:double"&gt;19.47&lt;/D&gt;&lt;D xsi:type="xsd:double"&gt;19.57&lt;/D&gt;&lt;D xsi:type="xsd:double"&gt;19.16&lt;/D&gt;&lt;D xsi:type="xsd:double"&gt;19&lt;/D&gt;&lt;D xsi:type="xsd:double"&gt;19.25&lt;/D&gt;&lt;D xsi:type="xsd:double"&gt;19.29&lt;/D&gt;&lt;D xsi:type="xsd:double"&gt;19.13&lt;/D&gt;&lt;D xsi:type="xsd:double"&gt;19.04&lt;/D&gt;&lt;D xsi:type="xsd:double"&gt;19.11&lt;/D&gt;&lt;D xsi:type="xsd:double"&gt;19.08&lt;/D&gt;&lt;D xsi:type="xsd:double"&gt;18.99&lt;/D&gt;&lt;D xsi:type="xsd:double"&gt;18.89&lt;/D&gt;&lt;D xsi:type="xsd:double"&gt;18.82&lt;/D&gt;&lt;D xsi:type="xsd:double"&gt;18.98&lt;/D&gt;&lt;D xsi:type="xsd:double"&gt;18.84&lt;/D&gt;&lt;D xsi:type="xsd:double"&gt;18.68&lt;/D&gt;&lt;D xsi:type="xsd:double"&gt;19.14&lt;/D&gt;&lt;D xsi:type="xsd:double"&gt;19.55&lt;/D&gt;&lt;D xsi:type="xsd:double"&gt;19.47&lt;/D&gt;&lt;D xsi:type="xsd:double"&gt;19.36&lt;/D&gt;&lt;D xsi:type="xsd:double"&gt;19.16&lt;/D&gt;&lt;D xsi:type="xsd:double"&gt;19.32&lt;/D&gt;&lt;D xsi:type="xsd:double"&gt;19.2&lt;/D&gt;&lt;D xsi:type="xsd:double"&gt;19.17&lt;/D&gt;&lt;D xsi:type="xsd:double"&gt;19.01&lt;/D&gt;&lt;D xsi:type="xsd:double"&gt;18.85&lt;/D&gt;&lt;D xsi:type="xsd:double"&gt;18.91&lt;/D&gt;&lt;D xsi:type="xsd:double"&gt;18.94&lt;/D&gt;&lt;D xsi:type="xsd:double"&gt;19.16&lt;/D&gt;&lt;D xsi:type="xsd:double"&gt;19.2&lt;/D&gt;&lt;D xsi:type="xsd:double"&gt;19.03&lt;/D&gt;&lt;D xsi:type="xsd:double"&gt;19.14&lt;/D&gt;&lt;D xsi:type="xsd:double"&gt;19.38&lt;/D&gt;&lt;D xsi:type="xsd:double"&gt;19.53&lt;/D&gt;&lt;D xsi:type="xsd:double"&gt;19.68&lt;/D&gt;&lt;D xsi:type="xsd:double"&gt;19.75&lt;/D&gt;&lt;D xsi:type="xsd:double"&gt;19.83&lt;/D&gt;&lt;D xsi:type="xsd:double"&gt;19.96&lt;/D&gt;&lt;D xsi:type="xsd:double"&gt;19.753&lt;/D&gt;&lt;D xsi:type="xsd:double"&gt;19.8&lt;/D&gt;&lt;D xsi:type="xsd:double"&gt;19.8383&lt;/D&gt;&lt;D xsi:type="xsd:double"&gt;19.965&lt;/D&gt;&lt;D xsi:type="xsd:double"&gt;19.905&lt;/D&gt;&lt;D xsi:type="xsd:double"&gt;19.98&lt;/D&gt;&lt;D xsi:type="xsd:double"&gt;19.93&lt;/D&gt;&lt;D xsi:type="xsd:double"&gt;20.15&lt;/D&gt;&lt;D xsi:type="xsd:double"&gt;20.08&lt;/D&gt;&lt;D xsi:type="xsd:double"&gt;20.14&lt;/D&gt;&lt;D xsi:type="xsd:double"&gt;20.1&lt;/D&gt;&lt;D xsi:type="xsd:double"&gt;20.25&lt;/D&gt;&lt;D xsi:type="xsd:double"&gt;20.01&lt;/D&gt;&lt;D xsi:type="xsd:double"&gt;20.21&lt;/D&gt;&lt;D xsi:type="xsd:double"&gt;19.95&lt;/D&gt;&lt;D xsi:type="xsd:double"&gt;20.0399&lt;/D&gt;&lt;D xsi:type="xsd:double"&gt;20.26&lt;/D&gt;&lt;D xsi:type="xsd:double"&gt;20.145&lt;/D&gt;&lt;D xsi:type="xsd:double"&gt;20.32&lt;/D&gt;&lt;D xsi:type="xsd:double"&gt;20.35&lt;/D&gt;&lt;D xsi:type="xsd:double"&gt;20.11&lt;/D&gt;&lt;D xsi:type="xsd:double"&gt;20.105&lt;/D&gt;&lt;D xsi:type="xsd:double"&gt;19.795&lt;/D&gt;&lt;D xsi:type="xsd:double"&gt;19.9&lt;/D&gt;&lt;D xsi:type="xsd:double"&gt;19.98&lt;/D&gt;&lt;D xsi:type="xsd:double"&gt;20.05&lt;/D&gt;&lt;D xsi:type="xsd:double"&gt;19.86&lt;/D&gt;&lt;D xsi:type="xsd:double"&gt;19.41&lt;/D&gt;&lt;D xsi:type="xsd:double"&gt;19.37&lt;/D&gt;&lt;D xsi:type="xsd:double"&gt;19.21&lt;/D&gt;&lt;D xsi:type="xsd:double"&gt;19.08&lt;/D&gt;&lt;D xsi:type="xsd:double"&gt;19.13&lt;/D&gt;&lt;D xsi:type="xsd:double"&gt;18.84&lt;/D&gt;&lt;D xsi:type="xsd:double"&gt;18.86&lt;/D&gt;&lt;D xsi:type="xsd:double"&gt;18.84&lt;/D&gt;&lt;D xsi:type="xsd:double"&gt;18.6&lt;/D&gt;&lt;D xsi:type="xsd:double"&gt;18.66&lt;/D&gt;&lt;D xsi:type="xsd:double"&gt;18.72&lt;/D&gt;&lt;D xsi:type="xsd:double"&gt;18.57&lt;/D&gt;&lt;D xsi:type="xsd:double"&gt;18.5&lt;/D&gt;&lt;D xsi:type="xsd:double"&gt;18.22&lt;/D&gt;&lt;D xsi:type="xsd:double"&gt;18.3&lt;/D&gt;&lt;D xsi:type="xsd:double"&gt;17.66&lt;/D&gt;&lt;D xsi:type="xsd:double"&gt;17.26&lt;/D&gt;&lt;D xsi:type="xsd:double"&gt;16.99&lt;/D&gt;&lt;D xsi:type="xsd:double"&gt;17.24&lt;/D&gt;&lt;D xsi:type="xsd:double"&gt;17.56&lt;/D&gt;&lt;D xsi:type="xsd:double"&gt;17.88&lt;/D&gt;&lt;D xsi:type="xsd:double"&gt;18.395&lt;/D&gt;&lt;D xsi:type="xsd:double"&gt;18.72&lt;/D&gt;&lt;D xsi:type="xsd:double"&gt;18.78&lt;/D&gt;&lt;D xsi:type="xsd:double"&gt;18.71&lt;/D&gt;&lt;D xsi:type="xsd:double"&gt;18.67&lt;/D&gt;&lt;D xsi:type="xsd:double"&gt;18.61&lt;/D&gt;&lt;D xsi:type="xsd:double"&gt;18.59&lt;/D&gt;&lt;D xsi:type="xsd:double"&gt;18.59&lt;/D&gt;&lt;D xsi:type="xsd:double"&gt;18.45&lt;/D&gt;&lt;D xsi:type="xsd:double"&gt;18.57&lt;/D&gt;&lt;D xsi:type="xsd:double"&gt;18.59&lt;/D&gt;&lt;D xsi:type="xsd:double"&gt;18.66&lt;/D&gt;&lt;D xsi:type="xsd:double"&gt;18.62&lt;/D&gt;&lt;D xsi:type="xsd:double"&gt;18.45&lt;/D&gt;&lt;D xsi:type="xsd:double"&gt;18.53&lt;/D&gt;&lt;D xsi:type="xsd:double"&gt;18.57&lt;/D&gt;&lt;D xsi:type="xsd:double"&gt;18.71&lt;/D&gt;&lt;D xsi:type="xsd:double"&gt;18.65&lt;/D&gt;&lt;D xsi:type="xsd:double"&gt;18.48&lt;/D&gt;&lt;D xsi:type="xsd:double"&gt;18.3&lt;/D&gt;&lt;D xsi:type="xsd:double"&gt;18.16&lt;/D&gt;&lt;D xsi:type="xsd:double"&gt;18.36&lt;/D&gt;&lt;D xsi:type="xsd:double"&gt;18.13&lt;/D&gt;&lt;D xsi:type="xsd:double"&gt;18.15&lt;/D&gt;&lt;D xsi:type="xsd:double"&gt;18.14&lt;/D&gt;&lt;D xsi:type="xsd:double"&gt;18.18&lt;/D&gt;&lt;D xsi:type="xsd:double"&gt;18.31&lt;/D&gt;&lt;D xsi:type="xsd:double"&gt;18.23&lt;/D&gt;&lt;D xsi:type="xsd:double"&gt;18.14&lt;/D&gt;&lt;D xsi:type="xsd:double"&gt;17.96&lt;/D&gt;&lt;D xsi:type="xsd:double"&gt;17.88&lt;/D&gt;&lt;D xsi:type="xsd:double"&gt;17.99&lt;/D&gt;&lt;D xsi:type="xsd:double"&gt;17.64&lt;/D&gt;&lt;D xsi:type="xsd:double"&gt;17.47&lt;/D&gt;&lt;D xsi:type="xsd:double"&gt;17.57&lt;/D&gt;&lt;D xsi:type="xsd:double"&gt;17.23&lt;/D&gt;&lt;D xsi:type="xsd:double"&gt;17.01&lt;/D&gt;&lt;D xsi:type="xsd:double"&gt;16.76&lt;/D&gt;&lt;D xsi:type="xsd:double"&gt;16.76&lt;/D&gt;&lt;D xsi:type="xsd:double"&gt;16.68&lt;/D&gt;&lt;D xsi:type="xsd:double"&gt;16.79&lt;/D&gt;&lt;D xsi:type="xsd:double"&gt;16.71&lt;/D&gt;&lt;D xsi:type="xsd:double"&gt;16.51&lt;/D&gt;&lt;D xsi:type="xsd:double"&gt;16.17&lt;/D&gt;&lt;D xsi:type="xsd:double"&gt;16.46&lt;/D&gt;&lt;D xsi:type="xsd:double"&gt;15.58&lt;/D&gt;&lt;D xsi:type="xsd:double"&gt;15.88&lt;/D&gt;&lt;D xsi:type="xsd:double"&gt;15.6&lt;/D&gt;&lt;D xsi:type="xsd:double"&gt;16.35&lt;/D&gt;&lt;D xsi:type="xsd:double"&gt;17&lt;/D&gt;&lt;D xsi:type="xsd:double"&gt;16.93&lt;/D&gt;&lt;D xsi:type="xsd:double"&gt;16.97&lt;/D&gt;&lt;D xsi:type="xsd:double"&gt;16.85&lt;/D&gt;&lt;D xsi:type="xsd:double"&gt;17.05&lt;/D&gt;&lt;D xsi:type="xsd:double"&gt;16.91&lt;/D&gt;&lt;D xsi:type="xsd:double"&gt;16.91&lt;/D&gt;&lt;D xsi:type="xsd:double"&gt;17.04&lt;/D&gt;&lt;/FQL&gt;&lt;FQL&gt;&lt;Q&gt;MCHI^FG_PRICE(0,-200D)&lt;/Q&gt;&lt;R&gt;201&lt;/R&gt;&lt;C&gt;1&lt;/C&gt;&lt;D xsi:type="xsd:double"&gt;62.28&lt;/D&gt;&lt;D xsi:type="xsd:double"&gt;61.88&lt;/D&gt;&lt;D xsi:type="xsd:double"&gt;62.71&lt;/D&gt;&lt;D xsi:type="xsd:double"&gt;62.67&lt;/D&gt;&lt;D xsi:type="xsd:double"&gt;62.24&lt;/D&gt;&lt;D xsi:type="xsd:double"&gt;60.07&lt;/D&gt;&lt;D xsi:type="xsd:double"&gt;60.58&lt;/D&gt;&lt;D xsi:type="xsd:double"&gt;60.37&lt;/D&gt;&lt;D xsi:type="xsd:double"&gt;61.27&lt;/D&gt;&lt;D xsi:type="xsd:double"&gt;60.61&lt;/D&gt;&lt;D xsi:type="xsd:double"&gt;60.67&lt;/D&gt;&lt;D xsi:type="xsd:double"&gt;60.89&lt;/D&gt;&lt;D xsi:type="xsd:double"&gt;60.63&lt;/D&gt;&lt;D xsi:type="xsd:double"&gt;59.99&lt;/D&gt;&lt;D xsi:type="xsd:double"&gt;59.47&lt;/D&gt;&lt;D xsi:type="xsd:double"&gt;59.7&lt;/D&gt;&lt;D xsi:type="xsd:double"&gt;60.87&lt;/D&gt;&lt;D xsi:type="xsd:double"&gt;61.52&lt;/D&gt;&lt;D xsi:type="xsd:double"&gt;61.69&lt;/D&gt;&lt;D xsi:type="xsd:double"&gt;61.81&lt;/D&gt;&lt;D xsi:type="xsd:double"&gt;61.35&lt;/D&gt;&lt;D xsi:type="xsd:double"&gt;62.22&lt;/D&gt;&lt;D xsi:type="xsd:double"&gt;62.66&lt;/D&gt;&lt;D xsi:type="xsd:double"&gt;61.98&lt;/D&gt;&lt;D xsi:type="xsd:double"&gt;61.88&lt;/D&gt;&lt;D xsi:type="xsd:double"&gt;62.24&lt;/D&gt;&lt;D xsi:type="xsd:double"&gt;62.66&lt;/D&gt;&lt;D xsi:type="xsd:double"&gt;62.2&lt;/D&gt;&lt;D xsi:type="xsd:double"&gt;61.91&lt;/D&gt;&lt;D xsi:type="xsd:double"&gt;62.2&lt;/D&gt;&lt;D xsi:type="xsd:double"&gt;61.96&lt;/D&gt;&lt;D xsi:type="xsd:double"&gt;60.92&lt;/D&gt;&lt;D xsi:type="xsd:double"&gt;60.88&lt;/D&gt;&lt;D xsi:type="xsd:double"&gt;61.91&lt;/D&gt;&lt;D xsi:type="xsd:double"&gt;62.42&lt;/D&gt;&lt;D xsi:type="xsd:double"&gt;62.78&lt;/D&gt;&lt;D xsi:type="xsd:double"&gt;63.5&lt;/D&gt;&lt;D xsi:type="xsd:double"&gt;64.46&lt;/D&gt;&lt;D xsi:type="xsd:double"&gt;64.58&lt;/D&gt;&lt;D xsi:type="xsd:double"&gt;64.53&lt;/D&gt;&lt;D xsi:type="xsd:double"&gt;64.7&lt;/D&gt;&lt;D xsi:type="xsd:double"&gt;63.61&lt;/D&gt;&lt;D xsi:type="xsd:double"&gt;63.97&lt;/D&gt;&lt;D xsi:type="xsd:double"&gt;63.36&lt;/D&gt;&lt;D xsi:type="xsd:double"&gt;62.73&lt;/D&gt;&lt;D xsi:type="xsd:double"&gt;63.55&lt;/D&gt;&lt;D xsi:type="xsd:double"&gt;63.57&lt;/D&gt;&lt;D xsi:type="xsd:double"&gt;64.38&lt;/D&gt;&lt;D xsi:type="xsd:double"&gt;65.49&lt;/D&gt;&lt;D xsi:type="xsd:double"&gt;65.12&lt;/D&gt;&lt;D xsi:type="xsd:double"&gt;65.59&lt;/D&gt;&lt;D xsi:type="xsd:double"&gt;64.51&lt;/D&gt;&lt;D xsi:type="xsd:double"&gt;64.11&lt;/D&gt;&lt;D xsi:type="xsd:double"&gt;63.03&lt;/D&gt;&lt;D xsi:type="xsd:double"&gt;63.44&lt;/D&gt;&lt;D xsi:type="xsd:double"&gt;64.12&lt;/D&gt;&lt;D xsi:type="xsd:double"&gt;63.31&lt;/D&gt;&lt;D xsi:type="xsd:double"&gt;63.4&lt;/D&gt;&lt;D xsi:type="xsd:double"&gt;63.25&lt;/D&gt;&lt;D xsi:type="xsd:double"&gt;62.58&lt;/D&gt;&lt;D xsi:type="xsd:double"&gt;63.3&lt;/D&gt;&lt;D xsi:type="xsd:double"&gt;61.39&lt;/D&gt;&lt;D xsi:type="xsd:double"&gt;65.12&lt;/D&gt;&lt;D xsi:type="xsd:double"&gt;66.13&lt;/D&gt;&lt;D xsi:type="xsd:double"&gt;65.81&lt;/D&gt;&lt;D xsi:type="xsd:double"&gt;66.64&lt;/D&gt;&lt;D xsi:type="xsd:double"&gt;66.55&lt;/D&gt;&lt;D xsi:type="xsd:double"&gt;66.99&lt;/D&gt;&lt;D xsi:type="xsd:double"&gt;66.25&lt;/D&gt;&lt;D xsi:type="xsd:double"&gt;65.85&lt;/D&gt;&lt;D xsi:type="xsd:double"&gt;65.53&lt;/D&gt;&lt;D xsi:type="xsd:double"&gt;64.32&lt;/D&gt;&lt;D xsi:type="xsd:double"&gt;64.76&lt;/D&gt;&lt;D xsi:type="xsd:double"&gt;64.58&lt;/D&gt;&lt;D xsi:type="xsd:double"&gt;63.66&lt;/D&gt;&lt;D xsi:type="xsd:double"&gt;64.43&lt;/D&gt;&lt;D xsi:type="xsd:double"&gt;64.44&lt;/D&gt;&lt;D xsi:type="xsd:double"&gt;64.75&lt;/D&gt;&lt;D xsi:type="xsd:double"&gt;65.8&lt;/D&gt;&lt;D xsi:type="xsd:double"&gt;64.86&lt;/D&gt;&lt;D xsi:type="xsd:double"&gt;64.43&lt;/D&gt;&lt;D xsi:type="xsd:double"&gt;63.95&lt;/D&gt;&lt;D xsi:type="xsd:double"&gt;64.21&lt;/D&gt;&lt;D xsi:type="xsd:double"&gt;62.54&lt;/D&gt;&lt;D xsi:type="xsd:double"&gt;62.97&lt;/D&gt;&lt;D xsi:type="xsd:double"&gt;62.3&lt;/D&gt;&lt;D xsi:type="xsd:double"&gt;61.35&lt;/D&gt;&lt;D xsi:type="xsd:double"&gt;60.3&lt;/D&gt;&lt;D xsi:type="xsd:double"&gt;61.33&lt;/D&gt;&lt;D xsi:type="xsd:double"&gt;61.64&lt;/D&gt;&lt;D xsi:type="xsd:double"&gt;61.31&lt;/D&gt;&lt;D xsi:type="xsd:double"&gt;60.45&lt;/D&gt;&lt;D xsi:type="xsd:double"&gt;60.02&lt;/D&gt;&lt;D xsi:type="xsd:double"&gt;61.62&lt;/D&gt;&lt;D xsi:type="xsd:double"&gt;61.54&lt;/D&gt;&lt;D xsi:type="xsd:double"&gt;61.57&lt;/D&gt;&lt;D xsi:type="xsd:double"&gt;60&lt;/D&gt;&lt;D xsi:type="xsd:double"&gt;59.92&lt;/D&gt;&lt;D xsi:type="xsd:double"&gt;59.59&lt;/D&gt;&lt;D xsi:type="xsd:double"&gt;60.04&lt;/D&gt;&lt;D xsi:type="xsd:double"&gt;59.68&lt;/D&gt;&lt;D xsi:type="xsd:double"&gt;59.3&lt;/D&gt;&lt;D xsi:type="xsd:double"&gt;60.56&lt;/D&gt;&lt;D xsi:type="xsd:double"&gt;58.73&lt;/D&gt;&lt;D xsi:type="xsd:double"&gt;57.82&lt;/D&gt;&lt;D xsi:type="xsd:double"&gt;58.19&lt;/D&gt;&lt;D xsi:type="xsd:double"&gt;58.2&lt;/D&gt;&lt;D xsi:type="xsd:double"&gt;58.36&lt;/D&gt;&lt;D xsi:type="xsd:double"&gt;57.86&lt;/D&gt;&lt;D xsi:type="xsd:double"&gt;57.47&lt;/D&gt;&lt;D xsi:type="xsd:double"&gt;56.52&lt;/D&gt;&lt;D xsi:type="xsd:double"&gt;57.43&lt;/D&gt;&lt;D xsi:type="xsd:double"&gt;57.89&lt;/D&gt;&lt;D xsi:type="xsd:double"&gt;58.56&lt;/D&gt;&lt;D xsi:type="xsd:double"&gt;58.7&lt;/D&gt;&lt;D xsi:type="xsd:double"&gt;58.93&lt;/D&gt;&lt;D xsi:type="xsd:double"&gt;59.18&lt;/D&gt;&lt;D xsi:type="xsd:double"&gt;59.25&lt;/D&gt;&lt;D xsi:type="xsd:double"&gt;58.665&lt;/D&gt;&lt;D xsi:type="xsd:double"&gt;57.81&lt;/D&gt;&lt;D xsi:type="xsd:double"&gt;57.45&lt;/D&gt;&lt;D xsi:type="xsd:double"&gt;56.92&lt;/D&gt;&lt;D xsi:type="xsd:double"&gt;56.51&lt;/D&gt;&lt;D xsi:type="xsd:double"&gt;56.68&lt;/D&gt;&lt;D xsi:type="xsd:double"&gt;55.55&lt;/D&gt;&lt;D xsi:type="xsd:double"&gt;54.95&lt;/D&gt;&lt;D xsi:type="xsd:double"&gt;55.01&lt;/D&gt;&lt;D xsi:type="xsd:double"&gt;54.58&lt;/D&gt;&lt;D xsi:type="xsd:double"&gt;55.13&lt;/D&gt;&lt;D xsi:type="xsd:double"&gt;54.62&lt;/D&gt;&lt;D xsi:type="xsd:double"&gt;54.72&lt;/D&gt;&lt;D xsi:type="xsd:double"&gt;55&lt;/D&gt;&lt;D xsi:type="xsd:double"&gt;55.27&lt;/D&gt;&lt;D xsi:type="xsd:double"&gt;55.1&lt;/D&gt;&lt;D xsi:type="xsd:double"&gt;55.18&lt;/D&gt;&lt;D xsi:type="xsd:double"&gt;55.54&lt;/D&gt;&lt;D xsi:type="xsd:double"&gt;55.53&lt;/D&gt;&lt;D xsi:type="xsd:double"&gt;55.57&lt;/D&gt;&lt;D xsi:type="xsd:double"&gt;54.13&lt;/D&gt;&lt;D xsi:type="xsd:double"&gt;53.5&lt;/D&gt;&lt;D xsi:type="xsd:double"&gt;53.93&lt;/D&gt;&lt;D xsi:type="xsd:double"&gt;54.44&lt;/D&gt;&lt;D xsi:type="xsd:double"&gt;55.01&lt;/D&gt;&lt;D xsi:type="xsd:double"&gt;54.77&lt;/D&gt;&lt;D xsi:type="xsd:double"&gt;55.79&lt;/D&gt;&lt;D xsi:type="xsd:double"&gt;55.86&lt;/D&gt;&lt;D xsi:type="xsd:double"&gt;55.69&lt;/D&gt;&lt;D xsi:type="xsd:double"&gt;55.52&lt;/D&gt;&lt;D xsi:type="xsd:double"&gt;54.92&lt;/D&gt;&lt;D xsi:type="xsd:double"&gt;54.99&lt;/D&gt;&lt;D xsi:type="xsd:double"&gt;54.79&lt;/D&gt;&lt;D xsi:type="xsd:double"&gt;53.76&lt;/D&gt;&lt;D xsi:type="xsd:double"&gt;53.26&lt;/D&gt;&lt;D xsi:type="xsd:double"&gt;52.82&lt;/D&gt;&lt;D xsi:type="xsd:double"&gt;53.86&lt;/D&gt;&lt;D xsi:type="xsd:double"&gt;53.33&lt;/D&gt;&lt;D xsi:type="xsd:double"&gt;54.04&lt;/D&gt;&lt;D xsi:type="xsd:double"&gt;54.78&lt;/D&gt;&lt;D xsi:type="xsd:double"&gt;54.75&lt;/D&gt;&lt;D xsi:type="xsd:double"&gt;54.99&lt;/D&gt;&lt;D xsi:type="xsd:double"&gt;55.2&lt;/D&gt;&lt;D xsi:type="xsd:double"&gt;54.7&lt;/D&gt;&lt;D xsi:type="xsd:double"&gt;54.42&lt;/D&gt;&lt;D xsi:type="xsd:double"&gt;54.57&lt;/D&gt;&lt;D xsi:type="xsd:double"&gt;55.6&lt;/D&gt;&lt;D xsi:type="xsd:double"&gt;54.7&lt;/D&gt;&lt;D xsi:type="xsd:double"&gt;55.06&lt;/D&gt;&lt;D xsi:type="xsd:double"&gt;53.25&lt;/D&gt;&lt;D xsi:type="xsd:double"&gt;53.45&lt;/D&gt;&lt;D xsi:type="xsd:double"&gt;52.69&lt;/D&gt;&lt;D xsi:type="xsd:double"&gt;53.95&lt;/D&gt;&lt;D xsi:type="xsd:double"&gt;53.4&lt;/D&gt;&lt;D xsi:type="xsd:double"&gt;53.42&lt;/D&gt;&lt;D xsi:type="xsd:double"&gt;51.59&lt;/D&gt;&lt;D xsi:type="xsd:double"&gt;51.66&lt;/D&gt;&lt;D xsi:type="xsd:double"&gt;51.68&lt;/D&gt;&lt;D xsi:type="xsd:double"&gt;51.85&lt;/D&gt;&lt;D xsi:type="xsd:double"&gt;51.91&lt;/D&gt;&lt;D xsi:type="xsd:double"&gt;51.97&lt;/D&gt;&lt;D xsi:type="xsd:double"&gt;51.66&lt;/D&gt;&lt;D xsi:type="xsd:double"&gt;50.9&lt;/D&gt;&lt;D xsi:type="xsd:double"&gt;49.39&lt;/D&gt;&lt;D xsi:type="xsd:double"&gt;49.29&lt;/D&gt;&lt;D xsi:type="xsd:double"&gt;49.16&lt;/D&gt;&lt;D xsi:type="xsd:double"&gt;50.17&lt;/D&gt;&lt;D xsi:type="xsd:double"&gt;50.56&lt;/D&gt;&lt;D xsi:type="xsd:double"&gt;49.68&lt;/D&gt;&lt;D xsi:type="xsd:double"&gt;47.98&lt;/D&gt;&lt;D xsi:type="xsd:double"&gt;48.06&lt;/D&gt;&lt;D xsi:type="xsd:double"&gt;45.22&lt;/D&gt;&lt;D xsi:type="xsd:double"&gt;46&lt;/D&gt;&lt;D xsi:type="xsd:double"&gt;50&lt;/D&gt;&lt;D xsi:type="xsd:double"&gt;53.67&lt;/D&gt;&lt;D xsi:type="xsd:double"&gt;54.16&lt;/D&gt;&lt;D xsi:type="xsd:double"&gt;54.55&lt;/D&gt;&lt;D xsi:type="xsd:double"&gt;54.4&lt;/D&gt;&lt;D xsi:type="xsd:double"&gt;54.57&lt;/D&gt;&lt;D xsi:type="xsd:double"&gt;55.81&lt;/D&gt;&lt;D xsi:type="xsd:double"&gt;55&lt;/D&gt;&lt;D xsi:type="xsd:double"&gt;55&lt;/D&gt;&lt;D xsi:type="xsd:double"&gt;55.61&lt;/D&gt;&lt;/FQL&gt;&lt;FQL&gt;&lt;Q&gt;EWN^FG_TOTAL_RETURNC(-5AY,0,AM)&lt;/Q&gt;&lt;R&gt;61&lt;/R&gt;&lt;C&gt;1&lt;/C&gt;&lt;D xsi:type="xsd:double"&gt;6.4178586&lt;/D&gt;&lt;D xsi:type="xsd:double"&gt;2.7454615&lt;/D&gt;&lt;D xsi:type="xsd:double"&gt;-2.128619&lt;/D&gt;&lt;D xsi:type="xsd:double"&gt;10.758901&lt;/D&gt;&lt;D xsi:type="xsd:double"&gt;2.8828144&lt;/D&gt;&lt;D xsi:type="xsd:double"&gt;1.2588859&lt;/D&gt;&lt;D xsi:type="xsd:double"&gt;-4.2830586&lt;/D&gt;&lt;D xsi:type="xsd:double"&gt;6.3897133&lt;/D&gt;&lt;D xsi:type="xsd:double"&gt;5.5500507&lt;/D&gt;&lt;D xsi:type="xsd:double"&gt;-7.34272&lt;/D&gt;&lt;D xsi:type="xsd:double"&gt;7.5800657&lt;/D&gt;&lt;D xsi:type="xsd:double"&gt;-5.2750645&lt;/D&gt;&lt;D xsi:type="xsd:double"&gt;-1.3445139&lt;/D&gt;&lt;D xsi:type="xsd:double"&gt;-6.108856&lt;/D&gt;&lt;D xsi:type="xsd:double"&gt;-19.16123&lt;/D&gt;&lt;D xsi:type="xsd:double"&gt;9.250868&lt;/D&gt;&lt;D xsi:type="xsd:double"&gt;-9.394825&lt;/D&gt;&lt;D xsi:type="xsd:double"&gt;5.628872&lt;/D&gt;&lt;D xsi:type="xsd:double"&gt;-10.54728&lt;/D&gt;&lt;D xsi:type="xsd:double"&gt;8.8073845&lt;/D&gt;&lt;D xsi:type="xsd:double"&gt;-10.164547&lt;/D&gt;&lt;D xsi:type="xsd:double"&gt;-8.36041&lt;/D&gt;&lt;D xsi:type="xsd:double"&gt;10.86396&lt;/D&gt;&lt;D xsi:type="xsd:double"&gt;13.288748&lt;/D&gt;&lt;D xsi:type="xsd:double"&gt;2.6613116&lt;/D&gt;&lt;D xsi:type="xsd:double"&gt;5.5597425&lt;/D&gt;&lt;D xsi:type="xsd:double"&gt;-2.8836966&lt;/D&gt;&lt;D xsi:type="xsd:double"&gt;3.11656&lt;/D&gt;&lt;D xsi:type="xsd:double"&gt;0.69015026&lt;/D&gt;&lt;D xsi:type="xsd:double"&gt;0.7857561&lt;/D&gt;&lt;D xsi:type="xsd:double"&gt;0.5928397&lt;/D&gt;&lt;D xsi:type="xsd:double"&gt;2.1452188&lt;/D&gt;&lt;D xsi:type="xsd:double"&gt;-8.469886&lt;/D&gt;&lt;D xsi:type="xsd:double"&gt;-3.9586484&lt;/D&gt;&lt;D xsi:type="xsd:double"&gt;3.6098719&lt;/D&gt;&lt;D xsi:type="xsd:double"&gt;8.703923&lt;/D&gt;&lt;D xsi:type="xsd:double"&gt;2.3515105&lt;/D&gt;&lt;D xsi:type="xsd:double"&gt;7.159245&lt;/D&gt;&lt;D xsi:type="xsd:double"&gt;4.6680927&lt;/D&gt;&lt;D xsi:type="xsd:double"&gt;2.0662785&lt;/D&gt;&lt;D xsi:type="xsd:double"&gt;0.15033484&lt;/D&gt;&lt;D xsi:type="xsd:double"&gt;3.9327502&lt;/D&gt;&lt;D xsi:type="xsd:double"&gt;0.40758848&lt;/D&gt;&lt;D xsi:type="xsd:double"&gt;-7.0791364&lt;/D&gt;&lt;D xsi:type="xsd:double"&gt;-0.14610887&lt;/D&gt;&lt;D xsi:type="xsd:double"&gt;4.4596553&lt;/D&gt;&lt;D xsi:type="xsd:double"&gt;-8.07128&lt;/D&gt;&lt;D xsi:type="xsd:double"&gt;1.306057&lt;/D&gt;&lt;D xsi:type="xsd:double"&gt;-2.2317648&lt;/D&gt;&lt;D xsi:type="xsd:double"&gt;2.305472&lt;/D&gt;&lt;D xsi:type="xsd:double"&gt;6.955576&lt;/D&gt;&lt;D xsi:type="xsd:double"&gt;-15.153969&lt;/D&gt;&lt;D xsi:type="xsd:double"&gt;20.152819&lt;/D&gt;&lt;D xsi:type="xsd:double"&gt;6.577909&lt;/D&gt;&lt;D xsi:type="xsd:double"&gt;2.6576042&lt;/D&gt;&lt;D xsi:type="xsd:double"&gt;-3.3314943&lt;/D&gt;&lt;D xsi:type="xsd:double"&gt;3.1416535&lt;/D&gt;&lt;D xsi:type="xsd:double"&gt;7.8272104&lt;/D&gt;&lt;D xsi:type="xsd:double"&gt;-1.1470616&lt;/D&gt;&lt;D xsi:type="xsd:double"&gt;1.7014146&lt;/D&gt;&lt;D xsi:type="xsd:double"&gt;4.6928406&lt;/D&gt;&lt;/FQL&gt;&lt;FQL&gt;&lt;Q&gt;ECH^JULIAN(FG_TOTAL_RETURNC(-5AY,0,AM).DATES)&lt;/Q&gt;&lt;R&gt;61&lt;/R&gt;&lt;C&gt;1&lt;/C&gt;&lt;D xsi:type="xsd:long"&gt;44204&lt;/D&gt;&lt;D xsi:type="xsd:long"&gt;44235&lt;/D&gt;&lt;D xsi:type="xsd:long"&gt;44263&lt;/D&gt;&lt;D xsi:type="xsd:long"&gt;44294&lt;/D&gt;&lt;D xsi:type="xsd:long"&gt;44323&lt;/D&gt;&lt;D xsi:type="xsd:long"&gt;44355&lt;/D&gt;&lt;D xsi:type="xsd:long"&gt;44385&lt;/D&gt;&lt;D xsi:type="xsd:long"&gt;44414&lt;/D&gt;&lt;D xsi:type="xsd:long"&gt;44447&lt;/D&gt;&lt;D xsi:type="xsd:long"&gt;44477&lt;/D&gt;&lt;D xsi:type="xsd:long"&gt;44508&lt;/D&gt;&lt;D xsi:type="xsd:long"&gt;44538&lt;/D&gt;&lt;D xsi:type="xsd:long"&gt;44568&lt;/D&gt;&lt;D xsi:type="xsd:long"&gt;44600&lt;/D&gt;&lt;D xsi:type="xsd:long"&gt;44628&lt;/D&gt;&lt;D xsi:type="xsd:long"&gt;44659&lt;/D&gt;&lt;D xsi:type="xsd:long"&gt;44687&lt;/D&gt;&lt;D xsi:type="xsd:long"&gt;44720&lt;/D&gt;&lt;D xsi:type="xsd:long"&gt;44750&lt;/D&gt;&lt;D xsi:type="xsd:long"&gt;44781&lt;/D&gt;&lt;D xsi:type="xsd:long"&gt;44812&lt;/D&gt;&lt;D xsi:type="xsd:long"&gt;44841&lt;/D&gt;&lt;D xsi:type="xsd:long"&gt;44873&lt;/D&gt;&lt;D xsi:type="xsd:long"&gt;44903&lt;/D&gt;&lt;D xsi:type="xsd:long"&gt;44932&lt;/D&gt;&lt;D xsi:type="xsd:long"&gt;44965&lt;/D&gt;&lt;D xsi:type="xsd:long"&gt;44993&lt;/D&gt;&lt;D xsi:type="xsd:long"&gt;45022&lt;/D&gt;&lt;D xsi:type="xsd:long"&gt;45054&lt;/D&gt;&lt;D xsi:type="xsd:long"&gt;45085&lt;/D&gt;&lt;D xsi:type="xsd:long"&gt;45114&lt;/D&gt;&lt;D xsi:type="xsd:long"&gt;45146&lt;/D&gt;&lt;D xsi:type="xsd:long"&gt;45177&lt;/D&gt;&lt;D xsi:type="xsd:long"&gt;45205&lt;/D&gt;&lt;D xsi:type="xsd:long"&gt;45238&lt;/D&gt;&lt;D xsi:type="xsd:long"&gt;45268&lt;/D&gt;&lt;D xsi:type="xsd:long"&gt;45299&lt;/D&gt;&lt;D xsi:type="xsd:long"&gt;45330&lt;/D&gt;&lt;D xsi:type="xsd:long"&gt;45359&lt;/D&gt;&lt;D xsi:type="xsd:long"&gt;45390&lt;/D&gt;&lt;D xsi:type="xsd:long"&gt;45420&lt;/D&gt;&lt;D xsi:type="xsd:long"&gt;45450&lt;/D&gt;&lt;D xsi:type="xsd:long"&gt;45481&lt;/D&gt;&lt;D xsi:type="xsd:long"&gt;45512&lt;/D&gt;&lt;D xsi:type="xsd:long"&gt;45541&lt;/D&gt;&lt;D xsi:type="xsd:long"&gt;45573&lt;/D&gt;&lt;D xsi:type="xsd:long"&gt;45604&lt;/D&gt;&lt;D xsi:type="xsd:long"&gt;45632&lt;/D&gt;&lt;D xsi:type="xsd:long"&gt;45665&lt;/D&gt;&lt;D xsi:type="xsd:long"&gt;45695&lt;/D&gt;&lt;D xsi:type="xsd:long"&gt;45723&lt;/D&gt;&lt;D xsi:type="xsd:long"&gt;45755&lt;/D&gt;&lt;D xsi:type="xsd:long"&gt;45785&lt;/D&gt;&lt;D xsi:type="xsd:long"&gt;45814&lt;/D&gt;&lt;D xsi:type="xsd:long"&gt;45846&lt;/D&gt;&lt;D xsi:type="xsd:long"&gt;45877&lt;/D&gt;&lt;D xsi:type="xsd:long"&gt;45908&lt;/D&gt;&lt;D xsi:type="xsd:long"&gt;45938&lt;/D&gt;&lt;D xsi:type="xsd:long"&gt;45968&lt;/D&gt;&lt;D xsi:type="xsd:long"&gt;45999&lt;/D&gt;&lt;D xsi:type="xsd:long"&gt;46030&lt;/D&gt;&lt;/FQL&gt;&lt;FQL&gt;&lt;Q&gt;EWU^FG_PRICE(0,-200D)&lt;/Q&gt;&lt;R&gt;201&lt;/R&gt;&lt;C&gt;1&lt;/C&gt;&lt;D xsi:type="xsd:double"&gt;44.6&lt;/D&gt;&lt;D xsi:type="xsd:double"&gt;44.49&lt;/D&gt;&lt;D xsi:type="xsd:double"&gt;45.05&lt;/D&gt;&lt;D xsi:type="xsd:double"&gt;44.81&lt;/D&gt;&lt;D xsi:type="xsd:double"&gt;44.46&lt;/D&gt;&lt;D xsi:type="xsd:double"&gt;43.98&lt;/D&gt;&lt;D xsi:type="xsd:double"&gt;44.22&lt;/D&gt;&lt;D xsi:type="xsd:double"&gt;44.02&lt;/D&gt;&lt;D xsi:type="xsd:double"&gt;44.24&lt;/D&gt;&lt;D xsi:type="xsd:double"&gt;44.08&lt;/D&gt;&lt;D xsi:type="xsd:double"&gt;43.98&lt;/D&gt;&lt;D xsi:type="xsd:double"&gt;43.79&lt;/D&gt;&lt;D xsi:type="xsd:double"&gt;43.54&lt;/D&gt;&lt;D xsi:type="xsd:double"&gt;43.13&lt;/D&gt;&lt;D xsi:type="xsd:double"&gt;42.94&lt;/D&gt;&lt;D xsi:type="xsd:double"&gt;42.73&lt;/D&gt;&lt;D xsi:type="xsd:double"&gt;43.75&lt;/D&gt;&lt;D xsi:type="xsd:double"&gt;43.28&lt;/D&gt;&lt;D xsi:type="xsd:double"&gt;43.65&lt;/D&gt;&lt;D xsi:type="xsd:double"&gt;43.46&lt;/D&gt;&lt;D xsi:type="xsd:double"&gt;42.88&lt;/D&gt;&lt;D xsi:type="xsd:double"&gt;43.08&lt;/D&gt;&lt;D xsi:type="xsd:double"&gt;43.22&lt;/D&gt;&lt;D xsi:type="xsd:double"&gt;43.42&lt;/D&gt;&lt;D xsi:type="xsd:double"&gt;43.46&lt;/D&gt;&lt;D xsi:type="xsd:double"&gt;43.01&lt;/D&gt;&lt;D xsi:type="xsd:double"&gt;42.93&lt;/D&gt;&lt;D xsi:type="xsd:double"&gt;43.15&lt;/D&gt;&lt;D xsi:type="xsd:double"&gt;42.99&lt;/D&gt;&lt;D xsi:type="xsd:double"&gt;42.52&lt;/D&gt;&lt;D xsi:type="xsd:double"&gt;41.92&lt;/D&gt;&lt;D xsi:type="xsd:double"&gt;42.06&lt;/D&gt;&lt;D xsi:type="xsd:double"&gt;41.34&lt;/D&gt;&lt;D xsi:type="xsd:double"&gt;41.73&lt;/D&gt;&lt;D xsi:type="xsd:double"&gt;42.19&lt;/D&gt;&lt;D xsi:type="xsd:double"&gt;42.44&lt;/D&gt;&lt;D xsi:type="xsd:double"&gt;42.77&lt;/D&gt;&lt;D xsi:type="xsd:double"&gt;43.04&lt;/D&gt;&lt;D xsi:type="xsd:double"&gt;43.51&lt;/D&gt;&lt;D xsi:type="xsd:double"&gt;43.65&lt;/D&gt;&lt;D xsi:type="xsd:double"&gt;43.44&lt;/D&gt;&lt;D xsi:type="xsd:double"&gt;42.87&lt;/D&gt;&lt;D xsi:type="xsd:double"&gt;42.62&lt;/D&gt;&lt;D xsi:type="xsd:double"&gt;42.61&lt;/D&gt;&lt;D xsi:type="xsd:double"&gt;42.18&lt;/D&gt;&lt;D xsi:type="xsd:double"&gt;42.53&lt;/D&gt;&lt;D xsi:type="xsd:double"&gt;42.67&lt;/D&gt;&lt;D xsi:type="xsd:double"&gt;42.75&lt;/D&gt;&lt;D xsi:type="xsd:double"&gt;42.83&lt;/D&gt;&lt;D xsi:type="xsd:double"&gt;42.92&lt;/D&gt;&lt;D xsi:type="xsd:double"&gt;42.98&lt;/D&gt;&lt;D xsi:type="xsd:double"&gt;42.78&lt;/D&gt;&lt;D xsi:type="xsd:double"&gt;42.6&lt;/D&gt;&lt;D xsi:type="xsd:double"&gt;42.41&lt;/D&gt;&lt;D xsi:type="xsd:double"&gt;41.96&lt;/D&gt;&lt;D xsi:type="xsd:double"&gt;42.16&lt;/D&gt;&lt;D xsi:type="xsd:double"&gt;42.07&lt;/D&gt;&lt;D xsi:type="xsd:double"&gt;41.99&lt;/D&gt;&lt;D xsi:type="xsd:double"&gt;42.02&lt;/D&gt;&lt;D xsi:type="xsd:double"&gt;42.06&lt;/D&gt;&lt;D xsi:type="xsd:double"&gt;41.99&lt;/D&gt;&lt;D xsi:type="xsd:double"&gt;41.73&lt;/D&gt;&lt;D xsi:type="xsd:double"&gt;42.07&lt;/D&gt;&lt;D xsi:type="xsd:double"&gt;42.68&lt;/D&gt;&lt;D xsi:type="xsd:double"&gt;42.45&lt;/D&gt;&lt;D xsi:type="xsd:double"&gt;42.58&lt;/D&gt;&lt;D xsi:type="xsd:double"&gt;42.64&lt;/D&gt;&lt;D xsi:type="xsd:double"&gt;42.26&lt;/D&gt;&lt;D xsi:type="xsd:double"&gt;42.5&lt;/D&gt;&lt;D xsi:type="xsd:double"&gt;41.97&lt;/D&gt;&lt;D xsi:type="xsd:double"&gt;41.63&lt;/D&gt;&lt;D xsi:type="xsd:double"&gt;41.58&lt;/D&gt;&lt;D xsi:type="xsd:double"&gt;41.04&lt;/D&gt;&lt;D xsi:type="xsd:double"&gt;41.35&lt;/D&gt;&lt;D xsi:type="xsd:double"&gt;41.47&lt;/D&gt;&lt;D xsi:type="xsd:double"&gt;41.61&lt;/D&gt;&lt;D xsi:type="xsd:double"&gt;41.36&lt;/D&gt;&lt;D xsi:type="xsd:double"&gt;41.66&lt;/D&gt;&lt;D xsi:type="xsd:double"&gt;41.79&lt;/D&gt;&lt;D xsi:type="xsd:double"&gt;41.89&lt;/D&gt;&lt;D xsi:type="xsd:double"&gt;42.09&lt;/D&gt;&lt;D xsi:type="xsd:double"&gt;41.94&lt;/D&gt;&lt;D xsi:type="xsd:double"&gt;42.19&lt;/D&gt;&lt;D xsi:type="xsd:double"&gt;41.74&lt;/D&gt;&lt;D xsi:type="xsd:double"&gt;41.75&lt;/D&gt;&lt;D xsi:type="xsd:double"&gt;41.71&lt;/D&gt;&lt;D xsi:type="xsd:double"&gt;41.55&lt;/D&gt;&lt;D xsi:type="xsd:double"&gt;41.39&lt;/D&gt;&lt;D xsi:type="xsd:double"&gt;41.18&lt;/D&gt;&lt;D xsi:type="xsd:double"&gt;40.9&lt;/D&gt;&lt;D xsi:type="xsd:double"&gt;41.46&lt;/D&gt;&lt;D xsi:type="xsd:double"&gt;41.57&lt;/D&gt;&lt;D xsi:type="xsd:double"&gt;41.66&lt;/D&gt;&lt;D xsi:type="xsd:double"&gt;41.74&lt;/D&gt;&lt;D xsi:type="xsd:double"&gt;41.79&lt;/D&gt;&lt;D xsi:type="xsd:double"&gt;42.08&lt;/D&gt;&lt;D xsi:type="xsd:double"&gt;41.66&lt;/D&gt;&lt;D xsi:type="xsd:double"&gt;41.72&lt;/D&gt;&lt;D xsi:type="xsd:double"&gt;41.29&lt;/D&gt;&lt;D xsi:type="xsd:double"&gt;41.29&lt;/D&gt;&lt;D xsi:type="xsd:double"&gt;41.27&lt;/D&gt;&lt;D xsi:type="xsd:double"&gt;41.5&lt;/D&gt;&lt;D xsi:type="xsd:double"&gt;41.36&lt;/D&gt;&lt;D xsi:type="xsd:double"&gt;41.03&lt;/D&gt;&lt;D xsi:type="xsd:double"&gt;40.64&lt;/D&gt;&lt;D xsi:type="xsd:double"&gt;40.53&lt;/D&gt;&lt;D xsi:type="xsd:double"&gt;40.49&lt;/D&gt;&lt;D xsi:type="xsd:double"&gt;40.38&lt;/D&gt;&lt;D xsi:type="xsd:double"&gt;40.23&lt;/D&gt;&lt;D xsi:type="xsd:double"&gt;40.21&lt;/D&gt;&lt;D xsi:type="xsd:double"&gt;39.94&lt;/D&gt;&lt;D xsi:type="xsd:double"&gt;39.81&lt;/D&gt;&lt;D xsi:type="xsd:double"&gt;40.04&lt;/D&gt;&lt;D xsi:type="xsd:double"&gt;40.39&lt;/D&gt;&lt;D xsi:type="xsd:double"&gt;40.12&lt;/D&gt;&lt;D xsi:type="xsd:double"&gt;40.64&lt;/D&gt;&lt;D xsi:type="xsd:double"&gt;40.77&lt;/D&gt;&lt;D xsi:type="xsd:double"&gt;40.9&lt;/D&gt;&lt;D xsi:type="xsd:double"&gt;40.43&lt;/D&gt;&lt;D xsi:type="xsd:double"&gt;40.01&lt;/D&gt;&lt;D xsi:type="xsd:double"&gt;39.8&lt;/D&gt;&lt;D xsi:type="xsd:double"&gt;39.83&lt;/D&gt;&lt;D xsi:type="xsd:double"&gt;39.85&lt;/D&gt;&lt;D xsi:type="xsd:double"&gt;39.59&lt;/D&gt;&lt;D xsi:type="xsd:double"&gt;40.03&lt;/D&gt;&lt;D xsi:type="xsd:double"&gt;39.92&lt;/D&gt;&lt;D xsi:type="xsd:double"&gt;40.27&lt;/D&gt;&lt;D xsi:type="xsd:double"&gt;40.01&lt;/D&gt;&lt;D xsi:type="xsd:double"&gt;39.79&lt;/D&gt;&lt;D xsi:type="xsd:double"&gt;39.42&lt;/D&gt;&lt;D xsi:type="xsd:double"&gt;39.82&lt;/D&gt;&lt;D xsi:type="xsd:double"&gt;39.61&lt;/D&gt;&lt;D xsi:type="xsd:double"&gt;39.85&lt;/D&gt;&lt;D xsi:type="xsd:double"&gt;39.72&lt;/D&gt;&lt;D xsi:type="xsd:double"&gt;39.72&lt;/D&gt;&lt;D xsi:type="xsd:double"&gt;39.69&lt;/D&gt;&lt;D xsi:type="xsd:double"&gt;39.28&lt;/D&gt;&lt;D xsi:type="xsd:double"&gt;39.41&lt;/D&gt;&lt;D xsi:type="xsd:double"&gt;39.17&lt;/D&gt;&lt;D xsi:type="xsd:double"&gt;38.9&lt;/D&gt;&lt;D xsi:type="xsd:double"&gt;39.22&lt;/D&gt;&lt;D xsi:type="xsd:double"&gt;39.2&lt;/D&gt;&lt;D xsi:type="xsd:double"&gt;39.62&lt;/D&gt;&lt;D xsi:type="xsd:double"&gt;40.42&lt;/D&gt;&lt;D xsi:type="xsd:double"&gt;40.78&lt;/D&gt;&lt;D xsi:type="xsd:double"&gt;40.41&lt;/D&gt;&lt;D xsi:type="xsd:double"&gt;40.31&lt;/D&gt;&lt;D xsi:type="xsd:double"&gt;40.34&lt;/D&gt;&lt;D xsi:type="xsd:double"&gt;40.35&lt;/D&gt;&lt;D xsi:type="xsd:double"&gt;40.22&lt;/D&gt;&lt;D xsi:type="xsd:double"&gt;40.19&lt;/D&gt;&lt;D xsi:type="xsd:double"&gt;40.06&lt;/D&gt;&lt;D xsi:type="xsd:double"&gt;40.29&lt;/D&gt;&lt;D xsi:type="xsd:double"&gt;39.92&lt;/D&gt;&lt;D xsi:type="xsd:double"&gt;39.79&lt;/D&gt;&lt;D xsi:type="xsd:double"&gt;39.67&lt;/D&gt;&lt;D xsi:type="xsd:double"&gt;40.07&lt;/D&gt;&lt;D xsi:type="xsd:double"&gt;39.88&lt;/D&gt;&lt;D xsi:type="xsd:double"&gt;39.53&lt;/D&gt;&lt;D xsi:type="xsd:double"&gt;39.43&lt;/D&gt;&lt;D xsi:type="xsd:double"&gt;39.61&lt;/D&gt;&lt;D xsi:type="xsd:double"&gt;39.33&lt;/D&gt;&lt;D xsi:type="xsd:double"&gt;38.9&lt;/D&gt;&lt;D xsi:type="xsd:double"&gt;38.8&lt;/D&gt;&lt;D xsi:type="xsd:double"&gt;38.25&lt;/D&gt;&lt;D xsi:type="xsd:double"&gt;38.42&lt;/D&gt;&lt;D xsi:type="xsd:double"&gt;38.24&lt;/D&gt;&lt;D xsi:type="xsd:double"&gt;38.29&lt;/D&gt;&lt;D xsi:type="xsd:double"&gt;38.11&lt;/D&gt;&lt;D xsi:type="xsd:double"&gt;38.43&lt;/D&gt;&lt;D xsi:type="xsd:double"&gt;38.57&lt;/D&gt;&lt;D xsi:type="xsd:double"&gt;38.64&lt;/D&gt;&lt;D xsi:type="xsd:double"&gt;38.6&lt;/D&gt;&lt;D xsi:type="xsd:double"&gt;37.88&lt;/D&gt;&lt;D xsi:type="xsd:double"&gt;38.1&lt;/D&gt;&lt;D xsi:type="xsd:double"&gt;38.35&lt;/D&gt;&lt;D xsi:type="xsd:double"&gt;38.19&lt;/D&gt;&lt;D xsi:type="xsd:double"&gt;37.94&lt;/D&gt;&lt;D xsi:type="xsd:double"&gt;37.89&lt;/D&gt;&lt;D xsi:type="xsd:double"&gt;37.55&lt;/D&gt;&lt;D xsi:type="xsd:double"&gt;37.58&lt;/D&gt;&lt;D xsi:type="xsd:double"&gt;36.82&lt;/D&gt;&lt;D xsi:type="xsd:double"&gt;36.97&lt;/D&gt;&lt;D xsi:type="xsd:double"&gt;36.55&lt;/D&gt;&lt;D xsi:type="xsd:double"&gt;36.65&lt;/D&gt;&lt;D xsi:type="xsd:double"&gt;36.15&lt;/D&gt;&lt;D xsi:type="xsd:double"&gt;35.57&lt;/D&gt;&lt;D xsi:type="xsd:double"&gt;34.67&lt;/D&gt;&lt;D xsi:type="xsd:double"&gt;35.11&lt;/D&gt;&lt;D xsi:type="xsd:double"&gt;33.19&lt;/D&gt;&lt;D xsi:type="xsd:double"&gt;33.29&lt;/D&gt;&lt;D xsi:type="xsd:double"&gt;34.62&lt;/D&gt;&lt;D xsi:type="xsd:double"&gt;37.28&lt;/D&gt;&lt;D xsi:type="xsd:double"&gt;37.61&lt;/D&gt;&lt;D xsi:type="xsd:double"&gt;37.44&lt;/D&gt;&lt;D xsi:type="xsd:double"&gt;37.47&lt;/D&gt;&lt;D xsi:type="xsd:double"&gt;37.59&lt;/D&gt;&lt;D xsi:type="xsd:double"&gt;37.66&lt;/D&gt;&lt;D xsi:type="xsd:double"&gt;37.51&lt;/D&gt;&lt;D xsi:type="xsd:double"&gt;37.64&lt;/D&gt;&lt;D xsi:type="xsd:double"&gt;37.53&lt;/D&gt;&lt;/FQL&gt;&lt;FQL&gt;&lt;Q&gt;EWI^FG_TOTAL_RETURNC(-5AY,0,AM)&lt;/Q&gt;&lt;R&gt;61&lt;/R&gt;&lt;C&gt;1&lt;/C&gt;&lt;D xsi:type="xsd:double"&gt;5.1524997&lt;/D&gt;&lt;D xsi:type="xsd:double"&gt;1.2508273&lt;/D&gt;&lt;D xsi:type="xsd:double"&gt;-0.58517456&lt;/D&gt;&lt;D xsi:type="xsd:double"&gt;4.0222406&lt;/D&gt;&lt;D xsi:type="xsd:double"&gt;2.8921723&lt;/D&gt;&lt;D xsi:type="xsd:double"&gt;5.2245617&lt;/D&gt;&lt;D xsi:type="xsd:double"&gt;-7.0687175&lt;/D&gt;&lt;D xsi:type="xsd:double"&gt;4.395938&lt;/D&gt;&lt;D xsi:type="xsd:double"&gt;-1.0299921&lt;/D&gt;&lt;D xsi:type="xsd:double"&gt;-1.1325359&lt;/D&gt;&lt;D xsi:type="xsd:double"&gt;6.191945&lt;/D&gt;&lt;D xsi:type="xsd:double"&gt;-4.51895&lt;/D&gt;&lt;D xsi:type="xsd:double"&gt;2.8794646&lt;/D&gt;&lt;D xsi:type="xsd:double"&gt;-2.6791096&lt;/D&gt;&lt;D xsi:type="xsd:double"&gt;-17.29045&lt;/D&gt;&lt;D xsi:type="xsd:double"&gt;9.012711&lt;/D&gt;&lt;D xsi:type="xsd:double"&gt;-7.37564&lt;/D&gt;&lt;D xsi:type="xsd:double"&gt;4.7037005&lt;/D&gt;&lt;D xsi:type="xsd:double"&gt;-13.592291&lt;/D&gt;&lt;D xsi:type="xsd:double"&gt;4.1350245&lt;/D&gt;&lt;D xsi:type="xsd:double"&gt;-6.3209057&lt;/D&gt;&lt;D xsi:type="xsd:double"&gt;-5.9688625&lt;/D&gt;&lt;D xsi:type="xsd:double"&gt;17.755295&lt;/D&gt;&lt;D xsi:type="xsd:double"&gt;7.46094&lt;/D&gt;&lt;D xsi:type="xsd:double"&gt;4.9351096&lt;/D&gt;&lt;D xsi:type="xsd:double"&gt;6.364274&lt;/D&gt;&lt;D xsi:type="xsd:double"&gt;0.72727203&lt;/D&gt;&lt;D xsi:type="xsd:double"&gt;1.3455868&lt;/D&gt;&lt;D xsi:type="xsd:double"&gt;3.529799&lt;/D&gt;&lt;D xsi:type="xsd:double"&gt;-2.4814904&lt;/D&gt;&lt;D xsi:type="xsd:double"&gt;3.0233383&lt;/D&gt;&lt;D xsi:type="xsd:double"&gt;1.4035106&lt;/D&gt;&lt;D xsi:type="xsd:double"&gt;-2.1075785&lt;/D&gt;&lt;D xsi:type="xsd:double"&gt;-3.2455027&lt;/D&gt;&lt;D xsi:type="xsd:double"&gt;3.0222535&lt;/D&gt;&lt;D xsi:type="xsd:double"&gt;7.5757504&lt;/D&gt;&lt;D xsi:type="xsd:double"&gt;3.2643914&lt;/D&gt;&lt;D xsi:type="xsd:double"&gt;-0.64647794&lt;/D&gt;&lt;D xsi:type="xsd:double"&gt;8.459032&lt;/D&gt;&lt;D xsi:type="xsd:double"&gt;1.881659&lt;/D&gt;&lt;D xsi:type="xsd:double"&gt;0.26766062&lt;/D&gt;&lt;D xsi:type="xsd:double"&gt;2.8563738&lt;/D&gt;&lt;D xsi:type="xsd:double"&gt;-2.0980716&lt;/D&gt;&lt;D xsi:type="xsd:double"&gt;-3.6674857&lt;/D&gt;&lt;D xsi:type="xsd:double"&gt;6.4297915&lt;/D&gt;&lt;D xsi:type="xsd:double"&gt;0.529933&lt;/D&gt;&lt;D xsi:type="xsd:double"&gt;-2.3985207&lt;/D&gt;&lt;D xsi:type="xsd:double"&gt;1.971376&lt;/D&gt;&lt;D xsi:type="xsd:double"&gt;-1.3717055&lt;/D&gt;&lt;D xsi:type="xsd:double"&gt;6.1341286&lt;/D&gt;&lt;D xsi:type="xsd:double"&gt;10.069346&lt;/D&gt;&lt;D xsi:type="xsd:double"&gt;-14.585763&lt;/D&gt;&lt;D xsi:type="xsd:double"&gt;23.934437&lt;/D&gt;&lt;D xsi:type="xsd:double"&gt;6.4814806&lt;/D&gt;&lt;D xsi:type="xsd:double"&gt;1.8245816&lt;/D&gt;&lt;D xsi:type="xsd:double"&gt;3.764999&lt;/D&gt;&lt;D xsi:type="xsd:double"&gt;0.95694065&lt;/D&gt;&lt;D xsi:type="xsd:double"&gt;3.2582998&lt;/D&gt;&lt;D xsi:type="xsd:double"&gt;-0.19124746&lt;/D&gt;&lt;D xsi:type="xsd:double"&gt;1.5137076&lt;/D&gt;&lt;D xsi:type="xsd:double"&gt;5.6321025&lt;/D&gt;&lt;/FQL&gt;&lt;FQL&gt;&lt;Q&gt;EWD^FG_PRICE(0,-200D)&lt;/Q&gt;&lt;R&gt;201&lt;/R&gt;&lt;C&gt;1&lt;/C&gt;&lt;D xsi:type="xsd:double"&gt;50.28&lt;/D&gt;&lt;D xsi:type="xsd:double"&gt;50.87&lt;/D&gt;&lt;D xsi:type="xsd:double"&gt;50.11&lt;/D&gt;&lt;D xsi:type="xsd:double"&gt;50.39&lt;/D&gt;&lt;D xsi:type="xsd:double"&gt;49.6&lt;/D&gt;&lt;D xsi:type="xsd:double"&gt;49.23&lt;/D&gt;&lt;D xsi:type="xsd:double"&gt;49.55&lt;/D&gt;&lt;D xsi:type="xsd:double"&gt;49.32&lt;/D&gt;&lt;D xsi:type="xsd:double"&gt;49.65&lt;/D&gt;&lt;D xsi:type="xsd:double"&gt;49.31&lt;/D&gt;&lt;D xsi:type="xsd:double"&gt;49.21&lt;/D&gt;&lt;D xsi:type="xsd:double"&gt;48.8&lt;/D&gt;&lt;D xsi:type="xsd:double"&gt;48.55&lt;/D&gt;&lt;D xsi:type="xsd:double"&gt;48.18&lt;/D&gt;&lt;D xsi:type="xsd:double"&gt;47.62&lt;/D&gt;&lt;D xsi:type="xsd:double"&gt;48.23&lt;/D&gt;&lt;D xsi:type="xsd:double"&gt;49.11&lt;/D&gt;&lt;D xsi:type="xsd:double"&gt;49.38&lt;/D&gt;&lt;D xsi:type="xsd:double"&gt;49.67&lt;/D&gt;&lt;D xsi:type="xsd:double"&gt;49.36&lt;/D&gt;&lt;D xsi:type="xsd:double"&gt;48.55&lt;/D&gt;&lt;D xsi:type="xsd:double"&gt;48.4&lt;/D&gt;&lt;D xsi:type="xsd:double"&gt;48.37&lt;/D&gt;&lt;D xsi:type="xsd:double"&gt;48.09&lt;/D&gt;&lt;D xsi:type="xsd:double"&gt;47.77&lt;/D&gt;&lt;D xsi:type="xsd:double"&gt;47.61&lt;/D&gt;&lt;D xsi:type="xsd:double"&gt;47.58&lt;/D&gt;&lt;D xsi:type="xsd:double"&gt;47.91&lt;/D&gt;&lt;D xsi:type="xsd:double"&gt;47.43&lt;/D&gt;&lt;D xsi:type="xsd:double"&gt;47.06&lt;/D&gt;&lt;D xsi:type="xsd:double"&gt;46.26&lt;/D&gt;&lt;D xsi:type="xsd:double"&gt;46.06&lt;/D&gt;&lt;D xsi:type="xsd:double"&gt;45.38&lt;/D&gt;&lt;D xsi:type="xsd:double"&gt;46.17&lt;/D&gt;&lt;D xsi:type="xsd:double"&gt;46.49&lt;/D&gt;&lt;D xsi:type="xsd:double"&gt;47.22&lt;/D&gt;&lt;D xsi:type="xsd:double"&gt;47.65&lt;/D&gt;&lt;D xsi:type="xsd:double"&gt;48.27&lt;/D&gt;&lt;D xsi:type="xsd:double"&gt;48.82&lt;/D&gt;&lt;D xsi:type="xsd:double"&gt;48.48&lt;/D&gt;&lt;D xsi:type="xsd:double"&gt;47.74&lt;/D&gt;&lt;D xsi:type="xsd:double"&gt;47.24&lt;/D&gt;&lt;D xsi:typ</t>
        </r>
      </text>
    </comment>
    <comment ref="A6" authorId="0" shapeId="0" xr:uid="{85CD4B71-E55D-4239-A8AF-301B21589FEE}">
      <text>
        <r>
          <rPr>
            <b/>
            <sz val="9"/>
            <color indexed="81"/>
            <rFont val="Tahoma"/>
            <charset val="1"/>
          </rPr>
          <t xml:space="preserve">e="xsd:double"&gt;46.98&lt;/D&gt;&lt;D xsi:type="xsd:double"&gt;47.29&lt;/D&gt;&lt;D xsi:type="xsd:double"&gt;46.87&lt;/D&gt;&lt;D xsi:type="xsd:double"&gt;47.7&lt;/D&gt;&lt;D xsi:type="xsd:double"&gt;47.99&lt;/D&gt;&lt;D xsi:type="xsd:double"&gt;48.49&lt;/D&gt;&lt;D xsi:type="xsd:double"&gt;48.74&lt;/D&gt;&lt;D xsi:type="xsd:double"&gt;49.07&lt;/D&gt;&lt;D xsi:type="xsd:double"&gt;49.23&lt;/D&gt;&lt;D xsi:type="xsd:double"&gt;48.86&lt;/D&gt;&lt;D xsi:type="xsd:double"&gt;48.65&lt;/D&gt;&lt;D xsi:type="xsd:double"&gt;48.36&lt;/D&gt;&lt;D xsi:type="xsd:double"&gt;48.54&lt;/D&gt;&lt;D xsi:type="xsd:double"&gt;48.09&lt;/D&gt;&lt;D xsi:type="xsd:double"&gt;47.79&lt;/D&gt;&lt;D xsi:type="xsd:double"&gt;47.8&lt;/D&gt;&lt;D xsi:type="xsd:double"&gt;47.58&lt;/D&gt;&lt;D xsi:type="xsd:double"&gt;47.45&lt;/D&gt;&lt;D xsi:type="xsd:double"&gt;47.32&lt;/D&gt;&lt;D xsi:type="xsd:double"&gt;46.92&lt;/D&gt;&lt;D xsi:type="xsd:double"&gt;47.2&lt;/D&gt;&lt;D xsi:type="xsd:double"&gt;47.88&lt;/D&gt;&lt;D xsi:type="xsd:double"&gt;47.82&lt;/D&gt;&lt;D xsi:type="xsd:double"&gt;48.26&lt;/D&gt;&lt;D xsi:type="xsd:double"&gt;48.2&lt;/D&gt;&lt;D xsi:type="xsd:double"&gt;47.94&lt;/D&gt;&lt;D xsi:type="xsd:double"&gt;47.61&lt;/D&gt;&lt;D xsi:type="xsd:double"&gt;47.2&lt;/D&gt;&lt;D xsi:type="xsd:double"&gt;47.22&lt;/D&gt;&lt;D xsi:type="xsd:double"&gt;47.2&lt;/D&gt;&lt;D xsi:type="xsd:double"&gt;46.62&lt;/D&gt;&lt;D xsi:type="xsd:double"&gt;47.01&lt;/D&gt;&lt;D xsi:type="xsd:double"&gt;47.85&lt;/D&gt;&lt;D xsi:type="xsd:double"&gt;47.63&lt;/D&gt;&lt;D xsi:type="xsd:double"&gt;47.43&lt;/D&gt;&lt;D xsi:type="xsd:double"&gt;47.56&lt;/D&gt;&lt;D xsi:type="xsd:double"&gt;47.17&lt;/D&gt;&lt;D xsi:type="xsd:double"&gt;47.46&lt;/D&gt;&lt;D xsi:type="xsd:double"&gt;47.61&lt;/D&gt;&lt;D xsi:type="xsd:double"&gt;47.24&lt;/D&gt;&lt;D xsi:type="xsd:double"&gt;47.33&lt;/D&gt;&lt;D xsi:type="xsd:double"&gt;47.1&lt;/D&gt;&lt;D xsi:type="xsd:double"&gt;47.3&lt;/D&gt;&lt;D xsi:type="xsd:double"&gt;47.42&lt;/D&gt;&lt;D xsi:type="xsd:double"&gt;47.01&lt;/D&gt;&lt;D xsi:type="xsd:double"&gt;46.26&lt;/D&gt;&lt;D xsi:type="xsd:double"&gt;46.18&lt;/D&gt;&lt;D xsi:type="xsd:double"&gt;45.89&lt;/D&gt;&lt;D xsi:type="xsd:double"&gt;46.39&lt;/D&gt;&lt;D xsi:type="xsd:double"&gt;46.63&lt;/D&gt;&lt;D xsi:type="xsd:double"&gt;46.46&lt;/D&gt;&lt;D xsi:type="xsd:double"&gt;46.64&lt;/D&gt;&lt;D xsi:type="xsd:double"&gt;46.57&lt;/D&gt;&lt;D xsi:type="xsd:double"&gt;47.24&lt;/D&gt;&lt;D xsi:type="xsd:double"&gt;46.08&lt;/D&gt;&lt;D xsi:type="xsd:double"&gt;46.45&lt;/D&gt;&lt;D xsi:type="xsd:double"&gt;46.56&lt;/D&gt;&lt;D xsi:type="xsd:double"&gt;46.28&lt;/D&gt;&lt;D xsi:type="xsd:double"&gt;46.61&lt;/D&gt;&lt;D xsi:type="xsd:double"&gt;46.06&lt;/D&gt;&lt;D xsi:type="xsd:double"&gt;46.02&lt;/D&gt;&lt;D xsi:type="xsd:double"&gt;45.99&lt;/D&gt;&lt;D xsi:type="xsd:double"&gt;45.23&lt;/D&gt;&lt;D xsi:type="xsd:double"&gt;45.88&lt;/D&gt;&lt;D xsi:type="xsd:double"&gt;45.6&lt;/D&gt;&lt;D xsi:type="xsd:double"&gt;44.82&lt;/D&gt;&lt;D xsi:type="xsd:double"&gt;44.45&lt;/D&gt;&lt;D xsi:type="xsd:double"&gt;44.3&lt;/D&gt;&lt;D xsi:type="xsd:double"&gt;43.68&lt;/D&gt;&lt;D xsi:type="xsd:double"&gt;43.86&lt;/D&gt;&lt;D xsi:type="xsd:double"&gt;44.54&lt;/D&gt;&lt;D xsi:type="xsd:double"&gt;44.96&lt;/D&gt;&lt;D xsi:type="xsd:double"&gt;45.78&lt;/D&gt;&lt;D xsi:type="xsd:double"&gt;46.38&lt;/D&gt;&lt;D xsi:type="xsd:double"&gt;45.9&lt;/D&gt;&lt;D xsi:type="xsd:double"&gt;46.3&lt;/D&gt;&lt;D xsi:type="xsd:double"&gt;45.21&lt;/D&gt;&lt;D xsi:type="xsd:double"&gt;45.25&lt;/D&gt;&lt;D xsi:type="xsd:double"&gt;44.65&lt;/D&gt;&lt;D xsi:type="xsd:double"&gt;44.98&lt;/D&gt;&lt;D xsi:type="xsd:double"&gt;44.63&lt;/D&gt;&lt;D xsi:type="xsd:double"&gt;44.69&lt;/D&gt;&lt;D xsi:type="xsd:double"&gt;45.3&lt;/D&gt;&lt;D xsi:type="xsd:double"&gt;45.57&lt;/D&gt;&lt;D xsi:type="xsd:double"&gt;46.39&lt;/D&gt;&lt;D xsi:type="xsd:double"&gt;46.05&lt;/D&gt;&lt;D xsi:type="xsd:double"&gt;45.55&lt;/D&gt;&lt;D xsi:type="xsd:double"&gt;45.52&lt;/D&gt;&lt;D xsi:type="xsd:double"&gt;45.62&lt;/D&gt;&lt;D xsi:type="xsd:double"&gt;45.51&lt;/D&gt;&lt;D xsi:type="xsd:double"&gt;45.19&lt;/D&gt;&lt;D xsi:type="xsd:double"&gt;45.74&lt;/D&gt;&lt;D xsi:type="xsd:double"&gt;46.02&lt;/D&gt;&lt;D xsi:type="xsd:double"&gt;45.33&lt;/D&gt;&lt;D xsi:type="xsd:double"&gt;44.67&lt;/D&gt;&lt;D xsi:type="xsd:double"&gt;44.95&lt;/D&gt;&lt;D xsi:type="xsd:double"&gt;43.96&lt;/D&gt;&lt;D xsi:type="xsd:double"&gt;43.81&lt;/D&gt;&lt;D xsi:type="xsd:double"&gt;43.98&lt;/D&gt;&lt;D xsi:type="xsd:double"&gt;44.43&lt;/D&gt;&lt;D xsi:type="xsd:double"&gt;44.91&lt;/D&gt;&lt;D xsi:type="xsd:double"&gt;45.49&lt;/D&gt;&lt;D xsi:type="xsd:double"&gt;46.02&lt;/D&gt;&lt;D xsi:type="xsd:double"&gt;45.9&lt;/D&gt;&lt;D xsi:type="xsd:double"&gt;45.94&lt;/D&gt;&lt;D xsi:type="xsd:double"&gt;45.91&lt;/D&gt;&lt;D xsi:type="xsd:double"&gt;46.14&lt;/D&gt;&lt;D xsi:type="xsd:double"&gt;46.17&lt;/D&gt;&lt;D xsi:type="xsd:double"&gt;45.93&lt;/D&gt;&lt;D xsi:type="xsd:double"&gt;45.2&lt;/D&gt;&lt;D xsi:type="xsd:double"&gt;45.62&lt;/D&gt;&lt;D xsi:type="xsd:double"&gt;45.45&lt;/D&gt;&lt;D xsi:type="xsd:double"&gt;45.36&lt;/D&gt;&lt;D xsi:type="xsd:double"&gt;45.24&lt;/D&gt;&lt;D xsi:type="xsd:double"&gt;45.55&lt;/D&gt;&lt;D xsi:type="xsd:double"&gt;45.32&lt;/D&gt;&lt;D xsi:type="xsd:double"&gt;45.09&lt;/D&gt;&lt;D xsi:type="xsd:double"&gt;45.94&lt;/D&gt;&lt;D xsi:type="xsd:double"&gt;46.35&lt;/D&gt;&lt;D xsi:type="xsd:double"&gt;46.19&lt;/D&gt;&lt;D xsi:type="xsd:double"&gt;45.61&lt;/D&gt;&lt;D xsi:type="xsd:double"&gt;45.62&lt;/D&gt;&lt;D xsi:type="xsd:double"&gt;45.11&lt;/D&gt;&lt;D xsi:type="xsd:double"&gt;45.23&lt;/D&gt;&lt;D xsi:type="xsd:double"&gt;45.09&lt;/D&gt;&lt;D xsi:type="xsd:double"&gt;44.38&lt;/D&gt;&lt;D xsi:type="xsd:double"&gt;44.26&lt;/D&gt;&lt;D xsi:type="xsd:double"&gt;44.38&lt;/D&gt;&lt;D xsi:type="xsd:double"&gt;44.18&lt;/D&gt;&lt;D xsi:type="xsd:double"&gt;44.28&lt;/D&gt;&lt;D xsi:type="xsd:double"&gt;44.55&lt;/D&gt;&lt;D xsi:type="xsd:double"&gt;43.12&lt;/D&gt;&lt;D xsi:type="xsd:double"&gt;43.64&lt;/D&gt;&lt;D xsi:type="xsd:double"&gt;43&lt;/D&gt;&lt;D xsi:type="xsd:double"&gt;43.61&lt;/D&gt;&lt;D xsi:type="xsd:double"&gt;43.62&lt;/D&gt;&lt;D xsi:type="xsd:double"&gt;43.32&lt;/D&gt;&lt;D xsi:type="xsd:double"&gt;42.43&lt;/D&gt;&lt;D xsi:type="xsd:double"&gt;42.68&lt;/D&gt;&lt;D xsi:type="xsd:double"&gt;41.77&lt;/D&gt;&lt;D xsi:type="xsd:double"&gt;41.9&lt;/D&gt;&lt;D xsi:type="xsd:double"&gt;41.07&lt;/D&gt;&lt;D xsi:type="xsd:double"&gt;41.39&lt;/D&gt;&lt;D xsi:type="xsd:double"&gt;40.72&lt;/D&gt;&lt;D xsi:type="xsd:double"&gt;40.31&lt;/D&gt;&lt;D xsi:type="xsd:double"&gt;39.65&lt;/D&gt;&lt;D xsi:type="xsd:double"&gt;39.92&lt;/D&gt;&lt;D xsi:type="xsd:double"&gt;37.07&lt;/D&gt;&lt;D xsi:type="xsd:double"&gt;37.34&lt;/D&gt;&lt;D xsi:type="xsd:double"&gt;38.17&lt;/D&gt;&lt;D xsi:type="xsd:double"&gt;41.47&lt;/D&gt;&lt;D xsi:type="xsd:double"&gt;42.61&lt;/D&gt;&lt;D xsi:type="xsd:double"&gt;42.25&lt;/D&gt;&lt;D xsi:type="xsd:double"&gt;42.08&lt;/D&gt;&lt;D xsi:type="xsd:double"&gt;42.94&lt;/D&gt;&lt;D xsi:type="xsd:double"&gt;43.53&lt;/D&gt;&lt;D xsi:type="xsd:double"&gt;43.58&lt;/D&gt;&lt;D xsi:type="xsd:double"&gt;44.67&lt;/D&gt;&lt;D xsi:type="xsd:double"&gt;44.24&lt;/D&gt;&lt;/FQL&gt;&lt;FQL&gt;&lt;Q&gt;EWG^FG_TOTAL_RETURNC(-5AY,0,AM)&lt;/Q&gt;&lt;R&gt;61&lt;/R&gt;&lt;C&gt;1&lt;/C&gt;&lt;D xsi:type="xsd:double"&gt;6.7737103&lt;/D&gt;&lt;D xsi:type="xsd:double"&gt;-0.6682813&lt;/D&gt;&lt;D xsi:type="xsd:double"&gt;-0.91742873&lt;/D&gt;&lt;D xsi:type="xsd:double"&gt;6.543207&lt;/D&gt;&lt;D xsi:type="xsd:double"&gt;2.7809978&lt;/D&gt;&lt;D xsi:type="xsd:double"&gt;2.3393512&lt;/D&gt;&lt;D xsi:type="xsd:double"&gt;-3.9866269&lt;/D&gt;&lt;D xsi:type="xsd:double"&gt;1.3419032&lt;/D&gt;&lt;D xsi:type="xsd:double"&gt;-0.37420988&lt;/D&gt;&lt;D xsi:type="xsd:double"&gt;-5.431962&lt;/D&gt;&lt;D xsi:type="xsd:double"&gt;5.2245617&lt;/D&gt;&lt;D xsi:type="xsd:double"&gt;-4.297328&lt;/D&gt;&lt;D xsi:type="xsd:double"&gt;1.3242245&lt;/D&gt;&lt;D xsi:type="xsd:double"&gt;-3.0504465&lt;/D&gt;&lt;D xsi:type="xsd:double"&gt;-20.031149&lt;/D&gt;&lt;D xsi:type="xsd:double"&gt;7.8691125&lt;/D&gt;&lt;D xsi:type="xsd:double"&gt;-8.197909&lt;/D&gt;&lt;D xsi:type="xsd:double"&gt;6.8843484&lt;/D&gt;&lt;D xsi:type="xsd:double"&gt;-14.058357&lt;/D&gt;&lt;D xsi:type="xsd:double"&gt;4.4150114&lt;/D&gt;&lt;D xsi:type="xsd:double"&gt;-7.9069734&lt;/D&gt;&lt;D xsi:type="xsd:double"&gt;-8.218551&lt;/D&gt;&lt;D xsi:type="xsd:double"&gt;14.307154&lt;/D&gt;&lt;D xsi:type="xsd:double"&gt;10.503281&lt;/D&gt;&lt;D xsi:type="xsd:double"&gt;4.4311166&lt;/D&gt;&lt;D xsi:type="xsd:double"&gt;6.676781&lt;/D&gt;&lt;D xsi:type="xsd:double"&gt;-1.3513565&lt;/D&gt;&lt;D xsi:type="xsd:double"&gt;3.0281186&lt;/D&gt;&lt;D xsi:type="xsd:double"&gt;2.974105&lt;/D&gt;&lt;D xsi:type="xsd:double"&gt;-2.3163497&lt;/D&gt;&lt;D xsi:type="xsd:double"&gt;-1.0721922&lt;/D&gt;&lt;D xsi:type="xsd:double"&gt;1.4450908&lt;/D&gt;&lt;D xsi:type="xsd:double"&gt;-3.454411&lt;/D&gt;&lt;D xsi:type="xsd:double"&gt;-3.7624538&lt;/D&gt;&lt;D xsi:type="xsd:double"&gt;0.5365968&lt;/D&gt;&lt;D xsi:type="xsd:double"&gt;10.560429&lt;/D&gt;&lt;D xsi:type="xsd:double"&gt;1.4191031&lt;/D&gt;&lt;D xsi:type="xsd:double"&gt;-0.510031&lt;/D&gt;&lt;D xsi:type="xsd:double"&gt;5.980861&lt;/D&gt;&lt;D xsi:type="xsd:double"&gt;1.8381119&lt;/D&gt;&lt;D xsi:type="xsd:double"&gt;0.25331974&lt;/D&gt;&lt;D xsi:type="xsd:double"&gt;0.91598034&lt;/D&gt;&lt;D xsi:type="xsd:double"&gt;-0.06701946&lt;/D&gt;&lt;D xsi:type="xsd:double"&gt;-3.626442&lt;/D&gt;&lt;D xsi:type="xsd:double"&gt;5.494499&lt;/D&gt;&lt;D xsi:type="xsd:double"&gt;3.882575&lt;/D&gt;&lt;D xsi:type="xsd:double"&gt;-2.4612606&lt;/D&gt;&lt;D xsi:type="xsd:double"&gt;4.0187&lt;/D&gt;&lt;D xsi:type="xsd:double"&gt;-3.0248523&lt;/D&gt;&lt;D xsi:type="xsd:double"&gt;6.9796085&lt;/D&gt;&lt;D xsi:type="xsd:double"&gt;12.038112&lt;/D&gt;&lt;D xsi:type="xsd:double"&gt;-14.403504&lt;/D&gt;&lt;D xsi:type="xsd:double"&gt;21.794092&lt;/D&gt;&lt;D xsi:type="xsd:double"&gt;5.0914526&lt;/D&gt;&lt;D xsi:type="xsd:double"&gt;1.8189788&lt;/D&gt;&lt;D xsi:type="xsd:double"&gt;-0.5869925&lt;/D&gt;&lt;D xsi:type="xsd:double"&gt;-1.5351951&lt;/D&gt;&lt;D xsi:type="xsd:double"&gt;1.5591264&lt;/D&gt;&lt;D xsi:type="xsd:double"&gt;-4.393011&lt;/D&gt;&lt;D xsi:type="xsd:double"&gt;2.1245122&lt;/D&gt;&lt;D xsi:type="xsd:double"&gt;4.7653675&lt;/D&gt;&lt;/FQL&gt;&lt;FQL&gt;&lt;Q&gt;EZA^FG_PRICE(0,-200D)&lt;/Q&gt;&lt;R&gt;201&lt;/R&gt;&lt;C&gt;1&lt;/C&gt;&lt;D xsi:type="xsd:double"&gt;70.34&lt;/D&gt;&lt;D xsi:type="xsd:double"&gt;71.45&lt;/D&gt;&lt;D xsi:type="xsd:double"&gt;72.74&lt;/D&gt;&lt;D xsi:type="xsd:double"&gt;70.24&lt;/D&gt;&lt;D xsi:type="xsd:double"&gt;69.4&lt;/D&gt;&lt;D xsi:type="xsd:double"&gt;68.8&lt;/D&gt;&lt;D xsi:type="xsd:double"&gt;69.23&lt;/D&gt;&lt;D xsi:type="xsd:double"&gt;68.43&lt;/D&gt;&lt;D xsi:type="xsd:double"&gt;70.31&lt;/D&gt;&lt;D xsi:type="xsd:double"&gt;69.92&lt;/D&gt;&lt;D xsi:type="xsd:double"&gt;69.54&lt;/D&gt;&lt;D xsi:type="xsd:double"&gt;68.79&lt;/D&gt;&lt;D xsi:type="xsd:double"&gt;67.6&lt;/D&gt;&lt;D xsi:type="xsd:double"&gt;67.51&lt;/D&gt;&lt;D xsi:type="xsd:double"&gt;66.64&lt;/D&gt;&lt;D xsi:type="xsd:double"&gt;65.7&lt;/D&gt;&lt;D xsi:type="xsd:double"&gt;69.61&lt;/D&gt;&lt;D xsi:type="xsd:double"&gt;68.63&lt;/D&gt;&lt;D xsi:type="xsd:double"&gt;69.5&lt;/D&gt;&lt;D xsi:type="xsd:double"&gt;68.18&lt;/D&gt;&lt;D xsi:type="xsd:double"&gt;66.91&lt;/D&gt;&lt;D xsi:type="xsd:double"&gt;66.39&lt;/D&gt;&lt;D xsi:type="xsd:double"&gt;67.88&lt;/D&gt;&lt;D xsi:type="xsd:double"&gt;67.05&lt;/D&gt;&lt;D xsi:type="xsd:double"&gt;66.92&lt;/D&gt;&lt;D xsi:type="xsd:double"&gt;66.5&lt;/D&gt;&lt;D xsi:type="xsd:double"&gt;67.45&lt;/D&gt;&lt;D xsi:type="xsd:double"&gt;66.74&lt;/D&gt;&lt;D xsi:type="xsd:double"&gt;67.83&lt;/D&gt;&lt;D xsi:type="xsd:double"&gt;66.3&lt;/D&gt;&lt;D xsi:type="xsd:double"&gt;65.89&lt;/D&gt;&lt;D xsi:type="xsd:double"&gt;64.86&lt;/D&gt;&lt;D xsi:type="xsd:double"&gt;64.93&lt;/D&gt;&lt;D xsi:type="xsd:double"&gt;66.57&lt;/D&gt;&lt;D xsi:type="xsd:double"&gt;66.16&lt;/D&gt;&lt;D xsi:type="xsd:double"&gt;66.13&lt;/D&gt;&lt;D xsi:type="xsd:double"&gt;66.99&lt;/D&gt;&lt;D xsi:type="xsd:double"&gt;67.83&lt;/D&gt;&lt;D xsi:type="xsd:double"&gt;68.08&lt;/D&gt;&lt;D xsi:type="xsd:double"&gt;66.53&lt;/D&gt;&lt;D xsi:type="xsd:double"&gt;66.62&lt;/D&gt;&lt;D xsi:type="xsd:double"&gt;64.24&lt;/D&gt;&lt;D xsi:type="xsd:double"&gt;63.7&lt;/D&gt;&lt;D xsi:type="xsd:double"&gt;63.4&lt;/D&gt;&lt;D xsi:type="xsd:double"&gt;61.44&lt;/D&gt;&lt;D xsi:type="xsd:double"&gt;63.76&lt;/D&gt;&lt;D xsi:type="xsd:double"&gt;63.77&lt;/D&gt;&lt;D xsi:type="xsd:double"&gt;64.37&lt;/D&gt;&lt;D xsi:type="xsd:double"&gt;64.75&lt;/D&gt;&lt;D xsi:type="xsd:double"&gt;65.23&lt;/D&gt;&lt;D xsi:type="xsd:double"&gt;64.2&lt;/D&gt;&lt;D xsi:type="xsd:double"&gt;65.18&lt;/D&gt;&lt;D xsi:type="xsd:double"&gt;64.93&lt;/D&gt;&lt;D xsi:type="xsd:double"&gt;63.58&lt;/D&gt;&lt;D xsi:type="xsd:double"&gt;63.27&lt;/D&gt;&lt;D xsi:type="xsd:double"&gt;66.21&lt;/D&gt;&lt;D xsi:type="xsd:double"&gt;65.41&lt;/D&gt;&lt;D xsi:type="xsd:double"&gt;67.33&lt;/D&gt;&lt;D xsi:type="xsd:double"&gt;66.03&lt;/D&gt;&lt;D xsi:type="xsd:double"&gt;65.31&lt;/D&gt;&lt;D xsi:type="xsd:double"&gt;66.01&lt;/D&gt;&lt;D xsi:type="xsd:double"&gt;63.32&lt;/D&gt;&lt;D xsi:type="xsd:double"&gt;65.06&lt;/D&gt;&lt;D xsi:type="xsd:double"&gt;66.8&lt;/D&gt;&lt;D xsi:type="xsd:double"&gt;64.79&lt;/D&gt;&lt;D xsi:type="xsd:double"&gt;65.32&lt;/D&gt;&lt;D xsi:type="xsd:double"&gt;65.06&lt;/D&gt;&lt;D xsi:type="xsd:double"&gt;64.21&lt;/D&gt;&lt;D xsi:type="xsd:double"&gt;64.75&lt;/D&gt;&lt;D xsi:type="xsd:double"&gt;64.1&lt;/D&gt;&lt;D xsi:type="xsd:double"&gt;63.42&lt;/D&gt;&lt;D xsi:type="xsd:double"&gt;63.3&lt;/D&gt;&lt;D xsi:type="xsd:double"&gt;61.67&lt;/D&gt;&lt;D xsi:type="xsd:double"&gt;61.97&lt;/D&gt;&lt;D xsi:type="xsd:double"&gt;62.87&lt;/D&gt;&lt;D xsi:type="xsd:double"&gt;62.46&lt;/D&gt;&lt;D xsi:type="xsd:double"&gt;62.54&lt;/D&gt;&lt;D xsi:type="xsd:double"&gt;61.48&lt;/D&gt;&lt;D xsi:type="xsd:double"&gt;60.86&lt;/D&gt;&lt;D xsi:type="xsd:double"&gt;61&lt;/D&gt;&lt;D xsi:type="xsd:double"&gt;60.93&lt;/D&gt;&lt;D xsi:type="xsd:double"&gt;60.57&lt;/D&gt;&lt;D xsi:type="xsd:double"&gt;60.56&lt;/D&gt;&lt;D xsi:type="xsd:double"&gt;59.73&lt;/D&gt;&lt;D xsi:type="xsd:double"&gt;59.03&lt;/D&gt;&lt;D xsi:type="xsd:double"&gt;59.34&lt;/D&gt;&lt;D xsi:type="xsd:double"&gt;57.92&lt;/D&gt;&lt;D xsi:type="xsd:double"&gt;56.57&lt;/D&gt;&lt;D xsi:type="xsd:double"&gt;57.7&lt;/D&gt;&lt;D xsi:type="xsd:double"&gt;57.25&lt;/D&gt;&lt;D xsi:type="xsd:double"&gt;57.67&lt;/D&gt;&lt;D xsi:type="xsd:double"&gt;57.15&lt;/D&gt;&lt;D xsi:type="xsd:double"&gt;57.38&lt;/D&gt;&lt;D xsi:type="xsd:double"&gt;58.1&lt;/D&gt;&lt;D xsi:type="xsd:double"&gt;58.35&lt;/D&gt;&lt;D xsi:type="xsd:double"&gt;58.8&lt;/D&gt;&lt;D xsi:type="xsd:double"&gt;56.91&lt;/D&gt;&lt;D xsi:type="xsd:double"&gt;57.11&lt;/D&gt;&lt;D xsi:type="xsd:double"&gt;56.67&lt;/D&gt;&lt;D xsi:type="xsd:double"&gt;57.11&lt;/D&gt;&lt;D xsi:type="xsd:double"&gt;57.62&lt;/D&gt;&lt;D xsi:type="xsd:double"&gt;57.64&lt;/D&gt;&lt;D xsi:type="xsd:double"&gt;58.36&lt;/D&gt;&lt;D xsi:type="xsd:double"&gt;57.5&lt;/D&gt;&lt;D xsi:type="xsd:double"&gt;56.36&lt;/D&gt;&lt;D xsi:type="xsd:double"&gt;56.45&lt;/D&gt;&lt;D xsi:type="xsd:double"&gt;56.66&lt;/D&gt;&lt;D xsi:type="xsd:double"&gt;56.17&lt;/D&gt;&lt;D xsi:type="xsd:double"&gt;55.4&lt;/D&gt;&lt;D xsi:type="xsd:double"&gt;55.05&lt;/D&gt;&lt;D xsi:type="xsd:double"&gt;53.43&lt;/D&gt;&lt;D xsi:type="xsd:double"&gt;53.05&lt;/D&gt;&lt;D xsi:type="xsd:double"&gt;53.99&lt;/D&gt;&lt;D xsi:type="xsd:double"&gt;54.54&lt;/D&gt;&lt;D xsi:type="xsd:double"&gt;54.22&lt;/D&gt;&lt;D xsi:type="xsd:double"&gt;54.74&lt;/D&gt;&lt;D xsi:type="xsd:double"&gt;55.44&lt;/D&gt;&lt;D xsi:type="xsd:double"&gt;56.27&lt;/D&gt;&lt;D xsi:type="xsd:double"&gt;55.74&lt;/D&gt;&lt;D xsi:type="xsd:double"&gt;55.7&lt;/D&gt;&lt;D xsi:type="xsd:double"&gt;54.81&lt;/D&gt;&lt;D xsi:type="xsd:double"&gt;53.57&lt;/D&gt;&lt;D xsi:type="xsd:double"&gt;53.43&lt;/D&gt;&lt;D xsi:type="xsd:double"&gt;52.86&lt;/D&gt;&lt;D xsi:type="xsd:double"&gt;52.99&lt;/D&gt;&lt;D xsi:type="xsd:double"&gt;52.98&lt;/D&gt;&lt;D xsi:type="xsd:double"&gt;53.95&lt;/D&gt;&lt;D xsi:type="xsd:double"&gt;54&lt;/D&gt;&lt;D xsi:type="xsd:double"&gt;53.81&lt;/D&gt;&lt;D xsi:type="xsd:double"&gt;53.84&lt;/D&gt;&lt;D xsi:type="xsd:double"&gt;54.79&lt;/D&gt;&lt;D xsi:type="xsd:double"&gt;54.31&lt;/D&gt;&lt;D xsi:type="xsd:double"&gt;54.21&lt;/D&gt;&lt;D xsi:type="xsd:double"&gt;53.75&lt;/D&gt;&lt;D xsi:type="xsd:double"&gt;52.64&lt;/D&gt;&lt;D xsi:type="xsd:double"&gt;52.98&lt;/D&gt;&lt;D xsi:type="xsd:double"&gt;52.89&lt;/D&gt;&lt;D xsi:type="xsd:double"&gt;53.46&lt;/D&gt;&lt;D xsi:type="xsd:double"&gt;52.35&lt;/D&gt;&lt;D xsi:type="xsd:double"&gt;51.73&lt;/D&gt;&lt;D xsi:type="xsd:double"&gt;51.8&lt;/D&gt;&lt;D xsi:type="xsd:double"&gt;51.56&lt;/D&gt;&lt;D xsi:type="xsd:double"&gt;53.04&lt;/D&gt;&lt;D xsi:type="xsd:double"&gt;53.3&lt;/D&gt;&lt;D xsi:type="xsd:double"&gt;54.77&lt;/D&gt;&lt;D xsi:type="xsd:double"&gt;54.08&lt;/D&gt;&lt;D xsi:type="xsd:double"&gt;54.66&lt;/D&gt;&lt;D xsi:type="xsd:double"&gt;54.44&lt;/D&gt;&lt;D xsi:type="xsd:double"&gt;53.94&lt;/D&gt;&lt;D xsi:type="xsd:double"&gt;54.03&lt;/D&gt;&lt;D xsi:type="xsd:double"&gt;53.46&lt;/D&gt;&lt;D xsi:type="xsd:double"&gt;53.13&lt;/D&gt;&lt;D xsi:type="xsd:double"&gt;53.27&lt;/D&gt;&lt;D xsi:type="xsd:double"&gt;52.21&lt;/D&gt;&lt;D xsi:type="xsd:double"&gt;53.05&lt;/D&gt;&lt;D xsi:type="xsd:double"&gt;52.03&lt;/D&gt;&lt;D xsi:type="xsd:double"&gt;51.91&lt;/D&gt;&lt;D xsi:type="xsd:double"&gt;52.52&lt;/D&gt;&lt;D xsi:type="xsd:double"&gt;51.43&lt;/D&gt;&lt;D xsi:type="xsd:double"&gt;51.45&lt;/D&gt;&lt;D xsi:type="xsd:double"&gt;51.61&lt;/D&gt;&lt;D xsi:type="xsd:double"&gt;51.08&lt;/D&gt;&lt;D xsi:type="xsd:double"&gt;51.24&lt;/D&gt;&lt;D xsi:type="xsd:double"&gt;51.09&lt;/D&gt;&lt;D xsi:type="xsd:double"&gt;50.22&lt;/D&gt;&lt;D xsi:type="xsd:double"&gt;50.41&lt;/D&gt;&lt;D xsi:type="xsd:double"&gt;50.19&lt;/D&gt;&lt;D xsi:type="xsd:double"&gt;50.64&lt;/D&gt;&lt;D xsi:type="xsd:double"&gt;49.85&lt;/D&gt;&lt;D xsi:type="xsd:double"&gt;50.23&lt;/D&gt;&lt;D xsi:type="xsd:double"&gt;50.71&lt;/D&gt;&lt;D xsi:type="xsd:double"&gt;50.44&lt;/D&gt;&lt;D xsi:type="xsd:double"&gt;50.19&lt;/D&gt;&lt;D xsi:type="xsd:double"&gt;49.27&lt;/D&gt;&lt;D xsi:type="xsd:double"&gt;49.52&lt;/D&gt;&lt;D xsi:type="xsd:double"&gt;49.14&lt;/D&gt;&lt;D xsi:type="xsd:double"&gt;49.09&lt;/D&gt;&lt;D xsi:type="xsd:double"&gt;48.38&lt;/D&gt;&lt;D xsi:type="xsd:double"&gt;47.96&lt;/D&gt;&lt;D xsi:type="xsd:double"&gt;47.55&lt;/D&gt;&lt;D xsi:type="xsd:double"&gt;48.16&lt;/D&gt;&lt;D xsi:type="xsd:double"&gt;47.6&lt;/D&gt;&lt;D xsi:type="xsd:double"&gt;47.9&lt;/D&gt;&lt;D xsi:type="xsd:double"&gt;47.43&lt;/D&gt;&lt;D xsi:type="xsd:double"&gt;47.1&lt;/D&gt;&lt;D xsi:type="xsd:double"&gt;47.22&lt;/D&gt;&lt;D xsi:type="xsd:double"&gt;45.62&lt;/D&gt;&lt;D xsi:type="xsd:double"&gt;43.94&lt;/D&gt;&lt;D xsi:type="xsd:double"&gt;44.27&lt;/D&gt;&lt;D xsi:type="xsd:double"&gt;40.54&lt;/D&gt;&lt;D xsi:type="xsd:double"&gt;40.77&lt;/D&gt;&lt;D xsi:type="xsd:double"&gt;41.29&lt;/D&gt;&lt;D xsi:type="xsd:double"&gt;44.88&lt;/D&gt;&lt;D xsi:type="xsd:double"&gt;46.65&lt;/D&gt;&lt;D xsi:type="xsd:double"&gt;48.1&lt;/D&gt;&lt;D xsi:type="xsd:double"&gt;48.13&lt;/D&gt;&lt;D xsi:type="xsd:double"&gt;47.6&lt;/D&gt;&lt;D xsi:type="xsd:double"&gt;48.21&lt;/D&gt;&lt;D xsi:type="xsd:double"&gt;48.16&lt;/D&gt;&lt;D xsi:type="xsd:double"&gt;47.93&lt;/D&gt;&lt;D xsi:type="xsd:double"&gt;47.71&lt;/D&gt;&lt;/FQL&gt;&lt;FQL&gt;&lt;Q&gt;EPHE^FG_PRICE(0,-200D)&lt;/Q&gt;&lt;R&gt;201&lt;/R&gt;&lt;C&gt;1&lt;/C&gt;&lt;D xsi:type="xsd:double"&gt;26.08&lt;/D&gt;&lt;D xsi:type="xsd:double"&gt;25.92&lt;/D&gt;&lt;D xsi:type="xsd:double"&gt;25.98&lt;/D&gt;&lt;D xsi:type="xsd:double"&gt;25.46&lt;/D&gt;&lt;D xsi:type="xsd:double"&gt;25.3&lt;/D&gt;&lt;D xsi:type="xsd:double"&gt;24.92&lt;/D&gt;&lt;D xsi:type="xsd:double"&gt;25.06&lt;/D&gt;&lt;D xsi:type="xsd:double"&gt;25.09&lt;/D&gt;&lt;D xsi:type="xsd:double"&gt;25.08&lt;/D&gt;&lt;D xsi:type="xsd:double"&gt;24.94&lt;/D&gt;&lt;D xsi:type="xsd:double"&gt;24.93&lt;/D&gt;&lt;D xsi:type="xsd:double"&gt;24.96&lt;/D&gt;&lt;D xsi:type="xsd:double"&gt;24.66&lt;/D&gt;&lt;D xsi:type="xsd:double"&gt;25.01&lt;/D&gt;&lt;D xsi:type="xsd:double"&gt;25.1&lt;/D&gt;&lt;D xsi:type="xsd:double"&gt;25.19&lt;/D&gt;&lt;D xsi:type="xsd:double"&gt;24.95&lt;/D&gt;&lt;D xsi:type="xsd:double"&gt;24.9&lt;/D&gt;&lt;D xsi:type="xsd:double"&gt;25.02&lt;/D&gt;&lt;D xsi:type="xsd:double"&gt;24.73&lt;/D&gt;&lt;D xsi:type="xsd:double"&gt;24.67&lt;/D&gt;&lt;D xsi:type="xsd:double"&gt;24.58&lt;/D&gt;&lt;D xsi:type="xsd:double"&gt;24.73&lt;/D&gt;&lt;D xsi:type="xsd:double"&gt;24.2&lt;/D&gt;&lt;D xsi:type="xsd:double"&gt;24.68&lt;/D&gt;&lt;D xsi:type="xsd:double"&gt;25.06&lt;/D&gt;&lt;D xsi:type="xsd:double"&gt;25.24&lt;/D&gt;&lt;D xsi:type="xsd:double"&gt;25.21&lt;/D&gt;&lt;D xsi:type="xsd:double"&gt;25.02&lt;/D&gt;&lt;D xsi:type="xsd:double"&gt;25&lt;/D&gt;&lt;D xsi:type="xsd:double"&gt;24.97&lt;/D&gt;&lt;D xsi:type="xsd:double"&gt;25.06&lt;/D&gt;&lt;D xsi:type="xsd:double"&gt;24.37&lt;/D&gt;&lt;D xsi:type="xsd:double"&gt;24.23&lt;/D&gt;&lt;D xsi:type="xsd:double"&gt;24.02&lt;/D&gt;&lt;D xsi:type="xsd:double"&gt;23.95&lt;/D&gt;&lt;D xsi:type="xsd:double"&gt;23.28&lt;/D&gt;&lt;D xsi:type="xsd:double"&gt;23.69&lt;/D&gt;&lt;D xsi:type="xsd:double"&gt;23.6&lt;/D&gt;&lt;D xsi:type="xsd:double"&gt;23.41&lt;/D&gt;&lt;D xsi:type="xsd:double"&gt;23.7&lt;/D&gt;&lt;D xsi:type="xsd:double"&gt;23.79&lt;/D&gt;&lt;D xsi:type="xsd:double"&gt;24.11&lt;/D&gt;&lt;D xsi:type="xsd:double"&gt;24.19&lt;/D&gt;&lt;D xsi:type="xsd:double"&gt;24.38&lt;/D&gt;&lt;D xsi:type="xsd:double"&gt;24.15&lt;/D&gt;&lt;D xsi:type="xsd:double"&gt;24.55&lt;/D&gt;&lt;D xsi:type="xsd:double"&gt;24.4&lt;/D&gt;&lt;D xsi:type="xsd:double"&gt;24.74&lt;/D&gt;&lt;D xsi:type="xsd:double"&gt;24.44&lt;/D&gt;&lt;D xsi:type="xsd:double"&gt;24.4&lt;/D&gt;&lt;D xsi:type="xsd:double"&gt;24.7&lt;/D&gt;&lt;D xsi:type="xsd:double"&gt;24.99&lt;/D&gt;&lt;D xsi:type="xsd:double"&gt;24.82&lt;/D&gt;&lt;D xsi:type="xsd:double"&gt;25.11&lt;/D&gt;&lt;D xsi:type="xsd:double"&gt;25.33&lt;/D&gt;&lt;D xsi:type="xsd:double"&gt;25.41&lt;/D&gt;&lt;D xsi:type="xsd:double"&gt;25.42&lt;/D&gt;&lt;D xsi:type="xsd:double"&gt;25.44&lt;/D&gt;&lt;D xsi:type="xsd:double"&gt;25.45&lt;/D&gt;&lt;D xsi:type="xsd:double"&gt;25.3&lt;/D&gt;&lt;D xsi:type="xsd:double"&gt;24.87&lt;/D&gt;&lt;D xsi:type="xsd:double"&gt;25.2&lt;/D&gt;&lt;D xsi:type="xsd:double"&gt;25.67&lt;/D&gt;&lt;D xsi:type="xsd:double"&gt;25.36&lt;/D&gt;&lt;D xsi:type="xsd:double"&gt;25.1&lt;/D&gt;&lt;D xsi:type="xsd:double"&gt;25.59&lt;/D&gt;&lt;D xsi:type="xsd:double"&gt;25.22&lt;/D&gt;&lt;D xsi:type="xsd:double"&gt;25.2&lt;/D&gt;&lt;D xsi:type="xsd:double"&gt;24.84&lt;/D&gt;&lt;D xsi:type="xsd:double"&gt;25.04&lt;/D&gt;&lt;D xsi:type="xsd:double"&gt;25.12&lt;/D&gt;&lt;D xsi:type="xsd:double"&gt;25.09&lt;/D&gt;&lt;D xsi:type="xsd:double"&gt;25.69&lt;/D&gt;&lt;D xsi:type="xsd:double"&gt;26.16&lt;/D&gt;&lt;D xsi:type="xsd:double"&gt;26.6&lt;/D&gt;&lt;D xsi:type="xsd:double"&gt;26.8&lt;/D&gt;&lt;D xsi:type="xsd:double"&gt;26.46&lt;/D&gt;&lt;D xsi:type="xsd:double"&gt;26.55&lt;/D&gt;&lt;D xsi:type="xsd:double"&gt;26.22&lt;/D&gt;&lt;D xsi:type="xsd:double"&gt;25.71&lt;/D&gt;&lt;D xsi:type="xsd:double"&gt;25.8&lt;/D&gt;&lt;D xsi:type="xsd:double"&gt;26&lt;/D&gt;&lt;D xsi:type="xsd:double"&gt;25.92&lt;/D&gt;&lt;D xsi:type="xsd:double"&gt;26.09&lt;/D&gt;&lt;D xsi:type="xsd:double"&gt;26.09&lt;/D&gt;&lt;D xsi:type="xsd:double"&gt;26.06&lt;/D&gt;&lt;D xsi:type="xsd:double"&gt;25.78&lt;/D&gt;&lt;D xsi:type="xsd:double"&gt;25.58&lt;/D&gt;&lt;D xsi:type="xsd:double"&gt;25.68&lt;/D&gt;&lt;D xsi:type="xsd:double"&gt;26.15&lt;/D&gt;&lt;D xsi:type="xsd:double"&gt;26.39&lt;/D&gt;&lt;D xsi:type="xsd:double"&gt;26.56&lt;/D&gt;&lt;D xsi:type="xsd:double"&gt;26.12&lt;/D&gt;&lt;D xsi:type="xsd:double"&gt;26.69&lt;/D&gt;&lt;D xsi:type="xsd:double"&gt;26.63&lt;/D&gt;&lt;D xsi:type="xsd:double"&gt;26.15&lt;/D&gt;&lt;D xsi:type="xsd:double"&gt;26.35&lt;/D&gt;&lt;D xsi:type="xsd:double"&gt;26.25&lt;/D&gt;&lt;D xsi:type="xsd:double"&gt;26.34&lt;/D&gt;&lt;D xsi:type="xsd:double"&gt;26.39&lt;/D&gt;&lt;D xsi:type="xsd:double"&gt;26.28&lt;/D&gt;&lt;D xsi:type="xsd:double"&gt;26.72&lt;/D&gt;&lt;D xsi:type="xsd:double"&gt;26.55&lt;/D&gt;&lt;D xsi:type="xsd:double"&gt;26.19&lt;/D&gt;&lt;D xsi:type="xsd:double"&gt;26.63&lt;/D&gt;&lt;D xsi:type="xsd:double"&gt;26.49&lt;/D&gt;&lt;D xsi:type="xsd:double"&gt;26.41&lt;/D&gt;&lt;D xsi:type="xsd:double"&gt;26.16&lt;/D&gt;&lt;D xsi:type="xsd:double"&gt;26.35&lt;/D&gt;&lt;D xsi:type="xsd:double"&gt;25.78&lt;/D&gt;&lt;D xsi:type="xsd:double"&gt;25.42&lt;/D&gt;&lt;D xsi:type="xsd:double"&gt;26.175&lt;/D&gt;&lt;D xsi:type="xsd:double"&gt;26.37&lt;/D&gt;&lt;D xsi:type="xsd:double"&gt;26.55&lt;/D&gt;&lt;D xsi:type="xsd:double"&gt;26.7522&lt;/D&gt;&lt;D xsi:type="xsd:double"&gt;27&lt;/D&gt;&lt;D xsi:type="xsd:double"&gt;27.09&lt;/D&gt;&lt;D xsi:type="xsd:double"&gt;26.52&lt;/D&gt;&lt;D xsi:type="xsd:double"&gt;26.34&lt;/D&gt;&lt;D xsi:type="xsd:double"&gt;26.11&lt;/D&gt;&lt;D xsi:type="xsd:double"&gt;26.08&lt;/D&gt;&lt;D xsi:type="xsd:double"&gt;26.35&lt;/D&gt;&lt;D xsi:type="xsd:double"&gt;26.96&lt;/D&gt;&lt;D xsi:type="xsd:double"&gt;27.36&lt;/D&gt;&lt;D xsi:type="xsd:double"&gt;27.13&lt;/D&gt;&lt;D xsi:type="xsd:double"&gt;27.19&lt;/D&gt;&lt;D xsi:type="xsd:double"&gt;27.15&lt;/D&gt;&lt;D xsi:type="xsd:double"&gt;26.78&lt;/D&gt;&lt;D xsi:type="xsd:double"&gt;26.72&lt;/D&gt;&lt;D xsi:type="xsd:double"&gt;27.08&lt;/D&gt;&lt;D xsi:type="xsd:double"&gt;27&lt;/D&gt;&lt;D xsi:type="xsd:double"&gt;27.14&lt;/D&gt;&lt;D xsi:type="xsd:double"&gt;27.12&lt;/D&gt;&lt;D xsi:type="xsd:double"&gt;27.23&lt;/D&gt;&lt;D xsi:type="xsd:double"&gt;26.85&lt;/D&gt;&lt;D xsi:type="xsd:double"&gt;26.81&lt;/D&gt;&lt;D xsi:type="xsd:double"&gt;26.61&lt;/D&gt;&lt;D xsi:type="xsd:double"&gt;25.96&lt;/D&gt;&lt;D xsi:type="xsd:double"&gt;26.5&lt;/D&gt;&lt;D xsi:type="xsd:double"&gt;26.7&lt;/D&gt;&lt;D xsi:type="xsd:double"&gt;26.98&lt;/D&gt;&lt;D xsi:type="xsd:double"&gt;27.35&lt;/D&gt;&lt;D xsi:type="xsd:double"&gt;27.66&lt;/D&gt;&lt;D xsi:type="xsd:double"&gt;28.08&lt;/D&gt;&lt;D xsi:type="xsd:double"&gt;27.93&lt;/D&gt;&lt;D xsi:type="xsd:double"&gt;27.82&lt;/D&gt;&lt;D xsi:type="xsd:double"&gt;28.12&lt;/D&gt;&lt;D xsi:type="xsd:double"&gt;27.95&lt;/D&gt;&lt;D xsi:type="xsd:double"&gt;27.96&lt;/D&gt;&lt;D xsi:type="xsd:double"&gt;27.66&lt;/D&gt;&lt;D xsi:type="xsd:double"&gt;27.78&lt;/D&gt;&lt;D xsi:type="xsd:double"&gt;27.6&lt;/D&gt;&lt;D xsi:type="xsd:double"&gt;27.24&lt;/D&gt;&lt;D xsi:type="xsd:double"&gt;27.84&lt;/D&gt;&lt;D xsi:type="xsd:double"&gt;27.93&lt;/D&gt;&lt;D xsi:type="xsd:double"&gt;27.78&lt;/D&gt;&lt;D xsi:type="xsd:double"&gt;27.81&lt;/D&gt;&lt;D xsi:type="xsd:double"&gt;27.27&lt;/D&gt;&lt;D xsi:type="xsd:double"&gt;27.46&lt;/D&gt;&lt;D xsi:type="xsd:double"&gt;27.36&lt;/D&gt;&lt;D xsi:type="xsd:double"&gt;27.9&lt;/D&gt;&lt;D xsi:type="xsd:double"&gt;27.69&lt;/D&gt;&lt;D xsi:type="xsd:double"&gt;27.62&lt;/D&gt;&lt;D xsi:type="xsd:double"&gt;28.01&lt;/D&gt;&lt;D xsi:type="xsd:double"&gt;28.06&lt;/D&gt;&lt;D xsi:type="xsd:double"&gt;27.75&lt;/D&gt;&lt;D xsi:type="xsd:double"&gt;27.62&lt;/D&gt;&lt;D xsi:type="xsd:double"&gt;27.16&lt;/D&gt;&lt;D xsi:type="xsd:double"&gt;27.56&lt;/D&gt;&lt;D xsi:type="xsd:double"&gt;27.35&lt;/D&gt;&lt;D xsi:type="xsd:double"&gt;27.03&lt;/D&gt;&lt;D xsi:type="xsd:double"&gt;27.27&lt;/D&gt;&lt;D xsi:type="xsd:double"&gt;26.86&lt;/D&gt;&lt;D xsi:type="xsd:double"&gt;26.89&lt;/D&gt;&lt;D xsi:type="xsd:double"&gt;26.41&lt;/D&gt;&lt;D xsi:type="xsd:double"&gt;26.18&lt;/D&gt;&lt;D xsi:type="xsd:double"&gt;26.26&lt;/D&gt;&lt;D xsi:type="xsd:double"&gt;25.96&lt;/D&gt;&lt;D xsi:type="xsd:double"&gt;25.59&lt;/D&gt;&lt;D xsi:type="xsd:double"&gt;25.55&lt;/D&gt;&lt;D xsi:type="xsd:double"&gt;25.17&lt;/D&gt;&lt;D xsi:type="xsd:double"&gt;25.3019&lt;/D&gt;&lt;D xsi:type="xsd:double"&gt;25.25&lt;/D&gt;&lt;D xsi:type="xsd:double"&gt;25.4141&lt;/D&gt;&lt;D xsi:type="xsd:double"&gt;25.19&lt;/D&gt;&lt;D xsi:type="xsd:double"&gt;24.96&lt;/D&gt;&lt;D xsi:type="xsd:double"&gt;24.18&lt;/D&gt;&lt;D xsi:type="xsd:double"&gt;25.16&lt;/D&gt;&lt;D xsi:type="xsd:double"&gt;24.13&lt;/D&gt;&lt;D xsi:type="xsd:double"&gt;24.14&lt;/D&gt;&lt;D xsi:type="xsd:double"&gt;23.83&lt;/D&gt;&lt;D xsi:type="xsd:double"&gt;25.04&lt;/D&gt;&lt;D xsi:type="xsd:double"&gt;25.56&lt;/D&gt;&lt;D xsi:type="xsd:double"&gt;25.26&lt;/D&gt;&lt;D xsi:type="xsd:double"&gt;25.3&lt;/D&gt;&lt;D xsi:type="xsd:double"&gt;24.98&lt;/D&gt;&lt;D xsi:type="xsd:double"&gt;25.1&lt;/D&gt;&lt;D xsi:type="xsd:double"&gt;25.022&lt;/D&gt;&lt;D xsi:type="xsd:double"&gt;25.2&lt;/D&gt;&lt;D xsi:type="xsd:double"&gt;25.43&lt;/D&gt;&lt;/FQL&gt;&lt;FQL&gt;&lt;Q&gt;EWQ^FG_TOTAL_RETURNC(-5AY,0,AM)&lt;/Q&gt;&lt;R&gt;61&lt;/R&gt;&lt;C&gt;1&lt;/C&gt;&lt;D xsi:type="xsd:double"&gt;3.590393&lt;/D&gt;&lt;D xsi:type="xsd:double"&gt;-1.5955985&lt;/D&gt;&lt;D xsi:type="xsd:double"&gt;1.0613203&lt;/D&gt;&lt;D xsi:type="xsd:double"&gt;5.017507&lt;/D&gt;&lt;D xsi:type="xsd:double"&gt;6.3055515&lt;/D&gt;&lt;D xsi:type="xsd:double"&gt;2.9788375&lt;/D&gt;&lt;D xsi:type="xsd:double"&gt;-4.784232&lt;/D&gt;&lt;D xsi:type="xsd:double"&gt;5.335486&lt;/D&gt;&lt;D xsi:type="xsd:double"&gt;-0.74188113&lt;/D&gt;&lt;D xsi:type="xsd:double"&gt;-3.273195&lt;/D&gt;&lt;D xsi:type="xsd:double"&gt;7.7804446&lt;/D&gt;&lt;D xsi:type="xsd:double"&gt;-2.8430223&lt;/D&gt;&lt;D xsi:type="xsd:double"&gt;2.9494047&lt;/D&gt;&lt;D xsi:type="xsd:double"&gt;-2.3368&lt;/D&gt;&lt;D xsi:type="xsd:double"&gt;-17.737324&lt;/D&gt;&lt;D xsi:type="xsd:double"&gt;7.9987407&lt;/D&gt;&lt;D xsi:type="xsd:double"&gt;-5.4742336&lt;/D&gt;&lt;D xsi:type="xsd:double"&gt;5.1409125&lt;/D&gt;&lt;D xsi:type="xsd:double"&gt;-10.423202&lt;/D&gt;&lt;D xsi:type="xsd:double"&gt;8.056868&lt;/D&gt;&lt;D xsi:type="xsd:double"&gt;-7.706767&lt;/D&gt;&lt;D xsi:type="xsd:double"&gt;-7.1283045&lt;/D&gt;&lt;D xsi:type="xsd:double"&gt;13.34064&lt;/D&gt;&lt;D xsi:type="xsd:double"&gt;8.739114&lt;/D&gt;&lt;D xsi:type="xsd:double"&gt;4.0215254&lt;/D&gt;&lt;D xsi:type="xsd:double"&gt;4.4349074&lt;/D&gt;&lt;D xsi:type="xsd:double"&gt;0.5753398&lt;/D&gt;&lt;D xsi:type="xsd:double"&gt;4.0315986&lt;/D&gt;&lt;D xsi:type="xsd:double"&gt;3.0898094&lt;/D&gt;&lt;D xsi:type="xsd:double"&gt;-3.7889063&lt;/D&gt;&lt;D xsi:type="xsd:double"&gt;0.35088062&lt;/D&gt;&lt;D xsi:type="xsd:double"&gt;2.3130774&lt;/D&gt;&lt;D xsi:type="xsd:double"&gt;-3.3911705&lt;/D&gt;&lt;D xsi:type="xsd:double"&gt;-3.5374105&lt;/D&gt;&lt;D xsi:type="xsd:double"&gt;0.16924143&lt;/D&gt;&lt;D xsi:type="xsd:double"&gt;7.8851104&lt;/D&gt;&lt;D xsi:type="xsd:double"&gt;1.2030244&lt;/D&gt;&lt;D xsi:type="xsd:double"&gt;0.36344528&lt;/D&gt;&lt;D xsi:type="xsd:double"&gt;5.794108&lt;/D&gt;&lt;D xsi:type="xsd:double"&gt;0.51344633&lt;/D&gt;&lt;D xsi:type="xsd:double"&gt;0.99732876&lt;/D&gt;&lt;D xsi:type="xsd:double"&gt;-0.024092197&lt;/D&gt;&lt;D xsi:type="xsd:double"&gt;-4.258519&lt;/D&gt;&lt;D xsi:type="xsd:double"&gt;-3.578782&lt;/D&gt;&lt;D xsi:type="xsd:double"&gt;2.7503252&lt;/D&gt;&lt;D xsi:type="xsd:double"&gt;1.8970847&lt;/D&gt;&lt;D xsi:type="xsd:double"&gt;-4.7181787&lt;/D&gt;&lt;D xsi:type="xsd:double"&gt;-0.37472844&lt;/D&gt;&lt;D xsi:type="xsd:double"&gt;-2.2294939&lt;/D&gt;&lt;D xsi:type="xsd:double"&gt;6.949067&lt;/D&gt;&lt;D xsi:type="xsd:double"&gt;8.387256&lt;/D&gt;&lt;D xsi:type="xsd:double"&gt;-14.855498&lt;/D&gt;&lt;D xsi:type="xsd:double"&gt;15.904617&lt;/D&gt;&lt;D xsi:type="xsd:double"&gt;4.1626334&lt;/D&gt;&lt;D xsi:type="xsd:double"&gt;2.8074026&lt;/D&gt;&lt;D xsi:type="xsd:double"&gt;-1.3635337&lt;/D&gt;&lt;D xsi:type="xsd:double"&gt;0.7263422&lt;/D&gt;&lt;D xsi:type="xsd:double"&gt;3.047216&lt;/D&gt;&lt;D xsi:type="xsd:double"&gt;-1.1738181&lt;/D&gt;&lt;D xsi:type="xsd:double"&gt;1.9872189&lt;/D&gt;&lt;D xsi:type="xsd:double"&gt;2.3308396&lt;/D&gt;&lt;/FQL&gt;&lt;FQL&gt;&lt;Q&gt;MCHI^FG_TOTAL_RETURNC(-5AY,0,AM)&lt;/Q&gt;&lt;R&gt;61&lt;/R&gt;&lt;C&gt;1&lt;/C&gt;&lt;D xsi:type="xsd:double"&gt;6.858921&lt;/D&gt;&lt;D xsi:type="xsd:double"&gt;8.27384&lt;/D&gt;&lt;D xsi:type="xsd:double"&gt;-12.14872&lt;/D&gt;&lt;D xsi:type="xsd:double"&gt;1.6363263&lt;/D&gt;&lt;D xsi:type="xsd:double"&gt;-2.2273362&lt;/D&gt;&lt;D xsi:type="xsd:double"&gt;0.8790493&lt;/D&gt;&lt;D xsi:type="xsd:double"&gt;-6.8306804&lt;/D&gt;&lt;D xsi:type="xsd:double"&gt;-6.6930714&lt;/D&gt;&lt;D xsi:type="xsd:double"&gt;2.9994369&lt;/D&gt;&lt;D xsi:type="xsd:double"&gt;-4.986268&lt;/D&gt;&lt;D xsi:type="xsd:double"&gt;-1.228857&lt;/D&gt;&lt;D xsi:type="xsd:double"&gt;-3.4836054&lt;/D&gt;&lt;D xsi:type="xsd:double"&gt;-5.2927375&lt;/D&gt;&lt;D xsi:type="xsd:double"&gt;1.080811&lt;/D&gt;&lt;D xsi:type="xsd:double"&gt;-15.879351&lt;/D&gt;&lt;D xsi:type="xsd:double"&gt;0.9485841&lt;/D&gt;&lt;D xsi:type="xsd:double"&gt;-10.693479&lt;/D&gt;&lt;D xsi:type="xsd:double"&gt;17.466331&lt;/D&gt;&lt;D xsi:type="xsd:double"&gt;0.04454851&lt;/D&gt;&lt;D xsi:type="xsd:double"&gt;-11.311239&lt;/D&gt;&lt;D xsi:type="xsd:double"&gt;-3.675878&lt;/D&gt;&lt;D xsi:type="xsd:double"&gt;-9.129244&lt;/D&gt;&lt;D xsi:type="xsd:double"&gt;-5.800462&lt;/D&gt;&lt;D xsi:type="xsd:double"&gt;20.83745&lt;/D&gt;&lt;D xsi:type="xsd:double"&gt;8.1009865&lt;/D&gt;&lt;D xsi:type="xsd:double"&gt;-1.2629151&lt;/D&gt;&lt;D xsi:type="xsd:double"&gt;-6.240302&lt;/D&gt;&lt;D xsi:type="xsd:double"&gt;2.7904034&lt;/D&gt;&lt;D xsi:type="xsd:double"&gt;-3.498888&lt;/D&gt;&lt;D xsi:type="xsd:double"&gt;-4.1795373&lt;/D&gt;&lt;D xsi:type="xsd:double"&gt;-1.383096&lt;/D&gt;&lt;D xsi:type="xsd:double"&gt;4.029393&lt;/D&gt;&lt;D xsi:type="xsd:double"&gt;-6.0774684&lt;/D&gt;&lt;D xsi:type="xsd:double"&gt;-1.7543852&lt;/D&gt;&lt;D xsi:type="xsd:double"&gt;0.115954876&lt;/D&gt;&lt;D xsi:type="xsd:double"&gt;-6.300664&lt;/D&gt;&lt;D xsi:type="xsd:double"&gt;-1.0684788&lt;/D&gt;&lt;D xsi:type="xsd:double"&gt;-4.4581056&lt;/D&gt;&lt;D xsi:type="xsd:double"&gt;4.478407&lt;/D&gt;&lt;D xsi:type="xsd:double"&gt;3.0287504&lt;/D&gt;&lt;D xsi:type="xsd:double"&gt;9.466863&lt;/D&gt;&lt;D xsi:type="xsd:double"&gt;-0.7055044&lt;/D&gt;&lt;D xsi:type="xsd:double"&gt;-2.5756776&lt;/D&gt;&lt;D xsi:type="xsd:double"&gt;-1.5122831&lt;/D&gt;&lt;D xsi:type="xsd:double"&gt;-2.3272574&lt;/D&gt;&lt;D xsi:type="xsd:double"&gt;30.729557&lt;/D&gt;&lt;D xsi:type="xsd:double"&gt;-7.065016&lt;/D&gt;&lt;D xsi:type="xsd:double"&gt;-3.3360243&lt;/D&gt;&lt;D xsi:type="xsd:double"&gt;-4.250455&lt;/D&gt;&lt;D xsi:type="xsd:double"&gt;10.683287&lt;/D&gt;&lt;D xsi:type="xsd:double"&gt;13.61351&lt;/D&gt;&lt;D xsi:type="xsd:double"&gt;-19.9646&lt;/D&gt;&lt;D xsi:type="xsd:double"&gt;18.19991&lt;/D&gt;&lt;D xsi:type="xsd:double"&gt;2.7502298&lt;/D&gt;&lt;D xsi:type="xsd:double"&gt;1.3596773&lt;/D&gt;&lt;D xsi:type="xsd:double"&gt;5.5505157&lt;/D&gt;&lt;D xsi:type="xsd:double"&gt;7.063067&lt;/D&gt;&lt;D xsi:type="xsd:double"&gt;6.1476707&lt;/D&gt;&lt;D xsi:type="xsd:double"&gt;-3.810674&lt;/D&gt;&lt;D xsi:type="xsd:double"&gt;-2.1851897&lt;/D&gt;&lt;D xsi:type="xsd:double"&gt;1.3287783&lt;/D&gt;&lt;/FQL&gt;&lt;FQL&gt;&lt;Q&gt;EWM^FG_TOTAL_RETURNC(-5AY,0,AM)&lt;/Q&gt;&lt;R&gt;61&lt;/R&gt;&lt;C&gt;1&lt;/C&gt;&lt;D xsi:type="xsd:double"&gt;0.66224337&lt;/D&gt;&lt;D xsi:type="xsd:double"&gt;-4.9169006&lt;/D&gt;&lt;D xsi:type="xsd:double"&gt;0.4369974&lt;/D&gt;&lt;D xsi:type="xsd:double"&gt;-0.18128753&lt;/D&gt;&lt;D xsi:type="xsd:double"&gt;1.0533929&lt;/D&gt;&lt;D xsi:type="xsd:double"&gt;-1.186198&lt;/D&gt;&lt;D xsi:type="xsd:double"&gt;-7.0563912&lt;/D&gt;&lt;D xsi:type="xsd:double"&gt;-1.0496557&lt;/D&gt;&lt;D xsi:type="xsd:double"&gt;7.139945&lt;/D&gt;&lt;D xsi:type="xsd:double"&gt;-0.11424422&lt;/D&gt;&lt;D xsi:type="xsd:double"&gt;-1.9824624&lt;/D&gt;&lt;D xsi:type="xsd:double"&gt;-3.6950588&lt;/D&gt;&lt;D xsi:type="xsd:double"&gt;2.8697848&lt;/D&gt;&lt;D xsi:type="xsd:double"&gt;-0.040555&lt;/D&gt;&lt;D xsi:type="xsd:double"&gt;0.44624805&lt;/D&gt;&lt;D xsi:type="xsd:double"&gt;4.038775&lt;/D&gt;&lt;D xsi:type="xsd:double"&gt;-6.2111797&lt;/D&gt;&lt;D xsi:type="xsd:double"&gt;-2.7317882&lt;/D&gt;&lt;D xsi:type="xsd:double"&gt;-6.0320735&lt;/D&gt;&lt;D xsi:type="xsd:double"&gt;4.2513847&lt;/D&gt;&lt;D xsi:type="xsd:double"&gt;-1.5957415&lt;/D&gt;&lt;D xsi:type="xsd:double"&gt;-8.603602&lt;/D&gt;&lt;D xsi:type="xsd:double"&gt;2.5628328&lt;/D&gt;&lt;D xsi:type="xsd:double"&gt;9.178281&lt;/D&gt;&lt;D xsi:type="xsd:double"&gt;2.2123575&lt;/D&gt;&lt;D xsi:type="xsd:double"&gt;0.47826767&lt;/D&gt;&lt;D xsi:type="xsd:double"&gt;-6.0579896&lt;/D&gt;&lt;D xsi:type="xsd:double"&gt;2.5334&lt;/D&gt;&lt;D xsi:type="xsd:double"&gt;-0.58401227&lt;/D&gt;&lt;D xsi:type="xsd:double"&gt;-7.5300217&lt;/D&gt;&lt;D xsi:type="xsd:double"&gt;-0.895524&lt;/D&gt;&lt;D xsi:type="xsd:double"&gt;7.078314&lt;/D&gt;&lt;D xsi:type="xsd:double"&gt;-1.547116&lt;/D&gt;&lt;D xsi:type="xsd:double"&gt;-2.0952404&lt;/D&gt;&lt;D xsi:type="xsd:double"&gt;3.550589&lt;/D&gt;&lt;D xsi:type="xsd:double"&gt;-1.362145&lt;/D&gt;&lt;D xsi:type="xsd:double"&gt;5.01436&lt;/D&gt;&lt;D xsi:type="xsd:double"&gt;-3.09183&lt;/D&gt;&lt;D xsi:type="xsd:double"&gt;3.90476&lt;/D&gt;&lt;D xsi:type="xsd:double"&gt;1.4665484&lt;/D&gt;&lt;D xsi:type="xsd:double"&gt;3.206873&lt;/D&gt;&lt;D xsi:type="xsd:double"&gt;0.7439852&lt;/D&gt;&lt;D xsi:type="xsd:double"&gt;1.1603475&lt;/D&gt;&lt;D xsi:type="xsd:double"&gt;3.403139&lt;/D&gt;&lt;D xsi:type="xsd:double"&gt;6.6666603&lt;/D&gt;&lt;D xsi:type="xsd:double"&gt;2.492082&lt;/D&gt;&lt;D xsi:type="xsd:double"&gt;-3.82092&lt;/D&gt;&lt;D xsi:type="xsd:double"&gt;0.32103062&lt;/D&gt;&lt;D xsi:type="xsd:double"&gt;-2.2798955&lt;/D&gt;&lt;D xsi:type="xsd:double"&gt;-0.04169941&lt;/D&gt;&lt;D xsi:type="xsd:double"&gt;-2.8368711&lt;/D&gt;&lt;D xsi:type="xsd:double"&gt;-8.973807&lt;/D&gt;&lt;D xsi:type="xsd:double"&gt;14.6698&lt;/D&gt;&lt;D xsi:type="xsd:double"&gt;-0.24681091&lt;/D&gt;&lt;D xsi:type="xsd:double"&gt;0.8592725&lt;/D&gt;&lt;D xsi:type="xsd:double"&gt;2.3382068&lt;/D&gt;&lt;D xsi:type="xsd:double"&gt;2.48878&lt;/D&gt;&lt;D xsi:type="xsd:double"&gt;3.5827994&lt;/D&gt;&lt;D xsi:type="xsd:double"&gt;0.80707073&lt;/D&gt;&lt;D xsi:type="xsd:double"&gt;0.3431201&lt;/D&gt;&lt;D xsi:type="xsd:double"&gt;5.602145&lt;/D&gt;&lt;/FQL&gt;&lt;FQL&gt;&lt;Q&gt;EWZ^FG_PRICE(0,-200D)&lt;/Q&gt;&lt;R&gt;201&lt;/R&gt;&lt;C&gt;1&lt;/C&gt;&lt;D xsi:type="xsd:double"&gt;32.88&lt;/D&gt;&lt;D xsi:type="xsd:double"&gt;32.7&lt;/D&gt;&lt;D xsi:type="xsd:double"&gt;33.11&lt;/D&gt;&lt;D xsi:type="xsd:double"&gt;32.79&lt;/D&gt;&lt;D xsi:type="xsd:double"&gt;32.2&lt;/D&gt;&lt;D xsi:type="xsd:double"&gt;31.77&lt;/D&gt;&lt;D xsi:type="xsd:double"&gt;31.99&lt;/D&gt;&lt;D xsi:type="xsd:double"&gt;31.42&lt;/D&gt;&lt;D xsi:type="xsd:double"&gt;31.73&lt;/D&gt;&lt;D xsi:type="xsd:double"&gt;31.55&lt;/D&gt;&lt;D xsi:type="xsd:double"&gt;31.65&lt;/D&gt;&lt;D xsi:type="xsd:double"&gt;30.97&lt;/D&gt;&lt;D xsi:type="xsd:double"&gt;31.17&lt;/D&gt;&lt;D xsi:type="xsd:double"&gt;31.17&lt;/D&gt;&lt;D xsi:type="xsd:double"&gt;31&lt;/D&gt;&lt;D xsi:type="xsd:double"&gt;31.6&lt;/D&gt;&lt;D xsi:type="xsd:double"&gt;33.58&lt;/D&gt;&lt;D xsi:type="xsd:double"&gt;33.32&lt;/D&gt;&lt;D xsi:type="xsd:double"&gt;33.16&lt;/D&gt;&lt;D xsi:type="xsd:double"&gt;32.77&lt;/D&gt;&lt;D xsi:type="xsd:double"&gt;32.74&lt;/D&gt;&lt;D xsi:type="xsd:double"&gt;32.75&lt;/D&gt;&lt;D xsi:type="xsd:double"&gt;32.53&lt;/D&gt;&lt;D xsi:type="xsd:double"&gt;34.72&lt;/D&gt;&lt;D xsi:type="xsd:double"&gt;34.2&lt;/D&gt;&lt;D xsi:type="xsd:double"&gt;34.03&lt;/D&gt;&lt;D xsi:type="xsd:double"&gt;33.4&lt;/D&gt;&lt;D xsi:type="xsd:double"&gt;33.61&lt;/D&gt;&lt;D xsi:type="xsd:double"&gt;33.47&lt;/D&gt;&lt;D xsi:type="xsd:double"&gt;32.55&lt;/D&gt;&lt;D xsi:type="xsd:double"&gt;32.2&lt;/D&gt;&lt;D xsi:type="xsd:double"&gt;32.03&lt;/D&gt;&lt;D xsi:type="xsd:double"&gt;31.9&lt;/D&gt;&lt;D xsi:type="xsd:double"&gt;32.49&lt;/D&gt;&lt;D xsi:type="xsd:double"&gt;32.71&lt;/D&gt;&lt;D xsi:type="xsd:double"&gt;32.78&lt;/D&gt;&lt;D xsi:type="xsd:double"&gt;33.18&lt;/D&gt;&lt;D xsi:type="xsd:double"&gt;32.98&lt;/D&gt;&lt;D xsi:type="xsd:double"&gt;33.22&lt;/D&gt;&lt;D xsi:type="xsd:double"&gt;33.49&lt;/D&gt;&lt;D xsi:type="xsd:double"&gt;32.72&lt;/D&gt;&lt;D xsi:type="xsd:double"&gt;32.3&lt;/D&gt;&lt;D xsi:type="xsd:double"&gt;32.04&lt;/D&gt;&lt;D xsi:type="xsd:double"&gt;32.1&lt;/D&gt;&lt;D xsi:type="xsd:double"&gt;31.18&lt;/D&gt;&lt;D xsi:type="xsd:double"&gt;31.52&lt;/D&gt;&lt;D xsi:type="xsd:double"&gt;31.17&lt;/D&gt;&lt;D xsi:type="xsd:double"&gt;31.05&lt;/D&gt;&lt;D xsi:type="xsd:double"&gt;31.18&lt;/D&gt;&lt;D xsi:type="xsd:double"&gt;30.92&lt;/D&gt;&lt;D xsi:type="xsd:double"&gt;30.77&lt;/D&gt;&lt;D xsi:type="xsd:double"&gt;30.48&lt;/D&gt;&lt;D xsi:type="xsd:double"&gt;30.47&lt;/D&gt;&lt;D xsi:type="xsd:double"&gt;30.03&lt;/D&gt;&lt;D xsi:type="xsd:double"&gt;29.94&lt;/D&gt;&lt;D xsi:type="xsd:double"&gt;30.22&lt;/D&gt;&lt;D xsi:type="xsd:double"&gt;29.71&lt;/D&gt;&lt;D xsi:type="xsd:double"&gt;29.24&lt;/D&gt;&lt;D xsi:type="xsd:double"&gt;29.32&lt;/D&gt;&lt;D xsi:type="xsd:double"&gt;29.1&lt;/D&gt;&lt;D xsi:type="xsd:double"&gt;29.18&lt;/D&gt;&lt;D xsi:type="xsd:double"&gt;28.79&lt;/D&gt;&lt;D xsi:type="xsd:double"&gt;29.67&lt;/D&gt;&lt;D xsi:type="xsd:double"&gt;29.87&lt;/D&gt;&lt;D xsi:type="xsd:double"&gt;29.68&lt;/D&gt;&lt;D xsi:type="xsd:double"&gt;30.31&lt;/D&gt;&lt;D xsi:type="xsd:double"&gt;30.33&lt;/D&gt;&lt;D xsi:type="xsd:double"&gt;30.24&lt;/D&gt;&lt;D xsi:type="xsd:double"&gt;30.58&lt;/D&gt;&lt;D xsi:type="xsd:double"&gt;31&lt;/D&gt;&lt;D xsi:type="xsd:double"&gt;30.99&lt;/D&gt;&lt;D xsi:type="xsd:double"&gt;30.73&lt;/D&gt;&lt;D xsi:type="xsd:double"&gt;30.58&lt;/D&gt;&lt;D xsi:type="xsd:double"&gt;31.05&lt;/D&gt;&lt;D xsi:type="xsd:double"&gt;31.32&lt;/D&gt;&lt;D xsi:type="xsd:double"&gt;30.79&lt;/D&gt;&lt;D xsi:type="xsd:double"&gt;30.93&lt;/D&gt;&lt;D xsi:type="xsd:double"&gt;30.82&lt;/D&gt;&lt;D xsi:type="xsd:double"&gt;30.94&lt;/D&gt;&lt;D xsi:type="xsd:double"&gt;30.69&lt;/D&gt;&lt;D xsi:type="xsd:double"&gt;30.51&lt;/D&gt;&lt;D xsi:type="xsd:double"&gt;30.03&lt;/D&gt;&lt;D xsi:type="xsd:double"&gt;30.05&lt;/D&gt;&lt;D xsi:type="xsd:double"&gt;29.79&lt;/D&gt;&lt;D xsi:type="xsd:double"&gt;29.54&lt;/D&gt;&lt;D xsi:type="xsd:double"&gt;29.58&lt;/D&gt;&lt;D xsi:type="xsd:double"&gt;29.63&lt;/D&gt;&lt;D xsi:type="xsd:double"&gt;29.17&lt;/D&gt;&lt;D xsi:type="xsd:double"&gt;28.99&lt;/D&gt;&lt;D xsi:type="xsd:double"&gt;29&lt;/D&gt;&lt;D xsi:type="xsd:double"&gt;29.5&lt;/D&gt;&lt;D xsi:type="xsd:double"&gt;29.49&lt;/D&gt;&lt;D xsi:type="xsd:double"&gt;29.02&lt;/D&gt;&lt;D xsi:type="xsd:double"&gt;28.61&lt;/D&gt;&lt;D xsi:type="xsd:double"&gt;28.74&lt;/D&gt;&lt;D xsi:type="xsd:double"&gt;28.61&lt;/D&gt;&lt;D xsi:type="xsd:double"&gt;27.66&lt;/D&gt;&lt;D xsi:type="xsd:double"&gt;27.69&lt;/D&gt;&lt;D xsi:type="xsd:double"&gt;27.36&lt;/D&gt;&lt;D xsi:type="xsd:double"&gt;28.29&lt;/D&gt;&lt;D xsi:type="xsd:double"&gt;28.2&lt;/D&gt;&lt;D xsi:type="xsd:double"&gt;27.89&lt;/D&gt;&lt;D xsi:type="xsd:double"&gt;28.18&lt;/D&gt;&lt;D xsi:type="xsd:double"&gt;28.39&lt;/D&gt;&lt;D xsi:type="xsd:double"&gt;27.64&lt;/D&gt;&lt;D xsi:type="xsd:double"&gt;27.81&lt;/D&gt;&lt;D xsi:type="xsd:double"&gt;28.05&lt;/D&gt;&lt;D xsi:type="xsd:double"&gt;27.45&lt;/D&gt;&lt;D xsi:type="xsd:double"&gt;27.02&lt;/D&gt;&lt;D xsi:type="xsd:double"&gt;26.93&lt;/D&gt;&lt;D xsi:type="xsd:double"&gt;26.65&lt;/D&gt;&lt;D xsi:type="xsd:double"&gt;26.55&lt;/D&gt;&lt;D xsi:type="xsd:double"&gt;26.88&lt;/D&gt;&lt;D xsi:type="xsd:double"&gt;26.76&lt;/D&gt;&lt;D xsi:type="xsd:double"&gt;26.52&lt;/D&gt;&lt;D xsi:type="xsd:double"&gt;26.94&lt;/D&gt;&lt;D xsi:type="xsd:double"&gt;27.13&lt;/D&gt;&lt;D xsi:type="xsd:double"&gt;27.48&lt;/D&gt;&lt;D xsi:type="xsd:double"&gt;27&lt;/D&gt;&lt;D </t>
        </r>
      </text>
    </comment>
    <comment ref="A7" authorId="0" shapeId="0" xr:uid="{92496541-9AA8-455F-94FA-56EC53492901}">
      <text>
        <r>
          <rPr>
            <b/>
            <sz val="9"/>
            <color indexed="81"/>
            <rFont val="Tahoma"/>
            <charset val="1"/>
          </rPr>
          <t>xsi:type="xsd:double"&gt;27.08&lt;/D&gt;&lt;D xsi:type="xsd:double"&gt;26.85&lt;/D&gt;&lt;D xsi:type="xsd:double"&gt;27.69&lt;/D&gt;&lt;D xsi:type="xsd:double"&gt;27.57&lt;/D&gt;&lt;D xsi:type="xsd:double"&gt;27.47&lt;/D&gt;&lt;D xsi:type="xsd:double"&gt;27.31&lt;/D&gt;&lt;D xsi:type="xsd:double"&gt;27.53&lt;/D&gt;&lt;D xsi:type="xsd:double"&gt;27.72&lt;/D&gt;&lt;D xsi:type="xsd:double"&gt;28.16&lt;/D&gt;&lt;D xsi:type="xsd:double"&gt;28.71&lt;/D&gt;&lt;D xsi:type="xsd:double"&gt;28.6&lt;/D&gt;&lt;D xsi:type="xsd:double"&gt;29.31&lt;/D&gt;&lt;D xsi:type="xsd:double"&gt;28.91&lt;/D&gt;&lt;D xsi:type="xsd:double"&gt;28.79&lt;/D&gt;&lt;D xsi:type="xsd:double"&gt;28.85&lt;/D&gt;&lt;D xsi:type="xsd:double"&gt;28.14&lt;/D&gt;&lt;D xsi:type="xsd:double"&gt;28.13&lt;/D&gt;&lt;D xsi:type="xsd:double"&gt;27.57&lt;/D&gt;&lt;D xsi:type="xsd:double"&gt;27.98&lt;/D&gt;&lt;D xsi:type="xsd:double"&gt;27.66&lt;/D&gt;&lt;D xsi:type="xsd:double"&gt;27.67&lt;/D&gt;&lt;D xsi:type="xsd:double"&gt;28.08&lt;/D&gt;&lt;D xsi:type="xsd:double"&gt;28.11&lt;/D&gt;&lt;D xsi:type="xsd:double"&gt;28.31&lt;/D&gt;&lt;D xsi:type="xsd:double"&gt;28.14&lt;/D&gt;&lt;D xsi:type="xsd:double"&gt;28.15&lt;/D&gt;&lt;D xsi:type="xsd:double"&gt;28.22&lt;/D&gt;&lt;D xsi:type="xsd:double"&gt;27.72&lt;/D&gt;&lt;D xsi:type="xsd:double"&gt;27.62&lt;/D&gt;&lt;D xsi:type="xsd:double"&gt;27.72&lt;/D&gt;&lt;D xsi:type="xsd:double"&gt;27.6&lt;/D&gt;&lt;D xsi:type="xsd:double"&gt;27.44&lt;/D&gt;&lt;D xsi:type="xsd:double"&gt;27.58&lt;/D&gt;&lt;D xsi:type="xsd:double"&gt;27.27&lt;/D&gt;&lt;D xsi:type="xsd:double"&gt;27.21&lt;/D&gt;&lt;D xsi:type="xsd:double"&gt;27.7&lt;/D&gt;&lt;D xsi:type="xsd:double"&gt;27.69&lt;/D&gt;&lt;D xsi:type="xsd:double"&gt;27.99&lt;/D&gt;&lt;D xsi:type="xsd:double"&gt;27.65&lt;/D&gt;&lt;D xsi:type="xsd:double"&gt;27.52&lt;/D&gt;&lt;D xsi:type="xsd:double"&gt;27.67&lt;/D&gt;&lt;D xsi:type="xsd:double"&gt;28.16&lt;/D&gt;&lt;D xsi:type="xsd:double"&gt;28.18&lt;/D&gt;&lt;D xsi:type="xsd:double"&gt;28&lt;/D&gt;&lt;D xsi:type="xsd:double"&gt;28.01&lt;/D&gt;&lt;D xsi:type="xsd:double"&gt;28.2&lt;/D&gt;&lt;D xsi:type="xsd:double"&gt;28.33&lt;/D&gt;&lt;D xsi:type="xsd:double"&gt;27.49&lt;/D&gt;&lt;D xsi:type="xsd:double"&gt;27.56&lt;/D&gt;&lt;D xsi:type="xsd:double"&gt;27.48&lt;/D&gt;&lt;D xsi:type="xsd:double"&gt;26.4&lt;/D&gt;&lt;D xsi:type="xsd:double"&gt;26.61&lt;/D&gt;&lt;D xsi:type="xsd:double"&gt;26.71&lt;/D&gt;&lt;D xsi:type="xsd:double"&gt;27.12&lt;/D&gt;&lt;D xsi:type="xsd:double"&gt;26.88&lt;/D&gt;&lt;D xsi:type="xsd:double"&gt;27.04&lt;/D&gt;&lt;D xsi:type="xsd:double"&gt;27.36&lt;/D&gt;&lt;D xsi:type="xsd:double"&gt;27.21&lt;/D&gt;&lt;D xsi:type="xsd:double"&gt;26.94&lt;/D&gt;&lt;D xsi:type="xsd:double"&gt;26.74&lt;/D&gt;&lt;D xsi:type="xsd:double"&gt;26.31&lt;/D&gt;&lt;D xsi:type="xsd:double"&gt;25.86&lt;/D&gt;&lt;D xsi:type="xsd:double"&gt;25.2&lt;/D&gt;&lt;D xsi:type="xsd:double"&gt;25.22&lt;/D&gt;&lt;D xsi:type="xsd:double"&gt;24.79&lt;/D&gt;&lt;D xsi:type="xsd:double"&gt;24.86&lt;/D&gt;&lt;D xsi:type="xsd:double"&gt;25.01&lt;/D&gt;&lt;D xsi:type="xsd:double"&gt;24.69&lt;/D&gt;&lt;D xsi:type="xsd:double"&gt;24.19&lt;/D&gt;&lt;D xsi:type="xsd:double"&gt;24.71&lt;/D&gt;&lt;D xsi:type="xsd:double"&gt;23.44&lt;/D&gt;&lt;D xsi:type="xsd:double"&gt;23.95&lt;/D&gt;&lt;D xsi:type="xsd:double"&gt;24.5&lt;/D&gt;&lt;D xsi:type="xsd:double"&gt;26.33&lt;/D&gt;&lt;D xsi:type="xsd:double"&gt;26.14&lt;/D&gt;&lt;D xsi:type="xsd:double"&gt;26.14&lt;/D&gt;&lt;D xsi:type="xsd:double"&gt;25.85&lt;/D&gt;&lt;D xsi:type="xsd:double"&gt;25.96&lt;/D&gt;&lt;D xsi:type="xsd:double"&gt;26.33&lt;/D&gt;&lt;D xsi:type="xsd:double"&gt;26.3&lt;/D&gt;&lt;D xsi:type="xsd:double"&gt;26.42&lt;/D&gt;&lt;D xsi:type="xsd:double"&gt;26.19&lt;/D&gt;&lt;/FQL&gt;&lt;FQL&gt;&lt;Q&gt;SPY^FG_TOTAL_RETURNC(-5AY,0,AM)&lt;/Q&gt;&lt;R&gt;61&lt;/R&gt;&lt;C&gt;1&lt;/C&gt;&lt;D xsi:type="xsd:double"&gt;3.4367085&lt;/D&gt;&lt;D xsi:type="xsd:double"&gt;2.4261713&lt;/D&gt;&lt;D xsi:type="xsd:double"&gt;-2.2509038&lt;/D&gt;&lt;D xsi:type="xsd:double"&gt;7.371962&lt;/D&gt;&lt;D xsi:type="xsd:double"&gt;3.3290863&lt;/D&gt;&lt;D xsi:type="xsd:double"&gt;0.037908554&lt;/D&gt;&lt;D xsi:type="xsd:double"&gt;2.3844242&lt;/D&gt;&lt;D xsi:type="xsd:double"&gt;2.6849508&lt;/D&gt;&lt;D xsi:type="xsd:double"&gt;1.9028664&lt;/D&gt;&lt;D xsi:type="xsd:double"&gt;-2.5799751&lt;/D&gt;&lt;D xsi:type="xsd:double"&gt;7.0958734&lt;/D&gt;&lt;D xsi:type="xsd:double"&gt;0.12581348&lt;/D&gt;&lt;D xsi:type="xsd:double"&gt;-0.37727952&lt;/D&gt;&lt;D xsi:type="xsd:double"&gt;-3.250444&lt;/D&gt;&lt;D xsi:type="xsd:double"&gt;-7.6928196&lt;/D&gt;&lt;D xsi:type="xsd:double"&gt;7.854748&lt;/D&gt;&lt;D xsi:type="xsd:double"&gt;-8.094824&lt;/D&gt;&lt;D xsi:type="xsd:double"&gt;-0.029170513&lt;/D&gt;&lt;D xsi:type="xsd:double"&gt;-5.076313&lt;/D&gt;&lt;D xsi:type="xsd:double"&gt;6.257224&lt;/D&gt;&lt;D xsi:type="xsd:double"&gt;-3.0533373&lt;/D&gt;&lt;D xsi:type="xsd:double"&gt;-9.013409&lt;/D&gt;&lt;D xsi:type="xsd:double"&gt;5.295074&lt;/D&gt;&lt;D xsi:type="xsd:double"&gt;3.727746&lt;/D&gt;&lt;D xsi:type="xsd:double"&gt;-1.6041398&lt;/D&gt;&lt;D xsi:type="xsd:double"&gt;5.815816&lt;/D&gt;&lt;D xsi:type="xsd:double"&gt;-2.8564453&lt;/D&gt;&lt;D xsi:type="xsd:double"&gt;2.9706001&lt;/D&gt;&lt;D xsi:type="xsd:double"&gt;0.86756945&lt;/D&gt;&lt;D xsi:type="xsd:double"&gt;3.9710283&lt;/D&gt;&lt;D xsi:type="xsd:double"&gt;2.5761366&lt;/D&gt;&lt;D xsi:type="xsd:double"&gt;2.3258448&lt;/D&gt;&lt;D xsi:type="xsd:double"&gt;-0.71977973&lt;/D&gt;&lt;D xsi:type="xsd:double"&gt;-3.2425523&lt;/D&gt;&lt;D xsi:type="xsd:double"&gt;1.7949462&lt;/D&gt;&lt;D xsi:type="xsd:double"&gt;5.2487135&lt;/D&gt;&lt;D xsi:type="xsd:double"&gt;3.5479069&lt;/D&gt;&lt;D xsi:type="xsd:double"&gt;4.997897&lt;/D&gt;&lt;D xsi:type="xsd:double"&gt;2.6890397&lt;/D&gt;&lt;D xsi:type="xsd:double"&gt;1.6850352&lt;/D&gt;&lt;D xsi:type="xsd:double"&gt;-0.29495358&lt;/D&gt;&lt;D xsi:type="xsd:double"&gt;3.2521963&lt;/D&gt;&lt;D xsi:type="xsd:double"&gt;4.3189883&lt;/D&gt;&lt;D xsi:type="xsd:double"&gt;-4.435599&lt;/D&gt;&lt;D xsi:type="xsd:double"&gt;1.8298268&lt;/D&gt;&lt;D xsi:type="xsd:double"&gt;6.397712&lt;/D&gt;&lt;D xsi:type="xsd:double"&gt;4.365206&lt;/D&gt;&lt;D xsi:type="xsd:double"&gt;1.608181&lt;/D&gt;&lt;D xsi:type="xsd:double"&gt;-2.6916325&lt;/D&gt;&lt;D xsi:type="xsd:double"&gt;1.9135237&lt;/D&gt;&lt;D xsi:type="xsd:double"&gt;-4.136366&lt;/D&gt;&lt;D xsi:type="xsd:double"&gt;-13.534409&lt;/D&gt;&lt;D xsi:type="xsd:double"&gt;13.813246&lt;/D&gt;&lt;D xsi:type="xsd:double"&gt;6.031215&lt;/D&gt;&lt;D xsi:type="xsd:double"&gt;3.8452387&lt;/D&gt;&lt;D xsi:type="xsd:double"&gt;2.714634&lt;/D&gt;&lt;D xsi:type="xsd:double"&gt;1.8283725&lt;/D&gt;&lt;D xsi:type="xsd:double"&gt;4.028344&lt;/D&gt;&lt;D xsi:type="xsd:double"&gt;-0.31793118&lt;/D&gt;&lt;D xsi:type="xsd:double"&gt;1.8868208&lt;/D&gt;&lt;D xsi:type="xsd:double"&gt;1.1555195&lt;/D&gt;&lt;/FQL&gt;&lt;FQL&gt;&lt;Q&gt;INDA^FG_TOTAL_RETURNC(-5AY,0,AM)&lt;/Q&gt;&lt;R&gt;61&lt;/R&gt;&lt;C&gt;1&lt;/C&gt;&lt;D xsi:type="xsd:double"&gt;8.602608&lt;/D&gt;&lt;D xsi:type="xsd:double"&gt;2.39923&lt;/D&gt;&lt;D xsi:type="xsd:double"&gt;-1.0074973&lt;/D&gt;&lt;D xsi:type="xsd:double"&gt;-0.7100582&lt;/D&gt;&lt;D xsi:type="xsd:double"&gt;1.8831968&lt;/D&gt;&lt;D xsi:type="xsd:double"&gt;6.059897&lt;/D&gt;&lt;D xsi:type="xsd:double"&gt;-3.0652523&lt;/D&gt;&lt;D xsi:type="xsd:double"&gt;4.0318847&lt;/D&gt;&lt;D xsi:type="xsd:double"&gt;7.3352337&lt;/D&gt;&lt;D xsi:type="xsd:double"&gt;0.48959255&lt;/D&gt;&lt;D xsi:type="xsd:double"&gt;2.9029608&lt;/D&gt;&lt;D xsi:type="xsd:double"&gt;-4.419011&lt;/D&gt;&lt;D xsi:type="xsd:double"&gt;3.5985112&lt;/D&gt;&lt;D xsi:type="xsd:double"&gt;-4.3284535&lt;/D&gt;&lt;D xsi:type="xsd:double"&gt;-9.248173&lt;/D&gt;&lt;D xsi:type="xsd:double"&gt;12.072349&lt;/D&gt;&lt;D xsi:type="xsd:double"&gt;-8.19887&lt;/D&gt;&lt;D xsi:type="xsd:double"&gt;-2.6365697&lt;/D&gt;&lt;D xsi:type="xsd:double"&gt;-1.9273043&lt;/D&gt;&lt;D xsi:type="xsd:double"&gt;7.2388053&lt;/D&gt;&lt;D xsi:type="xsd:double"&gt;1.5773654&lt;/D&gt;&lt;D xsi:type="xsd:double"&gt;-7.7529135&lt;/D&gt;&lt;D xsi:type="xsd:double"&gt;7.587564&lt;/D&gt;&lt;D xsi:type="xsd:double"&gt;-0.25310516&lt;/D&gt;&lt;D xsi:type="xsd:double"&gt;-2.9296339&lt;/D&gt;&lt;D xsi:type="xsd:double"&gt;-3.6834657&lt;/D&gt;&lt;D xsi:type="xsd:double"&gt;-0.74018836&lt;/D&gt;&lt;D xsi:type="xsd:double"&gt;-0.6959975&lt;/D&gt;&lt;D xsi:type="xsd:double"&gt;3.954935&lt;/D&gt;&lt;D xsi:type="xsd:double"&gt;1.8778801&lt;/D&gt;&lt;D xsi:type="xsd:double"&gt;3.2441378&lt;/D&gt;&lt;D xsi:type="xsd:double"&gt;0.7568836&lt;/D&gt;&lt;D xsi:type="xsd:double"&gt;2.4812222&lt;/D&gt;&lt;D xsi:type="xsd:double"&gt;-0.9773433&lt;/D&gt;&lt;D xsi:type="xsd:double"&gt;-0.5607903&lt;/D&gt;&lt;D xsi:type="xsd:double"&gt;6.722307&lt;/D&gt;&lt;D xsi:type="xsd:double"&gt;3.762412&lt;/D&gt;&lt;D xsi:type="xsd:double"&gt;2.8722763&lt;/D&gt;&lt;D xsi:type="xsd:double"&gt;3.5247445&lt;/D&gt;&lt;D xsi:type="xsd:double"&gt;0.19128323&lt;/D&gt;&lt;D xsi:type="xsd:double"&gt;-0.68728924&lt;/D&gt;&lt;D xsi:type="xsd:double"&gt;3.787005&lt;/D&gt;&lt;D xsi:type="xsd:double"&gt;4.889798&lt;/D&gt;&lt;D xsi:type="xsd:double"&gt;-1.518631&lt;/D&gt;&lt;D xsi:type="xsd:double"&gt;1.3268709&lt;/D&gt;&lt;D xsi:type="xsd:double"&gt;1.0086775&lt;/D&gt;&lt;D xsi:type="xsd:double"&gt;-4.7652426&lt;/D&gt;&lt;D xsi:type="xsd:double"&gt;2.4098516&lt;/D&gt;&lt;D xsi:type="xsd:double"&gt;-5.3116918&lt;/D&gt;&lt;D xsi:type="xsd:double"&gt;-3.4970403&lt;/D&gt;&lt;D xsi:type="xsd:double"&gt;-2.811879&lt;/D&gt;&lt;D xsi:type="xsd:double"&gt;0.16299486&lt;/D&gt;&lt;D xsi:type="xsd:double"&gt;4.8413396&lt;/D&gt;&lt;D xsi:type="xsd:double"&gt;6.5386057&lt;/D&gt;&lt;D xsi:type="xsd:double"&gt;1.4205098&lt;/D&gt;&lt;D xsi:type="xsd:double"&gt;-6.4104853&lt;/D&gt;&lt;D xsi:type="xsd:double"&gt;1.4773607&lt;/D&gt;&lt;D xsi:type="xsd:double"&gt;-0.49158335&lt;/D&gt;&lt;D xsi:type="xsd:double"&gt;2.1280646&lt;/D&gt;&lt;D xsi:type="xsd:double"&gt;-1.246506&lt;/D&gt;&lt;D xsi:type="xsd:double"&gt;1.2057304&lt;/D&gt;&lt;/FQL&gt;&lt;FQL&gt;&lt;Q&gt;EPU^FG_TOTAL_RETURNC(-5AY,0,AM)&lt;/Q&gt;&lt;R&gt;61&lt;/R&gt;&lt;C&gt;1&lt;/C&gt;&lt;D xsi:type="xsd:double"&gt;6.0005903&lt;/D&gt;&lt;D xsi:type="xsd:double"&gt;1.9337058&lt;/D&gt;&lt;D xsi:type="xsd:double"&gt;-3.0894399&lt;/D&gt;&lt;D xsi:type="xsd:double"&gt;2.8241158&lt;/D&gt;&lt;D xsi:type="xsd:double"&gt;-10.062313&lt;/D&gt;&lt;D xsi:type="xsd:double"&gt;-4.384637&lt;/D&gt;&lt;D xsi:type="xsd:double"&gt;-8.946973&lt;/D&gt;&lt;D xsi:type="xsd:double"&gt;-7.607704&lt;/D&gt;&lt;D xsi:type="xsd:double"&gt;0.84160566&lt;/D&gt;&lt;D xsi:type="xsd:double"&gt;4.7368407&lt;/D&gt;&lt;D xsi:type="xsd:double"&gt;6.8915963&lt;/D&gt;&lt;D xsi:type="xsd:double"&gt;-2.9214263&lt;/D&gt;&lt;D xsi:type="xsd:double"&gt;11.970425&lt;/D&gt;&lt;D xsi:type="xsd:double"&gt;4.96521&lt;/D&gt;&lt;D xsi:type="xsd:double"&gt;9.129262&lt;/D&gt;&lt;D xsi:type="xsd:double"&gt;0.4693508&lt;/D&gt;&lt;D xsi:type="xsd:double"&gt;-17.97197&lt;/D&gt;&lt;D xsi:type="xsd:double"&gt;4.4221044&lt;/D&gt;&lt;D xsi:type="xsd:double"&gt;-16.036642&lt;/D&gt;&lt;D xsi:type="xsd:double"&gt;4.437399&lt;/D&gt;&lt;D xsi:type="xsd:double"&gt;-3.9074361&lt;/D&gt;&lt;D xsi:type="xsd:double"&gt;1.7370701&lt;/D&gt;&lt;D xsi:type="xsd:double"&gt;10.050451&lt;/D&gt;&lt;D xsi:type="xsd:double"&gt;5.112827&lt;/D&gt;&lt;D xsi:type="xsd:double"&gt;4.2161107&lt;/D&gt;&lt;D xsi:type="xsd:double"&gt;-0.9498894&lt;/D&gt;&lt;D xsi:type="xsd:double"&gt;-1.9510567&lt;/D&gt;&lt;D xsi:type="xsd:double"&gt;2.8667808&lt;/D&gt;&lt;D xsi:type="xsd:double"&gt;5.114758&lt;/D&gt;&lt;D xsi:type="xsd:double"&gt;-2.470225&lt;/D&gt;&lt;D xsi:type="xsd:double"&gt;0.06548166&lt;/D&gt;&lt;D xsi:type="xsd:double"&gt;9.06415&lt;/D&gt;&lt;D xsi:type="xsd:double"&gt;-6.720674&lt;/D&gt;&lt;D xsi:type="xsd:double"&gt;-6.207782&lt;/D&gt;&lt;D xsi:type="xsd:double"&gt;-0.068587065&lt;/D&gt;&lt;D xsi:type="xsd:double"&gt;5.301988&lt;/D&gt;&lt;D xsi:type="xsd:double"&gt;12.759792&lt;/D&gt;&lt;D xsi:type="xsd:double"&gt;-1.0917664&lt;/D&gt;&lt;D xsi:type="xsd:double"&gt;10.64589&lt;/D&gt;&lt;D xsi:type="xsd:double"&gt;8.146727&lt;/D&gt;&lt;D xsi:type="xsd:double"&gt;3.4654737&lt;/D&gt;&lt;D xsi:type="xsd:double"&gt;0.8301258&lt;/D&gt;&lt;D xsi:type="xsd:double"&gt;2.8631449&lt;/D&gt;&lt;D xsi:type="xsd:double"&gt;-6.4032316&lt;/D&gt;&lt;D xsi:type="xsd:double"&gt;-2.0200908&lt;/D&gt;&lt;D xsi:type="xsd:double"&gt;10.575533&lt;/D&gt;&lt;D xsi:type="xsd:double"&gt;1.8309951&lt;/D&gt;&lt;D xsi:type="xsd:double"&gt;-1.1526048&lt;/D&gt;&lt;D xsi:type="xsd:double"&gt;-2.9967546&lt;/D&gt;&lt;D xsi:type="xsd:double"&gt;3.814733&lt;/D&gt;&lt;D xsi:type="xsd:double"&gt;-0.67012906&lt;/D&gt;&lt;D xsi:type="xsd:double"&gt;-7.329911&lt;/D&gt;&lt;D xsi:type="xsd:double"&gt;16.844023&lt;/D&gt;&lt;D xsi:type="xsd:double"&gt;7.9333544&lt;/D&gt;&lt;D xsi:type="xsd:double"&gt;3.363192&lt;/D&gt;&lt;D xsi:type="xsd:double"&gt;4.9087286&lt;/D&gt;&lt;D xsi:type="xsd:double"&gt;9.527254&lt;/D&gt;&lt;D xsi:type="xsd:double"&gt;12.149692&lt;/D&gt;&lt;D xsi:type="xsd:double"&gt;-2.7703404&lt;/D&gt;&lt;D xsi:type="xsd:double"&gt;7.7059984&lt;/D&gt;&lt;D xsi:type="xsd:double"&gt;15.533137&lt;/D&gt;&lt;/FQL&gt;&lt;FQL&gt;&lt;Q&gt;EWN^FG_PRICE(0,-200D)&lt;/Q&gt;&lt;R&gt;201&lt;/R&gt;&lt;C&gt;1&lt;/C&gt;&lt;D xsi:type="xsd:double"&gt;59.21&lt;/D&gt;&lt;D xsi:type="xsd:double"&gt;59.8&lt;/D&gt;&lt;D xsi:type="xsd:double"&gt;60.44&lt;/D&gt;&lt;D xsi:type="xsd:double"&gt;60.14&lt;/D&gt;&lt;D xsi:type="xsd:double"&gt;58.64&lt;/D&gt;&lt;D xsi:type="xsd:double"&gt;57.03&lt;/D&gt;&lt;D xsi:type="xsd:double"&gt;57.227&lt;/D&gt;&lt;D xsi:type="xsd:double"&gt;57&lt;/D&gt;&lt;D xsi:type="xsd:double"&gt;57.16&lt;/D&gt;&lt;D xsi:type="xsd:double"&gt;57.1&lt;/D&gt;&lt;D xsi:type="xsd:double"&gt;56.84&lt;/D&gt;&lt;D xsi:type="xsd:double"&gt;57.01&lt;/D&gt;&lt;D xsi:type="xsd:double"&gt;56.61&lt;/D&gt;&lt;D xsi:type="xsd:double"&gt;56.02&lt;/D&gt;&lt;D xsi:type="xsd:double"&gt;55.57&lt;/D&gt;&lt;D xsi:type="xsd:double"&gt;56.41&lt;/D&gt;&lt;D xsi:type="xsd:double"&gt;58.76&lt;/D&gt;&lt;D xsi:type="xsd:double"&gt;58.6&lt;/D&gt;&lt;D xsi:type="xsd:double"&gt;59.5&lt;/D&gt;&lt;D xsi:type="xsd:double"&gt;58.8&lt;/D&gt;&lt;D xsi:type="xsd:double"&gt;58.55&lt;/D&gt;&lt;D xsi:type="xsd:double"&gt;58.7224&lt;/D&gt;&lt;D xsi:type="xsd:double"&gt;58.55&lt;/D&gt;&lt;D xsi:type="xsd:double"&gt;58.78&lt;/D&gt;&lt;D xsi:type="xsd:double"&gt;59.18&lt;/D&gt;&lt;D xsi:type="xsd:double"&gt;58.57&lt;/D&gt;&lt;D xsi:type="xsd:double"&gt;58.32&lt;/D&gt;&lt;D xsi:type="xsd:double"&gt;58.17&lt;/D&gt;&lt;D xsi:type="xsd:double"&gt;57.79&lt;/D&gt;&lt;D xsi:type="xsd:double"&gt;56.872&lt;/D&gt;&lt;D xsi:type="xsd:double"&gt;55.95&lt;/D&gt;&lt;D xsi:type="xsd:double"&gt;55.92&lt;/D&gt;&lt;D xsi:type="xsd:double"&gt;55.52&lt;/D&gt;&lt;D xsi:type="xsd:double"&gt;57.05&lt;/D&gt;&lt;D xsi:type="xsd:double"&gt;56.63&lt;/D&gt;&lt;D xsi:type="xsd:double"&gt;57.36&lt;/D&gt;&lt;D xsi:type="xsd:double"&gt;58.13&lt;/D&gt;&lt;D xsi:type="xsd:double"&gt;58.61&lt;/D&gt;&lt;D xsi:type="xsd:double"&gt;59.03&lt;/D&gt;&lt;D xsi:type="xsd:double"&gt;58.73&lt;/D&gt;&lt;D xsi:type="xsd:double"&gt;58.56&lt;/D&gt;&lt;D xsi:type="xsd:double"&gt;57.74&lt;/D&gt;&lt;D xsi:type="xsd:double"&gt;57.96&lt;/D&gt;&lt;D xsi:type="xsd:double"&gt;58.26&lt;/D&gt;&lt;D xsi:type="xsd:double"&gt;57.82&lt;/D&gt;&lt;D xsi:type="xsd:double"&gt;58.68&lt;/D&gt;&lt;D xsi:type="xsd:double"&gt;58.8&lt;/D&gt;&lt;D xsi:type="xsd:double"&gt;59.48&lt;/D&gt;&lt;D xsi:type="xsd:double"&gt;59.366&lt;/D&gt;&lt;D xsi:type="xsd:double"&gt;59.01&lt;/D&gt;&lt;D xsi:type="xsd:double"&gt;59.565&lt;/D&gt;&lt;D xsi:type="xsd:double"&gt;58.91&lt;/D&gt;&lt;D xsi:type="xsd:double"&gt;58.87&lt;/D&gt;&lt;D xsi:type="xsd:double"&gt;58.12&lt;/D&gt;&lt;D xsi:type="xsd:double"&gt;58.35&lt;/D&gt;&lt;D xsi:type="xsd:double"&gt;58.85&lt;/D&gt;&lt;D xsi:type="xsd:double"&gt;58.65&lt;/D&gt;&lt;D xsi:type="xsd:double"&gt;58.49&lt;/D&gt;&lt;D xsi:type="xsd:double"&gt;58.27&lt;/D&gt;&lt;D xsi:type="xsd:double"&gt;57.76&lt;/D&gt;&lt;D xsi:type="xsd:double"&gt;57.75&lt;/D&gt;&lt;D xsi:type="xsd:double"&gt;56.64&lt;/D&gt;&lt;D xsi:type="xsd:double"&gt;57.89&lt;/D&gt;&lt;D xsi:type="xsd:double"&gt;58.41&lt;/D&gt;&lt;D xsi:type="xsd:double"&gt;58.56&lt;/D&gt;&lt;D xsi:type="xsd:double"&gt;59.68&lt;/D&gt;&lt;D xsi:type="xsd:double"&gt;59.62&lt;/D&gt;&lt;D xsi:type="xsd:double"&gt;59.51&lt;/D&gt;&lt;D xsi:type="xsd:double"&gt;58.84&lt;/D&gt;&lt;D xsi:type="xsd:double"&gt;58.01&lt;/D&gt;&lt;D xsi:type="xsd:double"&gt;57.67&lt;/D&gt;&lt;D xsi:type="xsd:double"&gt;57.12&lt;/D&gt;&lt;D xsi:type="xsd:double"&gt;57.02&lt;/D&gt;&lt;D xsi:type="xsd:double"&gt;57.27&lt;/D&gt;&lt;D xsi:type="xsd:double"&gt;57.62&lt;/D&gt;&lt;D xsi:type="xsd:double"&gt;57.36&lt;/D&gt;&lt;D xsi:type="xsd:double"&gt;56.84&lt;/D&gt;&lt;D xsi:type="xsd:double"&gt;56.97&lt;/D&gt;&lt;D xsi:type="xsd:double"&gt;55.8782&lt;/D&gt;&lt;D xsi:type="xsd:double"&gt;55.71&lt;/D&gt;&lt;D xsi:type="xsd:double"&gt;55.75&lt;/D&gt;&lt;D xsi:type="xsd:double"&gt;54.66&lt;/D&gt;&lt;D xsi:type="xsd:double"&gt;54.46&lt;/D&gt;&lt;D xsi:type="xsd:double"&gt;53.79&lt;/D&gt;&lt;D xsi:type="xsd:double"&gt;54.12&lt;/D&gt;&lt;D xsi:type="xsd:double"&gt;54.17&lt;/D&gt;&lt;D xsi:type="xsd:double"&gt;53.47&lt;/D&gt;&lt;D xsi:type="xsd:double"&gt;52.87&lt;/D&gt;&lt;D xsi:type="xsd:double"&gt;52.22&lt;/D&gt;&lt;D xsi:type="xsd:double"&gt;51.94&lt;/D&gt;&lt;D xsi:type="xsd:double"&gt;53&lt;/D&gt;&lt;D xsi:type="xsd:double"&gt;53.5&lt;/D&gt;&lt;D xsi:type="xsd:double"&gt;53.59&lt;/D&gt;&lt;D xsi:type="xsd:double"&gt;53.77&lt;/D&gt;&lt;D xsi:type="xsd:double"&gt;53.84&lt;/D&gt;&lt;D xsi:type="xsd:double"&gt;54.188&lt;/D&gt;&lt;D xsi:type="xsd:double"&gt;53.08&lt;/D&gt;&lt;D xsi:type="xsd:double"&gt;53.58&lt;/D&gt;&lt;D xsi:type="xsd:double"&gt;53.215&lt;/D&gt;&lt;D xsi:type="xsd:double"&gt;53.13&lt;/D&gt;&lt;D xsi:type="xsd:double"&gt;53.16&lt;/D&gt;&lt;D xsi:type="xsd:double"&gt;53.3&lt;/D&gt;&lt;D xsi:type="xsd:double"&gt;53.36&lt;/D&gt;&lt;D xsi:type="xsd:double"&gt;52.9674&lt;/D&gt;&lt;D xsi:type="xsd:double"&gt;52.37&lt;/D&gt;&lt;D xsi:type="xsd:double"&gt;52.52&lt;/D&gt;&lt;D xsi:type="xsd:double"&gt;52.2&lt;/D&gt;&lt;D xsi:type="xsd:double"&gt;51.43&lt;/D&gt;&lt;D xsi:type="xsd:double"&gt;51.33&lt;/D&gt;&lt;D xsi:type="xsd:double"&gt;51.35&lt;/D&gt;&lt;D xsi:type="xsd:double"&gt;50.85&lt;/D&gt;&lt;D xsi:type="xsd:double"&gt;51.26&lt;/D&gt;&lt;D xsi:type="xsd:double"&gt;52.2&lt;/D&gt;&lt;D xsi:type="xsd:double"&gt;52.69&lt;/D&gt;&lt;D xsi:type="xsd:double"&gt;52.91&lt;/D&gt;&lt;D xsi:type="xsd:double"&gt;53.5&lt;/D&gt;&lt;D xsi:type="xsd:double"&gt;53.93&lt;/D&gt;&lt;D xsi:type="xsd:double"&gt;54.25&lt;/D&gt;&lt;D xsi:type="xsd:double"&gt;53.37&lt;/D&gt;&lt;D xsi:type="xsd:double"&gt;53.41&lt;/D&gt;&lt;D xsi:type="xsd:double"&gt;53.46&lt;/D&gt;&lt;D xsi:type="xsd:double"&gt;53.51&lt;/D&gt;&lt;D xsi:type="xsd:double"&gt;53.47&lt;/D&gt;&lt;D xsi:type="xsd:double"&gt;54.45&lt;/D&gt;&lt;D xsi:type="xsd:double"&gt;54.4&lt;/D&gt;&lt;D xsi:type="xsd:double"&gt;54.41&lt;/D&gt;&lt;D xsi:type="xsd:double"&gt;54.63&lt;/D&gt;&lt;D xsi:type="xsd:double"&gt;54.58&lt;/D&gt;&lt;D xsi:type="xsd:double"&gt;54.33&lt;/D&gt;&lt;D xsi:type="xsd:double"&gt;53.98&lt;/D&gt;&lt;D xsi:type="xsd:double"&gt;54.29&lt;/D&gt;&lt;D xsi:type="xsd:double"&gt;54.3&lt;/D&gt;&lt;D xsi:type="xsd:double"&gt;54.07&lt;/D&gt;&lt;D xsi:type="xsd:double"&gt;54.5&lt;/D&gt;&lt;D xsi:type="xsd:double"&gt;54.36&lt;/D&gt;&lt;D xsi:type="xsd:double"&gt;53.97&lt;/D&gt;&lt;D xsi:type="xsd:double"&gt;53.8&lt;/D&gt;&lt;D xsi:type="xsd:double"&gt;54.16&lt;/D&gt;&lt;D xsi:type="xsd:double"&gt;53.03&lt;/D&gt;&lt;D xsi:type="xsd:double"&gt;51.8927&lt;/D&gt;&lt;D xsi:type="xsd:double"&gt;52.2476&lt;/D&gt;&lt;D xsi:type="xsd:double"&gt;52.33&lt;/D&gt;&lt;D xsi:type="xsd:double"&gt;53.08&lt;/D&gt;&lt;D xsi:type="xsd:double"&gt;53.54&lt;/D&gt;&lt;D xsi:type="xsd:double"&gt;54.73&lt;/D&gt;&lt;D xsi:type="xsd:double"&gt;54.37&lt;/D&gt;&lt;D xsi:type="xsd:double"&gt;54.57&lt;/D&gt;&lt;D xsi:type="xsd:double"&gt;54.02&lt;/D&gt;&lt;D xsi:type="xsd:double"&gt;53.63&lt;/D&gt;&lt;D xsi:type="xsd:double"&gt;53.36&lt;/D&gt;&lt;D xsi:type="xsd:double"&gt;53.23&lt;/D&gt;&lt;D xsi:type="xsd:double"&gt;52.95&lt;/D&gt;&lt;D xsi:type="xsd:double"&gt;53.2858&lt;/D&gt;&lt;D xsi:type="xsd:double"&gt;52.85&lt;/D&gt;&lt;D xsi:type="xsd:double"&gt;52.94&lt;/D&gt;&lt;D xsi:type="xsd:double"&gt;52.59&lt;/D&gt;&lt;D xsi:type="xsd:double"&gt;53&lt;/D&gt;&lt;D xsi:type="xsd:double"&gt;52.26&lt;/D&gt;&lt;D xsi:type="xsd:double"&gt;52.54&lt;/D&gt;&lt;D xsi:type="xsd:double"&gt;52.48&lt;/D&gt;&lt;D xsi:type="xsd:double"&gt;52.8&lt;/D&gt;&lt;D xsi:type="xsd:double"&gt;52.645&lt;/D&gt;&lt;D xsi:type="xsd:double"&gt;52.19&lt;/D&gt;&lt;D xsi:type="xsd:double"&gt;52.25&lt;/D&gt;&lt;D xsi:type="xsd:double"&gt;52.2&lt;/D&gt;&lt;D xsi:type="xsd:double"&gt;52.04&lt;/D&gt;&lt;D xsi:type="xsd:double"&gt;51.6&lt;/D&gt;&lt;D xsi:type="xsd:double"&gt;50.79&lt;/D&gt;&lt;D xsi:type="xsd:double"&gt;50.32&lt;/D&gt;&lt;D xsi:type="xsd:double"&gt;50.21&lt;/D&gt;&lt;D xsi:type="xsd:double"&gt;49.98&lt;/D&gt;&lt;D xsi:type="xsd:double"&gt;50.14&lt;/D&gt;&lt;D xsi:type="xsd:double"&gt;50.27&lt;/D&gt;&lt;D xsi:type="xsd:double"&gt;48.78&lt;/D&gt;&lt;D xsi:type="xsd:double"&gt;48.85&lt;/D&gt;&lt;D xsi:type="xsd:double"&gt;48.92&lt;/D&gt;&lt;D xsi:type="xsd:double"&gt;48.79&lt;/D&gt;&lt;D xsi:type="xsd:double"&gt;48.78&lt;/D&gt;&lt;D xsi:type="xsd:double"&gt;48.41&lt;/D&gt;&lt;D xsi:type="xsd:double"&gt;47.77&lt;/D&gt;&lt;D xsi:type="xsd:double"&gt;47.1&lt;/D&gt;&lt;D xsi:type="xsd:double"&gt;46.09&lt;/D&gt;&lt;D xsi:type="xsd:double"&gt;46.55&lt;/D&gt;&lt;D xsi:type="xsd:double"&gt;46.26&lt;/D&gt;&lt;D xsi:type="xsd:double"&gt;46.89&lt;/D&gt;&lt;D xsi:type="xsd:double"&gt;46.61&lt;/D&gt;&lt;D xsi:type="xsd:double"&gt;45.81&lt;/D&gt;&lt;D xsi:type="xsd:double"&gt;44.67&lt;/D&gt;&lt;D xsi:type="xsd:double"&gt;46.05&lt;/D&gt;&lt;D xsi:type="xsd:double"&gt;41.88&lt;/D&gt;&lt;D xsi:type="xsd:double"&gt;42.58&lt;/D&gt;&lt;D xsi:type="xsd:double"&gt;43.14&lt;/D&gt;&lt;D xsi:type="xsd:double"&gt;45.71&lt;/D&gt;&lt;D xsi:type="xsd:double"&gt;46.87&lt;/D&gt;&lt;D xsi:type="xsd:double"&gt;46.7&lt;/D&gt;&lt;D xsi:type="xsd:double"&gt;46.73&lt;/D&gt;&lt;D xsi:type="xsd:double"&gt;47.34&lt;/D&gt;&lt;D xsi:type="xsd:double"&gt;47.8176&lt;/D&gt;&lt;D xsi:type="xsd:double"&gt;47.8398&lt;/D&gt;&lt;D xsi:type="xsd:double"&gt;48.56&lt;/D&gt;&lt;D xsi:type="xsd:double"&gt;48.33&lt;/D&gt;&lt;/FQL&gt;&lt;FQL&gt;&lt;Q&gt;EWT^FG_PRICE(0,-200D)&lt;/Q&gt;&lt;R&gt;201&lt;/R&gt;&lt;C&gt;1&lt;/C&gt;&lt;D xsi:type="xsd:double"&gt;65.44&lt;/D&gt;&lt;D xsi:type="xsd:double"&gt;65.59&lt;/D&gt;&lt;D xsi:type="xsd:double"&gt;65.83&lt;/D&gt;&lt;D xsi:type="xsd:double"&gt;65.3&lt;/D&gt;&lt;D xsi:type="xsd:double"&gt;64.77&lt;/D&gt;&lt;D xsi:type="xsd:double"&gt;63.53&lt;/D&gt;&lt;D xsi:type="xsd:double"&gt;63.71&lt;/D&gt;&lt;D xsi:type="xsd:double"&gt;63.33&lt;/D&gt;&lt;D xsi:type="xsd:double"&gt;63.02&lt;/D&gt;&lt;D xsi:type="xsd:double"&gt;62.53&lt;/D&gt;&lt;D xsi:type="xsd:double"&gt;62.5&lt;/D&gt;&lt;D xsi:type="xsd:double"&gt;61.98&lt;/D&gt;&lt;D xsi:type="xsd:double"&gt;61.64&lt;/D&gt;&lt;D xsi:type="xsd:double"&gt;60.87&lt;/D&gt;&lt;D xsi:type="xsd:double"&gt;60.03&lt;/D&gt;&lt;D xsi:type="xsd:double"&gt;61.12&lt;/D&gt;&lt;D xsi:type="xsd:double"&gt;64.11&lt;/D&gt;&lt;D xsi:type="xsd:double"&gt;64.1&lt;/D&gt;&lt;D xsi:type="xsd:double"&gt;65.92&lt;/D&gt;&lt;D xsi:type="xsd:double"&gt;66.8&lt;/D&gt;&lt;D xsi:type="xsd:double"&gt;65.72&lt;/D&gt;&lt;D xsi:type="xsd:double"&gt;65.57&lt;/D&gt;&lt;D xsi:type="xsd:double"&gt;65.35&lt;/D&gt;&lt;D xsi:type="xsd:double"&gt;64.51&lt;/D&gt;&lt;D xsi:type="xsd:double"&gt;64.85&lt;/D&gt;&lt;D xsi:type="xsd:double"&gt;64.63&lt;/D&gt;&lt;D xsi:type="xsd:double"&gt;64.13&lt;/D&gt;&lt;D xsi:type="xsd:double"&gt;64.51&lt;/D&gt;&lt;D xsi:type="xsd:double"&gt;63.66&lt;/D&gt;&lt;D xsi:type="xsd:double"&gt;62.8&lt;/D&gt;&lt;D xsi:type="xsd:double"&gt;62.51&lt;/D&gt;&lt;D xsi:type="xsd:double"&gt;61.8&lt;/D&gt;&lt;D xsi:type="xsd:double"&gt;61.68&lt;/D&gt;&lt;D xsi:type="xsd:double"&gt;62.5&lt;/D&gt;&lt;D xsi:type="xsd:double"&gt;62.67&lt;/D&gt;&lt;D xsi:type="xsd:double"&gt;63.16&lt;/D&gt;&lt;D xsi:type="xsd:double"&gt;65.17&lt;/D&gt;&lt;D xsi:type="xsd:double"&gt;63.99&lt;/D&gt;&lt;D xsi:type="xsd:double"&gt;65.41&lt;/D&gt;&lt;D xsi:type="xsd:double"&gt;65.39&lt;/D&gt;&lt;D xsi:type="xsd:double"&gt;65.75&lt;/D&gt;&lt;D xsi:type="xsd:double"&gt;64.61&lt;/D&gt;&lt;D xsi:type="xsd:double"&gt;64.94&lt;/D&gt;&lt;D xsi:type="xsd:double"&gt;66.03&lt;/D&gt;&lt;D xsi:type="xsd:double"&gt;65.43&lt;/D&gt;&lt;D xsi:type="xsd:double"&gt;66.9&lt;/D&gt;&lt;D xsi:type="xsd:double"&gt;66.65&lt;/D&gt;&lt;D xsi:type="xsd:double"&gt;66.54&lt;/D&gt;&lt;D xsi:type="xsd:double"&gt;67.13&lt;/D&gt;&lt;D xsi:type="xsd:double"&gt;67.09&lt;/D&gt;&lt;D xsi:type="xsd:double"&gt;66.98&lt;/D&gt;&lt;D xsi:type="xsd:double"&gt;66.48&lt;/D&gt;&lt;D xsi:type="xsd:double"&gt;65.71&lt;/D&gt;&lt;D xsi:type="xsd:double"&gt;65.03&lt;/D&gt;&lt;D xsi:type="xsd:double"&gt;65.78&lt;/D&gt;&lt;D xsi:type="xsd:double"&gt;66.17&lt;/D&gt;&lt;D xsi:type="xsd:double"&gt;65.09&lt;/D&gt;&lt;D xsi:type="xsd:double"&gt;65.17&lt;/D&gt;&lt;D xsi:type="xsd:double"&gt;64.99&lt;/D&gt;&lt;D xsi:type="xsd:double"&gt;63.7&lt;/D&gt;&lt;D xsi:type="xsd:double"&gt;64.56&lt;/D&gt;&lt;D xsi:type="xsd:double"&gt;61.62&lt;/D&gt;&lt;D xsi:type="xsd:double"&gt;64.83&lt;/D&gt;&lt;D xsi:type="xsd:double"&gt;65.65&lt;/D&gt;&lt;D xsi:type="xsd:double"&gt;64.81&lt;/D&gt;&lt;D xsi:type="xsd:double"&gt;65.03&lt;/D&gt;&lt;D xsi:type="xsd:double"&gt;64.64&lt;/D&gt;&lt;D xsi:type="xsd:double"&gt;64&lt;/D&gt;&lt;D xsi:type="xsd:double"&gt;64.14&lt;/D&gt;&lt;D xsi:type="xsd:double"&gt;63.62&lt;/D&gt;&lt;D xsi:type="xsd:double"&gt;63.08&lt;/D&gt;&lt;D xsi:type="xsd:double"&gt;62.74&lt;/D&gt;&lt;D xsi:type="xsd:double"&gt;63.06&lt;/D&gt;&lt;D xsi:type="xsd:double"&gt;63.57&lt;/D&gt;&lt;D xsi:type="xsd:double"&gt;64.29&lt;/D&gt;&lt;D xsi:type="xsd:double"&gt;64.02&lt;/D&gt;&lt;D xsi:type="xsd:double"&gt;63.38&lt;/D&gt;&lt;D xsi:type="xsd:double"&gt;63.77&lt;/D&gt;&lt;D xsi:type="xsd:double"&gt;63.21&lt;/D&gt;&lt;D xsi:type="xsd:double"&gt;63.32&lt;/D&gt;&lt;D xsi:type="xsd:double"&gt;63.02&lt;/D&gt;&lt;D xsi:type="xsd:double"&gt;62.83&lt;/D&gt;&lt;D xsi:type="xsd:double"&gt;62.74&lt;/D&gt;&lt;D xsi:type="xsd:double"&gt;62.56&lt;/D&gt;&lt;D xsi:type="xsd:double"&gt;61.62&lt;/D&gt;&lt;D xsi:type="xsd:double"&gt;60.98&lt;/D&gt;&lt;D xsi:type="xsd:double"&gt;60.21&lt;/D&gt;&lt;D xsi:type="xsd:double"&gt;59.3&lt;/D&gt;&lt;D xsi:type="xsd:double"&gt;58.73&lt;/D&gt;&lt;D xsi:type="xsd:double"&gt;58.05&lt;/D&gt;&lt;D xsi:type="xsd:double"&gt;58.82&lt;/D&gt;&lt;D xsi:type="xsd:double"&gt;59.9&lt;/D&gt;&lt;D xsi:type="xsd:double"&gt;59.77&lt;/D&gt;&lt;D xsi:type="xsd:double"&gt;59.5&lt;/D&gt;&lt;D xsi:type="xsd:double"&gt;59.26&lt;/D&gt;&lt;D xsi:type="xsd:double"&gt;59.66&lt;/D&gt;&lt;D xsi:type="xsd:double"&gt;58.57&lt;/D&gt;&lt;D xsi:type="xsd:double"&gt;58.78&lt;/D&gt;&lt;D xsi:type="xsd:double"&gt;60.09&lt;/D&gt;&lt;D xsi:type="xsd:double"&gt;61.04&lt;/D&gt;&lt;D xsi:type="xsd:double"&gt;60.42&lt;/D&gt;&lt;D xsi:type="xsd:double"&gt;60.65&lt;/D&gt;&lt;D xsi:type="xsd:double"&gt;61.03&lt;/D&gt;&lt;D xsi:type="xsd:double"&gt;61.09&lt;/D&gt;&lt;D xsi:type="xsd:double"&gt;60.28&lt;/D&gt;&lt;D xsi:type="xsd:double"&gt;60.29&lt;/D&gt;&lt;D xsi:type="xsd:double"&gt;60.36&lt;/D&gt;&lt;D xsi:type="xsd:double"&gt;59.14&lt;/D&gt;&lt;D xsi:type="xsd:double"&gt;58.92&lt;/D&gt;&lt;D xsi:type="xsd:double"&gt;58.84&lt;/D&gt;&lt;D xsi:type="xsd:double"&gt;58.39&lt;/D&gt;&lt;D xsi:type="xsd:double"&gt;58.36&lt;/D&gt;&lt;D xsi:type="xsd:double"&gt;58.35&lt;/D&gt;&lt;D xsi:type="xsd:double"&gt;58.62&lt;/D&gt;&lt;D xsi:type="xsd:double"&gt;59.06&lt;/D&gt;&lt;D xsi:type="xsd:double"&gt;59.43&lt;/D&gt;&lt;D xsi:type="xsd:double"&gt;59.39&lt;/D&gt;&lt;D xsi:type="xsd:double"&gt;59.8&lt;/D&gt;&lt;D xsi:type="xsd:double"&gt;58.72&lt;/D&gt;&lt;D xsi:type="xsd:double"&gt;59.36&lt;/D&gt;&lt;D xsi:type="xsd:double"&gt;59.24&lt;/D&gt;&lt;D xsi:type="xsd:double"&gt;59.48&lt;/D&gt;&lt;D xsi:type="xsd:double"&gt;58.98&lt;/D&gt;&lt;D xsi:type="xsd:double"&gt;58.27&lt;/D&gt;&lt;D xsi:type="xsd:double"&gt;57.81&lt;/D&gt;&lt;D xsi:type="xsd:double"&gt;58.3&lt;/D&gt;&lt;D xsi:type="xsd:double"&gt;58.38&lt;/D&gt;&lt;D xsi:type="xsd:double"&gt;58.03&lt;/D&gt;&lt;D xsi:type="xsd:double"&gt;57.66&lt;/D&gt;&lt;D xsi:type="xsd:double"&gt;57.63&lt;/D&gt;&lt;D xsi:type="xsd:double"&gt;59.44&lt;/D&gt;&lt;D xsi:type="xsd:double"&gt;58.75&lt;/D&gt;&lt;D xsi:type="xsd:double"&gt;57.58&lt;/D&gt;&lt;D xsi:type="xsd:double"&gt;57.4&lt;/D&gt;&lt;D xsi:type="xsd:double"&gt;57.85&lt;/D&gt;&lt;D xsi:type="xsd:double"&gt;57.85&lt;/D&gt;&lt;D xsi:type="xsd:double"&gt;57.31&lt;/D&gt;&lt;D xsi:type="xsd:double"&gt;56.82&lt;/D&gt;&lt;D xsi:type="xsd:double"&gt;55.18&lt;/D&gt;&lt;D xsi:type="xsd:double"&gt;54.84&lt;/D&gt;&lt;D xsi:type="xsd:double"&gt;56.03&lt;/D&gt;&lt;D xsi:type="xsd:double"&gt;55.65&lt;/D&gt;&lt;D xsi:type="xsd:double"&gt;56.46&lt;/D&gt;&lt;D xsi:type="xsd:double"&gt;55.85&lt;/D&gt;&lt;D xsi:type="xsd:double"&gt;56.74&lt;/D&gt;&lt;D xsi:type="xsd:double"&gt;55.83&lt;/D&gt;&lt;D xsi:type="xsd:double"&gt;55.8&lt;/D&gt;&lt;D xsi:type="xsd:double"&gt;54.71&lt;/D&gt;&lt;D xsi:type="xsd:double"&gt;54.11&lt;/D&gt;&lt;D xsi:type="xsd:double"&gt;53.74&lt;/D&gt;&lt;D xsi:type="xsd:double"&gt;53.96&lt;/D&gt;&lt;D xsi:type="xsd:double"&gt;53.15&lt;/D&gt;&lt;D xsi:type="xsd:double"&gt;52.84&lt;/D&gt;&lt;D xsi:type="xsd:double"&gt;52.38&lt;/D&gt;&lt;D xsi:type="xsd:double"&gt;52.87&lt;/D&gt;&lt;D xsi:type="xsd:double"&gt;53.26&lt;/D&gt;&lt;D xsi:type="xsd:double"&gt;53.58&lt;/D&gt;&lt;D xsi:type="xsd:double"&gt;53.52&lt;/D&gt;&lt;D xsi:type="xsd:double"&gt;53.7&lt;/D&gt;&lt;D xsi:type="xsd:double"&gt;53.72&lt;/D&gt;&lt;D xsi:type="xsd:double"&gt;53.48&lt;/D&gt;&lt;D xsi:type="xsd:double"&gt;53.82&lt;/D&gt;&lt;D xsi:type="xsd:double"&gt;54.01&lt;/D&gt;&lt;D xsi:type="xsd:double"&gt;53.99&lt;/D&gt;&lt;D xsi:type="xsd:double"&gt;53.77&lt;/D&gt;&lt;D xsi:type="xsd:double"&gt;53.28&lt;/D&gt;&lt;D xsi:type="xsd:double"&gt;52.95&lt;/D&gt;&lt;D xsi:type="xsd:double"&gt;51.75&lt;/D&gt;&lt;D xsi:type="xsd:double"&gt;51.16&lt;/D&gt;&lt;D xsi:type="xsd:double"&gt;51&lt;/D&gt;&lt;D xsi:type="xsd:double"&gt;51.56&lt;/D&gt;&lt;D xsi:type="xsd:double"&gt;52.96&lt;/D&gt;&lt;D xsi:type="xsd:double"&gt;50.95&lt;/D&gt;&lt;D xsi:type="xsd:double"&gt;47.82&lt;/D&gt;&lt;D xsi:type="xsd:double"&gt;47.48&lt;/D&gt;&lt;D xsi:type="xsd:double"&gt;47.15&lt;/D&gt;&lt;D xsi:type="xsd:double"&gt;46.47&lt;/D&gt;&lt;D xsi:type="xsd:double"&gt;46.34&lt;/D&gt;&lt;D xsi:type="xsd:double"&gt;46.18&lt;/D&gt;&lt;D xsi:type="xsd:double"&gt;45.5&lt;/D&gt;&lt;D xsi:type="xsd:double"&gt;44.33&lt;/D&gt;&lt;D xsi:type="xsd:double"&gt;44.22&lt;/D&gt;&lt;D xsi:type="xsd:double"&gt;44.88&lt;/D&gt;&lt;D xsi:type="xsd:double"&gt;44.99&lt;/D&gt;&lt;D xsi:type="xsd:double"&gt;46.05&lt;/D&gt;&lt;D xsi:type="xsd:double"&gt;45.77&lt;/D&gt;&lt;D xsi:type="xsd:double"&gt;45.62&lt;/D&gt;&lt;D xsi:type="xsd:double"&gt;43.32&lt;/D&gt;&lt;D xsi:type="xsd:double"&gt;44.79&lt;/D&gt;&lt;D xsi:type="xsd:double"&gt;40.95&lt;/D&gt;&lt;D xsi:type="xsd:double"&gt;42.03&lt;/D&gt;&lt;D xsi:type="xsd:double"&gt;43.82&lt;/D&gt;&lt;D xsi:type="xsd:double"&gt;46.05&lt;/D&gt;&lt;D xsi:type="xsd:double"&gt;48.48&lt;/D&gt;&lt;D xsi:type="xsd:double"&gt;48.2&lt;/D&gt;&lt;D xsi:type="xsd:double"&gt;47.48&lt;/D&gt;&lt;D xsi:type="xsd:double"&gt;47.82&lt;/D&gt;&lt;D xsi:type="xsd:double"&gt;49.2&lt;/D&gt;&lt;D xsi:type="xsd:double"&gt;49.51&lt;/D&gt;&lt;D xsi:type="xsd:double"&gt;50.46&lt;/D&gt;&lt;D xsi:type="xsd:double"&gt;50.38&lt;/D&gt;&lt;/FQL&gt;&lt;FQL&gt;&lt;Q&gt;UAE^FG_TOTAL_RETURNC(-5AY,0,AM)&lt;/Q&gt;&lt;R&gt;61&lt;/R&gt;&lt;C&gt;1&lt;/C&gt;&lt;D xsi:type="xsd:double"&gt;4.520583&lt;/D&gt;&lt;D xsi:type="xsd:double"&gt;3.8925766999999998&lt;/D&gt;&lt;D xsi:type="xsd:double"&gt;-1.3898134&lt;/D&gt;&lt;D xsi:type="xsd:double"&gt;3.3153415&lt;/D&gt;&lt;D xsi:type="xsd:double"&gt;2.5373101&lt;/D&gt;&lt;D xsi:type="xsd:double"&gt;9.024739&lt;/D&gt;&lt;D xsi:type="xsd:double"&gt;-3.8140476&lt;/D&gt;&lt;D xsi:type="xsd:double"&gt;2.8735638&lt;/D&gt;&lt;D xsi:type="xsd:double"&gt;4.851258&lt;/D&gt;&lt;D xsi:type="xsd:double"&gt;-1.9294381&lt;/D&gt;&lt;D xsi:type="xsd:double"&gt;7.9796195&lt;/D&gt;&lt;D xsi:type="xsd:double"&gt;10.000002&lt;/D&gt;&lt;D xsi:type="xsd:double"&gt;-5.1496325&lt;/D&gt;&lt;D xsi:type="xsd:double"&gt;1.7156959&lt;/D&gt;&lt;D xsi:type="xsd:double"&gt;10.120487&lt;/D&gt;&lt;D xsi:type="xsd:double"&gt;5.1695824&lt;/D&gt;&lt;D xsi:type="xsd:double"&gt;-2.4187267&lt;/D&gt;&lt;D xsi:type="xsd:double"&gt;-10.074621&lt;/D&gt;&lt;D xsi:type="xsd:double"&gt;-7.068312&lt;/D&gt;&lt;D xsi:type="xsd:double"&gt;8.480096&lt;/D&gt;&lt;D xsi:type="xsd:double"&gt;-6.9152117&lt;/D&gt;&lt;D xsi:type="xsd:double"&gt;-1.4211833&lt;/D&gt;&lt;D xsi:type="xsd:double"&gt;4.128444&lt;/D&gt;&lt;D xsi:type="xsd:double"&gt;-4.4682207&lt;/D&gt;&lt;D xsi:type="xsd:double"&gt;-1.7623961&lt;/D&gt;&lt;D xsi:type="xsd:double"&gt;0.80645084&lt;/D&gt;&lt;D xsi:type="xsd:double"&gt;-2.0666718&lt;/D&gt;&lt;D xsi:type="xsd:double"&gt;-3.2675266&lt;/D&gt;&lt;D xsi:type="xsd:double"&gt;7.037294&lt;/D&gt;&lt;D xsi:type="xsd:double"&gt;-3.6267877&lt;/D&gt;&lt;D xsi:type="xsd:double"&gt;3.503859&lt;/D&gt;&lt;D xsi:type="xsd:double"&gt;4.062283&lt;/D&gt;&lt;D xsi:type="xsd:double"&gt;-2.6675344&lt;/D&gt;&lt;D xsi:type="xsd:double"&gt;3.877008&lt;/D&gt;&lt;D xsi:type="xsd:double"&gt;-5.6628046&lt;/D&gt;&lt;D xsi:type="xsd:double"&gt;-2.251023&lt;/D&gt;&lt;D xsi:type="xsd:double"&gt;6.1317563&lt;/D&gt;&lt;D xsi:type="xsd:double"&gt;-4.169422&lt;/D&gt;&lt;D xsi:type="xsd:double"&gt;-0.34529567&lt;/D&gt;&lt;D xsi:type="xsd:double"&gt;4.0194035&lt;/D&gt;&lt;D xsi:type="xsd:double"&gt;-1.7321825&lt;/D&gt;&lt;D xsi:type="xsd:double"&gt;-6.5084753&lt;/D&gt;&lt;D xsi:type="xsd:double"&gt;4.012513&lt;/D&gt;&lt;D xsi:type="xsd:double"&gt;5.217397&lt;/D&gt;&lt;D xsi:type="xsd:double"&gt;3.9256215&lt;/D&gt;&lt;D xsi:type="xsd:double"&gt;-1.5904546&lt;/D&gt;&lt;D xsi:type="xsd:double"&gt;3.1986475&lt;/D&gt;&lt;D xsi:type="xsd:double"&gt;1.0114193&lt;/D&gt;&lt;D xsi:type="xsd:double"&gt;6.646669&lt;/D&gt;&lt;D xsi:type="xsd:double"&gt;4.4269204&lt;/D&gt;&lt;D xsi:type="xsd:double"&gt;-1.7421544&lt;/D&gt;&lt;D xsi:type="xsd:double"&gt;-7.9196215&lt;/D&gt;&lt;D xsi:type="xsd:double"&gt;16.43132&lt;/D&gt;&lt;D xsi:type="xsd:double"&gt;2.9217243&lt;/D&gt;&lt;D xsi:type="xsd:double"&gt;4.3354273&lt;/D&gt;&lt;D xsi:type="xsd:double"&gt;6.900203&lt;/D&gt;&lt;D xsi:type="xsd:double"&gt;-5.958289&lt;/D&gt;&lt;D xsi:type="xsd:double"&gt;1.8479466&lt;/D&gt;&lt;D xsi:type="xsd:double"&gt;0.7257581&lt;/D&gt;&lt;D xsi:type="xsd:double"&gt;-1.8013418&lt;/D&gt;&lt;D xsi:type="xsd:double"&gt;3.9955497&lt;/D&gt;&lt;/FQL&gt;&lt;FQL&gt;&lt;Q&gt;EIDO^FG_TOTAL_RETURNC(-5AY,0,AM)&lt;/Q&gt;&lt;R&gt;61&lt;/R&gt;&lt;C&gt;1&lt;/C&gt;&lt;D xsi:type="xsd:double"&gt;7.214737&lt;/D&gt;&lt;D xsi:type="xsd:double"&gt;-1.7944574&lt;/D&gt;&lt;D xsi:type="xsd:double"&gt;-6.187707&lt;/D&gt;&lt;D xsi:type="xsd:double"&gt;-3.9840639&lt;/D&gt;&lt;D xsi:type="xsd:double"&gt;2.1207929&lt;/D&gt;&lt;D xsi:type="xsd:double"&gt;-0.76749325&lt;/D&gt;&lt;D xsi:type="xsd:double"&gt;-8.33897&lt;/D&gt;&lt;D xsi:type="xsd:double"&gt;2.0979047&lt;/D&gt;&lt;D xsi:type="xsd:double"&gt;3.6692739&lt;/D&gt;&lt;D xsi:type="xsd:double"&gt;10.2878685&lt;/D&gt;&lt;D xsi:type="xsd:double"&gt;1.711595&lt;/D&gt;&lt;D xsi:type="xsd:double"&gt;-0.54691434&lt;/D&gt;&lt;D xsi:type="xsd:double"&gt;-0.5287826&lt;/D&gt;&lt;D xsi:type="xsd:double"&gt;1.6274095&lt;/D&gt;&lt;D xsi:type="xsd:double"&gt;0.92710257&lt;/D&gt;&lt;D xsi:type="xsd:double"&gt;3.5073042&lt;/D&gt;&lt;D xsi:type="xsd:double"&gt;1.0084748&lt;/D&gt;&lt;D xsi:type="xsd:double"&gt;-1.8770039&lt;/D&gt;&lt;D xsi:type="xsd:double"&gt;-9.939915&lt;/D&gt;&lt;D xsi:type="xsd:double"&gt;8.661771&lt;/D&gt;&lt;D xsi:type="xsd:double"&gt;2.1509886&lt;/D&gt;&lt;D xsi:type="xsd:double"&gt;-4.4591246&lt;/D&gt;&lt;D xsi:type="xsd:double"&gt;1.8150449&lt;/D&gt;&lt;D xsi:type="xsd:double"&gt;-3.013581&lt;/D&gt;&lt;D xsi:type="xsd:double"&gt;-2.836275&lt;/D&gt;&lt;D xsi:type="xsd:double"&gt;6.9153786&lt;/D&gt;&lt;D xsi:type="xsd:double"&gt;-5.404258&lt;/D&gt;&lt;D xsi:type="xsd:double"&gt;6.2528133&lt;/D&gt;&lt;D xsi:type="xsd:double"&gt;1.6934752&lt;/D&gt;&lt;D xsi:type="xsd:double"&gt;-0.348866&lt;/D&gt;&lt;D xsi:type="xsd:double"&gt;-2.2601306&lt;/D&gt;&lt;D xsi:type="xsd:double"&gt;0.3054142&lt;/D&gt;&lt;D xsi:type="xsd:double"&gt;-1.1744261&lt;/D&gt;&lt;D xsi:type="xsd:double"&gt;-3.2130241&lt;/D&gt;&lt;D xsi:type="xsd:double"&gt;-3.865397&lt;/D&gt;&lt;D xsi:type="xsd:double"&gt;2.6490092&lt;/D&gt;&lt;D xsi:type="xsd:double"&gt;4.6177626&lt;/D&gt;&lt;D xsi:type="xsd:double"&gt;-1.15453&lt;/D&gt;&lt;D xsi:type="xsd:double"&gt;2.8301835&lt;/D&gt;&lt;D xsi:type="xsd:double"&gt;-3.7570953&lt;/D&gt;&lt;D xsi:type="xsd:double"&gt;-7.172036&lt;/D&gt;&lt;D xsi:type="xsd:double"&gt;-3.3251822&lt;/D&gt;&lt;D xsi:type="xsd:double"&gt;4.039645&lt;/D&gt;&lt;D xsi:type="xsd:double"&gt;3.1706095&lt;/D&gt;&lt;D xsi:type="xsd:double"&gt;7.073176&lt;/D&gt;&lt;D xsi:type="xsd:double"&gt;-0.54669976&lt;/D&gt;&lt;D xsi:type="xsd:double"&gt;-5.4512143&lt;/D&gt;&lt;D xsi:type="xsd:double"&gt;-1.1627913&lt;/D&gt;&lt;D xsi:type="xsd:double"&gt;-8.588516&lt;/D&gt;&lt;D xsi:type="xsd:double"&gt;-4.0849686&lt;/D&gt;&lt;D xsi:type="xsd:double"&gt;-2.8960824&lt;/D&gt;&lt;D xsi:type="xsd:double"&gt;-16.023397&lt;/D&gt;&lt;D xsi:type="xsd:double"&gt;21.518112&lt;/D&gt;&lt;D xsi:type="xsd:double"&gt;6.0745&lt;/D&gt;&lt;D xsi:type="xsd:double"&gt;-3.966242&lt;/D&gt;&lt;D xsi:type="xsd:double"&gt;3.0040503&lt;/D&gt;&lt;D xsi:type="xsd:double"&gt;-1.8508136&lt;/D&gt;&lt;D xsi:type="xsd:double"&gt;-0.2857089&lt;/D&gt;&lt;D xsi:type="xsd:double"&gt;6.189108&lt;/D&gt;&lt;D xsi:type="xsd:double"&gt;1.8348575&lt;/D&gt;&lt;D xsi:type="xsd:double"&gt;1.6115546&lt;/D&gt;&lt;/FQL&gt;&lt;FQL&gt;&lt;Q&gt;EWQ^FG_PRICE(0,-200D)&lt;/Q&gt;&lt;R&gt;201&lt;/R&gt;&lt;C&gt;1&lt;/C&gt;&lt;D xsi:type="xsd:double"&gt;45.46&lt;/D&gt;&lt;D xsi:type="xsd:double"&gt;45.4&lt;/D&gt;&lt;D xsi:type="xsd:double"&gt;45.6&lt;/D&gt;&lt;D xsi:type="xsd:double"&gt;45.42&lt;/D&gt;&lt;D xsi:type="xsd:double"&gt;45.31&lt;/D&gt;&lt;D xsi:type="xsd:double"&gt;44.99&lt;/D&gt;&lt;D xsi:type="xsd:double"&gt;45.14&lt;/D&gt;&lt;D xsi:type="xsd:double"&gt;44.99&lt;/D&gt;&lt;D xsi:type="xsd:double"&gt;45.18&lt;/D&gt;&lt;D xsi:type="xsd:double"&gt;44.98&lt;/D&gt;&lt;D xsi:type="xsd:double"&gt;44.9&lt;/D&gt;&lt;D xsi:type="xsd:double"&gt;44.96&lt;/D&gt;&lt;D xsi:type="xsd:double"&gt;44.91&lt;/D&gt;&lt;D xsi:type="xsd:double"&gt;44.8&lt;/D&gt;&lt;D xsi:type="xsd:double"&gt;44.62&lt;/D&gt;&lt;D xsi:type="xsd:double"&gt;44.94&lt;/D&gt;&lt;D xsi:type="xsd:double"&gt;45.18&lt;/D&gt;&lt;D xsi:type="xsd:double"&gt;44.88&lt;/D&gt;&lt;D xsi:type="xsd:double"&gt;45&lt;/D&gt;&lt;D xsi:type="xsd:double"&gt;44.58&lt;/D&gt;&lt;D xsi:type="xsd:double"&gt;44.21&lt;/D&gt;&lt;D xsi:type="xsd:double"&gt;44.65&lt;/D&gt;&lt;D xsi:type="xsd:double"&gt;44.62&lt;/D&gt;&lt;D xsi:type="xsd:double"&gt;44.75&lt;/D&gt;&lt;D xsi:type="xsd:double"&gt;44.79&lt;/D&gt;&lt;D xsi:type="xsd:double"&gt;44.44&lt;/D&gt;&lt;D xsi:type="xsd:double"&gt;44.41&lt;/D&gt;&lt;D xsi:type="xsd:double"&gt;44.57&lt;/D&gt;&lt;D xsi:type="xsd:double"&gt;44.43&lt;/D&gt;&lt;D xsi:type="xsd:double"&gt;44.06&lt;/D&gt;&lt;D xsi:type="xsd:double"&gt;43.33&lt;/D&gt;&lt;D xsi:type="xsd:double"&gt;43.69&lt;/D&gt;&lt;D xsi:type="xsd:double"&gt;42.99&lt;/D&gt;&lt;D xsi:type="xsd:double"&gt;43.44&lt;/D&gt;&lt;D xsi:type="xsd:double"&gt;43.63&lt;/D&gt;&lt;D xsi:type="xsd:double"&gt;44.2&lt;/D&gt;&lt;D xsi:type="xsd:double"&gt;44.84&lt;/D&gt;&lt;D xsi:type="xsd:double"&gt;45.04&lt;/D&gt;&lt;D xsi:type="xsd:double"&gt;45.14&lt;/D&gt;&lt;D xsi:type="xsd:double"&gt;44.71&lt;/D&gt;&lt;D xsi:type="xsd:double"&gt;44.19&lt;/D&gt;&lt;D xsi:type="xsd:double"&gt;43.78&lt;/D&gt;&lt;D xsi:type="xsd:double"&gt;43.42&lt;/D&gt;&lt;D xsi:type="xsd:double"&gt;43.88&lt;/D&gt;&lt;D xsi:type="xsd:double"&gt;43.63&lt;/D&gt;&lt;D xsi:type="xsd:double"&gt;44.07&lt;/D&gt;&lt;D xsi:type="xsd:double"&gt;44.28&lt;/D&gt;&lt;D xsi:type="xsd:double"&gt;44.44&lt;/D&gt;&lt;D xsi:type="xsd:double"&gt;44.86&lt;/D&gt;&lt;D xsi:type="xsd:double"&gt;45.14&lt;/D&gt;&lt;D xsi:type="xsd:double"&gt;45.33&lt;/D&gt;&lt;D xsi:type="xsd:double"&gt;45.11&lt;/D&gt;&lt;D xsi:type="xsd:double"&gt;45.27&lt;/D&gt;&lt;D xsi:type="xsd:double"&gt;44.91&lt;/D&gt;&lt;D xsi:type="xsd:double"&gt;44.98&lt;/D&gt;&lt;D xsi:type="xsd:double"&gt;45.2&lt;/D&gt;&lt;D xsi:type="xsd:double"&gt;45.23&lt;/D&gt;&lt;D xsi:type="xsd:double"&gt;45.15&lt;/D&gt;&lt;D xsi:type="xsd:double"&gt;44.42&lt;/D&gt;&lt;D xsi:type="xsd:double"&gt;44.13&lt;/D&gt;&lt;D xsi:type="xsd:double"&gt;43.35&lt;/D&gt;&lt;D xsi:type="xsd:double"&gt;43.29&lt;/D&gt;&lt;D xsi:type="xsd:double"&gt;43.89&lt;/D&gt;&lt;D xsi:type="xsd:double"&gt;44.3&lt;/D&gt;&lt;D xsi:type="xsd:double"&gt;43.79&lt;/D&gt;&lt;D xsi:type="xsd:double"&gt;44.19&lt;/D&gt;&lt;D xsi:type="xsd:double"&gt;44.91&lt;/D&gt;&lt;D xsi:type="xsd:double"&gt;44.77&lt;/D&gt;&lt;D xsi:type="xsd:double"&gt;44.49&lt;/D&gt;&lt;D xsi:type="xsd:double"&gt;43.93&lt;/D&gt;&lt;D xsi:type="xsd:double"&gt;43.78&lt;/D&gt;&lt;D xsi:type="xsd:double"&gt;43.59&lt;/D&gt;&lt;D xsi:type="xsd:double"&gt;43.05&lt;/D&gt;&lt;D xsi:type="xsd:double"&gt;43.41&lt;/D&gt;&lt;D xsi:type="xsd:double"&gt;43.89&lt;/D&gt;&lt;D xsi:type="xsd:double"&gt;43.78&lt;/D&gt;&lt;D xsi:type="xsd:double"&gt;43.68&lt;/D&gt;&lt;D xsi:type="xsd:double"&gt;43.84&lt;/D&gt;&lt;D xsi:type="xsd:double"&gt;43.53&lt;/D&gt;&lt;D xsi:type="xsd:double"&gt;43.82&lt;/D&gt;&lt;D xsi:type="xsd:double"&gt;43.89&lt;/D&gt;&lt;D xsi:type="xsd:double"&gt;43.49&lt;/D&gt;&lt;D xsi:type="xsd:double"&gt;43.53&lt;/D&gt;&lt;D xsi:type="xsd:double"&gt;42.9&lt;/D&gt;&lt;D xsi:type="xsd:double"&gt;43.06&lt;/D&gt;&lt;D xsi:type="xsd:double"&gt;42.99&lt;/D&gt;&lt;D xsi:type="xsd:double"&gt;42.56&lt;/D&gt;&lt;D xsi:type="xsd:double"&gt;42.56&lt;/D&gt;&lt;D xsi:type="xsd:double"&gt;42.54&lt;/D&gt;&lt;D xsi:type="xsd:double"&gt;42.29&lt;/D&gt;&lt;D xsi:type="xsd:double"&gt;42.59&lt;/D&gt;&lt;D xsi:type="xsd:double"&gt;42.9&lt;/D&gt;&lt;D xsi:type="xsd:double"&gt;42.56&lt;/D&gt;&lt;D xsi:type="xsd:double"&gt;42.58&lt;/D&gt;&lt;D xsi:type="xsd:double"&gt;42.96&lt;/D&gt;&lt;D xsi:type="xsd:double"&gt;44.18&lt;/D&gt;&lt;D xsi:type="xsd:double"&gt;43.55&lt;/D&gt;&lt;D xsi:type="xsd:double"&gt;43.97&lt;/D&gt;&lt;D xsi:type="xsd:double"&gt;43.82&lt;/D&gt;&lt;D xsi:type="xsd:double"&gt;43.55&lt;/D&gt;&lt;D xsi:type="xsd:double"&gt;43.89&lt;/D&gt;&lt;D xsi:type="xsd:double"&gt;43.5&lt;/D&gt;&lt;D xsi:type="xsd:double"&gt;43.31&lt;/D&gt;&lt;D xsi:type="xsd:double"&gt;42.89&lt;/D&gt;&lt;D xsi:type="xsd:double"&gt;42.35&lt;/D&gt;&lt;D xsi:type="xsd:double"&gt;42.68&lt;/D&gt;&lt;D xsi:type="xsd:double"&gt;42.49&lt;/D&gt;&lt;D xsi:type="xsd:double"&gt;42.02&lt;/D&gt;&lt;D xsi:type="xsd:double"&gt;41.83&lt;/D&gt;&lt;D xsi:type="xsd:double"&gt;41.86&lt;/D&gt;&lt;D xsi:type="xsd:double"&gt;41.43&lt;/D&gt;&lt;D xsi:type="xsd:double"&gt;41.94&lt;/D&gt;&lt;D xsi:type="xsd:double"&gt;42.47&lt;/D&gt;&lt;D xsi:type="xsd:double"&gt;42.91&lt;/D&gt;&lt;D xsi:type="xsd:double"&gt;42.8&lt;/D&gt;&lt;D xsi:type="xsd:double"&gt;43.72&lt;/D&gt;&lt;D xsi:type="xsd:double"&gt;43.4&lt;/D&gt;&lt;D xsi:type="xsd:double"&gt;44.4&lt;/D&gt;&lt;D xsi:type="xsd:double"&gt;43.16&lt;/D&gt;&lt;D xsi:type="xsd:double"&gt;43.03&lt;/D&gt;&lt;D xsi:type="xsd:double"&gt;42.92&lt;/D&gt;&lt;D xsi:type="xsd:double"&gt;42.98&lt;/D&gt;&lt;D xsi:type="xsd:double"&gt;42.74&lt;/D&gt;&lt;D xsi:type="xsd:double"&gt;42.56&lt;</t>
        </r>
      </text>
    </comment>
    <comment ref="A8" authorId="0" shapeId="0" xr:uid="{EB84F7B5-E11A-4CEA-BFAD-0A00D9CFA86C}">
      <text>
        <r>
          <rPr>
            <b/>
            <sz val="9"/>
            <color indexed="81"/>
            <rFont val="Tahoma"/>
            <charset val="1"/>
          </rPr>
          <t>/D&gt;&lt;D xsi:type="xsd:double"&gt;43.12&lt;/D&gt;&lt;D xsi:type="xsd:double"&gt;43.28&lt;/D&gt;&lt;D xsi:type="xsd:double"&gt;43.75&lt;/D&gt;&lt;D xsi:type="xsd:double"&gt;43.84&lt;/D&gt;&lt;D xsi:type="xsd:double"&gt;43.27&lt;/D&gt;&lt;D xsi:type="xsd:double"&gt;42.68&lt;/D&gt;&lt;D xsi:type="xsd:double"&gt;43.08&lt;/D&gt;&lt;D xsi:type="xsd:double"&gt;43.27&lt;/D&gt;&lt;D xsi:type="xsd:double"&gt;42.87&lt;/D&gt;&lt;D xsi:type="xsd:double"&gt;42.8&lt;/D&gt;&lt;D xsi:type="xsd:double"&gt;42.61&lt;/D&gt;&lt;D xsi:type="xsd:double"&gt;42.14&lt;/D&gt;&lt;D xsi:type="xsd:double"&gt;41.89&lt;/D&gt;&lt;D xsi:type="xsd:double"&gt;42.04&lt;/D&gt;&lt;D xsi:type="xsd:double"&gt;41.57&lt;/D&gt;&lt;D xsi:type="xsd:double"&gt;41.29&lt;/D&gt;&lt;D xsi:type="xsd:double"&gt;41.67&lt;/D&gt;&lt;D xsi:type="xsd:double"&gt;41.74&lt;/D&gt;&lt;D xsi:type="xsd:double"&gt;42.21&lt;/D&gt;&lt;D xsi:type="xsd:double"&gt;42.83&lt;/D&gt;&lt;D xsi:type="xsd:double"&gt;43.57&lt;/D&gt;&lt;D xsi:type="xsd:double"&gt;43.11&lt;/D&gt;&lt;D xsi:type="xsd:double"&gt;43.21&lt;/D&gt;&lt;D xsi:type="xsd:double"&gt;43.08&lt;/D&gt;&lt;D xsi:type="xsd:double"&gt;43.04&lt;/D&gt;&lt;D xsi:type="xsd:double"&gt;43.04&lt;/D&gt;&lt;D xsi:type="xsd:double"&gt;43.08&lt;/D&gt;&lt;D xsi:type="xsd:double"&gt;42.84&lt;/D&gt;&lt;D xsi:type="xsd:double"&gt;43.14&lt;/D&gt;&lt;D xsi:type="xsd:double"&gt;42.49&lt;/D&gt;&lt;D xsi:type="xsd:double"&gt;42.76&lt;/D&gt;&lt;D xsi:type="xsd:double"&gt;42.47&lt;/D&gt;&lt;D xsi:type="xsd:double"&gt;42.92&lt;/D&gt;&lt;D xsi:type="xsd:double"&gt;42.4&lt;/D&gt;&lt;D xsi:type="xsd:double"&gt;42.65&lt;/D&gt;&lt;D xsi:type="xsd:double"&gt;42.71&lt;/D&gt;&lt;D xsi:type="xsd:double"&gt;43.1&lt;/D&gt;&lt;D xsi:type="xsd:double"&gt;42.73&lt;/D&gt;&lt;D xsi:type="xsd:double"&gt;42.25&lt;/D&gt;&lt;D xsi:type="xsd:double"&gt;42.09&lt;/D&gt;&lt;D xsi:type="xsd:double"&gt;41.88&lt;/D&gt;&lt;D xsi:type="xsd:double"&gt;42.1&lt;/D&gt;&lt;D xsi:type="xsd:double"&gt;41.81&lt;/D&gt;&lt;D xsi:type="xsd:double"&gt;41.68&lt;/D&gt;&lt;D xsi:type="xsd:double"&gt;41.32&lt;/D&gt;&lt;D xsi:type="xsd:double"&gt;41.32&lt;/D&gt;&lt;D xsi:type="xsd:double"&gt;41.62&lt;/D&gt;&lt;D xsi:type="xsd:double"&gt;41.84&lt;/D&gt;&lt;D xsi:type="xsd:double"&gt;41.86&lt;/D&gt;&lt;D xsi:type="xsd:double"&gt;41.07&lt;/D&gt;&lt;D xsi:type="xsd:double"&gt;41.04&lt;/D&gt;&lt;D xsi:type="xsd:double"&gt;40.94&lt;/D&gt;&lt;D xsi:type="xsd:double"&gt;41.04&lt;/D&gt;&lt;D xsi:type="xsd:double"&gt;40.95&lt;/D&gt;&lt;D xsi:type="xsd:double"&gt;40.72&lt;/D&gt;&lt;D xsi:type="xsd:double"&gt;40.12&lt;/D&gt;&lt;D xsi:type="xsd:double"&gt;39.84&lt;/D&gt;&lt;D xsi:type="xsd:double"&gt;38.97&lt;/D&gt;&lt;D xsi:type="xsd:double"&gt;39.22&lt;/D&gt;&lt;D xsi:type="xsd:double"&gt;38.96&lt;/D&gt;&lt;D xsi:type="xsd:double"&gt;39&lt;/D&gt;&lt;D xsi:type="xsd:double"&gt;38.85&lt;/D&gt;&lt;D xsi:type="xsd:double"&gt;38.97&lt;/D&gt;&lt;D xsi:type="xsd:double"&gt;37.99&lt;/D&gt;&lt;D xsi:type="xsd:double"&gt;38.61&lt;/D&gt;&lt;D xsi:type="xsd:double"&gt;35.65&lt;/D&gt;&lt;D xsi:type="xsd:double"&gt;35.97&lt;/D&gt;&lt;D xsi:type="xsd:double"&gt;37.21&lt;/D&gt;&lt;D xsi:type="xsd:double"&gt;39.48&lt;/D&gt;&lt;D xsi:type="xsd:double"&gt;40.18&lt;/D&gt;&lt;D xsi:type="xsd:double"&gt;40.05&lt;/D&gt;&lt;D xsi:type="xsd:double"&gt;39.8&lt;/D&gt;&lt;D xsi:type="xsd:double"&gt;40.35&lt;/D&gt;&lt;D xsi:type="xsd:double"&gt;40.55&lt;/D&gt;&lt;D xsi:type="xsd:double"&gt;40.48&lt;/D&gt;&lt;D xsi:type="xsd:double"&gt;41.23&lt;/D&gt;&lt;D xsi:type="xsd:double"&gt;40.91&lt;/D&gt;&lt;/FQL&gt;&lt;FQL&gt;&lt;Q&gt;EWM^FG_PRICE(0,-200D)&lt;/Q&gt;&lt;R&gt;201&lt;/R&gt;&lt;C&gt;1&lt;/C&gt;&lt;D xsi:type="xsd:double"&gt;27.36&lt;/D&gt;&lt;D xsi:type="xsd:double"&gt;27.43&lt;/D&gt;&lt;D xsi:type="xsd:double"&gt;27.63&lt;/D&gt;&lt;D xsi:type="xsd:double"&gt;27.61&lt;/D&gt;&lt;D xsi:type="xsd:double"&gt;27.42&lt;/D&gt;&lt;D xsi:type="xsd:double"&gt;27.36&lt;/D&gt;&lt;D xsi:type="xsd:double"&gt;27.57&lt;/D&gt;&lt;D xsi:type="xsd:double"&gt;27.53&lt;/D&gt;&lt;D xsi:type="xsd:double"&gt;27.64&lt;/D&gt;&lt;D xsi:type="xsd:double"&gt;27.69&lt;/D&gt;&lt;D xsi:type="xsd:double"&gt;27.53&lt;/D&gt;&lt;D xsi:type="xsd:double"&gt;27.41&lt;/D&gt;&lt;D xsi:type="xsd:double"&gt;27.2&lt;/D&gt;&lt;D xsi:type="xsd:double"&gt;26.88&lt;/D&gt;&lt;D xsi:type="xsd:double"&gt;26.6&lt;/D&gt;&lt;D xsi:type="xsd:double"&gt;26.79&lt;/D&gt;&lt;D xsi:type="xsd:double"&gt;27.09&lt;/D&gt;&lt;D xsi:type="xsd:double"&gt;26.98&lt;/D&gt;&lt;D xsi:type="xsd:double"&gt;26.87&lt;/D&gt;&lt;D xsi:type="xsd:double"&gt;26.52&lt;/D&gt;&lt;D xsi:type="xsd:double"&gt;26.37&lt;/D&gt;&lt;D xsi:type="xsd:double"&gt;26.32&lt;/D&gt;&lt;D xsi:type="xsd:double"&gt;26.64&lt;/D&gt;&lt;D xsi:type="xsd:double"&gt;26.59&lt;/D&gt;&lt;D xsi:type="xsd:double"&gt;26.73&lt;/D&gt;&lt;D xsi:type="xsd:double"&gt;26.67&lt;/D&gt;&lt;D xsi:type="xsd:double"&gt;26.6&lt;/D&gt;&lt;D xsi:type="xsd:double"&gt;26.43&lt;/D&gt;&lt;D xsi:type="xsd:double"&gt;26.64&lt;/D&gt;&lt;D xsi:type="xsd:double"&gt;26.49&lt;/D&gt;&lt;D xsi:type="xsd:double"&gt;26.47&lt;/D&gt;&lt;D xsi:type="xsd:double"&gt;26.29&lt;/D&gt;&lt;D xsi:type="xsd:double"&gt;26.05&lt;/D&gt;&lt;D xsi:type="xsd:double"&gt;26.33&lt;/D&gt;&lt;D xsi:type="xsd:double"&gt;26.16&lt;/D&gt;&lt;D xsi:type="xsd:double"&gt;26.23&lt;/D&gt;&lt;D xsi:type="xsd:double"&gt;26.45&lt;/D&gt;&lt;D xsi:type="xsd:double"&gt;26.5&lt;/D&gt;&lt;D xsi:type="xsd:double"&gt;26.53&lt;/D&gt;&lt;D xsi:type="xsd:double"&gt;26.78&lt;/D&gt;&lt;D xsi:type="xsd:double"&gt;26.47&lt;/D&gt;&lt;D xsi:type="xsd:double"&gt;26.23&lt;/D&gt;&lt;D xsi:type="xsd:double"&gt;26.01&lt;/D&gt;&lt;D xsi:type="xsd:double"&gt;26.2&lt;/D&gt;&lt;D xsi:type="xsd:double"&gt;25.98&lt;/D&gt;&lt;D xsi:type="xsd:double"&gt;26.06&lt;/D&gt;&lt;D xsi:type="xsd:double"&gt;25.85&lt;/D&gt;&lt;D xsi:type="xsd:double"&gt;25.88&lt;/D&gt;&lt;D xsi:type="xsd:double"&gt;25.91&lt;/D&gt;&lt;D xsi:type="xsd:double"&gt;26.01&lt;/D&gt;&lt;D xsi:type="xsd:double"&gt;25.96&lt;/D&gt;&lt;D xsi:type="xsd:double"&gt;25.69&lt;/D&gt;&lt;D xsi:type="xsd:double"&gt;25.65&lt;/D&gt;&lt;D xsi:type="xsd:double"&gt;25.47&lt;/D&gt;&lt;D xsi:type="xsd:double"&gt;25.74&lt;/D&gt;&lt;D xsi:type="xsd:double"&gt;25.82&lt;/D&gt;&lt;D xsi:type="xsd:double"&gt;25.7&lt;/D&gt;&lt;D xsi:type="xsd:double"&gt;25.58&lt;/D&gt;&lt;D xsi:type="xsd:double"&gt;25.66&lt;/D&gt;&lt;D xsi:type="xsd:double"&gt;25.72&lt;/D&gt;&lt;D xsi:type="xsd:double"&gt;25.71&lt;/D&gt;&lt;D xsi:type="xsd:double"&gt;25.33&lt;/D&gt;&lt;D xsi:type="xsd:double"&gt;25.98&lt;/D&gt;&lt;D xsi:type="xsd:double"&gt;26.02&lt;/D&gt;&lt;D xsi:type="xsd:double"&gt;25.99&lt;/D&gt;&lt;D xsi:type="xsd:double"&gt;26.09&lt;/D&gt;&lt;D xsi:type="xsd:double"&gt;26.2&lt;/D&gt;&lt;D xsi:type="xsd:double"&gt;26.27&lt;/D&gt;&lt;D xsi:type="xsd:double"&gt;26.21&lt;/D&gt;&lt;D xsi:type="xsd:double"&gt;25.92&lt;/D&gt;&lt;D xsi:type="xsd:double"&gt;25.78&lt;/D&gt;&lt;D xsi:type="xsd:double"&gt;25.73&lt;/D&gt;&lt;D xsi:type="xsd:double"&gt;25.27&lt;/D&gt;&lt;D xsi:type="xsd:double"&gt;25.33&lt;/D&gt;&lt;D xsi:type="xsd:double"&gt;25.74&lt;/D&gt;&lt;D xsi:type="xsd:double"&gt;25.79&lt;/D&gt;&lt;D xsi:type="xsd:double"&gt;25.59&lt;/D&gt;&lt;D xsi:type="xsd:double"&gt;25.6&lt;/D&gt;&lt;D xsi:type="xsd:double"&gt;25.95&lt;/D&gt;&lt;D xsi:type="xsd:double"&gt;25.54&lt;/D&gt;&lt;D xsi:type="xsd:double"&gt;25.55&lt;/D&gt;&lt;D xsi:type="xsd:double"&gt;25.47&lt;/D&gt;&lt;D xsi:type="xsd:double"&gt;25.33&lt;/D&gt;&lt;D xsi:type="xsd:double"&gt;25.17&lt;/D&gt;&lt;D xsi:type="xsd:double"&gt;25.17&lt;/D&gt;&lt;D xsi:type="xsd:double"&gt;25.12&lt;/D&gt;&lt;D xsi:type="xsd:double"&gt;25.03&lt;/D&gt;&lt;D xsi:type="xsd:double"&gt;24.97&lt;/D&gt;&lt;D xsi:type="xsd:double"&gt;24.87&lt;/D&gt;&lt;D xsi:type="xsd:double"&gt;24.73&lt;/D&gt;&lt;D xsi:type="xsd:double"&gt;24.87&lt;/D&gt;&lt;D xsi:type="xsd:double"&gt;25.13&lt;/D&gt;&lt;D xsi:type="xsd:double"&gt;25.05&lt;/D&gt;&lt;D xsi:type="xsd:double"&gt;25.13&lt;/D&gt;&lt;D xsi:type="xsd:double"&gt;25.5&lt;/D&gt;&lt;D xsi:type="xsd:double"&gt;25.72&lt;/D&gt;&lt;D xsi:type="xsd:double"&gt;25.19&lt;/D&gt;&lt;D xsi:type="xsd:double"&gt;25.19&lt;/D&gt;&lt;D xsi:type="xsd:double"&gt;25.18&lt;/D&gt;&lt;D xsi:type="xsd:double"&gt;25.13&lt;/D&gt;&lt;D xsi:type="xsd:double"&gt;24.98&lt;/D&gt;&lt;D xsi:type="xsd:double"&gt;25.03&lt;/D&gt;&lt;D xsi:type="xsd:double"&gt;25.27&lt;/D&gt;&lt;D xsi:type="xsd:double"&gt;24.94&lt;/D&gt;&lt;D xsi:type="xsd:double"&gt;24.6&lt;/D&gt;&lt;D xsi:type="xsd:double"&gt;24.51&lt;/D&gt;&lt;D xsi:type="xsd:double"&gt;24.38&lt;/D&gt;&lt;D xsi:type="xsd:double"&gt;24.4&lt;/D&gt;&lt;D xsi:type="xsd:double"&gt;24.24&lt;/D&gt;&lt;D xsi:type="xsd:double"&gt;24.13&lt;/D&gt;&lt;D xsi:type="xsd:double"&gt;23.98&lt;/D&gt;&lt;D xsi:type="xsd:double"&gt;23.49&lt;/D&gt;&lt;D xsi:type="xsd:double"&gt;23.84&lt;/D&gt;&lt;D xsi:type="xsd:double"&gt;24.04&lt;/D&gt;&lt;D xsi:type="xsd:double"&gt;24.05&lt;/D&gt;&lt;D xsi:type="xsd:double"&gt;24.19&lt;/D&gt;&lt;D xsi:type="xsd:double"&gt;24.3&lt;/D&gt;&lt;D xsi:type="xsd:double"&gt;24.21&lt;/D&gt;&lt;D xsi:type="xsd:double"&gt;23.99&lt;/D&gt;&lt;D xsi:type="xsd:double"&gt;24.03&lt;/D&gt;&lt;D xsi:type="xsd:double"&gt;23.93&lt;/D&gt;&lt;D xsi:type="xsd:double"&gt;23.93&lt;/D&gt;&lt;D xsi:type="xsd:double"&gt;23.71&lt;/D&gt;&lt;D xsi:type="xsd:double"&gt;23.8&lt;/D&gt;&lt;D xsi:type="xsd:double"&gt;24.09&lt;/D&gt;&lt;D xsi:type="xsd:double"&gt;24.08&lt;/D&gt;&lt;D xsi:type="xsd:double"&gt;24.11&lt;/D&gt;&lt;D xsi:type="xsd:double"&gt;23.98&lt;/D&gt;&lt;D xsi:type="xsd:double"&gt;23.95&lt;/D&gt;&lt;D xsi:type="xsd:double"&gt;23.93&lt;/D&gt;&lt;D xsi:type="xsd:double"&gt;24.41&lt;/D&gt;&lt;D xsi:type="xsd:double"&gt;24.41&lt;/D&gt;&lt;D xsi:type="xsd:double"&gt;24.38&lt;/D&gt;&lt;D xsi:type="xsd:double"&gt;24.34&lt;/D&gt;&lt;D xsi:type="xsd:double"&gt;24.07&lt;/D&gt;&lt;D xsi:type="xsd:double"&gt;24.07&lt;/D&gt;&lt;D xsi:type="xsd:double"&gt;23.82&lt;/D&gt;&lt;D xsi:type="xsd:double"&gt;23.77&lt;/D&gt;&lt;D xsi:type="xsd:double"&gt;23.53&lt;/D&gt;&lt;D xsi:type="xsd:double"&gt;23.41&lt;/D&gt;&lt;D xsi:type="xsd:double"&gt;23.59&lt;/D&gt;&lt;D xsi:type="xsd:double"&gt;23.53&lt;/D&gt;&lt;D xsi:type="xsd:double"&gt;23.93&lt;/D&gt;&lt;D xsi:type="xsd:double"&gt;24.26&lt;/D&gt;&lt;D xsi:type="xsd:double"&gt;24.54&lt;/D&gt;&lt;D xsi:type="xsd:double"&gt;24.45&lt;/D&gt;&lt;D xsi:type="xsd:double"&gt;24.28&lt;/D&gt;&lt;D xsi:type="xsd:double"&gt;24.32&lt;/D&gt;&lt;D xsi:type="xsd:double"&gt;24.25&lt;/D&gt;&lt;D xsi:type="xsd:double"&gt;24.31&lt;/D&gt;&lt;D xsi:type="xsd:double"&gt;24.14&lt;/D&gt;&lt;D xsi:type="xsd:double"&gt;24.09&lt;/D&gt;&lt;D xsi:type="xsd:double"&gt;24.15&lt;/D&gt;&lt;D xsi:type="xsd:double"&gt;23.96&lt;/D&gt;&lt;D xsi:type="xsd:double"&gt;24.3&lt;/D&gt;&lt;D xsi:type="xsd:double"&gt;24.47&lt;/D&gt;&lt;D xsi:type="xsd:double"&gt;24.52&lt;/D&gt;&lt;D xsi:type="xsd:double"&gt;24.58&lt;/D&gt;&lt;D xsi:type="xsd:double"&gt;24.24&lt;/D&gt;&lt;D xsi:type="xsd:double"&gt;24.49&lt;/D&gt;&lt;D xsi:type="xsd:double"&gt;24.5&lt;/D&gt;&lt;D xsi:type="xsd:double"&gt;24.69&lt;/D&gt;&lt;D xsi:type="xsd:double"&gt;24.87&lt;/D&gt;&lt;D xsi:type="xsd:double"&gt;25.08&lt;/D&gt;&lt;D xsi:type="xsd:double"&gt;25.07&lt;/D&gt;&lt;D xsi:type="xsd:double"&gt;24.87&lt;/D&gt;&lt;D xsi:type="xsd:double"&gt;24.5&lt;/D&gt;&lt;D xsi:type="xsd:double"&gt;24.45&lt;/D&gt;&lt;D xsi:type="xsd:double"&gt;24.31&lt;/D&gt;&lt;D xsi:type="xsd:double"&gt;24.68&lt;/D&gt;&lt;D xsi:type="xsd:double"&gt;24.64&lt;/D&gt;&lt;D xsi:type="xsd:double"&gt;24.86&lt;/D&gt;&lt;D xsi:type="xsd:double"&gt;24.85&lt;/D&gt;&lt;D xsi:type="xsd:double"&gt;24.12&lt;/D&gt;&lt;D xsi:type="xsd:double"&gt;24.17&lt;/D&gt;&lt;D xsi:type="xsd:double"&gt;23.7&lt;/D&gt;&lt;D xsi:type="xsd:double"&gt;23.71&lt;/D&gt;&lt;D xsi:type="xsd:double"&gt;23.43&lt;/D&gt;&lt;D xsi:type="xsd:double"&gt;23.43&lt;/D&gt;&lt;D xsi:type="xsd:double"&gt;23.07&lt;/D&gt;&lt;D xsi:type="xsd:double"&gt;22.91&lt;/D&gt;&lt;D xsi:type="xsd:double"&gt;23.04&lt;/D&gt;&lt;D xsi:type="xsd:double"&gt;22.77&lt;/D&gt;&lt;D xsi:type="xsd:double"&gt;22.44&lt;/D&gt;&lt;D xsi:type="xsd:double"&gt;22.63&lt;/D&gt;&lt;D xsi:type="xsd:double"&gt;22.65&lt;/D&gt;&lt;D xsi:type="xsd:double"&gt;22.46&lt;/D&gt;&lt;D xsi:type="xsd:double"&gt;22.05&lt;/D&gt;&lt;D xsi:type="xsd:double"&gt;22.14&lt;/D&gt;&lt;D xsi:type="xsd:double"&gt;21.2&lt;/D&gt;&lt;D xsi:type="xsd:double"&gt;21.75&lt;/D&gt;&lt;D xsi:type="xsd:double"&gt;21.91&lt;/D&gt;&lt;D xsi:type="xsd:double"&gt;23.01&lt;/D&gt;&lt;D xsi:type="xsd:double"&gt;23.32&lt;/D&gt;&lt;D xsi:type="xsd:double"&gt;23.03&lt;/D&gt;&lt;D xsi:type="xsd:double"&gt;23.08&lt;/D&gt;&lt;D xsi:type="xsd:double"&gt;23&lt;/D&gt;&lt;D xsi:type="xsd:double"&gt;23.55&lt;/D&gt;&lt;D xsi:type="xsd:double"&gt;23.21&lt;/D&gt;&lt;D xsi:type="xsd:double"&gt;23.17&lt;/D&gt;&lt;D xsi:type="xsd:double"&gt;23&lt;/D&gt;&lt;/FQL&gt;&lt;FQL&gt;&lt;Q&gt;TUR^FG_TOTAL_RETURNC(-5AY,0,AM)&lt;/Q&gt;&lt;R&gt;61&lt;/R&gt;&lt;C&gt;1&lt;/C&gt;&lt;D xsi:type="xsd:double"&gt;20.701742&lt;/D&gt;&lt;D xsi:type="xsd:double"&gt;2.9850721&lt;/D&gt;&lt;D xsi:type="xsd:double"&gt;-8.040029&lt;/D&gt;&lt;D xsi:type="xsd:double"&gt;-11.144465&lt;/D&gt;&lt;D xsi:type="xsd:double"&gt;1.8581152&lt;/D&gt;&lt;D xsi:type="xsd:double"&gt;-3.606969&lt;/D&gt;&lt;D xsi:type="xsd:double"&gt;-5.4409924&lt;/D&gt;&lt;D xsi:type="xsd:double"&gt;4.8711896&lt;/D&gt;&lt;D xsi:type="xsd:double"&gt;2.0098329&lt;/D&gt;&lt;D xsi:type="xsd:double"&gt;-7.6182127&lt;/D&gt;&lt;D xsi:type="xsd:double"&gt;7.4407578&lt;/D&gt;&lt;D xsi:type="xsd:double"&gt;-12.218791&lt;/D&gt;&lt;D xsi:type="xsd:double"&gt;0.44654608&lt;/D&gt;&lt;D xsi:type="xsd:double"&gt;0.15075207&lt;/D&gt;&lt;D xsi:type="xsd:double"&gt;-7.1249366&lt;/D&gt;&lt;D xsi:type="xsd:double"&gt;19.07078&lt;/D&gt;&lt;D xsi:type="xsd:double"&gt;0.99818707&lt;/D&gt;&lt;D xsi:type="xsd:double"&gt;-9.074574&lt;/D&gt;&lt;D xsi:type="xsd:double"&gt;-5.9012117&lt;/D&gt;&lt;D xsi:type="xsd:double"&gt;11.177099&lt;/D&gt;&lt;D xsi:type="xsd:double"&gt;18.115593&lt;/D&gt;&lt;D xsi:type="xsd:double"&gt;1.3157845&lt;/D&gt;&lt;D xsi:type="xsd:double"&gt;21.712662&lt;/D&gt;&lt;D xsi:type="xsd:double"&gt;9.603203&lt;/D&gt;&lt;D xsi:type="xsd:double"&gt;10.619104&lt;/D&gt;&lt;D xsi:type="xsd:double"&gt;-17.66169&lt;/D&gt;&lt;D xsi:type="xsd:double"&gt;24.773407&lt;/D&gt;&lt;D xsi:type="xsd:double"&gt;-10.734457&lt;/D&gt;&lt;D xsi:type="xsd:double"&gt;-7.4743805&lt;/D&gt;&lt;D xsi:type="xsd:double"&gt;0.9988308&lt;/D&gt;&lt;D xsi:type="xsd:double"&gt;0.06682873&lt;/D&gt;&lt;D xsi:type="xsd:double"&gt;15.859771&lt;/D&gt;&lt;D xsi:type="xsd:double"&gt;13.170028&lt;/D&gt;&lt;D xsi:type="xsd:double"&gt;0.56022406&lt;/D&gt;&lt;D xsi:type="xsd:double"&gt;-10.6862545&lt;/D&gt;&lt;D xsi:type="xsd:double"&gt;-0.9923518&lt;/D&gt;&lt;D xsi:type="xsd:double"&gt;-3.1363785&lt;/D&gt;&lt;D xsi:type="xsd:double"&gt;10.905277&lt;/D&gt;&lt;D xsi:type="xsd:double"&gt;-1.9396484&lt;/D&gt;&lt;D xsi:type="xsd:double"&gt;8.049452&lt;/D&gt;&lt;D xsi:type="xsd:double"&gt;5.339432&lt;/D&gt;&lt;D xsi:type="xsd:double"&gt;-1.0137618&lt;/D&gt;&lt;D xsi:type="xsd:double"&gt;6.5205812&lt;/D&gt;&lt;D xsi:type="xsd:double"&gt;-10.011583&lt;/D&gt;&lt;D xsi:type="xsd:double"&gt;-5.2279234&lt;/D&gt;&lt;D xsi:type="xsd:double"&gt;-7.336956&lt;/D&gt;&lt;D xsi:type="xsd:double"&gt;1.2316823&lt;/D&gt;&lt;D xsi:type="xsd:double"&gt;9.559679&lt;/D&gt;&lt;D xsi:type="xsd:double"&gt;-3.693527&lt;/D&gt;&lt;D xsi:type="xsd:double"&gt;-1.736486&lt;/D&gt;&lt;D xsi:type="xsd:double"&gt;4.5722246&lt;/D&gt;&lt;D xsi:type="xsd:double"&gt;-14.619094&lt;/D&gt;&lt;D xsi:type="xsd:double"&gt;-2.0106792&lt;/D&gt;&lt;D xsi:type="xsd:double"&gt;1.3465881&lt;/D&gt;&lt;D xsi:type="xsd:double"&gt;3.159976&lt;/D&gt;&lt;D xsi:type="xsd:double"&gt;7.9701185&lt;/D&gt;&lt;D xsi:type="xsd:double"&gt;-6.170702&lt;/D&gt;&lt;D xsi:type="xsd:double"&gt;3.3036232&lt;/D&gt;&lt;D xsi:type="xsd:double"&gt;0.7288337&lt;/D&gt;&lt;D xsi:type="xsd:double"&gt;1.653862&lt;/D&gt;&lt;D xsi:type="xsd:double"&gt;7.815814&lt;/D&gt;&lt;/FQL&gt;&lt;FQL&gt;&lt;Q&gt;EWY^FG_TOTAL_RETURNC(-5AY,0,AM)&lt;/Q&gt;&lt;R&gt;61&lt;/R&gt;&lt;C&gt;1&lt;/C&gt;&lt;D xsi:type="xsd:double"&gt;19.151474&lt;/D&gt;&lt;D xsi:type="xsd:double"&gt;-4.5624614&lt;/D&gt;&lt;D xsi:type="xsd:double"&gt;-5.466628&lt;/D&gt;&lt;D xsi:type="xsd:double"&gt;5.679071&lt;/D&gt;&lt;D xsi:type="xsd:double"&gt;2.027464&lt;/D&gt;&lt;D xsi:type="xsd:double"&gt;-0.950855&lt;/D&gt;&lt;D xsi:type="xsd:double"&gt;-3.4192622&lt;/D&gt;&lt;D xsi:type="xsd:double"&gt;0.94929934&lt;/D&gt;&lt;D xsi:type="xsd:double"&gt;-5.9851704&lt;/D&gt;&lt;D xsi:type="xsd:double"&gt;-8.272541&lt;/D&gt;&lt;D xsi:type="xsd:double"&gt;2.1808863&lt;/D&gt;&lt;D xsi:type="xsd:double"&gt;2.0213485&lt;/D&gt;&lt;D xsi:type="xsd:double"&gt;-2.5378227&lt;/D&gt;&lt;D xsi:type="xsd:double"&gt;-5.6107283&lt;/D&gt;&lt;D xsi:type="xsd:double"&gt;-7.65236&lt;/D&gt;&lt;D xsi:type="xsd:double"&gt;1.9532442&lt;/D&gt;&lt;D xsi:type="xsd:double"&gt;-4.0203276&lt;/D&gt;&lt;D xsi:type="xsd:double"&gt;-0.15121698&lt;/D&gt;&lt;D xsi:type="xsd:double"&gt;-11.7067995&lt;/D&gt;&lt;D xsi:type="xsd:double"&gt;4.7341347&lt;/D&gt;&lt;D xsi:type="xsd:double"&gt;-10.465121&lt;/D&gt;&lt;D xsi:type="xsd:double"&gt;-9.712815&lt;/D&gt;&lt;D xsi:type="xsd:double"&gt;13.290108&lt;/D&gt;&lt;D xsi:type="xsd:double"&gt;3.0400634&lt;/D&gt;&lt;D xsi:type="xsd:double"&gt;5.1840544&lt;/D&gt;&lt;D xsi:type="xsd:double"&gt;5.042577&lt;/D&gt;&lt;D xsi:type="xsd:double"&gt;-5.91321&lt;/D&gt;&lt;D xsi:type="xsd:double"&gt;1.3008952&lt;/D&gt;&lt;D xsi:type="xsd:double"&gt;2.651763&lt;/D&gt;&lt;D xsi:type="xsd:double"&gt;6.6775084&lt;/D&gt;&lt;D xsi:type="xsd:double"&gt;-3.837961&lt;/D&gt;&lt;D xsi:type="xsd:double"&gt;0.99778175&lt;/D&gt;&lt;D xsi:type="xsd:double"&gt;-3.1049073&lt;/D&gt;&lt;D xsi:type="xsd:double"&gt;-5.1464615&lt;/D&gt;&lt;D xsi:type="xsd:double"&gt;3.1735182&lt;/D&gt;&lt;D xsi:type="xsd:double"&gt;2.7947664&lt;/D&gt;&lt;D xsi:type="xsd:double"&gt;4.349065&lt;/D&gt;&lt;D xsi:type="xsd:double"&gt;0.11074543&lt;/D&gt;&lt;D xsi:type="xsd:double"&gt;4.725027&lt;/D&gt;&lt;D xsi:type="xsd:double"&gt;-0.045269728&lt;/D&gt;&lt;D xsi:type="xsd:double"&gt;-0.6189525&lt;/D&gt;&lt;D xsi:type="xsd:double"&gt;-3.2963753&lt;/D&gt;&lt;D xsi:type="xsd:double"&gt;7.147348&lt;/D&gt;&lt;D xsi:type="xsd:double"&gt;-9.881247&lt;/D&gt;&lt;D xsi:type="xsd:double"&gt;-1.5780091&lt;/D&gt;&lt;D xsi:type="xsd:double"&gt;4.7768593&lt;/D&gt;&lt;D xsi:type="xsd:double"&gt;-6.6098747&lt;/D&gt;&lt;D xsi:type="xsd:double"&gt;-7.1621656&lt;/D&gt;&lt;D xsi:type="xsd:double"&gt;1.2305617&lt;/D&gt;&lt;D xsi:type="xsd:double"&gt;-0.33137202&lt;/D&gt;&lt;D xsi:type="xsd:double"&gt;2.8444767&lt;/D&gt;&lt;D xsi:type="xsd:double"&gt;-12.14081&lt;/D&gt;&lt;D xsi:type="xsd:double"&gt;16.925598&lt;/D&gt;&lt;D xsi:type="xsd:double"&gt;14.632869&lt;/D&gt;&lt;D xsi:type="xsd:double"&gt;9.928322&lt;/D&gt;&lt;D xsi:type="xsd:double"&gt;1.9700289&lt;/D&gt;&lt;D xsi:type="xsd:double"&gt;0.93877316&lt;/D&gt;&lt;D xsi:type="xsd:double"&gt;13.47891&lt;/D&gt;&lt;D xsi:type="xsd:double"&gt;9.03908&lt;/D&gt;&lt;D xsi:type="xsd:double"&gt;3.5620928&lt;/D&gt;&lt;D xsi:type="xsd:double"&gt;14.668667&lt;/D&gt;&lt;/FQL&gt;&lt;FQL&gt;&lt;Q&gt;ECH^FG_TOTAL_RETURNC(-5AY,0,AM)&lt;/Q&gt;&lt;R&gt;61&lt;/R&gt;&lt;C&gt;1&lt;/C&gt;&lt;D xsi:type="xsd:double"&gt;13.895082&lt;/D&gt;&lt;D xsi:type="xsd:double"&gt;-3.2784402&lt;/D&gt;&lt;D xsi:type="xsd:double"&gt;2.068746&lt;/D&gt;&lt;D xsi:type="xsd:double"&gt;8.855629&lt;/D&gt;&lt;D xsi:type="xsd:double"&gt;-4.6691537&lt;/D&gt;&lt;D xsi:type="xsd:double"&gt;-12.620187&lt;/D&gt;&lt;D xsi:type="xsd:double"&gt;-4.7355056&lt;/D&gt;&lt;D xsi:type="xsd:double"&gt;-2.5330424&lt;/D&gt;&lt;D xsi:type="xsd:double"&gt;2.410555&lt;/D&gt;&lt;D xsi:type="xsd:double"&gt;-9.635896&lt;/D&gt;&lt;D xsi:type="xsd:double"&gt;8.140003&lt;/D&gt;&lt;D xsi:type="xsd:double"&gt;-3.2367349&lt;/D&gt;&lt;D xsi:type="xsd:double"&gt;-4.948175&lt;/D&gt;&lt;D xsi:type="xsd:double"&gt;7.1851254&lt;/D&gt;&lt;D xsi:type="xsd:double"&gt;3.3911586&lt;/D&gt;&lt;D xsi:type="xsd:double"&gt;8.314264&lt;/D&gt;&lt;D xsi:type="xsd:double"&gt;-8.73239&lt;/D&gt;&lt;D xsi:type="xsd:double"&gt;15.933633&lt;/D&gt;&lt;D xsi:type="xsd:double"&gt;-18.105953&lt;/D&gt;&lt;D xsi:type="xsd:double"&gt;11.66526&lt;/D&gt;&lt;D xsi:type="xsd:double"&gt;8.74337&lt;/D&gt;&lt;D xsi:type="xsd:double"&gt;-14.758092&lt;/D&gt;&lt;D xsi:type="xsd:double"&gt;11.351574&lt;/D&gt;&lt;D xsi:type="xsd:double"&gt;-0.62339306&lt;/D&gt;&lt;D xsi:type="xsd:double"&gt;1.248622&lt;/D&gt;&lt;D xsi:type="xsd:double"&gt;7.813084&lt;/D&gt;&lt;D xsi:type="xsd:double"&gt;0.6934881&lt;/D&gt;&lt;D xsi:type="xsd:double"&gt;-5.303031&lt;/D&gt;&lt;D xsi:type="xsd:double"&gt;8.545458&lt;/D&gt;&lt;D xsi:type="xsd:double"&gt;2.1751165&lt;/D&gt;&lt;D xsi:type="xsd:double"&gt;2.2161603&lt;/D&gt;&lt;D xsi:type="xsd:double"&gt;-2.3682415&lt;/D&gt;&lt;D xsi:type="xsd:double"&gt;-9.6686&lt;/D&gt;&lt;D xsi:type="xsd:double"&gt;-6.656581&lt;/D&gt;&lt;D xsi:type="xsd:double"&gt;1.3776302&lt;/D&gt;&lt;D xsi:type="xsd:double"&gt;9.312546&lt;/D&gt;&lt;D xsi:type="xsd:double"&gt;-1.748544&lt;/D&gt;&lt;D xsi:type="xsd:double"&gt;-7.5280905&lt;/D&gt;&lt;D xsi:type="xsd:double"&gt;5.062783&lt;/D&gt;&lt;D xsi:type="xsd:double"&gt;5.8211207&lt;/D&gt;&lt;D xsi:type="xsd:double"&gt;0.8743167&lt;/D&gt;&lt;D xsi:type="xsd:double"&gt;1.1195302&lt;/D&gt;&lt;D xsi:type="xsd:double"&gt;-4.2589426&lt;/D&gt;&lt;D xsi:type="xsd:double"&gt;-2.717179&lt;/D&gt;&lt;D xsi:type="xsd:double"&gt;-1.6522408&lt;/D&gt;&lt;D xsi:type="xsd:double"&gt;5.8399916&lt;/D&gt;&lt;D xsi:type="xsd:double"&gt;-4.610729&lt;/D&gt;&lt;D xsi:type="xsd:double"&gt;1.5847802&lt;/D&gt;&lt;D xsi:type="xsd:double"&gt;-1.546216&lt;/D&gt;&lt;D xsi:type="xsd:double"&gt;12.24165&lt;/D&gt;&lt;D xsi:type="xsd:double"&gt;5.4178476&lt;/D&gt;&lt;D xsi:type="xsd:double"&gt;-10.984212&lt;/D&gt;&lt;D xsi:type="xsd:double"&gt;21.32076&lt;/D&gt;&lt;D xsi:type="xsd:double"&gt;-0.96423626&lt;/D&gt;&lt;D xsi:type="xsd:double"&gt;0.7815242&lt;/D&gt;&lt;D xsi:type="xsd:double"&gt;0&lt;/D&gt;&lt;D xsi:type="xsd:double"&gt;5.7943344&lt;/D&gt;&lt;D xsi:type="xsd:double"&gt;-1.3240993&lt;/D&gt;&lt;D xsi:type="xsd:double"&gt;9.179628&lt;/D&gt;&lt;D xsi:type="xsd:double"&gt;6.815648&lt;/D&gt;&lt;D xsi:type="xsd:double"&gt;12.190437&lt;/D&gt;&lt;/FQL&gt;&lt;FQL&gt;&lt;Q&gt;ENZL^FG_PRICE(0,-200D)&lt;/Q&gt;&lt;R&gt;201&lt;/R&gt;&lt;C&gt;1&lt;/C&gt;&lt;D xsi:type="xsd:double"&gt;46.115&lt;/D&gt;&lt;D xsi:type="xsd:double"&gt;46.295&lt;/D&gt;&lt;D xsi:type="xsd:double"&gt;46.1476&lt;/D&gt;&lt;D xsi:type="xsd:double"&gt;45.8584&lt;/D&gt;&lt;D xsi:type="xsd:double"&gt;45.4719&lt;/D&gt;&lt;D xsi:type="xsd:double"&gt;45.2715&lt;/D&gt;&lt;D xsi:type="xsd:double"&gt;45.41&lt;/D&gt;&lt;D xsi:type="xsd:double"&gt;45.41&lt;/D&gt;&lt;D xsi:type="xsd:double"&gt;45.73&lt;/D&gt;&lt;D xsi:type="xsd:double"&gt;45.74&lt;/D&gt;&lt;D xsi:type="xsd:double"&gt;45.54&lt;/D&gt;&lt;D xsi:type="xsd:double"&gt;45.18&lt;/D&gt;&lt;D xsi:type="xsd:double"&gt;44.82&lt;/D&gt;&lt;D xsi:type="xsd:double"&gt;44.6999&lt;/D&gt;&lt;D xsi:type="xsd:double"&gt;44.635&lt;/D&gt;&lt;D xsi:type="xsd:double"&gt;45.1265&lt;/D&gt;&lt;D xsi:type="xsd:double"&gt;45.75&lt;/D&gt;&lt;D xsi:type="xsd:double"&gt;45.71&lt;/D&gt;&lt;D xsi:type="xsd:double"&gt;46.35&lt;/D&gt;&lt;D xsi:type="xsd:double"&gt;46.2943&lt;/D&gt;&lt;D xsi:type="xsd:double"&gt;45.9504&lt;/D&gt;&lt;D xsi:type="xsd:double"&gt;46.0267&lt;/D&gt;&lt;D xsi:type="xsd:double"&gt;45.995&lt;/D&gt;&lt;D xsi:type="xsd:double"&gt;46.005&lt;/D&gt;&lt;D xsi:type="xsd:double"&gt;46.1656&lt;/D&gt;&lt;D xsi:type="xsd:double"&gt;45.8184&lt;/D&gt;&lt;D xsi:type="xsd:double"&gt;45.48&lt;/D&gt;&lt;D xsi:type="xsd:double"&gt;45.6257&lt;/D&gt;&lt;D xsi:type="xsd:double"&gt;45.47&lt;/D&gt;&lt;D xsi:type="xsd:double"&gt;44.6994&lt;/D&gt;&lt;D xsi:type="xsd:double"&gt;44.47&lt;/D&gt;&lt;D xsi:type="xsd:double"&gt;44.33&lt;/D&gt;&lt;D xsi:type="xsd:double"&gt;43.75&lt;/D&gt;&lt;D xsi:type="xsd:double"&gt;43.6663&lt;/D&gt;&lt;D xsi:type="xsd:double"&gt;44.2359&lt;/D&gt;&lt;D xsi:type="xsd:double"&gt;44.4932&lt;/D&gt;&lt;D xsi:type="xsd:double"&gt;44.845&lt;/D&gt;&lt;D xsi:type="xsd:double"&gt;44.9434&lt;/D&gt;&lt;D xsi:type="xsd:double"&gt;45.6572&lt;/D&gt;&lt;D xsi:type="xsd:double"&gt;45.675&lt;/D&gt;&lt;D xsi:type="xsd:double"&gt;45.6841&lt;/D&gt;&lt;D xsi:type="xsd:double"&gt;45.5808&lt;/D&gt;&lt;D xsi:type="xsd:double"&gt;45.3331&lt;/D&gt;&lt;D xsi:type="xsd:double"&gt;45.91&lt;/D&gt;&lt;D xsi:type="xsd:double"&gt;45.38&lt;/D&gt;&lt;D xsi:type="xsd:double"&gt;45.7056&lt;/D&gt;&lt;D xsi:type="xsd:double"&gt;45.89&lt;/D&gt;&lt;D xsi:type="xsd:double"&gt;45.755&lt;/D&gt;&lt;D xsi:type="xsd:double"&gt;45.675&lt;/D&gt;&lt;D xsi:type="xsd:double"&gt;45.845&lt;/D&gt;&lt;D xsi:type="xsd:double"&gt;45.99&lt;/D&gt;&lt;D xsi:type="xsd:double"&gt;45.615&lt;/D&gt;&lt;D xsi:type="xsd:double"&gt;45.52&lt;/D&gt;&lt;D xsi:type="xsd:double"&gt;45.2309&lt;/D&gt;&lt;D xsi:type="xsd:double"&gt;45.325&lt;/D&gt;&lt;D xsi:type="xsd:double"&gt;45.56&lt;/D&gt;&lt;D xsi:type="xsd:double"&gt;45.175&lt;/D&gt;&lt;D xsi:type="xsd:double"&gt;45.42&lt;/D&gt;&lt;D xsi:type="xsd:double"&gt;45.14&lt;/D&gt;&lt;D xsi:type="xsd:double"&gt;45.0665&lt;/D&gt;&lt;D xsi:type="xsd:double"&gt;45.45&lt;/D&gt;&lt;D xsi:type="xsd:double"&gt;45.805&lt;/D&gt;&lt;D xsi:type="xsd:double"&gt;46.575&lt;/D&gt;&lt;D xsi:type="xsd:double"&gt;47.095&lt;/D&gt;&lt;D xsi:type="xsd:double"&gt;47.05&lt;/D&gt;&lt;D xsi:type="xsd:double"&gt;47.135&lt;/D&gt;&lt;D xsi:type="xsd:double"&gt;47.1883&lt;/D&gt;&lt;D xsi:type="xsd:double"&gt;46.68&lt;/D&gt;&lt;D xsi:type="xsd:double"&gt;46.7116&lt;/D&gt;&lt;D xsi:type="xsd:double"&gt;45.9334&lt;/D&gt;&lt;D xsi:type="xsd:double"&gt;45.485&lt;/D&gt;&lt;D xsi:type="xsd:double"&gt;45.365&lt;/D&gt;&lt;D xsi:type="xsd:double"&gt;45.1969&lt;/D&gt;&lt;D xsi:type="xsd:double"&gt;45.5963&lt;/D&gt;&lt;D xsi:type="xsd:double"&gt;45.8659&lt;/D&gt;&lt;D xsi:type="xsd:double"&gt;46.2872&lt;/D&gt;&lt;D xsi:type="xsd:double"&gt;46.41&lt;/D&gt;&lt;D xsi:type="xsd:double"&gt;46.255&lt;/D&gt;&lt;D xsi:type="xsd:double"&gt;47.045&lt;/D&gt;&lt;D xsi:type="xsd:double"&gt;47.0204&lt;/D&gt;&lt;D xsi:type="xsd:double"&gt;47.1072&lt;/D&gt;&lt;D xsi:type="xsd:double"&gt;46.74&lt;/D&gt;&lt;D xsi:type="xsd:double"&gt;47.225&lt;/D&gt;&lt;D xsi:type="xsd:double"&gt;46.85&lt;/D&gt;&lt;D xsi:type="xsd:double"&gt;46.655&lt;/D&gt;&lt;D xsi:type="xsd:double"&gt;46.74&lt;/D&gt;&lt;D xsi:type="xsd:double"&gt;46.13&lt;/D&gt;&lt;D xsi:type="xsd:double"&gt;45.37&lt;/D&gt;&lt;D xsi:type="xsd:double"&gt;45.495&lt;/D&gt;&lt;D xsi:type="xsd:double"&gt;45.3801&lt;/D&gt;&lt;D xsi:type="xsd:double"&gt;44.86&lt;/D&gt;&lt;D xsi:type="xsd:double"&gt;44.87&lt;/D&gt;&lt;D xsi:type="xsd:double"&gt;44.67&lt;/D&gt;&lt;D xsi:type="xsd:double"&gt;45.19&lt;/D&gt;&lt;D xsi:type="xsd:double"&gt;45.62&lt;/D&gt;&lt;D xsi:type="xsd:double"&gt;45.7829&lt;/D&gt;&lt;D xsi:type="xsd:double"&gt;45.58&lt;/D&gt;&lt;D xsi:type="xsd:double"&gt;45.675&lt;/D&gt;&lt;D xsi:type="xsd:double"&gt;45.605&lt;/D&gt;&lt;D xsi:type="xsd:double"&gt;45.845&lt;/D&gt;&lt;D xsi:type="xsd:double"&gt;45.684&lt;/D&gt;&lt;D xsi:type="xsd:double"&gt;45.57&lt;/D&gt;&lt;D xsi:type="xsd:double"&gt;45.82&lt;/D&gt;&lt;D xsi:type="xsd:double"&gt;45.659&lt;/D&gt;&lt;D xsi:type="xsd:double"&gt;45.79&lt;/D&gt;&lt;D xsi:type="xsd:double"&gt;45.745&lt;/D&gt;&lt;D xsi:type="xsd:double"&gt;45.795&lt;/D&gt;&lt;D xsi:type="xsd:double"&gt;45.63&lt;/D&gt;&lt;D xsi:type="xsd:double"&gt;45.255&lt;/D&gt;&lt;D xsi:type="xsd:double"&gt;44.93&lt;/D&gt;&lt;D xsi:type="xsd:double"&gt;44.69&lt;/D&gt;&lt;D xsi:type="xsd:double"&gt;45.05&lt;/D&gt;&lt;D xsi:type="xsd:double"&gt;45.19&lt;/D&gt;&lt;D xsi:type="xsd:double"&gt;45.8343&lt;/D&gt;&lt;D xsi:type="xsd:double"&gt;45.64&lt;/D&gt;&lt;D xsi:type="xsd:double"&gt;46.0511&lt;/D&gt;&lt;D xsi:type="xsd:double"&gt;45.98&lt;/D&gt;&lt;D xsi:type="xsd:double"&gt;46.135&lt;/D&gt;&lt;D xsi:type="xsd:double"&gt;46.155&lt;/D&gt;&lt;D xsi:type="xsd:double"&gt;46.3676&lt;/D&gt;&lt;D xsi:type="xsd:double"&gt;45.695&lt;/D&gt;&lt;D xsi:type="xsd:double"&gt;45.872&lt;/D&gt;&lt;D xsi:type="xsd:double"&gt;45.56&lt;/D&gt;&lt;D xsi:type="xsd:double"&gt;44.89&lt;/D&gt;&lt;D xsi:type="xsd:double"&gt;45.49&lt;/D&gt;&lt;D xsi:type="xsd:double"&gt;45.76&lt;/D&gt;&lt;D xsi:type="xsd:double"&gt;46.01&lt;/D&gt;&lt;D xsi:type="xsd:double"&gt;46.07&lt;/D&gt;&lt;D xsi:type="xsd:double"&gt;45.98&lt;/D&gt;&lt;D xsi:type="xsd:double"&gt;45.5&lt;/D&gt;&lt;D xsi:type="xsd:double"&gt;45.96&lt;/D&gt;&lt;D xsi:type="xsd:double"&gt;46.265&lt;/D&gt;&lt;D xsi:type="xsd:double"&gt;45.96&lt;/D&gt;&lt;D xsi:type="xsd:double"&gt;45.61&lt;/D&gt;&lt;D xsi:type="xsd:double"&gt;45.37&lt;/D&gt;&lt;D xsi:type="xsd:double"&gt;45.32&lt;/D&gt;&lt;D xsi:type="xsd:double"&gt;44.6&lt;/D&gt;&lt;D xsi:type="xsd:double"&gt;44.79&lt;/D&gt;&lt;D xsi:type="xsd:double"&gt;44.86&lt;/D&gt;&lt;D xsi:type="xsd:double"&gt;44.6&lt;/D&gt;&lt;D xsi:type="xsd:double"&gt;45.08&lt;/D&gt;&lt;D xsi:type="xsd:double"&gt;45.09&lt;/D&gt;&lt;D xsi:type="xsd:double"&gt;45.97&lt;/D&gt;&lt;D xsi:type="xsd:double"&gt;45.19&lt;/D&gt;&lt;D xsi:type="xsd:double"&gt;46.07&lt;/D&gt;&lt;D xsi:type="xsd:double"&gt;45.76&lt;/D&gt;&lt;D xsi:type="xsd:double"&gt;45.65&lt;/D&gt;&lt;D xsi:type="xsd:double"&gt;45.32&lt;/D&gt;&lt;D xsi:type="xsd:double"&gt;45.31&lt;/D&gt;&lt;D xsi:type="xsd:double"&gt;45.53&lt;/D&gt;&lt;D xsi:type="xsd:double"&gt;45.25&lt;/D&gt;&lt;D xsi:type="xsd:double"&gt;44.61&lt;/D&gt;&lt;D xsi:type="xsd:double"&gt;45.04&lt;/D&gt;&lt;D xsi:type="xsd:double"&gt;44.39&lt;/D&gt;&lt;D xsi:type="xsd:double"&gt;43.97&lt;/D&gt;&lt;D xsi:type="xsd:double"&gt;44.23&lt;/D&gt;&lt;D xsi:type="xsd:double"&gt;45.38&lt;/D&gt;&lt;D xsi:type="xsd:double"&gt;45.36&lt;/D&gt;&lt;D xsi:type="xsd:double"&gt;45.08&lt;/D&gt;&lt;D xsi:type="xsd:double"&gt;45.22&lt;/D&gt;&lt;D xsi:type="xsd:double"&gt;45.2&lt;/D&gt;&lt;D xsi:type="xsd:double"&gt;45.15&lt;/D&gt;&lt;D xsi:type="xsd:double"&gt;45.41&lt;/D&gt;&lt;D xsi:type="xsd:double"&gt;45.6&lt;/D&gt;&lt;D xsi:type="xsd:double"&gt;45.33&lt;/D&gt;&lt;D xsi:type="xsd:double"&gt;45.62&lt;/D&gt;&lt;D xsi:type="xsd:double"&gt;44.75&lt;/D&gt;&lt;D xsi:type="xsd:double"&gt;45.17&lt;/D&gt;&lt;D xsi:type="xsd:double"&gt;44.23&lt;/D&gt;&lt;D xsi:type="xsd:double"&gt;44.56&lt;/D&gt;&lt;D xsi:type="xsd:double"&gt;44.82&lt;/D&gt;&lt;D xsi:type="xsd:double"&gt;44.49&lt;/D&gt;&lt;D xsi:type="xsd:double"&gt;44.29&lt;/D&gt;&lt;D xsi:type="xsd:double"&gt;43.06&lt;/D&gt;&lt;D xsi:type="xsd:double"&gt;42.61&lt;/D&gt;&lt;D xsi:type="xsd:double"&gt;43.35&lt;/D&gt;&lt;D xsi:type="xsd:double"&gt;43.6&lt;/D&gt;&lt;D xsi:type="xsd:double"&gt;43.76&lt;/D&gt;&lt;D xsi:type="xsd:double"&gt;43.805&lt;/D&gt;&lt;D xsi:type="xsd:double"&gt;42.8238&lt;/D&gt;&lt;D xsi:type="xsd:double"&gt;43.095&lt;/D&gt;&lt;D xsi:type="xsd:double"&gt;43.38&lt;/D&gt;&lt;D xsi:type="xsd:double"&gt;43.5&lt;/D&gt;&lt;D xsi:type="xsd:double"&gt;43.03&lt;/D&gt;&lt;D xsi:type="xsd:double"&gt;42.68&lt;/D&gt;&lt;D xsi:type="xsd:double"&gt;43.1&lt;/D&gt;&lt;D xsi:type="xsd:double"&gt;42.39&lt;/D&gt;&lt;D xsi:type="xsd:double"&gt;41.79&lt;/D&gt;&lt;D xsi:type="xsd:double"&gt;41.36&lt;/D&gt;&lt;D xsi:type="xsd:double"&gt;39.48&lt;/D&gt;&lt;D xsi:type="xsd:double"&gt;39.39&lt;/D&gt;&lt;D xsi:type="xsd:double"&gt;40.13&lt;/D&gt;&lt;D xsi:type="xsd:double"&gt;42.72&lt;/D&gt;&lt;D xsi:type="xsd:double"&gt;42.67&lt;/D&gt;&lt;D xsi:type="xsd:double"&gt;42.39&lt;/D&gt;&lt;D xsi:type="xsd:double"&gt;42.08&lt;/D&gt;&lt;D xsi:type="xsd:double"&gt;42.05&lt;/D&gt;&lt;D xsi:type="xsd:double"&gt;42.6&lt;/D&gt;&lt;D xsi:type="xsd:double"&gt;42.48&lt;/D&gt;&lt;D xsi:type="xsd:double"&gt;42.41&lt;/D&gt;&lt;D xsi:type="xsd:double"&gt;41.83&lt;/D&gt;&lt;/FQL&gt;&lt;FQL&gt;&lt;Q&gt;INDA^FG_PRICE(0,-200D)&lt;/Q&gt;&lt;R&gt;201&lt;/R&gt;&lt;C&gt;1&lt;/C&gt;&lt;D xsi:type="xsd:double"&gt;53.72&lt;/D&gt;&lt;D xsi:type="xsd:double"&gt;54.2&lt;/D&gt;&lt;D xsi:type="xsd:double"&gt;54.08&lt;/D&gt;&lt;D xsi:type="xsd:double"&gt;54.29&lt;/D&gt;&lt;D xsi:type="xsd:double"&gt;54.56&lt;/D&gt;&lt;D xsi:type="xsd:double"&gt;54.05&lt;/D&gt;&lt;D xsi:type="xsd:double"&gt;53.64&lt;/D&gt;&lt;D xsi:type="xsd:double"&gt;53.47&lt;/D&gt;&lt;D xsi:type="xsd:double"&gt;53.84&lt;/D&gt;&lt;D xsi:type="xsd:double"&gt;54.01&lt;/D&gt;&lt;D xsi:type="xsd:double"&gt;54.47&lt;/D&gt;&lt;D xsi:type="xsd:double"&gt;54.19&lt;/D&gt;&lt;D xsi:type="xsd:double"&gt;54.15&lt;/D&gt;&lt;D xsi:type="xsd:double"&gt;53.28&lt;/D&gt;&lt;D xsi:type="xsd:double"&gt;52.97&lt;/D&gt;&lt;D xsi:type="xsd:double"&gt;52.95&lt;/D&gt;&lt;D xsi:type="xsd:double"&gt;53.1&lt;/D&gt;&lt;D xsi:type="xsd:double"&gt;53.14&lt;/D&gt;&lt;D xsi:type="xsd:double"&gt;53.57&lt;/D&gt;&lt;D xsi:type="xsd:double"&gt;53.36&lt;/D&gt;&lt;D xsi:type="xsd:double"&gt;53.27&lt;/D&gt;&lt;D xsi:type="xsd:double"&gt;53.08&lt;/D&gt;&lt;D xsi:type="xsd:double"&gt;53.97&lt;/D&gt;&lt;D xsi:type="xsd:double"&gt;53.76&lt;/D&gt;&lt;D xsi:type="xsd:double"&gt;53.41&lt;/D&gt;&lt;D xsi:type="xsd:double"&gt;53.88&lt;/D&gt;&lt;D xsi:type="xsd:double"&gt;54.33&lt;/D&gt;&lt;D xsi:type="xsd:double"&gt;54.71&lt;/D&gt;&lt;D xsi:type="xsd:double"&gt;54.67&lt;/D&gt;&lt;D xsi:type="xsd:double"&gt;54.28&lt;/D&gt;&lt;D xsi:type="xsd:double"&gt;54.22&lt;/D&gt;&lt;D xsi:type="xsd:double"&gt;54.21&lt;/D&gt;&lt;D xsi:type="xsd:double"&gt;54.72&lt;/D&gt;&lt;D xsi:type="xsd:double"&gt;54.83&lt;/D&gt;&lt;D xsi:type="xsd:double"&gt;54.61&lt;/D&gt;&lt;D xsi:type="xsd:double"&gt;54.65&lt;/D&gt;&lt;D xsi:type="xsd:double"&gt;54.62&lt;/D&gt;&lt;D xsi:type="xsd:double"&gt;54.2&lt;/D&gt;&lt;D xsi:type="xsd:double"&gt;54.56&lt;/D&gt;&lt;D xsi:type="xsd:double"&gt;54.74&lt;/D&gt;&lt;D xsi:type="xsd:double"&gt;54.15&lt;/D&gt;&lt;D xsi:type="xsd:double"&gt;53.75&lt;/D&gt;&lt;D xsi:type="xsd:double"&gt;53.62&lt;/D&gt;&lt;D xsi:type="xsd:double"&gt;54.3&lt;/D&gt;&lt;D xsi:type="xsd:double"&gt;54.02&lt;/D&gt;&lt;D xsi:type="xsd:double"&gt;54.24&lt;/D&gt;&lt;D xsi:type="xsd:double"&gt;53.97&lt;/D&gt;&lt;D xsi:type="xsd:double"&gt;54.27&lt;/D&gt;&lt;D xsi:type="xsd:double"&gt;54.61&lt;/D&gt;&lt;D xsi:type="xsd:double"&gt;54.54&lt;/D&gt;&lt;D xsi:type="xsd:double"&gt;54.72&lt;/D&gt;&lt;D xsi:type="xsd:double"&gt;54.51&lt;/D&gt;&lt;D xsi:type="xsd:double"&gt;54.76&lt;/D&gt;&lt;D xsi:type="xsd:double"&gt;55.29&lt;/D&gt;&lt;D xsi:type="xsd:double"&gt;54.48&lt;/D&gt;&lt;D xsi:type="xsd:double"&gt;54.74&lt;/D&gt;&lt;D xsi:type="xsd:double"&gt;54.45&lt;/D&gt;&lt;D xsi:type="xsd:double"&gt;54.065&lt;/D&gt;&lt;D xsi:type="xsd:double"&gt;53.76&lt;/D&gt;&lt;D xsi:type="xsd:double"&gt;52.78&lt;/D&gt;&lt;D xsi:type="xsd:double"&gt;52.97&lt;/D&gt;&lt;D xsi:type="xsd:double"&gt;52.77&lt;/D&gt;&lt;D xsi:type="xsd:double"&gt;52.81&lt;/D&gt;&lt;D xsi:type="xsd:double"&gt;52.63&lt;/D&gt;&lt;D xsi:type="xsd:double"&gt;52.88&lt;/D&gt;&lt;D xsi:type="xsd:double"&gt;52.76&lt;/D&gt;&lt;D xsi:type="xsd:double"&gt;52.45&lt;/D&gt;&lt;D xsi:type="xsd:double"&gt;52.3&lt;/D&gt;&lt;D xsi:type="xsd:double"&gt;52.39&lt;/D&gt;&lt;D xsi:type="xsd:double"&gt;52.06&lt;/D&gt;&lt;D xsi:type="xsd:double"&gt;52.16&lt;/D&gt;&lt;D xsi:type="xsd:double"&gt;52.25&lt;/D&gt;&lt;D xsi:type="xsd:double"&gt;52.49&lt;/D&gt;&lt;D xsi:type="xsd:double"&gt;52.74&lt;/D&gt;&lt;D xsi:type="xsd:double"&gt;53.06&lt;/D&gt;&lt;D xsi:type="xsd:double"&gt;53.5&lt;/D&gt;&lt;D xsi:type="xsd:double"&gt;53.94&lt;/D&gt;&lt;D xsi:type="xsd:double"&gt;53.74&lt;/D&gt;&lt;D xsi:type="xsd:double"&gt;54.02&lt;/D&gt;&lt;D xsi:type="xsd:double"&gt;53.87&lt;/D&gt;&lt;D xsi:type="xsd:double"&gt;53.43&lt;/D&gt;&lt;D xsi:type="xsd:double"&gt;53.15&lt;/D&gt;&lt;D xsi:type="xsd:double"&gt;53.24&lt;/D&gt;&lt;D xsi:type="xsd:double"&gt;53.16&lt;/D&gt;&lt;D xsi:type="xsd:double"&gt;52.71&lt;/D&gt;&lt;D xsi:type="xsd:double"&gt;52.89&lt;/D&gt;&lt;D xsi:type="xsd:double"&gt;52.48&lt;/D&gt;&lt;D xsi:type="xsd:double"&gt;52.59&lt;/D&gt;&lt;D xsi:type="xsd:double"&gt;52.62&lt;/D&gt;&lt;D xsi:type="xsd:double"&gt;52.35&lt;/D&gt;&lt;D xsi:type="xsd:double"&gt;51.98&lt;/D&gt;&lt;D xsi:type="xsd:double"&gt;52.54&lt;/D&gt;&lt;D xsi:type="xsd:double"&gt;52.68&lt;/D&gt;&lt;D xsi:type="xsd:double"&gt;52.55&lt;/D&gt;&lt;D xsi:type="xsd:double"&gt;53.23&lt;/D&gt;&lt;D xsi:type="xsd:double"&gt;53.58&lt;/D&gt;&lt;D xsi:type="xsd:double"&gt;53.57&lt;/D&gt;&lt;D xsi:type="xsd:double"&gt;53.8&lt;/D&gt;&lt;D xsi:type="xsd:double"&gt;53.65&lt;/D&gt;&lt;D xsi:type="xsd:double"&gt;53.5&lt;/D&gt;&lt;D xsi:type="xsd:double"&gt;52.71&lt;/D&gt;&lt;D xsi:type="xsd:double"&gt;52.41&lt;/D&gt;&lt;D xsi:type="xsd:double"&gt;52.71&lt;/D&gt;&lt;D xsi:type="xsd:double"&gt;52.465&lt;/D&gt;&lt;D xsi:type="xsd:double"&gt;52.27&lt;/D&gt;&lt;D xsi:type="xsd:double"&gt;52.12&lt;/D&gt;&lt;D xsi:type="xsd:double"&gt;52.53&lt;/D&gt;&lt;D xsi:type="xsd:double"&gt;52.255&lt;/D&gt;&lt;D xsi:type="xsd:double"&gt;52.41&lt;/D&gt;&lt;D xsi:type="xsd:double"&gt;52.48&lt;/D&gt;&lt;D xsi:type="xsd:double"&gt;52.72&lt;/D&gt;&lt;D xsi:type="xsd:double"&gt;52.64&lt;/D&gt;&lt;D xsi:type="xsd:double"&gt;52.7&lt;/D&gt;&lt;D xsi:type="xsd:double"&gt;53.49&lt;/D&gt;&lt;D xsi:type="xsd:double"&gt;53.23&lt;/D&gt;&lt;D xsi:type="xsd:double"&gt;53.8&lt;/D&gt;&lt;D xsi:type="xsd:double"&gt;54.06&lt;/D&gt;&lt;D xsi:type="xsd:double"&gt;54.73&lt;/D&gt;&lt;D xsi:type="xsd:double"&gt;54.61&lt;/D&gt;&lt;D xsi:type="xsd:double"&gt;54.75&lt;/D&gt;&lt;D xsi:type="xsd:double"&gt;54.5&lt;/D&gt;&lt;D xsi:type="xsd:double"&gt;55.01&lt;/D&gt;&lt;D xsi:type="xsd:double"&gt;55.27&lt;/D&gt;&lt;D xsi:type="xsd:double"&gt;54.875&lt;/D&gt;&lt;D xsi:type="xsd:double"&gt;54.92&lt;/D&gt;&lt;D xsi:type="xsd:double"&gt;54.88&lt;/D&gt;&lt;D xsi:type="xsd:double"&gt;55.27&lt;/D&gt;&lt;D xsi:type="xsd:double"&gt;55.66&lt;/D&gt;&lt;D xsi:type="xsd:double"&gt;55.69&lt;/D&gt;&lt;D xsi:type="xsd:double"&gt;55.36&lt;/D&gt;&lt;D xsi:type="xsd:double"&gt;55.79&lt;/D&gt;&lt;D xsi:type="xsd:double"&gt;55.6&lt;/D&gt;&lt;D xsi:type="xsd:double"&gt;55.84&lt;/D&gt;&lt;D xsi:type="xsd:double"&gt;55.68&lt;/D&gt;&lt;D xsi:type="xsd:double"&gt;55.86&lt;/D&gt;&lt;D xsi:type="xsd:double"&gt;55.71&lt;/D&gt;&lt;D xsi:type="xsd:double"&gt;55&lt;/D&gt;&lt;D xsi:type="xsd:double"&gt;54.8&lt;/D&gt;&lt;D xsi:type="xsd:double"&gt;54.31&lt;/D&gt;&lt;D xsi:type="xsd:double"&gt;53.9&lt;/D&gt;&lt;D xsi:type="xsd:double"&gt;53.79&lt;/D&gt;&lt;D xsi:type="xsd:double"&gt;53.83&lt;/D&gt;&lt;D xsi:type="xsd:double"&gt;54.56&lt;/D&gt;&lt;D xsi:type="xsd:double"&gt;54.04&lt;/D&gt;&lt;D xsi:type="xsd:double"&gt;54.8&lt;/D&gt;&lt;D xsi:type="xsd:double"&gt;55.33&lt;/D&gt;&lt;D xsi:type="xsd:double"&gt;55.26&lt;/D&gt;&lt;D xsi:type="xsd:double"&gt;55.24&lt;/D&gt;&lt;D xsi:type="xsd:double"&gt;54.91&lt;/D&gt;&lt;D xsi:type="xsd:double"&gt;54.18&lt;/D&gt;&lt;D xsi:type="xsd:double"&gt;53.92&lt;/D&gt;&lt;D xsi:type="xsd:double"&gt;53.96&lt;/D&gt;&lt;D xsi:type="xsd:double"&gt;54.54&lt;/D&gt;&lt;D xsi:type="xsd:double"&gt;54.31&lt;/D&gt;&lt;D xsi:type="xsd:double"&gt;54.59&lt;/D&gt;&lt;D xsi:type="xsd:double"&gt;54.285&lt;/D&gt;&lt;D xsi:type="xsd:double"&gt;54.53&lt;/D&gt;&lt;D xsi:type="xsd:double"&gt;54.58&lt;/D&gt;&lt;D xsi:type="xsd:double"&gt;53.79&lt;/D&gt;&lt;D xsi:type="xsd:double"&gt;54.03&lt;/D&gt;&lt;D xsi:type="xsd:double"&gt;54.07&lt;/D&gt;&lt;D xsi:type="xsd:double"&gt;54.78&lt;/D&gt;&lt;D xsi:type="xsd:double"&gt;54.66&lt;/D&gt;&lt;D xsi:type="xsd:double"&gt;54.77&lt;/D&gt;&lt;D xsi:type="xsd:double"&gt;53.97&lt;/D&gt;&lt;D xsi:type="xsd:double"&gt;54.01&lt;/D&gt;&lt;D xsi:type="xsd:double"&gt;54.32&lt;/D&gt;&lt;D xsi:type="xsd:double"&gt;52.39&lt;/D&gt;&lt;D xsi:type="xsd:double"&gt;51.54&lt;/D&gt;&lt;D xsi:type="xsd:double"&gt;53.22&lt;/D&gt;&lt;D xsi:type="xsd:double"&gt;53.68&lt;/D&gt;&lt;D xsi:type="xsd:double"&gt;54.32&lt;/D&gt;&lt;D xsi:type="xsd:double"&gt;53.91&lt;/D&gt;&lt;D xsi:type="xsd:double"&gt;53.54&lt;/D&gt;&lt;D xsi:type="xsd:double"&gt;53.57&lt;/D&gt;&lt;D xsi:type="xsd:double"&gt;53.54&lt;/D&gt;&lt;D xsi:type="xsd:double"&gt;53.29&lt;/D&gt;&lt;D xsi:type="xsd:double"&gt;52.85&lt;/D&gt;&lt;D xsi:type="xsd:double"&gt;53.74&lt;/D&gt;&lt;D xsi:type="xsd:double"&gt;53.18&lt;/D&gt;&lt;D xsi:type="xsd:double"&gt;53.5&lt;/D&gt;&lt;D xsi:type="xsd:double"&gt;53&lt;/D&gt;&lt;D xsi:type="xsd:double"&gt;52.26&lt;/D&gt;&lt;D xsi:type="xsd:double"&gt;51.13&lt;/D&gt;&lt;D xsi:type="xsd:double"&gt;51.13&lt;/D&gt;&lt;D xsi:type="xsd:double"&gt;51.03&lt;/D&gt;&lt;D xsi:type="xsd:double"&gt;50.76&lt;/D&gt;&lt;D xsi:type="xsd:double"&gt;50.52&lt;/D&gt;&lt;D xsi:type="xsd:double"&gt;51.22&lt;/D&gt;&lt;D xsi:type="xsd:double"&gt;49.16&lt;/D&gt;&lt;D xsi:type="xsd:double"&gt;49.13&lt;/D&gt;&lt;D xsi:type="xsd:double"&gt;49.19&lt;/D&gt;&lt;D xsi:type="xsd:double"&gt;51.18&lt;/D&gt;&lt;D xsi:type="xsd:double"&gt;51.56&lt;/D&gt;&lt;D xsi:type="xsd:double"&gt;51.05&lt;/D&gt;&lt;D xsi:type="xsd:double"&gt;51.48&lt;/D&gt;&lt;D xsi:type="xsd:double"&gt;51.28&lt;/D&gt;&lt;D xsi:type="xsd:double"&gt;51.79&lt;/D&gt;&lt;D xsi:type="xsd:double"&gt;51.4&lt;/D&gt;&lt;D xsi:type="xsd:double"&gt;52.04&lt;/D&gt;&lt;D xsi:type="xsd:double"&gt;52.12&lt;/D&gt;&lt;/FQL&gt;&lt;FQL&gt;&lt;Q&gt;EPU^FG_PRICE(0,-200D)&lt;/Q&gt;&lt;R&gt;201&lt;/R&gt;&lt;C&gt;1&lt;/C&gt;&lt;D xsi:type="xsd:double"&gt;76.55&lt;/D&gt;&lt;D xsi:type="xsd:double"&gt;75.42&lt;/D&gt;&lt;D xsi:type="xsd:double"&gt;76.71&lt;/D&gt;&lt;D xsi:type="xsd:double"&gt;74.87&lt;/D&gt;&lt;D xsi:type="xsd:double"&gt;72.71&lt;/D&gt;&lt;D xsi:type="xsd:double"&gt;72.35&lt;/D&gt;&lt;D xsi:type="xsd:double"&gt;72.91&lt;/D&gt;&lt;D xsi:type="xsd:double"&gt;71.95&lt;/D&gt;&lt;D xsi:type="xsd:double"&gt;73.77&lt;/D&gt;&lt;D xsi:type="xsd:double"&gt;72.74&lt;/D&gt;&lt;D xsi:type="xsd:double"&gt;72.78&lt;/D&gt;&lt;D xsi:type="xsd:double"&gt;72.08&lt;/D&gt;&lt;D xsi:type="xsd:double"&gt;71.2&lt;/D&gt;&lt;D xsi:type="xsd:double"&gt;69.98&lt;/D&gt;&lt;D xsi:type="xsd:double"&gt;69.18&lt;/D&gt;&lt;D xsi:type="xsd:double"&gt;69.3&lt;/D&gt;&lt;D xsi:type="xsd:double"&gt;69.25&lt;/D&gt;&lt;D xsi:type="xsd:double"&gt;69.3&lt;/D&gt;&lt;D xsi:type="xsd:double"&gt;69.68&lt;/D&gt;&lt;D xsi:type="xsd:double"&gt;68.29&lt;/D&gt;&lt;D xsi:type="xsd:double"&gt;67.48&lt;/D&gt;&lt;D xsi:type="xsd:double"&gt;66.53&lt;/D&gt;&lt;D xsi:type="xsd:double"&gt;67.03&lt;/D&gt;&lt;D xsi:type="xsd:double"&gt;67&lt;/D&gt;&lt;D xsi:type="xsd:double"&gt;66.03&lt;/D&gt;&lt;D xsi:type="xsd:double"&gt;64.67&lt;/D&gt;&lt;D xsi:type="xsd:double"&gt;64.57&lt;/D&gt;&lt;D xsi:type="xsd:double"&gt;64.47&lt;/D&gt;&lt;D xsi:type="xsd:double"&gt;63.1&lt;/D&gt;&lt;D xsi:type="xsd:double"&gt;61.56&lt;/D&gt;&lt;D xsi:type="xsd:double"&gt;61.02&lt;/D&gt;&lt;D xsi:type="xsd:double"&gt;59.64&lt;/D&gt;&lt;D xsi:type="xsd:double"&gt;59.5&lt;/D&gt;&lt;D xsi:type="xsd:double"&gt;61.25&lt;/D&gt;&lt;D xsi:type="xsd:double"&gt;60.32&lt;/D&gt;&lt;D xsi:type="xsd:double"&gt;61.1636&lt;/D&gt;&lt;D xsi:type="xsd:double"&gt;62.34&lt;/D&gt;&lt;D xsi:type="xsd:double"&gt;62.52&lt;/D&gt;&lt;D xsi:type="xsd:double"&gt;64.38&lt;/D&gt;&lt;D xsi:type="xsd:double"&gt;63.04&lt;/D&gt;&lt;D xsi:type="xsd:double"&gt;63.13&lt;/D&gt;&lt;D xsi:type="xsd:double"&gt;61.77&lt;/D&gt;&lt;D xsi:type="xsd:double"&gt;61.75&lt;/D&gt;&lt;D xsi:type="xsd:double"&gt;61.39&lt;/D&gt;&lt;D xsi:type="xsd:double"&gt;60.31&lt;/D&gt;&lt;D xsi:type="xsd:double"&gt;62.16&lt;/D&gt;&lt;D xsi:type="xsd:double"&gt;62.78&lt;/D&gt;&lt;D xsi:type="xsd:double"&gt;63.11&lt;/D&gt;&lt;D xsi:type="xsd:double"&gt;63.12&lt;/D&gt;&lt;D xsi:type="xsd:double"&gt;62.53&lt;/D&gt;&lt;D xsi:type="xsd:double"&gt;61.55&lt;/D&gt;&lt;D xsi:type="xsd:double"&gt;61.62&lt;/D&gt;&lt;D xsi:type="xsd:double"&gt;61.61&lt;/D&gt;&lt;D xsi:type="xsd:double"&gt;60.71&lt;/D&gt;&lt;D xsi:type="xsd:double"&gt;61.35&lt;/D&gt;&lt;D xsi:type="xsd:double"&gt;64&lt;/D&gt;&lt;D xsi:type="xsd:double"&gt;62.97&lt;/D&gt;&lt;D xsi:type="xsd:double"&gt;64.55&lt;/D&gt;&lt;D xsi:type="xsd:double"&gt;64.1&lt;/D&gt;&lt;D xsi:type="xsd:double"&gt;63.3&lt;/D&gt;&lt;D xsi:type="xsd:double"&gt;63.41&lt;/D&gt;&lt;D xsi:type="xsd:double"&gt;60.91&lt;/D&gt;&lt;D xsi:type="xsd:double"&gt;62.65&lt;/D&gt;&lt;D xsi:type="xsd:double"&gt;63.53&lt;/D&gt;&lt;D xsi:type="xsd:do</t>
        </r>
      </text>
    </comment>
    <comment ref="A9" authorId="0" shapeId="0" xr:uid="{A0196C07-DCE3-4E60-96B5-E869E2913D31}">
      <text>
        <r>
          <rPr>
            <b/>
            <sz val="9"/>
            <color indexed="81"/>
            <rFont val="Tahoma"/>
            <charset val="1"/>
          </rPr>
          <t>uble"&gt;61.87&lt;/D&gt;&lt;D xsi:type="xsd:double"&gt;62.71&lt;/D&gt;&lt;D xsi:type="xsd:double"&gt;62.31&lt;/D&gt;&lt;D xsi:type="xsd:double"&gt;61.33&lt;/D&gt;&lt;D xsi:type="xsd:double"&gt;61.05&lt;/D&gt;&lt;D xsi:type="xsd:double"&gt;61.5&lt;/D&gt;&lt;D xsi:type="xsd:double"&gt;60.8036&lt;/D&gt;&lt;D xsi:type="xsd:double"&gt;59.3&lt;/D&gt;&lt;D xsi:type="xsd:double"&gt;59.78&lt;/D&gt;&lt;D xsi:type="xsd:double"&gt;59.89&lt;/D&gt;&lt;D xsi:type="xsd:double"&gt;58.88&lt;/D&gt;&lt;D xsi:type="xsd:double"&gt;58.59&lt;/D&gt;&lt;D xsi:type="xsd:double"&gt;57.8112&lt;/D&gt;&lt;D xsi:type="xsd:double"&gt;57.14&lt;/D&gt;&lt;D xsi:type="xsd:double"&gt;57.8745&lt;/D&gt;&lt;D xsi:type="xsd:double"&gt;57.9154&lt;/D&gt;&lt;D xsi:type="xsd:double"&gt;58.4354&lt;/D&gt;&lt;D xsi:type="xsd:double"&gt;57.768&lt;/D&gt;&lt;D xsi:type="xsd:double"&gt;57.5472&lt;/D&gt;&lt;D xsi:type="xsd:double"&gt;56.45&lt;/D&gt;&lt;D xsi:type="xsd:double"&gt;56&lt;/D&gt;&lt;D xsi:type="xsd:double"&gt;56.6475&lt;/D&gt;&lt;D xsi:type="xsd:double"&gt;56.5&lt;/D&gt;&lt;D xsi:type="xsd:double"&gt;55.73&lt;/D&gt;&lt;D xsi:type="xsd:double"&gt;56.01&lt;/D&gt;&lt;D xsi:type="xsd:double"&gt;54.91&lt;/D&gt;&lt;D xsi:type="xsd:double"&gt;53.8&lt;/D&gt;&lt;D xsi:type="xsd:double"&gt;53.4188&lt;/D&gt;&lt;D xsi:type="xsd:double"&gt;52.9672&lt;/D&gt;&lt;D xsi:type="xsd:double"&gt;53.39&lt;/D&gt;&lt;D xsi:type="xsd:double"&gt;52.93&lt;/D&gt;&lt;D xsi:type="xsd:double"&gt;53.23&lt;/D&gt;&lt;D xsi:type="xsd:double"&gt;52.009&lt;/D&gt;&lt;D xsi:type="xsd:double"&gt;51.75&lt;/D&gt;&lt;D xsi:type="xsd:double"&gt;51.68&lt;/D&gt;&lt;D xsi:type="xsd:double"&gt;52.3821&lt;/D&gt;&lt;D xsi:type="xsd:double"&gt;52.1916&lt;/D&gt;&lt;D xsi:type="xsd:double"&gt;51.95&lt;/D&gt;&lt;D xsi:type="xsd:double"&gt;52.16&lt;/D&gt;&lt;D xsi:type="xsd:double"&gt;51.75&lt;/D&gt;&lt;D xsi:type="xsd:double"&gt;51.1309&lt;/D&gt;&lt;D xsi:type="xsd:double"&gt;51.72&lt;/D&gt;&lt;D xsi:type="xsd:double"&gt;50.7055&lt;/D&gt;&lt;D xsi:type="xsd:double"&gt;50.1833&lt;/D&gt;&lt;D xsi:type="xsd:double"&gt;49.7&lt;/D&gt;&lt;D xsi:type="xsd:double"&gt;49.27&lt;/D&gt;&lt;D xsi:type="xsd:double"&gt;48.35&lt;/D&gt;&lt;D xsi:type="xsd:double"&gt;48.65&lt;/D&gt;&lt;D xsi:type="xsd:double"&gt;47.99&lt;/D&gt;&lt;D xsi:type="xsd:double"&gt;49.44&lt;/D&gt;&lt;D xsi:type="xsd:double"&gt;49.15&lt;/D&gt;&lt;D xsi:type="xsd:double"&gt;49.61&lt;/D&gt;&lt;D xsi:type="xsd:double"&gt;49.98&lt;/D&gt;&lt;D xsi:type="xsd:double"&gt;50.3&lt;/D&gt;&lt;D xsi:type="xsd:double"&gt;49.55&lt;/D&gt;&lt;D xsi:type="xsd:double"&gt;48.93&lt;/D&gt;&lt;D xsi:type="xsd:double"&gt;48.32&lt;/D&gt;&lt;D xsi:type="xsd:double"&gt;48.2014&lt;/D&gt;&lt;D xsi:type="xsd:double"&gt;48.0038&lt;/D&gt;&lt;D xsi:type="xsd:double"&gt;48.12&lt;/D&gt;&lt;D xsi:type="xsd:double"&gt;48.69&lt;/D&gt;&lt;D xsi:type="xsd:double"&gt;48.83&lt;/D&gt;&lt;D xsi:type="xsd:double"&gt;49.12&lt;/D&gt;&lt;D xsi:type="xsd:double"&gt;48.81&lt;/D&gt;&lt;D xsi:type="xsd:double"&gt;49.3&lt;/D&gt;&lt;D xsi:type="xsd:double"&gt;49.62&lt;/D&gt;&lt;D xsi:type="xsd:double"&gt;50.06&lt;/D&gt;&lt;D xsi:type="xsd:double"&gt;49.75&lt;/D&gt;&lt;D xsi:type="xsd:double"&gt;48.8572&lt;/D&gt;&lt;D xsi:type="xsd:double"&gt;48.59&lt;/D&gt;&lt;D xsi:type="xsd:double"&gt;48.49&lt;/D&gt;&lt;D xsi:type="xsd:double"&gt;49.1078&lt;/D&gt;&lt;D xsi:type="xsd:double"&gt;47.3159&lt;/D&gt;&lt;D xsi:type="xsd:double"&gt;47.313&lt;/D&gt;&lt;D xsi:type="xsd:double"&gt;46.97&lt;/D&gt;&lt;D xsi:type="xsd:double"&gt;47.08&lt;/D&gt;&lt;D xsi:type="xsd:double"&gt;47.4137&lt;/D&gt;&lt;D xsi:type="xsd:double"&gt;47.62&lt;/D&gt;&lt;D xsi:type="xsd:double"&gt;47.7117&lt;/D&gt;&lt;D xsi:type="xsd:double"&gt;48.2913&lt;/D&gt;&lt;D xsi:type="xsd:double"&gt;48.5848&lt;/D&gt;&lt;D xsi:type="xsd:double"&gt;48.44&lt;/D&gt;&lt;D xsi:type="xsd:double"&gt;48.2311&lt;/D&gt;&lt;D xsi:type="xsd:double"&gt;48.53&lt;/D&gt;&lt;D xsi:type="xsd:double"&gt;48.5916&lt;/D&gt;&lt;D xsi:type="xsd:double"&gt;48.7961&lt;/D&gt;&lt;D xsi:type="xsd:double"&gt;48.065&lt;/D&gt;&lt;D xsi:type="xsd:double"&gt;47.95&lt;/D&gt;&lt;D xsi:type="xsd:double"&gt;47.72&lt;/D&gt;&lt;D xsi:type="xsd:double"&gt;46.64&lt;/D&gt;&lt;D xsi:type="xsd:double"&gt;46.6136&lt;/D&gt;&lt;D xsi:type="xsd:double"&gt;46.5428&lt;/D&gt;&lt;D xsi:type="xsd:double"&gt;46.83&lt;/D&gt;&lt;D xsi:type="xsd:double"&gt;46.76&lt;/D&gt;&lt;D xsi:type="xsd:double"&gt;45.76&lt;/D&gt;&lt;D xsi:type="xsd:double"&gt;45.66&lt;/D&gt;&lt;D xsi:type="xsd:double"&gt;45.57&lt;/D&gt;&lt;D xsi:type="xsd:double"&gt;45.16&lt;/D&gt;&lt;D xsi:type="xsd:double"&gt;44.57&lt;/D&gt;&lt;D xsi:type="xsd:double"&gt;45.06&lt;/D&gt;&lt;D xsi:type="xsd:double"&gt;44.95&lt;/D&gt;&lt;D xsi:type="xsd:double"&gt;45.11&lt;/D&gt;&lt;D xsi:type="xsd:double"&gt;44.74&lt;/D&gt;&lt;D xsi:type="xsd:double"&gt;45.3303&lt;/D&gt;&lt;D xsi:type="xsd:double"&gt;45.02&lt;/D&gt;&lt;D xsi:type="xsd:double"&gt;44.79&lt;/D&gt;&lt;D xsi:type="xsd:double"&gt;45.45&lt;/D&gt;&lt;D xsi:type="xsd:double"&gt;44.7003&lt;/D&gt;&lt;D xsi:type="xsd:double"&gt;44.44&lt;/D&gt;&lt;D xsi:type="xsd:double"&gt;43.74&lt;/D&gt;&lt;D xsi:type="xsd:double"&gt;44.33&lt;/D&gt;&lt;D xsi:type="xsd:double"&gt;44.8&lt;/D&gt;&lt;D xsi:type="xsd:double"&gt;44.6021&lt;/D&gt;&lt;D xsi:type="xsd:double"&gt;44.4285&lt;/D&gt;&lt;D xsi:type="xsd:double"&gt;44.55&lt;/D&gt;&lt;D xsi:type="xsd:double"&gt;43.98&lt;/D&gt;&lt;D xsi:type="xsd:double"&gt;43.836&lt;/D&gt;&lt;D xsi:type="xsd:double"&gt;43.48&lt;/D&gt;&lt;D xsi:type="xsd:double"&gt;43.2&lt;/D&gt;&lt;D xsi:type="xsd:double"&gt;43.3511&lt;/D&gt;&lt;D xsi:type="xsd:double"&gt;43.15&lt;/D&gt;&lt;D xsi:type="xsd:double"&gt;43.14&lt;/D&gt;&lt;D xsi:type="xsd:double"&gt;42.085&lt;/D&gt;&lt;D xsi:type="xsd:double"&gt;40.8059&lt;/D&gt;&lt;D xsi:type="xsd:double"&gt;41.46&lt;/D&gt;&lt;D xsi:type="xsd:double"&gt;38.53&lt;/D&gt;&lt;D xsi:type="xsd:double"&gt;39.07&lt;/D&gt;&lt;D xsi:type="xsd:double"&gt;40.05&lt;/D&gt;&lt;D xsi:type="xsd:double"&gt;43.42&lt;/D&gt;&lt;D xsi:type="xsd:double"&gt;44.85&lt;/D&gt;&lt;D xsi:type="xsd:double"&gt;44.57&lt;/D&gt;&lt;D xsi:type="xsd:double"&gt;43.89&lt;/D&gt;&lt;D xsi:type="xsd:double"&gt;44.2008&lt;/D&gt;&lt;D xsi:type="xsd:double"&gt;44.86&lt;/D&gt;&lt;D xsi:type="xsd:double"&gt;44.4931&lt;/D&gt;&lt;D xsi:type="xsd:double"&gt;45.2331&lt;/D&gt;&lt;D xsi:type="xsd:double"&gt;44.6&lt;/D&gt;&lt;/FQL&gt;&lt;FQL&gt;&lt;Q&gt;SET-BKK^FG_TOTAL_RETURNC(-5AY,0,AM)&lt;/Q&gt;&lt;R&gt;61&lt;/R&gt;&lt;C&gt;1&lt;/C&gt;&lt;D xsi:type="xsd:double"&gt;3.8893223&lt;/D&gt;&lt;D xsi:type="xsd:double"&gt;-1.3023555&lt;/D&gt;&lt;D xsi:type="xsd:double"&gt;1.8022537&lt;/D&gt;&lt;D xsi:type="xsd:double"&gt;0.97618103&lt;/D&gt;&lt;D xsi:type="xsd:double"&gt;1.6807556&lt;/D&gt;&lt;D xsi:type="xsd:double"&gt;1.7570615&lt;/D&gt;&lt;D xsi:type="xsd:double"&gt;-4.2910814&lt;/D&gt;&lt;D xsi:type="xsd:double"&gt;-1.4219403&lt;/D&gt;&lt;D xsi:type="xsd:double"&gt;7.8023553&lt;/D&gt;&lt;D xsi:type="xsd:double"&gt;-0.06338954&lt;/D&gt;&lt;D xsi:type="xsd:double"&gt;-0.81005096&lt;/D&gt;&lt;D xsi:type="xsd:double"&gt;-0.47782063&lt;/D&gt;&lt;D xsi:type="xsd:double"&gt;2.425909&lt;/D&gt;&lt;D xsi:type="xsd:double"&gt;1.605308&lt;/D&gt;&lt;D xsi:type="xsd:double"&gt;-3.867048&lt;/D&gt;&lt;D xsi:type="xsd:double"&gt;4.131925&lt;/D&gt;&lt;D xsi:type="xsd:double"&gt;-3.3463836&lt;/D&gt;&lt;D xsi:type="xsd:double"&gt;0.44858456&lt;/D&gt;&lt;D xsi:type="xsd:double"&gt;-4.827446&lt;/D&gt;&lt;D xsi:type="xsd:double"&gt;3.2737017&lt;/D&gt;&lt;D xsi:type="xsd:double"&gt;1.9348979&lt;/D&gt;&lt;D xsi:type="xsd:double"&gt;-3.6792636&lt;/D&gt;&lt;D xsi:type="xsd:double"&gt;3.3519864&lt;/D&gt;&lt;D xsi:type="xsd:double"&gt;-0.7423699&lt;/D&gt;&lt;D xsi:type="xsd:double"&gt;3.2934427&lt;/D&gt;&lt;D xsi:type="xsd:double"&gt;-0.21029115&lt;/D&gt;&lt;D xsi:type="xsd:double"&gt;-3.4567833&lt;/D&gt;&lt;D xsi:type="xsd:double"&gt;-2.2032738&lt;/D&gt;&lt;D xsi:type="xsd:double"&gt;-0.9397149&lt;/D&gt;&lt;D xsi:type="xsd:double"&gt;-0.1760304&lt;/D&gt;&lt;D xsi:type="xsd:double"&gt;-4.423851&lt;/D&gt;&lt;D xsi:type="xsd:double"&gt;1.8738508&lt;/D&gt;&lt;D xsi:type="xsd:double"&gt;1.8920779&lt;/D&gt;&lt;D xsi:type="xsd:double"&gt;-7.02703&lt;/D&gt;&lt;D xsi:type="xsd:double"&gt;-1.8547714&lt;/D&gt;&lt;D xsi:type="xsd:double"&gt;-2.1802425&lt;/D&gt;&lt;D xsi:type="xsd:double"&gt;2.7125478&lt;/D&gt;&lt;D xsi:type="xsd:double"&gt;-2.1044075&lt;/D&gt;&lt;D xsi:type="xsd:double"&gt;-0.15698671&lt;/D&gt;&lt;D xsi:type="xsd:double"&gt;-0.78187585&lt;/D&gt;&lt;D xsi:type="xsd:double"&gt;-0.16356707&lt;/D&gt;&lt;D xsi:type="xsd:double"&gt;-2.9555857&lt;/D&gt;&lt;D xsi:type="xsd:double"&gt;-0.76833963&lt;/D&gt;&lt;D xsi:type="xsd:double"&gt;-1.9848764&lt;/D&gt;&lt;D xsi:type="xsd:double"&gt;10.136164&lt;/D&gt;&lt;D xsi:type="xsd:double"&gt;1.7623544&lt;/D&gt;&lt;D xsi:type="xsd:double"&gt;0.81840754&lt;/D&gt;&lt;D xsi:type="xsd:double"&gt;-0.8691251&lt;/D&gt;&lt;D xsi:type="xsd:double"&gt;-4.424363&lt;/D&gt;&lt;D xsi:type="xsd:double"&gt;-7.6117697&lt;/D&gt;&lt;D xsi:type="xsd:double"&gt;-6.244487&lt;/D&gt;&lt;D xsi:type="xsd:double"&gt;-10.602069&lt;/D&gt;&lt;D xsi:type="xsd:double"&gt;12.283754&lt;/D&gt;&lt;D xsi:type="xsd:double"&gt;-5.814725&lt;/D&gt;&lt;D xsi:type="xsd:double"&gt;-1.8285334&lt;/D&gt;&lt;D xsi:type="xsd:double"&gt;12.85528&lt;/D&gt;&lt;D xsi:type="xsd:double"&gt;0.5591512&lt;/D&gt;&lt;D xsi:type="xsd:double"&gt;3.0653&lt;/D&gt;&lt;D xsi:type="xsd:double"&gt;-0.15403032&lt;/D&gt;&lt;D xsi:type="xsd:double"&gt;-3.1867146&lt;/D&gt;&lt;D xsi:type="xsd:double"&gt;-0.61757565&lt;/D&gt;&lt;/FQL&gt;&lt;FQL&gt;&lt;Q&gt;CNYA^FG_TOTAL_RETURNC(-5AY,0,AM)&lt;/Q&gt;&lt;R&gt;61&lt;/R&gt;&lt;C&gt;1&lt;/C&gt;&lt;D xsi:type="xsd:double"&gt;10.878027&lt;/D&gt;&lt;D xsi:type="xsd:double"&gt;2.6019812&lt;/D&gt;&lt;D xsi:type="xsd:double"&gt;-12.228668&lt;/D&gt;&lt;D xsi:type="xsd:double"&gt;1.6650319&lt;/D&gt;&lt;D xsi:type="xsd:double"&gt;0.6502867&lt;/D&gt;&lt;D xsi:type="xsd:double"&gt;6.4130187&lt;/D&gt;&lt;D xsi:type="xsd:double"&gt;-2.9221356&lt;/D&gt;&lt;D xsi:type="xsd:double"&gt;-1.7169297&lt;/D&gt;&lt;D xsi:type="xsd:double"&gt;2.1482468&lt;/D&gt;&lt;D xsi:type="xsd:double"&gt;-0.50843954&lt;/D&gt;&lt;D xsi:type="xsd:double"&gt;0.58071613&lt;/D&gt;&lt;D xsi:type="xsd:double"&gt;3.4411073&lt;/D&gt;&lt;D xsi:type="xsd:double"&gt;-4.802072&lt;/D&gt;&lt;D xsi:type="xsd:double"&gt;-4.6627226&lt;/D&gt;&lt;D xsi:type="xsd:double"&gt;-6.0824156&lt;/D&gt;&lt;D xsi:type="xsd:double"&gt;-2.5376737&lt;/D&gt;&lt;D xsi:type="xsd:double"&gt;-12.394899&lt;/D&gt;&lt;D xsi:type="xsd:double"&gt;10.433435&lt;/D&gt;&lt;D xsi:type="xsd:double"&gt;5.636275&lt;/D&gt;&lt;D xsi:type="xsd:double"&gt;-6.3015103&lt;/D&gt;&lt;D xsi:type="xsd:double"&gt;-4.994333&lt;/D&gt;&lt;D xsi:type="xsd:double"&gt;-7.0489826&lt;/D&gt;&lt;D xsi:type="xsd:double"&gt;-3.0848384&lt;/D&gt;&lt;D xsi:type="xsd:double"&gt;8.355438&lt;/D&gt;&lt;D xsi:type="xsd:double"&gt;3.2855034&lt;/D&gt;&lt;D xsi:type="xsd:double"&gt;1.5174508&lt;/D&gt;&lt;D xsi:type="xsd:double"&gt;-3.6771297&lt;/D&gt;&lt;D xsi:type="xsd:double"&gt;2.8553605&lt;/D&gt;&lt;D xsi:type="xsd:double"&gt;-2.5045216&lt;/D&gt;&lt;D xsi:type="xsd:double"&gt;-8.228815&lt;/D&gt;&lt;D xsi:type="xsd:double"&gt;-0.92936754&lt;/D&gt;&lt;D xsi:type="xsd:double"&gt;3.632605&lt;/D&gt;&lt;D xsi:type="xsd:double"&gt;-7.800555&lt;/D&gt;&lt;D xsi:type="xsd:double"&gt;-0.018209219&lt;/D&gt;&lt;D xsi:type="xsd:double"&gt;-1.8032491&lt;/D&gt;&lt;D xsi:type="xsd:double"&gt;-3.639996&lt;/D&gt;&lt;D xsi:type="xsd:double"&gt;-3.3369243&lt;/D&gt;&lt;D xsi:type="xsd:double"&gt;0.77267885&lt;/D&gt;&lt;D xsi:type="xsd:double"&gt;6.0129166&lt;/D&gt;&lt;D xsi:type="xsd:double"&gt;-0.45679808&lt;/D&gt;&lt;D xsi:type="xsd:double"&gt;2.753353&lt;/D&gt;&lt;D xsi:type="xsd:double"&gt;-2.567923&lt;/D&gt;&lt;D xsi:type="xsd:double"&gt;-4.3383&lt;/D&gt;&lt;D xsi:type="xsd:double"&gt;0.3203869&lt;/D&gt;&lt;D xsi:type="xsd:double"&gt;-2.834326&lt;/D&gt;&lt;D xsi:type="xsd:double"&gt;32.703365&lt;/D&gt;&lt;D xsi:type="xsd:double"&gt;-7.2755394&lt;/D&gt;&lt;D xsi:type="xsd:double"&gt;-2.704513&lt;/D&gt;&lt;D xsi:type="xsd:double"&gt;-5.7275414&lt;/D&gt;&lt;D xsi:type="xsd:double"&gt;3.664434&lt;/D&gt;&lt;D xsi:type="xsd:double"&gt;2.0994067&lt;/D&gt;&lt;D xsi:type="xsd:double"&gt;-12.302285&lt;/D&gt;&lt;D xsi:type="xsd:double"&gt;11.6232395&lt;/D&gt;&lt;D xsi:type="xsd:double"&gt;1.3285398&lt;/D&gt;&lt;D xsi:type="xsd:double"&gt;3.6005259&lt;/D&gt;&lt;D xsi:type="xsd:double"&gt;3.9491773&lt;/D&gt;&lt;D xsi:type="xsd:double"&gt;9.481335&lt;/D&gt;&lt;D xsi:type="xsd:double"&gt;3.228724&lt;/D&gt;&lt;D xsi:type="xsd:double"&gt;1.1400104&lt;/D&gt;&lt;D xsi:type="xsd:double"&gt;-0.69363713&lt;/D&gt;&lt;D xsi:type="xsd:double"&gt;5.0013065&lt;/D&gt;&lt;/FQL&gt;&lt;FQL&gt;&lt;Q&gt;KSA^FG_PRICE(0,-200D)&lt;/Q&gt;&lt;R&gt;201&lt;/R&gt;&lt;C&gt;1&lt;/C&gt;&lt;D xsi:type="xsd:double"&gt;36.82&lt;/D&gt;&lt;D xsi:type="xsd:double"&gt;36.32&lt;/D&gt;&lt;D xsi:type="xsd:double"&gt;37.03&lt;/D&gt;&lt;D xsi:type="xsd:double"&gt;36&lt;/D&gt;&lt;D xsi:type="xsd:double"&gt;36.77&lt;/D&gt;&lt;D xsi:type="xsd:double"&gt;36.41&lt;/D&gt;&lt;D xsi:type="xsd:double"&gt;36.05&lt;/D&gt;&lt;D xsi:type="xsd:double"&gt;36.39&lt;/D&gt;&lt;D xsi:type="xsd:double"&gt;36.57&lt;/D&gt;&lt;D xsi:type="xsd:double"&gt;36.6&lt;/D&gt;&lt;D xsi:type="xsd:double"&gt;36.76&lt;/D&gt;&lt;D xsi:type="xsd:double"&gt;36.55&lt;/D&gt;&lt;D xsi:type="xsd:double"&gt;36.36&lt;/D&gt;&lt;D xsi:type="xsd:double"&gt;36.3&lt;/D&gt;&lt;D xsi:type="xsd:double"&gt;35.83&lt;/D&gt;&lt;D xsi:type="xsd:double"&gt;36.09&lt;/D&gt;&lt;D xsi:type="xsd:double"&gt;36.81&lt;/D&gt;&lt;D xsi:type="xsd:double"&gt;37.4&lt;/D&gt;&lt;D xsi:type="xsd:double"&gt;37.62&lt;/D&gt;&lt;D xsi:type="xsd:double"&gt;37.66&lt;/D&gt;&lt;D xsi:type="xsd:double"&gt;37.43&lt;/D&gt;&lt;D xsi:type="xsd:double"&gt;37.19&lt;/D&gt;&lt;D xsi:type="xsd:double"&gt;37.2&lt;/D&gt;&lt;D xsi:type="xsd:double"&gt;37.17&lt;/D&gt;&lt;D xsi:type="xsd:double"&gt;37.04&lt;/D&gt;&lt;D xsi:type="xsd:double"&gt;36.98&lt;/D&gt;&lt;D xsi:type="xsd:double"&gt;37.06&lt;/D&gt;&lt;D xsi:type="xsd:double"&gt;37.44&lt;/D&gt;&lt;D xsi:type="xsd:double"&gt;37.38&lt;/D&gt;&lt;D xsi:type="xsd:double"&gt;37.59&lt;/D&gt;&lt;D xsi:type="xsd:double"&gt;38.16&lt;/D&gt;&lt;D xsi:type="xsd:double"&gt;38.28&lt;/D&gt;&lt;D xsi:type="xsd:double"&gt;38.19&lt;/D&gt;&lt;D xsi:type="xsd:double"&gt;38.43&lt;/D&gt;&lt;D xsi:type="xsd:double"&gt;38.79&lt;/D&gt;&lt;D xsi:type="xsd:double"&gt;38.45&lt;/D&gt;&lt;D xsi:type="xsd:double"&gt;38.83&lt;/D&gt;&lt;D xsi:type="xsd:double"&gt;38.73&lt;/D&gt;&lt;D xsi:type="xsd:double"&gt;39.17&lt;/D&gt;&lt;D xsi:type="xsd:double"&gt;39.39&lt;/D&gt;&lt;D xsi:type="xsd:double"&gt;39.32&lt;/D&gt;&lt;D xsi:type="xsd:double"&gt;39.28&lt;/D&gt;&lt;D xsi:type="xsd:double"&gt;39.3&lt;/D&gt;&lt;D xsi:type="xsd:double"&gt;39.35&lt;/D&gt;&lt;D xsi:type="xsd:double"&gt;39.68&lt;/D&gt;&lt;D xsi:type="xsd:double"&gt;40&lt;/D&gt;&lt;D xsi:type="xsd:double"&gt;40.28&lt;/D&gt;&lt;D xsi:type="xsd:double"&gt;40.23&lt;/D&gt;&lt;D xsi:type="xsd:double"&gt;41.03&lt;/D&gt;&lt;D xsi:type="xsd:double"&gt;40.89&lt;/D&gt;&lt;D xsi:type="xsd:double"&gt;40.61&lt;/D&gt;&lt;D xsi:type="xsd:double"&gt;40.73&lt;/D&gt;&lt;D xsi:type="xsd:double"&gt;40.67&lt;/D&gt;&lt;D xsi:type="xsd:double"&gt;40.51&lt;/D&gt;&lt;D xsi:type="xsd:double"&gt;40.47&lt;/D&gt;&lt;D xsi:type="xsd:double"&gt;40.89&lt;/D&gt;&lt;D xsi:type="xsd:double"&gt;40.78&lt;/D&gt;&lt;D xsi:type="xsd:double"&gt;40.78&lt;/D&gt;&lt;D xsi:type="xsd:double"&gt;40.89&lt;/D&gt;&lt;D xsi:type="xsd:double"&gt;40.75&lt;/D&gt;&lt;D xsi:type="xsd:double"&gt;40.69&lt;/D&gt;&lt;D xsi:type="xsd:double"&gt;39.81&lt;/D&gt;&lt;D xsi:type="xsd:double"&gt;40.68&lt;/D&gt;&lt;D xsi:type="xsd:double"&gt;40.55&lt;/D&gt;&lt;D xsi:type="xsd:double"&gt;40.59&lt;/D&gt;&lt;D xsi:type="xsd:double"&gt;40.77&lt;/D&gt;&lt;D xsi:type="xsd:double"&gt;40.49&lt;/D&gt;&lt;D xsi:type="xsd:double"&gt;40.48&lt;/D&gt;&lt;D xsi:type="xsd:double"&gt;40.25&lt;/D&gt;&lt;D xsi:type="xsd:double"&gt;40.58&lt;/D&gt;&lt;D xsi:type="xsd:double"&gt;40.15&lt;/D&gt;&lt;D xsi:type="xsd:double"&gt;39.95&lt;/D&gt;&lt;D xsi:type="xsd:double"&gt;39.84&lt;/D&gt;&lt;D xsi:type="xsd:double"&gt;40.54&lt;/D&gt;&lt;D xsi:type="xsd:double"&gt;40.78&lt;/D&gt;&lt;D xsi:type="xsd:double"&gt;38.18&lt;/D&gt;&lt;D xsi:type="xsd:double"&gt;37.83&lt;/D&gt;&lt;D xsi:type="xsd:double"&gt;37.77&lt;/D&gt;&lt;D xsi:type="xsd:double"&gt;37.43&lt;/D&gt;&lt;D xsi:type="xsd:double"&gt;36.9&lt;/D&gt;&lt;D xsi:type="xsd:double"&gt;36.71&lt;/D&gt;&lt;D xsi:type="xsd:double"&gt;36.72&lt;/D&gt;&lt;D xsi:type="xsd:double"&gt;36.8&lt;/D&gt;&lt;D xsi:type="xsd:double"&gt;36.8&lt;/D&gt;&lt;D xsi:type="xsd:double"&gt;36.76&lt;/D&gt;&lt;D xsi:type="xsd:double"&gt;36.69&lt;/D&gt;&lt;D xsi:type="xsd:double"&gt;37.2&lt;/D&gt;&lt;D xsi:type="xsd:double"&gt;37.35&lt;/D&gt;&lt;D xsi:type="xsd:double"&gt;37.11&lt;/D&gt;&lt;D xsi:type="xsd:double"&gt;37.21&lt;/D&gt;&lt;D xsi:type="xsd:double"&gt;37.36&lt;/D&gt;&lt;D xsi:type="xsd:double"&gt;37.47&lt;/D&gt;&lt;D xsi:type="xsd:double"&gt;37.68&lt;/D&gt;&lt;D xsi:type="xsd:double"&gt;38.02&lt;/D&gt;&lt;D xsi:type="xsd:double"&gt;38.08&lt;/D&gt;&lt;D xsi:type="xsd:double"&gt;38.13&lt;/D&gt;&lt;D xsi:type="xsd:double"&gt;37.94&lt;/D&gt;&lt;D xsi:type="xsd:double"&gt;37.89&lt;/D&gt;&lt;D xsi:type="xsd:double"&gt;37.84&lt;/D&gt;&lt;D xsi:type="xsd:double"&gt;37.83&lt;/D&gt;&lt;D xsi:type="xsd:double"&gt;37.55&lt;/D&gt;&lt;D xsi:type="xsd:double"&gt;37.59&lt;/D&gt;&lt;D xsi:type="xsd:double"&gt;37.44&lt;/D&gt;&lt;D xsi:type="xsd:double"&gt;37.49&lt;/D&gt;&lt;D xsi:type="xsd:double"&gt;37.43&lt;/D&gt;&lt;D xsi:type="xsd:double"&gt;37.83&lt;/D&gt;&lt;D xsi:type="xsd:double"&gt;37.83&lt;/D&gt;&lt;D xsi:type="xsd:double"&gt;38.04&lt;/D&gt;&lt;D xsi:type="xsd:double"&gt;37.78&lt;/D&gt;&lt;D xsi:type="xsd:double"&gt;37.63&lt;/D&gt;&lt;D xsi:type="xsd:double"&gt;37.32&lt;/D&gt;&lt;D xsi:type="xsd:double"&gt;37.56&lt;/D&gt;&lt;D xsi:type="xsd:double"&gt;37.62&lt;/D&gt;&lt;D xsi:type="xsd:double"&gt;37.39&lt;/D&gt;&lt;D xsi:type="xsd:double"&gt;37.61&lt;/D&gt;&lt;D xsi:type="xsd:double"&gt;37.72&lt;/D&gt;&lt;D xsi:type="xsd:double"&gt;37.68&lt;/D&gt;&lt;D xsi:type="xsd:double"&gt;37.97&lt;/D&gt;&lt;D xsi:type="xsd:double"&gt;37.5&lt;/D&gt;&lt;D xsi:type="xsd:double"&gt;37.82&lt;/D&gt;&lt;D xsi:type="xsd:double"&gt;38.13&lt;/D&gt;&lt;D xsi:type="xsd:double"&gt;38.17&lt;/D&gt;&lt;D xsi:type="xsd:double"&gt;38.1&lt;/D&gt;&lt;D xsi:type="xsd:double"&gt;38.09&lt;/D&gt;&lt;D xsi:type="xsd:double"&gt;38.65&lt;/D&gt;&lt;D xsi:type="xsd:double"&gt;38.89&lt;/D&gt;&lt;D xsi:type="xsd:double"&gt;39&lt;/D&gt;&lt;D xsi:type="xsd:double"&gt;38.89&lt;/D&gt;&lt;D xsi:type="xsd:double"&gt;38.9&lt;/D&gt;&lt;D xsi:type="xsd:double"&gt;39.08&lt;/D&gt;&lt;D xsi:type="xsd:double"&gt;38.89&lt;/D&gt;&lt;D xsi:type="xsd:double"&gt;38.44&lt;/D&gt;&lt;D xsi:type="xsd:double"&gt;38.25&lt;/D&gt;&lt;D xsi:type="xsd:double"&gt;38.54&lt;/D&gt;&lt;D xsi:type="xsd:double"&gt;38.26&lt;/D&gt;&lt;D xsi:type="xsd:double"&gt;38.16&lt;/D&gt;&lt;D xsi:type="xsd:double"&gt;37.82&lt;/D&gt;&lt;D xsi:type="xsd:double"&gt;37.72&lt;/D&gt;&lt;D xsi:type="xsd:double"&gt;37.1&lt;/D&gt;&lt;D xsi:type="xsd:double"&gt;36.56&lt;/D&gt;&lt;D xsi:type="xsd:double"&gt;36.36&lt;/D&gt;&lt;D xsi:type="xsd:double"&gt;36.83&lt;/D&gt;&lt;D xsi:type="xsd:double"&gt;37.48&lt;/D&gt;&lt;D xsi:type="xsd:double"&gt;37.13&lt;/D&gt;&lt;D xsi:type="xsd:double"&gt;38.07&lt;/D&gt;&lt;D xsi:type="xsd:double"&gt;38.46&lt;/D&gt;&lt;D xsi:type="xsd:double"&gt;38.72&lt;/D&gt;&lt;D xsi:type="xsd:double"&gt;38.57&lt;/D&gt;&lt;D xsi:type="xsd:double"&gt;38.51&lt;/D&gt;&lt;D xsi:type="xsd:double"&gt;38.48&lt;/D&gt;&lt;D xsi:type="xsd:double"&gt;38.38&lt;/D&gt;&lt;D xsi:type="xsd:double"&gt;38&lt;/D&gt;&lt;D xsi:type="xsd:double"&gt;38.16&lt;/D&gt;&lt;D xsi:type="xsd:double"&gt;38.33&lt;/D&gt;&lt;D xsi:type="xsd:double"&gt;38.39&lt;/D&gt;&lt;D xsi:type="xsd:double"&gt;38.6&lt;/D&gt;&lt;D xsi:type="xsd:double"&gt;38.21&lt;/D&gt;&lt;D xsi:type="xsd:double"&gt;39.17&lt;/D&gt;&lt;D xsi:type="xsd:double"&gt;39.28&lt;/D&gt;&lt;D xsi:type="xsd:double"&gt;39.3&lt;/D&gt;&lt;D xsi:type="xsd:double"&gt;39.89&lt;/D&gt;&lt;D xsi:type="xsd:double"&gt;39.91&lt;/D&gt;&lt;D xsi:type="xsd:double"&gt;40.19&lt;/D&gt;&lt;D xsi:type="xsd:double"&gt;40.13&lt;/D&gt;&lt;D xsi:type="xsd:double"&gt;40.21&lt;/D&gt;&lt;D xsi:type="xsd:double"&gt;40.3&lt;/D&gt;&lt;D xsi:type="xsd:double"&gt;40.04&lt;/D&gt;&lt;D xsi:type="xsd:double"&gt;39.54&lt;/D&gt;&lt;D xsi:type="xsd:double"&gt;39.44&lt;/D&gt;&lt;D xsi:type="xsd:double"&gt;39.53&lt;/D&gt;&lt;D xsi:type="xsd:double"&gt;39.72&lt;/D&gt;&lt;D xsi:type="xsd:double"&gt;39.71&lt;/D&gt;&lt;D xsi:type="xsd:double"&gt;40.33&lt;/D&gt;&lt;D xsi:type="xsd:double"&gt;40.01&lt;/D&gt;&lt;D xsi:type="xsd:double"&gt;40.43&lt;/D&gt;&lt;D xsi:type="xsd:double"&gt;40.74&lt;/D&gt;&lt;D xsi:type="xsd:double"&gt;40.85&lt;/D&gt;&lt;D xsi:type="xsd:double"&gt;41.16&lt;/D&gt;&lt;D xsi:type="xsd:double"&gt;41.05&lt;/D&gt;&lt;D xsi:type="xsd:double"&gt;40.37&lt;/D&gt;&lt;D xsi:type="xsd:double"&gt;40.41&lt;/D&gt;&lt;D xsi:type="xsd:double"&gt;39.9&lt;/D&gt;&lt;D xsi:type="xsd:double"&gt;40.19&lt;/D&gt;&lt;D xsi:type="xsd:double"&gt;40.04&lt;/D&gt;&lt;D xsi:type="xsd:double"&gt;40.24&lt;/D&gt;&lt;D xsi:type="xsd:double"&gt;40.01&lt;/D&gt;&lt;D xsi:type="xsd:double"&gt;39.58&lt;/D&gt;&lt;D xsi:type="xsd:double"&gt;39.34&lt;/D&gt;&lt;D xsi:type="xsd:double"&gt;40.2&lt;/D&gt;&lt;D xsi:type="xsd:double"&gt;38.17&lt;/D&gt;&lt;D xsi:type="xsd:double"&gt;38.75&lt;/D&gt;&lt;D xsi:type="xsd:double"&gt;38.98&lt;/D&gt;&lt;D xsi:type="xsd:double"&gt;40.61&lt;/D&gt;&lt;D xsi:type="xsd:double"&gt;41.52&lt;/D&gt;&lt;D xsi:type="xsd:double"&gt;41.34&lt;/D&gt;&lt;D xsi:type="xsd:double"&gt;41.37&lt;/D&gt;&lt;D xsi:type="xsd:double"&gt;41.07&lt;/D&gt;&lt;D xsi:type="xsd:double"&gt;41.39&lt;/D&gt;&lt;D xsi:type="xsd:double"&gt;40.87&lt;/D&gt;&lt;D xsi:type="xsd:double"&gt;40.28&lt;/D&gt;&lt;D xsi:type="xsd:double"&gt;40.49&lt;/D&gt;&lt;/FQL&gt;&lt;FQL&gt;&lt;Q&gt;GREK^FG_PRICE(0,-200D)&lt;/Q&gt;&lt;R&gt;201&lt;/R&gt;&lt;C&gt;1&lt;/C&gt;&lt;D xsi:type="xsd:double"&gt;69.19&lt;/D&gt;&lt;D xsi:type="xsd:double"&gt;67.98&lt;/D&gt;&lt;D xsi:type="xsd:double"&gt;67.39&lt;/D&gt;&lt;D xsi:type="xsd:double"&gt;67.61&lt;/D&gt;&lt;D xsi:type="xsd:double"&gt;67.4446&lt;/D&gt;&lt;D xsi:type="xsd:double"&gt;65.91&lt;/D&gt;&lt;D xsi:type="xsd:double"&gt;66.5&lt;/D&gt;&lt;D xsi:type="xsd:double"&gt;68&lt;/D&gt;&lt;D xsi:type="xsd:double"&gt;68.61&lt;/D&gt;&lt;D xsi:type="xsd:double"&gt;68.16&lt;/D&gt;&lt;D xsi:type="xsd:double"&gt;68.21&lt;/D&gt;&lt;D xsi:type="xsd:double"&gt;68.39&lt;/D&gt;&lt;D xsi:type="xsd:double"&gt;67.25&lt;/D&gt;&lt;D xsi:type="xsd:double"&gt;66.94&lt;/D&gt;&lt;D xsi:type="xsd:double"&gt;66.25&lt;/D&gt;&lt;D xsi:type="xsd:double"&gt;66.81&lt;/D&gt;&lt;D xsi:type="xsd:double"&gt;67.45&lt;/D&gt;&lt;D xsi:type="xsd:double"&gt;67.24&lt;/D&gt;&lt;D xsi:type="xsd:double"&gt;67.67&lt;/D&gt;&lt;D xsi:type="xsd:double"&gt;66.77&lt;/D&gt;&lt;D xsi:type="xsd:double"&gt;65.8&lt;/D&gt;&lt;D xsi:type="xsd:double"&gt;66.97&lt;/D&gt;&lt;D xsi:type="xsd:double"&gt;66.45&lt;/D&gt;&lt;D xsi:type="xsd:double"&gt;66.3&lt;/D&gt;&lt;D xsi:type="xsd:double"&gt;66.37&lt;/D&gt;&lt;D xsi:type="xsd:double"&gt;66.64&lt;/D&gt;&lt;D xsi:type="xsd:double"&gt;66.28&lt;/D&gt;&lt;D xsi:type="xsd:double"&gt;65.32&lt;/D&gt;&lt;D xsi:type="xsd:double"&gt;66.15&lt;/D&gt;&lt;D xsi:type="xsd:double"&gt;65.48&lt;/D&gt;&lt;D xsi:type="xsd:double"&gt;63.99&lt;/D&gt;&lt;D xsi:type="xsd:double"&gt;64.64&lt;/D&gt;&lt;D xsi:type="xsd:double"&gt;62.76&lt;/D&gt;&lt;D xsi:type="xsd:double"&gt;63.34&lt;/D&gt;&lt;D xsi:type="xsd:double"&gt;63.2&lt;/D&gt;&lt;D xsi:type="xsd:double"&gt;64.5&lt;/D&gt;&lt;D xsi:type="xsd:double"&gt;65&lt;/D&gt;&lt;D xsi:type="xsd:double"&gt;64.67&lt;/D&gt;&lt;D xsi:type="xsd:double"&gt;64.32&lt;/D&gt;&lt;D xsi:type="xsd:double"&gt;63.63&lt;/D&gt;&lt;D xsi:type="xsd:double"&gt;63.69&lt;/D&gt;&lt;D xsi:type="xsd:double"&gt;62.35&lt;/D&gt;&lt;D xsi:type="xsd:double"&gt;62.47&lt;/D&gt;&lt;D xsi:type="xsd:double"&gt;62.68&lt;/D&gt;&lt;D xsi:type="xsd:double"&gt;62.17&lt;/D&gt;&lt;D xsi:type="xsd:double"&gt;63.18&lt;/D&gt;&lt;D xsi:type="xsd:double"&gt;62.22&lt;/D&gt;&lt;D xsi:type="xsd:double"&gt;62.69&lt;/D&gt;&lt;D xsi:type="xsd:double"&gt;63.76&lt;/D&gt;&lt;D xsi:type="xsd:double"&gt;62.89&lt;/D&gt;&lt;D xsi:type="xsd:double"&gt;63.03&lt;/D&gt;&lt;D xsi:type="xsd:double"&gt;63.27&lt;/D&gt;&lt;D xsi:type="xsd:double"&gt;64.06&lt;/D&gt;&lt;D xsi:type="xsd:double"&gt;63.56&lt;/D&gt;&lt;D xsi:type="xsd:double"&gt;63.28&lt;/D&gt;&lt;D xsi:type="xsd:double"&gt;62.99&lt;/D&gt;&lt;D xsi:type="xsd:double"&gt;62.75&lt;/D&gt;&lt;D xsi:type="xsd:double"&gt;63.87&lt;/D&gt;&lt;D xsi:type="xsd:double"&gt;64.67&lt;/D&gt;&lt;D xsi:type="xsd:double"&gt;64.83&lt;/D&gt;&lt;D xsi:type="xsd:double"&gt;65.61&lt;/D&gt;&lt;D xsi:type="xsd:double"&gt;65.45&lt;/D&gt;&lt;D xsi:type="xsd:double"&gt;65.7&lt;/D&gt;&lt;D xsi:type="xsd:double"&gt;65.62&lt;/D&gt;&lt;D xsi:type="xsd:double"&gt;65.33&lt;/D&gt;&lt;D xsi:type="xsd:double"&gt;65.38&lt;/D&gt;&lt;D xsi:type="xsd:double"&gt;66.17&lt;/D&gt;&lt;D xsi:type="xsd:double"&gt;65.25&lt;/D&gt;&lt;D xsi:type="xsd:double"&gt;65.56&lt;/D&gt;&lt;D xsi:type="xsd:double"&gt;64.4&lt;/D&gt;&lt;D xsi:type="xsd:double"&gt;64.27&lt;/D&gt;&lt;D xsi:type="xsd:double"&gt;63.82&lt;/D&gt;&lt;D xsi:type="xsd:double"&gt;63.96&lt;/D&gt;&lt;D xsi:type="xsd:double"&gt;65&lt;/D&gt;&lt;D xsi:type="xsd:double"&gt;65.23&lt;/D&gt;&lt;D xsi:type="xsd:double"&gt;64.76&lt;/D&gt;&lt;D xsi:type="xsd:double"&gt;64.14&lt;/D&gt;&lt;D xsi:type="xsd:double"&gt;64.3&lt;/D&gt;&lt;D xsi:type="xsd:double"&gt;64.1&lt;/D&gt;&lt;D xsi:type="xsd:double"&gt;64.77&lt;/D&gt;&lt;D xsi:type="xsd:double"&gt;65.23&lt;/D&gt;&lt;D xsi:type="xsd:double"&gt;65.17&lt;/D&gt;&lt;D xsi:type="xsd:double"&gt;64.22&lt;/D&gt;&lt;D xsi:type="xsd:double"&gt;63.64&lt;/D&gt;&lt;D xsi:type="xsd:double"&gt;63.6&lt;/D&gt;&lt;D xsi:type="xsd:double"&gt;63.86&lt;/D&gt;&lt;D xsi:type="xsd:double"&gt;63.4&lt;/D&gt;&lt;D xsi:type="xsd:double"&gt;63.26&lt;/D&gt;&lt;D xsi:type="xsd:double"&gt;63.4&lt;/D&gt;&lt;D xsi:type="xsd:double"&gt;62.28&lt;/D&gt;&lt;D xsi:type="xsd:double"&gt;63.09&lt;/D&gt;&lt;D xsi:type="xsd:double"&gt;63.94&lt;/D&gt;&lt;D xsi:type="xsd:double"&gt;64.49&lt;/D&gt;&lt;D xsi:type="xsd:double"&gt;64.98&lt;/D&gt;&lt;D xsi:type="xsd:double"&gt;65.62&lt;/D&gt;&lt;D xsi:type="xsd:double"&gt;65.995&lt;/D&gt;&lt;D xsi:type="xsd:double"&gt;65.2&lt;/D&gt;&lt;D xsi:type="xsd:double"&gt;65.4&lt;/D&gt;&lt;D xsi:type="xsd:double"&gt;65.15&lt;/D&gt;&lt;D xsi:type="xsd:double"&gt;65.58&lt;/D&gt;&lt;D xsi:type="xsd:double"&gt;66.89&lt;/D&gt;&lt;D xsi:type="xsd:double"&gt;66.53&lt;/D&gt;&lt;D xsi:type="xsd:double"&gt;66.81&lt;/D&gt;&lt;D xsi:type="xsd:double"&gt;66.35&lt;/D&gt;&lt;D xsi:type="xsd:double"&gt;65.68&lt;/D&gt;&lt;D xsi:type="xsd:double"&gt;65.0692&lt;/D&gt;&lt;D xsi:type="xsd:double"&gt;64.58&lt;/D&gt;&lt;D xsi:type="xsd:double"&gt;64.2&lt;/D&gt;&lt;D xsi:type="xsd:double"&gt;62.98&lt;/D&gt;&lt;D xsi:type="xsd:double"&gt;62.02&lt;/D&gt;&lt;D xsi:type="xsd:double"&gt;60.34&lt;/D&gt;&lt;D xsi:type="xsd:double"&gt;60.51&lt;/D&gt;&lt;D xsi:type="xsd:double"&gt;60.44&lt;/D&gt;&lt;D xsi:type="xsd:double"&gt;60.98&lt;/D&gt;&lt;D xsi:type="xsd:double"&gt;60.45&lt;/D&gt;&lt;D xsi:type="xsd:double"&gt;62.15&lt;/D&gt;&lt;D xsi:type="xsd:double"&gt;62&lt;/D&gt;&lt;D xsi:type="xsd:double"&gt;62.58&lt;/D&gt;&lt;D xsi:type="xsd:double"&gt;61.43&lt;/D&gt;&lt;D xsi:type="xsd:double"&gt;61.53&lt;/D&gt;&lt;D xsi:type="xsd:double"&gt;61.2&lt;/D&gt;&lt;D xsi:type="xsd:double"&gt;61.52&lt;/D&gt;&lt;D xsi:type="xsd:double"&gt;60.8&lt;/D&gt;&lt;D xsi:type="xsd:double"&gt;60.25&lt;/D&gt;&lt;D xsi:type="xsd:double"&gt;60.82&lt;/D&gt;&lt;D xsi:type="xsd:double"&gt;60.99&lt;/D&gt;&lt;D xsi:type="xsd:double"&gt;61.32&lt;/D&gt;&lt;D xsi:type="xsd:double"&gt;61.08&lt;/D&gt;&lt;D xsi:type="xsd:double"&gt;60.9&lt;/D&gt;&lt;D xsi:type="xsd:double"&gt;59.12&lt;/D&gt;&lt;D xsi:type="xsd:double"&gt;59.72&lt;/D&gt;&lt;D xsi:type="xsd:double"&gt;59.34&lt;/D&gt;&lt;D xsi:type="xsd:double"&gt;58.63&lt;/D&gt;&lt;D xsi:type="xsd:double"&gt;58.04&lt;/D&gt;&lt;D xsi:type="xsd:double"&gt;58.17&lt;/D&gt;&lt;D xsi:type="xsd:double"&gt;59.31&lt;/D&gt;&lt;D xsi:type="xsd:double"&gt;58.42&lt;/D&gt;&lt;D xsi:type="xsd:double"&gt;57.86&lt;/D&gt;&lt;D xsi:type="xsd:double"&gt;56.55&lt;/D&gt;&lt;D xsi:type="xsd:double"&gt;54.71&lt;/D&gt;&lt;D xsi:type="xsd:double"&gt;54.58&lt;/D&gt;&lt;D xsi:type="xsd:double"&gt;54.88&lt;/D&gt;&lt;D xsi:type="xsd:double"&gt;55.79&lt;/D&gt;&lt;D xsi:type="xsd:double"&gt;56&lt;/D&gt;&lt;D xsi:type="xsd:double"&gt;56.89&lt;/D&gt;&lt;D xsi:type="xsd:double"&gt;56.52&lt;/D&gt;&lt;D xsi:type="xsd:double"&gt;56.48&lt;/D&gt;&lt;D xsi:type="xsd:double"&gt;55.85&lt;/D&gt;&lt;D xsi:type="xsd:double"&gt;55.46&lt;/D&gt;&lt;D xsi:type="xsd:double"&gt;55.77&lt;/D&gt;&lt;D xsi:type="xsd:double"&gt;55.24&lt;/D&gt;&lt;D xsi:type="xsd:double"&gt;55.29&lt;/D&gt;&lt;D xsi:type="xsd:double"&gt;55.7&lt;/D&gt;&lt;D xsi:type="xsd:double"&gt;55&lt;/D&gt;&lt;D xsi:type="xsd:double"&gt;55.71&lt;/D&gt;&lt;D xsi:type="xsd:double"&gt;55.85&lt;/D&gt;&lt;D xsi:type="xsd:double"&gt;55.02&lt;/D&gt;&lt;D xsi:type="xsd:double"&gt;53.23&lt;/D&gt;&lt;D xsi:type="xsd:double"&gt;53.88&lt;/D&gt;&lt;D xsi:type="xsd:double"&gt;54.14&lt;/D&gt;&lt;D xsi:type="xsd:double"&gt;53.89&lt;/D&gt;&lt;D xsi:type="xsd:double"&gt;52.9&lt;/D&gt;&lt;D xsi:type="xsd:double"&gt;52.5&lt;/D&gt;&lt;D xsi:type="xsd:double"&gt;52.15&lt;/D&gt;&lt;D xsi:type="xsd:double"&gt;52.22&lt;/D&gt;&lt;D xsi:type="xsd:double"&gt;52.07&lt;/D&gt;&lt;D xsi:type="xsd:double"&gt;51.6&lt;/D&gt;&lt;D xsi:type="xsd:double"&gt;51.0483&lt;/D&gt;&lt;D xsi:type="xsd:double"&gt;50.26&lt;/D&gt;&lt;D xsi:type="xsd:double"&gt;50.37&lt;/D&gt;&lt;D xsi:type="xsd:double"&gt;50.13&lt;/D&gt;&lt;D xsi:type="xsd:double"&gt;50.44&lt;/D&gt;&lt;D xsi:type="xsd:double"&gt;50.1&lt;/D&gt;&lt;D xsi:type="xsd:double"&gt;49.3&lt;/D&gt;&lt;D xsi:type="xsd:double"&gt;49.52&lt;/D&gt;&lt;D xsi:type="xsd:double"&gt;49.99&lt;/D&gt;&lt;D xsi:type="xsd:double"&gt;49.71&lt;/D&gt;&lt;D xsi:type="xsd:double"&gt;49.52&lt;/D&gt;&lt;D xsi:type="xsd:double"&gt;49.95&lt;/D&gt;&lt;D xsi:type="xsd:double"&gt;49.35&lt;/D&gt;&lt;D xsi:type="xsd:double"&gt;49.05&lt;/D&gt;&lt;D xsi:type="xsd:double"&gt;47.02&lt;/D&gt;&lt;D xsi:type="xsd:double"&gt;47.34&lt;/D&gt;&lt;D xsi:type="xsd:double"&gt;47.35&lt;/D&gt;&lt;D xsi:type="xsd:double"&gt;47.415&lt;/D&gt;&lt;D xsi:type="xsd:double"&gt;46.92&lt;/D&gt;&lt;D xsi:type="xsd:double"&gt;45.92&lt;/D&gt;&lt;D xsi:type="xsd:double"&gt;44.76&lt;/D&gt;&lt;D xsi:type="xsd:double"&gt;44.85&lt;/D&gt;&lt;D xsi:type="xsd:double"&gt;42.65&lt;/D&gt;&lt;D xsi:type="xsd:double"&gt;40.77&lt;/D&gt;&lt;D xsi:type="xsd:double"&gt;43.59&lt;/D&gt;&lt;D xsi:type="xsd:double"&gt;47.32&lt;/D&gt;&lt;D xsi:type="xsd:double"&gt;48.1&lt;/D&gt;&lt;D xsi:type="xsd:double"&gt;47.63&lt;/D&gt;&lt;D xsi:type="xsd:double"&gt;46.97&lt;/D&gt;&lt;D xsi:type="xsd:double"&gt;48.4701&lt;/D&gt;&lt;D xsi:type="xsd:double"&gt;48.9&lt;/D&gt;&lt;D xsi:type="xsd:double"&gt;48.42&lt;/D&gt;&lt;D xsi:type="xsd:double"&gt;48.48&lt;/D&gt;&lt;D xsi:type="xsd:double"&gt;48.31&lt;/D&gt;&lt;/FQL&gt;&lt;FQL&gt;&lt;Q&gt;EPOL^FG_PRICE(0,-200D)&lt;/Q&gt;&lt;R&gt;201&lt;/R&gt;&lt;C&gt;1&lt;/C&gt;&lt;D xsi:type="xsd:double"&gt;35.82&lt;/D&gt;&lt;D xsi:type="xsd:double"&gt;36.6&lt;/D&gt;&lt;D xsi:type="xsd:double"&gt;36.26&lt;/D&gt;&lt;D xsi:type="xsd:double"&gt;36.17&lt;/D&gt;&lt;D xsi:type="xsd:double"&gt;36.25&lt;/D&gt;&lt;D xsi:type="xsd:double"&gt;35.19&lt;/D&gt;&lt;D xsi:type="xsd:double"&gt;35.16&lt;/D&gt;&lt;D xsi:type="xsd:double"&gt;34.96&lt;/D&gt;&lt;D xsi:type="xsd:double"&gt;35.2&lt;/D&gt;&lt;D xsi:type="xsd:double"&gt;35.15&lt;/D&gt;&lt;D xsi:type="xsd:double"&gt;34.99&lt;/D&gt;&lt;D xsi:type="xsd:double"&gt;35.2&lt;/D&gt;&lt;D xsi:type="xsd:double"&gt;34.78&lt;/D&gt;&lt;D xsi:type="xsd:double"&gt;34.41&lt;/D&gt;&lt;D xsi:type="xsd:double"&gt;34.27&lt;/D&gt;&lt;D xsi:type="xsd:double"&gt;34.41&lt;/D&gt;&lt;D xsi:type="xsd:double"&gt;35.9&lt;/D&gt;&lt;D xsi:type="xsd:double"&gt;35.2&lt;/D&gt;&lt;D xsi:type="xsd:double"&gt;35.27&lt;/D&gt;&lt;D xsi:type="xsd:double"&gt;34.88&lt;/D&gt;&lt;D xsi:type="xsd:double"&gt;34.25&lt;/D&gt;&lt;D xsi:type="xsd:double"&gt;33.51&lt;/D&gt;&lt;D xsi:type="xsd:double"&gt;33.44&lt;/D&gt;&lt;D xsi:type="xsd:double"&gt;33.53&lt;/D&gt;&lt;D xsi:type="xsd:double"&gt;33.61&lt;/D&gt;&lt;D xsi:type="xsd:double"&gt;33.65&lt;/D&gt;&lt;D xsi:type="xsd:double"&gt;33.9&lt;/D&gt;&lt;D xsi:type="xsd:double"&gt;34.07&lt;/D&gt;&lt;D xsi:type="xsd:double"&gt;34.07&lt;/D&gt;&lt;D xsi:type="xsd:double"&gt;33.73&lt;/D&gt;&lt;D xsi:type="xsd:double"&gt;32.94&lt;/D&gt;&lt;D xsi:type="xsd:double"&gt;33.04&lt;/D&gt;&lt;D xsi:type="xsd:double"&gt;32.56&lt;/D&gt;&lt;D xsi:type="xsd:double"&gt;33.29&lt;/D&gt;&lt;D xsi:type="xsd:double"&gt;32.87&lt;/D&gt;&lt;D xsi:type="xsd:double"&gt;33.39&lt;/D&gt;&lt;D xsi:type="xsd:double"&gt;34.16&lt;/D&gt;&lt;D xsi:type="xsd:double"&gt;34.13&lt;/D&gt;&lt;D xsi:type="xsd:double"&gt;34.42&lt;/D&gt;&lt;D xsi:type="xsd:double"&gt;34.56&lt;/D&gt;&lt;D xsi:type="xsd:double"&gt;34.44&lt;/D&gt;&lt;D xsi:type="xsd:double"&gt;33.84&lt;/D&gt;&lt;D xsi:type="xsd:double"&gt;33.95&lt;/D&gt;&lt;D xsi:type="xsd:double"&gt;33.51&lt;/D&gt;&lt;D xsi:type="xsd:double"&gt;33.31&lt;/D&gt;&lt;D xsi:type="xsd:double"&gt;33.78&lt;/D&gt;&lt;D xsi:type="xsd:double"&gt;33.71&lt;/D&gt;&lt;D xsi:type="xsd:double"&gt;34.22&lt;/D&gt;&lt;D xsi:type="xsd:double"&gt;34.53&lt;/D&gt;&lt;D xsi:type="xsd:double"&gt;34.85&lt;/D&gt;&lt;D xsi:type="xsd:double"&gt;34.2&lt;/D&gt;&lt;D xsi:type="xsd:double"&gt;33.91&lt;/D&gt;&lt;D xsi:type="xsd:double"&gt;34.17&lt;/D&gt;&lt;D xsi:type="xsd:double"&gt;33.83&lt;/D&gt;&lt;D xsi:type="xsd:double"&gt;33.1&lt;/D&gt;&lt;D xsi:type="xsd:double"&gt;33.49&lt;/D&gt;&lt;D xsi:type="xsd:double"&gt;32.92&lt;/D&gt;&lt;D xsi:type="xsd:double"&gt;32.83&lt;/D&gt;&lt;D xsi:type="xsd:double"&gt;32.9&lt;/D&gt;&lt;D xsi:type="xsd:double"&gt;32.22&lt;/D&gt;&lt;D xsi:type="xsd:double"&gt;32.41&lt;/D&gt;&lt;D xsi:type="xsd:double"&gt;31.78&lt;/D&gt;&lt;D xsi:type="xsd:double"&gt;32.28&lt;/D&gt;&lt;D xsi:type="xsd:double"&gt;32.62&lt;/D&gt;&lt;D xsi:type="xsd:double"&gt;32.58&lt;/D&gt;&lt;D xsi:type="xsd:double"&gt;32.51&lt;/D&gt;&lt;D xsi:type="xsd:double"&gt;32.92&lt;/D&gt;&lt;D xsi:type="xsd:double"&gt;32.81&lt;/D&gt;&lt;D xsi:type="xsd:double"&gt;32.6&lt;/D&gt;&lt;D xsi:type="xsd:double"&gt;32.2&lt;/D&gt;&lt;D xsi:type="xsd:double"&gt;32.11&lt;/D&gt;&lt;D xsi:type="xsd:double"&gt;32.17&lt;/D&gt;&lt;D xsi:type="xsd:double"&gt;31.57&lt;/D&gt;&lt;D xsi:type="xsd:double"&gt;32.09&lt;/D&gt;&lt;D xsi:type="xsd:double"&gt;32.04&lt;/D&gt;&lt;D xsi:type="xsd:double"&gt;32&lt;/D&gt;&lt;D xsi:type="xsd:double"&gt;31.76&lt;/D&gt;&lt;D xsi:type="xsd:double"&gt;32.07&lt;/D&gt;&lt;D xsi:type="xsd:double"&gt;32.32&lt;/D&gt;&lt;D xsi:type="xsd:double"&gt;32.51&lt;/D&gt;&lt;D xsi:type="xsd:double"&gt;32.81&lt;/D&gt;&lt;D xsi:type="xsd:double"&gt;32.28&lt;/D&gt;&lt;D xsi:type="xsd:double"&gt;32.6&lt;/D&gt;&lt;D xsi:type="xsd:double"&gt;31.83&lt;/D&gt;&lt;D xsi:type="xsd:double"&gt;32.38&lt;/D&gt;&lt;D xsi:type="xsd:double"&gt;32.88&lt;/D&gt;&lt;D xsi:type="xsd:double"&gt;32.14&lt;/D&gt;&lt;D xsi:type="xsd:double"&gt;32.13&lt;/D&gt;&lt;D xsi:type="xsd:double"&gt;31.52&lt;/D&gt;&lt;D xsi:type="xsd:double"&gt;31.29&lt;/D&gt;&lt;D xsi:type="xsd:double"&gt;31.7&lt;/D&gt;&lt;D xsi:type="xsd:double"&gt;32.07&lt;/D&gt;&lt;D xsi:type="xsd:double"&gt;32.34&lt;/D&gt;&lt;D xsi:type="xsd:double"&gt;32.86&lt;/D&gt;&lt;D xsi:type="xsd:double"&gt;32.59&lt;/D&gt;&lt;D xsi:type="xsd:double"&gt;32.7&lt;/D&gt;&lt;D xsi:type="xsd:double"&gt;33.38&lt;/D&gt;&lt;D xsi:type="xsd:double"&gt;33.78&lt;/D&gt;&lt;D xsi:type="xsd:double"&gt;33.79&lt;/D&gt;&lt;D xsi:type="xsd:double"&gt;33.64&lt;/D&gt;&lt;D xsi:type="xsd:double"&gt;33.45&lt;/D&gt;&lt;D xsi:type="xsd:double"&gt;33.27&lt;/D&gt;&lt;D xsi:type="xsd:double"&gt;34.07&lt;/D&gt;&lt;D xsi:type="xsd:double"&gt;33.99&lt;/D&gt;&lt;D xsi:type="xsd:double"&gt;33.44&lt;/D&gt;&lt;D xsi:type="xsd:double"&gt;33.97&lt;/D&gt;&lt;D xsi:type="xsd:double"&gt;33.53&lt;/D&gt;&lt;D xsi:type="xsd:double"&gt;32.84&lt;/D&gt;&lt;D xsi:type="xsd:double"&gt;31.79&lt;/D&gt;&lt;D xsi:type="xsd:double"&gt;31.94&lt;/D&gt;&lt;D xsi:type="xsd:double"&gt;31.7&lt;/D&gt;&lt;D xsi:type="xsd:double"&gt;31.75&lt;/D&gt;&lt;D xsi:type="xsd:double"&gt;32.21&lt;/D&gt;&lt;D xsi:type="xsd:double"&gt;32.25&lt;/D&gt;&lt;D xsi:type="xsd:double"&gt;32.13&lt;/D&gt;&lt;D xsi:type="xsd:double"&gt;33.35&lt;/D&gt;&lt;D xsi:type="xsd:double"&gt;33.29&lt;/D&gt;&lt;D xsi:type="xsd:double"&gt;33.45&lt;/D&gt;&lt;D xsi:type="xsd:double"&gt;32.93&lt;/D&gt;&lt;D xsi:type="xsd:double"&gt;32.9&lt;/D&gt;&lt;D xsi:type="xsd:double"&gt;32.86&lt;/D&gt;&lt;D xsi:type="xsd:double"&gt;32.34&lt;/D&gt;&lt;D xsi:type="xsd:double"&gt;31.97&lt;/D&gt;&lt;D xsi:type="xsd:double"&gt;31.66&lt;/D&gt;&lt;D xsi:type="xsd:double"&gt;32.14&lt;/D&gt;&lt;D xsi:type="xsd:double"&gt;31.95&lt;/D&gt;&lt;D xsi:type="xsd:double"&gt;32.05&lt;/D&gt;&lt;D xsi:type="xsd:double"&gt;32.72&lt;/D&gt;&lt;D xsi:type="xsd:double"&gt;32.62&lt;/D&gt;&lt;D xsi:type="xsd:double"&gt;32.25&lt;/D&gt;&lt;D xsi:type="xsd:double"&gt;32.82&lt;/D&gt;&lt;D xsi:type="xsd:double"&gt;32.19&lt;/D&gt;&lt;D xsi:type="xsd:double"&gt;32.06&lt;/D&gt;&lt;D xsi:type="xsd:double"&gt;32.26&lt;/D&gt;&lt;D xsi:type="xsd:double"&gt;31.69&lt;/D&gt;&lt;D xsi:type="xsd:double"&gt;31.65&lt;/D&gt;&lt;D xsi:type="xsd:double"&gt;30.57&lt;/D&gt;&lt;D xsi:type="xsd:double"&gt;30.56&lt;/D&gt;&lt;D xsi:type="xsd:double"&gt;29.51&lt;/D&gt;&lt;D xsi:type="xsd:double"&gt;29.72&lt;/D&gt;&lt;D xsi:type="xsd:double"&gt;29.36&lt;/D&gt;&lt;D xsi:type="xsd:double"&gt;29.39&lt;/D&gt;&lt;D xsi:type="xsd:double"&gt;29.38&lt;/D&gt;&lt;D xsi:type="xsd:double"&gt;29.86&lt;/D&gt;&lt;D xsi:type="xsd:double"&gt;30.63&lt;/D&gt;&lt;D xsi:type="xsd:double"&gt;30.62&lt;/D&gt;&lt;D xsi:type="xsd:double"&gt;30.83&lt;/D&gt;&lt;D xsi:type="xsd:double"&gt;30&lt;/D&gt;&lt;D xsi:type="xsd:double"&gt;29.46&lt;/D&gt;&lt;D xsi:type="xsd:double"&gt;29.75&lt;/D&gt;&lt;D xsi:type="xsd:double"&gt;30.22&lt;/D&gt;&lt;D xsi:type="xsd:double"&gt;29.92&lt;/D&gt;&lt;D xsi:type="xsd:double"&gt;30.49&lt;/D&gt;&lt;D xsi:type="xsd:double"&gt;30.37&lt;/D&gt;&lt;D xsi:type="xsd:double"&gt;30.72&lt;/D&gt;&lt;D xsi:type="xsd:double"&gt;31.25&lt;/D&gt;&lt;D xsi:type="xsd:double"&gt;30.82&lt;/D&gt;&lt;D xsi:type="xsd:double"&gt;29.85&lt;/D&gt;&lt;D xsi:type="xsd:double"&gt;29.99&lt;/D&gt;&lt;D xsi:type="xsd:double"&gt;30.09&lt;/D&gt;&lt;D xsi:type="xsd:double"&gt;30.77&lt;/D&gt;&lt;D xsi:type="xsd:double"&gt;30.53&lt;/D&gt;&lt;D xsi:type="xsd:double"&gt;30.32&lt;/D&gt;&lt;D xsi:type="xsd:double"&gt;30.49&lt;/D&gt;&lt;D xsi:type="xsd:double"&gt;30.68&lt;/D&gt;&lt;D xsi:type="xsd:double"&gt;30.8&lt;/D&gt;&lt;D xsi:type="xsd:double"&gt;30.5&lt;/D&gt;&lt;D xsi:type="xsd:double"&gt;30.88&lt;/D&gt;&lt;D xsi:type="xsd:double"&gt;29.94&lt;/D&gt;&lt;D xsi:type="xsd:double"&gt;29.66&lt;/D&gt;&lt;D xsi:type="xsd:double"&gt;29.48&lt;/D&gt;&lt;D xsi:type="xsd:double"&gt;29.83&lt;/D&gt;&lt;D xsi:type="xsd:double"&gt;30.09&lt;/D&gt;&lt;D xsi:type="xsd:double"&gt;29.45&lt;/D&gt;&lt;D xsi:type="xsd:double"&gt;29.48&lt;/D&gt;&lt;D xsi:type="xsd:double"&gt;30.3&lt;/D&gt;&lt;D xsi:type="xsd:double"&gt;30.3&lt;/D&gt;&lt;D xsi:type="xsd:double"&gt;30.04&lt;/D&gt;&lt;D xsi:type="xsd:double"&gt;30.19&lt;/D&gt;&lt;D xsi:type="xsd:double"&gt;29.43&lt;/D&gt;&lt;D xsi:type="xsd:double"&gt;29.25&lt;/D&gt;&lt;D xsi:type="xsd:double"&gt;28.63&lt;/D&gt;&lt;D xsi:type="xsd:double"&gt;28.29&lt;/D&gt;&lt;D xsi:type="xsd:double"&gt;27.74&lt;/D&gt;&lt;D xsi:type="xsd:double"&gt;27.58&lt;/D&gt;&lt;D xsi:type="xsd:double"&gt;27.59&lt;/D&gt;&lt;D xsi:type="xsd:double"&gt;27.25&lt;/D&gt;&lt;D xsi:type="xsd:double"&gt;26.93&lt;/D&gt;&lt;D xsi:type="xsd:double"&gt;27.69&lt;/D&gt;&lt;D xsi:type="xsd:double"&gt;24.7&lt;/D&gt;&lt;D xsi:type="xsd:double"&gt;24.54&lt;/D&gt;&lt;D xsi:type="xsd:double"&gt;25.14&lt;/D&gt;&lt;D xsi:type="xsd:double"&gt;27.51&lt;/D&gt;&lt;D xsi:type="xsd:double"&gt;28.79&lt;/D&gt;&lt;D xsi:type="xsd:double"&gt;28.28&lt;/D&gt;&lt;D xsi:type="xsd:double"&gt;28.01&lt;/D&gt;&lt;D xsi:type="xsd:double"&gt;28.43&lt;/D&gt;&lt;D xsi:type="xsd:double"&gt;28.69&lt;/D&gt;&lt;D xsi:type="xsd:double"&gt;28.42&lt;/D&gt;&lt;D xsi:type="xsd:double"&gt;29.11&lt;/D&gt;&lt;D xsi:type="xsd:double"&gt;28.56&lt;/D&gt;&lt;/FQL&gt;&lt;FQL&gt;&lt;Q&gt;EWC^FG_TOTAL_RETURNC(-5AY,0,AM)&lt;/Q&gt;&lt;R&gt;61&lt;/R&gt;&lt;C&gt;1&lt;/C&gt;&lt;D xsi:type="xsd:double"&gt;3.4421444&lt;/D&gt;&lt;D xsi:type="xsd:double"&gt;1.0900021&lt;/D&gt;&lt;D xsi:type="xsd:double"&gt;2.3105383&lt;/D&gt;&lt;D xsi:type="xsd:double"&gt;5.2694917&lt;/D&gt;&lt;D xsi:type="xsd:double"&gt;5.291772&lt;/D&gt;&lt;D xsi:type="xsd:double"&gt;3.6946416&lt;/D&gt;&lt;D xsi:type="xsd:double"&gt;-3.312081&lt;/D&gt;&lt;D xsi:type="xsd:double"&gt;2.2082925&lt;/D&gt;&lt;D xsi:type="xsd:double"&gt;-0.18672347&lt;/D&gt;&lt;D xsi:type="xsd:double"&gt;0.7749915&lt;/D&gt;&lt;D xsi:type="xsd:double"&gt;5.701411&lt;/D&gt;&lt;D xsi:type="xsd:double"&gt;-3.4370244&lt;/D&gt;&lt;D xsi:type="xsd:double"&gt;0.82069635&lt;/D&gt;&lt;D xsi:type="xsd:double"&gt;1.1746168&lt;/D&gt;&lt;D xsi:type="xsd:double"&gt;-2.7605772&lt;/D&gt;&lt;D xsi:type="xsd:double"&gt;5.837095&lt;/D&gt;&lt;D xsi:type="xsd:double"&gt;-7.6961637&lt;/D&gt;&lt;D xsi:type="xsd:double"&gt;3.530693&lt;/D&gt;&lt;D xsi:type="xsd:double"&gt;-10.803819&lt;/D&gt;&lt;D xsi:type="xsd:double"&gt;3.8814902&lt;/D&gt;&lt;D xsi:type="xsd:double"&gt;-2.9092968&lt;/D&gt;&lt;D xsi:type="xsd:double"&gt;-8.431262&lt;/D&gt;&lt;D xsi:type="xsd:double"&gt;8.469688&lt;/D&gt;&lt;D xsi:type="xsd:double"&gt;0.82815886&lt;/D&gt;&lt;D xsi:type="xsd:double"&gt;0.41549206&lt;/D&gt;&lt;D xsi:type="xsd:double"&gt;4.5939565&lt;/D&gt;&lt;D xsi:type="xsd:double"&gt;-3.910458&lt;/D&gt;&lt;D xsi:type="xsd:double"&gt;1.7398953&lt;/D&gt;&lt;D xsi:type="xsd:double"&gt;3.014493&lt;/D&gt;&lt;D xsi:type="xsd:double"&gt;-2.965945&lt;/D&gt;&lt;D xsi:type="xsd:double"&gt;0.5565405&lt;/D&gt;&lt;D xsi:type="xsd:double"&gt;1.1651516&lt;/D&gt;&lt;D xsi:type="xsd:double"&gt;-2.073139&lt;/D&gt;&lt;D xsi:type="xsd:double"&gt;-3.6459804&lt;/D&gt;&lt;D xsi:type="xsd:double"&gt;0.9765029&lt;/D&gt;&lt;D xsi:type="xsd:double"&gt;5.953467&lt;/D&gt;&lt;D xsi:type="xsd:double"&gt;5.9593916&lt;/D&gt;&lt;D xsi:type="xsd:double"&gt;-1.2278318&lt;/D&gt;&lt;D xsi:type="xsd:double"&gt;3.8950324&lt;/D&gt;&lt;D xsi:type="xsd:double"&gt;1.9409776&lt;/D&gt;&lt;D xsi:type="xsd:double"&gt;-1.1476219&lt;/D&gt;&lt;D xsi:type="xsd:double"&gt;-1.1609554&lt;/D&gt;&lt;D xsi:type="xsd:double"&gt;1.4857888&lt;/D&gt;&lt;D xsi:type="xsd:double"&gt;0&lt;/D&gt;&lt;D xsi:type="xsd:double"&gt;4.381311&lt;/D&gt;&lt;D xsi:type="xsd:double"&gt;4.6553016&lt;/D&gt;&lt;D xsi:type="xsd:double"&gt;1.3368964&lt;/D&gt;&lt;D xsi:type="xsd:double"&gt;2.8544068&lt;/D&gt;&lt;D xsi:type="xsd:double"&gt;-3.5737216&lt;/D&gt;&lt;D xsi:type="xsd:double"&gt;2.0833373&lt;/D&gt;&lt;D xsi:type="xsd:double"&gt;-2.833134&lt;/D&gt;&lt;D xsi:type="xsd:double"&gt;-8.154196&lt;/D&gt;&lt;D xsi:type="xsd:double"&gt;15.173531&lt;/D&gt;&lt;D xsi:type="xsd:double"&gt;6.0266256&lt;/D&gt;&lt;D xsi:type="xsd:double"&gt;2.0214558&lt;/D&gt;&lt;D xsi:type="xsd:double"&gt;2.913046&lt;/D&gt;&lt;D xsi:type="xsd:double"&gt;4.140258&lt;/D&gt;&lt;D xsi:type="xsd:double"&gt;3.7322521&lt;/D&gt;&lt;D xsi:type="xsd:double"&gt;-2.033633&lt;/D&gt;&lt;D xsi:type="xsd:double"&gt;5.6886315&lt;/D&gt;&lt;D xsi:type="xsd:double"&gt;3.773713&lt;/D&gt;&lt;/FQL&gt;&lt;FQL&gt;&lt;Q&gt;QAT^FG_TOTAL_RETURNC(-5AY,0,AM)&lt;/Q&gt;&lt;R&gt;61&lt;/R&gt;&lt;C&gt;1&lt;/C&gt;&lt;D xsi:type="xsd:double"&gt;2.9692888&lt;/D&gt;&lt;D xsi:type="xsd:double"&gt;-2.5205195&lt;/D&gt;&lt;D xsi:type="xsd:double"&gt;-3.807962&lt;/D&gt;&lt;D xsi:type="xsd:double"&gt;6.25&lt;/D&gt;&lt;D xsi:type="xsd:double"&gt;3.3613443&lt;/D&gt;&lt;D xsi:type="x</t>
        </r>
      </text>
    </comment>
    <comment ref="A10" authorId="0" shapeId="0" xr:uid="{D8EBC86D-D409-4F95-98D8-3FE6F38D2E08}">
      <text>
        <r>
          <rPr>
            <b/>
            <sz val="9"/>
            <color indexed="81"/>
            <rFont val="Tahoma"/>
            <charset val="1"/>
          </rPr>
          <t>sd:double"&gt;-1.6778469&lt;/D&gt;&lt;D xsi:type="xsd:double"&gt;1.2253761&lt;/D&gt;&lt;D xsi:type="xsd:double"&gt;-0.3653407&lt;/D&gt;&lt;D xsi:type="xsd:double"&gt;2.871132&lt;/D&gt;&lt;D xsi:type="xsd:double"&gt;5.152738&lt;/D&gt;&lt;D xsi:type="xsd:double"&gt;2.1307588&lt;/D&gt;&lt;D xsi:type="xsd:double"&gt;-2.92508&lt;/D&gt;&lt;D xsi:type="xsd:double"&gt;1.9396186&lt;/D&gt;&lt;D xsi:type="xsd:double"&gt;7.424319&lt;/D&gt;&lt;D xsi:type="xsd:double"&gt;8.765388&lt;/D&gt;&lt;D xsi:type="xsd:double"&gt;2.6547909&lt;/D&gt;&lt;D xsi:type="xsd:double"&gt;-5.328524&lt;/D&gt;&lt;D xsi:type="xsd:double"&gt;-4.612774&lt;/D&gt;&lt;D xsi:type="xsd:double"&gt;-4.5757294&lt;/D&gt;&lt;D xsi:type="xsd:double"&gt;10.678207&lt;/D&gt;&lt;D xsi:type="xsd:double"&gt;-5.5628004&lt;/D&gt;&lt;D xsi:type="xsd:double"&gt;0.6902933&lt;/D&gt;&lt;D xsi:type="xsd:double"&gt;-1.0511875&lt;/D&gt;&lt;D xsi:type="xsd:double"&gt;-8.683598&lt;/D&gt;&lt;D xsi:type="xsd:double"&gt;-0.8903384&lt;/D&gt;&lt;D xsi:type="xsd:double"&gt;-8.166409&lt;/D&gt;&lt;D xsi:type="xsd:double"&gt;4.306495&lt;/D&gt;&lt;D xsi:type="xsd:double"&gt;-1.7694354&lt;/D&gt;&lt;D xsi:type="xsd:double"&gt;5.513096&lt;/D&gt;&lt;D xsi:type="xsd:double"&gt;-2.7400553&lt;/D&gt;&lt;D xsi:type="xsd:double"&gt;-1.160866&lt;/D&gt;&lt;D xsi:type="xsd:double"&gt;3.5794258&lt;/D&gt;&lt;D xsi:type="xsd:double"&gt;-4.211664&lt;/D&gt;&lt;D xsi:type="xsd:double"&gt;-2.9312313&lt;/D&gt;&lt;D xsi:type="xsd:double"&gt;0.4065156&lt;/D&gt;&lt;D xsi:type="xsd:double"&gt;-2.024293&lt;/D&gt;&lt;D xsi:type="xsd:double"&gt;7.674134&lt;/D&gt;&lt;D xsi:type="xsd:double"&gt;-6.524128&lt;/D&gt;&lt;D xsi:type="xsd:double"&gt;5.0439954&lt;/D&gt;&lt;D xsi:type="xsd:double"&gt;-1.0050297&lt;/D&gt;&lt;D xsi:type="xsd:double"&gt;-3.102082&lt;/D&gt;&lt;D xsi:type="xsd:double"&gt;-1.6880155&lt;/D&gt;&lt;D xsi:type="xsd:double"&gt;6.99296&lt;/D&gt;&lt;D xsi:type="xsd:double"&gt;0.3006935&lt;/D&gt;&lt;D xsi:type="xsd:double"&gt;2.3573399&lt;/D&gt;&lt;D xsi:type="xsd:double"&gt;3.7810445&lt;/D&gt;&lt;D xsi:type="xsd:double"&gt;1.1963129&lt;/D&gt;&lt;D xsi:type="xsd:double"&gt;-3.1703413&lt;/D&gt;&lt;D xsi:type="xsd:double"&gt;-0.3221929&lt;/D&gt;&lt;D xsi:type="xsd:double"&gt;1.4705896&lt;/D&gt;&lt;D xsi:type="xsd:double"&gt;0.7246375&lt;/D&gt;&lt;D xsi:type="xsd:double"&gt;-4.64859&lt;/D&gt;&lt;D xsi:type="xsd:double"&gt;8.038306&lt;/D&gt;&lt;D xsi:type="xsd:double"&gt;1.154983&lt;/D&gt;&lt;D xsi:type="xsd:double"&gt;1.8606186&lt;/D&gt;&lt;D xsi:type="xsd:double"&gt;6.4068437&lt;/D&gt;&lt;D xsi:type="xsd:double"&gt;-1.5052736&lt;/D&gt;&lt;D xsi:type="xsd:double"&gt;-1.6301572&lt;/D&gt;&lt;D xsi:type="xsd:double"&gt;0.5696535&lt;/D&gt;&lt;D xsi:type="xsd:double"&gt;-2.3923755&lt;/D&gt;&lt;D xsi:type="xsd:double"&gt;2.945447&lt;/D&gt;&lt;/FQL&gt;&lt;FQL&gt;&lt;Q&gt;EWT^FG_TOTAL_RETURNC(-5AY,0,AM)&lt;/Q&gt;&lt;R&gt;61&lt;/R&gt;&lt;C&gt;1&lt;/C&gt;&lt;D xsi:type="xsd:double"&gt;8.98571&lt;/D&gt;&lt;D xsi:type="xsd:double"&gt;3.8030863&lt;/D&gt;&lt;D xsi:type="xsd:double"&gt;-2.4139702&lt;/D&gt;&lt;D xsi:type="xsd:double"&gt;7.245612&lt;/D&gt;&lt;D xsi:type="xsd:double"&gt;5.4473996&lt;/D&gt;&lt;D xsi:type="xsd:double"&gt;-2.4511278&lt;/D&gt;&lt;D xsi:type="xsd:double"&gt;1.1450291&lt;/D&gt;&lt;D xsi:type="xsd:double"&gt;1.7138481&lt;/D&gt;&lt;D xsi:type="xsd:double"&gt;-0.9893298&lt;/D&gt;&lt;D xsi:type="xsd:double"&gt;-4.4028163&lt;/D&gt;&lt;D xsi:type="xsd:double"&gt;5.8794737&lt;/D&gt;&lt;D xsi:type="xsd:double"&gt;3.5323143&lt;/D&gt;&lt;D xsi:type="xsd:double"&gt;1.2527108&lt;/D&gt;&lt;D xsi:type="xsd:double"&gt;-1.0886014&lt;/D&gt;&lt;D xsi:type="xsd:double"&gt;-8.71293&lt;/D&gt;&lt;D xsi:type="xsd:double"&gt;0.18419027&lt;/D&gt;&lt;D xsi:type="xsd:double"&gt;-7.8054547&lt;/D&gt;&lt;D xsi:type="xsd:double"&gt;1.812911&lt;/D&gt;&lt;D xsi:type="xsd:double"&gt;-11.663103&lt;/D&gt;&lt;D xsi:type="xsd:double"&gt;2.9429555&lt;/D&gt;&lt;D xsi:type="xsd:double"&gt;-4.6406865&lt;/D&gt;&lt;D xsi:type="xsd:double"&gt;-10.574949&lt;/D&gt;&lt;D xsi:type="xsd:double"&gt;0.8725643&lt;/D&gt;&lt;D xsi:type="xsd:double"&gt;12.770319&lt;/D&gt;&lt;D xsi:type="xsd:double"&gt;-0.014054775&lt;/D&gt;&lt;D xsi:type="xsd:double"&gt;7.124126&lt;/D&gt;&lt;D xsi:type="xsd:double"&gt;-0.3113866&lt;/D&gt;&lt;D xsi:type="xsd:double"&gt;0.15617609&lt;/D&gt;&lt;D xsi:type="xsd:double"&gt;-1.3811529&lt;/D&gt;&lt;D xsi:type="xsd:double"&gt;7.002485&lt;/D&gt;&lt;D xsi:type="xsd:double"&gt;-2.3854733&lt;/D&gt;&lt;D xsi:type="xsd:double"&gt;0.389266&lt;/D&gt;&lt;D xsi:type="xsd:double"&gt;-2.735883&lt;/D&gt;&lt;D xsi:type="xsd:double"&gt;0.93022585&lt;/D&gt;&lt;D xsi:type="xsd:double"&gt;0.17555952&lt;/D&gt;&lt;D xsi:type="xsd:double"&gt;6.352675&lt;/D&gt;&lt;D xsi:type="xsd:double"&gt;4.6693206&lt;/D&gt;&lt;D xsi:type="xsd:double"&gt;3.2164931&lt;/D&gt;&lt;D xsi:type="xsd:double"&gt;4.1478634&lt;/D&gt;&lt;D xsi:type="xsd:double"&gt;1.0524154&lt;/D&gt;&lt;D xsi:type="xsd:double"&gt;-0.22462606&lt;/D&gt;&lt;D xsi:type="xsd:double"&gt;4.7073245&lt;/D&gt;&lt;D xsi:type="xsd:double"&gt;9.929633&lt;/D&gt;&lt;D xsi:type="xsd:double"&gt;-9.583932&lt;/D&gt;&lt;D xsi:type="xsd:double"&gt;-1.51425&lt;/D&gt;&lt;D xsi:type="xsd:double"&gt;8.506382&lt;/D&gt;&lt;D xsi:type="xsd:double"&gt;3.0364394&lt;/D&gt;&lt;D xsi:type="xsd:double"&gt;-2.0360827&lt;/D&gt;&lt;D xsi:type="xsd:double"&gt;-1.1749625&lt;/D&gt;&lt;D xsi:type="xsd:double"&gt;-0.9144664&lt;/D&gt;&lt;D xsi:type="xsd:double"&gt;-1.4997065&lt;/D&gt;&lt;D xsi:type="xsd:double"&gt;-20.066362&lt;/D&gt;&lt;D xsi:type="xsd:double"&gt;24.932838&lt;/D&gt;&lt;D xsi:type="xsd:double"&gt;5.766225&lt;/D&gt;&lt;D xsi:type="xsd:double"&gt;6.560707&lt;/D&gt;&lt;D xsi:type="xsd:double"&gt;4.5612216&lt;/D&gt;&lt;D xsi:type="xsd:double"&gt;1.1444688&lt;/D&gt;&lt;D xsi:type="xsd:double"&gt;7.658255&lt;/D&gt;&lt;D xsi:type="xsd:double"&gt;-1.5841603&lt;/D&gt;&lt;D xsi:type="xsd:double"&gt;1.4858365&lt;/D&gt;&lt;D xsi:type="xsd:double"&gt;4.4001937&lt;/D&gt;&lt;/FQL&gt;&lt;FQL&gt;&lt;Q&gt;VNM^FG_PRICE(0,-200D)&lt;/Q&gt;&lt;R&gt;201&lt;/R&gt;&lt;C&gt;1&lt;/C&gt;&lt;D xsi:type="xsd:double"&gt;19.31&lt;/D&gt;&lt;D xsi:type="xsd:double"&gt;19.44&lt;/D&gt;&lt;D xsi:type="xsd:double"&gt;19.43&lt;/D&gt;&lt;D xsi:type="xsd:double"&gt;19.02&lt;/D&gt;&lt;D xsi:type="xsd:double"&gt;19.11&lt;/D&gt;&lt;D xsi:type="xsd:double"&gt;19.08&lt;/D&gt;&lt;D xsi:type="xsd:double"&gt;19.01&lt;/D&gt;&lt;D xsi:type="xsd:double"&gt;18.92&lt;/D&gt;&lt;D xsi:type="xsd:double"&gt;18.4&lt;/D&gt;&lt;D xsi:type="xsd:double"&gt;19.01&lt;/D&gt;&lt;D xsi:type="xsd:double"&gt;19.08&lt;/D&gt;&lt;D xsi:type="xsd:double"&gt;18.61&lt;/D&gt;&lt;D xsi:type="xsd:double"&gt;18.39&lt;/D&gt;&lt;D xsi:type="xsd:double"&gt;17.88&lt;/D&gt;&lt;D xsi:type="xsd:double"&gt;17.54&lt;/D&gt;&lt;D xsi:type="xsd:double"&gt;17.85&lt;/D&gt;&lt;D xsi:type="xsd:double"&gt;17.42&lt;/D&gt;&lt;D xsi:type="xsd:double"&gt;17.49&lt;/D&gt;&lt;D xsi:type="xsd:double"&gt;18.27&lt;/D&gt;&lt;D xsi:type="xsd:double"&gt;18.28&lt;/D&gt;&lt;D xsi:type="xsd:double"&gt;18.65&lt;/D&gt;&lt;D xsi:type="xsd:double"&gt;18.72&lt;/D&gt;&lt;D xsi:type="xsd:double"&gt;18.65&lt;/D&gt;&lt;D xsi:type="xsd:double"&gt;18.59&lt;/D&gt;&lt;D xsi:type="xsd:double"&gt;18.69&lt;/D&gt;&lt;D xsi:type="xsd:double"&gt;18.65&lt;/D&gt;&lt;D xsi:type="xsd:double"&gt;18.38&lt;/D&gt;&lt;D xsi:type="xsd:double"&gt;18.34&lt;/D&gt;&lt;D xsi:type="xsd:double"&gt;18.24&lt;/D&gt;&lt;D xsi:type="xsd:double"&gt;17.75&lt;/D&gt;&lt;D xsi:type="xsd:double"&gt;17.91&lt;/D&gt;&lt;D xsi:type="xsd:double"&gt;17.72&lt;/D&gt;&lt;D xsi:type="xsd:double"&gt;17.45&lt;/D&gt;&lt;D xsi:type="xsd:double"&gt;17.61&lt;/D&gt;&lt;D xsi:type="xsd:double"&gt;17.73&lt;/D&gt;&lt;D xsi:type="xsd:double"&gt;17.66&lt;/D&gt;&lt;D xsi:type="xsd:double"&gt;17.59&lt;/D&gt;&lt;D xsi:type="xsd:double"&gt;17.42&lt;/D&gt;&lt;D xsi:type="xsd:double"&gt;17.53&lt;/D&gt;&lt;D xsi:type="xsd:double"&gt;16.93&lt;/D&gt;&lt;D xsi:type="xsd:double"&gt;16.71&lt;/D&gt;&lt;D xsi:type="xsd:double"&gt;16.88&lt;/D&gt;&lt;D xsi:type="xsd:double"&gt;17.32&lt;/D&gt;&lt;D xsi:type="xsd:double"&gt;17.57&lt;/D&gt;&lt;D xsi:type="xsd:double"&gt;17.53&lt;/D&gt;&lt;D xsi:type="xsd:double"&gt;17.09&lt;/D&gt;&lt;D xsi:type="xsd:double"&gt;17.43&lt;/D&gt;&lt;D xsi:type="xsd:double"&gt;17.71&lt;/D&gt;&lt;D xsi:type="xsd:double"&gt;18.15&lt;/D&gt;&lt;D xsi:type="xsd:double"&gt;18.18&lt;/D&gt;&lt;D xsi:type="xsd:double"&gt;17.74&lt;/D&gt;&lt;D xsi:type="xsd:double"&gt;18.21&lt;/D&gt;&lt;D xsi:type="xsd:double"&gt;18.29&lt;/D&gt;&lt;D xsi:type="xsd:double"&gt;18.17&lt;/D&gt;&lt;D xsi:type="xsd:double"&gt;18.045&lt;/D&gt;&lt;D xsi:type="xsd:double"&gt;18.2&lt;/D&gt;&lt;D xsi:type="xsd:double"&gt;19.2&lt;/D&gt;&lt;D xsi:type="xsd:double"&gt;19.64&lt;/D&gt;&lt;D xsi:type="xsd:double"&gt;19.42&lt;/D&gt;&lt;D xsi:type="xsd:double"&gt;19.69&lt;/D&gt;&lt;D xsi:type="xsd:double"&gt;19.59&lt;/D&gt;&lt;D xsi:type="xsd:double"&gt;18.98&lt;/D&gt;&lt;D xsi:type="xsd:double"&gt;18.75&lt;/D&gt;&lt;D xsi:type="xsd:double"&gt;18.43&lt;/D&gt;&lt;D xsi:type="xsd:double"&gt;18.23&lt;/D&gt;&lt;D xsi:type="xsd:double"&gt;18.435&lt;/D&gt;&lt;D xsi:type="xsd:double"&gt;17.53&lt;/D&gt;&lt;D xsi:type="xsd:double"&gt;17.515&lt;/D&gt;&lt;D xsi:type="xsd:double"&gt;18.04&lt;/D&gt;&lt;D xsi:type="xsd:double"&gt;17.84&lt;/D&gt;&lt;D xsi:type="xsd:double"&gt;17.69&lt;/D&gt;&lt;D xsi:type="xsd:double"&gt;17.55&lt;/D&gt;&lt;D xsi:type="xsd:double"&gt;17.67&lt;/D&gt;&lt;D xsi:type="xsd:double"&gt;17.58&lt;/D&gt;&lt;D xsi:type="xsd:double"&gt;17.29&lt;/D&gt;&lt;D xsi:type="xsd:double"&gt;17.53&lt;/D&gt;&lt;D xsi:type="xsd:double"&gt;17.68&lt;/D&gt;&lt;D xsi:type="xsd:double"&gt;17.8&lt;/D&gt;&lt;D xsi:type="xsd:double"&gt;17.88&lt;/D&gt;&lt;D xsi:type="xsd:double"&gt;18.06&lt;/D&gt;&lt;D xsi:type="xsd:double"&gt;18.4&lt;/D&gt;&lt;D xsi:type="xsd:double"&gt;17.97&lt;/D&gt;&lt;D xsi:type="xsd:double"&gt;18.03&lt;/D&gt;&lt;D xsi:type="xsd:double"&gt;17.75&lt;/D&gt;&lt;D xsi:type="xsd:double"&gt;17.67&lt;/D&gt;&lt;D xsi:type="xsd:double"&gt;17.37&lt;/D&gt;&lt;D xsi:type="xsd:double"&gt;17.97&lt;/D&gt;&lt;D xsi:type="xsd:double"&gt;18.43&lt;/D&gt;&lt;D xsi:type="xsd:double"&gt;18.25&lt;/D&gt;&lt;D xsi:type="xsd:double"&gt;18.14&lt;/D&gt;&lt;D xsi:type="xsd:double"&gt;18.29&lt;/D&gt;&lt;D xsi:type="xsd:double"&gt;18.315&lt;/D&gt;&lt;D xsi:type="xsd:double"&gt;18.02&lt;/D&gt;&lt;D xsi:type="xsd:double"&gt;17.96&lt;/D&gt;&lt;D xsi:type="xsd:double"&gt;17.22&lt;/D&gt;&lt;D xsi:type="xsd:double"&gt;17.36&lt;/D&gt;&lt;D xsi:type="xsd:double"&gt;17.6&lt;/D&gt;&lt;D xsi:type="xsd:double"&gt;17.69&lt;/D&gt;&lt;D xsi:type="xsd:double"&gt;17.9&lt;/D&gt;&lt;D xsi:type="xsd:double"&gt;17.84&lt;/D&gt;&lt;D xsi:type="xsd:double"&gt;17.71&lt;/D&gt;&lt;D xsi:type="xsd:double"&gt;17.76&lt;/D&gt;&lt;D xsi:type="xsd:double"&gt;17.46&lt;/D&gt;&lt;D xsi:type="xsd:double"&gt;17.44&lt;/D&gt;&lt;D xsi:type="xsd:double"&gt;17.27&lt;/D&gt;&lt;D xsi:type="xsd:double"&gt;17.18&lt;/D&gt;&lt;D xsi:type="xsd:double"&gt;16.8&lt;/D&gt;&lt;D xsi:type="xsd:double"&gt;17.09&lt;/D&gt;&lt;D xsi:type="xsd:double"&gt;16.67&lt;/D&gt;&lt;D xsi:type="xsd:double"&gt;16.58&lt;/D&gt;&lt;D xsi:type="xsd:double"&gt;15.95&lt;/D&gt;&lt;D xsi:type="xsd:double"&gt;16.01&lt;/D&gt;&lt;D xsi:type="xsd:double"&gt;16.03&lt;/D&gt;&lt;D xsi:type="xsd:double"&gt;15.9&lt;/D&gt;&lt;D xsi:type="xsd:double"&gt;16.78&lt;/D&gt;&lt;D xsi:type="xsd:double"&gt;16.47&lt;/D&gt;&lt;D xsi:type="xsd:double"&gt;15.995&lt;/D&gt;&lt;D xsi:type="xsd:double"&gt;16&lt;/D&gt;&lt;D xsi:type="xsd:double"&gt;15.82&lt;/D&gt;&lt;D xsi:type="xsd:double"&gt;15.35&lt;/D&gt;&lt;D xsi:type="xsd:double"&gt;15.575&lt;/D&gt;&lt;D xsi:type="xsd:double"&gt;15.67&lt;/D&gt;&lt;D xsi:type="xsd:double"&gt;15.41&lt;/D&gt;&lt;D xsi:type="xsd:double"&gt;15.04&lt;/D&gt;&lt;D xsi:type="xsd:double"&gt;15.24&lt;/D&gt;&lt;D xsi:type="xsd:double"&gt;15.22&lt;/D&gt;&lt;D xsi:type="xsd:double"&gt;15.12&lt;/D&gt;&lt;D xsi:type="xsd:double"&gt;14.89&lt;/D&gt;&lt;D xsi:type="xsd:double"&gt;14.51&lt;/D&gt;&lt;D xsi:type="xsd:double"&gt;14.18&lt;/D&gt;&lt;D xsi:type="xsd:double"&gt;13.96&lt;/D&gt;&lt;D xsi:type="xsd:double"&gt;13.76&lt;/D&gt;&lt;D xsi:type="xsd:double"&gt;13.72&lt;/D&gt;&lt;D xsi:type="xsd:double"&gt;13.75&lt;/D&gt;&lt;D xsi:type="xsd:double"&gt;13.73&lt;/D&gt;&lt;D xsi:type="xsd:double"&gt;13.61&lt;/D&gt;&lt;D xsi:type="xsd:double"&gt;13.54&lt;/D&gt;&lt;D xsi:type="xsd:double"&gt;13.62&lt;/D&gt;&lt;D xsi:type="xsd:double"&gt;13.4&lt;/D&gt;&lt;D xsi:type="xsd:double"&gt;13.345&lt;/D&gt;&lt;D xsi:type="xsd:double"&gt;13.36&lt;/D&gt;&lt;D xsi:type="xsd:double"&gt;13.31&lt;/D&gt;&lt;D xsi:type="xsd:double"&gt;13.26&lt;/D&gt;&lt;D xsi:type="xsd:double"&gt;13.02&lt;/D&gt;&lt;D xsi:type="xsd:double"&gt;13.36&lt;/D&gt;&lt;D xsi:type="xsd:double"&gt;13.32&lt;/D&gt;&lt;D xsi:type="xsd:double"&gt;13.4&lt;/D&gt;&lt;D xsi:type="xsd:double"&gt;13.26&lt;/D&gt;&lt;D xsi:type="xsd:double"&gt;13.64&lt;/D&gt;&lt;D xsi:type="xsd:double"&gt;13.74&lt;/D&gt;&lt;D xsi:type="xsd:double"&gt;13.86&lt;/D&gt;&lt;D xsi:type="xsd:double"&gt;13.96&lt;/D&gt;&lt;D xsi:type="xsd:double"&gt;13.81&lt;/D&gt;&lt;D xsi:type="xsd:double"&gt;13.59&lt;/D&gt;&lt;D xsi:type="xsd:double"&gt;13.51&lt;/D&gt;&lt;D xsi:type="xsd:double"&gt;13.71&lt;/D&gt;&lt;D xsi:type="xsd:double"&gt;13.585&lt;/D&gt;&lt;D xsi:type="xsd:double"&gt;13.14&lt;/D&gt;&lt;D xsi:type="xsd:double"&gt;13.17&lt;/D&gt;&lt;D xsi:type="xsd:double"&gt;13.21&lt;/D&gt;&lt;D xsi:type="xsd:double"&gt;13.09&lt;/D&gt;&lt;D xsi:type="xsd:double"&gt;12.865&lt;/D&gt;&lt;D xsi:type="xsd:double"&gt;12.75&lt;/D&gt;&lt;D xsi:type="xsd:double"&gt;12.81&lt;/D&gt;&lt;D xsi:type="xsd:double"&gt;12.82&lt;/D&gt;&lt;D xsi:type="xsd:double"&gt;12.74&lt;/D&gt;&lt;D xsi:type="xsd:double"&gt;12.69&lt;/D&gt;&lt;D xsi:type="xsd:double"&gt;12.49&lt;/D&gt;&lt;D xsi:type="xsd:double"&gt;12.6&lt;/D&gt;&lt;D xsi:type="xsd:double"&gt;12.42&lt;/D&gt;&lt;D xsi:type="xsd:double"&gt;12.22&lt;/D&gt;&lt;D xsi:type="xsd:double"&gt;12.27&lt;/D&gt;&lt;D xsi:type="xsd:double"&gt;12.24&lt;/D&gt;&lt;D xsi:type="xsd:double"&gt;12.11&lt;/D&gt;&lt;D xsi:type="xsd:double"&gt;12.07&lt;/D&gt;&lt;D xsi:type="xsd:double"&gt;12.05&lt;/D&gt;&lt;D xsi:type="xsd:double"&gt;11.95&lt;/D&gt;&lt;D xsi:type="xsd:double"&gt;12.01&lt;/D&gt;&lt;D xsi:type="xsd:double"&gt;12&lt;/D&gt;&lt;D xsi:type="xsd:double"&gt;11.62&lt;/D&gt;&lt;D xsi:type="xsd:double"&gt;11.64&lt;/D&gt;&lt;D xsi:type="xsd:double"&gt;11.51&lt;/D&gt;&lt;D xsi:type="xsd:double"&gt;11.73&lt;/D&gt;&lt;D xsi:type="xsd:double"&gt;11.5&lt;/D&gt;&lt;D xsi:type="xsd:double"&gt;11.74&lt;/D&gt;&lt;D xsi:type="xsd:double"&gt;11.93&lt;/D&gt;&lt;D xsi:type="xsd:double"&gt;11.87&lt;/D&gt;&lt;D xsi:type="xsd:double"&gt;11.31&lt;/D&gt;&lt;D xsi:type="xsd:double"&gt;11.46&lt;/D&gt;&lt;D xsi:type="xsd:double"&gt;10.13&lt;/D&gt;&lt;D xsi:type="xsd:double"&gt;11.16&lt;/D&gt;&lt;D xsi:type="xsd:double"&gt;11.64&lt;/D&gt;&lt;D xsi:type="xsd:double"&gt;11.4&lt;/D&gt;&lt;D xsi:type="xsd:double"&gt;12.7&lt;/D&gt;&lt;D xsi:type="xsd:double"&gt;12.56&lt;/D&gt;&lt;D xsi:type="xsd:double"&gt;12.48&lt;/D&gt;&lt;D xsi:type="xsd:double"&gt;12.38&lt;/D&gt;&lt;D xsi:type="xsd:double"&gt;12.56&lt;/D&gt;&lt;D xsi:type="xsd:double"&gt;12.49&lt;/D&gt;&lt;D xsi:type="xsd:double"&gt;12.69&lt;/D&gt;&lt;D xsi:type="xsd:double"&gt;12.7&lt;/D&gt;&lt;/FQL&gt;&lt;FQL&gt;&lt;Q&gt;EWA^FG_TOTAL_RETURNC(-5AY,0,AM)&lt;/Q&gt;&lt;R&gt;61&lt;/R&gt;&lt;C&gt;1&lt;/C&gt;&lt;D xsi:type="xsd:double"&gt;5.790913&lt;/D&gt;&lt;D xsi:type="xsd:double"&gt;0.6443858&lt;/D&gt;&lt;D xsi:type="xsd:double"&gt;-0.24009347&lt;/D&gt;&lt;D xsi:type="xsd:double"&gt;2.2061706&lt;/D&gt;&lt;D xsi:type="xsd:double"&gt;5.023551&lt;/D&gt;&lt;D xsi:type="xsd:double"&gt;2.27952&lt;/D&gt;&lt;D xsi:type="xsd:double"&gt;-4.8669157&lt;/D&gt;&lt;D xsi:type="xsd:double"&gt;2.5700927&lt;/D&gt;&lt;D xsi:type="xsd:double"&gt;-0.34168363&lt;/D&gt;&lt;D xsi:type="xsd:double"&gt;-2.9714286&lt;/D&gt;&lt;D xsi:type="xsd:double"&gt;3.9654493&lt;/D&gt;&lt;D xsi:type="xsd:double"&gt;-4.2673707&lt;/D&gt;&lt;D xsi:type="xsd:double"&gt;0.65983534&lt;/D&gt;&lt;D xsi:type="xsd:double"&gt;-3.5743356&lt;/D&gt;&lt;D xsi:type="xsd:double"&gt;0.7160902&lt;/D&gt;&lt;D xsi:type="xsd:double"&gt;10.999584&lt;/D&gt;&lt;D xsi:type="xsd:double"&gt;-9.231353&lt;/D&gt;&lt;D xsi:type="xsd:double"&gt;1.4943957&lt;/D&gt;&lt;D xsi:type="xsd:double"&gt;-9.9845295&lt;/D&gt;&lt;D xsi:type="xsd:double"&gt;5.9568524&lt;/D&gt;&lt;D xsi:type="xsd:double"&gt;-4.116869&lt;/D&gt;&lt;D xsi:type="xsd:double"&gt;-7.0175467&lt;/D&gt;&lt;D xsi:type="xsd:double"&gt;6.7030787&lt;/D&gt;&lt;D xsi:type="xsd:double"&gt;7.957196&lt;/D&gt;&lt;D xsi:type="xsd:double"&gt;1.0718346&lt;/D&gt;&lt;D xsi:type="xsd:double"&gt;5.7775855&lt;/D&gt;&lt;D xsi:type="xsd:double"&gt;-5.8726907&lt;/D&gt;&lt;D xsi:type="xsd:double"&gt;0.7417083&lt;/D&gt;&lt;D xsi:type="xsd:double"&gt;0.95279217&lt;/D&gt;&lt;D xsi:type="xsd:double"&gt;-2.1749437&lt;/D&gt;&lt;D xsi:type="xsd:double"&gt;-1.2511134&lt;/D&gt;&lt;D xsi:type="xsd:double"&gt;1.4027119&lt;/D&gt;&lt;D xsi:type="xsd:double"&gt;-3.1682253&lt;/D&gt;&lt;D xsi:type="xsd:double"&gt;-1.2903273&lt;/D&gt;&lt;D xsi:type="xsd:double"&gt;0.46685934&lt;/D&gt;&lt;D xsi:type="xsd:double"&gt;6.040883&lt;/D&gt;&lt;D xsi:type="xsd:double"&gt;7.203603&lt;/D&gt;&lt;D xsi:type="xsd:double"&gt;-1.8773437&lt;/D&gt;&lt;D xsi:type="xsd:double"&gt;5.3146243&lt;/D&gt;&lt;D xsi:type="xsd:double"&gt;-0.28259754&lt;/D&gt;&lt;D xsi:type="xsd:double"&gt;-0.8097172&lt;/D&gt;&lt;D xsi:type="xsd:double"&gt;0.9795904&lt;/D&gt;&lt;D xsi:type="xsd:double"&gt;1.9073844&lt;/D&gt;&lt;D xsi:type="xsd:double"&gt;-2.5070727&lt;/D&gt;&lt;D xsi:type="xsd:double"&gt;4.1891336&lt;/D&gt;&lt;D xsi:type="xsd:double"&gt;4.657638&lt;/D&gt;&lt;D xsi:type="xsd:double"&gt;-1.3313055&lt;/D&gt;&lt;D xsi:type="xsd:double"&gt;-0.9252131&lt;/D&gt;&lt;D xsi:type="xsd:double"&gt;-3.6222994&lt;/D&gt;&lt;D xsi:type="xsd:double"&gt;2.3398995&lt;/D&gt;&lt;D xsi:type="xsd:double"&gt;-4.1716814&lt;/D&gt;&lt;D xsi:type="xsd:double"&gt;-12.850565&lt;/D&gt;&lt;D xsi:type="xsd:double"&gt;19.260323&lt;/D&gt;&lt;D xsi:type="xsd:double"&gt;6.202173&lt;/D&gt;&lt;D xsi:type="xsd:double"&gt;0.63745975&lt;/D&gt;&lt;D xsi:type="xsd:double"&gt;1.8745184&lt;/D&gt;&lt;D xsi:type="xsd:double"&gt;1.3894081&lt;/D&gt;&lt;D xsi:type="xsd:double"&gt;0.85184574&lt;/D&gt;&lt;D xsi:type="xsd:double"&gt;-2.9012084&lt;/D&gt;&lt;D xsi:type="xsd:double"&gt;-0.7564306&lt;/D&gt;&lt;D xsi:type="xsd:double"&gt;2.222097&lt;/D&gt;&lt;/FQL&gt;&lt;FQL&gt;&lt;Q&gt;EWL^FG_PRICE(0,-200D)&lt;/Q&gt;&lt;R&gt;201&lt;/R&gt;&lt;C&gt;1&lt;/C&gt;&lt;D xsi:type="xsd:double"&gt;60.21&lt;/D&gt;&lt;D xsi:type="xsd:double"&gt;60.31&lt;/D&gt;&lt;D xsi:type="xsd:double"&gt;60.55&lt;/D&gt;&lt;D xsi:type="xsd:double"&gt;60.43&lt;/D&gt;&lt;D xsi:type="xsd:double"&gt;60.34&lt;/D&gt;&lt;D xsi:type="xsd:double"&gt;59.96&lt;/D&gt;&lt;D xsi:type="xsd:double"&gt;60.17&lt;/D&gt;&lt;D xsi:type="xsd:double"&gt;60.35&lt;/D&gt;&lt;D xsi:type="xsd:double"&gt;60.54&lt;/D&gt;&lt;D xsi:type="xsd:double"&gt;60.53&lt;/D&gt;&lt;D xsi:type="xsd:double"&gt;60.4&lt;/D&gt;&lt;D xsi:type="xsd:double"&gt;59.93&lt;/D&gt;&lt;D xsi:type="xsd:double"&gt;59.57&lt;/D&gt;&lt;D xsi:type="xsd:double"&gt;59.47&lt;/D&gt;&lt;D xsi:type="xsd:double"&gt;58.84&lt;/D&gt;&lt;D xsi:type="xsd:double"&gt;59.02&lt;/D&gt;&lt;D xsi:type="xsd:double"&gt;59.06&lt;/D&gt;&lt;D xsi:type="xsd:double"&gt;58.37&lt;/D&gt;&lt;D xsi:type="xsd:double"&gt;58.49&lt;/D&gt;&lt;D xsi:type="xsd:double"&gt;58.38&lt;/D&gt;&lt;D xsi:type="xsd:double"&gt;57.69&lt;/D&gt;&lt;D xsi:type="xsd:double"&gt;57.76&lt;/D&gt;&lt;D xsi:type="xsd:double"&gt;58.03&lt;/D&gt;&lt;D xsi:type="xsd:double"&gt;57.91&lt;/D&gt;&lt;D xsi:type="xsd:double"&gt;58.07&lt;/D&gt;&lt;D xsi:type="xsd:double"&gt;57.94&lt;/D&gt;&lt;D xsi:type="xsd:double"&gt;57.42&lt;/D&gt;&lt;D xsi:type="xsd:double"&gt;57.82&lt;/D&gt;&lt;D xsi:type="xsd:double"&gt;57.55&lt;/D&gt;&lt;D xsi:type="xsd:double"&gt;57.26&lt;/D&gt;&lt;D xsi:type="xsd:double"&gt;56.39&lt;/D&gt;&lt;D xsi:type="xsd:double"&gt;56.69&lt;/D&gt;&lt;D xsi:type="xsd:double"&gt;55.69&lt;/D&gt;&lt;D xsi:type="xsd:double"&gt;56.36&lt;/D&gt;&lt;D xsi:type="xsd:double"&gt;56.58&lt;/D&gt;&lt;D xsi:type="xsd:double"&gt;56.81&lt;/D&gt;&lt;D xsi:type="xsd:double"&gt;57.55&lt;/D&gt;&lt;D xsi:type="xsd:double"&gt;57.85&lt;/D&gt;&lt;D xsi:type="xsd:double"&gt;58.06&lt;/D&gt;&lt;D xsi:type="xsd:double"&gt;57.67&lt;/D&gt;&lt;D xsi:type="xsd:double"&gt;56.36&lt;/D&gt;&lt;D xsi:type="xsd:double"&gt;55.74&lt;/D&gt;&lt;D xsi:type="xsd:double"&gt;55.22&lt;/D&gt;&lt;D xsi:type="xsd:double"&gt;55.4&lt;/D&gt;&lt;D xsi:type="xsd:double"&gt;55.06&lt;/D&gt;&lt;D xsi:type="xsd:double"&gt;55.12&lt;/D&gt;&lt;D xsi:type="xsd:double"&gt;55.36&lt;/D&gt;&lt;D xsi:type="xsd:double"&gt;55.6&lt;/D&gt;&lt;D xsi:type="xsd:double"&gt;55.66&lt;/D&gt;&lt;D xsi:type="xsd:double"&gt;56.17&lt;/D&gt;&lt;D xsi:type="xsd:double"&gt;56.94&lt;/D&gt;&lt;D xsi:type="xsd:double"&gt;57.12&lt;/D&gt;&lt;D xsi:type="xsd:double"&gt;57.17&lt;/D&gt;&lt;D xsi:type="xsd:double"&gt;57.14&lt;/D&gt;&lt;D xsi:type="xsd:double"&gt;57.11&lt;/D&gt;&lt;D xsi:type="xsd:double"&gt;57.68&lt;/D&gt;&lt;D xsi:type="xsd:double"&gt;57.78&lt;/D&gt;&lt;D xsi:type="xsd:double"&gt;57.47&lt;/D&gt;&lt;D xsi:type="xsd:double"&gt;56.64&lt;/D&gt;&lt;D xsi:type="xsd:double"&gt;56.33&lt;/D&gt;&lt;D xsi:type="xsd:double"&gt;56.08&lt;/D&gt;&lt;D xsi:type="xsd:double"&gt;56.1&lt;/D&gt;&lt;D xsi:type="xsd:double"&gt;56.36&lt;/D&gt;&lt;D xsi:type="xsd:double"&gt;56.83&lt;/D&gt;&lt;D xsi:type="xsd:double"&gt;56.55&lt;/D&gt;&lt;D xsi:type="xsd:double"&gt;56.72&lt;/D&gt;&lt;D xsi:type="xsd:double"&gt;56.66&lt;/D&gt;&lt;D xsi:type="xsd:double"&gt;56.25&lt;/D&gt;&lt;D xsi:type="xsd:double"&gt;55.94&lt;/D&gt;&lt;D xsi:type="xsd:double"&gt;55.24&lt;/D&gt;&lt;D xsi:type="xsd:double"&gt;54.57&lt;/D&gt;&lt;D xsi:type="xsd:double"&gt;54.26&lt;/D&gt;&lt;D xsi:type="xsd:double"&gt;53.86&lt;/D&gt;&lt;D xsi:type="xsd:double"&gt;54.51&lt;/D&gt;&lt;D xsi:type="xsd:double"&gt;55.24&lt;/D&gt;&lt;D xsi:type="xsd:double"&gt;55.57&lt;/D&gt;&lt;D xsi:type="xsd:double"&gt;55.26&lt;/D&gt;&lt;D xsi:type="xsd:double"&gt;55.21&lt;/D&gt;&lt;D xsi:type="xsd:double"&gt;55.29&lt;/D&gt;&lt;D xsi:type="xsd:double"&gt;55.48&lt;/D&gt;&lt;D xsi:type="xsd:double"&gt;55.56&lt;/D&gt;&lt;D xsi:type="xsd:double"&gt;55.65&lt;/D&gt;&lt;D xsi:type="xsd:double"&gt;56.12&lt;/D&gt;&lt;D xsi:type="xsd:double"&gt;55.62&lt;/D&gt;&lt;D xsi:type="xsd:double"&gt;56.02&lt;/D&gt;&lt;D xsi:type="xsd:double"&gt;56.33&lt;/D&gt;&lt;D xsi:type="xsd:double"&gt;56.25&lt;/D&gt;&lt;D xsi:type="xsd:double"&gt;55.71&lt;/D&gt;&lt;D xsi:type="xsd:double"&gt;55.08&lt;/D&gt;&lt;D xsi:type="xsd:double"&gt;54.67&lt;/D&gt;&lt;D xsi:type="xsd:double"&gt;55.33&lt;/D&gt;&lt;D xsi:type="xsd:double"&gt;55.33&lt;/D&gt;&lt;D xsi:type="xsd:double"&gt;55.24&lt;/D&gt;&lt;D xsi:type="xsd:double"&gt;55.11&lt;/D&gt;&lt;D xsi:type="xsd:double"&gt;54.97&lt;/D&gt;&lt;D xsi:type="xsd:double"&gt;55.64&lt;/D&gt;&lt;D xsi:type="xsd:double"&gt;54.94&lt;/D&gt;&lt;D xsi:type="xsd:double"&gt;55.52&lt;/D&gt;&lt;D xsi:type="xsd:double"&gt;54.9&lt;/D&gt;&lt;D xsi:type="xsd:double"&gt;54.35&lt;/D&gt;&lt;D xsi:type="xsd:double"&gt;54.5&lt;/D&gt;&lt;D xsi:type="xsd:double"&gt;54.1&lt;/D&gt;&lt;D xsi:type="xsd:double"&gt;54.2&lt;/D&gt;&lt;D xsi:type="xsd:double"&gt;53.81&lt;/D&gt;&lt;D xsi:type="xsd:double"&gt;53.2&lt;/D&gt;&lt;D xsi:type="xsd:double"&gt;53.6&lt;/D&gt;&lt;D xsi:type="xsd:double"&gt;53.68&lt;/D&gt;&lt;D xsi:type="xsd:double"&gt;52.98&lt;/D&gt;&lt;D xsi:type="xsd:double"&gt;53.48&lt;/D&gt;&lt;D xsi:type="xsd:double"&gt;53.31&lt;/D&gt;&lt;D xsi:type="xsd:double"&gt;52.43&lt;/D&gt;&lt;D xsi:type="xsd:double"&gt;52.72&lt;/D&gt;&lt;D xsi:type="xsd:double"&gt;53.48&lt;/D&gt;&lt;D xsi:type="xsd:double"&gt;54.12&lt;/D&gt;&lt;D xsi:type="xsd:double"&gt;54.16&lt;/D&gt;&lt;D xsi:type="xsd:double"&gt;55.16&lt;/D&gt;&lt;D xsi:type="xsd:double"&gt;55.12&lt;/D&gt;&lt;D xsi:type="xsd:double"&gt;56.2&lt;/D&gt;&lt;D xsi:type="xsd:double"&gt;54.96&lt;/D&gt;&lt;D xsi:type="xsd:double"&gt;54.51&lt;/D&gt;&lt;D xsi:type="xsd:double"&gt;54.48&lt;/D&gt;&lt;D xsi:type="xsd:double"&gt;54.36&lt;/D&gt;&lt;D xsi:type="xsd:double"&gt;54.55&lt;/D&gt;&lt;D xsi:type="xsd:double"&gt;54.18&lt;/D&gt;&lt;D xsi:type="xsd:double"&gt;54.71&lt;/D&gt;&lt;D xsi:type="xsd:double"&gt;54.7&lt;/D&gt;&lt;D xsi:type="xsd:double"&gt;55.45&lt;/D&gt;&lt;D xsi:type="xsd:double"&gt;55.28&lt;/D&gt;&lt;D xsi:type="xsd:double"&gt;54.82&lt;/D&gt;&lt;D xsi:type="xsd:double"&gt;54.53&lt;/D&gt;&lt;D xsi:type="xsd:double"&gt;54.9&lt;/D&gt;&lt;D xsi:type="xsd:double"&gt;55.27&lt;/D&gt;&lt;D xsi:type="xsd:double"&gt;54.98&lt;/D&gt;&lt;D xsi:type="xsd:double"&gt;54.81&lt;/D&gt;&lt;D xsi:type="xsd:double"&gt;54.63&lt;/D&gt;&lt;D xsi:type="xsd:double"&gt;54.26&lt;/D&gt;&lt;D xsi:type="xsd:double"&gt;53.75&lt;/D&gt;&lt;D xsi:type="xsd:double"&gt;54.32&lt;/D&gt;&lt;D xsi:type="xsd:double"&gt;53.46&lt;/D&gt;&lt;D xsi:type="xsd:double"&gt;52.68&lt;/D&gt;&lt;D xsi:type="xsd:double"&gt;53.25&lt;/D&gt;&lt;D xsi:type="xsd:double"&gt;53.42&lt;/D&gt;&lt;D xsi:type="xsd:double"&gt;53.77&lt;/D&gt;&lt;D xsi:type="xsd:double"&gt;55.22&lt;/D&gt;&lt;D xsi:type="xsd:double"&gt;56.27&lt;/D&gt;&lt;D xsi:type="xsd:double"&gt;55.43&lt;/D&gt;&lt;D xsi:type="xsd:double"&gt;55.67&lt;/D&gt;&lt;D xsi:type="xsd:double"&gt;55.62&lt;/D&gt;&lt;D xsi:type="xsd:double"&gt;55.64&lt;/D&gt;&lt;D xsi:type="xsd:double"&gt;55.47&lt;/D&gt;&lt;D xsi:type="xsd:double"&gt;55.56&lt;/D&gt;&lt;D xsi:type="xsd:double"&gt;55.03&lt;/D&gt;&lt;D xsi:type="xsd:double"&gt;55.54&lt;/D&gt;&lt;D xsi:type="xsd:double"&gt;55.18&lt;/D&gt;&lt;D xsi:type="xsd:double"&gt;54.9&lt;/D&gt;&lt;D xsi:type="xsd:double"&gt;54.62&lt;/D&gt;&lt;D xsi:type="xsd:double"&gt;55.2&lt;/D&gt;&lt;D xsi:type="xsd:double"&gt;55.03&lt;/D&gt;&lt;D xsi:type="xsd:double"&gt;54.77&lt;/D&gt;&lt;D xsi:type="xsd:double"&gt;55.04&lt;/D&gt;&lt;D xsi:type="xsd:double"&gt;55.17&lt;/D&gt;&lt;D xsi:type="xsd:double"&gt;55.02&lt;/D&gt;&lt;D xsi:type="xsd:double"&gt;54.41&lt;/D&gt;&lt;D xsi:type="xsd:double"&gt;54.02&lt;/D&gt;&lt;D xsi:type="xsd:double"&gt;52.94&lt;/D&gt;&lt;D xsi:type="xsd:double"&gt;53.19&lt;/D&gt;&lt;D xsi:type="xsd:double"&gt;53.53&lt;/D&gt;&lt;D xsi:type="xsd:double"&gt;53.58&lt;/D&gt;&lt;D xsi:type="xsd:double"&gt;53.58&lt;/D&gt;&lt;D xsi:type="xsd:double"&gt;54.15&lt;/D&gt;&lt;D xsi:type="xsd:double"&gt;54.34&lt;/D&gt;&lt;D xsi:type="xsd:double"&gt;54.64&lt;/D&gt;&lt;D xsi:type="xsd:double"&gt;54.47&lt;/D&gt;&lt;D xsi:type="xsd:double"&gt;53.52&lt;/D&gt;&lt;D xsi:type="xsd:double"&gt;53.86&lt;/D&gt;&lt;D xsi:type="xsd:double"&gt;53.67&lt;/D&gt;&lt;D xsi:type="xsd:double"&gt;53.71&lt;/D&gt;&lt;D xsi:type="xsd:double"&gt;53.04&lt;/D&gt;&lt;D xsi:type="xsd:double"&gt;52.96&lt;/D&gt;&lt;D xsi:type="xsd:double"&gt;52.23&lt;/D&gt;&lt;D xsi:type="xsd:double"&gt;52.45&lt;/D&gt;&lt;D xsi:type="xsd:double"&gt;51.82&lt;/D&gt;&lt;D xsi:type="xsd:double"&gt;51.95&lt;/D&gt;&lt;D xsi:type="xsd:double"&gt;51.29&lt;/D&gt;&lt;D xsi:type="xsd:double"&gt;51.45&lt;/D&gt;&lt;D xsi:type="xsd:double"&gt;51.2&lt;/D&gt;&lt;D xsi:type="xsd:double"&gt;51.05&lt;/D&gt;&lt;D xsi:type="xsd:double"&gt;49.7&lt;/D&gt;&lt;D xsi:type="xsd:double"&gt;49.71&lt;/D&gt;&lt;D xsi:type="xsd:double"&gt;47.12&lt;/D&gt;&lt;D xsi:type="xsd:double"&gt;47.04&lt;/D&gt;&lt;D xsi:type="xsd:double"&gt;48.36&lt;/D&gt;&lt;D xsi:type="xsd:double"&gt;51.41&lt;/D&gt;&lt;D xsi:type="xsd:double"&gt;51.49&lt;/D&gt;&lt;D xsi:type="xsd:double"&gt;51.76&lt;/D&gt;&lt;D xsi:type="xsd:double"&gt;51.79&lt;/D&gt;&lt;D xsi:type="xsd:double"&gt;52.48&lt;/D&gt;&lt;D xsi:type="xsd:double"&gt;52.59&lt;/D&gt;&lt;D xsi:type="xsd:double"&gt;52.45&lt;/D&gt;&lt;D xsi:type="xsd:double"&gt;52.98&lt;/D&gt;&lt;D xsi:type="xsd:double"&gt;52.9&lt;/D&gt;&lt;/FQL&gt;&lt;FQL&gt;&lt;Q&gt;EIDO^FG_PRICE(0,-200D)&lt;/Q&gt;&lt;R&gt;201&lt;/R&gt;&lt;C&gt;1&lt;/C&gt;&lt;D xsi:type="xsd:double"&gt;18.99&lt;/D&gt;&lt;D xsi:type="xsd:double"&gt;19.03&lt;/D&gt;&lt;D xsi:type="xsd:double"&gt;19.08&lt;/D&gt;&lt;D xsi:type="xsd:double"&gt;19.04&lt;/D&gt;&lt;D xsi:type="xsd:double"&gt;18.81&lt;/D&gt;&lt;D xsi:type="xsd:double"&gt;18.7&lt;/D&gt;&lt;D xsi:type="xsd:double"&gt;18.67&lt;/D&gt;&lt;D xsi:type="xsd:double"&gt;18.67&lt;/D&gt;&lt;D xsi:type="xsd:double"&gt;18.47&lt;/D&gt;&lt;D xsi:type="xsd:double"&gt;18.45&lt;/D&gt;&lt;D xsi:type="xsd:double"&gt;18.56&lt;/D&gt;&lt;D xsi:type="xsd:double"&gt;18.68&lt;/D&gt;&lt;D xsi:type="xsd:double"&gt;18.58&lt;/D&gt;&lt;D xsi:type="xsd:double"&gt;18.63&lt;/D&gt;&lt;D xsi:type="xsd:double"&gt;18.6&lt;/D&gt;&lt;D xsi:type="xsd:double"&gt;18.67&lt;/D&gt;&lt;D xsi:type="xsd:double"&gt;18.86&lt;/D&gt;&lt;D xsi:type="xsd:double"&gt;18.76&lt;/D&gt;&lt;D xsi:type="xsd:double"&gt;18.68&lt;/D&gt;&lt;D xsi:type="xsd:double"&gt;18.86&lt;/D&gt;&lt;D xsi:type="xsd:double"&gt;18.68&lt;/D&gt;&lt;D xsi:type="xsd:double"&gt;18.87&lt;/D&gt;&lt;D xsi:type="xsd:double"&gt;18.82&lt;/D&gt;&lt;D xsi:type="xsd:double"&gt;18.79&lt;/D&gt;&lt;D xsi:type="xsd:double"&gt;18.83&lt;/D&gt;&lt;D xsi:type="xsd:double"&gt;18.92&lt;/D&gt;&lt;D xsi:type="xsd:double"&gt;18.79&lt;/D&gt;&lt;D xsi:type="xsd:double"&gt;18.67&lt;/D&gt;&lt;D xsi:type="xsd:double"&gt;18.87&lt;/D&gt;&lt;D xsi:type="xsd:double"&gt;18.73&lt;/D&gt;&lt;D xsi:type="xsd:double"&gt;18.78&lt;/D&gt;&lt;D xsi:type="xsd:double"&gt;18.37&lt;/D&gt;&lt;D xsi:type="xsd:double"&gt;18.33&lt;/D&gt;&lt;D xsi:type="xsd:double"&gt;18.48&lt;/D&gt;&lt;D xsi:type="xsd:double"&gt;18.26&lt;/D&gt;&lt;D xsi:type="xsd:double"&gt;18.38&lt;/D&gt;&lt;D xsi:type="xsd:double"&gt;18.38&lt;/D&gt;&lt;D xsi:type="xsd:double"&gt;18.28&lt;/D&gt;&lt;D xsi:type="xsd:double"&gt;18.44&lt;/D&gt;&lt;D xsi:type="xsd:double"&gt;18.45&lt;/D&gt;&lt;D xsi:type="xsd:double"&gt;18.55&lt;/D&gt;&lt;D xsi:type="xsd:double"&gt;18.53&lt;/D&gt;&lt;D xsi:type="xsd:double"&gt;18.44&lt;/D&gt;&lt;D xsi:type="xsd:double"&gt;18.54&lt;/D&gt;&lt;D xsi:type="xsd:double"&gt;18.36&lt;/D&gt;&lt;D xsi:type="xsd:double"&gt;18.45&lt;/D&gt;&lt;D xsi:type="xsd:double"&gt;18.28&lt;/D&gt;&lt;D xsi:type="xsd:double"&gt;18.27&lt;/D&gt;&lt;D xsi:type="xsd:double"&gt;18.32&lt;/D&gt;&lt;D xsi:type="xsd:double"&gt;18.05&lt;/D&gt;&lt;D xsi:type="xsd:double"&gt;18.09&lt;/D&gt;&lt;D xsi:type="xsd:double"&gt;18.3&lt;/D&gt;&lt;D xsi:type="xsd:double"&gt;18.3&lt;/D&gt;&lt;D xsi:type="xsd:double"&gt;17.89&lt;/D&gt;&lt;D xsi:type="xsd:double"&gt;18.17&lt;/D&gt;&lt;D xsi:type="xsd:double"&gt;17.82&lt;/D&gt;&lt;D xsi:type="xsd:double"&gt;17.3&lt;/D&gt;&lt;D xsi:type="xsd:double"&gt;17.36&lt;/D&gt;&lt;D xsi:type="xsd:double"&gt;17.21&lt;/D&gt;&lt;D xsi:type="xsd:double"&gt;17.22&lt;/D&gt;&lt;D xsi:type="xsd:double"&gt;17.57&lt;/D&gt;&lt;D xsi:type="xsd:double"&gt;17.31&lt;/D&gt;&lt;D xsi:type="xsd:double"&gt;17.65&lt;/D&gt;&lt;D xsi:type="xsd:double"&gt;17.45&lt;/D&gt;&lt;D xsi:type="xsd:double"&gt;17.43&lt;/D&gt;&lt;D xsi:type="xsd:double"&gt;17.42&lt;/D&gt;&lt;D xsi:type="xsd:double"&gt;17.43&lt;/D&gt;&lt;D xsi:type="xsd:double"&gt;17.44&lt;/D&gt;&lt;D xsi:type="xsd:double"&gt;17.46&lt;/D&gt;&lt;D xsi:type="xsd:double"&gt;17.55&lt;/D&gt;&lt;D xsi:type="xsd:double"&gt;17.69&lt;/D&gt;&lt;D xsi:type="xsd:double"&gt;17.6&lt;/D&gt;&lt;D xsi:type="xsd:double"&gt;17.41&lt;/D&gt;&lt;D xsi:type="xsd:double"&gt;17.68&lt;/D&gt;&lt;D xsi:type="xsd:double"&gt;17.76&lt;/D&gt;&lt;D xsi:type="xsd:double"&gt;17.73&lt;/D&gt;&lt;D xsi:type="xsd:double"&gt;17.79&lt;/D&gt;&lt;D xsi:type="xsd:double"&gt;17.72&lt;/D&gt;&lt;D xsi:type="xsd:double"&gt;17.98&lt;/D&gt;&lt;D xsi:type="xsd:double"&gt;17.85&lt;/D&gt;&lt;D xsi:type="xsd:double"&gt;17.96&lt;/D&gt;&lt;D xsi:type="xsd:double"&gt;17.83&lt;/D&gt;&lt;D xsi:type="xsd:double"&gt;17.64&lt;/D&gt;&lt;D xsi:type="xsd:double"&gt;17.33&lt;/D&gt;&lt;D xsi:type="xsd:double"&gt;17.06&lt;/D&gt;&lt;D xsi:type="xsd:double"&gt;17.5&lt;/D&gt;&lt;D xsi:type="xsd:double"&gt;17.93&lt;/D&gt;&lt;D xsi:type="xsd:double"&gt;17.77&lt;/D&gt;&lt;D xsi:type="xsd:double"&gt;17.81&lt;/D&gt;&lt;D xsi:type="xsd:double"&gt;17.74&lt;/D&gt;&lt;D xsi:type="xsd:double"&gt;17.67&lt;/D&gt;&lt;D xsi:type="xsd:double"&gt;18.19&lt;/D&gt;&lt;D xsi:type="xsd:double"&gt;18.16&lt;/D&gt;&lt;D xsi:type="xsd:double"&gt;18.38&lt;/D&gt;&lt;D xsi:type="xsd:double"&gt;18.61&lt;/D&gt;&lt;D xsi:type="xsd:double"&gt;18.65&lt;/D&gt;&lt;D xsi:type="xsd:double"&gt;18.44&lt;/D&gt;&lt;D xsi:type="xsd:double"&gt;18.6&lt;/D&gt;&lt;D xsi:type="xsd:double"&gt;18.31&lt;/D&gt;&lt;D xsi:type="xsd:double"&gt;18.43&lt;/D&gt;&lt;D xsi:type="xsd:double"&gt;18.5&lt;/D&gt;&lt;D xsi:type="xsd:double"&gt;18.63&lt;/D&gt;&lt;D xsi:type="xsd:double"&gt;18.83&lt;/D&gt;&lt;D xsi:type="xsd:double"&gt;18.61&lt;/D&gt;&lt;D xsi:type="xsd:double"&gt;17.98&lt;/D&gt;&lt;D xsi:type="xsd:double"&gt;17.83&lt;/D&gt;&lt;D xsi:type="xsd:double"&gt;17.72&lt;/D&gt;&lt;D xsi:type="xsd:double"&gt;17.66&lt;/D&gt;&lt;D xsi:type="xsd:double"&gt;17.62&lt;/D&gt;&lt;D xsi:type="xsd:double"&gt;17.59&lt;/D&gt;&lt;D xsi:type="xsd:double"&gt;17.61&lt;/D&gt;&lt;D xsi:type="xsd:double"&gt;17.27&lt;/D&gt;&lt;D xsi:type="xsd:double"&gt;17.58&lt;/D&gt;&lt;D xsi:type="xsd:double"&gt;17.8&lt;/D&gt;&lt;D xsi:type="xsd:double"&gt;17.75&lt;/D&gt;&lt;D xsi:type="xsd:double"&gt;17.6&lt;/D&gt;&lt;D xsi:type="xsd:double"&gt;17.81&lt;/D&gt;&lt;D xsi:type="xsd:double"&gt;17.81&lt;/D&gt;&lt;D xsi:type="xsd:double"&gt;17.56&lt;/D&gt;&lt;D xsi:type="xsd:double"&gt;17.73&lt;/D&gt;&lt;D xsi:type="xsd:double"&gt;17.69&lt;/D&gt;&lt;D xsi:type="xsd:double"&gt;17.76&lt;/D&gt;&lt;D xsi:type="xsd:double"&gt;17.7&lt;/D&gt;&lt;D xsi:type="xsd:double"&gt;17.72&lt;/D&gt;&lt;D xsi:type="xsd:double"&gt;17.63&lt;/D&gt;&lt;D xsi:type="xsd:double"&gt;17.87&lt;/D&gt;&lt;D xsi:type="xsd:double"&gt;17.76&lt;/D&gt;&lt;D xsi:type="xsd:double"&gt;17.47&lt;/D&gt;&lt;D xsi:type="xsd:double"&gt;17.31&lt;/D&gt;&lt;D xsi:type="xsd:double"&gt;17.34&lt;/D&gt;&lt;D xsi:type="xsd:double"&gt;17.47&lt;/D&gt;&lt;D xsi:type="xsd:double"&gt;17.48&lt;/D&gt;&lt;D xsi:type="xsd:double"&gt;17.49&lt;/D&gt;&lt;D xsi:type="xsd:double"&gt;17.63&lt;/D&gt;&lt;D xsi:type="xsd:double"&gt;17.49&lt;/D&gt;&lt;D xsi:type="xsd:double"&gt;17.51&lt;/D&gt;&lt;D xsi:type="xsd:double"&gt;17.18&lt;/D&gt;&lt;D xsi:type="xsd:double"&gt;17.38&lt;/D&gt;&lt;D xsi:type="xsd:double"&gt;16.89&lt;/D&gt;&lt;D xsi:type="xsd:double"&gt;17.18&lt;/D&gt;&lt;D xsi:type="xsd:double"&gt;17.87&lt;/D&gt;&lt;D xsi:type="xsd:double"&gt;18.02&lt;/D&gt;&lt;D xsi:type="xsd:double"&gt;18.01&lt;/D&gt;&lt;D xsi:type="xsd:double"&gt;18.62&lt;/D&gt;&lt;D xsi:type="xsd:double"&gt;18.9&lt;/D&gt;&lt;D xsi:type="xsd:double"&gt;18.91&lt;/D&gt;&lt;D xsi:type="xsd:double"&gt;18.84&lt;/D&gt;&lt;D xsi:type="xsd:double"&gt;18.59&lt;/D&gt;&lt;D xsi:type="xsd:double"&gt;18.51&lt;/D&gt;&lt;D xsi:type="xsd:double"&gt;18.56&lt;/D&gt;&lt;D xsi:type="xsd:double"&gt;18.45&lt;/D&gt;&lt;D xsi:type="xsd:double"&gt;18.42&lt;/D&gt;&lt;D xsi:type="xsd:double"&gt;18.56&lt;/D&gt;&lt;D xsi:type="xsd:double"&gt;18.88&lt;/D&gt;&lt;D xsi:type="xsd:double"&gt;18.95&lt;/D&gt;&lt;D xsi:type="xsd:double"&gt;18.91&lt;/D&gt;&lt;D xsi:type="xsd:double"&gt;19.04&lt;/D&gt;&lt;D xsi:type="xsd:double"&gt;19.16&lt;/D&gt;&lt;D xsi:type="xsd:double"&gt;18.91&lt;/D&gt;&lt;D xsi:type="xsd:double"&gt;18.79&lt;/D&gt;&lt;D xsi:type="xsd:double"&gt;18.53&lt;/D&gt;&lt;D xsi:type="xsd:double"&gt;18.74&lt;/D&gt;&lt;D xsi:type="xsd:double"&gt;18.39&lt;/D&gt;&lt;D xsi:type="xsd:double"&gt;18.27&lt;/D&gt;&lt;D xsi:type="xsd:double"&gt;17.97&lt;/D&gt;&lt;D xsi:type="xsd:double"&gt;17.54&lt;/D&gt;&lt;D xsi:type="xsd:double"&gt;17.4&lt;/D&gt;&lt;D xsi:type="xsd:double"&gt;17.41&lt;/D&gt;&lt;D xsi:type="xsd:double"&gt;17.45&lt;/D&gt;&lt;D xsi:type="xsd:double"&gt;17.71&lt;/D&gt;&lt;D xsi:type="xsd:double"&gt;17.74&lt;/D&gt;&lt;D xsi:type="xsd:double"&gt;17.65&lt;/D&gt;&lt;D xsi:type="xsd:double"&gt;17.63&lt;/D&gt;&lt;D xsi:type="xsd:double"&gt;17.3&lt;/D&gt;&lt;D xsi:type="xsd:double"&gt;17.31&lt;/D&gt;&lt;D xsi:type="xsd:double"&gt;17.1&lt;/D&gt;&lt;D xsi:type="xsd:double"&gt;16.93&lt;/D&gt;&lt;D xsi:type="xsd:double"&gt;16.77&lt;/D&gt;&lt;D xsi:type="xsd:double"&gt;16.76&lt;/D&gt;&lt;D xsi:type="xsd:double"&gt;16.61&lt;/D&gt;&lt;D xsi:type="xsd:double"&gt;16.36&lt;/D&gt;&lt;D xsi:type="xsd:double"&gt;16.03&lt;/D&gt;&lt;D xsi:type="xsd:double"&gt;16.13&lt;/D&gt;&lt;D xsi:type="xsd:double"&gt;15.93&lt;/D&gt;&lt;D xsi:type="xsd:double"&gt;16.14&lt;/D&gt;&lt;D xsi:type="xsd:double"&gt;16.09&lt;/D&gt;&lt;D xsi:type="xsd:double"&gt;15.87&lt;/D&gt;&lt;D xsi:type="xsd:double"&gt;15.45&lt;/D&gt;&lt;D xsi:type="xsd:double"&gt;15.56&lt;/D&gt;&lt;D xsi:type="xsd:double"&gt;14.36&lt;/D&gt;&lt;D xsi:type="xsd:double"&gt;15.15&lt;/D&gt;&lt;D xsi:type="xsd:double"&gt;15.09&lt;/D&gt;&lt;D xsi:type="xsd:double"&gt;15.88&lt;/D&gt;&lt;D xsi:type="xsd:double"&gt;16.33&lt;/D&gt;&lt;D xsi:type="xsd:double"&gt;16.25&lt;/D&gt;&lt;D xsi:type="xsd:double"&gt;16.3&lt;/D&gt;&lt;D xsi:type="xsd:double"&gt;16.37&lt;/D&gt;&lt;D xsi:type="xsd:double"&gt;16.42&lt;/D&gt;&lt;D xsi:type="xsd:double"&gt;16.31&lt;/D&gt;&lt;D xsi:type="xsd:double"&gt;15.72&lt;/D&gt;&lt;D xsi:type="xsd:double"&gt;15.34&lt;/D&gt;&lt;/FQL&gt;&lt;FQL&gt;&lt;Q&gt;ENZL^FG_TOTAL_RETURNC(-5AY,0,AM)&lt;/Q&gt;&lt;R&gt;61&lt;/R&gt;&lt;C&gt;1&lt;/C&gt;&lt;D xsi:type="xsd:double"&gt;5.917752&lt;/D&gt;&lt;D xsi:type="xsd:double"&gt;-2.9264867&lt;/D&gt;&lt;D xsi:type="xsd:double"&gt;-9.764708&lt;/D&gt;&lt;D xsi:type="xsd:double"&gt;2.8846145&lt;/D&gt;&lt;D xsi:type="xsd:double"&gt;4.0551305&lt;/D&gt;&lt;D xsi:type="xsd:double"&gt;-4.2274356&lt;/D&gt;&lt;D xsi:type="xsd:double"&gt;-2.0830274&lt;/D&gt;&lt;D xsi:type="xsd:double"&gt;1.2448907&lt;/D&gt;&lt;D xsi:type="xsd:double"&gt;3.0173063&lt;/D&gt;&lt;D xsi:type="xsd:double"&gt;-2.9132307&lt;/D&gt;&lt;D xsi:type="xsd:double"&gt;2.9925585&lt;/D&gt;&lt;D xsi:type="xsd:double"&gt;-7.2225513&lt;/D&gt;&lt;D xsi:type="xsd:double"&gt;-0.21534562&lt;/D&gt;&lt;D xsi:type="xsd:double"&gt;-6.2440815&lt;/D&gt;&lt;D xsi:type="xsd:double"&gt;-2.1679223&lt;/D&gt;&lt;D xsi:type="xsd:double"&gt;2.7793407&lt;/D&gt;&lt;D xsi:type="xsd:double"&gt;-11.310064&lt;/D&gt;&lt;D xsi:type="xsd:double"&gt;-1.4421105&lt;/D&gt;&lt;D xsi:type="xsd:double"&gt;-3.8176596&lt;/D&gt;&lt;D xsi:type="xsd:double"&gt;7.299912&lt;/D&gt;&lt;D xsi:type="xsd:double"&gt;-4.3647585&lt;/D&gt;&lt;D xsi:type="xsd:double"&gt;-11.784876&lt;/D&gt;&lt;D xsi:type="xsd:double"&gt;7.7240705&lt;/D&gt;&lt;D xsi:type="xsd:double"&gt;11.9053&lt;/D&gt;&lt;D xsi:type="xsd:double"&gt;0.7683158&lt;/D&gt;&lt;D xsi:type="xsd:double"&gt;3.9381146&lt;/D&gt;&lt;D xsi:type="xsd:double"&gt;-6.533927&lt;/D&gt;&lt;D xsi:type="xsd:double"&gt;3.1644344&lt;/D&gt;&lt;D xsi:type="xsd:double"&gt;1.88452&lt;/D&gt;&lt;D xsi:type="xsd:double"&gt;-4.94138&lt;/D&gt;&lt;D xsi:type="xsd:double"&gt;3.5542488&lt;/D&gt;&lt;D xsi:type="xsd:double"&gt;-3.2505572&lt;/D&gt;&lt;D xsi:type="xsd:double"&gt;-7.8255415&lt;/D&gt;&lt;D xsi:type="xsd:double"&gt;1.9470215&lt;/D&gt;&lt;D xsi:type="xsd:double"&gt;-2.3539782&lt;/D&gt;&lt;D xsi:type="xsd:double"&gt;6.5271735&lt;/D&gt;&lt;D xsi:type="xsd:double"&gt;4.6090603&lt;/D&gt;&lt;D xsi:type="xsd:double"&gt;-3.791666&lt;/D&gt;&lt;D xsi:type="xsd:double"&gt;0.043308735&lt;/D&gt;&lt;D xsi:type="xsd:double"&gt;-1.7099559&lt;/D&gt;&lt;D xsi:type="xsd:double"&gt;-0.74873567&lt;/D&gt;&lt;D xsi:type="xsd:double"&gt;1.7750144&lt;/D&gt;&lt;D xsi:type="xsd:double"&gt;-1.013118&lt;/D&gt;&lt;D xsi:type="xsd:double"&gt;3.2401204&lt;/D&gt;&lt;D xsi:type="xsd:double"&gt;4.836631&lt;/D&gt;&lt;D xsi:type="xsd:double"&gt;-0.79966784&lt;/D&gt;&lt;D xsi:type="xsd:double"&gt;-0.99214315&lt;/D&gt;&lt;D xsi:type="xsd:double"&gt;-2.4425924&lt;/D&gt;&lt;D xsi:type="xsd:double"&gt;-2.3488522&lt;/D&gt;&lt;D xsi:type="xsd:double"&gt;-0.4663527&lt;/D&gt;&lt;D xsi:type="xsd:double"&gt;-4.0941534&lt;/D&gt;&lt;D xsi:type="xsd:double"&gt;-8.154011&lt;/D&gt;&lt;D xsi:type="xsd:double"&gt;12.031412&lt;/D&gt;&lt;D xsi:type="xsd:double"&gt;2.4417877&lt;/D&gt;&lt;D xsi:type="xsd:double"&gt;2.4395347&lt;/D&gt;&lt;D xsi:type="xsd:double"&gt;-0.51109195&lt;/D&gt;&lt;D xsi:type="xsd:double"&gt;2.1751046&lt;/D&gt;&lt;D xsi:type="xsd:double"&gt;0.75951815&lt;/D&gt;&lt;D xsi:type="xsd:double"&gt;-3.2152057&lt;/D&gt;&lt;D xsi:type="xsd:double"&gt;0.9782672&lt;/D&gt;&lt;D xsi:type="xsd:double"&gt;1.4690161&lt;/D&gt;&lt;/FQL&gt;&lt;/Schema&gt;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<sst xmlns="http://schemas.openxmlformats.org/spreadsheetml/2006/main" count="167" uniqueCount="82">
  <si>
    <t>CNYA</t>
  </si>
  <si>
    <t>ECH</t>
  </si>
  <si>
    <t>EIDO</t>
  </si>
  <si>
    <t>EPHE</t>
  </si>
  <si>
    <t>EPOL</t>
  </si>
  <si>
    <t>EPU</t>
  </si>
  <si>
    <t>EWM</t>
  </si>
  <si>
    <t>EWT</t>
  </si>
  <si>
    <t>EWW</t>
  </si>
  <si>
    <t>EWY</t>
  </si>
  <si>
    <t>EWZ</t>
  </si>
  <si>
    <t>EZA</t>
  </si>
  <si>
    <t>GREK</t>
  </si>
  <si>
    <t>INDA</t>
  </si>
  <si>
    <t>MCHI</t>
  </si>
  <si>
    <t>QAT</t>
  </si>
  <si>
    <t>SET-BKK</t>
  </si>
  <si>
    <t>TUR</t>
  </si>
  <si>
    <t>UAE</t>
  </si>
  <si>
    <t>VNM</t>
  </si>
  <si>
    <t>KSA</t>
  </si>
  <si>
    <t>STD_DEV</t>
  </si>
  <si>
    <t>ENZL</t>
  </si>
  <si>
    <t>EWA</t>
  </si>
  <si>
    <t>EWC</t>
  </si>
  <si>
    <t>EWG</t>
  </si>
  <si>
    <t>EWJ</t>
  </si>
  <si>
    <t>EWL</t>
  </si>
  <si>
    <t>EWU</t>
  </si>
  <si>
    <t>QQQ</t>
  </si>
  <si>
    <t>SPY</t>
  </si>
  <si>
    <t>EWQ</t>
  </si>
  <si>
    <t>EWN</t>
  </si>
  <si>
    <t>EWD</t>
  </si>
  <si>
    <t>EWI</t>
  </si>
  <si>
    <t>MEAN</t>
  </si>
  <si>
    <t>2_SIGMA</t>
  </si>
  <si>
    <t>This sheet contains FactSet XML data for use with this workbook's =FDS codes.  Modifying the worksheet's contents may damage the workbook's =FDS functionality.</t>
  </si>
  <si>
    <t>ETF</t>
  </si>
  <si>
    <t>COUNTRY</t>
  </si>
  <si>
    <t>CATEGORY</t>
  </si>
  <si>
    <t>EMERGING</t>
  </si>
  <si>
    <t>DEVELOPED</t>
  </si>
  <si>
    <t>China</t>
  </si>
  <si>
    <t>Chile</t>
  </si>
  <si>
    <t>Indonesia</t>
  </si>
  <si>
    <t>Philippines</t>
  </si>
  <si>
    <t>Poland</t>
  </si>
  <si>
    <t>Peru</t>
  </si>
  <si>
    <t>Malaysia</t>
  </si>
  <si>
    <t>Taiwan</t>
  </si>
  <si>
    <t>Mexico</t>
  </si>
  <si>
    <t>Korea, Rep.</t>
  </si>
  <si>
    <t>Brazil</t>
  </si>
  <si>
    <t>South Africa</t>
  </si>
  <si>
    <t>Greece</t>
  </si>
  <si>
    <t>India</t>
  </si>
  <si>
    <t>Qatar</t>
  </si>
  <si>
    <t>Thailand</t>
  </si>
  <si>
    <t>Turkey</t>
  </si>
  <si>
    <t>United Arab Emirates</t>
  </si>
  <si>
    <t>Vietnam</t>
  </si>
  <si>
    <t>Saudi Arabia</t>
  </si>
  <si>
    <t>New Zealand</t>
  </si>
  <si>
    <t>Australia</t>
  </si>
  <si>
    <t>Canada</t>
  </si>
  <si>
    <t>Germany</t>
  </si>
  <si>
    <t>Japan</t>
  </si>
  <si>
    <t>Switzerland</t>
  </si>
  <si>
    <t>United Kingdom</t>
  </si>
  <si>
    <t>United States</t>
  </si>
  <si>
    <t>France</t>
  </si>
  <si>
    <t>Netherlands</t>
  </si>
  <si>
    <t>Sweden</t>
  </si>
  <si>
    <t>Italy</t>
  </si>
  <si>
    <t>CURRENT_RETURNS</t>
  </si>
  <si>
    <t>FILTER1</t>
  </si>
  <si>
    <t>FILTER2</t>
  </si>
  <si>
    <t>AVG</t>
  </si>
  <si>
    <t>CURRENT_PRICE</t>
  </si>
  <si>
    <t>200D AVG</t>
  </si>
  <si>
    <t>200 DMA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</si>
</sst>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0" fontId="2" fillId="0" borderId="0" xfId="0" applyFont="1"/>
    <xf numFmtId="165" fontId="1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BDAAE-573F-4EC0-BD5B-B459A310F542}">
  <dimension ref="A1:B10"/>
  <sheetViews>
    <sheetView workbookViewId="0"/>
  </sheetViews>
  <sheetFormatPr defaultRowHeight="14.25" x14ac:dyDescent="0.45"/>
  <sheetData>
    <row r="1" spans="1:2" x14ac:dyDescent="0.45">
      <c r="B1" t="s">
        <v>37</v>
      </c>
    </row>
    <row r="2" spans="1:2" x14ac:dyDescent="0.45"/>
    <row r="3" spans="1:2" x14ac:dyDescent="0.45"/>
    <row r="4" spans="1:2" x14ac:dyDescent="0.45"/>
    <row r="5" spans="1:2" x14ac:dyDescent="0.45"/>
    <row r="6" spans="1:2" x14ac:dyDescent="0.45"/>
    <row r="7" spans="1:2" x14ac:dyDescent="0.45"/>
    <row r="8" spans="1:2" x14ac:dyDescent="0.45"/>
    <row r="9" spans="1:2" x14ac:dyDescent="0.45"/>
    <row r="10" spans="1:2" x14ac:dyDescent="0.4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3459-127F-4942-A574-2F656E1DAD74}">
  <dimension ref="A1:I250"/>
  <sheetViews>
    <sheetView tabSelected="1" workbookViewId="0">
      <selection activeCell="D11" sqref="D11"/>
    </sheetView>
  </sheetViews>
  <sheetFormatPr defaultRowHeight="14.25" x14ac:dyDescent="0.45"/>
  <cols>
    <col min="2" max="2" width="9.19921875" bestFit="1" customWidth="1"/>
    <col min="3" max="3" width="10.796875" bestFit="1" customWidth="1"/>
    <col min="4" max="4" width="18.1328125" bestFit="1" customWidth="1"/>
    <col min="8" max="8" width="1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MONTHLY_RETURNS!$B$73:$AI$73=1)),"")</f>
        <v>EPU</v>
      </c>
      <c r="B2" s="4" t="str" cm="1">
        <f t="array" ref="B2">IFERROR(TRANSPOSE(_xlfn._xlws.FILTER(MONTHLY_RETURNS!B65:AI65, MONTHLY_RETURNS!$B$73:$AI$73=1)),"")</f>
        <v>Peru</v>
      </c>
      <c r="C2" s="4" t="str" cm="1">
        <f t="array" ref="C2">IFERROR(TRANSPOSE(_xlfn._xlws.FILTER(MONTHLY_RETURNS!B66:AI66, MONTHLY_RETURNS!$B$73:$AI$73=1)),"")</f>
        <v>EMERGING</v>
      </c>
      <c r="D2" s="4" cm="1">
        <f t="array" ref="D2">IFERROR(TRANSPOSE(_xlfn._xlws.FILTER(MONTHLY_RETURNS!B67:AI67, MONTHLY_RETURNS!$B$73:$AI$73=1)),"")</f>
        <v>0.15533137</v>
      </c>
      <c r="E2" s="4" cm="1">
        <f t="array" ref="E2">IFERROR(TRANSPOSE(_xlfn._xlws.FILTER(MONTHLY_RETURNS!B68:AI68, MONTHLY_RETURNS!$B$73:$AI$73=1)),"")</f>
        <v>1.9232464392622949E-2</v>
      </c>
      <c r="F2" s="4" cm="1">
        <f t="array" ref="F2">IFERROR(TRANSPOSE(_xlfn._xlws.FILTER(MONTHLY_RETURNS!B69:AI69, MONTHLY_RETURNS!$B$73:$AI$73=1)),"")</f>
        <v>6.6103936985046199E-2</v>
      </c>
      <c r="G2" s="4" cm="1">
        <f t="array" ref="G2">IFERROR(TRANSPOSE(_xlfn._xlws.FILTER(MONTHLY_RETURNS!B70:AI70, MONTHLY_RETURNS!$B$73:$AI$73=1)),"")</f>
        <v>0.1322078739700924</v>
      </c>
      <c r="H2" s="1" cm="1">
        <f t="array" ref="H2">IFERROR(TRANSPOSE(_xlfn._xlws.FILTER(MONTHLY_RETURNS!B71:AI71, MONTHLY_RETURNS!$B$73:$AI$73=1)),"")</f>
        <v>76.55</v>
      </c>
      <c r="I2" s="1" cm="1">
        <f t="array" ref="I2">IFERROR(TRANSPOSE(_xlfn._xlws.FILTER(MONTHLY_RETURNS!B72:AI72, MONTHLY_RETURNS!$B$73:$AI$73=1)),"")</f>
        <v>54.631153233830851</v>
      </c>
    </row>
    <row r="3" spans="1:9" x14ac:dyDescent="0.45">
      <c r="A3" s="5"/>
      <c r="B3" s="4"/>
      <c r="C3" s="4"/>
      <c r="D3" s="4"/>
      <c r="E3" s="4"/>
      <c r="F3" s="4"/>
      <c r="G3" s="4"/>
      <c r="H3" s="1"/>
      <c r="I3" s="1"/>
    </row>
    <row r="4" spans="1:9" x14ac:dyDescent="0.45">
      <c r="A4" s="5"/>
      <c r="B4" s="4"/>
      <c r="C4" s="4"/>
      <c r="D4" s="4"/>
      <c r="E4" s="4"/>
      <c r="F4" s="4"/>
      <c r="G4" s="4"/>
      <c r="H4" s="1"/>
      <c r="I4" s="1"/>
    </row>
    <row r="5" spans="1:9" x14ac:dyDescent="0.45">
      <c r="A5" s="5"/>
      <c r="B5" s="4"/>
      <c r="C5" s="4"/>
      <c r="D5" s="4"/>
      <c r="E5" s="4"/>
      <c r="F5" s="4"/>
      <c r="G5" s="4"/>
      <c r="H5" s="1"/>
      <c r="I5" s="1"/>
    </row>
    <row r="6" spans="1:9" x14ac:dyDescent="0.45">
      <c r="A6" s="5"/>
      <c r="B6" s="4"/>
      <c r="C6" s="4"/>
      <c r="D6" s="4"/>
      <c r="E6" s="4"/>
      <c r="F6" s="4"/>
      <c r="G6" s="4"/>
      <c r="H6" s="1"/>
      <c r="I6" s="1"/>
    </row>
    <row r="7" spans="1:9" x14ac:dyDescent="0.45">
      <c r="A7" s="5"/>
      <c r="B7" s="4"/>
      <c r="C7" s="4"/>
      <c r="D7" s="4"/>
      <c r="E7" s="4"/>
      <c r="F7" s="4"/>
      <c r="G7" s="4"/>
      <c r="H7" s="1"/>
      <c r="I7" s="1"/>
    </row>
    <row r="8" spans="1:9" x14ac:dyDescent="0.45">
      <c r="A8" s="5"/>
      <c r="B8" s="4"/>
      <c r="C8" s="4"/>
      <c r="D8" s="4"/>
      <c r="E8" s="4"/>
      <c r="F8" s="4"/>
      <c r="G8" s="4"/>
      <c r="H8" s="1"/>
      <c r="I8" s="1"/>
    </row>
    <row r="9" spans="1:9" x14ac:dyDescent="0.45">
      <c r="A9" s="5"/>
      <c r="B9" s="4"/>
      <c r="C9" s="4"/>
      <c r="D9" s="4"/>
      <c r="E9" s="4"/>
      <c r="F9" s="4"/>
      <c r="G9" s="4"/>
      <c r="H9" s="1"/>
      <c r="I9" s="1"/>
    </row>
    <row r="10" spans="1:9" x14ac:dyDescent="0.45">
      <c r="A10" s="5"/>
      <c r="B10" s="4"/>
      <c r="C10" s="4"/>
      <c r="D10" s="4"/>
      <c r="E10" s="4"/>
      <c r="F10" s="4"/>
      <c r="G10" s="4"/>
      <c r="H10" s="1"/>
      <c r="I10" s="1"/>
    </row>
    <row r="11" spans="1:9" x14ac:dyDescent="0.45">
      <c r="A11" s="5"/>
      <c r="B11" s="4"/>
      <c r="C11" s="4"/>
      <c r="D11" s="4"/>
      <c r="E11" s="4"/>
      <c r="F11" s="4"/>
      <c r="G11" s="4"/>
      <c r="H11" s="1"/>
      <c r="I11" s="1"/>
    </row>
    <row r="12" spans="1:9" x14ac:dyDescent="0.45">
      <c r="A12" s="5"/>
      <c r="B12" s="4"/>
      <c r="C12" s="4"/>
      <c r="D12" s="4"/>
      <c r="E12" s="4"/>
      <c r="F12" s="4"/>
      <c r="G12" s="4"/>
      <c r="H12" s="1"/>
      <c r="I12" s="1"/>
    </row>
    <row r="13" spans="1:9" x14ac:dyDescent="0.45">
      <c r="A13" s="5"/>
      <c r="B13" s="4"/>
      <c r="C13" s="4"/>
      <c r="D13" s="4"/>
      <c r="E13" s="4"/>
      <c r="F13" s="4"/>
      <c r="G13" s="4"/>
      <c r="H13" s="1"/>
      <c r="I13" s="1"/>
    </row>
    <row r="14" spans="1:9" x14ac:dyDescent="0.45">
      <c r="A14" s="5"/>
      <c r="B14" s="4"/>
      <c r="C14" s="4"/>
      <c r="D14" s="4"/>
      <c r="E14" s="4"/>
      <c r="F14" s="4"/>
      <c r="G14" s="4"/>
      <c r="H14" s="1"/>
      <c r="I14" s="1"/>
    </row>
    <row r="15" spans="1:9" x14ac:dyDescent="0.45">
      <c r="A15" s="5"/>
      <c r="B15" s="4"/>
      <c r="C15" s="4"/>
      <c r="D15" s="4"/>
      <c r="E15" s="4"/>
      <c r="F15" s="4"/>
      <c r="G15" s="4"/>
      <c r="H15" s="1"/>
      <c r="I15" s="1"/>
    </row>
    <row r="16" spans="1:9" x14ac:dyDescent="0.45">
      <c r="A16" s="5"/>
      <c r="B16" s="4"/>
      <c r="C16" s="4"/>
      <c r="D16" s="4"/>
      <c r="E16" s="4"/>
      <c r="F16" s="4"/>
      <c r="G16" s="4"/>
      <c r="H16" s="1"/>
      <c r="I16" s="1"/>
    </row>
    <row r="17" spans="1:9" x14ac:dyDescent="0.45">
      <c r="A17" s="5"/>
      <c r="B17" s="4"/>
      <c r="C17" s="4"/>
      <c r="D17" s="4"/>
      <c r="E17" s="4"/>
      <c r="F17" s="4"/>
      <c r="G17" s="4"/>
      <c r="H17" s="1"/>
      <c r="I17" s="1"/>
    </row>
    <row r="18" spans="1:9" x14ac:dyDescent="0.45">
      <c r="A18" s="5"/>
      <c r="B18" s="4"/>
      <c r="C18" s="4"/>
      <c r="D18" s="4"/>
      <c r="E18" s="4"/>
      <c r="F18" s="4"/>
      <c r="G18" s="4"/>
      <c r="H18" s="1"/>
      <c r="I18" s="1"/>
    </row>
    <row r="19" spans="1:9" x14ac:dyDescent="0.45">
      <c r="A19" s="5"/>
      <c r="B19" s="4"/>
      <c r="C19" s="4"/>
      <c r="D19" s="4"/>
      <c r="E19" s="4"/>
      <c r="F19" s="4"/>
      <c r="G19" s="4"/>
      <c r="H19" s="1"/>
      <c r="I19" s="1"/>
    </row>
    <row r="20" spans="1:9" x14ac:dyDescent="0.45">
      <c r="A20" s="5"/>
      <c r="B20" s="4"/>
      <c r="C20" s="4"/>
      <c r="D20" s="4"/>
      <c r="E20" s="4"/>
      <c r="F20" s="4"/>
      <c r="G20" s="4"/>
      <c r="H20" s="1"/>
      <c r="I20" s="1"/>
    </row>
    <row r="21" spans="1:9" x14ac:dyDescent="0.45">
      <c r="A21" s="5"/>
      <c r="B21" s="4"/>
      <c r="C21" s="4"/>
      <c r="D21" s="4"/>
      <c r="E21" s="4"/>
      <c r="F21" s="4"/>
      <c r="G21" s="4"/>
      <c r="H21" s="1"/>
      <c r="I21" s="1"/>
    </row>
    <row r="22" spans="1:9" x14ac:dyDescent="0.45">
      <c r="A22" s="5"/>
      <c r="B22" s="4"/>
      <c r="C22" s="4"/>
      <c r="D22" s="4"/>
      <c r="E22" s="4"/>
      <c r="F22" s="4"/>
      <c r="G22" s="4"/>
      <c r="H22" s="1"/>
      <c r="I22" s="1"/>
    </row>
    <row r="23" spans="1:9" x14ac:dyDescent="0.45">
      <c r="A23" s="5"/>
      <c r="B23" s="4"/>
      <c r="C23" s="4"/>
      <c r="D23" s="4"/>
      <c r="E23" s="4"/>
      <c r="F23" s="4"/>
      <c r="G23" s="4"/>
      <c r="H23" s="1"/>
      <c r="I23" s="1"/>
    </row>
    <row r="24" spans="1:9" x14ac:dyDescent="0.45">
      <c r="A24" s="5"/>
      <c r="B24" s="4"/>
      <c r="C24" s="4"/>
      <c r="D24" s="4"/>
      <c r="E24" s="4"/>
      <c r="F24" s="4"/>
      <c r="G24" s="4"/>
      <c r="H24" s="1"/>
      <c r="I24" s="1"/>
    </row>
    <row r="25" spans="1:9" x14ac:dyDescent="0.45">
      <c r="A25" s="5"/>
      <c r="B25" s="4"/>
      <c r="C25" s="4"/>
      <c r="D25" s="4"/>
      <c r="E25" s="4"/>
      <c r="F25" s="4"/>
      <c r="G25" s="4"/>
      <c r="H25" s="1"/>
      <c r="I25" s="1"/>
    </row>
    <row r="26" spans="1:9" x14ac:dyDescent="0.45">
      <c r="A26" s="5"/>
      <c r="B26" s="4"/>
      <c r="C26" s="4"/>
      <c r="D26" s="4"/>
      <c r="E26" s="4"/>
      <c r="F26" s="4"/>
      <c r="G26" s="4"/>
      <c r="H26" s="1"/>
      <c r="I26" s="1"/>
    </row>
    <row r="27" spans="1:9" x14ac:dyDescent="0.45">
      <c r="A27" s="5"/>
      <c r="B27" s="4"/>
      <c r="C27" s="4"/>
      <c r="D27" s="4"/>
      <c r="E27" s="4"/>
      <c r="F27" s="4"/>
      <c r="G27" s="4"/>
      <c r="H27" s="1"/>
      <c r="I27" s="1"/>
    </row>
    <row r="28" spans="1:9" x14ac:dyDescent="0.45">
      <c r="A28" s="5"/>
      <c r="B28" s="4"/>
      <c r="C28" s="4"/>
      <c r="D28" s="4"/>
      <c r="E28" s="4"/>
      <c r="F28" s="4"/>
      <c r="G28" s="4"/>
      <c r="H28" s="1"/>
      <c r="I28" s="1"/>
    </row>
    <row r="29" spans="1:9" x14ac:dyDescent="0.45">
      <c r="A29" s="5"/>
      <c r="B29" s="4"/>
      <c r="C29" s="4"/>
      <c r="D29" s="4"/>
      <c r="E29" s="4"/>
      <c r="F29" s="4"/>
      <c r="G29" s="4"/>
      <c r="H29" s="1"/>
      <c r="I29" s="1"/>
    </row>
    <row r="30" spans="1:9" x14ac:dyDescent="0.45">
      <c r="A30" s="5"/>
      <c r="B30" s="4"/>
      <c r="C30" s="4"/>
      <c r="D30" s="4"/>
      <c r="E30" s="4"/>
      <c r="F30" s="4"/>
      <c r="G30" s="4"/>
      <c r="H30" s="1"/>
      <c r="I30" s="1"/>
    </row>
    <row r="31" spans="1:9" x14ac:dyDescent="0.45">
      <c r="A31" s="5"/>
      <c r="B31" s="4"/>
      <c r="C31" s="4"/>
      <c r="D31" s="4"/>
      <c r="E31" s="4"/>
      <c r="F31" s="4"/>
      <c r="G31" s="4"/>
      <c r="H31" s="1"/>
      <c r="I31" s="1"/>
    </row>
    <row r="32" spans="1:9" x14ac:dyDescent="0.45">
      <c r="A32" s="5"/>
      <c r="B32" s="4"/>
      <c r="C32" s="4"/>
      <c r="D32" s="4"/>
      <c r="E32" s="4"/>
      <c r="F32" s="4"/>
      <c r="G32" s="4"/>
      <c r="H32" s="1"/>
      <c r="I32" s="1"/>
    </row>
    <row r="33" spans="1:9" x14ac:dyDescent="0.45">
      <c r="A33" s="5"/>
      <c r="B33" s="4"/>
      <c r="C33" s="4"/>
      <c r="D33" s="4"/>
      <c r="E33" s="4"/>
      <c r="F33" s="4"/>
      <c r="G33" s="4"/>
      <c r="H33" s="1"/>
      <c r="I33" s="1"/>
    </row>
    <row r="34" spans="1:9" x14ac:dyDescent="0.45">
      <c r="A34" s="5"/>
      <c r="B34" s="4"/>
      <c r="C34" s="4"/>
      <c r="D34" s="4"/>
      <c r="E34" s="4"/>
      <c r="F34" s="4"/>
      <c r="G34" s="4"/>
      <c r="H34" s="1"/>
      <c r="I34" s="1"/>
    </row>
    <row r="35" spans="1:9" x14ac:dyDescent="0.45">
      <c r="A35" s="5"/>
      <c r="B35" s="4"/>
      <c r="C35" s="4"/>
      <c r="D35" s="4"/>
      <c r="E35" s="4"/>
      <c r="F35" s="4"/>
      <c r="G35" s="4"/>
      <c r="H35" s="1"/>
      <c r="I35" s="1"/>
    </row>
    <row r="36" spans="1:9" x14ac:dyDescent="0.45">
      <c r="A36" s="5"/>
      <c r="B36" s="4"/>
      <c r="C36" s="4"/>
      <c r="D36" s="4"/>
      <c r="E36" s="4"/>
      <c r="F36" s="4"/>
      <c r="G36" s="4"/>
      <c r="H36" s="1"/>
      <c r="I36" s="1"/>
    </row>
    <row r="37" spans="1:9" x14ac:dyDescent="0.45">
      <c r="A37" s="5"/>
      <c r="B37" s="4"/>
      <c r="C37" s="4"/>
      <c r="D37" s="4"/>
      <c r="E37" s="4"/>
      <c r="F37" s="4"/>
      <c r="G37" s="4"/>
      <c r="H37" s="1"/>
      <c r="I37" s="1"/>
    </row>
    <row r="38" spans="1:9" x14ac:dyDescent="0.45">
      <c r="A38" s="5"/>
      <c r="B38" s="4"/>
      <c r="C38" s="4"/>
      <c r="D38" s="4"/>
      <c r="E38" s="4"/>
      <c r="F38" s="4"/>
      <c r="G38" s="4"/>
      <c r="H38" s="1"/>
      <c r="I38" s="1"/>
    </row>
    <row r="39" spans="1:9" x14ac:dyDescent="0.45">
      <c r="A39" s="5"/>
      <c r="B39" s="4"/>
      <c r="C39" s="4"/>
      <c r="D39" s="4"/>
      <c r="E39" s="4"/>
      <c r="F39" s="4"/>
      <c r="G39" s="4"/>
      <c r="H39" s="1"/>
      <c r="I39" s="1"/>
    </row>
    <row r="40" spans="1:9" x14ac:dyDescent="0.45">
      <c r="A40" s="5"/>
      <c r="B40" s="4"/>
      <c r="C40" s="4"/>
      <c r="D40" s="4"/>
      <c r="E40" s="4"/>
      <c r="F40" s="4"/>
      <c r="G40" s="4"/>
      <c r="H40" s="1"/>
      <c r="I40" s="1"/>
    </row>
    <row r="41" spans="1:9" x14ac:dyDescent="0.45">
      <c r="A41" s="5"/>
      <c r="B41" s="4"/>
      <c r="C41" s="4"/>
      <c r="D41" s="4"/>
      <c r="E41" s="4"/>
      <c r="F41" s="4"/>
      <c r="G41" s="4"/>
      <c r="H41" s="1"/>
      <c r="I41" s="1"/>
    </row>
    <row r="42" spans="1:9" x14ac:dyDescent="0.45">
      <c r="A42" s="5"/>
      <c r="B42" s="4"/>
      <c r="C42" s="4"/>
      <c r="D42" s="4"/>
      <c r="E42" s="4"/>
      <c r="F42" s="4"/>
      <c r="G42" s="4"/>
      <c r="H42" s="1"/>
      <c r="I42" s="1"/>
    </row>
    <row r="43" spans="1:9" x14ac:dyDescent="0.45">
      <c r="A43" s="5"/>
      <c r="B43" s="4"/>
      <c r="C43" s="4"/>
      <c r="D43" s="4"/>
      <c r="E43" s="4"/>
      <c r="F43" s="4"/>
      <c r="G43" s="4"/>
      <c r="H43" s="1"/>
      <c r="I43" s="1"/>
    </row>
    <row r="44" spans="1:9" x14ac:dyDescent="0.45">
      <c r="A44" s="5"/>
      <c r="B44" s="4"/>
      <c r="C44" s="4"/>
      <c r="D44" s="4"/>
      <c r="E44" s="4"/>
      <c r="F44" s="4"/>
      <c r="G44" s="4"/>
      <c r="H44" s="1"/>
      <c r="I44" s="1"/>
    </row>
    <row r="45" spans="1:9" x14ac:dyDescent="0.45">
      <c r="A45" s="5"/>
      <c r="B45" s="4"/>
      <c r="C45" s="4"/>
      <c r="D45" s="4"/>
      <c r="E45" s="4"/>
      <c r="F45" s="4"/>
      <c r="G45" s="4"/>
      <c r="H45" s="1"/>
      <c r="I45" s="1"/>
    </row>
    <row r="46" spans="1:9" x14ac:dyDescent="0.45">
      <c r="A46" s="5"/>
      <c r="B46" s="4"/>
      <c r="C46" s="4"/>
      <c r="D46" s="4"/>
      <c r="E46" s="4"/>
      <c r="F46" s="4"/>
      <c r="G46" s="4"/>
      <c r="H46" s="1"/>
      <c r="I46" s="1"/>
    </row>
    <row r="47" spans="1:9" x14ac:dyDescent="0.45">
      <c r="A47" s="5"/>
      <c r="B47" s="4"/>
      <c r="C47" s="4"/>
      <c r="D47" s="4"/>
      <c r="E47" s="4"/>
      <c r="F47" s="4"/>
      <c r="G47" s="4"/>
      <c r="H47" s="1"/>
      <c r="I47" s="1"/>
    </row>
    <row r="48" spans="1:9" x14ac:dyDescent="0.45">
      <c r="A48" s="5"/>
      <c r="B48" s="4"/>
      <c r="C48" s="4"/>
      <c r="D48" s="4"/>
      <c r="E48" s="4"/>
      <c r="F48" s="4"/>
      <c r="G48" s="4"/>
      <c r="H48" s="1"/>
      <c r="I48" s="1"/>
    </row>
    <row r="49" spans="1:9" x14ac:dyDescent="0.45">
      <c r="A49" s="5"/>
      <c r="B49" s="4"/>
      <c r="C49" s="4"/>
      <c r="D49" s="4"/>
      <c r="E49" s="4"/>
      <c r="F49" s="4"/>
      <c r="G49" s="4"/>
      <c r="H49" s="1"/>
      <c r="I49" s="1"/>
    </row>
    <row r="50" spans="1:9" x14ac:dyDescent="0.45">
      <c r="A50" s="5"/>
      <c r="B50" s="4"/>
      <c r="C50" s="4"/>
      <c r="D50" s="4"/>
      <c r="E50" s="4"/>
      <c r="F50" s="4"/>
      <c r="G50" s="4"/>
      <c r="H50" s="1"/>
      <c r="I50" s="1"/>
    </row>
    <row r="51" spans="1:9" x14ac:dyDescent="0.45">
      <c r="A51" s="5"/>
      <c r="B51" s="4"/>
      <c r="C51" s="4"/>
      <c r="D51" s="4"/>
      <c r="E51" s="4"/>
      <c r="F51" s="4"/>
      <c r="G51" s="4"/>
      <c r="H51" s="1"/>
      <c r="I51" s="1"/>
    </row>
    <row r="52" spans="1:9" x14ac:dyDescent="0.45">
      <c r="A52" s="5"/>
      <c r="B52" s="4"/>
      <c r="C52" s="4"/>
      <c r="D52" s="4"/>
      <c r="E52" s="4"/>
      <c r="F52" s="4"/>
      <c r="G52" s="4"/>
      <c r="H52" s="1"/>
      <c r="I52" s="1"/>
    </row>
    <row r="53" spans="1:9" x14ac:dyDescent="0.45">
      <c r="A53" s="5"/>
      <c r="B53" s="4"/>
      <c r="C53" s="4"/>
      <c r="D53" s="4"/>
      <c r="E53" s="4"/>
      <c r="F53" s="4"/>
      <c r="G53" s="4"/>
      <c r="H53" s="1"/>
      <c r="I53" s="1"/>
    </row>
    <row r="54" spans="1:9" x14ac:dyDescent="0.45">
      <c r="A54" s="5"/>
      <c r="B54" s="4"/>
      <c r="C54" s="4"/>
      <c r="D54" s="4"/>
      <c r="E54" s="4"/>
      <c r="F54" s="4"/>
      <c r="G54" s="4"/>
      <c r="H54" s="1"/>
      <c r="I54" s="1"/>
    </row>
    <row r="55" spans="1:9" x14ac:dyDescent="0.45">
      <c r="A55" s="5"/>
      <c r="B55" s="4"/>
      <c r="C55" s="4"/>
      <c r="D55" s="4"/>
      <c r="E55" s="4"/>
      <c r="F55" s="4"/>
      <c r="G55" s="4"/>
      <c r="H55" s="1"/>
      <c r="I55" s="1"/>
    </row>
    <row r="56" spans="1:9" x14ac:dyDescent="0.45">
      <c r="A56" s="5"/>
      <c r="B56" s="4"/>
      <c r="C56" s="4"/>
      <c r="D56" s="4"/>
      <c r="E56" s="4"/>
      <c r="F56" s="4"/>
      <c r="G56" s="4"/>
      <c r="H56" s="1"/>
      <c r="I56" s="1"/>
    </row>
    <row r="57" spans="1:9" x14ac:dyDescent="0.45">
      <c r="A57" s="5"/>
      <c r="B57" s="4"/>
      <c r="C57" s="4"/>
      <c r="D57" s="4"/>
      <c r="E57" s="4"/>
      <c r="F57" s="4"/>
      <c r="G57" s="4"/>
      <c r="H57" s="1"/>
      <c r="I57" s="1"/>
    </row>
    <row r="58" spans="1:9" x14ac:dyDescent="0.45">
      <c r="A58" s="5"/>
      <c r="B58" s="4"/>
      <c r="C58" s="4"/>
      <c r="D58" s="4"/>
      <c r="E58" s="4"/>
      <c r="F58" s="4"/>
      <c r="G58" s="4"/>
      <c r="H58" s="1"/>
      <c r="I58" s="1"/>
    </row>
    <row r="59" spans="1:9" x14ac:dyDescent="0.45">
      <c r="A59" s="5"/>
      <c r="B59" s="4"/>
      <c r="C59" s="4"/>
      <c r="D59" s="4"/>
      <c r="E59" s="4"/>
      <c r="F59" s="4"/>
      <c r="G59" s="4"/>
      <c r="H59" s="1"/>
      <c r="I59" s="1"/>
    </row>
    <row r="60" spans="1:9" x14ac:dyDescent="0.45">
      <c r="A60" s="5"/>
      <c r="B60" s="4"/>
      <c r="C60" s="4"/>
      <c r="D60" s="4"/>
      <c r="E60" s="4"/>
      <c r="F60" s="4"/>
      <c r="G60" s="4"/>
      <c r="H60" s="1"/>
      <c r="I60" s="1"/>
    </row>
    <row r="61" spans="1:9" x14ac:dyDescent="0.45">
      <c r="A61" s="5"/>
      <c r="B61" s="4"/>
      <c r="C61" s="4"/>
      <c r="D61" s="4"/>
      <c r="E61" s="4"/>
      <c r="F61" s="4"/>
      <c r="G61" s="4"/>
      <c r="H61" s="1"/>
      <c r="I61" s="1"/>
    </row>
    <row r="62" spans="1:9" x14ac:dyDescent="0.45">
      <c r="A62" s="5"/>
      <c r="B62" s="4"/>
      <c r="C62" s="4"/>
      <c r="D62" s="4"/>
      <c r="E62" s="4"/>
      <c r="F62" s="4"/>
      <c r="G62" s="4"/>
      <c r="H62" s="1"/>
      <c r="I62" s="1"/>
    </row>
    <row r="63" spans="1:9" x14ac:dyDescent="0.45">
      <c r="A63" s="5"/>
      <c r="B63" s="4"/>
      <c r="C63" s="4"/>
      <c r="D63" s="4"/>
      <c r="E63" s="4"/>
      <c r="F63" s="4"/>
      <c r="G63" s="4"/>
      <c r="H63" s="1"/>
      <c r="I63" s="1"/>
    </row>
    <row r="64" spans="1:9" x14ac:dyDescent="0.45">
      <c r="A64" s="5"/>
      <c r="B64" s="4"/>
      <c r="C64" s="4"/>
      <c r="D64" s="4"/>
      <c r="E64" s="4"/>
      <c r="F64" s="4"/>
      <c r="G64" s="4"/>
      <c r="H64" s="1"/>
      <c r="I64" s="1"/>
    </row>
    <row r="65" spans="1:9" x14ac:dyDescent="0.45">
      <c r="A65" s="5"/>
      <c r="B65" s="4"/>
      <c r="C65" s="4"/>
      <c r="D65" s="4"/>
      <c r="E65" s="4"/>
      <c r="F65" s="4"/>
      <c r="G65" s="4"/>
      <c r="H65" s="1"/>
      <c r="I65" s="1"/>
    </row>
    <row r="66" spans="1:9" x14ac:dyDescent="0.45">
      <c r="A66" s="5"/>
      <c r="B66" s="4"/>
      <c r="C66" s="4"/>
      <c r="D66" s="4"/>
      <c r="E66" s="4"/>
      <c r="F66" s="4"/>
      <c r="G66" s="4"/>
      <c r="H66" s="1"/>
      <c r="I66" s="1"/>
    </row>
    <row r="67" spans="1:9" x14ac:dyDescent="0.45">
      <c r="A67" s="5"/>
      <c r="B67" s="4"/>
      <c r="C67" s="4"/>
      <c r="D67" s="4"/>
      <c r="E67" s="4"/>
      <c r="F67" s="4"/>
      <c r="G67" s="4"/>
      <c r="H67" s="1"/>
      <c r="I67" s="1"/>
    </row>
    <row r="68" spans="1:9" x14ac:dyDescent="0.45">
      <c r="A68" s="5"/>
      <c r="B68" s="4"/>
      <c r="C68" s="4"/>
      <c r="D68" s="4"/>
      <c r="E68" s="4"/>
      <c r="F68" s="4"/>
      <c r="G68" s="4"/>
      <c r="H68" s="1"/>
      <c r="I68" s="1"/>
    </row>
    <row r="69" spans="1:9" x14ac:dyDescent="0.45">
      <c r="A69" s="5"/>
      <c r="B69" s="4"/>
      <c r="C69" s="4"/>
      <c r="D69" s="4"/>
      <c r="E69" s="4"/>
      <c r="F69" s="4"/>
      <c r="G69" s="4"/>
      <c r="H69" s="1"/>
      <c r="I69" s="1"/>
    </row>
    <row r="70" spans="1:9" x14ac:dyDescent="0.45">
      <c r="A70" s="5"/>
      <c r="B70" s="4"/>
      <c r="C70" s="4"/>
      <c r="D70" s="4"/>
      <c r="E70" s="4"/>
      <c r="F70" s="4"/>
      <c r="G70" s="4"/>
      <c r="H70" s="1"/>
      <c r="I70" s="1"/>
    </row>
    <row r="71" spans="1:9" x14ac:dyDescent="0.45">
      <c r="A71" s="5"/>
      <c r="B71" s="4"/>
      <c r="C71" s="4"/>
      <c r="D71" s="4"/>
      <c r="E71" s="4"/>
      <c r="F71" s="4"/>
      <c r="G71" s="4"/>
      <c r="H71" s="1"/>
      <c r="I71" s="1"/>
    </row>
    <row r="72" spans="1:9" x14ac:dyDescent="0.45">
      <c r="A72" s="5"/>
      <c r="B72" s="4"/>
      <c r="C72" s="4"/>
      <c r="D72" s="4"/>
      <c r="E72" s="4"/>
      <c r="F72" s="4"/>
      <c r="G72" s="4"/>
      <c r="H72" s="1"/>
      <c r="I72" s="1"/>
    </row>
    <row r="73" spans="1:9" x14ac:dyDescent="0.45">
      <c r="A73" s="5"/>
      <c r="B73" s="4"/>
      <c r="C73" s="4"/>
      <c r="D73" s="4"/>
      <c r="E73" s="4"/>
      <c r="F73" s="4"/>
      <c r="G73" s="4"/>
      <c r="H73" s="1"/>
      <c r="I73" s="1"/>
    </row>
    <row r="74" spans="1:9" x14ac:dyDescent="0.45">
      <c r="A74" s="5"/>
      <c r="B74" s="4"/>
      <c r="C74" s="4"/>
      <c r="D74" s="4"/>
      <c r="E74" s="4"/>
      <c r="F74" s="4"/>
      <c r="G74" s="4"/>
      <c r="H74" s="1"/>
      <c r="I74" s="1"/>
    </row>
    <row r="75" spans="1:9" x14ac:dyDescent="0.45">
      <c r="A75" s="5"/>
      <c r="B75" s="4"/>
      <c r="C75" s="4"/>
      <c r="D75" s="4"/>
      <c r="E75" s="4"/>
      <c r="F75" s="4"/>
      <c r="G75" s="4"/>
      <c r="H75" s="1"/>
      <c r="I75" s="1"/>
    </row>
    <row r="76" spans="1:9" x14ac:dyDescent="0.45">
      <c r="A76" s="5"/>
      <c r="B76" s="4"/>
      <c r="C76" s="4"/>
      <c r="D76" s="4"/>
      <c r="E76" s="4"/>
      <c r="F76" s="4"/>
      <c r="G76" s="4"/>
      <c r="H76" s="1"/>
      <c r="I76" s="1"/>
    </row>
    <row r="77" spans="1:9" x14ac:dyDescent="0.45">
      <c r="A77" s="5"/>
      <c r="B77" s="4"/>
      <c r="C77" s="4"/>
      <c r="D77" s="4"/>
      <c r="E77" s="4"/>
      <c r="F77" s="4"/>
      <c r="G77" s="4"/>
      <c r="H77" s="1"/>
      <c r="I77" s="1"/>
    </row>
    <row r="78" spans="1:9" x14ac:dyDescent="0.45">
      <c r="A78" s="5"/>
      <c r="B78" s="4"/>
      <c r="C78" s="4"/>
      <c r="D78" s="4"/>
      <c r="E78" s="4"/>
      <c r="F78" s="4"/>
      <c r="G78" s="4"/>
      <c r="H78" s="1"/>
      <c r="I78" s="1"/>
    </row>
    <row r="79" spans="1:9" x14ac:dyDescent="0.45">
      <c r="A79" s="5"/>
      <c r="B79" s="4"/>
      <c r="C79" s="4"/>
      <c r="D79" s="4"/>
      <c r="E79" s="4"/>
      <c r="F79" s="4"/>
      <c r="G79" s="4"/>
      <c r="H79" s="1"/>
      <c r="I79" s="1"/>
    </row>
    <row r="80" spans="1:9" x14ac:dyDescent="0.45">
      <c r="A80" s="5"/>
      <c r="B80" s="4"/>
      <c r="C80" s="4"/>
      <c r="D80" s="4"/>
      <c r="E80" s="4"/>
      <c r="F80" s="4"/>
      <c r="G80" s="4"/>
      <c r="H80" s="1"/>
      <c r="I80" s="1"/>
    </row>
    <row r="81" spans="1:9" x14ac:dyDescent="0.45">
      <c r="A81" s="5"/>
      <c r="B81" s="4"/>
      <c r="C81" s="4"/>
      <c r="D81" s="4"/>
      <c r="E81" s="4"/>
      <c r="F81" s="4"/>
      <c r="G81" s="4"/>
      <c r="H81" s="1"/>
      <c r="I81" s="1"/>
    </row>
    <row r="82" spans="1:9" x14ac:dyDescent="0.45">
      <c r="A82" s="5"/>
      <c r="B82" s="4"/>
      <c r="C82" s="4"/>
      <c r="D82" s="4"/>
      <c r="E82" s="4"/>
      <c r="F82" s="4"/>
      <c r="G82" s="4"/>
      <c r="H82" s="1"/>
      <c r="I82" s="1"/>
    </row>
    <row r="83" spans="1:9" x14ac:dyDescent="0.45">
      <c r="A83" s="5"/>
      <c r="B83" s="4"/>
      <c r="C83" s="4"/>
      <c r="D83" s="4"/>
      <c r="E83" s="4"/>
      <c r="F83" s="4"/>
      <c r="G83" s="4"/>
      <c r="H83" s="1"/>
      <c r="I83" s="1"/>
    </row>
    <row r="84" spans="1:9" x14ac:dyDescent="0.45">
      <c r="A84" s="5"/>
      <c r="B84" s="4"/>
      <c r="C84" s="4"/>
      <c r="D84" s="4"/>
      <c r="E84" s="4"/>
      <c r="F84" s="4"/>
      <c r="G84" s="4"/>
      <c r="H84" s="1"/>
      <c r="I84" s="1"/>
    </row>
    <row r="85" spans="1:9" x14ac:dyDescent="0.45">
      <c r="A85" s="5"/>
      <c r="B85" s="4"/>
      <c r="C85" s="4"/>
      <c r="D85" s="4"/>
      <c r="E85" s="4"/>
      <c r="F85" s="4"/>
      <c r="G85" s="4"/>
      <c r="H85" s="1"/>
      <c r="I85" s="1"/>
    </row>
    <row r="86" spans="1:9" x14ac:dyDescent="0.45">
      <c r="A86" s="5"/>
      <c r="B86" s="4"/>
      <c r="C86" s="4"/>
      <c r="D86" s="4"/>
      <c r="E86" s="4"/>
      <c r="F86" s="4"/>
      <c r="G86" s="4"/>
      <c r="H86" s="1"/>
      <c r="I86" s="1"/>
    </row>
    <row r="87" spans="1:9" x14ac:dyDescent="0.45">
      <c r="A87" s="5"/>
      <c r="B87" s="4"/>
      <c r="C87" s="4"/>
      <c r="D87" s="4"/>
      <c r="E87" s="4"/>
      <c r="F87" s="4"/>
      <c r="G87" s="4"/>
      <c r="H87" s="1"/>
      <c r="I87" s="1"/>
    </row>
    <row r="88" spans="1:9" x14ac:dyDescent="0.45">
      <c r="A88" s="5"/>
      <c r="B88" s="4"/>
      <c r="C88" s="4"/>
      <c r="D88" s="4"/>
      <c r="E88" s="4"/>
      <c r="F88" s="4"/>
      <c r="G88" s="4"/>
      <c r="H88" s="1"/>
      <c r="I88" s="1"/>
    </row>
    <row r="89" spans="1:9" x14ac:dyDescent="0.45">
      <c r="A89" s="5"/>
      <c r="B89" s="4"/>
      <c r="C89" s="4"/>
      <c r="D89" s="4"/>
      <c r="E89" s="4"/>
      <c r="F89" s="4"/>
      <c r="G89" s="4"/>
      <c r="H89" s="1"/>
      <c r="I89" s="1"/>
    </row>
    <row r="90" spans="1:9" x14ac:dyDescent="0.45">
      <c r="A90" s="5"/>
      <c r="B90" s="4"/>
      <c r="C90" s="4"/>
      <c r="D90" s="4"/>
      <c r="E90" s="4"/>
      <c r="F90" s="4"/>
      <c r="G90" s="4"/>
      <c r="H90" s="1"/>
      <c r="I90" s="1"/>
    </row>
    <row r="91" spans="1:9" x14ac:dyDescent="0.45">
      <c r="A91" s="5"/>
      <c r="B91" s="4"/>
      <c r="C91" s="4"/>
      <c r="D91" s="4"/>
      <c r="E91" s="4"/>
      <c r="F91" s="4"/>
      <c r="G91" s="4"/>
      <c r="H91" s="1"/>
      <c r="I91" s="1"/>
    </row>
    <row r="92" spans="1:9" x14ac:dyDescent="0.45">
      <c r="A92" s="5"/>
      <c r="B92" s="4"/>
      <c r="C92" s="4"/>
      <c r="D92" s="4"/>
      <c r="E92" s="4"/>
      <c r="F92" s="4"/>
      <c r="G92" s="4"/>
      <c r="H92" s="1"/>
      <c r="I92" s="1"/>
    </row>
    <row r="93" spans="1:9" x14ac:dyDescent="0.45">
      <c r="A93" s="5"/>
      <c r="B93" s="4"/>
      <c r="C93" s="4"/>
      <c r="D93" s="4"/>
      <c r="E93" s="4"/>
      <c r="F93" s="4"/>
      <c r="G93" s="4"/>
      <c r="H93" s="1"/>
      <c r="I93" s="1"/>
    </row>
    <row r="94" spans="1:9" x14ac:dyDescent="0.45">
      <c r="A94" s="5"/>
      <c r="B94" s="4"/>
      <c r="C94" s="4"/>
      <c r="D94" s="4"/>
      <c r="E94" s="4"/>
      <c r="F94" s="4"/>
      <c r="G94" s="4"/>
      <c r="H94" s="1"/>
      <c r="I94" s="1"/>
    </row>
    <row r="95" spans="1:9" x14ac:dyDescent="0.45">
      <c r="A95" s="5"/>
      <c r="B95" s="4"/>
      <c r="C95" s="4"/>
      <c r="D95" s="4"/>
      <c r="E95" s="4"/>
      <c r="F95" s="4"/>
      <c r="G95" s="4"/>
      <c r="H95" s="1"/>
      <c r="I95" s="1"/>
    </row>
    <row r="96" spans="1:9" x14ac:dyDescent="0.45">
      <c r="A96" s="5"/>
      <c r="B96" s="4"/>
      <c r="C96" s="4"/>
      <c r="D96" s="4"/>
      <c r="E96" s="4"/>
      <c r="F96" s="4"/>
      <c r="G96" s="4"/>
      <c r="H96" s="1"/>
      <c r="I96" s="1"/>
    </row>
    <row r="97" spans="1:9" x14ac:dyDescent="0.45">
      <c r="A97" s="5"/>
      <c r="B97" s="4"/>
      <c r="C97" s="4"/>
      <c r="D97" s="4"/>
      <c r="E97" s="4"/>
      <c r="F97" s="4"/>
      <c r="G97" s="4"/>
      <c r="H97" s="1"/>
      <c r="I97" s="1"/>
    </row>
    <row r="98" spans="1:9" x14ac:dyDescent="0.45">
      <c r="A98" s="5"/>
      <c r="B98" s="4"/>
      <c r="C98" s="4"/>
      <c r="D98" s="4"/>
      <c r="E98" s="4"/>
      <c r="F98" s="4"/>
      <c r="G98" s="4"/>
      <c r="H98" s="1"/>
      <c r="I98" s="1"/>
    </row>
    <row r="99" spans="1:9" x14ac:dyDescent="0.45">
      <c r="A99" s="5"/>
      <c r="B99" s="4"/>
      <c r="C99" s="4"/>
      <c r="D99" s="4"/>
      <c r="E99" s="4"/>
      <c r="F99" s="4"/>
      <c r="G99" s="4"/>
      <c r="H99" s="1"/>
      <c r="I99" s="1"/>
    </row>
    <row r="100" spans="1:9" x14ac:dyDescent="0.45">
      <c r="A100" s="5"/>
      <c r="B100" s="4"/>
      <c r="C100" s="4"/>
      <c r="D100" s="4"/>
      <c r="E100" s="4"/>
      <c r="F100" s="4"/>
      <c r="G100" s="4"/>
      <c r="H100" s="1"/>
      <c r="I100" s="1"/>
    </row>
    <row r="101" spans="1:9" x14ac:dyDescent="0.45">
      <c r="A101" s="5"/>
      <c r="B101" s="4"/>
      <c r="C101" s="4"/>
      <c r="D101" s="4"/>
      <c r="E101" s="4"/>
      <c r="F101" s="4"/>
      <c r="G101" s="4"/>
      <c r="H101" s="1"/>
      <c r="I101" s="1"/>
    </row>
    <row r="102" spans="1:9" x14ac:dyDescent="0.45">
      <c r="A102" s="5"/>
      <c r="B102" s="4"/>
      <c r="C102" s="4"/>
      <c r="D102" s="4"/>
      <c r="E102" s="4"/>
      <c r="F102" s="4"/>
      <c r="G102" s="4"/>
      <c r="H102" s="1"/>
      <c r="I102" s="1"/>
    </row>
    <row r="103" spans="1:9" x14ac:dyDescent="0.45">
      <c r="A103" s="5"/>
      <c r="B103" s="4"/>
      <c r="C103" s="4"/>
      <c r="D103" s="4"/>
      <c r="E103" s="4"/>
      <c r="F103" s="4"/>
      <c r="G103" s="4"/>
      <c r="H103" s="1"/>
      <c r="I103" s="1"/>
    </row>
    <row r="104" spans="1:9" x14ac:dyDescent="0.45">
      <c r="A104" s="5"/>
      <c r="B104" s="4"/>
      <c r="C104" s="4"/>
      <c r="D104" s="4"/>
      <c r="E104" s="4"/>
      <c r="F104" s="4"/>
      <c r="G104" s="4"/>
      <c r="H104" s="1"/>
      <c r="I104" s="1"/>
    </row>
    <row r="105" spans="1:9" x14ac:dyDescent="0.45">
      <c r="A105" s="5"/>
      <c r="B105" s="4"/>
      <c r="C105" s="4"/>
      <c r="D105" s="4"/>
      <c r="E105" s="4"/>
      <c r="F105" s="4"/>
      <c r="G105" s="4"/>
      <c r="H105" s="1"/>
      <c r="I105" s="1"/>
    </row>
    <row r="106" spans="1:9" x14ac:dyDescent="0.45">
      <c r="A106" s="5"/>
      <c r="B106" s="4"/>
      <c r="C106" s="4"/>
      <c r="D106" s="4"/>
      <c r="E106" s="4"/>
      <c r="F106" s="4"/>
      <c r="G106" s="4"/>
      <c r="H106" s="1"/>
      <c r="I106" s="1"/>
    </row>
    <row r="107" spans="1:9" x14ac:dyDescent="0.45">
      <c r="A107" s="5"/>
      <c r="B107" s="4"/>
      <c r="C107" s="4"/>
      <c r="D107" s="4"/>
      <c r="E107" s="4"/>
      <c r="F107" s="4"/>
      <c r="G107" s="4"/>
      <c r="H107" s="1"/>
      <c r="I107" s="1"/>
    </row>
    <row r="108" spans="1:9" x14ac:dyDescent="0.45">
      <c r="A108" s="5"/>
      <c r="B108" s="4"/>
      <c r="C108" s="4"/>
      <c r="D108" s="4"/>
      <c r="E108" s="4"/>
      <c r="F108" s="4"/>
      <c r="G108" s="4"/>
      <c r="H108" s="1"/>
      <c r="I108" s="1"/>
    </row>
    <row r="109" spans="1:9" x14ac:dyDescent="0.45">
      <c r="A109" s="5"/>
      <c r="B109" s="4"/>
      <c r="C109" s="4"/>
      <c r="D109" s="4"/>
      <c r="E109" s="4"/>
      <c r="F109" s="4"/>
      <c r="G109" s="4"/>
      <c r="H109" s="1"/>
      <c r="I109" s="1"/>
    </row>
    <row r="110" spans="1:9" x14ac:dyDescent="0.45">
      <c r="A110" s="5"/>
      <c r="B110" s="4"/>
      <c r="C110" s="4"/>
      <c r="D110" s="4"/>
      <c r="E110" s="4"/>
      <c r="F110" s="4"/>
      <c r="G110" s="4"/>
      <c r="H110" s="1"/>
      <c r="I110" s="1"/>
    </row>
    <row r="111" spans="1:9" x14ac:dyDescent="0.45">
      <c r="A111" s="5"/>
      <c r="B111" s="4"/>
      <c r="C111" s="4"/>
      <c r="D111" s="4"/>
      <c r="E111" s="4"/>
      <c r="F111" s="4"/>
      <c r="G111" s="4"/>
      <c r="H111" s="1"/>
      <c r="I111" s="1"/>
    </row>
    <row r="112" spans="1:9" x14ac:dyDescent="0.45">
      <c r="A112" s="5"/>
      <c r="B112" s="4"/>
      <c r="C112" s="4"/>
      <c r="D112" s="4"/>
      <c r="E112" s="4"/>
      <c r="F112" s="4"/>
      <c r="G112" s="4"/>
      <c r="H112" s="1"/>
      <c r="I112" s="1"/>
    </row>
    <row r="113" spans="1:9" x14ac:dyDescent="0.45">
      <c r="A113" s="5"/>
      <c r="B113" s="4"/>
      <c r="C113" s="4"/>
      <c r="D113" s="4"/>
      <c r="E113" s="4"/>
      <c r="F113" s="4"/>
      <c r="G113" s="4"/>
      <c r="H113" s="1"/>
      <c r="I113" s="1"/>
    </row>
    <row r="114" spans="1:9" x14ac:dyDescent="0.45">
      <c r="A114" s="5"/>
      <c r="B114" s="4"/>
      <c r="C114" s="4"/>
      <c r="D114" s="4"/>
      <c r="E114" s="4"/>
      <c r="F114" s="4"/>
      <c r="G114" s="4"/>
      <c r="H114" s="1"/>
      <c r="I114" s="1"/>
    </row>
    <row r="115" spans="1:9" x14ac:dyDescent="0.45">
      <c r="A115" s="5"/>
      <c r="B115" s="4"/>
      <c r="C115" s="4"/>
      <c r="D115" s="4"/>
      <c r="E115" s="4"/>
      <c r="F115" s="4"/>
      <c r="G115" s="4"/>
      <c r="H115" s="1"/>
      <c r="I115" s="1"/>
    </row>
    <row r="116" spans="1:9" x14ac:dyDescent="0.45">
      <c r="A116" s="5"/>
      <c r="B116" s="4"/>
      <c r="C116" s="4"/>
      <c r="D116" s="4"/>
      <c r="E116" s="4"/>
      <c r="F116" s="4"/>
      <c r="G116" s="4"/>
      <c r="H116" s="1"/>
      <c r="I116" s="1"/>
    </row>
    <row r="117" spans="1:9" x14ac:dyDescent="0.45">
      <c r="A117" s="5"/>
      <c r="B117" s="4"/>
      <c r="C117" s="4"/>
      <c r="D117" s="4"/>
      <c r="E117" s="4"/>
      <c r="F117" s="4"/>
      <c r="G117" s="4"/>
      <c r="H117" s="1"/>
      <c r="I117" s="1"/>
    </row>
    <row r="118" spans="1:9" x14ac:dyDescent="0.45">
      <c r="A118" s="5"/>
      <c r="B118" s="4"/>
      <c r="C118" s="4"/>
      <c r="D118" s="4"/>
      <c r="E118" s="4"/>
      <c r="F118" s="4"/>
      <c r="G118" s="4"/>
      <c r="H118" s="1"/>
      <c r="I118" s="1"/>
    </row>
    <row r="119" spans="1:9" x14ac:dyDescent="0.45">
      <c r="A119" s="5"/>
      <c r="B119" s="4"/>
      <c r="C119" s="4"/>
      <c r="D119" s="4"/>
      <c r="E119" s="4"/>
      <c r="F119" s="4"/>
      <c r="G119" s="4"/>
      <c r="H119" s="1"/>
      <c r="I119" s="1"/>
    </row>
    <row r="120" spans="1:9" x14ac:dyDescent="0.45">
      <c r="A120" s="5"/>
      <c r="B120" s="4"/>
      <c r="C120" s="4"/>
      <c r="D120" s="4"/>
      <c r="E120" s="4"/>
      <c r="F120" s="4"/>
      <c r="G120" s="4"/>
      <c r="H120" s="1"/>
      <c r="I120" s="1"/>
    </row>
    <row r="121" spans="1:9" x14ac:dyDescent="0.45">
      <c r="A121" s="5"/>
      <c r="B121" s="4"/>
      <c r="C121" s="4"/>
      <c r="D121" s="4"/>
      <c r="E121" s="4"/>
      <c r="F121" s="4"/>
      <c r="G121" s="4"/>
      <c r="H121" s="1"/>
      <c r="I121" s="1"/>
    </row>
    <row r="122" spans="1:9" x14ac:dyDescent="0.45">
      <c r="A122" s="5"/>
      <c r="B122" s="4"/>
      <c r="C122" s="4"/>
      <c r="D122" s="4"/>
      <c r="E122" s="4"/>
      <c r="F122" s="4"/>
      <c r="G122" s="4"/>
      <c r="H122" s="1"/>
      <c r="I122" s="1"/>
    </row>
    <row r="123" spans="1:9" x14ac:dyDescent="0.45">
      <c r="A123" s="5"/>
      <c r="B123" s="4"/>
      <c r="C123" s="4"/>
      <c r="D123" s="4"/>
      <c r="E123" s="4"/>
      <c r="F123" s="4"/>
      <c r="G123" s="4"/>
      <c r="H123" s="1"/>
      <c r="I123" s="1"/>
    </row>
    <row r="124" spans="1:9" x14ac:dyDescent="0.45">
      <c r="A124" s="5"/>
      <c r="B124" s="4"/>
      <c r="C124" s="4"/>
      <c r="D124" s="4"/>
      <c r="E124" s="4"/>
      <c r="F124" s="4"/>
      <c r="G124" s="4"/>
      <c r="H124" s="1"/>
      <c r="I124" s="1"/>
    </row>
    <row r="125" spans="1:9" x14ac:dyDescent="0.45">
      <c r="A125" s="5"/>
      <c r="B125" s="4"/>
      <c r="C125" s="4"/>
      <c r="D125" s="4"/>
      <c r="E125" s="4"/>
      <c r="F125" s="4"/>
      <c r="G125" s="4"/>
      <c r="H125" s="1"/>
      <c r="I125" s="1"/>
    </row>
    <row r="126" spans="1:9" x14ac:dyDescent="0.45">
      <c r="A126" s="5"/>
      <c r="B126" s="4"/>
      <c r="C126" s="4"/>
      <c r="D126" s="4"/>
      <c r="E126" s="4"/>
      <c r="F126" s="4"/>
      <c r="G126" s="4"/>
      <c r="H126" s="1"/>
      <c r="I126" s="1"/>
    </row>
    <row r="127" spans="1:9" x14ac:dyDescent="0.45">
      <c r="A127" s="5"/>
      <c r="B127" s="4"/>
      <c r="C127" s="4"/>
      <c r="D127" s="4"/>
      <c r="E127" s="4"/>
      <c r="F127" s="4"/>
      <c r="G127" s="4"/>
      <c r="H127" s="1"/>
      <c r="I127" s="1"/>
    </row>
    <row r="128" spans="1:9" x14ac:dyDescent="0.45">
      <c r="A128" s="5"/>
      <c r="B128" s="4"/>
      <c r="C128" s="4"/>
      <c r="D128" s="4"/>
      <c r="E128" s="4"/>
      <c r="F128" s="4"/>
      <c r="G128" s="4"/>
      <c r="H128" s="1"/>
      <c r="I128" s="1"/>
    </row>
    <row r="129" spans="1:9" x14ac:dyDescent="0.45">
      <c r="A129" s="5"/>
      <c r="B129" s="4"/>
      <c r="C129" s="4"/>
      <c r="D129" s="4"/>
      <c r="E129" s="4"/>
      <c r="F129" s="4"/>
      <c r="G129" s="4"/>
      <c r="H129" s="1"/>
      <c r="I129" s="1"/>
    </row>
    <row r="130" spans="1:9" x14ac:dyDescent="0.45">
      <c r="A130" s="5"/>
      <c r="B130" s="4"/>
      <c r="C130" s="4"/>
      <c r="D130" s="4"/>
      <c r="E130" s="4"/>
      <c r="F130" s="4"/>
      <c r="G130" s="4"/>
      <c r="H130" s="1"/>
      <c r="I130" s="1"/>
    </row>
    <row r="131" spans="1:9" x14ac:dyDescent="0.45">
      <c r="A131" s="5"/>
      <c r="B131" s="4"/>
      <c r="C131" s="4"/>
      <c r="D131" s="4"/>
      <c r="E131" s="4"/>
      <c r="F131" s="4"/>
      <c r="G131" s="4"/>
      <c r="H131" s="1"/>
      <c r="I131" s="1"/>
    </row>
    <row r="132" spans="1:9" x14ac:dyDescent="0.45">
      <c r="A132" s="5"/>
      <c r="B132" s="4"/>
      <c r="C132" s="4"/>
      <c r="D132" s="4"/>
      <c r="E132" s="4"/>
      <c r="F132" s="4"/>
      <c r="G132" s="4"/>
      <c r="H132" s="1"/>
      <c r="I132" s="1"/>
    </row>
    <row r="133" spans="1:9" x14ac:dyDescent="0.45">
      <c r="A133" s="5"/>
      <c r="B133" s="4"/>
      <c r="C133" s="4"/>
      <c r="D133" s="4"/>
      <c r="E133" s="4"/>
      <c r="F133" s="4"/>
      <c r="G133" s="4"/>
      <c r="H133" s="1"/>
      <c r="I133" s="1"/>
    </row>
    <row r="134" spans="1:9" x14ac:dyDescent="0.45">
      <c r="A134" s="5"/>
      <c r="B134" s="4"/>
      <c r="C134" s="4"/>
      <c r="D134" s="4"/>
      <c r="E134" s="4"/>
      <c r="F134" s="4"/>
      <c r="G134" s="4"/>
      <c r="H134" s="1"/>
      <c r="I134" s="1"/>
    </row>
    <row r="135" spans="1:9" x14ac:dyDescent="0.45">
      <c r="A135" s="5"/>
      <c r="B135" s="4"/>
      <c r="C135" s="4"/>
      <c r="D135" s="4"/>
      <c r="E135" s="4"/>
      <c r="F135" s="4"/>
      <c r="G135" s="4"/>
      <c r="H135" s="1"/>
      <c r="I135" s="1"/>
    </row>
    <row r="136" spans="1:9" x14ac:dyDescent="0.45">
      <c r="A136" s="5"/>
      <c r="B136" s="4"/>
      <c r="C136" s="4"/>
      <c r="D136" s="4"/>
      <c r="E136" s="4"/>
      <c r="F136" s="4"/>
      <c r="G136" s="4"/>
      <c r="H136" s="1"/>
      <c r="I136" s="1"/>
    </row>
    <row r="137" spans="1:9" x14ac:dyDescent="0.45">
      <c r="A137" s="5"/>
      <c r="B137" s="4"/>
      <c r="C137" s="4"/>
      <c r="D137" s="4"/>
      <c r="E137" s="4"/>
      <c r="F137" s="4"/>
      <c r="G137" s="4"/>
      <c r="H137" s="1"/>
      <c r="I137" s="1"/>
    </row>
    <row r="138" spans="1:9" x14ac:dyDescent="0.45">
      <c r="A138" s="5"/>
      <c r="B138" s="4"/>
      <c r="C138" s="4"/>
      <c r="D138" s="4"/>
      <c r="E138" s="4"/>
      <c r="F138" s="4"/>
      <c r="G138" s="4"/>
      <c r="H138" s="1"/>
      <c r="I138" s="1"/>
    </row>
    <row r="139" spans="1:9" x14ac:dyDescent="0.45">
      <c r="A139" s="5"/>
      <c r="B139" s="4"/>
      <c r="C139" s="4"/>
      <c r="D139" s="4"/>
      <c r="E139" s="4"/>
      <c r="F139" s="4"/>
      <c r="G139" s="4"/>
      <c r="H139" s="1"/>
      <c r="I139" s="1"/>
    </row>
    <row r="140" spans="1:9" x14ac:dyDescent="0.45">
      <c r="A140" s="5"/>
      <c r="B140" s="4"/>
      <c r="C140" s="4"/>
      <c r="D140" s="4"/>
      <c r="E140" s="4"/>
      <c r="F140" s="4"/>
      <c r="G140" s="4"/>
      <c r="H140" s="1"/>
      <c r="I140" s="1"/>
    </row>
    <row r="141" spans="1:9" x14ac:dyDescent="0.45">
      <c r="A141" s="5"/>
      <c r="B141" s="4"/>
      <c r="C141" s="4"/>
      <c r="D141" s="4"/>
      <c r="E141" s="4"/>
      <c r="F141" s="4"/>
      <c r="G141" s="4"/>
      <c r="H141" s="1"/>
      <c r="I141" s="1"/>
    </row>
    <row r="142" spans="1:9" x14ac:dyDescent="0.45">
      <c r="A142" s="5"/>
      <c r="B142" s="4"/>
      <c r="C142" s="4"/>
      <c r="D142" s="4"/>
      <c r="E142" s="4"/>
      <c r="F142" s="4"/>
      <c r="G142" s="4"/>
      <c r="H142" s="1"/>
      <c r="I142" s="1"/>
    </row>
    <row r="143" spans="1:9" x14ac:dyDescent="0.45">
      <c r="A143" s="5"/>
      <c r="B143" s="4"/>
      <c r="C143" s="4"/>
      <c r="D143" s="4"/>
      <c r="E143" s="4"/>
      <c r="F143" s="4"/>
      <c r="G143" s="4"/>
      <c r="H143" s="1"/>
      <c r="I143" s="1"/>
    </row>
    <row r="144" spans="1:9" x14ac:dyDescent="0.45">
      <c r="A144" s="5"/>
      <c r="B144" s="4"/>
      <c r="C144" s="4"/>
      <c r="D144" s="4"/>
      <c r="E144" s="4"/>
      <c r="F144" s="4"/>
      <c r="G144" s="4"/>
      <c r="H144" s="1"/>
      <c r="I144" s="1"/>
    </row>
    <row r="145" spans="1:9" x14ac:dyDescent="0.45">
      <c r="A145" s="5"/>
      <c r="B145" s="4"/>
      <c r="C145" s="4"/>
      <c r="D145" s="4"/>
      <c r="E145" s="4"/>
      <c r="F145" s="4"/>
      <c r="G145" s="4"/>
      <c r="H145" s="1"/>
      <c r="I145" s="1"/>
    </row>
    <row r="146" spans="1:9" x14ac:dyDescent="0.45">
      <c r="A146" s="5"/>
      <c r="B146" s="4"/>
      <c r="C146" s="4"/>
      <c r="D146" s="4"/>
      <c r="E146" s="4"/>
      <c r="F146" s="4"/>
      <c r="G146" s="4"/>
      <c r="H146" s="1"/>
      <c r="I146" s="1"/>
    </row>
    <row r="147" spans="1:9" x14ac:dyDescent="0.45">
      <c r="A147" s="5"/>
      <c r="B147" s="4"/>
      <c r="C147" s="4"/>
      <c r="D147" s="4"/>
      <c r="E147" s="4"/>
      <c r="F147" s="4"/>
      <c r="G147" s="4"/>
      <c r="H147" s="1"/>
      <c r="I147" s="1"/>
    </row>
    <row r="148" spans="1:9" x14ac:dyDescent="0.45">
      <c r="A148" s="5"/>
      <c r="B148" s="4"/>
      <c r="C148" s="4"/>
      <c r="D148" s="4"/>
      <c r="E148" s="4"/>
      <c r="F148" s="4"/>
      <c r="G148" s="4"/>
      <c r="H148" s="1"/>
      <c r="I148" s="1"/>
    </row>
    <row r="149" spans="1:9" x14ac:dyDescent="0.45">
      <c r="A149" s="5"/>
      <c r="B149" s="4"/>
      <c r="C149" s="4"/>
      <c r="D149" s="4"/>
      <c r="E149" s="4"/>
      <c r="F149" s="4"/>
      <c r="G149" s="4"/>
      <c r="H149" s="1"/>
      <c r="I149" s="1"/>
    </row>
    <row r="150" spans="1:9" x14ac:dyDescent="0.45">
      <c r="A150" s="5"/>
      <c r="B150" s="4"/>
      <c r="C150" s="4"/>
      <c r="D150" s="4"/>
      <c r="E150" s="4"/>
      <c r="F150" s="4"/>
      <c r="G150" s="4"/>
      <c r="H150" s="1"/>
      <c r="I150" s="1"/>
    </row>
    <row r="151" spans="1:9" x14ac:dyDescent="0.45">
      <c r="A151" s="5"/>
      <c r="B151" s="4"/>
      <c r="C151" s="4"/>
      <c r="D151" s="4"/>
      <c r="E151" s="4"/>
      <c r="F151" s="4"/>
      <c r="G151" s="4"/>
      <c r="H151" s="1"/>
      <c r="I151" s="1"/>
    </row>
    <row r="152" spans="1:9" x14ac:dyDescent="0.45">
      <c r="A152" s="5"/>
      <c r="B152" s="4"/>
      <c r="C152" s="4"/>
      <c r="D152" s="4"/>
      <c r="E152" s="4"/>
      <c r="F152" s="4"/>
      <c r="G152" s="4"/>
      <c r="H152" s="1"/>
      <c r="I152" s="1"/>
    </row>
    <row r="153" spans="1:9" x14ac:dyDescent="0.45">
      <c r="A153" s="5"/>
      <c r="B153" s="4"/>
      <c r="C153" s="4"/>
      <c r="D153" s="4"/>
      <c r="E153" s="4"/>
      <c r="F153" s="4"/>
      <c r="G153" s="4"/>
      <c r="H153" s="1"/>
      <c r="I153" s="1"/>
    </row>
    <row r="154" spans="1:9" x14ac:dyDescent="0.45">
      <c r="A154" s="5"/>
      <c r="B154" s="4"/>
      <c r="C154" s="4"/>
      <c r="D154" s="4"/>
      <c r="E154" s="4"/>
      <c r="F154" s="4"/>
      <c r="G154" s="4"/>
      <c r="H154" s="1"/>
      <c r="I154" s="1"/>
    </row>
    <row r="155" spans="1:9" x14ac:dyDescent="0.45">
      <c r="A155" s="5"/>
      <c r="B155" s="4"/>
      <c r="C155" s="4"/>
      <c r="D155" s="4"/>
      <c r="E155" s="4"/>
      <c r="F155" s="4"/>
      <c r="G155" s="4"/>
      <c r="H155" s="1"/>
      <c r="I155" s="1"/>
    </row>
    <row r="156" spans="1:9" x14ac:dyDescent="0.45">
      <c r="A156" s="5"/>
      <c r="B156" s="4"/>
      <c r="C156" s="4"/>
      <c r="D156" s="4"/>
      <c r="E156" s="4"/>
      <c r="F156" s="4"/>
      <c r="G156" s="4"/>
      <c r="H156" s="1"/>
      <c r="I156" s="1"/>
    </row>
    <row r="157" spans="1:9" x14ac:dyDescent="0.45">
      <c r="A157" s="5"/>
      <c r="B157" s="4"/>
      <c r="C157" s="4"/>
      <c r="D157" s="4"/>
      <c r="E157" s="4"/>
      <c r="F157" s="4"/>
      <c r="G157" s="4"/>
      <c r="H157" s="1"/>
      <c r="I157" s="1"/>
    </row>
    <row r="158" spans="1:9" x14ac:dyDescent="0.45">
      <c r="A158" s="5"/>
      <c r="B158" s="4"/>
      <c r="C158" s="4"/>
      <c r="D158" s="4"/>
      <c r="E158" s="4"/>
      <c r="F158" s="4"/>
      <c r="G158" s="4"/>
      <c r="H158" s="1"/>
      <c r="I158" s="1"/>
    </row>
    <row r="159" spans="1:9" x14ac:dyDescent="0.45">
      <c r="A159" s="5"/>
      <c r="B159" s="4"/>
      <c r="C159" s="4"/>
      <c r="D159" s="4"/>
      <c r="E159" s="4"/>
      <c r="F159" s="4"/>
      <c r="G159" s="4"/>
      <c r="H159" s="1"/>
      <c r="I159" s="1"/>
    </row>
    <row r="160" spans="1:9" x14ac:dyDescent="0.45">
      <c r="A160" s="5"/>
      <c r="B160" s="4"/>
      <c r="C160" s="4"/>
      <c r="D160" s="4"/>
      <c r="E160" s="4"/>
      <c r="F160" s="4"/>
      <c r="G160" s="4"/>
      <c r="H160" s="1"/>
      <c r="I160" s="1"/>
    </row>
    <row r="161" spans="1:9" x14ac:dyDescent="0.45">
      <c r="A161" s="5"/>
      <c r="B161" s="4"/>
      <c r="C161" s="4"/>
      <c r="D161" s="4"/>
      <c r="E161" s="4"/>
      <c r="F161" s="4"/>
      <c r="G161" s="4"/>
      <c r="H161" s="1"/>
      <c r="I161" s="1"/>
    </row>
    <row r="162" spans="1:9" x14ac:dyDescent="0.45">
      <c r="A162" s="5"/>
      <c r="B162" s="4"/>
      <c r="C162" s="4"/>
      <c r="D162" s="4"/>
      <c r="E162" s="4"/>
      <c r="F162" s="4"/>
      <c r="G162" s="4"/>
      <c r="H162" s="1"/>
      <c r="I162" s="1"/>
    </row>
    <row r="163" spans="1:9" x14ac:dyDescent="0.45">
      <c r="A163" s="5"/>
      <c r="B163" s="4"/>
      <c r="C163" s="4"/>
      <c r="D163" s="4"/>
      <c r="E163" s="4"/>
      <c r="F163" s="4"/>
      <c r="G163" s="4"/>
      <c r="H163" s="1"/>
      <c r="I163" s="1"/>
    </row>
    <row r="164" spans="1:9" x14ac:dyDescent="0.45">
      <c r="A164" s="5"/>
      <c r="B164" s="4"/>
      <c r="C164" s="4"/>
      <c r="D164" s="4"/>
      <c r="E164" s="4"/>
      <c r="F164" s="4"/>
      <c r="G164" s="4"/>
      <c r="H164" s="1"/>
      <c r="I164" s="1"/>
    </row>
    <row r="165" spans="1:9" x14ac:dyDescent="0.45">
      <c r="A165" s="5"/>
      <c r="B165" s="4"/>
      <c r="C165" s="4"/>
      <c r="D165" s="4"/>
      <c r="E165" s="4"/>
      <c r="F165" s="4"/>
      <c r="G165" s="4"/>
      <c r="H165" s="1"/>
      <c r="I165" s="1"/>
    </row>
    <row r="166" spans="1:9" x14ac:dyDescent="0.45">
      <c r="A166" s="5"/>
      <c r="B166" s="4"/>
      <c r="C166" s="4"/>
      <c r="D166" s="4"/>
      <c r="E166" s="4"/>
      <c r="F166" s="4"/>
      <c r="G166" s="4"/>
      <c r="H166" s="1"/>
      <c r="I166" s="1"/>
    </row>
    <row r="167" spans="1:9" x14ac:dyDescent="0.45">
      <c r="A167" s="5"/>
      <c r="B167" s="4"/>
      <c r="C167" s="4"/>
      <c r="D167" s="4"/>
      <c r="E167" s="4"/>
      <c r="F167" s="4"/>
      <c r="G167" s="4"/>
      <c r="H167" s="1"/>
      <c r="I167" s="1"/>
    </row>
    <row r="168" spans="1:9" x14ac:dyDescent="0.45">
      <c r="A168" s="5"/>
      <c r="B168" s="4"/>
      <c r="C168" s="4"/>
      <c r="D168" s="4"/>
      <c r="E168" s="4"/>
      <c r="F168" s="4"/>
      <c r="G168" s="4"/>
      <c r="H168" s="1"/>
      <c r="I168" s="1"/>
    </row>
    <row r="169" spans="1:9" x14ac:dyDescent="0.45">
      <c r="A169" s="5"/>
      <c r="B169" s="4"/>
      <c r="C169" s="4"/>
      <c r="D169" s="4"/>
      <c r="E169" s="4"/>
      <c r="F169" s="4"/>
      <c r="G169" s="4"/>
      <c r="H169" s="1"/>
      <c r="I169" s="1"/>
    </row>
    <row r="170" spans="1:9" x14ac:dyDescent="0.45">
      <c r="A170" s="5"/>
      <c r="B170" s="4"/>
      <c r="C170" s="4"/>
      <c r="D170" s="4"/>
      <c r="E170" s="4"/>
      <c r="F170" s="4"/>
      <c r="G170" s="4"/>
      <c r="H170" s="1"/>
      <c r="I170" s="1"/>
    </row>
    <row r="171" spans="1:9" x14ac:dyDescent="0.45">
      <c r="A171" s="5"/>
      <c r="B171" s="4"/>
      <c r="C171" s="4"/>
      <c r="D171" s="4"/>
      <c r="E171" s="4"/>
      <c r="F171" s="4"/>
      <c r="G171" s="4"/>
      <c r="H171" s="1"/>
      <c r="I171" s="1"/>
    </row>
    <row r="172" spans="1:9" x14ac:dyDescent="0.45">
      <c r="A172" s="5"/>
      <c r="B172" s="4"/>
      <c r="C172" s="4"/>
      <c r="D172" s="4"/>
      <c r="E172" s="4"/>
      <c r="F172" s="4"/>
      <c r="G172" s="4"/>
      <c r="H172" s="1"/>
      <c r="I172" s="1"/>
    </row>
    <row r="173" spans="1:9" x14ac:dyDescent="0.45">
      <c r="A173" s="5"/>
      <c r="B173" s="4"/>
      <c r="C173" s="4"/>
      <c r="D173" s="4"/>
      <c r="E173" s="4"/>
      <c r="F173" s="4"/>
      <c r="G173" s="4"/>
      <c r="H173" s="1"/>
      <c r="I173" s="1"/>
    </row>
    <row r="174" spans="1:9" x14ac:dyDescent="0.45">
      <c r="A174" s="5"/>
      <c r="B174" s="4"/>
      <c r="C174" s="4"/>
      <c r="D174" s="4"/>
      <c r="E174" s="4"/>
      <c r="F174" s="4"/>
      <c r="G174" s="4"/>
      <c r="H174" s="1"/>
      <c r="I174" s="1"/>
    </row>
    <row r="175" spans="1:9" x14ac:dyDescent="0.45">
      <c r="A175" s="5"/>
      <c r="B175" s="4"/>
      <c r="C175" s="4"/>
      <c r="D175" s="4"/>
      <c r="E175" s="4"/>
      <c r="F175" s="4"/>
      <c r="G175" s="4"/>
      <c r="H175" s="1"/>
      <c r="I175" s="1"/>
    </row>
    <row r="176" spans="1:9" x14ac:dyDescent="0.45">
      <c r="A176" s="5"/>
      <c r="B176" s="4"/>
      <c r="C176" s="4"/>
      <c r="D176" s="4"/>
      <c r="E176" s="4"/>
      <c r="F176" s="4"/>
      <c r="G176" s="4"/>
      <c r="H176" s="1"/>
      <c r="I176" s="1"/>
    </row>
    <row r="177" spans="1:9" x14ac:dyDescent="0.45">
      <c r="A177" s="5"/>
      <c r="B177" s="4"/>
      <c r="C177" s="4"/>
      <c r="D177" s="4"/>
      <c r="E177" s="4"/>
      <c r="F177" s="4"/>
      <c r="G177" s="4"/>
      <c r="H177" s="1"/>
      <c r="I177" s="1"/>
    </row>
    <row r="178" spans="1:9" x14ac:dyDescent="0.45">
      <c r="A178" s="5"/>
      <c r="B178" s="4"/>
      <c r="C178" s="4"/>
      <c r="D178" s="4"/>
      <c r="E178" s="4"/>
      <c r="F178" s="4"/>
      <c r="G178" s="4"/>
      <c r="H178" s="1"/>
      <c r="I178" s="1"/>
    </row>
    <row r="179" spans="1:9" x14ac:dyDescent="0.45">
      <c r="A179" s="5"/>
      <c r="B179" s="4"/>
      <c r="C179" s="4"/>
      <c r="D179" s="4"/>
      <c r="E179" s="4"/>
      <c r="F179" s="4"/>
      <c r="G179" s="4"/>
      <c r="H179" s="1"/>
      <c r="I179" s="1"/>
    </row>
    <row r="180" spans="1:9" x14ac:dyDescent="0.45">
      <c r="A180" s="5"/>
      <c r="B180" s="4"/>
      <c r="C180" s="4"/>
      <c r="D180" s="4"/>
      <c r="E180" s="4"/>
      <c r="F180" s="4"/>
      <c r="G180" s="4"/>
      <c r="H180" s="1"/>
      <c r="I180" s="1"/>
    </row>
    <row r="181" spans="1:9" x14ac:dyDescent="0.45">
      <c r="A181" s="5"/>
      <c r="B181" s="4"/>
      <c r="C181" s="4"/>
      <c r="D181" s="4"/>
      <c r="E181" s="4"/>
      <c r="F181" s="4"/>
      <c r="G181" s="4"/>
      <c r="H181" s="1"/>
      <c r="I181" s="1"/>
    </row>
    <row r="182" spans="1:9" x14ac:dyDescent="0.45">
      <c r="A182" s="5"/>
      <c r="B182" s="4"/>
      <c r="C182" s="4"/>
      <c r="D182" s="4"/>
      <c r="E182" s="4"/>
      <c r="F182" s="4"/>
      <c r="G182" s="4"/>
      <c r="H182" s="1"/>
      <c r="I182" s="1"/>
    </row>
    <row r="183" spans="1:9" x14ac:dyDescent="0.45">
      <c r="A183" s="5"/>
      <c r="B183" s="4"/>
      <c r="C183" s="4"/>
      <c r="D183" s="4"/>
      <c r="E183" s="4"/>
      <c r="F183" s="4"/>
      <c r="G183" s="4"/>
      <c r="H183" s="1"/>
      <c r="I183" s="1"/>
    </row>
    <row r="184" spans="1:9" x14ac:dyDescent="0.45">
      <c r="A184" s="5"/>
      <c r="B184" s="4"/>
      <c r="C184" s="4"/>
      <c r="D184" s="4"/>
      <c r="E184" s="4"/>
      <c r="F184" s="4"/>
      <c r="G184" s="4"/>
      <c r="H184" s="1"/>
      <c r="I184" s="1"/>
    </row>
    <row r="185" spans="1:9" x14ac:dyDescent="0.45">
      <c r="A185" s="5"/>
      <c r="B185" s="4"/>
      <c r="C185" s="4"/>
      <c r="D185" s="4"/>
      <c r="E185" s="4"/>
      <c r="F185" s="4"/>
      <c r="G185" s="4"/>
      <c r="H185" s="1"/>
      <c r="I185" s="1"/>
    </row>
    <row r="186" spans="1:9" x14ac:dyDescent="0.45">
      <c r="A186" s="5"/>
      <c r="B186" s="4"/>
      <c r="C186" s="4"/>
      <c r="D186" s="4"/>
      <c r="E186" s="4"/>
      <c r="F186" s="4"/>
      <c r="G186" s="4"/>
      <c r="H186" s="1"/>
      <c r="I186" s="1"/>
    </row>
    <row r="187" spans="1:9" x14ac:dyDescent="0.45">
      <c r="A187" s="5"/>
      <c r="B187" s="4"/>
      <c r="C187" s="4"/>
      <c r="D187" s="4"/>
      <c r="E187" s="4"/>
      <c r="F187" s="4"/>
      <c r="G187" s="4"/>
      <c r="H187" s="1"/>
      <c r="I187" s="1"/>
    </row>
    <row r="188" spans="1:9" x14ac:dyDescent="0.45">
      <c r="A188" s="5"/>
      <c r="B188" s="4"/>
      <c r="C188" s="4"/>
      <c r="D188" s="4"/>
      <c r="E188" s="4"/>
      <c r="F188" s="4"/>
      <c r="G188" s="4"/>
      <c r="H188" s="1"/>
      <c r="I188" s="1"/>
    </row>
    <row r="189" spans="1:9" x14ac:dyDescent="0.45">
      <c r="A189" s="5"/>
      <c r="B189" s="4"/>
      <c r="C189" s="4"/>
      <c r="D189" s="4"/>
      <c r="E189" s="4"/>
      <c r="F189" s="4"/>
      <c r="G189" s="4"/>
      <c r="H189" s="1"/>
      <c r="I189" s="1"/>
    </row>
    <row r="190" spans="1:9" x14ac:dyDescent="0.45">
      <c r="A190" s="5"/>
      <c r="B190" s="4"/>
      <c r="C190" s="4"/>
      <c r="D190" s="4"/>
      <c r="E190" s="4"/>
      <c r="F190" s="4"/>
      <c r="G190" s="4"/>
      <c r="H190" s="1"/>
      <c r="I190" s="1"/>
    </row>
    <row r="191" spans="1:9" x14ac:dyDescent="0.45">
      <c r="A191" s="5"/>
      <c r="B191" s="4"/>
      <c r="C191" s="4"/>
      <c r="D191" s="4"/>
      <c r="E191" s="4"/>
      <c r="F191" s="4"/>
      <c r="G191" s="4"/>
      <c r="H191" s="1"/>
      <c r="I191" s="1"/>
    </row>
    <row r="192" spans="1:9" x14ac:dyDescent="0.45">
      <c r="A192" s="5"/>
      <c r="B192" s="4"/>
      <c r="C192" s="4"/>
      <c r="D192" s="4"/>
      <c r="E192" s="4"/>
      <c r="F192" s="4"/>
      <c r="G192" s="4"/>
      <c r="H192" s="1"/>
      <c r="I192" s="1"/>
    </row>
    <row r="193" spans="1:9" x14ac:dyDescent="0.45">
      <c r="A193" s="5"/>
      <c r="B193" s="4"/>
      <c r="C193" s="4"/>
      <c r="D193" s="4"/>
      <c r="E193" s="4"/>
      <c r="F193" s="4"/>
      <c r="G193" s="4"/>
      <c r="H193" s="1"/>
      <c r="I193" s="1"/>
    </row>
    <row r="194" spans="1:9" x14ac:dyDescent="0.45">
      <c r="A194" s="5"/>
      <c r="B194" s="4"/>
      <c r="C194" s="4"/>
      <c r="D194" s="4"/>
      <c r="E194" s="4"/>
      <c r="F194" s="4"/>
      <c r="G194" s="4"/>
      <c r="H194" s="1"/>
      <c r="I194" s="1"/>
    </row>
    <row r="195" spans="1:9" x14ac:dyDescent="0.45">
      <c r="A195" s="5"/>
      <c r="B195" s="4"/>
      <c r="C195" s="4"/>
      <c r="D195" s="4"/>
      <c r="E195" s="4"/>
      <c r="F195" s="4"/>
      <c r="G195" s="4"/>
      <c r="H195" s="1"/>
      <c r="I195" s="1"/>
    </row>
    <row r="196" spans="1:9" x14ac:dyDescent="0.45">
      <c r="A196" s="5"/>
      <c r="B196" s="4"/>
      <c r="C196" s="4"/>
      <c r="D196" s="4"/>
      <c r="E196" s="4"/>
      <c r="F196" s="4"/>
      <c r="G196" s="4"/>
      <c r="H196" s="1"/>
      <c r="I196" s="1"/>
    </row>
    <row r="197" spans="1:9" x14ac:dyDescent="0.45">
      <c r="A197" s="5"/>
      <c r="B197" s="4"/>
      <c r="C197" s="4"/>
      <c r="D197" s="4"/>
      <c r="E197" s="4"/>
      <c r="F197" s="4"/>
      <c r="G197" s="4"/>
      <c r="H197" s="1"/>
      <c r="I197" s="1"/>
    </row>
    <row r="198" spans="1:9" x14ac:dyDescent="0.45">
      <c r="A198" s="5"/>
      <c r="B198" s="4"/>
      <c r="C198" s="4"/>
      <c r="D198" s="4"/>
      <c r="E198" s="4"/>
      <c r="F198" s="4"/>
      <c r="G198" s="4"/>
      <c r="H198" s="1"/>
      <c r="I198" s="1"/>
    </row>
    <row r="199" spans="1:9" x14ac:dyDescent="0.45">
      <c r="A199" s="5"/>
      <c r="B199" s="4"/>
      <c r="C199" s="4"/>
      <c r="D199" s="4"/>
      <c r="E199" s="4"/>
      <c r="F199" s="4"/>
      <c r="G199" s="4"/>
      <c r="H199" s="1"/>
      <c r="I199" s="1"/>
    </row>
    <row r="200" spans="1:9" x14ac:dyDescent="0.45">
      <c r="A200" s="5"/>
      <c r="B200" s="4"/>
      <c r="C200" s="4"/>
      <c r="D200" s="4"/>
      <c r="E200" s="4"/>
      <c r="F200" s="4"/>
      <c r="G200" s="4"/>
      <c r="H200" s="1"/>
      <c r="I200" s="1"/>
    </row>
    <row r="201" spans="1:9" x14ac:dyDescent="0.45">
      <c r="A201" s="5"/>
      <c r="B201" s="4"/>
      <c r="C201" s="4"/>
      <c r="D201" s="4"/>
      <c r="E201" s="4"/>
      <c r="F201" s="4"/>
      <c r="G201" s="4"/>
      <c r="H201" s="1"/>
      <c r="I201" s="1"/>
    </row>
    <row r="202" spans="1:9" x14ac:dyDescent="0.45">
      <c r="A202" s="5"/>
      <c r="B202" s="4"/>
      <c r="C202" s="4"/>
      <c r="D202" s="4"/>
      <c r="E202" s="4"/>
      <c r="F202" s="4"/>
      <c r="G202" s="4"/>
      <c r="H202" s="1"/>
      <c r="I202" s="1"/>
    </row>
    <row r="203" spans="1:9" x14ac:dyDescent="0.45">
      <c r="A203" s="5"/>
      <c r="B203" s="4"/>
      <c r="C203" s="4"/>
      <c r="D203" s="4"/>
      <c r="E203" s="4"/>
      <c r="F203" s="4"/>
      <c r="G203" s="4"/>
      <c r="H203" s="1"/>
      <c r="I203" s="1"/>
    </row>
    <row r="204" spans="1:9" x14ac:dyDescent="0.45">
      <c r="A204" s="5"/>
      <c r="B204" s="4"/>
      <c r="C204" s="4"/>
      <c r="D204" s="4"/>
      <c r="E204" s="4"/>
      <c r="F204" s="4"/>
      <c r="G204" s="4"/>
      <c r="H204" s="1"/>
      <c r="I204" s="1"/>
    </row>
    <row r="205" spans="1:9" x14ac:dyDescent="0.45">
      <c r="A205" s="5"/>
      <c r="B205" s="4"/>
      <c r="C205" s="4"/>
      <c r="D205" s="4"/>
      <c r="E205" s="4"/>
      <c r="F205" s="4"/>
      <c r="G205" s="4"/>
      <c r="H205" s="1"/>
      <c r="I205" s="1"/>
    </row>
    <row r="206" spans="1:9" x14ac:dyDescent="0.45">
      <c r="A206" s="5"/>
      <c r="B206" s="4"/>
      <c r="C206" s="4"/>
      <c r="D206" s="4"/>
      <c r="E206" s="4"/>
      <c r="F206" s="4"/>
      <c r="G206" s="4"/>
      <c r="H206" s="1"/>
      <c r="I206" s="1"/>
    </row>
    <row r="207" spans="1:9" x14ac:dyDescent="0.45">
      <c r="A207" s="5"/>
      <c r="B207" s="4"/>
      <c r="C207" s="4"/>
      <c r="D207" s="4"/>
      <c r="E207" s="4"/>
      <c r="F207" s="4"/>
      <c r="G207" s="4"/>
      <c r="H207" s="1"/>
      <c r="I207" s="1"/>
    </row>
    <row r="208" spans="1:9" x14ac:dyDescent="0.45">
      <c r="A208" s="5"/>
      <c r="B208" s="4"/>
      <c r="C208" s="4"/>
      <c r="D208" s="4"/>
      <c r="E208" s="4"/>
      <c r="F208" s="4"/>
      <c r="G208" s="4"/>
      <c r="H208" s="1"/>
      <c r="I208" s="1"/>
    </row>
    <row r="209" spans="1:9" x14ac:dyDescent="0.45">
      <c r="A209" s="5"/>
      <c r="B209" s="4"/>
      <c r="C209" s="4"/>
      <c r="D209" s="4"/>
      <c r="E209" s="4"/>
      <c r="F209" s="4"/>
      <c r="G209" s="4"/>
      <c r="H209" s="1"/>
      <c r="I209" s="1"/>
    </row>
    <row r="210" spans="1:9" x14ac:dyDescent="0.45">
      <c r="A210" s="5"/>
      <c r="B210" s="4"/>
      <c r="C210" s="4"/>
      <c r="D210" s="4"/>
      <c r="E210" s="4"/>
      <c r="F210" s="4"/>
      <c r="G210" s="4"/>
      <c r="H210" s="1"/>
      <c r="I210" s="1"/>
    </row>
    <row r="211" spans="1:9" x14ac:dyDescent="0.45">
      <c r="A211" s="5"/>
      <c r="B211" s="4"/>
      <c r="C211" s="4"/>
      <c r="D211" s="4"/>
      <c r="E211" s="4"/>
      <c r="F211" s="4"/>
      <c r="G211" s="4"/>
      <c r="H211" s="1"/>
      <c r="I211" s="1"/>
    </row>
    <row r="212" spans="1:9" x14ac:dyDescent="0.45">
      <c r="A212" s="5"/>
      <c r="B212" s="4"/>
      <c r="C212" s="4"/>
      <c r="D212" s="4"/>
      <c r="E212" s="4"/>
      <c r="F212" s="4"/>
      <c r="G212" s="4"/>
      <c r="H212" s="1"/>
      <c r="I212" s="1"/>
    </row>
    <row r="213" spans="1:9" x14ac:dyDescent="0.45">
      <c r="A213" s="5"/>
      <c r="B213" s="4"/>
      <c r="C213" s="4"/>
      <c r="D213" s="4"/>
      <c r="E213" s="4"/>
      <c r="F213" s="4"/>
      <c r="G213" s="4"/>
      <c r="H213" s="1"/>
      <c r="I213" s="1"/>
    </row>
    <row r="214" spans="1:9" x14ac:dyDescent="0.45">
      <c r="A214" s="5"/>
      <c r="B214" s="4"/>
      <c r="C214" s="4"/>
      <c r="D214" s="4"/>
      <c r="E214" s="4"/>
      <c r="F214" s="4"/>
      <c r="G214" s="4"/>
      <c r="H214" s="1"/>
      <c r="I214" s="1"/>
    </row>
    <row r="215" spans="1:9" x14ac:dyDescent="0.45">
      <c r="A215" s="5"/>
      <c r="B215" s="4"/>
      <c r="C215" s="4"/>
      <c r="D215" s="4"/>
      <c r="E215" s="4"/>
      <c r="F215" s="4"/>
      <c r="G215" s="4"/>
      <c r="H215" s="1"/>
      <c r="I215" s="1"/>
    </row>
    <row r="216" spans="1:9" x14ac:dyDescent="0.45">
      <c r="A216" s="5"/>
      <c r="B216" s="4"/>
      <c r="C216" s="4"/>
      <c r="D216" s="4"/>
      <c r="E216" s="4"/>
      <c r="F216" s="4"/>
      <c r="G216" s="4"/>
      <c r="H216" s="1"/>
      <c r="I216" s="1"/>
    </row>
    <row r="217" spans="1:9" x14ac:dyDescent="0.45">
      <c r="A217" s="5"/>
      <c r="B217" s="4"/>
      <c r="C217" s="4"/>
      <c r="D217" s="4"/>
      <c r="E217" s="4"/>
      <c r="F217" s="4"/>
      <c r="G217" s="4"/>
      <c r="H217" s="1"/>
      <c r="I217" s="1"/>
    </row>
    <row r="218" spans="1:9" x14ac:dyDescent="0.45">
      <c r="A218" s="5"/>
      <c r="B218" s="4"/>
      <c r="C218" s="4"/>
      <c r="D218" s="4"/>
      <c r="E218" s="4"/>
      <c r="F218" s="4"/>
      <c r="G218" s="4"/>
      <c r="H218" s="1"/>
      <c r="I218" s="1"/>
    </row>
    <row r="219" spans="1:9" x14ac:dyDescent="0.45">
      <c r="A219" s="5"/>
      <c r="B219" s="4"/>
      <c r="C219" s="4"/>
      <c r="D219" s="4"/>
      <c r="E219" s="4"/>
      <c r="F219" s="4"/>
      <c r="G219" s="4"/>
      <c r="H219" s="1"/>
      <c r="I219" s="1"/>
    </row>
    <row r="220" spans="1:9" x14ac:dyDescent="0.45">
      <c r="A220" s="5"/>
      <c r="B220" s="4"/>
      <c r="C220" s="4"/>
      <c r="D220" s="4"/>
      <c r="E220" s="4"/>
      <c r="F220" s="4"/>
      <c r="G220" s="4"/>
      <c r="H220" s="1"/>
      <c r="I220" s="1"/>
    </row>
    <row r="221" spans="1:9" x14ac:dyDescent="0.45">
      <c r="A221" s="5"/>
      <c r="B221" s="4"/>
      <c r="C221" s="4"/>
      <c r="D221" s="4"/>
      <c r="E221" s="4"/>
      <c r="F221" s="4"/>
      <c r="G221" s="4"/>
      <c r="H221" s="1"/>
      <c r="I221" s="1"/>
    </row>
    <row r="222" spans="1:9" x14ac:dyDescent="0.45">
      <c r="A222" s="5"/>
      <c r="B222" s="4"/>
      <c r="C222" s="4"/>
      <c r="D222" s="4"/>
      <c r="E222" s="4"/>
      <c r="F222" s="4"/>
      <c r="G222" s="4"/>
      <c r="H222" s="1"/>
      <c r="I222" s="1"/>
    </row>
    <row r="223" spans="1:9" x14ac:dyDescent="0.45">
      <c r="A223" s="5"/>
      <c r="B223" s="4"/>
      <c r="C223" s="4"/>
      <c r="D223" s="4"/>
      <c r="E223" s="4"/>
      <c r="F223" s="4"/>
      <c r="G223" s="4"/>
      <c r="H223" s="1"/>
      <c r="I223" s="1"/>
    </row>
    <row r="224" spans="1:9" x14ac:dyDescent="0.45">
      <c r="A224" s="5"/>
      <c r="B224" s="4"/>
      <c r="C224" s="4"/>
      <c r="D224" s="4"/>
      <c r="E224" s="4"/>
      <c r="F224" s="4"/>
      <c r="G224" s="4"/>
      <c r="H224" s="1"/>
      <c r="I224" s="1"/>
    </row>
    <row r="225" spans="1:9" x14ac:dyDescent="0.45">
      <c r="A225" s="5"/>
      <c r="B225" s="4"/>
      <c r="C225" s="4"/>
      <c r="D225" s="4"/>
      <c r="E225" s="4"/>
      <c r="F225" s="4"/>
      <c r="G225" s="4"/>
      <c r="H225" s="1"/>
      <c r="I225" s="1"/>
    </row>
    <row r="226" spans="1:9" x14ac:dyDescent="0.45">
      <c r="A226" s="5"/>
      <c r="B226" s="4"/>
      <c r="C226" s="4"/>
      <c r="D226" s="4"/>
      <c r="E226" s="4"/>
      <c r="F226" s="4"/>
      <c r="G226" s="4"/>
      <c r="H226" s="1"/>
      <c r="I226" s="1"/>
    </row>
    <row r="227" spans="1:9" x14ac:dyDescent="0.45">
      <c r="A227" s="5"/>
      <c r="B227" s="4"/>
      <c r="C227" s="4"/>
      <c r="D227" s="4"/>
      <c r="E227" s="4"/>
      <c r="F227" s="4"/>
      <c r="G227" s="4"/>
      <c r="H227" s="1"/>
      <c r="I227" s="1"/>
    </row>
    <row r="228" spans="1:9" x14ac:dyDescent="0.45">
      <c r="A228" s="5"/>
      <c r="B228" s="4"/>
      <c r="C228" s="4"/>
      <c r="D228" s="4"/>
      <c r="E228" s="4"/>
      <c r="F228" s="4"/>
      <c r="G228" s="4"/>
      <c r="H228" s="1"/>
      <c r="I228" s="1"/>
    </row>
    <row r="229" spans="1:9" x14ac:dyDescent="0.45">
      <c r="A229" s="5"/>
      <c r="B229" s="4"/>
      <c r="C229" s="4"/>
      <c r="D229" s="4"/>
      <c r="E229" s="4"/>
      <c r="F229" s="4"/>
      <c r="G229" s="4"/>
      <c r="H229" s="1"/>
      <c r="I229" s="1"/>
    </row>
    <row r="230" spans="1:9" x14ac:dyDescent="0.45">
      <c r="A230" s="5"/>
      <c r="B230" s="4"/>
      <c r="C230" s="4"/>
      <c r="D230" s="4"/>
      <c r="E230" s="4"/>
      <c r="F230" s="4"/>
      <c r="G230" s="4"/>
      <c r="H230" s="1"/>
      <c r="I230" s="1"/>
    </row>
    <row r="231" spans="1:9" x14ac:dyDescent="0.45">
      <c r="A231" s="5"/>
      <c r="B231" s="4"/>
      <c r="C231" s="4"/>
      <c r="D231" s="4"/>
      <c r="E231" s="4"/>
      <c r="F231" s="4"/>
      <c r="G231" s="4"/>
      <c r="H231" s="1"/>
      <c r="I231" s="1"/>
    </row>
    <row r="232" spans="1:9" x14ac:dyDescent="0.45">
      <c r="A232" s="5"/>
      <c r="B232" s="4"/>
      <c r="C232" s="4"/>
      <c r="D232" s="4"/>
      <c r="E232" s="4"/>
      <c r="F232" s="4"/>
      <c r="G232" s="4"/>
      <c r="H232" s="1"/>
      <c r="I232" s="1"/>
    </row>
    <row r="233" spans="1:9" x14ac:dyDescent="0.45">
      <c r="A233" s="5"/>
      <c r="B233" s="4"/>
      <c r="C233" s="4"/>
      <c r="D233" s="4"/>
      <c r="E233" s="4"/>
      <c r="F233" s="4"/>
      <c r="G233" s="4"/>
      <c r="H233" s="1"/>
      <c r="I233" s="1"/>
    </row>
    <row r="234" spans="1:9" x14ac:dyDescent="0.45">
      <c r="A234" s="5"/>
      <c r="B234" s="4"/>
      <c r="C234" s="4"/>
      <c r="D234" s="4"/>
      <c r="E234" s="4"/>
      <c r="F234" s="4"/>
      <c r="G234" s="4"/>
      <c r="H234" s="1"/>
      <c r="I234" s="1"/>
    </row>
    <row r="235" spans="1:9" x14ac:dyDescent="0.45">
      <c r="A235" s="5"/>
      <c r="B235" s="4"/>
      <c r="C235" s="4"/>
      <c r="D235" s="4"/>
      <c r="E235" s="4"/>
      <c r="F235" s="4"/>
      <c r="G235" s="4"/>
      <c r="H235" s="1"/>
      <c r="I235" s="1"/>
    </row>
    <row r="236" spans="1:9" x14ac:dyDescent="0.45">
      <c r="A236" s="5"/>
      <c r="B236" s="4"/>
      <c r="C236" s="4"/>
      <c r="D236" s="4"/>
      <c r="E236" s="4"/>
      <c r="F236" s="4"/>
      <c r="G236" s="4"/>
      <c r="H236" s="1"/>
      <c r="I236" s="1"/>
    </row>
    <row r="237" spans="1:9" x14ac:dyDescent="0.45">
      <c r="A237" s="5"/>
      <c r="B237" s="4"/>
      <c r="C237" s="4"/>
      <c r="D237" s="4"/>
      <c r="E237" s="4"/>
      <c r="F237" s="4"/>
      <c r="G237" s="4"/>
      <c r="H237" s="1"/>
      <c r="I237" s="1"/>
    </row>
    <row r="238" spans="1:9" x14ac:dyDescent="0.45">
      <c r="A238" s="5"/>
      <c r="B238" s="4"/>
      <c r="C238" s="4"/>
      <c r="D238" s="4"/>
      <c r="E238" s="4"/>
      <c r="F238" s="4"/>
      <c r="G238" s="4"/>
      <c r="H238" s="1"/>
      <c r="I238" s="1"/>
    </row>
    <row r="239" spans="1:9" x14ac:dyDescent="0.45">
      <c r="A239" s="5"/>
      <c r="B239" s="4"/>
      <c r="C239" s="4"/>
      <c r="D239" s="4"/>
      <c r="E239" s="4"/>
      <c r="F239" s="4"/>
      <c r="G239" s="4"/>
      <c r="H239" s="1"/>
      <c r="I239" s="1"/>
    </row>
    <row r="240" spans="1:9" x14ac:dyDescent="0.45">
      <c r="A240" s="5"/>
      <c r="B240" s="4"/>
      <c r="C240" s="4"/>
      <c r="D240" s="4"/>
      <c r="E240" s="4"/>
      <c r="F240" s="4"/>
      <c r="G240" s="4"/>
      <c r="H240" s="1"/>
      <c r="I240" s="1"/>
    </row>
    <row r="241" spans="1:9" x14ac:dyDescent="0.45">
      <c r="A241" s="5"/>
      <c r="B241" s="4"/>
      <c r="C241" s="4"/>
      <c r="D241" s="4"/>
      <c r="E241" s="4"/>
      <c r="F241" s="4"/>
      <c r="G241" s="4"/>
      <c r="H241" s="1"/>
      <c r="I241" s="1"/>
    </row>
    <row r="242" spans="1:9" x14ac:dyDescent="0.45">
      <c r="A242" s="5"/>
      <c r="B242" s="4"/>
      <c r="C242" s="4"/>
      <c r="D242" s="4"/>
      <c r="E242" s="4"/>
      <c r="F242" s="4"/>
      <c r="G242" s="4"/>
      <c r="H242" s="1"/>
      <c r="I242" s="1"/>
    </row>
    <row r="243" spans="1:9" x14ac:dyDescent="0.45">
      <c r="A243" s="5"/>
      <c r="B243" s="4"/>
      <c r="C243" s="4"/>
      <c r="D243" s="4"/>
      <c r="E243" s="4"/>
      <c r="F243" s="4"/>
      <c r="G243" s="4"/>
      <c r="H243" s="1"/>
      <c r="I243" s="1"/>
    </row>
    <row r="244" spans="1:9" x14ac:dyDescent="0.45">
      <c r="A244" s="5"/>
      <c r="B244" s="4"/>
      <c r="C244" s="4"/>
      <c r="D244" s="4"/>
      <c r="E244" s="4"/>
      <c r="F244" s="4"/>
      <c r="G244" s="4"/>
      <c r="H244" s="1"/>
      <c r="I244" s="1"/>
    </row>
    <row r="245" spans="1:9" x14ac:dyDescent="0.45">
      <c r="A245" s="5"/>
    </row>
    <row r="246" spans="1:9" x14ac:dyDescent="0.45">
      <c r="A246" s="5"/>
    </row>
    <row r="247" spans="1:9" x14ac:dyDescent="0.45">
      <c r="A247" s="5"/>
    </row>
    <row r="248" spans="1:9" x14ac:dyDescent="0.45">
      <c r="A248" s="5"/>
    </row>
    <row r="249" spans="1:9" x14ac:dyDescent="0.45">
      <c r="A249" s="5"/>
    </row>
    <row r="250" spans="1:9" x14ac:dyDescent="0.45">
      <c r="A25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5016-ED90-4413-9A3E-78831596DD24}">
  <dimension ref="A1:I4"/>
  <sheetViews>
    <sheetView workbookViewId="0">
      <selection activeCell="J9" sqref="J9"/>
    </sheetView>
  </sheetViews>
  <sheetFormatPr defaultRowHeight="14.25" x14ac:dyDescent="0.45"/>
  <cols>
    <col min="1" max="1" width="3.86328125" bestFit="1" customWidth="1"/>
    <col min="2" max="2" width="9.19921875" bestFit="1" customWidth="1"/>
    <col min="3" max="3" width="10" bestFit="1" customWidth="1"/>
    <col min="4" max="4" width="18.1328125" bestFit="1" customWidth="1"/>
    <col min="5" max="5" width="6.33203125" bestFit="1" customWidth="1"/>
    <col min="6" max="6" width="8.6640625" bestFit="1" customWidth="1"/>
    <col min="7" max="7" width="8.796875" bestFit="1" customWidth="1"/>
  </cols>
  <sheetData>
    <row r="1" spans="1:9" x14ac:dyDescent="0.45">
      <c r="A1" s="5" t="s">
        <v>38</v>
      </c>
      <c r="B1" s="5" t="s">
        <v>39</v>
      </c>
      <c r="C1" s="5" t="s">
        <v>40</v>
      </c>
      <c r="D1" s="5" t="s">
        <v>75</v>
      </c>
      <c r="E1" s="5" t="s">
        <v>35</v>
      </c>
      <c r="F1" s="5" t="s">
        <v>21</v>
      </c>
      <c r="G1" s="5" t="s">
        <v>36</v>
      </c>
      <c r="H1" s="5" t="s">
        <v>79</v>
      </c>
      <c r="I1" s="5" t="s">
        <v>81</v>
      </c>
    </row>
    <row r="2" spans="1:9" x14ac:dyDescent="0.45">
      <c r="A2" s="5" t="str" cm="1">
        <f t="array" ref="A2">IFERROR(TRANSPOSE(_xlfn._xlws.FILTER(MONTHLY_RETURNS!B64:AI64, MONTHLY_RETURNS!$B$74:$AI$74=1)),"")</f>
        <v/>
      </c>
      <c r="B2" s="4" t="str" cm="1">
        <f t="array" ref="B2">IFERROR(TRANSPOSE(_xlfn._xlws.FILTER(MONTHLY_RETURNS!B65:AI65, MONTHLY_RETURNS!$B$74:$AI$74=1)),"")</f>
        <v/>
      </c>
      <c r="C2" s="4" t="str" cm="1">
        <f t="array" ref="C2">IFERROR(TRANSPOSE(_xlfn._xlws.FILTER(MONTHLY_RETURNS!B66:AI66, MONTHLY_RETURNS!$B$74:$AI$74=1)),"")</f>
        <v/>
      </c>
      <c r="D2" s="4" t="str" cm="1">
        <f t="array" ref="D2">IFERROR(TRANSPOSE(_xlfn._xlws.FILTER(MONTHLY_RETURNS!B67:AI67, MONTHLY_RETURNS!$B$74:$AI$74=1)),"")</f>
        <v/>
      </c>
      <c r="E2" s="4" t="str" cm="1">
        <f t="array" ref="E2">IFERROR(TRANSPOSE(_xlfn._xlws.FILTER(MONTHLY_RETURNS!B68:AI68, MONTHLY_RETURNS!$B$74:$AI$74=1)),"")</f>
        <v/>
      </c>
      <c r="F2" s="4" t="str" cm="1">
        <f t="array" ref="F2">IFERROR(TRANSPOSE(_xlfn._xlws.FILTER(MONTHLY_RETURNS!B69:AI69, MONTHLY_RETURNS!$B$74:$AI$74=1)),"")</f>
        <v/>
      </c>
      <c r="G2" s="4" t="str" cm="1">
        <f t="array" ref="G2">IFERROR(TRANSPOSE(_xlfn._xlws.FILTER(MONTHLY_RETURNS!B70:AI70, MONTHLY_RETURNS!$B$74:$AI$74=1)),"")</f>
        <v/>
      </c>
      <c r="H2" t="str" cm="1">
        <f t="array" ref="H2">IFERROR(TRANSPOSE(_xlfn._xlws.FILTER(MONTHLY_RETURNS!B71:AI71, MONTHLY_RETURNS!$B$74:$AI$74=1)),"")</f>
        <v/>
      </c>
      <c r="I2" t="str" cm="1">
        <f t="array" ref="I2">IFERROR(TRANSPOSE(_xlfn._xlws.FILTER(MONTHLY_RETURNS!B72:AI72, MONTHLY_RETURNS!$B$74:$AI$74=1)),"")</f>
        <v/>
      </c>
    </row>
    <row r="3" spans="1:9" x14ac:dyDescent="0.45">
      <c r="A3" s="5"/>
      <c r="B3" s="4"/>
      <c r="C3" s="4"/>
      <c r="D3" s="6"/>
      <c r="E3" s="6"/>
      <c r="F3" s="6"/>
      <c r="G3" s="6"/>
    </row>
    <row r="4" spans="1:9" x14ac:dyDescent="0.45">
      <c r="A4" s="5"/>
      <c r="B4" s="4"/>
      <c r="C4" s="4"/>
      <c r="D4" s="6"/>
      <c r="E4" s="6"/>
      <c r="F4" s="6"/>
      <c r="G4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B2E5D-DD1A-4DB4-910C-E3126579841C}">
  <dimension ref="A1:AL74"/>
  <sheetViews>
    <sheetView topLeftCell="A62" workbookViewId="0">
      <selection activeCell="K73" sqref="K73"/>
    </sheetView>
  </sheetViews>
  <sheetFormatPr defaultRowHeight="14.25" x14ac:dyDescent="0.45"/>
  <cols>
    <col min="1" max="1" width="24.53125" bestFit="1" customWidth="1"/>
    <col min="2" max="2" width="10.1328125" bestFit="1" customWidth="1"/>
  </cols>
  <sheetData>
    <row r="1" spans="1:38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8" x14ac:dyDescent="0.45">
      <c r="A2" s="2" cm="1">
        <f t="array" ref="A2:A62">_xll.FDS(C1,"JULIAN(FG_TOTAL_RETURNC(-5AY,0,AM).dates)")</f>
        <v>44204</v>
      </c>
      <c r="B2" s="3" cm="1">
        <f t="array" ref="B2:B62">_xll.FDS(B1,"FG_TOTAL_RETURNC(-5AY,0,AM)")/100</f>
        <v>0.10878027</v>
      </c>
      <c r="C2" s="3" cm="1">
        <f t="array" ref="C2:C62">_xll.FDS(C1,"FG_TOTAL_RETURNC(-5AY,0,AM)")/100</f>
        <v>0.13895082</v>
      </c>
      <c r="D2" s="3" cm="1">
        <f t="array" ref="D2:D62">_xll.FDS(D1,"FG_TOTAL_RETURNC(-5AY,0,AM)")/100</f>
        <v>7.2147370000000002E-2</v>
      </c>
      <c r="E2" s="3" cm="1">
        <f t="array" ref="E2:E62">_xll.FDS(E1,"FG_TOTAL_RETURNC(-5AY,0,AM)")/100</f>
        <v>1.7434120000000001E-2</v>
      </c>
      <c r="F2" s="3" cm="1">
        <f t="array" ref="F2:F62">_xll.FDS(F1,"FG_TOTAL_RETURNC(-5AY,0,AM)")/100</f>
        <v>5.9552193000000003E-2</v>
      </c>
      <c r="G2" s="3" cm="1">
        <f t="array" ref="G2:G62">_xll.FDS(G1,"FG_TOTAL_RETURNC(-5AY,0,AM)")/100</f>
        <v>6.0005902999999999E-2</v>
      </c>
      <c r="H2" s="3" cm="1">
        <f t="array" ref="H2:H62">_xll.FDS(H1,"FG_TOTAL_RETURNC(-5AY,0,AM)")/100</f>
        <v>6.6224337000000003E-3</v>
      </c>
      <c r="I2" s="3" cm="1">
        <f t="array" ref="I2:I62">_xll.FDS(I1,"FG_TOTAL_RETURNC(-5AY,0,AM)")/100</f>
        <v>8.9857099999999995E-2</v>
      </c>
      <c r="J2" s="3" cm="1">
        <f t="array" ref="J2:J62">_xll.FDS(J1,"FG_TOTAL_RETURNC(-5AY,0,AM)")/100</f>
        <v>6.7250966999999995E-2</v>
      </c>
      <c r="K2" s="3" cm="1">
        <f t="array" ref="K2:K62">_xll.FDS(K1,"FG_TOTAL_RETURNC(-5AY,0,AM)")/100</f>
        <v>0.19151474000000002</v>
      </c>
      <c r="L2" s="3" cm="1">
        <f t="array" ref="L2:L62">_xll.FDS(L1,"FG_TOTAL_RETURNC(-5AY,0,AM)")/100</f>
        <v>4.7930359999999998E-2</v>
      </c>
      <c r="M2" s="3" cm="1">
        <f t="array" ref="M2:M62">_xll.FDS(M1,"FG_TOTAL_RETURNC(-5AY,0,AM)")/100</f>
        <v>4.1429876999999997E-2</v>
      </c>
      <c r="N2" s="3" cm="1">
        <f t="array" ref="N2:N62">_xll.FDS(N1,"FG_TOTAL_RETURNC(-5AY,0,AM)")/100</f>
        <v>2.9017447999999998E-2</v>
      </c>
      <c r="O2" s="3" cm="1">
        <f t="array" ref="O2:O62">_xll.FDS(O1,"FG_TOTAL_RETURNC(-5AY,0,AM)")/100</f>
        <v>8.6026080000000005E-2</v>
      </c>
      <c r="P2" s="3" cm="1">
        <f t="array" ref="P2:P62">_xll.FDS(P1,"FG_TOTAL_RETURNC(-5AY,0,AM)")/100</f>
        <v>6.8589209999999998E-2</v>
      </c>
      <c r="Q2" s="3" cm="1">
        <f t="array" ref="Q2:Q62">_xll.FDS(Q1,"FG_TOTAL_RETURNC(-5AY,0,AM)")/100</f>
        <v>2.9692888000000001E-2</v>
      </c>
      <c r="R2" s="3" cm="1">
        <f t="array" ref="R2:R62">_xll.FDS(R1,"FG_TOTAL_RETURNC(-5AY,0,AM)")/100</f>
        <v>3.8893222999999998E-2</v>
      </c>
      <c r="S2" s="3" cm="1">
        <f t="array" ref="S2:S62">_xll.FDS(S1,"FG_TOTAL_RETURNC(-5AY,0,AM)")/100</f>
        <v>0.20701742000000001</v>
      </c>
      <c r="T2" s="3" cm="1">
        <f t="array" ref="T2:T62">_xll.FDS(T1,"FG_TOTAL_RETURNC(-5AY,0,AM)")/100</f>
        <v>4.5205830000000002E-2</v>
      </c>
      <c r="U2" s="3" cm="1">
        <f t="array" ref="U2:U62">_xll.FDS(U1,"FG_TOTAL_RETURNC(-5AY,0,AM)")/100</f>
        <v>0.12168670000000001</v>
      </c>
      <c r="V2" s="3" cm="1">
        <f t="array" ref="V2:V62">_xll.FDS(V1,"FG_TOTAL_RETURNC(-5AY,0,AM)")/100</f>
        <v>2.2701262999999999E-2</v>
      </c>
      <c r="W2" s="3" cm="1">
        <f t="array" ref="W2:W62">_xll.FDS(W1,"FG_TOTAL_RETURNC(-5AY,0,AM)")/100</f>
        <v>5.9177520000000004E-2</v>
      </c>
      <c r="X2" s="3" cm="1">
        <f t="array" ref="X2:X62">_xll.FDS(X1,"FG_TOTAL_RETURNC(-5AY,0,AM)")/100</f>
        <v>5.7909129999999996E-2</v>
      </c>
      <c r="Y2" s="3" cm="1">
        <f t="array" ref="Y2:Y62">_xll.FDS(Y1,"FG_TOTAL_RETURNC(-5AY,0,AM)")/100</f>
        <v>3.4421444000000002E-2</v>
      </c>
      <c r="Z2" s="3" cm="1">
        <f t="array" ref="Z2:Z62">_xll.FDS(Z1,"FG_TOTAL_RETURNC(-5AY,0,AM)")/100</f>
        <v>6.7737103000000007E-2</v>
      </c>
      <c r="AA2" s="3" cm="1">
        <f t="array" ref="AA2:AA62">_xll.FDS(AA1,"FG_TOTAL_RETURNC(-5AY,0,AM)")/100</f>
        <v>6.6240430000000003E-2</v>
      </c>
      <c r="AB2" s="3" cm="1">
        <f t="array" ref="AB2:AB62">_xll.FDS(AB1,"FG_TOTAL_RETURNC(-5AY,0,AM)")/100</f>
        <v>4.7047853000000001E-2</v>
      </c>
      <c r="AC2" s="3" cm="1">
        <f t="array" ref="AC2:AC62">_xll.FDS(AC1,"FG_TOTAL_RETURNC(-5AY,0,AM)")/100</f>
        <v>6.4943075000000003E-2</v>
      </c>
      <c r="AD2" s="3" cm="1">
        <f t="array" ref="AD2:AD62">_xll.FDS(AD1,"FG_TOTAL_RETURNC(-5AY,0,AM)")/100</f>
        <v>3.6717772000000003E-2</v>
      </c>
      <c r="AE2" s="3" cm="1">
        <f t="array" ref="AE2:AE62">_xll.FDS(AE1,"FG_TOTAL_RETURNC(-5AY,0,AM)")/100</f>
        <v>3.4367084999999999E-2</v>
      </c>
      <c r="AF2" s="3" cm="1">
        <f t="array" ref="AF2:AF62">_xll.FDS(AF1,"FG_TOTAL_RETURNC(-5AY,0,AM)")/100</f>
        <v>3.5903930000000001E-2</v>
      </c>
      <c r="AG2" s="3" cm="1">
        <f t="array" ref="AG2:AG62">_xll.FDS(AG1,"FG_TOTAL_RETURNC(-5AY,0,AM)")/100</f>
        <v>6.4178585999999996E-2</v>
      </c>
      <c r="AH2" s="3" cm="1">
        <f t="array" ref="AH2:AH62">_xll.FDS(AH1,"FG_TOTAL_RETURNC(-5AY,0,AM)")/100</f>
        <v>5.7416916000000005E-2</v>
      </c>
      <c r="AI2" s="3" cm="1">
        <f t="array" ref="AI2:AI62">_xll.FDS(AI1,"FG_TOTAL_RETURNC(-5AY,0,AM)")/100</f>
        <v>5.1524996999999996E-2</v>
      </c>
      <c r="AJ2" s="3"/>
      <c r="AK2" s="3"/>
      <c r="AL2" s="3"/>
    </row>
    <row r="3" spans="1:38" x14ac:dyDescent="0.45">
      <c r="A3" s="2">
        <v>44235</v>
      </c>
      <c r="B3" s="3">
        <v>2.6019812E-2</v>
      </c>
      <c r="C3" s="3">
        <v>-3.2784401999999997E-2</v>
      </c>
      <c r="D3" s="3">
        <v>-1.7944574000000001E-2</v>
      </c>
      <c r="E3" s="3">
        <v>-4.5563580000000006E-2</v>
      </c>
      <c r="F3" s="3">
        <v>-6.4484595999999991E-2</v>
      </c>
      <c r="G3" s="3">
        <v>1.9337058000000001E-2</v>
      </c>
      <c r="H3" s="3">
        <v>-4.9169006000000001E-2</v>
      </c>
      <c r="I3" s="3">
        <v>3.8030862999999998E-2</v>
      </c>
      <c r="J3" s="3">
        <v>-6.5202893999999997E-2</v>
      </c>
      <c r="K3" s="3">
        <v>-4.5624614000000001E-2</v>
      </c>
      <c r="L3" s="3">
        <v>-3.7931025E-2</v>
      </c>
      <c r="M3" s="3">
        <v>6.5134049999999999E-2</v>
      </c>
      <c r="N3" s="3">
        <v>-7.1209850000000005E-2</v>
      </c>
      <c r="O3" s="3">
        <v>2.3992300000000001E-2</v>
      </c>
      <c r="P3" s="3">
        <v>8.2738400000000004E-2</v>
      </c>
      <c r="Q3" s="3">
        <v>-2.5205195E-2</v>
      </c>
      <c r="R3" s="3">
        <v>-1.3023554999999999E-2</v>
      </c>
      <c r="S3" s="3">
        <v>2.9850721E-2</v>
      </c>
      <c r="T3" s="3">
        <v>3.8925767E-2</v>
      </c>
      <c r="U3" s="3">
        <v>-5.1574410000000001E-2</v>
      </c>
      <c r="V3" s="3">
        <v>-6.2996150000000002E-4</v>
      </c>
      <c r="W3" s="3">
        <v>-2.9264867E-2</v>
      </c>
      <c r="X3" s="3">
        <v>6.4438580000000002E-3</v>
      </c>
      <c r="Y3" s="3">
        <v>1.0900020999999999E-2</v>
      </c>
      <c r="Z3" s="3">
        <v>-6.6828129999999993E-3</v>
      </c>
      <c r="AA3" s="3">
        <v>1.7318487E-2</v>
      </c>
      <c r="AB3" s="3">
        <v>-2.0897507999999999E-2</v>
      </c>
      <c r="AC3" s="3">
        <v>-4.1906594999999998E-2</v>
      </c>
      <c r="AD3" s="3">
        <v>4.5606970000000004E-2</v>
      </c>
      <c r="AE3" s="3">
        <v>2.4261713000000001E-2</v>
      </c>
      <c r="AF3" s="3">
        <v>-1.5955984999999999E-2</v>
      </c>
      <c r="AG3" s="3">
        <v>2.7454615000000002E-2</v>
      </c>
      <c r="AH3" s="3">
        <v>9.5403193999999997E-4</v>
      </c>
      <c r="AI3" s="3">
        <v>1.2508273E-2</v>
      </c>
      <c r="AJ3" s="3"/>
      <c r="AK3" s="3"/>
      <c r="AL3" s="3"/>
    </row>
    <row r="4" spans="1:38" x14ac:dyDescent="0.45">
      <c r="A4" s="2">
        <v>44263</v>
      </c>
      <c r="B4" s="3">
        <v>-0.12228668000000001</v>
      </c>
      <c r="C4" s="3">
        <v>2.0687460000000001E-2</v>
      </c>
      <c r="D4" s="3">
        <v>-6.1877069999999999E-2</v>
      </c>
      <c r="E4" s="3">
        <v>-5.8731200000000004E-2</v>
      </c>
      <c r="F4" s="3">
        <v>-3.0809402E-2</v>
      </c>
      <c r="G4" s="3">
        <v>-3.0894398999999999E-2</v>
      </c>
      <c r="H4" s="3">
        <v>4.3699739999999996E-3</v>
      </c>
      <c r="I4" s="3">
        <v>-2.4139701999999999E-2</v>
      </c>
      <c r="J4" s="3">
        <v>-6.8802240000000008E-3</v>
      </c>
      <c r="K4" s="3">
        <v>-5.4666279999999998E-2</v>
      </c>
      <c r="L4" s="3">
        <v>-0.14419627000000002</v>
      </c>
      <c r="M4" s="3">
        <v>-4.0202737000000002E-3</v>
      </c>
      <c r="N4" s="3">
        <v>5.8944820000000002E-2</v>
      </c>
      <c r="O4" s="3">
        <v>-1.0074973000000001E-2</v>
      </c>
      <c r="P4" s="3">
        <v>-0.1214872</v>
      </c>
      <c r="Q4" s="3">
        <v>-3.8079620000000002E-2</v>
      </c>
      <c r="R4" s="3">
        <v>1.8022537000000002E-2</v>
      </c>
      <c r="S4" s="3">
        <v>-8.0400289999999999E-2</v>
      </c>
      <c r="T4" s="3">
        <v>-1.3898133999999999E-2</v>
      </c>
      <c r="U4" s="3">
        <v>1.7172098E-3</v>
      </c>
      <c r="V4" s="3">
        <v>5.9565066999999999E-2</v>
      </c>
      <c r="W4" s="3">
        <v>-9.7647080000000011E-2</v>
      </c>
      <c r="X4" s="3">
        <v>-2.4009347000000002E-3</v>
      </c>
      <c r="Y4" s="3">
        <v>2.3105383E-2</v>
      </c>
      <c r="Z4" s="3">
        <v>-9.1742873000000003E-3</v>
      </c>
      <c r="AA4" s="3">
        <v>-4.3835935999999999E-2</v>
      </c>
      <c r="AB4" s="3">
        <v>-3.2801569000000003E-2</v>
      </c>
      <c r="AC4" s="3">
        <v>4.1736244999999998E-2</v>
      </c>
      <c r="AD4" s="3">
        <v>-0.10084533999999999</v>
      </c>
      <c r="AE4" s="3">
        <v>-2.2509038000000002E-2</v>
      </c>
      <c r="AF4" s="3">
        <v>1.0613203E-2</v>
      </c>
      <c r="AG4" s="3">
        <v>-2.128619E-2</v>
      </c>
      <c r="AH4" s="3">
        <v>2.4541259999999999E-2</v>
      </c>
      <c r="AI4" s="3">
        <v>-5.8517456000000004E-3</v>
      </c>
      <c r="AJ4" s="3"/>
      <c r="AK4" s="3"/>
      <c r="AL4" s="3"/>
    </row>
    <row r="5" spans="1:38" x14ac:dyDescent="0.45">
      <c r="A5" s="2">
        <v>44294</v>
      </c>
      <c r="B5" s="3">
        <v>1.6650319E-2</v>
      </c>
      <c r="C5" s="3">
        <v>8.855629000000001E-2</v>
      </c>
      <c r="D5" s="3">
        <v>-3.9840639000000004E-2</v>
      </c>
      <c r="E5" s="3">
        <v>-1.3680339E-2</v>
      </c>
      <c r="F5" s="3">
        <v>2.8017281999999998E-2</v>
      </c>
      <c r="G5" s="3">
        <v>2.8241157999999999E-2</v>
      </c>
      <c r="H5" s="3">
        <v>-1.8128752999999999E-3</v>
      </c>
      <c r="I5" s="3">
        <v>7.2456119999999999E-2</v>
      </c>
      <c r="J5" s="3">
        <v>9.4601039999999997E-2</v>
      </c>
      <c r="K5" s="3">
        <v>5.6790710000000001E-2</v>
      </c>
      <c r="L5" s="3">
        <v>0.10631441999999999</v>
      </c>
      <c r="M5" s="3">
        <v>6.5646887000000001E-2</v>
      </c>
      <c r="N5" s="3">
        <v>7.0805790000000007E-2</v>
      </c>
      <c r="O5" s="3">
        <v>-7.1005819999999994E-3</v>
      </c>
      <c r="P5" s="3">
        <v>1.6363262999999999E-2</v>
      </c>
      <c r="Q5" s="3">
        <v>6.25E-2</v>
      </c>
      <c r="R5" s="3">
        <v>9.7618102999999998E-3</v>
      </c>
      <c r="S5" s="3">
        <v>-0.11144465000000001</v>
      </c>
      <c r="T5" s="3">
        <v>3.3153414999999999E-2</v>
      </c>
      <c r="U5" s="3">
        <v>6.2285779999999999E-2</v>
      </c>
      <c r="V5" s="3">
        <v>8.0606819999999996E-2</v>
      </c>
      <c r="W5" s="3">
        <v>2.8846145E-2</v>
      </c>
      <c r="X5" s="3">
        <v>2.2061706E-2</v>
      </c>
      <c r="Y5" s="3">
        <v>5.2694916999999994E-2</v>
      </c>
      <c r="Z5" s="3">
        <v>6.5432069999999995E-2</v>
      </c>
      <c r="AA5" s="3">
        <v>2.6557922000000001E-2</v>
      </c>
      <c r="AB5" s="3">
        <v>6.8524956999999997E-2</v>
      </c>
      <c r="AC5" s="3">
        <v>3.2371759999999999E-2</v>
      </c>
      <c r="AD5" s="3">
        <v>0.11854065</v>
      </c>
      <c r="AE5" s="3">
        <v>7.371962E-2</v>
      </c>
      <c r="AF5" s="3">
        <v>5.0175070000000002E-2</v>
      </c>
      <c r="AG5" s="3">
        <v>0.10758901</v>
      </c>
      <c r="AH5" s="3">
        <v>8.6744189999999999E-2</v>
      </c>
      <c r="AI5" s="3">
        <v>4.0222406000000002E-2</v>
      </c>
      <c r="AJ5" s="3"/>
      <c r="AK5" s="3"/>
      <c r="AL5" s="3"/>
    </row>
    <row r="6" spans="1:38" x14ac:dyDescent="0.45">
      <c r="A6" s="2">
        <v>44323</v>
      </c>
      <c r="B6" s="3">
        <v>6.5028669999999998E-3</v>
      </c>
      <c r="C6" s="3">
        <v>-4.6691536999999998E-2</v>
      </c>
      <c r="D6" s="3">
        <v>2.1207929E-2</v>
      </c>
      <c r="E6" s="3">
        <v>-1.4208376E-2</v>
      </c>
      <c r="F6" s="3">
        <v>8.8050370000000003E-2</v>
      </c>
      <c r="G6" s="3">
        <v>-0.10062312999999999</v>
      </c>
      <c r="H6" s="3">
        <v>1.0533928999999999E-2</v>
      </c>
      <c r="I6" s="3">
        <v>5.4473995999999997E-2</v>
      </c>
      <c r="J6" s="3">
        <v>2.6844144E-2</v>
      </c>
      <c r="K6" s="3">
        <v>2.027464E-2</v>
      </c>
      <c r="L6" s="3">
        <v>0.10687244</v>
      </c>
      <c r="M6" s="3">
        <v>4.0271163000000006E-2</v>
      </c>
      <c r="N6" s="3">
        <v>4.4748900000000001E-2</v>
      </c>
      <c r="O6" s="3">
        <v>1.8831967999999998E-2</v>
      </c>
      <c r="P6" s="3">
        <v>-2.2273361999999998E-2</v>
      </c>
      <c r="Q6" s="3">
        <v>3.3613443E-2</v>
      </c>
      <c r="R6" s="3">
        <v>1.6807555999999998E-2</v>
      </c>
      <c r="S6" s="3">
        <v>1.8581152E-2</v>
      </c>
      <c r="T6" s="3">
        <v>2.5373100999999999E-2</v>
      </c>
      <c r="U6" s="3">
        <v>2.4744391000000001E-2</v>
      </c>
      <c r="V6" s="3">
        <v>4.1838646E-2</v>
      </c>
      <c r="W6" s="3">
        <v>4.0551304999999996E-2</v>
      </c>
      <c r="X6" s="3">
        <v>5.0235510000000004E-2</v>
      </c>
      <c r="Y6" s="3">
        <v>5.2917720000000001E-2</v>
      </c>
      <c r="Z6" s="3">
        <v>2.7809978000000003E-2</v>
      </c>
      <c r="AA6" s="3">
        <v>-1.8789768000000001E-3</v>
      </c>
      <c r="AB6" s="3">
        <v>3.4347891999999998E-2</v>
      </c>
      <c r="AC6" s="3">
        <v>5.2157759999999997E-2</v>
      </c>
      <c r="AD6" s="3">
        <v>-2.6261805999999999E-3</v>
      </c>
      <c r="AE6" s="3">
        <v>3.3290863000000004E-2</v>
      </c>
      <c r="AF6" s="3">
        <v>6.3055515000000006E-2</v>
      </c>
      <c r="AG6" s="3">
        <v>2.8828144E-2</v>
      </c>
      <c r="AH6" s="3">
        <v>3.7021160000000004E-2</v>
      </c>
      <c r="AI6" s="3">
        <v>2.8921723E-2</v>
      </c>
      <c r="AJ6" s="3"/>
      <c r="AK6" s="3"/>
      <c r="AL6" s="3"/>
    </row>
    <row r="7" spans="1:38" x14ac:dyDescent="0.45">
      <c r="A7" s="2">
        <v>44355</v>
      </c>
      <c r="B7" s="3">
        <v>6.4130187000000005E-2</v>
      </c>
      <c r="C7" s="3">
        <v>-0.12620186999999999</v>
      </c>
      <c r="D7" s="3">
        <v>-7.6749325000000004E-3</v>
      </c>
      <c r="E7" s="3">
        <v>8.0302000000000012E-2</v>
      </c>
      <c r="F7" s="3">
        <v>9.200382E-2</v>
      </c>
      <c r="G7" s="3">
        <v>-4.3846369999999996E-2</v>
      </c>
      <c r="H7" s="3">
        <v>-1.1861980000000001E-2</v>
      </c>
      <c r="I7" s="3">
        <v>-2.4511278000000001E-2</v>
      </c>
      <c r="J7" s="3">
        <v>5.6535599999999998E-2</v>
      </c>
      <c r="K7" s="3">
        <v>-9.5085499999999993E-3</v>
      </c>
      <c r="L7" s="3">
        <v>9.5501179999999991E-2</v>
      </c>
      <c r="M7" s="3">
        <v>2.6830196000000001E-2</v>
      </c>
      <c r="N7" s="3">
        <v>2.1224737E-2</v>
      </c>
      <c r="O7" s="3">
        <v>6.0598970000000002E-2</v>
      </c>
      <c r="P7" s="3">
        <v>8.7904929999999999E-3</v>
      </c>
      <c r="Q7" s="3">
        <v>-1.6778469000000001E-2</v>
      </c>
      <c r="R7" s="3">
        <v>1.7570615000000001E-2</v>
      </c>
      <c r="S7" s="3">
        <v>-3.6069690000000001E-2</v>
      </c>
      <c r="T7" s="3">
        <v>9.0247389999999997E-2</v>
      </c>
      <c r="U7" s="3">
        <v>3.4120798000000001E-2</v>
      </c>
      <c r="V7" s="3">
        <v>3.2760978000000003E-2</v>
      </c>
      <c r="W7" s="3">
        <v>-4.2274355999999999E-2</v>
      </c>
      <c r="X7" s="3">
        <v>2.2795200000000002E-2</v>
      </c>
      <c r="Y7" s="3">
        <v>3.6946416000000003E-2</v>
      </c>
      <c r="Z7" s="3">
        <v>2.3393511999999998E-2</v>
      </c>
      <c r="AA7" s="3">
        <v>6.0817003000000003E-3</v>
      </c>
      <c r="AB7" s="3">
        <v>4.9390435000000003E-2</v>
      </c>
      <c r="AC7" s="3">
        <v>8.5570809999999994E-3</v>
      </c>
      <c r="AD7" s="3">
        <v>7.6600313E-3</v>
      </c>
      <c r="AE7" s="3">
        <v>3.7908553999999999E-4</v>
      </c>
      <c r="AF7" s="3">
        <v>2.9788374999999999E-2</v>
      </c>
      <c r="AG7" s="3">
        <v>1.2588858999999999E-2</v>
      </c>
      <c r="AH7" s="3">
        <v>1.9191145999999999E-2</v>
      </c>
      <c r="AI7" s="3">
        <v>5.2245616999999994E-2</v>
      </c>
      <c r="AJ7" s="3"/>
      <c r="AK7" s="3"/>
      <c r="AL7" s="3"/>
    </row>
    <row r="8" spans="1:38" x14ac:dyDescent="0.45">
      <c r="A8" s="2">
        <v>44385</v>
      </c>
      <c r="B8" s="3">
        <v>-2.9221355999999997E-2</v>
      </c>
      <c r="C8" s="3">
        <v>-4.7355056E-2</v>
      </c>
      <c r="D8" s="3">
        <v>-8.3389699999999997E-2</v>
      </c>
      <c r="E8" s="3">
        <v>-3.6695719000000002E-2</v>
      </c>
      <c r="F8" s="3">
        <v>-4.3738070000000004E-2</v>
      </c>
      <c r="G8" s="3">
        <v>-8.9469729999999997E-2</v>
      </c>
      <c r="H8" s="3">
        <v>-7.0563912000000006E-2</v>
      </c>
      <c r="I8" s="3">
        <v>1.1450291E-2</v>
      </c>
      <c r="J8" s="3">
        <v>-4.2647304999999996E-2</v>
      </c>
      <c r="K8" s="3">
        <v>-3.4192621999999999E-2</v>
      </c>
      <c r="L8" s="3">
        <v>-7.0273580000000002E-2</v>
      </c>
      <c r="M8" s="3">
        <v>-9.5894989999999999E-2</v>
      </c>
      <c r="N8" s="3">
        <v>-7.8705254000000002E-2</v>
      </c>
      <c r="O8" s="3">
        <v>-3.0652523000000001E-2</v>
      </c>
      <c r="P8" s="3">
        <v>-6.8306803999999999E-2</v>
      </c>
      <c r="Q8" s="3">
        <v>1.2253761E-2</v>
      </c>
      <c r="R8" s="3">
        <v>-4.2910814000000005E-2</v>
      </c>
      <c r="S8" s="3">
        <v>-5.4409923999999998E-2</v>
      </c>
      <c r="T8" s="3">
        <v>-3.8140476E-2</v>
      </c>
      <c r="U8" s="3">
        <v>1.6751288999999999E-2</v>
      </c>
      <c r="V8" s="3">
        <v>6.3301324999999993E-3</v>
      </c>
      <c r="W8" s="3">
        <v>-2.0830274000000003E-2</v>
      </c>
      <c r="X8" s="3">
        <v>-4.8669156999999998E-2</v>
      </c>
      <c r="Y8" s="3">
        <v>-3.3120810000000001E-2</v>
      </c>
      <c r="Z8" s="3">
        <v>-3.9866269000000003E-2</v>
      </c>
      <c r="AA8" s="3">
        <v>-3.3834994E-2</v>
      </c>
      <c r="AB8" s="3">
        <v>1.1069775E-3</v>
      </c>
      <c r="AC8" s="3">
        <v>-3.2490252999999997E-2</v>
      </c>
      <c r="AD8" s="3">
        <v>6.6585539999999999E-2</v>
      </c>
      <c r="AE8" s="3">
        <v>2.3844242000000002E-2</v>
      </c>
      <c r="AF8" s="3">
        <v>-4.7842320000000001E-2</v>
      </c>
      <c r="AG8" s="3">
        <v>-4.2830586000000004E-2</v>
      </c>
      <c r="AH8" s="3">
        <v>-3.2445670000000003E-2</v>
      </c>
      <c r="AI8" s="3">
        <v>-7.0687175000000005E-2</v>
      </c>
      <c r="AJ8" s="3"/>
      <c r="AK8" s="3"/>
      <c r="AL8" s="3"/>
    </row>
    <row r="9" spans="1:38" x14ac:dyDescent="0.45">
      <c r="A9" s="2">
        <v>44414</v>
      </c>
      <c r="B9" s="3">
        <v>-1.7169297E-2</v>
      </c>
      <c r="C9" s="3">
        <v>-2.5330423999999997E-2</v>
      </c>
      <c r="D9" s="3">
        <v>2.0979047000000001E-2</v>
      </c>
      <c r="E9" s="3">
        <v>-5.6440950000000004E-2</v>
      </c>
      <c r="F9" s="3">
        <v>6.4754486000000002E-3</v>
      </c>
      <c r="G9" s="3">
        <v>-7.6077039999999999E-2</v>
      </c>
      <c r="H9" s="3">
        <v>-1.0496557E-2</v>
      </c>
      <c r="I9" s="3">
        <v>1.7138481000000001E-2</v>
      </c>
      <c r="J9" s="3">
        <v>3.4307480000000001E-2</v>
      </c>
      <c r="K9" s="3">
        <v>9.4929934000000001E-3</v>
      </c>
      <c r="L9" s="3">
        <v>-1.4686644E-2</v>
      </c>
      <c r="M9" s="3">
        <v>3.9583444999999997E-3</v>
      </c>
      <c r="N9" s="3">
        <v>2.2189260000000002E-2</v>
      </c>
      <c r="O9" s="3">
        <v>4.0318846999999998E-2</v>
      </c>
      <c r="P9" s="3">
        <v>-6.6930714000000002E-2</v>
      </c>
      <c r="Q9" s="3">
        <v>-3.653407E-3</v>
      </c>
      <c r="R9" s="3">
        <v>-1.4219402999999999E-2</v>
      </c>
      <c r="S9" s="3">
        <v>4.8711896000000005E-2</v>
      </c>
      <c r="T9" s="3">
        <v>2.8735637999999997E-2</v>
      </c>
      <c r="U9" s="3">
        <v>-1.0983586E-2</v>
      </c>
      <c r="V9" s="3">
        <v>3.9517521999999999E-2</v>
      </c>
      <c r="W9" s="3">
        <v>1.2448907E-2</v>
      </c>
      <c r="X9" s="3">
        <v>2.5700926999999998E-2</v>
      </c>
      <c r="Y9" s="3">
        <v>2.2082925000000003E-2</v>
      </c>
      <c r="Z9" s="3">
        <v>1.3419031999999999E-2</v>
      </c>
      <c r="AA9" s="3">
        <v>1.7707109999999998E-2</v>
      </c>
      <c r="AB9" s="3">
        <v>2.1189809999999996E-2</v>
      </c>
      <c r="AC9" s="3">
        <v>2.2140265000000003E-2</v>
      </c>
      <c r="AD9" s="3">
        <v>2.5866150000000001E-2</v>
      </c>
      <c r="AE9" s="3">
        <v>2.6849508000000001E-2</v>
      </c>
      <c r="AF9" s="3">
        <v>5.3354860000000004E-2</v>
      </c>
      <c r="AG9" s="3">
        <v>6.3897133000000009E-2</v>
      </c>
      <c r="AH9" s="3">
        <v>3.3832908000000002E-2</v>
      </c>
      <c r="AI9" s="3">
        <v>4.3959379999999999E-2</v>
      </c>
      <c r="AJ9" s="3"/>
      <c r="AK9" s="3"/>
      <c r="AL9" s="3"/>
    </row>
    <row r="10" spans="1:38" x14ac:dyDescent="0.45">
      <c r="A10" s="2">
        <v>44447</v>
      </c>
      <c r="B10" s="3">
        <v>2.1482467999999998E-2</v>
      </c>
      <c r="C10" s="3">
        <v>2.410555E-2</v>
      </c>
      <c r="D10" s="3">
        <v>3.6692739000000002E-2</v>
      </c>
      <c r="E10" s="3">
        <v>7.5650930000000005E-2</v>
      </c>
      <c r="F10" s="3">
        <v>6.0661792999999999E-2</v>
      </c>
      <c r="G10" s="3">
        <v>8.416056600000001E-3</v>
      </c>
      <c r="H10" s="3">
        <v>7.1399450000000003E-2</v>
      </c>
      <c r="I10" s="3">
        <v>-9.893298E-3</v>
      </c>
      <c r="J10" s="3">
        <v>2.0884514E-2</v>
      </c>
      <c r="K10" s="3">
        <v>-5.9851704000000006E-2</v>
      </c>
      <c r="L10" s="3">
        <v>-9.4756490000000013E-2</v>
      </c>
      <c r="M10" s="3">
        <v>1.0583162E-2</v>
      </c>
      <c r="N10" s="3">
        <v>2.1707654E-2</v>
      </c>
      <c r="O10" s="3">
        <v>7.3352337000000004E-2</v>
      </c>
      <c r="P10" s="3">
        <v>2.9994369E-2</v>
      </c>
      <c r="Q10" s="3">
        <v>2.8711319999999999E-2</v>
      </c>
      <c r="R10" s="3">
        <v>7.8023553000000009E-2</v>
      </c>
      <c r="S10" s="3">
        <v>2.0098329000000002E-2</v>
      </c>
      <c r="T10" s="3">
        <v>4.851258E-2</v>
      </c>
      <c r="U10" s="3">
        <v>-2.0191073000000001E-3</v>
      </c>
      <c r="V10" s="3">
        <v>3.1597257000000004E-2</v>
      </c>
      <c r="W10" s="3">
        <v>3.0173063E-2</v>
      </c>
      <c r="X10" s="3">
        <v>-3.4168363E-3</v>
      </c>
      <c r="Y10" s="3">
        <v>-1.8672347E-3</v>
      </c>
      <c r="Z10" s="3">
        <v>-3.7420988E-3</v>
      </c>
      <c r="AA10" s="3">
        <v>6.5320014999999995E-2</v>
      </c>
      <c r="AB10" s="3">
        <v>-7.9808235000000012E-3</v>
      </c>
      <c r="AC10" s="3">
        <v>-8.4236859999999997E-3</v>
      </c>
      <c r="AD10" s="3">
        <v>3.4587739999999999E-2</v>
      </c>
      <c r="AE10" s="3">
        <v>1.9028664000000001E-2</v>
      </c>
      <c r="AF10" s="3">
        <v>-7.4188112999999997E-3</v>
      </c>
      <c r="AG10" s="3">
        <v>5.5500506999999998E-2</v>
      </c>
      <c r="AH10" s="3">
        <v>-1.3256013000000001E-2</v>
      </c>
      <c r="AI10" s="3">
        <v>-1.0299921E-2</v>
      </c>
      <c r="AJ10" s="3"/>
      <c r="AK10" s="3"/>
      <c r="AL10" s="3"/>
    </row>
    <row r="11" spans="1:38" x14ac:dyDescent="0.45">
      <c r="A11" s="2">
        <v>44477</v>
      </c>
      <c r="B11" s="3">
        <v>-5.0843954000000004E-3</v>
      </c>
      <c r="C11" s="3">
        <v>-9.6358960000000007E-2</v>
      </c>
      <c r="D11" s="3">
        <v>0.102878685</v>
      </c>
      <c r="E11" s="3">
        <v>1.6682981999999999E-2</v>
      </c>
      <c r="F11" s="3">
        <v>-3.0329226999999998E-3</v>
      </c>
      <c r="G11" s="3">
        <v>4.7368407000000001E-2</v>
      </c>
      <c r="H11" s="3">
        <v>-1.1424421999999999E-3</v>
      </c>
      <c r="I11" s="3">
        <v>-4.4028162999999995E-2</v>
      </c>
      <c r="J11" s="3">
        <v>-3.6301672E-2</v>
      </c>
      <c r="K11" s="3">
        <v>-8.2725409999999999E-2</v>
      </c>
      <c r="L11" s="3">
        <v>-4.4986724999999998E-2</v>
      </c>
      <c r="M11" s="3">
        <v>-9.8562240000000002E-3</v>
      </c>
      <c r="N11" s="3">
        <v>-9.9150539999999995E-3</v>
      </c>
      <c r="O11" s="3">
        <v>4.8959255000000004E-3</v>
      </c>
      <c r="P11" s="3">
        <v>-4.986268E-2</v>
      </c>
      <c r="Q11" s="3">
        <v>5.1527380000000005E-2</v>
      </c>
      <c r="R11" s="3">
        <v>-6.3389539999999991E-4</v>
      </c>
      <c r="S11" s="3">
        <v>-7.6182127000000002E-2</v>
      </c>
      <c r="T11" s="3">
        <v>-1.9294380999999999E-2</v>
      </c>
      <c r="U11" s="3">
        <v>-8.5988640000000012E-3</v>
      </c>
      <c r="V11" s="3">
        <v>2.0818352999999998E-2</v>
      </c>
      <c r="W11" s="3">
        <v>-2.9132307000000003E-2</v>
      </c>
      <c r="X11" s="3">
        <v>-2.9714285999999999E-2</v>
      </c>
      <c r="Y11" s="3">
        <v>7.7499150000000004E-3</v>
      </c>
      <c r="Z11" s="3">
        <v>-5.4319620000000006E-2</v>
      </c>
      <c r="AA11" s="3">
        <v>-6.0761212999999994E-2</v>
      </c>
      <c r="AB11" s="3">
        <v>-4.2035400000000001E-2</v>
      </c>
      <c r="AC11" s="3">
        <v>-5.1577089999999999E-3</v>
      </c>
      <c r="AD11" s="3">
        <v>-5.0452289999999997E-2</v>
      </c>
      <c r="AE11" s="3">
        <v>-2.5799750999999999E-2</v>
      </c>
      <c r="AF11" s="3">
        <v>-3.2731949999999996E-2</v>
      </c>
      <c r="AG11" s="3">
        <v>-7.3427199999999998E-2</v>
      </c>
      <c r="AH11" s="3">
        <v>-5.6884946999999998E-2</v>
      </c>
      <c r="AI11" s="3">
        <v>-1.1325359E-2</v>
      </c>
      <c r="AJ11" s="3"/>
      <c r="AK11" s="3"/>
      <c r="AL11" s="3"/>
    </row>
    <row r="12" spans="1:38" x14ac:dyDescent="0.45">
      <c r="A12" s="2">
        <v>44508</v>
      </c>
      <c r="B12" s="3">
        <v>5.8071612999999996E-3</v>
      </c>
      <c r="C12" s="3">
        <v>8.1400029999999998E-2</v>
      </c>
      <c r="D12" s="3">
        <v>1.7115950000000001E-2</v>
      </c>
      <c r="E12" s="3">
        <v>6.9176316000000002E-2</v>
      </c>
      <c r="F12" s="3">
        <v>2.2164345000000002E-2</v>
      </c>
      <c r="G12" s="3">
        <v>6.8915962999999997E-2</v>
      </c>
      <c r="H12" s="3">
        <v>-1.9824623999999999E-2</v>
      </c>
      <c r="I12" s="3">
        <v>5.8794737E-2</v>
      </c>
      <c r="J12" s="3">
        <v>3.8709639999999997E-2</v>
      </c>
      <c r="K12" s="3">
        <v>2.1808863000000001E-2</v>
      </c>
      <c r="L12" s="3">
        <v>-7.8817725000000005E-2</v>
      </c>
      <c r="M12" s="3">
        <v>9.1248749999999993E-3</v>
      </c>
      <c r="N12" s="3">
        <v>2.2174597000000001E-2</v>
      </c>
      <c r="O12" s="3">
        <v>2.9029607999999998E-2</v>
      </c>
      <c r="P12" s="3">
        <v>-1.228857E-2</v>
      </c>
      <c r="Q12" s="3">
        <v>2.1307588000000002E-2</v>
      </c>
      <c r="R12" s="3">
        <v>-8.1005095999999999E-3</v>
      </c>
      <c r="S12" s="3">
        <v>7.4407578000000002E-2</v>
      </c>
      <c r="T12" s="3">
        <v>7.9796195E-2</v>
      </c>
      <c r="U12" s="3">
        <v>5.4591775000000002E-2</v>
      </c>
      <c r="V12" s="3">
        <v>2.2034644999999999E-2</v>
      </c>
      <c r="W12" s="3">
        <v>2.9925584999999998E-2</v>
      </c>
      <c r="X12" s="3">
        <v>3.9654492999999999E-2</v>
      </c>
      <c r="Y12" s="3">
        <v>5.701411E-2</v>
      </c>
      <c r="Z12" s="3">
        <v>5.2245616999999994E-2</v>
      </c>
      <c r="AA12" s="3">
        <v>3.4630059999999997E-2</v>
      </c>
      <c r="AB12" s="3">
        <v>6.8234323999999999E-2</v>
      </c>
      <c r="AC12" s="3">
        <v>2.5312543E-2</v>
      </c>
      <c r="AD12" s="3">
        <v>0.10217071000000001</v>
      </c>
      <c r="AE12" s="3">
        <v>7.0958734000000009E-2</v>
      </c>
      <c r="AF12" s="3">
        <v>7.7804445999999999E-2</v>
      </c>
      <c r="AG12" s="3">
        <v>7.5800656999999994E-2</v>
      </c>
      <c r="AH12" s="3">
        <v>8.8582279999999999E-2</v>
      </c>
      <c r="AI12" s="3">
        <v>6.1919449999999994E-2</v>
      </c>
      <c r="AJ12" s="3"/>
      <c r="AK12" s="3"/>
      <c r="AL12" s="3"/>
    </row>
    <row r="13" spans="1:38" x14ac:dyDescent="0.45">
      <c r="A13" s="2">
        <v>44538</v>
      </c>
      <c r="B13" s="3">
        <v>3.4411073E-2</v>
      </c>
      <c r="C13" s="3">
        <v>-3.2367349000000004E-2</v>
      </c>
      <c r="D13" s="3">
        <v>-5.4691434000000002E-3</v>
      </c>
      <c r="E13" s="3">
        <v>-3.3403574999999998E-2</v>
      </c>
      <c r="F13" s="3">
        <v>-0.10161571999999999</v>
      </c>
      <c r="G13" s="3">
        <v>-2.9214262999999997E-2</v>
      </c>
      <c r="H13" s="3">
        <v>-3.6950587999999999E-2</v>
      </c>
      <c r="I13" s="3">
        <v>3.5323143000000001E-2</v>
      </c>
      <c r="J13" s="3">
        <v>-4.0873584999999997E-2</v>
      </c>
      <c r="K13" s="3">
        <v>2.0213485000000003E-2</v>
      </c>
      <c r="L13" s="3">
        <v>4.5788764999999995E-2</v>
      </c>
      <c r="M13" s="3">
        <v>-3.0004084E-2</v>
      </c>
      <c r="N13" s="3">
        <v>-5.1084639999999994E-2</v>
      </c>
      <c r="O13" s="3">
        <v>-4.4190110000000005E-2</v>
      </c>
      <c r="P13" s="3">
        <v>-3.4836053999999998E-2</v>
      </c>
      <c r="Q13" s="3">
        <v>-2.92508E-2</v>
      </c>
      <c r="R13" s="3">
        <v>-4.7782063000000007E-3</v>
      </c>
      <c r="S13" s="3">
        <v>-0.12218791</v>
      </c>
      <c r="T13" s="3">
        <v>0.10000002000000001</v>
      </c>
      <c r="U13" s="3">
        <v>1.4513731E-3</v>
      </c>
      <c r="V13" s="3">
        <v>-7.522935E-2</v>
      </c>
      <c r="W13" s="3">
        <v>-7.2225513000000005E-2</v>
      </c>
      <c r="X13" s="3">
        <v>-4.2673706999999998E-2</v>
      </c>
      <c r="Y13" s="3">
        <v>-3.4370244000000001E-2</v>
      </c>
      <c r="Z13" s="3">
        <v>-4.2973280000000003E-2</v>
      </c>
      <c r="AA13" s="3">
        <v>-1.8800734999999999E-2</v>
      </c>
      <c r="AB13" s="3">
        <v>8.4512233999999992E-3</v>
      </c>
      <c r="AC13" s="3">
        <v>-1.2790024000000001E-2</v>
      </c>
      <c r="AD13" s="3">
        <v>3.8938521999999998E-3</v>
      </c>
      <c r="AE13" s="3">
        <v>1.2581348E-3</v>
      </c>
      <c r="AF13" s="3">
        <v>-2.8430222999999998E-2</v>
      </c>
      <c r="AG13" s="3">
        <v>-5.2750644999999999E-2</v>
      </c>
      <c r="AH13" s="3">
        <v>-4.5389533000000003E-2</v>
      </c>
      <c r="AI13" s="3">
        <v>-4.5189500000000001E-2</v>
      </c>
      <c r="AJ13" s="3"/>
      <c r="AK13" s="3"/>
      <c r="AL13" s="3"/>
    </row>
    <row r="14" spans="1:38" x14ac:dyDescent="0.45">
      <c r="A14" s="2">
        <v>44568</v>
      </c>
      <c r="B14" s="3">
        <v>-4.8020719999999996E-2</v>
      </c>
      <c r="C14" s="3">
        <v>-4.9481749999999998E-2</v>
      </c>
      <c r="D14" s="3">
        <v>-5.2878259999999998E-3</v>
      </c>
      <c r="E14" s="3">
        <v>-4.1944264999999994E-2</v>
      </c>
      <c r="F14" s="3">
        <v>4.9967765999999997E-2</v>
      </c>
      <c r="G14" s="3">
        <v>0.11970425000000001</v>
      </c>
      <c r="H14" s="3">
        <v>2.8697848000000001E-2</v>
      </c>
      <c r="I14" s="3">
        <v>1.2527108E-2</v>
      </c>
      <c r="J14" s="3">
        <v>7.5392127000000003E-2</v>
      </c>
      <c r="K14" s="3">
        <v>-2.5378227E-2</v>
      </c>
      <c r="L14" s="3">
        <v>-6.2235412999999996E-2</v>
      </c>
      <c r="M14" s="3">
        <v>1.2680769000000001E-2</v>
      </c>
      <c r="N14" s="3">
        <v>1.8461584999999999E-2</v>
      </c>
      <c r="O14" s="3">
        <v>3.5985112E-2</v>
      </c>
      <c r="P14" s="3">
        <v>-5.2927375000000006E-2</v>
      </c>
      <c r="Q14" s="3">
        <v>1.9396185999999999E-2</v>
      </c>
      <c r="R14" s="3">
        <v>2.4259089999999997E-2</v>
      </c>
      <c r="S14" s="3">
        <v>4.4654608000000004E-3</v>
      </c>
      <c r="T14" s="3">
        <v>-5.1496325000000003E-2</v>
      </c>
      <c r="U14" s="3">
        <v>3.8990497999999998E-2</v>
      </c>
      <c r="V14" s="3">
        <v>4.6571135999999999E-2</v>
      </c>
      <c r="W14" s="3">
        <v>-2.1534561999999998E-3</v>
      </c>
      <c r="X14" s="3">
        <v>6.5983533999999996E-3</v>
      </c>
      <c r="Y14" s="3">
        <v>8.2069634999999991E-3</v>
      </c>
      <c r="Z14" s="3">
        <v>1.3242245E-2</v>
      </c>
      <c r="AA14" s="3">
        <v>-1.9375682000000002E-2</v>
      </c>
      <c r="AB14" s="3">
        <v>1.3837456999999999E-2</v>
      </c>
      <c r="AC14" s="3">
        <v>5.1986694E-2</v>
      </c>
      <c r="AD14" s="3">
        <v>-4.8196135000000001E-2</v>
      </c>
      <c r="AE14" s="3">
        <v>-3.7727951999999999E-3</v>
      </c>
      <c r="AF14" s="3">
        <v>2.9494047000000002E-2</v>
      </c>
      <c r="AG14" s="3">
        <v>-1.3445139E-2</v>
      </c>
      <c r="AH14" s="3">
        <v>1.4431000000000001E-2</v>
      </c>
      <c r="AI14" s="3">
        <v>2.8794646E-2</v>
      </c>
      <c r="AJ14" s="3"/>
      <c r="AK14" s="3"/>
      <c r="AL14" s="3"/>
    </row>
    <row r="15" spans="1:38" x14ac:dyDescent="0.45">
      <c r="A15" s="2">
        <v>44600</v>
      </c>
      <c r="B15" s="3">
        <v>-4.6627226000000001E-2</v>
      </c>
      <c r="C15" s="3">
        <v>7.1851254000000003E-2</v>
      </c>
      <c r="D15" s="3">
        <v>1.6274094999999999E-2</v>
      </c>
      <c r="E15" s="3">
        <v>5.5773020000000006E-2</v>
      </c>
      <c r="F15" s="3">
        <v>-2.7790487000000003E-2</v>
      </c>
      <c r="G15" s="3">
        <v>4.9652099999999998E-2</v>
      </c>
      <c r="H15" s="3">
        <v>-4.0555000000000002E-4</v>
      </c>
      <c r="I15" s="3">
        <v>-1.0886013999999999E-2</v>
      </c>
      <c r="J15" s="3">
        <v>-2.6792705E-2</v>
      </c>
      <c r="K15" s="3">
        <v>-5.6107283000000001E-2</v>
      </c>
      <c r="L15" s="3">
        <v>0.17748439999999999</v>
      </c>
      <c r="M15" s="3">
        <v>8.2012180000000004E-2</v>
      </c>
      <c r="N15" s="3">
        <v>8.2870849999999996E-2</v>
      </c>
      <c r="O15" s="3">
        <v>-4.3284534999999999E-2</v>
      </c>
      <c r="P15" s="3">
        <v>1.0808109999999999E-2</v>
      </c>
      <c r="Q15" s="3">
        <v>7.4243190000000001E-2</v>
      </c>
      <c r="R15" s="3">
        <v>1.6053080000000001E-2</v>
      </c>
      <c r="S15" s="3">
        <v>1.5075206999999998E-3</v>
      </c>
      <c r="T15" s="3">
        <v>1.7156958999999999E-2</v>
      </c>
      <c r="U15" s="3">
        <v>-8.1775719999999996E-2</v>
      </c>
      <c r="V15" s="3">
        <v>7.0405601999999998E-2</v>
      </c>
      <c r="W15" s="3">
        <v>-6.2440815000000004E-2</v>
      </c>
      <c r="X15" s="3">
        <v>-3.5743355999999997E-2</v>
      </c>
      <c r="Y15" s="3">
        <v>1.1746168E-2</v>
      </c>
      <c r="Z15" s="3">
        <v>-3.0504465000000001E-2</v>
      </c>
      <c r="AA15" s="3">
        <v>-3.0598462E-2</v>
      </c>
      <c r="AB15" s="3">
        <v>-6.0938119999999998E-2</v>
      </c>
      <c r="AC15" s="3">
        <v>1.5008926000000001E-2</v>
      </c>
      <c r="AD15" s="3">
        <v>-5.4599046999999998E-2</v>
      </c>
      <c r="AE15" s="3">
        <v>-3.2504439999999996E-2</v>
      </c>
      <c r="AF15" s="3">
        <v>-2.3368000000000003E-2</v>
      </c>
      <c r="AG15" s="3">
        <v>-6.108856E-2</v>
      </c>
      <c r="AH15" s="3">
        <v>-7.4912843999999992E-2</v>
      </c>
      <c r="AI15" s="3">
        <v>-2.6791096E-2</v>
      </c>
      <c r="AJ15" s="3"/>
      <c r="AK15" s="3"/>
      <c r="AL15" s="3"/>
    </row>
    <row r="16" spans="1:38" x14ac:dyDescent="0.45">
      <c r="A16" s="2">
        <v>44628</v>
      </c>
      <c r="B16" s="3">
        <v>-6.0824155999999997E-2</v>
      </c>
      <c r="C16" s="3">
        <v>3.3911586000000001E-2</v>
      </c>
      <c r="D16" s="3">
        <v>9.2710256999999994E-3</v>
      </c>
      <c r="E16" s="3">
        <v>-4.6957015999999997E-2</v>
      </c>
      <c r="F16" s="3">
        <v>-0.23992508000000001</v>
      </c>
      <c r="G16" s="3">
        <v>9.1292620000000005E-2</v>
      </c>
      <c r="H16" s="3">
        <v>4.4624805000000002E-3</v>
      </c>
      <c r="I16" s="3">
        <v>-8.7129300000000007E-2</v>
      </c>
      <c r="J16" s="3">
        <v>-3.0769229999999998E-2</v>
      </c>
      <c r="K16" s="3">
        <v>-7.6523599999999997E-2</v>
      </c>
      <c r="L16" s="3">
        <v>3.5191536000000002E-2</v>
      </c>
      <c r="M16" s="3">
        <v>-9.5721482999999996E-3</v>
      </c>
      <c r="N16" s="3">
        <v>-0.18107282999999999</v>
      </c>
      <c r="O16" s="3">
        <v>-9.2481729999999998E-2</v>
      </c>
      <c r="P16" s="3">
        <v>-0.15879351</v>
      </c>
      <c r="Q16" s="3">
        <v>8.7653880000000003E-2</v>
      </c>
      <c r="R16" s="3">
        <v>-3.867048E-2</v>
      </c>
      <c r="S16" s="3">
        <v>-7.1249365999999995E-2</v>
      </c>
      <c r="T16" s="3">
        <v>0.10120487</v>
      </c>
      <c r="U16" s="3">
        <v>-3.4605622000000003E-2</v>
      </c>
      <c r="V16" s="3">
        <v>6.0200690000000001E-2</v>
      </c>
      <c r="W16" s="3">
        <v>-2.1679222999999997E-2</v>
      </c>
      <c r="X16" s="3">
        <v>7.1609020000000002E-3</v>
      </c>
      <c r="Y16" s="3">
        <v>-2.7605772000000001E-2</v>
      </c>
      <c r="Z16" s="3">
        <v>-0.20031148999999998</v>
      </c>
      <c r="AA16" s="3">
        <v>-9.9798789999999998E-2</v>
      </c>
      <c r="AB16" s="3">
        <v>-9.0481039999999999E-2</v>
      </c>
      <c r="AC16" s="3">
        <v>-9.6259829999999991E-2</v>
      </c>
      <c r="AD16" s="3">
        <v>-9.960455E-2</v>
      </c>
      <c r="AE16" s="3">
        <v>-7.6928196000000004E-2</v>
      </c>
      <c r="AF16" s="3">
        <v>-0.17737324000000002</v>
      </c>
      <c r="AG16" s="3">
        <v>-0.19161229999999999</v>
      </c>
      <c r="AH16" s="3">
        <v>-0.19491523999999999</v>
      </c>
      <c r="AI16" s="3">
        <v>-0.17290449999999999</v>
      </c>
      <c r="AJ16" s="3"/>
      <c r="AK16" s="3"/>
      <c r="AL16" s="3"/>
    </row>
    <row r="17" spans="1:38" x14ac:dyDescent="0.45">
      <c r="A17" s="2">
        <v>44659</v>
      </c>
      <c r="B17" s="3">
        <v>-2.5376737E-2</v>
      </c>
      <c r="C17" s="3">
        <v>8.314263999999999E-2</v>
      </c>
      <c r="D17" s="3">
        <v>3.5073041999999999E-2</v>
      </c>
      <c r="E17" s="3">
        <v>-1.0372757999999999E-2</v>
      </c>
      <c r="F17" s="3">
        <v>0.12946986999999999</v>
      </c>
      <c r="G17" s="3">
        <v>4.6935079999999999E-3</v>
      </c>
      <c r="H17" s="3">
        <v>4.038775E-2</v>
      </c>
      <c r="I17" s="3">
        <v>1.8419026999999999E-3</v>
      </c>
      <c r="J17" s="3">
        <v>0.11027563000000001</v>
      </c>
      <c r="K17" s="3">
        <v>1.9532442000000001E-2</v>
      </c>
      <c r="L17" s="3">
        <v>0.13898909000000001</v>
      </c>
      <c r="M17" s="3">
        <v>8.2840200000000003E-2</v>
      </c>
      <c r="N17" s="3">
        <v>0.13808929</v>
      </c>
      <c r="O17" s="3">
        <v>0.12072349</v>
      </c>
      <c r="P17" s="3">
        <v>9.4858410000000001E-3</v>
      </c>
      <c r="Q17" s="3">
        <v>2.6547909000000001E-2</v>
      </c>
      <c r="R17" s="3">
        <v>4.1319250000000002E-2</v>
      </c>
      <c r="S17" s="3">
        <v>0.19070779999999998</v>
      </c>
      <c r="T17" s="3">
        <v>5.1695824000000001E-2</v>
      </c>
      <c r="U17" s="3">
        <v>-1.0542929000000001E-2</v>
      </c>
      <c r="V17" s="3">
        <v>2.7339578000000003E-2</v>
      </c>
      <c r="W17" s="3">
        <v>2.7793407000000003E-2</v>
      </c>
      <c r="X17" s="3">
        <v>0.10999584000000001</v>
      </c>
      <c r="Y17" s="3">
        <v>5.8370949999999998E-2</v>
      </c>
      <c r="Z17" s="3">
        <v>7.8691125000000001E-2</v>
      </c>
      <c r="AA17" s="3">
        <v>2.1485089999999998E-2</v>
      </c>
      <c r="AB17" s="3">
        <v>0.12176455000000001</v>
      </c>
      <c r="AC17" s="3">
        <v>9.7208860000000008E-2</v>
      </c>
      <c r="AD17" s="3">
        <v>8.1127404999999986E-2</v>
      </c>
      <c r="AE17" s="3">
        <v>7.8547480000000003E-2</v>
      </c>
      <c r="AF17" s="3">
        <v>7.9987406999999996E-2</v>
      </c>
      <c r="AG17" s="3">
        <v>9.250868000000001E-2</v>
      </c>
      <c r="AH17" s="3">
        <v>0.14766085000000001</v>
      </c>
      <c r="AI17" s="3">
        <v>9.0127109999999996E-2</v>
      </c>
      <c r="AJ17" s="3"/>
      <c r="AK17" s="3"/>
      <c r="AL17" s="3"/>
    </row>
    <row r="18" spans="1:38" x14ac:dyDescent="0.45">
      <c r="A18" s="2">
        <v>44687</v>
      </c>
      <c r="B18" s="3">
        <v>-0.12394899000000001</v>
      </c>
      <c r="C18" s="3">
        <v>-8.732390000000001E-2</v>
      </c>
      <c r="D18" s="3">
        <v>1.0084747999999999E-2</v>
      </c>
      <c r="E18" s="3">
        <v>-5.2735033000000001E-2</v>
      </c>
      <c r="F18" s="3">
        <v>-0.17521834999999999</v>
      </c>
      <c r="G18" s="3">
        <v>-0.17971969999999998</v>
      </c>
      <c r="H18" s="3">
        <v>-6.2111796999999996E-2</v>
      </c>
      <c r="I18" s="3">
        <v>-7.8054547000000002E-2</v>
      </c>
      <c r="J18" s="3">
        <v>-8.8976679999999989E-2</v>
      </c>
      <c r="K18" s="3">
        <v>-4.0203275999999996E-2</v>
      </c>
      <c r="L18" s="3">
        <v>-0.17221344</v>
      </c>
      <c r="M18" s="3">
        <v>-0.18342441999999998</v>
      </c>
      <c r="N18" s="3">
        <v>-6.6349030000000003E-2</v>
      </c>
      <c r="O18" s="3">
        <v>-8.1988699999999998E-2</v>
      </c>
      <c r="P18" s="3">
        <v>-0.10693479</v>
      </c>
      <c r="Q18" s="3">
        <v>-5.3285239999999998E-2</v>
      </c>
      <c r="R18" s="3">
        <v>-3.3463835999999997E-2</v>
      </c>
      <c r="S18" s="3">
        <v>9.9818706999999993E-3</v>
      </c>
      <c r="T18" s="3">
        <v>-2.4187267000000002E-2</v>
      </c>
      <c r="U18" s="3">
        <v>-0.11454444999999999</v>
      </c>
      <c r="V18" s="3">
        <v>2.4564981E-2</v>
      </c>
      <c r="W18" s="3">
        <v>-0.11310064</v>
      </c>
      <c r="X18" s="3">
        <v>-9.2313530000000005E-2</v>
      </c>
      <c r="Y18" s="3">
        <v>-7.6961636999999999E-2</v>
      </c>
      <c r="Z18" s="3">
        <v>-8.1979089999999991E-2</v>
      </c>
      <c r="AA18" s="3">
        <v>-4.610467E-2</v>
      </c>
      <c r="AB18" s="3">
        <v>-0.10553770999999999</v>
      </c>
      <c r="AC18" s="3">
        <v>-7.6315823000000005E-2</v>
      </c>
      <c r="AD18" s="3">
        <v>-0.11427754</v>
      </c>
      <c r="AE18" s="3">
        <v>-8.0948239999999991E-2</v>
      </c>
      <c r="AF18" s="3">
        <v>-5.4742335999999996E-2</v>
      </c>
      <c r="AG18" s="3">
        <v>-9.3948250000000011E-2</v>
      </c>
      <c r="AH18" s="3">
        <v>-0.13477707</v>
      </c>
      <c r="AI18" s="3">
        <v>-7.37564E-2</v>
      </c>
      <c r="AJ18" s="3"/>
      <c r="AK18" s="3"/>
      <c r="AL18" s="3"/>
    </row>
    <row r="19" spans="1:38" x14ac:dyDescent="0.45">
      <c r="A19" s="2">
        <v>44720</v>
      </c>
      <c r="B19" s="3">
        <v>0.10433434999999999</v>
      </c>
      <c r="C19" s="3">
        <v>0.15933633</v>
      </c>
      <c r="D19" s="3">
        <v>-1.8770039000000002E-2</v>
      </c>
      <c r="E19" s="3">
        <v>-6.2240960000000001E-3</v>
      </c>
      <c r="F19" s="3">
        <v>6.4195870000000002E-2</v>
      </c>
      <c r="G19" s="3">
        <v>4.4221044000000001E-2</v>
      </c>
      <c r="H19" s="3">
        <v>-2.7317882000000002E-2</v>
      </c>
      <c r="I19" s="3">
        <v>1.812911E-2</v>
      </c>
      <c r="J19" s="3">
        <v>4.2329073000000002E-2</v>
      </c>
      <c r="K19" s="3">
        <v>-1.5121698000000001E-3</v>
      </c>
      <c r="L19" s="3">
        <v>6.9559692999999992E-2</v>
      </c>
      <c r="M19" s="3">
        <v>5.7327630000000004E-2</v>
      </c>
      <c r="N19" s="3">
        <v>4.0832399999999998E-2</v>
      </c>
      <c r="O19" s="3">
        <v>-2.6365697E-2</v>
      </c>
      <c r="P19" s="3">
        <v>0.17466331000000002</v>
      </c>
      <c r="Q19" s="3">
        <v>-4.612774E-2</v>
      </c>
      <c r="R19" s="3">
        <v>4.4858455999999998E-3</v>
      </c>
      <c r="S19" s="3">
        <v>-9.0745740000000005E-2</v>
      </c>
      <c r="T19" s="3">
        <v>-0.10074621</v>
      </c>
      <c r="U19" s="3">
        <v>-3.9711237000000003E-2</v>
      </c>
      <c r="V19" s="3">
        <v>-9.4305629999999988E-2</v>
      </c>
      <c r="W19" s="3">
        <v>-1.4421105E-2</v>
      </c>
      <c r="X19" s="3">
        <v>1.4943957000000001E-2</v>
      </c>
      <c r="Y19" s="3">
        <v>3.530693E-2</v>
      </c>
      <c r="Z19" s="3">
        <v>6.884348400000001E-2</v>
      </c>
      <c r="AA19" s="3">
        <v>1.0584593E-3</v>
      </c>
      <c r="AB19" s="3">
        <v>-1.8618226000000002E-2</v>
      </c>
      <c r="AC19" s="3">
        <v>4.0835739999999995E-2</v>
      </c>
      <c r="AD19" s="3">
        <v>-5.2061080000000001E-3</v>
      </c>
      <c r="AE19" s="3">
        <v>-2.9170512999999998E-4</v>
      </c>
      <c r="AF19" s="3">
        <v>5.1409125E-2</v>
      </c>
      <c r="AG19" s="3">
        <v>5.628872E-2</v>
      </c>
      <c r="AH19" s="3">
        <v>7.3321579999999997E-2</v>
      </c>
      <c r="AI19" s="3">
        <v>4.7037005E-2</v>
      </c>
      <c r="AJ19" s="3"/>
      <c r="AK19" s="3"/>
      <c r="AL19" s="3"/>
    </row>
    <row r="20" spans="1:38" x14ac:dyDescent="0.45">
      <c r="A20" s="2">
        <v>44750</v>
      </c>
      <c r="B20" s="3">
        <v>5.6362750000000003E-2</v>
      </c>
      <c r="C20" s="3">
        <v>-0.18105953</v>
      </c>
      <c r="D20" s="3">
        <v>-9.9399149999999992E-2</v>
      </c>
      <c r="E20" s="3">
        <v>-9.7004174999999998E-2</v>
      </c>
      <c r="F20" s="3">
        <v>-0.11452723000000001</v>
      </c>
      <c r="G20" s="3">
        <v>-0.16036642000000001</v>
      </c>
      <c r="H20" s="3">
        <v>-6.0320735E-2</v>
      </c>
      <c r="I20" s="3">
        <v>-0.11663103</v>
      </c>
      <c r="J20" s="3">
        <v>-7.5574756000000007E-2</v>
      </c>
      <c r="K20" s="3">
        <v>-0.11706799500000001</v>
      </c>
      <c r="L20" s="3">
        <v>-0.13927525499999999</v>
      </c>
      <c r="M20" s="3">
        <v>-8.4592705000000004E-2</v>
      </c>
      <c r="N20" s="3">
        <v>-0.14569372</v>
      </c>
      <c r="O20" s="3">
        <v>-1.9273043E-2</v>
      </c>
      <c r="P20" s="3">
        <v>4.454851E-4</v>
      </c>
      <c r="Q20" s="3">
        <v>-4.5757294000000004E-2</v>
      </c>
      <c r="R20" s="3">
        <v>-4.8274459999999998E-2</v>
      </c>
      <c r="S20" s="3">
        <v>-5.9012117000000003E-2</v>
      </c>
      <c r="T20" s="3">
        <v>-7.0683120000000002E-2</v>
      </c>
      <c r="U20" s="3">
        <v>-0.10526318</v>
      </c>
      <c r="V20" s="3">
        <v>-8.107251E-2</v>
      </c>
      <c r="W20" s="3">
        <v>-3.8176596E-2</v>
      </c>
      <c r="X20" s="3">
        <v>-9.9845295000000001E-2</v>
      </c>
      <c r="Y20" s="3">
        <v>-0.10803819000000001</v>
      </c>
      <c r="Z20" s="3">
        <v>-0.14058357000000002</v>
      </c>
      <c r="AA20" s="3">
        <v>-4.4131220000000006E-2</v>
      </c>
      <c r="AB20" s="3">
        <v>-3.4407377000000003E-2</v>
      </c>
      <c r="AC20" s="3">
        <v>-8.6635530000000002E-2</v>
      </c>
      <c r="AD20" s="3">
        <v>-3.8147986000000002E-2</v>
      </c>
      <c r="AE20" s="3">
        <v>-5.0763129999999997E-2</v>
      </c>
      <c r="AF20" s="3">
        <v>-0.10423201999999999</v>
      </c>
      <c r="AG20" s="3">
        <v>-0.10547280000000001</v>
      </c>
      <c r="AH20" s="3">
        <v>-0.12236171999999999</v>
      </c>
      <c r="AI20" s="3">
        <v>-0.13592291000000001</v>
      </c>
      <c r="AJ20" s="3"/>
      <c r="AK20" s="3"/>
      <c r="AL20" s="3"/>
    </row>
    <row r="21" spans="1:38" x14ac:dyDescent="0.45">
      <c r="A21" s="2">
        <v>44781</v>
      </c>
      <c r="B21" s="3">
        <v>-6.3015103000000003E-2</v>
      </c>
      <c r="C21" s="3">
        <v>0.1166526</v>
      </c>
      <c r="D21" s="3">
        <v>8.6617710000000001E-2</v>
      </c>
      <c r="E21" s="3">
        <v>2.3781656999999998E-2</v>
      </c>
      <c r="F21" s="3">
        <v>8.5046289999999997E-3</v>
      </c>
      <c r="G21" s="3">
        <v>4.4373990000000002E-2</v>
      </c>
      <c r="H21" s="3">
        <v>4.2513847E-2</v>
      </c>
      <c r="I21" s="3">
        <v>2.9429555E-2</v>
      </c>
      <c r="J21" s="3">
        <v>9.3560220000000003E-3</v>
      </c>
      <c r="K21" s="3">
        <v>4.7341347000000006E-2</v>
      </c>
      <c r="L21" s="3">
        <v>0.11365282</v>
      </c>
      <c r="M21" s="3">
        <v>2.521205E-2</v>
      </c>
      <c r="N21" s="3">
        <v>6.6843750000000007E-2</v>
      </c>
      <c r="O21" s="3">
        <v>7.2388053000000008E-2</v>
      </c>
      <c r="P21" s="3">
        <v>-0.11311239000000001</v>
      </c>
      <c r="Q21" s="3">
        <v>0.10678207000000001</v>
      </c>
      <c r="R21" s="3">
        <v>3.2737017E-2</v>
      </c>
      <c r="S21" s="3">
        <v>0.11177099</v>
      </c>
      <c r="T21" s="3">
        <v>8.4800959999999995E-2</v>
      </c>
      <c r="U21" s="3">
        <v>7.5630306999999994E-2</v>
      </c>
      <c r="V21" s="3">
        <v>7.2309612999999995E-2</v>
      </c>
      <c r="W21" s="3">
        <v>7.2999120000000001E-2</v>
      </c>
      <c r="X21" s="3">
        <v>5.9568523999999998E-2</v>
      </c>
      <c r="Y21" s="3">
        <v>3.8814901999999998E-2</v>
      </c>
      <c r="Z21" s="3">
        <v>4.4150113999999997E-2</v>
      </c>
      <c r="AA21" s="3">
        <v>2.9225588E-2</v>
      </c>
      <c r="AB21" s="3">
        <v>4.0579677000000001E-2</v>
      </c>
      <c r="AC21" s="3">
        <v>4.2048097E-2</v>
      </c>
      <c r="AD21" s="3">
        <v>8.5864179999999998E-2</v>
      </c>
      <c r="AE21" s="3">
        <v>6.2572240000000001E-2</v>
      </c>
      <c r="AF21" s="3">
        <v>8.0568680000000004E-2</v>
      </c>
      <c r="AG21" s="3">
        <v>8.8073844999999998E-2</v>
      </c>
      <c r="AH21" s="3">
        <v>7.2370530000000002E-2</v>
      </c>
      <c r="AI21" s="3">
        <v>4.1350245000000001E-2</v>
      </c>
      <c r="AJ21" s="3"/>
      <c r="AK21" s="3"/>
      <c r="AL21" s="3"/>
    </row>
    <row r="22" spans="1:38" x14ac:dyDescent="0.45">
      <c r="A22" s="2">
        <v>44812</v>
      </c>
      <c r="B22" s="3">
        <v>-4.9943330000000001E-2</v>
      </c>
      <c r="C22" s="3">
        <v>8.7433700000000003E-2</v>
      </c>
      <c r="D22" s="3">
        <v>2.1509885999999999E-2</v>
      </c>
      <c r="E22" s="3">
        <v>-1.7136334999999999E-2</v>
      </c>
      <c r="F22" s="3">
        <v>-0.14195358</v>
      </c>
      <c r="G22" s="3">
        <v>-3.9074361000000002E-2</v>
      </c>
      <c r="H22" s="3">
        <v>-1.5957414999999999E-2</v>
      </c>
      <c r="I22" s="3">
        <v>-4.6406864999999999E-2</v>
      </c>
      <c r="J22" s="3">
        <v>-1.0993718999999999E-2</v>
      </c>
      <c r="K22" s="3">
        <v>-0.10465120999999999</v>
      </c>
      <c r="L22" s="3">
        <v>-5.5428743000000003E-3</v>
      </c>
      <c r="M22" s="3">
        <v>-8.8025680000000009E-2</v>
      </c>
      <c r="N22" s="3">
        <v>-5.3112087000000002E-2</v>
      </c>
      <c r="O22" s="3">
        <v>1.5773653999999998E-2</v>
      </c>
      <c r="P22" s="3">
        <v>-3.6758779999999998E-2</v>
      </c>
      <c r="Q22" s="3">
        <v>-5.5628004000000002E-2</v>
      </c>
      <c r="R22" s="3">
        <v>1.9348978999999999E-2</v>
      </c>
      <c r="S22" s="3">
        <v>0.18115592999999999</v>
      </c>
      <c r="T22" s="3">
        <v>-6.9152116999999999E-2</v>
      </c>
      <c r="U22" s="3">
        <v>-3.2552062999999999E-2</v>
      </c>
      <c r="V22" s="3">
        <v>-3.0221045000000002E-2</v>
      </c>
      <c r="W22" s="3">
        <v>-4.3647584999999996E-2</v>
      </c>
      <c r="X22" s="3">
        <v>-4.1168690000000001E-2</v>
      </c>
      <c r="Y22" s="3">
        <v>-2.9092968E-2</v>
      </c>
      <c r="Z22" s="3">
        <v>-7.9069734000000003E-2</v>
      </c>
      <c r="AA22" s="3">
        <v>-5.7876643999999998E-2</v>
      </c>
      <c r="AB22" s="3">
        <v>-5.8031560000000003E-2</v>
      </c>
      <c r="AC22" s="3">
        <v>-6.8987904000000003E-2</v>
      </c>
      <c r="AD22" s="3">
        <v>-6.2954070000000001E-2</v>
      </c>
      <c r="AE22" s="3">
        <v>-3.0533372999999999E-2</v>
      </c>
      <c r="AF22" s="3">
        <v>-7.7067670000000005E-2</v>
      </c>
      <c r="AG22" s="3">
        <v>-0.10164547</v>
      </c>
      <c r="AH22" s="3">
        <v>-0.1055789</v>
      </c>
      <c r="AI22" s="3">
        <v>-6.3209056999999999E-2</v>
      </c>
      <c r="AJ22" s="3"/>
      <c r="AK22" s="3"/>
      <c r="AL22" s="3"/>
    </row>
    <row r="23" spans="1:38" x14ac:dyDescent="0.45">
      <c r="A23" s="2">
        <v>44841</v>
      </c>
      <c r="B23" s="3">
        <v>-7.0489826000000005E-2</v>
      </c>
      <c r="C23" s="3">
        <v>-0.14758092</v>
      </c>
      <c r="D23" s="3">
        <v>-4.4591246000000001E-2</v>
      </c>
      <c r="E23" s="3">
        <v>-0.12979465500000001</v>
      </c>
      <c r="F23" s="3">
        <v>-0.10647010999999999</v>
      </c>
      <c r="G23" s="3">
        <v>1.7370700999999999E-2</v>
      </c>
      <c r="H23" s="3">
        <v>-8.6036020000000005E-2</v>
      </c>
      <c r="I23" s="3">
        <v>-0.10574949</v>
      </c>
      <c r="J23" s="3">
        <v>-9.8081829999999998E-3</v>
      </c>
      <c r="K23" s="3">
        <v>-9.712815000000001E-2</v>
      </c>
      <c r="L23" s="3">
        <v>6.4262269999999996E-2</v>
      </c>
      <c r="M23" s="3">
        <v>-5.6451679999999997E-2</v>
      </c>
      <c r="N23" s="3">
        <v>-4.2068300000000003E-2</v>
      </c>
      <c r="O23" s="3">
        <v>-7.7529134999999999E-2</v>
      </c>
      <c r="P23" s="3">
        <v>-9.1292440000000002E-2</v>
      </c>
      <c r="Q23" s="3">
        <v>6.902933E-3</v>
      </c>
      <c r="R23" s="3">
        <v>-3.6792636000000004E-2</v>
      </c>
      <c r="S23" s="3">
        <v>1.3157845E-2</v>
      </c>
      <c r="T23" s="3">
        <v>-1.4211833E-2</v>
      </c>
      <c r="U23" s="3">
        <v>-0.16487210999999999</v>
      </c>
      <c r="V23" s="3">
        <v>-1.8604994E-3</v>
      </c>
      <c r="W23" s="3">
        <v>-0.11784876000000001</v>
      </c>
      <c r="X23" s="3">
        <v>-7.0175466999999991E-2</v>
      </c>
      <c r="Y23" s="3">
        <v>-8.4312620000000005E-2</v>
      </c>
      <c r="Z23" s="3">
        <v>-8.2185510000000003E-2</v>
      </c>
      <c r="AA23" s="3">
        <v>-4.3770369999999996E-2</v>
      </c>
      <c r="AB23" s="3">
        <v>-7.4913740000000006E-2</v>
      </c>
      <c r="AC23" s="3">
        <v>-6.8857074000000004E-2</v>
      </c>
      <c r="AD23" s="3">
        <v>-0.10295666000000001</v>
      </c>
      <c r="AE23" s="3">
        <v>-9.013409E-2</v>
      </c>
      <c r="AF23" s="3">
        <v>-7.1283044999999989E-2</v>
      </c>
      <c r="AG23" s="3">
        <v>-8.3604100000000001E-2</v>
      </c>
      <c r="AH23" s="3">
        <v>-9.1213940000000007E-2</v>
      </c>
      <c r="AI23" s="3">
        <v>-5.9688625000000002E-2</v>
      </c>
      <c r="AJ23" s="3"/>
      <c r="AK23" s="3"/>
      <c r="AL23" s="3"/>
    </row>
    <row r="24" spans="1:38" x14ac:dyDescent="0.45">
      <c r="A24" s="2">
        <v>44873</v>
      </c>
      <c r="B24" s="3">
        <v>-3.0848384000000003E-2</v>
      </c>
      <c r="C24" s="3">
        <v>0.11351573999999999</v>
      </c>
      <c r="D24" s="3">
        <v>1.8150448999999999E-2</v>
      </c>
      <c r="E24" s="3">
        <v>9.2163924999999994E-2</v>
      </c>
      <c r="F24" s="3">
        <v>0.24381304000000001</v>
      </c>
      <c r="G24" s="3">
        <v>0.10050451000000001</v>
      </c>
      <c r="H24" s="3">
        <v>2.5628327999999999E-2</v>
      </c>
      <c r="I24" s="3">
        <v>8.7256429999999999E-3</v>
      </c>
      <c r="J24" s="3">
        <v>0.15144181000000001</v>
      </c>
      <c r="K24" s="3">
        <v>0.13290108</v>
      </c>
      <c r="L24" s="3">
        <v>6.4694879999999998E-3</v>
      </c>
      <c r="M24" s="3">
        <v>0.10470093</v>
      </c>
      <c r="N24" s="3">
        <v>0.14455628000000001</v>
      </c>
      <c r="O24" s="3">
        <v>7.5875640000000008E-2</v>
      </c>
      <c r="P24" s="3">
        <v>-5.8004619999999993E-2</v>
      </c>
      <c r="Q24" s="3">
        <v>-1.0511874999999999E-2</v>
      </c>
      <c r="R24" s="3">
        <v>3.3519863999999996E-2</v>
      </c>
      <c r="S24" s="3">
        <v>0.21712662000000002</v>
      </c>
      <c r="T24" s="3">
        <v>4.1284439999999999E-2</v>
      </c>
      <c r="U24" s="3">
        <v>-9.3473015000000007E-2</v>
      </c>
      <c r="V24" s="3">
        <v>-2.5629044E-2</v>
      </c>
      <c r="W24" s="3">
        <v>7.7240704999999993E-2</v>
      </c>
      <c r="X24" s="3">
        <v>6.7030786999999994E-2</v>
      </c>
      <c r="Y24" s="3">
        <v>8.4696880000000002E-2</v>
      </c>
      <c r="Z24" s="3">
        <v>0.14307154</v>
      </c>
      <c r="AA24" s="3">
        <v>4.1959404999999998E-2</v>
      </c>
      <c r="AB24" s="3">
        <v>5.9403300000000006E-2</v>
      </c>
      <c r="AC24" s="3">
        <v>8.7087040000000004E-2</v>
      </c>
      <c r="AD24" s="3">
        <v>1.6350746E-3</v>
      </c>
      <c r="AE24" s="3">
        <v>5.2950739999999996E-2</v>
      </c>
      <c r="AF24" s="3">
        <v>0.13340640000000001</v>
      </c>
      <c r="AG24" s="3">
        <v>0.1086396</v>
      </c>
      <c r="AH24" s="3">
        <v>0.15535056999999999</v>
      </c>
      <c r="AI24" s="3">
        <v>0.17755295000000001</v>
      </c>
      <c r="AJ24" s="3"/>
      <c r="AK24" s="3"/>
      <c r="AL24" s="3"/>
    </row>
    <row r="25" spans="1:38" x14ac:dyDescent="0.45">
      <c r="A25" s="2">
        <v>44903</v>
      </c>
      <c r="B25" s="3">
        <v>8.3554379999999998E-2</v>
      </c>
      <c r="C25" s="3">
        <v>-6.2339306000000006E-3</v>
      </c>
      <c r="D25" s="3">
        <v>-3.0135809999999999E-2</v>
      </c>
      <c r="E25" s="3">
        <v>9.0093729999999997E-2</v>
      </c>
      <c r="F25" s="3">
        <v>0.10316884999999999</v>
      </c>
      <c r="G25" s="3">
        <v>5.1128270000000003E-2</v>
      </c>
      <c r="H25" s="3">
        <v>9.1782810000000006E-2</v>
      </c>
      <c r="I25" s="3">
        <v>0.12770318999999999</v>
      </c>
      <c r="J25" s="3">
        <v>4.9703120000000002E-3</v>
      </c>
      <c r="K25" s="3">
        <v>3.0400634000000003E-2</v>
      </c>
      <c r="L25" s="3">
        <v>-8.2644579999999995E-2</v>
      </c>
      <c r="M25" s="3">
        <v>6.1653732999999995E-2</v>
      </c>
      <c r="N25" s="3">
        <v>6.7545889999999997E-2</v>
      </c>
      <c r="O25" s="3">
        <v>-2.5310516000000001E-3</v>
      </c>
      <c r="P25" s="3">
        <v>0.20837450000000002</v>
      </c>
      <c r="Q25" s="3">
        <v>-8.6835979999999993E-2</v>
      </c>
      <c r="R25" s="3">
        <v>-7.4236990000000006E-3</v>
      </c>
      <c r="S25" s="3">
        <v>9.6032030000000004E-2</v>
      </c>
      <c r="T25" s="3">
        <v>-4.4682207000000002E-2</v>
      </c>
      <c r="U25" s="3">
        <v>0.13955557000000002</v>
      </c>
      <c r="V25" s="3">
        <v>-0.1047346</v>
      </c>
      <c r="W25" s="3">
        <v>0.11905300000000001</v>
      </c>
      <c r="X25" s="3">
        <v>7.9571959999999997E-2</v>
      </c>
      <c r="Y25" s="3">
        <v>8.2815886000000005E-3</v>
      </c>
      <c r="Z25" s="3">
        <v>0.10503280999999999</v>
      </c>
      <c r="AA25" s="3">
        <v>6.1464309999999994E-2</v>
      </c>
      <c r="AB25" s="3">
        <v>7.1913480000000002E-2</v>
      </c>
      <c r="AC25" s="3">
        <v>8.9433670000000007E-2</v>
      </c>
      <c r="AD25" s="3">
        <v>5.3090453000000003E-2</v>
      </c>
      <c r="AE25" s="3">
        <v>3.7277459999999998E-2</v>
      </c>
      <c r="AF25" s="3">
        <v>8.7391140000000006E-2</v>
      </c>
      <c r="AG25" s="3">
        <v>0.13288748</v>
      </c>
      <c r="AH25" s="3">
        <v>7.6014039999999991E-2</v>
      </c>
      <c r="AI25" s="3">
        <v>7.4609399999999992E-2</v>
      </c>
      <c r="AJ25" s="3"/>
      <c r="AK25" s="3"/>
      <c r="AL25" s="3"/>
    </row>
    <row r="26" spans="1:38" x14ac:dyDescent="0.45">
      <c r="A26" s="2">
        <v>44932</v>
      </c>
      <c r="B26" s="3">
        <v>3.2855033999999998E-2</v>
      </c>
      <c r="C26" s="3">
        <v>1.2486219999999999E-2</v>
      </c>
      <c r="D26" s="3">
        <v>-2.8362750000000003E-2</v>
      </c>
      <c r="E26" s="3">
        <v>3.5458325999999998E-2</v>
      </c>
      <c r="F26" s="3">
        <v>0.11610389</v>
      </c>
      <c r="G26" s="3">
        <v>4.2161106999999996E-2</v>
      </c>
      <c r="H26" s="3">
        <v>2.2123574999999999E-2</v>
      </c>
      <c r="I26" s="3">
        <v>-1.4054774999999999E-4</v>
      </c>
      <c r="J26" s="3">
        <v>4.2416572999999999E-2</v>
      </c>
      <c r="K26" s="3">
        <v>5.1840544000000002E-2</v>
      </c>
      <c r="L26" s="3">
        <v>1.6317725000000002E-2</v>
      </c>
      <c r="M26" s="3">
        <v>4.5105815E-2</v>
      </c>
      <c r="N26" s="3">
        <v>6.9387196999999998E-2</v>
      </c>
      <c r="O26" s="3">
        <v>-2.9296338999999998E-2</v>
      </c>
      <c r="P26" s="3">
        <v>8.1009865E-2</v>
      </c>
      <c r="Q26" s="3">
        <v>-8.9033840000000003E-3</v>
      </c>
      <c r="R26" s="3">
        <v>3.2934427000000002E-2</v>
      </c>
      <c r="S26" s="3">
        <v>0.10619104</v>
      </c>
      <c r="T26" s="3">
        <v>-1.7623961E-2</v>
      </c>
      <c r="U26" s="3">
        <v>-2.1314441999999999E-2</v>
      </c>
      <c r="V26" s="3">
        <v>3.8002133E-2</v>
      </c>
      <c r="W26" s="3">
        <v>7.6831579999999998E-3</v>
      </c>
      <c r="X26" s="3">
        <v>1.0718346E-2</v>
      </c>
      <c r="Y26" s="3">
        <v>4.1549205999999997E-3</v>
      </c>
      <c r="Z26" s="3">
        <v>4.4311165999999999E-2</v>
      </c>
      <c r="AA26" s="3">
        <v>-3.5990477E-3</v>
      </c>
      <c r="AB26" s="3">
        <v>2.768004E-2</v>
      </c>
      <c r="AC26" s="3">
        <v>1.9466638999999997E-2</v>
      </c>
      <c r="AD26" s="3">
        <v>-5.0720159999999993E-2</v>
      </c>
      <c r="AE26" s="3">
        <v>-1.6041397999999998E-2</v>
      </c>
      <c r="AF26" s="3">
        <v>4.0215253999999999E-2</v>
      </c>
      <c r="AG26" s="3">
        <v>2.6613115999999999E-2</v>
      </c>
      <c r="AH26" s="3">
        <v>9.8963976000000006E-3</v>
      </c>
      <c r="AI26" s="3">
        <v>4.9351095999999997E-2</v>
      </c>
      <c r="AJ26" s="3"/>
      <c r="AK26" s="3"/>
      <c r="AL26" s="3"/>
    </row>
    <row r="27" spans="1:38" x14ac:dyDescent="0.45">
      <c r="A27" s="2">
        <v>44965</v>
      </c>
      <c r="B27" s="3">
        <v>1.5174508E-2</v>
      </c>
      <c r="C27" s="3">
        <v>7.8130839999999993E-2</v>
      </c>
      <c r="D27" s="3">
        <v>6.9153786000000009E-2</v>
      </c>
      <c r="E27" s="3">
        <v>3.0116081000000003E-2</v>
      </c>
      <c r="F27" s="3">
        <v>-1.9488393999999999E-2</v>
      </c>
      <c r="G27" s="3">
        <v>-9.4988940000000008E-3</v>
      </c>
      <c r="H27" s="3">
        <v>4.7826766999999994E-3</v>
      </c>
      <c r="I27" s="3">
        <v>7.1241260000000001E-2</v>
      </c>
      <c r="J27" s="3">
        <v>4.0037155000000005E-2</v>
      </c>
      <c r="K27" s="3">
        <v>5.0425769999999995E-2</v>
      </c>
      <c r="L27" s="3">
        <v>8.8338849999999997E-3</v>
      </c>
      <c r="M27" s="3">
        <v>-2.4115025999999998E-2</v>
      </c>
      <c r="N27" s="3">
        <v>0.11565733</v>
      </c>
      <c r="O27" s="3">
        <v>-3.6834657E-2</v>
      </c>
      <c r="P27" s="3">
        <v>-1.2629151E-2</v>
      </c>
      <c r="Q27" s="3">
        <v>-8.1664089999999995E-2</v>
      </c>
      <c r="R27" s="3">
        <v>-2.1029115E-3</v>
      </c>
      <c r="S27" s="3">
        <v>-0.17661689999999999</v>
      </c>
      <c r="T27" s="3">
        <v>8.0645083999999999E-3</v>
      </c>
      <c r="U27" s="3">
        <v>-2.7353168000000001E-2</v>
      </c>
      <c r="V27" s="3">
        <v>-2.1326363000000001E-2</v>
      </c>
      <c r="W27" s="3">
        <v>3.9381145999999999E-2</v>
      </c>
      <c r="X27" s="3">
        <v>5.7775855000000001E-2</v>
      </c>
      <c r="Y27" s="3">
        <v>4.5939565000000002E-2</v>
      </c>
      <c r="Z27" s="3">
        <v>6.6767809999999997E-2</v>
      </c>
      <c r="AA27" s="3">
        <v>5.4044126999999997E-2</v>
      </c>
      <c r="AB27" s="3">
        <v>2.8303980000000003E-2</v>
      </c>
      <c r="AC27" s="3">
        <v>1.7986655000000001E-2</v>
      </c>
      <c r="AD27" s="3">
        <v>0.13232886999999999</v>
      </c>
      <c r="AE27" s="3">
        <v>5.815816E-2</v>
      </c>
      <c r="AF27" s="3">
        <v>4.4349074000000002E-2</v>
      </c>
      <c r="AG27" s="3">
        <v>5.5597424999999999E-2</v>
      </c>
      <c r="AH27" s="3">
        <v>4.1974545000000002E-2</v>
      </c>
      <c r="AI27" s="3">
        <v>6.3642740000000003E-2</v>
      </c>
      <c r="AJ27" s="3"/>
      <c r="AK27" s="3"/>
      <c r="AL27" s="3"/>
    </row>
    <row r="28" spans="1:38" x14ac:dyDescent="0.45">
      <c r="A28" s="2">
        <v>44993</v>
      </c>
      <c r="B28" s="3">
        <v>-3.6771297000000001E-2</v>
      </c>
      <c r="C28" s="3">
        <v>6.9348810000000004E-3</v>
      </c>
      <c r="D28" s="3">
        <v>-5.4042579999999993E-2</v>
      </c>
      <c r="E28" s="3">
        <v>-5.5653389999999997E-2</v>
      </c>
      <c r="F28" s="3">
        <v>-1.0869563E-2</v>
      </c>
      <c r="G28" s="3">
        <v>-1.9510566999999999E-2</v>
      </c>
      <c r="H28" s="3">
        <v>-6.0579896000000001E-2</v>
      </c>
      <c r="I28" s="3">
        <v>-3.1138660000000003E-3</v>
      </c>
      <c r="J28" s="3">
        <v>6.3742159999999992E-2</v>
      </c>
      <c r="K28" s="3">
        <v>-5.91321E-2</v>
      </c>
      <c r="L28" s="3">
        <v>-1.2609421999999999E-2</v>
      </c>
      <c r="M28" s="3">
        <v>-8.2067549999999989E-2</v>
      </c>
      <c r="N28" s="3">
        <v>-1.1265397E-2</v>
      </c>
      <c r="O28" s="3">
        <v>-7.4018835999999999E-3</v>
      </c>
      <c r="P28" s="3">
        <v>-6.2403019999999997E-2</v>
      </c>
      <c r="Q28" s="3">
        <v>4.3064949999999998E-2</v>
      </c>
      <c r="R28" s="3">
        <v>-3.4567832999999999E-2</v>
      </c>
      <c r="S28" s="3">
        <v>0.24773407</v>
      </c>
      <c r="T28" s="3">
        <v>-2.0666718000000001E-2</v>
      </c>
      <c r="U28" s="3">
        <v>-2.8949559E-2</v>
      </c>
      <c r="V28" s="3">
        <v>-3.5876036000000002E-3</v>
      </c>
      <c r="W28" s="3">
        <v>-6.5339270000000005E-2</v>
      </c>
      <c r="X28" s="3">
        <v>-5.8726906999999995E-2</v>
      </c>
      <c r="Y28" s="3">
        <v>-3.910458E-2</v>
      </c>
      <c r="Z28" s="3">
        <v>-1.3513565E-2</v>
      </c>
      <c r="AA28" s="3">
        <v>-2.7714968000000003E-3</v>
      </c>
      <c r="AB28" s="3">
        <v>-4.3063219999999999E-2</v>
      </c>
      <c r="AC28" s="3">
        <v>-6.5096019999999997E-3</v>
      </c>
      <c r="AD28" s="3">
        <v>-2.1519840000000002E-2</v>
      </c>
      <c r="AE28" s="3">
        <v>-2.8564453E-2</v>
      </c>
      <c r="AF28" s="3">
        <v>5.7533979999999998E-3</v>
      </c>
      <c r="AG28" s="3">
        <v>-2.8836965999999999E-2</v>
      </c>
      <c r="AH28" s="3">
        <v>-1.2482226000000001E-2</v>
      </c>
      <c r="AI28" s="3">
        <v>7.2727202999999995E-3</v>
      </c>
      <c r="AJ28" s="3"/>
      <c r="AK28" s="3"/>
      <c r="AL28" s="3"/>
    </row>
    <row r="29" spans="1:38" x14ac:dyDescent="0.45">
      <c r="A29" s="2">
        <v>45022</v>
      </c>
      <c r="B29" s="3">
        <v>2.8553605000000003E-2</v>
      </c>
      <c r="C29" s="3">
        <v>-5.3030309999999997E-2</v>
      </c>
      <c r="D29" s="3">
        <v>6.2528133E-2</v>
      </c>
      <c r="E29" s="3">
        <v>-5.2219033000000005E-3</v>
      </c>
      <c r="F29" s="3">
        <v>-1.9780277999999998E-2</v>
      </c>
      <c r="G29" s="3">
        <v>2.8667807999999999E-2</v>
      </c>
      <c r="H29" s="3">
        <v>2.5333999999999999E-2</v>
      </c>
      <c r="I29" s="3">
        <v>1.5617608999999998E-3</v>
      </c>
      <c r="J29" s="3">
        <v>-1.3129055999999998E-2</v>
      </c>
      <c r="K29" s="3">
        <v>1.3008952000000001E-2</v>
      </c>
      <c r="L29" s="3">
        <v>-3.9020956000000002E-2</v>
      </c>
      <c r="M29" s="3">
        <v>4.9147844000000003E-2</v>
      </c>
      <c r="N29" s="3">
        <v>5.8612823000000003E-3</v>
      </c>
      <c r="O29" s="3">
        <v>-6.9599750000000002E-3</v>
      </c>
      <c r="P29" s="3">
        <v>2.7904034000000001E-2</v>
      </c>
      <c r="Q29" s="3">
        <v>-1.7694354000000002E-2</v>
      </c>
      <c r="R29" s="3">
        <v>-2.2032738E-2</v>
      </c>
      <c r="S29" s="3">
        <v>-0.10734457000000001</v>
      </c>
      <c r="T29" s="3">
        <v>-3.2675266000000001E-2</v>
      </c>
      <c r="U29" s="3">
        <v>4.6848416000000004E-2</v>
      </c>
      <c r="V29" s="3">
        <v>6.7342399999999997E-2</v>
      </c>
      <c r="W29" s="3">
        <v>3.1644344000000005E-2</v>
      </c>
      <c r="X29" s="3">
        <v>7.4170829999999997E-3</v>
      </c>
      <c r="Y29" s="3">
        <v>1.7398952999999998E-2</v>
      </c>
      <c r="Z29" s="3">
        <v>3.0281186000000002E-2</v>
      </c>
      <c r="AA29" s="3">
        <v>4.1688680000000001E-3</v>
      </c>
      <c r="AB29" s="3">
        <v>7.1445106999999994E-2</v>
      </c>
      <c r="AC29" s="3">
        <v>3.1513333000000004E-2</v>
      </c>
      <c r="AD29" s="3">
        <v>6.9574949999999997E-2</v>
      </c>
      <c r="AE29" s="3">
        <v>2.9706000999999999E-2</v>
      </c>
      <c r="AF29" s="3">
        <v>4.0315985999999998E-2</v>
      </c>
      <c r="AG29" s="3">
        <v>3.1165600000000002E-2</v>
      </c>
      <c r="AH29" s="3">
        <v>8.043647000000001E-3</v>
      </c>
      <c r="AI29" s="3">
        <v>1.3455867999999999E-2</v>
      </c>
      <c r="AJ29" s="3"/>
      <c r="AK29" s="3"/>
      <c r="AL29" s="3"/>
    </row>
    <row r="30" spans="1:38" x14ac:dyDescent="0.45">
      <c r="A30" s="2">
        <v>45054</v>
      </c>
      <c r="B30" s="3">
        <v>-2.5045215999999999E-2</v>
      </c>
      <c r="C30" s="3">
        <v>8.5454580000000002E-2</v>
      </c>
      <c r="D30" s="3">
        <v>1.6934752000000001E-2</v>
      </c>
      <c r="E30" s="3">
        <v>1.1998534E-2</v>
      </c>
      <c r="F30" s="3">
        <v>0.13324796999999999</v>
      </c>
      <c r="G30" s="3">
        <v>5.1147579999999998E-2</v>
      </c>
      <c r="H30" s="3">
        <v>-5.8401227000000003E-3</v>
      </c>
      <c r="I30" s="3">
        <v>-1.3811528999999999E-2</v>
      </c>
      <c r="J30" s="3">
        <v>4.5369267000000005E-2</v>
      </c>
      <c r="K30" s="3">
        <v>2.651763E-2</v>
      </c>
      <c r="L30" s="3">
        <v>5.7954907E-2</v>
      </c>
      <c r="M30" s="3">
        <v>-9.4163419999999996E-4</v>
      </c>
      <c r="N30" s="3">
        <v>4.8883200000000002E-2</v>
      </c>
      <c r="O30" s="3">
        <v>3.9549349999999997E-2</v>
      </c>
      <c r="P30" s="3">
        <v>-3.498888E-2</v>
      </c>
      <c r="Q30" s="3">
        <v>5.513096E-2</v>
      </c>
      <c r="R30" s="3">
        <v>-9.3971490000000005E-3</v>
      </c>
      <c r="S30" s="3">
        <v>-7.4743804999999996E-2</v>
      </c>
      <c r="T30" s="3">
        <v>7.0372939999999995E-2</v>
      </c>
      <c r="U30" s="3">
        <v>-1.7087042E-2</v>
      </c>
      <c r="V30" s="3">
        <v>2.2488712999999997E-2</v>
      </c>
      <c r="W30" s="3">
        <v>1.8845199999999999E-2</v>
      </c>
      <c r="X30" s="3">
        <v>9.5279217000000006E-3</v>
      </c>
      <c r="Y30" s="3">
        <v>3.014493E-2</v>
      </c>
      <c r="Z30" s="3">
        <v>2.9741050000000002E-2</v>
      </c>
      <c r="AA30" s="3">
        <v>2.7503848000000001E-2</v>
      </c>
      <c r="AB30" s="3">
        <v>5.7155250000000005E-2</v>
      </c>
      <c r="AC30" s="3">
        <v>2.4198412999999998E-2</v>
      </c>
      <c r="AD30" s="3">
        <v>1.7733097E-2</v>
      </c>
      <c r="AE30" s="3">
        <v>8.6756944999999992E-3</v>
      </c>
      <c r="AF30" s="3">
        <v>3.0898094000000001E-2</v>
      </c>
      <c r="AG30" s="3">
        <v>6.9015026000000005E-3</v>
      </c>
      <c r="AH30" s="3">
        <v>5.7281256000000003E-2</v>
      </c>
      <c r="AI30" s="3">
        <v>3.5297990000000001E-2</v>
      </c>
      <c r="AJ30" s="3"/>
      <c r="AK30" s="3"/>
      <c r="AL30" s="3"/>
    </row>
    <row r="31" spans="1:38" x14ac:dyDescent="0.45">
      <c r="A31" s="2">
        <v>45085</v>
      </c>
      <c r="B31" s="3">
        <v>-8.2288150000000004E-2</v>
      </c>
      <c r="C31" s="3">
        <v>2.1751165000000003E-2</v>
      </c>
      <c r="D31" s="3">
        <v>-3.4886600000000002E-3</v>
      </c>
      <c r="E31" s="3">
        <v>-3.6657990000000001E-2</v>
      </c>
      <c r="F31" s="3">
        <v>5.2572130000000002E-2</v>
      </c>
      <c r="G31" s="3">
        <v>-2.4702250000000002E-2</v>
      </c>
      <c r="H31" s="3">
        <v>-7.5300217000000003E-2</v>
      </c>
      <c r="I31" s="3">
        <v>7.002485E-2</v>
      </c>
      <c r="J31" s="3">
        <v>2.2359252E-2</v>
      </c>
      <c r="K31" s="3">
        <v>6.6775083999999998E-2</v>
      </c>
      <c r="L31" s="3">
        <v>0.10926806999999999</v>
      </c>
      <c r="M31" s="3">
        <v>-4.3535049999999999E-2</v>
      </c>
      <c r="N31" s="3">
        <v>9.9074000000000009E-2</v>
      </c>
      <c r="O31" s="3">
        <v>1.8778801000000001E-2</v>
      </c>
      <c r="P31" s="3">
        <v>-4.1795372999999997E-2</v>
      </c>
      <c r="Q31" s="3">
        <v>-2.7400552999999998E-2</v>
      </c>
      <c r="R31" s="3">
        <v>-1.7603040000000001E-3</v>
      </c>
      <c r="S31" s="3">
        <v>9.9883079999999996E-3</v>
      </c>
      <c r="T31" s="3">
        <v>-3.6267876999999997E-2</v>
      </c>
      <c r="U31" s="3">
        <v>7.6159000000000004E-2</v>
      </c>
      <c r="V31" s="3">
        <v>1.9787431000000001E-2</v>
      </c>
      <c r="W31" s="3">
        <v>-4.9413799999999994E-2</v>
      </c>
      <c r="X31" s="3">
        <v>-2.1749437E-2</v>
      </c>
      <c r="Y31" s="3">
        <v>-2.965945E-2</v>
      </c>
      <c r="Z31" s="3">
        <v>-2.3163496999999998E-2</v>
      </c>
      <c r="AA31" s="3">
        <v>4.3002010000000007E-2</v>
      </c>
      <c r="AB31" s="3">
        <v>-3.6598503999999997E-2</v>
      </c>
      <c r="AC31" s="3">
        <v>-2.7842699999999998E-2</v>
      </c>
      <c r="AD31" s="3">
        <v>9.1012950000000009E-2</v>
      </c>
      <c r="AE31" s="3">
        <v>3.9710282999999999E-2</v>
      </c>
      <c r="AF31" s="3">
        <v>-3.7889063000000001E-2</v>
      </c>
      <c r="AG31" s="3">
        <v>7.857560999999999E-3</v>
      </c>
      <c r="AH31" s="3">
        <v>-4.501343E-2</v>
      </c>
      <c r="AI31" s="3">
        <v>-2.4814904000000002E-2</v>
      </c>
      <c r="AJ31" s="3"/>
      <c r="AK31" s="3"/>
      <c r="AL31" s="3"/>
    </row>
    <row r="32" spans="1:38" x14ac:dyDescent="0.45">
      <c r="A32" s="2">
        <v>45114</v>
      </c>
      <c r="B32" s="3">
        <v>-9.2936753999999996E-3</v>
      </c>
      <c r="C32" s="3">
        <v>2.2161602999999998E-2</v>
      </c>
      <c r="D32" s="3">
        <v>-2.2601306000000002E-2</v>
      </c>
      <c r="E32" s="3">
        <v>-2.8065442999999999E-3</v>
      </c>
      <c r="F32" s="3">
        <v>2.3630379999999999E-2</v>
      </c>
      <c r="G32" s="3">
        <v>6.548166E-4</v>
      </c>
      <c r="H32" s="3">
        <v>-8.9552399999999997E-3</v>
      </c>
      <c r="I32" s="3">
        <v>-2.3854733000000003E-2</v>
      </c>
      <c r="J32" s="3">
        <v>6.5916777000000005E-3</v>
      </c>
      <c r="K32" s="3">
        <v>-3.8379610000000002E-2</v>
      </c>
      <c r="L32" s="3">
        <v>3.1904577999999996E-2</v>
      </c>
      <c r="M32" s="3">
        <v>-2.3308276999999999E-2</v>
      </c>
      <c r="N32" s="3">
        <v>5.5305242999999997E-2</v>
      </c>
      <c r="O32" s="3">
        <v>3.2441378E-2</v>
      </c>
      <c r="P32" s="3">
        <v>-1.3830960000000002E-2</v>
      </c>
      <c r="Q32" s="3">
        <v>-1.160866E-2</v>
      </c>
      <c r="R32" s="3">
        <v>-4.4238510000000002E-2</v>
      </c>
      <c r="S32" s="3">
        <v>6.6828730000000004E-4</v>
      </c>
      <c r="T32" s="3">
        <v>3.5038590000000001E-2</v>
      </c>
      <c r="U32" s="3">
        <v>3.4615396999999999E-2</v>
      </c>
      <c r="V32" s="3">
        <v>5.8195589999999993E-3</v>
      </c>
      <c r="W32" s="3">
        <v>3.5542487999999997E-2</v>
      </c>
      <c r="X32" s="3">
        <v>-1.2511134E-2</v>
      </c>
      <c r="Y32" s="3">
        <v>5.5654049999999998E-3</v>
      </c>
      <c r="Z32" s="3">
        <v>-1.0721922E-2</v>
      </c>
      <c r="AA32" s="3">
        <v>1.9506216E-3</v>
      </c>
      <c r="AB32" s="3">
        <v>-2.390784E-2</v>
      </c>
      <c r="AC32" s="3">
        <v>-2.6323974E-2</v>
      </c>
      <c r="AD32" s="3">
        <v>3.8490890999999999E-2</v>
      </c>
      <c r="AE32" s="3">
        <v>2.5761365999999997E-2</v>
      </c>
      <c r="AF32" s="3">
        <v>3.5088061999999998E-3</v>
      </c>
      <c r="AG32" s="3">
        <v>5.9283969999999993E-3</v>
      </c>
      <c r="AH32" s="3">
        <v>-2.9918193999999999E-2</v>
      </c>
      <c r="AI32" s="3">
        <v>3.0233382999999999E-2</v>
      </c>
      <c r="AJ32" s="3"/>
      <c r="AK32" s="3"/>
      <c r="AL32" s="3"/>
    </row>
    <row r="33" spans="1:38" x14ac:dyDescent="0.45">
      <c r="A33" s="2">
        <v>45146</v>
      </c>
      <c r="B33" s="3">
        <v>3.6326049999999999E-2</v>
      </c>
      <c r="C33" s="3">
        <v>-2.3682414999999998E-2</v>
      </c>
      <c r="D33" s="3">
        <v>3.0541420000000001E-3</v>
      </c>
      <c r="E33" s="3">
        <v>-3.0839442999999999E-4</v>
      </c>
      <c r="F33" s="3">
        <v>5.4564595E-2</v>
      </c>
      <c r="G33" s="3">
        <v>9.06415E-2</v>
      </c>
      <c r="H33" s="3">
        <v>7.0783139999999994E-2</v>
      </c>
      <c r="I33" s="3">
        <v>3.89266E-3</v>
      </c>
      <c r="J33" s="3">
        <v>-3.8332939999999997E-3</v>
      </c>
      <c r="K33" s="3">
        <v>9.9778174999999997E-3</v>
      </c>
      <c r="L33" s="3">
        <v>-4.0599703999999997E-3</v>
      </c>
      <c r="M33" s="3">
        <v>4.6445965999999998E-2</v>
      </c>
      <c r="N33" s="3">
        <v>3.1049251999999999E-2</v>
      </c>
      <c r="O33" s="3">
        <v>7.5688359999999998E-3</v>
      </c>
      <c r="P33" s="3">
        <v>4.0293929999999999E-2</v>
      </c>
      <c r="Q33" s="3">
        <v>3.5794258000000002E-2</v>
      </c>
      <c r="R33" s="3">
        <v>1.8738508000000001E-2</v>
      </c>
      <c r="S33" s="3">
        <v>0.15859771</v>
      </c>
      <c r="T33" s="3">
        <v>4.0622829999999999E-2</v>
      </c>
      <c r="U33" s="3">
        <v>0.13531601000000001</v>
      </c>
      <c r="V33" s="3">
        <v>-3.1340359999999998E-2</v>
      </c>
      <c r="W33" s="3">
        <v>-3.2505571999999996E-2</v>
      </c>
      <c r="X33" s="3">
        <v>1.4027118999999999E-2</v>
      </c>
      <c r="Y33" s="3">
        <v>1.1651515999999999E-2</v>
      </c>
      <c r="Z33" s="3">
        <v>1.4450908E-2</v>
      </c>
      <c r="AA33" s="3">
        <v>1.7845630000000001E-3</v>
      </c>
      <c r="AB33" s="3">
        <v>3.5181522E-2</v>
      </c>
      <c r="AC33" s="3">
        <v>3.4351109999999997E-2</v>
      </c>
      <c r="AD33" s="3">
        <v>1.5727401000000002E-2</v>
      </c>
      <c r="AE33" s="3">
        <v>2.3258448000000001E-2</v>
      </c>
      <c r="AF33" s="3">
        <v>2.3130774E-2</v>
      </c>
      <c r="AG33" s="3">
        <v>2.1452187999999997E-2</v>
      </c>
      <c r="AH33" s="3">
        <v>0</v>
      </c>
      <c r="AI33" s="3">
        <v>1.4035105999999999E-2</v>
      </c>
      <c r="AJ33" s="3"/>
      <c r="AK33" s="3"/>
      <c r="AL33" s="3"/>
    </row>
    <row r="34" spans="1:38" x14ac:dyDescent="0.45">
      <c r="A34" s="2">
        <v>45177</v>
      </c>
      <c r="B34" s="3">
        <v>-7.8005550000000007E-2</v>
      </c>
      <c r="C34" s="3">
        <v>-9.6685999999999994E-2</v>
      </c>
      <c r="D34" s="3">
        <v>-1.1744261000000001E-2</v>
      </c>
      <c r="E34" s="3">
        <v>-3.865677E-2</v>
      </c>
      <c r="F34" s="3">
        <v>-0.119900465</v>
      </c>
      <c r="G34" s="3">
        <v>-6.7206740000000001E-2</v>
      </c>
      <c r="H34" s="3">
        <v>-1.5471159999999999E-2</v>
      </c>
      <c r="I34" s="3">
        <v>-2.7358829999999997E-2</v>
      </c>
      <c r="J34" s="3">
        <v>-4.7939660000000002E-2</v>
      </c>
      <c r="K34" s="3">
        <v>-3.1049072999999996E-2</v>
      </c>
      <c r="L34" s="3">
        <v>-4.1078687000000003E-2</v>
      </c>
      <c r="M34" s="3">
        <v>-5.7626246999999998E-2</v>
      </c>
      <c r="N34" s="3">
        <v>-7.8400850000000008E-2</v>
      </c>
      <c r="O34" s="3">
        <v>2.4812221999999998E-2</v>
      </c>
      <c r="P34" s="3">
        <v>-6.0774683999999995E-2</v>
      </c>
      <c r="Q34" s="3">
        <v>-4.2116639999999997E-2</v>
      </c>
      <c r="R34" s="3">
        <v>1.8920779000000002E-2</v>
      </c>
      <c r="S34" s="3">
        <v>0.13170028</v>
      </c>
      <c r="T34" s="3">
        <v>-2.6675344E-2</v>
      </c>
      <c r="U34" s="3">
        <v>1.2442708E-2</v>
      </c>
      <c r="V34" s="3">
        <v>-4.4798254999999995E-3</v>
      </c>
      <c r="W34" s="3">
        <v>-7.8255414999999995E-2</v>
      </c>
      <c r="X34" s="3">
        <v>-3.1682253E-2</v>
      </c>
      <c r="Y34" s="3">
        <v>-2.0731389999999999E-2</v>
      </c>
      <c r="Z34" s="3">
        <v>-3.4544109999999996E-2</v>
      </c>
      <c r="AA34" s="3">
        <v>-2.2671818999999999E-3</v>
      </c>
      <c r="AB34" s="3">
        <v>-3.1619728E-2</v>
      </c>
      <c r="AC34" s="3">
        <v>-2.3677765999999999E-2</v>
      </c>
      <c r="AD34" s="3">
        <v>1.5591382999999999E-3</v>
      </c>
      <c r="AE34" s="3">
        <v>-7.1977972999999994E-3</v>
      </c>
      <c r="AF34" s="3">
        <v>-3.3911705E-2</v>
      </c>
      <c r="AG34" s="3">
        <v>-8.4698860000000001E-2</v>
      </c>
      <c r="AH34" s="3">
        <v>-4.8297939999999998E-2</v>
      </c>
      <c r="AI34" s="3">
        <v>-2.1075785E-2</v>
      </c>
      <c r="AJ34" s="3"/>
      <c r="AK34" s="3"/>
      <c r="AL34" s="3"/>
    </row>
    <row r="35" spans="1:38" x14ac:dyDescent="0.45">
      <c r="A35" s="2">
        <v>45205</v>
      </c>
      <c r="B35" s="3">
        <v>-1.8209218999999999E-4</v>
      </c>
      <c r="C35" s="3">
        <v>-6.6565810000000003E-2</v>
      </c>
      <c r="D35" s="3">
        <v>-3.2130241000000004E-2</v>
      </c>
      <c r="E35" s="3">
        <v>0</v>
      </c>
      <c r="F35" s="3">
        <v>-3.3917486999999996E-2</v>
      </c>
      <c r="G35" s="3">
        <v>-6.2077819999999999E-2</v>
      </c>
      <c r="H35" s="3">
        <v>-2.0952403999999997E-2</v>
      </c>
      <c r="I35" s="3">
        <v>9.3022585000000005E-3</v>
      </c>
      <c r="J35" s="3">
        <v>-7.8646064000000002E-2</v>
      </c>
      <c r="K35" s="3">
        <v>-5.1464614999999998E-2</v>
      </c>
      <c r="L35" s="3">
        <v>-4.0222350000000004E-2</v>
      </c>
      <c r="M35" s="3">
        <v>-3.7991106999999996E-2</v>
      </c>
      <c r="N35" s="3">
        <v>-0.10309856999999999</v>
      </c>
      <c r="O35" s="3">
        <v>-9.7734329999999998E-3</v>
      </c>
      <c r="P35" s="3">
        <v>-1.7543851999999999E-2</v>
      </c>
      <c r="Q35" s="3">
        <v>-2.9312313E-2</v>
      </c>
      <c r="R35" s="3">
        <v>-7.0270299999999994E-2</v>
      </c>
      <c r="S35" s="3">
        <v>5.6022405999999999E-3</v>
      </c>
      <c r="T35" s="3">
        <v>3.8770079999999998E-2</v>
      </c>
      <c r="U35" s="3">
        <v>-0.13518757000000001</v>
      </c>
      <c r="V35" s="3">
        <v>-3.9999962E-2</v>
      </c>
      <c r="W35" s="3">
        <v>1.9470214999999999E-2</v>
      </c>
      <c r="X35" s="3">
        <v>-1.2903273E-2</v>
      </c>
      <c r="Y35" s="3">
        <v>-3.6459803999999998E-2</v>
      </c>
      <c r="Z35" s="3">
        <v>-3.7624537999999999E-2</v>
      </c>
      <c r="AA35" s="3">
        <v>-3.6195396999999997E-2</v>
      </c>
      <c r="AB35" s="3">
        <v>-3.3096433000000001E-2</v>
      </c>
      <c r="AC35" s="3">
        <v>-8.5039735000000012E-3</v>
      </c>
      <c r="AD35" s="3">
        <v>-1.9735514999999999E-2</v>
      </c>
      <c r="AE35" s="3">
        <v>-3.2425522999999998E-2</v>
      </c>
      <c r="AF35" s="3">
        <v>-3.5374105000000003E-2</v>
      </c>
      <c r="AG35" s="3">
        <v>-3.9586483999999998E-2</v>
      </c>
      <c r="AH35" s="3">
        <v>1.2228727E-2</v>
      </c>
      <c r="AI35" s="3">
        <v>-3.2455026999999997E-2</v>
      </c>
      <c r="AJ35" s="3"/>
      <c r="AK35" s="3"/>
      <c r="AL35" s="3"/>
    </row>
    <row r="36" spans="1:38" x14ac:dyDescent="0.45">
      <c r="A36" s="2">
        <v>45238</v>
      </c>
      <c r="B36" s="3">
        <v>-1.8032490999999998E-2</v>
      </c>
      <c r="C36" s="3">
        <v>1.3776302000000001E-2</v>
      </c>
      <c r="D36" s="3">
        <v>-3.8653970000000003E-2</v>
      </c>
      <c r="E36" s="3">
        <v>-1.6247033999999998E-3</v>
      </c>
      <c r="F36" s="3">
        <v>0.17554128999999999</v>
      </c>
      <c r="G36" s="3">
        <v>-6.8587065E-4</v>
      </c>
      <c r="H36" s="3">
        <v>3.5505889999999998E-2</v>
      </c>
      <c r="I36" s="3">
        <v>1.7555952000000001E-3</v>
      </c>
      <c r="J36" s="3">
        <v>7.5488924999999998E-2</v>
      </c>
      <c r="K36" s="3">
        <v>3.1735182000000001E-2</v>
      </c>
      <c r="L36" s="3">
        <v>8.9608190000000004E-2</v>
      </c>
      <c r="M36" s="3">
        <v>6.3294530000000002E-2</v>
      </c>
      <c r="N36" s="3">
        <v>0.10741198</v>
      </c>
      <c r="O36" s="3">
        <v>-5.607903E-3</v>
      </c>
      <c r="P36" s="3">
        <v>1.15954876E-3</v>
      </c>
      <c r="Q36" s="3">
        <v>4.0651559999999995E-3</v>
      </c>
      <c r="R36" s="3">
        <v>-1.8547714E-2</v>
      </c>
      <c r="S36" s="3">
        <v>-0.106862545</v>
      </c>
      <c r="T36" s="3">
        <v>-5.6628046000000001E-2</v>
      </c>
      <c r="U36" s="3">
        <v>-2.0568430000000002E-2</v>
      </c>
      <c r="V36" s="3">
        <v>1.5885353000000001E-2</v>
      </c>
      <c r="W36" s="3">
        <v>-2.3539781999999999E-2</v>
      </c>
      <c r="X36" s="3">
        <v>4.6685934000000005E-3</v>
      </c>
      <c r="Y36" s="3">
        <v>9.7650289999999997E-3</v>
      </c>
      <c r="Z36" s="3">
        <v>5.3659679999999996E-3</v>
      </c>
      <c r="AA36" s="3">
        <v>4.3785572E-3</v>
      </c>
      <c r="AB36" s="3">
        <v>-9.8782780000000008E-3</v>
      </c>
      <c r="AC36" s="3">
        <v>-1.2706459000000002E-2</v>
      </c>
      <c r="AD36" s="3">
        <v>2.2593855999999999E-2</v>
      </c>
      <c r="AE36" s="3">
        <v>1.7949461999999999E-2</v>
      </c>
      <c r="AF36" s="3">
        <v>1.6924143E-3</v>
      </c>
      <c r="AG36" s="3">
        <v>3.6098719000000001E-2</v>
      </c>
      <c r="AH36" s="3">
        <v>-1.2987017999999999E-2</v>
      </c>
      <c r="AI36" s="3">
        <v>3.0222535000000002E-2</v>
      </c>
      <c r="AJ36" s="3"/>
      <c r="AK36" s="3"/>
      <c r="AL36" s="3"/>
    </row>
    <row r="37" spans="1:38" x14ac:dyDescent="0.45">
      <c r="A37" s="2">
        <v>45268</v>
      </c>
      <c r="B37" s="3">
        <v>-3.6399960000000002E-2</v>
      </c>
      <c r="C37" s="3">
        <v>9.3125459999999993E-2</v>
      </c>
      <c r="D37" s="3">
        <v>2.6490092E-2</v>
      </c>
      <c r="E37" s="3">
        <v>2.9292107000000001E-2</v>
      </c>
      <c r="F37" s="3">
        <v>0.11896466999999999</v>
      </c>
      <c r="G37" s="3">
        <v>5.3019879999999998E-2</v>
      </c>
      <c r="H37" s="3">
        <v>-1.362145E-2</v>
      </c>
      <c r="I37" s="3">
        <v>6.3526749999999993E-2</v>
      </c>
      <c r="J37" s="3">
        <v>8.650577999999999E-2</v>
      </c>
      <c r="K37" s="3">
        <v>2.7947663999999997E-2</v>
      </c>
      <c r="L37" s="3">
        <v>5.8474063999999999E-2</v>
      </c>
      <c r="M37" s="3">
        <v>-2.2894740000000001E-3</v>
      </c>
      <c r="N37" s="3">
        <v>3.3182143999999997E-2</v>
      </c>
      <c r="O37" s="3">
        <v>6.7223069999999996E-2</v>
      </c>
      <c r="P37" s="3">
        <v>-6.3006640000000003E-2</v>
      </c>
      <c r="Q37" s="3">
        <v>-2.0242930000000003E-2</v>
      </c>
      <c r="R37" s="3">
        <v>-2.1802425E-2</v>
      </c>
      <c r="S37" s="3">
        <v>-9.9235179999999992E-3</v>
      </c>
      <c r="T37" s="3">
        <v>-2.2510229999999999E-2</v>
      </c>
      <c r="U37" s="3">
        <v>2.9400468000000003E-2</v>
      </c>
      <c r="V37" s="3">
        <v>2.6659845999999997E-2</v>
      </c>
      <c r="W37" s="3">
        <v>6.5271734999999997E-2</v>
      </c>
      <c r="X37" s="3">
        <v>6.0408829999999997E-2</v>
      </c>
      <c r="Y37" s="3">
        <v>5.9534669999999998E-2</v>
      </c>
      <c r="Z37" s="3">
        <v>0.10560428999999999</v>
      </c>
      <c r="AA37" s="3">
        <v>5.2649260000000003E-2</v>
      </c>
      <c r="AB37" s="3">
        <v>6.6125393000000005E-2</v>
      </c>
      <c r="AC37" s="3">
        <v>4.8262596000000005E-2</v>
      </c>
      <c r="AD37" s="3">
        <v>5.1563262999999998E-2</v>
      </c>
      <c r="AE37" s="3">
        <v>5.2487134999999997E-2</v>
      </c>
      <c r="AF37" s="3">
        <v>7.8851104000000005E-2</v>
      </c>
      <c r="AG37" s="3">
        <v>8.7039229999999995E-2</v>
      </c>
      <c r="AH37" s="3">
        <v>0.14626682000000002</v>
      </c>
      <c r="AI37" s="3">
        <v>7.5757504000000003E-2</v>
      </c>
      <c r="AJ37" s="3"/>
      <c r="AK37" s="3"/>
      <c r="AL37" s="3"/>
    </row>
    <row r="38" spans="1:38" x14ac:dyDescent="0.45">
      <c r="A38" s="2">
        <v>45299</v>
      </c>
      <c r="B38" s="3">
        <v>-3.3369243E-2</v>
      </c>
      <c r="C38" s="3">
        <v>-1.7485440000000001E-2</v>
      </c>
      <c r="D38" s="3">
        <v>4.6177625999999999E-2</v>
      </c>
      <c r="E38" s="3">
        <v>6.1212660000000002E-2</v>
      </c>
      <c r="F38" s="3">
        <v>1.5496612E-2</v>
      </c>
      <c r="G38" s="3">
        <v>0.12759792</v>
      </c>
      <c r="H38" s="3">
        <v>5.0143599999999997E-2</v>
      </c>
      <c r="I38" s="3">
        <v>4.6693206000000001E-2</v>
      </c>
      <c r="J38" s="3">
        <v>6.4036845999999994E-2</v>
      </c>
      <c r="K38" s="3">
        <v>4.3490650000000006E-2</v>
      </c>
      <c r="L38" s="3">
        <v>5.6959509999999998E-2</v>
      </c>
      <c r="M38" s="3">
        <v>2.9002905000000002E-2</v>
      </c>
      <c r="N38" s="3">
        <v>6.8153024000000006E-2</v>
      </c>
      <c r="O38" s="3">
        <v>3.7624119999999997E-2</v>
      </c>
      <c r="P38" s="3">
        <v>-1.0684788000000001E-2</v>
      </c>
      <c r="Q38" s="3">
        <v>7.6741339999999991E-2</v>
      </c>
      <c r="R38" s="3">
        <v>2.7125477999999998E-2</v>
      </c>
      <c r="S38" s="3">
        <v>-3.1363785000000005E-2</v>
      </c>
      <c r="T38" s="3">
        <v>6.1317562999999999E-2</v>
      </c>
      <c r="U38" s="3">
        <v>2.9370546000000001E-2</v>
      </c>
      <c r="V38" s="3">
        <v>0.10283697</v>
      </c>
      <c r="W38" s="3">
        <v>4.6090603000000001E-2</v>
      </c>
      <c r="X38" s="3">
        <v>7.2036030000000001E-2</v>
      </c>
      <c r="Y38" s="3">
        <v>5.9593915999999997E-2</v>
      </c>
      <c r="Z38" s="3">
        <v>1.4191031E-2</v>
      </c>
      <c r="AA38" s="3">
        <v>4.1232347000000003E-2</v>
      </c>
      <c r="AB38" s="3">
        <v>5.0707219999999997E-2</v>
      </c>
      <c r="AC38" s="3">
        <v>3.9977550000000001E-2</v>
      </c>
      <c r="AD38" s="3">
        <v>3.5180807000000001E-2</v>
      </c>
      <c r="AE38" s="3">
        <v>3.5479069000000002E-2</v>
      </c>
      <c r="AF38" s="3">
        <v>1.2030244000000001E-2</v>
      </c>
      <c r="AG38" s="3">
        <v>2.3515104999999998E-2</v>
      </c>
      <c r="AH38" s="3">
        <v>4.3568849999999999E-2</v>
      </c>
      <c r="AI38" s="3">
        <v>3.2643914000000003E-2</v>
      </c>
      <c r="AJ38" s="3"/>
      <c r="AK38" s="3"/>
      <c r="AL38" s="3"/>
    </row>
    <row r="39" spans="1:38" x14ac:dyDescent="0.45">
      <c r="A39" s="2">
        <v>45330</v>
      </c>
      <c r="B39" s="3">
        <v>7.7267885000000007E-3</v>
      </c>
      <c r="C39" s="3">
        <v>-7.5280905000000009E-2</v>
      </c>
      <c r="D39" s="3">
        <v>-1.1545300000000001E-2</v>
      </c>
      <c r="E39" s="3">
        <v>2.8914810000000003E-2</v>
      </c>
      <c r="F39" s="3">
        <v>1.8033980999999999E-3</v>
      </c>
      <c r="G39" s="3">
        <v>-1.0917664000000001E-2</v>
      </c>
      <c r="H39" s="3">
        <v>-3.0918299999999999E-2</v>
      </c>
      <c r="I39" s="3">
        <v>3.2164931000000001E-2</v>
      </c>
      <c r="J39" s="3">
        <v>8.0609319999999998E-3</v>
      </c>
      <c r="K39" s="3">
        <v>1.1074543E-3</v>
      </c>
      <c r="L39" s="3">
        <v>-5.2707790000000004E-2</v>
      </c>
      <c r="M39" s="3">
        <v>-3.5373807E-2</v>
      </c>
      <c r="N39" s="3">
        <v>5.8731080000000005E-2</v>
      </c>
      <c r="O39" s="3">
        <v>2.8722762999999998E-2</v>
      </c>
      <c r="P39" s="3">
        <v>-4.4581055999999994E-2</v>
      </c>
      <c r="Q39" s="3">
        <v>-6.5241279999999999E-2</v>
      </c>
      <c r="R39" s="3">
        <v>-2.1044075000000002E-2</v>
      </c>
      <c r="S39" s="3">
        <v>0.10905276999999999</v>
      </c>
      <c r="T39" s="3">
        <v>-4.1694219999999997E-2</v>
      </c>
      <c r="U39" s="3">
        <v>-6.0790180000000003E-3</v>
      </c>
      <c r="V39" s="3">
        <v>-1.1011660000000001E-2</v>
      </c>
      <c r="W39" s="3">
        <v>-3.7916660000000005E-2</v>
      </c>
      <c r="X39" s="3">
        <v>-1.8773437E-2</v>
      </c>
      <c r="Y39" s="3">
        <v>-1.2278318E-2</v>
      </c>
      <c r="Z39" s="3">
        <v>-5.1003100000000003E-3</v>
      </c>
      <c r="AA39" s="3">
        <v>2.9941081999999997E-2</v>
      </c>
      <c r="AB39" s="3">
        <v>-3.7075339999999998E-2</v>
      </c>
      <c r="AC39" s="3">
        <v>-2.4154543999999997E-2</v>
      </c>
      <c r="AD39" s="3">
        <v>6.8749190000000002E-2</v>
      </c>
      <c r="AE39" s="3">
        <v>4.9978969999999998E-2</v>
      </c>
      <c r="AF39" s="3">
        <v>3.6344527999999997E-3</v>
      </c>
      <c r="AG39" s="3">
        <v>7.1592450000000002E-2</v>
      </c>
      <c r="AH39" s="3">
        <v>-1.6251682999999999E-2</v>
      </c>
      <c r="AI39" s="3">
        <v>-6.4647794000000005E-3</v>
      </c>
      <c r="AJ39" s="3"/>
      <c r="AK39" s="3"/>
      <c r="AL39" s="3"/>
    </row>
    <row r="40" spans="1:38" x14ac:dyDescent="0.45">
      <c r="A40" s="2">
        <v>45359</v>
      </c>
      <c r="B40" s="3">
        <v>6.0129165999999998E-2</v>
      </c>
      <c r="C40" s="3">
        <v>5.0627829999999999E-2</v>
      </c>
      <c r="D40" s="3">
        <v>2.8301835000000001E-2</v>
      </c>
      <c r="E40" s="3">
        <v>1.3138651999999999E-2</v>
      </c>
      <c r="F40" s="3">
        <v>3.1953216E-2</v>
      </c>
      <c r="G40" s="3">
        <v>0.1064589</v>
      </c>
      <c r="H40" s="3">
        <v>3.9047600000000002E-2</v>
      </c>
      <c r="I40" s="3">
        <v>4.1478634E-2</v>
      </c>
      <c r="J40" s="3">
        <v>-2.8728007999999999E-2</v>
      </c>
      <c r="K40" s="3">
        <v>4.7250269999999997E-2</v>
      </c>
      <c r="L40" s="3">
        <v>-1.1617184000000001E-2</v>
      </c>
      <c r="M40" s="3">
        <v>1.2743711E-2</v>
      </c>
      <c r="N40" s="3">
        <v>1.1144161E-2</v>
      </c>
      <c r="O40" s="3">
        <v>3.5247445000000002E-2</v>
      </c>
      <c r="P40" s="3">
        <v>4.4784069999999995E-2</v>
      </c>
      <c r="Q40" s="3">
        <v>5.0439954000000002E-2</v>
      </c>
      <c r="R40" s="3">
        <v>-1.5698671E-3</v>
      </c>
      <c r="S40" s="3">
        <v>-1.9396484000000002E-2</v>
      </c>
      <c r="T40" s="3">
        <v>-3.4529566999999999E-3</v>
      </c>
      <c r="U40" s="3">
        <v>2.9052020000000001E-2</v>
      </c>
      <c r="V40" s="3">
        <v>2.7371883E-2</v>
      </c>
      <c r="W40" s="3">
        <v>4.3308735000000003E-4</v>
      </c>
      <c r="X40" s="3">
        <v>5.3146243000000003E-2</v>
      </c>
      <c r="Y40" s="3">
        <v>3.8950324000000001E-2</v>
      </c>
      <c r="Z40" s="3">
        <v>5.9808609999999998E-2</v>
      </c>
      <c r="AA40" s="3">
        <v>7.2149396000000005E-2</v>
      </c>
      <c r="AB40" s="3">
        <v>3.7212253000000001E-2</v>
      </c>
      <c r="AC40" s="3">
        <v>3.1250119999999999E-2</v>
      </c>
      <c r="AD40" s="3">
        <v>1.4394879000000001E-2</v>
      </c>
      <c r="AE40" s="3">
        <v>2.6890397E-2</v>
      </c>
      <c r="AF40" s="3">
        <v>5.7941079999999999E-2</v>
      </c>
      <c r="AG40" s="3">
        <v>4.6680926999999997E-2</v>
      </c>
      <c r="AH40" s="3">
        <v>8.2867029999999994E-2</v>
      </c>
      <c r="AI40" s="3">
        <v>8.4590320000000011E-2</v>
      </c>
      <c r="AJ40" s="3"/>
      <c r="AK40" s="3"/>
      <c r="AL40" s="3"/>
    </row>
    <row r="41" spans="1:38" x14ac:dyDescent="0.45">
      <c r="A41" s="2">
        <v>45390</v>
      </c>
      <c r="B41" s="3">
        <v>-4.5679807999999995E-3</v>
      </c>
      <c r="C41" s="3">
        <v>5.8211207000000001E-2</v>
      </c>
      <c r="D41" s="3">
        <v>-3.7570952999999997E-2</v>
      </c>
      <c r="E41" s="3">
        <v>-4.3227672999999994E-2</v>
      </c>
      <c r="F41" s="3">
        <v>7.5446963000000006E-2</v>
      </c>
      <c r="G41" s="3">
        <v>8.1467270000000008E-2</v>
      </c>
      <c r="H41" s="3">
        <v>1.4665483999999999E-2</v>
      </c>
      <c r="I41" s="3">
        <v>1.0524153999999999E-2</v>
      </c>
      <c r="J41" s="3">
        <v>7.5926304E-2</v>
      </c>
      <c r="K41" s="3">
        <v>-4.5269728000000003E-4</v>
      </c>
      <c r="L41" s="3">
        <v>5.8768989999999997E-3</v>
      </c>
      <c r="M41" s="3">
        <v>3.7493706000000002E-2</v>
      </c>
      <c r="N41" s="3">
        <v>-2.0818055000000002E-2</v>
      </c>
      <c r="O41" s="3">
        <v>1.9128323E-3</v>
      </c>
      <c r="P41" s="3">
        <v>3.0287504E-2</v>
      </c>
      <c r="Q41" s="3">
        <v>-1.0050297E-2</v>
      </c>
      <c r="R41" s="3">
        <v>-7.8187585E-3</v>
      </c>
      <c r="S41" s="3">
        <v>8.049452E-2</v>
      </c>
      <c r="T41" s="3">
        <v>4.0194035000000003E-2</v>
      </c>
      <c r="U41" s="3">
        <v>-1.5601814E-2</v>
      </c>
      <c r="V41" s="3">
        <v>1.422441E-2</v>
      </c>
      <c r="W41" s="3">
        <v>-1.7099559E-2</v>
      </c>
      <c r="X41" s="3">
        <v>-2.8259753999999998E-3</v>
      </c>
      <c r="Y41" s="3">
        <v>1.9409776E-2</v>
      </c>
      <c r="Z41" s="3">
        <v>1.8381118999999998E-2</v>
      </c>
      <c r="AA41" s="3">
        <v>-1.3486921999999998E-2</v>
      </c>
      <c r="AB41" s="3">
        <v>-3.3388674E-2</v>
      </c>
      <c r="AC41" s="3">
        <v>2.8502703000000001E-2</v>
      </c>
      <c r="AD41" s="3">
        <v>4.9145222000000002E-3</v>
      </c>
      <c r="AE41" s="3">
        <v>1.6850351999999999E-2</v>
      </c>
      <c r="AF41" s="3">
        <v>5.1344632999999994E-3</v>
      </c>
      <c r="AG41" s="3">
        <v>2.0662785000000003E-2</v>
      </c>
      <c r="AH41" s="3">
        <v>-3.9370059999999998E-3</v>
      </c>
      <c r="AI41" s="3">
        <v>1.8816590000000001E-2</v>
      </c>
      <c r="AJ41" s="3"/>
      <c r="AK41" s="3"/>
      <c r="AL41" s="3"/>
    </row>
    <row r="42" spans="1:38" x14ac:dyDescent="0.45">
      <c r="A42" s="2">
        <v>45420</v>
      </c>
      <c r="B42" s="3">
        <v>2.7533530000000001E-2</v>
      </c>
      <c r="C42" s="3">
        <v>8.7431669999999996E-3</v>
      </c>
      <c r="D42" s="3">
        <v>-7.1720359999999997E-2</v>
      </c>
      <c r="E42" s="3">
        <v>-2.2590398999999997E-2</v>
      </c>
      <c r="F42" s="3">
        <v>4.0551424000000004E-3</v>
      </c>
      <c r="G42" s="3">
        <v>3.4654736999999998E-2</v>
      </c>
      <c r="H42" s="3">
        <v>3.2068729999999997E-2</v>
      </c>
      <c r="I42" s="3">
        <v>-2.2462605999999997E-3</v>
      </c>
      <c r="J42" s="3">
        <v>-4.9737872999999995E-2</v>
      </c>
      <c r="K42" s="3">
        <v>-6.1895250000000004E-3</v>
      </c>
      <c r="L42" s="3">
        <v>-3.6900042999999999E-3</v>
      </c>
      <c r="M42" s="3">
        <v>2.574253E-2</v>
      </c>
      <c r="N42" s="3">
        <v>4.0770410000000007E-2</v>
      </c>
      <c r="O42" s="3">
        <v>-6.8728924000000004E-3</v>
      </c>
      <c r="P42" s="3">
        <v>9.4668630000000004E-2</v>
      </c>
      <c r="Q42" s="3">
        <v>-3.1020819999999998E-2</v>
      </c>
      <c r="R42" s="3">
        <v>-1.6356707000000001E-3</v>
      </c>
      <c r="S42" s="3">
        <v>5.3394320000000002E-2</v>
      </c>
      <c r="T42" s="3">
        <v>-1.7321824999999999E-2</v>
      </c>
      <c r="U42" s="3">
        <v>-4.2264166000000006E-2</v>
      </c>
      <c r="V42" s="3">
        <v>-3.2724797999999999E-2</v>
      </c>
      <c r="W42" s="3">
        <v>-7.4873566999999995E-3</v>
      </c>
      <c r="X42" s="3">
        <v>-8.0971719999999997E-3</v>
      </c>
      <c r="Y42" s="3">
        <v>-1.1476219000000001E-2</v>
      </c>
      <c r="Z42" s="3">
        <v>2.5331974000000002E-3</v>
      </c>
      <c r="AA42" s="3">
        <v>-3.1045318000000002E-2</v>
      </c>
      <c r="AB42" s="3">
        <v>1.2229084999999999E-2</v>
      </c>
      <c r="AC42" s="3">
        <v>4.3173909999999996E-2</v>
      </c>
      <c r="AD42" s="3">
        <v>-1.2256503000000001E-3</v>
      </c>
      <c r="AE42" s="3">
        <v>-2.9495357999999999E-3</v>
      </c>
      <c r="AF42" s="3">
        <v>9.9732876000000002E-3</v>
      </c>
      <c r="AG42" s="3">
        <v>1.5033484E-3</v>
      </c>
      <c r="AH42" s="3">
        <v>-1.3339937E-2</v>
      </c>
      <c r="AI42" s="3">
        <v>2.6766062000000003E-3</v>
      </c>
      <c r="AJ42" s="3"/>
      <c r="AK42" s="3"/>
      <c r="AL42" s="3"/>
    </row>
    <row r="43" spans="1:38" x14ac:dyDescent="0.45">
      <c r="A43" s="2">
        <v>45450</v>
      </c>
      <c r="B43" s="3">
        <v>-2.5679230000000001E-2</v>
      </c>
      <c r="C43" s="3">
        <v>1.1195302000000001E-2</v>
      </c>
      <c r="D43" s="3">
        <v>-3.3251822E-2</v>
      </c>
      <c r="E43" s="3">
        <v>-4.7765790000000002E-2</v>
      </c>
      <c r="F43" s="3">
        <v>-3.1098544999999998E-2</v>
      </c>
      <c r="G43" s="3">
        <v>8.3012580000000006E-3</v>
      </c>
      <c r="H43" s="3">
        <v>7.4398520000000003E-3</v>
      </c>
      <c r="I43" s="3">
        <v>4.7073245000000007E-2</v>
      </c>
      <c r="J43" s="3">
        <v>-0.14628690999999999</v>
      </c>
      <c r="K43" s="3">
        <v>-3.2963752999999998E-2</v>
      </c>
      <c r="L43" s="3">
        <v>-0.11234569999999999</v>
      </c>
      <c r="M43" s="3">
        <v>-3.7886083000000001E-2</v>
      </c>
      <c r="N43" s="3">
        <v>-2.6483536000000002E-3</v>
      </c>
      <c r="O43" s="3">
        <v>3.7870050000000002E-2</v>
      </c>
      <c r="P43" s="3">
        <v>-7.0550439999999999E-3</v>
      </c>
      <c r="Q43" s="3">
        <v>-1.6880154999999997E-2</v>
      </c>
      <c r="R43" s="3">
        <v>-2.9555856999999998E-2</v>
      </c>
      <c r="S43" s="3">
        <v>-1.0137617999999999E-2</v>
      </c>
      <c r="T43" s="3">
        <v>-6.5084752999999995E-2</v>
      </c>
      <c r="U43" s="3">
        <v>9.456276999999999E-3</v>
      </c>
      <c r="V43" s="3">
        <v>-7.2266936000000004E-2</v>
      </c>
      <c r="W43" s="3">
        <v>1.7750144000000002E-2</v>
      </c>
      <c r="X43" s="3">
        <v>9.7959039999999994E-3</v>
      </c>
      <c r="Y43" s="3">
        <v>-1.1609553999999999E-2</v>
      </c>
      <c r="Z43" s="3">
        <v>9.1598033999999995E-3</v>
      </c>
      <c r="AA43" s="3">
        <v>1.0141134000000001E-2</v>
      </c>
      <c r="AB43" s="3">
        <v>6.4222096999999992E-2</v>
      </c>
      <c r="AC43" s="3">
        <v>4.7539473000000002E-3</v>
      </c>
      <c r="AD43" s="3">
        <v>5.2038310000000004E-2</v>
      </c>
      <c r="AE43" s="3">
        <v>3.2521963000000001E-2</v>
      </c>
      <c r="AF43" s="3">
        <v>-2.4092196999999998E-4</v>
      </c>
      <c r="AG43" s="3">
        <v>3.9327502E-2</v>
      </c>
      <c r="AH43" s="3">
        <v>4.5318007E-2</v>
      </c>
      <c r="AI43" s="3">
        <v>2.8563738000000002E-2</v>
      </c>
      <c r="AJ43" s="3"/>
      <c r="AK43" s="3"/>
      <c r="AL43" s="3"/>
    </row>
    <row r="44" spans="1:38" x14ac:dyDescent="0.45">
      <c r="A44" s="2">
        <v>45481</v>
      </c>
      <c r="B44" s="3">
        <v>-4.3383000000000005E-2</v>
      </c>
      <c r="C44" s="3">
        <v>-4.2589426E-2</v>
      </c>
      <c r="D44" s="3">
        <v>4.039645E-2</v>
      </c>
      <c r="E44" s="3">
        <v>2.1269797999999999E-2</v>
      </c>
      <c r="F44" s="3">
        <v>6.1663269999999999E-2</v>
      </c>
      <c r="G44" s="3">
        <v>2.8631449E-2</v>
      </c>
      <c r="H44" s="3">
        <v>1.1603475E-2</v>
      </c>
      <c r="I44" s="3">
        <v>9.9296330000000002E-2</v>
      </c>
      <c r="J44" s="3">
        <v>2.7598379999999999E-2</v>
      </c>
      <c r="K44" s="3">
        <v>7.1473480000000006E-2</v>
      </c>
      <c r="L44" s="3">
        <v>1.9544005E-2</v>
      </c>
      <c r="M44" s="3">
        <v>0.12906432000000001</v>
      </c>
      <c r="N44" s="3">
        <v>1.6334056999999999E-3</v>
      </c>
      <c r="O44" s="3">
        <v>4.8897980000000001E-2</v>
      </c>
      <c r="P44" s="3">
        <v>-2.5756776000000002E-2</v>
      </c>
      <c r="Q44" s="3">
        <v>6.9929599999999995E-2</v>
      </c>
      <c r="R44" s="3">
        <v>-7.6833963000000009E-3</v>
      </c>
      <c r="S44" s="3">
        <v>6.5205812000000002E-2</v>
      </c>
      <c r="T44" s="3">
        <v>4.0125130000000002E-2</v>
      </c>
      <c r="U44" s="3">
        <v>-3.3567548000000003E-2</v>
      </c>
      <c r="V44" s="3">
        <v>2.2544026000000002E-2</v>
      </c>
      <c r="W44" s="3">
        <v>-1.013118E-2</v>
      </c>
      <c r="X44" s="3">
        <v>1.9073844E-2</v>
      </c>
      <c r="Y44" s="3">
        <v>1.4857888E-2</v>
      </c>
      <c r="Z44" s="3">
        <v>-6.7019460000000003E-4</v>
      </c>
      <c r="AA44" s="3">
        <v>2.0519614000000002E-2</v>
      </c>
      <c r="AB44" s="3">
        <v>-1.3184130000000001E-2</v>
      </c>
      <c r="AC44" s="3">
        <v>4.2598248E-3</v>
      </c>
      <c r="AD44" s="3">
        <v>7.598734E-2</v>
      </c>
      <c r="AE44" s="3">
        <v>4.3189882999999998E-2</v>
      </c>
      <c r="AF44" s="3">
        <v>-4.2585189999999995E-2</v>
      </c>
      <c r="AG44" s="3">
        <v>4.0758847999999995E-3</v>
      </c>
      <c r="AH44" s="3">
        <v>-1.8933355999999998E-2</v>
      </c>
      <c r="AI44" s="3">
        <v>-2.0980716E-2</v>
      </c>
      <c r="AJ44" s="3"/>
      <c r="AK44" s="3"/>
      <c r="AL44" s="3"/>
    </row>
    <row r="45" spans="1:38" x14ac:dyDescent="0.45">
      <c r="A45" s="2">
        <v>45512</v>
      </c>
      <c r="B45" s="3">
        <v>3.2038689999999998E-3</v>
      </c>
      <c r="C45" s="3">
        <v>-2.7171789999999998E-2</v>
      </c>
      <c r="D45" s="3">
        <v>3.1706094999999997E-2</v>
      </c>
      <c r="E45" s="3">
        <v>2.8548360000000002E-2</v>
      </c>
      <c r="F45" s="3">
        <v>-9.8399935000000008E-2</v>
      </c>
      <c r="G45" s="3">
        <v>-6.4032315999999992E-2</v>
      </c>
      <c r="H45" s="3">
        <v>3.4031390000000002E-2</v>
      </c>
      <c r="I45" s="3">
        <v>-9.5839320000000006E-2</v>
      </c>
      <c r="J45" s="3">
        <v>-5.6736410000000001E-2</v>
      </c>
      <c r="K45" s="3">
        <v>-9.8812469999999999E-2</v>
      </c>
      <c r="L45" s="3">
        <v>7.0452690000000001E-4</v>
      </c>
      <c r="M45" s="3">
        <v>-1.0604739E-2</v>
      </c>
      <c r="N45" s="3">
        <v>-1.7615795E-2</v>
      </c>
      <c r="O45" s="3">
        <v>-1.5186310000000001E-2</v>
      </c>
      <c r="P45" s="3">
        <v>-1.5122831000000002E-2</v>
      </c>
      <c r="Q45" s="3">
        <v>3.0069350000000001E-3</v>
      </c>
      <c r="R45" s="3">
        <v>-1.9848764000000001E-2</v>
      </c>
      <c r="S45" s="3">
        <v>-0.10011583</v>
      </c>
      <c r="T45" s="3">
        <v>5.217397E-2</v>
      </c>
      <c r="U45" s="3">
        <v>-4.5234259999999998E-2</v>
      </c>
      <c r="V45" s="3">
        <v>-5.9099199999999999E-3</v>
      </c>
      <c r="W45" s="3">
        <v>3.2401203999999996E-2</v>
      </c>
      <c r="X45" s="3">
        <v>-2.5070727000000001E-2</v>
      </c>
      <c r="Y45" s="3">
        <v>0</v>
      </c>
      <c r="Z45" s="3">
        <v>-3.6264419999999999E-2</v>
      </c>
      <c r="AA45" s="3">
        <v>-5.8747529999999999E-2</v>
      </c>
      <c r="AB45" s="3">
        <v>1.9575596000000001E-2</v>
      </c>
      <c r="AC45" s="3">
        <v>-5.6513550000000003E-3</v>
      </c>
      <c r="AD45" s="3">
        <v>-9.906703E-2</v>
      </c>
      <c r="AE45" s="3">
        <v>-4.4355989999999998E-2</v>
      </c>
      <c r="AF45" s="3">
        <v>-3.5787819999999998E-2</v>
      </c>
      <c r="AG45" s="3">
        <v>-7.0791364000000009E-2</v>
      </c>
      <c r="AH45" s="3">
        <v>-3.6467433E-2</v>
      </c>
      <c r="AI45" s="3">
        <v>-3.6674856999999998E-2</v>
      </c>
      <c r="AJ45" s="3"/>
      <c r="AK45" s="3"/>
      <c r="AL45" s="3"/>
    </row>
    <row r="46" spans="1:38" x14ac:dyDescent="0.45">
      <c r="A46" s="2">
        <v>45541</v>
      </c>
      <c r="B46" s="3">
        <v>-2.8343259999999999E-2</v>
      </c>
      <c r="C46" s="3">
        <v>-1.6522407999999999E-2</v>
      </c>
      <c r="D46" s="3">
        <v>7.0731760000000005E-2</v>
      </c>
      <c r="E46" s="3">
        <v>7.8186035000000001E-2</v>
      </c>
      <c r="F46" s="3">
        <v>4.8802019999999995E-2</v>
      </c>
      <c r="G46" s="3">
        <v>-2.0200908000000004E-2</v>
      </c>
      <c r="H46" s="3">
        <v>6.6666603000000005E-2</v>
      </c>
      <c r="I46" s="3">
        <v>-1.5142500000000001E-2</v>
      </c>
      <c r="J46" s="3">
        <v>-6.5600576000000008E-2</v>
      </c>
      <c r="K46" s="3">
        <v>-1.5780091E-2</v>
      </c>
      <c r="L46" s="3">
        <v>3.3438919999999997E-2</v>
      </c>
      <c r="M46" s="3">
        <v>3.4891724999999998E-2</v>
      </c>
      <c r="N46" s="3">
        <v>2.9722452E-2</v>
      </c>
      <c r="O46" s="3">
        <v>1.3268709E-2</v>
      </c>
      <c r="P46" s="3">
        <v>-2.3272574000000001E-2</v>
      </c>
      <c r="Q46" s="3">
        <v>2.3573398999999998E-2</v>
      </c>
      <c r="R46" s="3">
        <v>0.10136164</v>
      </c>
      <c r="S46" s="3">
        <v>-5.2279234000000001E-2</v>
      </c>
      <c r="T46" s="3">
        <v>3.9256215000000004E-2</v>
      </c>
      <c r="U46" s="3">
        <v>6.3451766999999992E-2</v>
      </c>
      <c r="V46" s="3">
        <v>3.4431457999999998E-2</v>
      </c>
      <c r="W46" s="3">
        <v>4.8366309999999996E-2</v>
      </c>
      <c r="X46" s="3">
        <v>4.1891336000000001E-2</v>
      </c>
      <c r="Y46" s="3">
        <v>4.3813110000000002E-2</v>
      </c>
      <c r="Z46" s="3">
        <v>5.4944989999999999E-2</v>
      </c>
      <c r="AA46" s="3">
        <v>3.9066075999999998E-2</v>
      </c>
      <c r="AB46" s="3">
        <v>3.1123756999999998E-2</v>
      </c>
      <c r="AC46" s="3">
        <v>3.6942362999999999E-2</v>
      </c>
      <c r="AD46" s="3">
        <v>1.3836622000000002E-3</v>
      </c>
      <c r="AE46" s="3">
        <v>1.8298267999999999E-2</v>
      </c>
      <c r="AF46" s="3">
        <v>2.7503251999999999E-2</v>
      </c>
      <c r="AG46" s="3">
        <v>-1.4610886999999999E-3</v>
      </c>
      <c r="AH46" s="3">
        <v>2.8836249999999997E-2</v>
      </c>
      <c r="AI46" s="3">
        <v>6.4297914999999997E-2</v>
      </c>
      <c r="AJ46" s="3"/>
      <c r="AK46" s="3"/>
      <c r="AL46" s="3"/>
    </row>
    <row r="47" spans="1:38" x14ac:dyDescent="0.45">
      <c r="A47" s="2">
        <v>45573</v>
      </c>
      <c r="B47" s="3">
        <v>0.32703364999999995</v>
      </c>
      <c r="C47" s="3">
        <v>5.8399916000000003E-2</v>
      </c>
      <c r="D47" s="3">
        <v>-5.4669975999999997E-3</v>
      </c>
      <c r="E47" s="3">
        <v>7.5054407000000004E-2</v>
      </c>
      <c r="F47" s="3">
        <v>-1.4805377E-2</v>
      </c>
      <c r="G47" s="3">
        <v>0.10575532999999999</v>
      </c>
      <c r="H47" s="3">
        <v>2.492082E-2</v>
      </c>
      <c r="I47" s="3">
        <v>8.5063819999999998E-2</v>
      </c>
      <c r="J47" s="3">
        <v>5.4064629999999995E-2</v>
      </c>
      <c r="K47" s="3">
        <v>4.7768592999999998E-2</v>
      </c>
      <c r="L47" s="3">
        <v>-1.3283432E-2</v>
      </c>
      <c r="M47" s="3">
        <v>7.9770803000000001E-2</v>
      </c>
      <c r="N47" s="3">
        <v>-9.4942450000000001E-3</v>
      </c>
      <c r="O47" s="3">
        <v>1.0086774999999999E-2</v>
      </c>
      <c r="P47" s="3">
        <v>0.30729557000000002</v>
      </c>
      <c r="Q47" s="3">
        <v>3.7810444999999998E-2</v>
      </c>
      <c r="R47" s="3">
        <v>1.7623544000000001E-2</v>
      </c>
      <c r="S47" s="3">
        <v>-7.336956E-2</v>
      </c>
      <c r="T47" s="3">
        <v>-1.5904545999999999E-2</v>
      </c>
      <c r="U47" s="3">
        <v>-9.5465182999999992E-3</v>
      </c>
      <c r="V47" s="3">
        <v>1.4368295999999999E-3</v>
      </c>
      <c r="W47" s="3">
        <v>-7.9966784000000003E-3</v>
      </c>
      <c r="X47" s="3">
        <v>4.6576380000000001E-2</v>
      </c>
      <c r="Y47" s="3">
        <v>4.6553015999999996E-2</v>
      </c>
      <c r="Z47" s="3">
        <v>3.8825749999999999E-2</v>
      </c>
      <c r="AA47" s="3">
        <v>4.6556115000000002E-2</v>
      </c>
      <c r="AB47" s="3">
        <v>-6.8600774000000002E-3</v>
      </c>
      <c r="AC47" s="3">
        <v>-1.3703108000000001E-3</v>
      </c>
      <c r="AD47" s="3">
        <v>9.2036010000000001E-2</v>
      </c>
      <c r="AE47" s="3">
        <v>6.3977119999999998E-2</v>
      </c>
      <c r="AF47" s="3">
        <v>1.8970846999999999E-2</v>
      </c>
      <c r="AG47" s="3">
        <v>4.4596552999999997E-2</v>
      </c>
      <c r="AH47" s="3">
        <v>4.8298360000000005E-2</v>
      </c>
      <c r="AI47" s="3">
        <v>5.2993299999999997E-3</v>
      </c>
      <c r="AJ47" s="3"/>
      <c r="AK47" s="3"/>
      <c r="AL47" s="3"/>
    </row>
    <row r="48" spans="1:38" x14ac:dyDescent="0.45">
      <c r="A48" s="2">
        <v>45604</v>
      </c>
      <c r="B48" s="3">
        <v>-7.2755394000000001E-2</v>
      </c>
      <c r="C48" s="3">
        <v>-4.6107290000000002E-2</v>
      </c>
      <c r="D48" s="3">
        <v>-5.4512142999999999E-2</v>
      </c>
      <c r="E48" s="3">
        <v>-9.8482310000000003E-2</v>
      </c>
      <c r="F48" s="3">
        <v>-1.7389476000000001E-2</v>
      </c>
      <c r="G48" s="3">
        <v>1.8309951000000001E-2</v>
      </c>
      <c r="H48" s="3">
        <v>-3.8209199999999999E-2</v>
      </c>
      <c r="I48" s="3">
        <v>3.0364393999999999E-2</v>
      </c>
      <c r="J48" s="3">
        <v>-3.7084936999999998E-2</v>
      </c>
      <c r="K48" s="3">
        <v>-6.6098746999999999E-2</v>
      </c>
      <c r="L48" s="3">
        <v>-4.3493270000000001E-2</v>
      </c>
      <c r="M48" s="3">
        <v>2.0408630000000002E-4</v>
      </c>
      <c r="N48" s="3">
        <v>-2.8226018000000002E-2</v>
      </c>
      <c r="O48" s="3">
        <v>-4.7652425999999998E-2</v>
      </c>
      <c r="P48" s="3">
        <v>-7.0650160000000004E-2</v>
      </c>
      <c r="Q48" s="3">
        <v>1.1963128999999999E-2</v>
      </c>
      <c r="R48" s="3">
        <v>8.1840754000000009E-3</v>
      </c>
      <c r="S48" s="3">
        <v>1.2316822999999999E-2</v>
      </c>
      <c r="T48" s="3">
        <v>3.1986475E-2</v>
      </c>
      <c r="U48" s="3">
        <v>-4.2570232999999999E-2</v>
      </c>
      <c r="V48" s="3">
        <v>8.8474750000000005E-3</v>
      </c>
      <c r="W48" s="3">
        <v>-9.9214314999999994E-3</v>
      </c>
      <c r="X48" s="3">
        <v>-1.3313055000000001E-2</v>
      </c>
      <c r="Y48" s="3">
        <v>1.3368964000000001E-2</v>
      </c>
      <c r="Z48" s="3">
        <v>-2.4612606000000002E-2</v>
      </c>
      <c r="AA48" s="3">
        <v>-2.5680602E-2</v>
      </c>
      <c r="AB48" s="3">
        <v>-3.7892222000000003E-2</v>
      </c>
      <c r="AC48" s="3">
        <v>-3.0460953999999998E-2</v>
      </c>
      <c r="AD48" s="3">
        <v>5.0766470000000001E-2</v>
      </c>
      <c r="AE48" s="3">
        <v>4.3652059999999999E-2</v>
      </c>
      <c r="AF48" s="3">
        <v>-4.7181787000000003E-2</v>
      </c>
      <c r="AG48" s="3">
        <v>-8.0712800000000001E-2</v>
      </c>
      <c r="AH48" s="3">
        <v>-4.7744093000000001E-2</v>
      </c>
      <c r="AI48" s="3">
        <v>-2.3985207000000001E-2</v>
      </c>
      <c r="AJ48" s="3"/>
      <c r="AK48" s="3"/>
      <c r="AL48" s="3"/>
    </row>
    <row r="49" spans="1:38" x14ac:dyDescent="0.45">
      <c r="A49" s="2">
        <v>45632</v>
      </c>
      <c r="B49" s="3">
        <v>-2.7045130000000001E-2</v>
      </c>
      <c r="C49" s="3">
        <v>1.5847802000000001E-2</v>
      </c>
      <c r="D49" s="3">
        <v>-1.1627913E-2</v>
      </c>
      <c r="E49" s="3">
        <v>-1.9827843000000001E-2</v>
      </c>
      <c r="F49" s="3">
        <v>8.5208416000000006E-3</v>
      </c>
      <c r="G49" s="3">
        <v>-1.1526048000000001E-2</v>
      </c>
      <c r="H49" s="3">
        <v>3.2103062000000001E-3</v>
      </c>
      <c r="I49" s="3">
        <v>-2.0360827000000001E-2</v>
      </c>
      <c r="J49" s="3">
        <v>-9.3887449999999987E-3</v>
      </c>
      <c r="K49" s="3">
        <v>-7.1621655999999992E-2</v>
      </c>
      <c r="L49" s="3">
        <v>-8.8054839999999995E-2</v>
      </c>
      <c r="M49" s="3">
        <v>-1.3466655999999999E-2</v>
      </c>
      <c r="N49" s="3">
        <v>1.1876105999999999E-2</v>
      </c>
      <c r="O49" s="3">
        <v>2.4098516E-2</v>
      </c>
      <c r="P49" s="3">
        <v>-3.3360242999999998E-2</v>
      </c>
      <c r="Q49" s="3">
        <v>-3.1703413E-2</v>
      </c>
      <c r="R49" s="3">
        <v>-8.6912510000000005E-3</v>
      </c>
      <c r="S49" s="3">
        <v>9.5596789999999987E-2</v>
      </c>
      <c r="T49" s="3">
        <v>1.0114193E-2</v>
      </c>
      <c r="U49" s="3">
        <v>4.1946173E-3</v>
      </c>
      <c r="V49" s="3">
        <v>-1.3273238999999999E-2</v>
      </c>
      <c r="W49" s="3">
        <v>-2.4425924000000002E-2</v>
      </c>
      <c r="X49" s="3">
        <v>-9.2521310000000002E-3</v>
      </c>
      <c r="Y49" s="3">
        <v>2.8544067999999999E-2</v>
      </c>
      <c r="Z49" s="3">
        <v>4.0187E-2</v>
      </c>
      <c r="AA49" s="3">
        <v>2.3764968000000001E-2</v>
      </c>
      <c r="AB49" s="3">
        <v>-1.0256410000000001E-2</v>
      </c>
      <c r="AC49" s="3">
        <v>1.6133546999999998E-2</v>
      </c>
      <c r="AD49" s="3">
        <v>2.4001122E-2</v>
      </c>
      <c r="AE49" s="3">
        <v>1.6081810000000002E-2</v>
      </c>
      <c r="AF49" s="3">
        <v>-3.7472844000000002E-3</v>
      </c>
      <c r="AG49" s="3">
        <v>1.3060570000000001E-2</v>
      </c>
      <c r="AH49" s="3">
        <v>4.5124292000000002E-3</v>
      </c>
      <c r="AI49" s="3">
        <v>1.971376E-2</v>
      </c>
      <c r="AJ49" s="3"/>
      <c r="AK49" s="3"/>
      <c r="AL49" s="3"/>
    </row>
    <row r="50" spans="1:38" x14ac:dyDescent="0.45">
      <c r="A50" s="2">
        <v>45665</v>
      </c>
      <c r="B50" s="3">
        <v>-5.7275413999999997E-2</v>
      </c>
      <c r="C50" s="3">
        <v>-1.5462160000000001E-2</v>
      </c>
      <c r="D50" s="3">
        <v>-8.5885160000000002E-2</v>
      </c>
      <c r="E50" s="3">
        <v>-4.2888283999999999E-2</v>
      </c>
      <c r="F50" s="3">
        <v>-4.7915697E-2</v>
      </c>
      <c r="G50" s="3">
        <v>-2.9967546000000001E-2</v>
      </c>
      <c r="H50" s="3">
        <v>-2.2798954999999999E-2</v>
      </c>
      <c r="I50" s="3">
        <v>-1.1749625E-2</v>
      </c>
      <c r="J50" s="3">
        <v>-4.3394510000000004E-2</v>
      </c>
      <c r="K50" s="3">
        <v>1.2305617E-2</v>
      </c>
      <c r="L50" s="3">
        <v>-5.3796770000000001E-2</v>
      </c>
      <c r="M50" s="3">
        <v>-9.1532050000000004E-2</v>
      </c>
      <c r="N50" s="3">
        <v>2.281797E-2</v>
      </c>
      <c r="O50" s="3">
        <v>-5.3116917999999999E-2</v>
      </c>
      <c r="P50" s="3">
        <v>-4.2504549999999995E-2</v>
      </c>
      <c r="Q50" s="3">
        <v>-3.2219290000000001E-3</v>
      </c>
      <c r="R50" s="3">
        <v>-4.4243629999999999E-2</v>
      </c>
      <c r="S50" s="3">
        <v>-3.6935269999999999E-2</v>
      </c>
      <c r="T50" s="3">
        <v>6.6466689999999995E-2</v>
      </c>
      <c r="U50" s="3">
        <v>-5.0125360000000001E-2</v>
      </c>
      <c r="V50" s="3">
        <v>3.0082463999999997E-3</v>
      </c>
      <c r="W50" s="3">
        <v>-2.3488522000000001E-2</v>
      </c>
      <c r="X50" s="3">
        <v>-3.6222994000000001E-2</v>
      </c>
      <c r="Y50" s="3">
        <v>-3.5737215999999995E-2</v>
      </c>
      <c r="Z50" s="3">
        <v>-3.0248522999999999E-2</v>
      </c>
      <c r="AA50" s="3">
        <v>-4.1189966000000001E-2</v>
      </c>
      <c r="AB50" s="3">
        <v>-2.5906742E-2</v>
      </c>
      <c r="AC50" s="3">
        <v>-3.3898114999999999E-2</v>
      </c>
      <c r="AD50" s="3">
        <v>-1.9730030999999999E-2</v>
      </c>
      <c r="AE50" s="3">
        <v>-2.6916324999999998E-2</v>
      </c>
      <c r="AF50" s="3">
        <v>-2.2294939E-2</v>
      </c>
      <c r="AG50" s="3">
        <v>-2.2317648000000002E-2</v>
      </c>
      <c r="AH50" s="3">
        <v>-4.7666607E-2</v>
      </c>
      <c r="AI50" s="3">
        <v>-1.3717055000000001E-2</v>
      </c>
      <c r="AJ50" s="3"/>
      <c r="AK50" s="3"/>
      <c r="AL50" s="3"/>
    </row>
    <row r="51" spans="1:38" x14ac:dyDescent="0.45">
      <c r="A51" s="2">
        <v>45695</v>
      </c>
      <c r="B51" s="3">
        <v>3.6644339999999997E-2</v>
      </c>
      <c r="C51" s="3">
        <v>0.1224165</v>
      </c>
      <c r="D51" s="3">
        <v>-4.0849685999999996E-2</v>
      </c>
      <c r="E51" s="3">
        <v>-2.0112633999999997E-2</v>
      </c>
      <c r="F51" s="3">
        <v>0.14893615999999998</v>
      </c>
      <c r="G51" s="3">
        <v>3.814733E-2</v>
      </c>
      <c r="H51" s="3">
        <v>-4.1699409999999999E-4</v>
      </c>
      <c r="I51" s="3">
        <v>-9.1446640000000003E-3</v>
      </c>
      <c r="J51" s="3">
        <v>5.7375309999999999E-2</v>
      </c>
      <c r="K51" s="3">
        <v>-3.3137202000000001E-3</v>
      </c>
      <c r="L51" s="3">
        <v>0.10275458999999999</v>
      </c>
      <c r="M51" s="3">
        <v>8.9448450000000013E-2</v>
      </c>
      <c r="N51" s="3">
        <v>2.4343132999999999E-2</v>
      </c>
      <c r="O51" s="3">
        <v>-3.4970403000000004E-2</v>
      </c>
      <c r="P51" s="3">
        <v>0.10683287</v>
      </c>
      <c r="Q51" s="3">
        <v>1.4705896000000001E-2</v>
      </c>
      <c r="R51" s="3">
        <v>-7.6117696999999998E-2</v>
      </c>
      <c r="S51" s="3">
        <v>-1.7364859999999999E-2</v>
      </c>
      <c r="T51" s="3">
        <v>4.4269203999999999E-2</v>
      </c>
      <c r="U51" s="3">
        <v>7.9156160000000003E-3</v>
      </c>
      <c r="V51" s="3">
        <v>2.709961E-2</v>
      </c>
      <c r="W51" s="3">
        <v>-4.6635269999999998E-3</v>
      </c>
      <c r="X51" s="3">
        <v>2.3398994999999999E-2</v>
      </c>
      <c r="Y51" s="3">
        <v>2.0833373000000002E-2</v>
      </c>
      <c r="Z51" s="3">
        <v>6.9796085000000008E-2</v>
      </c>
      <c r="AA51" s="3">
        <v>2.0566344E-2</v>
      </c>
      <c r="AB51" s="3">
        <v>5.5106400000000007E-2</v>
      </c>
      <c r="AC51" s="3">
        <v>5.6520460000000002E-2</v>
      </c>
      <c r="AD51" s="3">
        <v>1.4846563E-2</v>
      </c>
      <c r="AE51" s="3">
        <v>1.9135236999999999E-2</v>
      </c>
      <c r="AF51" s="3">
        <v>6.9490670000000004E-2</v>
      </c>
      <c r="AG51" s="3">
        <v>2.3054720000000001E-2</v>
      </c>
      <c r="AH51" s="3">
        <v>9.5649960000000006E-2</v>
      </c>
      <c r="AI51" s="3">
        <v>6.1341286000000002E-2</v>
      </c>
      <c r="AJ51" s="3"/>
      <c r="AK51" s="3"/>
      <c r="AL51" s="3"/>
    </row>
    <row r="52" spans="1:38" x14ac:dyDescent="0.45">
      <c r="A52" s="2">
        <v>45723</v>
      </c>
      <c r="B52" s="3">
        <v>2.0994066999999998E-2</v>
      </c>
      <c r="C52" s="3">
        <v>5.4178476000000003E-2</v>
      </c>
      <c r="D52" s="3">
        <v>-2.8960824E-2</v>
      </c>
      <c r="E52" s="3">
        <v>4.1050909999999996E-2</v>
      </c>
      <c r="F52" s="3">
        <v>0.12839507999999999</v>
      </c>
      <c r="G52" s="3">
        <v>-6.7012906000000006E-3</v>
      </c>
      <c r="H52" s="3">
        <v>-2.8368711000000001E-2</v>
      </c>
      <c r="I52" s="3">
        <v>-1.4997065E-2</v>
      </c>
      <c r="J52" s="3">
        <v>1.6771912999999999E-2</v>
      </c>
      <c r="K52" s="3">
        <v>2.8444766999999999E-2</v>
      </c>
      <c r="L52" s="3">
        <v>-1.5860437999999998E-2</v>
      </c>
      <c r="M52" s="3">
        <v>3.1036735000000003E-2</v>
      </c>
      <c r="N52" s="3">
        <v>0.11008965999999999</v>
      </c>
      <c r="O52" s="3">
        <v>-2.8118789999999998E-2</v>
      </c>
      <c r="P52" s="3">
        <v>0.13613510000000001</v>
      </c>
      <c r="Q52" s="3">
        <v>7.2463750000000002E-3</v>
      </c>
      <c r="R52" s="3">
        <v>-6.2444870000000006E-2</v>
      </c>
      <c r="S52" s="3">
        <v>4.5722246000000001E-2</v>
      </c>
      <c r="T52" s="3">
        <v>-1.7421544000000001E-2</v>
      </c>
      <c r="U52" s="3">
        <v>8.2024460000000007E-2</v>
      </c>
      <c r="V52" s="3">
        <v>-3.9933442999999999E-2</v>
      </c>
      <c r="W52" s="3">
        <v>-4.0941533999999995E-2</v>
      </c>
      <c r="X52" s="3">
        <v>-4.1716813999999998E-2</v>
      </c>
      <c r="Y52" s="3">
        <v>-2.8331339999999997E-2</v>
      </c>
      <c r="Z52" s="3">
        <v>0.12038111999999999</v>
      </c>
      <c r="AA52" s="3">
        <v>2.4678707000000001E-2</v>
      </c>
      <c r="AB52" s="3">
        <v>7.9451439999999998E-2</v>
      </c>
      <c r="AC52" s="3">
        <v>5.4054140000000001E-2</v>
      </c>
      <c r="AD52" s="3">
        <v>-5.9531029999999999E-2</v>
      </c>
      <c r="AE52" s="3">
        <v>-4.1363659999999997E-2</v>
      </c>
      <c r="AF52" s="3">
        <v>8.3872560000000013E-2</v>
      </c>
      <c r="AG52" s="3">
        <v>6.9555759999999994E-2</v>
      </c>
      <c r="AH52" s="3">
        <v>7.9167604000000003E-2</v>
      </c>
      <c r="AI52" s="3">
        <v>0.10069346</v>
      </c>
      <c r="AJ52" s="3"/>
      <c r="AK52" s="3"/>
      <c r="AL52" s="3"/>
    </row>
    <row r="53" spans="1:38" x14ac:dyDescent="0.45">
      <c r="A53" s="2">
        <v>45755</v>
      </c>
      <c r="B53" s="3">
        <v>-0.12302284999999999</v>
      </c>
      <c r="C53" s="3">
        <v>-0.10984211999999999</v>
      </c>
      <c r="D53" s="3">
        <v>-0.16023397</v>
      </c>
      <c r="E53" s="3">
        <v>-4.8501610000000001E-2</v>
      </c>
      <c r="F53" s="3">
        <v>-9.9197629999999995E-2</v>
      </c>
      <c r="G53" s="3">
        <v>-7.3299110000000001E-2</v>
      </c>
      <c r="H53" s="3">
        <v>-8.9738070000000003E-2</v>
      </c>
      <c r="I53" s="3">
        <v>-0.20066362000000001</v>
      </c>
      <c r="J53" s="3">
        <v>-6.7339362999999999E-2</v>
      </c>
      <c r="K53" s="3">
        <v>-0.1214081</v>
      </c>
      <c r="L53" s="3">
        <v>-5.5600285999999999E-2</v>
      </c>
      <c r="M53" s="3">
        <v>-0.13450039</v>
      </c>
      <c r="N53" s="3">
        <v>-6.3254952000000003E-2</v>
      </c>
      <c r="O53" s="3">
        <v>1.6299486E-3</v>
      </c>
      <c r="P53" s="3">
        <v>-0.19964600000000002</v>
      </c>
      <c r="Q53" s="3">
        <v>-4.6485900000000004E-2</v>
      </c>
      <c r="R53" s="3">
        <v>-0.10602069</v>
      </c>
      <c r="S53" s="3">
        <v>-0.14619093999999999</v>
      </c>
      <c r="T53" s="3">
        <v>-7.9196215E-2</v>
      </c>
      <c r="U53" s="3">
        <v>-0.18306446000000001</v>
      </c>
      <c r="V53" s="3">
        <v>-5.4964123000000004E-2</v>
      </c>
      <c r="W53" s="3">
        <v>-8.1540109999999999E-2</v>
      </c>
      <c r="X53" s="3">
        <v>-0.12850565</v>
      </c>
      <c r="Y53" s="3">
        <v>-8.1541960000000011E-2</v>
      </c>
      <c r="Z53" s="3">
        <v>-0.14403504</v>
      </c>
      <c r="AA53" s="3">
        <v>-0.12141937</v>
      </c>
      <c r="AB53" s="3">
        <v>-0.11974591</v>
      </c>
      <c r="AC53" s="3">
        <v>-0.12265408000000001</v>
      </c>
      <c r="AD53" s="3">
        <v>-0.15275448999999999</v>
      </c>
      <c r="AE53" s="3">
        <v>-0.13534409</v>
      </c>
      <c r="AF53" s="3">
        <v>-0.14855498</v>
      </c>
      <c r="AG53" s="3">
        <v>-0.15153969</v>
      </c>
      <c r="AH53" s="3">
        <v>-0.17841309</v>
      </c>
      <c r="AI53" s="3">
        <v>-0.14585762999999999</v>
      </c>
      <c r="AJ53" s="3"/>
      <c r="AK53" s="3"/>
      <c r="AL53" s="3"/>
    </row>
    <row r="54" spans="1:38" x14ac:dyDescent="0.45">
      <c r="A54" s="2">
        <v>45785</v>
      </c>
      <c r="B54" s="3">
        <v>0.116232395</v>
      </c>
      <c r="C54" s="3">
        <v>0.2132076</v>
      </c>
      <c r="D54" s="3">
        <v>0.21518111999999998</v>
      </c>
      <c r="E54" s="3">
        <v>0.12556982</v>
      </c>
      <c r="F54" s="3">
        <v>0.21214569999999999</v>
      </c>
      <c r="G54" s="3">
        <v>0.16844023</v>
      </c>
      <c r="H54" s="3">
        <v>0.146698</v>
      </c>
      <c r="I54" s="3">
        <v>0.24932838000000002</v>
      </c>
      <c r="J54" s="3">
        <v>0.20911359999999998</v>
      </c>
      <c r="K54" s="3">
        <v>0.16925598</v>
      </c>
      <c r="L54" s="3">
        <v>0.17235493000000002</v>
      </c>
      <c r="M54" s="3">
        <v>0.22964966000000001</v>
      </c>
      <c r="N54" s="3">
        <v>0.17842901</v>
      </c>
      <c r="O54" s="3">
        <v>4.8413396000000004E-2</v>
      </c>
      <c r="P54" s="3">
        <v>0.1819991</v>
      </c>
      <c r="Q54" s="3">
        <v>8.0383060000000006E-2</v>
      </c>
      <c r="R54" s="3">
        <v>0.12283754</v>
      </c>
      <c r="S54" s="3">
        <v>-2.0106792000000002E-2</v>
      </c>
      <c r="T54" s="3">
        <v>0.16431319999999999</v>
      </c>
      <c r="U54" s="3">
        <v>0.2438302</v>
      </c>
      <c r="V54" s="3">
        <v>3.3272266000000002E-2</v>
      </c>
      <c r="W54" s="3">
        <v>0.12031412</v>
      </c>
      <c r="X54" s="3">
        <v>0.19260322999999999</v>
      </c>
      <c r="Y54" s="3">
        <v>0.15173531000000001</v>
      </c>
      <c r="Z54" s="3">
        <v>0.21794091999999998</v>
      </c>
      <c r="AA54" s="3">
        <v>0.16512573</v>
      </c>
      <c r="AB54" s="3">
        <v>0.13709688</v>
      </c>
      <c r="AC54" s="3">
        <v>0.14823746999999998</v>
      </c>
      <c r="AD54" s="3">
        <v>0.17360485</v>
      </c>
      <c r="AE54" s="3">
        <v>0.13813245999999998</v>
      </c>
      <c r="AF54" s="3">
        <v>0.15904616999999999</v>
      </c>
      <c r="AG54" s="3">
        <v>0.20152819</v>
      </c>
      <c r="AH54" s="3">
        <v>0.19395733000000001</v>
      </c>
      <c r="AI54" s="3">
        <v>0.23934437</v>
      </c>
      <c r="AJ54" s="3"/>
      <c r="AK54" s="3"/>
      <c r="AL54" s="3"/>
    </row>
    <row r="55" spans="1:38" x14ac:dyDescent="0.45">
      <c r="A55" s="2">
        <v>45814</v>
      </c>
      <c r="B55" s="3">
        <v>1.3285397999999999E-2</v>
      </c>
      <c r="C55" s="3">
        <v>-9.6423625999999991E-3</v>
      </c>
      <c r="D55" s="3">
        <v>6.0744999999999993E-2</v>
      </c>
      <c r="E55" s="3">
        <v>2.9086946999999998E-2</v>
      </c>
      <c r="F55" s="3">
        <v>-1.6032100000000001E-2</v>
      </c>
      <c r="G55" s="3">
        <v>7.9333543999999992E-2</v>
      </c>
      <c r="H55" s="3">
        <v>-2.4681091E-3</v>
      </c>
      <c r="I55" s="3">
        <v>5.7662250000000005E-2</v>
      </c>
      <c r="J55" s="3">
        <v>5.3863405999999996E-2</v>
      </c>
      <c r="K55" s="3">
        <v>0.14632868999999998</v>
      </c>
      <c r="L55" s="3">
        <v>8.7336299999999992E-3</v>
      </c>
      <c r="M55" s="3">
        <v>8.2046149999999998E-2</v>
      </c>
      <c r="N55" s="3">
        <v>0.10346198</v>
      </c>
      <c r="O55" s="3">
        <v>6.5386056999999997E-2</v>
      </c>
      <c r="P55" s="3">
        <v>2.7502298000000001E-2</v>
      </c>
      <c r="Q55" s="3">
        <v>1.1549830000000001E-2</v>
      </c>
      <c r="R55" s="3">
        <v>-5.8147250000000004E-2</v>
      </c>
      <c r="S55" s="3">
        <v>1.3465880999999999E-2</v>
      </c>
      <c r="T55" s="3">
        <v>2.9217243E-2</v>
      </c>
      <c r="U55" s="3">
        <v>8.2539669999999996E-2</v>
      </c>
      <c r="V55" s="3">
        <v>-2.3580133999999999E-2</v>
      </c>
      <c r="W55" s="3">
        <v>2.4417876999999998E-2</v>
      </c>
      <c r="X55" s="3">
        <v>6.2021730000000004E-2</v>
      </c>
      <c r="Y55" s="3">
        <v>6.0266255999999997E-2</v>
      </c>
      <c r="Z55" s="3">
        <v>5.0914526000000002E-2</v>
      </c>
      <c r="AA55" s="3">
        <v>2.7704240000000002E-2</v>
      </c>
      <c r="AB55" s="3">
        <v>3.8447141999999997E-2</v>
      </c>
      <c r="AC55" s="3">
        <v>5.8777213000000002E-2</v>
      </c>
      <c r="AD55" s="3">
        <v>8.525669000000001E-2</v>
      </c>
      <c r="AE55" s="3">
        <v>6.0312150000000002E-2</v>
      </c>
      <c r="AF55" s="3">
        <v>4.1626334000000001E-2</v>
      </c>
      <c r="AG55" s="3">
        <v>6.5779089999999998E-2</v>
      </c>
      <c r="AH55" s="3">
        <v>4.2476295999999997E-2</v>
      </c>
      <c r="AI55" s="3">
        <v>6.4814806000000003E-2</v>
      </c>
      <c r="AJ55" s="3"/>
      <c r="AK55" s="3"/>
      <c r="AL55" s="3"/>
    </row>
    <row r="56" spans="1:38" x14ac:dyDescent="0.45">
      <c r="A56" s="2">
        <v>45846</v>
      </c>
      <c r="B56" s="3">
        <v>3.6005258999999998E-2</v>
      </c>
      <c r="C56" s="3">
        <v>7.815242E-3</v>
      </c>
      <c r="D56" s="3">
        <v>-3.9662419999999997E-2</v>
      </c>
      <c r="E56" s="3">
        <v>-3.0441045999999999E-2</v>
      </c>
      <c r="F56" s="3">
        <v>0.12658442</v>
      </c>
      <c r="G56" s="3">
        <v>3.3631920000000003E-2</v>
      </c>
      <c r="H56" s="3">
        <v>8.5927250000000007E-3</v>
      </c>
      <c r="I56" s="3">
        <v>6.5607070000000003E-2</v>
      </c>
      <c r="J56" s="3">
        <v>1.2290239000000001E-2</v>
      </c>
      <c r="K56" s="3">
        <v>9.9283219999999991E-2</v>
      </c>
      <c r="L56" s="3">
        <v>5.456221E-2</v>
      </c>
      <c r="M56" s="3">
        <v>9.3585249999999995E-3</v>
      </c>
      <c r="N56" s="3">
        <v>0.11474848</v>
      </c>
      <c r="O56" s="3">
        <v>1.4205098000000001E-2</v>
      </c>
      <c r="P56" s="3">
        <v>1.3596772999999999E-2</v>
      </c>
      <c r="Q56" s="3">
        <v>1.8606186E-2</v>
      </c>
      <c r="R56" s="3">
        <v>-1.8285334E-2</v>
      </c>
      <c r="S56" s="3">
        <v>3.1599759999999998E-2</v>
      </c>
      <c r="T56" s="3">
        <v>4.3354272999999999E-2</v>
      </c>
      <c r="U56" s="3">
        <v>6.3782930000000002E-2</v>
      </c>
      <c r="V56" s="3">
        <v>2.7197242E-2</v>
      </c>
      <c r="W56" s="3">
        <v>2.4395346999999998E-2</v>
      </c>
      <c r="X56" s="3">
        <v>6.3745974999999998E-3</v>
      </c>
      <c r="Y56" s="3">
        <v>2.0214558000000001E-2</v>
      </c>
      <c r="Z56" s="3">
        <v>1.8189787999999998E-2</v>
      </c>
      <c r="AA56" s="3">
        <v>-5.2154063999999996E-4</v>
      </c>
      <c r="AB56" s="3">
        <v>4.0129422999999999E-3</v>
      </c>
      <c r="AC56" s="3">
        <v>6.3077209999999996E-3</v>
      </c>
      <c r="AD56" s="3">
        <v>4.3467164000000003E-2</v>
      </c>
      <c r="AE56" s="3">
        <v>3.8452386999999998E-2</v>
      </c>
      <c r="AF56" s="3">
        <v>2.8074026000000002E-2</v>
      </c>
      <c r="AG56" s="3">
        <v>2.6576042000000001E-2</v>
      </c>
      <c r="AH56" s="3">
        <v>9.4248056000000007E-3</v>
      </c>
      <c r="AI56" s="3">
        <v>1.8245815999999998E-2</v>
      </c>
      <c r="AJ56" s="3"/>
      <c r="AK56" s="3"/>
      <c r="AL56" s="3"/>
    </row>
    <row r="57" spans="1:38" x14ac:dyDescent="0.45">
      <c r="A57" s="2">
        <v>45877</v>
      </c>
      <c r="B57" s="3">
        <v>3.9491773000000001E-2</v>
      </c>
      <c r="C57" s="3">
        <v>0</v>
      </c>
      <c r="D57" s="3">
        <v>3.0040503E-2</v>
      </c>
      <c r="E57" s="3">
        <v>-5.6012269999999994E-3</v>
      </c>
      <c r="F57" s="3">
        <v>4.1385769999999995E-2</v>
      </c>
      <c r="G57" s="3">
        <v>4.9087286000000001E-2</v>
      </c>
      <c r="H57" s="3">
        <v>2.3382067999999999E-2</v>
      </c>
      <c r="I57" s="3">
        <v>4.5612215999999997E-2</v>
      </c>
      <c r="J57" s="3">
        <v>1.23173E-2</v>
      </c>
      <c r="K57" s="3">
        <v>1.9700288999999999E-2</v>
      </c>
      <c r="L57" s="3">
        <v>-3.1347930000000003E-2</v>
      </c>
      <c r="M57" s="3">
        <v>4.9061537000000002E-2</v>
      </c>
      <c r="N57" s="3">
        <v>6.845975E-2</v>
      </c>
      <c r="O57" s="3">
        <v>-6.4104853000000003E-2</v>
      </c>
      <c r="P57" s="3">
        <v>5.5505156999999999E-2</v>
      </c>
      <c r="Q57" s="3">
        <v>6.4068436999999992E-2</v>
      </c>
      <c r="R57" s="3">
        <v>0.12855279999999999</v>
      </c>
      <c r="S57" s="3">
        <v>7.9701184999999994E-2</v>
      </c>
      <c r="T57" s="3">
        <v>6.9002030000000006E-2</v>
      </c>
      <c r="U57" s="3">
        <v>0.18401098000000002</v>
      </c>
      <c r="V57" s="3">
        <v>-2.7506409999999999E-2</v>
      </c>
      <c r="W57" s="3">
        <v>-5.1109195E-3</v>
      </c>
      <c r="X57" s="3">
        <v>1.8745183999999998E-2</v>
      </c>
      <c r="Y57" s="3">
        <v>2.913046E-2</v>
      </c>
      <c r="Z57" s="3">
        <v>-5.8699250000000007E-3</v>
      </c>
      <c r="AA57" s="3">
        <v>6.476295E-2</v>
      </c>
      <c r="AB57" s="3">
        <v>-2.2254645999999999E-2</v>
      </c>
      <c r="AC57" s="3">
        <v>1.8597603000000001E-2</v>
      </c>
      <c r="AD57" s="3">
        <v>4.0210724000000003E-2</v>
      </c>
      <c r="AE57" s="3">
        <v>2.7146340000000001E-2</v>
      </c>
      <c r="AF57" s="3">
        <v>-1.3635337000000001E-2</v>
      </c>
      <c r="AG57" s="3">
        <v>-3.3314943E-2</v>
      </c>
      <c r="AH57" s="3">
        <v>7.2448254E-3</v>
      </c>
      <c r="AI57" s="3">
        <v>3.7649990000000001E-2</v>
      </c>
      <c r="AJ57" s="3"/>
      <c r="AK57" s="3"/>
      <c r="AL57" s="3"/>
    </row>
    <row r="58" spans="1:38" x14ac:dyDescent="0.45">
      <c r="A58" s="2">
        <v>45908</v>
      </c>
      <c r="B58" s="3">
        <v>9.4813349999999991E-2</v>
      </c>
      <c r="C58" s="3">
        <v>5.7943344000000001E-2</v>
      </c>
      <c r="D58" s="3">
        <v>-1.8508135999999998E-2</v>
      </c>
      <c r="E58" s="3">
        <v>-2.0277858000000003E-2</v>
      </c>
      <c r="F58" s="3">
        <v>-3.2087146999999996E-2</v>
      </c>
      <c r="G58" s="3">
        <v>9.5272539999999989E-2</v>
      </c>
      <c r="H58" s="3">
        <v>2.4887800000000002E-2</v>
      </c>
      <c r="I58" s="3">
        <v>1.1444688000000001E-2</v>
      </c>
      <c r="J58" s="3">
        <v>4.0720343999999999E-2</v>
      </c>
      <c r="K58" s="3">
        <v>9.3877315999999992E-3</v>
      </c>
      <c r="L58" s="3">
        <v>6.3646197000000002E-2</v>
      </c>
      <c r="M58" s="3">
        <v>5.1195740000000003E-2</v>
      </c>
      <c r="N58" s="3">
        <v>-1.8583237999999998E-2</v>
      </c>
      <c r="O58" s="3">
        <v>1.4773606999999999E-2</v>
      </c>
      <c r="P58" s="3">
        <v>7.0630670000000007E-2</v>
      </c>
      <c r="Q58" s="3">
        <v>-1.5052736000000001E-2</v>
      </c>
      <c r="R58" s="3">
        <v>5.5915119999999999E-3</v>
      </c>
      <c r="S58" s="3">
        <v>-6.1707020000000001E-2</v>
      </c>
      <c r="T58" s="3">
        <v>-5.9582889999999999E-2</v>
      </c>
      <c r="U58" s="3">
        <v>1.1059403000000001E-2</v>
      </c>
      <c r="V58" s="3">
        <v>-3.0134916000000001E-2</v>
      </c>
      <c r="W58" s="3">
        <v>2.1751046E-2</v>
      </c>
      <c r="X58" s="3">
        <v>1.3894081000000001E-2</v>
      </c>
      <c r="Y58" s="3">
        <v>4.1402580000000001E-2</v>
      </c>
      <c r="Z58" s="3">
        <v>-1.5351950999999999E-2</v>
      </c>
      <c r="AA58" s="3">
        <v>3.8881063E-2</v>
      </c>
      <c r="AB58" s="3">
        <v>5.0932883999999998E-2</v>
      </c>
      <c r="AC58" s="3">
        <v>2.9114246E-2</v>
      </c>
      <c r="AD58" s="3">
        <v>7.5188874999999999E-3</v>
      </c>
      <c r="AE58" s="3">
        <v>1.8283725000000001E-2</v>
      </c>
      <c r="AF58" s="3">
        <v>7.2634220000000003E-3</v>
      </c>
      <c r="AG58" s="3">
        <v>3.1416534999999995E-2</v>
      </c>
      <c r="AH58" s="3">
        <v>3.356576E-2</v>
      </c>
      <c r="AI58" s="3">
        <v>9.5694064999999988E-3</v>
      </c>
      <c r="AJ58" s="3"/>
      <c r="AK58" s="3"/>
      <c r="AL58" s="3"/>
    </row>
    <row r="59" spans="1:38" x14ac:dyDescent="0.45">
      <c r="A59" s="2">
        <v>45938</v>
      </c>
      <c r="B59" s="3">
        <v>3.2287240000000002E-2</v>
      </c>
      <c r="C59" s="3">
        <v>-1.3240993000000001E-2</v>
      </c>
      <c r="D59" s="3">
        <v>-2.8570889999999997E-3</v>
      </c>
      <c r="E59" s="3">
        <v>-1.6098141999999999E-2</v>
      </c>
      <c r="F59" s="3">
        <v>-7.9076290000000011E-3</v>
      </c>
      <c r="G59" s="3">
        <v>0.12149691999999999</v>
      </c>
      <c r="H59" s="3">
        <v>3.5827994000000002E-2</v>
      </c>
      <c r="I59" s="3">
        <v>7.6582549999999999E-2</v>
      </c>
      <c r="J59" s="3">
        <v>2.4629831000000001E-2</v>
      </c>
      <c r="K59" s="3">
        <v>0.1347891</v>
      </c>
      <c r="L59" s="3">
        <v>9.8040104000000003E-3</v>
      </c>
      <c r="M59" s="3">
        <v>0.12571620999999999</v>
      </c>
      <c r="N59" s="3">
        <v>2.7560353000000003E-2</v>
      </c>
      <c r="O59" s="3">
        <v>-4.9158334999999994E-3</v>
      </c>
      <c r="P59" s="3">
        <v>6.1476706999999998E-2</v>
      </c>
      <c r="Q59" s="3">
        <v>-1.6301572E-2</v>
      </c>
      <c r="R59" s="3">
        <v>3.0653E-2</v>
      </c>
      <c r="S59" s="3">
        <v>3.3036231999999999E-2</v>
      </c>
      <c r="T59" s="3">
        <v>1.8479466E-2</v>
      </c>
      <c r="U59" s="3">
        <v>6.1024665999999998E-2</v>
      </c>
      <c r="V59" s="3">
        <v>0.10520576999999999</v>
      </c>
      <c r="W59" s="3">
        <v>7.5951815000000001E-3</v>
      </c>
      <c r="X59" s="3">
        <v>8.5184574000000002E-3</v>
      </c>
      <c r="Y59" s="3">
        <v>3.7322521000000004E-2</v>
      </c>
      <c r="Z59" s="3">
        <v>1.5591264000000001E-2</v>
      </c>
      <c r="AA59" s="3">
        <v>9.7578763999999988E-3</v>
      </c>
      <c r="AB59" s="3">
        <v>8.8763236999999991E-3</v>
      </c>
      <c r="AC59" s="3">
        <v>2.3255824999999997E-2</v>
      </c>
      <c r="AD59" s="3">
        <v>5.7481885000000003E-2</v>
      </c>
      <c r="AE59" s="3">
        <v>4.0283439999999997E-2</v>
      </c>
      <c r="AF59" s="3">
        <v>3.0472160000000002E-2</v>
      </c>
      <c r="AG59" s="3">
        <v>7.8272104000000009E-2</v>
      </c>
      <c r="AH59" s="3">
        <v>9.7006560000000002E-3</v>
      </c>
      <c r="AI59" s="3">
        <v>3.2582998000000002E-2</v>
      </c>
      <c r="AJ59" s="3"/>
      <c r="AK59" s="3"/>
      <c r="AL59" s="3"/>
    </row>
    <row r="60" spans="1:38" x14ac:dyDescent="0.45">
      <c r="A60" s="2">
        <v>45968</v>
      </c>
      <c r="B60" s="3">
        <v>1.1400103999999999E-2</v>
      </c>
      <c r="C60" s="3">
        <v>9.1796279999999994E-2</v>
      </c>
      <c r="D60" s="3">
        <v>6.1891080000000001E-2</v>
      </c>
      <c r="E60" s="3">
        <v>-7.3237179999999999E-2</v>
      </c>
      <c r="F60" s="3">
        <v>3.7400364999999998E-2</v>
      </c>
      <c r="G60" s="3">
        <v>-2.7703403999999997E-2</v>
      </c>
      <c r="H60" s="3">
        <v>8.0707073000000004E-3</v>
      </c>
      <c r="I60" s="3">
        <v>-1.5841602999999999E-2</v>
      </c>
      <c r="J60" s="3">
        <v>3.1796694E-2</v>
      </c>
      <c r="K60" s="3">
        <v>9.0390800000000007E-2</v>
      </c>
      <c r="L60" s="3">
        <v>8.1352469999999996E-2</v>
      </c>
      <c r="M60" s="3">
        <v>-3.8323401999999999E-2</v>
      </c>
      <c r="N60" s="3">
        <v>-4.9832400000000006E-2</v>
      </c>
      <c r="O60" s="3">
        <v>2.1280646E-2</v>
      </c>
      <c r="P60" s="3">
        <v>-3.810674E-2</v>
      </c>
      <c r="Q60" s="3">
        <v>5.696535E-3</v>
      </c>
      <c r="R60" s="3">
        <v>-1.5403031999999999E-3</v>
      </c>
      <c r="S60" s="3">
        <v>7.2883370000000006E-3</v>
      </c>
      <c r="T60" s="3">
        <v>7.2575809999999999E-3</v>
      </c>
      <c r="U60" s="3">
        <v>-8.4102099999999999E-2</v>
      </c>
      <c r="V60" s="3">
        <v>-3.1319380000000001E-2</v>
      </c>
      <c r="W60" s="3">
        <v>-3.2152056999999998E-2</v>
      </c>
      <c r="X60" s="3">
        <v>-2.9012083999999997E-2</v>
      </c>
      <c r="Y60" s="3">
        <v>-2.033633E-2</v>
      </c>
      <c r="Z60" s="3">
        <v>-4.3930110000000001E-2</v>
      </c>
      <c r="AA60" s="3">
        <v>1.8837929E-2</v>
      </c>
      <c r="AB60" s="3">
        <v>-1.9179999999999999E-2</v>
      </c>
      <c r="AC60" s="3">
        <v>4.4517517000000001E-3</v>
      </c>
      <c r="AD60" s="3">
        <v>-2.7803182999999996E-3</v>
      </c>
      <c r="AE60" s="3">
        <v>-3.1793117999999996E-3</v>
      </c>
      <c r="AF60" s="3">
        <v>-1.1738181E-2</v>
      </c>
      <c r="AG60" s="3">
        <v>-1.1470615999999999E-2</v>
      </c>
      <c r="AH60" s="3">
        <v>-1.3366758999999999E-2</v>
      </c>
      <c r="AI60" s="3">
        <v>-1.9124746000000001E-3</v>
      </c>
      <c r="AJ60" s="3"/>
      <c r="AK60" s="3"/>
      <c r="AL60" s="3"/>
    </row>
    <row r="61" spans="1:38" x14ac:dyDescent="0.45">
      <c r="A61" s="2">
        <v>45999</v>
      </c>
      <c r="B61" s="3">
        <v>-6.9363713000000007E-3</v>
      </c>
      <c r="C61" s="3">
        <v>6.8156480000000005E-2</v>
      </c>
      <c r="D61" s="3">
        <v>1.8348574999999999E-2</v>
      </c>
      <c r="E61" s="3">
        <v>3.3207178000000004E-2</v>
      </c>
      <c r="F61" s="3">
        <v>-9.7518563000000003E-3</v>
      </c>
      <c r="G61" s="3">
        <v>7.7059983999999998E-2</v>
      </c>
      <c r="H61" s="3">
        <v>3.431201E-3</v>
      </c>
      <c r="I61" s="3">
        <v>1.4858365E-2</v>
      </c>
      <c r="J61" s="3">
        <v>1.2090802000000001E-2</v>
      </c>
      <c r="K61" s="3">
        <v>3.5620927999999996E-2</v>
      </c>
      <c r="L61" s="3">
        <v>1.3931869999999999E-2</v>
      </c>
      <c r="M61" s="3">
        <v>3.3468246E-2</v>
      </c>
      <c r="N61" s="3">
        <v>7.4097869999999996E-2</v>
      </c>
      <c r="O61" s="3">
        <v>-1.2465059999999998E-2</v>
      </c>
      <c r="P61" s="3">
        <v>-2.1851896999999999E-2</v>
      </c>
      <c r="Q61" s="3">
        <v>-2.3923755000000001E-2</v>
      </c>
      <c r="R61" s="3">
        <v>-3.1867145999999999E-2</v>
      </c>
      <c r="S61" s="3">
        <v>1.653862E-2</v>
      </c>
      <c r="T61" s="3">
        <v>-1.8013418E-2</v>
      </c>
      <c r="U61" s="3">
        <v>0.10900474</v>
      </c>
      <c r="V61" s="3">
        <v>-5.3207754999999995E-2</v>
      </c>
      <c r="W61" s="3">
        <v>9.7826719999999992E-3</v>
      </c>
      <c r="X61" s="3">
        <v>-7.5643059999999998E-3</v>
      </c>
      <c r="Y61" s="3">
        <v>5.6886314999999993E-2</v>
      </c>
      <c r="Z61" s="3">
        <v>2.1245121999999998E-2</v>
      </c>
      <c r="AA61" s="3">
        <v>-1.2006163599999999E-3</v>
      </c>
      <c r="AB61" s="3">
        <v>3.6239623999999998E-2</v>
      </c>
      <c r="AC61" s="3">
        <v>4.898548E-3</v>
      </c>
      <c r="AD61" s="3">
        <v>2.3846269000000003E-2</v>
      </c>
      <c r="AE61" s="3">
        <v>1.8868208000000001E-2</v>
      </c>
      <c r="AF61" s="3">
        <v>1.9872188999999998E-2</v>
      </c>
      <c r="AG61" s="3">
        <v>1.7014146000000001E-2</v>
      </c>
      <c r="AH61" s="3">
        <v>2.4555444999999999E-2</v>
      </c>
      <c r="AI61" s="3">
        <v>1.5137076000000001E-2</v>
      </c>
      <c r="AJ61" s="3"/>
      <c r="AK61" s="3"/>
      <c r="AL61" s="3"/>
    </row>
    <row r="62" spans="1:38" x14ac:dyDescent="0.45">
      <c r="A62" s="2">
        <v>46030</v>
      </c>
      <c r="B62" s="3">
        <v>5.0013065000000002E-2</v>
      </c>
      <c r="C62" s="3">
        <v>0.12190437</v>
      </c>
      <c r="D62" s="3">
        <v>1.6115546000000001E-2</v>
      </c>
      <c r="E62" s="3">
        <v>6.9425464000000006E-2</v>
      </c>
      <c r="F62" s="3">
        <v>0.10526191999999999</v>
      </c>
      <c r="G62" s="3">
        <v>0.15533137</v>
      </c>
      <c r="H62" s="3">
        <v>5.602145E-2</v>
      </c>
      <c r="I62" s="3">
        <v>4.4001936999999998E-2</v>
      </c>
      <c r="J62" s="3">
        <v>4.6764134999999998E-2</v>
      </c>
      <c r="K62" s="3">
        <v>0.14668666999999999</v>
      </c>
      <c r="L62" s="3">
        <v>4.0032386999999996E-2</v>
      </c>
      <c r="M62" s="3">
        <v>0.1177361</v>
      </c>
      <c r="N62" s="3">
        <v>5.4917930000000004E-2</v>
      </c>
      <c r="O62" s="3">
        <v>1.2057304E-2</v>
      </c>
      <c r="P62" s="3">
        <v>1.3287782999999999E-2</v>
      </c>
      <c r="Q62" s="3">
        <v>2.945447E-2</v>
      </c>
      <c r="R62" s="3">
        <v>-6.1757565000000007E-3</v>
      </c>
      <c r="S62" s="3">
        <v>7.8158140000000001E-2</v>
      </c>
      <c r="T62" s="3">
        <v>3.9955497E-2</v>
      </c>
      <c r="U62" s="3">
        <v>3.3623338000000003E-2</v>
      </c>
      <c r="V62" s="3">
        <v>2.1082163000000001E-3</v>
      </c>
      <c r="W62" s="3">
        <v>1.4690161E-2</v>
      </c>
      <c r="X62" s="3">
        <v>2.2220970000000003E-2</v>
      </c>
      <c r="Y62" s="3">
        <v>3.7737130000000001E-2</v>
      </c>
      <c r="Z62" s="3">
        <v>4.7653675E-2</v>
      </c>
      <c r="AA62" s="3">
        <v>3.3747791999999999E-2</v>
      </c>
      <c r="AB62" s="3">
        <v>4.2416929999999999E-2</v>
      </c>
      <c r="AC62" s="3">
        <v>5.5371284E-2</v>
      </c>
      <c r="AD62" s="3">
        <v>-4.8285126999999999E-3</v>
      </c>
      <c r="AE62" s="3">
        <v>1.1555195000000001E-2</v>
      </c>
      <c r="AF62" s="3">
        <v>2.3308395999999999E-2</v>
      </c>
      <c r="AG62" s="3">
        <v>4.6928406000000006E-2</v>
      </c>
      <c r="AH62" s="3">
        <v>5.1792382999999997E-2</v>
      </c>
      <c r="AI62" s="3">
        <v>5.6321025000000004E-2</v>
      </c>
      <c r="AJ62" s="3"/>
      <c r="AK62" s="3"/>
      <c r="AL62" s="3"/>
    </row>
    <row r="63" spans="1:38" x14ac:dyDescent="0.4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x14ac:dyDescent="0.45">
      <c r="A64" s="2" t="s">
        <v>38</v>
      </c>
      <c r="B64" s="3" t="str">
        <f>B1</f>
        <v>CNYA</v>
      </c>
      <c r="C64" s="3" t="str">
        <f t="shared" ref="C64:V64" si="0">C1</f>
        <v>ECH</v>
      </c>
      <c r="D64" s="3" t="str">
        <f t="shared" si="0"/>
        <v>EIDO</v>
      </c>
      <c r="E64" s="3" t="str">
        <f t="shared" si="0"/>
        <v>EPHE</v>
      </c>
      <c r="F64" s="3" t="str">
        <f t="shared" si="0"/>
        <v>EPOL</v>
      </c>
      <c r="G64" s="3" t="str">
        <f t="shared" si="0"/>
        <v>EPU</v>
      </c>
      <c r="H64" s="3" t="str">
        <f t="shared" si="0"/>
        <v>EWM</v>
      </c>
      <c r="I64" s="3" t="str">
        <f t="shared" si="0"/>
        <v>EWT</v>
      </c>
      <c r="J64" s="3" t="str">
        <f t="shared" si="0"/>
        <v>EWW</v>
      </c>
      <c r="K64" s="3" t="str">
        <f t="shared" si="0"/>
        <v>EWY</v>
      </c>
      <c r="L64" s="3" t="str">
        <f t="shared" si="0"/>
        <v>EWZ</v>
      </c>
      <c r="M64" s="3" t="str">
        <f t="shared" si="0"/>
        <v>EZA</v>
      </c>
      <c r="N64" s="3" t="str">
        <f t="shared" si="0"/>
        <v>GREK</v>
      </c>
      <c r="O64" s="3" t="str">
        <f t="shared" si="0"/>
        <v>INDA</v>
      </c>
      <c r="P64" s="3" t="str">
        <f t="shared" si="0"/>
        <v>MCHI</v>
      </c>
      <c r="Q64" s="3" t="str">
        <f t="shared" si="0"/>
        <v>QAT</v>
      </c>
      <c r="R64" s="3" t="str">
        <f t="shared" si="0"/>
        <v>SET-BKK</v>
      </c>
      <c r="S64" s="3" t="str">
        <f t="shared" si="0"/>
        <v>TUR</v>
      </c>
      <c r="T64" s="3" t="str">
        <f t="shared" si="0"/>
        <v>UAE</v>
      </c>
      <c r="U64" s="3" t="str">
        <f t="shared" si="0"/>
        <v>VNM</v>
      </c>
      <c r="V64" s="3" t="str">
        <f t="shared" si="0"/>
        <v>KSA</v>
      </c>
      <c r="W64" s="3" t="str">
        <f t="shared" ref="W64:AI64" si="1">W1</f>
        <v>ENZL</v>
      </c>
      <c r="X64" s="3" t="str">
        <f t="shared" si="1"/>
        <v>EWA</v>
      </c>
      <c r="Y64" s="3" t="str">
        <f t="shared" si="1"/>
        <v>EWC</v>
      </c>
      <c r="Z64" s="3" t="str">
        <f t="shared" si="1"/>
        <v>EWG</v>
      </c>
      <c r="AA64" s="3" t="str">
        <f t="shared" si="1"/>
        <v>EWJ</v>
      </c>
      <c r="AB64" s="3" t="str">
        <f t="shared" si="1"/>
        <v>EWL</v>
      </c>
      <c r="AC64" s="3" t="str">
        <f t="shared" si="1"/>
        <v>EWU</v>
      </c>
      <c r="AD64" s="3" t="str">
        <f t="shared" si="1"/>
        <v>QQQ</v>
      </c>
      <c r="AE64" s="3" t="str">
        <f t="shared" si="1"/>
        <v>SPY</v>
      </c>
      <c r="AF64" s="3" t="str">
        <f t="shared" si="1"/>
        <v>EWQ</v>
      </c>
      <c r="AG64" s="3" t="str">
        <f t="shared" si="1"/>
        <v>EWN</v>
      </c>
      <c r="AH64" s="3" t="str">
        <f t="shared" si="1"/>
        <v>EWD</v>
      </c>
      <c r="AI64" s="3" t="str">
        <f t="shared" si="1"/>
        <v>EWI</v>
      </c>
      <c r="AJ64" s="3"/>
      <c r="AK64" s="3"/>
      <c r="AL64" s="3"/>
    </row>
    <row r="65" spans="1:38" x14ac:dyDescent="0.45">
      <c r="A65" s="2" t="s">
        <v>39</v>
      </c>
      <c r="B65" t="s">
        <v>43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51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43</v>
      </c>
      <c r="Q65" t="s">
        <v>57</v>
      </c>
      <c r="R65" t="s">
        <v>58</v>
      </c>
      <c r="S65" t="s">
        <v>59</v>
      </c>
      <c r="T65" t="s">
        <v>60</v>
      </c>
      <c r="U65" t="s">
        <v>61</v>
      </c>
      <c r="V65" t="s">
        <v>62</v>
      </c>
      <c r="W65" t="s">
        <v>63</v>
      </c>
      <c r="X65" t="s">
        <v>64</v>
      </c>
      <c r="Y65" t="s">
        <v>65</v>
      </c>
      <c r="Z65" t="s">
        <v>66</v>
      </c>
      <c r="AA65" t="s">
        <v>67</v>
      </c>
      <c r="AB65" t="s">
        <v>68</v>
      </c>
      <c r="AC65" t="s">
        <v>69</v>
      </c>
      <c r="AD65" t="s">
        <v>70</v>
      </c>
      <c r="AE65" t="s">
        <v>70</v>
      </c>
      <c r="AF65" t="s">
        <v>71</v>
      </c>
      <c r="AG65" t="s">
        <v>72</v>
      </c>
      <c r="AH65" t="s">
        <v>73</v>
      </c>
      <c r="AI65" t="s">
        <v>74</v>
      </c>
      <c r="AJ65" s="3"/>
      <c r="AK65" s="3"/>
      <c r="AL65" s="3"/>
    </row>
    <row r="66" spans="1:38" x14ac:dyDescent="0.45">
      <c r="A66" s="2" t="s">
        <v>40</v>
      </c>
      <c r="B66" s="3" t="s">
        <v>41</v>
      </c>
      <c r="C66" s="3" t="s">
        <v>41</v>
      </c>
      <c r="D66" s="3" t="s">
        <v>41</v>
      </c>
      <c r="E66" s="3" t="s">
        <v>41</v>
      </c>
      <c r="F66" s="3" t="s">
        <v>41</v>
      </c>
      <c r="G66" s="3" t="s">
        <v>41</v>
      </c>
      <c r="H66" s="3" t="s">
        <v>41</v>
      </c>
      <c r="I66" s="3" t="s">
        <v>41</v>
      </c>
      <c r="J66" s="3" t="s">
        <v>41</v>
      </c>
      <c r="K66" s="3" t="s">
        <v>41</v>
      </c>
      <c r="L66" s="3" t="s">
        <v>41</v>
      </c>
      <c r="M66" s="3" t="s">
        <v>41</v>
      </c>
      <c r="N66" s="3" t="s">
        <v>41</v>
      </c>
      <c r="O66" s="3" t="s">
        <v>41</v>
      </c>
      <c r="P66" s="3" t="s">
        <v>41</v>
      </c>
      <c r="Q66" s="3" t="s">
        <v>41</v>
      </c>
      <c r="R66" s="3" t="s">
        <v>41</v>
      </c>
      <c r="S66" s="3" t="s">
        <v>41</v>
      </c>
      <c r="T66" s="3" t="s">
        <v>41</v>
      </c>
      <c r="U66" s="3" t="s">
        <v>41</v>
      </c>
      <c r="V66" s="3" t="s">
        <v>41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42</v>
      </c>
      <c r="AI66" s="3" t="s">
        <v>42</v>
      </c>
      <c r="AJ66" s="3"/>
      <c r="AK66" s="3"/>
      <c r="AL66" s="3"/>
    </row>
    <row r="67" spans="1:38" x14ac:dyDescent="0.45">
      <c r="A67" s="2" t="s">
        <v>75</v>
      </c>
      <c r="B67" s="3">
        <f>B62</f>
        <v>5.0013065000000002E-2</v>
      </c>
      <c r="C67" s="3">
        <f t="shared" ref="C67:AI67" si="2">C62</f>
        <v>0.12190437</v>
      </c>
      <c r="D67" s="3">
        <f t="shared" si="2"/>
        <v>1.6115546000000001E-2</v>
      </c>
      <c r="E67" s="3">
        <f t="shared" si="2"/>
        <v>6.9425464000000006E-2</v>
      </c>
      <c r="F67" s="3">
        <f t="shared" si="2"/>
        <v>0.10526191999999999</v>
      </c>
      <c r="G67" s="3">
        <f t="shared" si="2"/>
        <v>0.15533137</v>
      </c>
      <c r="H67" s="3">
        <f t="shared" si="2"/>
        <v>5.602145E-2</v>
      </c>
      <c r="I67" s="3">
        <f t="shared" si="2"/>
        <v>4.4001936999999998E-2</v>
      </c>
      <c r="J67" s="3">
        <f t="shared" si="2"/>
        <v>4.6764134999999998E-2</v>
      </c>
      <c r="K67" s="3">
        <f t="shared" si="2"/>
        <v>0.14668666999999999</v>
      </c>
      <c r="L67" s="3">
        <f t="shared" si="2"/>
        <v>4.0032386999999996E-2</v>
      </c>
      <c r="M67" s="3">
        <f t="shared" si="2"/>
        <v>0.1177361</v>
      </c>
      <c r="N67" s="3">
        <f t="shared" si="2"/>
        <v>5.4917930000000004E-2</v>
      </c>
      <c r="O67" s="3">
        <f t="shared" si="2"/>
        <v>1.2057304E-2</v>
      </c>
      <c r="P67" s="3">
        <f t="shared" si="2"/>
        <v>1.3287782999999999E-2</v>
      </c>
      <c r="Q67" s="3">
        <f t="shared" si="2"/>
        <v>2.945447E-2</v>
      </c>
      <c r="R67" s="3">
        <f t="shared" si="2"/>
        <v>-6.1757565000000007E-3</v>
      </c>
      <c r="S67" s="3">
        <f t="shared" si="2"/>
        <v>7.8158140000000001E-2</v>
      </c>
      <c r="T67" s="3">
        <f t="shared" si="2"/>
        <v>3.9955497E-2</v>
      </c>
      <c r="U67" s="3">
        <f t="shared" si="2"/>
        <v>3.3623338000000003E-2</v>
      </c>
      <c r="V67" s="3">
        <f t="shared" si="2"/>
        <v>2.1082163000000001E-3</v>
      </c>
      <c r="W67" s="3">
        <f t="shared" si="2"/>
        <v>1.4690161E-2</v>
      </c>
      <c r="X67" s="3">
        <f t="shared" si="2"/>
        <v>2.2220970000000003E-2</v>
      </c>
      <c r="Y67" s="3">
        <f t="shared" si="2"/>
        <v>3.7737130000000001E-2</v>
      </c>
      <c r="Z67" s="3">
        <f t="shared" si="2"/>
        <v>4.7653675E-2</v>
      </c>
      <c r="AA67" s="3">
        <f t="shared" si="2"/>
        <v>3.3747791999999999E-2</v>
      </c>
      <c r="AB67" s="3">
        <f t="shared" si="2"/>
        <v>4.2416929999999999E-2</v>
      </c>
      <c r="AC67" s="3">
        <f t="shared" si="2"/>
        <v>5.5371284E-2</v>
      </c>
      <c r="AD67" s="3">
        <f t="shared" si="2"/>
        <v>-4.8285126999999999E-3</v>
      </c>
      <c r="AE67" s="3">
        <f t="shared" si="2"/>
        <v>1.1555195000000001E-2</v>
      </c>
      <c r="AF67" s="3">
        <f t="shared" si="2"/>
        <v>2.3308395999999999E-2</v>
      </c>
      <c r="AG67" s="3">
        <f t="shared" si="2"/>
        <v>4.6928406000000006E-2</v>
      </c>
      <c r="AH67" s="3">
        <f t="shared" si="2"/>
        <v>5.1792382999999997E-2</v>
      </c>
      <c r="AI67" s="3">
        <f t="shared" si="2"/>
        <v>5.6321025000000004E-2</v>
      </c>
      <c r="AJ67" s="3"/>
      <c r="AK67" s="3"/>
      <c r="AL67" s="3"/>
    </row>
    <row r="68" spans="1:38" x14ac:dyDescent="0.45">
      <c r="A68" t="s">
        <v>35</v>
      </c>
      <c r="B68" s="4">
        <f t="shared" ref="B68:AI68" si="3">AVERAGE(_xlfn.ANCHORARRAY(B2))</f>
        <v>1.9096118640983602E-3</v>
      </c>
      <c r="C68" s="4">
        <f t="shared" si="3"/>
        <v>1.3143106701639342E-2</v>
      </c>
      <c r="D68" s="4">
        <f t="shared" si="3"/>
        <v>9.4659834754098296E-4</v>
      </c>
      <c r="E68" s="4">
        <f t="shared" si="3"/>
        <v>-9.5549171196721309E-4</v>
      </c>
      <c r="F68" s="4">
        <f t="shared" si="3"/>
        <v>1.7219900863934427E-2</v>
      </c>
      <c r="G68" s="4">
        <f t="shared" si="3"/>
        <v>1.9232464392622949E-2</v>
      </c>
      <c r="H68" s="4">
        <f t="shared" si="3"/>
        <v>3.4102905737704897E-3</v>
      </c>
      <c r="I68" s="4">
        <f t="shared" si="3"/>
        <v>1.2348325687704916E-2</v>
      </c>
      <c r="J68" s="4">
        <f t="shared" si="3"/>
        <v>1.2789564847540985E-2</v>
      </c>
      <c r="K68" s="4">
        <f t="shared" si="3"/>
        <v>8.688140483934426E-3</v>
      </c>
      <c r="L68" s="4">
        <f t="shared" si="3"/>
        <v>7.8315571360655731E-3</v>
      </c>
      <c r="M68" s="4">
        <f t="shared" si="3"/>
        <v>1.4190617108196725E-2</v>
      </c>
      <c r="N68" s="4">
        <f t="shared" si="3"/>
        <v>2.1546442875409834E-2</v>
      </c>
      <c r="O68" s="4">
        <f t="shared" si="3"/>
        <v>7.621166103278689E-3</v>
      </c>
      <c r="P68" s="4">
        <f t="shared" si="3"/>
        <v>1.1680013583606592E-3</v>
      </c>
      <c r="Q68" s="4">
        <f t="shared" si="3"/>
        <v>4.8266402950819676E-3</v>
      </c>
      <c r="R68" s="4">
        <f t="shared" si="3"/>
        <v>-1.8422290459016394E-3</v>
      </c>
      <c r="S68" s="4">
        <f t="shared" si="3"/>
        <v>1.4105999837704917E-2</v>
      </c>
      <c r="T68" s="4">
        <f t="shared" si="3"/>
        <v>1.2446439716393446E-2</v>
      </c>
      <c r="U68" s="4">
        <f t="shared" si="3"/>
        <v>6.6806055508196729E-3</v>
      </c>
      <c r="V68" s="4">
        <f t="shared" si="3"/>
        <v>5.8111910295081991E-3</v>
      </c>
      <c r="W68" s="4">
        <f t="shared" si="3"/>
        <v>-2.8317554008196735E-3</v>
      </c>
      <c r="X68" s="4">
        <f t="shared" si="3"/>
        <v>6.5649716229508204E-3</v>
      </c>
      <c r="Y68" s="4">
        <f t="shared" si="3"/>
        <v>1.1891740163934423E-2</v>
      </c>
      <c r="Z68" s="4">
        <f t="shared" si="3"/>
        <v>9.8736404934426213E-3</v>
      </c>
      <c r="AA68" s="4">
        <f t="shared" si="3"/>
        <v>7.0011657967213115E-3</v>
      </c>
      <c r="AB68" s="4">
        <f t="shared" si="3"/>
        <v>8.3406979344262302E-3</v>
      </c>
      <c r="AC68" s="4">
        <f t="shared" si="3"/>
        <v>1.1305056844262296E-2</v>
      </c>
      <c r="AD68" s="4">
        <f t="shared" si="3"/>
        <v>1.406324271147541E-2</v>
      </c>
      <c r="AE68" s="4">
        <f t="shared" si="3"/>
        <v>1.2484890337868851E-2</v>
      </c>
      <c r="AF68" s="4">
        <f t="shared" si="3"/>
        <v>9.450717090655739E-3</v>
      </c>
      <c r="AG68" s="4">
        <f t="shared" si="3"/>
        <v>1.0691606444262295E-2</v>
      </c>
      <c r="AH68" s="4">
        <f t="shared" si="3"/>
        <v>9.3033638809836075E-3</v>
      </c>
      <c r="AI68" s="4">
        <f t="shared" si="3"/>
        <v>1.571770208852459E-2</v>
      </c>
    </row>
    <row r="69" spans="1:38" x14ac:dyDescent="0.45">
      <c r="A69" t="s">
        <v>21</v>
      </c>
      <c r="B69" s="4">
        <f t="shared" ref="B69:AI69" si="4">STDEV(B40:B62)</f>
        <v>8.5322402537070449E-2</v>
      </c>
      <c r="C69" s="4">
        <f t="shared" si="4"/>
        <v>6.8469356836432085E-2</v>
      </c>
      <c r="D69" s="4">
        <f t="shared" si="4"/>
        <v>7.136014412765615E-2</v>
      </c>
      <c r="E69" s="4">
        <f t="shared" si="4"/>
        <v>5.3818069132426011E-2</v>
      </c>
      <c r="F69" s="4">
        <f t="shared" si="4"/>
        <v>7.7728525993843389E-2</v>
      </c>
      <c r="G69" s="4">
        <f t="shared" si="4"/>
        <v>6.6103936985046199E-2</v>
      </c>
      <c r="H69" s="4">
        <f t="shared" si="4"/>
        <v>4.3539454423417341E-2</v>
      </c>
      <c r="I69" s="4">
        <f t="shared" si="4"/>
        <v>8.0432297722110052E-2</v>
      </c>
      <c r="J69" s="4">
        <f t="shared" si="4"/>
        <v>6.8885591953129266E-2</v>
      </c>
      <c r="K69" s="4">
        <f t="shared" si="4"/>
        <v>7.9075870522575184E-2</v>
      </c>
      <c r="L69" s="4">
        <f t="shared" si="4"/>
        <v>6.2469847330745336E-2</v>
      </c>
      <c r="M69" s="4">
        <f t="shared" si="4"/>
        <v>7.7396030500027163E-2</v>
      </c>
      <c r="N69" s="4">
        <f t="shared" si="4"/>
        <v>5.8398672095190597E-2</v>
      </c>
      <c r="O69" s="4">
        <f t="shared" si="4"/>
        <v>3.367766736769906E-2</v>
      </c>
      <c r="P69" s="4">
        <f t="shared" si="4"/>
        <v>9.8675440690055349E-2</v>
      </c>
      <c r="Q69" s="4">
        <f t="shared" si="4"/>
        <v>3.3709486587212116E-2</v>
      </c>
      <c r="R69" s="4">
        <f t="shared" si="4"/>
        <v>5.727693982806055E-2</v>
      </c>
      <c r="S69" s="4">
        <f t="shared" si="4"/>
        <v>6.2393886813691603E-2</v>
      </c>
      <c r="T69" s="4">
        <f t="shared" si="4"/>
        <v>5.1808402455484223E-2</v>
      </c>
      <c r="U69" s="4">
        <f t="shared" si="4"/>
        <v>8.8690974544732223E-2</v>
      </c>
      <c r="V69" s="4">
        <f t="shared" si="4"/>
        <v>3.8891734496855436E-2</v>
      </c>
      <c r="W69" s="4">
        <f t="shared" si="4"/>
        <v>3.7683505513673062E-2</v>
      </c>
      <c r="X69" s="4">
        <f t="shared" si="4"/>
        <v>5.6100066521611078E-2</v>
      </c>
      <c r="Y69" s="4">
        <f t="shared" si="4"/>
        <v>4.4226702064440543E-2</v>
      </c>
      <c r="Z69" s="4">
        <f t="shared" si="4"/>
        <v>6.690216946016124E-2</v>
      </c>
      <c r="AA69" s="4">
        <f t="shared" si="4"/>
        <v>5.3729614708573549E-2</v>
      </c>
      <c r="AB69" s="4">
        <f t="shared" si="4"/>
        <v>5.0677186382717079E-2</v>
      </c>
      <c r="AC69" s="4">
        <f t="shared" si="4"/>
        <v>4.8073142228744412E-2</v>
      </c>
      <c r="AD69" s="4">
        <f t="shared" si="4"/>
        <v>6.5636669304001485E-2</v>
      </c>
      <c r="AE69" s="4">
        <f t="shared" si="4"/>
        <v>4.9884286498669626E-2</v>
      </c>
      <c r="AF69" s="4">
        <f t="shared" si="4"/>
        <v>5.7031079014312869E-2</v>
      </c>
      <c r="AG69" s="4">
        <f t="shared" si="4"/>
        <v>6.6605677834266491E-2</v>
      </c>
      <c r="AH69" s="4">
        <f t="shared" si="4"/>
        <v>6.8479061268976099E-2</v>
      </c>
      <c r="AI69" s="4">
        <f t="shared" si="4"/>
        <v>6.8049882787366969E-2</v>
      </c>
    </row>
    <row r="70" spans="1:38" x14ac:dyDescent="0.45">
      <c r="A70" t="s">
        <v>36</v>
      </c>
      <c r="B70" s="3">
        <f>B69*2</f>
        <v>0.1706448050741409</v>
      </c>
      <c r="C70" s="3">
        <f t="shared" ref="C70:AI70" si="5">C69*2</f>
        <v>0.13693871367286417</v>
      </c>
      <c r="D70" s="3">
        <f t="shared" si="5"/>
        <v>0.1427202882553123</v>
      </c>
      <c r="E70" s="3">
        <f t="shared" si="5"/>
        <v>0.10763613826485202</v>
      </c>
      <c r="F70" s="3">
        <f t="shared" si="5"/>
        <v>0.15545705198768678</v>
      </c>
      <c r="G70" s="3">
        <f t="shared" si="5"/>
        <v>0.1322078739700924</v>
      </c>
      <c r="H70" s="3">
        <f t="shared" si="5"/>
        <v>8.7078908846834682E-2</v>
      </c>
      <c r="I70" s="3">
        <f t="shared" si="5"/>
        <v>0.1608645954442201</v>
      </c>
      <c r="J70" s="3">
        <f t="shared" si="5"/>
        <v>0.13777118390625853</v>
      </c>
      <c r="K70" s="3">
        <f t="shared" si="5"/>
        <v>0.15815174104515037</v>
      </c>
      <c r="L70" s="3">
        <f t="shared" si="5"/>
        <v>0.12493969466149067</v>
      </c>
      <c r="M70" s="3">
        <f t="shared" si="5"/>
        <v>0.15479206100005433</v>
      </c>
      <c r="N70" s="3">
        <f t="shared" si="5"/>
        <v>0.11679734419038119</v>
      </c>
      <c r="O70" s="3">
        <f t="shared" si="5"/>
        <v>6.735533473539812E-2</v>
      </c>
      <c r="P70" s="3">
        <f t="shared" si="5"/>
        <v>0.1973508813801107</v>
      </c>
      <c r="Q70" s="3">
        <f t="shared" si="5"/>
        <v>6.7418973174424232E-2</v>
      </c>
      <c r="R70" s="3">
        <f t="shared" si="5"/>
        <v>0.1145538796561211</v>
      </c>
      <c r="S70" s="3">
        <f t="shared" si="5"/>
        <v>0.12478777362738321</v>
      </c>
      <c r="T70" s="3">
        <f t="shared" si="5"/>
        <v>0.10361680491096845</v>
      </c>
      <c r="U70" s="3">
        <f t="shared" si="5"/>
        <v>0.17738194908946445</v>
      </c>
      <c r="V70" s="3">
        <f t="shared" si="5"/>
        <v>7.7783468993710872E-2</v>
      </c>
      <c r="W70" s="3">
        <f t="shared" si="5"/>
        <v>7.5367011027346123E-2</v>
      </c>
      <c r="X70" s="3">
        <f t="shared" si="5"/>
        <v>0.11220013304322216</v>
      </c>
      <c r="Y70" s="3">
        <f t="shared" si="5"/>
        <v>8.8453404128881086E-2</v>
      </c>
      <c r="Z70" s="3">
        <f t="shared" si="5"/>
        <v>0.13380433892032248</v>
      </c>
      <c r="AA70" s="3">
        <f t="shared" si="5"/>
        <v>0.1074592294171471</v>
      </c>
      <c r="AB70" s="3">
        <f t="shared" si="5"/>
        <v>0.10135437276543416</v>
      </c>
      <c r="AC70" s="3">
        <f t="shared" si="5"/>
        <v>9.6146284457488823E-2</v>
      </c>
      <c r="AD70" s="3">
        <f t="shared" si="5"/>
        <v>0.13127333860800297</v>
      </c>
      <c r="AE70" s="3">
        <f t="shared" si="5"/>
        <v>9.9768572997339253E-2</v>
      </c>
      <c r="AF70" s="3">
        <f t="shared" si="5"/>
        <v>0.11406215802862574</v>
      </c>
      <c r="AG70" s="3">
        <f t="shared" si="5"/>
        <v>0.13321135566853298</v>
      </c>
      <c r="AH70" s="3">
        <f t="shared" si="5"/>
        <v>0.1369581225379522</v>
      </c>
      <c r="AI70" s="3">
        <f t="shared" si="5"/>
        <v>0.13609976557473394</v>
      </c>
    </row>
    <row r="71" spans="1:38" x14ac:dyDescent="0.45">
      <c r="A71" t="s">
        <v>79</v>
      </c>
      <c r="B71">
        <f>PRICE_DATA!B2</f>
        <v>35.49</v>
      </c>
      <c r="C71">
        <f>PRICE_DATA!C2</f>
        <v>42.75</v>
      </c>
      <c r="D71">
        <f>PRICE_DATA!D2</f>
        <v>18.989999999999998</v>
      </c>
      <c r="E71">
        <f>PRICE_DATA!E2</f>
        <v>26.08</v>
      </c>
      <c r="F71">
        <f>PRICE_DATA!F2</f>
        <v>35.82</v>
      </c>
      <c r="G71">
        <f>PRICE_DATA!G2</f>
        <v>76.55</v>
      </c>
      <c r="H71">
        <f>PRICE_DATA!H2</f>
        <v>27.36</v>
      </c>
      <c r="I71">
        <f>PRICE_DATA!I2</f>
        <v>65.44</v>
      </c>
      <c r="J71">
        <f>PRICE_DATA!J2</f>
        <v>70.48</v>
      </c>
      <c r="K71">
        <f>PRICE_DATA!K2</f>
        <v>106.59</v>
      </c>
      <c r="L71">
        <f>PRICE_DATA!L2</f>
        <v>32.880000000000003</v>
      </c>
      <c r="M71">
        <f>PRICE_DATA!M2</f>
        <v>70.34</v>
      </c>
      <c r="N71">
        <f>PRICE_DATA!N2</f>
        <v>69.19</v>
      </c>
      <c r="O71">
        <f>PRICE_DATA!O2</f>
        <v>53.72</v>
      </c>
      <c r="P71">
        <f>PRICE_DATA!P2</f>
        <v>62.28</v>
      </c>
      <c r="Q71">
        <f>PRICE_DATA!Q2</f>
        <v>19.28</v>
      </c>
      <c r="R71">
        <f>PRICE_DATA!R2</f>
        <v>1253.5999999999999</v>
      </c>
      <c r="S71">
        <f>PRICE_DATA!S2</f>
        <v>36.729999999999997</v>
      </c>
      <c r="T71">
        <f>PRICE_DATA!T2</f>
        <v>19.649999999999999</v>
      </c>
      <c r="U71">
        <f>PRICE_DATA!U2</f>
        <v>19.309999999999999</v>
      </c>
      <c r="V71">
        <f>PRICE_DATA!V2</f>
        <v>36.82</v>
      </c>
      <c r="W71">
        <f>PRICE_DATA!W2</f>
        <v>46.115000000000002</v>
      </c>
      <c r="X71">
        <f>PRICE_DATA!X2</f>
        <v>26.37</v>
      </c>
      <c r="Y71">
        <f>PRICE_DATA!Y2</f>
        <v>54.46</v>
      </c>
      <c r="Z71">
        <f>PRICE_DATA!Z2</f>
        <v>43.31</v>
      </c>
      <c r="AA71">
        <f>PRICE_DATA!AA2</f>
        <v>82.86</v>
      </c>
      <c r="AB71">
        <f>PRICE_DATA!AB2</f>
        <v>60.21</v>
      </c>
      <c r="AC71">
        <f>PRICE_DATA!AC2</f>
        <v>44.6</v>
      </c>
      <c r="AD71">
        <f>PRICE_DATA!AD2</f>
        <v>620.47</v>
      </c>
      <c r="AE71">
        <f>PRICE_DATA!AE2</f>
        <v>689.51</v>
      </c>
      <c r="AF71">
        <f>PRICE_DATA!AF2</f>
        <v>45.46</v>
      </c>
      <c r="AG71">
        <f>PRICE_DATA!AG2</f>
        <v>59.21</v>
      </c>
      <c r="AH71">
        <f>PRICE_DATA!AH2</f>
        <v>50.28</v>
      </c>
      <c r="AI71">
        <f>PRICE_DATA!AI2</f>
        <v>55.24</v>
      </c>
    </row>
    <row r="72" spans="1:38" x14ac:dyDescent="0.45">
      <c r="A72" t="s">
        <v>80</v>
      </c>
      <c r="B72" s="7">
        <f>PRICE_DATA!B204</f>
        <v>31.140807960198998</v>
      </c>
      <c r="C72" s="7">
        <f>PRICE_DATA!C204</f>
        <v>33.238383084577116</v>
      </c>
      <c r="D72" s="7">
        <f>PRICE_DATA!D204</f>
        <v>17.835422885572136</v>
      </c>
      <c r="E72" s="7">
        <f>PRICE_DATA!E204</f>
        <v>25.896045771144291</v>
      </c>
      <c r="F72" s="7">
        <f>PRICE_DATA!F204</f>
        <v>31.990497512437816</v>
      </c>
      <c r="G72" s="7">
        <f>PRICE_DATA!G204</f>
        <v>54.631153233830851</v>
      </c>
      <c r="H72" s="7">
        <f>PRICE_DATA!H204</f>
        <v>25.002736318407965</v>
      </c>
      <c r="I72" s="7">
        <f>PRICE_DATA!I204</f>
        <v>58.538507462686546</v>
      </c>
      <c r="J72" s="7">
        <f>PRICE_DATA!J204</f>
        <v>62.436965174129369</v>
      </c>
      <c r="K72" s="7">
        <f>PRICE_DATA!K204</f>
        <v>75.619203980099485</v>
      </c>
      <c r="L72" s="7">
        <f>PRICE_DATA!L204</f>
        <v>29.104925373134311</v>
      </c>
      <c r="M72" s="7">
        <f>PRICE_DATA!M204</f>
        <v>57.994278606965139</v>
      </c>
      <c r="N72" s="7">
        <f>PRICE_DATA!N204</f>
        <v>59.995632835820878</v>
      </c>
      <c r="O72" s="7">
        <f>PRICE_DATA!O204</f>
        <v>53.557437810945295</v>
      </c>
      <c r="P72" s="7">
        <f>PRICE_DATA!P204</f>
        <v>58.678980099502553</v>
      </c>
      <c r="Q72" s="7">
        <f>PRICE_DATA!Q204</f>
        <v>18.988556218905472</v>
      </c>
      <c r="R72" s="7">
        <f>PRICE_DATA!R204</f>
        <v>1219.7532835820887</v>
      </c>
      <c r="S72" s="7">
        <f>PRICE_DATA!S204</f>
        <v>33.159874626865637</v>
      </c>
      <c r="T72" s="7">
        <f>PRICE_DATA!T204</f>
        <v>18.838888557213938</v>
      </c>
      <c r="U72" s="7">
        <f>PRICE_DATA!U204</f>
        <v>15.907139303482582</v>
      </c>
      <c r="V72" s="7">
        <f>PRICE_DATA!V204</f>
        <v>38.660199004975127</v>
      </c>
      <c r="W72" s="7">
        <f>PRICE_DATA!W204</f>
        <v>45.114503980099464</v>
      </c>
      <c r="X72" s="7">
        <f>PRICE_DATA!X204</f>
        <v>25.97547263681594</v>
      </c>
      <c r="Y72" s="7">
        <f>PRICE_DATA!Y204</f>
        <v>47.638208955223909</v>
      </c>
      <c r="Z72" s="7">
        <f>PRICE_DATA!Z204</f>
        <v>41.030049751243816</v>
      </c>
      <c r="AA72" s="7">
        <f>PRICE_DATA!AA204</f>
        <v>76.889452736318432</v>
      </c>
      <c r="AB72" s="7">
        <f>PRICE_DATA!AB204</f>
        <v>55.26815920398014</v>
      </c>
      <c r="AC72" s="7">
        <f>PRICE_DATA!AC204</f>
        <v>40.756069651741285</v>
      </c>
      <c r="AD72" s="7">
        <f>PRICE_DATA!AD204</f>
        <v>560.91064676616907</v>
      </c>
      <c r="AE72" s="7">
        <f>PRICE_DATA!AE204</f>
        <v>629.68154228855713</v>
      </c>
      <c r="AF72" s="7">
        <f>PRICE_DATA!AF204</f>
        <v>42.97432835820895</v>
      </c>
      <c r="AG72" s="7">
        <f>PRICE_DATA!AG204</f>
        <v>54.157907960199019</v>
      </c>
      <c r="AH72" s="7">
        <f>PRICE_DATA!AH204</f>
        <v>46.061990049751238</v>
      </c>
      <c r="AI72" s="7">
        <f>PRICE_DATA!AI204</f>
        <v>49.257363184079594</v>
      </c>
    </row>
    <row r="73" spans="1:38" x14ac:dyDescent="0.45">
      <c r="A73" t="s">
        <v>76</v>
      </c>
      <c r="B73">
        <f>IF(B67&gt;B68+B70,1,0)</f>
        <v>0</v>
      </c>
      <c r="C73">
        <f t="shared" ref="C73:AI73" si="6">IF(C67&gt;C68+C70,1,0)</f>
        <v>0</v>
      </c>
      <c r="D73">
        <f t="shared" si="6"/>
        <v>0</v>
      </c>
      <c r="E73">
        <f t="shared" si="6"/>
        <v>0</v>
      </c>
      <c r="F73">
        <f t="shared" si="6"/>
        <v>0</v>
      </c>
      <c r="G73">
        <f t="shared" si="6"/>
        <v>1</v>
      </c>
      <c r="H73">
        <f t="shared" si="6"/>
        <v>0</v>
      </c>
      <c r="I73">
        <f t="shared" si="6"/>
        <v>0</v>
      </c>
      <c r="J73">
        <f t="shared" si="6"/>
        <v>0</v>
      </c>
      <c r="K73">
        <f t="shared" si="6"/>
        <v>0</v>
      </c>
      <c r="L73">
        <f t="shared" si="6"/>
        <v>0</v>
      </c>
      <c r="M73">
        <f t="shared" si="6"/>
        <v>0</v>
      </c>
      <c r="N73">
        <f t="shared" si="6"/>
        <v>0</v>
      </c>
      <c r="O73">
        <f t="shared" si="6"/>
        <v>0</v>
      </c>
      <c r="P73">
        <f t="shared" si="6"/>
        <v>0</v>
      </c>
      <c r="Q73">
        <f t="shared" si="6"/>
        <v>0</v>
      </c>
      <c r="R73">
        <f t="shared" si="6"/>
        <v>0</v>
      </c>
      <c r="S73">
        <f t="shared" si="6"/>
        <v>0</v>
      </c>
      <c r="T73">
        <f t="shared" si="6"/>
        <v>0</v>
      </c>
      <c r="U73">
        <f t="shared" si="6"/>
        <v>0</v>
      </c>
      <c r="V73">
        <f t="shared" si="6"/>
        <v>0</v>
      </c>
      <c r="W73">
        <f t="shared" si="6"/>
        <v>0</v>
      </c>
      <c r="X73">
        <f t="shared" si="6"/>
        <v>0</v>
      </c>
      <c r="Y73">
        <f t="shared" si="6"/>
        <v>0</v>
      </c>
      <c r="Z73">
        <f t="shared" si="6"/>
        <v>0</v>
      </c>
      <c r="AA73">
        <f t="shared" si="6"/>
        <v>0</v>
      </c>
      <c r="AB73">
        <f t="shared" si="6"/>
        <v>0</v>
      </c>
      <c r="AC73">
        <f t="shared" si="6"/>
        <v>0</v>
      </c>
      <c r="AD73">
        <f t="shared" si="6"/>
        <v>0</v>
      </c>
      <c r="AE73">
        <f t="shared" si="6"/>
        <v>0</v>
      </c>
      <c r="AF73">
        <f t="shared" si="6"/>
        <v>0</v>
      </c>
      <c r="AG73">
        <f t="shared" si="6"/>
        <v>0</v>
      </c>
      <c r="AH73">
        <f t="shared" si="6"/>
        <v>0</v>
      </c>
      <c r="AI73">
        <f t="shared" si="6"/>
        <v>0</v>
      </c>
    </row>
    <row r="74" spans="1:38" x14ac:dyDescent="0.45">
      <c r="A74" t="s">
        <v>77</v>
      </c>
      <c r="B74">
        <f>IF(B67&lt;B68-B70,1,0)</f>
        <v>0</v>
      </c>
      <c r="C74">
        <f t="shared" ref="C74:AI74" si="7">IF(C67&lt;C68-C70,1,0)</f>
        <v>0</v>
      </c>
      <c r="D74">
        <f t="shared" si="7"/>
        <v>0</v>
      </c>
      <c r="E74">
        <f t="shared" si="7"/>
        <v>0</v>
      </c>
      <c r="F74">
        <f t="shared" si="7"/>
        <v>0</v>
      </c>
      <c r="G74">
        <f t="shared" si="7"/>
        <v>0</v>
      </c>
      <c r="H74">
        <f t="shared" si="7"/>
        <v>0</v>
      </c>
      <c r="I74">
        <f t="shared" si="7"/>
        <v>0</v>
      </c>
      <c r="J74">
        <f t="shared" si="7"/>
        <v>0</v>
      </c>
      <c r="K74">
        <f t="shared" si="7"/>
        <v>0</v>
      </c>
      <c r="L74">
        <f t="shared" si="7"/>
        <v>0</v>
      </c>
      <c r="M74">
        <f t="shared" si="7"/>
        <v>0</v>
      </c>
      <c r="N74">
        <f t="shared" si="7"/>
        <v>0</v>
      </c>
      <c r="O74">
        <f t="shared" si="7"/>
        <v>0</v>
      </c>
      <c r="P74">
        <f t="shared" si="7"/>
        <v>0</v>
      </c>
      <c r="Q74">
        <f t="shared" si="7"/>
        <v>0</v>
      </c>
      <c r="R74">
        <f t="shared" si="7"/>
        <v>0</v>
      </c>
      <c r="S74">
        <f t="shared" si="7"/>
        <v>0</v>
      </c>
      <c r="T74">
        <f t="shared" si="7"/>
        <v>0</v>
      </c>
      <c r="U74">
        <f t="shared" si="7"/>
        <v>0</v>
      </c>
      <c r="V74">
        <f t="shared" si="7"/>
        <v>0</v>
      </c>
      <c r="W74">
        <f t="shared" si="7"/>
        <v>0</v>
      </c>
      <c r="X74">
        <f t="shared" si="7"/>
        <v>0</v>
      </c>
      <c r="Y74">
        <f t="shared" si="7"/>
        <v>0</v>
      </c>
      <c r="Z74">
        <f t="shared" si="7"/>
        <v>0</v>
      </c>
      <c r="AA74">
        <f t="shared" si="7"/>
        <v>0</v>
      </c>
      <c r="AB74">
        <f t="shared" si="7"/>
        <v>0</v>
      </c>
      <c r="AC74">
        <f t="shared" si="7"/>
        <v>0</v>
      </c>
      <c r="AD74">
        <f t="shared" si="7"/>
        <v>0</v>
      </c>
      <c r="AE74">
        <f t="shared" si="7"/>
        <v>0</v>
      </c>
      <c r="AF74">
        <f t="shared" si="7"/>
        <v>0</v>
      </c>
      <c r="AG74">
        <f t="shared" si="7"/>
        <v>0</v>
      </c>
      <c r="AH74">
        <f t="shared" si="7"/>
        <v>0</v>
      </c>
      <c r="AI74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8AEF-C559-4477-90B2-5852D36613B6}">
  <dimension ref="A1:AI204"/>
  <sheetViews>
    <sheetView topLeftCell="A179" workbookViewId="0">
      <selection activeCell="F187" sqref="F187"/>
    </sheetView>
  </sheetViews>
  <sheetFormatPr defaultRowHeight="14.25" x14ac:dyDescent="0.45"/>
  <cols>
    <col min="1" max="1" width="10.796875" customWidth="1"/>
  </cols>
  <sheetData>
    <row r="1" spans="1:3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2" cm="1">
        <f t="array" ref="A2:A202">_xll.FDS(B1,"JULIAN(FG_PRICE(0,-200D).dates)")</f>
        <v>46030</v>
      </c>
      <c r="B2" cm="1">
        <f t="array" ref="B2:B202">_xll.FDS(B1,"FG_PRICE(0,-200D)")</f>
        <v>35.49</v>
      </c>
      <c r="C2" cm="1">
        <f t="array" ref="C2:C202">_xll.FDS(C1,"FG_PRICE(0,-200D)")</f>
        <v>42.75</v>
      </c>
      <c r="D2" cm="1">
        <f t="array" ref="D2:D202">_xll.FDS(D1,"FG_PRICE(0,-200D)")</f>
        <v>18.989999999999998</v>
      </c>
      <c r="E2" cm="1">
        <f t="array" ref="E2:E202">_xll.FDS(E1,"FG_PRICE(0,-200D)")</f>
        <v>26.08</v>
      </c>
      <c r="F2" cm="1">
        <f t="array" ref="F2:F202">_xll.FDS(F1,"FG_PRICE(0,-200D)")</f>
        <v>35.82</v>
      </c>
      <c r="G2" cm="1">
        <f t="array" ref="G2:G202">_xll.FDS(G1,"FG_PRICE(0,-200D)")</f>
        <v>76.55</v>
      </c>
      <c r="H2" cm="1">
        <f t="array" ref="H2:H202">_xll.FDS(H1,"FG_PRICE(0,-200D)")</f>
        <v>27.36</v>
      </c>
      <c r="I2" cm="1">
        <f t="array" ref="I2:I202">_xll.FDS(I1,"FG_PRICE(0,-200D)")</f>
        <v>65.44</v>
      </c>
      <c r="J2" cm="1">
        <f t="array" ref="J2:J202">_xll.FDS(J1,"FG_PRICE(0,-200D)")</f>
        <v>70.48</v>
      </c>
      <c r="K2" cm="1">
        <f t="array" ref="K2:K202">_xll.FDS(K1,"FG_PRICE(0,-200D)")</f>
        <v>106.59</v>
      </c>
      <c r="L2" cm="1">
        <f t="array" ref="L2:L202">_xll.FDS(L1,"FG_PRICE(0,-200D)")</f>
        <v>32.880000000000003</v>
      </c>
      <c r="M2" cm="1">
        <f t="array" ref="M2:M202">_xll.FDS(M1,"FG_PRICE(0,-200D)")</f>
        <v>70.34</v>
      </c>
      <c r="N2" cm="1">
        <f t="array" ref="N2:N202">_xll.FDS(N1,"FG_PRICE(0,-200D)")</f>
        <v>69.19</v>
      </c>
      <c r="O2" cm="1">
        <f t="array" ref="O2:O202">_xll.FDS(O1,"FG_PRICE(0,-200D)")</f>
        <v>53.72</v>
      </c>
      <c r="P2" cm="1">
        <f t="array" ref="P2:P202">_xll.FDS(P1,"FG_PRICE(0,-200D)")</f>
        <v>62.28</v>
      </c>
      <c r="Q2" cm="1">
        <f t="array" ref="Q2:Q202">_xll.FDS(Q1,"FG_PRICE(0,-200D)")</f>
        <v>19.28</v>
      </c>
      <c r="R2" cm="1">
        <f t="array" ref="R2:R202">_xll.FDS(R1,"FG_PRICE(0,-200D)")</f>
        <v>1253.5999999999999</v>
      </c>
      <c r="S2" cm="1">
        <f t="array" ref="S2:S202">_xll.FDS(S1,"FG_PRICE(0,-200D)")</f>
        <v>36.729999999999997</v>
      </c>
      <c r="T2" cm="1">
        <f t="array" ref="T2:T202">_xll.FDS(T1,"FG_PRICE(0,-200D)")</f>
        <v>19.649999999999999</v>
      </c>
      <c r="U2" cm="1">
        <f t="array" ref="U2:U202">_xll.FDS(U1,"FG_PRICE(0,-200D)")</f>
        <v>19.309999999999999</v>
      </c>
      <c r="V2" cm="1">
        <f t="array" ref="V2:V202">_xll.FDS(V1,"FG_PRICE(0,-200D)")</f>
        <v>36.82</v>
      </c>
      <c r="W2" cm="1">
        <f t="array" ref="W2:W202">_xll.FDS(W1,"FG_PRICE(0,-200D)")</f>
        <v>46.115000000000002</v>
      </c>
      <c r="X2" cm="1">
        <f t="array" ref="X2:X202">_xll.FDS(X1,"FG_PRICE(0,-200D)")</f>
        <v>26.37</v>
      </c>
      <c r="Y2" cm="1">
        <f t="array" ref="Y2:Y202">_xll.FDS(Y1,"FG_PRICE(0,-200D)")</f>
        <v>54.46</v>
      </c>
      <c r="Z2" cm="1">
        <f t="array" ref="Z2:Z202">_xll.FDS(Z1,"FG_PRICE(0,-200D)")</f>
        <v>43.31</v>
      </c>
      <c r="AA2" cm="1">
        <f t="array" ref="AA2:AA202">_xll.FDS(AA1,"FG_PRICE(0,-200D)")</f>
        <v>82.86</v>
      </c>
      <c r="AB2" cm="1">
        <f t="array" ref="AB2:AB202">_xll.FDS(AB1,"FG_PRICE(0,-200D)")</f>
        <v>60.21</v>
      </c>
      <c r="AC2" cm="1">
        <f t="array" ref="AC2:AC202">_xll.FDS(AC1,"FG_PRICE(0,-200D)")</f>
        <v>44.6</v>
      </c>
      <c r="AD2" cm="1">
        <f t="array" ref="AD2:AD202">_xll.FDS(AD1,"FG_PRICE(0,-200D)")</f>
        <v>620.47</v>
      </c>
      <c r="AE2" cm="1">
        <f t="array" ref="AE2:AE202">_xll.FDS(AE1,"FG_PRICE(0,-200D)")</f>
        <v>689.51</v>
      </c>
      <c r="AF2" cm="1">
        <f t="array" ref="AF2:AF202">_xll.FDS(AF1,"FG_PRICE(0,-200D)")</f>
        <v>45.46</v>
      </c>
      <c r="AG2" cm="1">
        <f t="array" ref="AG2:AG202">_xll.FDS(AG1,"FG_PRICE(0,-200D)")</f>
        <v>59.21</v>
      </c>
      <c r="AH2" cm="1">
        <f t="array" ref="AH2:AH202">_xll.FDS(AH1,"FG_PRICE(0,-200D)")</f>
        <v>50.28</v>
      </c>
      <c r="AI2" cm="1">
        <f t="array" ref="AI2:AI202">_xll.FDS(AI1,"FG_PRICE(0,-200D)")</f>
        <v>55.24</v>
      </c>
    </row>
    <row r="3" spans="1:35" x14ac:dyDescent="0.45">
      <c r="A3" s="2">
        <v>46029</v>
      </c>
      <c r="B3">
        <v>35.5</v>
      </c>
      <c r="C3">
        <v>42.39</v>
      </c>
      <c r="D3">
        <v>19.03</v>
      </c>
      <c r="E3">
        <v>25.92</v>
      </c>
      <c r="F3">
        <v>36.6</v>
      </c>
      <c r="G3">
        <v>75.42</v>
      </c>
      <c r="H3">
        <v>27.43</v>
      </c>
      <c r="I3">
        <v>65.59</v>
      </c>
      <c r="J3">
        <v>69.92</v>
      </c>
      <c r="K3">
        <v>107.03</v>
      </c>
      <c r="L3">
        <v>32.700000000000003</v>
      </c>
      <c r="M3">
        <v>71.45</v>
      </c>
      <c r="N3">
        <v>67.98</v>
      </c>
      <c r="O3">
        <v>54.2</v>
      </c>
      <c r="P3">
        <v>61.88</v>
      </c>
      <c r="Q3">
        <v>19.405000000000001</v>
      </c>
      <c r="R3">
        <v>1280.82</v>
      </c>
      <c r="S3">
        <v>36.630000000000003</v>
      </c>
      <c r="T3">
        <v>19.649999999999999</v>
      </c>
      <c r="U3">
        <v>19.440000000000001</v>
      </c>
      <c r="V3">
        <v>36.32</v>
      </c>
      <c r="W3">
        <v>46.295000000000002</v>
      </c>
      <c r="X3">
        <v>26.27</v>
      </c>
      <c r="Y3">
        <v>54.01</v>
      </c>
      <c r="Z3">
        <v>43.26</v>
      </c>
      <c r="AA3">
        <v>82.92</v>
      </c>
      <c r="AB3">
        <v>60.31</v>
      </c>
      <c r="AC3">
        <v>44.49</v>
      </c>
      <c r="AD3">
        <v>624.02</v>
      </c>
      <c r="AE3">
        <v>689.58</v>
      </c>
      <c r="AF3">
        <v>45.4</v>
      </c>
      <c r="AG3">
        <v>59.8</v>
      </c>
      <c r="AH3">
        <v>50.87</v>
      </c>
      <c r="AI3">
        <v>54.97</v>
      </c>
    </row>
    <row r="4" spans="1:35" x14ac:dyDescent="0.45">
      <c r="A4" s="2">
        <v>46028</v>
      </c>
      <c r="B4">
        <v>35.64</v>
      </c>
      <c r="C4">
        <v>42.55</v>
      </c>
      <c r="D4">
        <v>19.079999999999998</v>
      </c>
      <c r="E4">
        <v>25.98</v>
      </c>
      <c r="F4">
        <v>36.26</v>
      </c>
      <c r="G4">
        <v>76.709999999999994</v>
      </c>
      <c r="H4">
        <v>27.63</v>
      </c>
      <c r="I4">
        <v>65.83</v>
      </c>
      <c r="J4">
        <v>70.040000000000006</v>
      </c>
      <c r="K4">
        <v>107.61</v>
      </c>
      <c r="L4">
        <v>33.11</v>
      </c>
      <c r="M4">
        <v>72.739999999999995</v>
      </c>
      <c r="N4">
        <v>67.39</v>
      </c>
      <c r="O4">
        <v>54.08</v>
      </c>
      <c r="P4">
        <v>62.71</v>
      </c>
      <c r="Q4">
        <v>19.3551</v>
      </c>
      <c r="R4">
        <v>1274.75</v>
      </c>
      <c r="S4">
        <v>36.770000000000003</v>
      </c>
      <c r="T4">
        <v>19.425000000000001</v>
      </c>
      <c r="U4">
        <v>19.43</v>
      </c>
      <c r="V4">
        <v>37.03</v>
      </c>
      <c r="W4">
        <v>46.147599999999997</v>
      </c>
      <c r="X4">
        <v>26.49</v>
      </c>
      <c r="Y4">
        <v>54.65</v>
      </c>
      <c r="Z4">
        <v>43.13</v>
      </c>
      <c r="AA4">
        <v>83.07</v>
      </c>
      <c r="AB4">
        <v>60.55</v>
      </c>
      <c r="AC4">
        <v>45.05</v>
      </c>
      <c r="AD4">
        <v>623.41999999999996</v>
      </c>
      <c r="AE4">
        <v>691.81</v>
      </c>
      <c r="AF4">
        <v>45.6</v>
      </c>
      <c r="AG4">
        <v>60.44</v>
      </c>
      <c r="AH4">
        <v>50.11</v>
      </c>
      <c r="AI4">
        <v>55.29</v>
      </c>
    </row>
    <row r="5" spans="1:35" x14ac:dyDescent="0.45">
      <c r="A5" s="2">
        <v>46027</v>
      </c>
      <c r="B5">
        <v>35.21</v>
      </c>
      <c r="C5">
        <v>41.6</v>
      </c>
      <c r="D5">
        <v>19.04</v>
      </c>
      <c r="E5">
        <v>25.46</v>
      </c>
      <c r="F5">
        <v>36.17</v>
      </c>
      <c r="G5">
        <v>74.87</v>
      </c>
      <c r="H5">
        <v>27.61</v>
      </c>
      <c r="I5">
        <v>65.3</v>
      </c>
      <c r="J5">
        <v>70.58</v>
      </c>
      <c r="K5">
        <v>104.83</v>
      </c>
      <c r="L5">
        <v>32.79</v>
      </c>
      <c r="M5">
        <v>70.239999999999995</v>
      </c>
      <c r="N5">
        <v>67.61</v>
      </c>
      <c r="O5">
        <v>54.29</v>
      </c>
      <c r="P5">
        <v>62.67</v>
      </c>
      <c r="Q5">
        <v>19.190000000000001</v>
      </c>
      <c r="R5">
        <v>1280.05</v>
      </c>
      <c r="S5">
        <v>35.81</v>
      </c>
      <c r="T5">
        <v>19.22</v>
      </c>
      <c r="U5">
        <v>19.02</v>
      </c>
      <c r="V5">
        <v>36</v>
      </c>
      <c r="W5">
        <v>45.858400000000003</v>
      </c>
      <c r="X5">
        <v>26.61</v>
      </c>
      <c r="Y5">
        <v>54.59</v>
      </c>
      <c r="Z5">
        <v>43.05</v>
      </c>
      <c r="AA5">
        <v>83.13</v>
      </c>
      <c r="AB5">
        <v>60.43</v>
      </c>
      <c r="AC5">
        <v>44.81</v>
      </c>
      <c r="AD5">
        <v>617.99</v>
      </c>
      <c r="AE5">
        <v>687.72</v>
      </c>
      <c r="AF5">
        <v>45.42</v>
      </c>
      <c r="AG5">
        <v>60.14</v>
      </c>
      <c r="AH5">
        <v>50.39</v>
      </c>
      <c r="AI5">
        <v>55.67</v>
      </c>
    </row>
    <row r="6" spans="1:35" x14ac:dyDescent="0.45">
      <c r="A6" s="2">
        <v>46024</v>
      </c>
      <c r="B6">
        <v>34.909999999999997</v>
      </c>
      <c r="C6">
        <v>40.369999999999997</v>
      </c>
      <c r="D6">
        <v>18.809999999999999</v>
      </c>
      <c r="E6">
        <v>25.3</v>
      </c>
      <c r="F6">
        <v>36.25</v>
      </c>
      <c r="G6">
        <v>72.709999999999994</v>
      </c>
      <c r="H6">
        <v>27.42</v>
      </c>
      <c r="I6">
        <v>64.77</v>
      </c>
      <c r="J6">
        <v>69.66</v>
      </c>
      <c r="K6">
        <v>102.22</v>
      </c>
      <c r="L6">
        <v>32.200000000000003</v>
      </c>
      <c r="M6">
        <v>69.400000000000006</v>
      </c>
      <c r="N6">
        <v>67.444599999999994</v>
      </c>
      <c r="O6">
        <v>54.56</v>
      </c>
      <c r="P6">
        <v>62.24</v>
      </c>
      <c r="Q6">
        <v>18.824999999999999</v>
      </c>
      <c r="R6">
        <v>1259.67</v>
      </c>
      <c r="S6">
        <v>34.92</v>
      </c>
      <c r="T6">
        <v>19.2151</v>
      </c>
      <c r="U6">
        <v>19.11</v>
      </c>
      <c r="V6">
        <v>36.770000000000003</v>
      </c>
      <c r="W6">
        <v>45.471899999999998</v>
      </c>
      <c r="X6">
        <v>26.47</v>
      </c>
      <c r="Y6">
        <v>54.19</v>
      </c>
      <c r="Z6">
        <v>42.56</v>
      </c>
      <c r="AA6">
        <v>81.33</v>
      </c>
      <c r="AB6">
        <v>60.34</v>
      </c>
      <c r="AC6">
        <v>44.46</v>
      </c>
      <c r="AD6">
        <v>613.12</v>
      </c>
      <c r="AE6">
        <v>683.17</v>
      </c>
      <c r="AF6">
        <v>45.31</v>
      </c>
      <c r="AG6">
        <v>58.64</v>
      </c>
      <c r="AH6">
        <v>49.6</v>
      </c>
      <c r="AI6">
        <v>55.16</v>
      </c>
    </row>
    <row r="7" spans="1:35" x14ac:dyDescent="0.45">
      <c r="A7" s="2">
        <v>46022</v>
      </c>
      <c r="B7">
        <v>34.58</v>
      </c>
      <c r="C7">
        <v>40.4</v>
      </c>
      <c r="D7">
        <v>18.7</v>
      </c>
      <c r="E7">
        <v>24.92</v>
      </c>
      <c r="F7">
        <v>35.19</v>
      </c>
      <c r="G7">
        <v>72.349999999999994</v>
      </c>
      <c r="H7">
        <v>27.36</v>
      </c>
      <c r="I7">
        <v>63.53</v>
      </c>
      <c r="J7">
        <v>69.33</v>
      </c>
      <c r="K7">
        <v>97.22</v>
      </c>
      <c r="L7">
        <v>31.77</v>
      </c>
      <c r="M7">
        <v>68.8</v>
      </c>
      <c r="N7">
        <v>65.91</v>
      </c>
      <c r="O7">
        <v>54.05</v>
      </c>
      <c r="P7">
        <v>60.07</v>
      </c>
      <c r="Q7">
        <v>18.818300000000001</v>
      </c>
      <c r="R7">
        <v>1254.03</v>
      </c>
      <c r="S7">
        <v>34.42</v>
      </c>
      <c r="T7">
        <v>19.12</v>
      </c>
      <c r="U7">
        <v>19.079999999999998</v>
      </c>
      <c r="V7">
        <v>36.409999999999997</v>
      </c>
      <c r="W7">
        <v>45.271500000000003</v>
      </c>
      <c r="X7">
        <v>26.19</v>
      </c>
      <c r="Y7">
        <v>53.93</v>
      </c>
      <c r="Z7">
        <v>42.5</v>
      </c>
      <c r="AA7">
        <v>80.739999999999995</v>
      </c>
      <c r="AB7">
        <v>59.96</v>
      </c>
      <c r="AC7">
        <v>43.98</v>
      </c>
      <c r="AD7">
        <v>614.30999999999995</v>
      </c>
      <c r="AE7">
        <v>681.92</v>
      </c>
      <c r="AF7">
        <v>44.99</v>
      </c>
      <c r="AG7">
        <v>57.03</v>
      </c>
      <c r="AH7">
        <v>49.23</v>
      </c>
      <c r="AI7">
        <v>54.33</v>
      </c>
    </row>
    <row r="8" spans="1:35" x14ac:dyDescent="0.45">
      <c r="A8" s="2">
        <v>46021</v>
      </c>
      <c r="B8">
        <v>34.590000000000003</v>
      </c>
      <c r="C8">
        <v>40.54</v>
      </c>
      <c r="D8">
        <v>18.670000000000002</v>
      </c>
      <c r="E8">
        <v>25.06</v>
      </c>
      <c r="F8">
        <v>35.159999999999997</v>
      </c>
      <c r="G8">
        <v>72.91</v>
      </c>
      <c r="H8">
        <v>27.57</v>
      </c>
      <c r="I8">
        <v>63.71</v>
      </c>
      <c r="J8">
        <v>69.489999999999995</v>
      </c>
      <c r="K8">
        <v>98.62</v>
      </c>
      <c r="L8">
        <v>31.99</v>
      </c>
      <c r="M8">
        <v>69.23</v>
      </c>
      <c r="N8">
        <v>66.5</v>
      </c>
      <c r="O8">
        <v>53.64</v>
      </c>
      <c r="P8">
        <v>60.58</v>
      </c>
      <c r="Q8">
        <v>18.95</v>
      </c>
      <c r="R8">
        <v>1259.25</v>
      </c>
      <c r="S8">
        <v>34.42</v>
      </c>
      <c r="T8">
        <v>19.05</v>
      </c>
      <c r="U8">
        <v>19.010000000000002</v>
      </c>
      <c r="V8">
        <v>36.049999999999997</v>
      </c>
      <c r="W8">
        <v>45.41</v>
      </c>
      <c r="X8">
        <v>26.41</v>
      </c>
      <c r="Y8">
        <v>54.3</v>
      </c>
      <c r="Z8">
        <v>42.75</v>
      </c>
      <c r="AA8">
        <v>80.98</v>
      </c>
      <c r="AB8">
        <v>60.17</v>
      </c>
      <c r="AC8">
        <v>44.22</v>
      </c>
      <c r="AD8">
        <v>619.42999999999995</v>
      </c>
      <c r="AE8">
        <v>687.01</v>
      </c>
      <c r="AF8">
        <v>45.14</v>
      </c>
      <c r="AG8">
        <v>57.226999999999997</v>
      </c>
      <c r="AH8">
        <v>49.55</v>
      </c>
      <c r="AI8">
        <v>54.59</v>
      </c>
    </row>
    <row r="9" spans="1:35" x14ac:dyDescent="0.45">
      <c r="A9" s="2">
        <v>46020</v>
      </c>
      <c r="B9">
        <v>34.369999999999997</v>
      </c>
      <c r="C9">
        <v>40.15</v>
      </c>
      <c r="D9">
        <v>18.670000000000002</v>
      </c>
      <c r="E9">
        <v>25.09</v>
      </c>
      <c r="F9">
        <v>34.96</v>
      </c>
      <c r="G9">
        <v>71.95</v>
      </c>
      <c r="H9">
        <v>27.53</v>
      </c>
      <c r="I9">
        <v>63.33</v>
      </c>
      <c r="J9">
        <v>70.510000000000005</v>
      </c>
      <c r="K9">
        <v>98.72</v>
      </c>
      <c r="L9">
        <v>31.42</v>
      </c>
      <c r="M9">
        <v>68.430000000000007</v>
      </c>
      <c r="N9">
        <v>68</v>
      </c>
      <c r="O9">
        <v>53.47</v>
      </c>
      <c r="P9">
        <v>60.37</v>
      </c>
      <c r="Q9">
        <v>18.8751</v>
      </c>
      <c r="R9">
        <v>1264.77</v>
      </c>
      <c r="S9">
        <v>34.409999999999997</v>
      </c>
      <c r="T9">
        <v>19.600000000000001</v>
      </c>
      <c r="U9">
        <v>18.920000000000002</v>
      </c>
      <c r="V9">
        <v>36.39</v>
      </c>
      <c r="W9">
        <v>45.41</v>
      </c>
      <c r="X9">
        <v>26.48</v>
      </c>
      <c r="Y9">
        <v>54.33</v>
      </c>
      <c r="Z9">
        <v>42.51</v>
      </c>
      <c r="AA9">
        <v>81.09</v>
      </c>
      <c r="AB9">
        <v>60.35</v>
      </c>
      <c r="AC9">
        <v>44.02</v>
      </c>
      <c r="AD9">
        <v>620.87</v>
      </c>
      <c r="AE9">
        <v>687.85</v>
      </c>
      <c r="AF9">
        <v>44.99</v>
      </c>
      <c r="AG9">
        <v>57</v>
      </c>
      <c r="AH9">
        <v>49.32</v>
      </c>
      <c r="AI9">
        <v>54.16</v>
      </c>
    </row>
    <row r="10" spans="1:35" x14ac:dyDescent="0.45">
      <c r="A10" s="2">
        <v>46017</v>
      </c>
      <c r="B10">
        <v>34.71</v>
      </c>
      <c r="C10">
        <v>40.29</v>
      </c>
      <c r="D10">
        <v>18.47</v>
      </c>
      <c r="E10">
        <v>25.08</v>
      </c>
      <c r="F10">
        <v>35.200000000000003</v>
      </c>
      <c r="G10">
        <v>73.77</v>
      </c>
      <c r="H10">
        <v>27.64</v>
      </c>
      <c r="I10">
        <v>63.02</v>
      </c>
      <c r="J10">
        <v>71.150000000000006</v>
      </c>
      <c r="K10">
        <v>95.84</v>
      </c>
      <c r="L10">
        <v>31.73</v>
      </c>
      <c r="M10">
        <v>70.31</v>
      </c>
      <c r="N10">
        <v>68.61</v>
      </c>
      <c r="O10">
        <v>53.84</v>
      </c>
      <c r="P10">
        <v>61.27</v>
      </c>
      <c r="Q10">
        <v>18.864999999999998</v>
      </c>
      <c r="R10">
        <v>1275.33</v>
      </c>
      <c r="S10">
        <v>34.76</v>
      </c>
      <c r="T10">
        <v>19.54</v>
      </c>
      <c r="U10">
        <v>18.399999999999999</v>
      </c>
      <c r="V10">
        <v>36.57</v>
      </c>
      <c r="W10">
        <v>45.73</v>
      </c>
      <c r="X10">
        <v>26.68</v>
      </c>
      <c r="Y10">
        <v>54.8</v>
      </c>
      <c r="Z10">
        <v>42.65</v>
      </c>
      <c r="AA10">
        <v>80.97</v>
      </c>
      <c r="AB10">
        <v>60.54</v>
      </c>
      <c r="AC10">
        <v>44.24</v>
      </c>
      <c r="AD10">
        <v>623.89</v>
      </c>
      <c r="AE10">
        <v>690.31</v>
      </c>
      <c r="AF10">
        <v>45.18</v>
      </c>
      <c r="AG10">
        <v>57.16</v>
      </c>
      <c r="AH10">
        <v>49.65</v>
      </c>
      <c r="AI10">
        <v>54.62</v>
      </c>
    </row>
    <row r="11" spans="1:35" x14ac:dyDescent="0.45">
      <c r="A11" s="2">
        <v>46015</v>
      </c>
      <c r="B11">
        <v>34.44</v>
      </c>
      <c r="C11">
        <v>40.03</v>
      </c>
      <c r="D11">
        <v>18.45</v>
      </c>
      <c r="E11">
        <v>24.94</v>
      </c>
      <c r="F11">
        <v>35.15</v>
      </c>
      <c r="G11">
        <v>72.739999999999995</v>
      </c>
      <c r="H11">
        <v>27.69</v>
      </c>
      <c r="I11">
        <v>62.53</v>
      </c>
      <c r="J11">
        <v>70.95</v>
      </c>
      <c r="K11">
        <v>94.6</v>
      </c>
      <c r="L11">
        <v>31.55</v>
      </c>
      <c r="M11">
        <v>69.92</v>
      </c>
      <c r="N11">
        <v>68.16</v>
      </c>
      <c r="O11">
        <v>54.01</v>
      </c>
      <c r="P11">
        <v>60.61</v>
      </c>
      <c r="Q11">
        <v>18.96</v>
      </c>
      <c r="R11">
        <v>1271.1099999999999</v>
      </c>
      <c r="S11">
        <v>34.869999999999997</v>
      </c>
      <c r="T11">
        <v>19.52</v>
      </c>
      <c r="U11">
        <v>19.010000000000002</v>
      </c>
      <c r="V11">
        <v>36.6</v>
      </c>
      <c r="W11">
        <v>45.74</v>
      </c>
      <c r="X11">
        <v>26.6</v>
      </c>
      <c r="Y11">
        <v>54.6</v>
      </c>
      <c r="Z11">
        <v>42.57</v>
      </c>
      <c r="AA11">
        <v>81</v>
      </c>
      <c r="AB11">
        <v>60.53</v>
      </c>
      <c r="AC11">
        <v>44.08</v>
      </c>
      <c r="AD11">
        <v>623.92999999999995</v>
      </c>
      <c r="AE11">
        <v>690.38</v>
      </c>
      <c r="AF11">
        <v>44.98</v>
      </c>
      <c r="AG11">
        <v>57.1</v>
      </c>
      <c r="AH11">
        <v>49.31</v>
      </c>
      <c r="AI11">
        <v>54.56</v>
      </c>
    </row>
    <row r="12" spans="1:35" x14ac:dyDescent="0.45">
      <c r="A12" s="2">
        <v>46014</v>
      </c>
      <c r="B12">
        <v>34.31</v>
      </c>
      <c r="C12">
        <v>39.92</v>
      </c>
      <c r="D12">
        <v>18.559999999999999</v>
      </c>
      <c r="E12">
        <v>24.93</v>
      </c>
      <c r="F12">
        <v>34.99</v>
      </c>
      <c r="G12">
        <v>72.78</v>
      </c>
      <c r="H12">
        <v>27.53</v>
      </c>
      <c r="I12">
        <v>62.5</v>
      </c>
      <c r="J12">
        <v>71.040000000000006</v>
      </c>
      <c r="K12">
        <v>92.7</v>
      </c>
      <c r="L12">
        <v>31.65</v>
      </c>
      <c r="M12">
        <v>69.540000000000006</v>
      </c>
      <c r="N12">
        <v>68.209999999999994</v>
      </c>
      <c r="O12">
        <v>54.47</v>
      </c>
      <c r="P12">
        <v>60.67</v>
      </c>
      <c r="Q12">
        <v>18.930199999999999</v>
      </c>
      <c r="R12">
        <v>1269.68</v>
      </c>
      <c r="S12">
        <v>34.814999999999998</v>
      </c>
      <c r="T12">
        <v>19.559999999999999</v>
      </c>
      <c r="U12">
        <v>19.079999999999998</v>
      </c>
      <c r="V12">
        <v>36.76</v>
      </c>
      <c r="W12">
        <v>45.54</v>
      </c>
      <c r="X12">
        <v>26.61</v>
      </c>
      <c r="Y12">
        <v>54.54</v>
      </c>
      <c r="Z12">
        <v>42.44</v>
      </c>
      <c r="AA12">
        <v>81.14</v>
      </c>
      <c r="AB12">
        <v>60.4</v>
      </c>
      <c r="AC12">
        <v>43.98</v>
      </c>
      <c r="AD12">
        <v>622.11</v>
      </c>
      <c r="AE12">
        <v>687.96</v>
      </c>
      <c r="AF12">
        <v>44.9</v>
      </c>
      <c r="AG12">
        <v>56.84</v>
      </c>
      <c r="AH12">
        <v>49.21</v>
      </c>
      <c r="AI12">
        <v>54.4</v>
      </c>
    </row>
    <row r="13" spans="1:35" x14ac:dyDescent="0.45">
      <c r="A13" s="2">
        <v>46013</v>
      </c>
      <c r="B13">
        <v>34.24</v>
      </c>
      <c r="C13">
        <v>39.79</v>
      </c>
      <c r="D13">
        <v>18.68</v>
      </c>
      <c r="E13">
        <v>24.96</v>
      </c>
      <c r="F13">
        <v>35.200000000000003</v>
      </c>
      <c r="G13">
        <v>72.08</v>
      </c>
      <c r="H13">
        <v>27.41</v>
      </c>
      <c r="I13">
        <v>61.98</v>
      </c>
      <c r="J13">
        <v>69.95</v>
      </c>
      <c r="K13">
        <v>91.75</v>
      </c>
      <c r="L13">
        <v>30.97</v>
      </c>
      <c r="M13">
        <v>68.790000000000006</v>
      </c>
      <c r="N13">
        <v>68.39</v>
      </c>
      <c r="O13">
        <v>54.19</v>
      </c>
      <c r="P13">
        <v>60.89</v>
      </c>
      <c r="Q13">
        <v>18.839600000000001</v>
      </c>
      <c r="R13">
        <v>1252.19</v>
      </c>
      <c r="S13">
        <v>34.61</v>
      </c>
      <c r="T13">
        <v>19.45</v>
      </c>
      <c r="U13">
        <v>18.61</v>
      </c>
      <c r="V13">
        <v>36.549999999999997</v>
      </c>
      <c r="W13">
        <v>45.18</v>
      </c>
      <c r="X13">
        <v>26.15</v>
      </c>
      <c r="Y13">
        <v>54.17</v>
      </c>
      <c r="Z13">
        <v>42.34</v>
      </c>
      <c r="AA13">
        <v>80.459999999999994</v>
      </c>
      <c r="AB13">
        <v>59.93</v>
      </c>
      <c r="AC13">
        <v>43.79</v>
      </c>
      <c r="AD13">
        <v>619.21</v>
      </c>
      <c r="AE13">
        <v>684.83</v>
      </c>
      <c r="AF13">
        <v>44.96</v>
      </c>
      <c r="AG13">
        <v>57.01</v>
      </c>
      <c r="AH13">
        <v>48.8</v>
      </c>
      <c r="AI13">
        <v>54.24</v>
      </c>
    </row>
    <row r="14" spans="1:35" x14ac:dyDescent="0.45">
      <c r="A14" s="2">
        <v>46010</v>
      </c>
      <c r="B14">
        <v>33.89</v>
      </c>
      <c r="C14">
        <v>39.31</v>
      </c>
      <c r="D14">
        <v>18.579999999999998</v>
      </c>
      <c r="E14">
        <v>24.66</v>
      </c>
      <c r="F14">
        <v>34.78</v>
      </c>
      <c r="G14">
        <v>71.2</v>
      </c>
      <c r="H14">
        <v>27.2</v>
      </c>
      <c r="I14">
        <v>61.64</v>
      </c>
      <c r="J14">
        <v>68.849999999999994</v>
      </c>
      <c r="K14">
        <v>91.34</v>
      </c>
      <c r="L14">
        <v>31.17</v>
      </c>
      <c r="M14">
        <v>67.599999999999994</v>
      </c>
      <c r="N14">
        <v>67.25</v>
      </c>
      <c r="O14">
        <v>54.15</v>
      </c>
      <c r="P14">
        <v>60.63</v>
      </c>
      <c r="Q14">
        <v>18.774999999999999</v>
      </c>
      <c r="R14">
        <v>1250.07</v>
      </c>
      <c r="S14">
        <v>34.86</v>
      </c>
      <c r="T14">
        <v>19.25</v>
      </c>
      <c r="U14">
        <v>18.39</v>
      </c>
      <c r="V14">
        <v>36.36</v>
      </c>
      <c r="W14">
        <v>44.82</v>
      </c>
      <c r="X14">
        <v>25.88</v>
      </c>
      <c r="Y14">
        <v>53.68</v>
      </c>
      <c r="Z14">
        <v>42.1</v>
      </c>
      <c r="AA14">
        <v>80.58</v>
      </c>
      <c r="AB14">
        <v>59.57</v>
      </c>
      <c r="AC14">
        <v>43.54</v>
      </c>
      <c r="AD14">
        <v>617.04999999999995</v>
      </c>
      <c r="AE14">
        <v>680.59</v>
      </c>
      <c r="AF14">
        <v>44.91</v>
      </c>
      <c r="AG14">
        <v>56.61</v>
      </c>
      <c r="AH14">
        <v>48.55</v>
      </c>
      <c r="AI14">
        <v>54.21</v>
      </c>
    </row>
    <row r="15" spans="1:35" x14ac:dyDescent="0.45">
      <c r="A15" s="2">
        <v>46009</v>
      </c>
      <c r="B15">
        <v>33.58</v>
      </c>
      <c r="C15">
        <v>38.69</v>
      </c>
      <c r="D15">
        <v>18.63</v>
      </c>
      <c r="E15">
        <v>25.01</v>
      </c>
      <c r="F15">
        <v>34.409999999999997</v>
      </c>
      <c r="G15">
        <v>69.98</v>
      </c>
      <c r="H15">
        <v>26.88</v>
      </c>
      <c r="I15">
        <v>60.87</v>
      </c>
      <c r="J15">
        <v>68.75</v>
      </c>
      <c r="K15">
        <v>90.07</v>
      </c>
      <c r="L15">
        <v>31.17</v>
      </c>
      <c r="M15">
        <v>67.510000000000005</v>
      </c>
      <c r="N15">
        <v>66.94</v>
      </c>
      <c r="O15">
        <v>53.28</v>
      </c>
      <c r="P15">
        <v>59.99</v>
      </c>
      <c r="Q15">
        <v>18.739999999999998</v>
      </c>
      <c r="R15">
        <v>1256.8499999999999</v>
      </c>
      <c r="S15">
        <v>34.82</v>
      </c>
      <c r="T15">
        <v>19.309999999999999</v>
      </c>
      <c r="U15">
        <v>17.88</v>
      </c>
      <c r="V15">
        <v>36.299999999999997</v>
      </c>
      <c r="W15">
        <v>44.6999</v>
      </c>
      <c r="X15">
        <v>25.81</v>
      </c>
      <c r="Y15">
        <v>53.22</v>
      </c>
      <c r="Z15">
        <v>41.94</v>
      </c>
      <c r="AA15">
        <v>79.97</v>
      </c>
      <c r="AB15">
        <v>59.47</v>
      </c>
      <c r="AC15">
        <v>43.13</v>
      </c>
      <c r="AD15">
        <v>609.11</v>
      </c>
      <c r="AE15">
        <v>676.47</v>
      </c>
      <c r="AF15">
        <v>44.8</v>
      </c>
      <c r="AG15">
        <v>56.02</v>
      </c>
      <c r="AH15">
        <v>48.18</v>
      </c>
      <c r="AI15">
        <v>53.81</v>
      </c>
    </row>
    <row r="16" spans="1:35" x14ac:dyDescent="0.45">
      <c r="A16" s="2">
        <v>46008</v>
      </c>
      <c r="B16">
        <v>33.630000000000003</v>
      </c>
      <c r="C16">
        <v>38.28</v>
      </c>
      <c r="D16">
        <v>18.600000000000001</v>
      </c>
      <c r="E16">
        <v>25.1</v>
      </c>
      <c r="F16">
        <v>34.270000000000003</v>
      </c>
      <c r="G16">
        <v>69.180000000000007</v>
      </c>
      <c r="H16">
        <v>26.6</v>
      </c>
      <c r="I16">
        <v>60.03</v>
      </c>
      <c r="J16">
        <v>67.45</v>
      </c>
      <c r="K16">
        <v>88.58</v>
      </c>
      <c r="L16">
        <v>31</v>
      </c>
      <c r="M16">
        <v>66.64</v>
      </c>
      <c r="N16">
        <v>66.25</v>
      </c>
      <c r="O16">
        <v>52.97</v>
      </c>
      <c r="P16">
        <v>59.47</v>
      </c>
      <c r="Q16">
        <v>18.6081</v>
      </c>
      <c r="R16">
        <v>1260.68</v>
      </c>
      <c r="S16">
        <v>34.734999999999999</v>
      </c>
      <c r="T16">
        <v>19.1129</v>
      </c>
      <c r="U16">
        <v>17.54</v>
      </c>
      <c r="V16">
        <v>35.83</v>
      </c>
      <c r="W16">
        <v>44.634999999999998</v>
      </c>
      <c r="X16">
        <v>25.58</v>
      </c>
      <c r="Y16">
        <v>52.81</v>
      </c>
      <c r="Z16">
        <v>41.61</v>
      </c>
      <c r="AA16">
        <v>79.739999999999995</v>
      </c>
      <c r="AB16">
        <v>58.84</v>
      </c>
      <c r="AC16">
        <v>42.94</v>
      </c>
      <c r="AD16">
        <v>600.41</v>
      </c>
      <c r="AE16">
        <v>671.4</v>
      </c>
      <c r="AF16">
        <v>44.62</v>
      </c>
      <c r="AG16">
        <v>55.57</v>
      </c>
      <c r="AH16">
        <v>47.62</v>
      </c>
      <c r="AI16">
        <v>53.51</v>
      </c>
    </row>
    <row r="17" spans="1:35" x14ac:dyDescent="0.45">
      <c r="A17" s="2">
        <v>46007</v>
      </c>
      <c r="B17">
        <v>33.197000000000003</v>
      </c>
      <c r="C17">
        <v>38.840000000000003</v>
      </c>
      <c r="D17">
        <v>18.670000000000002</v>
      </c>
      <c r="E17">
        <v>25.19</v>
      </c>
      <c r="F17">
        <v>34.409999999999997</v>
      </c>
      <c r="G17">
        <v>69.3</v>
      </c>
      <c r="H17">
        <v>26.79</v>
      </c>
      <c r="I17">
        <v>61.12</v>
      </c>
      <c r="J17">
        <v>68.28</v>
      </c>
      <c r="K17">
        <v>89.52</v>
      </c>
      <c r="L17">
        <v>31.6</v>
      </c>
      <c r="M17">
        <v>65.7</v>
      </c>
      <c r="N17">
        <v>66.81</v>
      </c>
      <c r="O17">
        <v>52.95</v>
      </c>
      <c r="P17">
        <v>59.7</v>
      </c>
      <c r="Q17">
        <v>18.696899999999999</v>
      </c>
      <c r="R17">
        <v>1273.4000000000001</v>
      </c>
      <c r="S17">
        <v>34.71</v>
      </c>
      <c r="T17">
        <v>19.239999999999998</v>
      </c>
      <c r="U17">
        <v>17.850000000000001</v>
      </c>
      <c r="V17">
        <v>36.090000000000003</v>
      </c>
      <c r="W17">
        <v>45.1265</v>
      </c>
      <c r="X17">
        <v>25.82</v>
      </c>
      <c r="Y17">
        <v>52.98</v>
      </c>
      <c r="Z17">
        <v>42.03</v>
      </c>
      <c r="AA17">
        <v>80.849999999999994</v>
      </c>
      <c r="AB17">
        <v>59.02</v>
      </c>
      <c r="AC17">
        <v>42.73</v>
      </c>
      <c r="AD17">
        <v>611.75</v>
      </c>
      <c r="AE17">
        <v>678.87</v>
      </c>
      <c r="AF17">
        <v>44.94</v>
      </c>
      <c r="AG17">
        <v>56.41</v>
      </c>
      <c r="AH17">
        <v>48.23</v>
      </c>
      <c r="AI17">
        <v>53.58</v>
      </c>
    </row>
    <row r="18" spans="1:35" x14ac:dyDescent="0.45">
      <c r="A18" s="2">
        <v>46006</v>
      </c>
      <c r="B18">
        <v>34.049999999999997</v>
      </c>
      <c r="C18">
        <v>38.994999999999997</v>
      </c>
      <c r="D18">
        <v>18.86</v>
      </c>
      <c r="E18">
        <v>24.95</v>
      </c>
      <c r="F18">
        <v>35.9</v>
      </c>
      <c r="G18">
        <v>69.25</v>
      </c>
      <c r="H18">
        <v>27.09</v>
      </c>
      <c r="I18">
        <v>64.11</v>
      </c>
      <c r="J18">
        <v>70.48</v>
      </c>
      <c r="K18">
        <v>92.73</v>
      </c>
      <c r="L18">
        <v>33.58</v>
      </c>
      <c r="M18">
        <v>69.61</v>
      </c>
      <c r="N18">
        <v>67.45</v>
      </c>
      <c r="O18">
        <v>53.1</v>
      </c>
      <c r="P18">
        <v>60.87</v>
      </c>
      <c r="Q18">
        <v>19.010000000000002</v>
      </c>
      <c r="R18">
        <v>1254.0999999999999</v>
      </c>
      <c r="S18">
        <v>35.29</v>
      </c>
      <c r="T18">
        <v>19.38</v>
      </c>
      <c r="U18">
        <v>17.420000000000002</v>
      </c>
      <c r="V18">
        <v>36.81</v>
      </c>
      <c r="W18">
        <v>45.75</v>
      </c>
      <c r="X18">
        <v>26.42</v>
      </c>
      <c r="Y18">
        <v>53.8</v>
      </c>
      <c r="Z18">
        <v>42.1</v>
      </c>
      <c r="AA18">
        <v>84.87</v>
      </c>
      <c r="AB18">
        <v>59.06</v>
      </c>
      <c r="AC18">
        <v>43.75</v>
      </c>
      <c r="AD18">
        <v>610.54</v>
      </c>
      <c r="AE18">
        <v>680.73</v>
      </c>
      <c r="AF18">
        <v>45.18</v>
      </c>
      <c r="AG18">
        <v>58.76</v>
      </c>
      <c r="AH18">
        <v>49.11</v>
      </c>
      <c r="AI18">
        <v>54.35</v>
      </c>
    </row>
    <row r="19" spans="1:35" x14ac:dyDescent="0.45">
      <c r="A19" s="2">
        <v>46003</v>
      </c>
      <c r="B19">
        <v>34.08</v>
      </c>
      <c r="C19">
        <v>39.78</v>
      </c>
      <c r="D19">
        <v>18.760000000000002</v>
      </c>
      <c r="E19">
        <v>24.9</v>
      </c>
      <c r="F19">
        <v>35.200000000000003</v>
      </c>
      <c r="G19">
        <v>69.3</v>
      </c>
      <c r="H19">
        <v>26.98</v>
      </c>
      <c r="I19">
        <v>64.099999999999994</v>
      </c>
      <c r="J19">
        <v>70.69</v>
      </c>
      <c r="K19">
        <v>92.67</v>
      </c>
      <c r="L19">
        <v>33.32</v>
      </c>
      <c r="M19">
        <v>68.63</v>
      </c>
      <c r="N19">
        <v>67.239999999999995</v>
      </c>
      <c r="O19">
        <v>53.14</v>
      </c>
      <c r="P19">
        <v>61.52</v>
      </c>
      <c r="Q19">
        <v>19.32</v>
      </c>
      <c r="R19">
        <v>1253.54</v>
      </c>
      <c r="S19">
        <v>34.82</v>
      </c>
      <c r="T19">
        <v>19.350000000000001</v>
      </c>
      <c r="U19">
        <v>17.489999999999998</v>
      </c>
      <c r="V19">
        <v>37.4</v>
      </c>
      <c r="W19">
        <v>45.71</v>
      </c>
      <c r="X19">
        <v>26.52</v>
      </c>
      <c r="Y19">
        <v>53.89</v>
      </c>
      <c r="Z19">
        <v>42.18</v>
      </c>
      <c r="AA19">
        <v>84</v>
      </c>
      <c r="AB19">
        <v>58.37</v>
      </c>
      <c r="AC19">
        <v>43.28</v>
      </c>
      <c r="AD19">
        <v>613.62</v>
      </c>
      <c r="AE19">
        <v>681.76</v>
      </c>
      <c r="AF19">
        <v>44.88</v>
      </c>
      <c r="AG19">
        <v>58.6</v>
      </c>
      <c r="AH19">
        <v>49.38</v>
      </c>
      <c r="AI19">
        <v>53.66</v>
      </c>
    </row>
    <row r="20" spans="1:35" x14ac:dyDescent="0.45">
      <c r="A20" s="2">
        <v>46002</v>
      </c>
      <c r="B20">
        <v>34.090000000000003</v>
      </c>
      <c r="C20">
        <v>39.28</v>
      </c>
      <c r="D20">
        <v>18.68</v>
      </c>
      <c r="E20">
        <v>25.02</v>
      </c>
      <c r="F20">
        <v>35.270000000000003</v>
      </c>
      <c r="G20">
        <v>69.680000000000007</v>
      </c>
      <c r="H20">
        <v>26.87</v>
      </c>
      <c r="I20">
        <v>65.92</v>
      </c>
      <c r="J20">
        <v>71.06</v>
      </c>
      <c r="K20">
        <v>94.96</v>
      </c>
      <c r="L20">
        <v>33.159999999999997</v>
      </c>
      <c r="M20">
        <v>69.5</v>
      </c>
      <c r="N20">
        <v>67.67</v>
      </c>
      <c r="O20">
        <v>53.57</v>
      </c>
      <c r="P20">
        <v>61.69</v>
      </c>
      <c r="Q20">
        <v>19.315000000000001</v>
      </c>
      <c r="R20">
        <v>1269.8699999999999</v>
      </c>
      <c r="S20">
        <v>34.82</v>
      </c>
      <c r="T20">
        <v>19.510000000000002</v>
      </c>
      <c r="U20">
        <v>18.27</v>
      </c>
      <c r="V20">
        <v>37.619999999999997</v>
      </c>
      <c r="W20">
        <v>46.35</v>
      </c>
      <c r="X20">
        <v>26.64</v>
      </c>
      <c r="Y20">
        <v>54.08</v>
      </c>
      <c r="Z20">
        <v>42.39</v>
      </c>
      <c r="AA20">
        <v>84.22</v>
      </c>
      <c r="AB20">
        <v>58.49</v>
      </c>
      <c r="AC20">
        <v>43.65</v>
      </c>
      <c r="AD20">
        <v>625.58000000000004</v>
      </c>
      <c r="AE20">
        <v>689.17</v>
      </c>
      <c r="AF20">
        <v>45</v>
      </c>
      <c r="AG20">
        <v>59.5</v>
      </c>
      <c r="AH20">
        <v>49.67</v>
      </c>
      <c r="AI20">
        <v>53.95</v>
      </c>
    </row>
    <row r="21" spans="1:35" x14ac:dyDescent="0.45">
      <c r="A21" s="2">
        <v>46001</v>
      </c>
      <c r="B21">
        <v>34.340000000000003</v>
      </c>
      <c r="C21">
        <v>38.75</v>
      </c>
      <c r="D21">
        <v>18.86</v>
      </c>
      <c r="E21">
        <v>24.73</v>
      </c>
      <c r="F21">
        <v>34.880000000000003</v>
      </c>
      <c r="G21">
        <v>68.290000000000006</v>
      </c>
      <c r="H21">
        <v>26.52</v>
      </c>
      <c r="I21">
        <v>66.8</v>
      </c>
      <c r="J21">
        <v>69.040000000000006</v>
      </c>
      <c r="K21">
        <v>96.75</v>
      </c>
      <c r="L21">
        <v>32.770000000000003</v>
      </c>
      <c r="M21">
        <v>68.180000000000007</v>
      </c>
      <c r="N21">
        <v>66.77</v>
      </c>
      <c r="O21">
        <v>53.36</v>
      </c>
      <c r="P21">
        <v>61.81</v>
      </c>
      <c r="Q21">
        <v>19.168500000000002</v>
      </c>
      <c r="R21">
        <v>1261.3900000000001</v>
      </c>
      <c r="S21">
        <v>34.729999999999997</v>
      </c>
      <c r="T21">
        <v>19.440100000000001</v>
      </c>
      <c r="U21">
        <v>18.28</v>
      </c>
      <c r="V21">
        <v>37.659999999999997</v>
      </c>
      <c r="W21">
        <v>46.2943</v>
      </c>
      <c r="X21">
        <v>26.65</v>
      </c>
      <c r="Y21">
        <v>53.72</v>
      </c>
      <c r="Z21">
        <v>41.94</v>
      </c>
      <c r="AA21">
        <v>83.91</v>
      </c>
      <c r="AB21">
        <v>58.38</v>
      </c>
      <c r="AC21">
        <v>43.46</v>
      </c>
      <c r="AD21">
        <v>627.61</v>
      </c>
      <c r="AE21">
        <v>687.57</v>
      </c>
      <c r="AF21">
        <v>44.58</v>
      </c>
      <c r="AG21">
        <v>58.8</v>
      </c>
      <c r="AH21">
        <v>49.36</v>
      </c>
      <c r="AI21">
        <v>53.55</v>
      </c>
    </row>
    <row r="22" spans="1:35" x14ac:dyDescent="0.45">
      <c r="A22" s="2">
        <v>46000</v>
      </c>
      <c r="B22">
        <v>34.225000000000001</v>
      </c>
      <c r="C22">
        <v>38.340000000000003</v>
      </c>
      <c r="D22">
        <v>18.68</v>
      </c>
      <c r="E22">
        <v>24.67</v>
      </c>
      <c r="F22">
        <v>34.25</v>
      </c>
      <c r="G22">
        <v>67.48</v>
      </c>
      <c r="H22">
        <v>26.37</v>
      </c>
      <c r="I22">
        <v>65.72</v>
      </c>
      <c r="J22">
        <v>69.27</v>
      </c>
      <c r="K22">
        <v>95.57</v>
      </c>
      <c r="L22">
        <v>32.74</v>
      </c>
      <c r="M22">
        <v>66.91</v>
      </c>
      <c r="N22">
        <v>65.8</v>
      </c>
      <c r="O22">
        <v>53.27</v>
      </c>
      <c r="P22">
        <v>61.35</v>
      </c>
      <c r="Q22">
        <v>19.041399999999999</v>
      </c>
      <c r="R22">
        <v>1273.77</v>
      </c>
      <c r="S22">
        <v>34.659999999999997</v>
      </c>
      <c r="T22">
        <v>19.38</v>
      </c>
      <c r="U22">
        <v>18.649999999999999</v>
      </c>
      <c r="V22">
        <v>37.43</v>
      </c>
      <c r="W22">
        <v>45.950400000000002</v>
      </c>
      <c r="X22">
        <v>26.35</v>
      </c>
      <c r="Y22">
        <v>53.07</v>
      </c>
      <c r="Z22">
        <v>41.53</v>
      </c>
      <c r="AA22">
        <v>83.31</v>
      </c>
      <c r="AB22">
        <v>57.69</v>
      </c>
      <c r="AC22">
        <v>42.88</v>
      </c>
      <c r="AD22">
        <v>625.04999999999995</v>
      </c>
      <c r="AE22">
        <v>683.04</v>
      </c>
      <c r="AF22">
        <v>44.21</v>
      </c>
      <c r="AG22">
        <v>58.55</v>
      </c>
      <c r="AH22">
        <v>48.55</v>
      </c>
      <c r="AI22">
        <v>53.02</v>
      </c>
    </row>
    <row r="23" spans="1:35" x14ac:dyDescent="0.45">
      <c r="A23" s="2">
        <v>45999</v>
      </c>
      <c r="B23">
        <v>34.36</v>
      </c>
      <c r="C23">
        <v>38.24</v>
      </c>
      <c r="D23">
        <v>18.87</v>
      </c>
      <c r="E23">
        <v>24.58</v>
      </c>
      <c r="F23">
        <v>33.51</v>
      </c>
      <c r="G23">
        <v>66.53</v>
      </c>
      <c r="H23">
        <v>26.32</v>
      </c>
      <c r="I23">
        <v>65.569999999999993</v>
      </c>
      <c r="J23">
        <v>68.64</v>
      </c>
      <c r="K23">
        <v>95.07</v>
      </c>
      <c r="L23">
        <v>32.75</v>
      </c>
      <c r="M23">
        <v>66.39</v>
      </c>
      <c r="N23">
        <v>66.97</v>
      </c>
      <c r="O23">
        <v>53.08</v>
      </c>
      <c r="P23">
        <v>62.22</v>
      </c>
      <c r="Q23">
        <v>18.955400000000001</v>
      </c>
      <c r="R23">
        <v>1274.82</v>
      </c>
      <c r="S23">
        <v>34.42</v>
      </c>
      <c r="T23">
        <v>19.079999999999998</v>
      </c>
      <c r="U23">
        <v>18.72</v>
      </c>
      <c r="V23">
        <v>37.19</v>
      </c>
      <c r="W23">
        <v>46.026699999999998</v>
      </c>
      <c r="X23">
        <v>26.24</v>
      </c>
      <c r="Y23">
        <v>52.95</v>
      </c>
      <c r="Z23">
        <v>41.34</v>
      </c>
      <c r="AA23">
        <v>83.19</v>
      </c>
      <c r="AB23">
        <v>57.76</v>
      </c>
      <c r="AC23">
        <v>43.08</v>
      </c>
      <c r="AD23">
        <v>624.28</v>
      </c>
      <c r="AE23">
        <v>683.63</v>
      </c>
      <c r="AF23">
        <v>44.65</v>
      </c>
      <c r="AG23">
        <v>58.7224</v>
      </c>
      <c r="AH23">
        <v>48.4</v>
      </c>
      <c r="AI23">
        <v>52.98</v>
      </c>
    </row>
    <row r="24" spans="1:35" x14ac:dyDescent="0.45">
      <c r="A24" s="2">
        <v>45996</v>
      </c>
      <c r="B24">
        <v>34.21</v>
      </c>
      <c r="C24">
        <v>38.18</v>
      </c>
      <c r="D24">
        <v>18.82</v>
      </c>
      <c r="E24">
        <v>24.73</v>
      </c>
      <c r="F24">
        <v>33.44</v>
      </c>
      <c r="G24">
        <v>67.03</v>
      </c>
      <c r="H24">
        <v>26.64</v>
      </c>
      <c r="I24">
        <v>65.349999999999994</v>
      </c>
      <c r="J24">
        <v>68.680000000000007</v>
      </c>
      <c r="K24">
        <v>94.3</v>
      </c>
      <c r="L24">
        <v>32.53</v>
      </c>
      <c r="M24">
        <v>67.88</v>
      </c>
      <c r="N24">
        <v>66.45</v>
      </c>
      <c r="O24">
        <v>53.97</v>
      </c>
      <c r="P24">
        <v>62.66</v>
      </c>
      <c r="Q24">
        <v>18.930399999999999</v>
      </c>
      <c r="R24">
        <v>1277.58</v>
      </c>
      <c r="S24">
        <v>33.840000000000003</v>
      </c>
      <c r="T24">
        <v>19.22</v>
      </c>
      <c r="U24">
        <v>18.649999999999999</v>
      </c>
      <c r="V24">
        <v>37.200000000000003</v>
      </c>
      <c r="W24">
        <v>45.994999999999997</v>
      </c>
      <c r="X24">
        <v>26.34</v>
      </c>
      <c r="Y24">
        <v>53.29</v>
      </c>
      <c r="Z24">
        <v>41.41</v>
      </c>
      <c r="AA24">
        <v>83.7</v>
      </c>
      <c r="AB24">
        <v>58.03</v>
      </c>
      <c r="AC24">
        <v>43.22</v>
      </c>
      <c r="AD24">
        <v>625.48</v>
      </c>
      <c r="AE24">
        <v>685.69</v>
      </c>
      <c r="AF24">
        <v>44.62</v>
      </c>
      <c r="AG24">
        <v>58.55</v>
      </c>
      <c r="AH24">
        <v>48.37</v>
      </c>
      <c r="AI24">
        <v>52.98</v>
      </c>
    </row>
    <row r="25" spans="1:35" x14ac:dyDescent="0.45">
      <c r="A25" s="2">
        <v>45995</v>
      </c>
      <c r="B25">
        <v>33.74</v>
      </c>
      <c r="C25">
        <v>38.51</v>
      </c>
      <c r="D25">
        <v>18.79</v>
      </c>
      <c r="E25">
        <v>24.2</v>
      </c>
      <c r="F25">
        <v>33.53</v>
      </c>
      <c r="G25">
        <v>67</v>
      </c>
      <c r="H25">
        <v>26.59</v>
      </c>
      <c r="I25">
        <v>64.510000000000005</v>
      </c>
      <c r="J25">
        <v>68.819999999999993</v>
      </c>
      <c r="K25">
        <v>91.87</v>
      </c>
      <c r="L25">
        <v>34.72</v>
      </c>
      <c r="M25">
        <v>67.05</v>
      </c>
      <c r="N25">
        <v>66.3</v>
      </c>
      <c r="O25">
        <v>53.76</v>
      </c>
      <c r="P25">
        <v>61.98</v>
      </c>
      <c r="Q25">
        <v>18.940200000000001</v>
      </c>
      <c r="R25">
        <v>1276.57</v>
      </c>
      <c r="S25">
        <v>33.549999999999997</v>
      </c>
      <c r="T25">
        <v>19.05</v>
      </c>
      <c r="U25">
        <v>18.59</v>
      </c>
      <c r="V25">
        <v>37.17</v>
      </c>
      <c r="W25">
        <v>46.005000000000003</v>
      </c>
      <c r="X25">
        <v>26.29</v>
      </c>
      <c r="Y25">
        <v>53.07</v>
      </c>
      <c r="Z25">
        <v>41.14</v>
      </c>
      <c r="AA25">
        <v>83.62</v>
      </c>
      <c r="AB25">
        <v>57.91</v>
      </c>
      <c r="AC25">
        <v>43.42</v>
      </c>
      <c r="AD25">
        <v>622.94000000000005</v>
      </c>
      <c r="AE25">
        <v>684.39</v>
      </c>
      <c r="AF25">
        <v>44.75</v>
      </c>
      <c r="AG25">
        <v>58.78</v>
      </c>
      <c r="AH25">
        <v>48.09</v>
      </c>
      <c r="AI25">
        <v>53.15</v>
      </c>
    </row>
    <row r="26" spans="1:35" x14ac:dyDescent="0.45">
      <c r="A26" s="2">
        <v>45994</v>
      </c>
      <c r="B26">
        <v>33.76</v>
      </c>
      <c r="C26">
        <v>38.619999999999997</v>
      </c>
      <c r="D26">
        <v>18.829999999999998</v>
      </c>
      <c r="E26">
        <v>24.68</v>
      </c>
      <c r="F26">
        <v>33.61</v>
      </c>
      <c r="G26">
        <v>66.03</v>
      </c>
      <c r="H26">
        <v>26.73</v>
      </c>
      <c r="I26">
        <v>64.849999999999994</v>
      </c>
      <c r="J26">
        <v>68.430000000000007</v>
      </c>
      <c r="K26">
        <v>93</v>
      </c>
      <c r="L26">
        <v>34.200000000000003</v>
      </c>
      <c r="M26">
        <v>66.92</v>
      </c>
      <c r="N26">
        <v>66.37</v>
      </c>
      <c r="O26">
        <v>53.41</v>
      </c>
      <c r="P26">
        <v>61.88</v>
      </c>
      <c r="Q26">
        <v>18.930199999999999</v>
      </c>
      <c r="R26">
        <v>1256.69</v>
      </c>
      <c r="S26">
        <v>33.869999999999997</v>
      </c>
      <c r="T26">
        <v>18.850000000000001</v>
      </c>
      <c r="U26">
        <v>18.690000000000001</v>
      </c>
      <c r="V26">
        <v>37.04</v>
      </c>
      <c r="W26">
        <v>46.165599999999998</v>
      </c>
      <c r="X26">
        <v>26.13</v>
      </c>
      <c r="Y26">
        <v>52.47</v>
      </c>
      <c r="Z26">
        <v>40.950000000000003</v>
      </c>
      <c r="AA26">
        <v>82.61</v>
      </c>
      <c r="AB26">
        <v>58.07</v>
      </c>
      <c r="AC26">
        <v>43.46</v>
      </c>
      <c r="AD26">
        <v>623.52</v>
      </c>
      <c r="AE26">
        <v>683.89</v>
      </c>
      <c r="AF26">
        <v>44.79</v>
      </c>
      <c r="AG26">
        <v>59.18</v>
      </c>
      <c r="AH26">
        <v>47.77</v>
      </c>
      <c r="AI26">
        <v>53.29</v>
      </c>
    </row>
    <row r="27" spans="1:35" x14ac:dyDescent="0.45">
      <c r="A27" s="2">
        <v>45993</v>
      </c>
      <c r="B27">
        <v>33.81</v>
      </c>
      <c r="C27">
        <v>38.29</v>
      </c>
      <c r="D27">
        <v>18.920000000000002</v>
      </c>
      <c r="E27">
        <v>25.06</v>
      </c>
      <c r="F27">
        <v>33.65</v>
      </c>
      <c r="G27">
        <v>64.67</v>
      </c>
      <c r="H27">
        <v>26.67</v>
      </c>
      <c r="I27">
        <v>64.63</v>
      </c>
      <c r="J27">
        <v>68.709999999999994</v>
      </c>
      <c r="K27">
        <v>92.07</v>
      </c>
      <c r="L27">
        <v>34.03</v>
      </c>
      <c r="M27">
        <v>66.5</v>
      </c>
      <c r="N27">
        <v>66.64</v>
      </c>
      <c r="O27">
        <v>53.88</v>
      </c>
      <c r="P27">
        <v>62.24</v>
      </c>
      <c r="Q27">
        <v>18.774999999999999</v>
      </c>
      <c r="R27">
        <v>1252.71</v>
      </c>
      <c r="S27">
        <v>34.1</v>
      </c>
      <c r="T27">
        <v>18.53</v>
      </c>
      <c r="U27">
        <v>18.649999999999999</v>
      </c>
      <c r="V27">
        <v>36.979999999999997</v>
      </c>
      <c r="W27">
        <v>45.818399999999997</v>
      </c>
      <c r="X27">
        <v>25.93</v>
      </c>
      <c r="Y27">
        <v>52.14</v>
      </c>
      <c r="Z27">
        <v>40.89</v>
      </c>
      <c r="AA27">
        <v>82.47</v>
      </c>
      <c r="AB27">
        <v>57.94</v>
      </c>
      <c r="AC27">
        <v>43.01</v>
      </c>
      <c r="AD27">
        <v>622</v>
      </c>
      <c r="AE27">
        <v>681.53</v>
      </c>
      <c r="AF27">
        <v>44.44</v>
      </c>
      <c r="AG27">
        <v>58.57</v>
      </c>
      <c r="AH27">
        <v>47.61</v>
      </c>
      <c r="AI27">
        <v>53</v>
      </c>
    </row>
    <row r="28" spans="1:35" x14ac:dyDescent="0.45">
      <c r="A28" s="2">
        <v>45992</v>
      </c>
      <c r="B28">
        <v>34.25</v>
      </c>
      <c r="C28">
        <v>37.69</v>
      </c>
      <c r="D28">
        <v>18.79</v>
      </c>
      <c r="E28">
        <v>25.24</v>
      </c>
      <c r="F28">
        <v>33.9</v>
      </c>
      <c r="G28">
        <v>64.569999999999993</v>
      </c>
      <c r="H28">
        <v>26.6</v>
      </c>
      <c r="I28">
        <v>64.13</v>
      </c>
      <c r="J28">
        <v>68.459999999999994</v>
      </c>
      <c r="K28">
        <v>90.62</v>
      </c>
      <c r="L28">
        <v>33.4</v>
      </c>
      <c r="M28">
        <v>67.45</v>
      </c>
      <c r="N28">
        <v>66.28</v>
      </c>
      <c r="O28">
        <v>54.33</v>
      </c>
      <c r="P28">
        <v>62.66</v>
      </c>
      <c r="Q28">
        <v>18.71</v>
      </c>
      <c r="R28">
        <v>1261.18</v>
      </c>
      <c r="S28">
        <v>34.03</v>
      </c>
      <c r="T28">
        <v>18.4941</v>
      </c>
      <c r="U28">
        <v>18.38</v>
      </c>
      <c r="V28">
        <v>37.06</v>
      </c>
      <c r="W28">
        <v>45.48</v>
      </c>
      <c r="X28">
        <v>25.73</v>
      </c>
      <c r="Y28">
        <v>52.18</v>
      </c>
      <c r="Z28">
        <v>40.520000000000003</v>
      </c>
      <c r="AA28">
        <v>82.53</v>
      </c>
      <c r="AB28">
        <v>57.42</v>
      </c>
      <c r="AC28">
        <v>42.93</v>
      </c>
      <c r="AD28">
        <v>617.16999999999996</v>
      </c>
      <c r="AE28">
        <v>680.27</v>
      </c>
      <c r="AF28">
        <v>44.41</v>
      </c>
      <c r="AG28">
        <v>58.32</v>
      </c>
      <c r="AH28">
        <v>47.58</v>
      </c>
      <c r="AI28">
        <v>52.66</v>
      </c>
    </row>
    <row r="29" spans="1:35" x14ac:dyDescent="0.45">
      <c r="A29" s="2">
        <v>45989</v>
      </c>
      <c r="B29">
        <v>33.950000000000003</v>
      </c>
      <c r="C29">
        <v>37.86</v>
      </c>
      <c r="D29">
        <v>18.670000000000002</v>
      </c>
      <c r="E29">
        <v>25.21</v>
      </c>
      <c r="F29">
        <v>34.07</v>
      </c>
      <c r="G29">
        <v>64.47</v>
      </c>
      <c r="H29">
        <v>26.43</v>
      </c>
      <c r="I29">
        <v>64.510000000000005</v>
      </c>
      <c r="J29">
        <v>68.42</v>
      </c>
      <c r="K29">
        <v>90.87</v>
      </c>
      <c r="L29">
        <v>33.61</v>
      </c>
      <c r="M29">
        <v>66.739999999999995</v>
      </c>
      <c r="N29">
        <v>65.319999999999993</v>
      </c>
      <c r="O29">
        <v>54.71</v>
      </c>
      <c r="P29">
        <v>62.2</v>
      </c>
      <c r="Q29">
        <v>18.88</v>
      </c>
      <c r="R29">
        <v>1268.78</v>
      </c>
      <c r="S29">
        <v>33.5</v>
      </c>
      <c r="T29">
        <v>18.579999999999998</v>
      </c>
      <c r="U29">
        <v>18.34</v>
      </c>
      <c r="V29">
        <v>37.44</v>
      </c>
      <c r="W29">
        <v>45.625700000000002</v>
      </c>
      <c r="X29">
        <v>25.85</v>
      </c>
      <c r="Y29">
        <v>52.7</v>
      </c>
      <c r="Z29">
        <v>40.92</v>
      </c>
      <c r="AA29">
        <v>83.01</v>
      </c>
      <c r="AB29">
        <v>57.82</v>
      </c>
      <c r="AC29">
        <v>43.15</v>
      </c>
      <c r="AD29">
        <v>619.25</v>
      </c>
      <c r="AE29">
        <v>683.39</v>
      </c>
      <c r="AF29">
        <v>44.57</v>
      </c>
      <c r="AG29">
        <v>58.17</v>
      </c>
      <c r="AH29">
        <v>47.91</v>
      </c>
      <c r="AI29">
        <v>52.93</v>
      </c>
    </row>
    <row r="30" spans="1:35" x14ac:dyDescent="0.45">
      <c r="A30" s="2">
        <v>45987</v>
      </c>
      <c r="B30">
        <v>33.590000000000003</v>
      </c>
      <c r="C30">
        <v>37.61</v>
      </c>
      <c r="D30">
        <v>18.87</v>
      </c>
      <c r="E30">
        <v>25.02</v>
      </c>
      <c r="F30">
        <v>34.07</v>
      </c>
      <c r="G30">
        <v>63.1</v>
      </c>
      <c r="H30">
        <v>26.64</v>
      </c>
      <c r="I30">
        <v>63.66</v>
      </c>
      <c r="J30">
        <v>67.88</v>
      </c>
      <c r="K30">
        <v>91.55</v>
      </c>
      <c r="L30">
        <v>33.47</v>
      </c>
      <c r="M30">
        <v>67.83</v>
      </c>
      <c r="N30">
        <v>66.150000000000006</v>
      </c>
      <c r="O30">
        <v>54.67</v>
      </c>
      <c r="P30">
        <v>61.91</v>
      </c>
      <c r="Q30">
        <v>18.885000000000002</v>
      </c>
      <c r="R30">
        <v>1252.73</v>
      </c>
      <c r="S30">
        <v>33.590000000000003</v>
      </c>
      <c r="T30">
        <v>18.53</v>
      </c>
      <c r="U30">
        <v>18.239999999999998</v>
      </c>
      <c r="V30">
        <v>37.380000000000003</v>
      </c>
      <c r="W30">
        <v>45.47</v>
      </c>
      <c r="X30">
        <v>25.82</v>
      </c>
      <c r="Y30">
        <v>52.25</v>
      </c>
      <c r="Z30">
        <v>40.6</v>
      </c>
      <c r="AA30">
        <v>83.26</v>
      </c>
      <c r="AB30">
        <v>57.55</v>
      </c>
      <c r="AC30">
        <v>42.99</v>
      </c>
      <c r="AD30">
        <v>614.27</v>
      </c>
      <c r="AE30">
        <v>679.68</v>
      </c>
      <c r="AF30">
        <v>44.43</v>
      </c>
      <c r="AG30">
        <v>57.79</v>
      </c>
      <c r="AH30">
        <v>47.43</v>
      </c>
      <c r="AI30">
        <v>52.54</v>
      </c>
    </row>
    <row r="31" spans="1:35" x14ac:dyDescent="0.45">
      <c r="A31" s="2">
        <v>45986</v>
      </c>
      <c r="B31">
        <v>33.51</v>
      </c>
      <c r="C31">
        <v>37.270000000000003</v>
      </c>
      <c r="D31">
        <v>18.73</v>
      </c>
      <c r="E31">
        <v>25</v>
      </c>
      <c r="F31">
        <v>33.729999999999997</v>
      </c>
      <c r="G31">
        <v>61.56</v>
      </c>
      <c r="H31">
        <v>26.49</v>
      </c>
      <c r="I31">
        <v>62.8</v>
      </c>
      <c r="J31">
        <v>67.75</v>
      </c>
      <c r="K31">
        <v>89.79</v>
      </c>
      <c r="L31">
        <v>32.549999999999997</v>
      </c>
      <c r="M31">
        <v>66.3</v>
      </c>
      <c r="N31">
        <v>65.48</v>
      </c>
      <c r="O31">
        <v>54.28</v>
      </c>
      <c r="P31">
        <v>62.2</v>
      </c>
      <c r="Q31">
        <v>18.77</v>
      </c>
      <c r="R31">
        <v>1254.4000000000001</v>
      </c>
      <c r="S31">
        <v>33.54</v>
      </c>
      <c r="T31">
        <v>18.71</v>
      </c>
      <c r="U31">
        <v>17.75</v>
      </c>
      <c r="V31">
        <v>37.590000000000003</v>
      </c>
      <c r="W31">
        <v>44.699399999999997</v>
      </c>
      <c r="X31">
        <v>25.62</v>
      </c>
      <c r="Y31">
        <v>51.56</v>
      </c>
      <c r="Z31">
        <v>40.19</v>
      </c>
      <c r="AA31">
        <v>81.92</v>
      </c>
      <c r="AB31">
        <v>57.26</v>
      </c>
      <c r="AC31">
        <v>42.52</v>
      </c>
      <c r="AD31">
        <v>608.89</v>
      </c>
      <c r="AE31">
        <v>675.02</v>
      </c>
      <c r="AF31">
        <v>44.06</v>
      </c>
      <c r="AG31">
        <v>56.872</v>
      </c>
      <c r="AH31">
        <v>47.06</v>
      </c>
      <c r="AI31">
        <v>52.16</v>
      </c>
    </row>
    <row r="32" spans="1:35" x14ac:dyDescent="0.45">
      <c r="A32" s="2">
        <v>45985</v>
      </c>
      <c r="B32">
        <v>33.11</v>
      </c>
      <c r="C32">
        <v>36.61</v>
      </c>
      <c r="D32">
        <v>18.78</v>
      </c>
      <c r="E32">
        <v>24.97</v>
      </c>
      <c r="F32">
        <v>32.94</v>
      </c>
      <c r="G32">
        <v>61.02</v>
      </c>
      <c r="H32">
        <v>26.47</v>
      </c>
      <c r="I32">
        <v>62.51</v>
      </c>
      <c r="J32">
        <v>66.55</v>
      </c>
      <c r="K32">
        <v>90.3</v>
      </c>
      <c r="L32">
        <v>32.200000000000003</v>
      </c>
      <c r="M32">
        <v>65.89</v>
      </c>
      <c r="N32">
        <v>63.99</v>
      </c>
      <c r="O32">
        <v>54.22</v>
      </c>
      <c r="P32">
        <v>61.96</v>
      </c>
      <c r="Q32">
        <v>18.850000000000001</v>
      </c>
      <c r="R32">
        <v>1281.81</v>
      </c>
      <c r="S32">
        <v>33.76</v>
      </c>
      <c r="T32">
        <v>18.75</v>
      </c>
      <c r="U32">
        <v>17.91</v>
      </c>
      <c r="V32">
        <v>38.159999999999997</v>
      </c>
      <c r="W32">
        <v>44.47</v>
      </c>
      <c r="X32">
        <v>25.44</v>
      </c>
      <c r="Y32">
        <v>51.05</v>
      </c>
      <c r="Z32">
        <v>39.47</v>
      </c>
      <c r="AA32">
        <v>81.739999999999995</v>
      </c>
      <c r="AB32">
        <v>56.39</v>
      </c>
      <c r="AC32">
        <v>41.92</v>
      </c>
      <c r="AD32">
        <v>605.16</v>
      </c>
      <c r="AE32">
        <v>668.73</v>
      </c>
      <c r="AF32">
        <v>43.33</v>
      </c>
      <c r="AG32">
        <v>55.95</v>
      </c>
      <c r="AH32">
        <v>46.26</v>
      </c>
      <c r="AI32">
        <v>51.19</v>
      </c>
    </row>
    <row r="33" spans="1:35" x14ac:dyDescent="0.45">
      <c r="A33" s="2">
        <v>45982</v>
      </c>
      <c r="B33">
        <v>33.06</v>
      </c>
      <c r="C33">
        <v>36.340000000000003</v>
      </c>
      <c r="D33">
        <v>18.37</v>
      </c>
      <c r="E33">
        <v>25.06</v>
      </c>
      <c r="F33">
        <v>33.04</v>
      </c>
      <c r="G33">
        <v>59.64</v>
      </c>
      <c r="H33">
        <v>26.29</v>
      </c>
      <c r="I33">
        <v>61.8</v>
      </c>
      <c r="J33">
        <v>66.040000000000006</v>
      </c>
      <c r="K33">
        <v>89.22</v>
      </c>
      <c r="L33">
        <v>32.03</v>
      </c>
      <c r="M33">
        <v>64.86</v>
      </c>
      <c r="N33">
        <v>64.64</v>
      </c>
      <c r="O33">
        <v>54.21</v>
      </c>
      <c r="P33">
        <v>60.92</v>
      </c>
      <c r="Q33">
        <v>18.68</v>
      </c>
      <c r="R33">
        <v>1272.17</v>
      </c>
      <c r="S33">
        <v>33.78</v>
      </c>
      <c r="T33">
        <v>18.68</v>
      </c>
      <c r="U33">
        <v>17.72</v>
      </c>
      <c r="V33">
        <v>38.28</v>
      </c>
      <c r="W33">
        <v>44.33</v>
      </c>
      <c r="X33">
        <v>25.33</v>
      </c>
      <c r="Y33">
        <v>50.43</v>
      </c>
      <c r="Z33">
        <v>39.4</v>
      </c>
      <c r="AA33">
        <v>81.19</v>
      </c>
      <c r="AB33">
        <v>56.69</v>
      </c>
      <c r="AC33">
        <v>42.06</v>
      </c>
      <c r="AD33">
        <v>590.07000000000005</v>
      </c>
      <c r="AE33">
        <v>659.03</v>
      </c>
      <c r="AF33">
        <v>43.69</v>
      </c>
      <c r="AG33">
        <v>55.92</v>
      </c>
      <c r="AH33">
        <v>46.06</v>
      </c>
      <c r="AI33">
        <v>51.47</v>
      </c>
    </row>
    <row r="34" spans="1:35" x14ac:dyDescent="0.45">
      <c r="A34" s="2">
        <v>45981</v>
      </c>
      <c r="B34">
        <v>33.46</v>
      </c>
      <c r="C34">
        <v>36.590000000000003</v>
      </c>
      <c r="D34">
        <v>18.329999999999998</v>
      </c>
      <c r="E34">
        <v>24.37</v>
      </c>
      <c r="F34">
        <v>32.56</v>
      </c>
      <c r="G34">
        <v>59.5</v>
      </c>
      <c r="H34">
        <v>26.05</v>
      </c>
      <c r="I34">
        <v>61.68</v>
      </c>
      <c r="J34">
        <v>66.02</v>
      </c>
      <c r="K34">
        <v>88.53</v>
      </c>
      <c r="L34">
        <v>31.9</v>
      </c>
      <c r="M34">
        <v>64.930000000000007</v>
      </c>
      <c r="N34">
        <v>62.76</v>
      </c>
      <c r="O34">
        <v>54.72</v>
      </c>
      <c r="P34">
        <v>60.88</v>
      </c>
      <c r="Q34">
        <v>18.614999999999998</v>
      </c>
      <c r="R34">
        <v>1270.04</v>
      </c>
      <c r="S34">
        <v>33.58</v>
      </c>
      <c r="T34">
        <v>18.758199999999999</v>
      </c>
      <c r="U34">
        <v>17.45</v>
      </c>
      <c r="V34">
        <v>38.19</v>
      </c>
      <c r="W34">
        <v>43.75</v>
      </c>
      <c r="X34">
        <v>24.95</v>
      </c>
      <c r="Y34">
        <v>49.91</v>
      </c>
      <c r="Z34">
        <v>38.89</v>
      </c>
      <c r="AA34">
        <v>79.489999999999995</v>
      </c>
      <c r="AB34">
        <v>55.69</v>
      </c>
      <c r="AC34">
        <v>41.34</v>
      </c>
      <c r="AD34">
        <v>585.66999999999996</v>
      </c>
      <c r="AE34">
        <v>652.53</v>
      </c>
      <c r="AF34">
        <v>42.99</v>
      </c>
      <c r="AG34">
        <v>55.52</v>
      </c>
      <c r="AH34">
        <v>45.38</v>
      </c>
      <c r="AI34">
        <v>50.81</v>
      </c>
    </row>
    <row r="35" spans="1:35" x14ac:dyDescent="0.45">
      <c r="A35" s="2">
        <v>45980</v>
      </c>
      <c r="B35">
        <v>33.880000000000003</v>
      </c>
      <c r="C35">
        <v>37.11</v>
      </c>
      <c r="D35">
        <v>18.48</v>
      </c>
      <c r="E35">
        <v>24.23</v>
      </c>
      <c r="F35">
        <v>33.29</v>
      </c>
      <c r="G35">
        <v>61.25</v>
      </c>
      <c r="H35">
        <v>26.33</v>
      </c>
      <c r="I35">
        <v>62.5</v>
      </c>
      <c r="J35">
        <v>66.77</v>
      </c>
      <c r="K35">
        <v>90.56</v>
      </c>
      <c r="L35">
        <v>32.49</v>
      </c>
      <c r="M35">
        <v>66.569999999999993</v>
      </c>
      <c r="N35">
        <v>63.34</v>
      </c>
      <c r="O35">
        <v>54.83</v>
      </c>
      <c r="P35">
        <v>61.91</v>
      </c>
      <c r="Q35">
        <v>18.954999999999998</v>
      </c>
      <c r="R35">
        <v>1280.07</v>
      </c>
      <c r="S35">
        <v>33.659999999999997</v>
      </c>
      <c r="T35">
        <v>18.87</v>
      </c>
      <c r="U35">
        <v>17.61</v>
      </c>
      <c r="V35">
        <v>38.43</v>
      </c>
      <c r="W35">
        <v>43.6663</v>
      </c>
      <c r="X35">
        <v>25.3</v>
      </c>
      <c r="Y35">
        <v>50.62</v>
      </c>
      <c r="Z35">
        <v>39.51</v>
      </c>
      <c r="AA35">
        <v>80.680000000000007</v>
      </c>
      <c r="AB35">
        <v>56.36</v>
      </c>
      <c r="AC35">
        <v>41.73</v>
      </c>
      <c r="AD35">
        <v>599.87</v>
      </c>
      <c r="AE35">
        <v>662.63</v>
      </c>
      <c r="AF35">
        <v>43.44</v>
      </c>
      <c r="AG35">
        <v>57.05</v>
      </c>
      <c r="AH35">
        <v>46.17</v>
      </c>
      <c r="AI35">
        <v>51.34</v>
      </c>
    </row>
    <row r="36" spans="1:35" x14ac:dyDescent="0.45">
      <c r="A36" s="2">
        <v>45979</v>
      </c>
      <c r="B36">
        <v>33.93</v>
      </c>
      <c r="C36">
        <v>36.83</v>
      </c>
      <c r="D36">
        <v>18.260000000000002</v>
      </c>
      <c r="E36">
        <v>24.02</v>
      </c>
      <c r="F36">
        <v>32.869999999999997</v>
      </c>
      <c r="G36">
        <v>60.32</v>
      </c>
      <c r="H36">
        <v>26.16</v>
      </c>
      <c r="I36">
        <v>62.67</v>
      </c>
      <c r="J36">
        <v>66.67</v>
      </c>
      <c r="K36">
        <v>91.59</v>
      </c>
      <c r="L36">
        <v>32.71</v>
      </c>
      <c r="M36">
        <v>66.16</v>
      </c>
      <c r="N36">
        <v>63.2</v>
      </c>
      <c r="O36">
        <v>54.61</v>
      </c>
      <c r="P36">
        <v>62.42</v>
      </c>
      <c r="Q36">
        <v>18.815000000000001</v>
      </c>
      <c r="R36">
        <v>1269.26</v>
      </c>
      <c r="S36">
        <v>33.299999999999997</v>
      </c>
      <c r="T36">
        <v>18.850000000000001</v>
      </c>
      <c r="U36">
        <v>17.73</v>
      </c>
      <c r="V36">
        <v>38.79</v>
      </c>
      <c r="W36">
        <v>44.235900000000001</v>
      </c>
      <c r="X36">
        <v>25.4</v>
      </c>
      <c r="Y36">
        <v>50.53</v>
      </c>
      <c r="Z36">
        <v>39.53</v>
      </c>
      <c r="AA36">
        <v>80.78</v>
      </c>
      <c r="AB36">
        <v>56.58</v>
      </c>
      <c r="AC36">
        <v>42.19</v>
      </c>
      <c r="AD36">
        <v>596.30999999999995</v>
      </c>
      <c r="AE36">
        <v>660.08</v>
      </c>
      <c r="AF36">
        <v>43.63</v>
      </c>
      <c r="AG36">
        <v>56.63</v>
      </c>
      <c r="AH36">
        <v>46.49</v>
      </c>
      <c r="AI36">
        <v>51.81</v>
      </c>
    </row>
    <row r="37" spans="1:35" x14ac:dyDescent="0.45">
      <c r="A37" s="2">
        <v>45978</v>
      </c>
      <c r="B37">
        <v>33.89</v>
      </c>
      <c r="C37">
        <v>37.31</v>
      </c>
      <c r="D37">
        <v>18.38</v>
      </c>
      <c r="E37">
        <v>23.95</v>
      </c>
      <c r="F37">
        <v>33.39</v>
      </c>
      <c r="G37">
        <v>61.163600000000002</v>
      </c>
      <c r="H37">
        <v>26.23</v>
      </c>
      <c r="I37">
        <v>63.16</v>
      </c>
      <c r="J37">
        <v>65.87</v>
      </c>
      <c r="K37">
        <v>93.02</v>
      </c>
      <c r="L37">
        <v>32.78</v>
      </c>
      <c r="M37">
        <v>66.13</v>
      </c>
      <c r="N37">
        <v>64.5</v>
      </c>
      <c r="O37">
        <v>54.65</v>
      </c>
      <c r="P37">
        <v>62.78</v>
      </c>
      <c r="Q37">
        <v>18.89</v>
      </c>
      <c r="R37">
        <v>1287.44</v>
      </c>
      <c r="S37">
        <v>33.08</v>
      </c>
      <c r="T37">
        <v>18.93</v>
      </c>
      <c r="U37">
        <v>17.66</v>
      </c>
      <c r="V37">
        <v>38.450000000000003</v>
      </c>
      <c r="W37">
        <v>44.493200000000002</v>
      </c>
      <c r="X37">
        <v>25.64</v>
      </c>
      <c r="Y37">
        <v>50.34</v>
      </c>
      <c r="Z37">
        <v>40.01</v>
      </c>
      <c r="AA37">
        <v>82.47</v>
      </c>
      <c r="AB37">
        <v>56.81</v>
      </c>
      <c r="AC37">
        <v>42.44</v>
      </c>
      <c r="AD37">
        <v>603.66</v>
      </c>
      <c r="AE37">
        <v>665.67</v>
      </c>
      <c r="AF37">
        <v>44.2</v>
      </c>
      <c r="AG37">
        <v>57.36</v>
      </c>
      <c r="AH37">
        <v>47.22</v>
      </c>
      <c r="AI37">
        <v>52.56</v>
      </c>
    </row>
    <row r="38" spans="1:35" x14ac:dyDescent="0.45">
      <c r="A38" s="2">
        <v>45975</v>
      </c>
      <c r="B38">
        <v>34.19</v>
      </c>
      <c r="C38">
        <v>36.369999999999997</v>
      </c>
      <c r="D38">
        <v>18.38</v>
      </c>
      <c r="E38">
        <v>23.28</v>
      </c>
      <c r="F38">
        <v>34.159999999999997</v>
      </c>
      <c r="G38">
        <v>62.34</v>
      </c>
      <c r="H38">
        <v>26.45</v>
      </c>
      <c r="I38">
        <v>65.17</v>
      </c>
      <c r="J38">
        <v>67.22</v>
      </c>
      <c r="K38">
        <v>94.13</v>
      </c>
      <c r="L38">
        <v>33.18</v>
      </c>
      <c r="M38">
        <v>66.989999999999995</v>
      </c>
      <c r="N38">
        <v>65</v>
      </c>
      <c r="O38">
        <v>54.62</v>
      </c>
      <c r="P38">
        <v>63.5</v>
      </c>
      <c r="Q38">
        <v>19.285</v>
      </c>
      <c r="R38">
        <v>1284.81</v>
      </c>
      <c r="S38">
        <v>32.85</v>
      </c>
      <c r="T38">
        <v>19.170000000000002</v>
      </c>
      <c r="U38">
        <v>17.59</v>
      </c>
      <c r="V38">
        <v>38.83</v>
      </c>
      <c r="W38">
        <v>44.844999999999999</v>
      </c>
      <c r="X38">
        <v>25.95</v>
      </c>
      <c r="Y38">
        <v>50.89</v>
      </c>
      <c r="Z38">
        <v>40.86</v>
      </c>
      <c r="AA38">
        <v>83.98</v>
      </c>
      <c r="AB38">
        <v>57.55</v>
      </c>
      <c r="AC38">
        <v>42.77</v>
      </c>
      <c r="AD38">
        <v>608.86</v>
      </c>
      <c r="AE38">
        <v>671.93</v>
      </c>
      <c r="AF38">
        <v>44.84</v>
      </c>
      <c r="AG38">
        <v>58.13</v>
      </c>
      <c r="AH38">
        <v>47.65</v>
      </c>
      <c r="AI38">
        <v>53.2</v>
      </c>
    </row>
    <row r="39" spans="1:35" x14ac:dyDescent="0.45">
      <c r="A39" s="2">
        <v>45974</v>
      </c>
      <c r="B39">
        <v>34.64</v>
      </c>
      <c r="C39">
        <v>36.71</v>
      </c>
      <c r="D39">
        <v>18.28</v>
      </c>
      <c r="E39">
        <v>23.69</v>
      </c>
      <c r="F39">
        <v>34.130000000000003</v>
      </c>
      <c r="G39">
        <v>62.52</v>
      </c>
      <c r="H39">
        <v>26.5</v>
      </c>
      <c r="I39">
        <v>63.99</v>
      </c>
      <c r="J39">
        <v>67.38</v>
      </c>
      <c r="K39">
        <v>94.07</v>
      </c>
      <c r="L39">
        <v>32.979999999999997</v>
      </c>
      <c r="M39">
        <v>67.83</v>
      </c>
      <c r="N39">
        <v>64.67</v>
      </c>
      <c r="O39">
        <v>54.2</v>
      </c>
      <c r="P39">
        <v>64.459999999999994</v>
      </c>
      <c r="Q39">
        <v>19.25</v>
      </c>
      <c r="R39">
        <v>1300.47</v>
      </c>
      <c r="S39">
        <v>32.78</v>
      </c>
      <c r="T39">
        <v>19.190000000000001</v>
      </c>
      <c r="U39">
        <v>17.420000000000002</v>
      </c>
      <c r="V39">
        <v>38.729999999999997</v>
      </c>
      <c r="W39">
        <v>44.943399999999997</v>
      </c>
      <c r="X39">
        <v>25.94</v>
      </c>
      <c r="Y39">
        <v>50.64</v>
      </c>
      <c r="Z39">
        <v>41.25</v>
      </c>
      <c r="AA39">
        <v>83.01</v>
      </c>
      <c r="AB39">
        <v>57.85</v>
      </c>
      <c r="AC39">
        <v>43.04</v>
      </c>
      <c r="AD39">
        <v>608.4</v>
      </c>
      <c r="AE39">
        <v>672.04</v>
      </c>
      <c r="AF39">
        <v>45.04</v>
      </c>
      <c r="AG39">
        <v>58.61</v>
      </c>
      <c r="AH39">
        <v>48.27</v>
      </c>
      <c r="AI39">
        <v>53.98</v>
      </c>
    </row>
    <row r="40" spans="1:35" x14ac:dyDescent="0.45">
      <c r="A40" s="2">
        <v>45973</v>
      </c>
      <c r="B40">
        <v>34.43</v>
      </c>
      <c r="C40">
        <v>37.26</v>
      </c>
      <c r="D40">
        <v>18.440000000000001</v>
      </c>
      <c r="E40">
        <v>23.6</v>
      </c>
      <c r="F40">
        <v>34.42</v>
      </c>
      <c r="G40">
        <v>64.38</v>
      </c>
      <c r="H40">
        <v>26.53</v>
      </c>
      <c r="I40">
        <v>65.41</v>
      </c>
      <c r="J40">
        <v>68.16</v>
      </c>
      <c r="K40">
        <v>95.92</v>
      </c>
      <c r="L40">
        <v>33.22</v>
      </c>
      <c r="M40">
        <v>68.08</v>
      </c>
      <c r="N40">
        <v>64.319999999999993</v>
      </c>
      <c r="O40">
        <v>54.56</v>
      </c>
      <c r="P40">
        <v>64.58</v>
      </c>
      <c r="Q40">
        <v>19.555</v>
      </c>
      <c r="R40">
        <v>1306.26</v>
      </c>
      <c r="S40">
        <v>33.03</v>
      </c>
      <c r="T40">
        <v>19.48</v>
      </c>
      <c r="U40">
        <v>17.53</v>
      </c>
      <c r="V40">
        <v>39.17</v>
      </c>
      <c r="W40">
        <v>45.657200000000003</v>
      </c>
      <c r="X40">
        <v>26.58</v>
      </c>
      <c r="Y40">
        <v>51.75</v>
      </c>
      <c r="Z40">
        <v>41.68</v>
      </c>
      <c r="AA40">
        <v>84.34</v>
      </c>
      <c r="AB40">
        <v>58.06</v>
      </c>
      <c r="AC40">
        <v>43.51</v>
      </c>
      <c r="AD40">
        <v>621.08000000000004</v>
      </c>
      <c r="AE40">
        <v>683.38</v>
      </c>
      <c r="AF40">
        <v>45.14</v>
      </c>
      <c r="AG40">
        <v>59.03</v>
      </c>
      <c r="AH40">
        <v>48.82</v>
      </c>
      <c r="AI40">
        <v>54.12</v>
      </c>
    </row>
    <row r="41" spans="1:35" x14ac:dyDescent="0.45">
      <c r="A41" s="2">
        <v>45972</v>
      </c>
      <c r="B41">
        <v>34.47</v>
      </c>
      <c r="C41">
        <v>36.5</v>
      </c>
      <c r="D41">
        <v>18.45</v>
      </c>
      <c r="E41">
        <v>23.41</v>
      </c>
      <c r="F41">
        <v>34.56</v>
      </c>
      <c r="G41">
        <v>63.04</v>
      </c>
      <c r="H41">
        <v>26.78</v>
      </c>
      <c r="I41">
        <v>65.39</v>
      </c>
      <c r="J41">
        <v>69.34</v>
      </c>
      <c r="K41">
        <v>95.29</v>
      </c>
      <c r="L41">
        <v>33.49</v>
      </c>
      <c r="M41">
        <v>66.53</v>
      </c>
      <c r="N41">
        <v>63.63</v>
      </c>
      <c r="O41">
        <v>54.74</v>
      </c>
      <c r="P41">
        <v>64.53</v>
      </c>
      <c r="Q41">
        <v>19.6479</v>
      </c>
      <c r="R41">
        <v>1302.9100000000001</v>
      </c>
      <c r="S41">
        <v>32.85</v>
      </c>
      <c r="T41">
        <v>19.690000000000001</v>
      </c>
      <c r="U41">
        <v>16.93</v>
      </c>
      <c r="V41">
        <v>39.39</v>
      </c>
      <c r="W41">
        <v>45.674999999999997</v>
      </c>
      <c r="X41">
        <v>26.63</v>
      </c>
      <c r="Y41">
        <v>51.04</v>
      </c>
      <c r="Z41">
        <v>41.23</v>
      </c>
      <c r="AA41">
        <v>83.75</v>
      </c>
      <c r="AB41">
        <v>57.67</v>
      </c>
      <c r="AC41">
        <v>43.65</v>
      </c>
      <c r="AD41">
        <v>621.57000000000005</v>
      </c>
      <c r="AE41">
        <v>683</v>
      </c>
      <c r="AF41">
        <v>44.71</v>
      </c>
      <c r="AG41">
        <v>58.73</v>
      </c>
      <c r="AH41">
        <v>48.48</v>
      </c>
      <c r="AI41">
        <v>53.75</v>
      </c>
    </row>
    <row r="42" spans="1:35" x14ac:dyDescent="0.45">
      <c r="A42" s="2">
        <v>45971</v>
      </c>
      <c r="B42">
        <v>34.770000000000003</v>
      </c>
      <c r="C42">
        <v>36.299999999999997</v>
      </c>
      <c r="D42">
        <v>18.55</v>
      </c>
      <c r="E42">
        <v>23.7</v>
      </c>
      <c r="F42">
        <v>34.44</v>
      </c>
      <c r="G42">
        <v>63.13</v>
      </c>
      <c r="H42">
        <v>26.47</v>
      </c>
      <c r="I42">
        <v>65.75</v>
      </c>
      <c r="J42">
        <v>67.91</v>
      </c>
      <c r="K42">
        <v>95.67</v>
      </c>
      <c r="L42">
        <v>32.72</v>
      </c>
      <c r="M42">
        <v>66.62</v>
      </c>
      <c r="N42">
        <v>63.69</v>
      </c>
      <c r="O42">
        <v>54.15</v>
      </c>
      <c r="P42">
        <v>64.7</v>
      </c>
      <c r="Q42">
        <v>19.48</v>
      </c>
      <c r="R42">
        <v>1313.31</v>
      </c>
      <c r="S42">
        <v>33.549999999999997</v>
      </c>
      <c r="T42">
        <v>19.53</v>
      </c>
      <c r="U42">
        <v>16.71</v>
      </c>
      <c r="V42">
        <v>39.32</v>
      </c>
      <c r="W42">
        <v>45.684100000000001</v>
      </c>
      <c r="X42">
        <v>26.81</v>
      </c>
      <c r="Y42">
        <v>50.89</v>
      </c>
      <c r="Z42">
        <v>40.96</v>
      </c>
      <c r="AA42">
        <v>83.68</v>
      </c>
      <c r="AB42">
        <v>56.36</v>
      </c>
      <c r="AC42">
        <v>43.44</v>
      </c>
      <c r="AD42">
        <v>623.23</v>
      </c>
      <c r="AE42">
        <v>681.44</v>
      </c>
      <c r="AF42">
        <v>44.19</v>
      </c>
      <c r="AG42">
        <v>58.56</v>
      </c>
      <c r="AH42">
        <v>47.74</v>
      </c>
      <c r="AI42">
        <v>53.15</v>
      </c>
    </row>
    <row r="43" spans="1:35" x14ac:dyDescent="0.45">
      <c r="A43" s="2">
        <v>45968</v>
      </c>
      <c r="B43">
        <v>34.6</v>
      </c>
      <c r="C43">
        <v>35.799999999999997</v>
      </c>
      <c r="D43">
        <v>18.53</v>
      </c>
      <c r="E43">
        <v>23.79</v>
      </c>
      <c r="F43">
        <v>33.840000000000003</v>
      </c>
      <c r="G43">
        <v>61.77</v>
      </c>
      <c r="H43">
        <v>26.23</v>
      </c>
      <c r="I43">
        <v>64.61</v>
      </c>
      <c r="J43">
        <v>67.819999999999993</v>
      </c>
      <c r="K43">
        <v>91.8</v>
      </c>
      <c r="L43">
        <v>32.299999999999997</v>
      </c>
      <c r="M43">
        <v>64.239999999999995</v>
      </c>
      <c r="N43">
        <v>62.35</v>
      </c>
      <c r="O43">
        <v>53.75</v>
      </c>
      <c r="P43">
        <v>63.61</v>
      </c>
      <c r="Q43">
        <v>19.420000000000002</v>
      </c>
      <c r="R43">
        <v>1295.29</v>
      </c>
      <c r="S43">
        <v>33.86</v>
      </c>
      <c r="T43">
        <v>19.43</v>
      </c>
      <c r="U43">
        <v>16.88</v>
      </c>
      <c r="V43">
        <v>39.28</v>
      </c>
      <c r="W43">
        <v>45.580800000000004</v>
      </c>
      <c r="X43">
        <v>26.44</v>
      </c>
      <c r="Y43">
        <v>50.1</v>
      </c>
      <c r="Z43">
        <v>40.479999999999997</v>
      </c>
      <c r="AA43">
        <v>83.29</v>
      </c>
      <c r="AB43">
        <v>55.74</v>
      </c>
      <c r="AC43">
        <v>42.87</v>
      </c>
      <c r="AD43">
        <v>609.74</v>
      </c>
      <c r="AE43">
        <v>670.97</v>
      </c>
      <c r="AF43">
        <v>43.78</v>
      </c>
      <c r="AG43">
        <v>57.74</v>
      </c>
      <c r="AH43">
        <v>47.24</v>
      </c>
      <c r="AI43">
        <v>52.19</v>
      </c>
    </row>
    <row r="44" spans="1:35" x14ac:dyDescent="0.45">
      <c r="A44" s="2">
        <v>45967</v>
      </c>
      <c r="B44">
        <v>34.590000000000003</v>
      </c>
      <c r="C44">
        <v>35.25</v>
      </c>
      <c r="D44">
        <v>18.440000000000001</v>
      </c>
      <c r="E44">
        <v>24.11</v>
      </c>
      <c r="F44">
        <v>33.950000000000003</v>
      </c>
      <c r="G44">
        <v>61.75</v>
      </c>
      <c r="H44">
        <v>26.01</v>
      </c>
      <c r="I44">
        <v>64.94</v>
      </c>
      <c r="J44">
        <v>66.97</v>
      </c>
      <c r="K44">
        <v>93.51</v>
      </c>
      <c r="L44">
        <v>32.04</v>
      </c>
      <c r="M44">
        <v>63.7</v>
      </c>
      <c r="N44">
        <v>62.47</v>
      </c>
      <c r="O44">
        <v>53.62</v>
      </c>
      <c r="P44">
        <v>63.97</v>
      </c>
      <c r="Q44">
        <v>19.46</v>
      </c>
      <c r="R44">
        <v>1298.5999999999999</v>
      </c>
      <c r="S44">
        <v>34.25</v>
      </c>
      <c r="T44">
        <v>19.309999999999999</v>
      </c>
      <c r="U44">
        <v>17.32</v>
      </c>
      <c r="V44">
        <v>39.299999999999997</v>
      </c>
      <c r="W44">
        <v>45.333100000000002</v>
      </c>
      <c r="X44">
        <v>26.46</v>
      </c>
      <c r="Y44">
        <v>49.75</v>
      </c>
      <c r="Z44">
        <v>40.39</v>
      </c>
      <c r="AA44">
        <v>82.96</v>
      </c>
      <c r="AB44">
        <v>55.22</v>
      </c>
      <c r="AC44">
        <v>42.62</v>
      </c>
      <c r="AD44">
        <v>611.66999999999996</v>
      </c>
      <c r="AE44">
        <v>670.31</v>
      </c>
      <c r="AF44">
        <v>43.42</v>
      </c>
      <c r="AG44">
        <v>57.96</v>
      </c>
      <c r="AH44">
        <v>46.98</v>
      </c>
      <c r="AI44">
        <v>51.75</v>
      </c>
    </row>
    <row r="45" spans="1:35" x14ac:dyDescent="0.45">
      <c r="A45" s="2">
        <v>45966</v>
      </c>
      <c r="B45">
        <v>34.380000000000003</v>
      </c>
      <c r="C45">
        <v>35.299999999999997</v>
      </c>
      <c r="D45">
        <v>18.54</v>
      </c>
      <c r="E45">
        <v>24.19</v>
      </c>
      <c r="F45">
        <v>33.51</v>
      </c>
      <c r="G45">
        <v>61.39</v>
      </c>
      <c r="H45">
        <v>26.2</v>
      </c>
      <c r="I45">
        <v>66.03</v>
      </c>
      <c r="J45">
        <v>67.180000000000007</v>
      </c>
      <c r="K45">
        <v>96.62</v>
      </c>
      <c r="L45">
        <v>32.1</v>
      </c>
      <c r="M45">
        <v>63.4</v>
      </c>
      <c r="N45">
        <v>62.68</v>
      </c>
      <c r="O45">
        <v>54.3</v>
      </c>
      <c r="P45">
        <v>63.36</v>
      </c>
      <c r="Q45">
        <v>19.414999999999999</v>
      </c>
      <c r="R45">
        <v>1308.8599999999999</v>
      </c>
      <c r="S45">
        <v>34.130000000000003</v>
      </c>
      <c r="T45">
        <v>19.350000000000001</v>
      </c>
      <c r="U45">
        <v>17.57</v>
      </c>
      <c r="V45">
        <v>39.35</v>
      </c>
      <c r="W45">
        <v>45.91</v>
      </c>
      <c r="X45">
        <v>26.67</v>
      </c>
      <c r="Y45">
        <v>50.26</v>
      </c>
      <c r="Z45">
        <v>40.729999999999997</v>
      </c>
      <c r="AA45">
        <v>82.8</v>
      </c>
      <c r="AB45">
        <v>55.4</v>
      </c>
      <c r="AC45">
        <v>42.61</v>
      </c>
      <c r="AD45">
        <v>623.28</v>
      </c>
      <c r="AE45">
        <v>677.58</v>
      </c>
      <c r="AF45">
        <v>43.88</v>
      </c>
      <c r="AG45">
        <v>58.26</v>
      </c>
      <c r="AH45">
        <v>47.29</v>
      </c>
      <c r="AI45">
        <v>52</v>
      </c>
    </row>
    <row r="46" spans="1:35" x14ac:dyDescent="0.45">
      <c r="A46" s="2">
        <v>45965</v>
      </c>
      <c r="B46">
        <v>33.97</v>
      </c>
      <c r="C46">
        <v>34.5</v>
      </c>
      <c r="D46">
        <v>18.36</v>
      </c>
      <c r="E46">
        <v>24.38</v>
      </c>
      <c r="F46">
        <v>33.31</v>
      </c>
      <c r="G46">
        <v>60.31</v>
      </c>
      <c r="H46">
        <v>25.98</v>
      </c>
      <c r="I46">
        <v>65.430000000000007</v>
      </c>
      <c r="J46">
        <v>65.650000000000006</v>
      </c>
      <c r="K46">
        <v>95.76</v>
      </c>
      <c r="L46">
        <v>31.18</v>
      </c>
      <c r="M46">
        <v>61.44</v>
      </c>
      <c r="N46">
        <v>62.17</v>
      </c>
      <c r="O46">
        <v>54.02</v>
      </c>
      <c r="P46">
        <v>62.73</v>
      </c>
      <c r="Q46">
        <v>19.434999999999999</v>
      </c>
      <c r="R46">
        <v>1309.5</v>
      </c>
      <c r="S46">
        <v>33.909999999999997</v>
      </c>
      <c r="T46">
        <v>19.36</v>
      </c>
      <c r="U46">
        <v>17.53</v>
      </c>
      <c r="V46">
        <v>39.68</v>
      </c>
      <c r="W46">
        <v>45.38</v>
      </c>
      <c r="X46">
        <v>26.41</v>
      </c>
      <c r="Y46">
        <v>49.72</v>
      </c>
      <c r="Z46">
        <v>40.340000000000003</v>
      </c>
      <c r="AA46">
        <v>82.83</v>
      </c>
      <c r="AB46">
        <v>55.06</v>
      </c>
      <c r="AC46">
        <v>42.18</v>
      </c>
      <c r="AD46">
        <v>619.25</v>
      </c>
      <c r="AE46">
        <v>675.24</v>
      </c>
      <c r="AF46">
        <v>43.63</v>
      </c>
      <c r="AG46">
        <v>57.82</v>
      </c>
      <c r="AH46">
        <v>46.87</v>
      </c>
      <c r="AI46">
        <v>51.38</v>
      </c>
    </row>
    <row r="47" spans="1:35" x14ac:dyDescent="0.45">
      <c r="A47" s="2">
        <v>45964</v>
      </c>
      <c r="B47">
        <v>34.377099999999999</v>
      </c>
      <c r="C47">
        <v>35.93</v>
      </c>
      <c r="D47">
        <v>18.45</v>
      </c>
      <c r="E47">
        <v>24.15</v>
      </c>
      <c r="F47">
        <v>33.78</v>
      </c>
      <c r="G47">
        <v>62.16</v>
      </c>
      <c r="H47">
        <v>26.06</v>
      </c>
      <c r="I47">
        <v>66.900000000000006</v>
      </c>
      <c r="J47">
        <v>66.23</v>
      </c>
      <c r="K47">
        <v>100.78</v>
      </c>
      <c r="L47">
        <v>31.52</v>
      </c>
      <c r="M47">
        <v>63.76</v>
      </c>
      <c r="N47">
        <v>63.18</v>
      </c>
      <c r="O47">
        <v>54.24</v>
      </c>
      <c r="P47">
        <v>63.55</v>
      </c>
      <c r="Q47">
        <v>19.315000000000001</v>
      </c>
      <c r="R47">
        <v>1314.65</v>
      </c>
      <c r="S47">
        <v>34.450000000000003</v>
      </c>
      <c r="T47">
        <v>19.579999999999998</v>
      </c>
      <c r="U47">
        <v>17.09</v>
      </c>
      <c r="V47">
        <v>40</v>
      </c>
      <c r="W47">
        <v>45.705599999999997</v>
      </c>
      <c r="X47">
        <v>26.84</v>
      </c>
      <c r="Y47">
        <v>50.67</v>
      </c>
      <c r="Z47">
        <v>40.909999999999997</v>
      </c>
      <c r="AA47">
        <v>83.64</v>
      </c>
      <c r="AB47">
        <v>55.12</v>
      </c>
      <c r="AC47">
        <v>42.53</v>
      </c>
      <c r="AD47">
        <v>632.08000000000004</v>
      </c>
      <c r="AE47">
        <v>683.34</v>
      </c>
      <c r="AF47">
        <v>44.07</v>
      </c>
      <c r="AG47">
        <v>58.68</v>
      </c>
      <c r="AH47">
        <v>47.7</v>
      </c>
      <c r="AI47">
        <v>51.79</v>
      </c>
    </row>
    <row r="48" spans="1:35" x14ac:dyDescent="0.45">
      <c r="A48" s="2">
        <v>45961</v>
      </c>
      <c r="B48">
        <v>34.299999999999997</v>
      </c>
      <c r="C48">
        <v>35.32</v>
      </c>
      <c r="D48">
        <v>18.28</v>
      </c>
      <c r="E48">
        <v>24.55</v>
      </c>
      <c r="F48">
        <v>33.71</v>
      </c>
      <c r="G48">
        <v>62.78</v>
      </c>
      <c r="H48">
        <v>25.85</v>
      </c>
      <c r="I48">
        <v>66.650000000000006</v>
      </c>
      <c r="J48">
        <v>66.53</v>
      </c>
      <c r="K48">
        <v>97</v>
      </c>
      <c r="L48">
        <v>31.17</v>
      </c>
      <c r="M48">
        <v>63.77</v>
      </c>
      <c r="N48">
        <v>62.22</v>
      </c>
      <c r="O48">
        <v>53.97</v>
      </c>
      <c r="P48">
        <v>63.57</v>
      </c>
      <c r="Q48">
        <v>19.3</v>
      </c>
      <c r="R48">
        <v>1315.64</v>
      </c>
      <c r="S48">
        <v>34.15</v>
      </c>
      <c r="T48">
        <v>19.68</v>
      </c>
      <c r="U48">
        <v>17.43</v>
      </c>
      <c r="V48">
        <v>40.28</v>
      </c>
      <c r="W48">
        <v>45.89</v>
      </c>
      <c r="X48">
        <v>26.77</v>
      </c>
      <c r="Y48">
        <v>50.74</v>
      </c>
      <c r="Z48">
        <v>40.729999999999997</v>
      </c>
      <c r="AA48">
        <v>83.45</v>
      </c>
      <c r="AB48">
        <v>55.36</v>
      </c>
      <c r="AC48">
        <v>42.67</v>
      </c>
      <c r="AD48">
        <v>629.07000000000005</v>
      </c>
      <c r="AE48">
        <v>682.06</v>
      </c>
      <c r="AF48">
        <v>44.28</v>
      </c>
      <c r="AG48">
        <v>58.8</v>
      </c>
      <c r="AH48">
        <v>47.99</v>
      </c>
      <c r="AI48">
        <v>51.81</v>
      </c>
    </row>
    <row r="49" spans="1:35" x14ac:dyDescent="0.45">
      <c r="A49" s="2">
        <v>45960</v>
      </c>
      <c r="B49">
        <v>34.9</v>
      </c>
      <c r="C49">
        <v>35.340000000000003</v>
      </c>
      <c r="D49">
        <v>18.27</v>
      </c>
      <c r="E49">
        <v>24.4</v>
      </c>
      <c r="F49">
        <v>34.22</v>
      </c>
      <c r="G49">
        <v>63.11</v>
      </c>
      <c r="H49">
        <v>25.88</v>
      </c>
      <c r="I49">
        <v>66.540000000000006</v>
      </c>
      <c r="J49">
        <v>66.73</v>
      </c>
      <c r="K49">
        <v>95.26</v>
      </c>
      <c r="L49">
        <v>31.05</v>
      </c>
      <c r="M49">
        <v>64.37</v>
      </c>
      <c r="N49">
        <v>62.69</v>
      </c>
      <c r="O49">
        <v>54.27</v>
      </c>
      <c r="P49">
        <v>64.38</v>
      </c>
      <c r="Q49">
        <v>19.289100000000001</v>
      </c>
      <c r="R49">
        <v>1314.28</v>
      </c>
      <c r="S49">
        <v>33.64</v>
      </c>
      <c r="T49">
        <v>20.149999999999999</v>
      </c>
      <c r="U49">
        <v>17.71</v>
      </c>
      <c r="V49">
        <v>40.229999999999997</v>
      </c>
      <c r="W49">
        <v>45.755000000000003</v>
      </c>
      <c r="X49">
        <v>26.89</v>
      </c>
      <c r="Y49">
        <v>50.67</v>
      </c>
      <c r="Z49">
        <v>41</v>
      </c>
      <c r="AA49">
        <v>83.21</v>
      </c>
      <c r="AB49">
        <v>55.6</v>
      </c>
      <c r="AC49">
        <v>42.75</v>
      </c>
      <c r="AD49">
        <v>626.04999999999995</v>
      </c>
      <c r="AE49">
        <v>679.83</v>
      </c>
      <c r="AF49">
        <v>44.44</v>
      </c>
      <c r="AG49">
        <v>59.48</v>
      </c>
      <c r="AH49">
        <v>48.49</v>
      </c>
      <c r="AI49">
        <v>51.82</v>
      </c>
    </row>
    <row r="50" spans="1:35" x14ac:dyDescent="0.45">
      <c r="A50" s="2">
        <v>45959</v>
      </c>
      <c r="B50">
        <v>35.270000000000003</v>
      </c>
      <c r="C50">
        <v>34.97</v>
      </c>
      <c r="D50">
        <v>18.32</v>
      </c>
      <c r="E50">
        <v>24.74</v>
      </c>
      <c r="F50">
        <v>34.53</v>
      </c>
      <c r="G50">
        <v>63.12</v>
      </c>
      <c r="H50">
        <v>25.91</v>
      </c>
      <c r="I50">
        <v>67.13</v>
      </c>
      <c r="J50">
        <v>67.430000000000007</v>
      </c>
      <c r="K50">
        <v>96.9</v>
      </c>
      <c r="L50">
        <v>31.18</v>
      </c>
      <c r="M50">
        <v>64.75</v>
      </c>
      <c r="N50">
        <v>63.76</v>
      </c>
      <c r="O50">
        <v>54.61</v>
      </c>
      <c r="P50">
        <v>65.489999999999995</v>
      </c>
      <c r="Q50">
        <v>19.25</v>
      </c>
      <c r="R50">
        <v>1323.52</v>
      </c>
      <c r="S50">
        <v>33.909999999999997</v>
      </c>
      <c r="T50">
        <v>20</v>
      </c>
      <c r="U50">
        <v>18.149999999999999</v>
      </c>
      <c r="V50">
        <v>41.03</v>
      </c>
      <c r="W50">
        <v>45.674999999999997</v>
      </c>
      <c r="X50">
        <v>27</v>
      </c>
      <c r="Y50">
        <v>50.75</v>
      </c>
      <c r="Z50">
        <v>41.27</v>
      </c>
      <c r="AA50">
        <v>83.23</v>
      </c>
      <c r="AB50">
        <v>55.66</v>
      </c>
      <c r="AC50">
        <v>42.83</v>
      </c>
      <c r="AD50">
        <v>635.77</v>
      </c>
      <c r="AE50">
        <v>687.39</v>
      </c>
      <c r="AF50">
        <v>44.86</v>
      </c>
      <c r="AG50">
        <v>59.366</v>
      </c>
      <c r="AH50">
        <v>48.74</v>
      </c>
      <c r="AI50">
        <v>52.11</v>
      </c>
    </row>
    <row r="51" spans="1:35" x14ac:dyDescent="0.45">
      <c r="A51" s="2">
        <v>45958</v>
      </c>
      <c r="B51">
        <v>34.950000000000003</v>
      </c>
      <c r="C51">
        <v>34.630000000000003</v>
      </c>
      <c r="D51">
        <v>18.05</v>
      </c>
      <c r="E51">
        <v>24.44</v>
      </c>
      <c r="F51">
        <v>34.85</v>
      </c>
      <c r="G51">
        <v>62.53</v>
      </c>
      <c r="H51">
        <v>26.01</v>
      </c>
      <c r="I51">
        <v>67.09</v>
      </c>
      <c r="J51">
        <v>67.099999999999994</v>
      </c>
      <c r="K51">
        <v>94.45</v>
      </c>
      <c r="L51">
        <v>30.92</v>
      </c>
      <c r="M51">
        <v>65.23</v>
      </c>
      <c r="N51">
        <v>62.89</v>
      </c>
      <c r="O51">
        <v>54.54</v>
      </c>
      <c r="P51">
        <v>65.12</v>
      </c>
      <c r="Q51">
        <v>19.195</v>
      </c>
      <c r="R51">
        <v>1313.91</v>
      </c>
      <c r="S51">
        <v>33.979999999999997</v>
      </c>
      <c r="T51">
        <v>20.010000000000002</v>
      </c>
      <c r="U51">
        <v>18.18</v>
      </c>
      <c r="V51">
        <v>40.89</v>
      </c>
      <c r="W51">
        <v>45.844999999999999</v>
      </c>
      <c r="X51">
        <v>27.52</v>
      </c>
      <c r="Y51">
        <v>51.41</v>
      </c>
      <c r="Z51">
        <v>41.72</v>
      </c>
      <c r="AA51">
        <v>83.93</v>
      </c>
      <c r="AB51">
        <v>56.17</v>
      </c>
      <c r="AC51">
        <v>42.92</v>
      </c>
      <c r="AD51">
        <v>632.91999999999996</v>
      </c>
      <c r="AE51">
        <v>687.06</v>
      </c>
      <c r="AF51">
        <v>45.14</v>
      </c>
      <c r="AG51">
        <v>59.01</v>
      </c>
      <c r="AH51">
        <v>49.07</v>
      </c>
      <c r="AI51">
        <v>52.18</v>
      </c>
    </row>
    <row r="52" spans="1:35" x14ac:dyDescent="0.45">
      <c r="A52" s="2">
        <v>45957</v>
      </c>
      <c r="B52">
        <v>34.950000000000003</v>
      </c>
      <c r="C52">
        <v>34.590000000000003</v>
      </c>
      <c r="D52">
        <v>18.09</v>
      </c>
      <c r="E52">
        <v>24.4</v>
      </c>
      <c r="F52">
        <v>34.200000000000003</v>
      </c>
      <c r="G52">
        <v>61.55</v>
      </c>
      <c r="H52">
        <v>25.96</v>
      </c>
      <c r="I52">
        <v>66.98</v>
      </c>
      <c r="J52">
        <v>66.33</v>
      </c>
      <c r="K52">
        <v>94.31</v>
      </c>
      <c r="L52">
        <v>30.77</v>
      </c>
      <c r="M52">
        <v>64.2</v>
      </c>
      <c r="N52">
        <v>63.03</v>
      </c>
      <c r="O52">
        <v>54.72</v>
      </c>
      <c r="P52">
        <v>65.59</v>
      </c>
      <c r="Q52">
        <v>19.195</v>
      </c>
      <c r="R52">
        <v>1302.3499999999999</v>
      </c>
      <c r="S52">
        <v>33.89</v>
      </c>
      <c r="T52">
        <v>19.97</v>
      </c>
      <c r="U52">
        <v>17.739999999999998</v>
      </c>
      <c r="V52">
        <v>40.61</v>
      </c>
      <c r="W52">
        <v>45.99</v>
      </c>
      <c r="X52">
        <v>27.37</v>
      </c>
      <c r="Y52">
        <v>50.79</v>
      </c>
      <c r="Z52">
        <v>41.78</v>
      </c>
      <c r="AA52">
        <v>83.53</v>
      </c>
      <c r="AB52">
        <v>56.94</v>
      </c>
      <c r="AC52">
        <v>42.98</v>
      </c>
      <c r="AD52">
        <v>628.09</v>
      </c>
      <c r="AE52">
        <v>685.24</v>
      </c>
      <c r="AF52">
        <v>45.33</v>
      </c>
      <c r="AG52">
        <v>59.564999999999998</v>
      </c>
      <c r="AH52">
        <v>49.23</v>
      </c>
      <c r="AI52">
        <v>51.93</v>
      </c>
    </row>
    <row r="53" spans="1:35" x14ac:dyDescent="0.45">
      <c r="A53" s="2">
        <v>45954</v>
      </c>
      <c r="B53">
        <v>34.479999999999997</v>
      </c>
      <c r="C53">
        <v>34.369999999999997</v>
      </c>
      <c r="D53">
        <v>18.3</v>
      </c>
      <c r="E53">
        <v>24.7</v>
      </c>
      <c r="F53">
        <v>33.909999999999997</v>
      </c>
      <c r="G53">
        <v>61.62</v>
      </c>
      <c r="H53">
        <v>25.69</v>
      </c>
      <c r="I53">
        <v>66.48</v>
      </c>
      <c r="J53">
        <v>65.37</v>
      </c>
      <c r="K53">
        <v>92.05</v>
      </c>
      <c r="L53">
        <v>30.48</v>
      </c>
      <c r="M53">
        <v>65.180000000000007</v>
      </c>
      <c r="N53">
        <v>63.27</v>
      </c>
      <c r="O53">
        <v>54.51</v>
      </c>
      <c r="P53">
        <v>64.510000000000005</v>
      </c>
      <c r="Q53">
        <v>19.29</v>
      </c>
      <c r="R53">
        <v>1290.72</v>
      </c>
      <c r="S53">
        <v>34.04</v>
      </c>
      <c r="T53">
        <v>19.98</v>
      </c>
      <c r="U53">
        <v>18.21</v>
      </c>
      <c r="V53">
        <v>40.729999999999997</v>
      </c>
      <c r="W53">
        <v>45.615000000000002</v>
      </c>
      <c r="X53">
        <v>27.18</v>
      </c>
      <c r="Y53">
        <v>50.84</v>
      </c>
      <c r="Z53">
        <v>41.59</v>
      </c>
      <c r="AA53">
        <v>82.5</v>
      </c>
      <c r="AB53">
        <v>57.12</v>
      </c>
      <c r="AC53">
        <v>42.78</v>
      </c>
      <c r="AD53">
        <v>617.1</v>
      </c>
      <c r="AE53">
        <v>677.25</v>
      </c>
      <c r="AF53">
        <v>45.11</v>
      </c>
      <c r="AG53">
        <v>58.91</v>
      </c>
      <c r="AH53">
        <v>48.86</v>
      </c>
      <c r="AI53">
        <v>51.27</v>
      </c>
    </row>
    <row r="54" spans="1:35" x14ac:dyDescent="0.45">
      <c r="A54" s="2">
        <v>45953</v>
      </c>
      <c r="B54">
        <v>34.06</v>
      </c>
      <c r="C54">
        <v>34.200000000000003</v>
      </c>
      <c r="D54">
        <v>18.3</v>
      </c>
      <c r="E54">
        <v>24.99</v>
      </c>
      <c r="F54">
        <v>34.17</v>
      </c>
      <c r="G54">
        <v>61.61</v>
      </c>
      <c r="H54">
        <v>25.65</v>
      </c>
      <c r="I54">
        <v>65.709999999999994</v>
      </c>
      <c r="J54">
        <v>66.02</v>
      </c>
      <c r="K54">
        <v>90.07</v>
      </c>
      <c r="L54">
        <v>30.47</v>
      </c>
      <c r="M54">
        <v>64.930000000000007</v>
      </c>
      <c r="N54">
        <v>64.06</v>
      </c>
      <c r="O54">
        <v>54.76</v>
      </c>
      <c r="P54">
        <v>64.11</v>
      </c>
      <c r="Q54">
        <v>19.260000000000002</v>
      </c>
      <c r="R54">
        <v>1284.47</v>
      </c>
      <c r="S54">
        <v>33.11</v>
      </c>
      <c r="T54">
        <v>19.920000000000002</v>
      </c>
      <c r="U54">
        <v>18.29</v>
      </c>
      <c r="V54">
        <v>40.67</v>
      </c>
      <c r="W54">
        <v>45.52</v>
      </c>
      <c r="X54">
        <v>27.19</v>
      </c>
      <c r="Y54">
        <v>50.58</v>
      </c>
      <c r="Z54">
        <v>41.55</v>
      </c>
      <c r="AA54">
        <v>82.22</v>
      </c>
      <c r="AB54">
        <v>57.17</v>
      </c>
      <c r="AC54">
        <v>42.6</v>
      </c>
      <c r="AD54">
        <v>610.58000000000004</v>
      </c>
      <c r="AE54">
        <v>671.76</v>
      </c>
      <c r="AF54">
        <v>45.27</v>
      </c>
      <c r="AG54">
        <v>58.87</v>
      </c>
      <c r="AH54">
        <v>48.65</v>
      </c>
      <c r="AI54">
        <v>51.17</v>
      </c>
    </row>
    <row r="55" spans="1:35" x14ac:dyDescent="0.45">
      <c r="A55" s="2">
        <v>45952</v>
      </c>
      <c r="B55">
        <v>33.86</v>
      </c>
      <c r="C55">
        <v>33.47</v>
      </c>
      <c r="D55">
        <v>17.89</v>
      </c>
      <c r="E55">
        <v>24.82</v>
      </c>
      <c r="F55">
        <v>33.83</v>
      </c>
      <c r="G55">
        <v>60.71</v>
      </c>
      <c r="H55">
        <v>25.47</v>
      </c>
      <c r="I55">
        <v>65.03</v>
      </c>
      <c r="J55">
        <v>65.510000000000005</v>
      </c>
      <c r="K55">
        <v>89.45</v>
      </c>
      <c r="L55">
        <v>30.03</v>
      </c>
      <c r="M55">
        <v>63.58</v>
      </c>
      <c r="N55">
        <v>63.56</v>
      </c>
      <c r="O55">
        <v>55.29</v>
      </c>
      <c r="P55">
        <v>63.03</v>
      </c>
      <c r="Q55">
        <v>19.14</v>
      </c>
      <c r="R55">
        <v>1274.6099999999999</v>
      </c>
      <c r="S55">
        <v>32.96</v>
      </c>
      <c r="T55">
        <v>19.690000000000001</v>
      </c>
      <c r="U55">
        <v>18.170000000000002</v>
      </c>
      <c r="V55">
        <v>40.51</v>
      </c>
      <c r="W55">
        <v>45.230899999999998</v>
      </c>
      <c r="X55">
        <v>27.07</v>
      </c>
      <c r="Y55">
        <v>50.2</v>
      </c>
      <c r="Z55">
        <v>41.44</v>
      </c>
      <c r="AA55">
        <v>82.18</v>
      </c>
      <c r="AB55">
        <v>57.14</v>
      </c>
      <c r="AC55">
        <v>42.41</v>
      </c>
      <c r="AD55">
        <v>605.49</v>
      </c>
      <c r="AE55">
        <v>667.8</v>
      </c>
      <c r="AF55">
        <v>44.91</v>
      </c>
      <c r="AG55">
        <v>58.12</v>
      </c>
      <c r="AH55">
        <v>48.36</v>
      </c>
      <c r="AI55">
        <v>50.66</v>
      </c>
    </row>
    <row r="56" spans="1:35" x14ac:dyDescent="0.45">
      <c r="A56" s="2">
        <v>45951</v>
      </c>
      <c r="B56">
        <v>33.880000000000003</v>
      </c>
      <c r="C56">
        <v>33.5</v>
      </c>
      <c r="D56">
        <v>18.170000000000002</v>
      </c>
      <c r="E56">
        <v>25.11</v>
      </c>
      <c r="F56">
        <v>33.1</v>
      </c>
      <c r="G56">
        <v>61.35</v>
      </c>
      <c r="H56">
        <v>25.74</v>
      </c>
      <c r="I56">
        <v>65.78</v>
      </c>
      <c r="J56">
        <v>65.069999999999993</v>
      </c>
      <c r="K56">
        <v>88.64</v>
      </c>
      <c r="L56">
        <v>29.94</v>
      </c>
      <c r="M56">
        <v>63.27</v>
      </c>
      <c r="N56">
        <v>63.28</v>
      </c>
      <c r="O56">
        <v>54.48</v>
      </c>
      <c r="P56">
        <v>63.44</v>
      </c>
      <c r="Q56">
        <v>19.09</v>
      </c>
      <c r="R56">
        <v>1291.46</v>
      </c>
      <c r="S56">
        <v>32.72</v>
      </c>
      <c r="T56">
        <v>19.579999999999998</v>
      </c>
      <c r="U56">
        <v>18.045000000000002</v>
      </c>
      <c r="V56">
        <v>40.47</v>
      </c>
      <c r="W56">
        <v>45.325000000000003</v>
      </c>
      <c r="X56">
        <v>27.11</v>
      </c>
      <c r="Y56">
        <v>49.99</v>
      </c>
      <c r="Z56">
        <v>41.69</v>
      </c>
      <c r="AA56">
        <v>82.57</v>
      </c>
      <c r="AB56">
        <v>57.11</v>
      </c>
      <c r="AC56">
        <v>41.96</v>
      </c>
      <c r="AD56">
        <v>611.38</v>
      </c>
      <c r="AE56">
        <v>671.29</v>
      </c>
      <c r="AF56">
        <v>44.98</v>
      </c>
      <c r="AG56">
        <v>58.35</v>
      </c>
      <c r="AH56">
        <v>48.54</v>
      </c>
      <c r="AI56">
        <v>51.1</v>
      </c>
    </row>
    <row r="57" spans="1:35" x14ac:dyDescent="0.45">
      <c r="A57" s="2">
        <v>45950</v>
      </c>
      <c r="B57">
        <v>33.64</v>
      </c>
      <c r="C57">
        <v>33.85</v>
      </c>
      <c r="D57">
        <v>17.82</v>
      </c>
      <c r="E57">
        <v>25.33</v>
      </c>
      <c r="F57">
        <v>33.49</v>
      </c>
      <c r="G57">
        <v>64</v>
      </c>
      <c r="H57">
        <v>25.82</v>
      </c>
      <c r="I57">
        <v>66.17</v>
      </c>
      <c r="J57">
        <v>65.94</v>
      </c>
      <c r="K57">
        <v>90.43</v>
      </c>
      <c r="L57">
        <v>30.22</v>
      </c>
      <c r="M57">
        <v>66.209999999999994</v>
      </c>
      <c r="N57">
        <v>62.99</v>
      </c>
      <c r="O57">
        <v>54.74</v>
      </c>
      <c r="P57">
        <v>64.12</v>
      </c>
      <c r="Q57">
        <v>19.135000000000002</v>
      </c>
      <c r="R57">
        <v>1286.69</v>
      </c>
      <c r="S57">
        <v>32.76</v>
      </c>
      <c r="T57">
        <v>19.57</v>
      </c>
      <c r="U57">
        <v>18.2</v>
      </c>
      <c r="V57">
        <v>40.89</v>
      </c>
      <c r="W57">
        <v>45.56</v>
      </c>
      <c r="X57">
        <v>27.26</v>
      </c>
      <c r="Y57">
        <v>50.72</v>
      </c>
      <c r="Z57">
        <v>41.88</v>
      </c>
      <c r="AA57">
        <v>83.54</v>
      </c>
      <c r="AB57">
        <v>57.68</v>
      </c>
      <c r="AC57">
        <v>42.16</v>
      </c>
      <c r="AD57">
        <v>611.54</v>
      </c>
      <c r="AE57">
        <v>671.3</v>
      </c>
      <c r="AF57">
        <v>45.2</v>
      </c>
      <c r="AG57">
        <v>58.85</v>
      </c>
      <c r="AH57">
        <v>48.09</v>
      </c>
      <c r="AI57">
        <v>51.24</v>
      </c>
    </row>
    <row r="58" spans="1:35" x14ac:dyDescent="0.45">
      <c r="A58" s="2">
        <v>45947</v>
      </c>
      <c r="B58">
        <v>33.61</v>
      </c>
      <c r="C58">
        <v>33.36</v>
      </c>
      <c r="D58">
        <v>17.3</v>
      </c>
      <c r="E58">
        <v>25.41</v>
      </c>
      <c r="F58">
        <v>32.92</v>
      </c>
      <c r="G58">
        <v>62.97</v>
      </c>
      <c r="H58">
        <v>25.7</v>
      </c>
      <c r="I58">
        <v>65.09</v>
      </c>
      <c r="J58">
        <v>66.13</v>
      </c>
      <c r="K58">
        <v>88.52</v>
      </c>
      <c r="L58">
        <v>29.71</v>
      </c>
      <c r="M58">
        <v>65.41</v>
      </c>
      <c r="N58">
        <v>62.75</v>
      </c>
      <c r="O58">
        <v>54.45</v>
      </c>
      <c r="P58">
        <v>63.31</v>
      </c>
      <c r="Q58">
        <v>19.085000000000001</v>
      </c>
      <c r="R58">
        <v>1266.3800000000001</v>
      </c>
      <c r="S58">
        <v>31.9</v>
      </c>
      <c r="T58">
        <v>19.63</v>
      </c>
      <c r="U58">
        <v>19.2</v>
      </c>
      <c r="V58">
        <v>40.78</v>
      </c>
      <c r="W58">
        <v>45.174999999999997</v>
      </c>
      <c r="X58">
        <v>26.92</v>
      </c>
      <c r="Y58">
        <v>50.28</v>
      </c>
      <c r="Z58">
        <v>41.38</v>
      </c>
      <c r="AA58">
        <v>82</v>
      </c>
      <c r="AB58">
        <v>57.78</v>
      </c>
      <c r="AC58">
        <v>42.07</v>
      </c>
      <c r="AD58">
        <v>603.92999999999995</v>
      </c>
      <c r="AE58">
        <v>664.39</v>
      </c>
      <c r="AF58">
        <v>45.23</v>
      </c>
      <c r="AG58">
        <v>58.65</v>
      </c>
      <c r="AH58">
        <v>47.79</v>
      </c>
      <c r="AI58">
        <v>50.77</v>
      </c>
    </row>
    <row r="59" spans="1:35" x14ac:dyDescent="0.45">
      <c r="A59" s="2">
        <v>45946</v>
      </c>
      <c r="B59">
        <v>34.020000000000003</v>
      </c>
      <c r="C59">
        <v>33.4</v>
      </c>
      <c r="D59">
        <v>17.36</v>
      </c>
      <c r="E59">
        <v>25.42</v>
      </c>
      <c r="F59">
        <v>32.83</v>
      </c>
      <c r="G59">
        <v>64.55</v>
      </c>
      <c r="H59">
        <v>25.58</v>
      </c>
      <c r="I59">
        <v>65.17</v>
      </c>
      <c r="J59">
        <v>67.05</v>
      </c>
      <c r="K59">
        <v>87.88</v>
      </c>
      <c r="L59">
        <v>29.24</v>
      </c>
      <c r="M59">
        <v>67.33</v>
      </c>
      <c r="N59">
        <v>63.87</v>
      </c>
      <c r="O59">
        <v>54.064999999999998</v>
      </c>
      <c r="P59">
        <v>63.4</v>
      </c>
      <c r="Q59">
        <v>19.1356</v>
      </c>
      <c r="R59">
        <v>1286.98</v>
      </c>
      <c r="S59">
        <v>32.340000000000003</v>
      </c>
      <c r="T59">
        <v>19.47</v>
      </c>
      <c r="U59">
        <v>19.64</v>
      </c>
      <c r="V59">
        <v>40.78</v>
      </c>
      <c r="W59">
        <v>45.42</v>
      </c>
      <c r="X59">
        <v>26.97</v>
      </c>
      <c r="Y59">
        <v>50.62</v>
      </c>
      <c r="Z59">
        <v>41.59</v>
      </c>
      <c r="AA59">
        <v>81.55</v>
      </c>
      <c r="AB59">
        <v>57.47</v>
      </c>
      <c r="AC59">
        <v>41.99</v>
      </c>
      <c r="AD59">
        <v>599.99</v>
      </c>
      <c r="AE59">
        <v>660.64</v>
      </c>
      <c r="AF59">
        <v>45.15</v>
      </c>
      <c r="AG59">
        <v>58.49</v>
      </c>
      <c r="AH59">
        <v>47.8</v>
      </c>
      <c r="AI59">
        <v>50.88</v>
      </c>
    </row>
    <row r="60" spans="1:35" x14ac:dyDescent="0.45">
      <c r="A60" s="2">
        <v>45945</v>
      </c>
      <c r="B60">
        <v>33.99</v>
      </c>
      <c r="C60">
        <v>33.409999999999997</v>
      </c>
      <c r="D60">
        <v>17.21</v>
      </c>
      <c r="E60">
        <v>25.44</v>
      </c>
      <c r="F60">
        <v>32.9</v>
      </c>
      <c r="G60">
        <v>64.099999999999994</v>
      </c>
      <c r="H60">
        <v>25.66</v>
      </c>
      <c r="I60">
        <v>64.989999999999995</v>
      </c>
      <c r="J60">
        <v>65.87</v>
      </c>
      <c r="K60">
        <v>85.17</v>
      </c>
      <c r="L60">
        <v>29.32</v>
      </c>
      <c r="M60">
        <v>66.03</v>
      </c>
      <c r="N60">
        <v>64.67</v>
      </c>
      <c r="O60">
        <v>53.76</v>
      </c>
      <c r="P60">
        <v>63.25</v>
      </c>
      <c r="Q60">
        <v>19.070699999999999</v>
      </c>
      <c r="R60">
        <v>1313.99</v>
      </c>
      <c r="S60">
        <v>32.56</v>
      </c>
      <c r="T60">
        <v>19.47</v>
      </c>
      <c r="U60">
        <v>19.420000000000002</v>
      </c>
      <c r="V60">
        <v>40.89</v>
      </c>
      <c r="W60">
        <v>45.14</v>
      </c>
      <c r="X60">
        <v>26.89</v>
      </c>
      <c r="Y60">
        <v>50.96</v>
      </c>
      <c r="Z60">
        <v>41.53</v>
      </c>
      <c r="AA60">
        <v>81.290000000000006</v>
      </c>
      <c r="AB60">
        <v>56.64</v>
      </c>
      <c r="AC60">
        <v>42.02</v>
      </c>
      <c r="AD60">
        <v>602.22</v>
      </c>
      <c r="AE60">
        <v>665.17</v>
      </c>
      <c r="AF60">
        <v>44.42</v>
      </c>
      <c r="AG60">
        <v>58.27</v>
      </c>
      <c r="AH60">
        <v>47.58</v>
      </c>
      <c r="AI60">
        <v>50.47</v>
      </c>
    </row>
    <row r="61" spans="1:35" x14ac:dyDescent="0.45">
      <c r="A61" s="2">
        <v>45944</v>
      </c>
      <c r="B61">
        <v>33.549999999999997</v>
      </c>
      <c r="C61">
        <v>32.799999999999997</v>
      </c>
      <c r="D61">
        <v>17.22</v>
      </c>
      <c r="E61">
        <v>25.45</v>
      </c>
      <c r="F61">
        <v>32.22</v>
      </c>
      <c r="G61">
        <v>63.3</v>
      </c>
      <c r="H61">
        <v>25.72</v>
      </c>
      <c r="I61">
        <v>63.7</v>
      </c>
      <c r="J61">
        <v>64.84</v>
      </c>
      <c r="K61">
        <v>82.69</v>
      </c>
      <c r="L61">
        <v>29.1</v>
      </c>
      <c r="M61">
        <v>65.31</v>
      </c>
      <c r="N61">
        <v>64.83</v>
      </c>
      <c r="O61">
        <v>52.78</v>
      </c>
      <c r="P61">
        <v>62.58</v>
      </c>
      <c r="Q61">
        <v>19.204999999999998</v>
      </c>
      <c r="R61">
        <v>1304.92</v>
      </c>
      <c r="S61">
        <v>32.35</v>
      </c>
      <c r="T61">
        <v>19.57</v>
      </c>
      <c r="U61">
        <v>19.690000000000001</v>
      </c>
      <c r="V61">
        <v>40.75</v>
      </c>
      <c r="W61">
        <v>45.066499999999998</v>
      </c>
      <c r="X61">
        <v>26.7</v>
      </c>
      <c r="Y61">
        <v>50.53</v>
      </c>
      <c r="Z61">
        <v>41.67</v>
      </c>
      <c r="AA61">
        <v>80.040000000000006</v>
      </c>
      <c r="AB61">
        <v>56.33</v>
      </c>
      <c r="AC61">
        <v>42.06</v>
      </c>
      <c r="AD61">
        <v>598</v>
      </c>
      <c r="AE61">
        <v>662.23</v>
      </c>
      <c r="AF61">
        <v>44.13</v>
      </c>
      <c r="AG61">
        <v>57.76</v>
      </c>
      <c r="AH61">
        <v>47.45</v>
      </c>
      <c r="AI61">
        <v>50.79</v>
      </c>
    </row>
    <row r="62" spans="1:35" x14ac:dyDescent="0.45">
      <c r="A62" s="2">
        <v>45943</v>
      </c>
      <c r="B62">
        <v>33.94</v>
      </c>
      <c r="C62">
        <v>32.119999999999997</v>
      </c>
      <c r="D62">
        <v>17.57</v>
      </c>
      <c r="E62">
        <v>25.3</v>
      </c>
      <c r="F62">
        <v>32.409999999999997</v>
      </c>
      <c r="G62">
        <v>63.41</v>
      </c>
      <c r="H62">
        <v>25.71</v>
      </c>
      <c r="I62">
        <v>64.56</v>
      </c>
      <c r="J62">
        <v>65.47</v>
      </c>
      <c r="K62">
        <v>83.62</v>
      </c>
      <c r="L62">
        <v>29.18</v>
      </c>
      <c r="M62">
        <v>66.010000000000005</v>
      </c>
      <c r="N62">
        <v>65.61</v>
      </c>
      <c r="O62">
        <v>52.97</v>
      </c>
      <c r="P62">
        <v>63.3</v>
      </c>
      <c r="Q62">
        <v>19.254999999999999</v>
      </c>
      <c r="R62">
        <v>1305.24</v>
      </c>
      <c r="S62">
        <v>33.04</v>
      </c>
      <c r="T62">
        <v>19.16</v>
      </c>
      <c r="U62">
        <v>19.59</v>
      </c>
      <c r="V62">
        <v>40.69</v>
      </c>
      <c r="W62">
        <v>45.45</v>
      </c>
      <c r="X62">
        <v>26.66</v>
      </c>
      <c r="Y62">
        <v>50.59</v>
      </c>
      <c r="Z62">
        <v>41.78</v>
      </c>
      <c r="AA62">
        <v>79.290000000000006</v>
      </c>
      <c r="AB62">
        <v>56.08</v>
      </c>
      <c r="AC62">
        <v>41.99</v>
      </c>
      <c r="AD62">
        <v>602.01</v>
      </c>
      <c r="AE62">
        <v>663.04</v>
      </c>
      <c r="AF62">
        <v>43.35</v>
      </c>
      <c r="AG62">
        <v>57.75</v>
      </c>
      <c r="AH62">
        <v>47.32</v>
      </c>
      <c r="AI62">
        <v>50.5</v>
      </c>
    </row>
    <row r="63" spans="1:35" x14ac:dyDescent="0.45">
      <c r="A63" s="2">
        <v>45940</v>
      </c>
      <c r="B63">
        <v>32.92</v>
      </c>
      <c r="C63">
        <v>31.5</v>
      </c>
      <c r="D63">
        <v>17.309999999999999</v>
      </c>
      <c r="E63">
        <v>24.87</v>
      </c>
      <c r="F63">
        <v>31.78</v>
      </c>
      <c r="G63">
        <v>60.91</v>
      </c>
      <c r="H63">
        <v>25.33</v>
      </c>
      <c r="I63">
        <v>61.62</v>
      </c>
      <c r="J63">
        <v>64.39</v>
      </c>
      <c r="K63">
        <v>80.72</v>
      </c>
      <c r="L63">
        <v>28.79</v>
      </c>
      <c r="M63">
        <v>63.32</v>
      </c>
      <c r="N63">
        <v>65.45</v>
      </c>
      <c r="O63">
        <v>52.77</v>
      </c>
      <c r="P63">
        <v>61.39</v>
      </c>
      <c r="Q63">
        <v>19.23</v>
      </c>
      <c r="R63">
        <v>1285.6400000000001</v>
      </c>
      <c r="S63">
        <v>32.840000000000003</v>
      </c>
      <c r="T63">
        <v>19</v>
      </c>
      <c r="U63">
        <v>18.98</v>
      </c>
      <c r="V63">
        <v>39.81</v>
      </c>
      <c r="W63">
        <v>45.805</v>
      </c>
      <c r="X63">
        <v>26.44</v>
      </c>
      <c r="Y63">
        <v>49.86</v>
      </c>
      <c r="Z63">
        <v>41.52</v>
      </c>
      <c r="AA63">
        <v>78.36</v>
      </c>
      <c r="AB63">
        <v>56.1</v>
      </c>
      <c r="AC63">
        <v>41.73</v>
      </c>
      <c r="AD63">
        <v>589.5</v>
      </c>
      <c r="AE63">
        <v>653.02</v>
      </c>
      <c r="AF63">
        <v>43.29</v>
      </c>
      <c r="AG63">
        <v>56.64</v>
      </c>
      <c r="AH63">
        <v>46.92</v>
      </c>
      <c r="AI63">
        <v>50.31</v>
      </c>
    </row>
    <row r="64" spans="1:35" x14ac:dyDescent="0.45">
      <c r="A64" s="2">
        <v>45939</v>
      </c>
      <c r="B64">
        <v>34.44</v>
      </c>
      <c r="C64">
        <v>32.520000000000003</v>
      </c>
      <c r="D64">
        <v>17.649999999999999</v>
      </c>
      <c r="E64">
        <v>25.2</v>
      </c>
      <c r="F64">
        <v>32.28</v>
      </c>
      <c r="G64">
        <v>62.65</v>
      </c>
      <c r="H64">
        <v>25.98</v>
      </c>
      <c r="I64">
        <v>64.83</v>
      </c>
      <c r="J64">
        <v>65.42</v>
      </c>
      <c r="K64">
        <v>83.43</v>
      </c>
      <c r="L64">
        <v>29.67</v>
      </c>
      <c r="M64">
        <v>65.06</v>
      </c>
      <c r="N64">
        <v>65.7</v>
      </c>
      <c r="O64">
        <v>52.81</v>
      </c>
      <c r="P64">
        <v>65.12</v>
      </c>
      <c r="Q64">
        <v>19.329999999999998</v>
      </c>
      <c r="R64">
        <v>1293.6099999999999</v>
      </c>
      <c r="S64">
        <v>33.369999999999997</v>
      </c>
      <c r="T64">
        <v>19.25</v>
      </c>
      <c r="U64">
        <v>18.75</v>
      </c>
      <c r="V64">
        <v>40.68</v>
      </c>
      <c r="W64">
        <v>46.575000000000003</v>
      </c>
      <c r="X64">
        <v>26.92</v>
      </c>
      <c r="Y64">
        <v>50.53</v>
      </c>
      <c r="Z64">
        <v>42.09</v>
      </c>
      <c r="AA64">
        <v>81.55</v>
      </c>
      <c r="AB64">
        <v>56.36</v>
      </c>
      <c r="AC64">
        <v>42.07</v>
      </c>
      <c r="AD64">
        <v>610.70000000000005</v>
      </c>
      <c r="AE64">
        <v>671.16</v>
      </c>
      <c r="AF64">
        <v>43.89</v>
      </c>
      <c r="AG64">
        <v>57.89</v>
      </c>
      <c r="AH64">
        <v>47.2</v>
      </c>
      <c r="AI64">
        <v>51.13</v>
      </c>
    </row>
    <row r="65" spans="1:35" x14ac:dyDescent="0.45">
      <c r="A65" s="2">
        <v>45938</v>
      </c>
      <c r="B65">
        <v>34.21</v>
      </c>
      <c r="C65">
        <v>32.79</v>
      </c>
      <c r="D65">
        <v>17.45</v>
      </c>
      <c r="E65">
        <v>25.67</v>
      </c>
      <c r="F65">
        <v>32.619999999999997</v>
      </c>
      <c r="G65">
        <v>63.53</v>
      </c>
      <c r="H65">
        <v>26.02</v>
      </c>
      <c r="I65">
        <v>65.650000000000006</v>
      </c>
      <c r="J65">
        <v>65.73</v>
      </c>
      <c r="K65">
        <v>84.19</v>
      </c>
      <c r="L65">
        <v>29.87</v>
      </c>
      <c r="M65">
        <v>66.8</v>
      </c>
      <c r="N65">
        <v>65.62</v>
      </c>
      <c r="O65">
        <v>52.63</v>
      </c>
      <c r="P65">
        <v>66.13</v>
      </c>
      <c r="Q65">
        <v>19.309999999999999</v>
      </c>
      <c r="R65">
        <v>1288.29</v>
      </c>
      <c r="S65">
        <v>33.615000000000002</v>
      </c>
      <c r="T65">
        <v>19.29</v>
      </c>
      <c r="U65">
        <v>18.43</v>
      </c>
      <c r="V65">
        <v>40.549999999999997</v>
      </c>
      <c r="W65">
        <v>47.094999999999999</v>
      </c>
      <c r="X65">
        <v>27.23</v>
      </c>
      <c r="Y65">
        <v>51.14</v>
      </c>
      <c r="Z65">
        <v>42.34</v>
      </c>
      <c r="AA65">
        <v>81.75</v>
      </c>
      <c r="AB65">
        <v>56.83</v>
      </c>
      <c r="AC65">
        <v>42.68</v>
      </c>
      <c r="AD65">
        <v>611.44000000000005</v>
      </c>
      <c r="AE65">
        <v>673.11</v>
      </c>
      <c r="AF65">
        <v>44.3</v>
      </c>
      <c r="AG65">
        <v>58.41</v>
      </c>
      <c r="AH65">
        <v>47.88</v>
      </c>
      <c r="AI65">
        <v>52.29</v>
      </c>
    </row>
    <row r="66" spans="1:35" x14ac:dyDescent="0.45">
      <c r="A66" s="2">
        <v>45937</v>
      </c>
      <c r="B66">
        <v>34.26</v>
      </c>
      <c r="C66">
        <v>32.270000000000003</v>
      </c>
      <c r="D66">
        <v>17.43</v>
      </c>
      <c r="E66">
        <v>25.36</v>
      </c>
      <c r="F66">
        <v>32.58</v>
      </c>
      <c r="G66">
        <v>61.87</v>
      </c>
      <c r="H66">
        <v>25.99</v>
      </c>
      <c r="I66">
        <v>64.81</v>
      </c>
      <c r="J66">
        <v>65.040000000000006</v>
      </c>
      <c r="K66">
        <v>83.35</v>
      </c>
      <c r="L66">
        <v>29.68</v>
      </c>
      <c r="M66">
        <v>64.790000000000006</v>
      </c>
      <c r="N66">
        <v>65.33</v>
      </c>
      <c r="O66">
        <v>52.88</v>
      </c>
      <c r="P66">
        <v>65.81</v>
      </c>
      <c r="Q66">
        <v>19.260000000000002</v>
      </c>
      <c r="R66">
        <v>1275.03</v>
      </c>
      <c r="S66">
        <v>33.69</v>
      </c>
      <c r="T66">
        <v>19.13</v>
      </c>
      <c r="U66">
        <v>18.23</v>
      </c>
      <c r="V66">
        <v>40.590000000000003</v>
      </c>
      <c r="W66">
        <v>47.05</v>
      </c>
      <c r="X66">
        <v>27.14</v>
      </c>
      <c r="Y66">
        <v>50.94</v>
      </c>
      <c r="Z66">
        <v>42.07</v>
      </c>
      <c r="AA66">
        <v>81.96</v>
      </c>
      <c r="AB66">
        <v>56.55</v>
      </c>
      <c r="AC66">
        <v>42.45</v>
      </c>
      <c r="AD66">
        <v>604.51</v>
      </c>
      <c r="AE66">
        <v>669.12</v>
      </c>
      <c r="AF66">
        <v>43.79</v>
      </c>
      <c r="AG66">
        <v>58.56</v>
      </c>
      <c r="AH66">
        <v>47.82</v>
      </c>
      <c r="AI66">
        <v>51.94</v>
      </c>
    </row>
    <row r="67" spans="1:35" x14ac:dyDescent="0.45">
      <c r="A67" s="2">
        <v>45936</v>
      </c>
      <c r="B67">
        <v>34.369999999999997</v>
      </c>
      <c r="C67">
        <v>32.049999999999997</v>
      </c>
      <c r="D67">
        <v>17.420000000000002</v>
      </c>
      <c r="E67">
        <v>25.1</v>
      </c>
      <c r="F67">
        <v>32.51</v>
      </c>
      <c r="G67">
        <v>62.71</v>
      </c>
      <c r="H67">
        <v>26.09</v>
      </c>
      <c r="I67">
        <v>65.03</v>
      </c>
      <c r="J67">
        <v>65.44</v>
      </c>
      <c r="K67">
        <v>84.78</v>
      </c>
      <c r="L67">
        <v>30.31</v>
      </c>
      <c r="M67">
        <v>65.319999999999993</v>
      </c>
      <c r="N67">
        <v>65.38</v>
      </c>
      <c r="O67">
        <v>52.76</v>
      </c>
      <c r="P67">
        <v>66.64</v>
      </c>
      <c r="Q67">
        <v>19.215</v>
      </c>
      <c r="R67">
        <v>1274.17</v>
      </c>
      <c r="S67">
        <v>33.47</v>
      </c>
      <c r="T67">
        <v>19.04</v>
      </c>
      <c r="U67">
        <v>18.434999999999999</v>
      </c>
      <c r="V67">
        <v>40.770000000000003</v>
      </c>
      <c r="W67">
        <v>47.134999999999998</v>
      </c>
      <c r="X67">
        <v>27.36</v>
      </c>
      <c r="Y67">
        <v>51.3</v>
      </c>
      <c r="Z67">
        <v>42.42</v>
      </c>
      <c r="AA67">
        <v>83.27</v>
      </c>
      <c r="AB67">
        <v>56.72</v>
      </c>
      <c r="AC67">
        <v>42.58</v>
      </c>
      <c r="AD67">
        <v>607.71</v>
      </c>
      <c r="AE67">
        <v>671.61</v>
      </c>
      <c r="AF67">
        <v>44.19</v>
      </c>
      <c r="AG67">
        <v>59.68</v>
      </c>
      <c r="AH67">
        <v>48.26</v>
      </c>
      <c r="AI67">
        <v>52.26</v>
      </c>
    </row>
    <row r="68" spans="1:35" x14ac:dyDescent="0.45">
      <c r="A68" s="2">
        <v>45933</v>
      </c>
      <c r="B68">
        <v>34.39</v>
      </c>
      <c r="C68">
        <v>32.32</v>
      </c>
      <c r="D68">
        <v>17.43</v>
      </c>
      <c r="E68">
        <v>25.59</v>
      </c>
      <c r="F68">
        <v>32.92</v>
      </c>
      <c r="G68">
        <v>62.31</v>
      </c>
      <c r="H68">
        <v>26.2</v>
      </c>
      <c r="I68">
        <v>64.64</v>
      </c>
      <c r="J68">
        <v>66.81</v>
      </c>
      <c r="K68">
        <v>83.85</v>
      </c>
      <c r="L68">
        <v>30.33</v>
      </c>
      <c r="M68">
        <v>65.06</v>
      </c>
      <c r="N68">
        <v>66.17</v>
      </c>
      <c r="O68">
        <v>52.45</v>
      </c>
      <c r="P68">
        <v>66.55</v>
      </c>
      <c r="Q68">
        <v>19.295000000000002</v>
      </c>
      <c r="R68">
        <v>1288.07</v>
      </c>
      <c r="S68">
        <v>33.74</v>
      </c>
      <c r="T68">
        <v>19.11</v>
      </c>
      <c r="U68">
        <v>17.53</v>
      </c>
      <c r="V68">
        <v>40.49</v>
      </c>
      <c r="W68">
        <v>47.188299999999998</v>
      </c>
      <c r="X68">
        <v>27.43</v>
      </c>
      <c r="Y68">
        <v>51.24</v>
      </c>
      <c r="Z68">
        <v>42.43</v>
      </c>
      <c r="AA68">
        <v>81.78</v>
      </c>
      <c r="AB68">
        <v>56.66</v>
      </c>
      <c r="AC68">
        <v>42.64</v>
      </c>
      <c r="AD68">
        <v>603.17999999999995</v>
      </c>
      <c r="AE68">
        <v>669.21</v>
      </c>
      <c r="AF68">
        <v>44.91</v>
      </c>
      <c r="AG68">
        <v>59.62</v>
      </c>
      <c r="AH68">
        <v>48.2</v>
      </c>
      <c r="AI68">
        <v>52.61</v>
      </c>
    </row>
    <row r="69" spans="1:35" x14ac:dyDescent="0.45">
      <c r="A69" s="2">
        <v>45932</v>
      </c>
      <c r="B69">
        <v>34.5182</v>
      </c>
      <c r="C69">
        <v>32.4</v>
      </c>
      <c r="D69">
        <v>17.440000000000001</v>
      </c>
      <c r="E69">
        <v>25.22</v>
      </c>
      <c r="F69">
        <v>32.81</v>
      </c>
      <c r="G69">
        <v>61.33</v>
      </c>
      <c r="H69">
        <v>26.27</v>
      </c>
      <c r="I69">
        <v>64</v>
      </c>
      <c r="J69">
        <v>66.900000000000006</v>
      </c>
      <c r="K69">
        <v>83.53</v>
      </c>
      <c r="L69">
        <v>30.24</v>
      </c>
      <c r="M69">
        <v>64.209999999999994</v>
      </c>
      <c r="N69">
        <v>65.25</v>
      </c>
      <c r="O69">
        <v>52.3</v>
      </c>
      <c r="P69">
        <v>66.989999999999995</v>
      </c>
      <c r="Q69">
        <v>19.274999999999999</v>
      </c>
      <c r="R69">
        <v>1278.74</v>
      </c>
      <c r="S69">
        <v>34.450000000000003</v>
      </c>
      <c r="T69">
        <v>19.079999999999998</v>
      </c>
      <c r="U69">
        <v>17.515000000000001</v>
      </c>
      <c r="V69">
        <v>40.479999999999997</v>
      </c>
      <c r="W69">
        <v>46.68</v>
      </c>
      <c r="X69">
        <v>27.18</v>
      </c>
      <c r="Y69">
        <v>50.59</v>
      </c>
      <c r="Z69">
        <v>42.47</v>
      </c>
      <c r="AA69">
        <v>80.150000000000006</v>
      </c>
      <c r="AB69">
        <v>56.25</v>
      </c>
      <c r="AC69">
        <v>42.26</v>
      </c>
      <c r="AD69">
        <v>605.73</v>
      </c>
      <c r="AE69">
        <v>669.22</v>
      </c>
      <c r="AF69">
        <v>44.77</v>
      </c>
      <c r="AG69">
        <v>59.51</v>
      </c>
      <c r="AH69">
        <v>47.94</v>
      </c>
      <c r="AI69">
        <v>52.33</v>
      </c>
    </row>
    <row r="70" spans="1:35" x14ac:dyDescent="0.45">
      <c r="A70" s="2">
        <v>45931</v>
      </c>
      <c r="B70">
        <v>34.369500000000002</v>
      </c>
      <c r="C70">
        <v>32.71</v>
      </c>
      <c r="D70">
        <v>17.46</v>
      </c>
      <c r="E70">
        <v>25.2</v>
      </c>
      <c r="F70">
        <v>32.6</v>
      </c>
      <c r="G70">
        <v>61.05</v>
      </c>
      <c r="H70">
        <v>26.21</v>
      </c>
      <c r="I70">
        <v>64.14</v>
      </c>
      <c r="J70">
        <v>66.78</v>
      </c>
      <c r="K70">
        <v>81.89</v>
      </c>
      <c r="L70">
        <v>30.58</v>
      </c>
      <c r="M70">
        <v>64.75</v>
      </c>
      <c r="N70">
        <v>65.56</v>
      </c>
      <c r="O70">
        <v>52.39</v>
      </c>
      <c r="P70">
        <v>66.25</v>
      </c>
      <c r="Q70">
        <v>19.39</v>
      </c>
      <c r="R70">
        <v>1288.26</v>
      </c>
      <c r="S70">
        <v>34.96</v>
      </c>
      <c r="T70">
        <v>18.989999999999998</v>
      </c>
      <c r="U70">
        <v>18.04</v>
      </c>
      <c r="V70">
        <v>40.25</v>
      </c>
      <c r="W70">
        <v>46.711599999999997</v>
      </c>
      <c r="X70">
        <v>27.15</v>
      </c>
      <c r="Y70">
        <v>50.57</v>
      </c>
      <c r="Z70">
        <v>42.13</v>
      </c>
      <c r="AA70">
        <v>80.209999999999994</v>
      </c>
      <c r="AB70">
        <v>55.94</v>
      </c>
      <c r="AC70">
        <v>42.5</v>
      </c>
      <c r="AD70">
        <v>603.25</v>
      </c>
      <c r="AE70">
        <v>668.45</v>
      </c>
      <c r="AF70">
        <v>44.49</v>
      </c>
      <c r="AG70">
        <v>58.84</v>
      </c>
      <c r="AH70">
        <v>47.61</v>
      </c>
      <c r="AI70">
        <v>52.41</v>
      </c>
    </row>
    <row r="71" spans="1:35" x14ac:dyDescent="0.45">
      <c r="A71" s="2">
        <v>45930</v>
      </c>
      <c r="B71">
        <v>34.340000000000003</v>
      </c>
      <c r="C71">
        <v>32.96</v>
      </c>
      <c r="D71">
        <v>17.55</v>
      </c>
      <c r="E71">
        <v>24.84</v>
      </c>
      <c r="F71">
        <v>32.200000000000003</v>
      </c>
      <c r="G71">
        <v>61.5</v>
      </c>
      <c r="H71">
        <v>25.92</v>
      </c>
      <c r="I71">
        <v>63.62</v>
      </c>
      <c r="J71">
        <v>68.209999999999994</v>
      </c>
      <c r="K71">
        <v>80.099999999999994</v>
      </c>
      <c r="L71">
        <v>31</v>
      </c>
      <c r="M71">
        <v>64.099999999999994</v>
      </c>
      <c r="N71">
        <v>64.400000000000006</v>
      </c>
      <c r="O71">
        <v>52.06</v>
      </c>
      <c r="P71">
        <v>65.849999999999994</v>
      </c>
      <c r="Q71">
        <v>19.53</v>
      </c>
      <c r="R71">
        <v>1278.4100000000001</v>
      </c>
      <c r="S71">
        <v>34.229999999999997</v>
      </c>
      <c r="T71">
        <v>18.89</v>
      </c>
      <c r="U71">
        <v>17.84</v>
      </c>
      <c r="V71">
        <v>40.58</v>
      </c>
      <c r="W71">
        <v>45.933399999999999</v>
      </c>
      <c r="X71">
        <v>27</v>
      </c>
      <c r="Y71">
        <v>50.55</v>
      </c>
      <c r="Z71">
        <v>41.61</v>
      </c>
      <c r="AA71">
        <v>80.209999999999994</v>
      </c>
      <c r="AB71">
        <v>55.24</v>
      </c>
      <c r="AC71">
        <v>41.97</v>
      </c>
      <c r="AD71">
        <v>600.37</v>
      </c>
      <c r="AE71">
        <v>666.18</v>
      </c>
      <c r="AF71">
        <v>43.93</v>
      </c>
      <c r="AG71">
        <v>58.01</v>
      </c>
      <c r="AH71">
        <v>47.2</v>
      </c>
      <c r="AI71">
        <v>51.95</v>
      </c>
    </row>
    <row r="72" spans="1:35" x14ac:dyDescent="0.45">
      <c r="A72" s="2">
        <v>45929</v>
      </c>
      <c r="B72">
        <v>34.200000000000003</v>
      </c>
      <c r="C72">
        <v>32.85</v>
      </c>
      <c r="D72">
        <v>17.690000000000001</v>
      </c>
      <c r="E72">
        <v>25.04</v>
      </c>
      <c r="F72">
        <v>32.11</v>
      </c>
      <c r="G72">
        <v>60.803600000000003</v>
      </c>
      <c r="H72">
        <v>25.78</v>
      </c>
      <c r="I72">
        <v>63.08</v>
      </c>
      <c r="J72">
        <v>67.459999999999994</v>
      </c>
      <c r="K72">
        <v>80.239999999999995</v>
      </c>
      <c r="L72">
        <v>30.99</v>
      </c>
      <c r="M72">
        <v>63.42</v>
      </c>
      <c r="N72">
        <v>64.27</v>
      </c>
      <c r="O72">
        <v>52.16</v>
      </c>
      <c r="P72">
        <v>65.53</v>
      </c>
      <c r="Q72">
        <v>19.425000000000001</v>
      </c>
      <c r="R72">
        <v>1273.2</v>
      </c>
      <c r="S72">
        <v>34.57</v>
      </c>
      <c r="T72">
        <v>18.82</v>
      </c>
      <c r="U72">
        <v>17.690000000000001</v>
      </c>
      <c r="V72">
        <v>40.15</v>
      </c>
      <c r="W72">
        <v>45.484999999999999</v>
      </c>
      <c r="X72">
        <v>26.98</v>
      </c>
      <c r="Y72">
        <v>50.46</v>
      </c>
      <c r="Z72">
        <v>41.31</v>
      </c>
      <c r="AA72">
        <v>80.510000000000005</v>
      </c>
      <c r="AB72">
        <v>54.57</v>
      </c>
      <c r="AC72">
        <v>41.63</v>
      </c>
      <c r="AD72">
        <v>598.73</v>
      </c>
      <c r="AE72">
        <v>663.68</v>
      </c>
      <c r="AF72">
        <v>43.78</v>
      </c>
      <c r="AG72">
        <v>57.67</v>
      </c>
      <c r="AH72">
        <v>47.22</v>
      </c>
      <c r="AI72">
        <v>51.5</v>
      </c>
    </row>
    <row r="73" spans="1:35" x14ac:dyDescent="0.45">
      <c r="A73" s="2">
        <v>45926</v>
      </c>
      <c r="B73">
        <v>33.54</v>
      </c>
      <c r="C73">
        <v>33.17</v>
      </c>
      <c r="D73">
        <v>17.600000000000001</v>
      </c>
      <c r="E73">
        <v>25.12</v>
      </c>
      <c r="F73">
        <v>32.17</v>
      </c>
      <c r="G73">
        <v>59.3</v>
      </c>
      <c r="H73">
        <v>25.73</v>
      </c>
      <c r="I73">
        <v>62.74</v>
      </c>
      <c r="J73">
        <v>67.14</v>
      </c>
      <c r="K73">
        <v>78.87</v>
      </c>
      <c r="L73">
        <v>30.73</v>
      </c>
      <c r="M73">
        <v>63.3</v>
      </c>
      <c r="N73">
        <v>63.82</v>
      </c>
      <c r="O73">
        <v>52.25</v>
      </c>
      <c r="P73">
        <v>64.319999999999993</v>
      </c>
      <c r="Q73">
        <v>19.420000000000002</v>
      </c>
      <c r="R73">
        <v>1282.54</v>
      </c>
      <c r="S73">
        <v>34.770000000000003</v>
      </c>
      <c r="T73">
        <v>18.98</v>
      </c>
      <c r="U73">
        <v>17.55</v>
      </c>
      <c r="V73">
        <v>39.950000000000003</v>
      </c>
      <c r="W73">
        <v>45.365000000000002</v>
      </c>
      <c r="X73">
        <v>26.67</v>
      </c>
      <c r="Y73">
        <v>50.02</v>
      </c>
      <c r="Z73">
        <v>41.2</v>
      </c>
      <c r="AA73">
        <v>80.44</v>
      </c>
      <c r="AB73">
        <v>54.26</v>
      </c>
      <c r="AC73">
        <v>41.58</v>
      </c>
      <c r="AD73">
        <v>595.97</v>
      </c>
      <c r="AE73">
        <v>661.82</v>
      </c>
      <c r="AF73">
        <v>43.59</v>
      </c>
      <c r="AG73">
        <v>57.12</v>
      </c>
      <c r="AH73">
        <v>47.2</v>
      </c>
      <c r="AI73">
        <v>51.54</v>
      </c>
    </row>
    <row r="74" spans="1:35" x14ac:dyDescent="0.45">
      <c r="A74" s="2">
        <v>45925</v>
      </c>
      <c r="B74">
        <v>33.880000000000003</v>
      </c>
      <c r="C74">
        <v>33.21</v>
      </c>
      <c r="D74">
        <v>17.41</v>
      </c>
      <c r="E74">
        <v>25.09</v>
      </c>
      <c r="F74">
        <v>31.57</v>
      </c>
      <c r="G74">
        <v>59.78</v>
      </c>
      <c r="H74">
        <v>25.27</v>
      </c>
      <c r="I74">
        <v>63.06</v>
      </c>
      <c r="J74">
        <v>66.180000000000007</v>
      </c>
      <c r="K74">
        <v>79.89</v>
      </c>
      <c r="L74">
        <v>30.58</v>
      </c>
      <c r="M74">
        <v>61.67</v>
      </c>
      <c r="N74">
        <v>63.96</v>
      </c>
      <c r="O74">
        <v>52.49</v>
      </c>
      <c r="P74">
        <v>64.760000000000005</v>
      </c>
      <c r="Q74">
        <v>19.37</v>
      </c>
      <c r="R74">
        <v>1292.72</v>
      </c>
      <c r="S74">
        <v>35.19</v>
      </c>
      <c r="T74">
        <v>18.84</v>
      </c>
      <c r="U74">
        <v>17.670000000000002</v>
      </c>
      <c r="V74">
        <v>39.840000000000003</v>
      </c>
      <c r="W74">
        <v>45.196899999999999</v>
      </c>
      <c r="X74">
        <v>26.47</v>
      </c>
      <c r="Y74">
        <v>50.05</v>
      </c>
      <c r="Z74">
        <v>40.75</v>
      </c>
      <c r="AA74">
        <v>80.459999999999994</v>
      </c>
      <c r="AB74">
        <v>53.86</v>
      </c>
      <c r="AC74">
        <v>41.04</v>
      </c>
      <c r="AD74">
        <v>593.53</v>
      </c>
      <c r="AE74">
        <v>658.05</v>
      </c>
      <c r="AF74">
        <v>43.05</v>
      </c>
      <c r="AG74">
        <v>57.02</v>
      </c>
      <c r="AH74">
        <v>46.62</v>
      </c>
      <c r="AI74">
        <v>50.94</v>
      </c>
    </row>
    <row r="75" spans="1:35" x14ac:dyDescent="0.45">
      <c r="A75" s="2">
        <v>45924</v>
      </c>
      <c r="B75">
        <v>33.680599999999998</v>
      </c>
      <c r="C75">
        <v>33.630000000000003</v>
      </c>
      <c r="D75">
        <v>17.68</v>
      </c>
      <c r="E75">
        <v>25.69</v>
      </c>
      <c r="F75">
        <v>32.090000000000003</v>
      </c>
      <c r="G75">
        <v>59.89</v>
      </c>
      <c r="H75">
        <v>25.33</v>
      </c>
      <c r="I75">
        <v>63.57</v>
      </c>
      <c r="J75">
        <v>66.47</v>
      </c>
      <c r="K75">
        <v>80.040000000000006</v>
      </c>
      <c r="L75">
        <v>31.05</v>
      </c>
      <c r="M75">
        <v>61.97</v>
      </c>
      <c r="N75">
        <v>65</v>
      </c>
      <c r="O75">
        <v>52.74</v>
      </c>
      <c r="P75">
        <v>64.58</v>
      </c>
      <c r="Q75">
        <v>19.565000000000001</v>
      </c>
      <c r="R75">
        <v>1297.01</v>
      </c>
      <c r="S75">
        <v>35.299999999999997</v>
      </c>
      <c r="T75">
        <v>18.68</v>
      </c>
      <c r="U75">
        <v>17.579999999999998</v>
      </c>
      <c r="V75">
        <v>40.54</v>
      </c>
      <c r="W75">
        <v>45.596299999999999</v>
      </c>
      <c r="X75">
        <v>26.47</v>
      </c>
      <c r="Y75">
        <v>50.24</v>
      </c>
      <c r="Z75">
        <v>41.24</v>
      </c>
      <c r="AA75">
        <v>80.849999999999994</v>
      </c>
      <c r="AB75">
        <v>54.51</v>
      </c>
      <c r="AC75">
        <v>41.35</v>
      </c>
      <c r="AD75">
        <v>596.1</v>
      </c>
      <c r="AE75">
        <v>661.1</v>
      </c>
      <c r="AF75">
        <v>43.41</v>
      </c>
      <c r="AG75">
        <v>57.27</v>
      </c>
      <c r="AH75">
        <v>47.01</v>
      </c>
      <c r="AI75">
        <v>51.29</v>
      </c>
    </row>
    <row r="76" spans="1:35" x14ac:dyDescent="0.45">
      <c r="A76" s="2">
        <v>45923</v>
      </c>
      <c r="B76">
        <v>33.47</v>
      </c>
      <c r="C76">
        <v>33.68</v>
      </c>
      <c r="D76">
        <v>17.760000000000002</v>
      </c>
      <c r="E76">
        <v>26.16</v>
      </c>
      <c r="F76">
        <v>32.04</v>
      </c>
      <c r="G76">
        <v>58.88</v>
      </c>
      <c r="H76">
        <v>25.74</v>
      </c>
      <c r="I76">
        <v>64.290000000000006</v>
      </c>
      <c r="J76">
        <v>67.430000000000007</v>
      </c>
      <c r="K76">
        <v>81.45</v>
      </c>
      <c r="L76">
        <v>31.32</v>
      </c>
      <c r="M76">
        <v>62.87</v>
      </c>
      <c r="N76">
        <v>65.23</v>
      </c>
      <c r="O76">
        <v>53.06</v>
      </c>
      <c r="P76">
        <v>63.66</v>
      </c>
      <c r="Q76">
        <v>19.785</v>
      </c>
      <c r="R76">
        <v>1306.69</v>
      </c>
      <c r="S76">
        <v>35.06</v>
      </c>
      <c r="T76">
        <v>19.14</v>
      </c>
      <c r="U76">
        <v>17.29</v>
      </c>
      <c r="V76">
        <v>40.78</v>
      </c>
      <c r="W76">
        <v>45.865900000000003</v>
      </c>
      <c r="X76">
        <v>26.87</v>
      </c>
      <c r="Y76">
        <v>50.53</v>
      </c>
      <c r="Z76">
        <v>41.27</v>
      </c>
      <c r="AA76">
        <v>81.09</v>
      </c>
      <c r="AB76">
        <v>55.24</v>
      </c>
      <c r="AC76">
        <v>41.47</v>
      </c>
      <c r="AD76">
        <v>598.20000000000005</v>
      </c>
      <c r="AE76">
        <v>663.21</v>
      </c>
      <c r="AF76">
        <v>43.89</v>
      </c>
      <c r="AG76">
        <v>57.62</v>
      </c>
      <c r="AH76">
        <v>47.85</v>
      </c>
      <c r="AI76">
        <v>51.51</v>
      </c>
    </row>
    <row r="77" spans="1:35" x14ac:dyDescent="0.45">
      <c r="A77" s="2">
        <v>45922</v>
      </c>
      <c r="B77">
        <v>33.67</v>
      </c>
      <c r="C77">
        <v>33.5</v>
      </c>
      <c r="D77">
        <v>17.73</v>
      </c>
      <c r="E77">
        <v>26.6</v>
      </c>
      <c r="F77">
        <v>32</v>
      </c>
      <c r="G77">
        <v>58.59</v>
      </c>
      <c r="H77">
        <v>25.79</v>
      </c>
      <c r="I77">
        <v>64.02</v>
      </c>
      <c r="J77">
        <v>66.900000000000006</v>
      </c>
      <c r="K77">
        <v>81.56</v>
      </c>
      <c r="L77">
        <v>30.79</v>
      </c>
      <c r="M77">
        <v>62.46</v>
      </c>
      <c r="N77">
        <v>64.760000000000005</v>
      </c>
      <c r="O77">
        <v>53.5</v>
      </c>
      <c r="P77">
        <v>64.430000000000007</v>
      </c>
      <c r="Q77">
        <v>19.940000000000001</v>
      </c>
      <c r="R77">
        <v>1308.19</v>
      </c>
      <c r="S77">
        <v>35.58</v>
      </c>
      <c r="T77">
        <v>19.55</v>
      </c>
      <c r="U77">
        <v>17.53</v>
      </c>
      <c r="V77">
        <v>38.18</v>
      </c>
      <c r="W77">
        <v>46.287199999999999</v>
      </c>
      <c r="X77">
        <v>26.92</v>
      </c>
      <c r="Y77">
        <v>50.88</v>
      </c>
      <c r="Z77">
        <v>41.24</v>
      </c>
      <c r="AA77">
        <v>81.25</v>
      </c>
      <c r="AB77">
        <v>55.57</v>
      </c>
      <c r="AC77">
        <v>41.61</v>
      </c>
      <c r="AD77">
        <v>602.20000000000005</v>
      </c>
      <c r="AE77">
        <v>666.84</v>
      </c>
      <c r="AF77">
        <v>43.78</v>
      </c>
      <c r="AG77">
        <v>57.36</v>
      </c>
      <c r="AH77">
        <v>47.63</v>
      </c>
      <c r="AI77">
        <v>51.74</v>
      </c>
    </row>
    <row r="78" spans="1:35" x14ac:dyDescent="0.45">
      <c r="A78" s="2">
        <v>45919</v>
      </c>
      <c r="B78">
        <v>33.450000000000003</v>
      </c>
      <c r="C78">
        <v>33.590000000000003</v>
      </c>
      <c r="D78">
        <v>17.79</v>
      </c>
      <c r="E78">
        <v>26.8</v>
      </c>
      <c r="F78">
        <v>31.76</v>
      </c>
      <c r="G78">
        <v>57.811199999999999</v>
      </c>
      <c r="H78">
        <v>25.59</v>
      </c>
      <c r="I78">
        <v>63.38</v>
      </c>
      <c r="J78">
        <v>66.099999999999994</v>
      </c>
      <c r="K78">
        <v>80.05</v>
      </c>
      <c r="L78">
        <v>30.93</v>
      </c>
      <c r="M78">
        <v>62.54</v>
      </c>
      <c r="N78">
        <v>64.14</v>
      </c>
      <c r="O78">
        <v>53.94</v>
      </c>
      <c r="P78">
        <v>64.44</v>
      </c>
      <c r="Q78">
        <v>19.940000000000001</v>
      </c>
      <c r="R78">
        <v>1299.78</v>
      </c>
      <c r="S78">
        <v>35.380000000000003</v>
      </c>
      <c r="T78">
        <v>19.47</v>
      </c>
      <c r="U78">
        <v>17.68</v>
      </c>
      <c r="V78">
        <v>37.83</v>
      </c>
      <c r="W78">
        <v>46.41</v>
      </c>
      <c r="X78">
        <v>26.89</v>
      </c>
      <c r="Y78">
        <v>50.73</v>
      </c>
      <c r="Z78">
        <v>41.22</v>
      </c>
      <c r="AA78">
        <v>80.790000000000006</v>
      </c>
      <c r="AB78">
        <v>55.26</v>
      </c>
      <c r="AC78">
        <v>41.36</v>
      </c>
      <c r="AD78">
        <v>599.35</v>
      </c>
      <c r="AE78">
        <v>663.7</v>
      </c>
      <c r="AF78">
        <v>43.68</v>
      </c>
      <c r="AG78">
        <v>56.84</v>
      </c>
      <c r="AH78">
        <v>47.43</v>
      </c>
      <c r="AI78">
        <v>51.37</v>
      </c>
    </row>
    <row r="79" spans="1:35" x14ac:dyDescent="0.45">
      <c r="A79" s="2">
        <v>45918</v>
      </c>
      <c r="B79">
        <v>33.479999999999997</v>
      </c>
      <c r="C79">
        <v>33.6</v>
      </c>
      <c r="D79">
        <v>17.72</v>
      </c>
      <c r="E79">
        <v>26.46</v>
      </c>
      <c r="F79">
        <v>32.07</v>
      </c>
      <c r="G79">
        <v>57.14</v>
      </c>
      <c r="H79">
        <v>25.6</v>
      </c>
      <c r="I79">
        <v>63.77</v>
      </c>
      <c r="J79">
        <v>65.95</v>
      </c>
      <c r="K79">
        <v>80.75</v>
      </c>
      <c r="L79">
        <v>30.82</v>
      </c>
      <c r="M79">
        <v>61.48</v>
      </c>
      <c r="N79">
        <v>64.3</v>
      </c>
      <c r="O79">
        <v>53.74</v>
      </c>
      <c r="P79">
        <v>64.75</v>
      </c>
      <c r="Q79">
        <v>19.940000000000001</v>
      </c>
      <c r="R79">
        <v>1293.6199999999999</v>
      </c>
      <c r="S79">
        <v>34.35</v>
      </c>
      <c r="T79">
        <v>19.36</v>
      </c>
      <c r="U79">
        <v>17.8</v>
      </c>
      <c r="V79">
        <v>37.770000000000003</v>
      </c>
      <c r="W79">
        <v>46.255000000000003</v>
      </c>
      <c r="X79">
        <v>26.89</v>
      </c>
      <c r="Y79">
        <v>50.18</v>
      </c>
      <c r="Z79">
        <v>41.45</v>
      </c>
      <c r="AA79">
        <v>81.489999999999995</v>
      </c>
      <c r="AB79">
        <v>55.21</v>
      </c>
      <c r="AC79">
        <v>41.66</v>
      </c>
      <c r="AD79">
        <v>595.32000000000005</v>
      </c>
      <c r="AE79">
        <v>662.26</v>
      </c>
      <c r="AF79">
        <v>43.84</v>
      </c>
      <c r="AG79">
        <v>56.97</v>
      </c>
      <c r="AH79">
        <v>47.56</v>
      </c>
      <c r="AI79">
        <v>51.44</v>
      </c>
    </row>
    <row r="80" spans="1:35" x14ac:dyDescent="0.45">
      <c r="A80" s="2">
        <v>45917</v>
      </c>
      <c r="B80">
        <v>33.96</v>
      </c>
      <c r="C80">
        <v>33.4</v>
      </c>
      <c r="D80">
        <v>17.98</v>
      </c>
      <c r="E80">
        <v>26.55</v>
      </c>
      <c r="F80">
        <v>32.32</v>
      </c>
      <c r="G80">
        <v>57.874499999999998</v>
      </c>
      <c r="H80">
        <v>25.95</v>
      </c>
      <c r="I80">
        <v>63.21</v>
      </c>
      <c r="J80">
        <v>66.53</v>
      </c>
      <c r="K80">
        <v>79.83</v>
      </c>
      <c r="L80">
        <v>30.94</v>
      </c>
      <c r="M80">
        <v>60.86</v>
      </c>
      <c r="N80">
        <v>64.099999999999994</v>
      </c>
      <c r="O80">
        <v>54.02</v>
      </c>
      <c r="P80">
        <v>65.8</v>
      </c>
      <c r="Q80">
        <v>19.850000000000001</v>
      </c>
      <c r="R80">
        <v>1288.03</v>
      </c>
      <c r="S80">
        <v>34.75</v>
      </c>
      <c r="T80">
        <v>19.16</v>
      </c>
      <c r="U80">
        <v>17.88</v>
      </c>
      <c r="V80">
        <v>37.43</v>
      </c>
      <c r="W80">
        <v>47.045000000000002</v>
      </c>
      <c r="X80">
        <v>27.14</v>
      </c>
      <c r="Y80">
        <v>49.98</v>
      </c>
      <c r="Z80">
        <v>41.06</v>
      </c>
      <c r="AA80">
        <v>81.17</v>
      </c>
      <c r="AB80">
        <v>55.29</v>
      </c>
      <c r="AC80">
        <v>41.79</v>
      </c>
      <c r="AD80">
        <v>590</v>
      </c>
      <c r="AE80">
        <v>659.18</v>
      </c>
      <c r="AF80">
        <v>43.53</v>
      </c>
      <c r="AG80">
        <v>55.8782</v>
      </c>
      <c r="AH80">
        <v>47.17</v>
      </c>
      <c r="AI80">
        <v>51.33</v>
      </c>
    </row>
    <row r="81" spans="1:35" x14ac:dyDescent="0.45">
      <c r="A81" s="2">
        <v>45916</v>
      </c>
      <c r="B81">
        <v>33.770000000000003</v>
      </c>
      <c r="C81">
        <v>33.76</v>
      </c>
      <c r="D81">
        <v>17.850000000000001</v>
      </c>
      <c r="E81">
        <v>26.22</v>
      </c>
      <c r="F81">
        <v>32.51</v>
      </c>
      <c r="G81">
        <v>57.915399999999998</v>
      </c>
      <c r="H81">
        <v>25.54</v>
      </c>
      <c r="I81">
        <v>63.32</v>
      </c>
      <c r="J81">
        <v>66.8</v>
      </c>
      <c r="K81">
        <v>80.69</v>
      </c>
      <c r="L81">
        <v>30.69</v>
      </c>
      <c r="M81">
        <v>61</v>
      </c>
      <c r="N81">
        <v>64.77</v>
      </c>
      <c r="O81">
        <v>53.87</v>
      </c>
      <c r="P81">
        <v>64.86</v>
      </c>
      <c r="Q81">
        <v>19.77</v>
      </c>
      <c r="R81">
        <v>1278.05</v>
      </c>
      <c r="S81">
        <v>34.82</v>
      </c>
      <c r="T81">
        <v>19.32</v>
      </c>
      <c r="U81">
        <v>18.059999999999999</v>
      </c>
      <c r="V81">
        <v>36.9</v>
      </c>
      <c r="W81">
        <v>47.020400000000002</v>
      </c>
      <c r="X81">
        <v>27.38</v>
      </c>
      <c r="Y81">
        <v>50.08</v>
      </c>
      <c r="Z81">
        <v>41.15</v>
      </c>
      <c r="AA81">
        <v>81.349999999999994</v>
      </c>
      <c r="AB81">
        <v>55.48</v>
      </c>
      <c r="AC81">
        <v>41.89</v>
      </c>
      <c r="AD81">
        <v>591.17999999999995</v>
      </c>
      <c r="AE81">
        <v>660</v>
      </c>
      <c r="AF81">
        <v>43.82</v>
      </c>
      <c r="AG81">
        <v>55.71</v>
      </c>
      <c r="AH81">
        <v>47.46</v>
      </c>
      <c r="AI81">
        <v>52.15</v>
      </c>
    </row>
    <row r="82" spans="1:35" x14ac:dyDescent="0.45">
      <c r="A82" s="2">
        <v>45915</v>
      </c>
      <c r="B82">
        <v>33.81</v>
      </c>
      <c r="C82">
        <v>33.799999999999997</v>
      </c>
      <c r="D82">
        <v>17.96</v>
      </c>
      <c r="E82">
        <v>25.71</v>
      </c>
      <c r="F82">
        <v>32.81</v>
      </c>
      <c r="G82">
        <v>58.435400000000001</v>
      </c>
      <c r="H82">
        <v>25.55</v>
      </c>
      <c r="I82">
        <v>63.02</v>
      </c>
      <c r="J82">
        <v>66.77</v>
      </c>
      <c r="K82">
        <v>79.19</v>
      </c>
      <c r="L82">
        <v>30.51</v>
      </c>
      <c r="M82">
        <v>60.93</v>
      </c>
      <c r="N82">
        <v>65.23</v>
      </c>
      <c r="O82">
        <v>53.43</v>
      </c>
      <c r="P82">
        <v>64.430000000000007</v>
      </c>
      <c r="Q82">
        <v>19.55</v>
      </c>
      <c r="R82">
        <v>1276.08</v>
      </c>
      <c r="S82">
        <v>34.24</v>
      </c>
      <c r="T82">
        <v>19.2</v>
      </c>
      <c r="U82">
        <v>18.399999999999999</v>
      </c>
      <c r="V82">
        <v>36.71</v>
      </c>
      <c r="W82">
        <v>47.107199999999999</v>
      </c>
      <c r="X82">
        <v>27.57</v>
      </c>
      <c r="Y82">
        <v>50.13</v>
      </c>
      <c r="Z82">
        <v>41.42</v>
      </c>
      <c r="AA82">
        <v>81.349999999999994</v>
      </c>
      <c r="AB82">
        <v>55.56</v>
      </c>
      <c r="AC82">
        <v>42.09</v>
      </c>
      <c r="AD82">
        <v>591.67999999999995</v>
      </c>
      <c r="AE82">
        <v>660.91</v>
      </c>
      <c r="AF82">
        <v>43.89</v>
      </c>
      <c r="AG82">
        <v>55.75</v>
      </c>
      <c r="AH82">
        <v>47.61</v>
      </c>
      <c r="AI82">
        <v>52.39</v>
      </c>
    </row>
    <row r="83" spans="1:35" x14ac:dyDescent="0.45">
      <c r="A83" s="2">
        <v>45912</v>
      </c>
      <c r="B83">
        <v>33.6</v>
      </c>
      <c r="C83">
        <v>33.22</v>
      </c>
      <c r="D83">
        <v>17.829999999999998</v>
      </c>
      <c r="E83">
        <v>25.8</v>
      </c>
      <c r="F83">
        <v>32.28</v>
      </c>
      <c r="G83">
        <v>57.768000000000001</v>
      </c>
      <c r="H83">
        <v>25.47</v>
      </c>
      <c r="I83">
        <v>62.83</v>
      </c>
      <c r="J83">
        <v>66.12</v>
      </c>
      <c r="K83">
        <v>78.66</v>
      </c>
      <c r="L83">
        <v>30.03</v>
      </c>
      <c r="M83">
        <v>60.57</v>
      </c>
      <c r="N83">
        <v>65.17</v>
      </c>
      <c r="O83">
        <v>53.15</v>
      </c>
      <c r="P83">
        <v>63.95</v>
      </c>
      <c r="Q83">
        <v>19.54</v>
      </c>
      <c r="R83">
        <v>1266.1099999999999</v>
      </c>
      <c r="S83">
        <v>32.270000000000003</v>
      </c>
      <c r="T83">
        <v>19.170000000000002</v>
      </c>
      <c r="U83">
        <v>17.97</v>
      </c>
      <c r="V83">
        <v>36.72</v>
      </c>
      <c r="W83">
        <v>46.74</v>
      </c>
      <c r="X83">
        <v>27.24</v>
      </c>
      <c r="Y83">
        <v>49.6</v>
      </c>
      <c r="Z83">
        <v>41.31</v>
      </c>
      <c r="AA83">
        <v>80.760000000000005</v>
      </c>
      <c r="AB83">
        <v>55.65</v>
      </c>
      <c r="AC83">
        <v>41.94</v>
      </c>
      <c r="AD83">
        <v>586.66</v>
      </c>
      <c r="AE83">
        <v>657.41</v>
      </c>
      <c r="AF83">
        <v>43.49</v>
      </c>
      <c r="AG83">
        <v>54.66</v>
      </c>
      <c r="AH83">
        <v>47.24</v>
      </c>
      <c r="AI83">
        <v>51.72</v>
      </c>
    </row>
    <row r="84" spans="1:35" x14ac:dyDescent="0.45">
      <c r="A84" s="2">
        <v>45911</v>
      </c>
      <c r="B84">
        <v>33.94</v>
      </c>
      <c r="C84">
        <v>34.020000000000003</v>
      </c>
      <c r="D84">
        <v>17.64</v>
      </c>
      <c r="E84">
        <v>26</v>
      </c>
      <c r="F84">
        <v>32.6</v>
      </c>
      <c r="G84">
        <v>57.547199999999997</v>
      </c>
      <c r="H84">
        <v>25.33</v>
      </c>
      <c r="I84">
        <v>62.74</v>
      </c>
      <c r="J84">
        <v>65.709999999999994</v>
      </c>
      <c r="K84">
        <v>77.86</v>
      </c>
      <c r="L84">
        <v>30.05</v>
      </c>
      <c r="M84">
        <v>60.56</v>
      </c>
      <c r="N84">
        <v>64.22</v>
      </c>
      <c r="O84">
        <v>53.24</v>
      </c>
      <c r="P84">
        <v>64.209999999999994</v>
      </c>
      <c r="Q84">
        <v>19.579999999999998</v>
      </c>
      <c r="R84">
        <v>1264.8</v>
      </c>
      <c r="S84">
        <v>32.32</v>
      </c>
      <c r="T84">
        <v>19.010000000000002</v>
      </c>
      <c r="U84">
        <v>18.03</v>
      </c>
      <c r="V84">
        <v>36.799999999999997</v>
      </c>
      <c r="W84">
        <v>47.225000000000001</v>
      </c>
      <c r="X84">
        <v>27.41</v>
      </c>
      <c r="Y84">
        <v>49.92</v>
      </c>
      <c r="Z84">
        <v>41.39</v>
      </c>
      <c r="AA84">
        <v>81.319999999999993</v>
      </c>
      <c r="AB84">
        <v>56.12</v>
      </c>
      <c r="AC84">
        <v>42.19</v>
      </c>
      <c r="AD84">
        <v>584.08000000000004</v>
      </c>
      <c r="AE84">
        <v>657.63</v>
      </c>
      <c r="AF84">
        <v>43.53</v>
      </c>
      <c r="AG84">
        <v>54.46</v>
      </c>
      <c r="AH84">
        <v>47.33</v>
      </c>
      <c r="AI84">
        <v>51.6</v>
      </c>
    </row>
    <row r="85" spans="1:35" x14ac:dyDescent="0.45">
      <c r="A85" s="2">
        <v>45910</v>
      </c>
      <c r="B85">
        <v>32.840000000000003</v>
      </c>
      <c r="C85">
        <v>32.89</v>
      </c>
      <c r="D85">
        <v>17.329999999999998</v>
      </c>
      <c r="E85">
        <v>25.92</v>
      </c>
      <c r="F85">
        <v>31.83</v>
      </c>
      <c r="G85">
        <v>56.45</v>
      </c>
      <c r="H85">
        <v>25.17</v>
      </c>
      <c r="I85">
        <v>62.56</v>
      </c>
      <c r="J85">
        <v>64.28</v>
      </c>
      <c r="K85">
        <v>76.650000000000006</v>
      </c>
      <c r="L85">
        <v>29.79</v>
      </c>
      <c r="M85">
        <v>59.73</v>
      </c>
      <c r="N85">
        <v>63.64</v>
      </c>
      <c r="O85">
        <v>53.16</v>
      </c>
      <c r="P85">
        <v>62.54</v>
      </c>
      <c r="Q85">
        <v>19.53</v>
      </c>
      <c r="R85">
        <v>1252.55</v>
      </c>
      <c r="S85">
        <v>32.92</v>
      </c>
      <c r="T85">
        <v>18.850000000000001</v>
      </c>
      <c r="U85">
        <v>17.75</v>
      </c>
      <c r="V85">
        <v>36.799999999999997</v>
      </c>
      <c r="W85">
        <v>46.85</v>
      </c>
      <c r="X85">
        <v>27.11</v>
      </c>
      <c r="Y85">
        <v>49.42</v>
      </c>
      <c r="Z85">
        <v>41.07</v>
      </c>
      <c r="AA85">
        <v>80.36</v>
      </c>
      <c r="AB85">
        <v>55.62</v>
      </c>
      <c r="AC85">
        <v>41.74</v>
      </c>
      <c r="AD85">
        <v>580.70000000000005</v>
      </c>
      <c r="AE85">
        <v>652.21</v>
      </c>
      <c r="AF85">
        <v>42.9</v>
      </c>
      <c r="AG85">
        <v>53.79</v>
      </c>
      <c r="AH85">
        <v>47.1</v>
      </c>
      <c r="AI85">
        <v>50.93</v>
      </c>
    </row>
    <row r="86" spans="1:35" x14ac:dyDescent="0.45">
      <c r="A86" s="2">
        <v>45909</v>
      </c>
      <c r="B86">
        <v>32.94</v>
      </c>
      <c r="C86">
        <v>32.695</v>
      </c>
      <c r="D86">
        <v>17.059999999999999</v>
      </c>
      <c r="E86">
        <v>26.09</v>
      </c>
      <c r="F86">
        <v>32.380000000000003</v>
      </c>
      <c r="G86">
        <v>56</v>
      </c>
      <c r="H86">
        <v>25.17</v>
      </c>
      <c r="I86">
        <v>61.62</v>
      </c>
      <c r="J86">
        <v>64.260000000000005</v>
      </c>
      <c r="K86">
        <v>74.92</v>
      </c>
      <c r="L86">
        <v>29.54</v>
      </c>
      <c r="M86">
        <v>59.03</v>
      </c>
      <c r="N86">
        <v>63.6</v>
      </c>
      <c r="O86">
        <v>52.71</v>
      </c>
      <c r="P86">
        <v>62.97</v>
      </c>
      <c r="Q86">
        <v>19.37</v>
      </c>
      <c r="R86">
        <v>1259.31</v>
      </c>
      <c r="S86">
        <v>32.68</v>
      </c>
      <c r="T86">
        <v>18.91</v>
      </c>
      <c r="U86">
        <v>17.670000000000002</v>
      </c>
      <c r="V86">
        <v>36.76</v>
      </c>
      <c r="W86">
        <v>46.655000000000001</v>
      </c>
      <c r="X86">
        <v>26.89</v>
      </c>
      <c r="Y86">
        <v>49.27</v>
      </c>
      <c r="Z86">
        <v>41.48</v>
      </c>
      <c r="AA86">
        <v>80.06</v>
      </c>
      <c r="AB86">
        <v>56.02</v>
      </c>
      <c r="AC86">
        <v>41.75</v>
      </c>
      <c r="AD86">
        <v>580.51</v>
      </c>
      <c r="AE86">
        <v>650.33000000000004</v>
      </c>
      <c r="AF86">
        <v>43.06</v>
      </c>
      <c r="AG86">
        <v>54.12</v>
      </c>
      <c r="AH86">
        <v>47.3</v>
      </c>
      <c r="AI86">
        <v>50.86</v>
      </c>
    </row>
    <row r="87" spans="1:35" x14ac:dyDescent="0.45">
      <c r="A87" s="2">
        <v>45908</v>
      </c>
      <c r="B87">
        <v>33.14</v>
      </c>
      <c r="C87">
        <v>33.229999999999997</v>
      </c>
      <c r="D87">
        <v>17.5</v>
      </c>
      <c r="E87">
        <v>26.09</v>
      </c>
      <c r="F87">
        <v>32.880000000000003</v>
      </c>
      <c r="G87">
        <v>56.647500000000001</v>
      </c>
      <c r="H87">
        <v>25.12</v>
      </c>
      <c r="I87">
        <v>60.98</v>
      </c>
      <c r="J87">
        <v>64.150000000000006</v>
      </c>
      <c r="K87">
        <v>74.19</v>
      </c>
      <c r="L87">
        <v>29.58</v>
      </c>
      <c r="M87">
        <v>59.34</v>
      </c>
      <c r="N87">
        <v>63.86</v>
      </c>
      <c r="O87">
        <v>52.89</v>
      </c>
      <c r="P87">
        <v>62.3</v>
      </c>
      <c r="Q87">
        <v>19.63</v>
      </c>
      <c r="R87">
        <v>1248.78</v>
      </c>
      <c r="S87">
        <v>32.54</v>
      </c>
      <c r="T87">
        <v>18.940000000000001</v>
      </c>
      <c r="U87">
        <v>17.37</v>
      </c>
      <c r="V87">
        <v>36.69</v>
      </c>
      <c r="W87">
        <v>46.74</v>
      </c>
      <c r="X87">
        <v>27</v>
      </c>
      <c r="Y87">
        <v>49.3</v>
      </c>
      <c r="Z87">
        <v>41.69</v>
      </c>
      <c r="AA87">
        <v>80.959999999999994</v>
      </c>
      <c r="AB87">
        <v>56.33</v>
      </c>
      <c r="AC87">
        <v>41.71</v>
      </c>
      <c r="AD87">
        <v>578.87</v>
      </c>
      <c r="AE87">
        <v>648.83000000000004</v>
      </c>
      <c r="AF87">
        <v>42.99</v>
      </c>
      <c r="AG87">
        <v>54.17</v>
      </c>
      <c r="AH87">
        <v>47.42</v>
      </c>
      <c r="AI87">
        <v>50.64</v>
      </c>
    </row>
    <row r="88" spans="1:35" x14ac:dyDescent="0.45">
      <c r="A88" s="2">
        <v>45905</v>
      </c>
      <c r="B88">
        <v>33.020000000000003</v>
      </c>
      <c r="C88">
        <v>33.83</v>
      </c>
      <c r="D88">
        <v>17.93</v>
      </c>
      <c r="E88">
        <v>26.06</v>
      </c>
      <c r="F88">
        <v>32.14</v>
      </c>
      <c r="G88">
        <v>56.5</v>
      </c>
      <c r="H88">
        <v>25.03</v>
      </c>
      <c r="I88">
        <v>60.21</v>
      </c>
      <c r="J88">
        <v>63.83</v>
      </c>
      <c r="K88">
        <v>73.63</v>
      </c>
      <c r="L88">
        <v>29.63</v>
      </c>
      <c r="M88">
        <v>57.92</v>
      </c>
      <c r="N88">
        <v>63.4</v>
      </c>
      <c r="O88">
        <v>52.48</v>
      </c>
      <c r="P88">
        <v>61.35</v>
      </c>
      <c r="Q88">
        <v>19.690000000000001</v>
      </c>
      <c r="R88">
        <v>1244.48</v>
      </c>
      <c r="S88">
        <v>33.33</v>
      </c>
      <c r="T88">
        <v>19.16</v>
      </c>
      <c r="U88">
        <v>17.97</v>
      </c>
      <c r="V88">
        <v>37.200000000000003</v>
      </c>
      <c r="W88">
        <v>46.13</v>
      </c>
      <c r="X88">
        <v>26.93</v>
      </c>
      <c r="Y88">
        <v>49.17</v>
      </c>
      <c r="Z88">
        <v>41.34</v>
      </c>
      <c r="AA88">
        <v>79.180000000000007</v>
      </c>
      <c r="AB88">
        <v>56.25</v>
      </c>
      <c r="AC88">
        <v>41.55</v>
      </c>
      <c r="AD88">
        <v>576.05999999999995</v>
      </c>
      <c r="AE88">
        <v>647.24</v>
      </c>
      <c r="AF88">
        <v>42.56</v>
      </c>
      <c r="AG88">
        <v>53.47</v>
      </c>
      <c r="AH88">
        <v>47.01</v>
      </c>
      <c r="AI88">
        <v>50.46</v>
      </c>
    </row>
    <row r="89" spans="1:35" x14ac:dyDescent="0.45">
      <c r="A89" s="2">
        <v>45904</v>
      </c>
      <c r="B89">
        <v>32.229999999999997</v>
      </c>
      <c r="C89">
        <v>33.4</v>
      </c>
      <c r="D89">
        <v>17.77</v>
      </c>
      <c r="E89">
        <v>25.78</v>
      </c>
      <c r="F89">
        <v>32.130000000000003</v>
      </c>
      <c r="G89">
        <v>55.73</v>
      </c>
      <c r="H89">
        <v>24.97</v>
      </c>
      <c r="I89">
        <v>59.3</v>
      </c>
      <c r="J89">
        <v>63.07</v>
      </c>
      <c r="K89">
        <v>73.069999999999993</v>
      </c>
      <c r="L89">
        <v>29.17</v>
      </c>
      <c r="M89">
        <v>56.57</v>
      </c>
      <c r="N89">
        <v>63.26</v>
      </c>
      <c r="O89">
        <v>52.59</v>
      </c>
      <c r="P89">
        <v>60.3</v>
      </c>
      <c r="Q89">
        <v>19.7</v>
      </c>
      <c r="R89">
        <v>1236.6099999999999</v>
      </c>
      <c r="S89">
        <v>33.729999999999997</v>
      </c>
      <c r="T89">
        <v>19.2</v>
      </c>
      <c r="U89">
        <v>18.43</v>
      </c>
      <c r="V89">
        <v>37.35</v>
      </c>
      <c r="W89">
        <v>45.37</v>
      </c>
      <c r="X89">
        <v>26.9</v>
      </c>
      <c r="Y89">
        <v>49.12</v>
      </c>
      <c r="Z89">
        <v>41.34</v>
      </c>
      <c r="AA89">
        <v>78.73</v>
      </c>
      <c r="AB89">
        <v>55.71</v>
      </c>
      <c r="AC89">
        <v>41.39</v>
      </c>
      <c r="AD89">
        <v>575.23</v>
      </c>
      <c r="AE89">
        <v>649.12</v>
      </c>
      <c r="AF89">
        <v>42.56</v>
      </c>
      <c r="AG89">
        <v>52.87</v>
      </c>
      <c r="AH89">
        <v>46.26</v>
      </c>
      <c r="AI89">
        <v>50.65</v>
      </c>
    </row>
    <row r="90" spans="1:35" x14ac:dyDescent="0.45">
      <c r="A90" s="2">
        <v>45903</v>
      </c>
      <c r="B90">
        <v>32.94</v>
      </c>
      <c r="C90">
        <v>33.049999999999997</v>
      </c>
      <c r="D90">
        <v>17.809999999999999</v>
      </c>
      <c r="E90">
        <v>25.58</v>
      </c>
      <c r="F90">
        <v>31.52</v>
      </c>
      <c r="G90">
        <v>56.01</v>
      </c>
      <c r="H90">
        <v>24.87</v>
      </c>
      <c r="I90">
        <v>58.73</v>
      </c>
      <c r="J90">
        <v>62.8</v>
      </c>
      <c r="K90">
        <v>72.91</v>
      </c>
      <c r="L90">
        <v>28.99</v>
      </c>
      <c r="M90">
        <v>57.7</v>
      </c>
      <c r="N90">
        <v>63.4</v>
      </c>
      <c r="O90">
        <v>52.62</v>
      </c>
      <c r="P90">
        <v>61.33</v>
      </c>
      <c r="Q90">
        <v>19.86</v>
      </c>
      <c r="R90">
        <v>1250.0899999999999</v>
      </c>
      <c r="S90">
        <v>33.51</v>
      </c>
      <c r="T90">
        <v>19.03</v>
      </c>
      <c r="U90">
        <v>18.25</v>
      </c>
      <c r="V90">
        <v>37.11</v>
      </c>
      <c r="W90">
        <v>45.494999999999997</v>
      </c>
      <c r="X90">
        <v>26.6</v>
      </c>
      <c r="Y90">
        <v>48.87</v>
      </c>
      <c r="Z90">
        <v>41.05</v>
      </c>
      <c r="AA90">
        <v>77.930000000000007</v>
      </c>
      <c r="AB90">
        <v>55.08</v>
      </c>
      <c r="AC90">
        <v>41.18</v>
      </c>
      <c r="AD90">
        <v>570.07000000000005</v>
      </c>
      <c r="AE90">
        <v>643.74</v>
      </c>
      <c r="AF90">
        <v>42.54</v>
      </c>
      <c r="AG90">
        <v>52.22</v>
      </c>
      <c r="AH90">
        <v>46.18</v>
      </c>
      <c r="AI90">
        <v>50.38</v>
      </c>
    </row>
    <row r="91" spans="1:35" x14ac:dyDescent="0.45">
      <c r="A91" s="2">
        <v>45902</v>
      </c>
      <c r="B91">
        <v>33.200000000000003</v>
      </c>
      <c r="C91">
        <v>32.729999999999997</v>
      </c>
      <c r="D91">
        <v>17.739999999999998</v>
      </c>
      <c r="E91">
        <v>25.68</v>
      </c>
      <c r="F91">
        <v>31.29</v>
      </c>
      <c r="G91">
        <v>54.91</v>
      </c>
      <c r="H91">
        <v>24.73</v>
      </c>
      <c r="I91">
        <v>58.05</v>
      </c>
      <c r="J91">
        <v>62.91</v>
      </c>
      <c r="K91">
        <v>71.92</v>
      </c>
      <c r="L91">
        <v>29</v>
      </c>
      <c r="M91">
        <v>57.25</v>
      </c>
      <c r="N91">
        <v>62.28</v>
      </c>
      <c r="O91">
        <v>52.35</v>
      </c>
      <c r="P91">
        <v>61.64</v>
      </c>
      <c r="Q91">
        <v>19.73</v>
      </c>
      <c r="R91">
        <v>1248.03</v>
      </c>
      <c r="S91">
        <v>33.97</v>
      </c>
      <c r="T91">
        <v>19.14</v>
      </c>
      <c r="U91">
        <v>18.14</v>
      </c>
      <c r="V91">
        <v>37.21</v>
      </c>
      <c r="W91">
        <v>45.380099999999999</v>
      </c>
      <c r="X91">
        <v>26.77</v>
      </c>
      <c r="Y91">
        <v>48.59</v>
      </c>
      <c r="Z91">
        <v>41.04</v>
      </c>
      <c r="AA91">
        <v>78.150000000000006</v>
      </c>
      <c r="AB91">
        <v>54.67</v>
      </c>
      <c r="AC91">
        <v>40.9</v>
      </c>
      <c r="AD91">
        <v>565.62</v>
      </c>
      <c r="AE91">
        <v>640.27</v>
      </c>
      <c r="AF91">
        <v>42.29</v>
      </c>
      <c r="AG91">
        <v>51.94</v>
      </c>
      <c r="AH91">
        <v>45.89</v>
      </c>
      <c r="AI91">
        <v>50.4</v>
      </c>
    </row>
    <row r="92" spans="1:35" x14ac:dyDescent="0.45">
      <c r="A92" s="2">
        <v>45898</v>
      </c>
      <c r="B92">
        <v>33.47</v>
      </c>
      <c r="C92">
        <v>32.81</v>
      </c>
      <c r="D92">
        <v>17.670000000000002</v>
      </c>
      <c r="E92">
        <v>26.15</v>
      </c>
      <c r="F92">
        <v>31.7</v>
      </c>
      <c r="G92">
        <v>53.8</v>
      </c>
      <c r="H92">
        <v>24.87</v>
      </c>
      <c r="I92">
        <v>58.82</v>
      </c>
      <c r="J92">
        <v>61.94</v>
      </c>
      <c r="K92">
        <v>72.239999999999995</v>
      </c>
      <c r="L92">
        <v>29.5</v>
      </c>
      <c r="M92">
        <v>57.67</v>
      </c>
      <c r="N92">
        <v>63.09</v>
      </c>
      <c r="O92">
        <v>51.98</v>
      </c>
      <c r="P92">
        <v>61.31</v>
      </c>
      <c r="Q92">
        <v>20</v>
      </c>
      <c r="R92">
        <v>1251.26</v>
      </c>
      <c r="S92">
        <v>35.29</v>
      </c>
      <c r="T92">
        <v>19.38</v>
      </c>
      <c r="U92">
        <v>18.29</v>
      </c>
      <c r="V92">
        <v>37.36</v>
      </c>
      <c r="W92">
        <v>44.86</v>
      </c>
      <c r="X92">
        <v>27.08</v>
      </c>
      <c r="Y92">
        <v>48.79</v>
      </c>
      <c r="Z92">
        <v>41.88</v>
      </c>
      <c r="AA92">
        <v>78.28</v>
      </c>
      <c r="AB92">
        <v>55.33</v>
      </c>
      <c r="AC92">
        <v>41.46</v>
      </c>
      <c r="AD92">
        <v>570.4</v>
      </c>
      <c r="AE92">
        <v>645.04999999999995</v>
      </c>
      <c r="AF92">
        <v>42.59</v>
      </c>
      <c r="AG92">
        <v>53</v>
      </c>
      <c r="AH92">
        <v>46.39</v>
      </c>
      <c r="AI92">
        <v>51.05</v>
      </c>
    </row>
    <row r="93" spans="1:35" x14ac:dyDescent="0.45">
      <c r="A93" s="2">
        <v>45897</v>
      </c>
      <c r="B93">
        <v>33.159999999999997</v>
      </c>
      <c r="C93">
        <v>32.58</v>
      </c>
      <c r="D93">
        <v>18.190000000000001</v>
      </c>
      <c r="E93">
        <v>26.39</v>
      </c>
      <c r="F93">
        <v>32.07</v>
      </c>
      <c r="G93">
        <v>53.418799999999997</v>
      </c>
      <c r="H93">
        <v>25.13</v>
      </c>
      <c r="I93">
        <v>59.9</v>
      </c>
      <c r="J93">
        <v>62.52</v>
      </c>
      <c r="K93">
        <v>73.64</v>
      </c>
      <c r="L93">
        <v>29.49</v>
      </c>
      <c r="M93">
        <v>57.15</v>
      </c>
      <c r="N93">
        <v>63.94</v>
      </c>
      <c r="O93">
        <v>52.54</v>
      </c>
      <c r="P93">
        <v>60.45</v>
      </c>
      <c r="Q93">
        <v>19.96</v>
      </c>
      <c r="R93">
        <v>1262.67</v>
      </c>
      <c r="S93">
        <v>35.54</v>
      </c>
      <c r="T93">
        <v>19.53</v>
      </c>
      <c r="U93">
        <v>18.315000000000001</v>
      </c>
      <c r="V93">
        <v>37.47</v>
      </c>
      <c r="W93">
        <v>44.87</v>
      </c>
      <c r="X93">
        <v>27.09</v>
      </c>
      <c r="Y93">
        <v>48.46</v>
      </c>
      <c r="Z93">
        <v>42.02</v>
      </c>
      <c r="AA93">
        <v>79.290000000000006</v>
      </c>
      <c r="AB93">
        <v>55.33</v>
      </c>
      <c r="AC93">
        <v>41.57</v>
      </c>
      <c r="AD93">
        <v>577.08000000000004</v>
      </c>
      <c r="AE93">
        <v>648.91999999999996</v>
      </c>
      <c r="AF93">
        <v>42.9</v>
      </c>
      <c r="AG93">
        <v>53.5</v>
      </c>
      <c r="AH93">
        <v>46.63</v>
      </c>
      <c r="AI93">
        <v>51.19</v>
      </c>
    </row>
    <row r="94" spans="1:35" x14ac:dyDescent="0.45">
      <c r="A94" s="2">
        <v>45896</v>
      </c>
      <c r="B94">
        <v>32.26</v>
      </c>
      <c r="C94">
        <v>32.549999999999997</v>
      </c>
      <c r="D94">
        <v>18.16</v>
      </c>
      <c r="E94">
        <v>26.56</v>
      </c>
      <c r="F94">
        <v>32.340000000000003</v>
      </c>
      <c r="G94">
        <v>52.967199999999998</v>
      </c>
      <c r="H94">
        <v>25.05</v>
      </c>
      <c r="I94">
        <v>59.77</v>
      </c>
      <c r="J94">
        <v>61.94</v>
      </c>
      <c r="K94">
        <v>72.47</v>
      </c>
      <c r="L94">
        <v>29.02</v>
      </c>
      <c r="M94">
        <v>57.38</v>
      </c>
      <c r="N94">
        <v>64.489999999999995</v>
      </c>
      <c r="O94">
        <v>52.68</v>
      </c>
      <c r="P94">
        <v>60.02</v>
      </c>
      <c r="Q94">
        <v>20.13</v>
      </c>
      <c r="R94">
        <v>1253.3900000000001</v>
      </c>
      <c r="S94">
        <v>35.51</v>
      </c>
      <c r="T94">
        <v>19.68</v>
      </c>
      <c r="U94">
        <v>18.02</v>
      </c>
      <c r="V94">
        <v>37.68</v>
      </c>
      <c r="W94">
        <v>44.67</v>
      </c>
      <c r="X94">
        <v>27</v>
      </c>
      <c r="Y94">
        <v>48.37</v>
      </c>
      <c r="Z94">
        <v>41.89</v>
      </c>
      <c r="AA94">
        <v>78.63</v>
      </c>
      <c r="AB94">
        <v>55.24</v>
      </c>
      <c r="AC94">
        <v>41.66</v>
      </c>
      <c r="AD94">
        <v>573.49</v>
      </c>
      <c r="AE94">
        <v>646.63</v>
      </c>
      <c r="AF94">
        <v>42.56</v>
      </c>
      <c r="AG94">
        <v>53.59</v>
      </c>
      <c r="AH94">
        <v>46.46</v>
      </c>
      <c r="AI94">
        <v>50.91</v>
      </c>
    </row>
    <row r="95" spans="1:35" x14ac:dyDescent="0.45">
      <c r="A95" s="2">
        <v>45895</v>
      </c>
      <c r="B95">
        <v>32.909999999999997</v>
      </c>
      <c r="C95">
        <v>32.44</v>
      </c>
      <c r="D95">
        <v>18.38</v>
      </c>
      <c r="E95">
        <v>26.12</v>
      </c>
      <c r="F95">
        <v>32.86</v>
      </c>
      <c r="G95">
        <v>53.39</v>
      </c>
      <c r="H95">
        <v>25.13</v>
      </c>
      <c r="I95">
        <v>59.5</v>
      </c>
      <c r="J95">
        <v>61.44</v>
      </c>
      <c r="K95">
        <v>72.39</v>
      </c>
      <c r="L95">
        <v>28.61</v>
      </c>
      <c r="M95">
        <v>58.1</v>
      </c>
      <c r="N95">
        <v>64.98</v>
      </c>
      <c r="O95">
        <v>52.55</v>
      </c>
      <c r="P95">
        <v>61.62</v>
      </c>
      <c r="Q95">
        <v>20.14</v>
      </c>
      <c r="R95">
        <v>1244.79</v>
      </c>
      <c r="S95">
        <v>35.97</v>
      </c>
      <c r="T95">
        <v>19.75</v>
      </c>
      <c r="U95">
        <v>17.96</v>
      </c>
      <c r="V95">
        <v>38.020000000000003</v>
      </c>
      <c r="W95">
        <v>45.19</v>
      </c>
      <c r="X95">
        <v>26.97</v>
      </c>
      <c r="Y95">
        <v>48.02</v>
      </c>
      <c r="Z95">
        <v>42.13</v>
      </c>
      <c r="AA95">
        <v>78.92</v>
      </c>
      <c r="AB95">
        <v>55.11</v>
      </c>
      <c r="AC95">
        <v>41.74</v>
      </c>
      <c r="AD95">
        <v>572.61</v>
      </c>
      <c r="AE95">
        <v>645.16</v>
      </c>
      <c r="AF95">
        <v>42.58</v>
      </c>
      <c r="AG95">
        <v>53.77</v>
      </c>
      <c r="AH95">
        <v>46.64</v>
      </c>
      <c r="AI95">
        <v>51.42</v>
      </c>
    </row>
    <row r="96" spans="1:35" x14ac:dyDescent="0.45">
      <c r="A96" s="2">
        <v>45894</v>
      </c>
      <c r="B96">
        <v>32.909999999999997</v>
      </c>
      <c r="C96">
        <v>32.71</v>
      </c>
      <c r="D96">
        <v>18.61</v>
      </c>
      <c r="E96">
        <v>26.69</v>
      </c>
      <c r="F96">
        <v>32.590000000000003</v>
      </c>
      <c r="G96">
        <v>52.93</v>
      </c>
      <c r="H96">
        <v>25.5</v>
      </c>
      <c r="I96">
        <v>59.26</v>
      </c>
      <c r="J96">
        <v>61.71</v>
      </c>
      <c r="K96">
        <v>72.73</v>
      </c>
      <c r="L96">
        <v>28.74</v>
      </c>
      <c r="M96">
        <v>58.35</v>
      </c>
      <c r="N96">
        <v>65.62</v>
      </c>
      <c r="O96">
        <v>53.23</v>
      </c>
      <c r="P96">
        <v>61.54</v>
      </c>
      <c r="Q96">
        <v>20.002600000000001</v>
      </c>
      <c r="R96">
        <v>1248.1300000000001</v>
      </c>
      <c r="S96">
        <v>35.93</v>
      </c>
      <c r="T96">
        <v>19.829999999999998</v>
      </c>
      <c r="U96">
        <v>17.22</v>
      </c>
      <c r="V96">
        <v>38.08</v>
      </c>
      <c r="W96">
        <v>45.62</v>
      </c>
      <c r="X96">
        <v>26.83</v>
      </c>
      <c r="Y96">
        <v>47.55</v>
      </c>
      <c r="Z96">
        <v>42.12</v>
      </c>
      <c r="AA96">
        <v>79.05</v>
      </c>
      <c r="AB96">
        <v>54.97</v>
      </c>
      <c r="AC96">
        <v>41.79</v>
      </c>
      <c r="AD96">
        <v>570.32000000000005</v>
      </c>
      <c r="AE96">
        <v>642.47</v>
      </c>
      <c r="AF96">
        <v>42.96</v>
      </c>
      <c r="AG96">
        <v>53.84</v>
      </c>
      <c r="AH96">
        <v>46.57</v>
      </c>
      <c r="AI96">
        <v>51.76</v>
      </c>
    </row>
    <row r="97" spans="1:35" x14ac:dyDescent="0.45">
      <c r="A97" s="2">
        <v>45891</v>
      </c>
      <c r="B97">
        <v>32.71</v>
      </c>
      <c r="C97">
        <v>32.799999999999997</v>
      </c>
      <c r="D97">
        <v>18.649999999999999</v>
      </c>
      <c r="E97">
        <v>26.63</v>
      </c>
      <c r="F97">
        <v>32.700000000000003</v>
      </c>
      <c r="G97">
        <v>53.23</v>
      </c>
      <c r="H97">
        <v>25.72</v>
      </c>
      <c r="I97">
        <v>59.66</v>
      </c>
      <c r="J97">
        <v>62.8</v>
      </c>
      <c r="K97">
        <v>73.510000000000005</v>
      </c>
      <c r="L97">
        <v>28.61</v>
      </c>
      <c r="M97">
        <v>58.8</v>
      </c>
      <c r="N97">
        <v>65.995000000000005</v>
      </c>
      <c r="O97">
        <v>53.58</v>
      </c>
      <c r="P97">
        <v>61.57</v>
      </c>
      <c r="Q97">
        <v>20.189599999999999</v>
      </c>
      <c r="R97">
        <v>1235.76</v>
      </c>
      <c r="S97">
        <v>35.69</v>
      </c>
      <c r="T97">
        <v>19.96</v>
      </c>
      <c r="U97">
        <v>17.36</v>
      </c>
      <c r="V97">
        <v>38.130000000000003</v>
      </c>
      <c r="W97">
        <v>45.782899999999998</v>
      </c>
      <c r="X97">
        <v>27.26</v>
      </c>
      <c r="Y97">
        <v>48.03</v>
      </c>
      <c r="Z97">
        <v>42.66</v>
      </c>
      <c r="AA97">
        <v>80.02</v>
      </c>
      <c r="AB97">
        <v>55.64</v>
      </c>
      <c r="AC97">
        <v>42.08</v>
      </c>
      <c r="AD97">
        <v>571.97</v>
      </c>
      <c r="AE97">
        <v>645.30999999999995</v>
      </c>
      <c r="AF97">
        <v>44.18</v>
      </c>
      <c r="AG97">
        <v>54.188000000000002</v>
      </c>
      <c r="AH97">
        <v>47.24</v>
      </c>
      <c r="AI97">
        <v>52.34</v>
      </c>
    </row>
    <row r="98" spans="1:35" x14ac:dyDescent="0.45">
      <c r="A98" s="2">
        <v>45890</v>
      </c>
      <c r="B98">
        <v>31.62</v>
      </c>
      <c r="C98">
        <v>31.9</v>
      </c>
      <c r="D98">
        <v>18.440000000000001</v>
      </c>
      <c r="E98">
        <v>26.15</v>
      </c>
      <c r="F98">
        <v>33.380000000000003</v>
      </c>
      <c r="G98">
        <v>52.009</v>
      </c>
      <c r="H98">
        <v>25.19</v>
      </c>
      <c r="I98">
        <v>58.57</v>
      </c>
      <c r="J98">
        <v>61.55</v>
      </c>
      <c r="K98">
        <v>71.22</v>
      </c>
      <c r="L98">
        <v>27.66</v>
      </c>
      <c r="M98">
        <v>56.91</v>
      </c>
      <c r="N98">
        <v>65.2</v>
      </c>
      <c r="O98">
        <v>53.57</v>
      </c>
      <c r="P98">
        <v>60</v>
      </c>
      <c r="Q98">
        <v>20.065000000000001</v>
      </c>
      <c r="R98">
        <v>1242.31</v>
      </c>
      <c r="S98">
        <v>35.51</v>
      </c>
      <c r="T98">
        <v>19.753</v>
      </c>
      <c r="U98">
        <v>17.600000000000001</v>
      </c>
      <c r="V98">
        <v>37.94</v>
      </c>
      <c r="W98">
        <v>45.58</v>
      </c>
      <c r="X98">
        <v>26.86</v>
      </c>
      <c r="Y98">
        <v>47.28</v>
      </c>
      <c r="Z98">
        <v>42.08</v>
      </c>
      <c r="AA98">
        <v>78.7</v>
      </c>
      <c r="AB98">
        <v>54.94</v>
      </c>
      <c r="AC98">
        <v>41.66</v>
      </c>
      <c r="AD98">
        <v>563.28</v>
      </c>
      <c r="AE98">
        <v>635.54999999999995</v>
      </c>
      <c r="AF98">
        <v>43.55</v>
      </c>
      <c r="AG98">
        <v>53.08</v>
      </c>
      <c r="AH98">
        <v>46.08</v>
      </c>
      <c r="AI98">
        <v>51.53</v>
      </c>
    </row>
    <row r="99" spans="1:35" x14ac:dyDescent="0.45">
      <c r="A99" s="2">
        <v>45889</v>
      </c>
      <c r="B99">
        <v>31.74</v>
      </c>
      <c r="C99">
        <v>32.04</v>
      </c>
      <c r="D99">
        <v>18.600000000000001</v>
      </c>
      <c r="E99">
        <v>26.35</v>
      </c>
      <c r="F99">
        <v>33.78</v>
      </c>
      <c r="G99">
        <v>51.75</v>
      </c>
      <c r="H99">
        <v>25.19</v>
      </c>
      <c r="I99">
        <v>58.78</v>
      </c>
      <c r="J99">
        <v>61.17</v>
      </c>
      <c r="K99">
        <v>71.36</v>
      </c>
      <c r="L99">
        <v>27.69</v>
      </c>
      <c r="M99">
        <v>57.11</v>
      </c>
      <c r="N99">
        <v>65.400000000000006</v>
      </c>
      <c r="O99">
        <v>53.8</v>
      </c>
      <c r="P99">
        <v>59.92</v>
      </c>
      <c r="Q99">
        <v>20.079999999999998</v>
      </c>
      <c r="R99">
        <v>1259.42</v>
      </c>
      <c r="S99">
        <v>35.04</v>
      </c>
      <c r="T99">
        <v>19.8</v>
      </c>
      <c r="U99">
        <v>17.690000000000001</v>
      </c>
      <c r="V99">
        <v>37.89</v>
      </c>
      <c r="W99">
        <v>45.674999999999997</v>
      </c>
      <c r="X99">
        <v>26.7</v>
      </c>
      <c r="Y99">
        <v>47.11</v>
      </c>
      <c r="Z99">
        <v>42.39</v>
      </c>
      <c r="AA99">
        <v>79.64</v>
      </c>
      <c r="AB99">
        <v>55.52</v>
      </c>
      <c r="AC99">
        <v>41.72</v>
      </c>
      <c r="AD99">
        <v>565.9</v>
      </c>
      <c r="AE99">
        <v>638.11</v>
      </c>
      <c r="AF99">
        <v>43.97</v>
      </c>
      <c r="AG99">
        <v>53.58</v>
      </c>
      <c r="AH99">
        <v>46.45</v>
      </c>
      <c r="AI99">
        <v>51.69</v>
      </c>
    </row>
    <row r="100" spans="1:35" x14ac:dyDescent="0.45">
      <c r="A100" s="2">
        <v>45888</v>
      </c>
      <c r="B100">
        <v>31.02</v>
      </c>
      <c r="C100">
        <v>32.19</v>
      </c>
      <c r="D100">
        <v>18.309999999999999</v>
      </c>
      <c r="E100">
        <v>26.25</v>
      </c>
      <c r="F100">
        <v>33.79</v>
      </c>
      <c r="G100">
        <v>51.68</v>
      </c>
      <c r="H100">
        <v>25.18</v>
      </c>
      <c r="I100">
        <v>60.09</v>
      </c>
      <c r="J100">
        <v>61.25</v>
      </c>
      <c r="K100">
        <v>71.44</v>
      </c>
      <c r="L100">
        <v>27.36</v>
      </c>
      <c r="M100">
        <v>56.67</v>
      </c>
      <c r="N100">
        <v>65.150000000000006</v>
      </c>
      <c r="O100">
        <v>53.65</v>
      </c>
      <c r="P100">
        <v>59.59</v>
      </c>
      <c r="Q100">
        <v>20.239999999999998</v>
      </c>
      <c r="R100">
        <v>1266.67</v>
      </c>
      <c r="S100">
        <v>34.5</v>
      </c>
      <c r="T100">
        <v>19.8383</v>
      </c>
      <c r="U100">
        <v>17.899999999999999</v>
      </c>
      <c r="V100">
        <v>37.840000000000003</v>
      </c>
      <c r="W100">
        <v>45.604999999999997</v>
      </c>
      <c r="X100">
        <v>26.61</v>
      </c>
      <c r="Y100">
        <v>47</v>
      </c>
      <c r="Z100">
        <v>42.39</v>
      </c>
      <c r="AA100">
        <v>80.02</v>
      </c>
      <c r="AB100">
        <v>54.9</v>
      </c>
      <c r="AC100">
        <v>41.29</v>
      </c>
      <c r="AD100">
        <v>569.28</v>
      </c>
      <c r="AE100">
        <v>639.80999999999995</v>
      </c>
      <c r="AF100">
        <v>43.82</v>
      </c>
      <c r="AG100">
        <v>53.215000000000003</v>
      </c>
      <c r="AH100">
        <v>46.56</v>
      </c>
      <c r="AI100">
        <v>51.62</v>
      </c>
    </row>
    <row r="101" spans="1:35" x14ac:dyDescent="0.45">
      <c r="A101" s="2">
        <v>45887</v>
      </c>
      <c r="B101">
        <v>31.32</v>
      </c>
      <c r="C101">
        <v>32.549999999999997</v>
      </c>
      <c r="D101">
        <v>18.43</v>
      </c>
      <c r="E101">
        <v>26.34</v>
      </c>
      <c r="F101">
        <v>33.64</v>
      </c>
      <c r="G101">
        <v>52.382100000000001</v>
      </c>
      <c r="H101">
        <v>25.13</v>
      </c>
      <c r="I101">
        <v>61.04</v>
      </c>
      <c r="J101">
        <v>61.19</v>
      </c>
      <c r="K101">
        <v>72.8</v>
      </c>
      <c r="L101">
        <v>28.29</v>
      </c>
      <c r="M101">
        <v>57.11</v>
      </c>
      <c r="N101">
        <v>65.58</v>
      </c>
      <c r="O101">
        <v>53.5</v>
      </c>
      <c r="P101">
        <v>60.04</v>
      </c>
      <c r="Q101">
        <v>20.38</v>
      </c>
      <c r="R101">
        <v>1277.43</v>
      </c>
      <c r="S101">
        <v>34.47</v>
      </c>
      <c r="T101">
        <v>19.965</v>
      </c>
      <c r="U101">
        <v>17.84</v>
      </c>
      <c r="V101">
        <v>37.83</v>
      </c>
      <c r="W101">
        <v>45.844999999999999</v>
      </c>
      <c r="X101">
        <v>26.84</v>
      </c>
      <c r="Y101">
        <v>47.35</v>
      </c>
      <c r="Z101">
        <v>42.45</v>
      </c>
      <c r="AA101">
        <v>80.3</v>
      </c>
      <c r="AB101">
        <v>54.35</v>
      </c>
      <c r="AC101">
        <v>41.29</v>
      </c>
      <c r="AD101">
        <v>577.11</v>
      </c>
      <c r="AE101">
        <v>643.29999999999995</v>
      </c>
      <c r="AF101">
        <v>43.55</v>
      </c>
      <c r="AG101">
        <v>53.13</v>
      </c>
      <c r="AH101">
        <v>46.28</v>
      </c>
      <c r="AI101">
        <v>51.54</v>
      </c>
    </row>
    <row r="102" spans="1:35" x14ac:dyDescent="0.45">
      <c r="A102" s="2">
        <v>45884</v>
      </c>
      <c r="B102">
        <v>30.97</v>
      </c>
      <c r="C102">
        <v>32.4</v>
      </c>
      <c r="D102">
        <v>18.5</v>
      </c>
      <c r="E102">
        <v>26.39</v>
      </c>
      <c r="F102">
        <v>33.450000000000003</v>
      </c>
      <c r="G102">
        <v>52.191600000000001</v>
      </c>
      <c r="H102">
        <v>24.98</v>
      </c>
      <c r="I102">
        <v>60.42</v>
      </c>
      <c r="J102">
        <v>61.34</v>
      </c>
      <c r="K102">
        <v>73.39</v>
      </c>
      <c r="L102">
        <v>28.2</v>
      </c>
      <c r="M102">
        <v>57.62</v>
      </c>
      <c r="N102">
        <v>66.89</v>
      </c>
      <c r="O102">
        <v>52.71</v>
      </c>
      <c r="P102">
        <v>59.68</v>
      </c>
      <c r="Q102">
        <v>20.54</v>
      </c>
      <c r="R102">
        <v>1259.07</v>
      </c>
      <c r="S102">
        <v>34.24</v>
      </c>
      <c r="T102">
        <v>19.905000000000001</v>
      </c>
      <c r="U102">
        <v>17.71</v>
      </c>
      <c r="V102">
        <v>37.549999999999997</v>
      </c>
      <c r="W102">
        <v>45.683999999999997</v>
      </c>
      <c r="X102">
        <v>26.83</v>
      </c>
      <c r="Y102">
        <v>47.27</v>
      </c>
      <c r="Z102">
        <v>42.58</v>
      </c>
      <c r="AA102">
        <v>80.150000000000006</v>
      </c>
      <c r="AB102">
        <v>54.5</v>
      </c>
      <c r="AC102">
        <v>41.27</v>
      </c>
      <c r="AD102">
        <v>577.34</v>
      </c>
      <c r="AE102">
        <v>643.44000000000005</v>
      </c>
      <c r="AF102">
        <v>43.89</v>
      </c>
      <c r="AG102">
        <v>53.16</v>
      </c>
      <c r="AH102">
        <v>46.61</v>
      </c>
      <c r="AI102">
        <v>51.79</v>
      </c>
    </row>
    <row r="103" spans="1:35" x14ac:dyDescent="0.45">
      <c r="A103" s="2">
        <v>45883</v>
      </c>
      <c r="B103">
        <v>30.72</v>
      </c>
      <c r="C103">
        <v>32.270000000000003</v>
      </c>
      <c r="D103">
        <v>18.63</v>
      </c>
      <c r="E103">
        <v>26.28</v>
      </c>
      <c r="F103">
        <v>33.270000000000003</v>
      </c>
      <c r="G103">
        <v>51.95</v>
      </c>
      <c r="H103">
        <v>25.03</v>
      </c>
      <c r="I103">
        <v>60.65</v>
      </c>
      <c r="J103">
        <v>60.99</v>
      </c>
      <c r="K103">
        <v>73.66</v>
      </c>
      <c r="L103">
        <v>27.89</v>
      </c>
      <c r="M103">
        <v>57.64</v>
      </c>
      <c r="N103">
        <v>66.53</v>
      </c>
      <c r="O103">
        <v>52.41</v>
      </c>
      <c r="P103">
        <v>59.3</v>
      </c>
      <c r="Q103">
        <v>20.52</v>
      </c>
      <c r="R103">
        <v>1265.1500000000001</v>
      </c>
      <c r="S103">
        <v>34.11</v>
      </c>
      <c r="T103">
        <v>19.98</v>
      </c>
      <c r="U103">
        <v>17.760000000000002</v>
      </c>
      <c r="V103">
        <v>37.590000000000003</v>
      </c>
      <c r="W103">
        <v>45.57</v>
      </c>
      <c r="X103">
        <v>26.74</v>
      </c>
      <c r="Y103">
        <v>47.33</v>
      </c>
      <c r="Z103">
        <v>42.5</v>
      </c>
      <c r="AA103">
        <v>78.8</v>
      </c>
      <c r="AB103">
        <v>54.1</v>
      </c>
      <c r="AC103">
        <v>41.5</v>
      </c>
      <c r="AD103">
        <v>579.89</v>
      </c>
      <c r="AE103">
        <v>644.95000000000005</v>
      </c>
      <c r="AF103">
        <v>43.5</v>
      </c>
      <c r="AG103">
        <v>53.3</v>
      </c>
      <c r="AH103">
        <v>46.06</v>
      </c>
      <c r="AI103">
        <v>51.56</v>
      </c>
    </row>
    <row r="104" spans="1:35" x14ac:dyDescent="0.45">
      <c r="A104" s="2">
        <v>45882</v>
      </c>
      <c r="B104">
        <v>31.01</v>
      </c>
      <c r="C104">
        <v>32.54</v>
      </c>
      <c r="D104">
        <v>18.829999999999998</v>
      </c>
      <c r="E104">
        <v>26.72</v>
      </c>
      <c r="F104">
        <v>34.07</v>
      </c>
      <c r="G104">
        <v>52.16</v>
      </c>
      <c r="H104">
        <v>25.27</v>
      </c>
      <c r="I104">
        <v>61.03</v>
      </c>
      <c r="J104">
        <v>61.99</v>
      </c>
      <c r="K104">
        <v>74.72</v>
      </c>
      <c r="L104">
        <v>28.18</v>
      </c>
      <c r="M104">
        <v>58.36</v>
      </c>
      <c r="N104">
        <v>66.81</v>
      </c>
      <c r="O104">
        <v>52.71</v>
      </c>
      <c r="P104">
        <v>60.56</v>
      </c>
      <c r="Q104">
        <v>20.56</v>
      </c>
      <c r="R104">
        <v>1264.47</v>
      </c>
      <c r="S104">
        <v>34.47</v>
      </c>
      <c r="T104">
        <v>19.93</v>
      </c>
      <c r="U104">
        <v>17.46</v>
      </c>
      <c r="V104">
        <v>37.44</v>
      </c>
      <c r="W104">
        <v>45.82</v>
      </c>
      <c r="X104">
        <v>26.91</v>
      </c>
      <c r="Y104">
        <v>47.64</v>
      </c>
      <c r="Z104">
        <v>42.38</v>
      </c>
      <c r="AA104">
        <v>79.27</v>
      </c>
      <c r="AB104">
        <v>54.2</v>
      </c>
      <c r="AC104">
        <v>41.36</v>
      </c>
      <c r="AD104">
        <v>580.34</v>
      </c>
      <c r="AE104">
        <v>644.89</v>
      </c>
      <c r="AF104">
        <v>43.31</v>
      </c>
      <c r="AG104">
        <v>53.36</v>
      </c>
      <c r="AH104">
        <v>46.02</v>
      </c>
      <c r="AI104">
        <v>51.1</v>
      </c>
    </row>
    <row r="105" spans="1:35" x14ac:dyDescent="0.45">
      <c r="A105" s="2">
        <v>45881</v>
      </c>
      <c r="B105">
        <v>30.73</v>
      </c>
      <c r="C105">
        <v>31.97</v>
      </c>
      <c r="D105">
        <v>18.61</v>
      </c>
      <c r="E105">
        <v>26.55</v>
      </c>
      <c r="F105">
        <v>33.99</v>
      </c>
      <c r="G105">
        <v>51.75</v>
      </c>
      <c r="H105">
        <v>24.94</v>
      </c>
      <c r="I105">
        <v>61.09</v>
      </c>
      <c r="J105">
        <v>62.33</v>
      </c>
      <c r="K105">
        <v>74.099999999999994</v>
      </c>
      <c r="L105">
        <v>28.39</v>
      </c>
      <c r="M105">
        <v>57.5</v>
      </c>
      <c r="N105">
        <v>66.349999999999994</v>
      </c>
      <c r="O105">
        <v>52.465000000000003</v>
      </c>
      <c r="P105">
        <v>58.73</v>
      </c>
      <c r="Q105">
        <v>20.27</v>
      </c>
      <c r="R105">
        <v>1246.96</v>
      </c>
      <c r="S105">
        <v>34.54</v>
      </c>
      <c r="T105">
        <v>20.149999999999999</v>
      </c>
      <c r="U105">
        <v>17.440000000000001</v>
      </c>
      <c r="V105">
        <v>37.49</v>
      </c>
      <c r="W105">
        <v>45.658999999999999</v>
      </c>
      <c r="X105">
        <v>26.96</v>
      </c>
      <c r="Y105">
        <v>47.51</v>
      </c>
      <c r="Z105">
        <v>42.15</v>
      </c>
      <c r="AA105">
        <v>79.23</v>
      </c>
      <c r="AB105">
        <v>53.81</v>
      </c>
      <c r="AC105">
        <v>41.03</v>
      </c>
      <c r="AD105">
        <v>580.04999999999995</v>
      </c>
      <c r="AE105">
        <v>642.69000000000005</v>
      </c>
      <c r="AF105">
        <v>42.89</v>
      </c>
      <c r="AG105">
        <v>52.967399999999998</v>
      </c>
      <c r="AH105">
        <v>45.99</v>
      </c>
      <c r="AI105">
        <v>50.64</v>
      </c>
    </row>
    <row r="106" spans="1:35" x14ac:dyDescent="0.45">
      <c r="A106" s="2">
        <v>45880</v>
      </c>
      <c r="B106">
        <v>30.295000000000002</v>
      </c>
      <c r="C106">
        <v>31.47</v>
      </c>
      <c r="D106">
        <v>17.98</v>
      </c>
      <c r="E106">
        <v>26.19</v>
      </c>
      <c r="F106">
        <v>33.44</v>
      </c>
      <c r="G106">
        <v>51.130899999999997</v>
      </c>
      <c r="H106">
        <v>24.6</v>
      </c>
      <c r="I106">
        <v>60.28</v>
      </c>
      <c r="J106">
        <v>61.54</v>
      </c>
      <c r="K106">
        <v>73.03</v>
      </c>
      <c r="L106">
        <v>27.64</v>
      </c>
      <c r="M106">
        <v>56.36</v>
      </c>
      <c r="N106">
        <v>65.680000000000007</v>
      </c>
      <c r="O106">
        <v>52.27</v>
      </c>
      <c r="P106">
        <v>57.82</v>
      </c>
      <c r="Q106">
        <v>20.034600000000001</v>
      </c>
      <c r="R106">
        <v>1229.4000000000001</v>
      </c>
      <c r="S106">
        <v>34.844799999999999</v>
      </c>
      <c r="T106">
        <v>20.079999999999998</v>
      </c>
      <c r="U106">
        <v>17.27</v>
      </c>
      <c r="V106">
        <v>37.43</v>
      </c>
      <c r="W106">
        <v>45.79</v>
      </c>
      <c r="X106">
        <v>26.65</v>
      </c>
      <c r="Y106">
        <v>47.28</v>
      </c>
      <c r="Z106">
        <v>41.94</v>
      </c>
      <c r="AA106">
        <v>77.790000000000006</v>
      </c>
      <c r="AB106">
        <v>53.2</v>
      </c>
      <c r="AC106">
        <v>40.64</v>
      </c>
      <c r="AD106">
        <v>572.85</v>
      </c>
      <c r="AE106">
        <v>635.91999999999996</v>
      </c>
      <c r="AF106">
        <v>42.35</v>
      </c>
      <c r="AG106">
        <v>52.37</v>
      </c>
      <c r="AH106">
        <v>45.23</v>
      </c>
      <c r="AI106">
        <v>49.99</v>
      </c>
    </row>
    <row r="107" spans="1:35" x14ac:dyDescent="0.45">
      <c r="A107" s="2">
        <v>45877</v>
      </c>
      <c r="B107">
        <v>30.27</v>
      </c>
      <c r="C107">
        <v>31.41</v>
      </c>
      <c r="D107">
        <v>17.829999999999998</v>
      </c>
      <c r="E107">
        <v>26.63</v>
      </c>
      <c r="F107">
        <v>33.97</v>
      </c>
      <c r="G107">
        <v>51.72</v>
      </c>
      <c r="H107">
        <v>24.51</v>
      </c>
      <c r="I107">
        <v>60.29</v>
      </c>
      <c r="J107">
        <v>61.64</v>
      </c>
      <c r="K107">
        <v>73.5</v>
      </c>
      <c r="L107">
        <v>27.81</v>
      </c>
      <c r="M107">
        <v>56.45</v>
      </c>
      <c r="N107">
        <v>65.069199999999995</v>
      </c>
      <c r="O107">
        <v>52.12</v>
      </c>
      <c r="P107">
        <v>58.19</v>
      </c>
      <c r="Q107">
        <v>19.93</v>
      </c>
      <c r="R107">
        <v>1218.33</v>
      </c>
      <c r="S107">
        <v>34.68</v>
      </c>
      <c r="T107">
        <v>20.14</v>
      </c>
      <c r="U107">
        <v>17.18</v>
      </c>
      <c r="V107">
        <v>37.83</v>
      </c>
      <c r="W107">
        <v>45.744999999999997</v>
      </c>
      <c r="X107">
        <v>26.63</v>
      </c>
      <c r="Y107">
        <v>47.34</v>
      </c>
      <c r="Z107">
        <v>42.34</v>
      </c>
      <c r="AA107">
        <v>77.930000000000007</v>
      </c>
      <c r="AB107">
        <v>53.6</v>
      </c>
      <c r="AC107">
        <v>40.53</v>
      </c>
      <c r="AD107">
        <v>574.54999999999995</v>
      </c>
      <c r="AE107">
        <v>637.17999999999995</v>
      </c>
      <c r="AF107">
        <v>42.68</v>
      </c>
      <c r="AG107">
        <v>52.52</v>
      </c>
      <c r="AH107">
        <v>45.88</v>
      </c>
      <c r="AI107">
        <v>50.16</v>
      </c>
    </row>
    <row r="108" spans="1:35" x14ac:dyDescent="0.45">
      <c r="A108" s="2">
        <v>45876</v>
      </c>
      <c r="B108">
        <v>30.3</v>
      </c>
      <c r="C108">
        <v>30.74</v>
      </c>
      <c r="D108">
        <v>17.72</v>
      </c>
      <c r="E108">
        <v>26.49</v>
      </c>
      <c r="F108">
        <v>33.53</v>
      </c>
      <c r="G108">
        <v>50.705500000000001</v>
      </c>
      <c r="H108">
        <v>24.38</v>
      </c>
      <c r="I108">
        <v>60.36</v>
      </c>
      <c r="J108">
        <v>61.65</v>
      </c>
      <c r="K108">
        <v>73.44</v>
      </c>
      <c r="L108">
        <v>28.05</v>
      </c>
      <c r="M108">
        <v>56.66</v>
      </c>
      <c r="N108">
        <v>64.58</v>
      </c>
      <c r="O108">
        <v>52.53</v>
      </c>
      <c r="P108">
        <v>58.2</v>
      </c>
      <c r="Q108">
        <v>19.946000000000002</v>
      </c>
      <c r="R108">
        <v>1242.3499999999999</v>
      </c>
      <c r="S108">
        <v>34.61</v>
      </c>
      <c r="T108">
        <v>20.100000000000001</v>
      </c>
      <c r="U108">
        <v>16.8</v>
      </c>
      <c r="V108">
        <v>37.83</v>
      </c>
      <c r="W108">
        <v>45.795000000000002</v>
      </c>
      <c r="X108">
        <v>26.6</v>
      </c>
      <c r="Y108">
        <v>47.34</v>
      </c>
      <c r="Z108">
        <v>42.33</v>
      </c>
      <c r="AA108">
        <v>76.62</v>
      </c>
      <c r="AB108">
        <v>53.68</v>
      </c>
      <c r="AC108">
        <v>40.49</v>
      </c>
      <c r="AD108">
        <v>569.24</v>
      </c>
      <c r="AE108">
        <v>632.25</v>
      </c>
      <c r="AF108">
        <v>42.49</v>
      </c>
      <c r="AG108">
        <v>52.2</v>
      </c>
      <c r="AH108">
        <v>45.6</v>
      </c>
      <c r="AI108">
        <v>49.95</v>
      </c>
    </row>
    <row r="109" spans="1:35" x14ac:dyDescent="0.45">
      <c r="A109" s="2">
        <v>45875</v>
      </c>
      <c r="B109">
        <v>30.33</v>
      </c>
      <c r="C109">
        <v>30.09</v>
      </c>
      <c r="D109">
        <v>17.66</v>
      </c>
      <c r="E109">
        <v>26.41</v>
      </c>
      <c r="F109">
        <v>32.840000000000003</v>
      </c>
      <c r="G109">
        <v>50.183300000000003</v>
      </c>
      <c r="H109">
        <v>24.4</v>
      </c>
      <c r="I109">
        <v>59.14</v>
      </c>
      <c r="J109">
        <v>60.76</v>
      </c>
      <c r="K109">
        <v>73.180000000000007</v>
      </c>
      <c r="L109">
        <v>27.45</v>
      </c>
      <c r="M109">
        <v>56.17</v>
      </c>
      <c r="N109">
        <v>64.2</v>
      </c>
      <c r="O109">
        <v>52.255000000000003</v>
      </c>
      <c r="P109">
        <v>58.36</v>
      </c>
      <c r="Q109">
        <v>19.850000000000001</v>
      </c>
      <c r="R109">
        <v>1244.1400000000001</v>
      </c>
      <c r="S109">
        <v>34.46</v>
      </c>
      <c r="T109">
        <v>20.25</v>
      </c>
      <c r="U109">
        <v>17.09</v>
      </c>
      <c r="V109">
        <v>38.04</v>
      </c>
      <c r="W109">
        <v>45.63</v>
      </c>
      <c r="X109">
        <v>26.66</v>
      </c>
      <c r="Y109">
        <v>47.73</v>
      </c>
      <c r="Z109">
        <v>41.84</v>
      </c>
      <c r="AA109">
        <v>76.03</v>
      </c>
      <c r="AB109">
        <v>52.98</v>
      </c>
      <c r="AC109">
        <v>40.380000000000003</v>
      </c>
      <c r="AD109">
        <v>567.32000000000005</v>
      </c>
      <c r="AE109">
        <v>632.78</v>
      </c>
      <c r="AF109">
        <v>42.02</v>
      </c>
      <c r="AG109">
        <v>51.43</v>
      </c>
      <c r="AH109">
        <v>44.82</v>
      </c>
      <c r="AI109">
        <v>49.52</v>
      </c>
    </row>
    <row r="110" spans="1:35" x14ac:dyDescent="0.45">
      <c r="A110" s="2">
        <v>45874</v>
      </c>
      <c r="B110">
        <v>30.17</v>
      </c>
      <c r="C110">
        <v>30.26</v>
      </c>
      <c r="D110">
        <v>17.62</v>
      </c>
      <c r="E110">
        <v>26.16</v>
      </c>
      <c r="F110">
        <v>31.79</v>
      </c>
      <c r="G110">
        <v>49.7</v>
      </c>
      <c r="H110">
        <v>24.24</v>
      </c>
      <c r="I110">
        <v>58.92</v>
      </c>
      <c r="J110">
        <v>60.19</v>
      </c>
      <c r="K110">
        <v>72.89</v>
      </c>
      <c r="L110">
        <v>27.02</v>
      </c>
      <c r="M110">
        <v>55.4</v>
      </c>
      <c r="N110">
        <v>62.98</v>
      </c>
      <c r="O110">
        <v>52.41</v>
      </c>
      <c r="P110">
        <v>57.86</v>
      </c>
      <c r="Q110">
        <v>19.785</v>
      </c>
      <c r="R110">
        <v>1233.68</v>
      </c>
      <c r="S110">
        <v>34.29</v>
      </c>
      <c r="T110">
        <v>20.010000000000002</v>
      </c>
      <c r="U110">
        <v>16.670000000000002</v>
      </c>
      <c r="V110">
        <v>37.78</v>
      </c>
      <c r="W110">
        <v>45.255000000000003</v>
      </c>
      <c r="X110">
        <v>26.41</v>
      </c>
      <c r="Y110">
        <v>46.93</v>
      </c>
      <c r="Z110">
        <v>41.49</v>
      </c>
      <c r="AA110">
        <v>75.03</v>
      </c>
      <c r="AB110">
        <v>53.48</v>
      </c>
      <c r="AC110">
        <v>40.229999999999997</v>
      </c>
      <c r="AD110">
        <v>560.27</v>
      </c>
      <c r="AE110">
        <v>627.97</v>
      </c>
      <c r="AF110">
        <v>41.83</v>
      </c>
      <c r="AG110">
        <v>51.33</v>
      </c>
      <c r="AH110">
        <v>44.45</v>
      </c>
      <c r="AI110">
        <v>48.74</v>
      </c>
    </row>
    <row r="111" spans="1:35" x14ac:dyDescent="0.45">
      <c r="A111" s="2">
        <v>45873</v>
      </c>
      <c r="B111">
        <v>29.9</v>
      </c>
      <c r="C111">
        <v>30.24</v>
      </c>
      <c r="D111">
        <v>17.59</v>
      </c>
      <c r="E111">
        <v>26.35</v>
      </c>
      <c r="F111">
        <v>31.94</v>
      </c>
      <c r="G111">
        <v>49.27</v>
      </c>
      <c r="H111">
        <v>24.13</v>
      </c>
      <c r="I111">
        <v>58.84</v>
      </c>
      <c r="J111">
        <v>59.23</v>
      </c>
      <c r="K111">
        <v>72.33</v>
      </c>
      <c r="L111">
        <v>26.93</v>
      </c>
      <c r="M111">
        <v>55.05</v>
      </c>
      <c r="N111">
        <v>62.02</v>
      </c>
      <c r="O111">
        <v>52.48</v>
      </c>
      <c r="P111">
        <v>57.47</v>
      </c>
      <c r="Q111">
        <v>19.71</v>
      </c>
      <c r="R111">
        <v>1217.1500000000001</v>
      </c>
      <c r="S111">
        <v>34.32</v>
      </c>
      <c r="T111">
        <v>20.21</v>
      </c>
      <c r="U111">
        <v>16.579999999999998</v>
      </c>
      <c r="V111">
        <v>37.630000000000003</v>
      </c>
      <c r="W111">
        <v>44.93</v>
      </c>
      <c r="X111">
        <v>26.28</v>
      </c>
      <c r="Y111">
        <v>46.58</v>
      </c>
      <c r="Z111">
        <v>41.3</v>
      </c>
      <c r="AA111">
        <v>75.290000000000006</v>
      </c>
      <c r="AB111">
        <v>53.31</v>
      </c>
      <c r="AC111">
        <v>40.21</v>
      </c>
      <c r="AD111">
        <v>564.1</v>
      </c>
      <c r="AE111">
        <v>631.16999999999996</v>
      </c>
      <c r="AF111">
        <v>41.86</v>
      </c>
      <c r="AG111">
        <v>51.35</v>
      </c>
      <c r="AH111">
        <v>44.3</v>
      </c>
      <c r="AI111">
        <v>48.57</v>
      </c>
    </row>
    <row r="112" spans="1:35" x14ac:dyDescent="0.45">
      <c r="A112" s="2">
        <v>45870</v>
      </c>
      <c r="B112">
        <v>29.6</v>
      </c>
      <c r="C112">
        <v>29.98</v>
      </c>
      <c r="D112">
        <v>17.61</v>
      </c>
      <c r="E112">
        <v>25.78</v>
      </c>
      <c r="F112">
        <v>31.7</v>
      </c>
      <c r="G112">
        <v>48.35</v>
      </c>
      <c r="H112">
        <v>23.98</v>
      </c>
      <c r="I112">
        <v>58.39</v>
      </c>
      <c r="J112">
        <v>59.6</v>
      </c>
      <c r="K112">
        <v>70.650000000000006</v>
      </c>
      <c r="L112">
        <v>26.65</v>
      </c>
      <c r="M112">
        <v>53.43</v>
      </c>
      <c r="N112">
        <v>60.34</v>
      </c>
      <c r="O112">
        <v>52.72</v>
      </c>
      <c r="P112">
        <v>56.52</v>
      </c>
      <c r="Q112">
        <v>19.664999999999999</v>
      </c>
      <c r="R112">
        <v>1212.49</v>
      </c>
      <c r="S112">
        <v>33.92</v>
      </c>
      <c r="T112">
        <v>19.95</v>
      </c>
      <c r="U112">
        <v>15.95</v>
      </c>
      <c r="V112">
        <v>37.32</v>
      </c>
      <c r="W112">
        <v>44.69</v>
      </c>
      <c r="X112">
        <v>25.91</v>
      </c>
      <c r="Y112">
        <v>45.86</v>
      </c>
      <c r="Z112">
        <v>40.75</v>
      </c>
      <c r="AA112">
        <v>74.069999999999993</v>
      </c>
      <c r="AB112">
        <v>52.43</v>
      </c>
      <c r="AC112">
        <v>39.94</v>
      </c>
      <c r="AD112">
        <v>553.88</v>
      </c>
      <c r="AE112">
        <v>621.72</v>
      </c>
      <c r="AF112">
        <v>41.43</v>
      </c>
      <c r="AG112">
        <v>50.85</v>
      </c>
      <c r="AH112">
        <v>43.68</v>
      </c>
      <c r="AI112">
        <v>47.83</v>
      </c>
    </row>
    <row r="113" spans="1:35" x14ac:dyDescent="0.45">
      <c r="A113" s="2">
        <v>45869</v>
      </c>
      <c r="B113">
        <v>29.68</v>
      </c>
      <c r="C113">
        <v>29.83</v>
      </c>
      <c r="D113">
        <v>17.27</v>
      </c>
      <c r="E113">
        <v>25.42</v>
      </c>
      <c r="F113">
        <v>31.75</v>
      </c>
      <c r="G113">
        <v>48.65</v>
      </c>
      <c r="H113">
        <v>23.49</v>
      </c>
      <c r="I113">
        <v>58.36</v>
      </c>
      <c r="J113">
        <v>60.14</v>
      </c>
      <c r="K113">
        <v>72.81</v>
      </c>
      <c r="L113">
        <v>26.55</v>
      </c>
      <c r="M113">
        <v>53.05</v>
      </c>
      <c r="N113">
        <v>60.51</v>
      </c>
      <c r="O113">
        <v>52.64</v>
      </c>
      <c r="P113">
        <v>57.43</v>
      </c>
      <c r="Q113">
        <v>19.655000000000001</v>
      </c>
      <c r="R113">
        <v>1219.6199999999999</v>
      </c>
      <c r="S113">
        <v>33.85</v>
      </c>
      <c r="T113">
        <v>20.039899999999999</v>
      </c>
      <c r="U113">
        <v>16.010000000000002</v>
      </c>
      <c r="V113">
        <v>37.56</v>
      </c>
      <c r="W113">
        <v>45.05</v>
      </c>
      <c r="X113">
        <v>26.02</v>
      </c>
      <c r="Y113">
        <v>46.18</v>
      </c>
      <c r="Z113">
        <v>41.15</v>
      </c>
      <c r="AA113">
        <v>73.62</v>
      </c>
      <c r="AB113">
        <v>52.72</v>
      </c>
      <c r="AC113">
        <v>39.81</v>
      </c>
      <c r="AD113">
        <v>565.01</v>
      </c>
      <c r="AE113">
        <v>632.08000000000004</v>
      </c>
      <c r="AF113">
        <v>41.94</v>
      </c>
      <c r="AG113">
        <v>51.26</v>
      </c>
      <c r="AH113">
        <v>43.86</v>
      </c>
      <c r="AI113">
        <v>48.25</v>
      </c>
    </row>
    <row r="114" spans="1:35" x14ac:dyDescent="0.45">
      <c r="A114" s="2">
        <v>45868</v>
      </c>
      <c r="B114">
        <v>30.24</v>
      </c>
      <c r="C114">
        <v>29.48</v>
      </c>
      <c r="D114">
        <v>17.579999999999998</v>
      </c>
      <c r="E114">
        <v>26.175000000000001</v>
      </c>
      <c r="F114">
        <v>32.21</v>
      </c>
      <c r="G114">
        <v>47.99</v>
      </c>
      <c r="H114">
        <v>23.84</v>
      </c>
      <c r="I114">
        <v>58.35</v>
      </c>
      <c r="J114">
        <v>60.17</v>
      </c>
      <c r="K114">
        <v>73.680000000000007</v>
      </c>
      <c r="L114">
        <v>26.88</v>
      </c>
      <c r="M114">
        <v>53.99</v>
      </c>
      <c r="N114">
        <v>60.44</v>
      </c>
      <c r="O114">
        <v>52.7</v>
      </c>
      <c r="P114">
        <v>57.89</v>
      </c>
      <c r="Q114">
        <v>19.66</v>
      </c>
      <c r="R114">
        <v>1191.75</v>
      </c>
      <c r="S114">
        <v>33.659999999999997</v>
      </c>
      <c r="T114">
        <v>20.260000000000002</v>
      </c>
      <c r="U114">
        <v>16.03</v>
      </c>
      <c r="V114">
        <v>37.619999999999997</v>
      </c>
      <c r="W114">
        <v>45.19</v>
      </c>
      <c r="X114">
        <v>26.15</v>
      </c>
      <c r="Y114">
        <v>46.38</v>
      </c>
      <c r="Z114">
        <v>41.63</v>
      </c>
      <c r="AA114">
        <v>73.98</v>
      </c>
      <c r="AB114">
        <v>53.48</v>
      </c>
      <c r="AC114">
        <v>40.04</v>
      </c>
      <c r="AD114">
        <v>568.02</v>
      </c>
      <c r="AE114">
        <v>634.46</v>
      </c>
      <c r="AF114">
        <v>42.47</v>
      </c>
      <c r="AG114">
        <v>52.2</v>
      </c>
      <c r="AH114">
        <v>44.54</v>
      </c>
      <c r="AI114">
        <v>49.13</v>
      </c>
    </row>
    <row r="115" spans="1:35" x14ac:dyDescent="0.45">
      <c r="A115" s="2">
        <v>45867</v>
      </c>
      <c r="B115">
        <v>30.44</v>
      </c>
      <c r="C115">
        <v>29.83</v>
      </c>
      <c r="D115">
        <v>17.8</v>
      </c>
      <c r="E115">
        <v>26.37</v>
      </c>
      <c r="F115">
        <v>32.25</v>
      </c>
      <c r="G115">
        <v>49.44</v>
      </c>
      <c r="H115">
        <v>24.04</v>
      </c>
      <c r="I115">
        <v>58.62</v>
      </c>
      <c r="J115">
        <v>60.93</v>
      </c>
      <c r="K115">
        <v>73.489999999999995</v>
      </c>
      <c r="L115">
        <v>26.76</v>
      </c>
      <c r="M115">
        <v>54.54</v>
      </c>
      <c r="N115">
        <v>60.98</v>
      </c>
      <c r="O115">
        <v>53.49</v>
      </c>
      <c r="P115">
        <v>58.56</v>
      </c>
      <c r="Q115">
        <v>19.600000000000001</v>
      </c>
      <c r="R115">
        <v>1208.1300000000001</v>
      </c>
      <c r="S115">
        <v>33.28</v>
      </c>
      <c r="T115">
        <v>20.145</v>
      </c>
      <c r="U115">
        <v>15.9</v>
      </c>
      <c r="V115">
        <v>37.39</v>
      </c>
      <c r="W115">
        <v>45.834299999999999</v>
      </c>
      <c r="X115">
        <v>26.37</v>
      </c>
      <c r="Y115">
        <v>46.79</v>
      </c>
      <c r="Z115">
        <v>41.89</v>
      </c>
      <c r="AA115">
        <v>73.88</v>
      </c>
      <c r="AB115">
        <v>54.12</v>
      </c>
      <c r="AC115">
        <v>40.39</v>
      </c>
      <c r="AD115">
        <v>567.26</v>
      </c>
      <c r="AE115">
        <v>635.26</v>
      </c>
      <c r="AF115">
        <v>42.91</v>
      </c>
      <c r="AG115">
        <v>52.69</v>
      </c>
      <c r="AH115">
        <v>44.96</v>
      </c>
      <c r="AI115">
        <v>49.06</v>
      </c>
    </row>
    <row r="116" spans="1:35" x14ac:dyDescent="0.45">
      <c r="A116" s="2">
        <v>45866</v>
      </c>
      <c r="B116">
        <v>30.29</v>
      </c>
      <c r="C116">
        <v>29.78</v>
      </c>
      <c r="D116">
        <v>17.75</v>
      </c>
      <c r="E116">
        <v>26.55</v>
      </c>
      <c r="F116">
        <v>32.130000000000003</v>
      </c>
      <c r="G116">
        <v>49.15</v>
      </c>
      <c r="H116">
        <v>24.05</v>
      </c>
      <c r="I116">
        <v>59.06</v>
      </c>
      <c r="J116">
        <v>60.06</v>
      </c>
      <c r="K116">
        <v>72.709999999999994</v>
      </c>
      <c r="L116">
        <v>26.52</v>
      </c>
      <c r="M116">
        <v>54.22</v>
      </c>
      <c r="N116">
        <v>60.45</v>
      </c>
      <c r="O116">
        <v>53.23</v>
      </c>
      <c r="P116">
        <v>58.7</v>
      </c>
      <c r="Q116">
        <v>19.600000000000001</v>
      </c>
      <c r="R116">
        <v>1206.58</v>
      </c>
      <c r="S116">
        <v>33.43</v>
      </c>
      <c r="T116">
        <v>20.32</v>
      </c>
      <c r="U116">
        <v>16.78</v>
      </c>
      <c r="V116">
        <v>37.61</v>
      </c>
      <c r="W116">
        <v>45.64</v>
      </c>
      <c r="X116">
        <v>26.22</v>
      </c>
      <c r="Y116">
        <v>46.72</v>
      </c>
      <c r="Z116">
        <v>41.67</v>
      </c>
      <c r="AA116">
        <v>74.27</v>
      </c>
      <c r="AB116">
        <v>54.16</v>
      </c>
      <c r="AC116">
        <v>40.119999999999997</v>
      </c>
      <c r="AD116">
        <v>568.14</v>
      </c>
      <c r="AE116">
        <v>636.94000000000005</v>
      </c>
      <c r="AF116">
        <v>42.8</v>
      </c>
      <c r="AG116">
        <v>52.91</v>
      </c>
      <c r="AH116">
        <v>45.78</v>
      </c>
      <c r="AI116">
        <v>48.78</v>
      </c>
    </row>
    <row r="117" spans="1:35" x14ac:dyDescent="0.45">
      <c r="A117" s="2">
        <v>45863</v>
      </c>
      <c r="B117">
        <v>30.31</v>
      </c>
      <c r="C117">
        <v>30.34</v>
      </c>
      <c r="D117">
        <v>17.600000000000001</v>
      </c>
      <c r="E117">
        <v>26.752199999999998</v>
      </c>
      <c r="F117">
        <v>33.35</v>
      </c>
      <c r="G117">
        <v>49.61</v>
      </c>
      <c r="H117">
        <v>24.19</v>
      </c>
      <c r="I117">
        <v>59.43</v>
      </c>
      <c r="J117">
        <v>61.05</v>
      </c>
      <c r="K117">
        <v>73.209999999999994</v>
      </c>
      <c r="L117">
        <v>26.94</v>
      </c>
      <c r="M117">
        <v>54.74</v>
      </c>
      <c r="N117">
        <v>62.15</v>
      </c>
      <c r="O117">
        <v>53.8</v>
      </c>
      <c r="P117">
        <v>58.93</v>
      </c>
      <c r="Q117">
        <v>19.63</v>
      </c>
      <c r="R117">
        <v>1198.1099999999999</v>
      </c>
      <c r="S117">
        <v>33.79</v>
      </c>
      <c r="T117">
        <v>20.350000000000001</v>
      </c>
      <c r="U117">
        <v>16.47</v>
      </c>
      <c r="V117">
        <v>37.72</v>
      </c>
      <c r="W117">
        <v>46.051099999999998</v>
      </c>
      <c r="X117">
        <v>26.48</v>
      </c>
      <c r="Y117">
        <v>47.01</v>
      </c>
      <c r="Z117">
        <v>42.81</v>
      </c>
      <c r="AA117">
        <v>75.680000000000007</v>
      </c>
      <c r="AB117">
        <v>55.16</v>
      </c>
      <c r="AC117">
        <v>40.64</v>
      </c>
      <c r="AD117">
        <v>566.37</v>
      </c>
      <c r="AE117">
        <v>637.1</v>
      </c>
      <c r="AF117">
        <v>43.72</v>
      </c>
      <c r="AG117">
        <v>53.5</v>
      </c>
      <c r="AH117">
        <v>46.38</v>
      </c>
      <c r="AI117">
        <v>49.56</v>
      </c>
    </row>
    <row r="118" spans="1:35" x14ac:dyDescent="0.45">
      <c r="A118" s="2">
        <v>45862</v>
      </c>
      <c r="B118">
        <v>30.45</v>
      </c>
      <c r="C118">
        <v>30.49</v>
      </c>
      <c r="D118">
        <v>17.809999999999999</v>
      </c>
      <c r="E118">
        <v>27</v>
      </c>
      <c r="F118">
        <v>33.29</v>
      </c>
      <c r="G118">
        <v>49.98</v>
      </c>
      <c r="H118">
        <v>24.3</v>
      </c>
      <c r="I118">
        <v>59.39</v>
      </c>
      <c r="J118">
        <v>60.85</v>
      </c>
      <c r="K118">
        <v>73.31</v>
      </c>
      <c r="L118">
        <v>27.13</v>
      </c>
      <c r="M118">
        <v>55.44</v>
      </c>
      <c r="N118">
        <v>62</v>
      </c>
      <c r="O118">
        <v>54.06</v>
      </c>
      <c r="P118">
        <v>59.18</v>
      </c>
      <c r="Q118">
        <v>19.61</v>
      </c>
      <c r="R118">
        <v>1157.6300000000001</v>
      </c>
      <c r="S118">
        <v>33.950000000000003</v>
      </c>
      <c r="T118">
        <v>20.11</v>
      </c>
      <c r="U118">
        <v>15.994999999999999</v>
      </c>
      <c r="V118">
        <v>37.68</v>
      </c>
      <c r="W118">
        <v>45.98</v>
      </c>
      <c r="X118">
        <v>26.58</v>
      </c>
      <c r="Y118">
        <v>46.97</v>
      </c>
      <c r="Z118">
        <v>42.7</v>
      </c>
      <c r="AA118">
        <v>76.55</v>
      </c>
      <c r="AB118">
        <v>55.12</v>
      </c>
      <c r="AC118">
        <v>40.770000000000003</v>
      </c>
      <c r="AD118">
        <v>565.01</v>
      </c>
      <c r="AE118">
        <v>634.41999999999996</v>
      </c>
      <c r="AF118">
        <v>43.4</v>
      </c>
      <c r="AG118">
        <v>53.93</v>
      </c>
      <c r="AH118">
        <v>45.9</v>
      </c>
      <c r="AI118">
        <v>49.12</v>
      </c>
    </row>
    <row r="119" spans="1:35" x14ac:dyDescent="0.45">
      <c r="A119" s="2">
        <v>45861</v>
      </c>
      <c r="B119">
        <v>30.35</v>
      </c>
      <c r="C119">
        <v>30.41</v>
      </c>
      <c r="D119">
        <v>17.809999999999999</v>
      </c>
      <c r="E119">
        <v>27.09</v>
      </c>
      <c r="F119">
        <v>33.450000000000003</v>
      </c>
      <c r="G119">
        <v>50.3</v>
      </c>
      <c r="H119">
        <v>24.21</v>
      </c>
      <c r="I119">
        <v>59.8</v>
      </c>
      <c r="J119">
        <v>60.47</v>
      </c>
      <c r="K119">
        <v>73.849999999999994</v>
      </c>
      <c r="L119">
        <v>27.48</v>
      </c>
      <c r="M119">
        <v>56.27</v>
      </c>
      <c r="N119">
        <v>62.58</v>
      </c>
      <c r="O119">
        <v>54.73</v>
      </c>
      <c r="P119">
        <v>59.25</v>
      </c>
      <c r="Q119">
        <v>19.54</v>
      </c>
      <c r="R119">
        <v>1161.01</v>
      </c>
      <c r="S119">
        <v>33.86</v>
      </c>
      <c r="T119">
        <v>20.105</v>
      </c>
      <c r="U119">
        <v>16</v>
      </c>
      <c r="V119">
        <v>37.97</v>
      </c>
      <c r="W119">
        <v>46.134999999999998</v>
      </c>
      <c r="X119">
        <v>26.82</v>
      </c>
      <c r="Y119">
        <v>47.17</v>
      </c>
      <c r="Z119">
        <v>43.21</v>
      </c>
      <c r="AA119">
        <v>76.489999999999995</v>
      </c>
      <c r="AB119">
        <v>56.2</v>
      </c>
      <c r="AC119">
        <v>40.9</v>
      </c>
      <c r="AD119">
        <v>563.80999999999995</v>
      </c>
      <c r="AE119">
        <v>634.21</v>
      </c>
      <c r="AF119">
        <v>44.4</v>
      </c>
      <c r="AG119">
        <v>54.25</v>
      </c>
      <c r="AH119">
        <v>46.3</v>
      </c>
      <c r="AI119">
        <v>49.84</v>
      </c>
    </row>
    <row r="120" spans="1:35" x14ac:dyDescent="0.45">
      <c r="A120" s="2">
        <v>45860</v>
      </c>
      <c r="B120">
        <v>30.364999999999998</v>
      </c>
      <c r="C120">
        <v>30.39</v>
      </c>
      <c r="D120">
        <v>17.559999999999999</v>
      </c>
      <c r="E120">
        <v>26.52</v>
      </c>
      <c r="F120">
        <v>32.93</v>
      </c>
      <c r="G120">
        <v>49.55</v>
      </c>
      <c r="H120">
        <v>23.99</v>
      </c>
      <c r="I120">
        <v>58.72</v>
      </c>
      <c r="J120">
        <v>59.03</v>
      </c>
      <c r="K120">
        <v>72.89</v>
      </c>
      <c r="L120">
        <v>27</v>
      </c>
      <c r="M120">
        <v>55.74</v>
      </c>
      <c r="N120">
        <v>61.43</v>
      </c>
      <c r="O120">
        <v>54.61</v>
      </c>
      <c r="P120">
        <v>58.664999999999999</v>
      </c>
      <c r="Q120">
        <v>19.34</v>
      </c>
      <c r="R120">
        <v>1143.31</v>
      </c>
      <c r="S120">
        <v>33.869999999999997</v>
      </c>
      <c r="T120">
        <v>19.795000000000002</v>
      </c>
      <c r="U120">
        <v>15.82</v>
      </c>
      <c r="V120">
        <v>37.5</v>
      </c>
      <c r="W120">
        <v>46.155000000000001</v>
      </c>
      <c r="X120">
        <v>26.55</v>
      </c>
      <c r="Y120">
        <v>47.09</v>
      </c>
      <c r="Z120">
        <v>42.42</v>
      </c>
      <c r="AA120">
        <v>72.98</v>
      </c>
      <c r="AB120">
        <v>54.96</v>
      </c>
      <c r="AC120">
        <v>40.43</v>
      </c>
      <c r="AD120">
        <v>561.25</v>
      </c>
      <c r="AE120">
        <v>628.86</v>
      </c>
      <c r="AF120">
        <v>43.16</v>
      </c>
      <c r="AG120">
        <v>53.37</v>
      </c>
      <c r="AH120">
        <v>45.21</v>
      </c>
      <c r="AI120">
        <v>48.55</v>
      </c>
    </row>
    <row r="121" spans="1:35" x14ac:dyDescent="0.45">
      <c r="A121" s="2">
        <v>45859</v>
      </c>
      <c r="B121">
        <v>29.98</v>
      </c>
      <c r="C121">
        <v>30.3</v>
      </c>
      <c r="D121">
        <v>17.73</v>
      </c>
      <c r="E121">
        <v>26.34</v>
      </c>
      <c r="F121">
        <v>32.9</v>
      </c>
      <c r="G121">
        <v>48.93</v>
      </c>
      <c r="H121">
        <v>24.03</v>
      </c>
      <c r="I121">
        <v>59.36</v>
      </c>
      <c r="J121">
        <v>59.24</v>
      </c>
      <c r="K121">
        <v>73.87</v>
      </c>
      <c r="L121">
        <v>27.08</v>
      </c>
      <c r="M121">
        <v>55.7</v>
      </c>
      <c r="N121">
        <v>61.53</v>
      </c>
      <c r="O121">
        <v>54.75</v>
      </c>
      <c r="P121">
        <v>57.81</v>
      </c>
      <c r="Q121">
        <v>19.12</v>
      </c>
      <c r="R121">
        <v>1121.1300000000001</v>
      </c>
      <c r="S121">
        <v>33.93</v>
      </c>
      <c r="T121">
        <v>19.899999999999999</v>
      </c>
      <c r="U121">
        <v>15.35</v>
      </c>
      <c r="V121">
        <v>37.82</v>
      </c>
      <c r="W121">
        <v>46.367600000000003</v>
      </c>
      <c r="X121">
        <v>26.37</v>
      </c>
      <c r="Y121">
        <v>46.71</v>
      </c>
      <c r="Z121">
        <v>42.42</v>
      </c>
      <c r="AA121">
        <v>72.61</v>
      </c>
      <c r="AB121">
        <v>54.51</v>
      </c>
      <c r="AC121">
        <v>40.01</v>
      </c>
      <c r="AD121">
        <v>564.16999999999996</v>
      </c>
      <c r="AE121">
        <v>628.77</v>
      </c>
      <c r="AF121">
        <v>43.03</v>
      </c>
      <c r="AG121">
        <v>53.41</v>
      </c>
      <c r="AH121">
        <v>45.25</v>
      </c>
      <c r="AI121">
        <v>48.03</v>
      </c>
    </row>
    <row r="122" spans="1:35" x14ac:dyDescent="0.45">
      <c r="A122" s="2">
        <v>45856</v>
      </c>
      <c r="B122">
        <v>29.73</v>
      </c>
      <c r="C122">
        <v>30.16</v>
      </c>
      <c r="D122">
        <v>17.690000000000001</v>
      </c>
      <c r="E122">
        <v>26.11</v>
      </c>
      <c r="F122">
        <v>32.86</v>
      </c>
      <c r="G122">
        <v>48.32</v>
      </c>
      <c r="H122">
        <v>23.93</v>
      </c>
      <c r="I122">
        <v>59.24</v>
      </c>
      <c r="J122">
        <v>59.46</v>
      </c>
      <c r="K122">
        <v>72.39</v>
      </c>
      <c r="L122">
        <v>26.85</v>
      </c>
      <c r="M122">
        <v>54.81</v>
      </c>
      <c r="N122">
        <v>61.2</v>
      </c>
      <c r="O122">
        <v>54.5</v>
      </c>
      <c r="P122">
        <v>57.45</v>
      </c>
      <c r="Q122">
        <v>18.91</v>
      </c>
      <c r="R122">
        <v>1110.4000000000001</v>
      </c>
      <c r="S122">
        <v>32.994999999999997</v>
      </c>
      <c r="T122">
        <v>19.98</v>
      </c>
      <c r="U122">
        <v>15.574999999999999</v>
      </c>
      <c r="V122">
        <v>38.130000000000003</v>
      </c>
      <c r="W122">
        <v>45.695</v>
      </c>
      <c r="X122">
        <v>26.45</v>
      </c>
      <c r="Y122">
        <v>46.59</v>
      </c>
      <c r="Z122">
        <v>42.13</v>
      </c>
      <c r="AA122">
        <v>71.81</v>
      </c>
      <c r="AB122">
        <v>54.48</v>
      </c>
      <c r="AC122">
        <v>39.799999999999997</v>
      </c>
      <c r="AD122">
        <v>561.26</v>
      </c>
      <c r="AE122">
        <v>627.58000000000004</v>
      </c>
      <c r="AF122">
        <v>42.92</v>
      </c>
      <c r="AG122">
        <v>53.46</v>
      </c>
      <c r="AH122">
        <v>44.65</v>
      </c>
      <c r="AI122">
        <v>47.79</v>
      </c>
    </row>
    <row r="123" spans="1:35" x14ac:dyDescent="0.45">
      <c r="A123" s="2">
        <v>45855</v>
      </c>
      <c r="B123">
        <v>29.6</v>
      </c>
      <c r="C123">
        <v>30.23</v>
      </c>
      <c r="D123">
        <v>17.760000000000002</v>
      </c>
      <c r="E123">
        <v>26.08</v>
      </c>
      <c r="F123">
        <v>32.340000000000003</v>
      </c>
      <c r="G123">
        <v>48.2014</v>
      </c>
      <c r="H123">
        <v>23.93</v>
      </c>
      <c r="I123">
        <v>59.48</v>
      </c>
      <c r="J123">
        <v>59.79</v>
      </c>
      <c r="K123">
        <v>73.06</v>
      </c>
      <c r="L123">
        <v>27.69</v>
      </c>
      <c r="M123">
        <v>53.57</v>
      </c>
      <c r="N123">
        <v>61.52</v>
      </c>
      <c r="O123">
        <v>55.01</v>
      </c>
      <c r="P123">
        <v>56.92</v>
      </c>
      <c r="Q123">
        <v>18.96</v>
      </c>
      <c r="R123">
        <v>1115.6500000000001</v>
      </c>
      <c r="S123">
        <v>33.15</v>
      </c>
      <c r="T123">
        <v>20.05</v>
      </c>
      <c r="U123">
        <v>15.67</v>
      </c>
      <c r="V123">
        <v>38.17</v>
      </c>
      <c r="W123">
        <v>45.872</v>
      </c>
      <c r="X123">
        <v>26.28</v>
      </c>
      <c r="Y123">
        <v>46.71</v>
      </c>
      <c r="Z123">
        <v>42.35</v>
      </c>
      <c r="AA123">
        <v>72.39</v>
      </c>
      <c r="AB123">
        <v>54.36</v>
      </c>
      <c r="AC123">
        <v>39.83</v>
      </c>
      <c r="AD123">
        <v>561.79999999999995</v>
      </c>
      <c r="AE123">
        <v>628.04</v>
      </c>
      <c r="AF123">
        <v>42.98</v>
      </c>
      <c r="AG123">
        <v>53.51</v>
      </c>
      <c r="AH123">
        <v>44.98</v>
      </c>
      <c r="AI123">
        <v>47.75</v>
      </c>
    </row>
    <row r="124" spans="1:35" x14ac:dyDescent="0.45">
      <c r="A124" s="2">
        <v>45854</v>
      </c>
      <c r="B124">
        <v>29.26</v>
      </c>
      <c r="C124">
        <v>29.77</v>
      </c>
      <c r="D124">
        <v>17.7</v>
      </c>
      <c r="E124">
        <v>26.35</v>
      </c>
      <c r="F124">
        <v>31.97</v>
      </c>
      <c r="G124">
        <v>48.003799999999998</v>
      </c>
      <c r="H124">
        <v>23.71</v>
      </c>
      <c r="I124">
        <v>58.98</v>
      </c>
      <c r="J124">
        <v>59.77</v>
      </c>
      <c r="K124">
        <v>73.08</v>
      </c>
      <c r="L124">
        <v>27.57</v>
      </c>
      <c r="M124">
        <v>53.43</v>
      </c>
      <c r="N124">
        <v>60.8</v>
      </c>
      <c r="O124">
        <v>55.27</v>
      </c>
      <c r="P124">
        <v>56.51</v>
      </c>
      <c r="Q124">
        <v>18.779</v>
      </c>
      <c r="R124">
        <v>1123</v>
      </c>
      <c r="S124">
        <v>32.5</v>
      </c>
      <c r="T124">
        <v>19.86</v>
      </c>
      <c r="U124">
        <v>15.41</v>
      </c>
      <c r="V124">
        <v>38.1</v>
      </c>
      <c r="W124">
        <v>45.56</v>
      </c>
      <c r="X124">
        <v>26.19</v>
      </c>
      <c r="Y124">
        <v>46.47</v>
      </c>
      <c r="Z124">
        <v>42.18</v>
      </c>
      <c r="AA124">
        <v>72.02</v>
      </c>
      <c r="AB124">
        <v>54.55</v>
      </c>
      <c r="AC124">
        <v>39.85</v>
      </c>
      <c r="AD124">
        <v>557.29</v>
      </c>
      <c r="AE124">
        <v>624.22</v>
      </c>
      <c r="AF124">
        <v>42.74</v>
      </c>
      <c r="AG124">
        <v>53.47</v>
      </c>
      <c r="AH124">
        <v>44.63</v>
      </c>
      <c r="AI124">
        <v>47.76</v>
      </c>
    </row>
    <row r="125" spans="1:35" x14ac:dyDescent="0.45">
      <c r="A125" s="2">
        <v>45853</v>
      </c>
      <c r="B125">
        <v>29.29</v>
      </c>
      <c r="C125">
        <v>29.89</v>
      </c>
      <c r="D125">
        <v>17.72</v>
      </c>
      <c r="E125">
        <v>26.96</v>
      </c>
      <c r="F125">
        <v>31.66</v>
      </c>
      <c r="G125">
        <v>48.12</v>
      </c>
      <c r="H125">
        <v>23.8</v>
      </c>
      <c r="I125">
        <v>58.27</v>
      </c>
      <c r="J125">
        <v>59.38</v>
      </c>
      <c r="K125">
        <v>73.069999999999993</v>
      </c>
      <c r="L125">
        <v>27.47</v>
      </c>
      <c r="M125">
        <v>52.86</v>
      </c>
      <c r="N125">
        <v>60.25</v>
      </c>
      <c r="O125">
        <v>54.875</v>
      </c>
      <c r="P125">
        <v>56.68</v>
      </c>
      <c r="Q125">
        <v>18.690000000000001</v>
      </c>
      <c r="R125">
        <v>1119.94</v>
      </c>
      <c r="S125">
        <v>32.840000000000003</v>
      </c>
      <c r="T125">
        <v>19.41</v>
      </c>
      <c r="U125">
        <v>15.04</v>
      </c>
      <c r="V125">
        <v>38.090000000000003</v>
      </c>
      <c r="W125">
        <v>44.89</v>
      </c>
      <c r="X125">
        <v>26.07</v>
      </c>
      <c r="Y125">
        <v>46.04</v>
      </c>
      <c r="Z125">
        <v>41.82</v>
      </c>
      <c r="AA125">
        <v>71.69</v>
      </c>
      <c r="AB125">
        <v>54.18</v>
      </c>
      <c r="AC125">
        <v>39.590000000000003</v>
      </c>
      <c r="AD125">
        <v>556.72</v>
      </c>
      <c r="AE125">
        <v>622.14</v>
      </c>
      <c r="AF125">
        <v>42.56</v>
      </c>
      <c r="AG125">
        <v>54.45</v>
      </c>
      <c r="AH125">
        <v>44.69</v>
      </c>
      <c r="AI125">
        <v>47.32</v>
      </c>
    </row>
    <row r="126" spans="1:35" x14ac:dyDescent="0.45">
      <c r="A126" s="2">
        <v>45852</v>
      </c>
      <c r="B126">
        <v>29.395</v>
      </c>
      <c r="C126">
        <v>30.21</v>
      </c>
      <c r="D126">
        <v>17.63</v>
      </c>
      <c r="E126">
        <v>27.36</v>
      </c>
      <c r="F126">
        <v>32.14</v>
      </c>
      <c r="G126">
        <v>48.69</v>
      </c>
      <c r="H126">
        <v>24.09</v>
      </c>
      <c r="I126">
        <v>57.81</v>
      </c>
      <c r="J126">
        <v>59.61</v>
      </c>
      <c r="K126">
        <v>73.2</v>
      </c>
      <c r="L126">
        <v>27.31</v>
      </c>
      <c r="M126">
        <v>52.99</v>
      </c>
      <c r="N126">
        <v>60.82</v>
      </c>
      <c r="O126">
        <v>54.92</v>
      </c>
      <c r="P126">
        <v>55.55</v>
      </c>
      <c r="Q126">
        <v>18.71</v>
      </c>
      <c r="R126">
        <v>1127.21</v>
      </c>
      <c r="S126">
        <v>32.97</v>
      </c>
      <c r="T126">
        <v>19.37</v>
      </c>
      <c r="U126">
        <v>15.24</v>
      </c>
      <c r="V126">
        <v>38.65</v>
      </c>
      <c r="W126">
        <v>45.49</v>
      </c>
      <c r="X126">
        <v>26.39</v>
      </c>
      <c r="Y126">
        <v>46.44</v>
      </c>
      <c r="Z126">
        <v>42.35</v>
      </c>
      <c r="AA126">
        <v>72.41</v>
      </c>
      <c r="AB126">
        <v>54.71</v>
      </c>
      <c r="AC126">
        <v>40.03</v>
      </c>
      <c r="AD126">
        <v>556.21</v>
      </c>
      <c r="AE126">
        <v>624.80999999999995</v>
      </c>
      <c r="AF126">
        <v>43.12</v>
      </c>
      <c r="AG126">
        <v>54.4</v>
      </c>
      <c r="AH126">
        <v>45.3</v>
      </c>
      <c r="AI126">
        <v>48.16</v>
      </c>
    </row>
    <row r="127" spans="1:35" x14ac:dyDescent="0.45">
      <c r="A127" s="2">
        <v>45849</v>
      </c>
      <c r="B127">
        <v>29.2</v>
      </c>
      <c r="C127">
        <v>30.51</v>
      </c>
      <c r="D127">
        <v>17.87</v>
      </c>
      <c r="E127">
        <v>27.13</v>
      </c>
      <c r="F127">
        <v>31.95</v>
      </c>
      <c r="G127">
        <v>48.83</v>
      </c>
      <c r="H127">
        <v>24.08</v>
      </c>
      <c r="I127">
        <v>58.3</v>
      </c>
      <c r="J127">
        <v>60.13</v>
      </c>
      <c r="K127">
        <v>72.56</v>
      </c>
      <c r="L127">
        <v>27.53</v>
      </c>
      <c r="M127">
        <v>52.98</v>
      </c>
      <c r="N127">
        <v>60.99</v>
      </c>
      <c r="O127">
        <v>54.88</v>
      </c>
      <c r="P127">
        <v>54.95</v>
      </c>
      <c r="Q127">
        <v>18.73</v>
      </c>
      <c r="R127">
        <v>1115.69</v>
      </c>
      <c r="S127">
        <v>33.17</v>
      </c>
      <c r="T127">
        <v>19.21</v>
      </c>
      <c r="U127">
        <v>15.22</v>
      </c>
      <c r="V127">
        <v>38.89</v>
      </c>
      <c r="W127">
        <v>45.76</v>
      </c>
      <c r="X127">
        <v>26.36</v>
      </c>
      <c r="Y127">
        <v>46.13</v>
      </c>
      <c r="Z127">
        <v>42.45</v>
      </c>
      <c r="AA127">
        <v>72.36</v>
      </c>
      <c r="AB127">
        <v>54.7</v>
      </c>
      <c r="AC127">
        <v>39.92</v>
      </c>
      <c r="AD127">
        <v>554.20000000000005</v>
      </c>
      <c r="AE127">
        <v>623.62</v>
      </c>
      <c r="AF127">
        <v>43.28</v>
      </c>
      <c r="AG127">
        <v>54.41</v>
      </c>
      <c r="AH127">
        <v>45.57</v>
      </c>
      <c r="AI127">
        <v>47.99</v>
      </c>
    </row>
    <row r="128" spans="1:35" x14ac:dyDescent="0.45">
      <c r="A128" s="2">
        <v>45848</v>
      </c>
      <c r="B128">
        <v>29.32</v>
      </c>
      <c r="C128">
        <v>31.1</v>
      </c>
      <c r="D128">
        <v>17.760000000000002</v>
      </c>
      <c r="E128">
        <v>27.19</v>
      </c>
      <c r="F128">
        <v>32.049999999999997</v>
      </c>
      <c r="G128">
        <v>49.12</v>
      </c>
      <c r="H128">
        <v>24.11</v>
      </c>
      <c r="I128">
        <v>58.38</v>
      </c>
      <c r="J128">
        <v>60.29</v>
      </c>
      <c r="K128">
        <v>73.14</v>
      </c>
      <c r="L128">
        <v>27.72</v>
      </c>
      <c r="M128">
        <v>53.95</v>
      </c>
      <c r="N128">
        <v>61.32</v>
      </c>
      <c r="O128">
        <v>55.27</v>
      </c>
      <c r="P128">
        <v>55.01</v>
      </c>
      <c r="Q128">
        <v>18.75</v>
      </c>
      <c r="R128">
        <v>1110.01</v>
      </c>
      <c r="S128">
        <v>33.25</v>
      </c>
      <c r="T128">
        <v>19.079999999999998</v>
      </c>
      <c r="U128">
        <v>15.12</v>
      </c>
      <c r="V128">
        <v>39</v>
      </c>
      <c r="W128">
        <v>46.01</v>
      </c>
      <c r="X128">
        <v>26.58</v>
      </c>
      <c r="Y128">
        <v>46.41</v>
      </c>
      <c r="Z128">
        <v>42.86</v>
      </c>
      <c r="AA128">
        <v>72.94</v>
      </c>
      <c r="AB128">
        <v>55.45</v>
      </c>
      <c r="AC128">
        <v>40.270000000000003</v>
      </c>
      <c r="AD128">
        <v>555.45000000000005</v>
      </c>
      <c r="AE128">
        <v>625.82000000000005</v>
      </c>
      <c r="AF128">
        <v>43.75</v>
      </c>
      <c r="AG128">
        <v>54.63</v>
      </c>
      <c r="AH128">
        <v>46.39</v>
      </c>
      <c r="AI128">
        <v>48.53</v>
      </c>
    </row>
    <row r="129" spans="1:35" x14ac:dyDescent="0.45">
      <c r="A129" s="2">
        <v>45847</v>
      </c>
      <c r="B129">
        <v>29.07</v>
      </c>
      <c r="C129">
        <v>31.04</v>
      </c>
      <c r="D129">
        <v>17.47</v>
      </c>
      <c r="E129">
        <v>27.15</v>
      </c>
      <c r="F129">
        <v>32.72</v>
      </c>
      <c r="G129">
        <v>48.81</v>
      </c>
      <c r="H129">
        <v>23.98</v>
      </c>
      <c r="I129">
        <v>58.03</v>
      </c>
      <c r="J129">
        <v>60.28</v>
      </c>
      <c r="K129">
        <v>72.08</v>
      </c>
      <c r="L129">
        <v>28.16</v>
      </c>
      <c r="M129">
        <v>54</v>
      </c>
      <c r="N129">
        <v>61.08</v>
      </c>
      <c r="O129">
        <v>55.66</v>
      </c>
      <c r="P129">
        <v>54.58</v>
      </c>
      <c r="Q129">
        <v>18.75</v>
      </c>
      <c r="R129">
        <v>1089.56</v>
      </c>
      <c r="S129">
        <v>32.79</v>
      </c>
      <c r="T129">
        <v>19.13</v>
      </c>
      <c r="U129">
        <v>14.89</v>
      </c>
      <c r="V129">
        <v>38.89</v>
      </c>
      <c r="W129">
        <v>46.07</v>
      </c>
      <c r="X129">
        <v>26.24</v>
      </c>
      <c r="Y129">
        <v>46.13</v>
      </c>
      <c r="Z129">
        <v>43.26</v>
      </c>
      <c r="AA129">
        <v>73.3</v>
      </c>
      <c r="AB129">
        <v>55.28</v>
      </c>
      <c r="AC129">
        <v>40.01</v>
      </c>
      <c r="AD129">
        <v>556.25</v>
      </c>
      <c r="AE129">
        <v>624.05999999999995</v>
      </c>
      <c r="AF129">
        <v>43.84</v>
      </c>
      <c r="AG129">
        <v>54.58</v>
      </c>
      <c r="AH129">
        <v>46.05</v>
      </c>
      <c r="AI129">
        <v>49.17</v>
      </c>
    </row>
    <row r="130" spans="1:35" x14ac:dyDescent="0.45">
      <c r="A130" s="2">
        <v>45846</v>
      </c>
      <c r="B130">
        <v>29.12</v>
      </c>
      <c r="C130">
        <v>31.41</v>
      </c>
      <c r="D130">
        <v>17.309999999999999</v>
      </c>
      <c r="E130">
        <v>26.78</v>
      </c>
      <c r="F130">
        <v>32.619999999999997</v>
      </c>
      <c r="G130">
        <v>49.3</v>
      </c>
      <c r="H130">
        <v>23.95</v>
      </c>
      <c r="I130">
        <v>57.66</v>
      </c>
      <c r="J130">
        <v>60.89</v>
      </c>
      <c r="K130">
        <v>72.08</v>
      </c>
      <c r="L130">
        <v>28.71</v>
      </c>
      <c r="M130">
        <v>53.81</v>
      </c>
      <c r="N130">
        <v>60.9</v>
      </c>
      <c r="O130">
        <v>55.69</v>
      </c>
      <c r="P130">
        <v>55.13</v>
      </c>
      <c r="Q130">
        <v>18.73</v>
      </c>
      <c r="R130">
        <v>1082.42</v>
      </c>
      <c r="S130">
        <v>32.119999999999997</v>
      </c>
      <c r="T130">
        <v>18.84</v>
      </c>
      <c r="U130">
        <v>14.51</v>
      </c>
      <c r="V130">
        <v>38.9</v>
      </c>
      <c r="W130">
        <v>45.98</v>
      </c>
      <c r="X130">
        <v>26.14</v>
      </c>
      <c r="Y130">
        <v>46</v>
      </c>
      <c r="Z130">
        <v>42.59</v>
      </c>
      <c r="AA130">
        <v>73.19</v>
      </c>
      <c r="AB130">
        <v>54.82</v>
      </c>
      <c r="AC130">
        <v>39.79</v>
      </c>
      <c r="AD130">
        <v>552.34</v>
      </c>
      <c r="AE130">
        <v>620.34</v>
      </c>
      <c r="AF130">
        <v>43.27</v>
      </c>
      <c r="AG130">
        <v>54.33</v>
      </c>
      <c r="AH130">
        <v>45.55</v>
      </c>
      <c r="AI130">
        <v>48.34</v>
      </c>
    </row>
    <row r="131" spans="1:35" x14ac:dyDescent="0.45">
      <c r="A131" s="2">
        <v>45845</v>
      </c>
      <c r="B131">
        <v>28.86</v>
      </c>
      <c r="C131">
        <v>31.02</v>
      </c>
      <c r="D131">
        <v>17.34</v>
      </c>
      <c r="E131">
        <v>26.72</v>
      </c>
      <c r="F131">
        <v>32.25</v>
      </c>
      <c r="G131">
        <v>49.62</v>
      </c>
      <c r="H131">
        <v>23.93</v>
      </c>
      <c r="I131">
        <v>57.63</v>
      </c>
      <c r="J131">
        <v>61.11</v>
      </c>
      <c r="K131">
        <v>70.069999999999993</v>
      </c>
      <c r="L131">
        <v>28.6</v>
      </c>
      <c r="M131">
        <v>53.84</v>
      </c>
      <c r="N131">
        <v>59.12</v>
      </c>
      <c r="O131">
        <v>55.36</v>
      </c>
      <c r="P131">
        <v>54.62</v>
      </c>
      <c r="Q131">
        <v>18.68</v>
      </c>
      <c r="R131">
        <v>1106.73</v>
      </c>
      <c r="S131">
        <v>32.44</v>
      </c>
      <c r="T131">
        <v>18.86</v>
      </c>
      <c r="U131">
        <v>14.18</v>
      </c>
      <c r="V131">
        <v>39.08</v>
      </c>
      <c r="W131">
        <v>45.5</v>
      </c>
      <c r="X131">
        <v>25.98</v>
      </c>
      <c r="Y131">
        <v>46.18</v>
      </c>
      <c r="Z131">
        <v>42.23</v>
      </c>
      <c r="AA131">
        <v>72.819999999999993</v>
      </c>
      <c r="AB131">
        <v>54.53</v>
      </c>
      <c r="AC131">
        <v>39.42</v>
      </c>
      <c r="AD131">
        <v>552.03</v>
      </c>
      <c r="AE131">
        <v>620.67999999999995</v>
      </c>
      <c r="AF131">
        <v>42.68</v>
      </c>
      <c r="AG131">
        <v>53.98</v>
      </c>
      <c r="AH131">
        <v>45.52</v>
      </c>
      <c r="AI131">
        <v>47.87</v>
      </c>
    </row>
    <row r="132" spans="1:35" x14ac:dyDescent="0.45">
      <c r="A132" s="2">
        <v>45841</v>
      </c>
      <c r="B132">
        <v>28.91</v>
      </c>
      <c r="C132">
        <v>31.82</v>
      </c>
      <c r="D132">
        <v>17.47</v>
      </c>
      <c r="E132">
        <v>27.08</v>
      </c>
      <c r="F132">
        <v>32.82</v>
      </c>
      <c r="G132">
        <v>50.06</v>
      </c>
      <c r="H132">
        <v>24.41</v>
      </c>
      <c r="I132">
        <v>59.44</v>
      </c>
      <c r="J132">
        <v>61.7</v>
      </c>
      <c r="K132">
        <v>72.7</v>
      </c>
      <c r="L132">
        <v>29.31</v>
      </c>
      <c r="M132">
        <v>54.79</v>
      </c>
      <c r="N132">
        <v>59.72</v>
      </c>
      <c r="O132">
        <v>55.79</v>
      </c>
      <c r="P132">
        <v>54.72</v>
      </c>
      <c r="Q132">
        <v>18.63</v>
      </c>
      <c r="R132">
        <v>1107.69</v>
      </c>
      <c r="S132">
        <v>33.04</v>
      </c>
      <c r="T132">
        <v>18.84</v>
      </c>
      <c r="U132">
        <v>13.96</v>
      </c>
      <c r="V132">
        <v>38.89</v>
      </c>
      <c r="W132">
        <v>45.96</v>
      </c>
      <c r="X132">
        <v>26.48</v>
      </c>
      <c r="Y132">
        <v>46.67</v>
      </c>
      <c r="Z132">
        <v>42.21</v>
      </c>
      <c r="AA132">
        <v>74.599999999999994</v>
      </c>
      <c r="AB132">
        <v>54.9</v>
      </c>
      <c r="AC132">
        <v>39.82</v>
      </c>
      <c r="AD132">
        <v>556.22</v>
      </c>
      <c r="AE132">
        <v>625.34</v>
      </c>
      <c r="AF132">
        <v>43.08</v>
      </c>
      <c r="AG132">
        <v>54.29</v>
      </c>
      <c r="AH132">
        <v>45.62</v>
      </c>
      <c r="AI132">
        <v>48.21</v>
      </c>
    </row>
    <row r="133" spans="1:35" x14ac:dyDescent="0.45">
      <c r="A133" s="2">
        <v>45840</v>
      </c>
      <c r="B133">
        <v>28.7</v>
      </c>
      <c r="C133">
        <v>31.85</v>
      </c>
      <c r="D133">
        <v>17.48</v>
      </c>
      <c r="E133">
        <v>27</v>
      </c>
      <c r="F133">
        <v>32.19</v>
      </c>
      <c r="G133">
        <v>49.75</v>
      </c>
      <c r="H133">
        <v>24.41</v>
      </c>
      <c r="I133">
        <v>58.75</v>
      </c>
      <c r="J133">
        <v>61.59</v>
      </c>
      <c r="K133">
        <v>71.95</v>
      </c>
      <c r="L133">
        <v>28.91</v>
      </c>
      <c r="M133">
        <v>54.31</v>
      </c>
      <c r="N133">
        <v>59.34</v>
      </c>
      <c r="O133">
        <v>55.6</v>
      </c>
      <c r="P133">
        <v>55</v>
      </c>
      <c r="Q133">
        <v>18.559999999999999</v>
      </c>
      <c r="R133">
        <v>1100.01</v>
      </c>
      <c r="S133">
        <v>33.07</v>
      </c>
      <c r="T133">
        <v>18.600000000000001</v>
      </c>
      <c r="U133">
        <v>13.76</v>
      </c>
      <c r="V133">
        <v>38.44</v>
      </c>
      <c r="W133">
        <v>46.265000000000001</v>
      </c>
      <c r="X133">
        <v>26.54</v>
      </c>
      <c r="Y133">
        <v>46.33</v>
      </c>
      <c r="Z133">
        <v>42.17</v>
      </c>
      <c r="AA133">
        <v>74.459999999999994</v>
      </c>
      <c r="AB133">
        <v>55.27</v>
      </c>
      <c r="AC133">
        <v>39.61</v>
      </c>
      <c r="AD133">
        <v>550.79999999999995</v>
      </c>
      <c r="AE133">
        <v>620.45000000000005</v>
      </c>
      <c r="AF133">
        <v>43.27</v>
      </c>
      <c r="AG133">
        <v>54.3</v>
      </c>
      <c r="AH133">
        <v>45.51</v>
      </c>
      <c r="AI133">
        <v>48.29</v>
      </c>
    </row>
    <row r="134" spans="1:35" x14ac:dyDescent="0.45">
      <c r="A134" s="2">
        <v>45839</v>
      </c>
      <c r="B134">
        <v>28.71</v>
      </c>
      <c r="C134">
        <v>31.51</v>
      </c>
      <c r="D134">
        <v>17.489999999999998</v>
      </c>
      <c r="E134">
        <v>27.14</v>
      </c>
      <c r="F134">
        <v>32.06</v>
      </c>
      <c r="G134">
        <v>48.857199999999999</v>
      </c>
      <c r="H134">
        <v>24.38</v>
      </c>
      <c r="I134">
        <v>57.58</v>
      </c>
      <c r="J134">
        <v>61.12</v>
      </c>
      <c r="K134">
        <v>71.64</v>
      </c>
      <c r="L134">
        <v>28.79</v>
      </c>
      <c r="M134">
        <v>54.21</v>
      </c>
      <c r="N134">
        <v>58.63</v>
      </c>
      <c r="O134">
        <v>55.84</v>
      </c>
      <c r="P134">
        <v>55.27</v>
      </c>
      <c r="Q134">
        <v>18.579999999999998</v>
      </c>
      <c r="R134">
        <v>1062.78</v>
      </c>
      <c r="S134">
        <v>32.479999999999997</v>
      </c>
      <c r="T134">
        <v>18.66</v>
      </c>
      <c r="U134">
        <v>13.72</v>
      </c>
      <c r="V134">
        <v>38.25</v>
      </c>
      <c r="W134">
        <v>45.96</v>
      </c>
      <c r="X134">
        <v>26.35</v>
      </c>
      <c r="Y134">
        <v>46.19</v>
      </c>
      <c r="Z134">
        <v>42.01</v>
      </c>
      <c r="AA134">
        <v>74.42</v>
      </c>
      <c r="AB134">
        <v>54.98</v>
      </c>
      <c r="AC134">
        <v>39.85</v>
      </c>
      <c r="AD134">
        <v>546.99</v>
      </c>
      <c r="AE134">
        <v>617.65</v>
      </c>
      <c r="AF134">
        <v>42.87</v>
      </c>
      <c r="AG134">
        <v>54.07</v>
      </c>
      <c r="AH134">
        <v>45.19</v>
      </c>
      <c r="AI134">
        <v>48.05</v>
      </c>
    </row>
    <row r="135" spans="1:35" x14ac:dyDescent="0.45">
      <c r="A135" s="2">
        <v>45838</v>
      </c>
      <c r="B135">
        <v>28.71</v>
      </c>
      <c r="C135">
        <v>31.45</v>
      </c>
      <c r="D135">
        <v>17.63</v>
      </c>
      <c r="E135">
        <v>27.12</v>
      </c>
      <c r="F135">
        <v>32.26</v>
      </c>
      <c r="G135">
        <v>48.59</v>
      </c>
      <c r="H135">
        <v>24.34</v>
      </c>
      <c r="I135">
        <v>57.4</v>
      </c>
      <c r="J135">
        <v>60.56</v>
      </c>
      <c r="K135">
        <v>71.78</v>
      </c>
      <c r="L135">
        <v>28.85</v>
      </c>
      <c r="M135">
        <v>53.75</v>
      </c>
      <c r="N135">
        <v>58.04</v>
      </c>
      <c r="O135">
        <v>55.68</v>
      </c>
      <c r="P135">
        <v>55.1</v>
      </c>
      <c r="Q135">
        <v>18.62</v>
      </c>
      <c r="R135">
        <v>1067.6300000000001</v>
      </c>
      <c r="S135">
        <v>32.26</v>
      </c>
      <c r="T135">
        <v>18.72</v>
      </c>
      <c r="U135">
        <v>13.75</v>
      </c>
      <c r="V135">
        <v>38.54</v>
      </c>
      <c r="W135">
        <v>45.61</v>
      </c>
      <c r="X135">
        <v>26.32</v>
      </c>
      <c r="Y135">
        <v>46.2</v>
      </c>
      <c r="Z135">
        <v>42.31</v>
      </c>
      <c r="AA135">
        <v>74.97</v>
      </c>
      <c r="AB135">
        <v>54.81</v>
      </c>
      <c r="AC135">
        <v>39.72</v>
      </c>
      <c r="AD135">
        <v>551.64</v>
      </c>
      <c r="AE135">
        <v>617.85</v>
      </c>
      <c r="AF135">
        <v>42.8</v>
      </c>
      <c r="AG135">
        <v>54.5</v>
      </c>
      <c r="AH135">
        <v>45.74</v>
      </c>
      <c r="AI135">
        <v>48.14</v>
      </c>
    </row>
    <row r="136" spans="1:35" x14ac:dyDescent="0.45">
      <c r="A136" s="2">
        <v>45835</v>
      </c>
      <c r="B136">
        <v>28.46</v>
      </c>
      <c r="C136">
        <v>31.05</v>
      </c>
      <c r="D136">
        <v>17.489999999999998</v>
      </c>
      <c r="E136">
        <v>27.23</v>
      </c>
      <c r="F136">
        <v>31.69</v>
      </c>
      <c r="G136">
        <v>48.49</v>
      </c>
      <c r="H136">
        <v>24.07</v>
      </c>
      <c r="I136">
        <v>57.85</v>
      </c>
      <c r="J136">
        <v>60.32</v>
      </c>
      <c r="K136">
        <v>70.739999999999995</v>
      </c>
      <c r="L136">
        <v>28.14</v>
      </c>
      <c r="M136">
        <v>52.64</v>
      </c>
      <c r="N136">
        <v>58.17</v>
      </c>
      <c r="O136">
        <v>55.86</v>
      </c>
      <c r="P136">
        <v>55.18</v>
      </c>
      <c r="Q136">
        <v>18.57</v>
      </c>
      <c r="R136">
        <v>1068.73</v>
      </c>
      <c r="S136">
        <v>30.49</v>
      </c>
      <c r="T136">
        <v>18.57</v>
      </c>
      <c r="U136">
        <v>13.73</v>
      </c>
      <c r="V136">
        <v>38.26</v>
      </c>
      <c r="W136">
        <v>45.37</v>
      </c>
      <c r="X136">
        <v>26.09</v>
      </c>
      <c r="Y136">
        <v>45.58</v>
      </c>
      <c r="Z136">
        <v>42.3</v>
      </c>
      <c r="AA136">
        <v>75.28</v>
      </c>
      <c r="AB136">
        <v>54.63</v>
      </c>
      <c r="AC136">
        <v>39.72</v>
      </c>
      <c r="AD136">
        <v>548.09</v>
      </c>
      <c r="AE136">
        <v>614.91</v>
      </c>
      <c r="AF136">
        <v>42.61</v>
      </c>
      <c r="AG136">
        <v>54.36</v>
      </c>
      <c r="AH136">
        <v>46.02</v>
      </c>
      <c r="AI136">
        <v>47.86</v>
      </c>
    </row>
    <row r="137" spans="1:35" x14ac:dyDescent="0.45">
      <c r="A137" s="2">
        <v>45834</v>
      </c>
      <c r="B137">
        <v>28.79</v>
      </c>
      <c r="C137">
        <v>31.26</v>
      </c>
      <c r="D137">
        <v>17.510000000000002</v>
      </c>
      <c r="E137">
        <v>26.85</v>
      </c>
      <c r="F137">
        <v>31.65</v>
      </c>
      <c r="G137">
        <v>49.107799999999997</v>
      </c>
      <c r="H137">
        <v>24.07</v>
      </c>
      <c r="I137">
        <v>57.85</v>
      </c>
      <c r="J137">
        <v>60.31</v>
      </c>
      <c r="K137">
        <v>71.94</v>
      </c>
      <c r="L137">
        <v>28.13</v>
      </c>
      <c r="M137">
        <v>52.98</v>
      </c>
      <c r="N137">
        <v>59.31</v>
      </c>
      <c r="O137">
        <v>55.71</v>
      </c>
      <c r="P137">
        <v>55.54</v>
      </c>
      <c r="Q137">
        <v>18.53</v>
      </c>
      <c r="R137">
        <v>1094.58</v>
      </c>
      <c r="S137">
        <v>30.19</v>
      </c>
      <c r="T137">
        <v>18.5</v>
      </c>
      <c r="U137">
        <v>13.61</v>
      </c>
      <c r="V137">
        <v>38.159999999999997</v>
      </c>
      <c r="W137">
        <v>45.32</v>
      </c>
      <c r="X137">
        <v>26.43</v>
      </c>
      <c r="Y137">
        <v>45.92</v>
      </c>
      <c r="Z137">
        <v>41.64</v>
      </c>
      <c r="AA137">
        <v>73.97</v>
      </c>
      <c r="AB137">
        <v>54.26</v>
      </c>
      <c r="AC137">
        <v>39.69</v>
      </c>
      <c r="AD137">
        <v>546.22</v>
      </c>
      <c r="AE137">
        <v>611.87</v>
      </c>
      <c r="AF137">
        <v>42.14</v>
      </c>
      <c r="AG137">
        <v>53.97</v>
      </c>
      <c r="AH137">
        <v>45.33</v>
      </c>
      <c r="AI137">
        <v>47.5</v>
      </c>
    </row>
    <row r="138" spans="1:35" x14ac:dyDescent="0.45">
      <c r="A138" s="2">
        <v>45833</v>
      </c>
      <c r="B138">
        <v>28.805</v>
      </c>
      <c r="C138">
        <v>30.86</v>
      </c>
      <c r="D138">
        <v>17.18</v>
      </c>
      <c r="E138">
        <v>26.81</v>
      </c>
      <c r="F138">
        <v>30.57</v>
      </c>
      <c r="G138">
        <v>47.315899999999999</v>
      </c>
      <c r="H138">
        <v>23.82</v>
      </c>
      <c r="I138">
        <v>57.31</v>
      </c>
      <c r="J138">
        <v>59.68</v>
      </c>
      <c r="K138">
        <v>72.37</v>
      </c>
      <c r="L138">
        <v>27.57</v>
      </c>
      <c r="M138">
        <v>52.89</v>
      </c>
      <c r="N138">
        <v>58.42</v>
      </c>
      <c r="O138">
        <v>55</v>
      </c>
      <c r="P138">
        <v>55.53</v>
      </c>
      <c r="Q138">
        <v>18.36</v>
      </c>
      <c r="R138">
        <v>1113.58</v>
      </c>
      <c r="S138">
        <v>30.68</v>
      </c>
      <c r="T138">
        <v>18.22</v>
      </c>
      <c r="U138">
        <v>13.54</v>
      </c>
      <c r="V138">
        <v>37.82</v>
      </c>
      <c r="W138">
        <v>44.6</v>
      </c>
      <c r="X138">
        <v>26.03</v>
      </c>
      <c r="Y138">
        <v>45.32</v>
      </c>
      <c r="Z138">
        <v>41.15</v>
      </c>
      <c r="AA138">
        <v>72.44</v>
      </c>
      <c r="AB138">
        <v>53.75</v>
      </c>
      <c r="AC138">
        <v>39.28</v>
      </c>
      <c r="AD138">
        <v>541.16</v>
      </c>
      <c r="AE138">
        <v>607.12</v>
      </c>
      <c r="AF138">
        <v>41.89</v>
      </c>
      <c r="AG138">
        <v>53.8</v>
      </c>
      <c r="AH138">
        <v>44.67</v>
      </c>
      <c r="AI138">
        <v>47.17</v>
      </c>
    </row>
    <row r="139" spans="1:35" x14ac:dyDescent="0.45">
      <c r="A139" s="2">
        <v>45832</v>
      </c>
      <c r="B139">
        <v>28.55</v>
      </c>
      <c r="C139">
        <v>30.96</v>
      </c>
      <c r="D139">
        <v>17.38</v>
      </c>
      <c r="E139">
        <v>26.61</v>
      </c>
      <c r="F139">
        <v>30.56</v>
      </c>
      <c r="G139">
        <v>47.313000000000002</v>
      </c>
      <c r="H139">
        <v>23.77</v>
      </c>
      <c r="I139">
        <v>56.82</v>
      </c>
      <c r="J139">
        <v>59.21</v>
      </c>
      <c r="K139">
        <v>72.650000000000006</v>
      </c>
      <c r="L139">
        <v>27.98</v>
      </c>
      <c r="M139">
        <v>53.46</v>
      </c>
      <c r="N139">
        <v>57.86</v>
      </c>
      <c r="O139">
        <v>54.8</v>
      </c>
      <c r="P139">
        <v>55.57</v>
      </c>
      <c r="Q139">
        <v>18.25</v>
      </c>
      <c r="R139">
        <v>1114.49</v>
      </c>
      <c r="S139">
        <v>30.86</v>
      </c>
      <c r="T139">
        <v>18.3</v>
      </c>
      <c r="U139">
        <v>13.62</v>
      </c>
      <c r="V139">
        <v>37.72</v>
      </c>
      <c r="W139">
        <v>44.79</v>
      </c>
      <c r="X139">
        <v>26.05</v>
      </c>
      <c r="Y139">
        <v>45.62</v>
      </c>
      <c r="Z139">
        <v>41.39</v>
      </c>
      <c r="AA139">
        <v>72.739999999999995</v>
      </c>
      <c r="AB139">
        <v>54.32</v>
      </c>
      <c r="AC139">
        <v>39.409999999999997</v>
      </c>
      <c r="AD139">
        <v>539.78</v>
      </c>
      <c r="AE139">
        <v>606.78</v>
      </c>
      <c r="AF139">
        <v>42.04</v>
      </c>
      <c r="AG139">
        <v>54.16</v>
      </c>
      <c r="AH139">
        <v>44.95</v>
      </c>
      <c r="AI139">
        <v>47.2</v>
      </c>
    </row>
    <row r="140" spans="1:35" x14ac:dyDescent="0.45">
      <c r="A140" s="2">
        <v>45831</v>
      </c>
      <c r="B140">
        <v>28.03</v>
      </c>
      <c r="C140">
        <v>30.03</v>
      </c>
      <c r="D140">
        <v>16.89</v>
      </c>
      <c r="E140">
        <v>25.96</v>
      </c>
      <c r="F140">
        <v>29.51</v>
      </c>
      <c r="G140">
        <v>46.97</v>
      </c>
      <c r="H140">
        <v>23.53</v>
      </c>
      <c r="I140">
        <v>55.18</v>
      </c>
      <c r="J140">
        <v>57.94</v>
      </c>
      <c r="K140">
        <v>69.42</v>
      </c>
      <c r="L140">
        <v>27.66</v>
      </c>
      <c r="M140">
        <v>52.35</v>
      </c>
      <c r="N140">
        <v>56.55</v>
      </c>
      <c r="O140">
        <v>54.31</v>
      </c>
      <c r="P140">
        <v>54.13</v>
      </c>
      <c r="Q140">
        <v>17.96</v>
      </c>
      <c r="R140">
        <v>1122.7</v>
      </c>
      <c r="S140">
        <v>30.08</v>
      </c>
      <c r="T140">
        <v>17.66</v>
      </c>
      <c r="U140">
        <v>13.4</v>
      </c>
      <c r="V140">
        <v>37.1</v>
      </c>
      <c r="W140">
        <v>44.86</v>
      </c>
      <c r="X140">
        <v>25.79</v>
      </c>
      <c r="Y140">
        <v>45.33</v>
      </c>
      <c r="Z140">
        <v>40.75</v>
      </c>
      <c r="AA140">
        <v>72.02</v>
      </c>
      <c r="AB140">
        <v>53.46</v>
      </c>
      <c r="AC140">
        <v>39.17</v>
      </c>
      <c r="AD140">
        <v>531.65</v>
      </c>
      <c r="AE140">
        <v>600.15</v>
      </c>
      <c r="AF140">
        <v>41.57</v>
      </c>
      <c r="AG140">
        <v>53.03</v>
      </c>
      <c r="AH140">
        <v>43.96</v>
      </c>
      <c r="AI140">
        <v>46.45</v>
      </c>
    </row>
    <row r="141" spans="1:35" x14ac:dyDescent="0.45">
      <c r="A141" s="2">
        <v>45828</v>
      </c>
      <c r="B141">
        <v>27.925000000000001</v>
      </c>
      <c r="C141">
        <v>30.1</v>
      </c>
      <c r="D141">
        <v>17.18</v>
      </c>
      <c r="E141">
        <v>26.5</v>
      </c>
      <c r="F141">
        <v>29.72</v>
      </c>
      <c r="G141">
        <v>47.08</v>
      </c>
      <c r="H141">
        <v>23.41</v>
      </c>
      <c r="I141">
        <v>54.84</v>
      </c>
      <c r="J141">
        <v>58.11</v>
      </c>
      <c r="K141">
        <v>68.53</v>
      </c>
      <c r="L141">
        <v>27.67</v>
      </c>
      <c r="M141">
        <v>51.73</v>
      </c>
      <c r="N141">
        <v>54.71</v>
      </c>
      <c r="O141">
        <v>53.9</v>
      </c>
      <c r="P141">
        <v>53.5</v>
      </c>
      <c r="Q141">
        <v>17.72</v>
      </c>
      <c r="R141">
        <v>1128.6199999999999</v>
      </c>
      <c r="S141">
        <v>29.96</v>
      </c>
      <c r="T141">
        <v>17.260000000000002</v>
      </c>
      <c r="U141">
        <v>13.345000000000001</v>
      </c>
      <c r="V141">
        <v>36.56</v>
      </c>
      <c r="W141">
        <v>44.6</v>
      </c>
      <c r="X141">
        <v>25.55</v>
      </c>
      <c r="Y141">
        <v>45.1</v>
      </c>
      <c r="Z141">
        <v>40.340000000000003</v>
      </c>
      <c r="AA141">
        <v>71.760000000000005</v>
      </c>
      <c r="AB141">
        <v>52.68</v>
      </c>
      <c r="AC141">
        <v>38.9</v>
      </c>
      <c r="AD141">
        <v>526.83000000000004</v>
      </c>
      <c r="AE141">
        <v>594.28</v>
      </c>
      <c r="AF141">
        <v>41.29</v>
      </c>
      <c r="AG141">
        <v>51.892699999999998</v>
      </c>
      <c r="AH141">
        <v>43.81</v>
      </c>
      <c r="AI141">
        <v>46.36</v>
      </c>
    </row>
    <row r="142" spans="1:35" x14ac:dyDescent="0.45">
      <c r="A142" s="2">
        <v>45826</v>
      </c>
      <c r="B142">
        <v>27.96</v>
      </c>
      <c r="C142">
        <v>30.34</v>
      </c>
      <c r="D142">
        <v>17.87</v>
      </c>
      <c r="E142">
        <v>26.7</v>
      </c>
      <c r="F142">
        <v>29.36</v>
      </c>
      <c r="G142">
        <v>47.413699999999999</v>
      </c>
      <c r="H142">
        <v>23.59</v>
      </c>
      <c r="I142">
        <v>56.03</v>
      </c>
      <c r="J142">
        <v>58.97</v>
      </c>
      <c r="K142">
        <v>67.87</v>
      </c>
      <c r="L142">
        <v>28.08</v>
      </c>
      <c r="M142">
        <v>51.8</v>
      </c>
      <c r="N142">
        <v>54.58</v>
      </c>
      <c r="O142">
        <v>53.79</v>
      </c>
      <c r="P142">
        <v>53.93</v>
      </c>
      <c r="Q142">
        <v>17.82</v>
      </c>
      <c r="R142">
        <v>1141.58</v>
      </c>
      <c r="S142">
        <v>30.11</v>
      </c>
      <c r="T142">
        <v>16.989999999999998</v>
      </c>
      <c r="U142">
        <v>13.36</v>
      </c>
      <c r="V142">
        <v>36.36</v>
      </c>
      <c r="W142">
        <v>45.08</v>
      </c>
      <c r="X142">
        <v>25.86</v>
      </c>
      <c r="Y142">
        <v>45.32</v>
      </c>
      <c r="Z142">
        <v>40.28</v>
      </c>
      <c r="AA142">
        <v>73.05</v>
      </c>
      <c r="AB142">
        <v>53.25</v>
      </c>
      <c r="AC142">
        <v>39.22</v>
      </c>
      <c r="AD142">
        <v>528.99</v>
      </c>
      <c r="AE142">
        <v>597.44000000000005</v>
      </c>
      <c r="AF142">
        <v>41.67</v>
      </c>
      <c r="AG142">
        <v>52.247599999999998</v>
      </c>
      <c r="AH142">
        <v>43.98</v>
      </c>
      <c r="AI142">
        <v>46.46</v>
      </c>
    </row>
    <row r="143" spans="1:35" x14ac:dyDescent="0.45">
      <c r="A143" s="2">
        <v>45825</v>
      </c>
      <c r="B143">
        <v>28</v>
      </c>
      <c r="C143">
        <v>30.45</v>
      </c>
      <c r="D143">
        <v>18.02</v>
      </c>
      <c r="E143">
        <v>26.98</v>
      </c>
      <c r="F143">
        <v>29.39</v>
      </c>
      <c r="G143">
        <v>47.62</v>
      </c>
      <c r="H143">
        <v>23.53</v>
      </c>
      <c r="I143">
        <v>55.65</v>
      </c>
      <c r="J143">
        <v>58.91</v>
      </c>
      <c r="K143">
        <v>66.63</v>
      </c>
      <c r="L143">
        <v>28.11</v>
      </c>
      <c r="M143">
        <v>51.56</v>
      </c>
      <c r="N143">
        <v>54.88</v>
      </c>
      <c r="O143">
        <v>53.83</v>
      </c>
      <c r="P143">
        <v>54.44</v>
      </c>
      <c r="Q143">
        <v>17.895</v>
      </c>
      <c r="R143">
        <v>1139.1600000000001</v>
      </c>
      <c r="S143">
        <v>30.21</v>
      </c>
      <c r="T143">
        <v>17.239999999999998</v>
      </c>
      <c r="U143">
        <v>13.31</v>
      </c>
      <c r="V143">
        <v>36.83</v>
      </c>
      <c r="W143">
        <v>45.09</v>
      </c>
      <c r="X143">
        <v>25.77</v>
      </c>
      <c r="Y143">
        <v>45.45</v>
      </c>
      <c r="Z143">
        <v>40.4</v>
      </c>
      <c r="AA143">
        <v>72.28</v>
      </c>
      <c r="AB143">
        <v>53.42</v>
      </c>
      <c r="AC143">
        <v>39.200000000000003</v>
      </c>
      <c r="AD143">
        <v>529.08000000000004</v>
      </c>
      <c r="AE143">
        <v>597.53</v>
      </c>
      <c r="AF143">
        <v>41.74</v>
      </c>
      <c r="AG143">
        <v>52.33</v>
      </c>
      <c r="AH143">
        <v>44.43</v>
      </c>
      <c r="AI143">
        <v>46.26</v>
      </c>
    </row>
    <row r="144" spans="1:35" x14ac:dyDescent="0.45">
      <c r="A144" s="2">
        <v>45824</v>
      </c>
      <c r="B144">
        <v>28.12</v>
      </c>
      <c r="C144">
        <v>31.11</v>
      </c>
      <c r="D144">
        <v>18.010000000000002</v>
      </c>
      <c r="E144">
        <v>27.35</v>
      </c>
      <c r="F144">
        <v>29.38</v>
      </c>
      <c r="G144">
        <v>47.7117</v>
      </c>
      <c r="H144">
        <v>23.93</v>
      </c>
      <c r="I144">
        <v>56.46</v>
      </c>
      <c r="J144">
        <v>59.82</v>
      </c>
      <c r="K144">
        <v>68.19</v>
      </c>
      <c r="L144">
        <v>28.31</v>
      </c>
      <c r="M144">
        <v>53.04</v>
      </c>
      <c r="N144">
        <v>55.79</v>
      </c>
      <c r="O144">
        <v>54.56</v>
      </c>
      <c r="P144">
        <v>55.01</v>
      </c>
      <c r="Q144">
        <v>18.045000000000002</v>
      </c>
      <c r="R144">
        <v>1135.24</v>
      </c>
      <c r="S144">
        <v>30.63</v>
      </c>
      <c r="T144">
        <v>17.559999999999999</v>
      </c>
      <c r="U144">
        <v>13.26</v>
      </c>
      <c r="V144">
        <v>37.479999999999997</v>
      </c>
      <c r="W144">
        <v>45.97</v>
      </c>
      <c r="X144">
        <v>26.09</v>
      </c>
      <c r="Y144">
        <v>45.76</v>
      </c>
      <c r="Z144">
        <v>41.13</v>
      </c>
      <c r="AA144">
        <v>73.150000000000006</v>
      </c>
      <c r="AB144">
        <v>53.77</v>
      </c>
      <c r="AC144">
        <v>39.619999999999997</v>
      </c>
      <c r="AD144">
        <v>534.29</v>
      </c>
      <c r="AE144">
        <v>602.67999999999995</v>
      </c>
      <c r="AF144">
        <v>42.21</v>
      </c>
      <c r="AG144">
        <v>53.08</v>
      </c>
      <c r="AH144">
        <v>44.91</v>
      </c>
      <c r="AI144">
        <v>47.21</v>
      </c>
    </row>
    <row r="145" spans="1:35" x14ac:dyDescent="0.45">
      <c r="A145" s="2">
        <v>45821</v>
      </c>
      <c r="B145">
        <v>28.15</v>
      </c>
      <c r="C145">
        <v>31.83</v>
      </c>
      <c r="D145">
        <v>18.62</v>
      </c>
      <c r="E145">
        <v>27.66</v>
      </c>
      <c r="F145">
        <v>29.86</v>
      </c>
      <c r="G145">
        <v>48.2913</v>
      </c>
      <c r="H145">
        <v>24.26</v>
      </c>
      <c r="I145">
        <v>55.85</v>
      </c>
      <c r="J145">
        <v>61.06</v>
      </c>
      <c r="K145">
        <v>66.42</v>
      </c>
      <c r="L145">
        <v>28.14</v>
      </c>
      <c r="M145">
        <v>53.3</v>
      </c>
      <c r="N145">
        <v>56</v>
      </c>
      <c r="O145">
        <v>54.04</v>
      </c>
      <c r="P145">
        <v>54.77</v>
      </c>
      <c r="Q145">
        <v>18.2</v>
      </c>
      <c r="R145">
        <v>1136.43</v>
      </c>
      <c r="S145">
        <v>30.75</v>
      </c>
      <c r="T145">
        <v>17.88</v>
      </c>
      <c r="U145">
        <v>13.02</v>
      </c>
      <c r="V145">
        <v>37.130000000000003</v>
      </c>
      <c r="W145">
        <v>45.19</v>
      </c>
      <c r="X145">
        <v>26.32</v>
      </c>
      <c r="Y145">
        <v>45.88</v>
      </c>
      <c r="Z145">
        <v>41.51</v>
      </c>
      <c r="AA145">
        <v>73.599999999999994</v>
      </c>
      <c r="AB145">
        <v>55.22</v>
      </c>
      <c r="AC145">
        <v>40.42</v>
      </c>
      <c r="AD145">
        <v>526.96</v>
      </c>
      <c r="AE145">
        <v>597</v>
      </c>
      <c r="AF145">
        <v>42.83</v>
      </c>
      <c r="AG145">
        <v>53.54</v>
      </c>
      <c r="AH145">
        <v>45.49</v>
      </c>
      <c r="AI145">
        <v>47.43</v>
      </c>
    </row>
    <row r="146" spans="1:35" x14ac:dyDescent="0.45">
      <c r="A146" s="2">
        <v>45820</v>
      </c>
      <c r="B146">
        <v>28.42</v>
      </c>
      <c r="C146">
        <v>32.51</v>
      </c>
      <c r="D146">
        <v>18.899999999999999</v>
      </c>
      <c r="E146">
        <v>28.08</v>
      </c>
      <c r="F146">
        <v>30.63</v>
      </c>
      <c r="G146">
        <v>48.584800000000001</v>
      </c>
      <c r="H146">
        <v>24.54</v>
      </c>
      <c r="I146">
        <v>56.74</v>
      </c>
      <c r="J146">
        <v>61.57</v>
      </c>
      <c r="K146">
        <v>67.69</v>
      </c>
      <c r="L146">
        <v>28.15</v>
      </c>
      <c r="M146">
        <v>54.77</v>
      </c>
      <c r="N146">
        <v>56.89</v>
      </c>
      <c r="O146">
        <v>54.8</v>
      </c>
      <c r="P146">
        <v>55.79</v>
      </c>
      <c r="Q146">
        <v>18.899999999999999</v>
      </c>
      <c r="R146">
        <v>1140.6300000000001</v>
      </c>
      <c r="S146">
        <v>31.57</v>
      </c>
      <c r="T146">
        <v>18.395</v>
      </c>
      <c r="U146">
        <v>13.36</v>
      </c>
      <c r="V146">
        <v>38.07</v>
      </c>
      <c r="W146">
        <v>46.07</v>
      </c>
      <c r="X146">
        <v>26.64</v>
      </c>
      <c r="Y146">
        <v>46</v>
      </c>
      <c r="Z146">
        <v>42.22</v>
      </c>
      <c r="AA146">
        <v>74.209999999999994</v>
      </c>
      <c r="AB146">
        <v>56.27</v>
      </c>
      <c r="AC146">
        <v>40.78</v>
      </c>
      <c r="AD146">
        <v>533.66</v>
      </c>
      <c r="AE146">
        <v>603.75</v>
      </c>
      <c r="AF146">
        <v>43.57</v>
      </c>
      <c r="AG146">
        <v>54.73</v>
      </c>
      <c r="AH146">
        <v>46.02</v>
      </c>
      <c r="AI146">
        <v>48.25</v>
      </c>
    </row>
    <row r="147" spans="1:35" x14ac:dyDescent="0.45">
      <c r="A147" s="2">
        <v>45819</v>
      </c>
      <c r="B147">
        <v>28.29</v>
      </c>
      <c r="C147">
        <v>32.54</v>
      </c>
      <c r="D147">
        <v>18.91</v>
      </c>
      <c r="E147">
        <v>27.93</v>
      </c>
      <c r="F147">
        <v>30.62</v>
      </c>
      <c r="G147">
        <v>48.44</v>
      </c>
      <c r="H147">
        <v>24.45</v>
      </c>
      <c r="I147">
        <v>55.83</v>
      </c>
      <c r="J147">
        <v>61.56</v>
      </c>
      <c r="K147">
        <v>66.989999999999995</v>
      </c>
      <c r="L147">
        <v>28.22</v>
      </c>
      <c r="M147">
        <v>54.08</v>
      </c>
      <c r="N147">
        <v>56.52</v>
      </c>
      <c r="O147">
        <v>55.33</v>
      </c>
      <c r="P147">
        <v>55.86</v>
      </c>
      <c r="Q147">
        <v>18.96</v>
      </c>
      <c r="R147">
        <v>1132.02</v>
      </c>
      <c r="S147">
        <v>32.11</v>
      </c>
      <c r="T147">
        <v>18.72</v>
      </c>
      <c r="U147">
        <v>13.32</v>
      </c>
      <c r="V147">
        <v>38.46</v>
      </c>
      <c r="W147">
        <v>45.76</v>
      </c>
      <c r="X147">
        <v>26.6</v>
      </c>
      <c r="Y147">
        <v>45.66</v>
      </c>
      <c r="Z147">
        <v>42.11</v>
      </c>
      <c r="AA147">
        <v>73.67</v>
      </c>
      <c r="AB147">
        <v>55.43</v>
      </c>
      <c r="AC147">
        <v>40.409999999999997</v>
      </c>
      <c r="AD147">
        <v>532.41</v>
      </c>
      <c r="AE147">
        <v>601.36</v>
      </c>
      <c r="AF147">
        <v>43.11</v>
      </c>
      <c r="AG147">
        <v>54.37</v>
      </c>
      <c r="AH147">
        <v>45.9</v>
      </c>
      <c r="AI147">
        <v>47.93</v>
      </c>
    </row>
    <row r="148" spans="1:35" x14ac:dyDescent="0.45">
      <c r="A148" s="2">
        <v>45818</v>
      </c>
      <c r="B148">
        <v>28.1</v>
      </c>
      <c r="C148">
        <v>31.82</v>
      </c>
      <c r="D148">
        <v>18.84</v>
      </c>
      <c r="E148">
        <v>27.82</v>
      </c>
      <c r="F148">
        <v>30.83</v>
      </c>
      <c r="G148">
        <v>48.231099999999998</v>
      </c>
      <c r="H148">
        <v>24.28</v>
      </c>
      <c r="I148">
        <v>55.8</v>
      </c>
      <c r="J148">
        <v>61.36</v>
      </c>
      <c r="K148">
        <v>66.16</v>
      </c>
      <c r="L148">
        <v>27.72</v>
      </c>
      <c r="M148">
        <v>54.66</v>
      </c>
      <c r="N148">
        <v>56.48</v>
      </c>
      <c r="O148">
        <v>55.26</v>
      </c>
      <c r="P148">
        <v>55.69</v>
      </c>
      <c r="Q148">
        <v>18.920000000000002</v>
      </c>
      <c r="R148">
        <v>1149.18</v>
      </c>
      <c r="S148">
        <v>32.17</v>
      </c>
      <c r="T148">
        <v>18.78</v>
      </c>
      <c r="U148">
        <v>13.4</v>
      </c>
      <c r="V148">
        <v>38.72</v>
      </c>
      <c r="W148">
        <v>45.65</v>
      </c>
      <c r="X148">
        <v>26.71</v>
      </c>
      <c r="Y148">
        <v>45.43</v>
      </c>
      <c r="Z148">
        <v>42.12</v>
      </c>
      <c r="AA148">
        <v>73.88</v>
      </c>
      <c r="AB148">
        <v>55.67</v>
      </c>
      <c r="AC148">
        <v>40.31</v>
      </c>
      <c r="AD148">
        <v>534.21</v>
      </c>
      <c r="AE148">
        <v>603.08000000000004</v>
      </c>
      <c r="AF148">
        <v>43.21</v>
      </c>
      <c r="AG148">
        <v>54.57</v>
      </c>
      <c r="AH148">
        <v>45.94</v>
      </c>
      <c r="AI148">
        <v>47.93</v>
      </c>
    </row>
    <row r="149" spans="1:35" x14ac:dyDescent="0.45">
      <c r="A149" s="2">
        <v>45817</v>
      </c>
      <c r="B149">
        <v>28.3</v>
      </c>
      <c r="C149">
        <v>31.75</v>
      </c>
      <c r="D149">
        <v>18.59</v>
      </c>
      <c r="E149">
        <v>28.12</v>
      </c>
      <c r="F149">
        <v>30</v>
      </c>
      <c r="G149">
        <v>48.53</v>
      </c>
      <c r="H149">
        <v>24.32</v>
      </c>
      <c r="I149">
        <v>54.71</v>
      </c>
      <c r="J149">
        <v>61.09</v>
      </c>
      <c r="K149">
        <v>66.48</v>
      </c>
      <c r="L149">
        <v>27.62</v>
      </c>
      <c r="M149">
        <v>54.44</v>
      </c>
      <c r="N149">
        <v>55.85</v>
      </c>
      <c r="O149">
        <v>55.24</v>
      </c>
      <c r="P149">
        <v>55.52</v>
      </c>
      <c r="Q149">
        <v>18.829999999999998</v>
      </c>
      <c r="R149">
        <v>1164.01</v>
      </c>
      <c r="S149">
        <v>31.66</v>
      </c>
      <c r="T149">
        <v>18.71</v>
      </c>
      <c r="U149">
        <v>13.26</v>
      </c>
      <c r="V149">
        <v>38.57</v>
      </c>
      <c r="W149">
        <v>45.32</v>
      </c>
      <c r="X149">
        <v>26.44</v>
      </c>
      <c r="Y149">
        <v>45.3</v>
      </c>
      <c r="Z149">
        <v>42.31</v>
      </c>
      <c r="AA149">
        <v>73.930000000000007</v>
      </c>
      <c r="AB149">
        <v>55.62</v>
      </c>
      <c r="AC149">
        <v>40.340000000000003</v>
      </c>
      <c r="AD149">
        <v>530.70000000000005</v>
      </c>
      <c r="AE149">
        <v>599.67999999999995</v>
      </c>
      <c r="AF149">
        <v>43.08</v>
      </c>
      <c r="AG149">
        <v>54.02</v>
      </c>
      <c r="AH149">
        <v>45.91</v>
      </c>
      <c r="AI149">
        <v>48.18</v>
      </c>
    </row>
    <row r="150" spans="1:35" x14ac:dyDescent="0.45">
      <c r="A150" s="2">
        <v>45814</v>
      </c>
      <c r="B150">
        <v>28.22</v>
      </c>
      <c r="C150">
        <v>31.84</v>
      </c>
      <c r="D150">
        <v>18.510000000000002</v>
      </c>
      <c r="E150">
        <v>27.95</v>
      </c>
      <c r="F150">
        <v>29.46</v>
      </c>
      <c r="G150">
        <v>48.5916</v>
      </c>
      <c r="H150">
        <v>24.25</v>
      </c>
      <c r="I150">
        <v>54.11</v>
      </c>
      <c r="J150">
        <v>61.24</v>
      </c>
      <c r="K150">
        <v>65.569999999999993</v>
      </c>
      <c r="L150">
        <v>27.72</v>
      </c>
      <c r="M150">
        <v>53.94</v>
      </c>
      <c r="N150">
        <v>55.46</v>
      </c>
      <c r="O150">
        <v>54.91</v>
      </c>
      <c r="P150">
        <v>54.92</v>
      </c>
      <c r="Q150">
        <v>18.829999999999998</v>
      </c>
      <c r="R150">
        <v>1160.74</v>
      </c>
      <c r="S150">
        <v>31.61</v>
      </c>
      <c r="T150">
        <v>18.670000000000002</v>
      </c>
      <c r="U150">
        <v>13.64</v>
      </c>
      <c r="V150">
        <v>38.51</v>
      </c>
      <c r="W150">
        <v>45.31</v>
      </c>
      <c r="X150">
        <v>26.37</v>
      </c>
      <c r="Y150">
        <v>45.39</v>
      </c>
      <c r="Z150">
        <v>42.52</v>
      </c>
      <c r="AA150">
        <v>73.819999999999993</v>
      </c>
      <c r="AB150">
        <v>55.64</v>
      </c>
      <c r="AC150">
        <v>40.35</v>
      </c>
      <c r="AD150">
        <v>529.91999999999996</v>
      </c>
      <c r="AE150">
        <v>599.14</v>
      </c>
      <c r="AF150">
        <v>43.04</v>
      </c>
      <c r="AG150">
        <v>53.63</v>
      </c>
      <c r="AH150">
        <v>46.14</v>
      </c>
      <c r="AI150">
        <v>48.3</v>
      </c>
    </row>
    <row r="151" spans="1:35" x14ac:dyDescent="0.45">
      <c r="A151" s="2">
        <v>45813</v>
      </c>
      <c r="B151">
        <v>28.29</v>
      </c>
      <c r="C151">
        <v>32.17</v>
      </c>
      <c r="D151">
        <v>18.559999999999999</v>
      </c>
      <c r="E151">
        <v>27.96</v>
      </c>
      <c r="F151">
        <v>29.75</v>
      </c>
      <c r="G151">
        <v>48.796100000000003</v>
      </c>
      <c r="H151">
        <v>24.31</v>
      </c>
      <c r="I151">
        <v>53.74</v>
      </c>
      <c r="J151">
        <v>60.72</v>
      </c>
      <c r="K151">
        <v>65.36</v>
      </c>
      <c r="L151">
        <v>27.6</v>
      </c>
      <c r="M151">
        <v>54.03</v>
      </c>
      <c r="N151">
        <v>55.77</v>
      </c>
      <c r="O151">
        <v>54.18</v>
      </c>
      <c r="P151">
        <v>54.99</v>
      </c>
      <c r="Q151">
        <v>18.78</v>
      </c>
      <c r="R151">
        <v>1163.42</v>
      </c>
      <c r="S151">
        <v>31.44</v>
      </c>
      <c r="T151">
        <v>18.61</v>
      </c>
      <c r="U151">
        <v>13.74</v>
      </c>
      <c r="V151">
        <v>38.479999999999997</v>
      </c>
      <c r="W151">
        <v>45.53</v>
      </c>
      <c r="X151">
        <v>26.36</v>
      </c>
      <c r="Y151">
        <v>45.32</v>
      </c>
      <c r="Z151">
        <v>42.57</v>
      </c>
      <c r="AA151">
        <v>73.39</v>
      </c>
      <c r="AB151">
        <v>55.47</v>
      </c>
      <c r="AC151">
        <v>40.22</v>
      </c>
      <c r="AD151">
        <v>524.79</v>
      </c>
      <c r="AE151">
        <v>593.04999999999995</v>
      </c>
      <c r="AF151">
        <v>43.04</v>
      </c>
      <c r="AG151">
        <v>53.36</v>
      </c>
      <c r="AH151">
        <v>46.17</v>
      </c>
      <c r="AI151">
        <v>47.98</v>
      </c>
    </row>
    <row r="152" spans="1:35" x14ac:dyDescent="0.45">
      <c r="A152" s="2">
        <v>45812</v>
      </c>
      <c r="B152">
        <v>28.18</v>
      </c>
      <c r="C152">
        <v>31.88</v>
      </c>
      <c r="D152">
        <v>18.45</v>
      </c>
      <c r="E152">
        <v>27.66</v>
      </c>
      <c r="F152">
        <v>30.22</v>
      </c>
      <c r="G152">
        <v>48.064999999999998</v>
      </c>
      <c r="H152">
        <v>24.14</v>
      </c>
      <c r="I152">
        <v>53.96</v>
      </c>
      <c r="J152">
        <v>60.25</v>
      </c>
      <c r="K152">
        <v>63.98</v>
      </c>
      <c r="L152">
        <v>27.44</v>
      </c>
      <c r="M152">
        <v>53.46</v>
      </c>
      <c r="N152">
        <v>55.24</v>
      </c>
      <c r="O152">
        <v>53.92</v>
      </c>
      <c r="P152">
        <v>54.79</v>
      </c>
      <c r="Q152">
        <v>18.91</v>
      </c>
      <c r="R152">
        <v>1178.43</v>
      </c>
      <c r="S152">
        <v>31.36</v>
      </c>
      <c r="T152">
        <v>18.59</v>
      </c>
      <c r="U152">
        <v>13.86</v>
      </c>
      <c r="V152">
        <v>38.380000000000003</v>
      </c>
      <c r="W152">
        <v>45.25</v>
      </c>
      <c r="X152">
        <v>26.33</v>
      </c>
      <c r="Y152">
        <v>45.25</v>
      </c>
      <c r="Z152">
        <v>42.46</v>
      </c>
      <c r="AA152">
        <v>74.08</v>
      </c>
      <c r="AB152">
        <v>55.56</v>
      </c>
      <c r="AC152">
        <v>40.19</v>
      </c>
      <c r="AD152">
        <v>528.77</v>
      </c>
      <c r="AE152">
        <v>595.92999999999995</v>
      </c>
      <c r="AF152">
        <v>43.08</v>
      </c>
      <c r="AG152">
        <v>53.23</v>
      </c>
      <c r="AH152">
        <v>45.93</v>
      </c>
      <c r="AI152">
        <v>47.74</v>
      </c>
    </row>
    <row r="153" spans="1:35" x14ac:dyDescent="0.45">
      <c r="A153" s="2">
        <v>45811</v>
      </c>
      <c r="B153">
        <v>27.96</v>
      </c>
      <c r="C153">
        <v>31.58</v>
      </c>
      <c r="D153">
        <v>18.420000000000002</v>
      </c>
      <c r="E153">
        <v>27.78</v>
      </c>
      <c r="F153">
        <v>29.92</v>
      </c>
      <c r="G153">
        <v>47.95</v>
      </c>
      <c r="H153">
        <v>24.09</v>
      </c>
      <c r="I153">
        <v>53.15</v>
      </c>
      <c r="J153">
        <v>60.39</v>
      </c>
      <c r="K153">
        <v>61.89</v>
      </c>
      <c r="L153">
        <v>27.58</v>
      </c>
      <c r="M153">
        <v>53.13</v>
      </c>
      <c r="N153">
        <v>55.29</v>
      </c>
      <c r="O153">
        <v>53.96</v>
      </c>
      <c r="P153">
        <v>53.76</v>
      </c>
      <c r="Q153">
        <v>19.079999999999998</v>
      </c>
      <c r="R153">
        <v>1176.3599999999999</v>
      </c>
      <c r="S153">
        <v>30.84</v>
      </c>
      <c r="T153">
        <v>18.59</v>
      </c>
      <c r="U153">
        <v>13.96</v>
      </c>
      <c r="V153">
        <v>38</v>
      </c>
      <c r="W153">
        <v>44.61</v>
      </c>
      <c r="X153">
        <v>26.07</v>
      </c>
      <c r="Y153">
        <v>45.34</v>
      </c>
      <c r="Z153">
        <v>42.12</v>
      </c>
      <c r="AA153">
        <v>74.13</v>
      </c>
      <c r="AB153">
        <v>55.03</v>
      </c>
      <c r="AC153">
        <v>40.06</v>
      </c>
      <c r="AD153">
        <v>527.29999999999995</v>
      </c>
      <c r="AE153">
        <v>596.09</v>
      </c>
      <c r="AF153">
        <v>42.84</v>
      </c>
      <c r="AG153">
        <v>52.95</v>
      </c>
      <c r="AH153">
        <v>45.2</v>
      </c>
      <c r="AI153">
        <v>47.87</v>
      </c>
    </row>
    <row r="154" spans="1:35" x14ac:dyDescent="0.45">
      <c r="A154" s="2">
        <v>45810</v>
      </c>
      <c r="B154">
        <v>27.72</v>
      </c>
      <c r="C154">
        <v>31.53</v>
      </c>
      <c r="D154">
        <v>18.559999999999999</v>
      </c>
      <c r="E154">
        <v>27.6</v>
      </c>
      <c r="F154">
        <v>30.49</v>
      </c>
      <c r="G154">
        <v>47.72</v>
      </c>
      <c r="H154">
        <v>24.15</v>
      </c>
      <c r="I154">
        <v>52.84</v>
      </c>
      <c r="J154">
        <v>60.64</v>
      </c>
      <c r="K154">
        <v>61.74</v>
      </c>
      <c r="L154">
        <v>27.27</v>
      </c>
      <c r="M154">
        <v>53.27</v>
      </c>
      <c r="N154">
        <v>55.7</v>
      </c>
      <c r="O154">
        <v>54.54</v>
      </c>
      <c r="P154">
        <v>53.26</v>
      </c>
      <c r="Q154">
        <v>18.8</v>
      </c>
      <c r="R154">
        <v>1173.3699999999999</v>
      </c>
      <c r="S154">
        <v>30.05</v>
      </c>
      <c r="T154">
        <v>18.45</v>
      </c>
      <c r="U154">
        <v>13.81</v>
      </c>
      <c r="V154">
        <v>38.159999999999997</v>
      </c>
      <c r="W154">
        <v>45.04</v>
      </c>
      <c r="X154">
        <v>26.15</v>
      </c>
      <c r="Y154">
        <v>45.39</v>
      </c>
      <c r="Z154">
        <v>42.34</v>
      </c>
      <c r="AA154">
        <v>75.040000000000006</v>
      </c>
      <c r="AB154">
        <v>55.54</v>
      </c>
      <c r="AC154">
        <v>40.29</v>
      </c>
      <c r="AD154">
        <v>523.21</v>
      </c>
      <c r="AE154">
        <v>592.71</v>
      </c>
      <c r="AF154">
        <v>43.14</v>
      </c>
      <c r="AG154">
        <v>53.285800000000002</v>
      </c>
      <c r="AH154">
        <v>45.62</v>
      </c>
      <c r="AI154">
        <v>48.32</v>
      </c>
    </row>
    <row r="155" spans="1:35" x14ac:dyDescent="0.45">
      <c r="A155" s="2">
        <v>45807</v>
      </c>
      <c r="B155">
        <v>27.67</v>
      </c>
      <c r="C155">
        <v>31.5</v>
      </c>
      <c r="D155">
        <v>18.88</v>
      </c>
      <c r="E155">
        <v>27.24</v>
      </c>
      <c r="F155">
        <v>30.37</v>
      </c>
      <c r="G155">
        <v>46.64</v>
      </c>
      <c r="H155">
        <v>23.96</v>
      </c>
      <c r="I155">
        <v>52.38</v>
      </c>
      <c r="J155">
        <v>60.17</v>
      </c>
      <c r="K155">
        <v>60.63</v>
      </c>
      <c r="L155">
        <v>27.21</v>
      </c>
      <c r="M155">
        <v>52.21</v>
      </c>
      <c r="N155">
        <v>55</v>
      </c>
      <c r="O155">
        <v>54.31</v>
      </c>
      <c r="P155">
        <v>52.82</v>
      </c>
      <c r="Q155">
        <v>18.75</v>
      </c>
      <c r="R155">
        <v>1179.81</v>
      </c>
      <c r="S155">
        <v>29.99</v>
      </c>
      <c r="T155">
        <v>18.57</v>
      </c>
      <c r="U155">
        <v>13.59</v>
      </c>
      <c r="V155">
        <v>38.33</v>
      </c>
      <c r="W155">
        <v>44.39</v>
      </c>
      <c r="X155">
        <v>25.81</v>
      </c>
      <c r="Y155">
        <v>44.96</v>
      </c>
      <c r="Z155">
        <v>41.97</v>
      </c>
      <c r="AA155">
        <v>74.12</v>
      </c>
      <c r="AB155">
        <v>55.18</v>
      </c>
      <c r="AC155">
        <v>39.92</v>
      </c>
      <c r="AD155">
        <v>519.11</v>
      </c>
      <c r="AE155">
        <v>589.39</v>
      </c>
      <c r="AF155">
        <v>42.49</v>
      </c>
      <c r="AG155">
        <v>52.85</v>
      </c>
      <c r="AH155">
        <v>45.45</v>
      </c>
      <c r="AI155">
        <v>47.77</v>
      </c>
    </row>
    <row r="156" spans="1:35" x14ac:dyDescent="0.45">
      <c r="A156" s="2">
        <v>45806</v>
      </c>
      <c r="B156">
        <v>28.02</v>
      </c>
      <c r="C156">
        <v>32.08</v>
      </c>
      <c r="D156">
        <v>18.95</v>
      </c>
      <c r="E156">
        <v>27.84</v>
      </c>
      <c r="F156">
        <v>30.72</v>
      </c>
      <c r="G156">
        <v>46.613599999999998</v>
      </c>
      <c r="H156">
        <v>24.3</v>
      </c>
      <c r="I156">
        <v>52.87</v>
      </c>
      <c r="J156">
        <v>61.23</v>
      </c>
      <c r="K156">
        <v>61.8</v>
      </c>
      <c r="L156">
        <v>27.7</v>
      </c>
      <c r="M156">
        <v>53.05</v>
      </c>
      <c r="N156">
        <v>55.71</v>
      </c>
      <c r="O156">
        <v>54.59</v>
      </c>
      <c r="P156">
        <v>53.86</v>
      </c>
      <c r="Q156">
        <v>18.829999999999998</v>
      </c>
      <c r="R156">
        <v>1189.1400000000001</v>
      </c>
      <c r="S156">
        <v>30.54</v>
      </c>
      <c r="T156">
        <v>18.59</v>
      </c>
      <c r="U156">
        <v>13.51</v>
      </c>
      <c r="V156">
        <v>38.39</v>
      </c>
      <c r="W156">
        <v>43.97</v>
      </c>
      <c r="X156">
        <v>25.64</v>
      </c>
      <c r="Y156">
        <v>44.78</v>
      </c>
      <c r="Z156">
        <v>41.85</v>
      </c>
      <c r="AA156">
        <v>74.03</v>
      </c>
      <c r="AB156">
        <v>54.9</v>
      </c>
      <c r="AC156">
        <v>39.79</v>
      </c>
      <c r="AD156">
        <v>519.92999999999995</v>
      </c>
      <c r="AE156">
        <v>590.04999999999995</v>
      </c>
      <c r="AF156">
        <v>42.76</v>
      </c>
      <c r="AG156">
        <v>52.94</v>
      </c>
      <c r="AH156">
        <v>45.36</v>
      </c>
      <c r="AI156">
        <v>47.58</v>
      </c>
    </row>
    <row r="157" spans="1:35" x14ac:dyDescent="0.45">
      <c r="A157" s="2">
        <v>45805</v>
      </c>
      <c r="B157">
        <v>27.83</v>
      </c>
      <c r="C157">
        <v>32.17</v>
      </c>
      <c r="D157">
        <v>18.91</v>
      </c>
      <c r="E157">
        <v>27.93</v>
      </c>
      <c r="F157">
        <v>31.25</v>
      </c>
      <c r="G157">
        <v>46.5428</v>
      </c>
      <c r="H157">
        <v>24.47</v>
      </c>
      <c r="I157">
        <v>53.26</v>
      </c>
      <c r="J157">
        <v>60.9</v>
      </c>
      <c r="K157">
        <v>60.75</v>
      </c>
      <c r="L157">
        <v>27.69</v>
      </c>
      <c r="M157">
        <v>52.03</v>
      </c>
      <c r="N157">
        <v>55.85</v>
      </c>
      <c r="O157">
        <v>54.284999999999997</v>
      </c>
      <c r="P157">
        <v>53.33</v>
      </c>
      <c r="Q157">
        <v>18.940000000000001</v>
      </c>
      <c r="R157">
        <v>1187.06</v>
      </c>
      <c r="S157">
        <v>30.56</v>
      </c>
      <c r="T157">
        <v>18.66</v>
      </c>
      <c r="U157">
        <v>13.71</v>
      </c>
      <c r="V157">
        <v>38.6</v>
      </c>
      <c r="W157">
        <v>44.23</v>
      </c>
      <c r="X157">
        <v>25.56</v>
      </c>
      <c r="Y157">
        <v>44.76</v>
      </c>
      <c r="Z157">
        <v>41.77</v>
      </c>
      <c r="AA157">
        <v>73.61</v>
      </c>
      <c r="AB157">
        <v>54.62</v>
      </c>
      <c r="AC157">
        <v>39.67</v>
      </c>
      <c r="AD157">
        <v>518.91</v>
      </c>
      <c r="AE157">
        <v>587.73</v>
      </c>
      <c r="AF157">
        <v>42.47</v>
      </c>
      <c r="AG157">
        <v>52.59</v>
      </c>
      <c r="AH157">
        <v>45.24</v>
      </c>
      <c r="AI157">
        <v>47.55</v>
      </c>
    </row>
    <row r="158" spans="1:35" x14ac:dyDescent="0.45">
      <c r="A158" s="2">
        <v>45804</v>
      </c>
      <c r="B158">
        <v>27.9</v>
      </c>
      <c r="C158">
        <v>32.75</v>
      </c>
      <c r="D158">
        <v>19.04</v>
      </c>
      <c r="E158">
        <v>27.78</v>
      </c>
      <c r="F158">
        <v>30.82</v>
      </c>
      <c r="G158">
        <v>46.83</v>
      </c>
      <c r="H158">
        <v>24.52</v>
      </c>
      <c r="I158">
        <v>53.58</v>
      </c>
      <c r="J158">
        <v>61.13</v>
      </c>
      <c r="K158">
        <v>59.98</v>
      </c>
      <c r="L158">
        <v>27.99</v>
      </c>
      <c r="M158">
        <v>51.91</v>
      </c>
      <c r="N158">
        <v>55.02</v>
      </c>
      <c r="O158">
        <v>54.53</v>
      </c>
      <c r="P158">
        <v>54.04</v>
      </c>
      <c r="Q158">
        <v>18.91</v>
      </c>
      <c r="R158">
        <v>1195.77</v>
      </c>
      <c r="S158">
        <v>30.86</v>
      </c>
      <c r="T158">
        <v>18.62</v>
      </c>
      <c r="U158">
        <v>13.585000000000001</v>
      </c>
      <c r="V158">
        <v>38.21</v>
      </c>
      <c r="W158">
        <v>45.38</v>
      </c>
      <c r="X158">
        <v>25.87</v>
      </c>
      <c r="Y158">
        <v>44.82</v>
      </c>
      <c r="Z158">
        <v>42.31</v>
      </c>
      <c r="AA158">
        <v>74.95</v>
      </c>
      <c r="AB158">
        <v>55.2</v>
      </c>
      <c r="AC158">
        <v>40.07</v>
      </c>
      <c r="AD158">
        <v>521.22</v>
      </c>
      <c r="AE158">
        <v>591.15</v>
      </c>
      <c r="AF158">
        <v>42.92</v>
      </c>
      <c r="AG158">
        <v>53</v>
      </c>
      <c r="AH158">
        <v>45.55</v>
      </c>
      <c r="AI158">
        <v>47.66</v>
      </c>
    </row>
    <row r="159" spans="1:35" x14ac:dyDescent="0.45">
      <c r="A159" s="2">
        <v>45800</v>
      </c>
      <c r="B159">
        <v>28.2</v>
      </c>
      <c r="C159">
        <v>32.85</v>
      </c>
      <c r="D159">
        <v>19.16</v>
      </c>
      <c r="E159">
        <v>27.81</v>
      </c>
      <c r="F159">
        <v>29.85</v>
      </c>
      <c r="G159">
        <v>46.76</v>
      </c>
      <c r="H159">
        <v>24.58</v>
      </c>
      <c r="I159">
        <v>53.52</v>
      </c>
      <c r="J159">
        <v>60.67</v>
      </c>
      <c r="K159">
        <v>58.96</v>
      </c>
      <c r="L159">
        <v>27.65</v>
      </c>
      <c r="M159">
        <v>52.52</v>
      </c>
      <c r="N159">
        <v>53.23</v>
      </c>
      <c r="O159">
        <v>54.58</v>
      </c>
      <c r="P159">
        <v>54.78</v>
      </c>
      <c r="Q159">
        <v>19.149999999999999</v>
      </c>
      <c r="R159">
        <v>1194.49</v>
      </c>
      <c r="S159">
        <v>31.24</v>
      </c>
      <c r="T159">
        <v>18.45</v>
      </c>
      <c r="U159">
        <v>13.14</v>
      </c>
      <c r="V159">
        <v>39.17</v>
      </c>
      <c r="W159">
        <v>45.36</v>
      </c>
      <c r="X159">
        <v>25.65</v>
      </c>
      <c r="Y159">
        <v>44.44</v>
      </c>
      <c r="Z159">
        <v>41.26</v>
      </c>
      <c r="AA159">
        <v>73.03</v>
      </c>
      <c r="AB159">
        <v>55.03</v>
      </c>
      <c r="AC159">
        <v>39.880000000000003</v>
      </c>
      <c r="AD159">
        <v>509.24</v>
      </c>
      <c r="AE159">
        <v>579.11</v>
      </c>
      <c r="AF159">
        <v>42.4</v>
      </c>
      <c r="AG159">
        <v>52.26</v>
      </c>
      <c r="AH159">
        <v>45.32</v>
      </c>
      <c r="AI159">
        <v>46.96</v>
      </c>
    </row>
    <row r="160" spans="1:35" x14ac:dyDescent="0.45">
      <c r="A160" s="2">
        <v>45799</v>
      </c>
      <c r="B160">
        <v>28.3</v>
      </c>
      <c r="C160">
        <v>32.634999999999998</v>
      </c>
      <c r="D160">
        <v>18.91</v>
      </c>
      <c r="E160">
        <v>27.27</v>
      </c>
      <c r="F160">
        <v>29.99</v>
      </c>
      <c r="G160">
        <v>45.76</v>
      </c>
      <c r="H160">
        <v>24.24</v>
      </c>
      <c r="I160">
        <v>53.7</v>
      </c>
      <c r="J160">
        <v>59.83</v>
      </c>
      <c r="K160">
        <v>58.29</v>
      </c>
      <c r="L160">
        <v>27.52</v>
      </c>
      <c r="M160">
        <v>51.43</v>
      </c>
      <c r="N160">
        <v>53.88</v>
      </c>
      <c r="O160">
        <v>53.79</v>
      </c>
      <c r="P160">
        <v>54.75</v>
      </c>
      <c r="Q160">
        <v>19.11</v>
      </c>
      <c r="R160">
        <v>1216.71</v>
      </c>
      <c r="S160">
        <v>31.7</v>
      </c>
      <c r="T160">
        <v>18.53</v>
      </c>
      <c r="U160">
        <v>13.17</v>
      </c>
      <c r="V160">
        <v>39.28</v>
      </c>
      <c r="W160">
        <v>45.08</v>
      </c>
      <c r="X160">
        <v>25.41</v>
      </c>
      <c r="Y160">
        <v>44</v>
      </c>
      <c r="Z160">
        <v>41.64</v>
      </c>
      <c r="AA160">
        <v>72.37</v>
      </c>
      <c r="AB160">
        <v>54.77</v>
      </c>
      <c r="AC160">
        <v>39.53</v>
      </c>
      <c r="AD160">
        <v>514</v>
      </c>
      <c r="AE160">
        <v>583.09</v>
      </c>
      <c r="AF160">
        <v>42.65</v>
      </c>
      <c r="AG160">
        <v>52.54</v>
      </c>
      <c r="AH160">
        <v>45.09</v>
      </c>
      <c r="AI160">
        <v>47.54</v>
      </c>
    </row>
    <row r="161" spans="1:35" x14ac:dyDescent="0.45">
      <c r="A161" s="2">
        <v>45798</v>
      </c>
      <c r="B161">
        <v>28.4</v>
      </c>
      <c r="C161">
        <v>32.69</v>
      </c>
      <c r="D161">
        <v>18.79</v>
      </c>
      <c r="E161">
        <v>27.46</v>
      </c>
      <c r="F161">
        <v>30.09</v>
      </c>
      <c r="G161">
        <v>45.66</v>
      </c>
      <c r="H161">
        <v>24.49</v>
      </c>
      <c r="I161">
        <v>53.72</v>
      </c>
      <c r="J161">
        <v>60.32</v>
      </c>
      <c r="K161">
        <v>59.1</v>
      </c>
      <c r="L161">
        <v>27.67</v>
      </c>
      <c r="M161">
        <v>51.45</v>
      </c>
      <c r="N161">
        <v>54.14</v>
      </c>
      <c r="O161">
        <v>54.03</v>
      </c>
      <c r="P161">
        <v>54.99</v>
      </c>
      <c r="Q161">
        <v>19.18</v>
      </c>
      <c r="R161">
        <v>1214.3900000000001</v>
      </c>
      <c r="S161">
        <v>31.42</v>
      </c>
      <c r="T161">
        <v>18.57</v>
      </c>
      <c r="U161">
        <v>13.21</v>
      </c>
      <c r="V161">
        <v>39.299999999999997</v>
      </c>
      <c r="W161">
        <v>45.22</v>
      </c>
      <c r="X161">
        <v>25.41</v>
      </c>
      <c r="Y161">
        <v>43.94</v>
      </c>
      <c r="Z161">
        <v>41.68</v>
      </c>
      <c r="AA161">
        <v>72.31</v>
      </c>
      <c r="AB161">
        <v>55.04</v>
      </c>
      <c r="AC161">
        <v>39.43</v>
      </c>
      <c r="AD161">
        <v>513.04</v>
      </c>
      <c r="AE161">
        <v>582.86</v>
      </c>
      <c r="AF161">
        <v>42.71</v>
      </c>
      <c r="AG161">
        <v>52.48</v>
      </c>
      <c r="AH161">
        <v>45.94</v>
      </c>
      <c r="AI161">
        <v>47.65</v>
      </c>
    </row>
    <row r="162" spans="1:35" x14ac:dyDescent="0.45">
      <c r="A162" s="2">
        <v>45797</v>
      </c>
      <c r="B162">
        <v>28.28</v>
      </c>
      <c r="C162">
        <v>32.75</v>
      </c>
      <c r="D162">
        <v>18.53</v>
      </c>
      <c r="E162">
        <v>27.36</v>
      </c>
      <c r="F162">
        <v>30.77</v>
      </c>
      <c r="G162">
        <v>45.57</v>
      </c>
      <c r="H162">
        <v>24.5</v>
      </c>
      <c r="I162">
        <v>53.48</v>
      </c>
      <c r="J162">
        <v>60.53</v>
      </c>
      <c r="K162">
        <v>58.4</v>
      </c>
      <c r="L162">
        <v>28.16</v>
      </c>
      <c r="M162">
        <v>51.61</v>
      </c>
      <c r="N162">
        <v>53.89</v>
      </c>
      <c r="O162">
        <v>54.07</v>
      </c>
      <c r="P162">
        <v>55.2</v>
      </c>
      <c r="Q162">
        <v>19.059999999999999</v>
      </c>
      <c r="R162">
        <v>1210.94</v>
      </c>
      <c r="S162">
        <v>31.86</v>
      </c>
      <c r="T162">
        <v>18.71</v>
      </c>
      <c r="U162">
        <v>13.09</v>
      </c>
      <c r="V162">
        <v>39.89</v>
      </c>
      <c r="W162">
        <v>45.2</v>
      </c>
      <c r="X162">
        <v>25.63</v>
      </c>
      <c r="Y162">
        <v>44.19</v>
      </c>
      <c r="Z162">
        <v>41.77</v>
      </c>
      <c r="AA162">
        <v>72.989999999999995</v>
      </c>
      <c r="AB162">
        <v>55.17</v>
      </c>
      <c r="AC162">
        <v>39.61</v>
      </c>
      <c r="AD162">
        <v>520.27</v>
      </c>
      <c r="AE162">
        <v>592.85</v>
      </c>
      <c r="AF162">
        <v>43.1</v>
      </c>
      <c r="AG162">
        <v>52.8</v>
      </c>
      <c r="AH162">
        <v>46.35</v>
      </c>
      <c r="AI162">
        <v>47.84</v>
      </c>
    </row>
    <row r="163" spans="1:35" x14ac:dyDescent="0.45">
      <c r="A163" s="2">
        <v>45796</v>
      </c>
      <c r="B163">
        <v>28.14</v>
      </c>
      <c r="C163">
        <v>32.96</v>
      </c>
      <c r="D163">
        <v>18.739999999999998</v>
      </c>
      <c r="E163">
        <v>27.9</v>
      </c>
      <c r="F163">
        <v>30.53</v>
      </c>
      <c r="G163">
        <v>45.16</v>
      </c>
      <c r="H163">
        <v>24.69</v>
      </c>
      <c r="I163">
        <v>53.82</v>
      </c>
      <c r="J163">
        <v>60.57</v>
      </c>
      <c r="K163">
        <v>58.82</v>
      </c>
      <c r="L163">
        <v>28.18</v>
      </c>
      <c r="M163">
        <v>51.08</v>
      </c>
      <c r="N163">
        <v>52.9</v>
      </c>
      <c r="O163">
        <v>54.78</v>
      </c>
      <c r="P163">
        <v>54.7</v>
      </c>
      <c r="Q163">
        <v>19.05</v>
      </c>
      <c r="R163">
        <v>1206.5899999999999</v>
      </c>
      <c r="S163">
        <v>32.49</v>
      </c>
      <c r="T163">
        <v>18.649999999999999</v>
      </c>
      <c r="U163">
        <v>12.865</v>
      </c>
      <c r="V163">
        <v>39.909999999999997</v>
      </c>
      <c r="W163">
        <v>45.15</v>
      </c>
      <c r="X163">
        <v>25.63</v>
      </c>
      <c r="Y163">
        <v>44.05</v>
      </c>
      <c r="Z163">
        <v>41.56</v>
      </c>
      <c r="AA163">
        <v>72.569999999999993</v>
      </c>
      <c r="AB163">
        <v>55.02</v>
      </c>
      <c r="AC163">
        <v>39.33</v>
      </c>
      <c r="AD163">
        <v>522.01</v>
      </c>
      <c r="AE163">
        <v>594.85</v>
      </c>
      <c r="AF163">
        <v>42.73</v>
      </c>
      <c r="AG163">
        <v>52.645000000000003</v>
      </c>
      <c r="AH163">
        <v>46.19</v>
      </c>
      <c r="AI163">
        <v>47.3</v>
      </c>
    </row>
    <row r="164" spans="1:35" x14ac:dyDescent="0.45">
      <c r="A164" s="2">
        <v>45793</v>
      </c>
      <c r="B164">
        <v>28.24</v>
      </c>
      <c r="C164">
        <v>32.61</v>
      </c>
      <c r="D164">
        <v>18.39</v>
      </c>
      <c r="E164">
        <v>27.69</v>
      </c>
      <c r="F164">
        <v>30.32</v>
      </c>
      <c r="G164">
        <v>44.57</v>
      </c>
      <c r="H164">
        <v>24.87</v>
      </c>
      <c r="I164">
        <v>54.01</v>
      </c>
      <c r="J164">
        <v>59.51</v>
      </c>
      <c r="K164">
        <v>58.79</v>
      </c>
      <c r="L164">
        <v>28</v>
      </c>
      <c r="M164">
        <v>51.24</v>
      </c>
      <c r="N164">
        <v>52.5</v>
      </c>
      <c r="O164">
        <v>54.66</v>
      </c>
      <c r="P164">
        <v>54.42</v>
      </c>
      <c r="Q164">
        <v>18.88</v>
      </c>
      <c r="R164">
        <v>1220.27</v>
      </c>
      <c r="S164">
        <v>32.43</v>
      </c>
      <c r="T164">
        <v>18.48</v>
      </c>
      <c r="U164">
        <v>12.75</v>
      </c>
      <c r="V164">
        <v>40.19</v>
      </c>
      <c r="W164">
        <v>45.41</v>
      </c>
      <c r="X164">
        <v>25.47</v>
      </c>
      <c r="Y164">
        <v>43.89</v>
      </c>
      <c r="Z164">
        <v>40.85</v>
      </c>
      <c r="AA164">
        <v>72.489999999999995</v>
      </c>
      <c r="AB164">
        <v>54.41</v>
      </c>
      <c r="AC164">
        <v>38.9</v>
      </c>
      <c r="AD164">
        <v>521.51</v>
      </c>
      <c r="AE164">
        <v>594.20000000000005</v>
      </c>
      <c r="AF164">
        <v>42.25</v>
      </c>
      <c r="AG164">
        <v>52.19</v>
      </c>
      <c r="AH164">
        <v>45.61</v>
      </c>
      <c r="AI164">
        <v>46.85</v>
      </c>
    </row>
    <row r="165" spans="1:35" x14ac:dyDescent="0.45">
      <c r="A165" s="2">
        <v>45792</v>
      </c>
      <c r="B165">
        <v>28.25</v>
      </c>
      <c r="C165">
        <v>33.07</v>
      </c>
      <c r="D165">
        <v>18.27</v>
      </c>
      <c r="E165">
        <v>27.62</v>
      </c>
      <c r="F165">
        <v>30.49</v>
      </c>
      <c r="G165">
        <v>45.06</v>
      </c>
      <c r="H165">
        <v>25.08</v>
      </c>
      <c r="I165">
        <v>53.99</v>
      </c>
      <c r="J165">
        <v>59.26</v>
      </c>
      <c r="K165">
        <v>58.8</v>
      </c>
      <c r="L165">
        <v>28.01</v>
      </c>
      <c r="M165">
        <v>51.09</v>
      </c>
      <c r="N165">
        <v>52.15</v>
      </c>
      <c r="O165">
        <v>54.77</v>
      </c>
      <c r="P165">
        <v>54.57</v>
      </c>
      <c r="Q165">
        <v>18.84</v>
      </c>
      <c r="R165">
        <v>1187.8599999999999</v>
      </c>
      <c r="S165">
        <v>31.91</v>
      </c>
      <c r="T165">
        <v>18.3</v>
      </c>
      <c r="U165">
        <v>12.81</v>
      </c>
      <c r="V165">
        <v>40.130000000000003</v>
      </c>
      <c r="W165">
        <v>45.6</v>
      </c>
      <c r="X165">
        <v>25.55</v>
      </c>
      <c r="Y165">
        <v>43.83</v>
      </c>
      <c r="Z165">
        <v>40.86</v>
      </c>
      <c r="AA165">
        <v>72.3</v>
      </c>
      <c r="AB165">
        <v>54.02</v>
      </c>
      <c r="AC165">
        <v>38.799999999999997</v>
      </c>
      <c r="AD165">
        <v>519.25</v>
      </c>
      <c r="AE165">
        <v>590.46</v>
      </c>
      <c r="AF165">
        <v>42.09</v>
      </c>
      <c r="AG165">
        <v>52.25</v>
      </c>
      <c r="AH165">
        <v>45.62</v>
      </c>
      <c r="AI165">
        <v>46.53</v>
      </c>
    </row>
    <row r="166" spans="1:35" x14ac:dyDescent="0.45">
      <c r="A166" s="2">
        <v>45791</v>
      </c>
      <c r="B166">
        <v>28.58</v>
      </c>
      <c r="C166">
        <v>33.24</v>
      </c>
      <c r="D166">
        <v>17.97</v>
      </c>
      <c r="E166">
        <v>28.01</v>
      </c>
      <c r="F166">
        <v>30.68</v>
      </c>
      <c r="G166">
        <v>44.95</v>
      </c>
      <c r="H166">
        <v>25.07</v>
      </c>
      <c r="I166">
        <v>53.77</v>
      </c>
      <c r="J166">
        <v>59.36</v>
      </c>
      <c r="K166">
        <v>58.61</v>
      </c>
      <c r="L166">
        <v>28.2</v>
      </c>
      <c r="M166">
        <v>50.22</v>
      </c>
      <c r="N166">
        <v>52.22</v>
      </c>
      <c r="O166">
        <v>53.97</v>
      </c>
      <c r="P166">
        <v>55.6</v>
      </c>
      <c r="Q166">
        <v>18.829999999999998</v>
      </c>
      <c r="R166">
        <v>1198.98</v>
      </c>
      <c r="S166">
        <v>32.479999999999997</v>
      </c>
      <c r="T166">
        <v>18.16</v>
      </c>
      <c r="U166">
        <v>12.82</v>
      </c>
      <c r="V166">
        <v>40.21</v>
      </c>
      <c r="W166">
        <v>45.33</v>
      </c>
      <c r="X166">
        <v>25.16</v>
      </c>
      <c r="Y166">
        <v>43.44</v>
      </c>
      <c r="Z166">
        <v>40.340000000000003</v>
      </c>
      <c r="AA166">
        <v>71.45</v>
      </c>
      <c r="AB166">
        <v>52.94</v>
      </c>
      <c r="AC166">
        <v>38.25</v>
      </c>
      <c r="AD166">
        <v>518.67999999999995</v>
      </c>
      <c r="AE166">
        <v>587.59</v>
      </c>
      <c r="AF166">
        <v>41.88</v>
      </c>
      <c r="AG166">
        <v>52.2</v>
      </c>
      <c r="AH166">
        <v>45.11</v>
      </c>
      <c r="AI166">
        <v>46.26</v>
      </c>
    </row>
    <row r="167" spans="1:35" x14ac:dyDescent="0.45">
      <c r="A167" s="2">
        <v>45790</v>
      </c>
      <c r="B167">
        <v>28.34</v>
      </c>
      <c r="C167">
        <v>32.56</v>
      </c>
      <c r="D167">
        <v>17.54</v>
      </c>
      <c r="E167">
        <v>28.06</v>
      </c>
      <c r="F167">
        <v>30.8</v>
      </c>
      <c r="G167">
        <v>45.11</v>
      </c>
      <c r="H167">
        <v>24.87</v>
      </c>
      <c r="I167">
        <v>53.28</v>
      </c>
      <c r="J167">
        <v>59.08</v>
      </c>
      <c r="K167">
        <v>58.12</v>
      </c>
      <c r="L167">
        <v>28.33</v>
      </c>
      <c r="M167">
        <v>50.41</v>
      </c>
      <c r="N167">
        <v>52.07</v>
      </c>
      <c r="O167">
        <v>54.01</v>
      </c>
      <c r="P167">
        <v>54.7</v>
      </c>
      <c r="Q167">
        <v>18.755299999999998</v>
      </c>
      <c r="R167">
        <v>1197.26</v>
      </c>
      <c r="S167">
        <v>32.46</v>
      </c>
      <c r="T167">
        <v>18.36</v>
      </c>
      <c r="U167">
        <v>12.74</v>
      </c>
      <c r="V167">
        <v>40.299999999999997</v>
      </c>
      <c r="W167">
        <v>45.62</v>
      </c>
      <c r="X167">
        <v>25.42</v>
      </c>
      <c r="Y167">
        <v>43.4</v>
      </c>
      <c r="Z167">
        <v>40.590000000000003</v>
      </c>
      <c r="AA167">
        <v>72.25</v>
      </c>
      <c r="AB167">
        <v>53.19</v>
      </c>
      <c r="AC167">
        <v>38.42</v>
      </c>
      <c r="AD167">
        <v>515.59</v>
      </c>
      <c r="AE167">
        <v>586.84</v>
      </c>
      <c r="AF167">
        <v>42.1</v>
      </c>
      <c r="AG167">
        <v>52.04</v>
      </c>
      <c r="AH167">
        <v>45.23</v>
      </c>
      <c r="AI167">
        <v>46</v>
      </c>
    </row>
    <row r="168" spans="1:35" x14ac:dyDescent="0.45">
      <c r="A168" s="2">
        <v>45789</v>
      </c>
      <c r="B168">
        <v>28.45</v>
      </c>
      <c r="C168">
        <v>32.35</v>
      </c>
      <c r="D168">
        <v>17.399999999999999</v>
      </c>
      <c r="E168">
        <v>27.75</v>
      </c>
      <c r="F168">
        <v>30.5</v>
      </c>
      <c r="G168">
        <v>44.74</v>
      </c>
      <c r="H168">
        <v>24.5</v>
      </c>
      <c r="I168">
        <v>52.95</v>
      </c>
      <c r="J168">
        <v>57.84</v>
      </c>
      <c r="K168">
        <v>58.04</v>
      </c>
      <c r="L168">
        <v>27.49</v>
      </c>
      <c r="M168">
        <v>50.19</v>
      </c>
      <c r="N168">
        <v>51.6</v>
      </c>
      <c r="O168">
        <v>54.32</v>
      </c>
      <c r="P168">
        <v>55.06</v>
      </c>
      <c r="Q168">
        <v>18.7</v>
      </c>
      <c r="R168">
        <v>1171.1199999999999</v>
      </c>
      <c r="S168">
        <v>32.619999999999997</v>
      </c>
      <c r="T168">
        <v>18.13</v>
      </c>
      <c r="U168">
        <v>12.69</v>
      </c>
      <c r="V168">
        <v>40.04</v>
      </c>
      <c r="W168">
        <v>44.75</v>
      </c>
      <c r="X168">
        <v>25.18</v>
      </c>
      <c r="Y168">
        <v>43.08</v>
      </c>
      <c r="Z168">
        <v>40.380000000000003</v>
      </c>
      <c r="AA168">
        <v>72.8</v>
      </c>
      <c r="AB168">
        <v>53.53</v>
      </c>
      <c r="AC168">
        <v>38.24</v>
      </c>
      <c r="AD168">
        <v>507.85</v>
      </c>
      <c r="AE168">
        <v>582.99</v>
      </c>
      <c r="AF168">
        <v>41.81</v>
      </c>
      <c r="AG168">
        <v>51.6</v>
      </c>
      <c r="AH168">
        <v>45.09</v>
      </c>
      <c r="AI168">
        <v>45.66</v>
      </c>
    </row>
    <row r="169" spans="1:35" x14ac:dyDescent="0.45">
      <c r="A169" s="2">
        <v>45786</v>
      </c>
      <c r="B169">
        <v>27.78</v>
      </c>
      <c r="C169">
        <v>32.200000000000003</v>
      </c>
      <c r="D169">
        <v>17.41</v>
      </c>
      <c r="E169">
        <v>27.62</v>
      </c>
      <c r="F169">
        <v>30.88</v>
      </c>
      <c r="G169">
        <v>45.330300000000001</v>
      </c>
      <c r="H169">
        <v>24.45</v>
      </c>
      <c r="I169">
        <v>51.75</v>
      </c>
      <c r="J169">
        <v>58.12</v>
      </c>
      <c r="K169">
        <v>57.69</v>
      </c>
      <c r="L169">
        <v>27.56</v>
      </c>
      <c r="M169">
        <v>50.64</v>
      </c>
      <c r="N169">
        <v>51.048299999999998</v>
      </c>
      <c r="O169">
        <v>52.39</v>
      </c>
      <c r="P169">
        <v>53.25</v>
      </c>
      <c r="Q169">
        <v>18.690000000000001</v>
      </c>
      <c r="R169">
        <v>1159.53</v>
      </c>
      <c r="S169">
        <v>31.41</v>
      </c>
      <c r="T169">
        <v>18.149999999999999</v>
      </c>
      <c r="U169">
        <v>12.49</v>
      </c>
      <c r="V169">
        <v>39.54</v>
      </c>
      <c r="W169">
        <v>45.17</v>
      </c>
      <c r="X169">
        <v>25.01</v>
      </c>
      <c r="Y169">
        <v>42.85</v>
      </c>
      <c r="Z169">
        <v>40.770000000000003</v>
      </c>
      <c r="AA169">
        <v>72.010000000000005</v>
      </c>
      <c r="AB169">
        <v>53.58</v>
      </c>
      <c r="AC169">
        <v>38.29</v>
      </c>
      <c r="AD169">
        <v>487.97</v>
      </c>
      <c r="AE169">
        <v>564.34</v>
      </c>
      <c r="AF169">
        <v>41.68</v>
      </c>
      <c r="AG169">
        <v>50.79</v>
      </c>
      <c r="AH169">
        <v>44.38</v>
      </c>
      <c r="AI169">
        <v>45.81</v>
      </c>
    </row>
    <row r="170" spans="1:35" x14ac:dyDescent="0.45">
      <c r="A170" s="2">
        <v>45785</v>
      </c>
      <c r="B170">
        <v>27.85</v>
      </c>
      <c r="C170">
        <v>32.15</v>
      </c>
      <c r="D170">
        <v>17.45</v>
      </c>
      <c r="E170">
        <v>27.16</v>
      </c>
      <c r="F170">
        <v>29.94</v>
      </c>
      <c r="G170">
        <v>45.02</v>
      </c>
      <c r="H170">
        <v>24.31</v>
      </c>
      <c r="I170">
        <v>51.16</v>
      </c>
      <c r="J170">
        <v>58.11</v>
      </c>
      <c r="K170">
        <v>57.2</v>
      </c>
      <c r="L170">
        <v>27.48</v>
      </c>
      <c r="M170">
        <v>49.85</v>
      </c>
      <c r="N170">
        <v>50.26</v>
      </c>
      <c r="O170">
        <v>51.54</v>
      </c>
      <c r="P170">
        <v>53.45</v>
      </c>
      <c r="Q170">
        <v>18.614999999999998</v>
      </c>
      <c r="R170">
        <v>1159</v>
      </c>
      <c r="S170">
        <v>31.19</v>
      </c>
      <c r="T170">
        <v>18.14</v>
      </c>
      <c r="U170">
        <v>12.6</v>
      </c>
      <c r="V170">
        <v>39.44</v>
      </c>
      <c r="W170">
        <v>44.23</v>
      </c>
      <c r="X170">
        <v>24.83</v>
      </c>
      <c r="Y170">
        <v>42.81</v>
      </c>
      <c r="Z170">
        <v>40.46</v>
      </c>
      <c r="AA170">
        <v>71.83</v>
      </c>
      <c r="AB170">
        <v>53.58</v>
      </c>
      <c r="AC170">
        <v>38.11</v>
      </c>
      <c r="AD170">
        <v>488.29</v>
      </c>
      <c r="AE170">
        <v>565.05999999999995</v>
      </c>
      <c r="AF170">
        <v>41.32</v>
      </c>
      <c r="AG170">
        <v>50.32</v>
      </c>
      <c r="AH170">
        <v>44.26</v>
      </c>
      <c r="AI170">
        <v>45.36</v>
      </c>
    </row>
    <row r="171" spans="1:35" x14ac:dyDescent="0.45">
      <c r="A171" s="2">
        <v>45784</v>
      </c>
      <c r="B171">
        <v>27.58</v>
      </c>
      <c r="C171">
        <v>31.75</v>
      </c>
      <c r="D171">
        <v>17.71</v>
      </c>
      <c r="E171">
        <v>27.56</v>
      </c>
      <c r="F171">
        <v>29.66</v>
      </c>
      <c r="G171">
        <v>44.79</v>
      </c>
      <c r="H171">
        <v>24.68</v>
      </c>
      <c r="I171">
        <v>51</v>
      </c>
      <c r="J171">
        <v>59.09</v>
      </c>
      <c r="K171">
        <v>57.79</v>
      </c>
      <c r="L171">
        <v>26.4</v>
      </c>
      <c r="M171">
        <v>50.23</v>
      </c>
      <c r="N171">
        <v>50.37</v>
      </c>
      <c r="O171">
        <v>53.22</v>
      </c>
      <c r="P171">
        <v>52.69</v>
      </c>
      <c r="Q171">
        <v>18.510000000000002</v>
      </c>
      <c r="R171">
        <v>1146.8599999999999</v>
      </c>
      <c r="S171">
        <v>30.31</v>
      </c>
      <c r="T171">
        <v>18.18</v>
      </c>
      <c r="U171">
        <v>12.42</v>
      </c>
      <c r="V171">
        <v>39.53</v>
      </c>
      <c r="W171">
        <v>44.56</v>
      </c>
      <c r="X171">
        <v>24.89</v>
      </c>
      <c r="Y171">
        <v>42.89</v>
      </c>
      <c r="Z171">
        <v>40.44</v>
      </c>
      <c r="AA171">
        <v>71.98</v>
      </c>
      <c r="AB171">
        <v>54.15</v>
      </c>
      <c r="AC171">
        <v>38.43</v>
      </c>
      <c r="AD171">
        <v>483.3</v>
      </c>
      <c r="AE171">
        <v>561.15</v>
      </c>
      <c r="AF171">
        <v>41.32</v>
      </c>
      <c r="AG171">
        <v>50.21</v>
      </c>
      <c r="AH171">
        <v>44.38</v>
      </c>
      <c r="AI171">
        <v>44.99</v>
      </c>
    </row>
    <row r="172" spans="1:35" x14ac:dyDescent="0.45">
      <c r="A172" s="2">
        <v>45783</v>
      </c>
      <c r="B172">
        <v>27.82</v>
      </c>
      <c r="C172">
        <v>31.62</v>
      </c>
      <c r="D172">
        <v>17.739999999999998</v>
      </c>
      <c r="E172">
        <v>27.35</v>
      </c>
      <c r="F172">
        <v>29.48</v>
      </c>
      <c r="G172">
        <v>45.45</v>
      </c>
      <c r="H172">
        <v>24.64</v>
      </c>
      <c r="I172">
        <v>51.56</v>
      </c>
      <c r="J172">
        <v>58.39</v>
      </c>
      <c r="K172">
        <v>58.5</v>
      </c>
      <c r="L172">
        <v>26.61</v>
      </c>
      <c r="M172">
        <v>50.71</v>
      </c>
      <c r="N172">
        <v>50.13</v>
      </c>
      <c r="O172">
        <v>53.68</v>
      </c>
      <c r="P172">
        <v>53.95</v>
      </c>
      <c r="Q172">
        <v>18.55</v>
      </c>
      <c r="R172">
        <v>1153.77</v>
      </c>
      <c r="S172">
        <v>30.76</v>
      </c>
      <c r="T172">
        <v>18.309999999999999</v>
      </c>
      <c r="U172">
        <v>12.22</v>
      </c>
      <c r="V172">
        <v>39.72</v>
      </c>
      <c r="W172">
        <v>44.82</v>
      </c>
      <c r="X172">
        <v>25.05</v>
      </c>
      <c r="Y172">
        <v>42.77</v>
      </c>
      <c r="Z172">
        <v>40.67</v>
      </c>
      <c r="AA172">
        <v>72.430000000000007</v>
      </c>
      <c r="AB172">
        <v>54.34</v>
      </c>
      <c r="AC172">
        <v>38.57</v>
      </c>
      <c r="AD172">
        <v>481.41</v>
      </c>
      <c r="AE172">
        <v>558.79999999999995</v>
      </c>
      <c r="AF172">
        <v>41.62</v>
      </c>
      <c r="AG172">
        <v>49.98</v>
      </c>
      <c r="AH172">
        <v>44.18</v>
      </c>
      <c r="AI172">
        <v>45.22</v>
      </c>
    </row>
    <row r="173" spans="1:35" x14ac:dyDescent="0.45">
      <c r="A173" s="2">
        <v>45782</v>
      </c>
      <c r="B173">
        <v>27.7</v>
      </c>
      <c r="C173">
        <v>31.58</v>
      </c>
      <c r="D173">
        <v>17.649999999999999</v>
      </c>
      <c r="E173">
        <v>27.03</v>
      </c>
      <c r="F173">
        <v>29.83</v>
      </c>
      <c r="G173">
        <v>44.700299999999999</v>
      </c>
      <c r="H173">
        <v>24.86</v>
      </c>
      <c r="I173">
        <v>52.96</v>
      </c>
      <c r="J173">
        <v>56.68</v>
      </c>
      <c r="K173">
        <v>58.38</v>
      </c>
      <c r="L173">
        <v>26.71</v>
      </c>
      <c r="M173">
        <v>50.44</v>
      </c>
      <c r="N173">
        <v>50.44</v>
      </c>
      <c r="O173">
        <v>54.32</v>
      </c>
      <c r="P173">
        <v>53.4</v>
      </c>
      <c r="Q173">
        <v>18.55</v>
      </c>
      <c r="R173">
        <v>1144.05</v>
      </c>
      <c r="S173">
        <v>30.7</v>
      </c>
      <c r="T173">
        <v>18.23</v>
      </c>
      <c r="U173">
        <v>12.27</v>
      </c>
      <c r="V173">
        <v>39.71</v>
      </c>
      <c r="W173">
        <v>44.49</v>
      </c>
      <c r="X173">
        <v>24.99</v>
      </c>
      <c r="Y173">
        <v>42.66</v>
      </c>
      <c r="Z173">
        <v>40.72</v>
      </c>
      <c r="AA173">
        <v>72.39</v>
      </c>
      <c r="AB173">
        <v>54.64</v>
      </c>
      <c r="AC173">
        <v>38.64</v>
      </c>
      <c r="AD173">
        <v>485.93</v>
      </c>
      <c r="AE173">
        <v>563.51</v>
      </c>
      <c r="AF173">
        <v>41.84</v>
      </c>
      <c r="AG173">
        <v>50.14</v>
      </c>
      <c r="AH173">
        <v>44.28</v>
      </c>
      <c r="AI173">
        <v>45.07</v>
      </c>
    </row>
    <row r="174" spans="1:35" x14ac:dyDescent="0.45">
      <c r="A174" s="2">
        <v>45779</v>
      </c>
      <c r="B174">
        <v>27.66</v>
      </c>
      <c r="C174">
        <v>31.35</v>
      </c>
      <c r="D174">
        <v>17.63</v>
      </c>
      <c r="E174">
        <v>27.27</v>
      </c>
      <c r="F174">
        <v>30.09</v>
      </c>
      <c r="G174">
        <v>44.44</v>
      </c>
      <c r="H174">
        <v>24.85</v>
      </c>
      <c r="I174">
        <v>50.95</v>
      </c>
      <c r="J174">
        <v>56.94</v>
      </c>
      <c r="K174">
        <v>57.71</v>
      </c>
      <c r="L174">
        <v>27.12</v>
      </c>
      <c r="M174">
        <v>50.19</v>
      </c>
      <c r="N174">
        <v>50.1</v>
      </c>
      <c r="O174">
        <v>53.91</v>
      </c>
      <c r="P174">
        <v>53.42</v>
      </c>
      <c r="Q174">
        <v>18.54</v>
      </c>
      <c r="R174">
        <v>1134.71</v>
      </c>
      <c r="S174">
        <v>30.94</v>
      </c>
      <c r="T174">
        <v>18.14</v>
      </c>
      <c r="U174">
        <v>12.24</v>
      </c>
      <c r="V174">
        <v>40.33</v>
      </c>
      <c r="W174">
        <v>44.29</v>
      </c>
      <c r="X174">
        <v>25.31</v>
      </c>
      <c r="Y174">
        <v>42.84</v>
      </c>
      <c r="Z174">
        <v>40.340000000000003</v>
      </c>
      <c r="AA174">
        <v>71.89</v>
      </c>
      <c r="AB174">
        <v>54.47</v>
      </c>
      <c r="AC174">
        <v>38.6</v>
      </c>
      <c r="AD174">
        <v>488.83</v>
      </c>
      <c r="AE174">
        <v>566.76</v>
      </c>
      <c r="AF174">
        <v>41.86</v>
      </c>
      <c r="AG174">
        <v>50.27</v>
      </c>
      <c r="AH174">
        <v>44.55</v>
      </c>
      <c r="AI174">
        <v>44.99</v>
      </c>
    </row>
    <row r="175" spans="1:35" x14ac:dyDescent="0.45">
      <c r="A175" s="2">
        <v>45778</v>
      </c>
      <c r="B175">
        <v>26.92</v>
      </c>
      <c r="C175">
        <v>31.07</v>
      </c>
      <c r="D175">
        <v>17.3</v>
      </c>
      <c r="E175">
        <v>26.86</v>
      </c>
      <c r="F175">
        <v>29.45</v>
      </c>
      <c r="G175">
        <v>43.74</v>
      </c>
      <c r="H175">
        <v>24.12</v>
      </c>
      <c r="I175">
        <v>47.82</v>
      </c>
      <c r="J175">
        <v>56.67</v>
      </c>
      <c r="K175">
        <v>55.6</v>
      </c>
      <c r="L175">
        <v>26.88</v>
      </c>
      <c r="M175">
        <v>49.27</v>
      </c>
      <c r="N175">
        <v>49.3</v>
      </c>
      <c r="O175">
        <v>53.54</v>
      </c>
      <c r="P175">
        <v>51.59</v>
      </c>
      <c r="Q175">
        <v>18.34</v>
      </c>
      <c r="R175">
        <v>1150.95</v>
      </c>
      <c r="S175">
        <v>30.66</v>
      </c>
      <c r="T175">
        <v>17.96</v>
      </c>
      <c r="U175">
        <v>12.11</v>
      </c>
      <c r="V175">
        <v>40.01</v>
      </c>
      <c r="W175">
        <v>43.06</v>
      </c>
      <c r="X175">
        <v>24.65</v>
      </c>
      <c r="Y175">
        <v>42.31</v>
      </c>
      <c r="Z175">
        <v>39.46</v>
      </c>
      <c r="AA175">
        <v>71.17</v>
      </c>
      <c r="AB175">
        <v>53.52</v>
      </c>
      <c r="AC175">
        <v>37.880000000000003</v>
      </c>
      <c r="AD175">
        <v>481.68</v>
      </c>
      <c r="AE175">
        <v>558.47</v>
      </c>
      <c r="AF175">
        <v>41.07</v>
      </c>
      <c r="AG175">
        <v>48.78</v>
      </c>
      <c r="AH175">
        <v>43.12</v>
      </c>
      <c r="AI175">
        <v>44.26</v>
      </c>
    </row>
    <row r="176" spans="1:35" x14ac:dyDescent="0.45">
      <c r="A176" s="2">
        <v>45777</v>
      </c>
      <c r="B176">
        <v>27.06</v>
      </c>
      <c r="C176">
        <v>31.13</v>
      </c>
      <c r="D176">
        <v>17.309999999999999</v>
      </c>
      <c r="E176">
        <v>26.89</v>
      </c>
      <c r="F176">
        <v>29.48</v>
      </c>
      <c r="G176">
        <v>44.33</v>
      </c>
      <c r="H176">
        <v>24.17</v>
      </c>
      <c r="I176">
        <v>47.48</v>
      </c>
      <c r="J176">
        <v>56.97</v>
      </c>
      <c r="K176">
        <v>56.19</v>
      </c>
      <c r="L176">
        <v>27.04</v>
      </c>
      <c r="M176">
        <v>49.52</v>
      </c>
      <c r="N176">
        <v>49.52</v>
      </c>
      <c r="O176">
        <v>53.57</v>
      </c>
      <c r="P176">
        <v>51.66</v>
      </c>
      <c r="Q176">
        <v>18.309999999999999</v>
      </c>
      <c r="R176">
        <v>1141.28</v>
      </c>
      <c r="S176">
        <v>30.67</v>
      </c>
      <c r="T176">
        <v>17.88</v>
      </c>
      <c r="U176">
        <v>12.07</v>
      </c>
      <c r="V176">
        <v>40.43</v>
      </c>
      <c r="W176">
        <v>42.61</v>
      </c>
      <c r="X176">
        <v>24.67</v>
      </c>
      <c r="Y176">
        <v>42.45</v>
      </c>
      <c r="Z176">
        <v>39.49</v>
      </c>
      <c r="AA176">
        <v>71.430000000000007</v>
      </c>
      <c r="AB176">
        <v>53.86</v>
      </c>
      <c r="AC176">
        <v>38.1</v>
      </c>
      <c r="AD176">
        <v>475.47</v>
      </c>
      <c r="AE176">
        <v>554.54</v>
      </c>
      <c r="AF176">
        <v>41.04</v>
      </c>
      <c r="AG176">
        <v>48.85</v>
      </c>
      <c r="AH176">
        <v>43.64</v>
      </c>
      <c r="AI176">
        <v>44.21</v>
      </c>
    </row>
    <row r="177" spans="1:35" x14ac:dyDescent="0.45">
      <c r="A177" s="2">
        <v>45776</v>
      </c>
      <c r="B177">
        <v>27.14</v>
      </c>
      <c r="C177">
        <v>31.44</v>
      </c>
      <c r="D177">
        <v>17.100000000000001</v>
      </c>
      <c r="E177">
        <v>26.41</v>
      </c>
      <c r="F177">
        <v>30.3</v>
      </c>
      <c r="G177">
        <v>44.8</v>
      </c>
      <c r="H177">
        <v>23.7</v>
      </c>
      <c r="I177">
        <v>47.15</v>
      </c>
      <c r="J177">
        <v>56.42</v>
      </c>
      <c r="K177">
        <v>56.1</v>
      </c>
      <c r="L177">
        <v>27.36</v>
      </c>
      <c r="M177">
        <v>49.14</v>
      </c>
      <c r="N177">
        <v>49.99</v>
      </c>
      <c r="O177">
        <v>53.54</v>
      </c>
      <c r="P177">
        <v>51.68</v>
      </c>
      <c r="Q177">
        <v>18.2</v>
      </c>
      <c r="R177">
        <v>1138.9000000000001</v>
      </c>
      <c r="S177">
        <v>31.18</v>
      </c>
      <c r="T177">
        <v>17.989999999999998</v>
      </c>
      <c r="U177">
        <v>12.05</v>
      </c>
      <c r="V177">
        <v>40.74</v>
      </c>
      <c r="W177">
        <v>43.35</v>
      </c>
      <c r="X177">
        <v>24.55</v>
      </c>
      <c r="Y177">
        <v>42.45</v>
      </c>
      <c r="Z177">
        <v>39.67</v>
      </c>
      <c r="AA177">
        <v>72.02</v>
      </c>
      <c r="AB177">
        <v>53.67</v>
      </c>
      <c r="AC177">
        <v>38.35</v>
      </c>
      <c r="AD177">
        <v>475.53</v>
      </c>
      <c r="AE177">
        <v>554.32000000000005</v>
      </c>
      <c r="AF177">
        <v>40.94</v>
      </c>
      <c r="AG177">
        <v>48.92</v>
      </c>
      <c r="AH177">
        <v>43</v>
      </c>
      <c r="AI177">
        <v>44.67</v>
      </c>
    </row>
    <row r="178" spans="1:35" x14ac:dyDescent="0.45">
      <c r="A178" s="2">
        <v>45775</v>
      </c>
      <c r="B178">
        <v>27.14</v>
      </c>
      <c r="C178">
        <v>31.24</v>
      </c>
      <c r="D178">
        <v>16.93</v>
      </c>
      <c r="E178">
        <v>26.18</v>
      </c>
      <c r="F178">
        <v>30.3</v>
      </c>
      <c r="G178">
        <v>44.6021</v>
      </c>
      <c r="H178">
        <v>23.71</v>
      </c>
      <c r="I178">
        <v>46.47</v>
      </c>
      <c r="J178">
        <v>58.12</v>
      </c>
      <c r="K178">
        <v>55.65</v>
      </c>
      <c r="L178">
        <v>27.21</v>
      </c>
      <c r="M178">
        <v>49.09</v>
      </c>
      <c r="N178">
        <v>49.71</v>
      </c>
      <c r="O178">
        <v>53.29</v>
      </c>
      <c r="P178">
        <v>51.85</v>
      </c>
      <c r="Q178">
        <v>18.14</v>
      </c>
      <c r="R178">
        <v>1128.6600000000001</v>
      </c>
      <c r="S178">
        <v>31.48</v>
      </c>
      <c r="T178">
        <v>17.64</v>
      </c>
      <c r="U178">
        <v>11.95</v>
      </c>
      <c r="V178">
        <v>40.85</v>
      </c>
      <c r="W178">
        <v>43.6</v>
      </c>
      <c r="X178">
        <v>24.52</v>
      </c>
      <c r="Y178">
        <v>42.37</v>
      </c>
      <c r="Z178">
        <v>39.47</v>
      </c>
      <c r="AA178">
        <v>71.739999999999995</v>
      </c>
      <c r="AB178">
        <v>53.71</v>
      </c>
      <c r="AC178">
        <v>38.19</v>
      </c>
      <c r="AD178">
        <v>472.41</v>
      </c>
      <c r="AE178">
        <v>550.85</v>
      </c>
      <c r="AF178">
        <v>41.04</v>
      </c>
      <c r="AG178">
        <v>48.79</v>
      </c>
      <c r="AH178">
        <v>43.61</v>
      </c>
      <c r="AI178">
        <v>44.23</v>
      </c>
    </row>
    <row r="179" spans="1:35" x14ac:dyDescent="0.45">
      <c r="A179" s="2">
        <v>45772</v>
      </c>
      <c r="B179">
        <v>27.25</v>
      </c>
      <c r="C179">
        <v>31.67</v>
      </c>
      <c r="D179">
        <v>16.77</v>
      </c>
      <c r="E179">
        <v>26.26</v>
      </c>
      <c r="F179">
        <v>30.04</v>
      </c>
      <c r="G179">
        <v>44.4285</v>
      </c>
      <c r="H179">
        <v>23.43</v>
      </c>
      <c r="I179">
        <v>46.34</v>
      </c>
      <c r="J179">
        <v>57.94</v>
      </c>
      <c r="K179">
        <v>55.81</v>
      </c>
      <c r="L179">
        <v>26.94</v>
      </c>
      <c r="M179">
        <v>48.38</v>
      </c>
      <c r="N179">
        <v>49.52</v>
      </c>
      <c r="O179">
        <v>52.85</v>
      </c>
      <c r="P179">
        <v>51.91</v>
      </c>
      <c r="Q179">
        <v>18.16</v>
      </c>
      <c r="R179">
        <v>1133.95</v>
      </c>
      <c r="S179">
        <v>31.96</v>
      </c>
      <c r="T179">
        <v>17.47</v>
      </c>
      <c r="U179">
        <v>12.01</v>
      </c>
      <c r="V179">
        <v>41.16</v>
      </c>
      <c r="W179">
        <v>43.76</v>
      </c>
      <c r="X179">
        <v>24.51</v>
      </c>
      <c r="Y179">
        <v>42.04</v>
      </c>
      <c r="Z179">
        <v>39.36</v>
      </c>
      <c r="AA179">
        <v>70.77</v>
      </c>
      <c r="AB179">
        <v>53.04</v>
      </c>
      <c r="AC179">
        <v>37.94</v>
      </c>
      <c r="AD179">
        <v>472.56</v>
      </c>
      <c r="AE179">
        <v>550.64</v>
      </c>
      <c r="AF179">
        <v>40.950000000000003</v>
      </c>
      <c r="AG179">
        <v>48.78</v>
      </c>
      <c r="AH179">
        <v>43.62</v>
      </c>
      <c r="AI179">
        <v>44.04</v>
      </c>
    </row>
    <row r="180" spans="1:35" x14ac:dyDescent="0.45">
      <c r="A180" s="2">
        <v>45771</v>
      </c>
      <c r="B180">
        <v>27.29</v>
      </c>
      <c r="C180">
        <v>31.7</v>
      </c>
      <c r="D180">
        <v>16.760000000000002</v>
      </c>
      <c r="E180">
        <v>25.96</v>
      </c>
      <c r="F180">
        <v>30.19</v>
      </c>
      <c r="G180">
        <v>44.55</v>
      </c>
      <c r="H180">
        <v>23.43</v>
      </c>
      <c r="I180">
        <v>46.18</v>
      </c>
      <c r="J180">
        <v>57.34</v>
      </c>
      <c r="K180">
        <v>55.95</v>
      </c>
      <c r="L180">
        <v>26.74</v>
      </c>
      <c r="M180">
        <v>47.96</v>
      </c>
      <c r="N180">
        <v>49.95</v>
      </c>
      <c r="O180">
        <v>53.74</v>
      </c>
      <c r="P180">
        <v>51.97</v>
      </c>
      <c r="Q180">
        <v>18.12</v>
      </c>
      <c r="R180">
        <v>1088.18</v>
      </c>
      <c r="S180">
        <v>32.18</v>
      </c>
      <c r="T180">
        <v>17.57</v>
      </c>
      <c r="U180">
        <v>12</v>
      </c>
      <c r="V180">
        <v>41.05</v>
      </c>
      <c r="W180">
        <v>43.805</v>
      </c>
      <c r="X180">
        <v>24.51</v>
      </c>
      <c r="Y180">
        <v>42.06</v>
      </c>
      <c r="Z180">
        <v>39.03</v>
      </c>
      <c r="AA180">
        <v>70.28</v>
      </c>
      <c r="AB180">
        <v>52.96</v>
      </c>
      <c r="AC180">
        <v>37.89</v>
      </c>
      <c r="AD180">
        <v>467.35</v>
      </c>
      <c r="AE180">
        <v>546.69000000000005</v>
      </c>
      <c r="AF180">
        <v>40.72</v>
      </c>
      <c r="AG180">
        <v>48.41</v>
      </c>
      <c r="AH180">
        <v>43.32</v>
      </c>
      <c r="AI180">
        <v>43.48</v>
      </c>
    </row>
    <row r="181" spans="1:35" x14ac:dyDescent="0.45">
      <c r="A181" s="2">
        <v>45770</v>
      </c>
      <c r="B181">
        <v>27.2</v>
      </c>
      <c r="C181">
        <v>31.19</v>
      </c>
      <c r="D181">
        <v>16.61</v>
      </c>
      <c r="E181">
        <v>25.59</v>
      </c>
      <c r="F181">
        <v>29.43</v>
      </c>
      <c r="G181">
        <v>43.98</v>
      </c>
      <c r="H181">
        <v>23.07</v>
      </c>
      <c r="I181">
        <v>45.5</v>
      </c>
      <c r="J181">
        <v>56.51</v>
      </c>
      <c r="K181">
        <v>55.6</v>
      </c>
      <c r="L181">
        <v>26.31</v>
      </c>
      <c r="M181">
        <v>47.55</v>
      </c>
      <c r="N181">
        <v>49.35</v>
      </c>
      <c r="O181">
        <v>53.18</v>
      </c>
      <c r="P181">
        <v>51.66</v>
      </c>
      <c r="Q181">
        <v>17.899999999999999</v>
      </c>
      <c r="R181">
        <v>1074.5899999999999</v>
      </c>
      <c r="S181">
        <v>31.77</v>
      </c>
      <c r="T181">
        <v>17.23</v>
      </c>
      <c r="U181">
        <v>11.62</v>
      </c>
      <c r="V181">
        <v>40.369999999999997</v>
      </c>
      <c r="W181">
        <v>42.823799999999999</v>
      </c>
      <c r="X181">
        <v>24</v>
      </c>
      <c r="Y181">
        <v>41.52</v>
      </c>
      <c r="Z181">
        <v>38.44</v>
      </c>
      <c r="AA181">
        <v>69.48</v>
      </c>
      <c r="AB181">
        <v>52.23</v>
      </c>
      <c r="AC181">
        <v>37.549999999999997</v>
      </c>
      <c r="AD181">
        <v>454.56</v>
      </c>
      <c r="AE181">
        <v>535.41999999999996</v>
      </c>
      <c r="AF181">
        <v>40.119999999999997</v>
      </c>
      <c r="AG181">
        <v>47.77</v>
      </c>
      <c r="AH181">
        <v>42.43</v>
      </c>
      <c r="AI181">
        <v>42.69</v>
      </c>
    </row>
    <row r="182" spans="1:35" x14ac:dyDescent="0.45">
      <c r="A182" s="2">
        <v>45769</v>
      </c>
      <c r="B182">
        <v>27.16</v>
      </c>
      <c r="C182">
        <v>30.91</v>
      </c>
      <c r="D182">
        <v>16.36</v>
      </c>
      <c r="E182">
        <v>25.55</v>
      </c>
      <c r="F182">
        <v>29.25</v>
      </c>
      <c r="G182">
        <v>43.835999999999999</v>
      </c>
      <c r="H182">
        <v>22.91</v>
      </c>
      <c r="I182">
        <v>44.33</v>
      </c>
      <c r="J182">
        <v>55.51</v>
      </c>
      <c r="K182">
        <v>54.81</v>
      </c>
      <c r="L182">
        <v>25.86</v>
      </c>
      <c r="M182">
        <v>48.16</v>
      </c>
      <c r="N182">
        <v>49.05</v>
      </c>
      <c r="O182">
        <v>53.5</v>
      </c>
      <c r="P182">
        <v>50.9</v>
      </c>
      <c r="Q182">
        <v>17.91</v>
      </c>
      <c r="R182">
        <v>1125.21</v>
      </c>
      <c r="S182">
        <v>31.66</v>
      </c>
      <c r="T182">
        <v>17.010000000000002</v>
      </c>
      <c r="U182">
        <v>11.64</v>
      </c>
      <c r="V182">
        <v>40.409999999999997</v>
      </c>
      <c r="W182">
        <v>43.094999999999999</v>
      </c>
      <c r="X182">
        <v>23.96</v>
      </c>
      <c r="Y182">
        <v>41.39</v>
      </c>
      <c r="Z182">
        <v>38.03</v>
      </c>
      <c r="AA182">
        <v>69.27</v>
      </c>
      <c r="AB182">
        <v>52.45</v>
      </c>
      <c r="AC182">
        <v>37.58</v>
      </c>
      <c r="AD182">
        <v>444.48</v>
      </c>
      <c r="AE182">
        <v>527.25</v>
      </c>
      <c r="AF182">
        <v>39.840000000000003</v>
      </c>
      <c r="AG182">
        <v>47.1</v>
      </c>
      <c r="AH182">
        <v>42.68</v>
      </c>
      <c r="AI182">
        <v>42.81</v>
      </c>
    </row>
    <row r="183" spans="1:35" x14ac:dyDescent="0.45">
      <c r="A183" s="2">
        <v>45768</v>
      </c>
      <c r="B183">
        <v>27.04</v>
      </c>
      <c r="C183">
        <v>30.05</v>
      </c>
      <c r="D183">
        <v>16.03</v>
      </c>
      <c r="E183">
        <v>25.17</v>
      </c>
      <c r="F183">
        <v>28.63</v>
      </c>
      <c r="G183">
        <v>43.48</v>
      </c>
      <c r="H183">
        <v>23.04</v>
      </c>
      <c r="I183">
        <v>44.22</v>
      </c>
      <c r="J183">
        <v>54.34</v>
      </c>
      <c r="K183">
        <v>54.39</v>
      </c>
      <c r="L183">
        <v>25.2</v>
      </c>
      <c r="M183">
        <v>47.6</v>
      </c>
      <c r="N183">
        <v>47.02</v>
      </c>
      <c r="O183">
        <v>53</v>
      </c>
      <c r="P183">
        <v>49.39</v>
      </c>
      <c r="Q183">
        <v>17.78</v>
      </c>
      <c r="R183">
        <v>1161.81</v>
      </c>
      <c r="S183">
        <v>31.71</v>
      </c>
      <c r="T183">
        <v>16.760000000000002</v>
      </c>
      <c r="U183">
        <v>11.51</v>
      </c>
      <c r="V183">
        <v>39.9</v>
      </c>
      <c r="W183">
        <v>43.38</v>
      </c>
      <c r="X183">
        <v>23.48</v>
      </c>
      <c r="Y183">
        <v>40.770000000000003</v>
      </c>
      <c r="Z183">
        <v>37.03</v>
      </c>
      <c r="AA183">
        <v>67.92</v>
      </c>
      <c r="AB183">
        <v>51.82</v>
      </c>
      <c r="AC183">
        <v>36.82</v>
      </c>
      <c r="AD183">
        <v>433.11</v>
      </c>
      <c r="AE183">
        <v>513.88</v>
      </c>
      <c r="AF183">
        <v>38.97</v>
      </c>
      <c r="AG183">
        <v>46.09</v>
      </c>
      <c r="AH183">
        <v>41.77</v>
      </c>
      <c r="AI183">
        <v>41.94</v>
      </c>
    </row>
    <row r="184" spans="1:35" x14ac:dyDescent="0.45">
      <c r="A184" s="2">
        <v>45764</v>
      </c>
      <c r="B184">
        <v>26.82</v>
      </c>
      <c r="C184">
        <v>29.95</v>
      </c>
      <c r="D184">
        <v>16.13</v>
      </c>
      <c r="E184">
        <v>25.3019</v>
      </c>
      <c r="F184">
        <v>28.29</v>
      </c>
      <c r="G184">
        <v>43.2</v>
      </c>
      <c r="H184">
        <v>22.77</v>
      </c>
      <c r="I184">
        <v>44.88</v>
      </c>
      <c r="J184">
        <v>54.93</v>
      </c>
      <c r="K184">
        <v>54.31</v>
      </c>
      <c r="L184">
        <v>25.22</v>
      </c>
      <c r="M184">
        <v>47.9</v>
      </c>
      <c r="N184">
        <v>47.34</v>
      </c>
      <c r="O184">
        <v>52.26</v>
      </c>
      <c r="P184">
        <v>49.29</v>
      </c>
      <c r="Q184">
        <v>17.72</v>
      </c>
      <c r="R184">
        <v>1172.69</v>
      </c>
      <c r="S184">
        <v>31.91</v>
      </c>
      <c r="T184">
        <v>16.760000000000002</v>
      </c>
      <c r="U184">
        <v>11.73</v>
      </c>
      <c r="V184">
        <v>40.19</v>
      </c>
      <c r="W184">
        <v>43.5</v>
      </c>
      <c r="X184">
        <v>23.61</v>
      </c>
      <c r="Y184">
        <v>41.1</v>
      </c>
      <c r="Z184">
        <v>37.4</v>
      </c>
      <c r="AA184">
        <v>68.069999999999993</v>
      </c>
      <c r="AB184">
        <v>51.95</v>
      </c>
      <c r="AC184">
        <v>36.97</v>
      </c>
      <c r="AD184">
        <v>444.1</v>
      </c>
      <c r="AE184">
        <v>526.41</v>
      </c>
      <c r="AF184">
        <v>39.22</v>
      </c>
      <c r="AG184">
        <v>46.55</v>
      </c>
      <c r="AH184">
        <v>41.9</v>
      </c>
      <c r="AI184">
        <v>42.13</v>
      </c>
    </row>
    <row r="185" spans="1:35" x14ac:dyDescent="0.45">
      <c r="A185" s="2">
        <v>45763</v>
      </c>
      <c r="B185">
        <v>26.92</v>
      </c>
      <c r="C185">
        <v>29.43</v>
      </c>
      <c r="D185">
        <v>15.93</v>
      </c>
      <c r="E185">
        <v>25.25</v>
      </c>
      <c r="F185">
        <v>27.74</v>
      </c>
      <c r="G185">
        <v>43.351100000000002</v>
      </c>
      <c r="H185">
        <v>22.44</v>
      </c>
      <c r="I185">
        <v>44.99</v>
      </c>
      <c r="J185">
        <v>53.02</v>
      </c>
      <c r="K185">
        <v>54.06</v>
      </c>
      <c r="L185">
        <v>24.79</v>
      </c>
      <c r="M185">
        <v>47.43</v>
      </c>
      <c r="N185">
        <v>47.35</v>
      </c>
      <c r="O185">
        <v>51.13</v>
      </c>
      <c r="P185">
        <v>49.16</v>
      </c>
      <c r="Q185">
        <v>17.78</v>
      </c>
      <c r="R185">
        <v>1168.02</v>
      </c>
      <c r="S185">
        <v>31.21</v>
      </c>
      <c r="T185">
        <v>16.68</v>
      </c>
      <c r="U185">
        <v>11.5</v>
      </c>
      <c r="V185">
        <v>40.04</v>
      </c>
      <c r="W185">
        <v>43.03</v>
      </c>
      <c r="X185">
        <v>23.42</v>
      </c>
      <c r="Y185">
        <v>40.83</v>
      </c>
      <c r="Z185">
        <v>37.22</v>
      </c>
      <c r="AA185">
        <v>66.78</v>
      </c>
      <c r="AB185">
        <v>51.29</v>
      </c>
      <c r="AC185">
        <v>36.549999999999997</v>
      </c>
      <c r="AD185">
        <v>444.18</v>
      </c>
      <c r="AE185">
        <v>525.66</v>
      </c>
      <c r="AF185">
        <v>38.96</v>
      </c>
      <c r="AG185">
        <v>46.26</v>
      </c>
      <c r="AH185">
        <v>41.07</v>
      </c>
      <c r="AI185">
        <v>41.76</v>
      </c>
    </row>
    <row r="186" spans="1:35" x14ac:dyDescent="0.45">
      <c r="A186" s="2">
        <v>45762</v>
      </c>
      <c r="B186">
        <v>26.7</v>
      </c>
      <c r="C186">
        <v>29.35</v>
      </c>
      <c r="D186">
        <v>16.14</v>
      </c>
      <c r="E186">
        <v>25.414100000000001</v>
      </c>
      <c r="F186">
        <v>27.58</v>
      </c>
      <c r="G186">
        <v>43.15</v>
      </c>
      <c r="H186">
        <v>22.63</v>
      </c>
      <c r="I186">
        <v>46.05</v>
      </c>
      <c r="J186">
        <v>52.19</v>
      </c>
      <c r="K186">
        <v>54.38</v>
      </c>
      <c r="L186">
        <v>24.86</v>
      </c>
      <c r="M186">
        <v>47.1</v>
      </c>
      <c r="N186">
        <v>47.414999999999999</v>
      </c>
      <c r="O186">
        <v>51.13</v>
      </c>
      <c r="P186">
        <v>50.17</v>
      </c>
      <c r="Q186">
        <v>17.89</v>
      </c>
      <c r="R186">
        <v>1158.0899999999999</v>
      </c>
      <c r="S186">
        <v>31.85</v>
      </c>
      <c r="T186">
        <v>16.79</v>
      </c>
      <c r="U186">
        <v>11.74</v>
      </c>
      <c r="V186">
        <v>40.24</v>
      </c>
      <c r="W186">
        <v>42.68</v>
      </c>
      <c r="X186">
        <v>23.36</v>
      </c>
      <c r="Y186">
        <v>40.53</v>
      </c>
      <c r="Z186">
        <v>37.200000000000003</v>
      </c>
      <c r="AA186">
        <v>67.44</v>
      </c>
      <c r="AB186">
        <v>51.45</v>
      </c>
      <c r="AC186">
        <v>36.65</v>
      </c>
      <c r="AD186">
        <v>457.99</v>
      </c>
      <c r="AE186">
        <v>537.61</v>
      </c>
      <c r="AF186">
        <v>39</v>
      </c>
      <c r="AG186">
        <v>46.89</v>
      </c>
      <c r="AH186">
        <v>41.39</v>
      </c>
      <c r="AI186">
        <v>41.54</v>
      </c>
    </row>
    <row r="187" spans="1:35" x14ac:dyDescent="0.45">
      <c r="A187" s="2">
        <v>45761</v>
      </c>
      <c r="B187">
        <v>26.96</v>
      </c>
      <c r="C187">
        <v>29.13</v>
      </c>
      <c r="D187">
        <v>16.09</v>
      </c>
      <c r="E187">
        <v>25.19</v>
      </c>
      <c r="F187">
        <v>27.59</v>
      </c>
      <c r="G187">
        <v>43.14</v>
      </c>
      <c r="H187">
        <v>22.65</v>
      </c>
      <c r="I187">
        <v>45.77</v>
      </c>
      <c r="J187">
        <v>51.91</v>
      </c>
      <c r="K187">
        <v>54.35</v>
      </c>
      <c r="L187">
        <v>25.01</v>
      </c>
      <c r="M187">
        <v>47.22</v>
      </c>
      <c r="N187">
        <v>46.92</v>
      </c>
      <c r="O187">
        <v>51.03</v>
      </c>
      <c r="P187">
        <v>50.56</v>
      </c>
      <c r="Q187">
        <v>17.79</v>
      </c>
      <c r="R187">
        <v>1175.45</v>
      </c>
      <c r="S187">
        <v>32.130000000000003</v>
      </c>
      <c r="T187">
        <v>16.71</v>
      </c>
      <c r="U187">
        <v>11.93</v>
      </c>
      <c r="V187">
        <v>40.01</v>
      </c>
      <c r="W187">
        <v>43.1</v>
      </c>
      <c r="X187">
        <v>23.29</v>
      </c>
      <c r="Y187">
        <v>40.44</v>
      </c>
      <c r="Z187">
        <v>36.82</v>
      </c>
      <c r="AA187">
        <v>66.900000000000006</v>
      </c>
      <c r="AB187">
        <v>51.2</v>
      </c>
      <c r="AC187">
        <v>36.15</v>
      </c>
      <c r="AD187">
        <v>457.48</v>
      </c>
      <c r="AE187">
        <v>539.12</v>
      </c>
      <c r="AF187">
        <v>38.85</v>
      </c>
      <c r="AG187">
        <v>46.61</v>
      </c>
      <c r="AH187">
        <v>40.72</v>
      </c>
      <c r="AI187">
        <v>40.92</v>
      </c>
    </row>
    <row r="188" spans="1:35" x14ac:dyDescent="0.45">
      <c r="A188" s="2">
        <v>45758</v>
      </c>
      <c r="B188">
        <v>27.09</v>
      </c>
      <c r="C188">
        <v>28.39</v>
      </c>
      <c r="D188">
        <v>15.87</v>
      </c>
      <c r="E188">
        <v>24.96</v>
      </c>
      <c r="F188">
        <v>27.25</v>
      </c>
      <c r="G188">
        <v>42.085000000000001</v>
      </c>
      <c r="H188">
        <v>22.46</v>
      </c>
      <c r="I188">
        <v>45.62</v>
      </c>
      <c r="J188">
        <v>50.68</v>
      </c>
      <c r="K188">
        <v>54.31</v>
      </c>
      <c r="L188">
        <v>24.69</v>
      </c>
      <c r="M188">
        <v>45.62</v>
      </c>
      <c r="N188">
        <v>45.92</v>
      </c>
      <c r="O188">
        <v>50.76</v>
      </c>
      <c r="P188">
        <v>49.68</v>
      </c>
      <c r="Q188">
        <v>17.61</v>
      </c>
      <c r="R188">
        <v>1187.9000000000001</v>
      </c>
      <c r="S188">
        <v>32.08</v>
      </c>
      <c r="T188">
        <v>16.510000000000002</v>
      </c>
      <c r="U188">
        <v>11.87</v>
      </c>
      <c r="V188">
        <v>39.58</v>
      </c>
      <c r="W188">
        <v>42.39</v>
      </c>
      <c r="X188">
        <v>22.77</v>
      </c>
      <c r="Y188">
        <v>39.869999999999997</v>
      </c>
      <c r="Z188">
        <v>36.369999999999997</v>
      </c>
      <c r="AA188">
        <v>65.819999999999993</v>
      </c>
      <c r="AB188">
        <v>51.05</v>
      </c>
      <c r="AC188">
        <v>35.57</v>
      </c>
      <c r="AD188">
        <v>454.4</v>
      </c>
      <c r="AE188">
        <v>533.94000000000005</v>
      </c>
      <c r="AF188">
        <v>38.97</v>
      </c>
      <c r="AG188">
        <v>45.81</v>
      </c>
      <c r="AH188">
        <v>40.31</v>
      </c>
      <c r="AI188">
        <v>40.53</v>
      </c>
    </row>
    <row r="189" spans="1:35" x14ac:dyDescent="0.45">
      <c r="A189" s="2">
        <v>45757</v>
      </c>
      <c r="B189">
        <v>26.64</v>
      </c>
      <c r="C189">
        <v>27.51</v>
      </c>
      <c r="D189">
        <v>15.45</v>
      </c>
      <c r="E189">
        <v>24.18</v>
      </c>
      <c r="F189">
        <v>26.93</v>
      </c>
      <c r="G189">
        <v>40.805900000000001</v>
      </c>
      <c r="H189">
        <v>22.05</v>
      </c>
      <c r="I189">
        <v>43.32</v>
      </c>
      <c r="J189">
        <v>50.3</v>
      </c>
      <c r="K189">
        <v>51.82</v>
      </c>
      <c r="L189">
        <v>24.19</v>
      </c>
      <c r="M189">
        <v>43.94</v>
      </c>
      <c r="N189">
        <v>44.76</v>
      </c>
      <c r="O189">
        <v>50.52</v>
      </c>
      <c r="P189">
        <v>47.98</v>
      </c>
      <c r="Q189">
        <v>17.52</v>
      </c>
      <c r="R189">
        <v>1190.3599999999999</v>
      </c>
      <c r="S189">
        <v>31.9</v>
      </c>
      <c r="T189">
        <v>16.170000000000002</v>
      </c>
      <c r="U189">
        <v>11.31</v>
      </c>
      <c r="V189">
        <v>39.340000000000003</v>
      </c>
      <c r="W189">
        <v>41.79</v>
      </c>
      <c r="X189">
        <v>22.35</v>
      </c>
      <c r="Y189">
        <v>38.74</v>
      </c>
      <c r="Z189">
        <v>35.799999999999997</v>
      </c>
      <c r="AA189">
        <v>64.22</v>
      </c>
      <c r="AB189">
        <v>49.7</v>
      </c>
      <c r="AC189">
        <v>34.67</v>
      </c>
      <c r="AD189">
        <v>446.18</v>
      </c>
      <c r="AE189">
        <v>524.58000000000004</v>
      </c>
      <c r="AF189">
        <v>37.99</v>
      </c>
      <c r="AG189">
        <v>44.67</v>
      </c>
      <c r="AH189">
        <v>39.65</v>
      </c>
      <c r="AI189">
        <v>39.659999999999997</v>
      </c>
    </row>
    <row r="190" spans="1:35" x14ac:dyDescent="0.45">
      <c r="A190" s="2">
        <v>45756</v>
      </c>
      <c r="B190">
        <v>26.4</v>
      </c>
      <c r="C190">
        <v>28.24</v>
      </c>
      <c r="D190">
        <v>15.56</v>
      </c>
      <c r="E190">
        <v>25.16</v>
      </c>
      <c r="F190">
        <v>27.69</v>
      </c>
      <c r="G190">
        <v>41.46</v>
      </c>
      <c r="H190">
        <v>22.14</v>
      </c>
      <c r="I190">
        <v>44.79</v>
      </c>
      <c r="J190">
        <v>51.86</v>
      </c>
      <c r="K190">
        <v>53.28</v>
      </c>
      <c r="L190">
        <v>24.71</v>
      </c>
      <c r="M190">
        <v>44.27</v>
      </c>
      <c r="N190">
        <v>44.85</v>
      </c>
      <c r="O190">
        <v>51.22</v>
      </c>
      <c r="P190">
        <v>48.06</v>
      </c>
      <c r="Q190">
        <v>17.57</v>
      </c>
      <c r="R190">
        <v>1184.93</v>
      </c>
      <c r="S190">
        <v>32.83</v>
      </c>
      <c r="T190">
        <v>16.46</v>
      </c>
      <c r="U190">
        <v>11.46</v>
      </c>
      <c r="V190">
        <v>40.200000000000003</v>
      </c>
      <c r="W190">
        <v>41.36</v>
      </c>
      <c r="X190">
        <v>22.81</v>
      </c>
      <c r="Y190">
        <v>39.54</v>
      </c>
      <c r="Z190">
        <v>36.22</v>
      </c>
      <c r="AA190">
        <v>66.34</v>
      </c>
      <c r="AB190">
        <v>49.71</v>
      </c>
      <c r="AC190">
        <v>35.11</v>
      </c>
      <c r="AD190">
        <v>466</v>
      </c>
      <c r="AE190">
        <v>548.62</v>
      </c>
      <c r="AF190">
        <v>38.61</v>
      </c>
      <c r="AG190">
        <v>46.05</v>
      </c>
      <c r="AH190">
        <v>39.92</v>
      </c>
      <c r="AI190">
        <v>40.22</v>
      </c>
    </row>
    <row r="191" spans="1:35" x14ac:dyDescent="0.45">
      <c r="A191" s="2">
        <v>45755</v>
      </c>
      <c r="B191">
        <v>24.95</v>
      </c>
      <c r="C191">
        <v>26.5</v>
      </c>
      <c r="D191">
        <v>14.36</v>
      </c>
      <c r="E191">
        <v>24.13</v>
      </c>
      <c r="F191">
        <v>24.7</v>
      </c>
      <c r="G191">
        <v>38.53</v>
      </c>
      <c r="H191">
        <v>21.2</v>
      </c>
      <c r="I191">
        <v>40.950000000000003</v>
      </c>
      <c r="J191">
        <v>48.06</v>
      </c>
      <c r="K191">
        <v>48.92</v>
      </c>
      <c r="L191">
        <v>23.44</v>
      </c>
      <c r="M191">
        <v>40.54</v>
      </c>
      <c r="N191">
        <v>42.65</v>
      </c>
      <c r="O191">
        <v>49.16</v>
      </c>
      <c r="P191">
        <v>45.22</v>
      </c>
      <c r="Q191">
        <v>17.23</v>
      </c>
      <c r="R191">
        <v>1190.06</v>
      </c>
      <c r="S191">
        <v>31.83</v>
      </c>
      <c r="T191">
        <v>15.58</v>
      </c>
      <c r="U191">
        <v>10.130000000000001</v>
      </c>
      <c r="V191">
        <v>38.17</v>
      </c>
      <c r="W191">
        <v>39.479999999999997</v>
      </c>
      <c r="X191">
        <v>20.82</v>
      </c>
      <c r="Y191">
        <v>37.17</v>
      </c>
      <c r="Z191">
        <v>33.22</v>
      </c>
      <c r="AA191">
        <v>61.65</v>
      </c>
      <c r="AB191">
        <v>47.12</v>
      </c>
      <c r="AC191">
        <v>33.19</v>
      </c>
      <c r="AD191">
        <v>416.06</v>
      </c>
      <c r="AE191">
        <v>496.48</v>
      </c>
      <c r="AF191">
        <v>35.65</v>
      </c>
      <c r="AG191">
        <v>41.88</v>
      </c>
      <c r="AH191">
        <v>37.07</v>
      </c>
      <c r="AI191">
        <v>36.6</v>
      </c>
    </row>
    <row r="192" spans="1:35" x14ac:dyDescent="0.45">
      <c r="A192" s="2">
        <v>45754</v>
      </c>
      <c r="B192">
        <v>24.71</v>
      </c>
      <c r="C192">
        <v>27.09</v>
      </c>
      <c r="D192">
        <v>15.15</v>
      </c>
      <c r="E192">
        <v>24.14</v>
      </c>
      <c r="F192">
        <v>24.54</v>
      </c>
      <c r="G192">
        <v>39.07</v>
      </c>
      <c r="H192">
        <v>21.75</v>
      </c>
      <c r="I192">
        <v>42.03</v>
      </c>
      <c r="J192">
        <v>48.52</v>
      </c>
      <c r="K192">
        <v>50.78</v>
      </c>
      <c r="L192">
        <v>23.95</v>
      </c>
      <c r="M192">
        <v>40.770000000000003</v>
      </c>
      <c r="N192">
        <v>40.770000000000003</v>
      </c>
      <c r="O192">
        <v>49.13</v>
      </c>
      <c r="P192">
        <v>46</v>
      </c>
      <c r="Q192">
        <v>17.16</v>
      </c>
      <c r="R192">
        <v>1186.6099999999999</v>
      </c>
      <c r="S192">
        <v>31.86</v>
      </c>
      <c r="T192">
        <v>15.88</v>
      </c>
      <c r="U192">
        <v>11.16</v>
      </c>
      <c r="V192">
        <v>38.75</v>
      </c>
      <c r="W192">
        <v>39.39</v>
      </c>
      <c r="X192">
        <v>20.85</v>
      </c>
      <c r="Y192">
        <v>37.79</v>
      </c>
      <c r="Z192">
        <v>33.549999999999997</v>
      </c>
      <c r="AA192">
        <v>61.32</v>
      </c>
      <c r="AB192">
        <v>47.04</v>
      </c>
      <c r="AC192">
        <v>33.29</v>
      </c>
      <c r="AD192">
        <v>423.69</v>
      </c>
      <c r="AE192">
        <v>504.38</v>
      </c>
      <c r="AF192">
        <v>35.97</v>
      </c>
      <c r="AG192">
        <v>42.58</v>
      </c>
      <c r="AH192">
        <v>37.340000000000003</v>
      </c>
      <c r="AI192">
        <v>37.06</v>
      </c>
    </row>
    <row r="193" spans="1:35" x14ac:dyDescent="0.45">
      <c r="A193" s="2">
        <v>45751</v>
      </c>
      <c r="B193">
        <v>26.56</v>
      </c>
      <c r="C193">
        <v>28.19</v>
      </c>
      <c r="D193">
        <v>15.09</v>
      </c>
      <c r="E193">
        <v>23.83</v>
      </c>
      <c r="F193">
        <v>25.14</v>
      </c>
      <c r="G193">
        <v>40.049999999999997</v>
      </c>
      <c r="H193">
        <v>21.91</v>
      </c>
      <c r="I193">
        <v>43.82</v>
      </c>
      <c r="J193">
        <v>49.92</v>
      </c>
      <c r="K193">
        <v>51.25</v>
      </c>
      <c r="L193">
        <v>24.5</v>
      </c>
      <c r="M193">
        <v>41.29</v>
      </c>
      <c r="N193">
        <v>43.59</v>
      </c>
      <c r="O193">
        <v>49.19</v>
      </c>
      <c r="P193">
        <v>50</v>
      </c>
      <c r="Q193">
        <v>16.829999999999998</v>
      </c>
      <c r="R193">
        <v>1181.71</v>
      </c>
      <c r="S193">
        <v>31.67</v>
      </c>
      <c r="T193">
        <v>15.6</v>
      </c>
      <c r="U193">
        <v>11.64</v>
      </c>
      <c r="V193">
        <v>38.979999999999997</v>
      </c>
      <c r="W193">
        <v>40.130000000000003</v>
      </c>
      <c r="X193">
        <v>21.15</v>
      </c>
      <c r="Y193">
        <v>38.409999999999997</v>
      </c>
      <c r="Z193">
        <v>34.32</v>
      </c>
      <c r="AA193">
        <v>61.51</v>
      </c>
      <c r="AB193">
        <v>48.36</v>
      </c>
      <c r="AC193">
        <v>34.619999999999997</v>
      </c>
      <c r="AD193">
        <v>422.67</v>
      </c>
      <c r="AE193">
        <v>505.28</v>
      </c>
      <c r="AF193">
        <v>37.21</v>
      </c>
      <c r="AG193">
        <v>43.14</v>
      </c>
      <c r="AH193">
        <v>38.17</v>
      </c>
      <c r="AI193">
        <v>38.49</v>
      </c>
    </row>
    <row r="194" spans="1:35" x14ac:dyDescent="0.45">
      <c r="A194" s="2">
        <v>45750</v>
      </c>
      <c r="B194">
        <v>27.65</v>
      </c>
      <c r="C194">
        <v>30.07</v>
      </c>
      <c r="D194">
        <v>15.88</v>
      </c>
      <c r="E194">
        <v>25.04</v>
      </c>
      <c r="F194">
        <v>27.51</v>
      </c>
      <c r="G194">
        <v>43.42</v>
      </c>
      <c r="H194">
        <v>23.01</v>
      </c>
      <c r="I194">
        <v>46.05</v>
      </c>
      <c r="J194">
        <v>54.26</v>
      </c>
      <c r="K194">
        <v>53.14</v>
      </c>
      <c r="L194">
        <v>26.33</v>
      </c>
      <c r="M194">
        <v>44.88</v>
      </c>
      <c r="N194">
        <v>47.32</v>
      </c>
      <c r="O194">
        <v>51.18</v>
      </c>
      <c r="P194">
        <v>53.67</v>
      </c>
      <c r="Q194">
        <v>17.66</v>
      </c>
      <c r="R194">
        <v>1189.6600000000001</v>
      </c>
      <c r="S194">
        <v>32.200000000000003</v>
      </c>
      <c r="T194">
        <v>16.350000000000001</v>
      </c>
      <c r="U194">
        <v>11.4</v>
      </c>
      <c r="V194">
        <v>40.61</v>
      </c>
      <c r="W194">
        <v>42.72</v>
      </c>
      <c r="X194">
        <v>23.25</v>
      </c>
      <c r="Y194">
        <v>40.619999999999997</v>
      </c>
      <c r="Z194">
        <v>36.729999999999997</v>
      </c>
      <c r="AA194">
        <v>65.41</v>
      </c>
      <c r="AB194">
        <v>51.41</v>
      </c>
      <c r="AC194">
        <v>37.28</v>
      </c>
      <c r="AD194">
        <v>450.66</v>
      </c>
      <c r="AE194">
        <v>536.70000000000005</v>
      </c>
      <c r="AF194">
        <v>39.479999999999997</v>
      </c>
      <c r="AG194">
        <v>45.71</v>
      </c>
      <c r="AH194">
        <v>41.47</v>
      </c>
      <c r="AI194">
        <v>41.77</v>
      </c>
    </row>
    <row r="195" spans="1:35" x14ac:dyDescent="0.45">
      <c r="A195" s="2">
        <v>45749</v>
      </c>
      <c r="B195">
        <v>27.91</v>
      </c>
      <c r="C195">
        <v>29.91</v>
      </c>
      <c r="D195">
        <v>16.329999999999998</v>
      </c>
      <c r="E195">
        <v>25.56</v>
      </c>
      <c r="F195">
        <v>28.79</v>
      </c>
      <c r="G195">
        <v>44.85</v>
      </c>
      <c r="H195">
        <v>23.32</v>
      </c>
      <c r="I195">
        <v>48.48</v>
      </c>
      <c r="J195">
        <v>52.16</v>
      </c>
      <c r="K195">
        <v>54.63</v>
      </c>
      <c r="L195">
        <v>26.14</v>
      </c>
      <c r="M195">
        <v>46.65</v>
      </c>
      <c r="N195">
        <v>48.1</v>
      </c>
      <c r="O195">
        <v>51.56</v>
      </c>
      <c r="P195">
        <v>54.16</v>
      </c>
      <c r="Q195">
        <v>17.86</v>
      </c>
      <c r="R195">
        <v>1176.17</v>
      </c>
      <c r="S195">
        <v>32.44</v>
      </c>
      <c r="T195">
        <v>17</v>
      </c>
      <c r="U195">
        <v>12.7</v>
      </c>
      <c r="V195">
        <v>41.52</v>
      </c>
      <c r="W195">
        <v>42.67</v>
      </c>
      <c r="X195">
        <v>23.89</v>
      </c>
      <c r="Y195">
        <v>41.59</v>
      </c>
      <c r="Z195">
        <v>37.380000000000003</v>
      </c>
      <c r="AA195">
        <v>68.22</v>
      </c>
      <c r="AB195">
        <v>51.49</v>
      </c>
      <c r="AC195">
        <v>37.61</v>
      </c>
      <c r="AD195">
        <v>476.15</v>
      </c>
      <c r="AE195">
        <v>564.52</v>
      </c>
      <c r="AF195">
        <v>40.18</v>
      </c>
      <c r="AG195">
        <v>46.87</v>
      </c>
      <c r="AH195">
        <v>42.61</v>
      </c>
      <c r="AI195">
        <v>42.66</v>
      </c>
    </row>
    <row r="196" spans="1:35" x14ac:dyDescent="0.45">
      <c r="A196" s="2">
        <v>45748</v>
      </c>
      <c r="B196">
        <v>27.92</v>
      </c>
      <c r="C196">
        <v>30.2</v>
      </c>
      <c r="D196">
        <v>16.25</v>
      </c>
      <c r="E196">
        <v>25.26</v>
      </c>
      <c r="F196">
        <v>28.28</v>
      </c>
      <c r="G196">
        <v>44.57</v>
      </c>
      <c r="H196">
        <v>23.03</v>
      </c>
      <c r="I196">
        <v>48.2</v>
      </c>
      <c r="J196">
        <v>52.05</v>
      </c>
      <c r="K196">
        <v>54.85</v>
      </c>
      <c r="L196">
        <v>26.14</v>
      </c>
      <c r="M196">
        <v>48.1</v>
      </c>
      <c r="N196">
        <v>47.63</v>
      </c>
      <c r="O196">
        <v>51.05</v>
      </c>
      <c r="P196">
        <v>54.55</v>
      </c>
      <c r="Q196">
        <v>17.88</v>
      </c>
      <c r="R196">
        <v>1170.2</v>
      </c>
      <c r="S196">
        <v>32.89</v>
      </c>
      <c r="T196">
        <v>16.93</v>
      </c>
      <c r="U196">
        <v>12.56</v>
      </c>
      <c r="V196">
        <v>41.34</v>
      </c>
      <c r="W196">
        <v>42.39</v>
      </c>
      <c r="X196">
        <v>23.71</v>
      </c>
      <c r="Y196">
        <v>41.13</v>
      </c>
      <c r="Z196">
        <v>37.29</v>
      </c>
      <c r="AA196">
        <v>68.2</v>
      </c>
      <c r="AB196">
        <v>51.76</v>
      </c>
      <c r="AC196">
        <v>37.44</v>
      </c>
      <c r="AD196">
        <v>472.7</v>
      </c>
      <c r="AE196">
        <v>560.97</v>
      </c>
      <c r="AF196">
        <v>40.049999999999997</v>
      </c>
      <c r="AG196">
        <v>46.7</v>
      </c>
      <c r="AH196">
        <v>42.25</v>
      </c>
      <c r="AI196">
        <v>42.46</v>
      </c>
    </row>
    <row r="197" spans="1:35" x14ac:dyDescent="0.45">
      <c r="A197" s="2">
        <v>45747</v>
      </c>
      <c r="B197">
        <v>28.03</v>
      </c>
      <c r="C197">
        <v>29.82</v>
      </c>
      <c r="D197">
        <v>16.3</v>
      </c>
      <c r="E197">
        <v>25.3</v>
      </c>
      <c r="F197">
        <v>28.01</v>
      </c>
      <c r="G197">
        <v>43.89</v>
      </c>
      <c r="H197">
        <v>23.08</v>
      </c>
      <c r="I197">
        <v>47.48</v>
      </c>
      <c r="J197">
        <v>50.96</v>
      </c>
      <c r="K197">
        <v>54.04</v>
      </c>
      <c r="L197">
        <v>25.85</v>
      </c>
      <c r="M197">
        <v>48.13</v>
      </c>
      <c r="N197">
        <v>46.97</v>
      </c>
      <c r="O197">
        <v>51.48</v>
      </c>
      <c r="P197">
        <v>54.4</v>
      </c>
      <c r="Q197">
        <v>17.84</v>
      </c>
      <c r="R197">
        <v>1173.76</v>
      </c>
      <c r="S197">
        <v>32.82</v>
      </c>
      <c r="T197">
        <v>16.97</v>
      </c>
      <c r="U197">
        <v>12.48</v>
      </c>
      <c r="V197">
        <v>41.37</v>
      </c>
      <c r="W197">
        <v>42.08</v>
      </c>
      <c r="X197">
        <v>23.44</v>
      </c>
      <c r="Y197">
        <v>40.75</v>
      </c>
      <c r="Z197">
        <v>37.08</v>
      </c>
      <c r="AA197">
        <v>68.56</v>
      </c>
      <c r="AB197">
        <v>51.79</v>
      </c>
      <c r="AC197">
        <v>37.47</v>
      </c>
      <c r="AD197">
        <v>468.92</v>
      </c>
      <c r="AE197">
        <v>559.39</v>
      </c>
      <c r="AF197">
        <v>39.799999999999997</v>
      </c>
      <c r="AG197">
        <v>46.73</v>
      </c>
      <c r="AH197">
        <v>42.08</v>
      </c>
      <c r="AI197">
        <v>42.32</v>
      </c>
    </row>
    <row r="198" spans="1:35" x14ac:dyDescent="0.45">
      <c r="A198" s="2">
        <v>45744</v>
      </c>
      <c r="B198">
        <v>28.08</v>
      </c>
      <c r="C198">
        <v>29.76</v>
      </c>
      <c r="D198">
        <v>16.37</v>
      </c>
      <c r="E198">
        <v>24.98</v>
      </c>
      <c r="F198">
        <v>28.43</v>
      </c>
      <c r="G198">
        <v>44.200800000000001</v>
      </c>
      <c r="H198">
        <v>23</v>
      </c>
      <c r="I198">
        <v>47.82</v>
      </c>
      <c r="J198">
        <v>51.62</v>
      </c>
      <c r="K198">
        <v>54.79</v>
      </c>
      <c r="L198">
        <v>25.96</v>
      </c>
      <c r="M198">
        <v>47.6</v>
      </c>
      <c r="N198">
        <v>48.470100000000002</v>
      </c>
      <c r="O198">
        <v>51.28</v>
      </c>
      <c r="P198">
        <v>54.57</v>
      </c>
      <c r="Q198">
        <v>17.75</v>
      </c>
      <c r="R198">
        <v>1159.6400000000001</v>
      </c>
      <c r="S198">
        <v>32.67</v>
      </c>
      <c r="T198">
        <v>16.850000000000001</v>
      </c>
      <c r="U198">
        <v>12.38</v>
      </c>
      <c r="V198">
        <v>41.07</v>
      </c>
      <c r="W198">
        <v>42.05</v>
      </c>
      <c r="X198">
        <v>23.47</v>
      </c>
      <c r="Y198">
        <v>40.57</v>
      </c>
      <c r="Z198">
        <v>37.39</v>
      </c>
      <c r="AA198">
        <v>69.22</v>
      </c>
      <c r="AB198">
        <v>52.48</v>
      </c>
      <c r="AC198">
        <v>37.590000000000003</v>
      </c>
      <c r="AD198">
        <v>468.94</v>
      </c>
      <c r="AE198">
        <v>555.66</v>
      </c>
      <c r="AF198">
        <v>40.35</v>
      </c>
      <c r="AG198">
        <v>47.34</v>
      </c>
      <c r="AH198">
        <v>42.94</v>
      </c>
      <c r="AI198">
        <v>42.8</v>
      </c>
    </row>
    <row r="199" spans="1:35" x14ac:dyDescent="0.45">
      <c r="A199" s="2">
        <v>45743</v>
      </c>
      <c r="B199">
        <v>28.34</v>
      </c>
      <c r="C199">
        <v>30.17</v>
      </c>
      <c r="D199">
        <v>16.420000000000002</v>
      </c>
      <c r="E199">
        <v>25.1</v>
      </c>
      <c r="F199">
        <v>28.69</v>
      </c>
      <c r="G199">
        <v>44.86</v>
      </c>
      <c r="H199">
        <v>23.55</v>
      </c>
      <c r="I199">
        <v>49.2</v>
      </c>
      <c r="J199">
        <v>52.15</v>
      </c>
      <c r="K199">
        <v>56.49</v>
      </c>
      <c r="L199">
        <v>26.33</v>
      </c>
      <c r="M199">
        <v>48.21</v>
      </c>
      <c r="N199">
        <v>48.9</v>
      </c>
      <c r="O199">
        <v>51.79</v>
      </c>
      <c r="P199">
        <v>55.81</v>
      </c>
      <c r="Q199">
        <v>17.87</v>
      </c>
      <c r="R199">
        <v>1160.06</v>
      </c>
      <c r="S199">
        <v>32.31</v>
      </c>
      <c r="T199">
        <v>17.05</v>
      </c>
      <c r="U199">
        <v>12.56</v>
      </c>
      <c r="V199">
        <v>41.39</v>
      </c>
      <c r="W199">
        <v>42.6</v>
      </c>
      <c r="X199">
        <v>23.75</v>
      </c>
      <c r="Y199">
        <v>41.25</v>
      </c>
      <c r="Z199">
        <v>37.590000000000003</v>
      </c>
      <c r="AA199">
        <v>70.650000000000006</v>
      </c>
      <c r="AB199">
        <v>52.59</v>
      </c>
      <c r="AC199">
        <v>37.659999999999997</v>
      </c>
      <c r="AD199">
        <v>481.62</v>
      </c>
      <c r="AE199">
        <v>567.08000000000004</v>
      </c>
      <c r="AF199">
        <v>40.549999999999997</v>
      </c>
      <c r="AG199">
        <v>47.817599999999999</v>
      </c>
      <c r="AH199">
        <v>43.53</v>
      </c>
      <c r="AI199">
        <v>43.07</v>
      </c>
    </row>
    <row r="200" spans="1:35" x14ac:dyDescent="0.45">
      <c r="A200" s="2">
        <v>45742</v>
      </c>
      <c r="B200">
        <v>28.16</v>
      </c>
      <c r="C200">
        <v>30.27</v>
      </c>
      <c r="D200">
        <v>16.309999999999999</v>
      </c>
      <c r="E200">
        <v>25.021999999999998</v>
      </c>
      <c r="F200">
        <v>28.42</v>
      </c>
      <c r="G200">
        <v>44.493099999999998</v>
      </c>
      <c r="H200">
        <v>23.21</v>
      </c>
      <c r="I200">
        <v>49.51</v>
      </c>
      <c r="J200">
        <v>52.01</v>
      </c>
      <c r="K200">
        <v>56.81</v>
      </c>
      <c r="L200">
        <v>26.3</v>
      </c>
      <c r="M200">
        <v>48.16</v>
      </c>
      <c r="N200">
        <v>48.42</v>
      </c>
      <c r="O200">
        <v>51.4</v>
      </c>
      <c r="P200">
        <v>55</v>
      </c>
      <c r="Q200">
        <v>17.79</v>
      </c>
      <c r="R200">
        <v>1187.6300000000001</v>
      </c>
      <c r="S200">
        <v>32.76</v>
      </c>
      <c r="T200">
        <v>16.91</v>
      </c>
      <c r="U200">
        <v>12.49</v>
      </c>
      <c r="V200">
        <v>40.869999999999997</v>
      </c>
      <c r="W200">
        <v>42.48</v>
      </c>
      <c r="X200">
        <v>23.71</v>
      </c>
      <c r="Y200">
        <v>41.38</v>
      </c>
      <c r="Z200">
        <v>37.56</v>
      </c>
      <c r="AA200">
        <v>70.75</v>
      </c>
      <c r="AB200">
        <v>52.45</v>
      </c>
      <c r="AC200">
        <v>37.51</v>
      </c>
      <c r="AD200">
        <v>484.38</v>
      </c>
      <c r="AE200">
        <v>568.59</v>
      </c>
      <c r="AF200">
        <v>40.479999999999997</v>
      </c>
      <c r="AG200">
        <v>47.839799999999997</v>
      </c>
      <c r="AH200">
        <v>43.58</v>
      </c>
      <c r="AI200">
        <v>42.61</v>
      </c>
    </row>
    <row r="201" spans="1:35" x14ac:dyDescent="0.45">
      <c r="A201" s="2">
        <v>45741</v>
      </c>
      <c r="B201">
        <v>28.33</v>
      </c>
      <c r="C201">
        <v>30.76</v>
      </c>
      <c r="D201">
        <v>15.72</v>
      </c>
      <c r="E201">
        <v>25.2</v>
      </c>
      <c r="F201">
        <v>29.11</v>
      </c>
      <c r="G201">
        <v>45.2331</v>
      </c>
      <c r="H201">
        <v>23.17</v>
      </c>
      <c r="I201">
        <v>50.46</v>
      </c>
      <c r="J201">
        <v>52.59</v>
      </c>
      <c r="K201">
        <v>57.07</v>
      </c>
      <c r="L201">
        <v>26.42</v>
      </c>
      <c r="M201">
        <v>47.93</v>
      </c>
      <c r="N201">
        <v>48.48</v>
      </c>
      <c r="O201">
        <v>52.04</v>
      </c>
      <c r="P201">
        <v>55</v>
      </c>
      <c r="Q201">
        <v>17.87</v>
      </c>
      <c r="R201">
        <v>1177.44</v>
      </c>
      <c r="S201">
        <v>32.630000000000003</v>
      </c>
      <c r="T201">
        <v>16.91</v>
      </c>
      <c r="U201">
        <v>12.69</v>
      </c>
      <c r="V201">
        <v>40.28</v>
      </c>
      <c r="W201">
        <v>42.41</v>
      </c>
      <c r="X201">
        <v>23.81</v>
      </c>
      <c r="Y201">
        <v>41.71</v>
      </c>
      <c r="Z201">
        <v>38.380000000000003</v>
      </c>
      <c r="AA201">
        <v>71.680000000000007</v>
      </c>
      <c r="AB201">
        <v>52.98</v>
      </c>
      <c r="AC201">
        <v>37.64</v>
      </c>
      <c r="AD201">
        <v>493.46</v>
      </c>
      <c r="AE201">
        <v>575.46</v>
      </c>
      <c r="AF201">
        <v>41.23</v>
      </c>
      <c r="AG201">
        <v>48.56</v>
      </c>
      <c r="AH201">
        <v>44.67</v>
      </c>
      <c r="AI201">
        <v>43.42</v>
      </c>
    </row>
    <row r="202" spans="1:35" x14ac:dyDescent="0.45">
      <c r="A202" s="2">
        <v>45740</v>
      </c>
      <c r="B202">
        <v>28.3</v>
      </c>
      <c r="C202">
        <v>30.41</v>
      </c>
      <c r="D202">
        <v>15.34</v>
      </c>
      <c r="E202">
        <v>25.43</v>
      </c>
      <c r="F202">
        <v>28.56</v>
      </c>
      <c r="G202">
        <v>44.6</v>
      </c>
      <c r="H202">
        <v>23</v>
      </c>
      <c r="I202">
        <v>50.38</v>
      </c>
      <c r="J202">
        <v>52.04</v>
      </c>
      <c r="K202">
        <v>57.31</v>
      </c>
      <c r="L202">
        <v>26.19</v>
      </c>
      <c r="M202">
        <v>47.71</v>
      </c>
      <c r="N202">
        <v>48.31</v>
      </c>
      <c r="O202">
        <v>52.12</v>
      </c>
      <c r="P202">
        <v>55.61</v>
      </c>
      <c r="Q202">
        <v>17.86</v>
      </c>
      <c r="R202">
        <v>1202.03</v>
      </c>
      <c r="S202">
        <v>31.74</v>
      </c>
      <c r="T202">
        <v>17.04</v>
      </c>
      <c r="U202">
        <v>12.7</v>
      </c>
      <c r="V202">
        <v>40.49</v>
      </c>
      <c r="W202">
        <v>41.83</v>
      </c>
      <c r="X202">
        <v>23.7</v>
      </c>
      <c r="Y202">
        <v>41.51</v>
      </c>
      <c r="Z202">
        <v>38.03</v>
      </c>
      <c r="AA202">
        <v>71.17</v>
      </c>
      <c r="AB202">
        <v>52.9</v>
      </c>
      <c r="AC202">
        <v>37.53</v>
      </c>
      <c r="AD202">
        <v>490.66</v>
      </c>
      <c r="AE202">
        <v>574.08000000000004</v>
      </c>
      <c r="AF202">
        <v>40.909999999999997</v>
      </c>
      <c r="AG202">
        <v>48.33</v>
      </c>
      <c r="AH202">
        <v>44.24</v>
      </c>
      <c r="AI202">
        <v>42.98</v>
      </c>
    </row>
    <row r="204" spans="1:35" x14ac:dyDescent="0.45">
      <c r="A204" t="s">
        <v>78</v>
      </c>
      <c r="B204">
        <f>AVERAGE(_xlfn.ANCHORARRAY(B2))</f>
        <v>31.140807960198998</v>
      </c>
      <c r="C204">
        <f t="shared" ref="C204:AI204" si="0">AVERAGE(_xlfn.ANCHORARRAY(C2))</f>
        <v>33.238383084577116</v>
      </c>
      <c r="D204">
        <f t="shared" si="0"/>
        <v>17.835422885572136</v>
      </c>
      <c r="E204">
        <f t="shared" si="0"/>
        <v>25.896045771144291</v>
      </c>
      <c r="F204">
        <f t="shared" si="0"/>
        <v>31.990497512437816</v>
      </c>
      <c r="G204">
        <f t="shared" si="0"/>
        <v>54.631153233830851</v>
      </c>
      <c r="H204">
        <f t="shared" si="0"/>
        <v>25.002736318407965</v>
      </c>
      <c r="I204">
        <f t="shared" si="0"/>
        <v>58.538507462686546</v>
      </c>
      <c r="J204">
        <f t="shared" si="0"/>
        <v>62.436965174129369</v>
      </c>
      <c r="K204">
        <f t="shared" si="0"/>
        <v>75.619203980099485</v>
      </c>
      <c r="L204">
        <f t="shared" si="0"/>
        <v>29.104925373134311</v>
      </c>
      <c r="M204">
        <f t="shared" si="0"/>
        <v>57.994278606965139</v>
      </c>
      <c r="N204">
        <f t="shared" si="0"/>
        <v>59.995632835820878</v>
      </c>
      <c r="O204">
        <f t="shared" si="0"/>
        <v>53.557437810945295</v>
      </c>
      <c r="P204">
        <f t="shared" si="0"/>
        <v>58.678980099502553</v>
      </c>
      <c r="Q204">
        <f t="shared" si="0"/>
        <v>18.988556218905472</v>
      </c>
      <c r="R204">
        <f t="shared" si="0"/>
        <v>1219.7532835820887</v>
      </c>
      <c r="S204">
        <f t="shared" si="0"/>
        <v>33.159874626865637</v>
      </c>
      <c r="T204">
        <f t="shared" si="0"/>
        <v>18.838888557213938</v>
      </c>
      <c r="U204">
        <f t="shared" si="0"/>
        <v>15.907139303482582</v>
      </c>
      <c r="V204">
        <f t="shared" si="0"/>
        <v>38.660199004975127</v>
      </c>
      <c r="W204">
        <f t="shared" si="0"/>
        <v>45.114503980099464</v>
      </c>
      <c r="X204">
        <f t="shared" si="0"/>
        <v>25.97547263681594</v>
      </c>
      <c r="Y204">
        <f t="shared" si="0"/>
        <v>47.638208955223909</v>
      </c>
      <c r="Z204">
        <f t="shared" si="0"/>
        <v>41.030049751243816</v>
      </c>
      <c r="AA204">
        <f t="shared" si="0"/>
        <v>76.889452736318432</v>
      </c>
      <c r="AB204">
        <f t="shared" si="0"/>
        <v>55.26815920398014</v>
      </c>
      <c r="AC204">
        <f t="shared" si="0"/>
        <v>40.756069651741285</v>
      </c>
      <c r="AD204">
        <f t="shared" si="0"/>
        <v>560.91064676616907</v>
      </c>
      <c r="AE204">
        <f t="shared" si="0"/>
        <v>629.68154228855713</v>
      </c>
      <c r="AF204">
        <f t="shared" si="0"/>
        <v>42.97432835820895</v>
      </c>
      <c r="AG204">
        <f t="shared" si="0"/>
        <v>54.157907960199019</v>
      </c>
      <c r="AH204">
        <f t="shared" si="0"/>
        <v>46.061990049751238</v>
      </c>
      <c r="AI204">
        <f t="shared" si="0"/>
        <v>49.257363184079594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7953176"><![CDATA[{"EWI^FG_PRICE(0,-200D)":[55.24,54.97,55.29,55.67,55.16,54.33,54.59,54.16,54.62,54.56,54.4,54.24,54.21,53.81,53.51,53.58,54.35,53.66,53.95,53.55,53.02,52.98,52.98,53.15,53.29,53.0,52.66,52.93,52.54,52.16,51.19,51.47,50.81,51.34,51.81,52.56,53.2,53.98,54.12,53.75,53.15,52.19,51.75,52.0,51.38,51.79,51.81,51.82,52.11,52.18,51.93,51.27,51.17,50.66,51.1,51.24,50.77,50.88,50.47,50.79,50.5,50.31,51.13,52.29,51.94,52.26,52.61,52.33,52.41,51.95,51.5,51.54,50.94,51.29,51.51,51.74,51.37,51.44,51.33,52.15,52.39,51.72,51.6,50.93,50.86,50.64,50.46,50.65,50.38,50.4,51.05,51.19,50.91,51.42,51.76,52.34,51.53,51.69,51.62,51.54,51.79,51.56,51.1,50.64,49.99,50.16,49.95,49.52,48.74,48.57,47.83,48.25,49.13,49.06,48.78,49.56,49.12,49.84,48.55,48.03,47.79,47.75,47.76,47.32,48.16,47.99,48.53,49.17,48.34,47.87,48.21,48.29,48.05,48.14,47.86,47.5,47.17,47.2,46.45,46.36,46.46,46.26,47.21,47.43,48.25,47.93,47.93,48.18,48.3,47.98,47.74,47.87,48.32,47.77,47.58,47.55,47.66,46.96,47.54,47.65,47.84,47.3,46.85,46.53,46.26,46.0,45.66,45.81,45.36,44.99,45.22,45.07,44.99,44.26,44.21,44.67,44.23,44.04,43.48,42.69,42.81,41.94,42.13,41.76,41.54,40.92,40.53,39.66,40.22,36.6,37.06,38.49,41.77,42.66,42.46,42.32,42.8,43.07,42.61,43.42,42.98],"EWJ^FG_PRICE(0,-200D)":[82.86,82.92,83.07,83.13,81.33,80.74,80.98,81.09,80.97,81.0,81.14,80.46,80.58,79.97,79.74,80.85,84.87,84.0,84.22,83.91,83.31,83.19,83.7,83.62,82.61,82.47,82.53,83.01,83.26,81.92,81.74,81.19,79.49,80.68,80.78,82.47,83.98,83.01,84.34,83.75,83.68,83.29,82.96,82.8,82.83,83.64,83.45,83.21,83.23,83.93,83.53,82.5,82.22,82.18,82.57,83.54,82.0,81.55,81.29,80.04,79.29,78.36,81.55,81.75,81.96,83.27,81.78,80.15,80.21,80.21,80.51,80.44,80.46,80.85,81.09,81.25,80.79,81.49,81.17,81.35,81.35,80.76,81.32,80.36,80.06,80.96,79.18,78.73,77.93,78.15,78.28,79.29,78.63,78.92,79.05,80.02,78.7,79.64,80.02,80.3,80.15,78.8,79.27,79.23,77.79,77.93,76.62,76.03,75.03,75.29,74.07,73.62,73.98,73.88,74.27,75.68,76.55,76.49,72.98,72.61,71.81,72.39,72.02,71.69,72.41,72.36,72.94,73.3,73.19,72.82,74.6,74.46,74.42,74.97,75.28,73.97,72.44,72.74,72.02,71.76,73.05,72.28,73.15,73.6,74.21,73.67,73.88,73.93,73.82,73.39,74.08,74.13,75.04,74.12,74.03,73.61,74.95,73.03,72.37,72.31,72.99,72.57,72.49,72.3,71.45,72.25,72.8,72.01,71.83,71.98,72.43,72.39,71.89,71.17,71.43,72.02,71.74,70.77,70.28,69.48,69.27,67.92,68.07,66.78,67.44,66.9,65.82,64.22,66.34,61.65,61.32,61.51,65.41,68.22,68.2,68.56,69.22,70.65,70.75,71.68,71.17],"TUR^FG_PRICE(0,-200D)":[36.73,36.63,36.77,35.81,34.92,34.42,34.42,34.41,34.76,34.87,34.815,34.61,34.86,34.82,34.735,34.71,35.29,34.82,34.82,34.73,34.66,34.42,33.84,33.55,33.87,34.1,34.03,33.5,33.59,33.54,33.76,33.78,33.58,33.66,33.3,33.08,32.85,32.78,33.03,32.85,33.55,33.86,34.25,34.13,33.91,34.45,34.15,33.64,33.91,33.98,33.89,34.04,33.11,32.96,32.72,32.76,31.9,32.34,32.56,32.35,33.04,32.84,33.37,33.615,33.69,33.47,33.74,34.45,34.96,34.23,34.57,34.77,35.19,35.3,35.06,35.58,35.38,34.35,34.75,34.82,34.24,32.27,32.32,32.92,32.68,32.54,33.33,33.73,33.51,33.97,35.29,35.54,35.51,35.97,35.93,35.69,35.51,35.04,34.5,34.47,34.24,34.11,34.47,34.54,34.8448,34.68,34.61,34.46,34.29,34.32,33.92,33.85,33.66,33.28,33.43,33.79,33.95,33.86,33.87,33.93,32.995,33.15,32.5,32.84,32.97,33.17,33.25,32.79,32.12,32.44,33.04,33.07,32.48,32.26,30.49,30.19,30.68,30.86,30.08,29.96,30.11,30.21,30.63,30.75,31.57,32.11,32.17,31.66,31.61,31.44,31.36,30.84,30.05,29.99,30.54,30.56,30.86,31.24,31.7,31.42,31.86,32.49,32.43,31.91,32.48,32.46,32.62,31.41,31.19,30.31,30.76,30.7,30.94,30.66,30.67,31.18,31.48,31.96,32.18,31.77,31.66,31.71,31.91,31.21,31.85,32.13,32.08,31.9,32.83,31.83,31.86,31.67,32.2,32.44,32.89,32.82,32.67,32.31,32.76,32.63,31.74],"EWY^FG_PRICE(0,-200D)":[106.59,107.03,107.61,104.83,102.22,97.22,98.62,98.72,95.84,94.6,92.7,91.75,91.34,90.07,88.58,89.52,92.73,92.67,94.96,96.75,95.57,95.07,94.3,91.87,93.0,92.07,90.62,90.87,91.55,89.79,90.3,89.22,88.53,90.56,91.59,93.02,94.13,94.07,95.92,95.29,95.67,91.8,93.51,96.62,95.76,100.78,97.0,95.26,96.9,94.45,94.31,92.05,90.07,89.45,88.64,90.43,88.52,87.88,85.17,82.69,83.62,80.72,83.43,84.19,83.35,84.78,83.85,83.53,81.89,80.1,80.24,78.87,79.89,80.04,81.45,81.56,80.05,80.75,79.83,80.69,79.19,78.66,77.86,76.65,74.92,74.19,73.63,73.07,72.91,71.92,72.24,73.64,72.47,72.39,72.73,73.51,71.22,71.36,71.44,72.8,73.39,73.66,74.72,74.1,73.03,73.5,73.44,73.18,72.89,72.33,70.65,72.81,73.68,73.49,72.71,73.21,73.31,73.85,72.89,73.87,72.39,73.06,73.08,73.07,73.2,72.56,73.14,72.08,72.08,70.07,72.7,71.95,71.64,71.78,70.74,71.94,72.37,72.65,69.42,68.53,67.87,66.63,68.19,66.42,67.69,66.99,66.16,66.48,65.57,65.36,63.98,61.89,61.74,60.63,61.8,60.75,59.98,58.96,58.29,59.1,58.4,58.82,58.79,58.8,58.61,58.12,58.04,57.69,57.2,57.79,58.5,58.38,57.71,55.6,56.19,56.1,55.65,55.81,55.95,55.6,54.81,54.39,54.31,54.06,54.38,54.35,54.31,51.82,53.28,48.92,50.78,51.25,53.14,54.63,54.85,54.04,54.79,56.49,56.81,57.07,57.31],"ECH^FG_PRICE(0,-200D)":[42.75,42.39,42.55,41.6,40.37,40.4,40.54,40.15,40.29,40.03,39.92,39.79,39.31,38.69,38.28,38.84,38.995,39.78,39.28,38.75,38.34,38.24,38.18,38.51,38.62,38.29,37.69,37.86,37.61,37.27,36.61,36.34,36.59,37.11,36.83,37.31,36.37,36.71,37.26,36.5,36.3,35.8,35.25,35.3,34.5,35.93,35.32,35.34,34.97,34.63,34.59,34.37,34.2,33.47,33.5,33.85,33.36,33.4,33.41,32.8,32.12,31.5,32.52,32.79,32.27,32.05,32.32,32.4,32.71,32.96,32.85,33.17,33.21,33.63,33.68,33.5,33.59,33.6,33.4,33.76,33.8,33.22,34.02,32.89,32.695,33.23,33.83,33.4,33.05,32.73,32.81,32.58,32.55,32.44,32.71,32.8,31.9,32.04,32.19,32.55,32.4,32.27,32.54,31.97,31.47,31.41,30.74,30.09,30.26,30.24,29.98,29.83,29.48,29.83,29.78,30.34,30.49,30.41,30.39,30.3,30.16,30.23,29.77,29.89,30.21,30.51,31.1,31.04,31.41,31.02,31.82,31.85,31.51,31.45,31.05,31.26,30.86,30.96,30.03,30.1,30.34,30.45,31.11,31.83,32.51,32.54,31.82,31.75,31.84,32.17,31.88,31.58,31.53,31.5,32.08,32.17,32.75,32.85,32.635,32.69,32.75,32.96,32.61,33.07,33.24,32.56,32.35,32.2,32.15,31.75,31.62,31.58,31.35,31.07,31.13,31.44,31.24,31.67,31.7,31.19,30.91,30.05,29.95,29.43,29.35,29.13,28.39,27.51,28.24,26.5,27.09,28.19,30.07,29.91,30.2,29.82,29.76,30.17,30.27,30.76,30.41],"QQQ^FG_TOTAL_RETURNC(-5AY,0,AM)":[3.6717772,4.560697,-10.084534,11.854065,-0.26261806,0.76600313,6.658554,2.586615,3.458774,-5.045229,10.217071,0.38938522,-4.8196135,-5.4599047,-9.960455,8.1127405,-11.427754,-0.5206108,-3.8147986,8.586418,-6.295407,-10.295666,0.16350746,5.3090453,-5.072016,13.232887,-2.151984,6.957495,1.7733097,9.101295,3.8490891,1.5727401,0.15591383,-1.9735515,2.2593856,5.1563263,3.5180807,6.874919,1.4394879,0.49145222,-0.12256503,5.203831,7.598734,-9.906703,0.13836622,9.203601,5.076647,2.4001122,-1.9730031,1.4846563,-5.953103,-15.275449,17.360485,8.525669,4.3467164,4.0210724,0.75188875,5.7481885,-0.27803183,2.3846269,-0.48285127],"KSA^FG_TOTAL_RETURNC(-5AY,0,AM)":[2.2701263,-0.06299615,5.9565067,8.060682,4.1838646,3.2760978,0.63301325,3.9517522,3.1597257,2.0818353,2.2034645,-7.522935,4.6571136,7.0405602,6.020069,2.7339578,2.4564981,-9.430563,-8.107251,7.2309613,-3.0221045,-0.18604994,-2.5629044,-10.47346,3.8002133,-2.1326363,-0.35876036,6.73424,2.2488713,1.9787431,0.5819559,-3.134036,-0.44798255,-3.9999962,1.5885353,2.6659846,10.283697,-1.101166,2.7371883,1.422441,-3.2724798,-7.2266936,2.2544026,-0.590992,3.4431458,0.14368296,0.8847475,-1.3273239,0.30082464,2.709961,-3.9933443,-5.4964123,3.3272266,-2.3580134,2.7197242,-2.750641,-3.0134916,10.520577,-3.131938,-5.3207755,0.21082163],"GREK^FG_TOTAL_RETURNC(-5AY,0,AM)":[2.9017448,-7.120985,5.894482,7.080579,4.47489,2.1224737,-7.8705254,2.218926,2.1707654,-0.9915054,2.2174597,-5.108464,1.8461585,8.287085,-18.107283,13.808929,-6.634903,4.08324,-14.569372,6.684375,-5.3112087,-4.20683,14.455628,6.754589,6.9387197,11.565733,-1.1265397,0.58612823,4.88832,9.9074,5.5305243,3.1049252,-7.840085,-10.309857,10.741198,3.3182144,6.8153024,5.873108,1.1144161,-2.0818055,4.077041,-0.26483536,0.16334057,-1.7615795,2.9722452,-0.9494245,-2.8226018,1.1876106,2.281797,2.4343133,11.008966,-6.3254952,17.842901,10.346198,11.474848,6.845975,-1.8583238,2.7560353,-4.98324,7.409787,5.491793],"EPOL^FG_TOTAL_RETURNC(-5AY,0,AM)":[5.9552193,-6.4484596,-3.0809402,2.8017282,8.805037,9.200382,-4.373807,0.64754486,6.0661793,-0.30329227,2.2164345,-10.161572,4.9967766,-2.7790487,-23.992508,12.946987,-17.521835,6.419587,-11.452723,0.8504629,-14.195358,-10.647011,24.381304,10.316885,11.610389,-1.9488394,-1.0869563,-1.9780278,13.324797,5.257213,2.363038,5.4564595,-11.9900465,-3.3917487,17.554129,11.896467,1.5496612,0.18033981,3.1953216,7.5446963,0.40551424,-3.1098545,6.166327,-9.8399935,4.880202,-1.4805377,-1.7389476,0.85208416,-4.7915697,14.893616,12.839508,-9.919763,21.21457,-1.60321,12.658442,4.138577,-3.2087147,-0.7907629,3.7400365,-0.97518563,10.526192],"EWG^FG_PRICE(0,-200D)":[43.31,43.26,43.13,43.05,42.56,42.5,42.75,42.51,42.65,42.57,42.44,42.34,42.1,41.94,41.61,42.03,42.1,42.18,42.39,41.94,41.53,41.34,41.41,41.14,40.95,40.89,40.52,40.92,40.6,40.19,39.47,39.4,38.89,39.51,39.53,40.01,40.86,41.25,41.68,41.23,40.96,40.48,40.39,40.73,40.34,40.91,40.73,41.0,41.27,41.72,41.78,41.59,41.55,41.44,41.69,41.88,41.38,41.59,41.53,41.67,41.78,41.52,42.09,42.34,42.07,42.42,42.43,42.47,42.13,41.61,41.31,41.2,40.75,41.24,41.27,41.24,41.22,41.45,41.06,41.15,41.42,41.31,41.39,41.07,41.48,41.69,41.34,41.34,41.05,41.04,41.88,42.02,41.89,42.13,42.12,42.66,42.08,42.39,42.39,42.45,42.58,42.5,42.38,42.15,41.94,42.34,42.33,41.84,41.49,41.3,40.75,41.15,41.63,41.89,41.67,42.81,42.7,43.21,42.42,42.42,42.13,42.35,42.18,41.82,42.35,42.45,42.86,43.26,42.59,42.23,42.21,42.17,42.01,42.31,42.3,41.64,41.15,41.39,40.75,40.34,40.28,40.4,41.13,41.51,42.22,42.11,42.12,42.31,42.52,42.57,42.46,42.12,42.34,41.97,41.85,41.77,42.31,41.26,41.64,41.68,41.77,41.56,40.85,40.86,40.34,40.59,40.38,40.77,40.46,40.44,40.67,40.72,40.34,39.46,39.49,39.67,39.47,39.36,39.03,38.44,38.03,37.03,37.4,37.22,37.2,36.82,36.37,35.8,36.22,33.22,33.55,34.32,36.73,37.38,37.29,37.08,37.39,37.59,37.56,38.38,38.03],"SET-BKK^FG_PRICE(0,-200D)":[1253.6,1280.82,1274.75,1280.05,1259.67,1254.03,1259.25,1264.77,1275.33,1271.11,1269.68,1252.19,1250.07,1256.85,1260.68,1273.4,1254.1,1253.54,1269.87,1261.39,1273.77,1274.82,1277.58,1276.57,1256.69,1252.71,1261.18,1268.78,1252.73,1254.4,1281.81,1272.17,1270.04,1280.07,1269.26,1287.44,1284.81,1300.47,1306.26,1302.91,1313.31,1295.29,1298.6,1308.86,1309.5,1314.65,1315.64,1314.28,1323.52,1313.91,1302.35,1290.72,1284.47,1274.61,1291.46,1286.69,1266.38,1286.98,1313.99,1304.92,1305.24,1285.64,1293.61,1288.29,1275.03,1274.17,1288.07,1278.74,1288.26,1278.41,1273.2,1282.54,1292.72,1297.01,1306.69,1308.19,1299.78,1293.62,1288.03,1278.05,1276.08,1266.11,1264.8,1252.55,1259.31,1248.78,1244.48,1236.61,1250.09,1248.03,1251.26,1262.67,1253.39,1244.79,1248.13,1235.76,1242.31,1259.42,1266.67,1277.43,1259.07,1265.15,1264.47,1246.96,1229.4,1218.33,1242.35,1244.14,1233.68,1217.15,1212.49,1219.62,1191.75,1208.13,1206.58,1198.11,1157.63,1161.01,1143.31,1121.13,1110.4,1115.65,1123.0,1119.94,1127.21,1115.69,1110.01,1089.56,1082.42,1106.73,1107.69,1100.01,1062.78,1067.63,1068.73,1094.58,1113.58,1114.49,1122.7,1128.62,1141.58,1139.16,1135.24,1136.43,1140.63,1132.02,1149.18,1164.01,1160.74,1163.42,1178.43,1176.36,1173.37,1179.81,1189.14,1187.06,1195.77,1194.49,1216.71,1214.39,1210.94,1206.59,1220.27,1187.86,1198.98,1197.26,1171.12,1159.53,1159.0,1146.86,1153.77,1144.05,1134.71,1150.95,1141.28,1138.9,1128.66,1133.95,1088.18,1074.59,1125.21,1161.81,1172.69,1168.02,1158.09,1175.45,1187.9,1190.36,1184.93,1190.06,1186.61,1181.71,1189.66,1176.17,1170.2,1173.76,1159.64,1160.06,1187.63,1177.44,1202.03],"EWW^FG_PRICE(0,-200D)":[70.48,69.92,70.04,70.58,69.66,69.33,69.49,70.51,71.15,70.95,71.04,69.95,68.85,68.75,67.45,68.28,70.48,70.69,71.06,69.04,69.27,68.64,68.68,68.82,68.43,68.71,68.46,68.42,67.88,67.75,66.55,66.04,66.02,66.77,66.67,65.87,67.22,67.38,68.16,69.34,67.91,67.82,66.97,67.18,65.65,66.23,66.53,66.73,67.43,67.1,66.33,65.37,66.02,65.51,65.07,65.94,66.13,67.05,65.87,64.84,65.47,64.39,65.42,65.73,65.04,65.44,66.81,66.9,66.78,68.21,67.46,67.14,66.18,66.47,67.43,66.9,66.1,65.95,66.53,66.8,66.77,66.12,65.71,64.28,64.26,64.15,63.83,63.07,62.8,62.91,61.94,62.52,61.94,61.44,61.71,62.8,61.55,61.17,61.25,61.19,61.34,60.99,61.99,62.33,61.54,61.64,61.65,60.76,60.19,59.23,59.6,60.14,60.17,60.93,60.06,61.05,60.85,60.47,59.03,59.24,59.46,59.79,59.77,59.38,59.61,60.13,60.29,60.28,60.89,61.11,61.7,61.59,61.12,60.56,60.32,60.31,59.68,59.21,57.94,58.11,58.97,58.91,59.82,61.06,61.57,61.56,61.36,61.09,61.24,60.72,60.25,60.39,60.64,60.17,61.23,60.9,61.13,60.67,59.83,60.32,60.53,60.57,59.51,59.26,59.36,59.08,57.84,58.12,58.11,59.09,58.39,56.68,56.94,56.67,56.97,56.42,58.12,57.94,57.34,56.51,55.51,54.34,54.93,53.02,52.19,51.91,50.68,50.3,51.86,48.06,48.52,49.92,54.26,52.16,52.05,50.96,51.62,52.15,52.01,52.59,52.04],"CNYA^FG_PRICE(0,-200D)":[35.49,35.5,35.64,35.21,34.91,34.58,34.59,34.37,34.71,34.44,34.31,34.24,33.89,33.58,33.63,33.197,34.05,34.08,34.09,34.34,34.225,34.36,34.21,33.74,33.76,33.81,34.25,33.95,33.59,33.51,33.11,33.06,33.46,33.88,33.93,33.89,34.19,34.64,34.43,34.47,34.77,34.6,34.59,34.38,33.97,34.3771,34.3,34.9,35.27,34.95,34.95,34.48,34.06,33.86,33.88,33.64,33.61,34.02,33.99,33.55,33.94,32.92,34.44,34.21,34.26,34.37,34.39,34.5182,34.3695,34.34,34.2,33.54,33.88,33.6806,33.47,33.67,33.45,33.48,33.96,33.77,33.81,33.6,33.94,32.84,32.94,33.14,33.02,32.23,32.94,33.2,33.47,33.16,32.26,32.91,32.91,32.71,31.62,31.74,31.02,31.32,30.97,30.72,31.01,30.73,30.295,30.27,30.3,30.33,30.17,29.9,29.6,29.68,30.24,30.44,30.29,30.31,30.45,30.35,30.365,29.98,29.73,29.6,29.26,29.29,29.395,29.2,29.32,29.07,29.12,28.86,28.91,28.7,28.71,28.71,28.46,28.79,28.805,28.55,28.03,27.925,27.96,28.0,28.12,28.15,28.42,28.29,28.1,28.3,28.22,28.29,28.18,27.96,27.72,27.67,28.02,27.83,27.9,28.2,28.3,28.4,28.28,28.14,28.24,28.25,28.58,28.34,28.45,27.78,27.85,27.58,27.82,27.7,27.66,26.92,27.06,27.14,27.14,27.25,27.29,27.2,27.16,27.04,26.82,26.92,26.7,26.96,27.09,26.64,26.4,24.95,24.71,26.56,27.65,27.91,27.92,28.03,28.08,28.34,28.16,28.33,28.3],"EWU^FG_TOTAL_RETURNC(-5AY,0,AM)":[6.4943075,-4.1906595,4.1736245,3.237176,5.215776,0.8557081,-3.2490253,2.2140265,-0.8423686,-0.5157709,2.5312543,-1.2790024,5.1986694,1.5008926,-9.625983,9.720886,-7.6315823,4.083574,-8.663553,4.2048097,-6.8987904,-6.8857074,8.708704,8.943367,1.9466639,1.7986655,-0.6509602,3.1513333,2.4198413,-2.78427,-2.6323974,3.435111,-2.3677766,-0.85039735,-1.2706459,4.8262596,3.997755,-2.4154544,3.125012,2.8502703,4.317391,0.47539473,0.42598248,-0.5651355,3.6942363,-0.13703108,-3.0460954,1.6133547,-3.3898115,5.652046,5.405414,-12.265408,14.823747,5.8777213,0.6307721,1.8597603,2.9114246,2.3255825,0.44517517,0.4898548,5.5371284],"VNM^FG_TOTAL_RETURNC(-5AY,0,AM)":[12.16867,-5.157441,0.17172098,6.228578,2.4744391,3.4120798,1.6751289,-1.0983586,-0.20191073,-0.8598864,5.4591775,0.14513731,3.8990498,-8.177572,-3.4605622,-1.0542929,-11.454445,-3.9711237,-10.526318,7.5630307,-3.2552063,-16.487211,-9.3473015,13.955557,-2.1314442,-2.7353168,-2.8949559,4.6848416,-1.7087042,7.6159,3.4615397,13.531601,1.2442708,-13.518757,-2.056843,2.9400468,2.9370546,-0.6079018,2.905202,-1.5601814,-4.2264166,0.9456277,-3.3567548,-4.523426,6.3451767,-0.95465183,-4.2570233,0.41946173,-5.012536,0.7915616,8.202446,-18.306446,24.38302,8.253967,6.378293,18.401098,1.1059403,6.1024666,-8.41021,10.900474,3.3623338],"EZA^FG_TOTAL_RETURNC(-5AY,0,AM)":[4.1429877,6.513405,-0.40202737,6.5646887,4.0271163,2.6830196,-9.589499,0.39583445,1.0583162,-0.9856224,0.9124875,-3.0004084,1.2680769,8.201218,-0.95721483,8.28402,-18.342442,5.732763,-8.4592705,2.521205,-8.802568,-5.645168,10.470093,6.1653733,4.5105815,-2.4115026,-8.206755,4.9147844,-0.09416342,-4.353505,-2.3308277,4.6445966,-5.7626247,-3.7991107,6.329453,-0.2289474,2.9002905,-3.5373807,1.2743711,3.7493706,2.574253,-3.7886083,12.906432,-1.0604739,3.4891725,7.9770803,0.02040863,-1.3466656,-9.153205,8.944845,3.1036735,-13.450039,22.964966,8.204615,0.9358525,4.9061537,5.119574,12.571621,-3.8323402,3.3468246,11.77361],"EPHE^FG_TOTAL_RETURNC(-5AY,0,AM)":[1.743412,-4.556358,-5.87312,-1.3680339,-1.4208376,8.0302,-3.6695719,-5.644095,7.565093,1.6682982,6.9176316,-3.3403575,-4.1944265,5.577302,-4.6957016,-1.0372758,-5.2735033,-0.6224096,-9.7004175,2.3781657,-1.7136335,-12.9794655,9.2163925,9.009373,3.5458326,3.0116081,-5.565339,-0.52219033,1.1998534,-3.665799,-0.28065443,-0.030839443,-3.865677,0.0,-0.16247034,2.9292107,6.121266,2.891481,1.3138652,-4.3227673,-2.2590399,-4.776579,2.1269798,2.854836,7.8186035,7.5054407,-9.848231,-1.9827843,-4.2888284,-2.0112634,4.105091,-4.850161,12.556982,2.9086947,-3.0441046,-0.5601227,-2.0277858,-1.6098142,-7.323718,3.3207178,6.9425464],"EWC^FG_PRICE(0,-200D)":[54.46,54.01,54.65,54.59,54.19,53.93,54.3,54.33,54.8,54.6,54.54,54.17,53.68,53.22,52.81,52.98,53.8,53.89,54.08,53.72,53.07,52.95,53.29,53.07,52.47,52.14,52.18,52.7,52.25,51.56,51.05,50.43,49.91,50.62,50.53,50.34,50.89,50.64,51.75,51.04,50.89,50.1,49.75,50.26,49.72,50.67,50.74,50.67,50.75,51.41,50.79,50.84,50.58,50.2,49.99,50.72,50.28,50.62,50.96,50.53,50.59,49.86,50.53,51.14,50.94,51.3,51.24,50.59,50.57,50.55,50.46,50.02,50.05,50.24,50.53,50.88,50.73,50.18,49.98,50.08,50.13,49.6,49.92,49.42,49.27,49.3,49.17,49.12,48.87,48.59,48.79,48.46,48.37,48.02,47.55,48.03,47.28,47.11,47.0,47.35,47.27,47.33,47.64,47.51,47.28,47.34,47.34,47.73,46.93,46.58,45.86,46.18,46.38,46.79,46.72,47.01,46.97,47.17,47.09,46.71,46.59,46.71,46.47,46.04,46.44,46.13,46.41,46.13,46.0,46.18,46.67,46.33,46.19,46.2,45.58,45.92,45.32,45.62,45.33,45.1,45.32,45.45,45.76,45.88,46.0,45.66,45.43,45.3,45.39,45.32,45.25,45.34,45.39,44.96,44.78,44.76,44.82,44.44,44.0,43.94,44.19,44.05,43.89,43.83,43.44,43.4,43.08,42.85,42.81,42.89,42.77,42.66,42.84,42.31,42.45,42.45,42.37,42.04,42.06,41.52,41.39,40.77,41.1,40.83,40.53,40.44,39.87,38.74,39.54,37.17,37.79,38.41,40.62,41.59,41.13,40.75,40.57,41.25,41.38,41.71,41.51],"QAT^FG_PRICE(0,-200D)":[19.28,19.405,19.3551,19.19,18.825,18.8183,18.95,18.8751,18.865,18.96,18.9302,18.8396,18.775,18.74,18.6081,18.6969,19.01,19.32,19.315,19.1685,19.0414,18.9554,18.9304,18.9402,18.9302,18.775,18.71,18.88,18.885,18.77,18.85,18.68,18.615,18.955,18.815,18.89,19.285,19.25,19.555,19.6479,19.48,19.42,19.46,19.415,19.435,19.315,19.3,19.2891,19.25,19.195,19.195,19.29,19.26,19.14,19.09,19.135,19.085,19.1356,19.0707,19.205,19.255,19.23,19.33,19.31,19.26,19.215,19.295,19.275,19.39,19.53,19.425,19.42,19.37,19.565,19.785,19.94,19.94,19.94,19.85,19.77,19.55,19.54,19.58,19.53,19.37,19.63,19.69,19.7,19.86,19.73,20.0,19.96,20.13,20.14,20.0026,20.1896,20.065,20.08,20.24,20.38,20.54,20.52,20.56,20.27,20.0346,19.93,19.946,19.85,19.785,19.71,19.665,19.655,19.66,19.6,19.6,19.63,19.61,19.54,19.34,19.12,18.91,18.96,18.779,18.69,18.71,18.73,18.75,18.75,18.73,18.68,18.63,18.56,18.58,18.62,18.57,18.53,18.36,18.25,17.96,17.72,17.82,17.895,18.045,18.2,18.9,18.96,18.92,18.83,18.83,18.78,18.91,19.08,18.8,18.75,18.83,18.94,18.91,19.15,19.11,19.18,19.06,19.05,18.88,18.84,18.83,18.7553,18.7,18.69,18.615,18.51,18.55,18.55,18.54,18.34,18.31,18.2,18.14,18.16,18.12,17.9,17.91,17.78,17.72,17.78,17.89,17.79,17.61,17.52,17.57,17.23,17.16,16.83,17.66,17.86,17.88,17.84,17.75,17.87,17.79,17.87,17.86],"CNYA^JULIAN(FG_PRICE(0,-200D).DATES)":[46030,46029,46028,46027,46024,46022,46021,46020,46017,46015,46014,46013,46010,46009,46008,46007,46006,46003,46002,46001,46000,45999,45996,45995,45994,45993,45992,45989,45987,45986,45985,45982,45981,45980,45979,45978,45975,45974,45973,45972,45971,45968,45967,45966,45965,45964,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],"EWL^FG_TOTAL_RETURNC(-5AY,0,AM)":[4.7047853,-2.0897508,-3.2801569,6.8524957,3.4347892,4.9390435,0.11069775,2.118981,-0.79808235,-4.20354,6.8234324,0.84512234,1.3837457,-6.093812,-9.048104,12.176455,-10.553771,-1.8618226,-3.4407377,4.0579677,-5.803156,-7.491374,5.94033,7.191348,2.768004,2.830398,-4.306322,7.1445107,5.715525,-3.6598504,-2.390784,3.5181522,-3.1619728,-3.3096433,-0.9878278,6.6125393,5.070722,-3.707534,3.7212253,-3.3388674,1.2229085,6.4222097,-1.318413,1.9575596,3.1123757,-0.68600774,-3.7892222,-1.025641,-2.5906742,5.51064,7.945144,-11.974591,13.709688,3.8447142,0.40129423,-2.2254646,5.0932884,0.88763237,-1.918,3.6239624,4.241693],"EWZ^FG_TOTAL_RETURNC(-5AY,0,AM)":[4.793036,-3.7931025,-14.419627,10.631442,10.687244,9.550118,-7.027358,-1.4686644,-9.475649,-4.4986725,-7.8817725,4.5788765,-6.2235413,17.74844,3.5191536,13.898909,-17.221344,6.9559693,-13.9275255,11.365282,-0.55428743,6.426227,0.6469488,-8.264458,1.6317725,0.8833885,-1.2609422,-3.9020956,5.7954907,10.926807,3.1904578,-0.40599704,-4.1078687,-4.022235,8.960819,5.8474064,5.695951,-5.270779,-1.1617184,0.5876899,-0.36900043,-11.23457,1.9544005,0.07045269,3.343892,-1.3283432,-4.349327,-8.805484,-5.379677,10.275459,-1.5860438,-5.5600286,17.235493,0.873363,5.456221,-3.134793,6.3646197,0.98040104,8.135247,1.393187,4.0032387],"EWA^FG_PRICE(0,-200D)":[26.37,26.27,26.49,26.61,26.47,26.19,26.41,26.48,26.68,26.6,26.61,26.15,25.88,25.81,25.58,25.82,26.42,26.52,26.64,26.65,26.35,26.24,26.34,26.29,26.13,25.93,25.73,25.85,25.82,25.62,25.44,25.33,24.95,25.3,25.4,25.64,25.95,25.94,26.58,26.63,26.81,26.44,26.46,26.67,26.41,26.84,26.77,26.89,27.0,27.52,27.37,27.18,27.19,27.07,27.11,27.26,26.92,26.97,26.89,26.7,26.66,26.44,26.92,27.23,27.14,27.36,27.43,27.18,27.15,27.0,26.98,26.67,26.47,26.47,26.87,26.92,26.89,26.89,27.14,27.38,27.57,27.24,27.41,27.11,26.89,27.0,26.93,26.9,26.6,26.77,27.08,27.09,27.0,26.97,26.83,27.26,26.86,26.7,26.61,26.84,26.83,26.74,26.91,26.96,26.65,26.63,26.6,26.66,26.41,26.28,25.91,26.02,26.15,26.37,26.22,26.48,26.58,26.82,26.55,26.37,26.45,26.28,26.19,26.07,26.39,26.36,26.58,26.24,26.14,25.98,26.48,26.54,26.35,26.32,26.09,26.43,26.03,26.05,25.79,25.55,25.86,25.77,26.09,26.32,26.64,26.6,26.71,26.44,26.37,26.36,26.33,26.07,26.15,25.81,25.64,25.56,25.87,25.65,25.41,25.41,25.63,25.63,25.47,25.55,25.16,25.42,25.18,25.01,24.83,24.89,25.05,24.99,25.31,24.65,24.67,24.55,24.52,24.51,24.51,24.0,23.96,23.48,23.61,23.42,23.36,23.29,22.77,22.35,22.81,20.82,20.85,21.15,23.25,23.89,23.71,23.44,23.47,23.75,23.71,23.81,23.7],"EWJ^FG_TOTAL_RETURNC(-5AY,0,AM)":[6.624043,1.7318487,-4.3835936,2.6557922,-0.18789768,0.60817003,-3.3834994,1.770711,6.5320015,-6.0761213,3.463006,-1.8800735,-1.9375682,-3.0598462,-9.979879,2.148509,-4.610467,0.10584593,-4.413122,2.9225588,-5.7876644,-4.377037,4.1959405,6.146431,-0.35990477,5.4044127,-0.27714968,0.4168868,2.7503848,4.300201,0.19506216,0.1784563,-0.22671819,-3.6195397,0.43785572,5.264926,4.1232347,2.9941082,7.2149396,-1.3486922,-3.1045318,1.0141134,2.0519614,-5.874753,3.9066076,4.6556115,-2.5680602,2.3764968,-4.1189966,2.0566344,2.4678707,-12.141937,16.512573,2.770424,-0.052154064,6.476295,3.8881063,0.97578764,1.8837929,-0.120061636,3.3747792],"SPY^FG_PRICE(0,-200D)":[689.51,689.58,691.81,687.72,683.17,681.92,687.01,687.85,690.31,690.38,687.96,684.83,680.59,676.47,671.4,678.87,680.73,681.76,689.17,687.57,683.04,683.63,685.69,684.39,683.89,681.53,680.27,683.39,679.68,675.02,668.73,659.03,652.53,662.63,660.08,665.67,671.93,672.04,683.38,683.0,681.44,670.97,670.31,677.58,675.24,683.34,682.06,679.83,687.39,687.06,685.24,677.25,671.76,667.8,671.29,671.3,664.39,660.64,665.17,662.23,663.04,653.02,671.16,673.11,669.12,671.61,669.21,669.22,668.45,666.18,663.68,661.82,658.05,661.1,663.21,666.84,663.7,662.26,659.18,660.0,660.91,657.41,657.63,652.21,650.33,648.83,647.24,649.12,643.74,640.27,645.05,648.92,646.63,645.16,642.47,645.31,635.55,638.11,639.81,643.3,643.44,644.95,644.89,642.69,635.92,637.18,632.25,632.78,627.97,631.17,621.72,632.08,634.46,635.26,636.94,637.1,634.42,634.21,628.86,628.77,627.58,628.04,624.22,622.14,624.81,623.62,625.82,624.06,620.34,620.68,625.34,620.45,617.65,617.85,614.91,611.87,607.12,606.78,600.15,594.28,597.44,597.53,602.68,597.0,603.75,601.36,603.08,599.68,599.14,593.05,595.93,596.09,592.71,589.39,590.05,587.73,591.15,579.11,583.09,582.86,592.85,594.85,594.2,590.46,587.59,586.84,582.99,564.34,565.06,561.15,558.8,563.51,566.76,558.47,554.54,554.32,550.85,550.64,546.69,535.42,527.25,513.88,526.41,525.66,537.61,539.12,533.94,524.58,548.62,496.48,504.38,505.28,536.7,564.52,560.97,559.39,555.66,567.08,568.59,575.46,574.08],"EWD^FG_TOTAL_RETURNC(-5AY,0,AM)":[5.7416916,0.095403194,2.454126,8.674419,3.702116,1.9191146,-3.244567,3.3832908,-1.3256013,-5.6884947,8.858228,-4.5389533,1.4431,-7.4912844,-19.491524,14.766085,-13.477707,7.332158,-12.236172,7.237053,-10.55789,-9.121394,15.535057,7.601404,0.98963976,4.1974545,-1.2482226,0.8043647,5.7281256,-4.501343,-2.9918194,0.0,-4.829794,1.2228727,-1.2987018,14.626682,4.356885,-1.6251683,8.286703,-0.3937006,-1.3339937,4.5318007,-1.8933356,-3.6467433,2.883625,4.829836,-4.7744093,0.45124292,-4.7666607,9.564996,7.9167604,-17.841309,19.395733,4.2476296,0.94248056,0.72448254,3.356576,0.9700656,-1.3366759,2.4555445,5.1792383],"EWW^FG_TOTAL_RETURNC(-5AY,0,AM)":[6.7250967,-6.5202894,-0.6880224,9.460104,2.6844144,5.65356,-4.2647305,3.430748,2.0884514,-3.6301672,3.870964,-4.0873585,7.5392127,-2.6792705,-3.076923,11.027563,-8.897668,4.2329073,-7.5574756,0.9356022,-1.0993719,-0.9808183,15.144181,0.4970312,4.2416573,4.0037155,6.374216,-1.3129056,4.5369267,2.2359252,0.65916777,-0.3833294,-4.793966,-7.8646064,7.5488925,8.650578,6.4036846,0.8060932,-2.8728008,7.5926304,-4.9737873,-14.628691,2.759838,-5.673641,-6.5600576,5.406463,-3.7084937,-0.9388745,-4.339451,5.737531,1.6771913,-6.7339363,20.91136,5.3863406,1.2290239,1.23173,4.0720344,2.4629831,3.1796694,1.2090802,4.6764135],"QQQ^FG_PRICE(0,-200D)":[620.47,624.02,623.42,617.99,613.12,614.31,619.43,620.87,623.89,623.93,622.11,619.21,617.05,609.11,600.41,611.75,610.54,613.62,625.58,627.61,625.05,624.28,625.48,622.94,623.52,622.0,617.17,619.25,614.27,608.89,605.16,590.07,585.67,599.87,596.31,603.66,608.86,608.4,621.08,621.57,623.23,609.74,611.67,623.28,619.25,632.08,629.07,626.05,635.77,632.92,628.09,617.1,610.58,605.49,611.38,611.54,603.93,599.99,602.22,598.0,602.01,589.5,610.7,611.44,604.51,607.71,603.18,605.73,603.25,600.37,598.73,595.97,593.53,596.1,598.2,602.2,599.35,595.32,590.0,591.18,591.68,586.66,584.08,580.7,580.51,578.87,576.06,575.23,570.07,565.62,570.4,577.08,573.49,572.61,570.32,571.97,563.28,565.9,569.28,577.11,577.34,579.89,580.34,580.05,572.85,574.55,569.24,567.32,560.27,564.1,553.88,565.01,568.02,567.26,568.14,566.37,565.01,563.81,561.25,564.17,561.26,561.8,557.29,556.72,556.21,554.2,555.45,556.25,552.34,552.03,556.22,550.8,546.99,551.64,548.09,546.22,541.16,539.78,531.65,526.83,528.99,529.08,534.29,526.96,533.66,532.41,534.21,530.7,529.92,524.79,528.77,527.3,523.21,519.11,519.93,518.91,521.22,509.24,514.0,513.04,520.27,522.01,521.51,519.25,518.68,515.59,507.85,487.97,488.29,483.3,481.41,485.93,488.83,481.68,475.47,475.53,472.41,472.56,467.35,454.56,444.48,433.11,444.1,444.18,457.99,457.48,454.4,446.18,466.0,416.06,423.69,422.67,450.66,476.15,472.7,468.92,468.94,481.62,484.38,493.46,490.66],"UAE^FG_PRICE(0,-200D)":[19.65,19.65,19.425,19.22,19.2151,19.12,19.05,19.6,19.54,19.52,19.56,19.45,19.25,19.31,19.1129,19.24,19.38,19.35,19.51,19.4401,19.38,19.08,19.22,19.05,18.85,18.53,18.4941,18.58,18.53,18.71,18.75,18.68,18.7582,18.87,18.85,18.93,19.17,19.19,19.48,19.69,19.53,19.43,19.31,19.35,19.36,19.58,19.68,20.15,20.0,20.01,19.97,19.98,19.92,19.69,19.58,19.57,19.63,19.47,19.47,19.57,19.16,19.0,19.25,19.29,19.13,19.04,19.11,19.08,18.99,18.89,18.82,18.98,18.84,18.68,19.14,19.55,19.47,19.36,19.16,19.32,19.2,19.17,19.01,18.85,18.91,18.94,19.16,19.2,19.03,19.14,19.38,19.53,19.68,19.75,19.83,19.96,19.753,19.8,19.8383,19.965,19.905,19.98,19.93,20.15,20.08,20.14,20.1,20.25,20.01,20.21,19.95,20.0399,20.26,20.145,20.32,20.35,20.11,20.105,19.795,19.9,19.98,20.05,19.86,19.41,19.37,19.21,19.08,19.13,18.84,18.86,18.84,18.6,18.66,18.72,18.57,18.5,18.22,18.3,17.66,17.26,16.99,17.24,17.56,17.88,18.395,18.72,18.78,18.71,18.67,18.61,18.59,18.59,18.45,18.57,18.59,18.66,18.62,18.45,18.53,18.57,18.71,18.65,18.48,18.3,18.16,18.36,18.13,18.15,18.14,18.18,18.31,18.23,18.14,17.96,17.88,17.99,17.64,17.47,17.57,17.23,17.01,16.76,16.76,16.68,16.79,16.71,16.51,16.17,16.46,15.58,15.88,15.6,16.35,17.0,16.93,16.97,16.85,17.05,16.91,16.91,17.04],"MCHI^FG_PRICE(0,-200D)":[62.28,61.88,62.71,62.67,62.24,60.07,60.58,60.37,61.27,60.61,60.67,60.89,60.63,59.99,59.47,59.7,60.87,61.52,61.69,61.81,61.35,62.22,62.66,61.98,61.88,62.24,62.66,62.2,61.91,62.2,61.96,60.92,60.88,61.91,62.42,62.78,63.5,64.46,64.58,64.53,64.7,63.61,63.97,63.36,62.73,63.55,63.57,64.38,65.49,65.12,65.59,64.51,64.11,63.03,63.44,64.12,63.31,63.4,63.25,62.58,63.3,61.39,65.12,66.13,65.81,66.64,66.55,66.99,66.25,65.85,65.53,64.32,64.76,64.58,63.66,64.43,64.44,64.75,65.8,64.86,64.43,63.95,64.21,62.54,62.97,62.3,61.35,60.3,61.33,61.64,61.31,60.45,60.02,61.62,61.54,61.57,60.0,59.92,59.59,60.04,59.68,59.3,60.56,58.73,57.82,58.19,58.2,58.36,57.86,57.47,56.52,57.43,57.89,58.56,58.7,58.93,59.18,59.25,58.665,57.81,57.45,56.92,56.51,56.68,55.55,54.95,55.01,54.58,55.13,54.62,54.72,55.0,55.27,55.1,55.18,55.54,55.53,55.57,54.13,53.5,53.93,54.44,55.01,54.77,55.79,55.86,55.69,55.52,54.92,54.99,54.79,53.76,53.26,52.82,53.86,53.33,54.04,54.78,54.75,54.99,55.2,54.7,54.42,54.57,55.6,54.7,55.06,53.25,53.45,52.69,53.95,53.4,53.42,51.59,51.66,51.68,51.85,51.91,51.97,51.66,50.9,49.39,49.29,49.16,50.17,50.56,49.68,47.98,48.06,45.22,46.0,50.0,53.67,54.16,54.55,54.4,54.57,55.81,55.0,55.0,55.61],"EWN^FG_TOTAL_RETURNC(-5AY,0,AM)":[6.4178586,2.7454615,-2.128619,10.758901,2.8828144,1.2588859,-4.2830586,6.3897133,5.5500507,-7.34272,7.5800657,-5.2750645,-1.3445139,-6.108856,-19.16123,9.250868,-9.394825,5.628872,-10.54728,8.8073845,-10.164547,-8.36041,10.86396,13.288748,2.6613116,5.5597425,-2.8836966,3.11656,0.69015026,0.7857561,0.5928397,2.1452188,-8.469886,-3.9586484,3.6098719,8.703923,2.3515105,7.159245,4.6680927,2.0662785,0.15033484,3.9327502,0.40758848,-7.0791364,-0.14610887,4.4596553,-8.07128,1.306057,-2.2317648,2.305472,6.955576,-15.153969,20.152819,6.577909,2.6576042,-3.3314943,3.1416535,7.8272104,-1.1470616,1.7014146,4.6928406],"ECH^JULIAN(FG_TOTAL_RETURNC(-5AY,0,AM).DATES)":[44204,44235,44263,44294,44323,44355,44385,44414,44447,44477,44508,44538,44568,44600,44628,44659,44687,44720,44750,44781,44812,44841,44873,44903,44932,44965,44993,45022,45054,45085,45114,45146,45177,45205,45238,45268,45299,45330,45359,45390,45420,45450,45481,45512,45541,45573,45604,45632,45665,45695,45723,45755,45785,45814,45846,45877,45908,45938,45968,45999,46030],"EWU^FG_PRICE(0,-200D)":[44.6,44.49,45.05,44.81,44.46,43.98,44.22,44.02,44.24,44.08,43.98,43.79,43.54,43.13,42.94,42.73,43.75,43.28,43.65,43.46,42.88,43.08,43.22,43.42,43.46,43.01,42.93,43.15,42.99,42.52,41.92,42.06,41.34,41.73,42.19,42.44,42.77,43.04,43.51,43.65,43.44,42.87,42.62,42.61,42.18,42.53,42.67,42.75,42.83,42.92,42.98,42.78,42.6,42.41,41.96,42.16,42.07,41.99,42.02,42.06,41.99,41.73,42.07,42.68,42.45,42.58,42.64,42.26,42.5,41.97,41.63,41.58,41.04,41.35,41.47,41.61,41.36,41.66,41.79,41.89,42.09,41.94,42.19,41.74,41.75,41.71,41.55,41.39,41.18,40.9,41.46,41.57,41.66,41.74,41.79,42.08,41.66,41.72,41.29,41.29,41.27,41.5,41.36,41.03,40.64,40.53,40.49,40.38,40.23,40.21,39.94,39.81,40.04,40.39,40.12,40.64,40.77,40.9,40.43,40.01,39.8,39.83,39.85,39.59,40.03,39.92,40.27,40.01,39.79,39.42,39.82,39.61,39.85,39.72,39.72,39.69,39.28,39.41,39.17,38.9,39.22,39.2,39.62,40.42,40.78,40.41,40.31,40.34,40.35,40.22,40.19,40.06,40.29,39.92,39.79,39.67,40.07,39.88,39.53,39.43,39.61,39.33,38.9,38.8,38.25,38.42,38.24,38.29,38.11,38.43,38.57,38.64,38.6,37.88,38.1,38.35,38.19,37.94,37.89,37.55,37.58,36.82,36.97,36.55,36.65,36.15,35.57,34.67,35.11,33.19,33.29,34.62,37.28,37.61,37.44,37.47,37.59,37.66,37.51,37.64,37.53],"EWI^FG_TOTAL_RETURNC(-5AY,0,AM)":[5.1524997,1.2508273,-0.58517456,4.0222406,2.8921723,5.2245617,-7.0687175,4.395938,-1.0299921,-1.1325359,6.191945,-4.51895,2.8794646,-2.6791096,-17.29045,9.012711,-7.37564,4.7037005,-13.592291,4.1350245,-6.3209057,-5.9688625,17.755295,7.46094,4.9351096,6.364274,0.72727203,1.3455868,3.529799,-2.4814904,3.0233383,1.4035106,-2.1075785,-3.2455027,3.0222535,7.5757504,3.2643914,-0.64647794,8.459032,1.881659,0.26766062,2.8563738,-2.0980716,-3.6674857,6.4297915,0.529933,-2.3985207,1.971376,-1.3717055,6.1341286,10.069346,-14.585763,23.934437,6.4814806,1.8245816,3.764999,0.95694065,3.2582998,-0.19124746,1.5137076,5.6321025],"EWD^FG_PRICE(0,-200D)":[50.28,50.87,50.11,50.39,49.6,49.23,49.55,49.32,49.65,49.31,49.21,48.8,48.55,48.18,47.62,48.23,49.11,49.38,49.67,49.36,48.55,48.4,48.37,48.09,47.77,47.61,47.58,47.91,47.43,47.06,46.26,46.06,45.38,46.17,46.49,47.22,47.65,48.27,48.82,48.48,47.74,47.24,46.98,47.29,46.87,47.7,47.99,48.49,48.74,49.07,49.23,48.86,48.65,48.36,48.54,48.09,47.79,47.8,47.58,47.45,47.32,46.92,47.2,47.88,47.82,48.26,48.2,47.94,47.61,47.2,47.22,47.2,46.62,47.01,47.85,47.63,47.43,47.56,47.17,47.46,47.61,47.24,47.33,47.1,47.3,47.42,47.01,46.26,46.18,45.89,46.39,46.63,46.46,46.64,46.57,47.24,46.08,46.45,46.56,46.28,46.61,46.06,46.02,45.99,45.23,45.88,45.6,44.82,44.45,44.3,43.68,43.86,44.54,44.96,45.78,46.38,45.9,46.3,45.21,45.25,44.65,44.98,44.63,44.69,45.3,45.57,46.39,46.05,45.55,45.52,45.62,45.51,45.19,45.74,46.02,45.33,44.67,44.95,43.96,43.81,43.98,44.43,44.91,45.49,46.02,45.9,45.94,45.91,46.14,46.17,45.93,45.2,45.62,45.45,45.36,45.24,45.55,45.32,45.09,45.94,46.35,46.19,45.61,45.62,45.11,45.23,45.09,44.38,44.26,44.38,44.18,44.28,44.55,43.12,43.64,43.0,43.61,43.62,43.32,42.43,42.68,41.77,41.9,41.07,41.39,40.72,40.31,39.65,39.92,37.07,37.34,38.17,41.47,42.61,42.25,42.08,42.94,43.53,43.58,44.67,44.24],"EWG^FG_TOTAL_RETURNC(-5AY,0,AM)":[6.7737103,-0.6682813,-0.91742873,6.543207,2.7809978,2.3393512,-3.9866269,1.3419032,-0.37420988,-5.431962,5.2245617,-4.297328,1.3242245,-3.0504465,-20.031149,7.8691125,-8.197909,6.8843484,-14.058357,4.4150114,-7.9069734,-8.218551,14.307154,10.503281,4.4311166,6.676781,-1.3513565,3.0281186,2.974105,-2.3163497,-1.0721922,1.4450908,-3.454411,-3.7624538,0.5365968,10.560429,1.4191031,-0.510031,5.980861,1.8381119,0.25331974,0.91598034,-0.06701946,-3.626442,5.494499,3.882575,-2.4612606,4.0187,-3.0248523,6.9796085,12.038112,-14.403504,21.794092,5.0914526,1.8189788,-0.5869925,-1.5351951,1.5591264,-4.393011,2.1245122,4.7653675],"EZA^FG_PRICE(0,-200D)":[70.34,71.45,72.74,70.24,69.4,68.8,69.23,68.43,70.31,69.92,69.54,68.79,67.6,67.51,66.64,65.7,69.61,68.63,69.5,68.18,66.91,66.39,67.88,67.05,66.92,66.5,67.45,66.74,67.83,66.3,65.89,64.86,64.93,66.57,66.16,66.13,66.99,67.83,68.08,66.53,66.62,64.24,63.7,63.4,61.44,63.76,63.77,64.37,64.75,65.23,64.2,65.18,64.93,63.58,63.27,66.21,65.41,67.33,66.03,65.31,66.01,63.32,65.06,66.8,64.79,65.32,65.06,64.21,64.75,64.1,63.42,63.3,61.67,61.97,62.87,62.46,62.54,61.48,60.86,61.0,60.93,60.57,60.56,59.73,59.03,59.34,57.92,56.57,57.7,57.25,57.67,57.15,57.38,58.1,58.35,58.8,56.91,57.11,56.67,57.11,57.62,57.64,58.36,57.5,56.36,56.45,56.66,56.17,55.4,55.05,53.43,53.05,53.99,54.54,54.22,54.74,55.44,56.27,55.74,55.7,54.81,53.57,53.43,52.86,52.99,52.98,53.95,54.0,53.81,53.84,54.79,54.31,54.21,53.75,52.64,52.98,52.89,53.46,52.35,51.73,51.8,51.56,53.04,53.3,54.77,54.08,54.66,54.44,53.94,54.03,53.46,53.13,53.27,52.21,53.05,52.03,51.91,52.52,51.43,51.45,51.61,51.08,51.24,51.09,50.22,50.41,50.19,50.64,49.85,50.23,50.71,50.44,50.19,49.27,49.52,49.14,49.09,48.38,47.96,47.55,48.16,47.6,47.9,47.43,47.1,47.22,45.62,43.94,44.27,40.54,40.77,41.29,44.88,46.65,48.1,48.13,47.6,48.21,48.16,47.93,47.71],"EPHE^FG_PRICE(0,-200D)":[26.08,25.92,25.98,25.46,25.3,24.92,25.06,25.09,25.08,24.94,24.93,24.96,24.66,25.01,25.1,25.19,24.95,24.9,25.02,24.73,24.67,24.58,24.73,24.2,24.68,25.06,25.24,25.21,25.02,25.0,24.97,25.06,24.37,24.23,24.02,23.95,23.28,23.69,23.6,23.41,23.7,23.79,24.11,24.19,24.38,24.15,24.55,24.4,24.74,24.44,24.4,24.7,24.99,24.82,25.11,25.33,25.41,25.42,25.44,25.45,25.3,24.87,25.2,25.67,25.36,25.1,25.59,25.22,25.2,24.84,25.04,25.12,25.09,25.69,26.16,26.6,26.8,26.46,26.55,26.22,25.71,25.8,26.0,25.92,26.09,26.09,26.06,25.78,25.58,25.68,26.15,26.39,26.56,26.12,26.69,26.63,26.15,26.35,26.25,26.34,26.39,26.28,26.72,26.55,26.19,26.63,26.49,26.41,26.16,26.35,25.78,25.42,26.175,26.37,26.55,26.7522,27.0,27.09,26.52,26.34,26.11,26.08,26.35,26.96,27.36,27.13,27.19,27.15,26.78,26.72,27.08,27.0,27.14,27.12,27.23,26.85,26.81,26.61,25.96,26.5,26.7,26.98,27.35,27.66,28.08,27.93,27.82,28.12,27.95,27.96,27.66,27.78,27.6,27.24,27.84,27.93,27.78,27.81,27.27,27.46,27.36,27.9,27.69,27.62,28.01,28.06,27.75,27.62,27.16,27.56,27.35,27.03,27.27,26.86,26.89,26.41,26.18,26.26,25.96,25.59,25.55,25.17,25.3019,25.25,25.4141,25.19,24.96,24.18,25.16,24.13,24.14,23.83,25.04,25.56,25.26,25.3,24.98,25.1,25.022,25.2,25.43],"EWQ^FG_TOTAL_RETURNC(-5AY,0,AM)":[3.590393,-1.5955985,1.0613203,5.017507,6.3055515,2.9788375,-4.784232,5.335486,-0.74188113,-3.273195,7.7804446,-2.8430223,2.9494047,-2.3368,-17.737324,7.9987407,-5.4742336,5.1409125,-10.423202,8.056868,-7.706767,-7.1283045,13.34064,8.739114,4.0215254,4.4349074,0.5753398,4.0315986,3.0898094,-3.7889063,0.35088062,2.3130774,-3.3911705,-3.5374105,0.16924143,7.8851104,1.2030244,0.36344528,5.794108,0.51344633,0.99732876,-0.024092197,-4.258519,-3.578782,2.7503252,1.8970847,-4.7181787,-0.37472844,-2.2294939,6.949067,8.387256,-14.855498,15.904617,4.1626334,2.8074026,-1.3635337,0.7263422,3.047216,-1.1738181,1.9872189,2.3308396],"MCHI^FG_TOTAL_RETURNC(-5AY,0,AM)":[6.858921,8.27384,-12.14872,1.6363263,-2.2273362,0.8790493,-6.8306804,-6.6930714,2.9994369,-4.986268,-1.228857,-3.4836054,-5.2927375,1.080811,-15.879351,0.9485841,-10.693479,17.466331,0.04454851,-11.311239,-3.675878,-9.129244,-5.800462,20.83745,8.1009865,-1.2629151,-6.240302,2.7904034,-3.498888,-4.1795373,-1.383096,4.029393,-6.0774684,-1.7543852,0.115954876,-6.300664,-1.0684788,-4.4581056,4.478407,3.0287504,9.466863,-0.7055044,-2.5756776,-1.5122831,-2.3272574,30.729557,-7.065016,-3.3360243,-4.250455,10.683287,13.61351,-19.9646,18.19991,2.7502298,1.3596773,5.5505157,7.063067,6.1476707,-3.810674,-2.1851897,1.3287783],"EWM^FG_TOTAL_RETURNC(-5AY,0,AM)":[0.66224337,-4.9169006,0.4369974,-0.18128753,1.0533929,-1.186198,-7.0563912,-1.0496557,7.139945,-0.11424422,-1.9824624,-3.6950588,2.8697848,-0.040555,0.44624805,4.038775,-6.2111797,-2.7317882,-6.0320735,4.2513847,-1.5957415,-8.603602,2.5628328,9.178281,2.2123575,0.47826767,-6.0579896,2.5334,-0.58401227,-7.5300217,-0.895524,7.078314,-1.547116,-2.0952404,3.550589,-1.362145,5.01436,-3.09183,3.90476,1.4665484,3.206873,0.7439852,1.1603475,3.403139,6.6666603,2.492082,-3.82092,0.32103062,-2.2798955,-0.04169941,-2.8368711,-8.973807,14.6698,-0.24681091,0.8592725,2.3382068,2.48878,3.5827994,0.80707073,0.3431201,5.602145],"EWZ^FG_PRICE(0,-200D)":[32.88,32.7,33.11,32.79,32.2,31.77,31.99,31.42,31.73,31.55,31.65,30.97,31.17,31.17,31.0,31.6,33.58,33.32,33.16,32.77,32.74,32.75,32.53,34.72,34.2,34.03,33.4,33.61,33.47,32.55,32.2,32.03,31.9,32.49,32.71,32.78,33.18,32.98,33.22,33.49,32.72,32.3,32.04,32.1,31.18,31.52,31.17,31.05,31.18,30.92,30.77,30.48,30.47,30.03,29.94,30.22,29.71,29.24,29.32,29.1,29.18,28.79,29.67,29.87,29.68,30.31,30.33,30.24,30.58,31.0,30.99,30.73,30.58,31.05,31.32,30.79,30.93,30.82,30.94,30.69,30.51,30.03,30.05,29.79,29.54,29.58,29.63,29.17,28.99,29.0,29.5,29.49,29.02,28.61,28.74,28.61,27.66,27.69,27.36,28.29,28.2,27.89,28.18,28.39,27.64,27.81,28.05,27.45,27.02,26.93,26.65,26.55,26.88,26.76,26.52,26.94,27.13,27.48,27.0,27.08,26.85,27.69,27.57,27.47,27.31,27.53,27.72,28.16,28.71,28.6,29.31,28.91,28.79,28.85,28.14,28.13,27.57,27.98,27.66,27.67,28.08,28.11,28.31,28.14,28.15,28.22,27.72,27.62,27.72,27.6,27.44,27.58,27.27,27.21,27.7,27.69,27.99,27.65,27.52,27.67,28.16,28.18,28.0,28.01,28.2,28.33,27.49,27.56,27.48,26.4,26.61,26.71,27.12,26.88,27.04,27.36,27.21,26.94,26.74,26.31,25.86,25.2,25.22,24.79,24.86,25.01,24.69,24.19,24.71,23.44,23.95,24.5,26.33,26.14,26.14,25.85,25.96,26.33,26.3,26.42,26.19],"SPY^FG_TOTAL_RETURNC(-5AY,0,AM)":[3.4367085,2.4261713,-2.2509038,7.371962,3.3290863,0.037908554,2.3844242,2.6849508,1.9028664,-2.5799751,7.0958734,0.12581348,-0.37727952,-3.250444,-7.6928196,7.854748,-8.094824,-0.029170513,-5.076313,6.257224,-3.0533373,-9.013409,5.295074,3.727746,-1.6041398,5.815816,-2.8564453,2.9706001,0.86756945,3.9710283,2.5761366,2.3258448,-0.71977973,-3.2425523,1.7949462,5.2487135,3.5479069,4.997897,2.6890397,1.6850352,-0.29495358,3.2521963,4.3189883,-4.435599,1.8298268,6.397712,4.365206,1.608181,-2.6916325,1.9135237,-4.136366,-13.534409,13.813246,6.031215,3.8452387,2.714634,1.8283725,4.028344,-0.31793118,1.8868208,1.1555195],"INDA^FG_TOTAL_RETURNC(-5AY,0,AM)":[8.602608,2.39923,-1.0074973,-0.7100582,1.8831968,6.059897,-3.0652523,4.0318847,7.3352337,0.48959255,2.9029608,-4.419011,3.5985112,-4.3284535,-9.248173,12.072349,-8.19887,-2.6365697,-1.9273043,7.2388053,1.5773654,-7.7529135,7.587564,-0.25310516,-2.9296339,-3.6834657,-0.74018836,-0.6959975,3.954935,1.8778801,3.2441378,0.7568836,2.4812222,-0.9773433,-0.5607903,6.722307,3.762412,2.8722763,3.5247445,0.19128323,-0.68728924,3.787005,4.889798,-1.518631,1.3268709,1.0086775,-4.7652426,2.4098516,-5.3116918,-3.4970403,-2.811879,0.16299486,4.8413396,6.5386057,1.4205098,-6.4104853,1.4773607,-0.49158335,2.1280646,-1.246506,1.2057304],"EPU^FG_TOTAL_RETURNC(-5AY,0,AM)":[6.0005903,1.9337058,-3.0894399,2.8241158,-10.062313,-4.384637,-8.946973,-7.607704,0.84160566,4.7368407,6.8915963,-2.9214263,11.970425,4.96521,9.129262,0.4693508,-17.97197,4.4221044,-16.036642,4.437399,-3.9074361,1.7370701,10.050451,5.112827,4.2161107,-0.9498894,-1.9510567,2.8667808,5.114758,-2.470225,0.06548166,9.06415,-6.720674,-6.207782,-0.068587065,5.301988,12.759792,-1.0917664,10.64589,8.146727,3.4654737,0.8301258,2.8631449,-6.4032316,-2.0200908,10.575533,1.8309951,-1.1526048,-2.9967546,3.814733,-0.67012906,-7.329911,16.844023,7.9333544,3.363192,4.9087286,9.527254,12.149692,-2.7703404,7.7059984,15.533137],"EWN^FG_PRICE(0,-200D)":[59.21,59.8,60.44,60.14,58.64,57.03,57.227,57.0,57.16,57.1,56.84,57.01,56.61,56.02,55.57,56.41,58.76,58.6,59.5,58.8,58.55,58.7224,58.55,58.78,59.18,58.57,58.32,58.17,57.79,56.872,55.95,55.92,55.52,57.05,56.63,57.36,58.13,58.61,59.03,58.73,58.56,57.74,57.96,58.26,57.82,58.68,58.8,59.48,59.366,59.01,59.565,58.91,58.87,58.12,58.35,58.85,58.65,58.49,58.27,57.76,57.75,56.64,57.89,58.41,58.56,59.68,59.62,59.51,58.84,58.01,57.67,57.12,57.02,57.27,57.62,57.36,56.84,56.97,55.8782,55.71,55.75,54.66,54.46,53.79,54.12,54.17,53.47,52.87,52.22,51.94,53.0,53.5,53.59,53.77,53.84,54.188,53.08,53.58,53.215,53.13,53.16,53.3,53.36,52.9674,52.37,52.52,52.2,51.43,51.33,51.35,50.85,51.26,52.2,52.69,52.91,53.5,53.93,54.25,53.37,53.41,53.46,53.51,53.47,54.45,54.4,54.41,54.63,54.58,54.33,53.98,54.29,54.3,54.07,54.5,54.36,53.97,53.8,54.16,53.03,51.8927,52.2476,52.33,53.08,53.54,54.73,54.37,54.57,54.02,53.63,53.36,53.23,52.95,53.2858,52.85,52.94,52.59,53.0,52.26,52.54,52.48,52.8,52.645,52.19,52.25,52.2,52.04,51.6,50.79,50.32,50.21,49.98,50.14,50.27,48.78,48.85,48.92,48.79,48.78,48.41,47.77,47.1,46.09,46.55,46.26,46.89,46.61,45.81,44.67,46.05,41.88,42.58,43.14,45.71,46.87,46.7,46.73,47.34,47.8176,47.8398,48.56,48.33],"EWT^FG_PRICE(0,-200D)":[65.44,65.59,65.83,65.3,64.77,63.53,63.71,63.33,63.02,62.53,62.5,61.98,61.64,60.87,60.03,61.12,64.11,64.1,65.92,66.8,65.72,65.57,65.35,64.51,64.85,64.63,64.13,64.51,63.66,62.8,62.51,61.8,61.68,62.5,62.67,63.16,65.17,63.99,65.41,65.39,65.75,64.61,64.94,66.03,65.43,66.9,66.65,66.54,67.13,67.09,66.98,66.48,65.71,65.03,65.78,66.17,65.09,65.17,64.99,63.7,64.56,61.62,64.83,65.65,64.81,65.03,64.64,64.0,64.14,63.62,63.08,62.74,63.06,63.57,64.29,64.02,63.38,63.77,63.21,63.32,63.02,62.83,62.74,62.56,61.62,60.98,60.21,59.3,58.73,58.05,58.82,59.9,59.77,59.5,59.26,59.66,58.57,58.78,60.09,61.04,60.42,60.65,61.03,61.09,60.28,60.29,60.36,59.14,58.92,58.84,58.39,58.36,58.35,58.62,59.06,59.43,59.39,59.8,58.72,59.36,59.24,59.48,58.98,58.27,57.81,58.3,58.38,58.03,57.66,57.63,59.44,58.75,57.58,57.4,57.85,57.85,57.31,56.82,55.18,54.84,56.03,55.65,56.46,55.85,56.74,55.83,55.8,54.71,54.11,53.74,53.96,53.15,52.84,52.38,52.87,53.26,53.58,53.52,53.7,53.72,53.48,53.82,54.01,53.99,53.77,53.28,52.95,51.75,51.16,51.0,51.56,52.96,50.95,47.82,47.48,47.15,46.47,46.34,46.18,45.5,44.33,44.22,44.88,44.99,46.05,45.77,45.62,43.32,44.79,40.95,42.03,43.82,46.05,48.48,48.2,47.48,47.82,49.2,49.51,50.46,50.38],"UAE^FG_TOTAL_RETURNC(-5AY,0,AM)":[4.520583,3.8925766999999998,-1.3898134,3.3153415,2.5373101,9.024739,-3.8140476,2.8735638,4.851258,-1.9294381,7.9796195,10.000002,-5.1496325,1.7156959,10.120487,5.1695824,-2.4187267,-10.074621,-7.068312,8.480096,-6.9152117,-1.4211833,4.128444,-4.4682207,-1.7623961,0.80645084,-2.0666718,-3.2675266,7.037294,-3.6267877,3.503859,4.062283,-2.6675344,3.877008,-5.6628046,-2.251023,6.1317563,-4.169422,-0.34529567,4.0194035,-1.7321825,-6.5084753,4.012513,5.217397,3.9256215,-1.5904546,3.1986475,1.0114193,6.646669,4.4269204,-1.7421544,-7.9196215,16.43132,2.9217243,4.3354273,6.900203,-5.958289,1.8479466,0.7257581,-1.8013418,3.9955497],"EIDO^FG_TOTAL_RETURNC(-5AY,0,AM)":[7.214737,-1.7944574,-6.187707,-3.9840639,2.1207929,-0.76749325,-8.33897,2.0979047,3.6692739,10.2878685,1.711595,-0.54691434,-0.5287826,1.6274095,0.92710257,3.5073042,1.0084748,-1.8770039,-9.939915,8.661771,2.1509886,-4.4591246,1.8150449,-3.013581,-2.836275,6.9153786,-5.404258,6.2528133,1.6934752,-0.348866,-2.2601306,0.3054142,-1.1744261,-3.2130241,-3.865397,2.6490092,4.6177626,-1.15453,2.8301835,-3.7570953,-7.172036,-3.3251822,4.039645,3.1706095,7.073176,-0.54669976,-5.4512143,-1.1627913,-8.588516,-4.0849686,-2.8960824,-16.023397,21.518112,6.0745,-3.966242,3.0040503,-1.8508136,-0.2857089,6.189108,1.8348575,1.6115546],"EWQ^FG_PRICE(0,-200D)":[45.46,45.4,45.6,45.42,45.31,44.99,45.14,44.99,45.18,44.98,44.9,44.96,44.91,44.8,44.62,44.94,45.18,44.88,45.0,44.58,44.21,44.65,44.62,44.75,44.79,44.44,44.41,44.57,44.43,44.06,43.33,43.69,42.99,43.44,43.63,44.2,44.84,45.04,45.14,44.71,44.19,43.78,43.42,43.88,43.63,44.07,44.28,44.44,44.86,45.14,45.33,45.11,45.27,44.91,44.98,45.2,45.23,45.15,44.42,44.13,43.35,43.29,43.89,44.3,43.79,44.19,44.91,44.77,44.49,43.93,43.78,43.59,43.05,43.41,43.89,43.78,43.68,43.84,43.53,43.82,43.89,43.49,43.53,42.9,43.06,42.99,42.56,42.56,42.54,42.29,42.59,42.9,42.56,42.58,42.96,44.18,43.55,43.97,43.82,43.55,43.89,43.5,43.31,42.89,42.35,42.68,42.49,42.02,41.83,41.86,41.43,41.94,42.47,42.91,42.8,43.72,43.4,44.4,43.16,43.03,42.92,42.98,42.74,42.56,43.12,43.28,43.75,43.84,43.27,42.68,43.08,43.27,42.87,42.8,42.61,42.14,41.89,42.04,41.57,41.29,41.67,41.74,42.21,42.83,43.57,43.11,43.21,43.08,43.04,43.04,43.08,42.84,43.14,42.49,42.76,42.47,42.92,42.4,42.65,42.71,43.1,42.73,42.25,42.09,41.88,42.1,41.81,41.68,41.32,41.32,41.62,41.84,41.86,41.07,41.04,40.94,41.04,40.95,40.72,40.12,39.84,38.97,39.22,38.96,39.0,38.85,38.97,37.99,38.61,35.65,35.97,37.21,39.48,40.18,40.05,39.8,40.35,40.55,40.48,41.23,40.91],"EWM^FG_PRICE(0,-200D)":[27.36,27.43,27.63,27.61,27.42,27.36,27.57,27.53,27.64,27.69,27.53,27.41,27.2,26.88,26.6,26.79,27.09,26.98,26.87,26.52,26.37,26.32,26.64,26.59,26.73,26.67,26.6,26.43,26.64,26.49,26.47,26.29,26.05,26.33,26.16,26.23,26.45,26.5,26.53,26.78,26.47,26.23,26.01,26.2,25.98,26.06,25.85,25.88,25.91,26.01,25.96,25.69,25.65,25.47,25.74,25.82,25.7,25.58,25.66,25.72,25.71,25.33,25.98,26.02,25.99,26.09,26.2,26.27,26.21,25.92,25.78,25.73,25.27,25.33,25.74,25.79,25.59,25.6,25.95,25.54,25.55,25.47,25.33,25.17,25.17,25.12,25.03,24.97,24.87,24.73,24.87,25.13,25.05,25.13,25.5,25.72,25.19,25.19,25.18,25.13,24.98,25.03,25.27,24.94,24.6,24.51,24.38,24.4,24.24,24.13,23.98,23.49,23.84,24.04,24.05,24.19,24.3,24.21,23.99,24.03,23.93,23.93,23.71,23.8,24.09,24.08,24.11,23.98,23.95,23.93,24.41,24.41,24.38,24.34,24.07,24.07,23.82,23.77,23.53,23.41,23.59,23.53,23.93,24.26,24.54,24.45,24.28,24.32,24.25,24.31,24.14,24.09,24.15,23.96,24.3,24.47,24.52,24.58,24.24,24.49,24.5,24.69,24.87,25.08,25.07,24.87,24.5,24.45,24.31,24.68,24.64,24.86,24.85,24.12,24.17,23.7,23.71,23.43,23.43,23.07,22.91,23.04,22.77,22.44,22.63,22.65,22.46,22.05,22.14,21.2,21.75,21.91,23.01,23.32,23.03,23.08,23.0,23.55,23.21,23.17,23.0],"TUR^FG_TOTAL_RETURNC(-5AY,0,AM)":[20.701742,2.9850721,-8.040029,-11.144465,1.8581152,-3.606969,-5.4409924,4.8711896,2.0098329,-7.6182127,7.4407578,-12.218791,0.44654608,0.15075207,-7.1249366,19.07078,0.99818707,-9.074574,-5.9012117,11.177099,18.115593,1.3157845,21.712662,9.603203,10.619104,-17.66169,24.773407,-10.734457,-7.4743805,0.9988308,0.06682873,15.859771,13.170028,0.56022406,-10.6862545,-0.9923518,-3.1363785,10.905277,-1.9396484,8.049452,5.339432,-1.0137618,6.5205812,-10.011583,-5.2279234,-7.336956,1.2316823,9.559679,-3.693527,-1.736486,4.5722246,-14.619094,-2.0106792,1.3465881,3.159976,7.9701185,-6.170702,3.3036232,0.7288337,1.653862,7.815814],"EWY^FG_TOTAL_RETURNC(-5AY,0,AM)":[19.151474,-4.5624614,-5.466628,5.679071,2.027464,-0.950855,-3.4192622,0.94929934,-5.9851704,-8.272541,2.1808863,2.0213485,-2.5378227,-5.6107283,-7.65236,1.9532442,-4.0203276,-0.15121698,-11.7067995,4.7341347,-10.465121,-9.712815,13.290108,3.0400634,5.1840544,5.042577,-5.91321,1.3008952,2.651763,6.6775084,-3.837961,0.99778175,-3.1049073,-5.1464615,3.1735182,2.7947664,4.349065,0.11074543,4.725027,-0.045269728,-0.6189525,-3.2963753,7.147348,-9.881247,-1.5780091,4.7768593,-6.6098747,-7.1621656,1.2305617,-0.33137202,2.8444767,-12.14081,16.925598,14.632869,9.928322,1.9700289,0.93877316,13.47891,9.03908,3.5620928,14.668667],"ECH^FG_TOTAL_RETURNC(-5AY,0,AM)":[13.895082,-3.2784402,2.068746,8.855629,-4.6691537,-12.620187,-4.7355056,-2.5330424,2.410555,-9.635896,8.140003,-3.2367349,-4.948175,7.1851254,3.3911586,8.314264,-8.73239,15.933633,-18.105953,11.66526,8.74337,-14.758092,11.351574,-0.62339306,1.248622,7.813084,0.6934881,-5.303031,8.545458,2.1751165,2.2161603,-2.3682415,-9.6686,-6.656581,1.3776302,9.312546,-1.748544,-7.5280905,5.062783,5.8211207,0.8743167,1.1195302,-4.2589426,-2.717179,-1.6522408,5.8399916,-4.610729,1.5847802,-1.546216,12.24165,5.4178476,-10.984212,21.32076,-0.96423626,0.7815242,0.0,5.7943344,-1.3240993,9.179628,6.815648,12.190437],"ENZL^FG_PRICE(0,-200D)":[46.115,46.295,46.1476,45.8584,45.4719,45.2715,45.41,45.41,45.73,45.74,45.54,45.18,44.82,44.6999,44.635,45.1265,45.75,45.71,46.35,46.2943,45.9504,46.0267,45.995,46.005,46.1656,45.8184,45.48,45.6257,45.47,44.6994,44.47,44.33,43.75,43.6663,44.2359,44.4932,44.845,44.9434,45.6572,45.675,45.6841,45.5808,45.3331,45.91,45.38,45.7056,45.89,45.755,45.675,45.845,45.99,45.615,45.52,45.2309,45.325,45.56,45.175,45.42,45.14,45.0665,45.45,45.805,46.575,47.095,47.05,47.135,47.1883,46.68,46.7116,45.9334,45.485,45.365,45.1969,45.5963,45.8659,46.2872,46.41,46.255,47.045,47.0204,47.1072,46.74,47.225,46.85,46.655,46.74,46.13,45.37,45.495,45.3801,44.86,44.87,44.67,45.19,45.62,45.7829,45.58,45.675,45.605,45.845,45.684,45.57,45.82,45.659,45.79,45.745,45.795,45.63,45.255,44.93,44.69,45.05,45.19,45.8343,45.64,46.0511,45.98,46.135,46.155,46.3676,45.695,45.872,45.56,44.89,45.49,45.76,46.01,46.07,45.98,45.5,45.96,46.265,45.96,45.61,45.37,45.32,44.6,44.79,44.86,44.6,45.08,45.09,45.97,45.19,46.07,45.76,45.65,45.32,45.31,45.53,45.25,44.61,45.04,44.39,43.97,44.23,45.38,45.36,45.08,45.22,45.2,45.15,45.41,45.6,45.33,45.62,44.75,45.17,44.23,44.56,44.82,44.49,44.29,43.06,42.61,43.35,43.6,43.76,43.805,42.8238,43.095,43.38,43.5,43.03,42.68,43.1,42.39,41.79,41.36,39.48,39.39,40.13,42.72,42.67,42.39,42.08,42.05,42.6,42.48,42.41,41.83],"INDA^FG_PRICE(0,-200D)":[53.72,54.2,54.08,54.29,54.56,54.05,53.64,53.47,53.84,54.01,54.47,54.19,54.15,53.28,52.97,52.95,53.1,53.14,53.57,53.36,53.27,53.08,53.97,53.76,53.41,53.88,54.33,54.71,54.67,54.28,54.22,54.21,54.72,54.83,54.61,54.65,54.62,54.2,54.56,54.74,54.15,53.75,53.62,54.3,54.02,54.24,53.97,54.27,54.61,54.54,54.72,54.51,54.76,55.29,54.48,54.74,54.45,54.065,53.76,52.78,52.97,52.77,52.81,52.63,52.88,52.76,52.45,52.3,52.39,52.06,52.16,52.25,52.49,52.74,53.06,53.5,53.94,53.74,54.02,53.87,53.43,53.15,53.24,53.16,52.71,52.89,52.48,52.59,52.62,52.35,51.98,52.54,52.68,52.55,53.23,53.58,53.57,53.8,53.65,53.5,52.71,52.41,52.71,52.465,52.27,52.12,52.53,52.255,52.41,52.48,52.72,52.64,52.7,53.49,53.23,53.8,54.06,54.73,54.61,54.75,54.5,55.01,55.27,54.875,54.92,54.88,55.27,55.66,55.69,55.36,55.79,55.6,55.84,55.68,55.86,55.71,55.0,54.8,54.31,53.9,53.79,53.83,54.56,54.04,54.8,55.33,55.26,55.24,54.91,54.18,53.92,53.96,54.54,54.31,54.59,54.285,54.53,54.58,53.79,54.03,54.07,54.78,54.66,54.77,53.97,54.01,54.32,52.39,51.54,53.22,53.68,54.32,53.91,53.54,53.57,53.54,53.29,52.85,53.74,53.18,53.5,53.0,52.26,51.13,51.13,51.03,50.76,50.52,51.22,49.16,49.13,49.19,51.18,51.56,51.05,51.48,51.28,51.79,51.4,52.04,52.12],"EPU^FG_PRICE(0,-200D)":[76.55,75.42,76.71,74.87,72.71,72.35,72.91,71.95,73.77,72.74,72.78,72.08,71.2,69.98,69.18,69.3,69.25,69.3,69.68,68.29,67.48,66.53,67.03,67.0,66.03,64.67,64.57,64.47,63.1,61.56,61.02,59.64,59.5,61.25,60.32,61.1636,62.34,62.52,64.38,63.04,63.13,61.77,61.75,61.39,60.31,62.16,62.78,63.11,63.12,62.53,61.55,61.62,61.61,60.71,61.35,64.0,62.97,64.55,64.1,63.3,63.41,60.91,62.65,63.53,61.87,62.71,62.31,61.33,61.05,61.5,60.8036,59.3,59.78,59.89,58.88,58.59,57.8112,57.14,57.8745,57.9154,58.4354,57.768,57.5472,56.45,56.0,56.6475,56.5,55.73,56.01,54.91,53.8,53.4188,52.9672,53.39,52.93,53.23,52.009,51.75,51.68,52.3821,52.1916,51.95,52.16,51.75,51.1309,51.72,50.7055,50.1833,49.7,49.27,48.35,48.65,47.99,49.44,49.15,49.61,49.98,50.3,49.55,48.93,48.32,48.2014,48.0038,48.12,48.69,48.83,49.12,48.81,49.3,49.62,50.06,49.75,48.8572,48.59,48.49,49.1078,47.3159,47.313,46.97,47.08,47.4137,47.62,47.7117,48.2913,48.5848,48.44,48.2311,48.53,48.5916,48.7961,48.065,47.95,47.72,46.64,46.6136,46.5428,46.83,46.76,45.76,45.66,45.57,45.16,44.57,45.06,44.95,45.11,44.74,45.3303,45.02,44.79,45.45,44.7003,44.44,43.74,44.33,44.8,44.6021,44.4285,44.55,43.98,43.836,43.48,43.2,43.3511,43.15,43.14,42.085,40.8059,41.46,38.53,39.07,40.05,43.42,44.85,44.57,43.89,44.2008,44.86,44.4931,45.2331,44.6],"SET-BKK^FG_TOTAL_RETURNC(-5AY,0,AM)":[3.8893223,-1.3023555,1.8022537,0.97618103,1.6807556,1.7570615,-4.2910814,-1.4219403,7.8023553,-0.06338954,-0.81005096,-0.47782063,2.425909,1.605308,-3.867048,4.131925,-3.3463836,0.44858456,-4.827446,3.2737017,1.9348979,-3.6792636,3.3519864,-0.7423699,3.2934427,-0.21029115,-3.4567833,-2.2032738,-0.9397149,-0.1760304,-4.423851,1.8738508,1.8920779,-7.02703,-1.8547714,-2.1802425,2.7125478,-2.1044075,-0.15698671,-0.78187585,-0.16356707,-2.9555857,-0.76833963,-1.9848764,10.136164,1.7623544,0.81840754,-0.8691251,-4.424363,-7.6117697,-6.244487,-10.602069,12.283754,-5.814725,-1.8285334,12.85528,0.5591512,3.0653,-0.15403032,-3.1867146,-0.61757565],"CNYA^FG_TOTAL_RETURNC(-5AY,0,AM)":[10.878027,2.6019812,-12.228668,1.6650319,0.6502867,6.4130187,-2.9221356,-1.7169297,2.1482468,-0.50843954,0.58071613,3.4411073,-4.802072,-4.6627226,-6.0824156,-2.5376737,-12.394899,10.433435,5.636275,-6.3015103,-4.994333,-7.0489826,-3.0848384,8.355438,3.2855034,1.5174508,-3.6771297,2.8553605,-2.5045216,-8.228815,-0.92936754,3.632605,-7.800555,-0.018209219,-1.8032491,-3.639996,-3.3369243,0.77267885,6.0129166,-0.45679808,2.753353,-2.567923,-4.3383,0.3203869,-2.834326,32.703365,-7.2755394,-2.704513,-5.7275414,3.664434,2.0994067,-12.302285,11.6232395,1.3285398,3.6005259,3.9491773,9.481335,3.228724,1.1400104,-0.69363713,5.0013065],"KSA^FG_PRICE(0,-200D)":[36.82,36.32,37.03,36.0,36.77,36.41,36.05,36.39,36.57,36.6,36.76,36.55,36.36,36.3,35.83,36.09,36.81,37.4,37.62,37.66,37.43,37.19,37.2,37.17,37.04,36.98,37.06,37.44,37.38,37.59,38.16,38.28,38.19,38.43,38.79,38.45,38.83,38.73,39.17,39.39,39.32,39.28,39.3,39.35,39.68,40.0,40.28,40.23,41.03,40.89,40.61,40.73,40.67,40.51,40.47,40.89,40.78,40.78,40.89,40.75,40.69,39.81,40.68,40.55,40.59,40.77,40.49,40.48,40.25,40.58,40.15,39.95,39.84,40.54,40.78,38.18,37.83,37.77,37.43,36.9,36.71,36.72,36.8,36.8,36.76,36.69,37.2,37.35,37.11,37.21,37.36,37.47,37.68,38.02,38.08,38.13,37.94,37.89,37.84,37.83,37.55,37.59,37.44,37.49,37.43,37.83,37.83,38.04,37.78,37.63,37.32,37.56,37.62,37.39,37.61,37.72,37.68,37.97,37.5,37.82,38.13,38.17,38.1,38.09,38.65,38.89,39.0,38.89,38.9,39.08,38.89,38.44,38.25,38.54,38.26,38.16,37.82,37.72,37.1,36.56,36.36,36.83,37.48,37.13,38.07,38.46,38.72,38.57,38.51,38.48,38.38,38.0,38.16,38.33,38.39,38.6,38.21,39.17,39.28,39.3,39.89,39.91,40.19,40.13,40.21,40.3,40.04,39.54,39.44,39.53,39.72,39.71,40.33,40.01,40.43,40.74,40.85,41.16,41.05,40.37,40.41,39.9,40.19,40.04,40.24,40.01,39.58,39.34,40.2,38.17,38.75,38.98,40.61,41.52,41.34,41.37,41.07,41.39,40.87,40.28,40.49],"GREK^FG_PRICE(0,-200D)":[69.19,67.98,67.39,67.61,67.4446,65.91,66.5,68.0,68.61,68.16,68.21,68.39,67.25,66.94,66.25,66.81,67.45,67.24,67.67,66.77,65.8,66.97,66.45,66.3,66.37,66.64,66.28,65.32,66.15,65.48,63.99,64.64,62.76,63.34,63.2,64.5,65.0,64.67,64.32,63.63,63.69,62.35,62.47,62.68,62.17,63.18,62.22,62.69,63.76,62.89,63.03,63.27,64.06,63.56,63.28,62.99,62.75,63.87,64.67,64.83,65.61,65.45,65.7,65.62,65.33,65.38,66.17,65.25,65.56,64.4,64.27,63.82,63.96,65.0,65.23,64.76,64.14,64.3,64.1,64.77,65.23,65.17,64.22,63.64,63.6,63.86,63.4,63.26,63.4,62.28,63.09,63.94,64.49,64.98,65.62,65.995,65.2,65.4,65.15,65.58,66.89,66.53,66.81,66.35,65.68,65.0692,64.58,64.2,62.98,62.02,60.34,60.51,60.44,60.98,60.45,62.15,62.0,62.58,61.43,61.53,61.2,61.52,60.8,60.25,60.82,60.99,61.32,61.08,60.9,59.12,59.72,59.34,58.63,58.04,58.17,59.31,58.42,57.86,56.55,54.71,54.58,54.88,55.79,56.0,56.89,56.52,56.48,55.85,55.46,55.77,55.24,55.29,55.7,55.0,55.71,55.85,55.02,53.23,53.88,54.14,53.89,52.9,52.5,52.15,52.22,52.07,51.6,51.0483,50.26,50.37,50.13,50.44,50.1,49.3,49.52,49.99,49.71,49.52,49.95,49.35,49.05,47.02,47.34,47.35,47.415,46.92,45.92,44.76,44.85,42.65,40.77,43.59,47.32,48.1,47.63,46.97,48.4701,48.9,48.42,48.48,48.31],"EPOL^FG_PRICE(0,-200D)":[35.82,36.6,36.26,36.17,36.25,35.19,35.16,34.96,35.2,35.15,34.99,35.2,34.78,34.41,34.27,34.41,35.9,35.2,35.27,34.88,34.25,33.51,33.44,33.53,33.61,33.65,33.9,34.07,34.07,33.73,32.94,33.04,32.56,33.29,32.87,33.39,34.16,34.13,34.42,34.56,34.44,33.84,33.95,33.51,33.31,33.78,33.71,34.22,34.53,34.85,34.2,33.91,34.17,33.83,33.1,33.49,32.92,32.83,32.9,32.22,32.41,31.78,32.28,32.62,32.58,32.51,32.92,32.81,32.6,32.2,32.11,32.17,31.57,32.09,32.04,32.0,31.76,32.07,32.32,32.51,32.81,32.28,32.6,31.83,32.38,32.88,32.14,32.13,31.52,31.29,31.7,32.07,32.34,32.86,32.59,32.7,33.38,33.78,33.79,33.64,33.45,33.27,34.07,33.99,33.44,33.97,33.53,32.84,31.79,31.94,31.7,31.75,32.21,32.25,32.13,33.35,33.29,33.45,32.93,32.9,32.86,32.34,31.97,31.66,32.14,31.95,32.05,32.72,32.62,32.25,32.82,32.19,32.06,32.26,31.69,31.65,30.57,30.56,29.51,29.72,29.36,29.39,29.38,29.86,30.63,30.62,30.83,30.0,29.46,29.75,30.22,29.92,30.49,30.37,30.72,31.25,30.82,29.85,29.99,30.09,30.77,30.53,30.32,30.49,30.68,30.8,30.5,30.88,29.94,29.66,29.48,29.83,30.09,29.45,29.48,30.3,30.3,30.04,30.19,29.43,29.25,28.63,28.29,27.74,27.58,27.59,27.25,26.93,27.69,24.7,24.54,25.14,27.51,28.79,28.28,28.01,28.43,28.69,28.42,29.11,28.56],"EWC^FG_TOTAL_RETURNC(-5AY,0,AM)":[3.4421444,1.0900021,2.3105383,5.2694917,5.291772,3.6946416,-3.312081,2.2082925,-0.18672347,0.7749915,5.701411,-3.4370244,0.82069635,1.1746168,-2.7605772,5.837095,-7.6961637,3.530693,-10.803819,3.8814902,-2.9092968,-8.431262,8.469688,0.82815886,0.41549206,4.5939565,-3.910458,1.7398953,3.014493,-2.965945,0.5565405,1.1651516,-2.073139,-3.6459804,0.9765029,5.953467,5.9593916,-1.2278318,3.8950324,1.9409776,-1.1476219,-1.1609554,1.4857888,0.0,4.381311,4.6553016,1.3368964,2.8544068,-3.5737216,2.0833373,-2.833134,-8.154196,15.173531,6.0266256,2.0214558,2.913046,4.140258,3.7322521,-2.033633,5.6886315,3.773713],"QAT^FG_TOTAL_RETURNC(-5AY,0,AM)":[2.9692888,-2.5205195,-3.807962,6.25,3.3613443,-1.6778469,1.2253761,-0.3653407,2.871132,5.152738,2.1307588,-2.92508,1.9396186,7.424319,8.765388,2.6547909,-5.328524,-4.612774,-4.5757294,10.678207,-5.5628004,0.6902933,-1.0511875,-8.683598,-0.8903384,-8.166409,4.306495,-1.7694354,5.513096,-2.7400553,-1.160866,3.5794258,-4.211664,-2.9312313,0.4065156,-2.024293,7.674134,-6.524128,5.0439954,-1.0050297,-3.102082,-1.6880155,6.99296,0.3006935,2.3573399,3.7810445,1.1963129,-3.1703413,-0.3221929,1.4705896,0.7246375,-4.64859,8.038306,1.154983,1.8606186,6.4068437,-1.5052736,-1.6301572,0.5696535,-2.3923755,2.945447],"EWT^FG_TOTAL_RETURNC(-5AY,0,AM)":[8.98571,3.8030863,-2.4139702,7.245612,5.4473996,-2.4511278,1.1450291,1.7138481,-0.9893298,-4.4028163,5.8794737,3.5323143,1.2527108,-1.0886014,-8.71293,0.18419027,-7.8054547,1.812911,-11.663103,2.9429555,-4.6406865,-10.574949,0.8725643,12.770319,-0.014054775,7.124126,-0.3113866,0.15617609,-1.3811529,7.002485,-2.3854733,0.389266,-2.735883,0.93022585,0.17555952,6.352675,4.6693206,3.2164931,4.1478634,1.0524154,-0.22462606,4.7073245,9.929633,-9.583932,-1.51425,8.506382,3.0364394,-2.0360827,-1.1749625,-0.9144664,-1.4997065,-20.066362,24.932838,5.766225,6.560707,4.5612216,1.1444688,7.658255,-1.5841603,1.4858365,4.4001937],"VNM^FG_PRICE(0,-200D)":[19.31,19.44,19.43,19.02,19.11,19.08,19.01,18.92,18.4,19.01,19.08,18.61,18.39,17.88,17.54,17.85,17.42,17.49,18.27,18.28,18.65,18.72,18.65,18.59,18.69,18.65,18.38,18.34,18.24,17.75,17.91,17.72,17.45,17.61,17.73,17.66,17.59,17.42,17.53,16.93,16.71,16.88,17.32,17.57,17.53,17.09,17.43,17.71,18.15,18.18,17.74,18.21,18.29,18.17,18.045,18.2,19.2,19.64,19.42,19.69,19.59,18.98,18.75,18.43,18.23,18.435,17.53,17.515,18.04,17.84,17.69,17.55,17.67,17.58,17.29,17.53,17.68,17.8,17.88,18.06,18.4,17.97,18.03,17.75,17.67,17.37,17.97,18.43,18.25,18.14,18.29,18.315,18.02,17.96,17.22,17.36,17.6,17.69,17.9,17.84,17.71,17.76,17.46,17.44,17.27,17.18,16.8,17.09,16.67,16.58,15.95,16.01,16.03,15.9,16.78,16.47,15.995,16.0,15.82,15.35,15.575,15.67,15.41,15.04,15.24,15.22,15.12,14.89,14.51,14.18,13.96,13.76,13.72,13.75,13.73,13.61,13.54,13.62,13.4,13.345,13.36,13.31,13.26,13.02,13.36,13.32,13.4,13.26,13.64,13.74,13.86,13.96,13.81,13.59,13.51,13.71,13.585,13.14,13.17,13.21,13.09,12.865,12.75,12.81,12.82,12.74,12.69,12.49,12.6,12.42,12.22,12.27,12.24,12.11,12.07,12.05,11.95,12.01,12.0,11.62,11.64,11.51,11.73,11.5,11.74,11.93,11.87,11.31,11.46,10.13,11.16,11.64,11.4,12.7,12.56,12.48,12.38,12.56,12.49,12.69,12.7],"EWA^FG_TOTAL_RETURNC(-5AY,0,AM)":[5.790913,0.6443858,-0.24009347,2.2061706,5.023551,2.27952,-4.8669157,2.5700927,-0.34168363,-2.9714286,3.9654493,-4.2673707,0.65983534,-3.5743356,0.7160902,10.999584,-9.231353,1.4943957,-9.9845295,5.9568524,-4.116869,-7.0175467,6.7030787,7.957196,1.0718346,5.7775855,-5.8726907,0.7417083,0.95279217,-2.1749437,-1.2511134,1.4027119,-3.1682253,-1.2903273,0.46685934,6.040883,7.203603,-1.8773437,5.3146243,-0.28259754,-0.8097172,0.9795904,1.9073844,-2.5070727,4.1891336,4.657638,-1.3313055,-0.9252131,-3.6222994,2.3398995,-4.1716814,-12.850565,19.260323,6.202173,0.63745975,1.8745184,1.3894081,0.85184574,-2.9012084,-0.7564306,2.222097],"EWL^FG_PRICE(0,-200D)":[60.21,60.31,60.55,60.43,60.34,59.96,60.17,60.35,60.54,60.53,60.4,59.93,59.57,59.47,58.84,59.02,59.06,58.37,58.49,58.38,57.69,57.76,58.03,57.91,58.07,57.94,57.42,57.82,57.55,57.26,56.39,56.69,55.69,56.36,56.58,56.81,57.55,57.85,58.06,57.67,56.36,55.74,55.22,55.4,55.06,55.12,55.36,55.6,55.66,56.17,56.94,57.12,57.17,57.14,57.11,57.68,57.78,57.47,56.64,56.33,56.08,56.1,56.36,56.83,56.55,56.72,56.66,56.25,55.94,55.24,54.57,54.26,53.86,54.51,55.24,55.57,55.26,55.21,55.29,55.48,55.56,55.65,56.12,55.62,56.02,56.33,56.25,55.71,55.08,54.67,55.33,55.33,55.24,55.11,54.97,55.64,54.94,55.52,54.9,54.35,54.5,54.1,54.2,53.81,53.2,53.6,53.68,52.98,53.48,53.31,52.43,52.72,53.48,54.12,54.16,55.16,55.12,56.2,54.96,54.51,54.48,54.36,54.55,54.18,54.71,54.7,55.45,55.28,54.82,54.53,54.9,55.27,54.98,54.81,54.63,54.26,53.75,54.32,53.46,52.68,53.25,53.42,53.77,55.22,56.27,55.43,55.67,55.62,55.64,55.47,55.56,55.03,55.54,55.18,54.9,54.62,55.2,55.03,54.77,55.04,55.17,55.02,54.41,54.02,52.94,53.19,53.53,53.58,53.58,54.15,54.34,54.64,54.47,53.52,53.86,53.67,53.71,53.04,52.96,52.23,52.45,51.82,51.95,51.29,51.45,51.2,51.05,49.7,49.71,47.12,47.04,48.36,51.41,51.49,51.76,51.79,52.48,52.59,52.45,52.98,52.9],"EIDO^FG_PRICE(0,-200D)":[18.99,19.03,19.08,19.04,18.81,18.7,18.67,18.67,18.47,18.45,18.56,18.68,18.58,18.63,18.6,18.67,18.86,18.76,18.68,18.86,18.68,18.87,18.82,18.79,18.83,18.92,18.79,18.67,18.87,18.73,18.78,18.37,18.33,18.48,18.26,18.38,18.38,18.28,18.44,18.45,18.55,18.53,18.44,18.54,18.36,18.45,18.28,18.27,18.32,18.05,18.09,18.3,18.3,17.89,18.17,17.82,17.3,17.36,17.21,17.22,17.57,17.31,17.65,17.45,17.43,17.42,17.43,17.44,17.46,17.55,17.69,17.6,17.41,17.68,17.76,17.73,17.79,17.72,17.98,17.85,17.96,17.83,17.64,17.33,17.06,17.5,17.93,17.77,17.81,17.74,17.67,18.19,18.16,18.38,18.61,18.65,18.44,18.6,18.31,18.43,18.5,18.63,18.83,18.61,17.98,17.83,17.72,17.66,17.62,17.59,17.61,17.27,17.58,17.8,17.75,17.6,17.81,17.81,17.56,17.73,17.69,17.76,17.7,17.72,17.63,17.87,17.76,17.47,17.31,17.34,17.47,17.48,17.49,17.63,17.49,17.51,17.18,17.38,16.89,17.18,17.87,18.02,18.01,18.62,18.9,18.91,18.84,18.59,18.51,18.56,18.45,18.42,18.56,18.88,18.95,18.91,19.04,19.16,18.91,18.79,18.53,18.74,18.39,18.27,17.97,17.54,17.4,17.41,17.45,17.71,17.74,17.65,17.63,17.3,17.31,17.1,16.93,16.77,16.76,16.61,16.36,16.03,16.13,15.93,16.14,16.09,15.87,15.45,15.56,14.36,15.15,15.09,15.88,16.33,16.25,16.3,16.37,16.42,16.31,15.72,15.34],"ENZL^FG_TOTAL_RETURNC(-5AY,0,AM)":[5.917752,-2.9264867,-9.764708,2.8846145,4.0551305,-4.2274356,-2.0830274,1.2448907,3.0173063,-2.9132307,2.9925585,-7.2225513,-0.21534562,-6.2440815,-2.1679223,2.7793407,-11.310064,-1.4421105,-3.8176596,7.299912,-4.3647585,-11.784876,7.7240705,11.9053,0.7683158,3.9381146,-6.533927,3.1644344,1.88452,-4.94138,3.5542488,-3.2505572,-7.8255415,1.9470215,-2.3539782,6.5271735,4.6090603,-3.791666,0.043308735,-1.7099559,-0.74873567,1.7750144,-1.013118,3.2401204,4.836631,-0.79966784,-0.99214315,-2.4425924,-2.3488522,-0.4663527,-4.0941534,-8.154011,12.031412,2.4417877,2.4395347,-0.51109195,2.1751046,0.75951815,-3.2152057,0.9782672,1.4690161]}]]></FdsFormulaCache>
</file>

<file path=customXml/itemProps1.xml><?xml version="1.0" encoding="utf-8"?>
<ds:datastoreItem xmlns:ds="http://schemas.openxmlformats.org/officeDocument/2006/customXml" ds:itemID="{27F59E55-251C-4E0D-A58F-2DA94D37CABC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FILTER1</vt:lpstr>
      <vt:lpstr>FILTER2</vt:lpstr>
      <vt:lpstr>MONTHLY_RETURNS</vt:lpstr>
      <vt:lpstr>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TDS</dc:creator>
  <cp:lastModifiedBy>prasham jain</cp:lastModifiedBy>
  <dcterms:created xsi:type="dcterms:W3CDTF">2025-08-18T07:31:08Z</dcterms:created>
  <dcterms:modified xsi:type="dcterms:W3CDTF">2026-01-09T10:06:19Z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