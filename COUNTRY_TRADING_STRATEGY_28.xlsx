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CDB3DF57-6A10-4B88-955E-4E8C52C353C2}" xr6:coauthVersionLast="47" xr6:coauthVersionMax="47" xr10:uidLastSave="{00000000-0000-0000-0000-000000000000}"/>
  <bookViews>
    <workbookView xWindow="25620" yWindow="-98" windowWidth="22140" windowHeight="11821" firstSheet="1" activeTab="2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D2" i="1" a="1"/>
  <c r="N2" i="1" a="1"/>
  <c r="M2" i="1" a="1"/>
  <c r="I2" i="6" a="1"/>
  <c r="AE2" i="1" a="1"/>
  <c r="O2" i="1" a="1"/>
  <c r="AI2" i="6" a="1"/>
  <c r="AA2" i="6" a="1"/>
  <c r="S2" i="6" a="1"/>
  <c r="K2" i="6" a="1"/>
  <c r="C2" i="6" a="1"/>
  <c r="V2" i="1" a="1"/>
  <c r="F2" i="1" a="1"/>
  <c r="AB2" i="1" a="1"/>
  <c r="L2" i="1" a="1"/>
  <c r="P2" i="6" a="1"/>
  <c r="O2" i="6" a="1"/>
  <c r="AH2" i="1" a="1"/>
  <c r="Y2" i="1" a="1"/>
  <c r="R2" i="6" a="1"/>
  <c r="AC2" i="1" a="1"/>
  <c r="E2" i="1" a="1"/>
  <c r="Q2" i="6" a="1"/>
  <c r="A2" i="6" a="1"/>
  <c r="AF2" i="6" a="1"/>
  <c r="H2" i="6" a="1"/>
  <c r="S2" i="1" a="1"/>
  <c r="AE2" i="6" a="1"/>
  <c r="V2" i="6" a="1"/>
  <c r="AG2" i="1" a="1"/>
  <c r="I2" i="1" a="1"/>
  <c r="A2" i="1" a="1"/>
  <c r="AC2" i="6" a="1"/>
  <c r="U2" i="6" a="1"/>
  <c r="E2" i="6" a="1"/>
  <c r="X2" i="1" a="1"/>
  <c r="T2" i="6" a="1"/>
  <c r="D2" i="6" a="1"/>
  <c r="W2" i="1" a="1"/>
  <c r="AH2" i="6" a="1"/>
  <c r="Z2" i="6" a="1"/>
  <c r="J2" i="6" a="1"/>
  <c r="B2" i="6" a="1"/>
  <c r="U2" i="1" a="1"/>
  <c r="AA2" i="1" a="1"/>
  <c r="N2" i="6" a="1"/>
  <c r="Y2" i="6" a="1"/>
  <c r="AI2" i="1" a="1"/>
  <c r="J2" i="1" a="1"/>
  <c r="B2" i="1" a="1"/>
  <c r="AD2" i="6" a="1"/>
  <c r="AF2" i="1" a="1"/>
  <c r="AG2" i="6" a="1"/>
  <c r="T2" i="1" a="1"/>
  <c r="D2" i="1" a="1"/>
  <c r="X2" i="6" a="1"/>
  <c r="K2" i="1" a="1"/>
  <c r="C2" i="1" a="1"/>
  <c r="W2" i="6" a="1"/>
  <c r="G2" i="6" a="1"/>
  <c r="Z2" i="1" a="1"/>
  <c r="R2" i="1" a="1"/>
  <c r="F2" i="6" a="1"/>
  <c r="Q2" i="1" a="1"/>
  <c r="M2" i="6" a="1"/>
  <c r="P2" i="1" a="1"/>
  <c r="H2" i="1" a="1"/>
  <c r="AB2" i="6" a="1"/>
  <c r="L2" i="6" a="1"/>
  <c r="G2" i="1" a="1"/>
  <c r="G2" i="1" l="1"/>
  <c r="L2" i="6"/>
  <c r="AB2" i="6"/>
  <c r="H2" i="1"/>
  <c r="P2" i="1"/>
  <c r="M2" i="6"/>
  <c r="Q2" i="1"/>
  <c r="F2" i="6"/>
  <c r="R2" i="1"/>
  <c r="Z2" i="1"/>
  <c r="G2" i="6"/>
  <c r="W2" i="6"/>
  <c r="C2" i="1"/>
  <c r="K2" i="1"/>
  <c r="X2" i="6"/>
  <c r="D2" i="1"/>
  <c r="T2" i="1"/>
  <c r="AG2" i="6"/>
  <c r="AF2" i="1"/>
  <c r="AD2" i="6"/>
  <c r="B2" i="1"/>
  <c r="J2" i="1"/>
  <c r="AI2" i="1"/>
  <c r="Y2" i="6"/>
  <c r="N2" i="6"/>
  <c r="AA2" i="1"/>
  <c r="U2" i="1"/>
  <c r="B2" i="6"/>
  <c r="J2" i="6"/>
  <c r="Z2" i="6"/>
  <c r="AH2" i="6"/>
  <c r="W2" i="1"/>
  <c r="D2" i="6"/>
  <c r="T2" i="6"/>
  <c r="X2" i="1"/>
  <c r="E2" i="6"/>
  <c r="U2" i="6"/>
  <c r="AC2" i="6"/>
  <c r="A2" i="1"/>
  <c r="I2" i="1"/>
  <c r="AG2" i="1"/>
  <c r="V2" i="6"/>
  <c r="AE2" i="6"/>
  <c r="S2" i="1"/>
  <c r="H2" i="6"/>
  <c r="AF2" i="6"/>
  <c r="A2" i="6"/>
  <c r="Q2" i="6"/>
  <c r="E2" i="1"/>
  <c r="AC2" i="1"/>
  <c r="R2" i="6"/>
  <c r="Y2" i="1"/>
  <c r="AH2" i="1"/>
  <c r="O2" i="6"/>
  <c r="P2" i="6"/>
  <c r="L2" i="1"/>
  <c r="AB2" i="1"/>
  <c r="F2" i="1"/>
  <c r="V2" i="1"/>
  <c r="C2" i="6"/>
  <c r="K2" i="6"/>
  <c r="S2" i="6"/>
  <c r="AA2" i="6"/>
  <c r="AI2" i="6"/>
  <c r="O2" i="1"/>
  <c r="AE2" i="1"/>
  <c r="I2" i="6"/>
  <c r="M2" i="1"/>
  <c r="N2" i="1"/>
  <c r="AD2" i="1"/>
  <c r="X68" i="1"/>
  <c r="Y68" i="1"/>
  <c r="AH68" i="1"/>
  <c r="AB68" i="1"/>
  <c r="Z68" i="1"/>
  <c r="AG68" i="1"/>
  <c r="AI68" i="1"/>
  <c r="AA68" i="1"/>
  <c r="AC68" i="1"/>
  <c r="AD68" i="1"/>
  <c r="AE68" i="1"/>
  <c r="AF68" i="1"/>
  <c r="W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6678233E-EDA2-442C-8D34-5104A424713E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Timestamp="1772178911"&gt;&lt;FQL&gt;&lt;Q&gt;QQQ^FG_TOTAL_RETURNC(-5AY,0,AM)&lt;/Q&gt;&lt;R&gt;61&lt;/R&gt;&lt;C&gt;1&lt;/C&gt;&lt;D xsi:type="xsd:double"&gt;-4.397571&lt;/D&gt;&lt;D xsi:type="xsd:double"&gt;0.71669817&lt;/D&gt;&lt;D xsi:type="xsd:double"&gt;8.110762&lt;/D&gt;&lt;D xsi:type="xsd:double"&gt;-2.1953583&lt;/D&gt;&lt;D xsi:type="xsd:double"&gt;4.7085404&lt;/D&gt;&lt;D xsi:type="xsd:double"&gt;5.44554&lt;/D&gt;&lt;D xsi:type="xsd:double"&gt;1.0665178&lt;/D&gt;&lt;D xsi:type="xsd:double"&gt;0.35779476&lt;/D&gt;&lt;D xsi:type="xsd:double"&gt;1.5509129&lt;/D&gt;&lt;D xsi:type="xsd:double"&gt;3.1863332&lt;/D&gt;&lt;D xsi:type="xsd:double"&gt;1.5931368&lt;/D&gt;&lt;D xsi:type="xsd:double"&gt;-13.189059&lt;/D&gt;&lt;D xsi:type="xsd:double"&gt;0.34825802&lt;/D&gt;&lt;D xsi:type="xsd:double"&gt;4.0562153&lt;/D&gt;&lt;D xsi:type="xsd:double"&gt;-11.746204&lt;/D&gt;&lt;D xsi:type="xsd:double"&gt;-5.6158247&lt;/D&gt;&lt;D xsi:type="xsd:double"&gt;-1.3921797&lt;/D&gt;&lt;D xsi:type="xsd:double"&gt;-0.08146167&lt;/D&gt;&lt;D xsi:type="xsd:double"&gt;4.4399977&lt;/D&gt;&lt;D xsi:type="xsd:double"&gt;-10.597574&lt;/D&gt;&lt;D xsi:type="xsd:double"&gt;1.2975216&lt;/D&gt;&lt;D xsi:type="xsd:double"&gt;3.2346368&lt;/D&gt;&lt;D xsi:type="xsd:double"&gt;-6.5908375&lt;/D&gt;&lt;D xsi:type="xsd:double"&gt;9.717237&lt;/D&gt;&lt;D xsi:type="xsd:double"&gt;-0.50793886&lt;/D&gt;&lt;D xsi:type="xsd:double"&gt;6.6883087&lt;/D&gt;&lt;D xsi:type="xsd:double"&gt;0.3152132&lt;/D&gt;&lt;D xsi:type="xsd:double"&gt;11.713219&lt;/D&gt;&lt;D xsi:type="xsd:double"&gt;2.804613&lt;/D&gt;&lt;D xsi:type="xsd:double"&gt;5.546856&lt;/D&gt;&lt;D xsi:type="xsd:double"&gt;-3.5759686999999998&lt;/D&gt;&lt;D xsi:type="xsd:double"&gt;-2.5543094&lt;/D&gt;&lt;D xsi:type="xsd:double"&gt;-2.978456&lt;/D&gt;&lt;D xsi:type="xsd:double"&gt;13.341677&lt;/D&gt;&lt;D xsi:type="xsd:double"&gt;5.69582&lt;/D&gt;&lt;D xsi:type="xsd:double"&gt;3.2010078&lt;/D&gt;&lt;D xsi:type="xsd:double"&gt;3.006065&lt;/D&gt;&lt;D xsi:type="xsd:double"&gt;1.6839147&lt;/D&gt;&lt;D xsi:type="xsd:double"&gt;-2.7790308&lt;/D&gt;&lt;D xsi:type="xsd:double"&gt;6.2529087&lt;/D&gt;&lt;D xsi:type="xsd:double"&gt;5.064273&lt;/D&gt;&lt;D xsi:type="xsd:double"&gt;-3.622204&lt;/D&gt;&lt;D xsi:type="xsd:double"&gt;2.6718736&lt;/D&gt;&lt;D xsi:type="xsd:double"&gt;3.1169057&lt;/D&gt;&lt;D xsi:type="xsd:double"&gt;1.1951685&lt;/D&gt;&lt;D xsi:type="xsd:double"&gt;2.8244376&lt;/D&gt;&lt;D xsi:type="xsd:double"&gt;4.1498065&lt;/D&gt;&lt;D xsi:type="xsd:double"&gt;0.005674362&lt;/D&gt;&lt;D xsi:type="xsd:double"&gt;-2.8453827&lt;/D&gt;&lt;D xsi:type="xsd:double"&gt;-5.727893&lt;/D&gt;&lt;D xsi:type="xsd:double"&gt;-2.440232&lt;/D&gt;&lt;D xsi:type="xsd:double"&gt;7.761979&lt;/D&gt;&lt;D xsi:type="xsd:double"&gt;7.3810577&lt;/D&gt;&lt;D xsi:type="xsd:double"&gt;3.688991&lt;/D&gt;&lt;D xsi:type="xsd:double"&gt;1.1017561&lt;/D&gt;&lt;D xsi:type="xsd:double"&gt;4.199493&lt;/D&gt;&lt;D xsi:type="xsd:double"&gt;3.545487&lt;/D&gt;&lt;D xsi:type="xsd:double"&gt;-0.45859218&lt;/D&gt;&lt;D xsi:type="xsd:double"&gt;1.6963363&lt;/D&gt;&lt;D xsi:type="xsd:double"&gt;0.2516508&lt;/D&gt;&lt;D xsi:type="xsd:double"&gt;-2.5932968&lt;/D&gt;&lt;/FQL&gt;&lt;FQL&gt;&lt;Q&gt;GREK^FG_TOTAL_RETURNC(-5AY,0,AM)&lt;/Q&gt;&lt;R&gt;61&lt;/R&gt;&lt;C&gt;1&lt;/C&gt;&lt;D xsi:type="xsd:double"&gt;3.8413405&lt;/D&gt;&lt;D xsi:type="xsd:double"&gt;6.8757534&lt;/D&gt;&lt;D xsi:type="xsd:double"&gt;7.8555226&lt;/D&gt;&lt;D xsi:type="xsd:double"&gt;-1.7371237&lt;/D&gt;&lt;D xsi:type="xsd:double"&gt;2.8043985&lt;/D&gt;&lt;D xsi:type="xsd:double"&gt;-7.147789&lt;/D&gt;&lt;D xsi:type="xsd:double"&gt;5.8014154&lt;/D&gt;&lt;D xsi:type="xsd:double"&gt;-3.5500884&lt;/D&gt;&lt;D xsi:type="xsd:double"&gt;2.915454&lt;/D&gt;&lt;D xsi:type="xsd:double"&gt;-9.631723&lt;/D&gt;&lt;D xsi:type="xsd:double"&gt;5.6034446&lt;/D&gt;&lt;D xsi:type="xsd:double"&gt;4.611933&lt;/D&gt;&lt;D xsi:type="xsd:double"&gt;5.2555323&lt;/D&gt;&lt;D xsi:type="xsd:double"&gt;-11.225897&lt;/D&gt;&lt;D xsi:type="xsd:double"&gt;5.0038695&lt;/D&gt;&lt;D xsi:type="xsd:double"&gt;-1.7362356&lt;/D&gt;&lt;D xsi:type="xsd:double"&gt;-7.030076&lt;/D&gt;&lt;D xsi:type="xsd:double"&gt;-6.839246&lt;/D&gt;&lt;D xsi:type="xsd:double"&gt;4.6562195&lt;/D&gt;&lt;D xsi:type="xsd:double"&gt;-13.596666&lt;/D&gt;&lt;D xsi:type="xsd:double"&gt;16.773819&lt;/D&gt;&lt;D xsi:type="xsd:double"&gt;9.372938&lt;/D&gt;&lt;D xsi:type="xsd:double"&gt;2.411449&lt;/D&gt;&lt;D xsi:type="xsd:double"&gt;12.563551&lt;/D&gt;&lt;D xsi:type="xsd:double"&gt;6.7069054&lt;/D&gt;&lt;D xsi:type="xsd:double"&gt;-7.7938375&lt;/D&gt;&lt;D xsi:type="xsd:double"&gt;7.2597146&lt;/D&gt;&lt;D xsi:type="xsd:double"&gt;10.041321&lt;/D&gt;&lt;D xsi:type="xsd:double"&gt;2.685535&lt;/D&gt;&lt;D xsi:type="xsd:double"&gt;13.118291&lt;/D&gt;&lt;D xsi:type="xsd:double"&gt;-6.6266594&lt;/D&gt;&lt;D xsi:type="xsd:double"&gt;-9.212637&lt;/D&gt;&lt;D xsi:type="xsd:double"&gt;-1.7404139&lt;/D&gt;&lt;D xsi:type="xsd:double"&gt;11.738216&lt;/D&gt;&lt;D xsi:type="xsd:double"&gt;2.0687819&lt;/D&gt;&lt;D xsi:type="xsd:double"&gt;4.201591&lt;/D&gt;&lt;D xsi:type="xsd:double"&gt;3.7371159&lt;/D&gt;&lt;D xsi:type="xsd:double"&gt;0.34782887&lt;/D&gt;&lt;D xsi:type="xsd:double"&gt;1.448381&lt;/D&gt;&lt;D xsi:type="xsd:double"&gt;3.624165&lt;/D&gt;&lt;D xsi:type="xsd:double"&gt;-6.5944376&lt;/D&gt;&lt;D xsi:type="xsd:double"&gt;7.516086&lt;/D&gt;&lt;D xsi:type="xsd:double"&gt;0.50765276&lt;/D&gt;&lt;D xsi:type="xsd:double"&gt;3.146112&lt;/D&gt;&lt;D xsi:type="xsd:double"&gt;-10.074878&lt;/D&gt;&lt;D xsi:type="xsd:double"&gt;-1.8925071&lt;/D&gt;&lt;D xsi:type="xsd:double"&gt;4.4753075&lt;/D&gt;&lt;D xsi:type="xsd:double"&gt;7.794428&lt;/D&gt;&lt;D xsi:type="xsd:double"&gt;1.0845184&lt;/D&gt;&lt;D xsi:type="xsd:double"&gt;14.098274&lt;/D&gt;&lt;D xsi:type="xsd:double"&gt;2.2717953&lt;/D&gt;&lt;D xsi:type="xsd:double"&gt;7.4919224&lt;/D&gt;&lt;D xsi:type="xsd:double"&gt;11.422133&lt;/D&gt;&lt;D xsi:type="xsd:double"&gt;6.3781977&lt;/D&gt;&lt;D xsi:type="xsd:double"&gt;4.553497&lt;/D&gt;&lt;D xsi:type="xsd:double"&gt;-1.785171&lt;/D&gt;&lt;D xsi:type="xsd:double"&gt;-0.8617997&lt;/D&gt;&lt;D xsi:type="xsd:double"&gt;4.5519233&lt;/D&gt;&lt;D xsi:type="xsd:double"&gt;3.7188172&lt;/D&gt;&lt;D xsi:type="xsd:double"&gt;8.729612&lt;/D&gt;&lt;D xsi:type="xsd:double"&gt;-1.4097989&lt;/D&gt;&lt;/FQL&gt;&lt;FQL&gt;&lt;Q&gt;EZA^FG_TOTAL_RETURNC(-5AY,0,AM)&lt;/Q&gt;&lt;R&gt;61&lt;/R&gt;&lt;C&gt;1&lt;/C&gt;&lt;D xsi:type="xsd:double"&gt;2.4590135&lt;/D&gt;&lt;D xsi:type="xsd:double"&gt;6.5297365&lt;/D&gt;&lt;D xsi:type="xsd:double"&gt;3.0038595&lt;/D&gt;&lt;D xsi:type="xsd:double"&gt;2.9556632&lt;/D&gt;&lt;D xsi:type="xsd:double"&gt;-4.1977463&lt;/D&gt;&lt;D xsi:type="xsd:double"&gt;-6.0080647&lt;/D&gt;&lt;D xsi:type="xsd:double"&gt;0.8365512&lt;/D&gt;&lt;D xsi:type="xsd:double"&gt;-1.2337744&lt;/D&gt;&lt;D xsi:type="xsd:double"&gt;5.1475286&lt;/D&gt;&lt;D xsi:type="xsd:double"&gt;-13.088894&lt;/D&gt;&lt;D xsi:type="xsd:double"&gt;10.985875&lt;/D&gt;&lt;D xsi:type="xsd:double"&gt;3.1323671&lt;/D&gt;&lt;D xsi:type="xsd:double"&gt;8.570838&lt;/D&gt;&lt;D xsi:type="xsd:double"&gt;5.9206724&lt;/D&gt;&lt;D xsi:type="xsd:double"&gt;-14.7793&lt;/D&gt;&lt;D xsi:type="xsd:double"&gt;-0.33963323&lt;/D&gt;&lt;D xsi:type="xsd:double"&gt;-3.6839426&lt;/D&gt;&lt;D xsi:type="xsd:double"&gt;-6.1496735&lt;/D&gt;&lt;D xsi:type="xsd:double"&gt;2.6258707&lt;/D&gt;&lt;D xsi:type="xsd:double"&gt;-15.352106&lt;/D&gt;&lt;D xsi:type="xsd:double"&gt;7.5707197&lt;/D&gt;&lt;D xsi:type="xsd:double"&gt;13.972664&lt;/D&gt;&lt;D xsi:type="xsd:double"&gt;-0.47007203&lt;/D&gt;&lt;D xsi:type="xsd:double"&gt;7.291186&lt;/D&gt;&lt;D xsi:type="xsd:double"&gt;-12.430107&lt;/D&gt;&lt;D xsi:type="xsd:double"&gt;0.56483746&lt;/D&gt;&lt;D xsi:type="xsd:double"&gt;3.150189&lt;/D&gt;&lt;D xsi:type="xsd:double"&gt;-11.197925&lt;/D&gt;&lt;D xsi:type="xsd:double"&gt;5.722213&lt;/D&gt;&lt;D xsi:type="xsd:double"&gt;13.288868&lt;/D&gt;&lt;D xsi:type="xsd:double"&gt;-9.193844&lt;/D&gt;&lt;D xsi:type="xsd:double"&gt;-5.910224&lt;/D&gt;&lt;D xsi:type="xsd:double"&gt;-1.8287778&lt;/D&gt;&lt;D xsi:type="xsd:double"&gt;8.693302&lt;/D&gt;&lt;D xsi:type="xsd:double"&gt;3.0336618&lt;/D&gt;&lt;D xsi:type="xsd:double"&gt;-3.2706857&lt;/D&gt;&lt;D xsi:type="xsd:double"&gt;-4.7943535&lt;/D&gt;&lt;D xsi:type="xsd:double"&gt;1.8287778&lt;/D&gt;&lt;D xsi:type="xsd:double"&gt;4.2165637&lt;/D&gt;&lt;D xsi:type="xsd:double"&gt;7.092905&lt;/D&gt;&lt;D xsi:type="xsd:double"&gt;2.7068973&lt;/D&gt;&lt;D xsi:type="xsd:double"&gt;1.1761904&lt;/D&gt;&lt;D xsi:type="xsd:double"&gt;8.388424&lt;/D&gt;&lt;D xsi:type="xsd:double"&gt;8.243954&lt;/D&gt;&lt;D xsi:type="xsd:double"&gt;-3.4777582&lt;/D&gt;&lt;D xsi:type="xsd:double"&gt;-4.8711777&lt;/D&gt;&lt;D xsi:type="xsd:double"&gt;-4.4947805&lt;/D&gt;&lt;D xsi:type="xsd:double"&gt;1.2368798&lt;/D&gt;&lt;D xsi:type="xsd:double"&gt;6.27017&lt;/D&gt;&lt;D xsi:type="xsd:double"&gt;4.4685483&lt;/D&gt;&lt;D xsi:type="xsd:double"&gt;0.45681&lt;/D&gt;&lt;D xsi:type="xsd:double"&gt;8.557248&lt;/D&gt;&lt;D xsi:type="xsd:double"&gt;2.065897&lt;/D&gt;&lt;D xsi:type="xsd:double"&gt;3.3220172&lt;/D&gt;&lt;D xsi:type="xsd:double"&gt;6.1380982&lt;/D&gt;&lt;D xsi:type="xsd:double"&gt;8.95009&lt;/D&gt;&lt;D xsi:type="xsd:double"&gt;2.9699802&lt;/D&gt;&lt;D xsi:type="xsd:double"&gt;4.0656686&lt;/D&gt;&lt;D xsi:type="xsd:double"&gt;9.354043&lt;/D&gt;&lt;D xsi:type="xsd:double"&gt;10.05547&lt;/D&gt;&lt;D xsi:type="xsd:double"&gt;4.368055&lt;/D&gt;&lt;/FQL&gt;&lt;FQL&gt;&lt;Q&gt;EWT^FG_PRICE(0,-200D)&lt;/Q&gt;&lt;R&gt;201&lt;/R&gt;&lt;C&gt;1&lt;/C&gt;&lt;D xsi:type="xsd:double"&gt;76.14&lt;/D&gt;&lt;D xsi:type="xsd:double"&gt;77.06&lt;/D&gt;&lt;D xsi:type="xsd:double"&gt;75.73&lt;/D&gt;&lt;D xsi:type="xsd:double"&gt;73.18&lt;/D&gt;&lt;D xsi:type="xsd:double"&gt;74.38&lt;/D&gt;&lt;D xsi:type="xsd:double"&gt;72.67&lt;/D&gt;&lt;D xsi:type="xsd:double"&gt;72.98&lt;/D&gt;&lt;D xsi:type="xsd:double"&gt;72.89&lt;/D&gt;&lt;D xsi:type="xsd:double"&gt;73.05&lt;/D&gt;&lt;D xsi:type="xsd:double"&gt;72.56&lt;/D&gt;&lt;D xsi:type="xsd:double"&gt;73.35&lt;/D&gt;&lt;D xsi:type="xsd:double"&gt;71.44&lt;/D&gt;&lt;D xsi:type="xsd:double"&gt;70.76&lt;/D&gt;&lt;D xsi:type="xsd:double"&gt;70.05&lt;/D&gt;&lt;D xsi:type="xsd:double"&gt;67.86&lt;/D&gt;&lt;D xsi:type="xsd:double"&gt;68.15&lt;/D&gt;&lt;D xsi:type="xsd:double"&gt;68.83&lt;/D&gt;&lt;D xsi:type="xsd:double"&gt;68.94&lt;/D&gt;&lt;D xsi:type="xsd:double"&gt;68.06&lt;/D&gt;&lt;D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xsi:type="xsd:double"&gt;51.75&lt;/D&gt;&lt;/FQL&gt;&lt;FQL&gt;&lt;Q&gt;SPY^FG_TOTAL_RETURNC(-5AY,0,AM)&lt;/Q&gt;&lt;R&gt;61&lt;/R&gt;&lt;C&gt;1&lt;/C&gt;&lt;D xsi:type="xsd:double"&gt;-0.89372396&lt;/D&gt;&lt;D xsi:type="xsd:double"&gt;4.4481993&lt;/D&gt;&lt;D xsi:type="xsd:double"&gt;5.462396&lt;/D&gt;&lt;D xsi:type="xsd:double"&gt;0.349617&lt;/D&gt;&lt;D xsi:type="xsd:double"&gt;2.1367788&lt;/D&gt;&lt;D xsi:type="xsd:double"&gt;3.3777952&lt;/D&gt;&lt;D xsi:type="xsd:double"&gt;1.188159&lt;/D&gt;&lt;D xsi:type="xsd:double"&gt;-0.20475388&lt;/D&gt;&lt;D xsi:type="xsd:double"&gt;2.7145147&lt;/D&gt;&lt;D xsi:type="xsd:double"&gt;0.6601453&lt;/D&gt;&lt;D xsi:type="xsd:double"&gt;2.8988004&lt;/D&gt;&lt;D xsi:type="xsd:double"&gt;-7.909054&lt;/D&gt;&lt;D xsi:type="xsd:double"&gt;1.0083556&lt;/D&gt;&lt;D xsi:type="xsd:double"&gt;3.7306905&lt;/D&gt;&lt;D xsi:type="xsd:double"&gt;-8.082795&lt;/D&gt;&lt;D xsi:type="xsd:double"&gt;-2.5931299&lt;/D&gt;&lt;D xsi:type="xsd:double"&gt;-3.3428192&lt;/D&gt;&lt;D xsi:type="xsd:double"&gt;0.20766258&lt;/D&gt;&lt;D xsi:type="xsd:double"&gt;3.689015&lt;/D&gt;&lt;D xsi:type="xsd:double"&gt;-9.743547&lt;/D&gt;&lt;D xsi:type="xsd:double"&gt;4.8612475&lt;/D&gt;&lt;D xsi:type="xsd:double"&gt;5.316472&lt;/D&gt;&lt;D xsi:type="xsd:double"&gt;-4.3845296&lt;/D&gt;&lt;D xsi:type="xsd:double"&gt;5.7036877&lt;/D&gt;&lt;D xsi:type="xsd:double"&gt;-2.0679414&lt;/D&gt;&lt;D xsi:type="xsd:double"&gt;0.22666454&lt;/D&gt;&lt;D xsi:type="xsd:double"&gt;2.1756172&lt;/D&gt;&lt;D xsi:type="xsd:double"&gt;3.872788&lt;/D&gt;&lt;D xsi:type="xsd:double"&gt;3.1018734&lt;/D&gt;&lt;D xsi:type="xsd:double"&gt;5.5789948&lt;/D&gt;&lt;D xsi:type="xsd:double"&gt;-3.4115613&lt;/D&gt;&lt;D xsi:type="xsd:double"&gt;-2.8568506&lt;/D&gt;&lt;D xsi:type="xsd:double"&gt;-3.1299949&lt;/D&gt;&lt;D xsi:type="xsd:double"&gt;10.362375&lt;/D&gt;&lt;D xsi:type="xsd:double"&gt;4.893863&lt;/D&gt;&lt;D xsi:type="xsd:double"&gt;2.4724126&lt;/D&gt;&lt;D xsi:type="xsd:double"&gt;3.8119793&lt;/D&gt;&lt;D xsi:type="xsd:double"&gt;2.8544188&lt;/D&gt;&lt;D xsi:type="xsd:double"&gt;-2.033496&lt;/D&gt;&lt;D xsi:type="xsd:double"&gt;4.1671515&lt;/D&gt;&lt;D xsi:type="xsd:double"&gt;3.3681393&lt;/D&gt;&lt;D xsi:type="xsd:double"&gt;-0.19614697&lt;/D&gt;&lt;D xsi:type="xsd:double"&gt;3.0030847&lt;/D&gt;&lt;D xsi:type="xsd:double"&gt;2.3659468&lt;/D&gt;&lt;D xsi:type="xsd:double"&gt;1.1777043&lt;/D&gt;&lt;D xsi:type="xsd:double"&gt;3.7320495&lt;/D&gt;&lt;D xsi:type="xsd:double"&gt;0.4477501&lt;/D&gt;&lt;D xsi:type="xsd:double"&gt;1.102531&lt;/D&gt;&lt;D xsi:type="xsd:double"&gt;-2.2089899&lt;/D&gt;&lt;D xsi:type="xsd:double"&gt;-4.0771904&lt;/D&gt;&lt;D xsi:type="xsd:double"&gt;-3.1569362&lt;/D&gt;&lt;D xsi:type="xsd:double"&gt;5.1703453&lt;/D&gt;&lt;D xsi:type="xsd:double"&gt;5.9700727&lt;/D&gt;&lt;D xsi:type="xsd:double"&gt;4.1234255&lt;/D&gt;&lt;D xsi:type="xsd:double"&gt;1.2651086&lt;/D&gt;&lt;D xsi:type="xsd:double"&gt;2.8653264&lt;/D&gt;&lt;D xsi:type="xsd:double"&gt;2.3314476&lt;/D&gt;&lt;D xsi:type="xsd:double"&gt;0.35880804&lt;/D&gt;&lt;D xsi:type="xsd:double"&gt;1.8614411&lt;/D&gt;&lt;D xsi:type="xsd:double"&gt;0.35055876&lt;/D&gt;&lt;D xsi:type="xsd:double"&gt;-0.49514174&lt;/D&gt;&lt;/FQL&gt;&lt;FQL&gt;&lt;Q&gt;INDA^FG_TOTAL_RETURNC(-5AY,0,AM)&lt;/Q&gt;&lt;R&gt;61&lt;/R&gt;&lt;C&gt;1&lt;/C&gt;&lt;D xsi:type="xsd:double"&gt;0.9099841&lt;/D&gt;&lt;D xsi:type="xsd:double"&gt;3.6314964&lt;/D&gt;&lt;D xsi:type="xsd:double"&gt;-4.4214487&lt;/D&gt;&lt;D xsi:type="xsd:double"&gt;8.439959&lt;/D&gt;&lt;D xsi:type="xsd:double"&gt;0.97806454&lt;/D&gt;&lt;D xsi:type="xsd:double"&gt;0.7872343&lt;/D&gt;&lt;D xsi:type="xsd:double"&gt;3.9053798&lt;/D&gt;&lt;D xsi:type="xsd:double"&gt;7.195008&lt;/D&gt;&lt;D xsi:type="xsd:double"&gt;-0.060105324&lt;/D&gt;&lt;D xsi:type="xsd:double"&gt;-5.433047&lt;/D&gt;&lt;D xsi:type="xsd:double"&gt;1.759541&lt;/D&gt;&lt;D xsi:type="xsd:double"&gt;-1.2211442&lt;/D&gt;&lt;D xsi:type="xsd:double"&gt;-0.9433985&lt;/D&gt;&lt;D xsi:type="xsd:double"&gt;0.34013987&lt;/D&gt;&lt;D xsi:type="xsd:double"&gt;-0.881356&lt;/D&gt;&lt;D xsi:type="xsd:double"&gt;-6.338346&lt;/D&gt;&lt;D xsi:type="xsd:double"&gt;-2.775079&lt;/D&gt;&lt;D xsi:type="xsd:double"&gt;1.4271379&lt;/D&gt;&lt;D xsi:type="xsd:double"&gt;5.1839113&lt;/D&gt;&lt;D xsi:type="xsd:double"&gt;-4.1774216&lt;/D&gt;&lt;D xsi:type="xsd:double"&gt;3.5268188&lt;/D&gt;&lt;D xsi:type="xsd:double"&gt;2.365744&lt;/D&gt;&lt;D xsi:type="xsd:double"&gt;-4.807031&lt;/D&gt;&lt;D xsi:type="xsd:double"&gt;1.7722726&lt;/D&gt;&lt;D xsi:type="xsd:double"&gt;-6.989497&lt;/D&gt;&lt;D xsi:type="xsd:double"&gt;-1.1285007&lt;/D&gt;&lt;D xsi:type="xsd:double"&gt;4.4357896&lt;/D&gt;&lt;D xsi:type="xsd:double"&gt;4.3715954&lt;/D&gt;&lt;D xsi:type="xsd:double"&gt;1.977396&lt;/D&gt;&lt;D xsi:type="xsd:double"&gt;4.465747&lt;/D&gt;&lt;D xsi:type="xsd:double"&gt;-2.0590901&lt;/D&gt;&lt;D xsi:type="xsd:double"&gt;1.2797117&lt;/D&gt;&lt;D xsi:type="xsd:double"&gt;-3.587544&lt;/D&gt;&lt;D xsi:type="xsd:double"&gt;5.7570815&lt;/D&gt;&lt;D xsi:type="xsd:double"&gt;7.3910117&lt;/D&gt;&lt;D xsi:type="xsd:double"&gt;1.3599873&lt;/D&gt;&lt;D xsi:type="xsd:double"&gt;4.818058&lt;/D&gt;&lt;D xsi:type="xsd:double"&gt;-1.5515983&lt;/D&gt;&lt;D xsi:type="xsd:double"&gt;3.073287&lt;/D&gt;&lt;D xsi:type="xsd:double"&gt;3.344798&lt;/D&gt;&lt;D xsi:type="xsd:double"&gt;2.1268725&lt;/D&gt;&lt;D xsi:type="xsd:double"&gt;2.897501&lt;/D&gt;&lt;D xsi:type="xsd:double"&gt;0.65118074&lt;/D&gt;&lt;D xsi:type="xsd:double"&gt;3.5145998&lt;/D&gt;&lt;D xsi:type="xsd:double"&gt;-7.5844646&lt;/D&gt;&lt;D xsi:type="xsd:double"&gt;0&lt;/D&gt;&lt;D xsi:type="xsd:double"&gt;-1.95629&lt;/D&gt;&lt;D xsi:type="xsd:double"&gt;-4.826289&lt;/D&gt;&lt;D xsi:type="xsd:double"&gt;-3.275454&lt;/D&gt;&lt;D xsi:type="xsd:double"&gt;4.855168&lt;/D&gt;&lt;D xsi:type="xsd:double"&gt;2.8210044&lt;/D&gt;&lt;D xsi:type="xsd:double"&gt;3.2734275&lt;/D&gt;&lt;D xsi:type="xsd:double"&gt;2.0703554&lt;/D&gt;&lt;D xsi:type="xsd:double"&gt;-3.428471&lt;/D&gt;&lt;D xsi:type="xsd:double"&gt;-2.3234189&lt;/D&gt;&lt;D xsi:type="xsd:double"&gt;-0.57088137&lt;/D&gt;&lt;D xsi:type="xsd:double"&gt;4.325354&lt;/D&gt;&lt;D xsi:type="xsd:double"&gt;0.29352903&lt;/D&gt;&lt;D xsi:type="xsd:double"&gt;-1.5181959&lt;/D&gt;&lt;D xsi:type="xsd:double"&gt;-4.4576526&lt;/D&gt;&lt;D xsi:type="xsd:double"&gt;2.2161841&lt;/D&gt;&lt;/FQL&gt;&lt;FQL&gt;&lt;Q&gt;EWI^FG_PRICE(0,-200D)&lt;/Q&gt;&lt;R&gt;201&lt;/R&gt;&lt;C&gt;1&lt;/C&gt;&lt;D xsi:type="xsd:double"&gt;57.93&lt;/D&gt;&lt;D xsi:type="xsd:double"&gt;57.61&lt;/D&gt;&lt;D xsi:type="xsd:double"&gt;56.94&lt;/D&gt;&lt;D xsi:type="xsd:double"&gt;56.94&lt;/D&gt;&lt;D xsi:type="xsd:double"&gt;56.81&lt;/D&gt;&lt;D xsi:type="xsd:double"&gt;55.89&lt;/D&gt;&lt;D xsi:type="xsd:double"&gt;56.32&lt;/D&gt;&lt;D xsi:type="xsd:double"&gt;56.02&lt;/D&gt;&lt;D xsi:type="xsd:double"&gt;55.54&lt;/D&gt;&lt;D xsi:type="xsd:double"&gt;56.52&lt;/D&gt;&lt;D xsi:type="xsd:double"&gt;56.98&lt;/D&gt;&lt;D xsi:type="xsd:double"&gt;57.32&lt;/D&gt;&lt;D xsi:type="xsd:double"&gt;57.61&lt;/D&gt;&lt;D xsi:type="xsd:double"&gt;56.28&lt;/D&gt;&lt;D xsi:type="xsd:double"&gt;55.7&lt;/D&gt;&lt;D xsi:type="xsd:double"&gt;56.95&lt;/D&gt;&lt;D xsi:type="xsd:double"&gt;56.93&lt;/D&gt;&lt;D xsi:type="xsd:double"&gt;56.37&lt;/D&gt;&lt;D xsi:type="xsd:double"&gt;55.88&lt;/D&gt;&lt;D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xsi:type="xsd:double"&gt;45.81&lt;/D&gt;&lt;/FQL&gt;&lt;FQL&gt;&lt;Q&gt;EWJ^FG_PRICE(0,-200D)&lt;/Q&gt;&lt;R&gt;201&lt;/R&gt;&lt;C&gt;1&lt;/C&gt;&lt;D xsi:type="xsd:double"&gt;92.48&lt;/D&gt;&lt;D xsi:type="xsd:double"&gt;92.44&lt;/D&gt;&lt;D xsi:type="xsd:double"&gt;91.23&lt;/D&gt;&lt;D xsi:type="xsd:double"&gt;91.39&lt;/D&gt;&lt;D xsi:type="xsd:double"&gt;91.47&lt;/D&gt;&lt;D xsi:type="xsd:double"&gt;91.2&lt;/D&gt;&lt;D xsi:type="xsd:double"&gt;91.38&lt;/D&gt;&lt;D xsi:type="xsd:double"&gt;91.87&lt;/D&gt;&lt;D xsi:type="xsd:double"&gt;93.85&lt;/D&gt;&lt;D xsi:type="xsd:double"&gt;93.37&lt;/D&gt;&lt;D xsi:type="xsd:double"&gt;93.97&lt;/D&gt;&lt;D xsi:type="xsd:double"&gt;93.1&lt;/D&gt;&lt;D xsi:type="xsd:double"&gt;91.29&lt;/D&gt;&lt;D xsi:type="xsd:double"&gt;89.4&lt;/D&gt;&lt;D xsi:type="xsd:double"&gt;86.1&lt;/D&gt;&lt;D xsi:type="xsd:double"&gt;87.49&lt;/D&gt;&lt;D xsi:type="xsd:double"&gt;86.68&lt;/D&gt;&lt;D xsi:type="xsd:double"&gt;85.89&lt;/D&gt;&lt;D xsi:type="xsd:double"&gt;85.72&lt;/D&gt;&lt;D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xsi:type="xsd:double"&gt;72.01&lt;/D&gt;&lt;/FQL&gt;&lt;FQL&gt;&lt;Q&gt;TUR^FG_PRICE(0,-20</t>
        </r>
      </text>
    </comment>
    <comment ref="A2" authorId="0" shapeId="0" xr:uid="{834281C9-FA02-4D7A-9B5B-EC2B0258FCD4}">
      <text>
        <r>
          <rPr>
            <b/>
            <sz val="9"/>
            <color indexed="81"/>
            <rFont val="Tahoma"/>
            <charset val="1"/>
          </rPr>
          <t>0D)&lt;/Q&gt;&lt;R&gt;201&lt;/R&gt;&lt;C&gt;1&lt;/C&gt;&lt;D xsi:type="xsd:double"&gt;41.23&lt;/D&gt;&lt;D xsi:type="xsd:double"&gt;41.19&lt;/D&gt;&lt;D xsi:type="xsd:double"&gt;41.93&lt;/D&gt;&lt;D xsi:type="xsd:double"&gt;41.76&lt;/D&gt;&lt;D xsi:type="xsd:double"&gt;41.65&lt;/D&gt;&lt;D xsi:type="xsd:double"&gt;41.26&lt;/D&gt;&lt;D xsi:type="xsd:double"&gt;42.41&lt;/D&gt;&lt;D xsi:type="xsd:double"&gt;42.34&lt;/D&gt;&lt;D xsi:type="xsd:double"&gt;42.22&lt;/D&gt;&lt;D xsi:type="xsd:double"&gt;41.91&lt;/D&gt;&lt;D xsi:type="xsd:double"&gt;41.21&lt;/D&gt;&lt;D xsi:type="xsd:double"&gt;40.97&lt;/D&gt;&lt;D xsi:type="xsd:double"&gt;41.54&lt;/D&gt;&lt;D xsi:type="xsd:double"&gt;40.84&lt;/D&gt;&lt;D xsi:type="xsd:double"&gt;40.66&lt;/D&gt;&lt;D xsi:type="xsd:double"&gt;41.37&lt;/D&gt;&lt;D xsi:type="xsd:double"&gt;41.54&lt;/D&gt;&lt;D xsi:type="xsd:double"&gt;41.14&lt;/D&gt;&lt;D xsi:type="xsd:double"&gt;41.25&lt;/D&gt;&lt;D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xsi:type="xsd:double"&gt;31.41&lt;/D&gt;&lt;/FQL&gt;&lt;FQL&gt;&lt;Q&gt;EWY^FG_PRICE(0,-200D)&lt;/Q&gt;&lt;R&gt;201&lt;/R&gt;&lt;C&gt;1&lt;/C&gt;&lt;D xsi:type="xsd:double"&gt;150.41&lt;/D&gt;&lt;D xsi:type="xsd:double"&gt;148.89&lt;/D&gt;&lt;D xsi:type="xsd:double"&gt;144.55&lt;/D&gt;&lt;D xsi:type="xsd:double"&gt;139.3&lt;/D&gt;&lt;D xsi:type="xsd:double"&gt;141.88&lt;/D&gt;&lt;D xsi:type="xsd:double"&gt;135.21&lt;/D&gt;&lt;D xsi:type="xsd:double"&gt;132.93&lt;/D&gt;&lt;D xsi:type="xsd:double"&gt;130.68&lt;/D&gt;&lt;D xsi:type="xsd:double"&gt;133.97&lt;/D&gt;&lt;D xsi:type="xsd:double"&gt;130.8&lt;/D&gt;&lt;D xsi:type="xsd:double"&gt;130.6&lt;/D&gt;&lt;D xsi:type="xsd:double"&gt;124.45&lt;/D&gt;&lt;D xsi:type="xsd:double"&gt;126.05&lt;/D&gt;&lt;D xsi:type="xsd:double"&gt;124.71&lt;/D&gt;&lt;D xsi:type="xsd:double"&gt;120.21&lt;/D&gt;&lt;D xsi:type="xsd:double"&gt;120.26&lt;/D&gt;&lt;D xsi:type="xsd:double"&gt;124.32&lt;/D&gt;&lt;D xsi:type="xsd:double"&gt;120.93&lt;/D&gt;&lt;D xsi:type="xsd:double"&gt;122.41&lt;/D&gt;&lt;D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xsi:type="xsd:double"&gt;57.69&lt;/D&gt;&lt;/FQL&gt;&lt;FQL&gt;&lt;Q&gt;ECH^FG_PRICE(0,-200D)&lt;/Q&gt;&lt;R&gt;201&lt;/R&gt;&lt;C&gt;1&lt;/C&gt;&lt;D xsi:type="xsd:double"&gt;44.34&lt;/D&gt;&lt;D xsi:type="xsd:double"&gt;44.73&lt;/D&gt;&lt;D xsi:type="xsd:double"&gt;44.54&lt;/D&gt;&lt;D xsi:type="xsd:double"&gt;43.51&lt;/D&gt;&lt;D xsi:type="xsd:double"&gt;43.58&lt;/D&gt;&lt;D xsi:type="xsd:double"&gt;43.52&lt;/D&gt;&lt;D xsi:type="xsd:double"&gt;43.69&lt;/D&gt;&lt;D xsi:type="xsd:double"&gt;43.8&lt;/D&gt;&lt;D xsi:type="xsd:double"&gt;43.81&lt;/D&gt;&lt;D xsi:type="xsd:double"&gt;44.25&lt;/D&gt;&lt;D xsi:type="xsd:double"&gt;45.35&lt;/D&gt;&lt;D xsi:type="xsd:double"&gt;44.54&lt;/D&gt;&lt;D xsi:type="xsd:double"&gt;46.17&lt;/D&gt;&lt;D xsi:type="xsd:double"&gt;45.24&lt;/D&gt;&lt;D xsi:type="xsd:double"&gt;45.19&lt;/D&gt;&lt;D xsi:type="xsd:double"&gt;45.66&lt;/D&gt;&lt;D xsi:type="xsd:double"&gt;47.19&lt;/D&gt;&lt;D xsi:type="xsd:double"&gt;46.05&lt;/D&gt;&lt;D xsi:type="xsd:double"&gt;45.24&lt;/D&gt;&lt;D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xsi:type="xsd:double"&gt;32.2&lt;/D&gt;&lt;/FQL&gt;&lt;FQL&gt;&lt;Q&gt;KSA^FG_TOTAL_RETURNC(-5AY,0,AM)&lt;/Q&gt;&lt;R&gt;61&lt;/R&gt;&lt;C&gt;1&lt;/C&gt;&lt;D xsi:type="xsd:double"&gt;2.22646&lt;/D&gt;&lt;D xsi:type="xsd:double"&gt;7.1250796&lt;/D&gt;&lt;D xsi:type="xsd:double"&gt;7.8420043&lt;/D&gt;&lt;D xsi:type="xsd:double"&gt;3.6628127&lt;/D&gt;&lt;D xsi:type="xsd:double"&gt;3.0934095&lt;/D&gt;&lt;D xsi:type="xsd:double"&gt;-0.2035141&lt;/D&gt;&lt;D xsi:type="xsd:double"&gt;3.3647656&lt;/D&gt;&lt;D xsi:type="xsd:double"&gt;1.627624&lt;/D&gt;&lt;D xsi:type="xsd:double"&gt;5.872369&lt;/D&gt;&lt;D xsi:type="xsd:double"&gt;-8.228284&lt;/D&gt;&lt;D xsi:type="xsd:double"&gt;3.332448&lt;/D&gt;&lt;D xsi:type="xsd:double"&gt;8.367622&lt;/D&gt;&lt;D xsi:type="xsd:double"&gt;2.4034142&lt;/D&gt;&lt;D xsi:type="xsd:double"&gt;4.694009&lt;/D&gt;&lt;D xsi:type="xsd:double"&gt;2.9122114&lt;/D&gt;&lt;D xsi:type="xsd:double"&gt;-7.2068334&lt;/D&gt;&lt;D xsi:type="xsd:double"&gt;-9.185898&lt;/D&gt;&lt;D xsi:type="xsd:double"&gt;3.5288453&lt;/D&gt;&lt;D xsi:type="xsd:double"&gt;6.7936063&lt;/D&gt;&lt;D xsi:type="xsd:double"&gt;-13.427246&lt;/D&gt;&lt;D xsi:type="xsd:double"&gt;10.882271&lt;/D&gt;&lt;D xsi:type="xsd:double"&gt;-8.736533&lt;/D&gt;&lt;D xsi:type="xsd:double"&gt;-6.4942303&lt;/D&gt;&lt;D xsi:type="xsd:double"&gt;6.8169475&lt;/D&gt;&lt;D xsi:type="xsd:double"&gt;-7.2972355&lt;/D&gt;&lt;D xsi:type="xsd:double"&gt;3.8123965&lt;/D&gt;&lt;D xsi:type="xsd:double"&gt;7.503307&lt;/D&gt;&lt;D xsi:type="xsd:double"&gt;0.31949282&lt;/D&gt;&lt;D xsi:type="xsd:double"&gt;1.3361692&lt;/D&gt;&lt;D xsi:type="xsd:double"&gt;5.3326845&lt;/D&gt;&lt;D xsi:type="xsd:double"&gt;-5.9684157&lt;/D&gt;&lt;D xsi:type="xsd:double"&gt;-4.59373&lt;/D&gt;&lt;D xsi:type="xsd:double"&gt;-4.633707&lt;/D&gt;&lt;D xsi:type="xsd:double"&gt;7.0575476&lt;/D&gt;&lt;D xsi:type="xsd:double"&gt;8.392584&lt;/D&gt;&lt;D xsi:type="xsd:double"&gt;2.204311&lt;/D&gt;&lt;D xsi:type="xsd:double"&gt;3.3627152&lt;/D&gt;&lt;D xsi:type="xsd:double"&gt;-1.2340128&lt;/D&gt;&lt;D xsi:type="xsd:double"&gt;-2.8623402&lt;/D&gt;&lt;D xsi:type="xsd:double"&gt;-3.507954&lt;/D&gt;&lt;D xsi:type="xsd:double"&gt;-0.7887602&lt;/D&gt;&lt;D xsi:type="xsd:double"&gt;3.4217596&lt;/D&gt;&lt;D xsi:type="xsd:double"&gt;2.4694324&lt;/D&gt;&lt;D xsi:type="xsd:double"&gt;1.3804436&lt;/D&gt;&lt;D xsi:type="xsd:double"&gt;-4.2003335999999996&lt;/D&gt;&lt;D xsi:type="xsd:double"&gt;-1.4213443&lt;/D&gt;&lt;D xsi:type="xsd:double"&gt;1.0560632&lt;/D&gt;&lt;D xsi:type="xsd:double"&gt;3.6372185&lt;/D&gt;&lt;D xsi:type="xsd:double"&gt;-0.9752631&lt;/D&gt;&lt;D xsi:type="xsd:double"&gt;-1.8256128&lt;/D&gt;&lt;D xsi:type="xsd:double"&gt;0.70956945&lt;/D&gt;&lt;D xsi:type="xsd:double"&gt;-4.834795&lt;/D&gt;&lt;D xsi:type="xsd:double"&gt;-0.9321928&lt;/D&gt;&lt;D xsi:type="xsd:double"&gt;-1.153034&lt;/D&gt;&lt;D xsi:type="xsd:double"&gt;0.7953286&lt;/D&gt;&lt;D xsi:type="xsd:double"&gt;5.0762773&lt;/D&gt;&lt;D xsi:type="xsd:double"&gt;1.9524336&lt;/D&gt;&lt;D xsi:type="xsd:double"&gt;-8.224893&lt;/D&gt;&lt;D xsi:type="xsd:double"&gt;-0.9754956&lt;/D&gt;&lt;D xsi:type="xsd:double"&gt;8.312821&lt;/D&gt;&lt;D xsi:type="xsd:double"&gt;-6.2610445&lt;/D&gt;&lt;/FQL&gt;&lt;FQL&gt;&lt;Q&gt;EPOL^FG_TOTAL_RETURNC(-5AY,0,AM)&lt;/Q&gt;&lt;R&gt;61&lt;/R&gt;&lt;C&gt;1&lt;/C&gt;&lt;D xsi:type="xsd:double"&gt;-3.063345&lt;/D&gt;&lt;D xsi:type="xsd:double"&gt;-2.4102867&lt;/D&gt;&lt;D xsi:type="xsd:double"&gt;7.793629&lt;/D&gt;&lt;D xsi:type="xsd:double"&gt;11.023426&lt;/D&gt;&lt;D xsi:type="xsd:double"&gt;3.006494&lt;/D&gt;&lt;D xsi:type="xsd:double"&gt;-4.1517854&lt;/D&gt;&lt;D xsi:type="xsd:double"&gt;3.2603621&lt;/D&gt;&lt;D xsi:type="xsd:double"&gt;0.045108795&lt;/D&gt;&lt;D xsi:type="xsd:double"&gt;5.320108&lt;/D&gt;&lt;D xsi:type="xsd:double"&gt;-15.325344&lt;/D&gt;&lt;D xsi:type="xsd:double"&gt;5.0600767&lt;/D&gt;&lt;D xsi:type="xsd:double"&gt;-0.43774247&lt;/D&gt;&lt;D xsi:type="xsd:double"&gt;-9.868092&lt;/D&gt;&lt;D xsi:type="xsd:double"&gt;0.8672118&lt;/D&gt;&lt;D xsi:type="xsd:double"&gt;-13.111234&lt;/D&gt;&lt;D xsi:type="xsd:double"&gt;1.4842272&lt;/D&gt;&lt;D xsi:type="xsd:double"&gt;-10.4047&lt;/D&gt;&lt;D xsi:type="xsd:double"&gt;-6.8634152&lt;/D&gt;&lt;D xsi:type="xsd:double"&gt;-5.2321315&lt;/D&gt;&lt;D xsi:type="xsd:double"&gt;-13.763607&lt;/D&gt;&lt;D xsi:type="xsd:double"&gt;9.558153&lt;/D&gt;&lt;D xsi:type="xsd:double"&gt;23.292183&lt;/D&gt;&lt;D xsi:type="xsd:double"&gt;4.8790574&lt;/D&gt;&lt;D xsi:type="xsd:double"&gt;8.937824&lt;/D&gt;&lt;D xsi:type="xsd:double"&gt;-8.026159&lt;/D&gt;&lt;D xsi:type="xsd:double"&gt;-5.623788&lt;/D&gt;&lt;D xsi:type="xsd:double"&gt;17.705477&lt;/D&gt;&lt;D xsi:type="xsd:double"&gt;3.8114667&lt;/D&gt;&lt;D xsi:type="xsd:double"&gt;7.455158&lt;/D&gt;&lt;D xsi:type="xsd:double"&gt;9.285343&lt;/D&gt;&lt;D xsi:type="xsd:double"&gt;-9.069222&lt;/D&gt;&lt;D xsi:type="xsd:double"&gt;-9.133858&lt;/D&gt;&lt;D xsi:type="xsd:double"&gt;12.593878&lt;/D&gt;&lt;D xsi:type="xsd:double"&gt;11.749625&lt;/D&gt;&lt;D xsi:type="xsd:double"&gt;8.026814&lt;/D&gt;&lt;D xsi:type="xsd:double"&gt;-6.9991293&lt;/D&gt;&lt;D xsi:type="xsd:double"&gt;12.276578&lt;/D&gt;&lt;D xsi:type="xsd:double"&gt;-2.6811957&lt;/D&gt;&lt;D xsi:type="xsd:double"&gt;2.7550578&lt;/D&gt;&lt;D xsi:type="xsd:double"&gt;6.493509&lt;/D&gt;&lt;D xsi:type="xsd:double"&gt;-2.8920352&lt;/D&gt;&lt;D xsi:type="xsd:double"&gt;-1.5270293&lt;/D&gt;&lt;D xsi:type="xsd:double"&gt;2.9337764&lt;/D&gt;&lt;D xsi:type="xsd:double"&gt;1.2622237&lt;/D&gt;&lt;D xsi:type="xsd:double"&gt;-10.293531&lt;/D&gt;&lt;D xsi:type="xsd:double"&gt;-2.3756087&lt;/D&gt;&lt;D xsi:type="xsd:double"&gt;1.7975688&lt;/D&gt;&lt;D xsi:type="xsd:double"&gt;10.590446&lt;/D&gt;&lt;D xsi:type="xsd:double"&gt;10.932207&lt;/D&gt;&lt;D xsi:type="xsd:double"&gt;8.556151&lt;/D&gt;&lt;D xsi:type="xsd:double"&gt;5.7002187&lt;/D&gt;&lt;D xsi:type="xsd:double"&gt;-0.6324947&lt;/D&gt;&lt;D xsi:type="xsd:double"&gt;7.8802347&lt;/D&gt;&lt;D xsi:type="xsd:double"&gt;5.3712487&lt;/D&gt;&lt;D xsi:type="xsd:double"&gt;-1.4692605&lt;/D&gt;&lt;D xsi:type="xsd:double"&gt;-2.099824&lt;/D&gt;&lt;D xsi:type="xsd:double"&gt;5.408776&lt;/D&gt;&lt;D xsi:type="xsd:double"&gt;0.4718423&lt;/D&gt;&lt;D xsi:type="xsd:double"&gt;6.827879&lt;/D&gt;&lt;D xsi:type="xsd:double"&gt;7.215917&lt;/D&gt;&lt;D xsi:type="xsd:double"&gt;1.1923552&lt;/D&gt;&lt;/FQL&gt;&lt;FQL&gt;&lt;Q&gt;EWL^FG_TOTAL_RETURNC(-5AY,0,AM)&lt;/Q&gt;&lt;R&gt;61&lt;/R&gt;&lt;C&gt;1&lt;/C&gt;&lt;D xsi:type="xsd:double"&gt;-5.590743&lt;/D&gt;&lt;D xsi:type="xsd:double"&gt;3.5854697&lt;/D&gt;&lt;D xsi:type="xsd:double"&gt;4.488611&lt;/D&gt;&lt;D xsi:type="xsd:double"&gt;3.9324641&lt;/D&gt;&lt;D xsi:type="xsd:double"&gt;3.2895207&lt;/D&gt;&lt;D xsi:type="xsd:double"&gt;0.46634674&lt;/D&gt;&lt;D xsi:type="xsd:double"&gt;2.0585299&lt;/D&gt;&lt;D xsi:type="xsd:double"&gt;-4.7854424&lt;/D&gt;&lt;D xsi:type="xsd:double"&gt;2.6791215&lt;/D&gt;&lt;D xsi:type="xsd:double"&gt;-0.22248626&lt;/D&gt;&lt;D xsi:type="xsd:double"&gt;5.635512&lt;/D&gt;&lt;D xsi:type="xsd:double"&gt;-7.2538853&lt;/D&gt;&lt;D xsi:type="xsd:double"&gt;-0.08276701&lt;/D&gt;&lt;D xsi:type="xsd:double"&gt;1.0768294&lt;/D&gt;&lt;D xsi:type="xsd:double"&gt;-5.388242&lt;/D&gt;&lt;D xsi:type="xsd:double"&gt;-2.2087514&lt;/D&gt;&lt;D xsi:type="xsd:double"&gt;-5.4613533&lt;/D&gt;&lt;D xsi:type="xsd:double"&gt;1.0277271&lt;/D&gt;&lt;D xsi:type="xsd:double"&gt;-2.342093&lt;/D&gt;&lt;D xsi:type="xsd:double"&gt;-10.440886&lt;/D&gt;&lt;D xsi:type="xsd:double"&gt;7.2761655&lt;/D&gt;&lt;D xsi:type="xsd:double"&gt;8.446789&lt;/D&gt;&lt;D xsi:type="xsd:double"&gt;-2.441293&lt;/D&gt;&lt;D xsi:type="xsd:double"&gt;7.602489&lt;/D&gt;&lt;D xsi:type="xsd:double"&gt;-3.1450748&lt;/D&gt;&lt;D xsi:type="xsd:double"&gt;-0.59455633&lt;/D&gt;&lt;D xsi:type="xsd:double"&gt;9.753847&lt;/D&gt;&lt;D xsi:type="xsd:double"&gt;-0.77551603&lt;/D&gt;&lt;D xsi:type="xsd:double"&gt;-1.6211033&lt;/D&gt;&lt;D xsi:type="xsd:double"&gt;4.6981335&lt;/D&gt;&lt;D xsi:type="xsd:double"&gt;-4.445374&lt;/D&gt;&lt;D xsi:type="xsd:double"&gt;-4.235244&lt;/D&gt;&lt;D xsi:type="xsd:double"&gt;-3.7580192&lt;/D&gt;&lt;D xsi:type="xsd:double"&gt;7.523811&lt;/D&gt;&lt;D xsi:type="xsd:double"&gt;5.6244493&lt;/D&gt;&lt;D xsi:type="xsd:double"&gt;0.25156736&lt;/D&gt;&lt;D xsi:type="xsd:double"&gt;-1.4638245&lt;/D&gt;&lt;D xsi:type="xsd:double"&gt;0.06366968&lt;/D&gt;&lt;D xsi:type="xsd:double"&gt;-2.566284&lt;/D&gt;&lt;D xsi:type="xsd:double"&gt;5.180669&lt;/D&gt;&lt;D xsi:type="xsd:double"&gt;2.0977259&lt;/D&gt;&lt;D xsi:type="xsd:double"&gt;3.6010027&lt;/D&gt;&lt;D xsi:type="xsd:double"&gt;4.9740314&lt;/D&gt;&lt;D xsi:type="xsd:double"&gt;-0.41864514&lt;/D&gt;&lt;D xsi:type="xsd:double"&gt;-3.2103956&lt;/D&gt;&lt;D xsi:type="xsd:double"&gt;-6.7324758&lt;/D&gt;&lt;D xsi:type="xsd:double"&gt;-1.3124526&lt;/D&gt;&lt;D xsi:type="xsd:double"&gt;4.7404647&lt;/D&gt;&lt;D xsi:type="xsd:double"&gt;6.55334&lt;/D&gt;&lt;D xsi:type="xsd:double"&gt;0.8072257&lt;/D&gt;&lt;D xsi:type="xsd:double"&gt;1.1248827&lt;/D&gt;&lt;D xsi:type="xsd:double"&gt;3.751886&lt;/D&gt;&lt;D xsi:type="xsd:double"&gt;0.47723055&lt;/D&gt;&lt;D xsi:type="xsd:double"&gt;1.658678&lt;/D&gt;&lt;D xsi:type="xsd:double"&gt;-0.090646744&lt;/D&gt;&lt;D xsi:type="xsd:double"&gt;-1.5423715&lt;/D&gt;&lt;D xsi:type="xsd:double"&gt;5.270922&lt;/D&gt;&lt;D xsi:type="xsd:double"&gt;0.75280666&lt;/D&gt;&lt;D xsi:type="xsd:double"&gt;5.1954865&lt;/D&gt;&lt;D xsi:type="xsd:double"&gt;1.0736704&lt;/D&gt;&lt;D xsi:type="xsd:double"&gt;5.6218266&lt;/D&gt;&lt;/FQL&gt;&lt;FQL&gt;&lt;Q&gt;EWZ^FG_TOTAL_RETURNC(-5AY,0,AM)&lt;/Q&gt;&lt;R&gt;61&lt;/R&gt;&lt;C&gt;1&lt;/C&gt;&lt;D xsi:type="xsd:double"&gt;-9.861541&lt;/D&gt;&lt;D xsi:type="xsd:double"&gt;1.5987515&lt;/D&gt;&lt;D xsi:type="xsd:double"&gt;10.459733&lt;/D&gt;&lt;D xsi:type="xsd:double"&gt;5.3352&lt;/D&gt;&lt;D xsi:type="xsd:double"&gt;10.496855&lt;/D&gt;&lt;D xsi:type="xsd:double"&gt;-5.0682306&lt;/D&gt;&lt;D xsi:type="xsd:double"&gt;-7.597536&lt;/D&gt;&lt;D xsi:type="xsd:double"&gt;-7.1388903&lt;/D&gt;&lt;D xsi:type="xsd:double"&gt;-8.794498&lt;/D&gt;&lt;D xsi:type="xsd:double"&gt;-3.6405385&lt;/D&gt;&lt;D xsi:type="xsd:double"&gt;1.049149&lt;/D&gt;&lt;D xsi:type="xsd:double"&gt;11.448669&lt;/D&gt;&lt;D xsi:type="xsd:double"&gt;7.5122&lt;/D&gt;&lt;D xsi:type="xsd:double"&gt;14.004827&lt;/D&gt;&lt;D xsi:type="xsd:double"&gt;-13.557964&lt;/D&gt;&lt;D xsi:type="xsd:double"&gt;8.962547&lt;/D&gt;&lt;D xsi:type="xsd:double"&gt;-19.731552&lt;/D&gt;&lt;D xsi:type="xsd:double"&gt;-0.4779458&lt;/D&gt;&lt;D xsi:type="xsd:double"&gt;18.248976&lt;/D&gt;&lt;D xsi:type="xsd:double"&gt;-8.497339&lt;/D&gt;&lt;D xsi:type="xsd:double"&gt;4.8139334&lt;/D&gt;&lt;D xsi:type="xsd:double"&gt;-3.6482096&lt;/D&gt;&lt;D xsi:type="xsd:double"&gt;4.7546625&lt;/D&gt;&lt;D xsi:type="xsd:double"&gt;6.2521696&lt;/D&gt;&lt;D xsi:type="xsd:double"&gt;-9.48022&lt;/D&gt;&lt;D xsi:type="xsd:double"&gt;-7.2950544&lt;/D&gt;&lt;D xsi:type="xsd:double"&gt;6.8952084&lt;/D&gt;&lt;D xsi:type="xsd:double"&gt;9.110785&lt;/D&gt;&lt;D xsi:type="xsd:double"&gt;11.659634&lt;/D&gt;&lt;D xsi:type="xsd:double"&gt;4.535699&lt;/D&gt;&lt;D xsi:type="xsd:double"&gt;-8.20874&lt;/D&gt;&lt;D xsi:type="xsd:double"&gt;-2.8106034&lt;/D&gt;&lt;D xsi:type="xsd:double"&gt;0.19717216&lt;/D&gt;&lt;D xsi:type="xsd:double"&gt;10.757626&lt;/D&gt;&lt;D xsi:type="xsd:double"&gt;7.848656&lt;/D&gt;&lt;D xsi:type="xsd:double"&gt;-5.0640163&lt;/D&gt;&lt;D xsi:type="xsd:double"&gt;-0.23972988&lt;/D&gt;&lt;D xsi:type="xsd:double"&gt;-3.0940294&lt;/D&gt;&lt;D xsi:type="xsd:double"&gt;-2.2318602&lt;/D&gt;&lt;D xsi:type="xsd:double"&gt;-3.5193443&lt;/D&gt;&lt;D xsi:type="xsd:double"&gt;-7.136792&lt;/D&gt;&lt;D xsi:type="xsd:double"&gt;1.3888836&lt;/D&gt;&lt;D xsi:type="xsd:double"&gt;10.670519&lt;/D&gt;&lt;D xsi:type="xsd:double"&gt;-3.1921864&lt;/D&gt;&lt;D xsi:type="xsd:double"&gt;-5.349934&lt;/D&gt;&lt;D xsi:type="xsd:double"&gt;-2.3818016&lt;/D&gt;&lt;D xsi:type="xsd:double"&gt;-13.496971&lt;/D&gt;&lt;D xsi:type="xsd:double"&gt;7.130289&lt;/D&gt;&lt;D xsi:type="xsd:double"&gt;2.2185683&lt;/D&gt;&lt;D xsi:type="xsd:double"&gt;5.707395&lt;/D&gt;&lt;D xsi:type="xsd:double"&gt;2.433467&lt;/D&gt;&lt;D xsi:type="xsd:double"&gt;2.635479&lt;/D&gt;&lt;D xsi:type="xsd:double"&gt;3.587377&lt;/D&gt;&lt;D xsi:type="xsd:double"&gt;-4.230356&lt;/D&gt;&lt;D xsi:type="xsd:double"&gt;6.1989665&lt;/D&gt;&lt;D xsi:type="xsd:double"&gt;7.40999&lt;/D&gt;&lt;D xsi:type="xsd:double"&gt;-0.81353784&lt;/D&gt;&lt;D xsi:type="xsd:double"&gt;9.809721&lt;/D&gt;&lt;D xsi:type="xsd:double"&gt;-2.1182895&lt;/D&gt;&lt;D xsi:type="xsd:double"&gt;15.762747&lt;/D&gt;&lt;D xsi:type="xsd:double"&gt;6.8014145&lt;/D&gt;&lt;/FQL&gt;&lt;FQL&gt;&lt;Q&gt;MCHI^FG_PRICE(0,-200D)&lt;/Q&gt;&lt;R&gt;201&lt;/R&gt;&lt;C&gt;1&lt;/C&gt;&lt;D xsi:type="xsd:double"&gt;59.23&lt;/D&gt;&lt;D xsi:type="xsd:double"&gt;60.67&lt;/D&gt;&lt;D xsi:type="xsd:double"&gt;60.43&lt;/D&gt;&lt;D xsi:type="xsd:double"&gt;60.76&lt;/D&gt;&lt;D xsi:type="xsd:double"&gt;61.01&lt;/D&gt;&lt;D xsi:type="xsd:double"&gt;60.72&lt;/D&gt;&lt;D xsi:type="xsd:double"&gt;60.95&lt;/D&gt;&lt;D xsi:type="xsd:double"&gt;60.61&lt;/D&gt;&lt;D xsi:type="xsd:double"&gt;60.35&lt;/D&gt;&lt;D xsi:type="xsd:double"&gt;60.58&lt;/D&gt;&lt;D xsi:type="xsd:double"&gt;61.93&lt;/D&gt;&lt;D xsi:type="xsd:double"&gt;61.99&lt;/D&gt;&lt;D xsi:type="xsd:double"&gt;61.97&lt;/D&gt;&lt;D xsi:type="xsd:double"&gt;61.67&lt;/D&gt;&lt;D xsi:type="xsd:double"&gt;60.1&lt;/D&gt;&lt;D xsi:type="xsd:double"&gt;60.31&lt;/D&gt;&lt;D xsi:type="xsd:double"&gt;61.07&lt;/D&gt;&lt;D xsi:type="xsd:double"&gt;61.61&lt;/D&gt;&lt;D xsi:type="xsd:double"&gt;62.4&lt;/D&gt;&lt;D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</t>
        </r>
      </text>
    </comment>
    <comment ref="A3" authorId="0" shapeId="0" xr:uid="{9DA72674-CD0A-4D50-877D-AD889AE58C3B}">
      <text>
        <r>
          <rPr>
            <b/>
            <sz val="9"/>
            <color indexed="81"/>
            <rFont val="Tahoma"/>
            <charset val="1"/>
          </rPr>
          <t>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xsi:type="xsd:double"&gt;53.25&lt;/D&gt;&lt;/FQL&gt;&lt;FQL&gt;&lt;Q&gt;INDA^FG_PRICE(0,-200D)&lt;/Q&gt;&lt;R&gt;201&lt;/R&gt;&lt;C&gt;1&lt;/C&gt;&lt;D xsi:type="xsd:double"&gt;52.58&lt;/D&gt;&lt;D xsi:type="xsd:double"&gt;52.74&lt;/D&gt;&lt;D xsi:type="xsd:double"&gt;52.67&lt;/D&gt;&lt;D xsi:type="xsd:double"&gt;52.61&lt;/D&gt;&lt;D xsi:type="xsd:double"&gt;53.42&lt;/D&gt;&lt;D xsi:type="xsd:double"&gt;52.3&lt;/D&gt;&lt;D xsi:type="xsd:double"&gt;53.32&lt;/D&gt;&lt;D xsi:type="xsd:double"&gt;53.27&lt;/D&gt;&lt;D xsi:type="xsd:double"&gt;52.89&lt;/D&gt;&lt;D xsi:type="xsd:double"&gt;53.11&lt;/D&gt;&lt;D xsi:type="xsd:double"&gt;53.53&lt;/D&gt;&lt;D xsi:type="xsd:double"&gt;53.74&lt;/D&gt;&lt;D xsi:type="xsd:double"&gt;53.44&lt;/D&gt;&lt;D xsi:type="xsd:double"&gt;53.28&lt;/D&gt;&lt;D xsi:type="xsd:double"&gt;52.95&lt;/D&gt;&lt;D xsi:type="xsd:double"&gt;53.44&lt;/D&gt;&lt;D xsi:type="xsd:double"&gt;53.15&lt;/D&gt;&lt;D xsi:type="xsd:double"&gt;53.28&lt;/D&gt;&lt;D xsi:type="xsd:double"&gt;51.74&lt;/D&gt;&lt;D xsi:type="xsd:double"&gt;51.61&lt;/D&gt;&lt;D xsi:type="xsd:double"&gt;51.49&lt;/D&gt;&lt;D xsi:type="xsd:double"&gt;51.69&lt;/D&gt;&lt;D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xsi:type="xsd:double"&gt;52.39&lt;/D&gt;&lt;/FQL&gt;&lt;FQL&gt;&lt;Q&gt;EWD^FG_TOTAL_RETURNC(-5AY,0,AM)&lt;/Q&gt;&lt;R&gt;61&lt;/R&gt;&lt;C&gt;1&lt;/C&gt;&lt;D xsi:type="xsd:double"&gt;-0.5679071&lt;/D&gt;&lt;D xsi:type="xsd:double"&gt;7.5202227&lt;/D&gt;&lt;D xsi:type="xsd:double"&gt;5.422759&lt;/D&gt;&lt;D xsi:type="xsd:double"&gt;0.5248785&lt;/D&gt;&lt;D xsi:type="xsd:double"&gt;0.51208735&lt;/D&gt;&lt;D xsi:type="xsd:double"&gt;3.529656&lt;/D&gt;&lt;D xsi:type="xsd:double"&gt;-2.3208022&lt;/D&gt;&lt;D xsi:type="xsd:double"&gt;-1.9344032&lt;/D&gt;&lt;D xsi:type="xsd:double"&gt;3.5377383&lt;/D&gt;&lt;D xsi:type="xsd:double"&gt;-7.7034593&lt;/D&gt;&lt;D xsi:type="xsd:double"&gt;5.4131627&lt;/D&gt;&lt;D xsi:type="xsd:double"&gt;-8.892298&lt;/D&gt;&lt;D xsi:type="xsd:double"&gt;-6.3132524&lt;/D&gt;&lt;D xsi:type="xsd:double"&gt;-0.07717013&lt;/D&gt;&lt;D xsi:type="xsd:double"&gt;-9.060478&lt;/D&gt;&lt;D xsi:type="xsd:double"&gt;1.3869166&lt;/D&gt;&lt;D xsi:type="xsd:double"&gt;-8.825434&lt;/D&gt;&lt;D xsi:type="xsd:double"&gt;-0.34656525&lt;/D&gt;&lt;D xsi:type="xsd:double"&gt;-3.9203286&lt;/D&gt;&lt;D xsi:type="xsd:double"&gt;-12.339586&lt;/D&gt;&lt;D xsi:type="xsd:double"&gt;12.199699&lt;/D&gt;&lt;D xsi:type="xsd:double"&gt;13.282037&lt;/D&gt;&lt;D xsi:type="xsd:double"&gt;-3.824228&lt;/D&gt;&lt;D xsi:type="xsd:double"&gt;9.944403&lt;/D&gt;&lt;D xsi:type="xsd:double"&gt;-1.9662857&lt;/D&gt;&lt;D xsi:type="xsd:double"&gt;-4.3266535&lt;/D&gt;&lt;D xsi:type="xsd:double"&gt;8.056307&lt;/D&gt;&lt;D xsi:type="xsd:double"&gt;-3.1042218&lt;/D&gt;&lt;D xsi:type="xsd:double"&gt;-1.4015973&lt;/D&gt;&lt;D xsi:type="xsd:double"&gt;4.699731&lt;/D&gt;&lt;D xsi:type="xsd:double"&gt;-9.531725&lt;/D&gt;&lt;D xsi:type="xsd:double"&gt;-0.88821054&lt;/D&gt;&lt;D xsi:type="xsd:double"&gt;-4.1409135&lt;/D&gt;&lt;D xsi:type="xsd:double"&gt;16.441&lt;/D&gt;&lt;D xsi:type="xsd:double"&gt;12.341892&lt;/D&gt;&lt;D xsi:type="xsd:double"&gt;-5.858588&lt;/D&gt;&lt;D xsi:type="xsd:double"&gt;6.1427116&lt;/D&gt;&lt;D xsi:type="xsd:double"&gt;2.704072&lt;/D&gt;&lt;D xsi:type="xsd:double"&gt;-3.838575&lt;/D&gt;&lt;D xsi:type="xsd:double"&gt;6.6018343&lt;/D&gt;&lt;D xsi:type="xsd:double"&gt;-2.071637&lt;/D&gt;&lt;D xsi:type="xsd:double"&gt;-1.220429&lt;/D&gt;&lt;D xsi:type="xsd:double"&gt;5.421078&lt;/D&gt;&lt;D xsi:type="xsd:double"&gt;4.8313856&lt;/D&gt;&lt;D xsi:type="xsd:double"&gt;-7.2324934&lt;/D&gt;&lt;D xsi:type="xsd:double"&gt;-6.6896257&lt;/D&gt;&lt;D xsi:type="xsd:double"&gt;-0.60622096&lt;/D&gt;&lt;D xsi:type="xsd:double"&gt;8.300185&lt;/D&gt;&lt;D xsi:type="xsd:double"&gt;7.3702216&lt;/D&gt;&lt;D xsi:type="xsd:double"&gt;-0.6157279&lt;/D&gt;&lt;D xsi:type="xsd:double"&gt;0.09177923&lt;/D&gt;&lt;D xsi:type="xsd:double"&gt;3.8972974&lt;/D&gt;&lt;D xsi:type="xsd:double"&gt;2.2725344&lt;/D&gt;&lt;D xsi:type="xsd:double"&gt;2.3163438&lt;/D&gt;&lt;D xsi:type="xsd:double"&gt;0.5605817&lt;/D&gt;&lt;D xsi:type="xsd:double"&gt;1.2006879&lt;/D&gt;&lt;D xsi:type="xsd:double"&gt;3.5169482&lt;/D&gt;&lt;D xsi:type="xsd:double"&gt;-2.926731&lt;/D&gt;&lt;D xsi:type="xsd:double"&gt;5.9854627&lt;/D&gt;&lt;D xsi:type="xsd:double"&gt;6.1832786&lt;/D&gt;&lt;D xsi:type="xsd:double"&gt;3.490138&lt;/D&gt;&lt;/FQL&gt;&lt;FQL&gt;&lt;Q&gt;EWC^FG_TOTAL_RETURNC(-5AY,0,AM)&lt;/Q&gt;&lt;R&gt;61&lt;/R&gt;&lt;C&gt;1&lt;/C&gt;&lt;D xsi:type="xsd:double"&gt;1.7393947&lt;/D&gt;&lt;D xsi:type="xsd:double"&gt;6.061554&lt;/D&gt;&lt;D xsi:type="xsd:double"&gt;3.722155&lt;/D&gt;&lt;D xsi:type="xsd:double"&gt;6.046903&lt;/D&gt;&lt;D xsi:type="xsd:double"&gt;1.0712862&lt;/D&gt;&lt;D xsi:type="xsd:double"&gt;-2.0689726&lt;/D&gt;&lt;D xsi:type="xsd:double"&gt;0.4062891&lt;/D&gt;&lt;D xsi:type="xsd:double"&gt;-0.45858622&lt;/D&gt;&lt;D xsi:type="xsd:double"&gt;6.5582633&lt;/D&gt;&lt;D xsi:type="xsd:double"&gt;-2.8738558&lt;/D&gt;&lt;D xsi:type="xsd:double"&gt;0.6578326&lt;/D&gt;&lt;D xsi:type="xsd:double"&gt;-1.6337276&lt;/D&gt;&lt;D xsi:type="xsd:double"&gt;2.196622&lt;/D&gt;&lt;D xsi:type="xsd:double"&gt;6.395805&lt;/D&gt;&lt;D xsi:type="xsd:double"&gt;-8.819908&lt;/D&gt;&lt;D xsi:type="xsd:double"&gt;0.05403757&lt;/D&gt;&lt;D xsi:type="xsd:double"&gt;-7.688558&lt;/D&gt;&lt;D xsi:type="xsd:double"&gt;-0.4715562&lt;/D&gt;&lt;D xsi:type="xsd:double"&gt;3.5238385&lt;/D&gt;&lt;D xsi:type="xsd:double"&gt;-12.099541&lt;/D&gt;&lt;D xsi:type="xsd:double"&gt;6.8987966&lt;/D&gt;&lt;D xsi:type="xsd:double"&gt;7.5494766&lt;/D&gt;&lt;D xsi:type="xsd:double"&gt;-5.664688&lt;/D&gt;&lt;D xsi:type="xsd:double"&gt;8.432269&lt;/D&gt;&lt;D xsi:type="xsd:double"&gt;-4.267269&lt;/D&gt;&lt;D xsi:type="xsd:double"&gt;-4.3401775&lt;/D&gt;&lt;D xsi:type="xsd:double"&gt;5.5794&lt;/D&gt;&lt;D xsi:type="xsd:double"&gt;-1.9163787&lt;/D&gt;&lt;D xsi:type="xsd:double"&gt;2.358842&lt;/D&gt;&lt;D xsi:type="xsd:double"&gt;4.820335&lt;/D&gt;&lt;D xsi:type="xsd:double"&gt;-6.326646&lt;/D&gt;&lt;D xsi:type="xsd:double"&gt;-0.14876127&lt;/D&gt;&lt;D xsi:type="xsd:double"&gt;-5.184746&lt;/D&gt;&lt;D xsi:type="xsd:double"&gt;8.830929&lt;/D&gt;&lt;D xsi:type="xsd:double"&gt;7.801962&lt;/D&gt;&lt;D xsi:type="xsd:double"&gt;-0.9774685&lt;/D&gt;&lt;D xsi:type="xsd:double"&gt;1.0419488&lt;/D&gt;&lt;D xsi:type="xsd:double"&gt;2.360928&lt;/D&gt;&lt;D xsi:type="xsd:double"&gt;-0.23860335&lt;/D&gt;&lt;D xsi:type="xsd:double"&gt;1.5944719&lt;/D&gt;&lt;D xsi:type="xsd:double"&gt;-2.4858296&lt;/D&gt;&lt;D xsi:type="xsd:double"&gt;3.7909627&lt;/D&gt;&lt;D xsi:type="xsd:double"&gt;5.322194&lt;/D&gt;&lt;D xsi:type="xsd:double"&gt;3.1954408&lt;/D&gt;&lt;D xsi:type="xsd:double"&gt;-1.2001932&lt;/D&gt;&lt;D xsi:type="xsd:double"&gt;3.4985423&lt;/D&gt;&lt;D xsi:type="xsd:double"&gt;-3.8439274&lt;/D&gt;&lt;D xsi:type="xsd:double"&gt;3.0430555&lt;/D&gt;&lt;D xsi:type="xsd:double"&gt;-0.52821636&lt;/D&gt;&lt;D xsi:type="xsd:double"&gt;-0.120681524&lt;/D&gt;&lt;D xsi:type="xsd:double"&gt;1.5949726&lt;/D&gt;&lt;D xsi:type="xsd:double"&gt;5.7088375&lt;/D&gt;&lt;D xsi:type="xsd:double"&gt;4.0211678&lt;/D&gt;&lt;D xsi:type="xsd:double"&gt;2.3736954&lt;/D&gt;&lt;D xsi:type="xsd:double"&gt;2.1484852&lt;/D&gt;&lt;D xsi:type="xsd:double"&gt;4.164934&lt;/D&gt;&lt;D xsi:type="xsd:double"&gt;1.6393423&lt;/D&gt;&lt;D xsi:type="xsd:double"&gt;2.7734041&lt;/D&gt;&lt;D xsi:type="xsd:double"&gt;5.8205366&lt;/D&gt;&lt;D xsi:type="xsd:double"&gt;1.6240835&lt;/D&gt;&lt;D xsi:type="xsd:double"&gt;4.417312&lt;/D&gt;&lt;/FQL&gt;&lt;FQL&gt;&lt;Q&gt;SET-BKK^FG_PRICE(0,-200D)&lt;/Q&gt;&lt;R&gt;201&lt;/R&gt;&lt;C&gt;1&lt;/C&gt;&lt;D xsi:type="xsd:double"&gt;1533.64&lt;/D&gt;&lt;D xsi:type="xsd:double"&gt;1516.01&lt;/D&gt;&lt;D xsi:type="xsd:double"&gt;1490.4&lt;/D&gt;&lt;D xsi:type="xsd:double"&gt;1480.24&lt;/D&gt;&lt;D xsi:type="xsd:double"&gt;1479.71&lt;/D&gt;&lt;D xsi:type="xsd:double"&gt;1493.91&lt;/D&gt;&lt;D xsi:type="xsd:double"&gt;1466.67&lt;/D&gt;&lt;D xsi:type="xsd:double"&gt;1459.68&lt;/D&gt;&lt;D xsi:type="xsd:double"&gt;1438.09&lt;/D&gt;&lt;D xsi:type="xsd:double"&gt;1430.41&lt;/D&gt;&lt;D xsi:type="xsd:double"&gt;1441.53&lt;/D&gt;&lt;D xsi:type="xsd:double"&gt;1411.7&lt;/D&gt;&lt;D xsi:type="xsd:double"&gt;1410.44&lt;/D&gt;&lt;D xsi:type="xsd:double"&gt;1400.89&lt;/D&gt;&lt;D xsi:type="xsd:double"&gt;1354.01&lt;/D&gt;&lt;D xsi:type="xsd:double"&gt;1346.23&lt;/D&gt;&lt;D xsi:type="xsd:double"&gt;1346.54&lt;/D&gt;&lt;D xsi:type="xsd:double"&gt;1336.11&lt;/D&gt;&lt;D xsi:type="xsd:double"&gt;1321.42&lt;/D&gt;&lt;D xsi:type="xsd:double"&gt;1325.62&lt;/D&gt;&lt;D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xsi:type="xsd:double"&gt;1197.26&lt;/D&gt;&lt;/FQL&gt;&lt;FQL&gt;&lt;Q&gt;EWU^FG_TOTAL_RETURNC(-5AY,0,AM)&lt;/Q&gt;&lt;R&gt;61&lt;/R&gt;&lt;C&gt;1&lt;/C&gt;&lt;D xsi:type="xsd:double"&gt;-0.75163245&lt;/D&gt;&lt;D xsi:type="xsd:double"&gt;3.9183378&lt;/D&gt;&lt;D xsi:type="xsd:double"&gt;3.4220576&lt;/D&gt;&lt;D xsi:type="xsd:double"&gt;3.2169104&lt;/D&gt;&lt;D xsi:type="xsd:double"&gt;0.33141375&lt;/D&gt;&lt;D xsi:type="xsd:double"&gt;-1.865232&lt;/D&gt;&lt;D xsi:type="xsd:double"&gt;0.8890271&lt;/D&gt;&lt;D xsi:type="xsd:double"&gt;-1.0331213&lt;/D&gt;&lt;D xsi:type="xsd:double"&gt;4.2984366&lt;/D&gt;&lt;D xsi:type="xsd:double"&gt;-5.5637302&lt;/D&gt;&lt;D xsi:type="xsd:double"&gt;5.379379&lt;/D&gt;&lt;D xsi:type="xsd:double"&gt;1.7629147&lt;/D&gt;&lt;D xsi:type="xsd:double"&gt;2.2102833&lt;/D&gt;&lt;D xsi:type="xsd:double"&gt;-1.052016&lt;/D&gt;&lt;D xsi:type="xsd:double"&gt;-6.2315407&lt;/D&gt;&lt;D xsi:type="xsd:double"&gt;4.0944815&lt;/D&gt;&lt;D xsi:type="xsd:double"&gt;-6.3910303&lt;/D&gt;&lt;D xsi:type="xsd:double"&gt;-1.6458213&lt;/D&gt;&lt;D xsi:type="xsd:double"&gt;-0.40160418&lt;/D&gt;&lt;D xsi:type="xsd:double"&gt;-13.373655&lt;/D&gt;&lt;D xsi:type="xsd:double"&gt;8.921647&lt;/D&gt;&lt;D xsi:type="xsd:double"&gt;10.897434&lt;/D&gt;&lt;D xsi:type="xsd:double"&gt;0.42068958&lt;/D&gt;&lt;D xsi:type="xsd:double"&gt;6.2642097&lt;/D&gt;&lt;D xsi:type="xsd:double"&gt;-1.4966428&lt;/D&gt;&lt;D xsi:type="xsd:double"&gt;-3.5348833&lt;/D&gt;&lt;D xsi:type="xsd:double"&gt;7.48955&lt;/D&gt;&lt;D xsi:type="xsd:double"&gt;-2.9904306&lt;/D&gt;&lt;D xsi:type="xsd:double"&gt;0.5598545&lt;/D&gt;&lt;D xsi:type="xsd:double"&gt;4.9375057&lt;/D&gt;&lt;D xsi:type="xsd:double"&gt;-6.2537313&lt;/D&gt;&lt;D xsi:type="xsd:double"&gt;0.22236109&lt;/D&gt;&lt;D xsi:type="xsd:double"&gt;-3.232962&lt;/D&gt;&lt;D xsi:type="xsd:double"&gt;6.419921&lt;/D&gt;&lt;D xsi:type="xsd:double"&gt;4.1913867&lt;/D&gt;&lt;D xsi:type="xsd:double"&gt;-1.3599277&lt;/D&gt;&lt;D xsi:type="xsd:double"&gt;0.8272052&lt;/D&gt;&lt;D xsi:type="xsd:double"&gt;3.0385852&lt;/D&gt;&lt;D xsi:type="xsd:double"&gt;2.7130723&lt;/D&gt;&lt;D xsi:type="xsd:double"&gt;4.335344&lt;/D&gt;&lt;D xsi:type="xsd:double"&gt;-1.6890347&lt;/D&gt;&lt;D xsi:type="xsd:double"&gt;2.796805&lt;/D&gt;&lt;D xsi:type="xsd:double"&gt;3.77568&lt;/D&gt;&lt;D xsi:type="xsd:double"&gt;0.7490635&lt;/D&gt;&lt;D xsi:type="xsd:double"&gt;-4.0626645&lt;/D&gt;&lt;D xsi:type="xsd:double"&gt;-2.6293933&lt;/D&gt;&lt;D xsi:type="xsd:double"&gt;-1.035291&lt;/D&gt;&lt;D xsi:type="xsd:double"&gt;3.137827&lt;/D&gt;&lt;D xsi:type="xsd:double"&gt;4.4924736&lt;/D&gt;&lt;D xsi:type="xsd:double"&gt;2.068019&lt;/D&gt;&lt;D xsi:type="xsd:double"&gt;1.1463642&lt;/D&gt;&lt;D xsi:type="xsd:double"&gt;5.1133394&lt;/D&gt;&lt;D xsi:type="xsd:double"&gt;1.560843&lt;/D&gt;&lt;D xsi:type="xsd:double"&gt;2.3935556&lt;/D&gt;&lt;D xsi:type="xsd:double"&gt;2.7066946&lt;/D&gt;&lt;D xsi:type="xsd:double"&gt;-0.38332343&lt;/D&gt;&lt;D xsi:type="xsd:double"&gt;2.8859973&lt;/D&gt;&lt;D xsi:type="xsd:double"&gt;0.49089193&lt;/D&gt;&lt;D xsi:type="xsd:double"&gt;4.904425&lt;/D&gt;&lt;D xsi:type="xsd:double"&gt;3.594029&lt;/D&gt;&lt;D xsi:type="xsd:double"&gt;6.065893&lt;/D&gt;&lt;/FQL&gt;&lt;FQL&gt;&lt;Q&gt;EPHE^FG_TOTAL_RETURNC(-5AY,0,AM)&lt;/Q&gt;&lt;R&gt;61&lt;/R&gt;&lt;C&gt;1&lt;/C&gt;&lt;D xsi:type="xsd:double"&gt;-4.2499185&lt;/D&gt;&lt;D xsi:type="xsd:double"&gt;-0.8943379&lt;/D&gt;&lt;D xsi:type="xsd:double"&gt;-3.676474&lt;/D&gt;&lt;D xsi:type="xsd:double"&gt;1.387918&lt;/D&gt;&lt;D xsi:type="xsd:double"&gt;8.260286&lt;/D&gt;&lt;D xsi:type="xsd:double"&gt;-11.043919&lt;/D&gt;&lt;D xsi:type="xsd:double"&gt;7.781756&lt;/D&gt;&lt;D xsi:type="xsd:double"&gt;0.016593933&lt;/D&gt;&lt;D xsi:type="xsd:double"&gt;6.8038583&lt;/D&gt;&lt;D xsi:type="xsd:double"&gt;-0.43504834&lt;/D&gt;&lt;D xsi:type="xsd:double"&gt;0.99425316&lt;/D&gt;&lt;D xsi:type="xsd:double"&gt;-3.1017423&lt;/D&gt;&lt;D xsi:type="xsd:double"&gt;4.0012836&lt;/D&gt;&lt;D xsi:type="xsd:double"&gt;-5.632508&lt;/D&gt;&lt;D xsi:type="xsd:double"&gt;-3.5225034&lt;/D&gt;&lt;D xsi:type="xsd:double"&gt;-1.3184547&lt;/D&gt;&lt;D xsi:type="xsd:double"&gt;-11.681747&lt;/D&gt;&lt;D xsi:type="xsd:double"&gt;-1.4521122&lt;/D&gt;&lt;D xsi:type="xsd:double"&gt;7.367575&lt;/D&gt;&lt;D xsi:type="xsd:double"&gt;-12.31454&lt;/D&gt;&lt;D xsi:type="xsd:double"&gt;1.0152221&lt;/D&gt;&lt;D xsi:type="xsd:double"&gt;9.212732&lt;/D&gt;&lt;D xsi:type="xsd:double"&gt;1.2739778&lt;/D&gt;&lt;D xsi:type="xsd:double"&gt;10.916698&lt;/D&gt;&lt;D xsi:type="xsd:double"&gt;-8.607685&lt;/D&gt;&lt;D xsi:type="xsd:double"&gt;1.8386483&lt;/D&gt;&lt;D xsi:type="xsd:double"&gt;-3.0950606&lt;/D&gt;&lt;D xsi:type="xsd:double"&gt;-0.98858476&lt;/D&gt;&lt;D xsi:type="xsd:double"&gt;0.70376396&lt;/D&gt;&lt;D xsi:type="xsd:double"&gt;5.71208&lt;/D&gt;&lt;D xsi:type="xsd:double"&gt;-11.171961&lt;/D&gt;&lt;D xsi:type="xsd:double"&gt;0.36991835&lt;/D&gt;&lt;D xsi:type="xsd:double"&gt;-3.6855042&lt;/D&gt;&lt;D xsi:type="xsd:double"&gt;6.590128&lt;/D&gt;&lt;D xsi:type="xsd:double"&gt;4.6014786&lt;/D&gt;&lt;D xsi:type="xsd:double"&gt;1.6532063&lt;/D&gt;&lt;D xsi:type="xsd:double"&gt;4.34947&lt;/D&gt;&lt;D xsi:type="xsd:double"&gt;-1.05111&lt;/D&gt;&lt;D xsi:type="xsd:double"&gt;-7.0695934&lt;/D&gt;&lt;D xsi:type="xsd:double"&gt;0.78833103&lt;/D&gt;&lt;D xsi:type="xsd:double"&gt;-6.389147&lt;/D&gt;&lt;D xsi:type="xsd:double"&gt;7.718408&lt;/D&gt;&lt;D xsi:type="xsd:double"&gt;9.370089&lt;/D&gt;&lt;D xsi:type="xsd:double"&gt;7.739377&lt;/D&gt;&lt;D xsi:type="xsd:double"&gt;-6.5820274&lt;/D&gt;&lt;D xsi:type="xsd:double"&gt;-6.866944&lt;/D&gt;&lt;D xsi:type="xsd:double"&gt;-2.1125436&lt;/D&gt;&lt;D xsi:type="xsd:double"&gt;-3.0075192&lt;/D&gt;&lt;D xsi:type="xsd:double"&gt;-0.20400286&lt;/D&gt;&lt;D xsi:type="xsd:double"&gt;2.297628&lt;/D&gt;&lt;D xsi:type="xsd:double"&gt;4.9476504&lt;/D&gt;&lt;D xsi:type="xsd:double"&gt;5.902505&lt;/D&gt;&lt;D xsi:type="xsd:double"&gt;-2.3012996&lt;/D&gt;&lt;D xsi:type="xsd:double"&gt;-0.36424994&lt;/D&gt;&lt;D xsi:type="xsd:double"&gt;-2.3631632&lt;/D&gt;&lt;D xsi:type="xsd:double"&gt;-3.8284838&lt;/D&gt;&lt;D xsi:type="xsd:double"&gt;-1.6719759&lt;/D&gt;&lt;D xsi:type="xsd:double"&gt;1.2955427&lt;/D&gt;&lt;D xsi:type="xsd:double"&gt;1.0334015&lt;/D&gt;&lt;D xsi:type="xsd:double"&gt;3.787887&lt;/D&gt;&lt;D xsi:type="xsd:double"&gt;8.14445&lt;/D&gt;&lt;/FQL&gt;&lt;FQL&gt;&lt;Q&gt;QAT^FG_PRICE(0,-200D)&lt;/Q&gt;&lt;R&gt;201&lt;/R&gt;&lt;C&gt;1&lt;/C&gt;&lt;D xsi:type="xsd:double"&gt;19.52&lt;/D&gt;&lt;D xsi:type="xsd:double"&gt;19.89&lt;/D&gt;&lt;D xsi:type="xsd:double"&gt;19.99&lt;/D&gt;&lt;D xsi:type="xsd:double"&gt;19.92&lt;/D&gt;&lt;D xsi:type="xsd:double"&gt;19.845&lt;/D&gt;&lt;D xsi:type="xsd:double"&gt;19.8556&lt;/D&gt;&lt;D xsi:type="xsd:double"&gt;20.115&lt;/D&gt;&lt;D xsi:type="xsd:double"&gt;19.98&lt;/D&gt;&lt;D xsi:type="xsd:double"&gt;20.0967&lt;/D&gt;&lt;D xsi:type="xsd:double"&gt;20.075&lt;/D&gt;&lt;D xsi:type="xsd:double"&gt;20.125&lt;/D&gt;&lt;D xsi:type="xsd:double"&gt;20.095&lt;/D&gt;&lt;D xsi:type="xsd:double"&gt;20.1&lt;/D&gt;&lt;D xsi:type="xsd:double"&gt;19.94&lt;/D&gt;&lt;D xsi:type="xsd:double"&gt;19.82&lt;/D&gt;&lt;D xsi:type="xsd:double"&gt;19.96&lt;/D&gt;&lt;D xsi:type="xsd:double"&gt;19.9169&lt;/D&gt;&lt;D xsi:type="xsd:double"&gt;19.97&lt;/D&gt;&lt;D xsi:type="xsd:double"&gt;19.71&lt;/D&gt;&lt;D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</t>
        </r>
      </text>
    </comment>
    <comment ref="A4" authorId="0" shapeId="0" xr:uid="{B40DBC0D-AAC6-4A36-BD9C-EBD4FDC8F97E}">
      <text>
        <r>
          <rPr>
            <b/>
            <sz val="9"/>
            <color indexed="81"/>
            <rFont val="Tahoma"/>
            <charset val="1"/>
          </rPr>
          <t>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xsi:type="xsd:double"&gt;18.69&lt;/D&gt;&lt;/FQL&gt;&lt;FQL&gt;&lt;Q&gt;CNYA^JULIAN(FG_PRICE(0,-200D).DATES)&lt;/Q&gt;&lt;R&gt;201&lt;/R&gt;&lt;C&gt;1&lt;/C&gt;&lt;D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xsi:type="xsd:long"&gt;45786&lt;/D&gt;&lt;/FQL&gt;&lt;FQL&gt;&lt;Q&gt;EWQ^FG_PRICE(0,-200D)&lt;/Q&gt;&lt;R&gt;201&lt;/R&gt;&lt;C&gt;1&lt;/C&gt;&lt;D xsi:type="xsd:double"&gt;48.35&lt;/D&gt;&lt;D xsi:type="xsd:double"&gt;48.02&lt;/D&gt;&lt;D xsi:type="xsd:double"&gt;47.62&lt;/D&gt;&lt;D xsi:type="xsd:double"&gt;47.49&lt;/D&gt;&lt;D xsi:type="xsd:double"&gt;47.68&lt;/D&gt;&lt;D xsi:type="xsd:double"&gt;46.91&lt;/D&gt;&lt;D xsi:type="xsd:double"&gt;47.03&lt;/D&gt;&lt;D xsi:type="xsd:double"&gt;47.05&lt;/D&gt;&lt;D xsi:type="xsd:double"&gt;46.7&lt;/D&gt;&lt;D xsi:type="xsd:double"&gt;46.68&lt;/D&gt;&lt;D xsi:type="xsd:double"&gt;47.08&lt;/D&gt;&lt;D xsi:type="xsd:double"&gt;46.83&lt;/D&gt;&lt;D xsi:type="xsd:double"&gt;46.99&lt;/D&gt;&lt;D xsi:type="xsd:double"&gt;46.4&lt;/D&gt;&lt;D xsi:type="xsd:double"&gt;45.73&lt;/D&gt;&lt;D xsi:type="xsd:double"&gt;46.03&lt;/D&gt;&lt;D xsi:type="xsd:double"&gt;45.69&lt;/D&gt;&lt;D xsi:type="xsd:double"&gt;45.68&lt;/D&gt;&lt;D xsi:type="xsd:double"&gt;45.35&lt;/D&gt;&lt;D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xsi:type="xsd:double"&gt;41.68&lt;/D&gt;&lt;/FQL&gt;&lt;FQL&gt;&lt;Q&gt;EWM^FG_PRICE(0,-200D)&lt;/Q&gt;&lt;R&gt;201&lt;/R&gt;&lt;C&gt;1&lt;/C&gt;&lt;D xsi:type="xsd:double"&gt;29.65&lt;/D&gt;&lt;D xsi:type="xsd:double"&gt;30.01&lt;/D&gt;&lt;D xsi:type="xsd:double"&gt;30.02&lt;/D&gt;&lt;D xsi:type="xsd:double"&gt;30.01&lt;/D&gt;&lt;D xsi:type="xsd:double"&gt;30.13&lt;/D&gt;&lt;D xsi:type="xsd:double"&gt;29.82&lt;/D&gt;&lt;D xsi:type="xsd:double"&gt;29.67&lt;/D&gt;&lt;D xsi:type="xsd:double"&gt;29.65&lt;/D&gt;&lt;D xsi:type="xsd:double"&gt;29.72&lt;/D&gt;&lt;D xsi:type="xsd:double"&gt;29.71&lt;/D&gt;&lt;D xsi:type="xsd:double"&gt;29.98&lt;/D&gt;&lt;D xsi:type="xsd:double"&gt;29.69&lt;/D&gt;&lt;D xsi:type="xsd:double"&gt;29.83&lt;/D&gt;&lt;D xsi:type="xsd:double"&gt;29.57&lt;/D&gt;&lt;D xsi:type="xsd:double"&gt;29.18&lt;/D&gt;&lt;D xsi:type="xsd:double"&gt;29.49&lt;/D&gt;&lt;D xsi:type="xsd:double"&gt;29.42&lt;/D&gt;&lt;D xsi:type="xsd:double"&gt;29.32&lt;/D&gt;&lt;D xsi:type="xsd:double"&gt;29.18&lt;/D&gt;&lt;D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xsi:type="xsd:double"&gt;24.45&lt;/D&gt;&lt;/FQL&gt;&lt;FQL&gt;&lt;Q&gt;TUR^FG_TOTAL_RETURNC(-5AY,0,AM)&lt;/Q&gt;&lt;R&gt;61&lt;/R&gt;&lt;C&gt;1&lt;/C&gt;&lt;D xsi:type="xsd:double"&gt;-4.5032206&lt;/D&gt;&lt;D xsi:type="xsd:double"&gt;-13.922155&lt;/D&gt;&lt;D xsi:type="xsd:double"&gt;-0.5217433&lt;/D&gt;&lt;D xsi:type="xsd:double"&gt;1.6171336&lt;/D&gt;&lt;D xsi:type="xsd:double"&gt;-5.5295763&lt;/D&gt;&lt;D xsi:type="xsd:double"&gt;-1.359582&lt;/D&gt;&lt;D xsi:type="xsd:double"&gt;10.97908&lt;/D&gt;&lt;D xsi:type="xsd:double"&gt;-10.278368&lt;/D&gt;&lt;D xsi:type="xsd:double"&gt;1.8138409&lt;/D&gt;&lt;D xsi:type="xsd:double"&gt;-8.579463&lt;/D&gt;&lt;D xsi:type="xsd:double"&gt;7.6581&lt;/D&gt;&lt;D xsi:type="xsd:double"&gt;-8.468903&lt;/D&gt;&lt;D xsi:type="xsd:double"&gt;-0.4704535&lt;/D&gt;&lt;D xsi:type="xsd:double"&gt;4.7794104&lt;/D&gt;&lt;D xsi:type="xsd:double"&gt;11.2782&lt;/D&gt;&lt;D xsi:type="xsd:double"&gt;-7.477474&lt;/D&gt;&lt;D xsi:type="xsd:double"&gt;-3.5205543&lt;/D&gt;&lt;D xsi:type="xsd:double"&gt;-2.1795511&lt;/D&gt;&lt;D xsi:type="xsd:double"&gt;18.302382&lt;/D&gt;&lt;D xsi:type="xsd:double"&gt;3.1838655&lt;/D&gt;&lt;D xsi:type="xsd:double"&gt;18.94828&lt;/D&gt;&lt;D xsi:type="xsd:double"&gt;22.396778&lt;/D&gt;&lt;D xsi:type="xsd:double"&gt;10.638785&lt;/D&gt;&lt;D xsi:type="xsd:double"&gt;-4.8264685&lt;/D&gt;&lt;D xsi:type="xsd:double"&gt;-2.2507012&lt;/D&gt;&lt;D xsi:type="xsd:double"&gt;-0.64121485&lt;/D&gt;&lt;D xsi:type="xsd:double"&gt;-6.0428324&lt;/D&gt;&lt;D xsi:type="xsd:double"&gt;-7.680297&lt;/D&gt;&lt;D xsi:type="xsd:double"&gt;-1.5178382&lt;/D&gt;&lt;D xsi:type="xsd:double"&gt;12.379932&lt;/D&gt;&lt;D xsi:type="xsd:double"&gt;17.062355&lt;/D&gt;&lt;D xsi:type="xsd:double"&gt;4.1103363&lt;/D&gt;&lt;D xsi:type="xsd:double"&gt;-9.740257&lt;/D&gt;&lt;D xsi:type="xsd:double"&gt;1.5539646&lt;/D&gt;&lt;D xsi:type="xsd:double"&gt;-8.848434&lt;/D&gt;&lt;D xsi:type="xsd:double"&gt;10.8702545&lt;/D&gt;&lt;D xsi:type="xsd:double"&gt;8.586001&lt;/D&gt;&lt;D xsi:type="xsd:double"&gt;-8.924836&lt;/D&gt;&lt;D xsi:type="xsd:double"&gt;13.667607&lt;/D&gt;&lt;D xsi:type="xsd:double"&gt;8.495092&lt;/D&gt;&lt;D xsi:type="xsd:double"&gt;-3.3490062&lt;/D&gt;&lt;D xsi:type="xsd:double"&gt;4.015577&lt;/D&gt;&lt;D xsi:type="xsd:double"&gt;-15.255028&lt;/D&gt;&lt;D xsi:type="xsd:double"&gt;1.8774152&lt;/D&gt;&lt;D xsi:type="xsd:double"&gt;-9.187001&lt;/D&gt;&lt;D xsi:type="xsd:double"&gt;8.534765&lt;/D&gt;&lt;D xsi:type="xsd:double"&gt;1.3605833&lt;/D&gt;&lt;D xsi:type="xsd:double"&gt;-0.49019456&lt;/D&gt;&lt;D xsi:type="xsd:double"&gt;-7.279694&lt;/D&gt;&lt;D xsi:type="xsd:double"&gt;-3.3057928&lt;/D&gt;&lt;D xsi:type="xsd:double"&gt;-2.4420023&lt;/D&gt;&lt;D xsi:type="xsd:double"&gt;-2.2528112&lt;/D&gt;&lt;D xsi:type="xsd:double"&gt;-1.8902183&lt;/D&gt;&lt;D xsi:type="xsd:double"&gt;11.924481&lt;/D&gt;&lt;D xsi:type="xsd:double"&gt;6.4516187&lt;/D&gt;&lt;D xsi:type="xsd:double"&gt;-3.3361137&lt;/D&gt;&lt;D xsi:type="xsd:double"&gt;-2.099508&lt;/D&gt;&lt;D xsi:type="xsd:double"&gt;-1.3219774&lt;/D&gt;&lt;D xsi:type="xsd:double"&gt;4.554355&lt;/D&gt;&lt;D xsi:type="xsd:double"&gt;14.672041&lt;/D&gt;&lt;D xsi:type="xsd:double"&gt;3.4370303&lt;/D&gt;&lt;/FQL&gt;&lt;FQL&gt;&lt;Q&gt;SPY^FG_PRICE(0,-200D)&lt;/Q&gt;&lt;R&gt;201&lt;/R&gt;&lt;C&gt;1&lt;/C&gt;&lt;D xsi:type="xsd:double"&gt;689.3&lt;/D&gt;&lt;D xsi:type="xsd:double"&gt;693.15&lt;/D&gt;&lt;D xsi:type="xsd:double"&gt;687.35&lt;/D&gt;&lt;D xsi:type="xsd:double"&gt;682.39&lt;/D&gt;&lt;D xsi:type="xsd:double"&gt;689.43&lt;/D&gt;&lt;D xsi:type="xsd:double"&gt;684.48&lt;/D&gt;&lt;D xsi:type="xsd:double"&gt;686.29&lt;/D&gt;&lt;D xsi:type="xsd:double"&gt;682.85&lt;/D&gt;&lt;D xsi:type="xsd:double"&gt;681.75&lt;/D&gt;&lt;D xsi:type="xsd:double"&gt;681.27&lt;/D&gt;&lt;D xsi:type="xsd:double"&gt;691.96&lt;/D&gt;&lt;D xsi:type="xsd:double"&gt;692.12&lt;/D&gt;&lt;D xsi:type="xsd:double"&gt;693.95&lt;/D&gt;&lt;D xsi:type="xsd:double"&gt;690.62&lt;/D&gt;&lt;D xsi:type="xsd:double"&gt;677.62&lt;/D&gt;&lt;D xsi:type="xsd:double"&gt;686.19&lt;/D&gt;&lt;D xsi:type="xsd:double"&gt;689.53&lt;/D&gt;&lt;D xsi:type="xsd:double"&gt;695.41&lt;/D&gt;&lt;D xsi:type="xsd:double"&gt;691.97&lt;/D&gt;&lt;D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xsi:type="xsd:double"&gt;564.34&lt;/D&gt;&lt;/FQL&gt;&lt;FQL&gt;&lt;Q&gt;KSA^FG_PRICE(0,-200D)&lt;/Q&gt;&lt;R&gt;201&lt;/R&gt;&lt;C&gt;1&lt;/C&gt;&lt;D xsi:type="xsd:double"&gt;37.13&lt;/D&gt;&lt;D xsi:type="xsd:double"&gt;37.92&lt;/D&gt;&lt;D xsi:type="xsd:double"&gt;38.18&lt;/D&gt;&lt;D xsi:type="xsd:double"&gt;38.3&lt;/D&gt;&lt;D xsi:type="xsd:double"&gt;38.63&lt;/D&gt;&lt;D xsi:type="xsd:double"&gt;38.13&lt;/D&gt;&lt;D xsi:type="xsd:double"&gt;39.12&lt;/D&gt;&lt;D xsi:type="xsd:double"&gt;38.94&lt;/D&gt;&lt;D xsi:type="xsd:double"&gt;39.16&lt;/D&gt;&lt;D xsi:type="xsd:double"&gt;38.94&lt;/D&gt;&lt;D xsi:type="xsd:double"&gt;39.19&lt;/D&gt;&lt;D xsi:type="xsd:double"&gt;39.23&lt;/D&gt;&lt;D xsi:type="xsd:double"&gt;39.46&lt;/D&gt;&lt;D xsi:type="xsd:double"&gt;39.75&lt;/D&gt;&lt;D xsi:type="xsd:double"&gt;39.22&lt;/D&gt;&lt;D xsi:type="xsd:double"&gt;39.63&lt;/D&gt;&lt;D xsi:type="xsd:double"&gt;39.57&lt;/D&gt;&lt;D xsi:type="xsd:double"&gt;39.79&lt;/D&gt;&lt;D xsi:type="xsd:double"&gt;39.86&lt;/D&gt;&lt;D xsi:type="xsd:double"&gt;39.87&lt;/D&gt;&lt;D xsi:type="xsd:double"&gt;40.14&lt;/D&gt;&lt;D xsi:type="xsd:double"&gt;40.12&lt;/D&gt;&lt;D xsi:t</t>
        </r>
      </text>
    </comment>
    <comment ref="A5" authorId="0" shapeId="0" xr:uid="{0BF9A20A-4475-4D91-A448-A6D822CC4C3B}">
      <text>
        <r>
          <rPr>
            <b/>
            <sz val="9"/>
            <color indexed="81"/>
            <rFont val="Tahoma"/>
            <charset val="1"/>
          </rPr>
          <t>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xsi:type="xsd:double"&gt;39.54&lt;/D&gt;&lt;/FQL&gt;&lt;FQL&gt;&lt;Q&gt;EWN^FG_TOTAL_RETURNC(-5AY,0,AM)&lt;/Q&gt;&lt;R&gt;61&lt;/R&gt;&lt;C&gt;1&lt;/C&gt;&lt;D xsi:type="xsd:double"&gt;0.6861806&lt;/D&gt;&lt;D xsi:type="xsd:double"&gt;5.270326&lt;/D&gt;&lt;D xsi:type="xsd:double"&gt;5.9128165&lt;/D&gt;&lt;D xsi:type="xsd:double"&gt;0.46862364&lt;/D&gt;&lt;D xsi:type="xsd:double"&gt;-0.39929152&lt;/D&gt;&lt;D xsi:type="xsd:double"&gt;1.3937235&lt;/D&gt;&lt;D xsi:type="xsd:double"&gt;4.50778&lt;/D&gt;&lt;D xsi:type="xsd:double"&gt;1.2185693&lt;/D&gt;&lt;D xsi:type="xsd:double"&gt;-0.40130615&lt;/D&gt;&lt;D xsi:type="xsd:double"&gt;-5.2187204&lt;/D&gt;&lt;D xsi:type="xsd:double"&gt;1.0834217&lt;/D&gt;&lt;D xsi:type="xsd:double"&gt;-9.005022&lt;/D&gt;&lt;D xsi:type="xsd:double"&gt;-3.4459949&lt;/D&gt;&lt;D xsi:type="xsd:double"&gt;-2.562338&lt;/D&gt;&lt;D xsi:type="xsd:double"&gt;-10.213661&lt;/D&gt;&lt;D xsi:type="xsd:double"&gt;0.62761307&lt;/D&gt;&lt;D xsi:type="xsd:double"&gt;-5.852008&lt;/D&gt;&lt;D xsi:type="xsd:double"&gt;0.7270813&lt;/D&gt;&lt;D xsi:type="xsd:double"&gt;-2.7484775&lt;/D&gt;&lt;D xsi:type="xsd:double"&gt;-12.617749&lt;/D&gt;&lt;D xsi:type="xsd:double"&gt;8.3959465&lt;/D&gt;&lt;D xsi:type="xsd:double"&gt;16.214584&lt;/D&gt;&lt;D xsi:type="xsd:double"&gt;-2.0145655&lt;/D&gt;&lt;D xsi:type="xsd:double"&gt;13.715053&lt;/D&gt;&lt;D xsi:type="xsd:double"&gt;-5.2693186&lt;/D&gt;&lt;D xsi:type="xsd:double"&gt;0.0741601&lt;/D&gt;&lt;D xsi:type="xsd:double"&gt;2.618575&lt;/D&gt;&lt;D xsi:type="xsd:double"&gt;3.5387516&lt;/D&gt;&lt;D xsi:type="xsd:double"&gt;-1.6421735&lt;/D&gt;&lt;D xsi:type="xsd:double"&gt;5.210948&lt;/D&gt;&lt;D xsi:type="xsd:double"&gt;-7.6678395&lt;/D&gt;&lt;D xsi:type="xsd:double"&gt;-7.480061&lt;/D&gt;&lt;D xsi:type="xsd:double"&gt;-2.1279275&lt;/D&gt;&lt;D xsi:type="xsd:double"&gt;15.108705&lt;/D&gt;&lt;D xsi:type="xsd:double"&gt;6.2250733&lt;/D&gt;&lt;D xsi:type="xsd:double"&gt;2.8661013&lt;/D&gt;&lt;D xsi:type="xsd:double"&gt;3.8963914&lt;/D&gt;&lt;D xsi:type="xsd:double"&gt;3.28933&lt;/D&gt;&lt;D xsi:type="xsd:double"&gt;-1.8052697&lt;/D&gt;&lt;D xsi:type="xsd:double"&gt;6.8374276&lt;/D&gt;&lt;D xsi:type="xsd:double"&gt;-1.8634915&lt;/D&gt;&lt;D xsi:type="xsd:double"&gt;-2.8292477&lt;/D&gt;&lt;D xsi:type="xsd:double"&gt;2.8501153&lt;/D&gt;&lt;D xsi:type="xsd:double"&gt;1.8540621&lt;/D&gt;&lt;D xsi:type="xsd:double"&gt;-6.302607&lt;/D&gt;&lt;D xsi:type="xsd:double"&gt;-6.538534&lt;/D&gt;&lt;D xsi:type="xsd:double"&gt;2.062416&lt;/D&gt;&lt;D xsi:type="xsd:double"&gt;2.1427035&lt;/D&gt;&lt;D xsi:type="xsd:double"&gt;4.801035&lt;/D&gt;&lt;D xsi:type="xsd:double"&gt;-1.279813&lt;/D&gt;&lt;D xsi:type="xsd:double"&gt;1.9653082&lt;/D&gt;&lt;D xsi:type="xsd:double"&gt;7.134068&lt;/D&gt;&lt;D xsi:type="xsd:double"&gt;4.650724&lt;/D&gt;&lt;D xsi:type="xsd:double"&gt;-0.87085366&lt;/D&gt;&lt;D xsi:type="xsd:double"&gt;0.5046725&lt;/D&gt;&lt;D xsi:type="xsd:double"&gt;6.230235&lt;/D&gt;&lt;D xsi:type="xsd:double"&gt;3.13375&lt;/D&gt;&lt;D xsi:type="xsd:double"&gt;-1.9012034&lt;/D&gt;&lt;D xsi:type="xsd:double"&gt;2.698779&lt;/D&gt;&lt;D xsi:type="xsd:double"&gt;9.884537&lt;/D&gt;&lt;D xsi:type="xsd:double"&gt;0.38210154&lt;/D&gt;&lt;/FQL&gt;&lt;FQL&gt;&lt;Q&gt;EWT^FG_TOTAL_RETURNC(-5AY,0,AM)&lt;/Q&gt;&lt;R&gt;61&lt;/R&gt;&lt;C&gt;1&lt;/C&gt;&lt;D xsi:type="xsd:double"&gt;1.4228702&lt;/D&gt;&lt;D xsi:type="xsd:double"&gt;1.5055656&lt;/D&gt;&lt;D xsi:type="xsd:double"&gt;9.961224&lt;/D&gt;&lt;D xsi:type="xsd:double"&gt;-5.686694&lt;/D&gt;&lt;D xsi:type="xsd:double"&gt;3.250444&lt;/D&gt;&lt;D xsi:type="xsd:double"&gt;-0.37776828&lt;/D&gt;&lt;D xsi:type="xsd:double"&gt;-1.0902226&lt;/D&gt;&lt;D xsi:type="xsd:double"&gt;2.2044778&lt;/D&gt;&lt;D xsi:type="xsd:double"&gt;-1.3129115&lt;/D&gt;&lt;D xsi:type="xsd:double"&gt;0.8394003&lt;/D&gt;&lt;D xsi:type="xsd:double"&gt;6.077504&lt;/D&gt;&lt;D xsi:type="xsd:double"&gt;-2.8145492&lt;/D&gt;&lt;D xsi:type="xsd:double"&gt;0.29742718&lt;/D&gt;&lt;D xsi:type="xsd:double"&gt;-3.527391&lt;/D&gt;&lt;D xsi:type="xsd:double"&gt;-10.402846&lt;/D&gt;&lt;D xsi:type="xsd:double"&gt;-0.8486867&lt;/D&gt;&lt;D xsi:type="xsd:double"&gt;-3.860861&lt;/D&gt;&lt;D xsi:type="xsd:double"&gt;-5.209321&lt;/D&gt;&lt;D xsi:type="xsd:double"&gt;1.5987158&lt;/D&gt;&lt;D xsi:type="xsd:double"&gt;-12.234461&lt;/D&gt;&lt;D xsi:type="xsd:double"&gt;-6.476915&lt;/D&gt;&lt;D xsi:type="xsd:double"&gt;17.852867&lt;/D&gt;&lt;D xsi:type="xsd:double"&gt;-2.5698304&lt;/D&gt;&lt;D xsi:type="xsd:double"&gt;12.14286&lt;/D&gt;&lt;D xsi:type="xsd:double"&gt;-3.887546&lt;/D&gt;&lt;D xsi:type="xsd:double"&gt;3.9762378&lt;/D&gt;&lt;D xsi:type="xsd:double"&gt;-5.4065943&lt;/D&gt;&lt;D xsi:type="xsd:double"&gt;8.73605&lt;/D&gt;&lt;D xsi:type="xsd:double"&gt;1.025641&lt;/D&gt;&lt;D xsi:type="xsd:double"&gt;2.5169253&lt;/D&gt;&lt;D xsi:type="xsd:double"&gt;-6.1275063&lt;/D&gt;&lt;D xsi:type="xsd:double"&gt;-2.9670298&lt;/D&gt;&lt;D xsi:type="xsd:double"&gt;-1.4949024&lt;/D&gt;&lt;D xsi:type="xsd:double"&gt;10.669112&lt;/D&gt;&lt;D xsi:type="xsd:double"&gt;6.3555956&lt;/D&gt;&lt;D xsi:type="xsd:double"&gt;-0.9028852&lt;/D&gt;&lt;D xsi:type="xsd:double"&gt;3.111112&lt;/D&gt;&lt;D xsi:type="xsd:double"&gt;4.439652&lt;/D&gt;&lt;D xsi:type="xsd:double"&gt;-2.806437&lt;/D&gt;&lt;D xsi:type="xsd:double"&gt;9.7452279999999991&lt;/D&gt;&lt;D xsi:type="xsd:double"&gt;3.7144542&lt;/D&gt;&lt;D xsi:type="xsd:double"&gt;-2.7420282&lt;/D&gt;&lt;D xsi:type="xsd:double"&gt;3.4330726&lt;/D&gt;&lt;D xsi:type="xsd:double"&gt;4.542923&lt;/D&gt;&lt;D xsi:type="xsd:double"&gt;-0.14189482&lt;/D&gt;&lt;D xsi:type="xsd:double"&gt;-4.937834&lt;/D&gt;&lt;D xsi:type="xsd:double"&gt;1.5510201&lt;/D&gt;&lt;D xsi:type="xsd:double"&gt;1.5200496&lt;/D&gt;&lt;D xsi:type="xsd:double"&gt;-0.655061&lt;/D&gt;&lt;D xsi:type="xsd:double"&gt;-6.7257047&lt;/D&gt;&lt;D xsi:type="xsd:double"&gt;-6.402743&lt;/D&gt;&lt;D xsi:type="xsd:double"&gt;15.49418&lt;/D&gt;&lt;D xsi:type="xsd:double"&gt;8.090425&lt;/D&gt;&lt;D xsi:type="xsd:double"&gt;2.731204&lt;/D&gt;&lt;D xsi:type="xsd:double"&gt;0.1177907&lt;/D&gt;&lt;D xsi:type="xsd:double"&gt;5.445385&lt;/D&gt;&lt;D xsi:type="xsd:double"&gt;5.961108&lt;/D&gt;&lt;D xsi:type="xsd:double"&gt;-4.2418838&lt;/D&gt;&lt;D xsi:type="xsd:double"&gt;3.5559177&lt;/D&gt;&lt;D xsi:type="xsd:double"&gt;10.980642&lt;/D&gt;&lt;D xsi:type="xsd:double"&gt;8.864737&lt;/D&gt;&lt;/FQL&gt;&lt;FQL&gt;&lt;Q&gt;ECH^JULIAN(FG_TOTAL_RETURNC(-5AY,0,AM).DATES)&lt;/Q&gt;&lt;R&gt;61&lt;/R&gt;&lt;C&gt;1&lt;/C&gt;&lt;D xsi:type="xsd:long"&gt;44253&lt;/D&gt;&lt;D xsi:type="xsd:long"&gt;44281&lt;/D&gt;&lt;D xsi:type="xsd:long"&gt;44312&lt;/D&gt;&lt;D xsi:type="xsd:long"&gt;44342&lt;/D&gt;&lt;D xsi:type="xsd:long"&gt;44372&lt;/D&gt;&lt;D xsi:type="xsd:long"&gt;44403&lt;/D&gt;&lt;D xsi:type="xsd:long"&gt;44434&lt;/D&gt;&lt;D xsi:type="xsd:long"&gt;44463&lt;/D&gt;&lt;D xsi:type="xsd:long"&gt;44495&lt;/D&gt;&lt;D xsi:type="xsd:long"&gt;44526&lt;/D&gt;&lt;D xsi:type="xsd:long"&gt;44553&lt;/D&gt;&lt;D xsi:type="xsd:long"&gt;44587&lt;/D&gt;&lt;D xsi:type="xsd:long"&gt;44617&lt;/D&gt;&lt;D xsi:type="xsd:long"&gt;44645&lt;/D&gt;&lt;D xsi:type="xsd:long"&gt;44677&lt;/D&gt;&lt;D xsi:type="xsd:long"&gt;44707&lt;/D&gt;&lt;D xsi:type="xsd:long"&gt;44736&lt;/D&gt;&lt;D xsi:type="xsd:long"&gt;44768&lt;/D&gt;&lt;D xsi:type="xsd:long"&gt;44799&lt;/D&gt;&lt;D xsi:type="xsd:long"&gt;44830&lt;/D&gt;&lt;D xsi:type="xsd:long"&gt;44860&lt;/D&gt;&lt;D xsi:type="xsd:long"&gt;44890&lt;/D&gt;&lt;D xsi:type="xsd:long"&gt;44918&lt;/D&gt;&lt;D xsi:type="xsd:long"&gt;44952&lt;/D&gt;&lt;D xsi:type="xsd:long"&gt;44981&lt;/D&gt;&lt;D xsi:type="xsd:long"&gt;45009&lt;/D&gt;&lt;D xsi:type="xsd:long"&gt;45042&lt;/D&gt;&lt;D xsi:type="xsd:long"&gt;45072&lt;/D&gt;&lt;D xsi:type="xsd:long"&gt;45103&lt;/D&gt;&lt;D xsi:type="xsd:long"&gt;45133&lt;/D&gt;&lt;D xsi:type="xsd:long"&gt;45163&lt;/D&gt;&lt;D xsi:type="xsd:long"&gt;45195&lt;/D&gt;&lt;D xsi:type="xsd:long"&gt;45225&lt;/D&gt;&lt;D xsi:type="xsd:long"&gt;45254&lt;/D&gt;&lt;D xsi:type="xsd:long"&gt;45286&lt;/D&gt;&lt;D xsi:type="xsd:long"&gt;45317&lt;/D&gt;&lt;D xsi:type="xsd:long"&gt;45348&lt;/D&gt;&lt;D xsi:type="xsd:long"&gt;45377&lt;/D&gt;&lt;D xsi:type="xsd:long"&gt;45408&lt;/D&gt;&lt;D xsi:type="xsd:long"&gt;45436&lt;/D&gt;&lt;D xsi:type="xsd:long"&gt;45469&lt;/D&gt;&lt;D xsi:type="xsd:long"&gt;45499&lt;/D&gt;&lt;D xsi:type="xsd:long"&gt;45530&lt;/D&gt;&lt;D xsi:type="xsd:long"&gt;45561&lt;/D&gt;&lt;D xsi:type="xsd:long"&gt;45590&lt;/D&gt;&lt;D xsi:type="xsd:long"&gt;45622&lt;/D&gt;&lt;D xsi:type="xsd:long"&gt;45652&lt;/D&gt;&lt;D xsi:type="xsd:long"&gt;45681&lt;/D&gt;&lt;D xsi:type="xsd:long"&gt;45714&lt;/D&gt;&lt;D xsi:type="xsd:long"&gt;45742&lt;/D&gt;&lt;D xsi:type="xsd:long"&gt;45772&lt;/D&gt;&lt;D xsi:type="xsd:long"&gt;45800&lt;/D&gt;&lt;D xsi:type="xsd:long"&gt;45834&lt;/D&gt;&lt;D xsi:type="xsd:long"&gt;45863&lt;/D&gt;&lt;D xsi:type="xsd:long"&gt;45895&lt;/D&gt;&lt;D xsi:type="xsd:long"&gt;45926&lt;/D&gt;&lt;D xsi:type="xsd:long"&gt;45954&lt;/D&gt;&lt;D xsi:type="xsd:long"&gt;45987&lt;/D&gt;&lt;D xsi:type="xsd:long"&gt;46017&lt;/D&gt;&lt;D xsi:type="xsd:long"&gt;46048&lt;/D&gt;&lt;D xsi:type="xsd:long"&gt;46079&lt;/D&gt;&lt;/FQL&gt;&lt;FQL&gt;&lt;Q&gt;EWU^FG_PRICE(0,-200D)&lt;/Q&gt;&lt;R&gt;201&lt;/R&gt;&lt;C&gt;1&lt;/C&gt;&lt;D xsi:type="xsd:double"&gt;48.61&lt;/D&gt;&lt;D xsi:type="xsd:double"&gt;48.66&lt;/D&gt;&lt;D xsi:type="xsd:double"&gt;47.98&lt;/D&gt;&lt;D xsi:type="xsd:double"&gt;47.89&lt;/D&gt;&lt;D xsi:type="xsd:double"&gt;48.04&lt;/D&gt;&lt;D xsi:type="xsd:double"&gt;47.68&lt;/D&gt;&lt;D xsi:type="xsd:double"&gt;47.88&lt;/D&gt;&lt;D xsi:type="xsd:double"&gt;47.42&lt;/D&gt;&lt;D xsi:type="xsd:double"&gt;47.25&lt;/D&gt;&lt;D xsi:type="xsd:double"&gt;47.01&lt;/D&gt;&lt;D xsi:type="xsd:double"&gt;47.43&lt;/D&gt;&lt;D xsi:type="xsd:double"&gt;46.74&lt;/D&gt;&lt;D xsi:type="xsd:double"&gt;47.02&lt;/D&gt;&lt;D xsi:type="xsd:double"&gt;46.9&lt;/D&gt;&lt;D xsi:type="xsd:double"&gt;45.94&lt;/D&gt;&lt;D xsi:type="xsd:double"&gt;47.05&lt;/D&gt;&lt;D xsi:type="xsd:double"&gt;46.47&lt;/D&gt;&lt;D xsi:type="xsd:double"&gt;46.54&lt;/D&gt;&lt;D xsi:type="xsd:double"&gt;46.16&lt;/D&gt;&lt;D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xsi:type="xsd:double"&gt;38.29&lt;/D&gt;&lt;/FQL&gt;&lt;FQL&gt;&lt;Q&gt;VNM^FG_PRICE(0,-200D)&lt;/Q&gt;&lt;R&gt;201&lt;/R&gt;&lt;C&gt;1&lt;/C&gt;&lt;D xsi:type="xsd:double"&gt;19.16&lt;/D&gt;&lt;D xsi:type="xsd:double"&gt;19.085&lt;/D&gt;&lt;D xsi:type="xsd:double"&gt;19.25&lt;/D&gt;&lt;D xsi:type="xsd:double"&gt;19.23&lt;/D&gt;&lt;D xsi:type="xsd:double"&gt;19.285&lt;/D&gt;&lt;D xsi:type="xsd:double"&gt;18.76&lt;/D&gt;&lt;D xsi:type="xsd:double"&gt;18.77&lt;/D&gt;&lt;D xsi:type="xsd:double"&gt;18.73&lt;/D&gt;&lt;D xsi:type="xsd:double"&gt;18.89&lt;/D&gt;&lt;D xsi:type="xsd:double"&gt;18.51&lt;/D&gt;&lt;D xsi:type="xsd:double"&gt;18.71&lt;/D&gt;&lt;D xsi:type="xsd:double"&gt;18.08&lt;/D&gt;&lt;D xsi:type="xsd:double"&gt;18.045&lt;/D&gt;&lt;D xsi:type="xsd:double"&gt;18.03&lt;/D&gt;&lt;D xsi:type="xsd:double"&gt;18.12&lt;/D&gt;&lt;D xsi:type="xsd:double"&gt;18.61&lt;/D&gt;&lt;D xsi:type="xsd:double"&gt;18.45&lt;/D&gt;&lt;D xsi:type="xsd:double"&gt;18.77&lt;/D&gt;&lt;D xsi:type="xsd:double"&gt;19.07&lt;/D&gt;&lt;D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xsi:type="xsd:double"&gt;12.49&lt;/D&gt;&lt;/FQL&gt;&lt;FQL&gt;&lt;Q&gt;EPHE^FG_PRICE(0,-200D)&lt;/Q&gt;&lt;R&gt;201&lt;/R&gt;&lt;C&gt;1&lt;/C&gt;&lt;D xsi:type="xsd:double"&gt;28.15&lt;/D&gt;&lt;D xsi:type="xsd:double"&gt;28.37&lt;/D&gt;&lt;D xsi:type="xsd:double"&gt;27.73&lt;/D&gt;&lt;D xsi:type="xsd:double"&gt;27.53&lt;/D&gt;&lt;D xsi:type="xsd:double"&gt;27.16&lt;/D&gt;&lt;D xsi:type="xsd:double"&gt;26.83&lt;/D&gt;&lt;D xsi:type="xsd:double"&gt;26.78&lt;/D&gt;&lt;D xsi:type="xsd:double"&gt;26.68&lt;/D&gt;&lt;D xsi:type="xsd:double"&gt;26.97&lt;/D&gt;&lt;D xsi:type="xsd:double"&gt;26.94&lt;/D&gt;&lt;D xsi:type="xsd:double"&gt;27.25&lt;/D&gt;&lt;D xsi:type="xsd:double"&gt;26.93&lt;/D&gt;&lt;D xsi:type="xsd:double"&gt;26.42&lt;/D&gt;&lt;D xsi:type="xsd:double"&gt;26.73&lt;/D&gt;&lt;D xsi:type="xsd:double"&gt;26.45&lt;/D&gt;&lt;D xsi:type="xsd:double"&gt;26.33&lt;/D&gt;&lt;D xsi:type="xsd:double"&gt;26.45&lt;/D&gt;&lt;D xsi:type="xsd:double"&gt;26.24&lt;/D&gt;&lt;D xsi:type="xsd:double"&gt;25.97&lt;/D&gt;&lt;D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</t>
        </r>
      </text>
    </comment>
    <comment ref="A6" authorId="0" shapeId="0" xr:uid="{63A3893C-E48A-4AB1-B244-C819128F9426}">
      <text>
        <r>
          <rPr>
            <b/>
            <sz val="9"/>
            <color indexed="81"/>
            <rFont val="Tahoma"/>
            <charset val="1"/>
          </rPr>
          <t>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xsi:type="xsd:double"&gt;27.62&lt;/D&gt;&lt;/FQL&gt;&lt;FQL&gt;&lt;Q&gt;EWA^FG_TOTAL_RETURNC(-5AY,0,AM)&lt;/Q&gt;&lt;R&gt;61&lt;/R&gt;&lt;C&gt;1&lt;/C&gt;&lt;D xsi:type="xsd:double"&gt;-1.9599974&lt;/D&gt;&lt;D xsi:type="xsd:double"&gt;2.2031784&lt;/D&gt;&lt;D xsi:type="xsd:double"&gt;5.309379&lt;/D&gt;&lt;D xsi:type="xsd:double"&gt;0.7960558&lt;/D&gt;&lt;D xsi:type="xsd:double"&gt;0.51676035&lt;/D&gt;&lt;D xsi:type="xsd:double"&gt;-1.6691983&lt;/D&gt;&lt;D xsi:type="xsd:double"&gt;-1.1188328&lt;/D&gt;&lt;D xsi:type="xsd:double"&gt;-1.1704981&lt;/D&gt;&lt;D xsi:type="xsd:double"&gt;5.2112103&lt;/D&gt;&lt;D xsi:type="xsd:double"&gt;-7.8424034&lt;/D&gt;&lt;D xsi:type="xsd:double"&gt;4.5835853&lt;/D&gt;&lt;D xsi:type="xsd:double"&gt;-7.2734175&lt;/D&gt;&lt;D xsi:type="xsd:double"&gt;5.3959966&lt;/D&gt;&lt;D xsi:type="xsd:double"&gt;9.413708&lt;/D&gt;&lt;D xsi:type="xsd:double"&gt;-7.924527&lt;/D&gt;&lt;D xsi:type="xsd:double"&gt;0.12295246&lt;/D&gt;&lt;D xsi:type="xsd:double"&gt;-8.685416&lt;/D&gt;&lt;D xsi:type="xsd:double"&gt;0.60156584&lt;/D&gt;&lt;D xsi:type="xsd:double"&gt;3.2198787&lt;/D&gt;&lt;D xsi:type="xsd:double"&gt;-11.809265&lt;/D&gt;&lt;D xsi:type="xsd:double"&gt;5.457306&lt;/D&gt;&lt;D xsi:type="xsd:double"&gt;11.499763&lt;/D&gt;&lt;D xsi:type="xsd:double"&gt;-2.2963881&lt;/D&gt;&lt;D xsi:type="xsd:double"&gt;12.096775&lt;/D&gt;&lt;D xsi:type="xsd:double"&gt;-8.393288&lt;/D&gt;&lt;D xsi:type="xsd:double"&gt;-3.9267004&lt;/D&gt;&lt;D xsi:type="xsd:double"&gt;3.7238836&lt;/D&gt;&lt;D xsi:type="xsd:double"&gt;-1.8388808&lt;/D&gt;&lt;D xsi:type="xsd:double"&gt;0.7994652&lt;/D&gt;&lt;D xsi:type="xsd:double"&gt;5.8160424&lt;/D&gt;&lt;D xsi:type="xsd:double"&gt;-8.308476&lt;/D&gt;&lt;D xsi:type="xsd:double"&gt;-0.836432&lt;/D&gt;&lt;D xsi:type="xsd:double"&gt;-3.420806&lt;/D&gt;&lt;D xsi:type="xsd:double"&gt;8.927703&lt;/D&gt;&lt;D xsi:type="xsd:double"&gt;11.107122&lt;/D&gt;&lt;D xsi:type="xsd:double"&gt;-3.0687392&lt;/D&gt;&lt;D xsi:type="xsd:double"&gt;0.59096813&lt;/D&gt;&lt;D xsi:type="xsd:double"&gt;1.8883824&lt;/D&gt;&lt;D xsi:type="xsd:double"&gt;-2.3064315&lt;/D&gt;&lt;D xsi:type="xsd:double"&gt;4.173696&lt;/D&gt;&lt;D xsi:type="xsd:double"&gt;0.0094771385&lt;/D&gt;&lt;D xsi:type="xsd:double"&gt;1.8151879&lt;/D&gt;&lt;D xsi:type="xsd:double"&gt;4.8217177&lt;/D&gt;&lt;D xsi:type="xsd:double"&gt;4.2520285&lt;/D&gt;&lt;D xsi:type="xsd:double"&gt;-4.375225&lt;/D&gt;&lt;D xsi:type="xsd:double"&gt;0.6979346&lt;/D&gt;&lt;D xsi:type="xsd:double"&gt;-4.7809124&lt;/D&gt;&lt;D xsi:type="xsd:double"&gt;2.4259925&lt;/D&gt;&lt;D xsi:type="xsd:double"&gt;-1.886791&lt;/D&gt;&lt;D xsi:type="xsd:double"&gt;-2.986914&lt;/D&gt;&lt;D xsi:type="xsd:double"&gt;3.3741117&lt;/D&gt;&lt;D xsi:type="xsd:double"&gt;4.651165&lt;/D&gt;&lt;D xsi:type="xsd:double"&gt;4.6102047&lt;/D&gt;&lt;D xsi:type="xsd:double"&gt;0.18917322&lt;/D&gt;&lt;D xsi:type="xsd:double"&gt;1.85045&lt;/D&gt;&lt;D xsi:type="xsd:double"&gt;-1.1123419&lt;/D&gt;&lt;D xsi:type="xsd:double"&gt;1.91226&lt;/D&gt;&lt;D xsi:type="xsd:double"&gt;-5.003679&lt;/D&gt;&lt;D xsi:type="xsd:double"&gt;5.106139&lt;/D&gt;&lt;D xsi:type="xsd:double"&gt;3.5232425&lt;/D&gt;&lt;D xsi:type="xsd:double"&gt;9.123814&lt;/D&gt;&lt;/FQL&gt;&lt;FQL&gt;&lt;Q&gt;UAE^FG_PRICE(0,-200D)&lt;/Q&gt;&lt;R&gt;201&lt;/R&gt;&lt;C&gt;1&lt;/C&gt;&lt;D xsi:type="xsd:double"&gt;21.54&lt;/D&gt;&lt;D xsi:type="xsd:double"&gt;22&lt;/D&gt;&lt;D xsi:type="xsd:double"&gt;22&lt;/D&gt;&lt;D xsi:type="xsd:double"&gt;21.96&lt;/D&gt;&lt;D xsi:type="xsd:double"&gt;21.63&lt;/D&gt;&lt;D xsi:type="xsd:double"&gt;21.69&lt;/D&gt;&lt;D xsi:type="xsd:double"&gt;22.23&lt;/D&gt;&lt;D xsi:type="xsd:double"&gt;21.85&lt;/D&gt;&lt;D xsi:type="xsd:double"&gt;21.94&lt;/D&gt;&lt;D xsi:type="xsd:double"&gt;21.89&lt;/D&gt;&lt;D xsi:type="xsd:double"&gt;21.83&lt;/D&gt;&lt;D xsi:type="xsd:double"&gt;21.9&lt;/D&gt;&lt;D xsi:type="xsd:double"&gt;21.89&lt;/D&gt;&lt;D xsi:type="xsd:double"&gt;21.73&lt;/D&gt;&lt;D xsi:type="xsd:double"&gt;21.39&lt;/D&gt;&lt;D xsi:type="xsd:double"&gt;21.29&lt;/D&gt;&lt;D xsi:type="xsd:double"&gt;21.11&lt;/D&gt;&lt;D xsi:type="xsd:double"&gt;20.94&lt;/D&gt;&lt;D xsi:type="xsd:double"&gt;20.49&lt;/D&gt;&lt;D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xsi:type="xsd:double"&gt;18.15&lt;/D&gt;&lt;/FQL&gt;&lt;FQL&gt;&lt;Q&gt;EIDO^FG_PRICE(0,-200D)&lt;/Q&gt;&lt;R&gt;201&lt;/R&gt;&lt;C&gt;1&lt;/C&gt;&lt;D xsi:type="xsd:double"&gt;17.89&lt;/D&gt;&lt;D xsi:type="xsd:double"&gt;18.22&lt;/D&gt;&lt;D xsi:type="xsd:double"&gt;17.95&lt;/D&gt;&lt;D xsi:type="xsd:double"&gt;18.11&lt;/D&gt;&lt;D xsi:type="xsd:double"&gt;18.06&lt;/D&gt;&lt;D xsi:type="xsd:double"&gt;17.83&lt;/D&gt;&lt;D xsi:type="xsd:double"&gt;17.87&lt;/D&gt;&lt;D xsi:type="xsd:double"&gt;17.82&lt;/D&gt;&lt;D xsi:type="xsd:double"&gt;17.77&lt;/D&gt;&lt;D xsi:type="xsd:double"&gt;17.89&lt;/D&gt;&lt;D xsi:type="xsd:double"&gt;18.09&lt;/D&gt;&lt;D xsi:type="xsd:double"&gt;17.75&lt;/D&gt;&lt;D xsi:type="xsd:double"&gt;17.6&lt;/D&gt;&lt;D xsi:type="xsd:double"&gt;17.6&lt;/D&gt;&lt;D xsi:type="xsd:double"&gt;17.51&lt;/D&gt;&lt;D xsi:type="xsd:double"&gt;17.79&lt;/D&gt;&lt;D xsi:type="xsd:double"&gt;17.59&lt;/D&gt;&lt;D xsi:type="xsd:double"&gt;17.41&lt;/D&gt;&lt;D xsi:type="xsd:double"&gt;17.65&lt;/D&gt;&lt;D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xsi:type="xsd:double"&gt;17.41&lt;/D&gt;&lt;/FQL&gt;&lt;FQL&gt;&lt;Q&gt;ENZL^FG_TOTAL_RETURNC(-5AY,0,AM)&lt;/Q&gt;&lt;R&gt;61&lt;/R&gt;&lt;C&gt;1&lt;/C&gt;&lt;D xsi:type="xsd:double"&gt;-10.837012&lt;/D&gt;&lt;D xsi:type="xsd:double"&gt;-1.039499&lt;/D&gt;&lt;D xsi:type="xsd:double"&gt;4.993534&lt;/D&gt;&lt;D xsi:type="xsd:double"&gt;-3.7555814&lt;/D&gt;&lt;D xsi:type="xsd:double"&gt;-0.40208697&lt;/D&gt;&lt;D xsi:type="xsd:double"&gt;-0.5346775&lt;/D&gt;&lt;D xsi:type="xsd:double"&gt;1.2054086&lt;/D&gt;&lt;D xsi:type="xsd:double"&gt;2.140665&lt;/D&gt;&lt;D xsi:type="xsd:double"&gt;0.61455965&lt;/D&gt;&lt;D xsi:type="xsd:double"&gt;-9.158963&lt;/D&gt;&lt;D xsi:type="xsd:double"&gt;2.8234959&lt;/D&gt;&lt;D xsi:type="xsd:double"&gt;-8.673817&lt;/D&gt;&lt;D xsi:type="xsd:double"&gt;1.7429471&lt;/D&gt;&lt;D xsi:type="xsd:double"&gt;1.9604206&lt;/D&gt;&lt;D xsi:type="xsd:double"&gt;-9.038639&lt;/D&gt;&lt;D xsi:type="xsd:double"&gt;-6.0450373&lt;/D&gt;&lt;D xsi:type="xsd:double"&gt;-3.54923&lt;/D&gt;&lt;D xsi:type="xsd:double"&gt;0.2205491&lt;/D&gt;&lt;D xsi:type="xsd:double"&gt;1.9586325&lt;/D&gt;&lt;D xsi:type="xsd:double"&gt;-8.417874&lt;/D&gt;&lt;D xsi:type="xsd:double"&gt;0.49493313&lt;/D&gt;&lt;D xsi:type="xsd:double"&gt;10.365856&lt;/D&gt;&lt;D xsi:type="xsd:double"&gt;3.5809755&lt;/D&gt;&lt;D xsi:type="xsd:double"&gt;8.286953&lt;/D&gt;&lt;D xsi:type="xsd:double"&gt;-7.9954267&lt;/D&gt;&lt;D xsi:type="xsd:double"&gt;-0.24830103&lt;/D&gt;&lt;D xsi:type="xsd:double"&gt;1.2860417&lt;/D&gt;&lt;D xsi:type="xsd:double"&gt;-0.9215653&lt;/D&gt;&lt;D xsi:type="xsd:double"&gt;-0.8987546&lt;/D&gt;&lt;D xsi:type="xsd:double"&gt;4.297447&lt;/D&gt;&lt;D xsi:type="xsd:double"&gt;-9.291047&lt;/D&gt;&lt;D xsi:type="xsd:double"&gt;-1.0465384&lt;/D&gt;&lt;D xsi:type="xsd:double"&gt;-6.5931616&lt;/D&gt;&lt;D xsi:type="xsd:double"&gt;8.479881&lt;/D&gt;&lt;D xsi:type="xsd:double"&gt;8.632517&lt;/D&gt;&lt;D xsi:type="xsd:double"&gt;-2.1285415&lt;/D&gt;&lt;D xsi:type="xsd:double"&gt;-2.686572&lt;/D&gt;&lt;D xsi:type="xsd:double"&gt;-0.24101734&lt;/D&gt;&lt;D xsi:type="xsd:double"&gt;-2.767402&lt;/D&gt;&lt;D xsi:type="xsd:double"&gt;3.2301784&lt;/D&gt;&lt;D xsi:type="xsd:double"&gt;0.03862381&lt;/D&gt;&lt;D xsi:type="xsd:double"&gt;0.7273555&lt;/D&gt;&lt;D xsi:type="xsd:double"&gt;8.271337&lt;/D&gt;&lt;D xsi:type="xsd:double"&gt;0.4244089&lt;/D&gt;&lt;D xsi:type="xsd:double"&gt;-3.4010828&lt;/D&gt;&lt;D xsi:type="xsd:double"&gt;-0.12500286&lt;/D&gt;&lt;D xsi:type="xsd:double"&gt;-3.8200438&lt;/D&gt;&lt;D xsi:type="xsd:double"&gt;0.98900795&lt;/D&gt;&lt;D xsi:type="xsd:double"&gt;-6.507075&lt;/D&gt;&lt;D xsi:type="xsd:double"&gt;-1.1173189&lt;/D&gt;&lt;D xsi:type="xsd:double"&gt;3.0131817&lt;/D&gt;&lt;D xsi:type="xsd:double"&gt;3.6563158&lt;/D&gt;&lt;D xsi:type="xsd:double"&gt;0.85783005&lt;/D&gt;&lt;D xsi:type="xsd:double"&gt;1.6131997&lt;/D&gt;&lt;D xsi:type="xsd:double"&gt;-1.8698871&lt;/D&gt;&lt;D xsi:type="xsd:double"&gt;0.3872633&lt;/D&gt;&lt;D xsi:type="xsd:double"&gt;0.5510807&lt;/D&gt;&lt;D xsi:type="xsd:double"&gt;-0.31787753&lt;/D&gt;&lt;D xsi:type="xsd:double"&gt;1.8537998&lt;/D&gt;&lt;D xsi:type="xsd:double"&gt;2.4928927&lt;/D&gt;&lt;D xsi:type="xsd:double"&gt;0.75740814&lt;/D&gt;&lt;/FQL&gt;&lt;FQL&gt;&lt;Q&gt;EWD^FG_PRICE(0,-200D)&lt;/Q&gt;&lt;R&gt;201&lt;/R&gt;&lt;C&gt;1&lt;/C&gt;&lt;D xsi:type="xsd:double"&gt;54.56&lt;/D&gt;&lt;D xsi:type="xsd:double"&gt;54.13&lt;/D&gt;&lt;D xsi:type="xsd:double"&gt;54.01&lt;/D&gt;&lt;D xsi:type="xsd:double"&gt;53.49&lt;/D&gt;&lt;D xsi:type="xsd:double"&gt;54&lt;/D&gt;&lt;D xsi:type="xsd:double"&gt;53.4&lt;/D&gt;&lt;D xsi:type="xsd:double"&gt;53.5&lt;/D&gt;&lt;D xsi:type="xsd:double"&gt;53.26&lt;/D&gt;&lt;D xsi:type="xsd:double"&gt;53.47&lt;/D&gt;&lt;D xsi:type="xsd:double"&gt;53.42&lt;/D&gt;&lt;D xsi:type="xsd:double"&gt;54.56&lt;/D&gt;&lt;D xsi:type="xsd:double"&gt;54.17&lt;/D&gt;&lt;D xsi:type="xsd:double"&gt;53.38&lt;/D&gt;&lt;D xsi:type="xsd:double"&gt;52.93&lt;/D&gt;&lt;D xsi:type="xsd:double"&gt;51.86&lt;/D&gt;&lt;D xsi:type="xsd:double"&gt;52.92&lt;/D&gt;&lt;D xsi:type="xsd:double"&gt;53.23&lt;/D&gt;&lt;D xsi:type="xsd:double"&gt;52.88&lt;/D&gt;&lt;D xsi:type="xsd:double"&gt;52.27&lt;/D&gt;&lt;D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xsi:type="xsd:double"&gt;44.38&lt;/D&gt;&lt;/FQL&gt;&lt;FQL&gt;&lt;Q&gt;EWG^FG_PRICE(0,-200D)&lt;/Q&gt;&lt;R&gt;201&lt;/R&gt;&lt;C&gt;1&lt;/C&gt;&lt;D xsi:type="xsd:double"&gt;44.56&lt;/D&gt;&lt;D xsi:type="xsd:double"&gt;44.35&lt;/D&gt;&lt;D xsi:type="xsd:double"&gt;43.95&lt;/D&gt;&lt;D xsi:type="xsd:double"&gt;43.9&lt;/D&gt;&lt;D xsi:type="xsd:double"&gt;44.32&lt;/D&gt;&lt;D xsi:type="xsd:double"&gt;43.88&lt;/D&gt;&lt;D xsi:type="xsd:double"&gt;44.12&lt;/D&gt;&lt;D xsi:type="xsd:double"&gt;44.04&lt;/D&gt;&lt;D xsi:type="xsd:double"&gt;43.97&lt;/D&gt;&lt;D xsi:type="xsd:double"&gt;43.96&lt;/D&gt;&lt;D xsi:type="xsd:double"&gt;44.05&lt;/D&gt;&lt;D xsi:type="xsd:double"&gt;44.22&lt;/D&gt;&lt;D xsi:type="xsd:double"&gt;44.32&lt;/D&gt;&lt;D xsi:type="xsd:double"&gt;43.53&lt;/D&gt;&lt;D xsi:type="xsd:double"&gt;42.84&lt;/D&gt;&lt;D xsi:type="xsd:double"&gt;43.25&lt;/D&gt;&lt;D xsi:type="xsd:double"&gt;43.51&lt;/D&gt;&lt;D xsi:type="xsd:double"&gt;43.48&lt;/D&gt;&lt;D xsi:type="xsd:double"&gt;43.11&lt;/D&gt;&lt;D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</t>
        </r>
      </text>
    </comment>
    <comment ref="A7" authorId="0" shapeId="0" xr:uid="{128751D1-0BC1-411D-897E-2389A8DA8414}">
      <text>
        <r>
          <rPr>
            <b/>
            <sz val="9"/>
            <color indexed="81"/>
            <rFont val="Tahoma"/>
            <charset val="1"/>
          </rPr>
          <t>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xsi:type="xsd:double"&gt;40.77&lt;/D&gt;&lt;/FQL&gt;&lt;FQL&gt;&lt;Q&gt;EWW^FG_PRICE(0,-200D)&lt;/Q&gt;&lt;R&gt;201&lt;/R&gt;&lt;C&gt;1&lt;/C&gt;&lt;D xsi:type="xsd:double"&gt;80.66&lt;/D&gt;&lt;D xsi:type="xsd:double"&gt;80.45&lt;/D&gt;&lt;D xsi:type="xsd:double"&gt;80.37&lt;/D&gt;&lt;D xsi:type="xsd:double"&gt;79.54&lt;/D&gt;&lt;D xsi:type="xsd:double"&gt;81.23&lt;/D&gt;&lt;D xsi:type="xsd:double"&gt;79.94&lt;/D&gt;&lt;D xsi:type="xsd:double"&gt;80.15&lt;/D&gt;&lt;D xsi:type="xsd:double"&gt;80.76&lt;/D&gt;&lt;D xsi:type="xsd:double"&gt;81.03&lt;/D&gt;&lt;D xsi:type="xsd:double"&gt;79.92&lt;/D&gt;&lt;D xsi:type="xsd:double"&gt;80.7&lt;/D&gt;&lt;D xsi:type="xsd:double"&gt;80.48&lt;/D&gt;&lt;D xsi:type="xsd:double"&gt;80.67&lt;/D&gt;&lt;D xsi:type="xsd:double"&gt;79.87&lt;/D&gt;&lt;D xsi:type="xsd:double"&gt;76.83&lt;/D&gt;&lt;D xsi:type="xsd:double"&gt;77.22&lt;/D&gt;&lt;D xsi:type="xsd:double"&gt;78.76&lt;/D&gt;&lt;D xsi:type="xsd:double"&gt;75.43&lt;/D&gt;&lt;D xsi:type="xsd:double"&gt;75.12&lt;/D&gt;&lt;D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xsi:type="xsd:double"&gt;58.12&lt;/D&gt;&lt;/FQL&gt;&lt;FQL&gt;&lt;Q&gt;CNYA^FG_PRICE(0,-200D)&lt;/Q&gt;&lt;R&gt;201&lt;/R&gt;&lt;C&gt;1&lt;/C&gt;&lt;D xsi:type="xsd:double"&gt;35.96&lt;/D&gt;&lt;D xsi:type="xsd:double"&gt;36.36&lt;/D&gt;&lt;D xsi:type="xsd:double"&gt;35.94&lt;/D&gt;&lt;D xsi:type="xsd:double"&gt;35.85&lt;/D&gt;&lt;D xsi:type="xsd:double"&gt;35.79&lt;/D&gt;&lt;D xsi:type="xsd:double"&gt;35.622&lt;/D&gt;&lt;D xsi:type="xsd:double"&gt;35.8&lt;/D&gt;&lt;D xsi:type="xsd:double"&gt;35.65&lt;/D&gt;&lt;D xsi:type="xsd:double"&gt;35.3684&lt;/D&gt;&lt;D xsi:type="xsd:double"&gt;35.56&lt;/D&gt;&lt;D xsi:type="xsd:double"&gt;35.76&lt;/D&gt;&lt;D xsi:type="xsd:double"&gt;35.715&lt;/D&gt;&lt;D xsi:type="xsd:double"&gt;35.82&lt;/D&gt;&lt;D xsi:type="xsd:double"&gt;35.41&lt;/D&gt;&lt;D xsi:type="xsd:double"&gt;34.84&lt;/D&gt;&lt;D xsi:type="xsd:double"&gt;35.14&lt;/D&gt;&lt;D xsi:type="xsd:double"&gt;35&lt;/D&gt;&lt;D xsi:type="xsd:double"&gt;34.72&lt;/D&gt;&lt;D xsi:type="xsd:double"&gt;35.11&lt;/D&gt;&lt;D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xsi:type="xsd:double"&gt;27.78&lt;/D&gt;&lt;/FQL&gt;&lt;FQL&gt;&lt;Q&gt;VNM^FG_TOTAL_RETURNC(-5AY,0,AM)&lt;/Q&gt;&lt;R&gt;61&lt;/R&gt;&lt;C&gt;1&lt;/C&gt;&lt;D xsi:type="xsd:double"&gt;-3.0837&lt;/D&gt;&lt;D xsi:type="xsd:double"&gt;1.3636351&lt;/D&gt;&lt;D xsi:type="xsd:double"&gt;7.062781&lt;/D&gt;&lt;D xsi:type="xsd:double"&gt;2.3560166&lt;/D&gt;&lt;D xsi:type="xsd:double"&gt;4.85934&lt;/D&gt;&lt;D xsi:type="xsd:double"&gt;-6.439024&lt;/D&gt;&lt;D xsi:type="xsd:double"&gt;0.26068687&lt;/D&gt;&lt;D xsi:type="xsd:double"&gt;1.8200755&lt;/D&gt;&lt;D xsi:type="xsd:double"&gt;0.7150173&lt;/D&gt;&lt;D xsi:type="xsd:double"&gt;4.8681617&lt;/D&gt;&lt;D xsi:type="xsd:double"&gt;0.40329695&lt;/D&gt;&lt;D xsi:type="xsd:double"&gt;-6.437558&lt;/D&gt;&lt;D xsi:type="xsd:double"&gt;1.3450623&lt;/D&gt;&lt;D xsi:type="xsd:double"&gt;-2.246046&lt;/D&gt;&lt;D xsi:type="xsd:double"&gt;-12.689299&lt;/D&gt;&lt;D xsi:type="xsd:double"&gt;-5.8612404&lt;/D&gt;&lt;D xsi:type="xsd:double"&gt;-6.0355783&lt;/D&gt;&lt;D xsi:type="xsd:double"&gt;-3.0425966&lt;/D&gt;&lt;D xsi:type="xsd:double"&gt;6.973505&lt;/D&gt;&lt;D xsi:type="xsd:double"&gt;-11.408085&lt;/D&gt;&lt;D xsi:type="xsd:double"&gt;-15.599704&lt;/D&gt;&lt;D xsi:type="xsd:double"&gt;0.87183714&lt;/D&gt;&lt;D xsi:type="xsd:double"&gt;5.881679&lt;/D&gt;&lt;D xsi:type="xsd:double"&gt;6.537962&lt;/D&gt;&lt;D xsi:type="xsd:double"&gt;-11.214238&lt;/D&gt;&lt;D xsi:type="xsd:double"&gt;3.0487895&lt;/D&gt;&lt;D xsi:type="xsd:double"&gt;-0.33812523&lt;/D&gt;&lt;D xsi:type="xsd:double"&gt;4.3257&lt;/D&gt;&lt;D xsi:type="xsd:double"&gt;10.081303&lt;/D&gt;&lt;D xsi:type="xsd:double"&gt;7.6070905&lt;/D&gt;&lt;D xsi:type="xsd:double"&gt;0.06864071&lt;/D&gt;&lt;D xsi:type="xsd:double"&gt;-9.25926&lt;/D&gt;&lt;D xsi:type="xsd:double"&gt;-9.032499&lt;/D&gt;&lt;D xsi:type="xsd:double"&gt;9.181559&lt;/D&gt;&lt;D xsi:type="xsd:double"&gt;3.2048106&lt;/D&gt;&lt;D xsi:type="xsd:double"&gt;0.06655455&lt;/D&gt;&lt;D xsi:type="xsd:double"&gt;1.4762998&lt;/D&gt;&lt;D xsi:type="xsd:double"&gt;5.0535917&lt;/D&gt;&lt;D xsi:type="xsd:double"&gt;-10.349852&lt;/D&gt;&lt;D xsi:type="xsd:double"&gt;2.3983717&lt;/D&gt;&lt;D xsi:type="xsd:double"&gt;-2.500999&lt;/D&gt;&lt;D xsi:type="xsd:double"&gt;-1.8729627&lt;/D&gt;&lt;D xsi:type="xsd:double"&gt;4.1493773&lt;/D&gt;&lt;D xsi:type="xsd:double"&gt;1.673305&lt;/D&gt;&lt;D xsi:type="xsd:double"&gt;-6.6614447&lt;/D&gt;&lt;D xsi:type="xsd:double"&gt;-1.3434052&lt;/D&gt;&lt;D xsi:type="xsd:double"&gt;-0.34042597&lt;/D&gt;&lt;D xsi:type="xsd:double"&gt;-0.93936324&lt;/D&gt;&lt;D xsi:type="xsd:double"&gt;2.4999976&lt;/D&gt;&lt;D xsi:type="xsd:double"&gt;5.0462484&lt;/D&gt;&lt;D xsi:type="xsd:double"&gt;-3.843069&lt;/D&gt;&lt;D xsi:type="xsd:double"&gt;9.408832&lt;/D&gt;&lt;D xsi:type="xsd:double"&gt;3.5768628&lt;/D&gt;&lt;D xsi:type="xsd:double"&gt;21.013964&lt;/D&gt;&lt;D xsi:type="xsd:double"&gt;9.046745&lt;/D&gt;&lt;D xsi:type="xsd:double"&gt;-2.282852&lt;/D&gt;&lt;D xsi:type="xsd:double"&gt;3.7606835&lt;/D&gt;&lt;D xsi:type="xsd:double"&gt;0.16474724&lt;/D&gt;&lt;D xsi:type="xsd:double"&gt;1.0831714&lt;/D&gt;&lt;D xsi:type="xsd:double"&gt;2.7717352&lt;/D&gt;&lt;D xsi:type="xsd:double"&gt;1.3220549&lt;/D&gt;&lt;/FQL&gt;&lt;FQL&gt;&lt;Q&gt;EWJ^FG_TOTAL_RETURNC(-5AY,0,AM)&lt;/Q&gt;&lt;R&gt;61&lt;/R&gt;&lt;C&gt;1&lt;/C&gt;&lt;D xsi:type="xsd:double"&gt;-1.8699586&lt;/D&gt;&lt;D xsi:type="xsd:double"&gt;2.7704477&lt;/D&gt;&lt;D xsi:type="xsd:double"&gt;-1.8114448&lt;/D&gt;&lt;D xsi:type="xsd:double"&gt;-0.90063214&lt;/D&gt;&lt;D xsi:type="xsd:double"&gt;1.0293365&lt;/D&gt;&lt;D xsi:type="xsd:double"&gt;-1.1546373&lt;/D&gt;&lt;D xsi:type="xsd:double"&gt;0.044369698&lt;/D&gt;&lt;D xsi:type="xsd:double"&gt;7.389891&lt;/D&gt;&lt;D xsi:type="xsd:double"&gt;-5.780351&lt;/D&gt;&lt;D xsi:type="xsd:double"&gt;-2.1910608&lt;/D&gt;&lt;D xsi:type="xsd:double"&gt;1.9935966&lt;/D&gt;&lt;D xsi:type="xsd:double"&gt;-5.9198856&lt;/D&gt;&lt;D xsi:type="xsd:double"&gt;0.22078753&lt;/D&gt;&lt;D xsi:type="xsd:double"&gt;-1.2745857&lt;/D&gt;&lt;D xsi:type="xsd:double"&gt;-10.663056&lt;/D&gt;&lt;D xsi:type="xsd:double"&gt;3.461194&lt;/D&gt;&lt;D xsi:type="xsd:double"&gt;-6.4918814&lt;/D&gt;&lt;D xsi:type="xsd:double"&gt;0.72625875&lt;/D&gt;&lt;D xsi:type="xsd:double"&gt;0.647068&lt;/D&gt;&lt;D xsi:type="xsd:double"&gt;-9.570169&lt;/D&gt;&lt;D xsi:type="xsd:double"&gt;2.3359776&lt;/D&gt;&lt;D xsi:type="xsd:double"&gt;11.075819&lt;/D&gt;&lt;D xsi:type="xsd:double"&gt;-1.9089937&lt;/D&gt;&lt;D xsi:type="xsd:double"&gt;7.10243&lt;/D&gt;&lt;D xsi:type="xsd:double"&gt;-5.1824093&lt;/D&gt;&lt;D xsi:type="xsd:double"&gt;2.7148604&lt;/D&gt;&lt;D xsi:type="xsd:double"&gt;2.1529794&lt;/D&gt;&lt;D xsi:type="xsd:double"&gt;3.238523&lt;/D&gt;&lt;D xsi:type="xsd:double"&gt;1.809144&lt;/D&gt;&lt;D xsi:type="xsd:double"&gt;3.1521916&lt;/D&gt;&lt;D xsi:type="xsd:double"&gt;-4.5519648&lt;/D&gt;&lt;D xsi:type="xsd:double"&gt;1.3339996&lt;/D&gt;&lt;D xsi:type="xsd:double"&gt;-5.644232&lt;/D&gt;&lt;D xsi:type="xsd:double"&gt;9.190798&lt;/D&gt;&lt;D xsi:type="xsd:double"&gt;2.5432944&lt;/D&gt;&lt;D xsi:type="xsd:double"&gt;3.28542&lt;/D&gt;&lt;D xsi:type="xsd:double"&gt;5.5207253&lt;/D&gt;&lt;D xsi:type="xsd:double"&gt;3.333342&lt;/D&gt;&lt;D xsi:type="xsd:double"&gt;-5.8485327&lt;/D&gt;&lt;D xsi:type="xsd:double"&gt;1.9812346&lt;/D&gt;&lt;D xsi:type="xsd:double"&gt;-0.94501376&lt;/D&gt;&lt;D xsi:type="xsd:double"&gt;2.050221&lt;/D&gt;&lt;D xsi:type="xsd:double"&gt;3.406608&lt;/D&gt;&lt;D xsi:type="xsd:double"&gt;2.759397&lt;/D&gt;&lt;D xsi:type="xsd:double"&gt;-7.877791&lt;/D&gt;&lt;D xsi:type="xsd:double"&gt;1.2343884&lt;/D&gt;&lt;D xsi:type="xsd:double"&gt;0.2998352&lt;/D&gt;&lt;D xsi:type="xsd:double"&gt;1.8744469&lt;/D&gt;&lt;D xsi:type="xsd:double"&gt;1.5040874&lt;/D&gt;&lt;D xsi:type="xsd:double"&gt;1.7839074&lt;/D&gt;&lt;D xsi:type="xsd:double"&gt;0.028264523&lt;/D&gt;&lt;D xsi:type="xsd:double"&gt;3.19345&lt;/D&gt;&lt;D xsi:type="xsd:double"&gt;2.105713&lt;/D&gt;&lt;D xsi:type="xsd:double"&gt;2.3117423&lt;/D&gt;&lt;D xsi:type="xsd:double"&gt;4.281175&lt;/D&gt;&lt;D xsi:type="xsd:double"&gt;1.9260049&lt;/D&gt;&lt;D xsi:type="xsd:double"&gt;2.5609136&lt;/D&gt;&lt;D xsi:type="xsd:double"&gt;0.9212136&lt;/D&gt;&lt;D xsi:type="xsd:double"&gt;0.9319186&lt;/D&gt;&lt;D xsi:type="xsd:double"&gt;4.52019&lt;/D&gt;&lt;D xsi:type="xsd:double"&gt;9.275675&lt;/D&gt;&lt;/FQL&gt;&lt;FQL&gt;&lt;Q&gt;GREK^FG_PRICE(0,-200D)&lt;/Q&gt;&lt;R&gt;201&lt;/R&gt;&lt;C&gt;1&lt;/C&gt;&lt;D xsi:type="xsd:double"&gt;72.03&lt;/D&gt;&lt;D xsi:type="xsd:double"&gt;71.51&lt;/D&gt;&lt;D xsi:type="xsd:double"&gt;70.34&lt;/D&gt;&lt;D xsi:type="xsd:double"&gt;71.04&lt;/D&gt;&lt;D xsi:type="xsd:double"&gt;70.9&lt;/D&gt;&lt;D xsi:type="xsd:double"&gt;71.04&lt;/D&gt;&lt;D xsi:type="xsd:double"&gt;72.89&lt;/D&gt;&lt;D xsi:type="xsd:double"&gt;70.66&lt;/D&gt;&lt;D xsi:type="xsd:double"&gt;71.9&lt;/D&gt;&lt;D xsi:type="xsd:double"&gt;73.56&lt;/D&gt;&lt;D xsi:type="xsd:double"&gt;73.84&lt;/D&gt;&lt;D xsi:type="xsd:double"&gt;74.54&lt;/D&gt;&lt;D xsi:type="xsd:double"&gt;74.77&lt;/D&gt;&lt;D xsi:type="xsd:double"&gt;75.17&lt;/D&gt;&lt;D xsi:type="xsd:double"&gt;74.65&lt;/D&gt;&lt;D xsi:type="xsd:double"&gt;76.09&lt;/D&gt;&lt;D xsi:type="xsd:double"&gt;76.02&lt;/D&gt;&lt;D xsi:type="xsd:double"&gt;74.66&lt;/D&gt;&lt;D xsi:type="xsd:double"&gt;73.75&lt;/D&gt;&lt;D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xsi:type="xsd:double"&gt;51.0483&lt;/D&gt;&lt;/FQL&gt;&lt;FQL&gt;&lt;Q&gt;EWC^FG_PRICE(0,-200D)&lt;/Q&gt;&lt;R&gt;201&lt;/R&gt;&lt;C&gt;1&lt;/C&gt;&lt;D xsi:type="xsd:double"&gt;58.15&lt;/D&gt;&lt;D xsi:type="xsd:double"&gt;57.59&lt;/D&gt;&lt;D xsi:type="xsd:double"&gt;57.15&lt;/D&gt;&lt;D xsi:type="xsd:double"&gt;56.95&lt;/D&gt;&lt;D xsi:type="xsd:double"&gt;57.16&lt;/D&gt;&lt;D xsi:type="xsd:double"&gt;56.75&lt;/D&gt;&lt;D xsi:type="xsd:double"&gt;56.46&lt;/D&gt;&lt;D xsi:type="xsd:double"&gt;55.86&lt;/D&gt;&lt;D xsi:type="xsd:double"&gt;56.17&lt;/D&gt;&lt;D xsi:type="xsd:double"&gt;55.26&lt;/D&gt;&lt;D xsi:type="xsd:double"&gt;56.58&lt;/D&gt;&lt;D xsi:type="xsd:double"&gt;56.72&lt;/D&gt;&lt;D xsi:type="xsd:double"&gt;56.27&lt;/D&gt;&lt;D xsi:type="xsd:double"&gt;55.01&lt;/D&gt;&lt;D xsi:type="xsd:double"&gt;54.14&lt;/D&gt;&lt;D xsi:type="xsd:double"&gt;55.01&lt;/D&gt;&lt;D xsi:type="xsd:double"&gt;54.84&lt;/D&gt;&lt;D xsi:type="xsd:double"&gt;54.55&lt;/D&gt;&lt;D xsi:type="xsd:double"&gt;54.26&lt;/D&gt;&lt;D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xsi:type="xsd:double"&gt;42.85&lt;/D&gt;&lt;/FQL&gt;&lt;FQL&gt;&lt;Q&gt;EWI^FG_TOTAL_RETURNC(-5AY,0,AM)&lt;/Q&gt;&lt;R&gt;61&lt;/R&gt;&lt;C&gt;1&lt;/C&gt;&lt;D xsi:type="xsd:double"&gt;2.500856&lt;/D&gt;&lt;D xsi:type="xsd:double"&gt;5.080211&lt;/D&gt;&lt;D xsi:type="xsd:double"&gt;2.7989745&lt;/D&gt;&lt;D xsi:type="xsd:double"&gt;2.2586584&lt;/D&gt;&lt;D xsi:type="xsd:double"&gt;1.24</t>
        </r>
      </text>
    </comment>
    <comment ref="A8" authorId="0" shapeId="0" xr:uid="{3268F023-376F-4249-967C-8405CC558FD3}">
      <text>
        <r>
          <rPr>
            <b/>
            <sz val="9"/>
            <color indexed="81"/>
            <rFont val="Tahoma"/>
            <charset val="1"/>
          </rPr>
          <t>98975&lt;/D&gt;&lt;D xsi:type="xsd:double"&gt;-2.147621&lt;/D&gt;&lt;D xsi:type="xsd:double"&gt;0.6491542&lt;/D&gt;&lt;D xsi:type="xsd:double"&gt;-0.15357137&lt;/D&gt;&lt;D xsi:type="xsd:double"&gt;3.3835769&lt;/D&gt;&lt;D xsi:type="xsd:double"&gt;-5.8911085&lt;/D&gt;&lt;D xsi:type="xsd:double"&gt;4.1494966&lt;/D&gt;&lt;D xsi:type="xsd:double"&gt;-1.8780768&lt;/D&gt;&lt;D xsi:type="xsd:double"&gt;-1.5688717&lt;/D&gt;&lt;D xsi:type="xsd:double"&gt;-7.4593544&lt;/D&gt;&lt;D xsi:type="xsd:double"&gt;-6.3382683&lt;/D&gt;&lt;D xsi:type="xsd:double"&gt;6.1419606&lt;/D&gt;&lt;D xsi:type="xsd:double"&gt;-10.144586&lt;/D&gt;&lt;D xsi:type="xsd:double"&gt;-9.062004&lt;/D&gt;&lt;D xsi:type="xsd:double"&gt;1.8356681&lt;/D&gt;&lt;D xsi:type="xsd:double"&gt;-6.60944&lt;/D&gt;&lt;D xsi:type="xsd:double"&gt;10.340071&lt;/D&gt;&lt;D xsi:type="xsd:double"&gt;15.326953&lt;/D&gt;&lt;D xsi:type="xsd:double"&gt;-1.0623097&lt;/D&gt;&lt;D xsi:type="xsd:double"&gt;10.892927&lt;/D&gt;&lt;D xsi:type="xsd:double"&gt;-1.0023415&lt;/D&gt;&lt;D xsi:type="xsd:double"&gt;-1.8562257&lt;/D&gt;&lt;D xsi:type="xsd:double"&gt;7.668495&lt;/D&gt;&lt;D xsi:type="xsd:double"&gt;-2.6828468&lt;/D&gt;&lt;D xsi:type="xsd:double"&gt;3.1598449&lt;/D&gt;&lt;D xsi:type="xsd:double"&gt;8.213818&lt;/D&gt;&lt;D xsi:type="xsd:double"&gt;-5.0903616&lt;/D&gt;&lt;D xsi:type="xsd:double"&gt;-3.9987326&lt;/D&gt;&lt;D xsi:type="xsd:double"&gt;-3.041321&lt;/D&gt;&lt;D xsi:type="xsd:double"&gt;11.830891&lt;/D&gt;&lt;D xsi:type="xsd:double"&gt;4.9663067&lt;/D&gt;&lt;D xsi:type="xsd:double"&gt;-1.5882373&lt;/D&gt;&lt;D xsi:type="xsd:double"&gt;6.5152407&lt;/D&gt;&lt;D xsi:type="xsd:double"&gt;5.9483647&lt;/D&gt;&lt;D xsi:type="xsd:double"&gt;-1.3771117&lt;/D&gt;&lt;D xsi:type="xsd:double"&gt;3.759396&lt;/D&gt;&lt;D xsi:type="xsd:double"&gt;-4.0210724&lt;/D&gt;&lt;D xsi:type="xsd:double"&gt;3.61979&lt;/D&gt;&lt;D xsi:type="xsd:double"&gt;2.1066666&lt;/D&gt;&lt;D xsi:type="xsd:double"&gt;2.7161121&lt;/D&gt;&lt;D xsi:type="xsd:double"&gt;-2.6188731&lt;/D&gt;&lt;D xsi:type="xsd:double"&gt;-6.7101836&lt;/D&gt;&lt;D xsi:type="xsd:double"&gt;2.8678536&lt;/D&gt;&lt;D xsi:type="xsd:double"&gt;6.9060802&lt;/D&gt;&lt;D xsi:type="xsd:double"&gt;6.6408277&lt;/D&gt;&lt;D xsi:type="xsd:double"&gt;3.2469153&lt;/D&gt;&lt;D xsi:type="xsd:double"&gt;3.3560157&lt;/D&gt;&lt;D xsi:type="xsd:double"&gt;6.630337&lt;/D&gt;&lt;D xsi:type="xsd:double"&gt;2.9102325&lt;/D&gt;&lt;D xsi:type="xsd:double"&gt;4.336846&lt;/D&gt;&lt;D xsi:type="xsd:double"&gt;3.7530184&lt;/D&gt;&lt;D xsi:type="xsd:double"&gt;0.23337603&lt;/D&gt;&lt;D xsi:type="xsd:double"&gt;-0.5238652&lt;/D&gt;&lt;D xsi:type="xsd:double"&gt;2.4770856&lt;/D&gt;&lt;D xsi:type="xsd:double"&gt;5.3211927&lt;/D&gt;&lt;D xsi:type="xsd:double"&gt;1.4097452&lt;/D&gt;&lt;D xsi:type="xsd:double"&gt;4.5856714&lt;/D&gt;&lt;/FQL&gt;&lt;FQL&gt;&lt;Q&gt;EWW^FG_TOTAL_RETURNC(-5AY,0,AM)&lt;/Q&gt;&lt;R&gt;61&lt;/R&gt;&lt;C&gt;1&lt;/C&gt;&lt;D xsi:type="xsd:double"&gt;-5.857837&lt;/D&gt;&lt;D xsi:type="xsd:double"&gt;8.28824&lt;/D&gt;&lt;D xsi:type="xsd:double"&gt;6.6999793&lt;/D&gt;&lt;D xsi:type="xsd:double"&gt;0.8514285&lt;/D&gt;&lt;D xsi:type="xsd:double"&gt;3.2935739&lt;/D&gt;&lt;D xsi:type="xsd:double"&gt;0.3706813&lt;/D&gt;&lt;D xsi:type="xsd:double"&gt;1.169467&lt;/D&gt;&lt;D xsi:type="xsd:double"&gt;-0.08112192&lt;/D&gt;&lt;D xsi:type="xsd:double"&gt;0.974226&lt;/D&gt;&lt;D xsi:type="xsd:double"&gt;-11.095476&lt;/D&gt;&lt;D xsi:type="xsd:double"&gt;14.004731&lt;/D&gt;&lt;D xsi:type="xsd:double"&gt;-3.8012862&lt;/D&gt;&lt;D xsi:type="xsd:double"&gt;4.683244&lt;/D&gt;&lt;D xsi:type="xsd:double"&gt;7.0101857&lt;/D&gt;&lt;D xsi:type="xsd:double"&gt;-5.916393&lt;/D&gt;&lt;D xsi:type="xsd:double"&gt;3.0946255&lt;/D&gt;&lt;D xsi:type="xsd:double"&gt;-7.531267&lt;/D&gt;&lt;D xsi:type="xsd:double"&gt;-4.4791937&lt;/D&gt;&lt;D xsi:type="xsd:double"&gt;2.941835&lt;/D&gt;&lt;D xsi:type="xsd:double"&gt;-5.8659196&lt;/D&gt;&lt;D xsi:type="xsd:double"&gt;12.828123&lt;/D&gt;&lt;D xsi:type="xsd:double"&gt;9.245396&lt;/D&gt;&lt;D xsi:type="xsd:double"&gt;-1.8637359&lt;/D&gt;&lt;D xsi:type="xsd:double"&gt;12.574614&lt;/D&gt;&lt;D xsi:type="xsd:double"&gt;-2.1382153&lt;/D&gt;&lt;D xsi:type="xsd:double"&gt;-0.29714704&lt;/D&gt;&lt;D xsi:type="xsd:double"&gt;3.2959223&lt;/D&gt;&lt;D xsi:type="xsd:double"&gt;3.9036036&lt;/D&gt;&lt;D xsi:type="xsd:double"&gt;1.6123414&lt;/D&gt;&lt;D xsi:type="xsd:double"&gt;4.1781425&lt;/D&gt;&lt;D xsi:type="xsd:double"&gt;-2.300644&lt;/D&gt;&lt;D xsi:type="xsd:double"&gt;-7.446301&lt;/D&gt;&lt;D xsi:type="xsd:double"&gt;-6.1715603&lt;/D&gt;&lt;D xsi:type="xsd:double"&gt;14.492488&lt;/D&gt;&lt;D xsi:type="xsd:double"&gt;11.000574&lt;/D&gt;&lt;D xsi:type="xsd:double"&gt;-2.8107107&lt;/D&gt;&lt;D xsi:type="xsd:double"&gt;-0.33137798&lt;/D&gt;&lt;D xsi:type="xsd:double"&gt;3.4607887&lt;/D&gt;&lt;D xsi:type="xsd:double"&gt;-2.351737&lt;/D&gt;&lt;D xsi:type="xsd:double"&gt;-1.3911724&lt;/D&gt;&lt;D xsi:type="xsd:double"&gt;-13.906693&lt;/D&gt;&lt;D xsi:type="xsd:double"&gt;0.6041169&lt;/D&gt;&lt;D xsi:type="xsd:double"&gt;-4.3800774&lt;/D&gt;&lt;D xsi:type="xsd:double"&gt;1.3852954&lt;/D&gt;&lt;D xsi:type="xsd:double"&gt;-4.20841&lt;/D&gt;&lt;D xsi:type="xsd:double"&gt;-6.9037676&lt;/D&gt;&lt;D xsi:type="xsd:double"&gt;2.0676255&lt;/D&gt;&lt;D xsi:type="xsd:double"&gt;3.387034&lt;/D&gt;&lt;D xsi:type="xsd:double"&gt;2.8565764&lt;/D&gt;&lt;D xsi:type="xsd:double"&gt;1.0098934&lt;/D&gt;&lt;D xsi:type="xsd:double"&gt;11.401653&lt;/D&gt;&lt;D xsi:type="xsd:double"&gt;4.711771&lt;/D&gt;&lt;D xsi:type="xsd:double"&gt;1.2067795&lt;/D&gt;&lt;D xsi:type="xsd:double"&gt;1.2269855&lt;/D&gt;&lt;D xsi:type="xsd:double"&gt;0.63881874&lt;/D&gt;&lt;D xsi:type="xsd:double"&gt;9.277344&lt;/D&gt;&lt;D xsi:type="xsd:double"&gt;-2.6362777&lt;/D&gt;&lt;D xsi:type="xsd:double"&gt;3.8396716&lt;/D&gt;&lt;D xsi:type="xsd:double"&gt;6.8546176&lt;/D&gt;&lt;D xsi:type="xsd:double"&gt;7.800412&lt;/D&gt;&lt;D xsi:type="xsd:double"&gt;5.162978&lt;/D&gt;&lt;/FQL&gt;&lt;FQL&gt;&lt;Q&gt;CNYA^FG_TOTAL_RETURNC(-5AY,0,AM)&lt;/Q&gt;&lt;R&gt;61&lt;/R&gt;&lt;C&gt;1&lt;/C&gt;&lt;D xsi:type="xsd:double"&gt;-4.2925954&lt;/D&gt;&lt;D xsi:type="xsd:double"&gt;-5.491996&lt;/D&gt;&lt;D xsi:type="xsd:double"&gt;1.5738487&lt;/D&gt;&lt;D xsi:type="xsd:double"&gt;7.9380155&lt;/D&gt;&lt;D xsi:type="xsd:double"&gt;-2.225417&lt;/D&gt;&lt;D xsi:type="xsd:double"&gt;-4.411769&lt;/D&gt;&lt;D xsi:type="xsd:double"&gt;-0.5917132&lt;/D&gt;&lt;D xsi:type="xsd:double"&gt;0.30952692&lt;/D&gt;&lt;D xsi:type="xsd:double"&gt;3.821504&lt;/D&gt;&lt;D xsi:type="xsd:double"&gt;-1.4174759&lt;/D&gt;&lt;D xsi:type="xsd:double"&gt;2.138126&lt;/D&gt;&lt;D xsi:type="xsd:double"&gt;-5.728692&lt;/D&gt;&lt;D xsi:type="xsd:double"&gt;-0.6806016&lt;/D&gt;&lt;D xsi:type="xsd:double"&gt;-10.156637&lt;/D&gt;&lt;D xsi:type="xsd:double"&gt;-14.70989&lt;/D&gt;&lt;D xsi:type="xsd:double"&gt;6.771004&lt;/D&gt;&lt;D xsi:type="xsd:double"&gt;11.965263&lt;/D&gt;&lt;D xsi:type="xsd:double"&gt;-4.737687&lt;/D&gt;&lt;D xsi:type="xsd:double"&gt;-3.7651002&lt;/D&gt;&lt;D xsi:type="xsd:double"&gt;-10.102188&lt;/D&gt;&lt;D xsi:type="xsd:double"&gt;-3.6700249&lt;/D&gt;&lt;D xsi:type="xsd:double"&gt;1.8543482&lt;/D&gt;&lt;D xsi:type="xsd:double"&gt;3.0495286&lt;/D&gt;&lt;D xsi:type="xsd:double"&gt;16.419876&lt;/D&gt;&lt;D xsi:type="xsd:double"&gt;-8.931601&lt;/D&gt;&lt;D xsi:type="xsd:double"&gt;0.99316835&lt;/D&gt;&lt;D xsi:type="xsd:double"&gt;-3.1653345&lt;/D&gt;&lt;D xsi:type="xsd:double"&gt;-4.474771&lt;/D&gt;&lt;D xsi:type="xsd:double"&gt;-3.923732&lt;/D&gt;&lt;D xsi:type="xsd:double"&gt;5.477631&lt;/D&gt;&lt;D xsi:type="xsd:double"&gt;-7.818663&lt;/D&gt;&lt;D xsi:type="xsd:double"&gt;-0.28510094&lt;/D&gt;&lt;D xsi:type="xsd:double"&gt;-4.896349&lt;/D&gt;&lt;D xsi:type="xsd:double"&gt;3.7715077&lt;/D&gt;&lt;D xsi:type="xsd:double"&gt;-5.541092&lt;/D&gt;&lt;D xsi:type="xsd:double"&gt;-1.0782778&lt;/D&gt;&lt;D xsi:type="xsd:double"&gt;3.0278563&lt;/D&gt;&lt;D xsi:type="xsd:double"&gt;2.1551728&lt;/D&gt;&lt;D xsi:type="xsd:double"&gt;1.1891007&lt;/D&gt;&lt;D xsi:type="xsd:double"&gt;0.41698217&lt;/D&gt;&lt;D xsi:type="xsd:double"&gt;-3.526795&lt;/D&gt;&lt;D xsi:type="xsd:double"&gt;-1.5698552&lt;/D&gt;&lt;D xsi:type="xsd:double"&gt;-0.67783&lt;/D&gt;&lt;D xsi:type="xsd:double"&gt;13.207555&lt;/D&gt;&lt;D xsi:type="xsd:double"&gt;4.680848&lt;/D&gt;&lt;D xsi:type="xsd:double"&gt;-4.640925&lt;/D&gt;&lt;D xsi:type="xsd:double"&gt;4.013896&lt;/D&gt;&lt;D xsi:type="xsd:double"&gt;-3.0017436&lt;/D&gt;&lt;D xsi:type="xsd:double"&gt;2.5548697&lt;/D&gt;&lt;D xsi:type="xsd:double"&gt;-1.192981&lt;/D&gt;&lt;D xsi:type="xsd:double"&gt;-3.2315314&lt;/D&gt;&lt;D xsi:type="xsd:double"&gt;3.48624&lt;/D&gt;&lt;D xsi:type="xsd:double"&gt;2.4991155&lt;/D&gt;&lt;D xsi:type="xsd:double"&gt;5.2796006&lt;/D&gt;&lt;D xsi:type="xsd:double"&gt;8.578026&lt;/D&gt;&lt;D xsi:type="xsd:double"&gt;1.9143105&lt;/D&gt;&lt;D xsi:type="xsd:double"&gt;2.8026223&lt;/D&gt;&lt;D xsi:type="xsd:double"&gt;-2.581203&lt;/D&gt;&lt;D xsi:type="xsd:double"&gt;5.047679&lt;/D&gt;&lt;D xsi:type="xsd:double"&gt;2.5064945&lt;/D&gt;&lt;D xsi:type="xsd:double"&gt;1.068008&lt;/D&gt;&lt;/FQL&gt;&lt;FQL&gt;&lt;Q&gt;QQQ^FG_PRICE(0,-200D)&lt;/Q&gt;&lt;R&gt;201&lt;/R&gt;&lt;C&gt;1&lt;/C&gt;&lt;D xsi:type="xsd:double"&gt;609.24&lt;/D&gt;&lt;D xsi:type="xsd:double"&gt;616.68&lt;/D&gt;&lt;D xsi:type="xsd:double"&gt;607.87&lt;/D&gt;&lt;D xsi:type="xsd:double"&gt;601.41&lt;/D&gt;&lt;D xsi:type="xsd:double"&gt;608.81&lt;/D&gt;&lt;D xsi:type="xsd:double"&gt;603.47&lt;/D&gt;&lt;D xsi:type="xsd:double"&gt;605.79&lt;/D&gt;&lt;D xsi:type="xsd:double"&gt;601.3&lt;/D&gt;&lt;D xsi:type="xsd:double"&gt;601.92&lt;/D&gt;&lt;D xsi:type="xsd:double"&gt;600.64&lt;/D&gt;&lt;D xsi:type="xsd:double"&gt;613.11&lt;/D&gt;&lt;D xsi:type="xsd:double"&gt;611.47&lt;/D&gt;&lt;D xsi:type="xsd:double"&gt;614.32&lt;/D&gt;&lt;D xsi:type="xsd:double"&gt;609.65&lt;/D&gt;&lt;D xsi:type="xsd:double"&gt;597.03&lt;/D&gt;&lt;D xsi:type="xsd:double"&gt;605.75&lt;/D&gt;&lt;D xsi:type="xsd:double"&gt;616.52&lt;/D&gt;&lt;D xsi:type="xsd:double"&gt;626.14&lt;/D&gt;&lt;D xsi:type="xsd:double"&gt;621.87&lt;/D&gt;&lt;D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xsi:type="xsd:double"&gt;487.97&lt;/D&gt;&lt;/FQL&gt;&lt;FQL&gt;&lt;Q&gt;EWQ^FG_TOTAL_RETURNC(-5AY,0,AM)&lt;/Q&gt;&lt;R&gt;61&lt;/R&gt;&lt;C&gt;1&lt;/C&gt;&lt;D xsi:type="xsd:double"&gt;1.4983535&lt;/D&gt;&lt;D xsi:type="xsd:double"&gt;2.863896&lt;/D&gt;&lt;D xsi:type="xsd:double"&gt;6.8312287&lt;/D&gt;&lt;D xsi:type="xsd:double"&gt;3.6270738&lt;/D&gt;&lt;D xsi:type="xsd:double"&gt;1.3005495&lt;/D&gt;&lt;D xsi:type="xsd:double"&gt;-1.7080724&lt;/D&gt;&lt;D xsi:type="xsd:double"&gt;0.5265951&lt;/D&gt;&lt;D xsi:type="xsd:double"&gt;0.6024122&lt;/D&gt;&lt;D xsi:type="xsd:double"&gt;1.1455297&lt;/D&gt;&lt;D xsi:type="xsd:double"&gt;-2.9343605&lt;/D&gt;&lt;D xsi:type="xsd:double"&gt;5.0282598&lt;/D&gt;&lt;D xsi:type="xsd:double"&gt;-3.1136513&lt;/D&gt;&lt;D xsi:type="xsd:double"&gt;-1.8211067&lt;/D&gt;&lt;D xsi:type="xsd:double"&gt;-4.828149&lt;/D&gt;&lt;D xsi:type="xsd:double"&gt;-5.5316744&lt;/D&gt;&lt;D xsi:type="xsd:double"&gt;3.003645&lt;/D&gt;&lt;D xsi:type="xsd:double"&gt;-5.632019&lt;/D&gt;&lt;D xsi:type="xsd:double"&gt;-3.149104&lt;/D&gt;&lt;D xsi:type="xsd:double"&gt;-0.5640328&lt;/D&gt;&lt;D xsi:type="xsd:double"&gt;-11.177837&lt;/D&gt;&lt;D xsi:type="xsd:double"&gt;13.373399&lt;/D&gt;&lt;D xsi:type="xsd:double"&gt;10.7687235&lt;/D&gt;&lt;D xsi:type="xsd:double"&gt;-0.63001513&lt;/D&gt;&lt;D xsi:type="xsd:double"&gt;11.722064&lt;/D&gt;&lt;D xsi:type="xsd:double"&gt;-1.9740403&lt;/D&gt;&lt;D xsi:type="xsd:double"&gt;-0.4137993&lt;/D&gt;&lt;D xsi:type="xsd:double"&gt;8.698071&lt;/D&gt;&lt;D xsi:type="xsd:double"&gt;-3.2619834&lt;/D&gt;&lt;D xsi:type="xsd:double"&gt;0.24265051&lt;/D&gt;&lt;D xsi:type="xsd:double"&gt;4.0569544&lt;/D&gt;&lt;D xsi:type="xsd:double"&gt;-3.84714&lt;/D&gt;&lt;D xsi:type="xsd:double"&gt;-5.2631674&lt;/D&gt;&lt;D xsi:type="xsd:double"&gt;-3.032881&lt;/D&gt;&lt;D xsi:type="xsd:double"&gt;10.230923&lt;/D&gt;&lt;D xsi:type="xsd:double"&gt;5.0819755&lt;/D&gt;&lt;D xsi:type="xsd:double"&gt;-0.9144008&lt;/D&gt;&lt;D xsi:type="xsd:double"&gt;3.17868&lt;/D&gt;&lt;D xsi:type="xsd:double"&gt;2.534163&lt;/D&gt;&lt;D xsi:type="xsd:double"&gt;-1.4538467&lt;/D&gt;&lt;D xsi:type="xsd:double"&gt;3.196466&lt;/D&gt;&lt;D xsi:type="xsd:double"&gt;-6.673157&lt;/D&gt;&lt;D xsi:type="xsd:double"&gt;1.044941&lt;/D&gt;&lt;D xsi:type="xsd:double"&gt;3.4901738&lt;/D&gt;&lt;D xsi:type="xsd:double"&gt;2.6729941&lt;/D&gt;&lt;D xsi:type="xsd:double"&gt;-6.9343033&lt;/D&gt;&lt;D xsi:type="xsd:double"&gt;-6.7973795&lt;/D&gt;&lt;D xsi:type="xsd:double"&gt;2.0762563&lt;/D&gt;&lt;D xsi:type="xsd:double"&gt;8.305645&lt;/D&gt;&lt;D xsi:type="xsd:double"&gt;1.9683003&lt;/D&gt;&lt;D xsi:type="xsd:double"&gt;1.4790654&lt;/D&gt;&lt;D xsi:type="xsd:double"&gt;1.1610746&lt;/D&gt;&lt;D xsi:type="xsd:double"&gt;3.5409093&lt;/D&gt;&lt;D xsi:type="xsd:double"&gt;1.6338587&lt;/D&gt;&lt;D xsi:type="xsd:double"&gt;3.7494063&lt;/D&gt;&lt;D xsi:type="xsd:double"&gt;-2.6075006&lt;/D&gt;&lt;D xsi:type="xsd:double"&gt;2.3720026&lt;/D&gt;&lt;D xsi:type="xsd:double"&gt;3.4870386&lt;/D&gt;&lt;D xsi:type="xsd:double"&gt;-1.5074253&lt;/D&gt;&lt;D xsi:type="xsd:double"&gt;2.204132&lt;/D&gt;&lt;D xsi:type="xsd:double"&gt;1.0402918&lt;/D&gt;&lt;D xsi:type="xsd:double"&gt;5.914557&lt;/D&gt;&lt;/FQL&gt;&lt;FQL&gt;&lt;Q&gt;EWN^FG_PRICE(0,-200D)&lt;/Q&gt;&lt;R&gt;201&lt;/R&gt;&lt;C&gt;1&lt;/C&gt;&lt;D xsi:type="xsd:double"&gt;63.05&lt;/D&gt;&lt;D xsi:type="xsd:double"&gt;63.77&lt;/D&gt;&lt;D xsi:type="xsd:double"&gt;63&lt;/D&gt;&lt;D xsi:type="xsd:double"&gt;62.95&lt;/D&gt;&lt;D xsi:type="xsd:double"&gt;63.18&lt;/D&gt;&lt;D xsi:type="xsd:double"&gt;62.66&lt;/D&gt;&lt;D xsi:type="xsd:double"&gt;62.94&lt;/D&gt;&lt;D xsi:type="xsd:double"&gt;62.23&lt;/D&gt;&lt;D xsi:type="xsd:double"&gt;61.65&lt;/D&gt;&lt;D xsi:type="xsd:double"&gt;61.53&lt;/D&gt;&lt;D xsi:type="xsd:double"&gt;63.06&lt;/D&gt;&lt;D xsi:type="xsd:double"&gt;63.07&lt;/D&gt;&lt;D xsi:type="xsd:double"&gt;62.99&lt;/D&gt;&lt;D xsi:type="xsd:double"&gt;62.03&lt;/D&gt;&lt;D xsi:type="xsd:double"&gt;60.56&lt;/D&gt;&lt;D xsi:type="xsd:double"&gt;61.07&lt;/D&gt;&lt;D xsi:type="xsd:double"&gt;61.9&lt;/D&gt;&lt;D xsi:type="xsd:double"&gt;62.77&lt;/D&gt;&lt;D xsi:type="xsd:double"&gt;62.27&lt;/D&gt;&lt;D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xsi:type="xsd:double"&gt;50.79&lt;/D&gt;&lt;/FQL&gt;&lt;FQL&gt;&lt;Q&gt;UAE^FG_TOTAL_RETURNC(-5AY,0,AM)&lt;/Q&gt;&lt;R&gt;61&lt;/R&gt;&lt;C&gt;1&lt;/C&gt;&lt;D xsi:type="xsd:double"&gt;-1.6129017&lt;/D&gt;&lt;D xsi:type="xsd:double"&gt;3.3567429&lt;/D&gt;&lt;D xsi:type="xsd:double"&gt;3.1722069&lt;/D&gt;&lt;D xsi:type="xsd:double"&gt;8.857977&lt;/D&gt;&lt;D xsi:type="xsd:double"&gt;-0.8749902&lt;/D&gt;&lt;D xsi:type="xsd:double"&gt;-1.6853929&lt;/D&gt;&lt;D xsi:type="xsd:double"&gt;5.4292917&lt;/D&gt;&lt;D xsi:type="xsd:double"&gt;1.2188196&lt;/D&gt;&lt;D xsi:type="xsd:double"&gt;0.20014048&lt;/D&gt;&lt;D xsi:type="xsd:double"&gt;9.55317&lt;/D&gt;&lt;D xsi:type="xsd:double"&gt;0.038778782&lt;/D&gt;&lt;D xsi:type="xsd:double"&gt;3.2218099&lt;/D&gt;&lt;D xsi:type="xsd:double"&gt;3.1812787&lt;/D&gt;&lt;D xsi:type="xsd:double"&gt;8.958685&lt;/D&gt;&lt;D xsi:type="xsd:double"&gt;-0.6940663&lt;/D&gt;&lt;D xsi:type="xsd:double"&gt;-9.408599&lt;/D&gt;&lt;D xsi:type="xsd:double"&gt;-6.4724627&lt;/D&gt;&lt;D xsi:type="xsd:double"&gt;4.4127226&lt;/D&gt;&lt;D xsi:type="xsd:double"&gt;3.108132&lt;/D&gt;&lt;D xsi:type="xsd:double"&gt;-7.8968763&lt;/D&gt;&lt;D xsi:type="xsd:double"&gt;1.3088942&lt;/D&gt;&lt;D xsi:type="xsd:double"&gt;0.64599514&lt;/D&gt;&lt;D xsi:type="xsd:double"&gt;-2.5477707&lt;/D&gt;&lt;D xsi:type="xsd:double"&gt;-2.0462036&lt;/D&gt;&lt;D xsi:type="xsd:double"&gt;-1.8194079&lt;/D&gt;&lt;D xsi:type="xsd:double"&gt;-3.3630729&lt;/D&gt;&lt;D xsi:type="xsd:double"&gt;6.5340877&lt;/D&gt;&lt;D xsi:type="xsd:double"&gt;-2.9333293&lt;/D&gt;&lt;D xsi:type="xsd:double"&gt;3.0742884&lt;/D&gt;&lt;D xsi:type="xsd:double"&gt;4.722798&lt;/D&gt;&lt;D xsi:type="xsd:double"&gt;-1.241833&lt;/D&gt;&lt;D xsi:type="xsd:double"&gt;2.0516276&lt;/D&gt;&lt;D xsi:type="xsd:double"&gt;-11.8677025&lt;/D&gt;&lt;D xsi:type="xsd:double"&gt;9.345102&lt;/D&gt;&lt;D xsi:type="xsd:double"&gt;-0.43065548&lt;/D&gt;&lt;D xsi:type="xsd:double"&gt;2.108848&lt;/D&gt;&lt;D xsi:type="xsd:double"&gt;-2.5316477&lt;/D&gt;&lt;D xsi:type="xsd:double"&gt;2.1872878&lt;/D&gt;&lt;D xsi:type="xsd:double"&gt;-4.080266&lt;/D&gt;&lt;D xsi:type="xsd:double"&gt;-2.6931643&lt;/D&gt;&lt;D xsi:type="xsd:double"&gt;0.33346415&lt;/D&gt;&lt;D xsi:type="xsd:double"&gt;8.9086895&lt;/D&gt;&lt;D xsi:type="xsd:double"&gt;0.8179903&lt;/D&gt;&lt;D xsi:type="xsd:double"&gt;4.394853&lt;/D&gt;&lt;D xsi:type="xsd:double"&gt;-4.598445&lt;/D&gt;&lt;D xsi:type="xsd:double"&gt;4.847932&lt;/D&gt;&lt;D xsi:type="xsd:double"&gt;7.2186947&lt;/D&gt;&lt;D xsi:type="xsd:double"&gt;4.353082&lt;/D&gt;&lt;D xsi:type="xsd:double"&gt;1.2166858&lt;/D&gt;&lt;D xsi:type="xsd:double"&gt;-3.20549&lt;/D&gt;&lt;D xsi:type="xsd:double"&gt;3.311646&lt;/D&gt;&lt;D xsi:type="xsd:double"&gt;5.6096196&lt;/D&gt;&lt;D xsi:type="xsd:double"&gt;3.6741734&lt;/D&gt;&lt;D xsi:type="xsd:double"&gt;10.000002&lt;/D&gt;&lt;D xsi:type="xsd:double"&gt;-2.9484034&lt;/D&gt;&lt;D xsi:type="xsd:double"&gt;-3.8987339&lt;/D&gt;&lt;D xsi:type="xsd:double"&gt;5.268705&lt;/D&gt;&lt;D xsi:type="xsd:double"&gt;-7.2572527&lt;/D&gt;&lt;D xsi:type="xsd:double"&gt;6.4828753&lt;/D&gt;&lt;D xsi:type="xsd:double"&gt;4.4523954&lt;/D&gt;&lt;D xsi:type="xsd:double"&gt;5.5365086&lt;/D&gt;&lt;/FQL&gt;&lt;FQL&gt;&lt;Q&gt;EIDO^FG_TOTAL_RETURNC(-5AY,0,AM)&lt;/Q&gt;&lt;R&gt;61&lt;/R&gt;&lt;C&gt;1&lt;/C&gt;&lt;D xsi:type="xsd:double"&gt;-3.5458028&lt;/D&gt;&lt;D xsi:type="xsd:double"&gt;0.7877469&lt;/D&gt;&lt;D xsi:type="xsd:double"&gt;-6.0790358&lt;/D&gt;&lt;D xsi:type="xsd:double"&gt;-1.2482584&lt;/D&gt;&lt;D xsi:type="xsd:double"&gt;-2.804476&lt;/D&gt;&lt;D xsi:type="xsd:double"&gt;-1.5511394&lt;/D&gt;&lt;D xsi:type="xsd:double"&gt;1.1324525&lt;/D&gt;&lt;D xsi:type="xsd:double"&gt;3.6027193&lt;/D&gt;&lt;D xsi:type="xsd:double"&gt;14.238715&lt;/D&gt;&lt;D xsi:type="xsd:double"&gt;-5.5532694&lt;/D&gt;&lt;D xsi:type="xsd:double"&gt;0.7504821&lt;/D&gt;&lt;D xsi:type="xsd:double"&gt;-0.43534636&lt;/D&gt;&lt;D xsi:type="xsd:double"&gt;7.302141&lt;/D&gt;&lt;D xsi:type="xsd:double"&gt;1.0187507&lt;/D&gt;&lt;D xsi:type="xsd:double"&gt;1.2908459&lt;/D&gt;&lt;D xsi:type="xsd:double"&gt;-4.61967&lt;/D&gt;&lt;D xsi:type="xsd:double"&gt;-1.5535176&lt;/D&gt;&lt;D xsi:type="xsd:double"&gt;-3.26882&lt;/D&gt;&lt;D xsi:type="xsd:double"&gt;4.7576666&lt;/D&gt;&lt;D xsi:type="xsd:double"&gt;0.8913398&lt;/D&gt;&lt;D xsi:type="xsd:double"&gt;-0.5048394&lt;/D&gt;&lt;D xsi:type="xsd:double"&gt;-2.198732&lt;/D&gt;&lt;D xsi:type="xsd:double"&gt;-2.0909846&lt;/D&gt;&lt;D xsi:type="xsd:double"&gt;4.103482&lt;/D&gt;&lt;D xsi:type="xsd:double"&gt;-1.9708693&lt;/D&gt;&lt;D xsi:type="xsd:double"&gt;0.043702126&lt;/D&gt;&lt;D xsi:type="xsd:double"&gt;5.9851527&lt;/D&gt;&lt;D xsi:type="xsd:double"&gt;-1.9373417&lt;/D&gt;&lt;D xsi:type="xsd:double"&gt;-0.9300649&lt;/D&gt;&lt;D xsi:type="xsd:double"&gt;3.1615376&lt;/D&gt;&lt;D xsi:type="xsd:double"&gt;-3.6523879&lt;/D&gt;&lt;D xsi:type="xsd:double"&gt;-2.8758168&lt;/D&gt;&lt;D xsi:type="xsd:double"&gt;-8.6137295&lt;/D&gt;&lt;D xsi:type="xsd:double"&gt;6.0382843&lt;/D&gt;&lt;D xsi:type="xsd:double"&gt;3.4686446&lt;/D&gt;&lt;D xsi:type="xsd:double"&gt;-3.6986887&lt;/D&gt;&lt;D xsi:type="xsd:double"&gt;5.5737734&lt;/D&gt;&lt;D xsi:type="xsd:double"&gt;1.0647774&lt;/D&gt;&lt;D xsi:type="xsd:double"&gt;-10.842848&lt;/D&gt;&lt;D xsi:type="xsd:double"&gt;0.9355068&lt;/D&gt;&lt;D xsi:type="xsd:double"&gt;-5.7751656&lt;/D&gt;&lt;D xsi:type="xsd:double"&gt;7.7706337&lt;/D&gt;&lt;D xsi:type="xsd:double"&gt;9.348583&lt;/D&gt;&lt;D xsi:type="xsd:double"&gt;5.50251&lt;/D&gt;&lt;D xsi:type="xsd:double"&gt;-5.603451&lt;/D&gt;&lt;D xsi:type="xsd:double"&gt;-8.264839&lt;/D&gt;&lt;D xsi:type="xsd:double"&gt;-5.958736&lt;/D&gt;&lt;D xsi:type="xsd:double"&gt;0.47757626&lt;/D&gt;&lt;D xsi:type="xsd:double"&gt;-9.149283&lt;/D&gt;&lt;D xsi:type="xsd:double"&gt;-3.9458215&lt;/D&gt;&lt;D xsi:type="xsd:double"&gt;2.8203607&lt;/D&gt;&lt;D xsi:type="xsd:double"&gt;14.251637&lt;/D&gt;&lt;D xsi:type="xsd:double"&gt;-6.1522303&lt;/D&gt;&lt;D xsi:type="xsd:double"&gt;0.5139947&lt;/D&gt;&lt;D xsi:type="xsd:double"&gt;4.431808&lt;/D&gt;&lt;D xsi:type="xsd:double"&gt;-4.243737&lt;/D&gt;&lt;D xsi:type="xsd:double"&gt;3.977263&lt;/D&gt;&lt;D xsi:type="xsd:double"&gt;3.11476&lt;/D&gt;&lt;D xsi:type="xsd:double"&gt;-1.2726128&lt;/D&gt;&lt;D xsi:type="xsd:double"&gt;4.0594935&lt;/D&gt;&lt;D xsi:type="xsd:double"&gt;-6.8229256&lt;/D&gt;&lt;/FQL&gt;&lt;FQL&gt;&lt;Q&gt;EWA^FG_PRICE(0,-200D)&lt;/Q&gt;&lt;R&gt;201&lt;/R&gt;&lt;C&gt;1&lt;/C&gt;&lt;D xsi:type="xsd:double"&gt;30.14&lt;/D&gt;&lt;D xsi:type="xsd:double"&gt;30.16&lt;/D&gt;&lt;D xsi:type="xsd:double"&gt;29.58&lt;/D&gt;&lt;D xsi:type="xsd:double"&gt;29.45&lt;/D&gt;&lt;D xsi:type="xsd:double"&gt;29.7&lt;/D&gt;&lt;D xsi:type="xsd:double"&gt;29.37&lt;/D&gt;&lt;D xsi:type="xsd:double"&gt;29.31&lt;/D&gt;&lt;D xsi:type="xsd:double"&gt;29.32&lt;/D&gt;&lt;D xsi:type="xsd:double"&gt;29.16&lt;/D&gt;&lt;D xsi:type="xsd:double"&gt;29.1&lt;/D&gt;&lt;D xsi:type="xsd:double"&gt;29.3&lt;/D&gt;&lt;D xsi:type="xsd:double"&gt;28.64&lt;/D&gt;&lt;D xsi:type="xsd:double"&gt;28.83&lt;/D&gt;&lt;D xsi:type="xsd:double"&gt;28.23&lt;/D&gt;&lt;D xsi:type="xsd:double"&gt;27.84&lt;/D&gt;&lt;D xsi:type="xsd:double"&gt;28.35&lt;/D&gt;&lt;D xsi:type="xsd:double"&gt;28.12&lt;/D&gt;&lt;D xsi:type="xsd:double"&gt;27.95&lt;/D&gt;&lt;D xsi:type="xsd:double"&gt;27.75&lt;/D&gt;&lt;D xsi:type="xsd:double"&gt;28.42&lt;/D&gt;&lt;D xsi:type="xsd:double"&gt;28.17&lt;/D&gt;&lt;D 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</t>
        </r>
      </text>
    </comment>
    <comment ref="A9" authorId="0" shapeId="0" xr:uid="{E474CE67-D56C-49CF-ABD6-B44E737F76D3}">
      <text>
        <r>
          <rPr>
            <b/>
            <sz val="9"/>
            <color indexed="81"/>
            <rFont val="Tahoma"/>
            <charset val="1"/>
          </rPr>
          <t>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xsi:type="xsd:double"&gt;25.01&lt;/D&gt;&lt;/FQL&gt;&lt;FQL&gt;&lt;Q&gt;EWY^FG_TOTAL_RETURNC(-5AY,0,AM)&lt;/Q&gt;&lt;R&gt;61&lt;/R&gt;&lt;C&gt;1&lt;/C&gt;&lt;D xsi:type="xsd:double"&gt;-6.682926&lt;/D&gt;&lt;D xsi:type="xsd:double"&gt;1.3299942&lt;/D&gt;&lt;D xsi:type="xsd:double"&gt;4.9921393&lt;/D&gt;&lt;D xsi:type="xsd:double"&gt;-2.1583438&lt;/D&gt;&lt;D xsi:type="xsd:double"&gt;2.6646256&lt;/D&gt;&lt;D xsi:type="xsd:double"&gt;-4.233593&lt;/D&gt;&lt;D xsi:type="xsd:double"&gt;-6.1757145&lt;/D&gt;&lt;D xsi:type="xsd:double"&gt;-2.3203492&lt;/D&gt;&lt;D xsi:type="xsd:double"&gt;-0.58175325&lt;/D&gt;&lt;D xsi:type="xsd:double"&gt;-7.6435385&lt;/D&gt;&lt;D xsi:type="xsd:double"&gt;6.2096477&lt;/D&gt;&lt;D xsi:type="xsd:double"&gt;-9.7372055&lt;/D&gt;&lt;D xsi:type="xsd:double"&gt;2.1940947&lt;/D&gt;&lt;D xsi:type="xsd:double"&gt;-3.4269273&lt;/D&gt;&lt;D xsi:type="xsd:double"&gt;-7.182556&lt;/D&gt;&lt;D xsi:type="xsd:double"&gt;2.1956086&lt;/D&gt;&lt;D xsi:type="xsd:double"&gt;-10.606968&lt;/D&gt;&lt;D xsi:type="xsd:double"&gt;-1.4621854&lt;/D&gt;&lt;D xsi:type="xsd:double"&gt;-1.2621582&lt;/D&gt;&lt;D xsi:type="xsd:double"&gt;-14.458454&lt;/D&gt;&lt;D xsi:type="xsd:double"&gt;4.058957&lt;/D&gt;&lt;D xsi:type="xsd:double"&gt;12.303507&lt;/D&gt;&lt;D xsi:type="xsd:double"&gt;-0.25414824&lt;/D&gt;&lt;D xsi:type="xsd:double"&gt;14.11289&lt;/D&gt;&lt;D xsi:type="xsd:double"&gt;-9.955442&lt;/D&gt;&lt;D xsi:type="xsd:double"&gt;1.8426895&lt;/D&gt;&lt;D xsi:type="xsd:double"&gt;0.11726618&lt;/D&gt;&lt;D xsi:type="xsd:double"&gt;5.5890203&lt;/D&gt;&lt;D xsi:type="xsd:double"&gt;1.2678385&lt;/D&gt;&lt;D xsi:type="xsd:double"&gt;5.680752&lt;/D&gt;&lt;D xsi:type="xsd:double"&gt;-8.174145&lt;/D&gt;&lt;D xsi:type="xsd:double"&gt;-5.3378463&lt;/D&gt;&lt;D xsi:type="xsd:double"&gt;-6.013632&lt;/D&gt;&lt;D xsi:type="xsd:double"&gt;12.959946&lt;/D&gt;&lt;D xsi:type="xsd:double"&gt;5.826533&lt;/D&gt;&lt;D xsi:type="xsd:double"&gt;-7.421809&lt;/D&gt;&lt;D xsi:type="xsd:double"&gt;7.899153&lt;/D&gt;&lt;D xsi:type="xsd:double"&gt;4.9844265&lt;/D&gt;&lt;D xsi:type="xsd:double"&gt;-6.023741&lt;/D&gt;&lt;D xsi:type="xsd:double"&gt;1.1998653&lt;/D&gt;&lt;D xsi:type="xsd:double"&gt;1.7784715&lt;/D&gt;&lt;D xsi:type="xsd:double"&gt;-0.29122233&lt;/D&gt;&lt;D xsi:type="xsd:double"&gt;1.5987635&lt;/D&gt;&lt;D xsi:type="xsd:double"&gt;1.4979601&lt;/D&gt;&lt;D xsi:type="xsd:double"&gt;-8.855104&lt;/D&gt;&lt;D xsi:type="xsd:double"&gt;-4.154402&lt;/D&gt;&lt;D xsi:type="xsd:double"&gt;-9.1649&lt;/D&gt;&lt;D xsi:type="xsd:double"&gt;7.562053&lt;/D&gt;&lt;D xsi:type="xsd:double"&gt;3.4168124&lt;/D&gt;&lt;D xsi:type="xsd:double"&gt;-1.7298043&lt;/D&gt;&lt;D xsi:type="xsd:double"&gt;-1.7602563&lt;/D&gt;&lt;D xsi:type="xsd:double"&gt;5.6441426&lt;/D&gt;&lt;D xsi:type="xsd:double"&gt;22.014927&lt;/D&gt;&lt;D xsi:type="xsd:double"&gt;1.7653584&lt;/D&gt;&lt;D xsi:type="xsd:double"&gt;-1.1200666&lt;/D&gt;&lt;D xsi:type="xsd:double"&gt;8.951521&lt;/D&gt;&lt;D xsi:type="xsd:double"&gt;16.711044&lt;/D&gt;&lt;D xsi:type="xsd:double"&gt;-0.5431831&lt;/D&gt;&lt;D xsi:type="xsd:double"&gt;7.0681334&lt;/D&gt;&lt;D xsi:type="xsd:double"&gt;22.41236&lt;/D&gt;&lt;D xsi:type="xsd:double"&gt;28.204918&lt;/D&gt;&lt;/FQL&gt;&lt;FQL&gt;&lt;Q&gt;ECH^FG_TOTAL_RETURNC(-5AY,0,AM)&lt;/Q&gt;&lt;R&gt;61&lt;/R&gt;&lt;C&gt;1&lt;/C&gt;&lt;D xsi:type="xsd:double"&gt;0.64082146&lt;/D&gt;&lt;D xsi:type="xsd:double"&gt;6.94046&lt;/D&gt;&lt;D xsi:type="xsd:double"&gt;3.4831762&lt;/D&gt;&lt;D xsi:type="xsd:double"&gt;-19.533943&lt;/D&gt;&lt;D xsi:type="xsd:double"&gt;6.2080503&lt;/D&gt;&lt;D xsi:type="xsd:double"&gt;-8.661413&lt;/D&gt;&lt;D xsi:type="xsd:double"&gt;3.860569&lt;/D&gt;&lt;D xsi:type="xsd:double"&gt;-2.634424&lt;/D&gt;&lt;D xsi:type="xsd:double"&gt;-5.2260933&lt;/D&gt;&lt;D xsi:type="xsd:double"&gt;3.8326144&lt;/D&gt;&lt;D xsi:type="xsd:double"&gt;-12.338173&lt;/D&gt;&lt;D xsi:type="xsd:double"&gt;13.253975&lt;/D&gt;&lt;D xsi:type="xsd:double"&gt;1.5282154&lt;/D&gt;&lt;D xsi:type="xsd:double"&gt;14.936316&lt;/D&gt;&lt;D xsi:type="xsd:double"&gt;-14.60712&lt;/D&gt;&lt;D xsi:type="xsd:double"&gt;17.734957&lt;/D&gt;&lt;D xsi:type="xsd:double"&gt;-14.747953&lt;/D&gt;&lt;D xsi:type="xsd:double"&gt;3.626728&lt;/D&gt;&lt;D xsi:type="xsd:double"&gt;9.673607&lt;/D&gt;&lt;D xsi:type="xsd:double"&gt;-15.023303&lt;/D&gt;&lt;D xsi:type="xsd:double"&gt;5.4008365&lt;/D&gt;&lt;D xsi:type="xsd:double"&gt;3.0224204&lt;/D&gt;&lt;D xsi:type="xsd:double"&gt;4.267323&lt;/D&gt;&lt;D xsi:type="xsd:double"&gt;11.964834&lt;/D&gt;&lt;D xsi:type="xsd:double"&gt;-4.1993914&lt;/D&gt;&lt;D xsi:type="xsd:double"&gt;-0.926584&lt;/D&gt;&lt;D xsi:type="xsd:double"&gt;1.1151075&lt;/D&gt;&lt;D xsi:type="xsd:double"&gt;4.5535326&lt;/D&gt;&lt;D xsi:type="xsd:double"&gt;1.4745355&lt;/D&gt;&lt;D xsi:type="xsd:double"&gt;10.006964&lt;/D&gt;&lt;D xsi:type="xsd:double"&gt;-8.938193&lt;/D&gt;&lt;D xsi:type="xsd:double"&gt;-10.511661&lt;/D&gt;&lt;D xsi:type="xsd:double"&gt;-6.5344152&lt;/D&gt;&lt;D xsi:type="xsd:double"&gt;10.611736&lt;/D&gt;&lt;D xsi:type="xsd:double"&gt;5.4142594&lt;/D&gt;&lt;D xsi:type="xsd:double"&gt;-6.860632&lt;/D&gt;&lt;D xsi:type="xsd:double"&gt;-4.087925&lt;/D&gt;&lt;D xsi:type="xsd:double"&gt;4.7044635&lt;/D&gt;&lt;D xsi:type="xsd:double"&gt;1.7281055&lt;/D&gt;&lt;D xsi:type="xsd:double"&gt;10.079277&lt;/D&gt;&lt;D xsi:type="xsd:double"&gt;-8.9823065&lt;/D&gt;&lt;D xsi:type="xsd:double"&gt;-0.5411744&lt;/D&gt;&lt;D xsi:type="xsd:double"&gt;4.46949&lt;/D&gt;&lt;D xsi:type="xsd:double"&gt;1.8229246&lt;/D&gt;&lt;D xsi:type="xsd:double"&gt;-1.4249206&lt;/D&gt;&lt;D xsi:type="xsd:double"&gt;-6.4492226&lt;/D&gt;&lt;D xsi:type="xsd:double"&gt;-0.26419163&lt;/D&gt;&lt;D xsi:type="xsd:double"&gt;7.2538853&lt;/D&gt;&lt;D xsi:type="xsd:double"&gt;7.3578596&lt;/D&gt;&lt;D xsi:type="xsd:double"&gt;4.77674&lt;/D&gt;&lt;D xsi:type="xsd:double"&gt;4.6250343&lt;/D&gt;&lt;D xsi:type="xsd:double"&gt;3.725922&lt;/D&gt;&lt;D xsi:type="xsd:double"&gt;-2.7835727&lt;/D&gt;&lt;D xsi:type="xsd:double"&gt;-2.9430568&lt;/D&gt;&lt;D xsi:type="xsd:double"&gt;6.9215536&lt;/D&gt;&lt;D xsi:type="xsd:double"&gt;2.2503018&lt;/D&gt;&lt;D xsi:type="xsd:double"&gt;3.6177278&lt;/D&gt;&lt;D xsi:type="xsd:double"&gt;9.426832&lt;/D&gt;&lt;D xsi:type="xsd:double"&gt;7.298851&lt;/D&gt;&lt;D xsi:type="xsd:double"&gt;16.332043&lt;/D&gt;&lt;D xsi:type="xsd:double"&gt;-5.2159014&lt;/D&gt;&lt;/FQL&gt;&lt;FQL&gt;&lt;Q&gt;ENZL^FG_PRICE(0,-200D)&lt;/Q&gt;&lt;R&gt;201&lt;/R&gt;&lt;C&gt;1&lt;/C&gt;&lt;D xsi:type="xsd:double"&gt;47.225&lt;/D&gt;&lt;D xsi:type="xsd:double"&gt;47.1645&lt;/D&gt;&lt;D xsi:type="xsd:double"&gt;46.72&lt;/D&gt;&lt;D xsi:type="xsd:double"&gt;45.9335&lt;/D&gt;&lt;D xsi:type="xsd:double"&gt;45.8355&lt;/D&gt;&lt;D xsi:type="xsd:double"&gt;46.0172&lt;/D&gt;&lt;D xsi:type="xsd:double"&gt;45.25&lt;/D&gt;&lt;D xsi:type="xsd:double"&gt;44.905&lt;/D&gt;&lt;D xsi:type="xsd:double"&gt;46.7721&lt;/D&gt;&lt;D xsi:type="xsd:double"&gt;47.4568&lt;/D&gt;&lt;D xsi:type="xsd:double"&gt;47.898&lt;/D&gt;&lt;D xsi:type="xsd:double"&gt;47.995&lt;/D&gt;&lt;D xsi:type="xsd:double"&gt;47.975&lt;/D&gt;&lt;D xsi:type="xsd:double"&gt;47.6&lt;/D&gt;&lt;D xsi:type="xsd:double"&gt;47.11&lt;/D&gt;&lt;D xsi:type="xsd:double"&gt;46.72&lt;/D&gt;&lt;D xsi:type="xsd:double"&gt;47.242&lt;/D&gt;&lt;D xsi:type="xsd:double"&gt;47.1177&lt;/D&gt;&lt;D xsi:type="xsd:double"&gt;46.9408&lt;/D&gt;&lt;D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xsi:type="xsd:double"&gt;45.17&lt;/D&gt;&lt;/FQL&gt;&lt;FQL&gt;&lt;Q&gt;EPU^FG_PRICE(0,-200D)&lt;/Q&gt;&lt;R&gt;201&lt;/R&gt;&lt;C&gt;1&lt;/C&gt;&lt;D xsi:type="xsd:double"&gt;93.46&lt;/D&gt;&lt;D xsi:type="xsd:double"&gt;93.37&lt;/D&gt;&lt;D xsi:type="xsd:double"&gt;92.18&lt;/D&gt;&lt;D xsi:type="xsd:double"&gt;90.66&lt;/D&gt;&lt;D xsi:type="xsd:double"&gt;89.66&lt;/D&gt;&lt;D xsi:type="xsd:double"&gt;88.13&lt;/D&gt;&lt;D xsi:type="xsd:double"&gt;86.571&lt;/D&gt;&lt;D xsi:type="xsd:double"&gt;84.91&lt;/D&gt;&lt;D xsi:type="xsd:double"&gt;86.67&lt;/D&gt;&lt;D xsi:type="xsd:double"&gt;87.03&lt;/D&gt;&lt;D xsi:type="xsd:double"&gt;90.05&lt;/D&gt;&lt;D xsi:type="xsd:double"&gt;89.43&lt;/D&gt;&lt;D xsi:type="xsd:double"&gt;91.08&lt;/D&gt;&lt;D xsi:type="xsd:double"&gt;88.15&lt;/D&gt;&lt;D xsi:type="xsd:double"&gt;85.17&lt;/D&gt;&lt;D xsi:type="xsd:double"&gt;88.38&lt;/D&gt;&lt;D xsi:type="xsd:double"&gt;91.33&lt;/D&gt;&lt;D xsi:type="xsd:double"&gt;87.4&lt;/D&gt;&lt;D xsi:type="xsd:double"&gt;86.6&lt;/D&gt;&lt;D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xsi:type="xsd:double"&gt;45.3303&lt;/D&gt;&lt;/FQL&gt;&lt;FQL&gt;&lt;Q&gt;EWG^FG_TOTAL_RETURNC(-5AY,0,AM)&lt;/Q&gt;&lt;R&gt;61&lt;/R&gt;&lt;C&gt;1&lt;/C&gt;&lt;D xsi:type="xsd:double"&gt;-1.5682697&lt;/D&gt;&lt;D xsi:type="xsd:double"&gt;3.7488341&lt;/D&gt;&lt;D xsi:type="xsd:double"&gt;5.992174&lt;/D&gt;&lt;D xsi:type="xsd:double"&gt;1.4204502&lt;/D&gt;&lt;D xsi:type="xsd:double"&gt;-0.23801327&lt;/D&gt;&lt;D xsi:type="xsd:double"&gt;-1.2564182&lt;/D&gt;&lt;D xsi:type="xsd:double"&gt;0.2891779&lt;/D&gt;&lt;D xsi:type="xsd:double"&gt;-2.0472884&lt;/D&gt;&lt;D xsi:type="xsd:double"&gt;0.058877468&lt;/D&gt;&lt;D xsi:type="xsd:double"&gt;-5.942929&lt;/D&gt;&lt;D xsi:type="xsd:double"&gt;2.8969526&lt;/D&gt;&lt;D xsi:type="xsd:double"&gt;-3.017062&lt;/D&gt;&lt;D xsi:type="xsd:double"&gt;-4.900408&lt;/D&gt;&lt;D xsi:type="xsd:double"&gt;-5.884308&lt;/D&gt;&lt;D xsi:type="xsd:double"&gt;-8.724833&lt;/D&gt;&lt;D xsi:type="xsd:double"&gt;4.3730617&lt;/D&gt;&lt;D xsi:type="xsd:double"&gt;-8.52828&lt;/D&gt;&lt;D xsi:type="xsd:double"&gt;-6.3518643&lt;/D&gt;&lt;D xsi:type="xsd:double"&gt;-3.4805894&lt;/D&gt;&lt;D xsi:type="xsd:double"&gt;-8.599162&lt;/D&gt;&lt;D xsi:type="xsd:double"&gt;12.190187&lt;/D&gt;&lt;D xsi:type="xsd:double"&gt;13.88638&lt;/D&gt;&lt;D xsi:type="xsd:double"&gt;-2.065283&lt;/D&gt;&lt;D xsi:type="xsd:double"&gt;13.263249&lt;/D&gt;&lt;D xsi:type="xsd:double"&gt;-3.4630477&lt;/D&gt;&lt;D xsi:type="xsd:double"&gt;0.2588749&lt;/D&gt;&lt;D xsi:type="xsd:double"&gt;7.2666883&lt;/D&gt;&lt;D xsi:type="xsd:double"&gt;-1.7193973&lt;/D&gt;&lt;D xsi:type="xsd:double"&gt;0.30126572&lt;/D&gt;&lt;D xsi:type="xsd:double"&gt;3.7992835&lt;/D&gt;&lt;D xsi:type="xsd:double"&gt;-5.455804&lt;/D&gt;&lt;D xsi:type="xsd:double"&gt;-5.149746&lt;/D&gt;&lt;D xsi:type="xsd:double"&gt;-4.428184&lt;/D&gt;&lt;D xsi:type="xsd:double"&gt;13.698626&lt;/D&gt;&lt;D xsi:type="xsd:double"&gt;5.214584&lt;/D&gt;&lt;D xsi:type="xsd:double"&gt;-1.0104477&lt;/D&gt;&lt;D xsi:type="xsd:double"&gt;3.1303167&lt;/D&gt;&lt;D xsi:type="xsd:double"&gt;4.1900396&lt;/D&gt;&lt;D xsi:type="xsd:double"&gt;-1.9632697&lt;/D&gt;&lt;D xsi:type="xsd:double"&gt;4.263568&lt;/D&gt;&lt;D xsi:type="xsd:double"&gt;-3.5963297&lt;/D&gt;&lt;D xsi:type="xsd:double"&gt;3.09515&lt;/D&gt;&lt;D xsi:type="xsd:double"&gt;3.2577515&lt;/D&gt;&lt;D xsi:type="xsd:double"&gt;4.2375445&lt;/D&gt;&lt;D xsi:type="xsd:double"&gt;-2.9080093&lt;/D&gt;&lt;D xsi:type="xsd:double"&gt;-3.5452366&lt;/D&gt;&lt;D xsi:type="xsd:double"&gt;2.6932836&lt;/D&gt;&lt;D xsi:type="xsd:double"&gt;6.6337585&lt;/D&gt;&lt;D xsi:type="xsd:double"&gt;6.221056&lt;/D&gt;&lt;D xsi:type="xsd:double"&gt;2.3154497&lt;/D&gt;&lt;D xsi:type="xsd:double"&gt;4.7923326&lt;/D&gt;&lt;D xsi:type="xsd:double"&gt;4.827225&lt;/D&gt;&lt;D xsi:type="xsd:double"&gt;2.587831&lt;/D&gt;&lt;D xsi:type="xsd:double"&gt;2.8097987&lt;/D&gt;&lt;D xsi:type="xsd:double"&gt;-1.5884161&lt;/D&gt;&lt;D xsi:type="xsd:double"&gt;-2.207452&lt;/D&gt;&lt;D xsi:type="xsd:double"&gt;0.9466052&lt;/D&gt;&lt;D xsi:type="xsd:double"&gt;-2.380383&lt;/D&gt;&lt;D xsi:type="xsd:double"&gt;5.0492644&lt;/D&gt;&lt;D xsi:type="xsd:double"&gt;2.790153&lt;/D&gt;&lt;D xsi:type="xsd:double"&gt;1.6423345&lt;/D&gt;&lt;/FQL&gt;&lt;FQL&gt;&lt;Q&gt;SET-BKK^FG_TOTAL_RETURNC(-5AY,0,AM)&lt;/Q&gt;&lt;R&gt;61&lt;/R&gt;&lt;C&gt;1&lt;/C&gt;&lt;D xsi:type="xsd:double"&gt;-1.060921&lt;/D&gt;&lt;D xsi:type="xsd:double"&gt;5.216527&lt;/D&gt;&lt;D xsi:type="xsd:double"&gt;-0.9734154&lt;/D&gt;&lt;D xsi:type="xsd:double"&gt;0.5802989&lt;/D&gt;&lt;D xsi:type="xsd:double"&gt;0.89826584&lt;/D&gt;&lt;D xsi:type="xsd:double"&gt;-2.3738384&lt;/D&gt;&lt;D xsi:type="xsd:double"&gt;3.676784&lt;/D&gt;&lt;D xsi:type="xsd:double"&gt;1.8253207&lt;/D&gt;&lt;D xsi:type="xsd:double"&gt;0.295496&lt;/D&gt;&lt;D xsi:type="xsd:double"&gt;-1.5501499&lt;/D&gt;&lt;D xsi:type="xsd:double"&gt;1.6521692&lt;/D&gt;&lt;D xsi:type="xsd:double"&gt;0.37990808&lt;/D&gt;&lt;D xsi:type="xsd:double"&gt;2.2185206&lt;/D&gt;&lt;D xsi:type="xsd:double"&gt;-0.18453598&lt;/D&gt;&lt;D xsi:type="xsd:double"&gt;-0.46696663&lt;/D&gt;&lt;D xsi:type="xsd:double"&gt;-2.1114826&lt;/D&gt;&lt;D xsi:type="xsd:double"&gt;-3.9767861&lt;/D&gt;&lt;D xsi:type="xsd:double"&gt;-0.99313855&lt;/D&gt;&lt;D xsi:type="xsd:double"&gt;5.8975816&lt;/D&gt;&lt;D xsi:type="xsd:double"&gt;-1.430589&lt;/D&gt;&lt;D xsi:type="xsd:double"&gt;-1.5290678&lt;/D&gt;&lt;D xsi:type="xsd:double"&gt;1.5271306&lt;/D&gt;&lt;D xsi:type="xsd:double"&gt;0.36771297&lt;/D&gt;&lt;D xsi:type="xsd:double"&gt;2.7378798&lt;/D&gt;&lt;D xsi:type="xsd:double"&gt;-2.232933&lt;/D&gt;&lt;D xsi:type="xsd:double"&gt;-2.580756&lt;/D&gt;&lt;D xsi:type="xsd:double"&gt;-3.009081&lt;/D&gt;&lt;D xsi:type="xsd:double"&gt;-0.8491218&lt;/D&gt;&lt;D xsi:type="xsd:double"&gt;-2.9735327&lt;/D&gt;&lt;D xsi:type="xsd:double"&gt;2.6438713&lt;/D&gt;&lt;D xsi:type="xsd:double"&gt;2.3357034&lt;/D&gt;&lt;D xsi:type="xsd:double"&gt;-4.2417583&lt;/D&gt;&lt;D xsi:type="xsd:double"&gt;-8.219439&lt;/D&gt;&lt;D xsi:type="xsd:double"&gt;1.9114375&lt;/D&gt;&lt;D xsi:type="xsd:double"&gt;1.146388&lt;/D&gt;&lt;D xsi:type="xsd:double"&gt;-3.204918&lt;/D&gt;&lt;D xsi:type="xsd:double"&gt;2.1920085&lt;/D&gt;&lt;D xsi:type="xsd:double"&gt;-1.495558&lt;/D&gt;&lt;D xsi:type="xsd:double"&gt;-1.2554228&lt;/D&gt;&lt;D xsi:type="xsd:double"&gt;0.33384562&lt;/D&gt;&lt;D xsi:type="xsd:double"&gt;-3.3221424&lt;/D&gt;&lt;D xsi:type="xsd:double"&gt;-0.9051323&lt;/D&gt;&lt;D xsi:type="xsd:double"&gt;4.406333&lt;/D&gt;&lt;D xsi:type="xsd:double"&gt;6.610441&lt;/D&gt;&lt;D xsi:type="xsd:double"&gt;0.57662725&lt;/D&gt;&lt;D xsi:type="xsd:double"&gt;-1.7199457&lt;/D&gt;&lt;D xsi:type="xsd:double"&gt;-2.8124452&lt;/D&gt;&lt;D xsi:type="xsd:double"&gt;-3.1284928&lt;/D&gt;&lt;D xsi:type="xsd:double"&gt;-9.07855&lt;/D&gt;&lt;D xsi:type="xsd:double"&gt;-3.3123791&lt;/D&gt;&lt;D xsi:type="xsd:double"&gt;-2.6344955&lt;/D&gt;&lt;D xsi:type="xsd:double"&gt;1.6764522&lt;/D&gt;&lt;D xsi:type="xsd:double"&gt;-6.0843706&lt;/D&gt;&lt;D xsi:type="xsd:double"&gt;9.97715&lt;/D&gt;&lt;D xsi:type="xsd:double"&gt;2.8024435&lt;/D&gt;&lt;D xsi:type="xsd:double"&gt;2.1961808&lt;/D&gt;&lt;D xsi:type="xsd:double"&gt;2.750373&lt;/D&gt;&lt;D xsi:type="xsd:double"&gt;-4.0132103&lt;/D&gt;&lt;D xsi:type="xsd:double"&gt;-0.15303493&lt;/D&gt;&lt;D xsi:type="xsd:double"&gt;3.7974954&lt;/D&gt;&lt;D xsi:type="xsd:double"&gt;17.334198&lt;/D&gt;&lt;/FQL&gt;&lt;FQL&gt;&lt;Q&gt;EPOL^FG_PRICE(0,-200D)&lt;/Q&gt;&lt;R&gt;201&lt;/R&gt;&lt;C&gt;1&lt;/C&gt;&lt;D xsi:type="xsd:double"&gt;38.19&lt;/D&gt;&lt;D xsi:type="xsd:double"&gt;38.71&lt;/D&gt;&lt;D xsi:type="xsd:double"&gt;37.95&lt;/D&gt;&lt;D xsi:type="xsd:double"&gt;38.1&lt;/D&gt;&lt;D xsi:type="xsd:double"&gt;37.81&lt;/D&gt;&lt;D xsi:type="xsd:double"&gt;37.65&lt;/D&gt;&lt;D xsi:type="xsd:double"&gt;37.73&lt;/D&gt;&lt;D xsi:type="xsd:double"&gt;37.5&lt;/D&gt;&lt;D xsi:type="xsd:double"&gt;37.67&lt;/D&gt;&lt;D xsi:type="xsd:double"&gt;37.91&lt;/D&gt;&lt;D xsi:type="xsd:double"&gt;38.39&lt;/D&gt;&lt;D xsi:type="xsd:double"&gt;38.11&lt;/D&gt;&lt;D xsi:type="xsd:double"&gt;38.76&lt;/D&gt;&lt;D xsi:type="xsd:double"&gt;37.92&lt;/D&gt;&lt;D xsi:type="xsd:double"&gt;37.37&lt;/D&gt;&lt;D xsi:type="xsd:double"&gt;38.28&lt;/D&gt;&lt;D xsi:type="xsd:double"&gt;38.35&lt;/D&gt;&lt;D xsi:type="xsd:double"&gt;37.66&lt;/D&gt;&lt;D xsi:type="xsd:double"&gt;37.59&lt;/D&gt;&lt;D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xsi:type="xsd:double"&gt;30.88&lt;/D&gt;&lt;/FQL&gt;&lt;FQL&gt;&lt;Q&gt;QAT^FG_TOTAL_RETURNC(-5AY,0,AM)&lt;/Q&gt;&lt;R&gt;61&lt;/R&gt;&lt;C&gt;1&lt;/C&gt;&lt;D xsi:type="xsd:double"&gt;-4.3474555&lt;/D&gt;&lt;D xsi:type="xsd:double"&gt;4.226923&lt;/D&gt;&lt;D xsi:type="xsd:double"&gt;5.2294493&lt;/D&gt;&lt;D xsi:type="xsd:do</t>
        </r>
      </text>
    </comment>
    <comment ref="A10" authorId="0" shapeId="0" xr:uid="{F60C53AA-EB7F-4548-8E39-BF36AB174CE1}">
      <text>
        <r>
          <rPr>
            <b/>
            <sz val="9"/>
            <color indexed="81"/>
            <rFont val="Tahoma"/>
            <charset val="1"/>
          </rPr>
          <t>uble"&gt;-1.9776821&lt;/D&gt;&lt;D xsi:type="xsd:double"&gt;0.56221485&lt;/D&gt;&lt;D xsi:type="xsd:double"&gt;-0.7099688&lt;/D&gt;&lt;D xsi:type="xsd:double"&gt;4.3432236&lt;/D&gt;&lt;D xsi:type="xsd:double"&gt;0.8629441&lt;/D&gt;&lt;D xsi:type="xsd:double"&gt;4.3281317&lt;/D&gt;&lt;D xsi:type="xsd:double"&gt;-2.4602056&lt;/D&gt;&lt;D xsi:type="xsd:double"&gt;2.000451&lt;/D&gt;&lt;D xsi:type="xsd:double"&gt;5.853641&lt;/D&gt;&lt;D xsi:type="xsd:double"&gt;3.245926&lt;/D&gt;&lt;D xsi:type="xsd:double"&gt;8.20719&lt;/D&gt;&lt;D xsi:type="xsd:double"&gt;-1.1924326&lt;/D&gt;&lt;D xsi:type="xsd:double"&gt;-4.9105287&lt;/D&gt;&lt;D xsi:type="xsd:double"&gt;-7.092786&lt;/D&gt;&lt;D xsi:type="xsd:double"&gt;5.640352&lt;/D&gt;&lt;D xsi:type="xsd:double"&gt;6.6548586&lt;/D&gt;&lt;D xsi:type="xsd:double"&gt;-10.553635&lt;/D&gt;&lt;D xsi:type="xsd:double"&gt;1.6440988&lt;/D&gt;&lt;D xsi:type="xsd:double"&gt;-3.8059056&lt;/D&gt;&lt;D xsi:type="xsd:double"&gt;-6.28137&lt;/D&gt;&lt;D xsi:type="xsd:double"&gt;2.3367047&lt;/D&gt;&lt;D xsi:type="xsd:double"&gt;-5.967826&lt;/D&gt;&lt;D xsi:type="xsd:double"&gt;-2.5938272&lt;/D&gt;&lt;D xsi:type="xsd:double"&gt;2.1529794&lt;/D&gt;&lt;D xsi:type="xsd:double"&gt;6.100929&lt;/D&gt;&lt;D xsi:type="xsd:double"&gt;-4.059267&lt;/D&gt;&lt;D xsi:type="xsd:double"&gt;6.4552665&lt;/D&gt;&lt;D xsi:type="xsd:double"&gt;-4.2021217&lt;/D&gt;&lt;D xsi:type="xsd:double"&gt;-2.5819004&lt;/D&gt;&lt;D xsi:type="xsd:double"&gt;-8.9769125&lt;/D&gt;&lt;D xsi:type="xsd:double"&gt;10.081398&lt;/D&gt;&lt;D xsi:type="xsd:double"&gt;2.1046638&lt;/D&gt;&lt;D xsi:type="xsd:double"&gt;-1.0863602&lt;/D&gt;&lt;D xsi:type="xsd:double"&gt;1.4362216&lt;/D&gt;&lt;D xsi:type="xsd:double"&gt;-1.6102195&lt;/D&gt;&lt;D xsi:type="xsd:double"&gt;-2.9345274&lt;/D&gt;&lt;D xsi:type="xsd:double"&gt;-1.3372183&lt;/D&gt;&lt;D xsi:type="xsd:double"&gt;2.6016712&lt;/D&gt;&lt;D xsi:type="xsd:double"&gt;4.088998&lt;/D&gt;&lt;D xsi:type="xsd:double"&gt;1.6753316&lt;/D&gt;&lt;D xsi:type="xsd:double"&gt;4.375005&lt;/D&gt;&lt;D xsi:type="xsd:double"&gt;-2.177471&lt;/D&gt;&lt;D xsi:type="xsd:double"&gt;0.3338933&lt;/D&gt;&lt;D xsi:type="xsd:double"&gt;0.3550291&lt;/D&gt;&lt;D xsi:type="xsd:double"&gt;1.4598608&lt;/D&gt;&lt;D xsi:type="xsd:double"&gt;0.16602278&lt;/D&gt;&lt;D xsi:type="xsd:double"&gt;-1.7127037&lt;/D&gt;&lt;D xsi:type="xsd:double"&gt;2.0798087&lt;/D&gt;&lt;D xsi:type="xsd:double"&gt;5.451536&lt;/D&gt;&lt;D xsi:type="xsd:double"&gt;-0.9109795&lt;/D&gt;&lt;D xsi:type="xsd:double"&gt;5.9363127&lt;/D&gt;&lt;D xsi:type="xsd:double"&gt;2.598071&lt;/D&gt;&lt;D xsi:type="xsd:double"&gt;-3.5749733&lt;/D&gt;&lt;D xsi:type="xsd:double"&gt;-0.66940784&lt;/D&gt;&lt;D xsi:type="xsd:double"&gt;-2.0995378&lt;/D&gt;&lt;D xsi:type="xsd:double"&gt;1.1050463&lt;/D&gt;&lt;D xsi:type="xsd:double"&gt;5.6824803&lt;/D&gt;&lt;D xsi:type="xsd:double"&gt;-2.0915866&lt;/D&gt;&lt;/FQL&gt;&lt;FQL&gt;&lt;Q&gt;EZA^FG_PRICE(0,-200D)&lt;/Q&gt;&lt;R&gt;201&lt;/R&gt;&lt;C&gt;1&lt;/C&gt;&lt;D xsi:type="xsd:double"&gt;80.76&lt;/D&gt;&lt;D xsi:type="xsd:double"&gt;80.27&lt;/D&gt;&lt;D xsi:type="xsd:double"&gt;79.25&lt;/D&gt;&lt;D xsi:type="xsd:double"&gt;77.89&lt;/D&gt;&lt;D xsi:type="xsd:double"&gt;77.25&lt;/D&gt;&lt;D xsi:type="xsd:double"&gt;75.01&lt;/D&gt;&lt;D xsi:type="xsd:double"&gt;75.57&lt;/D&gt;&lt;D xsi:type="xsd:double"&gt;74.71&lt;/D&gt;&lt;D xsi:type="xsd:double"&gt;75.32&lt;/D&gt;&lt;D xsi:type="xsd:double"&gt;74.15&lt;/D&gt;&lt;D xsi:type="xsd:double"&gt;76.53&lt;/D&gt;&lt;D xsi:type="xsd:double"&gt;75.41&lt;/D&gt;&lt;D xsi:type="xsd:double"&gt;75.72&lt;/D&gt;&lt;D xsi:type="xsd:double"&gt;74.77&lt;/D&gt;&lt;D xsi:type="xsd:double"&gt;71.6&lt;/D&gt;&lt;D xsi:type="xsd:double"&gt;73.98&lt;/D&gt;&lt;D xsi:type="xsd:double"&gt;74.56&lt;/D&gt;&lt;D xsi:type="xsd:double"&gt;73.25&lt;/D&gt;&lt;D xsi:type="xsd:double"&gt;73.2&lt;/D&gt;&lt;D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xsi:type="xsd:double"&gt;50.64&lt;/D&gt;&lt;/FQL&gt;&lt;FQL&gt;&lt;Q&gt;MCHI^FG_TOTAL_RETURNC(-5AY,0,AM)&lt;/Q&gt;&lt;R&gt;61&lt;/R&gt;&lt;C&gt;1&lt;/C&gt;&lt;D xsi:type="xsd:double"&gt;-5.3666534&lt;/D&gt;&lt;D xsi:type="xsd:double"&gt;-6.6123304&lt;/D&gt;&lt;D xsi:type="xsd:double"&gt;1.880765&lt;/D&gt;&lt;D xsi:type="xsd:double"&gt;-1.2789547&lt;/D&gt;&lt;D xsi:type="xsd:double"&gt;1.6867876&lt;/D&gt;&lt;D xsi:type="xsd:double"&gt;-14.924115&lt;/D&gt;&lt;D xsi:type="xsd:double"&gt;-2.4352193&lt;/D&gt;&lt;D xsi:type="xsd:double"&gt;-3.3376932&lt;/D&gt;&lt;D xsi:type="xsd:double"&gt;6.770754&lt;/D&gt;&lt;D xsi:type="xsd:double"&gt;-7.227218&lt;/D&gt;&lt;D xsi:type="xsd:double"&gt;-4.220283&lt;/D&gt;&lt;D xsi:type="xsd:double"&gt;-2.4709046&lt;/D&gt;&lt;D xsi:type="xsd:double"&gt;-3.1219363&lt;/D&gt;&lt;D xsi:type="xsd:double"&gt;-10.426861&lt;/D&gt;&lt;D xsi:type="xsd:double"&gt;-12.412882&lt;/D&gt;&lt;D xsi:type="xsd:double"&gt;7.4623704&lt;/D&gt;&lt;D xsi:type="xsd:double"&gt;12.340522&lt;/D&gt;&lt;D xsi:type="xsd:double"&gt;-7.937646&lt;/D&gt;&lt;D xsi:type="xsd:double"&gt;-1.9462824&lt;/D&gt;&lt;D xsi:type="xsd:double"&gt;-13.0805855&lt;/D&gt;&lt;D xsi:type="xsd:double"&gt;-12.4686&lt;/D&gt;&lt;D xsi:type="xsd:double"&gt;11.061823&lt;/D&gt;&lt;D xsi:type="xsd:double"&gt;11.470163&lt;/D&gt;&lt;D xsi:type="xsd:double"&gt;20.1882&lt;/D&gt;&lt;D xsi:type="xsd:double"&gt;-15.017796&lt;/D&gt;&lt;D xsi:type="xsd:double"&gt;2.1566272&lt;/D&gt;&lt;D xsi:type="xsd:double"&gt;-4.0172157&lt;/D&gt;&lt;D xsi:type="xsd:double"&gt;-4.591078&lt;/D&gt;&lt;D xsi:type="xsd:double"&gt;0.23031235&lt;/D&gt;&lt;D xsi:type="xsd:double"&gt;7.461667&lt;/D&gt;&lt;D xsi:type="xsd:double"&gt;-8.202225&lt;/D&gt;&lt;D xsi:type="xsd:double"&gt;-1.9424081&lt;/D&gt;&lt;D xsi:type="xsd:double"&gt;-2.7965546&lt;/D&gt;&lt;D xsi:type="xsd:double"&gt;4.651165&lt;/D&gt;&lt;D xsi:type="xsd:double"&gt;-7.0527673&lt;/D&gt;&lt;D xsi:type="xsd:double"&gt;-3.5380363&lt;/D&gt;&lt;D xsi:type="xsd:double"&gt;3.6154032&lt;/D&gt;&lt;D xsi:type="xsd:double"&gt;0.07586479&lt;/D&gt;&lt;D xsi:type="xsd:double"&gt;6.9984794&lt;/D&gt;&lt;D xsi:type="xsd:double"&gt;6.186545&lt;/D&gt;&lt;D xsi:type="xsd:double"&gt;-3.8705766&lt;/D&gt;&lt;D xsi:type="xsd:double"&gt;-4.158926&lt;/D&gt;&lt;D xsi:type="xsd:double"&gt;1.090908&lt;/D&gt;&lt;D xsi:type="xsd:double"&gt;20.143879&lt;/D&gt;&lt;D xsi:type="xsd:double"&gt;-0.49900413&lt;/D&gt;&lt;D xsi:type="xsd:double"&gt;-7.522565&lt;/D&gt;&lt;D xsi:type="xsd:double"&gt;5.710602&lt;/D&gt;&lt;D xsi:type="xsd:double"&gt;-0.9199321&lt;/D&gt;&lt;D xsi:type="xsd:double"&gt;16.902304&lt;/D&gt;&lt;D xsi:type="xsd:double"&gt;-0.7220268&lt;/D&gt;&lt;D xsi:type="xsd:double"&gt;-5.618185&lt;/D&gt;&lt;D xsi:type="xsd:double"&gt;5.5287957&lt;/D&gt;&lt;D xsi:type="xsd:double"&gt;2.3744345&lt;/D&gt;&lt;D xsi:type="xsd:double"&gt;6.1037064&lt;/D&gt;&lt;D xsi:type="xsd:double"&gt;4.5647383&lt;/D&gt;&lt;D xsi:type="xsd:double"&gt;4.3816924&lt;/D&gt;&lt;D xsi:type="xsd:double"&gt;0.29540062&lt;/D&gt;&lt;D xsi:type="xsd:double"&gt;-4.030389&lt;/D&gt;&lt;D xsi:type="xsd:double"&gt;0.18467903&lt;/D&gt;&lt;D xsi:type="xsd:double"&gt;2.2686481&lt;/D&gt;&lt;D xsi:type="xsd:double"&gt;-5.4739895&lt;/D&gt;&lt;/FQL&gt;&lt;FQL&gt;&lt;Q&gt;EWM^FG_TOTAL_RETURNC(-5AY,0,AM)&lt;/Q&gt;&lt;R&gt;61&lt;/R&gt;&lt;C&gt;1&lt;/C&gt;&lt;D xsi:type="xsd:double"&gt;-1.377809&lt;/D&gt;&lt;D xsi:type="xsd:double"&gt;2.2058725&lt;/D&gt;&lt;D xsi:type="xsd:double"&gt;1.6546845&lt;/D&gt;&lt;D xsi:type="xsd:double"&gt;-3.8216531&lt;/D&gt;&lt;D xsi:type="xsd:double"&gt;-1.3284147&lt;/D&gt;&lt;D xsi:type="xsd:double"&gt;-4.115385&lt;/D&gt;&lt;D xsi:type="xsd:double"&gt;4.372239&lt;/D&gt;&lt;D xsi:type="xsd:double"&gt;-3.1129956&lt;/D&gt;&lt;D xsi:type="xsd:double"&gt;5.2756906&lt;/D&gt;&lt;D xsi:type="xsd:double"&gt;-7.837236&lt;/D&gt;&lt;D xsi:type="xsd:double"&gt;2.5690794&lt;/D&gt;&lt;D xsi:type="xsd:double"&gt;-0.94689727&lt;/D&gt;&lt;D xsi:type="xsd:double"&gt;6.566918&lt;/D&gt;&lt;D xsi:type="xsd:double"&gt;1.2480497&lt;/D&gt;&lt;D xsi:type="xsd:double"&gt;-5.238825&lt;/D&gt;&lt;D xsi:type="xsd:double"&gt;-2.2764206&lt;/D&gt;&lt;D xsi:type="xsd:double"&gt;-6.6571655&lt;/D&gt;&lt;D xsi:type="xsd:double"&gt;-0.3638029&lt;/D&gt;&lt;D xsi:type="xsd:double"&gt;1.8712878&lt;/D&gt;&lt;D xsi:type="xsd:double"&gt;-7.8405023&lt;/D&gt;&lt;D xsi:type="xsd:double"&gt;2.1390438&lt;/D&gt;&lt;D xsi:type="xsd:double"&gt;7.091856&lt;/D&gt;&lt;D xsi:type="xsd:double"&gt;0.7885337&lt;/D&gt;&lt;D xsi:type="xsd:double"&gt;7.034731&lt;/D&gt;&lt;D xsi:type="xsd:double"&gt;-8.444262&lt;/D&gt;&lt;D xsi:type="xsd:double"&gt;-1.4538825&lt;/D&gt;&lt;D xsi:type="xsd:double"&gt;0.092196465&lt;/D&gt;&lt;D xsi:type="xsd:double"&gt;-3.592807&lt;/D&gt;&lt;D xsi:type="xsd:double"&gt;-2.5202096&lt;/D&gt;&lt;D xsi:type="xsd:double"&gt;8.033932&lt;/D&gt;&lt;D xsi:type="xsd:double"&gt;-3.1408787&lt;/D&gt;&lt;D xsi:type="xsd:double"&gt;-0.2384305&lt;/D&gt;&lt;D xsi:type="xsd:double"&gt;-2.0554483&lt;/D&gt;&lt;D xsi:type="xsd:double"&gt;3.611517&lt;/D&gt;&lt;D xsi:type="xsd:double"&gt;1.1922836&lt;/D&gt;&lt;D xsi:type="xsd:double"&gt;0.04737377&lt;/D&gt;&lt;D xsi:type="xsd:double"&gt;2.1306753&lt;/D&gt;&lt;D xsi:type="xsd:double"&gt;1.7153502&lt;/D&gt;&lt;D xsi:type="xsd:double"&gt;1.549685&lt;/D&gt;&lt;D xsi:type="xsd:double"&gt;3.9497256&lt;/D&gt;&lt;D xsi:type="xsd:double"&gt;-1.8200994&lt;/D&gt;&lt;D xsi:type="xsd:double"&gt;3.3958912&lt;/D&gt;&lt;D xsi:type="xsd:double"&gt;8.729469&lt;/D&gt;&lt;D xsi:type="xsd:double"&gt;9.062004&lt;/D&gt;&lt;D xsi:type="xsd:double"&gt;-8.090383&lt;/D&gt;&lt;D xsi:type="xsd:double"&gt;-2.9738307&lt;/D&gt;&lt;D xsi:type="xsd:double"&gt;0.6693125&lt;/D&gt;&lt;D xsi:type="xsd:double"&gt;-0.4549265&lt;/D&gt;&lt;D xsi:type="xsd:double"&gt;0.37391186&lt;/D&gt;&lt;D xsi:type="xsd:double"&gt;-3.9321244&lt;/D&gt;&lt;D xsi:type="xsd:double"&gt;0.9478688&lt;/D&gt;&lt;D xsi:type="xsd:double"&gt;4.90824&lt;/D&gt;&lt;D xsi:type="xsd:double"&gt;0.0037312508&lt;/D&gt;&lt;D xsi:type="xsd:double"&gt;0.49854517&lt;/D&gt;&lt;D xsi:type="xsd:double"&gt;3.885901&lt;/D&gt;&lt;D xsi:type="xsd:double"&gt;2.3875833&lt;/D&gt;&lt;D xsi:type="xsd:double"&gt;-0.15545487&lt;/D&gt;&lt;D xsi:type="xsd:double"&gt;3.6979318&lt;/D&gt;&lt;D xsi:type="xsd:double"&gt;5.401385&lt;/D&gt;&lt;D xsi:type="xsd:double"&gt;6.7293763&lt;/D&gt;&lt;D xsi:type="xsd:double"&gt;0.5084753&lt;/D&gt;&lt;/FQL&gt;&lt;FQL&gt;&lt;Q&gt;EWL^FG_PRICE(0,-200D)&lt;/Q&gt;&lt;R&gt;201&lt;/R&gt;&lt;C&gt;1&lt;/C&gt;&lt;D xsi:type="xsd:double"&gt;64.63&lt;/D&gt;&lt;D xsi:type="xsd:double"&gt;64.85&lt;/D&gt;&lt;D xsi:type="xsd:double"&gt;64.82&lt;/D&gt;&lt;D xsi:type="xsd:double"&gt;64.31&lt;/D&gt;&lt;D xsi:type="xsd:double"&gt;64.38&lt;/D&gt;&lt;D xsi:type="xsd:double"&gt;64.16&lt;/D&gt;&lt;D xsi:type="xsd:double"&gt;64.26&lt;/D&gt;&lt;D xsi:type="xsd:double"&gt;64.44&lt;/D&gt;&lt;D xsi:type="xsd:double"&gt;63.79&lt;/D&gt;&lt;D xsi:type="xsd:double"&gt;63.46&lt;/D&gt;&lt;D xsi:type="xsd:double"&gt;63.24&lt;/D&gt;&lt;D xsi:type="xsd:double"&gt;63.43&lt;/D&gt;&lt;D xsi:type="xsd:double"&gt;63.45&lt;/D&gt;&lt;D xsi:type="xsd:double"&gt;63.09&lt;/D&gt;&lt;D xsi:type="xsd:double"&gt;62.24&lt;/D&gt;&lt;D xsi:type="xsd:double"&gt;62.47&lt;/D&gt;&lt;D xsi:type="xsd:double"&gt;61.89&lt;/D&gt;&lt;D xsi:type="xsd:double"&gt;62.25&lt;/D&gt;&lt;D xsi:type="xsd:double"&gt;61.54&lt;/D&gt;&lt;D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xsi:type="xsd:double"&gt;53.58&lt;/D&gt;&lt;/FQL&gt;&lt;FQL&gt;&lt;Q&gt;EWZ^FG_PRICE(0,-200D)&lt;/Q&gt;&lt;R&gt;201&lt;/R&gt;&lt;C&gt;1&lt;/C&gt;&lt;D xsi:type="xsd:double"&gt;39.1&lt;/D&gt;&lt;D xsi:type="xsd:double"&gt;39.59&lt;/D&gt;&lt;D xsi:type="xsd:double"&gt;39.47&lt;/D&gt;&lt;D xsi:type="xsd:double"&gt;38.77&lt;/D&gt;&lt;D xsi:type="xsd:double"&gt;39.37&lt;/D&gt;&lt;D xsi:type="xsd:double"&gt;38.61&lt;/D&gt;&lt;D xsi:type="xsd:double"&gt;38.03&lt;/D&gt;&lt;D xsi:type="xsd:double"&gt;37.74&lt;/D&gt;&lt;D xsi:type="xsd:double"&gt;38.06&lt;/D&gt;&lt;D xsi:type="xsd:double"&gt;38.49&lt;/D&gt;&lt;D xsi:type="xsd:double"&gt;39.16&lt;/D&gt;&lt;D xsi:type="xsd:double"&gt;38.32&lt;/D&gt;&lt;D xsi:type="xsd:double"&gt;38.42&lt;/D&gt;&lt;D xsi:type="xsd:double"&gt;37.56&lt;/D&gt;&lt;D xsi:type="xsd:double"&gt;36.91&lt;/D&gt;&lt;D xsi:type="xsd:double"&gt;36.98&lt;/D&gt;&lt;D xsi:type="xsd:double"&gt;38.04&lt;/D&gt;&lt;D xsi:type="xsd:double"&gt;37.45&lt;/D&gt;&lt;D xsi:type="xsd:double"&gt;37.04&lt;/D&gt;&lt;D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xsi:type="xsd:double"&gt;27.56&lt;/D&gt;&lt;/FQL&gt;&lt;FQL&gt;&lt;Q&gt;EPU^FG_TOTAL_RETURNC(-5AY,0,AM)&lt;/Q&gt;&lt;R&gt;61&lt;/R&gt;&lt;C&gt;1&lt;/C&gt;&lt;D xsi:type="xsd:double"&gt;6.4006925&lt;/D&gt;&lt;D xsi:type="xsd:double"&gt;-7.3104916&lt;/D&gt;&lt;D xsi:type="xsd:double"&gt;-7.217699&lt;/D&gt;&lt;D xsi:type="xsd:double"&gt;-1.3488054&lt;/D&gt;&lt;D xsi:type="xsd:double"&gt;-8.1341505&lt;/D&gt;&lt;D xsi:type="xsd:double"&gt;-1.2216389&lt;/D&gt;&lt;D xsi:type="xsd:double"&gt;-9.116608&lt;/D&gt;&lt;D xsi:type="xsd:double"&gt;3.8491488&lt;/D&gt;&lt;D xsi:type="xsd:double"&gt;14.039683&lt;/D&gt;&lt;D xsi:type="xsd:double"&gt;-8.335519&lt;/D&gt;&lt;D xsi:type="xsd:double"&gt;5.670202&lt;/D&gt;&lt;D xsi:type="xsd:double"&gt;12.005544&lt;/D&gt;&lt;D xsi:type="xsd:double"&gt;6.288731&lt;/D&gt;&lt;D xsi:type="xsd:double"&gt;9.880495&lt;/D&gt;&lt;D xsi:type="xsd:double"&gt;-17.29443&lt;/D&gt;&lt;D xsi:type="xsd:double"&gt;-1.1545897&lt;/D&gt;&lt;D xsi:type="xsd:double"&gt;-11.315023&lt;/D&gt;&lt;D xsi:type="xsd:double"&gt;-3.07284&lt;/D&gt;&lt;D xsi:type="xsd:double"&gt;3.287673&lt;/D&gt;&lt;D xsi:type="xsd:double"&gt;-11.140579&lt;/D&gt;&lt;D xsi:type="xsd:double"&gt;14.371002&lt;/D&gt;&lt;D xsi:type="xsd:double"&gt;9.507835&lt;/D&gt;&lt;D xsi:type="xsd:double"&gt;-1.3252497&lt;/D&gt;&lt;D xsi:type="xsd:double"&gt;11.341286&lt;/D&gt;&lt;D xsi:type="xsd:double"&gt;-9.460735&lt;/D&gt;&lt;D xsi:type="xsd:double"&gt;1.3235807&lt;/D&gt;&lt;D xsi:type="xsd:double"&gt;5.4314137&lt;/D&gt;&lt;D xsi:type="xsd:double"&gt;-3.4385383&lt;/D&gt;&lt;D xsi:type="xsd:double"&gt;4.8197985&lt;/D&gt;&lt;D xsi:type="xsd:double"&gt;9.900724&lt;/D&gt;&lt;D xsi:type="xsd:double"&gt;-5.017418&lt;/D&gt;&lt;D xsi:type="xsd:double"&gt;-5.497628&lt;/D&gt;&lt;D xsi:type="xsd:double"&gt;-2.9194236&lt;/D&gt;&lt;D xsi:type="xsd:double"&gt;6.5027833&lt;/D&gt;&lt;D xsi:type="xsd:double"&gt;14.243233&lt;/D&gt;&lt;D xsi:type="xsd:double"&gt;-2.4112523&lt;/D&gt;&lt;D xsi:type="xsd:double"&gt;3.750074&lt;/D&gt;&lt;D xsi:type="xsd:double"&gt;10.094357&lt;/D&gt;&lt;D xsi:type="xsd:double"&gt;6.5255284&lt;/D&gt;&lt;D xsi:type="xsd:double"&gt;4.647827&lt;/D&gt;&lt;D xsi:type="xsd:double"&gt;-3.9993167&lt;/D&gt;&lt;D xsi:type="xsd:double"&gt;0.86870193&lt;/D&gt;&lt;D xsi:type="xsd:double"&gt;0.14665127&lt;/D&gt;&lt;D xsi:type="xsd:double"&gt;8.649719&lt;/D&gt;&lt;D xsi:type="xsd:double"&gt;1.5829921&lt;/D&gt;&lt;D xsi:type="xsd:double"&gt;-4.2965174&lt;/D&gt;&lt;D xsi:type="xsd:double"&gt;-2.861017&lt;/D&gt;&lt;D xsi:type="xsd:double"&gt;-0.25568008&lt;/D&gt;&lt;D xsi:type="xsd:double"&gt;2.6820064&lt;/D&gt;&lt;D xsi:type="xsd:double"&gt;7.317281&lt;/D&gt;&lt;D xsi:type="xsd:double"&gt;-0.145185&lt;/D&gt;&lt;D xsi:type="xsd:double"&gt;5.247748&lt;/D&gt;&lt;D xsi:type="xsd:double"&gt;6.9931984&lt;/D&gt;&lt;D xsi:type="xsd:double"&gt;1.0226488&lt;/D&gt;&lt;D xsi:type="xsd:double"&gt;7.6194286&lt;/D&gt;&lt;D xsi:type="xsd:double"&gt;11.069489&lt;/D&gt;&lt;D xsi:type="xsd:double"&gt;3.9123058&lt;/D&gt;&lt;D xsi:type="xsd:double"&gt;2.4018168&lt;/D&gt;&lt;D xsi:type="xsd:double"&gt;17.389511&lt;/D&gt;&lt;D xsi:type="xsd:double"&gt;22.583712&lt;/D&gt;&lt;D xsi:type="xsd:double"&gt;3.3506513&lt;/D&gt;&lt;/FQL&gt;&lt;/Schema&gt;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<sst xmlns="http://schemas.openxmlformats.org/spreadsheetml/2006/main" count="167" uniqueCount="82">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</sst>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workbookViewId="0">
      <selection activeCell="D18" sqref="D18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5">IFERROR(TRANSPOSE(_xlfn._xlws.FILTER(MONTHLY_RETURNS!B64:AI64, MONTHLY_RETURNS!$B$73:$AI$73=1)),"")</f>
        <v>EWY</v>
      </c>
      <c r="B2" s="4" t="str" cm="1">
        <f t="array" ref="B2:B5">IFERROR(TRANSPOSE(_xlfn._xlws.FILTER(MONTHLY_RETURNS!B65:AI65, MONTHLY_RETURNS!$B$73:$AI$73=1)),"")</f>
        <v>Korea, Rep.</v>
      </c>
      <c r="C2" s="4" t="str" cm="1">
        <f t="array" ref="C2:C5">IFERROR(TRANSPOSE(_xlfn._xlws.FILTER(MONTHLY_RETURNS!B66:AI66, MONTHLY_RETURNS!$B$73:$AI$73=1)),"")</f>
        <v>EMERGING</v>
      </c>
      <c r="D2" s="4" cm="1">
        <f t="array" ref="D2:D5">IFERROR(TRANSPOSE(_xlfn._xlws.FILTER(MONTHLY_RETURNS!B67:AI67, MONTHLY_RETURNS!$B$73:$AI$73=1)),"")</f>
        <v>0.28204918000000001</v>
      </c>
      <c r="E2" s="4" cm="1">
        <f t="array" ref="E2:E5">IFERROR(TRANSPOSE(_xlfn._xlws.FILTER(MONTHLY_RETURNS!B68:AI68, MONTHLY_RETURNS!$B$73:$AI$73=1)),"")</f>
        <v>1.2675908927868851E-2</v>
      </c>
      <c r="F2" s="4" cm="1">
        <f t="array" ref="F2:F5">IFERROR(TRANSPOSE(_xlfn._xlws.FILTER(MONTHLY_RETURNS!B69:AI69, MONTHLY_RETURNS!$B$73:$AI$73=1)),"")</f>
        <v>9.8315768581255639E-2</v>
      </c>
      <c r="G2" s="4" cm="1">
        <f t="array" ref="G2:G5">IFERROR(TRANSPOSE(_xlfn._xlws.FILTER(MONTHLY_RETURNS!B70:AI70, MONTHLY_RETURNS!$B$73:$AI$73=1)),"")</f>
        <v>0.19663153716251128</v>
      </c>
      <c r="H2" s="1" cm="1">
        <f t="array" ref="H2:H5">IFERROR(TRANSPOSE(_xlfn._xlws.FILTER(MONTHLY_RETURNS!B71:AI71, MONTHLY_RETURNS!$B$73:$AI$73=1)),"")</f>
        <v>150.41</v>
      </c>
      <c r="I2" s="1" cm="1">
        <f t="array" ref="I2:I5">IFERROR(TRANSPOSE(_xlfn._xlws.FILTER(MONTHLY_RETURNS!B72:AI72, MONTHLY_RETURNS!$B$73:$AI$73=1)),"")</f>
        <v>87.038258706467658</v>
      </c>
    </row>
    <row r="3" spans="1:9" x14ac:dyDescent="0.45">
      <c r="A3" s="5" t="str">
        <v>SET-BKK</v>
      </c>
      <c r="B3" s="4" t="str">
        <v>Thailand</v>
      </c>
      <c r="C3" s="4" t="str">
        <v>EMERGING</v>
      </c>
      <c r="D3" s="4">
        <v>0.17334198000000001</v>
      </c>
      <c r="E3" s="4">
        <v>9.9785786393442682E-4</v>
      </c>
      <c r="F3" s="4">
        <v>5.5597764298691808E-2</v>
      </c>
      <c r="G3" s="4">
        <v>0.11119552859738362</v>
      </c>
      <c r="H3" s="1">
        <v>1533.64</v>
      </c>
      <c r="I3" s="1">
        <v>1255.7025373134327</v>
      </c>
    </row>
    <row r="4" spans="1:9" x14ac:dyDescent="0.45">
      <c r="A4" s="5" t="str">
        <v>EWA</v>
      </c>
      <c r="B4" s="4" t="str">
        <v>Australia</v>
      </c>
      <c r="C4" s="4" t="str">
        <v>DEVELOPED</v>
      </c>
      <c r="D4" s="4">
        <v>9.1238139999999995E-2</v>
      </c>
      <c r="E4" s="4">
        <v>7.8397893669672099E-3</v>
      </c>
      <c r="F4" s="4">
        <v>3.6820136826302016E-2</v>
      </c>
      <c r="G4" s="4">
        <v>7.3640273652604032E-2</v>
      </c>
      <c r="H4" s="1">
        <v>30.14</v>
      </c>
      <c r="I4" s="1">
        <v>26.713432835820885</v>
      </c>
    </row>
    <row r="5" spans="1:9" x14ac:dyDescent="0.45">
      <c r="A5" s="5" t="str">
        <v>EWJ</v>
      </c>
      <c r="B5" s="4" t="str">
        <v>Japan</v>
      </c>
      <c r="C5" s="4" t="str">
        <v>DEVELOPED</v>
      </c>
      <c r="D5" s="4">
        <v>9.2756749999999999E-2</v>
      </c>
      <c r="E5" s="4">
        <v>7.6124985083606553E-3</v>
      </c>
      <c r="F5" s="4">
        <v>3.3080420655912289E-2</v>
      </c>
      <c r="G5" s="4">
        <v>6.6160841311824578E-2</v>
      </c>
      <c r="H5" s="1">
        <v>92.48</v>
      </c>
      <c r="I5" s="1">
        <v>80.082437810945279</v>
      </c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tabSelected="1"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44253</v>
      </c>
      <c r="B2" s="3" cm="1">
        <f t="array" ref="B2:B62">_xll.FDS(B1,"FG_TOTAL_RETURNC(-5AY,0,AM)")/100</f>
        <v>-4.2925953999999995E-2</v>
      </c>
      <c r="C2" s="3" cm="1">
        <f t="array" ref="C2:C62">_xll.FDS(C1,"FG_TOTAL_RETURNC(-5AY,0,AM)")/100</f>
        <v>6.4082146E-3</v>
      </c>
      <c r="D2" s="3" cm="1">
        <f t="array" ref="D2:D62">_xll.FDS(D1,"FG_TOTAL_RETURNC(-5AY,0,AM)")/100</f>
        <v>-3.5458028000000003E-2</v>
      </c>
      <c r="E2" s="3" cm="1">
        <f t="array" ref="E2:E62">_xll.FDS(E1,"FG_TOTAL_RETURNC(-5AY,0,AM)")/100</f>
        <v>-4.2499184999999995E-2</v>
      </c>
      <c r="F2" s="3" cm="1">
        <f t="array" ref="F2:F62">_xll.FDS(F1,"FG_TOTAL_RETURNC(-5AY,0,AM)")/100</f>
        <v>-3.063345E-2</v>
      </c>
      <c r="G2" s="3" cm="1">
        <f t="array" ref="G2:G62">_xll.FDS(G1,"FG_TOTAL_RETURNC(-5AY,0,AM)")/100</f>
        <v>6.4006924999999992E-2</v>
      </c>
      <c r="H2" s="3" cm="1">
        <f t="array" ref="H2:H62">_xll.FDS(H1,"FG_TOTAL_RETURNC(-5AY,0,AM)")/100</f>
        <v>-1.377809E-2</v>
      </c>
      <c r="I2" s="3" cm="1">
        <f t="array" ref="I2:I62">_xll.FDS(I1,"FG_TOTAL_RETURNC(-5AY,0,AM)")/100</f>
        <v>1.4228701999999999E-2</v>
      </c>
      <c r="J2" s="3" cm="1">
        <f t="array" ref="J2:J62">_xll.FDS(J1,"FG_TOTAL_RETURNC(-5AY,0,AM)")/100</f>
        <v>-5.8578369999999998E-2</v>
      </c>
      <c r="K2" s="3" cm="1">
        <f t="array" ref="K2:K62">_xll.FDS(K1,"FG_TOTAL_RETURNC(-5AY,0,AM)")/100</f>
        <v>-6.6829260000000001E-2</v>
      </c>
      <c r="L2" s="3" cm="1">
        <f t="array" ref="L2:L62">_xll.FDS(L1,"FG_TOTAL_RETURNC(-5AY,0,AM)")/100</f>
        <v>-9.8615410000000014E-2</v>
      </c>
      <c r="M2" s="3" cm="1">
        <f t="array" ref="M2:M62">_xll.FDS(M1,"FG_TOTAL_RETURNC(-5AY,0,AM)")/100</f>
        <v>2.4590135000000003E-2</v>
      </c>
      <c r="N2" s="3" cm="1">
        <f t="array" ref="N2:N62">_xll.FDS(N1,"FG_TOTAL_RETURNC(-5AY,0,AM)")/100</f>
        <v>3.8413404999999998E-2</v>
      </c>
      <c r="O2" s="3" cm="1">
        <f t="array" ref="O2:O62">_xll.FDS(O1,"FG_TOTAL_RETURNC(-5AY,0,AM)")/100</f>
        <v>9.0998409999999991E-3</v>
      </c>
      <c r="P2" s="3" cm="1">
        <f t="array" ref="P2:P62">_xll.FDS(P1,"FG_TOTAL_RETURNC(-5AY,0,AM)")/100</f>
        <v>-5.3666533999999995E-2</v>
      </c>
      <c r="Q2" s="3" cm="1">
        <f t="array" ref="Q2:Q62">_xll.FDS(Q1,"FG_TOTAL_RETURNC(-5AY,0,AM)")/100</f>
        <v>-4.3474554999999998E-2</v>
      </c>
      <c r="R2" s="3" cm="1">
        <f t="array" ref="R2:R62">_xll.FDS(R1,"FG_TOTAL_RETURNC(-5AY,0,AM)")/100</f>
        <v>-1.0609210000000001E-2</v>
      </c>
      <c r="S2" s="3" cm="1">
        <f t="array" ref="S2:S62">_xll.FDS(S1,"FG_TOTAL_RETURNC(-5AY,0,AM)")/100</f>
        <v>-4.5032205999999998E-2</v>
      </c>
      <c r="T2" s="3" cm="1">
        <f t="array" ref="T2:T62">_xll.FDS(T1,"FG_TOTAL_RETURNC(-5AY,0,AM)")/100</f>
        <v>-1.6129017000000002E-2</v>
      </c>
      <c r="U2" s="3" cm="1">
        <f t="array" ref="U2:U62">_xll.FDS(U1,"FG_TOTAL_RETURNC(-5AY,0,AM)")/100</f>
        <v>-3.0837E-2</v>
      </c>
      <c r="V2" s="3" cm="1">
        <f t="array" ref="V2:V62">_xll.FDS(V1,"FG_TOTAL_RETURNC(-5AY,0,AM)")/100</f>
        <v>2.2264599999999999E-2</v>
      </c>
      <c r="W2" s="3" cm="1">
        <f t="array" ref="W2:W62">_xll.FDS(W1,"FG_TOTAL_RETURNC(-5AY,0,AM)")/100</f>
        <v>-0.10837012</v>
      </c>
      <c r="X2" s="3" cm="1">
        <f t="array" ref="X2:X62">_xll.FDS(X1,"FG_TOTAL_RETURNC(-5AY,0,AM)")/100</f>
        <v>-1.9599973999999999E-2</v>
      </c>
      <c r="Y2" s="3" cm="1">
        <f t="array" ref="Y2:Y62">_xll.FDS(Y1,"FG_TOTAL_RETURNC(-5AY,0,AM)")/100</f>
        <v>1.7393947E-2</v>
      </c>
      <c r="Z2" s="3" cm="1">
        <f t="array" ref="Z2:Z62">_xll.FDS(Z1,"FG_TOTAL_RETURNC(-5AY,0,AM)")/100</f>
        <v>-1.5682697000000002E-2</v>
      </c>
      <c r="AA2" s="3" cm="1">
        <f t="array" ref="AA2:AA62">_xll.FDS(AA1,"FG_TOTAL_RETURNC(-5AY,0,AM)")/100</f>
        <v>-1.8699586000000001E-2</v>
      </c>
      <c r="AB2" s="3" cm="1">
        <f t="array" ref="AB2:AB62">_xll.FDS(AB1,"FG_TOTAL_RETURNC(-5AY,0,AM)")/100</f>
        <v>-5.5907430000000001E-2</v>
      </c>
      <c r="AC2" s="3" cm="1">
        <f t="array" ref="AC2:AC62">_xll.FDS(AC1,"FG_TOTAL_RETURNC(-5AY,0,AM)")/100</f>
        <v>-7.5163245000000002E-3</v>
      </c>
      <c r="AD2" s="3" cm="1">
        <f t="array" ref="AD2:AD62">_xll.FDS(AD1,"FG_TOTAL_RETURNC(-5AY,0,AM)")/100</f>
        <v>-4.3975710000000001E-2</v>
      </c>
      <c r="AE2" s="3" cm="1">
        <f t="array" ref="AE2:AE62">_xll.FDS(AE1,"FG_TOTAL_RETURNC(-5AY,0,AM)")/100</f>
        <v>-8.9372396000000007E-3</v>
      </c>
      <c r="AF2" s="3" cm="1">
        <f t="array" ref="AF2:AF62">_xll.FDS(AF1,"FG_TOTAL_RETURNC(-5AY,0,AM)")/100</f>
        <v>1.4983534999999999E-2</v>
      </c>
      <c r="AG2" s="3" cm="1">
        <f t="array" ref="AG2:AG62">_xll.FDS(AG1,"FG_TOTAL_RETURNC(-5AY,0,AM)")/100</f>
        <v>6.8618060000000007E-3</v>
      </c>
      <c r="AH2" s="3" cm="1">
        <f t="array" ref="AH2:AH62">_xll.FDS(AH1,"FG_TOTAL_RETURNC(-5AY,0,AM)")/100</f>
        <v>-5.6790709999999999E-3</v>
      </c>
      <c r="AI2" s="3" cm="1">
        <f t="array" ref="AI2:AI62">_xll.FDS(AI1,"FG_TOTAL_RETURNC(-5AY,0,AM)")/100</f>
        <v>2.5008560000000003E-2</v>
      </c>
      <c r="AJ2" s="3"/>
      <c r="AK2" s="3"/>
      <c r="AL2" s="3"/>
    </row>
    <row r="3" spans="1:38" x14ac:dyDescent="0.45">
      <c r="A3" s="2">
        <v>44281</v>
      </c>
      <c r="B3" s="3">
        <v>-5.4919960000000004E-2</v>
      </c>
      <c r="C3" s="3">
        <v>6.9404599999999997E-2</v>
      </c>
      <c r="D3" s="3">
        <v>7.8774689999999998E-3</v>
      </c>
      <c r="E3" s="3">
        <v>-8.9433789999999996E-3</v>
      </c>
      <c r="F3" s="3">
        <v>-2.4102867E-2</v>
      </c>
      <c r="G3" s="3">
        <v>-7.3104915999999992E-2</v>
      </c>
      <c r="H3" s="3">
        <v>2.2058724999999998E-2</v>
      </c>
      <c r="I3" s="3">
        <v>1.5055655999999999E-2</v>
      </c>
      <c r="J3" s="3">
        <v>8.2882399999999995E-2</v>
      </c>
      <c r="K3" s="3">
        <v>1.3299942E-2</v>
      </c>
      <c r="L3" s="3">
        <v>1.5987515000000001E-2</v>
      </c>
      <c r="M3" s="3">
        <v>6.5297364999999996E-2</v>
      </c>
      <c r="N3" s="3">
        <v>6.8757533999999995E-2</v>
      </c>
      <c r="O3" s="3">
        <v>3.6314963999999998E-2</v>
      </c>
      <c r="P3" s="3">
        <v>-6.6123304000000008E-2</v>
      </c>
      <c r="Q3" s="3">
        <v>4.2269230000000005E-2</v>
      </c>
      <c r="R3" s="3">
        <v>5.216527E-2</v>
      </c>
      <c r="S3" s="3">
        <v>-0.13922155</v>
      </c>
      <c r="T3" s="3">
        <v>3.3567429000000003E-2</v>
      </c>
      <c r="U3" s="3">
        <v>1.3636351E-2</v>
      </c>
      <c r="V3" s="3">
        <v>7.1250796000000005E-2</v>
      </c>
      <c r="W3" s="3">
        <v>-1.039499E-2</v>
      </c>
      <c r="X3" s="3">
        <v>2.2031784000000002E-2</v>
      </c>
      <c r="Y3" s="3">
        <v>6.0615540000000002E-2</v>
      </c>
      <c r="Z3" s="3">
        <v>3.7488341000000001E-2</v>
      </c>
      <c r="AA3" s="3">
        <v>2.7704477000000002E-2</v>
      </c>
      <c r="AB3" s="3">
        <v>3.5854696999999998E-2</v>
      </c>
      <c r="AC3" s="3">
        <v>3.9183378000000005E-2</v>
      </c>
      <c r="AD3" s="3">
        <v>7.1669817E-3</v>
      </c>
      <c r="AE3" s="3">
        <v>4.4481992999999997E-2</v>
      </c>
      <c r="AF3" s="3">
        <v>2.8638960000000001E-2</v>
      </c>
      <c r="AG3" s="3">
        <v>5.2703260000000002E-2</v>
      </c>
      <c r="AH3" s="3">
        <v>7.5202226999999996E-2</v>
      </c>
      <c r="AI3" s="3">
        <v>5.0802110000000004E-2</v>
      </c>
      <c r="AJ3" s="3"/>
      <c r="AK3" s="3"/>
      <c r="AL3" s="3"/>
    </row>
    <row r="4" spans="1:38" x14ac:dyDescent="0.45">
      <c r="A4" s="2">
        <v>44312</v>
      </c>
      <c r="B4" s="3">
        <v>1.5738487000000002E-2</v>
      </c>
      <c r="C4" s="3">
        <v>3.4831762000000002E-2</v>
      </c>
      <c r="D4" s="3">
        <v>-6.0790357999999996E-2</v>
      </c>
      <c r="E4" s="3">
        <v>-3.6764739999999997E-2</v>
      </c>
      <c r="F4" s="3">
        <v>7.7936290000000005E-2</v>
      </c>
      <c r="G4" s="3">
        <v>-7.2176989999999996E-2</v>
      </c>
      <c r="H4" s="3">
        <v>1.6546844999999998E-2</v>
      </c>
      <c r="I4" s="3">
        <v>9.9612239999999991E-2</v>
      </c>
      <c r="J4" s="3">
        <v>6.6999793000000002E-2</v>
      </c>
      <c r="K4" s="3">
        <v>4.9921393000000001E-2</v>
      </c>
      <c r="L4" s="3">
        <v>0.10459733</v>
      </c>
      <c r="M4" s="3">
        <v>3.0038594999999998E-2</v>
      </c>
      <c r="N4" s="3">
        <v>7.8555225999999992E-2</v>
      </c>
      <c r="O4" s="3">
        <v>-4.4214486999999997E-2</v>
      </c>
      <c r="P4" s="3">
        <v>1.8807649999999999E-2</v>
      </c>
      <c r="Q4" s="3">
        <v>5.2294492999999997E-2</v>
      </c>
      <c r="R4" s="3">
        <v>-9.7341540000000001E-3</v>
      </c>
      <c r="S4" s="3">
        <v>-5.2174330000000005E-3</v>
      </c>
      <c r="T4" s="3">
        <v>3.1722068999999999E-2</v>
      </c>
      <c r="U4" s="3">
        <v>7.0627809999999999E-2</v>
      </c>
      <c r="V4" s="3">
        <v>7.8420042999999995E-2</v>
      </c>
      <c r="W4" s="3">
        <v>4.9935340000000002E-2</v>
      </c>
      <c r="X4" s="3">
        <v>5.3093790000000002E-2</v>
      </c>
      <c r="Y4" s="3">
        <v>3.7221549999999999E-2</v>
      </c>
      <c r="Z4" s="3">
        <v>5.9921740000000001E-2</v>
      </c>
      <c r="AA4" s="3">
        <v>-1.8114448000000002E-2</v>
      </c>
      <c r="AB4" s="3">
        <v>4.488611E-2</v>
      </c>
      <c r="AC4" s="3">
        <v>3.4220576000000003E-2</v>
      </c>
      <c r="AD4" s="3">
        <v>8.1107619999999991E-2</v>
      </c>
      <c r="AE4" s="3">
        <v>5.4623959999999999E-2</v>
      </c>
      <c r="AF4" s="3">
        <v>6.8312286999999999E-2</v>
      </c>
      <c r="AG4" s="3">
        <v>5.9128164999999996E-2</v>
      </c>
      <c r="AH4" s="3">
        <v>5.4227589999999999E-2</v>
      </c>
      <c r="AI4" s="3">
        <v>2.7989745E-2</v>
      </c>
      <c r="AJ4" s="3"/>
      <c r="AK4" s="3"/>
      <c r="AL4" s="3"/>
    </row>
    <row r="5" spans="1:38" x14ac:dyDescent="0.45">
      <c r="A5" s="2">
        <v>44342</v>
      </c>
      <c r="B5" s="3">
        <v>7.9380154999999994E-2</v>
      </c>
      <c r="C5" s="3">
        <v>-0.19533943000000001</v>
      </c>
      <c r="D5" s="3">
        <v>-1.2482584000000001E-2</v>
      </c>
      <c r="E5" s="3">
        <v>1.387918E-2</v>
      </c>
      <c r="F5" s="3">
        <v>0.11023426</v>
      </c>
      <c r="G5" s="3">
        <v>-1.3488054000000001E-2</v>
      </c>
      <c r="H5" s="3">
        <v>-3.8216530999999998E-2</v>
      </c>
      <c r="I5" s="3">
        <v>-5.6866940000000005E-2</v>
      </c>
      <c r="J5" s="3">
        <v>8.5142849999999999E-3</v>
      </c>
      <c r="K5" s="3">
        <v>-2.1583438E-2</v>
      </c>
      <c r="L5" s="3">
        <v>5.3352000000000004E-2</v>
      </c>
      <c r="M5" s="3">
        <v>2.9556631999999999E-2</v>
      </c>
      <c r="N5" s="3">
        <v>-1.7371236999999998E-2</v>
      </c>
      <c r="O5" s="3">
        <v>8.4399589999999997E-2</v>
      </c>
      <c r="P5" s="3">
        <v>-1.2789547000000002E-2</v>
      </c>
      <c r="Q5" s="3">
        <v>-1.9776821E-2</v>
      </c>
      <c r="R5" s="3">
        <v>5.8029889999999997E-3</v>
      </c>
      <c r="S5" s="3">
        <v>1.6171336000000001E-2</v>
      </c>
      <c r="T5" s="3">
        <v>8.8579770000000002E-2</v>
      </c>
      <c r="U5" s="3">
        <v>2.3560165999999997E-2</v>
      </c>
      <c r="V5" s="3">
        <v>3.6628126999999996E-2</v>
      </c>
      <c r="W5" s="3">
        <v>-3.7555814E-2</v>
      </c>
      <c r="X5" s="3">
        <v>7.9605579999999995E-3</v>
      </c>
      <c r="Y5" s="3">
        <v>6.0469030000000007E-2</v>
      </c>
      <c r="Z5" s="3">
        <v>1.4204502000000001E-2</v>
      </c>
      <c r="AA5" s="3">
        <v>-9.0063213999999996E-3</v>
      </c>
      <c r="AB5" s="3">
        <v>3.9324641E-2</v>
      </c>
      <c r="AC5" s="3">
        <v>3.2169104000000004E-2</v>
      </c>
      <c r="AD5" s="3">
        <v>-2.1953583000000002E-2</v>
      </c>
      <c r="AE5" s="3">
        <v>3.4961700000000003E-3</v>
      </c>
      <c r="AF5" s="3">
        <v>3.6270737999999997E-2</v>
      </c>
      <c r="AG5" s="3">
        <v>4.6862364E-3</v>
      </c>
      <c r="AH5" s="3">
        <v>5.2487850000000006E-3</v>
      </c>
      <c r="AI5" s="3">
        <v>2.2586584E-2</v>
      </c>
      <c r="AJ5" s="3"/>
      <c r="AK5" s="3"/>
      <c r="AL5" s="3"/>
    </row>
    <row r="6" spans="1:38" x14ac:dyDescent="0.45">
      <c r="A6" s="2">
        <v>44372</v>
      </c>
      <c r="B6" s="3">
        <v>-2.2254170000000004E-2</v>
      </c>
      <c r="C6" s="3">
        <v>6.2080503000000002E-2</v>
      </c>
      <c r="D6" s="3">
        <v>-2.8044760000000002E-2</v>
      </c>
      <c r="E6" s="3">
        <v>8.260286E-2</v>
      </c>
      <c r="F6" s="3">
        <v>3.0064939999999998E-2</v>
      </c>
      <c r="G6" s="3">
        <v>-8.1341505000000008E-2</v>
      </c>
      <c r="H6" s="3">
        <v>-1.3284147E-2</v>
      </c>
      <c r="I6" s="3">
        <v>3.2504439999999996E-2</v>
      </c>
      <c r="J6" s="3">
        <v>3.2935738999999999E-2</v>
      </c>
      <c r="K6" s="3">
        <v>2.6646256E-2</v>
      </c>
      <c r="L6" s="3">
        <v>0.10496854999999999</v>
      </c>
      <c r="M6" s="3">
        <v>-4.1977463000000007E-2</v>
      </c>
      <c r="N6" s="3">
        <v>2.8043985E-2</v>
      </c>
      <c r="O6" s="3">
        <v>9.7806453999999994E-3</v>
      </c>
      <c r="P6" s="3">
        <v>1.6867876E-2</v>
      </c>
      <c r="Q6" s="3">
        <v>5.6221485000000002E-3</v>
      </c>
      <c r="R6" s="3">
        <v>8.9826583999999994E-3</v>
      </c>
      <c r="S6" s="3">
        <v>-5.5295763000000005E-2</v>
      </c>
      <c r="T6" s="3">
        <v>-8.7499020000000004E-3</v>
      </c>
      <c r="U6" s="3">
        <v>4.8593400000000002E-2</v>
      </c>
      <c r="V6" s="3">
        <v>3.0934094999999998E-2</v>
      </c>
      <c r="W6" s="3">
        <v>-4.0208696999999996E-3</v>
      </c>
      <c r="X6" s="3">
        <v>5.1676034999999995E-3</v>
      </c>
      <c r="Y6" s="3">
        <v>1.0712862E-2</v>
      </c>
      <c r="Z6" s="3">
        <v>-2.3801326999999999E-3</v>
      </c>
      <c r="AA6" s="3">
        <v>1.0293365000000001E-2</v>
      </c>
      <c r="AB6" s="3">
        <v>3.2895207000000003E-2</v>
      </c>
      <c r="AC6" s="3">
        <v>3.3141375000000002E-3</v>
      </c>
      <c r="AD6" s="3">
        <v>4.7085404000000004E-2</v>
      </c>
      <c r="AE6" s="3">
        <v>2.1367788000000002E-2</v>
      </c>
      <c r="AF6" s="3">
        <v>1.3005495000000001E-2</v>
      </c>
      <c r="AG6" s="3">
        <v>-3.9929151999999997E-3</v>
      </c>
      <c r="AH6" s="3">
        <v>5.1208735000000003E-3</v>
      </c>
      <c r="AI6" s="3">
        <v>1.2498975000000001E-2</v>
      </c>
      <c r="AJ6" s="3"/>
      <c r="AK6" s="3"/>
      <c r="AL6" s="3"/>
    </row>
    <row r="7" spans="1:38" x14ac:dyDescent="0.45">
      <c r="A7" s="2">
        <v>44403</v>
      </c>
      <c r="B7" s="3">
        <v>-4.4117689999999994E-2</v>
      </c>
      <c r="C7" s="3">
        <v>-8.6614129999999998E-2</v>
      </c>
      <c r="D7" s="3">
        <v>-1.5511394000000001E-2</v>
      </c>
      <c r="E7" s="3">
        <v>-0.11043919000000001</v>
      </c>
      <c r="F7" s="3">
        <v>-4.1517853999999993E-2</v>
      </c>
      <c r="G7" s="3">
        <v>-1.2216389000000001E-2</v>
      </c>
      <c r="H7" s="3">
        <v>-4.1153849999999999E-2</v>
      </c>
      <c r="I7" s="3">
        <v>-3.7776827999999999E-3</v>
      </c>
      <c r="J7" s="3">
        <v>3.7068129999999998E-3</v>
      </c>
      <c r="K7" s="3">
        <v>-4.2335930000000001E-2</v>
      </c>
      <c r="L7" s="3">
        <v>-5.0682305999999996E-2</v>
      </c>
      <c r="M7" s="3">
        <v>-6.0080647000000001E-2</v>
      </c>
      <c r="N7" s="3">
        <v>-7.1477890000000002E-2</v>
      </c>
      <c r="O7" s="3">
        <v>7.8723430000000004E-3</v>
      </c>
      <c r="P7" s="3">
        <v>-0.14924115000000002</v>
      </c>
      <c r="Q7" s="3">
        <v>-7.0996879999999998E-3</v>
      </c>
      <c r="R7" s="3">
        <v>-2.3738383999999998E-2</v>
      </c>
      <c r="S7" s="3">
        <v>-1.3595820000000002E-2</v>
      </c>
      <c r="T7" s="3">
        <v>-1.6853929E-2</v>
      </c>
      <c r="U7" s="3">
        <v>-6.4390240000000001E-2</v>
      </c>
      <c r="V7" s="3">
        <v>-2.0351409999999999E-3</v>
      </c>
      <c r="W7" s="3">
        <v>-5.3467750000000007E-3</v>
      </c>
      <c r="X7" s="3">
        <v>-1.6691983000000001E-2</v>
      </c>
      <c r="Y7" s="3">
        <v>-2.0689725999999999E-2</v>
      </c>
      <c r="Z7" s="3">
        <v>-1.2564182E-2</v>
      </c>
      <c r="AA7" s="3">
        <v>-1.1546373E-2</v>
      </c>
      <c r="AB7" s="3">
        <v>4.6634673999999994E-3</v>
      </c>
      <c r="AC7" s="3">
        <v>-1.865232E-2</v>
      </c>
      <c r="AD7" s="3">
        <v>5.4455400000000001E-2</v>
      </c>
      <c r="AE7" s="3">
        <v>3.3777952E-2</v>
      </c>
      <c r="AF7" s="3">
        <v>-1.7080724000000002E-2</v>
      </c>
      <c r="AG7" s="3">
        <v>1.3937234999999999E-2</v>
      </c>
      <c r="AH7" s="3">
        <v>3.5296560000000005E-2</v>
      </c>
      <c r="AI7" s="3">
        <v>-2.1476209999999999E-2</v>
      </c>
      <c r="AJ7" s="3"/>
      <c r="AK7" s="3"/>
      <c r="AL7" s="3"/>
    </row>
    <row r="8" spans="1:38" x14ac:dyDescent="0.45">
      <c r="A8" s="2">
        <v>44434</v>
      </c>
      <c r="B8" s="3">
        <v>-5.9171320000000003E-3</v>
      </c>
      <c r="C8" s="3">
        <v>3.8605689999999998E-2</v>
      </c>
      <c r="D8" s="3">
        <v>1.1324525E-2</v>
      </c>
      <c r="E8" s="3">
        <v>7.7817559999999994E-2</v>
      </c>
      <c r="F8" s="3">
        <v>3.2603620999999999E-2</v>
      </c>
      <c r="G8" s="3">
        <v>-9.1166079999999997E-2</v>
      </c>
      <c r="H8" s="3">
        <v>4.3722390000000007E-2</v>
      </c>
      <c r="I8" s="3">
        <v>-1.0902225999999999E-2</v>
      </c>
      <c r="J8" s="3">
        <v>1.1694670000000001E-2</v>
      </c>
      <c r="K8" s="3">
        <v>-6.1757144999999999E-2</v>
      </c>
      <c r="L8" s="3">
        <v>-7.5975359999999992E-2</v>
      </c>
      <c r="M8" s="3">
        <v>8.3655120000000003E-3</v>
      </c>
      <c r="N8" s="3">
        <v>5.8014153999999998E-2</v>
      </c>
      <c r="O8" s="3">
        <v>3.9053798000000001E-2</v>
      </c>
      <c r="P8" s="3">
        <v>-2.4352193000000001E-2</v>
      </c>
      <c r="Q8" s="3">
        <v>4.3432235999999999E-2</v>
      </c>
      <c r="R8" s="3">
        <v>3.6767840000000003E-2</v>
      </c>
      <c r="S8" s="3">
        <v>0.10979079999999999</v>
      </c>
      <c r="T8" s="3">
        <v>5.4292917000000003E-2</v>
      </c>
      <c r="U8" s="3">
        <v>2.6068687000000003E-3</v>
      </c>
      <c r="V8" s="3">
        <v>3.3647655999999998E-2</v>
      </c>
      <c r="W8" s="3">
        <v>1.2054085999999999E-2</v>
      </c>
      <c r="X8" s="3">
        <v>-1.1188328000000001E-2</v>
      </c>
      <c r="Y8" s="3">
        <v>4.0628909999999999E-3</v>
      </c>
      <c r="Z8" s="3">
        <v>2.8917789999999997E-3</v>
      </c>
      <c r="AA8" s="3">
        <v>4.4369697999999998E-4</v>
      </c>
      <c r="AB8" s="3">
        <v>2.0585298999999998E-2</v>
      </c>
      <c r="AC8" s="3">
        <v>8.8902709999999999E-3</v>
      </c>
      <c r="AD8" s="3">
        <v>1.0665177999999999E-2</v>
      </c>
      <c r="AE8" s="3">
        <v>1.1881589999999999E-2</v>
      </c>
      <c r="AF8" s="3">
        <v>5.2659509999999996E-3</v>
      </c>
      <c r="AG8" s="3">
        <v>4.5077800000000001E-2</v>
      </c>
      <c r="AH8" s="3">
        <v>-2.3208022000000002E-2</v>
      </c>
      <c r="AI8" s="3">
        <v>6.4915420000000003E-3</v>
      </c>
      <c r="AJ8" s="3"/>
      <c r="AK8" s="3"/>
      <c r="AL8" s="3"/>
    </row>
    <row r="9" spans="1:38" x14ac:dyDescent="0.45">
      <c r="A9" s="2">
        <v>44463</v>
      </c>
      <c r="B9" s="3">
        <v>3.0952692E-3</v>
      </c>
      <c r="C9" s="3">
        <v>-2.6344240000000001E-2</v>
      </c>
      <c r="D9" s="3">
        <v>3.6027192999999999E-2</v>
      </c>
      <c r="E9" s="3">
        <v>1.6593933000000002E-4</v>
      </c>
      <c r="F9" s="3">
        <v>4.5108795000000003E-4</v>
      </c>
      <c r="G9" s="3">
        <v>3.8491487999999997E-2</v>
      </c>
      <c r="H9" s="3">
        <v>-3.1129956E-2</v>
      </c>
      <c r="I9" s="3">
        <v>2.2044777999999998E-2</v>
      </c>
      <c r="J9" s="3">
        <v>-8.1121920000000003E-4</v>
      </c>
      <c r="K9" s="3">
        <v>-2.3203491999999999E-2</v>
      </c>
      <c r="L9" s="3">
        <v>-7.1388903000000004E-2</v>
      </c>
      <c r="M9" s="3">
        <v>-1.2337743999999999E-2</v>
      </c>
      <c r="N9" s="3">
        <v>-3.5500883999999996E-2</v>
      </c>
      <c r="O9" s="3">
        <v>7.195008E-2</v>
      </c>
      <c r="P9" s="3">
        <v>-3.3376931999999998E-2</v>
      </c>
      <c r="Q9" s="3">
        <v>8.6294409999999998E-3</v>
      </c>
      <c r="R9" s="3">
        <v>1.8253207E-2</v>
      </c>
      <c r="S9" s="3">
        <v>-0.10278368</v>
      </c>
      <c r="T9" s="3">
        <v>1.2188196E-2</v>
      </c>
      <c r="U9" s="3">
        <v>1.8200754999999999E-2</v>
      </c>
      <c r="V9" s="3">
        <v>1.6276240000000001E-2</v>
      </c>
      <c r="W9" s="3">
        <v>2.1406649999999999E-2</v>
      </c>
      <c r="X9" s="3">
        <v>-1.1704981000000001E-2</v>
      </c>
      <c r="Y9" s="3">
        <v>-4.5858621999999996E-3</v>
      </c>
      <c r="Z9" s="3">
        <v>-2.0472883999999997E-2</v>
      </c>
      <c r="AA9" s="3">
        <v>7.3898909999999998E-2</v>
      </c>
      <c r="AB9" s="3">
        <v>-4.7854424E-2</v>
      </c>
      <c r="AC9" s="3">
        <v>-1.0331212999999999E-2</v>
      </c>
      <c r="AD9" s="3">
        <v>3.5779475999999999E-3</v>
      </c>
      <c r="AE9" s="3">
        <v>-2.0475388000000001E-3</v>
      </c>
      <c r="AF9" s="3">
        <v>6.0241219999999998E-3</v>
      </c>
      <c r="AG9" s="3">
        <v>1.2185692999999999E-2</v>
      </c>
      <c r="AH9" s="3">
        <v>-1.9344032000000001E-2</v>
      </c>
      <c r="AI9" s="3">
        <v>-1.5357137000000002E-3</v>
      </c>
      <c r="AJ9" s="3"/>
      <c r="AK9" s="3"/>
      <c r="AL9" s="3"/>
    </row>
    <row r="10" spans="1:38" x14ac:dyDescent="0.45">
      <c r="A10" s="2">
        <v>44495</v>
      </c>
      <c r="B10" s="3">
        <v>3.8215039999999999E-2</v>
      </c>
      <c r="C10" s="3">
        <v>-5.2260932999999996E-2</v>
      </c>
      <c r="D10" s="3">
        <v>0.14238714999999999</v>
      </c>
      <c r="E10" s="3">
        <v>6.8038583E-2</v>
      </c>
      <c r="F10" s="3">
        <v>5.3201080000000005E-2</v>
      </c>
      <c r="G10" s="3">
        <v>0.14039683</v>
      </c>
      <c r="H10" s="3">
        <v>5.2756905999999999E-2</v>
      </c>
      <c r="I10" s="3">
        <v>-1.3129115E-2</v>
      </c>
      <c r="J10" s="3">
        <v>9.7422600000000008E-3</v>
      </c>
      <c r="K10" s="3">
        <v>-5.8175325E-3</v>
      </c>
      <c r="L10" s="3">
        <v>-8.7944980000000006E-2</v>
      </c>
      <c r="M10" s="3">
        <v>5.1475286000000002E-2</v>
      </c>
      <c r="N10" s="3">
        <v>2.915454E-2</v>
      </c>
      <c r="O10" s="3">
        <v>-6.0105324000000006E-4</v>
      </c>
      <c r="P10" s="3">
        <v>6.7707539999999997E-2</v>
      </c>
      <c r="Q10" s="3">
        <v>4.3281317E-2</v>
      </c>
      <c r="R10" s="3">
        <v>2.95496E-3</v>
      </c>
      <c r="S10" s="3">
        <v>1.8138409000000001E-2</v>
      </c>
      <c r="T10" s="3">
        <v>2.0014048000000003E-3</v>
      </c>
      <c r="U10" s="3">
        <v>7.1501729999999993E-3</v>
      </c>
      <c r="V10" s="3">
        <v>5.8723690000000002E-2</v>
      </c>
      <c r="W10" s="3">
        <v>6.1455965000000003E-3</v>
      </c>
      <c r="X10" s="3">
        <v>5.2112103E-2</v>
      </c>
      <c r="Y10" s="3">
        <v>6.5582633000000001E-2</v>
      </c>
      <c r="Z10" s="3">
        <v>5.8877468000000002E-4</v>
      </c>
      <c r="AA10" s="3">
        <v>-5.7803509999999995E-2</v>
      </c>
      <c r="AB10" s="3">
        <v>2.6791215E-2</v>
      </c>
      <c r="AC10" s="3">
        <v>4.2984365999999996E-2</v>
      </c>
      <c r="AD10" s="3">
        <v>1.5509129E-2</v>
      </c>
      <c r="AE10" s="3">
        <v>2.7145147000000001E-2</v>
      </c>
      <c r="AF10" s="3">
        <v>1.1455297E-2</v>
      </c>
      <c r="AG10" s="3">
        <v>-4.0130614999999998E-3</v>
      </c>
      <c r="AH10" s="3">
        <v>3.5377382999999998E-2</v>
      </c>
      <c r="AI10" s="3">
        <v>3.3835769000000002E-2</v>
      </c>
      <c r="AJ10" s="3"/>
      <c r="AK10" s="3"/>
      <c r="AL10" s="3"/>
    </row>
    <row r="11" spans="1:38" x14ac:dyDescent="0.45">
      <c r="A11" s="2">
        <v>44526</v>
      </c>
      <c r="B11" s="3">
        <v>-1.4174758999999999E-2</v>
      </c>
      <c r="C11" s="3">
        <v>3.8326143999999999E-2</v>
      </c>
      <c r="D11" s="3">
        <v>-5.5532693999999994E-2</v>
      </c>
      <c r="E11" s="3">
        <v>-4.3504833999999997E-3</v>
      </c>
      <c r="F11" s="3">
        <v>-0.15325343999999999</v>
      </c>
      <c r="G11" s="3">
        <v>-8.3355189999999996E-2</v>
      </c>
      <c r="H11" s="3">
        <v>-7.8372360000000002E-2</v>
      </c>
      <c r="I11" s="3">
        <v>8.3940030000000006E-3</v>
      </c>
      <c r="J11" s="3">
        <v>-0.11095476</v>
      </c>
      <c r="K11" s="3">
        <v>-7.6435384999999995E-2</v>
      </c>
      <c r="L11" s="3">
        <v>-3.6405384999999998E-2</v>
      </c>
      <c r="M11" s="3">
        <v>-0.13088894000000001</v>
      </c>
      <c r="N11" s="3">
        <v>-9.631722999999999E-2</v>
      </c>
      <c r="O11" s="3">
        <v>-5.4330469999999999E-2</v>
      </c>
      <c r="P11" s="3">
        <v>-7.2272179999999991E-2</v>
      </c>
      <c r="Q11" s="3">
        <v>-2.4602056000000001E-2</v>
      </c>
      <c r="R11" s="3">
        <v>-1.5501499E-2</v>
      </c>
      <c r="S11" s="3">
        <v>-8.5794630000000011E-2</v>
      </c>
      <c r="T11" s="3">
        <v>9.5531699999999997E-2</v>
      </c>
      <c r="U11" s="3">
        <v>4.8681616999999996E-2</v>
      </c>
      <c r="V11" s="3">
        <v>-8.228284000000001E-2</v>
      </c>
      <c r="W11" s="3">
        <v>-9.1589630000000005E-2</v>
      </c>
      <c r="X11" s="3">
        <v>-7.8424034000000004E-2</v>
      </c>
      <c r="Y11" s="3">
        <v>-2.8738557999999997E-2</v>
      </c>
      <c r="Z11" s="3">
        <v>-5.9429290000000003E-2</v>
      </c>
      <c r="AA11" s="3">
        <v>-2.1910607999999998E-2</v>
      </c>
      <c r="AB11" s="3">
        <v>-2.2248626E-3</v>
      </c>
      <c r="AC11" s="3">
        <v>-5.5637302E-2</v>
      </c>
      <c r="AD11" s="3">
        <v>3.1863332000000001E-2</v>
      </c>
      <c r="AE11" s="3">
        <v>6.6014530000000002E-3</v>
      </c>
      <c r="AF11" s="3">
        <v>-2.9343604999999998E-2</v>
      </c>
      <c r="AG11" s="3">
        <v>-5.2187203999999994E-2</v>
      </c>
      <c r="AH11" s="3">
        <v>-7.7034592999999998E-2</v>
      </c>
      <c r="AI11" s="3">
        <v>-5.8911084999999995E-2</v>
      </c>
      <c r="AJ11" s="3"/>
      <c r="AK11" s="3"/>
      <c r="AL11" s="3"/>
    </row>
    <row r="12" spans="1:38" x14ac:dyDescent="0.45">
      <c r="A12" s="2">
        <v>44553</v>
      </c>
      <c r="B12" s="3">
        <v>2.1381260000000003E-2</v>
      </c>
      <c r="C12" s="3">
        <v>-0.12338173</v>
      </c>
      <c r="D12" s="3">
        <v>7.5048210000000001E-3</v>
      </c>
      <c r="E12" s="3">
        <v>9.9425316000000003E-3</v>
      </c>
      <c r="F12" s="3">
        <v>5.0600766999999998E-2</v>
      </c>
      <c r="G12" s="3">
        <v>5.6702019999999999E-2</v>
      </c>
      <c r="H12" s="3">
        <v>2.5690794000000003E-2</v>
      </c>
      <c r="I12" s="3">
        <v>6.0775040000000002E-2</v>
      </c>
      <c r="J12" s="3">
        <v>0.14004731000000001</v>
      </c>
      <c r="K12" s="3">
        <v>6.2096476999999997E-2</v>
      </c>
      <c r="L12" s="3">
        <v>1.0491490000000001E-2</v>
      </c>
      <c r="M12" s="3">
        <v>0.10985875000000001</v>
      </c>
      <c r="N12" s="3">
        <v>5.6034446000000002E-2</v>
      </c>
      <c r="O12" s="3">
        <v>1.7595409999999999E-2</v>
      </c>
      <c r="P12" s="3">
        <v>-4.2202830000000004E-2</v>
      </c>
      <c r="Q12" s="3">
        <v>2.000451E-2</v>
      </c>
      <c r="R12" s="3">
        <v>1.6521691999999998E-2</v>
      </c>
      <c r="S12" s="3">
        <v>7.6580999999999996E-2</v>
      </c>
      <c r="T12" s="3">
        <v>3.8778781999999998E-4</v>
      </c>
      <c r="U12" s="3">
        <v>4.0329694999999997E-3</v>
      </c>
      <c r="V12" s="3">
        <v>3.3324479999999997E-2</v>
      </c>
      <c r="W12" s="3">
        <v>2.8234959E-2</v>
      </c>
      <c r="X12" s="3">
        <v>4.5835853000000003E-2</v>
      </c>
      <c r="Y12" s="3">
        <v>6.5783259999999998E-3</v>
      </c>
      <c r="Z12" s="3">
        <v>2.8969526000000002E-2</v>
      </c>
      <c r="AA12" s="3">
        <v>1.9935965999999999E-2</v>
      </c>
      <c r="AB12" s="3">
        <v>5.6355120000000002E-2</v>
      </c>
      <c r="AC12" s="3">
        <v>5.3793790000000001E-2</v>
      </c>
      <c r="AD12" s="3">
        <v>1.5931367999999998E-2</v>
      </c>
      <c r="AE12" s="3">
        <v>2.8988003999999998E-2</v>
      </c>
      <c r="AF12" s="3">
        <v>5.0282597999999998E-2</v>
      </c>
      <c r="AG12" s="3">
        <v>1.0834217E-2</v>
      </c>
      <c r="AH12" s="3">
        <v>5.4131627000000002E-2</v>
      </c>
      <c r="AI12" s="3">
        <v>4.1494966000000001E-2</v>
      </c>
      <c r="AJ12" s="3"/>
      <c r="AK12" s="3"/>
      <c r="AL12" s="3"/>
    </row>
    <row r="13" spans="1:38" x14ac:dyDescent="0.45">
      <c r="A13" s="2">
        <v>44587</v>
      </c>
      <c r="B13" s="3">
        <v>-5.7286919999999998E-2</v>
      </c>
      <c r="C13" s="3">
        <v>0.13253975000000001</v>
      </c>
      <c r="D13" s="3">
        <v>-4.3534635999999995E-3</v>
      </c>
      <c r="E13" s="3">
        <v>-3.1017423000000002E-2</v>
      </c>
      <c r="F13" s="3">
        <v>-4.3774247000000002E-3</v>
      </c>
      <c r="G13" s="3">
        <v>0.12005544</v>
      </c>
      <c r="H13" s="3">
        <v>-9.4689726999999998E-3</v>
      </c>
      <c r="I13" s="3">
        <v>-2.8145492000000001E-2</v>
      </c>
      <c r="J13" s="3">
        <v>-3.8012862000000001E-2</v>
      </c>
      <c r="K13" s="3">
        <v>-9.7372054999999999E-2</v>
      </c>
      <c r="L13" s="3">
        <v>0.11448669</v>
      </c>
      <c r="M13" s="3">
        <v>3.1323671000000004E-2</v>
      </c>
      <c r="N13" s="3">
        <v>4.6119329999999993E-2</v>
      </c>
      <c r="O13" s="3">
        <v>-1.2211441999999999E-2</v>
      </c>
      <c r="P13" s="3">
        <v>-2.4709045999999998E-2</v>
      </c>
      <c r="Q13" s="3">
        <v>5.8536409999999997E-2</v>
      </c>
      <c r="R13" s="3">
        <v>3.7990807999999997E-3</v>
      </c>
      <c r="S13" s="3">
        <v>-8.4689029999999998E-2</v>
      </c>
      <c r="T13" s="3">
        <v>3.2218099E-2</v>
      </c>
      <c r="U13" s="3">
        <v>-6.4375580000000002E-2</v>
      </c>
      <c r="V13" s="3">
        <v>8.3676220000000009E-2</v>
      </c>
      <c r="W13" s="3">
        <v>-8.6738170000000003E-2</v>
      </c>
      <c r="X13" s="3">
        <v>-7.2734174999999998E-2</v>
      </c>
      <c r="Y13" s="3">
        <v>-1.6337276000000001E-2</v>
      </c>
      <c r="Z13" s="3">
        <v>-3.0170620000000002E-2</v>
      </c>
      <c r="AA13" s="3">
        <v>-5.9198855999999994E-2</v>
      </c>
      <c r="AB13" s="3">
        <v>-7.2538853E-2</v>
      </c>
      <c r="AC13" s="3">
        <v>1.7629147000000001E-2</v>
      </c>
      <c r="AD13" s="3">
        <v>-0.13189059</v>
      </c>
      <c r="AE13" s="3">
        <v>-7.9090540000000001E-2</v>
      </c>
      <c r="AF13" s="3">
        <v>-3.1136512999999998E-2</v>
      </c>
      <c r="AG13" s="3">
        <v>-9.005022E-2</v>
      </c>
      <c r="AH13" s="3">
        <v>-8.8922979999999999E-2</v>
      </c>
      <c r="AI13" s="3">
        <v>-1.8780768E-2</v>
      </c>
      <c r="AJ13" s="3"/>
      <c r="AK13" s="3"/>
      <c r="AL13" s="3"/>
    </row>
    <row r="14" spans="1:38" x14ac:dyDescent="0.45">
      <c r="A14" s="2">
        <v>44617</v>
      </c>
      <c r="B14" s="3">
        <v>-6.8060160000000007E-3</v>
      </c>
      <c r="C14" s="3">
        <v>1.5282153999999999E-2</v>
      </c>
      <c r="D14" s="3">
        <v>7.3021409999999995E-2</v>
      </c>
      <c r="E14" s="3">
        <v>4.0012835999999996E-2</v>
      </c>
      <c r="F14" s="3">
        <v>-9.8680920000000005E-2</v>
      </c>
      <c r="G14" s="3">
        <v>6.2887310000000002E-2</v>
      </c>
      <c r="H14" s="3">
        <v>6.5669180000000008E-2</v>
      </c>
      <c r="I14" s="3">
        <v>2.9742718E-3</v>
      </c>
      <c r="J14" s="3">
        <v>4.6832440000000003E-2</v>
      </c>
      <c r="K14" s="3">
        <v>2.1940946999999999E-2</v>
      </c>
      <c r="L14" s="3">
        <v>7.5121999999999994E-2</v>
      </c>
      <c r="M14" s="3">
        <v>8.5708380000000001E-2</v>
      </c>
      <c r="N14" s="3">
        <v>5.2555322999999994E-2</v>
      </c>
      <c r="O14" s="3">
        <v>-9.4339850000000006E-3</v>
      </c>
      <c r="P14" s="3">
        <v>-3.1219363000000003E-2</v>
      </c>
      <c r="Q14" s="3">
        <v>3.2459259999999997E-2</v>
      </c>
      <c r="R14" s="3">
        <v>2.2185206000000002E-2</v>
      </c>
      <c r="S14" s="3">
        <v>-4.7045350000000001E-3</v>
      </c>
      <c r="T14" s="3">
        <v>3.1812787000000002E-2</v>
      </c>
      <c r="U14" s="3">
        <v>1.3450623E-2</v>
      </c>
      <c r="V14" s="3">
        <v>2.4034141999999998E-2</v>
      </c>
      <c r="W14" s="3">
        <v>1.7429471000000002E-2</v>
      </c>
      <c r="X14" s="3">
        <v>5.3959965999999998E-2</v>
      </c>
      <c r="Y14" s="3">
        <v>2.1966220000000002E-2</v>
      </c>
      <c r="Z14" s="3">
        <v>-4.9004079999999998E-2</v>
      </c>
      <c r="AA14" s="3">
        <v>2.2078753000000003E-3</v>
      </c>
      <c r="AB14" s="3">
        <v>-8.276701E-4</v>
      </c>
      <c r="AC14" s="3">
        <v>2.2102832999999999E-2</v>
      </c>
      <c r="AD14" s="3">
        <v>3.4825801999999999E-3</v>
      </c>
      <c r="AE14" s="3">
        <v>1.0083556E-2</v>
      </c>
      <c r="AF14" s="3">
        <v>-1.8211067000000001E-2</v>
      </c>
      <c r="AG14" s="3">
        <v>-3.4459949000000004E-2</v>
      </c>
      <c r="AH14" s="3">
        <v>-6.3132523999999995E-2</v>
      </c>
      <c r="AI14" s="3">
        <v>-1.5688717000000001E-2</v>
      </c>
      <c r="AJ14" s="3"/>
      <c r="AK14" s="3"/>
      <c r="AL14" s="3"/>
    </row>
    <row r="15" spans="1:38" x14ac:dyDescent="0.45">
      <c r="A15" s="2">
        <v>44645</v>
      </c>
      <c r="B15" s="3">
        <v>-0.10156637</v>
      </c>
      <c r="C15" s="3">
        <v>0.14936315999999999</v>
      </c>
      <c r="D15" s="3">
        <v>1.0187507E-2</v>
      </c>
      <c r="E15" s="3">
        <v>-5.632508E-2</v>
      </c>
      <c r="F15" s="3">
        <v>8.6721179999999995E-3</v>
      </c>
      <c r="G15" s="3">
        <v>9.8804950000000002E-2</v>
      </c>
      <c r="H15" s="3">
        <v>1.2480497E-2</v>
      </c>
      <c r="I15" s="3">
        <v>-3.5273909999999999E-2</v>
      </c>
      <c r="J15" s="3">
        <v>7.0101857000000004E-2</v>
      </c>
      <c r="K15" s="3">
        <v>-3.4269273000000003E-2</v>
      </c>
      <c r="L15" s="3">
        <v>0.14004827</v>
      </c>
      <c r="M15" s="3">
        <v>5.9206724000000002E-2</v>
      </c>
      <c r="N15" s="3">
        <v>-0.11225897</v>
      </c>
      <c r="O15" s="3">
        <v>3.4013987000000002E-3</v>
      </c>
      <c r="P15" s="3">
        <v>-0.10426861000000001</v>
      </c>
      <c r="Q15" s="3">
        <v>8.2071900000000003E-2</v>
      </c>
      <c r="R15" s="3">
        <v>-1.8453597999999998E-3</v>
      </c>
      <c r="S15" s="3">
        <v>4.7794103999999997E-2</v>
      </c>
      <c r="T15" s="3">
        <v>8.9586849999999996E-2</v>
      </c>
      <c r="U15" s="3">
        <v>-2.2460460000000002E-2</v>
      </c>
      <c r="V15" s="3">
        <v>4.6940090000000004E-2</v>
      </c>
      <c r="W15" s="3">
        <v>1.9604205999999999E-2</v>
      </c>
      <c r="X15" s="3">
        <v>9.4137079999999998E-2</v>
      </c>
      <c r="Y15" s="3">
        <v>6.3958050000000002E-2</v>
      </c>
      <c r="Z15" s="3">
        <v>-5.8843079999999999E-2</v>
      </c>
      <c r="AA15" s="3">
        <v>-1.2745857000000001E-2</v>
      </c>
      <c r="AB15" s="3">
        <v>1.0768294000000001E-2</v>
      </c>
      <c r="AC15" s="3">
        <v>-1.0520160000000001E-2</v>
      </c>
      <c r="AD15" s="3">
        <v>4.0562152999999997E-2</v>
      </c>
      <c r="AE15" s="3">
        <v>3.7306905000000001E-2</v>
      </c>
      <c r="AF15" s="3">
        <v>-4.8281489999999996E-2</v>
      </c>
      <c r="AG15" s="3">
        <v>-2.5623380000000001E-2</v>
      </c>
      <c r="AH15" s="3">
        <v>-7.7170130000000006E-4</v>
      </c>
      <c r="AI15" s="3">
        <v>-7.4593543999999998E-2</v>
      </c>
      <c r="AJ15" s="3"/>
      <c r="AK15" s="3"/>
      <c r="AL15" s="3"/>
    </row>
    <row r="16" spans="1:38" x14ac:dyDescent="0.45">
      <c r="A16" s="2">
        <v>44677</v>
      </c>
      <c r="B16" s="3">
        <v>-0.1470989</v>
      </c>
      <c r="C16" s="3">
        <v>-0.14607120000000001</v>
      </c>
      <c r="D16" s="3">
        <v>1.2908459000000001E-2</v>
      </c>
      <c r="E16" s="3">
        <v>-3.5225034000000002E-2</v>
      </c>
      <c r="F16" s="3">
        <v>-0.13111233999999999</v>
      </c>
      <c r="G16" s="3">
        <v>-0.1729443</v>
      </c>
      <c r="H16" s="3">
        <v>-5.2388250000000004E-2</v>
      </c>
      <c r="I16" s="3">
        <v>-0.10402846</v>
      </c>
      <c r="J16" s="3">
        <v>-5.9163930000000003E-2</v>
      </c>
      <c r="K16" s="3">
        <v>-7.1825559999999997E-2</v>
      </c>
      <c r="L16" s="3">
        <v>-0.13557964</v>
      </c>
      <c r="M16" s="3">
        <v>-0.14779299999999998</v>
      </c>
      <c r="N16" s="3">
        <v>5.0038695000000001E-2</v>
      </c>
      <c r="O16" s="3">
        <v>-8.8135599999999998E-3</v>
      </c>
      <c r="P16" s="3">
        <v>-0.12412882</v>
      </c>
      <c r="Q16" s="3">
        <v>-1.1924326000000001E-2</v>
      </c>
      <c r="R16" s="3">
        <v>-4.6696662999999999E-3</v>
      </c>
      <c r="S16" s="3">
        <v>0.11278199999999999</v>
      </c>
      <c r="T16" s="3">
        <v>-6.9406630000000006E-3</v>
      </c>
      <c r="U16" s="3">
        <v>-0.12689299000000001</v>
      </c>
      <c r="V16" s="3">
        <v>2.9122113999999998E-2</v>
      </c>
      <c r="W16" s="3">
        <v>-9.0386389999999997E-2</v>
      </c>
      <c r="X16" s="3">
        <v>-7.9245270000000007E-2</v>
      </c>
      <c r="Y16" s="3">
        <v>-8.8199079999999999E-2</v>
      </c>
      <c r="Z16" s="3">
        <v>-8.7248329999999999E-2</v>
      </c>
      <c r="AA16" s="3">
        <v>-0.10663055999999999</v>
      </c>
      <c r="AB16" s="3">
        <v>-5.388242E-2</v>
      </c>
      <c r="AC16" s="3">
        <v>-6.2315407000000003E-2</v>
      </c>
      <c r="AD16" s="3">
        <v>-0.11746204</v>
      </c>
      <c r="AE16" s="3">
        <v>-8.082795000000001E-2</v>
      </c>
      <c r="AF16" s="3">
        <v>-5.5316744000000001E-2</v>
      </c>
      <c r="AG16" s="3">
        <v>-0.10213661</v>
      </c>
      <c r="AH16" s="3">
        <v>-9.0604779999999996E-2</v>
      </c>
      <c r="AI16" s="3">
        <v>-6.3382682999999995E-2</v>
      </c>
      <c r="AJ16" s="3"/>
      <c r="AK16" s="3"/>
      <c r="AL16" s="3"/>
    </row>
    <row r="17" spans="1:38" x14ac:dyDescent="0.45">
      <c r="A17" s="2">
        <v>44707</v>
      </c>
      <c r="B17" s="3">
        <v>6.7710039999999999E-2</v>
      </c>
      <c r="C17" s="3">
        <v>0.17734957000000001</v>
      </c>
      <c r="D17" s="3">
        <v>-4.61967E-2</v>
      </c>
      <c r="E17" s="3">
        <v>-1.3184547E-2</v>
      </c>
      <c r="F17" s="3">
        <v>1.4842272E-2</v>
      </c>
      <c r="G17" s="3">
        <v>-1.1545897000000001E-2</v>
      </c>
      <c r="H17" s="3">
        <v>-2.2764205999999999E-2</v>
      </c>
      <c r="I17" s="3">
        <v>-8.4868670000000004E-3</v>
      </c>
      <c r="J17" s="3">
        <v>3.0946254999999999E-2</v>
      </c>
      <c r="K17" s="3">
        <v>2.1956086E-2</v>
      </c>
      <c r="L17" s="3">
        <v>8.9625470000000013E-2</v>
      </c>
      <c r="M17" s="3">
        <v>-3.3963323000000003E-3</v>
      </c>
      <c r="N17" s="3">
        <v>-1.7362356000000002E-2</v>
      </c>
      <c r="O17" s="3">
        <v>-6.3383460000000003E-2</v>
      </c>
      <c r="P17" s="3">
        <v>7.4623703999999999E-2</v>
      </c>
      <c r="Q17" s="3">
        <v>-4.9105287000000004E-2</v>
      </c>
      <c r="R17" s="3">
        <v>-2.1114826E-2</v>
      </c>
      <c r="S17" s="3">
        <v>-7.4774740000000006E-2</v>
      </c>
      <c r="T17" s="3">
        <v>-9.4085990000000008E-2</v>
      </c>
      <c r="U17" s="3">
        <v>-5.8612404E-2</v>
      </c>
      <c r="V17" s="3">
        <v>-7.2068333999999998E-2</v>
      </c>
      <c r="W17" s="3">
        <v>-6.0450372999999995E-2</v>
      </c>
      <c r="X17" s="3">
        <v>1.2295246000000001E-3</v>
      </c>
      <c r="Y17" s="3">
        <v>5.4037569999999997E-4</v>
      </c>
      <c r="Z17" s="3">
        <v>4.3730616999999999E-2</v>
      </c>
      <c r="AA17" s="3">
        <v>3.4611940000000001E-2</v>
      </c>
      <c r="AB17" s="3">
        <v>-2.2087514000000003E-2</v>
      </c>
      <c r="AC17" s="3">
        <v>4.0944814999999996E-2</v>
      </c>
      <c r="AD17" s="3">
        <v>-5.6158247000000001E-2</v>
      </c>
      <c r="AE17" s="3">
        <v>-2.5931299000000001E-2</v>
      </c>
      <c r="AF17" s="3">
        <v>3.0036450000000003E-2</v>
      </c>
      <c r="AG17" s="3">
        <v>6.2761307000000002E-3</v>
      </c>
      <c r="AH17" s="3">
        <v>1.3869165999999999E-2</v>
      </c>
      <c r="AI17" s="3">
        <v>6.1419606000000002E-2</v>
      </c>
      <c r="AJ17" s="3"/>
      <c r="AK17" s="3"/>
      <c r="AL17" s="3"/>
    </row>
    <row r="18" spans="1:38" x14ac:dyDescent="0.45">
      <c r="A18" s="2">
        <v>44736</v>
      </c>
      <c r="B18" s="3">
        <v>0.11965263</v>
      </c>
      <c r="C18" s="3">
        <v>-0.14747953</v>
      </c>
      <c r="D18" s="3">
        <v>-1.5535175999999999E-2</v>
      </c>
      <c r="E18" s="3">
        <v>-0.11681746999999999</v>
      </c>
      <c r="F18" s="3">
        <v>-0.104047</v>
      </c>
      <c r="G18" s="3">
        <v>-0.11315023</v>
      </c>
      <c r="H18" s="3">
        <v>-6.6571654999999993E-2</v>
      </c>
      <c r="I18" s="3">
        <v>-3.8608610000000002E-2</v>
      </c>
      <c r="J18" s="3">
        <v>-7.5312669999999998E-2</v>
      </c>
      <c r="K18" s="3">
        <v>-0.10606968</v>
      </c>
      <c r="L18" s="3">
        <v>-0.19731551999999999</v>
      </c>
      <c r="M18" s="3">
        <v>-3.6839426000000002E-2</v>
      </c>
      <c r="N18" s="3">
        <v>-7.0300760000000004E-2</v>
      </c>
      <c r="O18" s="3">
        <v>-2.7750789999999997E-2</v>
      </c>
      <c r="P18" s="3">
        <v>0.12340522</v>
      </c>
      <c r="Q18" s="3">
        <v>-7.0927860000000009E-2</v>
      </c>
      <c r="R18" s="3">
        <v>-3.9767861000000002E-2</v>
      </c>
      <c r="S18" s="3">
        <v>-3.5205542999999999E-2</v>
      </c>
      <c r="T18" s="3">
        <v>-6.4724627000000007E-2</v>
      </c>
      <c r="U18" s="3">
        <v>-6.0355783000000003E-2</v>
      </c>
      <c r="V18" s="3">
        <v>-9.1858979999999993E-2</v>
      </c>
      <c r="W18" s="3">
        <v>-3.5492300000000004E-2</v>
      </c>
      <c r="X18" s="3">
        <v>-8.685416E-2</v>
      </c>
      <c r="Y18" s="3">
        <v>-7.6885579999999995E-2</v>
      </c>
      <c r="Z18" s="3">
        <v>-8.5282800000000006E-2</v>
      </c>
      <c r="AA18" s="3">
        <v>-6.4918813999999991E-2</v>
      </c>
      <c r="AB18" s="3">
        <v>-5.4613532999999999E-2</v>
      </c>
      <c r="AC18" s="3">
        <v>-6.3910303000000002E-2</v>
      </c>
      <c r="AD18" s="3">
        <v>-1.3921797E-2</v>
      </c>
      <c r="AE18" s="3">
        <v>-3.3428192000000002E-2</v>
      </c>
      <c r="AF18" s="3">
        <v>-5.6320189999999999E-2</v>
      </c>
      <c r="AG18" s="3">
        <v>-5.8520079999999995E-2</v>
      </c>
      <c r="AH18" s="3">
        <v>-8.8254340000000001E-2</v>
      </c>
      <c r="AI18" s="3">
        <v>-0.10144586</v>
      </c>
      <c r="AJ18" s="3"/>
      <c r="AK18" s="3"/>
      <c r="AL18" s="3"/>
    </row>
    <row r="19" spans="1:38" x14ac:dyDescent="0.45">
      <c r="A19" s="2">
        <v>44768</v>
      </c>
      <c r="B19" s="3">
        <v>-4.7376870000000001E-2</v>
      </c>
      <c r="C19" s="3">
        <v>3.6267279999999999E-2</v>
      </c>
      <c r="D19" s="3">
        <v>-3.2688200000000001E-2</v>
      </c>
      <c r="E19" s="3">
        <v>-1.4521121999999999E-2</v>
      </c>
      <c r="F19" s="3">
        <v>-6.8634152000000004E-2</v>
      </c>
      <c r="G19" s="3">
        <v>-3.0728399999999999E-2</v>
      </c>
      <c r="H19" s="3">
        <v>-3.6380289999999997E-3</v>
      </c>
      <c r="I19" s="3">
        <v>-5.2093210000000001E-2</v>
      </c>
      <c r="J19" s="3">
        <v>-4.4791936999999997E-2</v>
      </c>
      <c r="K19" s="3">
        <v>-1.4621854E-2</v>
      </c>
      <c r="L19" s="3">
        <v>-4.7794579999999994E-3</v>
      </c>
      <c r="M19" s="3">
        <v>-6.1496734999999997E-2</v>
      </c>
      <c r="N19" s="3">
        <v>-6.8392460000000002E-2</v>
      </c>
      <c r="O19" s="3">
        <v>1.4271378999999999E-2</v>
      </c>
      <c r="P19" s="3">
        <v>-7.9376459999999996E-2</v>
      </c>
      <c r="Q19" s="3">
        <v>5.6403519999999999E-2</v>
      </c>
      <c r="R19" s="3">
        <v>-9.9313854999999989E-3</v>
      </c>
      <c r="S19" s="3">
        <v>-2.1795511E-2</v>
      </c>
      <c r="T19" s="3">
        <v>4.4127226000000006E-2</v>
      </c>
      <c r="U19" s="3">
        <v>-3.0425965999999999E-2</v>
      </c>
      <c r="V19" s="3">
        <v>3.5288452999999997E-2</v>
      </c>
      <c r="W19" s="3">
        <v>2.205491E-3</v>
      </c>
      <c r="X19" s="3">
        <v>6.0156584000000003E-3</v>
      </c>
      <c r="Y19" s="3">
        <v>-4.7155619999999995E-3</v>
      </c>
      <c r="Z19" s="3">
        <v>-6.3518643E-2</v>
      </c>
      <c r="AA19" s="3">
        <v>7.2625874999999998E-3</v>
      </c>
      <c r="AB19" s="3">
        <v>1.0277270999999999E-2</v>
      </c>
      <c r="AC19" s="3">
        <v>-1.6458212999999999E-2</v>
      </c>
      <c r="AD19" s="3">
        <v>-8.1461670000000002E-4</v>
      </c>
      <c r="AE19" s="3">
        <v>2.0766258000000002E-3</v>
      </c>
      <c r="AF19" s="3">
        <v>-3.1491039999999998E-2</v>
      </c>
      <c r="AG19" s="3">
        <v>7.2708130000000001E-3</v>
      </c>
      <c r="AH19" s="3">
        <v>-3.4656524999999998E-3</v>
      </c>
      <c r="AI19" s="3">
        <v>-9.0620039999999999E-2</v>
      </c>
      <c r="AJ19" s="3"/>
      <c r="AK19" s="3"/>
      <c r="AL19" s="3"/>
    </row>
    <row r="20" spans="1:38" x14ac:dyDescent="0.45">
      <c r="A20" s="2">
        <v>44799</v>
      </c>
      <c r="B20" s="3">
        <v>-3.7651002000000003E-2</v>
      </c>
      <c r="C20" s="3">
        <v>9.6736070000000007E-2</v>
      </c>
      <c r="D20" s="3">
        <v>4.7576666000000004E-2</v>
      </c>
      <c r="E20" s="3">
        <v>7.3675749999999998E-2</v>
      </c>
      <c r="F20" s="3">
        <v>-5.2321315000000007E-2</v>
      </c>
      <c r="G20" s="3">
        <v>3.287673E-2</v>
      </c>
      <c r="H20" s="3">
        <v>1.8712877999999999E-2</v>
      </c>
      <c r="I20" s="3">
        <v>1.5987157999999998E-2</v>
      </c>
      <c r="J20" s="3">
        <v>2.9418350000000003E-2</v>
      </c>
      <c r="K20" s="3">
        <v>-1.2621581999999999E-2</v>
      </c>
      <c r="L20" s="3">
        <v>0.18248976</v>
      </c>
      <c r="M20" s="3">
        <v>2.6258707000000003E-2</v>
      </c>
      <c r="N20" s="3">
        <v>4.6562195000000001E-2</v>
      </c>
      <c r="O20" s="3">
        <v>5.1839112999999999E-2</v>
      </c>
      <c r="P20" s="3">
        <v>-1.9462824E-2</v>
      </c>
      <c r="Q20" s="3">
        <v>6.6548585999999993E-2</v>
      </c>
      <c r="R20" s="3">
        <v>5.8975815999999993E-2</v>
      </c>
      <c r="S20" s="3">
        <v>0.18302382</v>
      </c>
      <c r="T20" s="3">
        <v>3.1081319999999999E-2</v>
      </c>
      <c r="U20" s="3">
        <v>6.9735050000000007E-2</v>
      </c>
      <c r="V20" s="3">
        <v>6.7936063000000005E-2</v>
      </c>
      <c r="W20" s="3">
        <v>1.9586325000000002E-2</v>
      </c>
      <c r="X20" s="3">
        <v>3.2198787E-2</v>
      </c>
      <c r="Y20" s="3">
        <v>3.5238385000000004E-2</v>
      </c>
      <c r="Z20" s="3">
        <v>-3.4805893999999997E-2</v>
      </c>
      <c r="AA20" s="3">
        <v>6.4706799999999995E-3</v>
      </c>
      <c r="AB20" s="3">
        <v>-2.3420930000000003E-2</v>
      </c>
      <c r="AC20" s="3">
        <v>-4.0160418E-3</v>
      </c>
      <c r="AD20" s="3">
        <v>4.4399977E-2</v>
      </c>
      <c r="AE20" s="3">
        <v>3.6890149999999997E-2</v>
      </c>
      <c r="AF20" s="3">
        <v>-5.640328E-3</v>
      </c>
      <c r="AG20" s="3">
        <v>-2.7484774999999999E-2</v>
      </c>
      <c r="AH20" s="3">
        <v>-3.9203285999999997E-2</v>
      </c>
      <c r="AI20" s="3">
        <v>1.8356681E-2</v>
      </c>
      <c r="AJ20" s="3"/>
      <c r="AK20" s="3"/>
      <c r="AL20" s="3"/>
    </row>
    <row r="21" spans="1:38" x14ac:dyDescent="0.45">
      <c r="A21" s="2">
        <v>44830</v>
      </c>
      <c r="B21" s="3">
        <v>-0.10102187999999999</v>
      </c>
      <c r="C21" s="3">
        <v>-0.15023302999999999</v>
      </c>
      <c r="D21" s="3">
        <v>8.9133979999999995E-3</v>
      </c>
      <c r="E21" s="3">
        <v>-0.12314539999999999</v>
      </c>
      <c r="F21" s="3">
        <v>-0.13763607</v>
      </c>
      <c r="G21" s="3">
        <v>-0.11140579</v>
      </c>
      <c r="H21" s="3">
        <v>-7.8405023000000004E-2</v>
      </c>
      <c r="I21" s="3">
        <v>-0.12234460999999999</v>
      </c>
      <c r="J21" s="3">
        <v>-5.8659195999999997E-2</v>
      </c>
      <c r="K21" s="3">
        <v>-0.14458453999999998</v>
      </c>
      <c r="L21" s="3">
        <v>-8.4973389999999996E-2</v>
      </c>
      <c r="M21" s="3">
        <v>-0.15352105999999999</v>
      </c>
      <c r="N21" s="3">
        <v>-0.13596666000000002</v>
      </c>
      <c r="O21" s="3">
        <v>-4.1774215999999996E-2</v>
      </c>
      <c r="P21" s="3">
        <v>-0.130805855</v>
      </c>
      <c r="Q21" s="3">
        <v>-0.10553635</v>
      </c>
      <c r="R21" s="3">
        <v>-1.4305890000000002E-2</v>
      </c>
      <c r="S21" s="3">
        <v>3.1838655E-2</v>
      </c>
      <c r="T21" s="3">
        <v>-7.8968762999999997E-2</v>
      </c>
      <c r="U21" s="3">
        <v>-0.11408085</v>
      </c>
      <c r="V21" s="3">
        <v>-0.13427246000000001</v>
      </c>
      <c r="W21" s="3">
        <v>-8.4178739999999988E-2</v>
      </c>
      <c r="X21" s="3">
        <v>-0.11809264999999999</v>
      </c>
      <c r="Y21" s="3">
        <v>-0.12099541</v>
      </c>
      <c r="Z21" s="3">
        <v>-8.5991619999999991E-2</v>
      </c>
      <c r="AA21" s="3">
        <v>-9.5701690000000006E-2</v>
      </c>
      <c r="AB21" s="3">
        <v>-0.10440886000000001</v>
      </c>
      <c r="AC21" s="3">
        <v>-0.13373654999999998</v>
      </c>
      <c r="AD21" s="3">
        <v>-0.10597574</v>
      </c>
      <c r="AE21" s="3">
        <v>-9.7435469999999996E-2</v>
      </c>
      <c r="AF21" s="3">
        <v>-0.11177837</v>
      </c>
      <c r="AG21" s="3">
        <v>-0.12617749</v>
      </c>
      <c r="AH21" s="3">
        <v>-0.12339586000000001</v>
      </c>
      <c r="AI21" s="3">
        <v>-6.6094399999999998E-2</v>
      </c>
      <c r="AJ21" s="3"/>
      <c r="AK21" s="3"/>
      <c r="AL21" s="3"/>
    </row>
    <row r="22" spans="1:38" x14ac:dyDescent="0.45">
      <c r="A22" s="2">
        <v>44860</v>
      </c>
      <c r="B22" s="3">
        <v>-3.6700248999999997E-2</v>
      </c>
      <c r="C22" s="3">
        <v>5.4008364999999996E-2</v>
      </c>
      <c r="D22" s="3">
        <v>-5.0483940000000003E-3</v>
      </c>
      <c r="E22" s="3">
        <v>1.0152220999999999E-2</v>
      </c>
      <c r="F22" s="3">
        <v>9.5581530000000012E-2</v>
      </c>
      <c r="G22" s="3">
        <v>0.14371001999999999</v>
      </c>
      <c r="H22" s="3">
        <v>2.1390438000000001E-2</v>
      </c>
      <c r="I22" s="3">
        <v>-6.4769149999999998E-2</v>
      </c>
      <c r="J22" s="3">
        <v>0.12828123</v>
      </c>
      <c r="K22" s="3">
        <v>4.0589570000000005E-2</v>
      </c>
      <c r="L22" s="3">
        <v>4.8139333999999999E-2</v>
      </c>
      <c r="M22" s="3">
        <v>7.5707197000000004E-2</v>
      </c>
      <c r="N22" s="3">
        <v>0.16773819000000001</v>
      </c>
      <c r="O22" s="3">
        <v>3.5268187999999999E-2</v>
      </c>
      <c r="P22" s="3">
        <v>-0.12468600000000001</v>
      </c>
      <c r="Q22" s="3">
        <v>1.6440988E-2</v>
      </c>
      <c r="R22" s="3">
        <v>-1.5290678E-2</v>
      </c>
      <c r="S22" s="3">
        <v>0.18948280000000001</v>
      </c>
      <c r="T22" s="3">
        <v>1.3088941999999999E-2</v>
      </c>
      <c r="U22" s="3">
        <v>-0.15599704</v>
      </c>
      <c r="V22" s="3">
        <v>0.10882270999999999</v>
      </c>
      <c r="W22" s="3">
        <v>4.9493313000000001E-3</v>
      </c>
      <c r="X22" s="3">
        <v>5.457306E-2</v>
      </c>
      <c r="Y22" s="3">
        <v>6.8987965999999998E-2</v>
      </c>
      <c r="Z22" s="3">
        <v>0.12190187</v>
      </c>
      <c r="AA22" s="3">
        <v>2.3359776000000002E-2</v>
      </c>
      <c r="AB22" s="3">
        <v>7.2761655000000008E-2</v>
      </c>
      <c r="AC22" s="3">
        <v>8.9216470000000006E-2</v>
      </c>
      <c r="AD22" s="3">
        <v>1.2975216000000001E-2</v>
      </c>
      <c r="AE22" s="3">
        <v>4.8612475000000002E-2</v>
      </c>
      <c r="AF22" s="3">
        <v>0.13373399</v>
      </c>
      <c r="AG22" s="3">
        <v>8.3959465000000011E-2</v>
      </c>
      <c r="AH22" s="3">
        <v>0.12199699000000001</v>
      </c>
      <c r="AI22" s="3">
        <v>0.10340071000000001</v>
      </c>
      <c r="AJ22" s="3"/>
      <c r="AK22" s="3"/>
      <c r="AL22" s="3"/>
    </row>
    <row r="23" spans="1:38" x14ac:dyDescent="0.45">
      <c r="A23" s="2">
        <v>44890</v>
      </c>
      <c r="B23" s="3">
        <v>1.8543482E-2</v>
      </c>
      <c r="C23" s="3">
        <v>3.0224204000000001E-2</v>
      </c>
      <c r="D23" s="3">
        <v>-2.1987320000000001E-2</v>
      </c>
      <c r="E23" s="3">
        <v>9.2127320000000013E-2</v>
      </c>
      <c r="F23" s="3">
        <v>0.23292183000000002</v>
      </c>
      <c r="G23" s="3">
        <v>9.5078350000000006E-2</v>
      </c>
      <c r="H23" s="3">
        <v>7.0918560000000005E-2</v>
      </c>
      <c r="I23" s="3">
        <v>0.17852867</v>
      </c>
      <c r="J23" s="3">
        <v>9.2453960000000002E-2</v>
      </c>
      <c r="K23" s="3">
        <v>0.12303507</v>
      </c>
      <c r="L23" s="3">
        <v>-3.6482095999999999E-2</v>
      </c>
      <c r="M23" s="3">
        <v>0.13972664000000001</v>
      </c>
      <c r="N23" s="3">
        <v>9.3729380000000001E-2</v>
      </c>
      <c r="O23" s="3">
        <v>2.3657439999999998E-2</v>
      </c>
      <c r="P23" s="3">
        <v>0.11061823</v>
      </c>
      <c r="Q23" s="3">
        <v>-3.8059056000000001E-2</v>
      </c>
      <c r="R23" s="3">
        <v>1.5271306E-2</v>
      </c>
      <c r="S23" s="3">
        <v>0.22396778000000001</v>
      </c>
      <c r="T23" s="3">
        <v>6.4599514000000004E-3</v>
      </c>
      <c r="U23" s="3">
        <v>8.7183714000000009E-3</v>
      </c>
      <c r="V23" s="3">
        <v>-8.7365329999999991E-2</v>
      </c>
      <c r="W23" s="3">
        <v>0.10365856000000001</v>
      </c>
      <c r="X23" s="3">
        <v>0.11499763</v>
      </c>
      <c r="Y23" s="3">
        <v>7.5494766000000005E-2</v>
      </c>
      <c r="Z23" s="3">
        <v>0.13886380000000001</v>
      </c>
      <c r="AA23" s="3">
        <v>0.11075818999999999</v>
      </c>
      <c r="AB23" s="3">
        <v>8.4467890000000004E-2</v>
      </c>
      <c r="AC23" s="3">
        <v>0.10897434</v>
      </c>
      <c r="AD23" s="3">
        <v>3.2346368E-2</v>
      </c>
      <c r="AE23" s="3">
        <v>5.3164719999999999E-2</v>
      </c>
      <c r="AF23" s="3">
        <v>0.10768723500000001</v>
      </c>
      <c r="AG23" s="3">
        <v>0.16214583999999999</v>
      </c>
      <c r="AH23" s="3">
        <v>0.13282037000000002</v>
      </c>
      <c r="AI23" s="3">
        <v>0.15326952999999999</v>
      </c>
      <c r="AJ23" s="3"/>
      <c r="AK23" s="3"/>
      <c r="AL23" s="3"/>
    </row>
    <row r="24" spans="1:38" x14ac:dyDescent="0.45">
      <c r="A24" s="2">
        <v>44918</v>
      </c>
      <c r="B24" s="3">
        <v>3.0495286E-2</v>
      </c>
      <c r="C24" s="3">
        <v>4.2673229999999999E-2</v>
      </c>
      <c r="D24" s="3">
        <v>-2.0909845999999999E-2</v>
      </c>
      <c r="E24" s="3">
        <v>1.2739778E-2</v>
      </c>
      <c r="F24" s="3">
        <v>4.8790573999999996E-2</v>
      </c>
      <c r="G24" s="3">
        <v>-1.3252497E-2</v>
      </c>
      <c r="H24" s="3">
        <v>7.8853369999999992E-3</v>
      </c>
      <c r="I24" s="3">
        <v>-2.5698303999999998E-2</v>
      </c>
      <c r="J24" s="3">
        <v>-1.8637358999999999E-2</v>
      </c>
      <c r="K24" s="3">
        <v>-2.5414824000000004E-3</v>
      </c>
      <c r="L24" s="3">
        <v>4.7546625000000002E-2</v>
      </c>
      <c r="M24" s="3">
        <v>-4.7007202999999999E-3</v>
      </c>
      <c r="N24" s="3">
        <v>2.4114490000000002E-2</v>
      </c>
      <c r="O24" s="3">
        <v>-4.8070310000000005E-2</v>
      </c>
      <c r="P24" s="3">
        <v>0.11470163</v>
      </c>
      <c r="Q24" s="3">
        <v>-6.28137E-2</v>
      </c>
      <c r="R24" s="3">
        <v>3.6771296999999997E-3</v>
      </c>
      <c r="S24" s="3">
        <v>0.10638785000000001</v>
      </c>
      <c r="T24" s="3">
        <v>-2.5477707000000002E-2</v>
      </c>
      <c r="U24" s="3">
        <v>5.8816790000000001E-2</v>
      </c>
      <c r="V24" s="3">
        <v>-6.4942302999999993E-2</v>
      </c>
      <c r="W24" s="3">
        <v>3.5809754999999999E-2</v>
      </c>
      <c r="X24" s="3">
        <v>-2.2963881000000002E-2</v>
      </c>
      <c r="Y24" s="3">
        <v>-5.6646879999999997E-2</v>
      </c>
      <c r="Z24" s="3">
        <v>-2.065283E-2</v>
      </c>
      <c r="AA24" s="3">
        <v>-1.9089936999999998E-2</v>
      </c>
      <c r="AB24" s="3">
        <v>-2.4412929999999999E-2</v>
      </c>
      <c r="AC24" s="3">
        <v>4.2068957999999998E-3</v>
      </c>
      <c r="AD24" s="3">
        <v>-6.5908375000000005E-2</v>
      </c>
      <c r="AE24" s="3">
        <v>-4.3845295999999999E-2</v>
      </c>
      <c r="AF24" s="3">
        <v>-6.3001513E-3</v>
      </c>
      <c r="AG24" s="3">
        <v>-2.0145654999999998E-2</v>
      </c>
      <c r="AH24" s="3">
        <v>-3.8242280000000003E-2</v>
      </c>
      <c r="AI24" s="3">
        <v>-1.0623097E-2</v>
      </c>
      <c r="AJ24" s="3"/>
      <c r="AK24" s="3"/>
      <c r="AL24" s="3"/>
    </row>
    <row r="25" spans="1:38" x14ac:dyDescent="0.45">
      <c r="A25" s="2">
        <v>44952</v>
      </c>
      <c r="B25" s="3">
        <v>0.16419876</v>
      </c>
      <c r="C25" s="3">
        <v>0.11964833999999999</v>
      </c>
      <c r="D25" s="3">
        <v>4.103482E-2</v>
      </c>
      <c r="E25" s="3">
        <v>0.10916698</v>
      </c>
      <c r="F25" s="3">
        <v>8.9378240000000012E-2</v>
      </c>
      <c r="G25" s="3">
        <v>0.11341286</v>
      </c>
      <c r="H25" s="3">
        <v>7.0347309999999996E-2</v>
      </c>
      <c r="I25" s="3">
        <v>0.12142860000000001</v>
      </c>
      <c r="J25" s="3">
        <v>0.12574614000000001</v>
      </c>
      <c r="K25" s="3">
        <v>0.1411289</v>
      </c>
      <c r="L25" s="3">
        <v>6.2521696000000002E-2</v>
      </c>
      <c r="M25" s="3">
        <v>7.2911859999999995E-2</v>
      </c>
      <c r="N25" s="3">
        <v>0.12563551000000001</v>
      </c>
      <c r="O25" s="3">
        <v>1.7722726000000001E-2</v>
      </c>
      <c r="P25" s="3">
        <v>0.20188199999999998</v>
      </c>
      <c r="Q25" s="3">
        <v>2.3367046999999998E-2</v>
      </c>
      <c r="R25" s="3">
        <v>2.7378797999999999E-2</v>
      </c>
      <c r="S25" s="3">
        <v>-4.8264685000000002E-2</v>
      </c>
      <c r="T25" s="3">
        <v>-2.0462036000000003E-2</v>
      </c>
      <c r="U25" s="3">
        <v>6.5379619999999999E-2</v>
      </c>
      <c r="V25" s="3">
        <v>6.8169475000000007E-2</v>
      </c>
      <c r="W25" s="3">
        <v>8.2869530000000011E-2</v>
      </c>
      <c r="X25" s="3">
        <v>0.12096774999999999</v>
      </c>
      <c r="Y25" s="3">
        <v>8.4322689999999992E-2</v>
      </c>
      <c r="Z25" s="3">
        <v>0.13263248999999999</v>
      </c>
      <c r="AA25" s="3">
        <v>7.1024299999999999E-2</v>
      </c>
      <c r="AB25" s="3">
        <v>7.6024889999999998E-2</v>
      </c>
      <c r="AC25" s="3">
        <v>6.2642097000000008E-2</v>
      </c>
      <c r="AD25" s="3">
        <v>9.7172370000000008E-2</v>
      </c>
      <c r="AE25" s="3">
        <v>5.7036877E-2</v>
      </c>
      <c r="AF25" s="3">
        <v>0.11722064</v>
      </c>
      <c r="AG25" s="3">
        <v>0.13715052999999999</v>
      </c>
      <c r="AH25" s="3">
        <v>9.9444029999999989E-2</v>
      </c>
      <c r="AI25" s="3">
        <v>0.10892927000000001</v>
      </c>
      <c r="AJ25" s="3"/>
      <c r="AK25" s="3"/>
      <c r="AL25" s="3"/>
    </row>
    <row r="26" spans="1:38" x14ac:dyDescent="0.45">
      <c r="A26" s="2">
        <v>44981</v>
      </c>
      <c r="B26" s="3">
        <v>-8.9316010000000001E-2</v>
      </c>
      <c r="C26" s="3">
        <v>-4.1993913999999993E-2</v>
      </c>
      <c r="D26" s="3">
        <v>-1.9708692999999999E-2</v>
      </c>
      <c r="E26" s="3">
        <v>-8.6076849999999996E-2</v>
      </c>
      <c r="F26" s="3">
        <v>-8.0261589999999994E-2</v>
      </c>
      <c r="G26" s="3">
        <v>-9.4607349999999993E-2</v>
      </c>
      <c r="H26" s="3">
        <v>-8.4442619999999996E-2</v>
      </c>
      <c r="I26" s="3">
        <v>-3.8875460000000001E-2</v>
      </c>
      <c r="J26" s="3">
        <v>-2.1382153000000001E-2</v>
      </c>
      <c r="K26" s="3">
        <v>-9.9554419999999991E-2</v>
      </c>
      <c r="L26" s="3">
        <v>-9.4802199999999989E-2</v>
      </c>
      <c r="M26" s="3">
        <v>-0.12430107</v>
      </c>
      <c r="N26" s="3">
        <v>6.7069054000000003E-2</v>
      </c>
      <c r="O26" s="3">
        <v>-6.9894970000000001E-2</v>
      </c>
      <c r="P26" s="3">
        <v>-0.15017796</v>
      </c>
      <c r="Q26" s="3">
        <v>-5.9678259999999997E-2</v>
      </c>
      <c r="R26" s="3">
        <v>-2.2329330000000001E-2</v>
      </c>
      <c r="S26" s="3">
        <v>-2.2507012E-2</v>
      </c>
      <c r="T26" s="3">
        <v>-1.8194079000000002E-2</v>
      </c>
      <c r="U26" s="3">
        <v>-0.11214238</v>
      </c>
      <c r="V26" s="3">
        <v>-7.2972355000000003E-2</v>
      </c>
      <c r="W26" s="3">
        <v>-7.9954267000000009E-2</v>
      </c>
      <c r="X26" s="3">
        <v>-8.3932880000000001E-2</v>
      </c>
      <c r="Y26" s="3">
        <v>-4.2672689999999999E-2</v>
      </c>
      <c r="Z26" s="3">
        <v>-3.4630477E-2</v>
      </c>
      <c r="AA26" s="3">
        <v>-5.1824092999999995E-2</v>
      </c>
      <c r="AB26" s="3">
        <v>-3.1450748000000001E-2</v>
      </c>
      <c r="AC26" s="3">
        <v>-1.4966428E-2</v>
      </c>
      <c r="AD26" s="3">
        <v>-5.0793886E-3</v>
      </c>
      <c r="AE26" s="3">
        <v>-2.0679414E-2</v>
      </c>
      <c r="AF26" s="3">
        <v>-1.9740403E-2</v>
      </c>
      <c r="AG26" s="3">
        <v>-5.2693186000000003E-2</v>
      </c>
      <c r="AH26" s="3">
        <v>-1.9662856999999999E-2</v>
      </c>
      <c r="AI26" s="3">
        <v>-1.0023415000000001E-2</v>
      </c>
      <c r="AJ26" s="3"/>
      <c r="AK26" s="3"/>
      <c r="AL26" s="3"/>
    </row>
    <row r="27" spans="1:38" x14ac:dyDescent="0.45">
      <c r="A27" s="2">
        <v>45009</v>
      </c>
      <c r="B27" s="3">
        <v>9.9316834999999999E-3</v>
      </c>
      <c r="C27" s="3">
        <v>-9.2658399999999991E-3</v>
      </c>
      <c r="D27" s="3">
        <v>4.3702125999999999E-4</v>
      </c>
      <c r="E27" s="3">
        <v>1.8386482999999999E-2</v>
      </c>
      <c r="F27" s="3">
        <v>-5.6237880000000004E-2</v>
      </c>
      <c r="G27" s="3">
        <v>1.3235806999999999E-2</v>
      </c>
      <c r="H27" s="3">
        <v>-1.4538825E-2</v>
      </c>
      <c r="I27" s="3">
        <v>3.9762378000000001E-2</v>
      </c>
      <c r="J27" s="3">
        <v>-2.9714703999999996E-3</v>
      </c>
      <c r="K27" s="3">
        <v>1.8426895000000002E-2</v>
      </c>
      <c r="L27" s="3">
        <v>-7.2950543999999992E-2</v>
      </c>
      <c r="M27" s="3">
        <v>5.6483746000000005E-3</v>
      </c>
      <c r="N27" s="3">
        <v>-7.7938375000000004E-2</v>
      </c>
      <c r="O27" s="3">
        <v>-1.1285007E-2</v>
      </c>
      <c r="P27" s="3">
        <v>2.1566272000000001E-2</v>
      </c>
      <c r="Q27" s="3">
        <v>-2.5938272000000002E-2</v>
      </c>
      <c r="R27" s="3">
        <v>-2.580756E-2</v>
      </c>
      <c r="S27" s="3">
        <v>-6.4121485000000001E-3</v>
      </c>
      <c r="T27" s="3">
        <v>-3.3630728999999998E-2</v>
      </c>
      <c r="U27" s="3">
        <v>3.0487894999999997E-2</v>
      </c>
      <c r="V27" s="3">
        <v>3.8123965000000003E-2</v>
      </c>
      <c r="W27" s="3">
        <v>-2.4830103E-3</v>
      </c>
      <c r="X27" s="3">
        <v>-3.9267004000000001E-2</v>
      </c>
      <c r="Y27" s="3">
        <v>-4.3401775000000004E-2</v>
      </c>
      <c r="Z27" s="3">
        <v>2.588749E-3</v>
      </c>
      <c r="AA27" s="3">
        <v>2.7148604E-2</v>
      </c>
      <c r="AB27" s="3">
        <v>-5.9455632999999997E-3</v>
      </c>
      <c r="AC27" s="3">
        <v>-3.5348833000000003E-2</v>
      </c>
      <c r="AD27" s="3">
        <v>6.6883087000000008E-2</v>
      </c>
      <c r="AE27" s="3">
        <v>2.2666454E-3</v>
      </c>
      <c r="AF27" s="3">
        <v>-4.1379929999999995E-3</v>
      </c>
      <c r="AG27" s="3">
        <v>7.4160100000000004E-4</v>
      </c>
      <c r="AH27" s="3">
        <v>-4.3266535000000002E-2</v>
      </c>
      <c r="AI27" s="3">
        <v>-1.8562256999999999E-2</v>
      </c>
      <c r="AJ27" s="3"/>
      <c r="AK27" s="3"/>
      <c r="AL27" s="3"/>
    </row>
    <row r="28" spans="1:38" x14ac:dyDescent="0.45">
      <c r="A28" s="2">
        <v>45042</v>
      </c>
      <c r="B28" s="3">
        <v>-3.1653344999999999E-2</v>
      </c>
      <c r="C28" s="3">
        <v>1.1151075E-2</v>
      </c>
      <c r="D28" s="3">
        <v>5.9851527000000002E-2</v>
      </c>
      <c r="E28" s="3">
        <v>-3.0950606000000002E-2</v>
      </c>
      <c r="F28" s="3">
        <v>0.17705476999999997</v>
      </c>
      <c r="G28" s="3">
        <v>5.4314137000000005E-2</v>
      </c>
      <c r="H28" s="3">
        <v>9.2196465000000006E-4</v>
      </c>
      <c r="I28" s="3">
        <v>-5.4065942999999998E-2</v>
      </c>
      <c r="J28" s="3">
        <v>3.2959223000000003E-2</v>
      </c>
      <c r="K28" s="3">
        <v>1.1726618E-3</v>
      </c>
      <c r="L28" s="3">
        <v>6.8952083999999997E-2</v>
      </c>
      <c r="M28" s="3">
        <v>3.1501890000000005E-2</v>
      </c>
      <c r="N28" s="3">
        <v>7.2597146000000001E-2</v>
      </c>
      <c r="O28" s="3">
        <v>4.4357895999999994E-2</v>
      </c>
      <c r="P28" s="3">
        <v>-4.0172157000000007E-2</v>
      </c>
      <c r="Q28" s="3">
        <v>2.1529794000000001E-2</v>
      </c>
      <c r="R28" s="3">
        <v>-3.0090810000000003E-2</v>
      </c>
      <c r="S28" s="3">
        <v>-6.0428323999999999E-2</v>
      </c>
      <c r="T28" s="3">
        <v>6.5340876999999992E-2</v>
      </c>
      <c r="U28" s="3">
        <v>-3.3812523000000001E-3</v>
      </c>
      <c r="V28" s="3">
        <v>7.5033070000000007E-2</v>
      </c>
      <c r="W28" s="3">
        <v>1.2860416999999999E-2</v>
      </c>
      <c r="X28" s="3">
        <v>3.7238836000000004E-2</v>
      </c>
      <c r="Y28" s="3">
        <v>5.5793999999999996E-2</v>
      </c>
      <c r="Z28" s="3">
        <v>7.2666883000000002E-2</v>
      </c>
      <c r="AA28" s="3">
        <v>2.1529794000000001E-2</v>
      </c>
      <c r="AB28" s="3">
        <v>9.7538470000000002E-2</v>
      </c>
      <c r="AC28" s="3">
        <v>7.4895500000000004E-2</v>
      </c>
      <c r="AD28" s="3">
        <v>3.1521320000000002E-3</v>
      </c>
      <c r="AE28" s="3">
        <v>2.1756172000000001E-2</v>
      </c>
      <c r="AF28" s="3">
        <v>8.6980710000000003E-2</v>
      </c>
      <c r="AG28" s="3">
        <v>2.6185749999999997E-2</v>
      </c>
      <c r="AH28" s="3">
        <v>8.0563070000000001E-2</v>
      </c>
      <c r="AI28" s="3">
        <v>7.6684950000000002E-2</v>
      </c>
      <c r="AJ28" s="3"/>
      <c r="AK28" s="3"/>
      <c r="AL28" s="3"/>
    </row>
    <row r="29" spans="1:38" x14ac:dyDescent="0.45">
      <c r="A29" s="2">
        <v>45072</v>
      </c>
      <c r="B29" s="3">
        <v>-4.4747709999999996E-2</v>
      </c>
      <c r="C29" s="3">
        <v>4.5535325999999994E-2</v>
      </c>
      <c r="D29" s="3">
        <v>-1.9373417E-2</v>
      </c>
      <c r="E29" s="3">
        <v>-9.885847599999999E-3</v>
      </c>
      <c r="F29" s="3">
        <v>3.8114666999999998E-2</v>
      </c>
      <c r="G29" s="3">
        <v>-3.4385382999999999E-2</v>
      </c>
      <c r="H29" s="3">
        <v>-3.5928069999999999E-2</v>
      </c>
      <c r="I29" s="3">
        <v>8.7360500000000008E-2</v>
      </c>
      <c r="J29" s="3">
        <v>3.9036035999999996E-2</v>
      </c>
      <c r="K29" s="3">
        <v>5.5890202999999999E-2</v>
      </c>
      <c r="L29" s="3">
        <v>9.1107850000000004E-2</v>
      </c>
      <c r="M29" s="3">
        <v>-0.11197925</v>
      </c>
      <c r="N29" s="3">
        <v>0.10041321</v>
      </c>
      <c r="O29" s="3">
        <v>4.3715954000000001E-2</v>
      </c>
      <c r="P29" s="3">
        <v>-4.5910780000000005E-2</v>
      </c>
      <c r="Q29" s="3">
        <v>6.1009290000000001E-2</v>
      </c>
      <c r="R29" s="3">
        <v>-8.491218E-3</v>
      </c>
      <c r="S29" s="3">
        <v>-7.6802969999999998E-2</v>
      </c>
      <c r="T29" s="3">
        <v>-2.9333293E-2</v>
      </c>
      <c r="U29" s="3">
        <v>4.3257000000000004E-2</v>
      </c>
      <c r="V29" s="3">
        <v>3.1949282000000002E-3</v>
      </c>
      <c r="W29" s="3">
        <v>-9.2156530000000007E-3</v>
      </c>
      <c r="X29" s="3">
        <v>-1.8388808E-2</v>
      </c>
      <c r="Y29" s="3">
        <v>-1.9163787000000002E-2</v>
      </c>
      <c r="Z29" s="3">
        <v>-1.7193973000000001E-2</v>
      </c>
      <c r="AA29" s="3">
        <v>3.2385230000000001E-2</v>
      </c>
      <c r="AB29" s="3">
        <v>-7.7551603000000002E-3</v>
      </c>
      <c r="AC29" s="3">
        <v>-2.9904305999999999E-2</v>
      </c>
      <c r="AD29" s="3">
        <v>0.11713219000000001</v>
      </c>
      <c r="AE29" s="3">
        <v>3.8727879999999999E-2</v>
      </c>
      <c r="AF29" s="3">
        <v>-3.2619834E-2</v>
      </c>
      <c r="AG29" s="3">
        <v>3.5387516000000001E-2</v>
      </c>
      <c r="AH29" s="3">
        <v>-3.1042218E-2</v>
      </c>
      <c r="AI29" s="3">
        <v>-2.6828468000000001E-2</v>
      </c>
      <c r="AJ29" s="3"/>
      <c r="AK29" s="3"/>
      <c r="AL29" s="3"/>
    </row>
    <row r="30" spans="1:38" x14ac:dyDescent="0.45">
      <c r="A30" s="2">
        <v>45103</v>
      </c>
      <c r="B30" s="3">
        <v>-3.9237319999999999E-2</v>
      </c>
      <c r="C30" s="3">
        <v>1.4745355E-2</v>
      </c>
      <c r="D30" s="3">
        <v>-9.3006489999999994E-3</v>
      </c>
      <c r="E30" s="3">
        <v>7.0376395999999994E-3</v>
      </c>
      <c r="F30" s="3">
        <v>7.4551580000000006E-2</v>
      </c>
      <c r="G30" s="3">
        <v>4.8197984999999999E-2</v>
      </c>
      <c r="H30" s="3">
        <v>-2.5202095999999997E-2</v>
      </c>
      <c r="I30" s="3">
        <v>1.0256410000000001E-2</v>
      </c>
      <c r="J30" s="3">
        <v>1.6123413999999999E-2</v>
      </c>
      <c r="K30" s="3">
        <v>1.2678385E-2</v>
      </c>
      <c r="L30" s="3">
        <v>0.11659634000000001</v>
      </c>
      <c r="M30" s="3">
        <v>5.7222130000000003E-2</v>
      </c>
      <c r="N30" s="3">
        <v>2.6855349999999997E-2</v>
      </c>
      <c r="O30" s="3">
        <v>1.977396E-2</v>
      </c>
      <c r="P30" s="3">
        <v>2.3031235E-3</v>
      </c>
      <c r="Q30" s="3">
        <v>-4.0592670000000004E-2</v>
      </c>
      <c r="R30" s="3">
        <v>-2.9735326999999999E-2</v>
      </c>
      <c r="S30" s="3">
        <v>-1.5178381999999999E-2</v>
      </c>
      <c r="T30" s="3">
        <v>3.0742883999999998E-2</v>
      </c>
      <c r="U30" s="3">
        <v>0.10081303</v>
      </c>
      <c r="V30" s="3">
        <v>1.3361692000000001E-2</v>
      </c>
      <c r="W30" s="3">
        <v>-8.987545999999999E-3</v>
      </c>
      <c r="X30" s="3">
        <v>7.9946519999999997E-3</v>
      </c>
      <c r="Y30" s="3">
        <v>2.3588420000000002E-2</v>
      </c>
      <c r="Z30" s="3">
        <v>3.0126572000000003E-3</v>
      </c>
      <c r="AA30" s="3">
        <v>1.809144E-2</v>
      </c>
      <c r="AB30" s="3">
        <v>-1.6211033E-2</v>
      </c>
      <c r="AC30" s="3">
        <v>5.5985449999999999E-3</v>
      </c>
      <c r="AD30" s="3">
        <v>2.8046129999999999E-2</v>
      </c>
      <c r="AE30" s="3">
        <v>3.1018734000000003E-2</v>
      </c>
      <c r="AF30" s="3">
        <v>2.4265051000000003E-3</v>
      </c>
      <c r="AG30" s="3">
        <v>-1.6421735E-2</v>
      </c>
      <c r="AH30" s="3">
        <v>-1.4015972999999999E-2</v>
      </c>
      <c r="AI30" s="3">
        <v>3.1598449000000001E-2</v>
      </c>
      <c r="AJ30" s="3"/>
      <c r="AK30" s="3"/>
      <c r="AL30" s="3"/>
    </row>
    <row r="31" spans="1:38" x14ac:dyDescent="0.45">
      <c r="A31" s="2">
        <v>45133</v>
      </c>
      <c r="B31" s="3">
        <v>5.4776309999999995E-2</v>
      </c>
      <c r="C31" s="3">
        <v>0.10006964</v>
      </c>
      <c r="D31" s="3">
        <v>3.1615376000000001E-2</v>
      </c>
      <c r="E31" s="3">
        <v>5.7120799999999999E-2</v>
      </c>
      <c r="F31" s="3">
        <v>9.2853429999999987E-2</v>
      </c>
      <c r="G31" s="3">
        <v>9.9007239999999996E-2</v>
      </c>
      <c r="H31" s="3">
        <v>8.0339320000000006E-2</v>
      </c>
      <c r="I31" s="3">
        <v>2.5169252999999999E-2</v>
      </c>
      <c r="J31" s="3">
        <v>4.1781424999999997E-2</v>
      </c>
      <c r="K31" s="3">
        <v>5.680752E-2</v>
      </c>
      <c r="L31" s="3">
        <v>4.535699E-2</v>
      </c>
      <c r="M31" s="3">
        <v>0.13288868000000001</v>
      </c>
      <c r="N31" s="3">
        <v>0.13118290999999999</v>
      </c>
      <c r="O31" s="3">
        <v>4.4657470000000005E-2</v>
      </c>
      <c r="P31" s="3">
        <v>7.4616669999999996E-2</v>
      </c>
      <c r="Q31" s="3">
        <v>6.4552664999999995E-2</v>
      </c>
      <c r="R31" s="3">
        <v>2.6438712999999999E-2</v>
      </c>
      <c r="S31" s="3">
        <v>0.12379932</v>
      </c>
      <c r="T31" s="3">
        <v>4.7227980000000003E-2</v>
      </c>
      <c r="U31" s="3">
        <v>7.6070904999999994E-2</v>
      </c>
      <c r="V31" s="3">
        <v>5.3326844999999998E-2</v>
      </c>
      <c r="W31" s="3">
        <v>4.2974470000000001E-2</v>
      </c>
      <c r="X31" s="3">
        <v>5.8160423999999995E-2</v>
      </c>
      <c r="Y31" s="3">
        <v>4.8203349999999999E-2</v>
      </c>
      <c r="Z31" s="3">
        <v>3.7992835000000003E-2</v>
      </c>
      <c r="AA31" s="3">
        <v>3.1521916000000004E-2</v>
      </c>
      <c r="AB31" s="3">
        <v>4.6981334999999999E-2</v>
      </c>
      <c r="AC31" s="3">
        <v>4.9375057E-2</v>
      </c>
      <c r="AD31" s="3">
        <v>5.546856E-2</v>
      </c>
      <c r="AE31" s="3">
        <v>5.5789948000000006E-2</v>
      </c>
      <c r="AF31" s="3">
        <v>4.0569544000000006E-2</v>
      </c>
      <c r="AG31" s="3">
        <v>5.210948E-2</v>
      </c>
      <c r="AH31" s="3">
        <v>4.699731E-2</v>
      </c>
      <c r="AI31" s="3">
        <v>8.2138180000000005E-2</v>
      </c>
      <c r="AJ31" s="3"/>
      <c r="AK31" s="3"/>
      <c r="AL31" s="3"/>
    </row>
    <row r="32" spans="1:38" x14ac:dyDescent="0.45">
      <c r="A32" s="2">
        <v>45163</v>
      </c>
      <c r="B32" s="3">
        <v>-7.8186629999999993E-2</v>
      </c>
      <c r="C32" s="3">
        <v>-8.9381929999999998E-2</v>
      </c>
      <c r="D32" s="3">
        <v>-3.6523879000000002E-2</v>
      </c>
      <c r="E32" s="3">
        <v>-0.11171961</v>
      </c>
      <c r="F32" s="3">
        <v>-9.0692220000000004E-2</v>
      </c>
      <c r="G32" s="3">
        <v>-5.0174179999999999E-2</v>
      </c>
      <c r="H32" s="3">
        <v>-3.1408787000000001E-2</v>
      </c>
      <c r="I32" s="3">
        <v>-6.1275063000000005E-2</v>
      </c>
      <c r="J32" s="3">
        <v>-2.3006440000000003E-2</v>
      </c>
      <c r="K32" s="3">
        <v>-8.1741449999999993E-2</v>
      </c>
      <c r="L32" s="3">
        <v>-8.2087400000000005E-2</v>
      </c>
      <c r="M32" s="3">
        <v>-9.193844000000001E-2</v>
      </c>
      <c r="N32" s="3">
        <v>-6.6266593999999998E-2</v>
      </c>
      <c r="O32" s="3">
        <v>-2.0590901000000002E-2</v>
      </c>
      <c r="P32" s="3">
        <v>-8.2022250000000005E-2</v>
      </c>
      <c r="Q32" s="3">
        <v>-4.2021217E-2</v>
      </c>
      <c r="R32" s="3">
        <v>2.3357033999999999E-2</v>
      </c>
      <c r="S32" s="3">
        <v>0.17062355000000001</v>
      </c>
      <c r="T32" s="3">
        <v>-1.241833E-2</v>
      </c>
      <c r="U32" s="3">
        <v>6.8640709999999992E-4</v>
      </c>
      <c r="V32" s="3">
        <v>-5.9684157000000002E-2</v>
      </c>
      <c r="W32" s="3">
        <v>-9.2910470000000009E-2</v>
      </c>
      <c r="X32" s="3">
        <v>-8.3084760000000007E-2</v>
      </c>
      <c r="Y32" s="3">
        <v>-6.3266459999999997E-2</v>
      </c>
      <c r="Z32" s="3">
        <v>-5.4558039999999995E-2</v>
      </c>
      <c r="AA32" s="3">
        <v>-4.5519648000000003E-2</v>
      </c>
      <c r="AB32" s="3">
        <v>-4.4453739999999999E-2</v>
      </c>
      <c r="AC32" s="3">
        <v>-6.2537312999999997E-2</v>
      </c>
      <c r="AD32" s="3">
        <v>-3.5759686999999998E-2</v>
      </c>
      <c r="AE32" s="3">
        <v>-3.4115612999999996E-2</v>
      </c>
      <c r="AF32" s="3">
        <v>-3.8471400000000003E-2</v>
      </c>
      <c r="AG32" s="3">
        <v>-7.667839500000001E-2</v>
      </c>
      <c r="AH32" s="3">
        <v>-9.5317249999999992E-2</v>
      </c>
      <c r="AI32" s="3">
        <v>-5.0903615999999999E-2</v>
      </c>
      <c r="AJ32" s="3"/>
      <c r="AK32" s="3"/>
      <c r="AL32" s="3"/>
    </row>
    <row r="33" spans="1:38" x14ac:dyDescent="0.45">
      <c r="A33" s="2">
        <v>45195</v>
      </c>
      <c r="B33" s="3">
        <v>-2.8510094000000004E-3</v>
      </c>
      <c r="C33" s="3">
        <v>-0.10511661</v>
      </c>
      <c r="D33" s="3">
        <v>-2.8758168000000001E-2</v>
      </c>
      <c r="E33" s="3">
        <v>3.6991835000000002E-3</v>
      </c>
      <c r="F33" s="3">
        <v>-9.1338580000000003E-2</v>
      </c>
      <c r="G33" s="3">
        <v>-5.4976279999999995E-2</v>
      </c>
      <c r="H33" s="3">
        <v>-2.3843049999999998E-3</v>
      </c>
      <c r="I33" s="3">
        <v>-2.9670298000000001E-2</v>
      </c>
      <c r="J33" s="3">
        <v>-7.4463009999999996E-2</v>
      </c>
      <c r="K33" s="3">
        <v>-5.3378463000000001E-2</v>
      </c>
      <c r="L33" s="3">
        <v>-2.8106034000000002E-2</v>
      </c>
      <c r="M33" s="3">
        <v>-5.910224E-2</v>
      </c>
      <c r="N33" s="3">
        <v>-9.2126370000000013E-2</v>
      </c>
      <c r="O33" s="3">
        <v>1.2797117E-2</v>
      </c>
      <c r="P33" s="3">
        <v>-1.9424080999999999E-2</v>
      </c>
      <c r="Q33" s="3">
        <v>-2.5819004E-2</v>
      </c>
      <c r="R33" s="3">
        <v>-4.2417583000000002E-2</v>
      </c>
      <c r="S33" s="3">
        <v>4.1103363000000004E-2</v>
      </c>
      <c r="T33" s="3">
        <v>2.0516276000000003E-2</v>
      </c>
      <c r="U33" s="3">
        <v>-9.2592599999999997E-2</v>
      </c>
      <c r="V33" s="3">
        <v>-4.59373E-2</v>
      </c>
      <c r="W33" s="3">
        <v>-1.0465383999999999E-2</v>
      </c>
      <c r="X33" s="3">
        <v>-8.3643199999999997E-3</v>
      </c>
      <c r="Y33" s="3">
        <v>-1.4876126999999999E-3</v>
      </c>
      <c r="Z33" s="3">
        <v>-5.1497460000000002E-2</v>
      </c>
      <c r="AA33" s="3">
        <v>1.3339996E-2</v>
      </c>
      <c r="AB33" s="3">
        <v>-4.2352439999999998E-2</v>
      </c>
      <c r="AC33" s="3">
        <v>2.2236109000000003E-3</v>
      </c>
      <c r="AD33" s="3">
        <v>-2.5543094000000002E-2</v>
      </c>
      <c r="AE33" s="3">
        <v>-2.8568506E-2</v>
      </c>
      <c r="AF33" s="3">
        <v>-5.2631674000000003E-2</v>
      </c>
      <c r="AG33" s="3">
        <v>-7.4800610000000003E-2</v>
      </c>
      <c r="AH33" s="3">
        <v>-8.8821053999999997E-3</v>
      </c>
      <c r="AI33" s="3">
        <v>-3.9987325999999997E-2</v>
      </c>
      <c r="AJ33" s="3"/>
      <c r="AK33" s="3"/>
      <c r="AL33" s="3"/>
    </row>
    <row r="34" spans="1:38" x14ac:dyDescent="0.45">
      <c r="A34" s="2">
        <v>45225</v>
      </c>
      <c r="B34" s="3">
        <v>-4.8963489999999998E-2</v>
      </c>
      <c r="C34" s="3">
        <v>-6.5344152000000003E-2</v>
      </c>
      <c r="D34" s="3">
        <v>-8.6137295000000003E-2</v>
      </c>
      <c r="E34" s="3">
        <v>-3.6855041999999998E-2</v>
      </c>
      <c r="F34" s="3">
        <v>0.12593878</v>
      </c>
      <c r="G34" s="3">
        <v>-2.9194235999999998E-2</v>
      </c>
      <c r="H34" s="3">
        <v>-2.0554483000000002E-2</v>
      </c>
      <c r="I34" s="3">
        <v>-1.4949024E-2</v>
      </c>
      <c r="J34" s="3">
        <v>-6.1715603000000001E-2</v>
      </c>
      <c r="K34" s="3">
        <v>-6.013632E-2</v>
      </c>
      <c r="L34" s="3">
        <v>1.9717216000000003E-3</v>
      </c>
      <c r="M34" s="3">
        <v>-1.8287777999999998E-2</v>
      </c>
      <c r="N34" s="3">
        <v>-1.7404138999999999E-2</v>
      </c>
      <c r="O34" s="3">
        <v>-3.5875440000000001E-2</v>
      </c>
      <c r="P34" s="3">
        <v>-2.7965545999999997E-2</v>
      </c>
      <c r="Q34" s="3">
        <v>-8.9769124999999991E-2</v>
      </c>
      <c r="R34" s="3">
        <v>-8.2194389999999992E-2</v>
      </c>
      <c r="S34" s="3">
        <v>-9.7402569999999994E-2</v>
      </c>
      <c r="T34" s="3">
        <v>-0.11867702500000001</v>
      </c>
      <c r="U34" s="3">
        <v>-9.0324989999999994E-2</v>
      </c>
      <c r="V34" s="3">
        <v>-4.6337070000000001E-2</v>
      </c>
      <c r="W34" s="3">
        <v>-6.5931615999999998E-2</v>
      </c>
      <c r="X34" s="3">
        <v>-3.4208059999999998E-2</v>
      </c>
      <c r="Y34" s="3">
        <v>-5.1847459999999998E-2</v>
      </c>
      <c r="Z34" s="3">
        <v>-4.4281839999999996E-2</v>
      </c>
      <c r="AA34" s="3">
        <v>-5.6442319999999997E-2</v>
      </c>
      <c r="AB34" s="3">
        <v>-3.7580191999999998E-2</v>
      </c>
      <c r="AC34" s="3">
        <v>-3.2329620000000003E-2</v>
      </c>
      <c r="AD34" s="3">
        <v>-2.9784560000000002E-2</v>
      </c>
      <c r="AE34" s="3">
        <v>-3.1299949000000001E-2</v>
      </c>
      <c r="AF34" s="3">
        <v>-3.0328810000000001E-2</v>
      </c>
      <c r="AG34" s="3">
        <v>-2.1279275E-2</v>
      </c>
      <c r="AH34" s="3">
        <v>-4.1409135E-2</v>
      </c>
      <c r="AI34" s="3">
        <v>-3.041321E-2</v>
      </c>
      <c r="AJ34" s="3"/>
      <c r="AK34" s="3"/>
      <c r="AL34" s="3"/>
    </row>
    <row r="35" spans="1:38" x14ac:dyDescent="0.45">
      <c r="A35" s="2">
        <v>45254</v>
      </c>
      <c r="B35" s="3">
        <v>3.7715077E-2</v>
      </c>
      <c r="C35" s="3">
        <v>0.10611736000000001</v>
      </c>
      <c r="D35" s="3">
        <v>6.0382842999999999E-2</v>
      </c>
      <c r="E35" s="3">
        <v>6.5901280000000007E-2</v>
      </c>
      <c r="F35" s="3">
        <v>0.11749625</v>
      </c>
      <c r="G35" s="3">
        <v>6.5027832999999993E-2</v>
      </c>
      <c r="H35" s="3">
        <v>3.6115170000000002E-2</v>
      </c>
      <c r="I35" s="3">
        <v>0.10669112</v>
      </c>
      <c r="J35" s="3">
        <v>0.14492488000000001</v>
      </c>
      <c r="K35" s="3">
        <v>0.12959946</v>
      </c>
      <c r="L35" s="3">
        <v>0.10757626000000001</v>
      </c>
      <c r="M35" s="3">
        <v>8.6933019999999986E-2</v>
      </c>
      <c r="N35" s="3">
        <v>0.11738216</v>
      </c>
      <c r="O35" s="3">
        <v>5.7570814999999997E-2</v>
      </c>
      <c r="P35" s="3">
        <v>4.6511649999999995E-2</v>
      </c>
      <c r="Q35" s="3">
        <v>0.10081398</v>
      </c>
      <c r="R35" s="3">
        <v>1.9114374999999999E-2</v>
      </c>
      <c r="S35" s="3">
        <v>1.5539646000000001E-2</v>
      </c>
      <c r="T35" s="3">
        <v>9.345102000000001E-2</v>
      </c>
      <c r="U35" s="3">
        <v>9.1815590000000002E-2</v>
      </c>
      <c r="V35" s="3">
        <v>7.0575475999999998E-2</v>
      </c>
      <c r="W35" s="3">
        <v>8.4798810000000002E-2</v>
      </c>
      <c r="X35" s="3">
        <v>8.9277029999999993E-2</v>
      </c>
      <c r="Y35" s="3">
        <v>8.8309289999999999E-2</v>
      </c>
      <c r="Z35" s="3">
        <v>0.13698626</v>
      </c>
      <c r="AA35" s="3">
        <v>9.1907979999999986E-2</v>
      </c>
      <c r="AB35" s="3">
        <v>7.5238109999999997E-2</v>
      </c>
      <c r="AC35" s="3">
        <v>6.4199210000000007E-2</v>
      </c>
      <c r="AD35" s="3">
        <v>0.13341677000000002</v>
      </c>
      <c r="AE35" s="3">
        <v>0.10362375</v>
      </c>
      <c r="AF35" s="3">
        <v>0.10230923</v>
      </c>
      <c r="AG35" s="3">
        <v>0.15108705</v>
      </c>
      <c r="AH35" s="3">
        <v>0.16441</v>
      </c>
      <c r="AI35" s="3">
        <v>0.11830890999999999</v>
      </c>
      <c r="AJ35" s="3"/>
      <c r="AK35" s="3"/>
      <c r="AL35" s="3"/>
    </row>
    <row r="36" spans="1:38" x14ac:dyDescent="0.45">
      <c r="A36" s="2">
        <v>45286</v>
      </c>
      <c r="B36" s="3">
        <v>-5.5410920000000002E-2</v>
      </c>
      <c r="C36" s="3">
        <v>5.4142593999999995E-2</v>
      </c>
      <c r="D36" s="3">
        <v>3.4686446000000003E-2</v>
      </c>
      <c r="E36" s="3">
        <v>4.6014786000000002E-2</v>
      </c>
      <c r="F36" s="3">
        <v>8.0268140000000002E-2</v>
      </c>
      <c r="G36" s="3">
        <v>0.14243233</v>
      </c>
      <c r="H36" s="3">
        <v>1.1922836000000001E-2</v>
      </c>
      <c r="I36" s="3">
        <v>6.3555955999999997E-2</v>
      </c>
      <c r="J36" s="3">
        <v>0.11000574</v>
      </c>
      <c r="K36" s="3">
        <v>5.8265330000000004E-2</v>
      </c>
      <c r="L36" s="3">
        <v>7.8486559999999997E-2</v>
      </c>
      <c r="M36" s="3">
        <v>3.0336617999999999E-2</v>
      </c>
      <c r="N36" s="3">
        <v>2.0687819E-2</v>
      </c>
      <c r="O36" s="3">
        <v>7.3910116999999997E-2</v>
      </c>
      <c r="P36" s="3">
        <v>-7.0527672999999999E-2</v>
      </c>
      <c r="Q36" s="3">
        <v>2.1046637999999999E-2</v>
      </c>
      <c r="R36" s="3">
        <v>1.1463879999999999E-2</v>
      </c>
      <c r="S36" s="3">
        <v>-8.8484339999999995E-2</v>
      </c>
      <c r="T36" s="3">
        <v>-4.3065548E-3</v>
      </c>
      <c r="U36" s="3">
        <v>3.2048106E-2</v>
      </c>
      <c r="V36" s="3">
        <v>8.3925839999999988E-2</v>
      </c>
      <c r="W36" s="3">
        <v>8.6325170000000007E-2</v>
      </c>
      <c r="X36" s="3">
        <v>0.11107122</v>
      </c>
      <c r="Y36" s="3">
        <v>7.8019619999999998E-2</v>
      </c>
      <c r="Z36" s="3">
        <v>5.2145840000000006E-2</v>
      </c>
      <c r="AA36" s="3">
        <v>2.5432944000000002E-2</v>
      </c>
      <c r="AB36" s="3">
        <v>5.6244493E-2</v>
      </c>
      <c r="AC36" s="3">
        <v>4.1913867E-2</v>
      </c>
      <c r="AD36" s="3">
        <v>5.69582E-2</v>
      </c>
      <c r="AE36" s="3">
        <v>4.8938629999999997E-2</v>
      </c>
      <c r="AF36" s="3">
        <v>5.0819755000000001E-2</v>
      </c>
      <c r="AG36" s="3">
        <v>6.2250733000000003E-2</v>
      </c>
      <c r="AH36" s="3">
        <v>0.12341892</v>
      </c>
      <c r="AI36" s="3">
        <v>4.9663066999999998E-2</v>
      </c>
      <c r="AJ36" s="3"/>
      <c r="AK36" s="3"/>
      <c r="AL36" s="3"/>
    </row>
    <row r="37" spans="1:38" x14ac:dyDescent="0.45">
      <c r="A37" s="2">
        <v>45317</v>
      </c>
      <c r="B37" s="3">
        <v>-1.0782778E-2</v>
      </c>
      <c r="C37" s="3">
        <v>-6.8606319999999998E-2</v>
      </c>
      <c r="D37" s="3">
        <v>-3.6986886999999996E-2</v>
      </c>
      <c r="E37" s="3">
        <v>1.6532063E-2</v>
      </c>
      <c r="F37" s="3">
        <v>-6.9991292999999996E-2</v>
      </c>
      <c r="G37" s="3">
        <v>-2.4112523E-2</v>
      </c>
      <c r="H37" s="3">
        <v>4.7373770000000003E-4</v>
      </c>
      <c r="I37" s="3">
        <v>-9.0288520000000004E-3</v>
      </c>
      <c r="J37" s="3">
        <v>-2.8107106999999999E-2</v>
      </c>
      <c r="K37" s="3">
        <v>-7.421809E-2</v>
      </c>
      <c r="L37" s="3">
        <v>-5.0640162999999995E-2</v>
      </c>
      <c r="M37" s="3">
        <v>-3.2706856999999999E-2</v>
      </c>
      <c r="N37" s="3">
        <v>4.2015909999999997E-2</v>
      </c>
      <c r="O37" s="3">
        <v>1.3599873E-2</v>
      </c>
      <c r="P37" s="3">
        <v>-3.5380362999999998E-2</v>
      </c>
      <c r="Q37" s="3">
        <v>-1.0863602000000002E-2</v>
      </c>
      <c r="R37" s="3">
        <v>-3.2049180000000003E-2</v>
      </c>
      <c r="S37" s="3">
        <v>0.108702545</v>
      </c>
      <c r="T37" s="3">
        <v>2.108848E-2</v>
      </c>
      <c r="U37" s="3">
        <v>6.6554550000000009E-4</v>
      </c>
      <c r="V37" s="3">
        <v>2.2043110000000001E-2</v>
      </c>
      <c r="W37" s="3">
        <v>-2.1285414999999999E-2</v>
      </c>
      <c r="X37" s="3">
        <v>-3.0687392000000001E-2</v>
      </c>
      <c r="Y37" s="3">
        <v>-9.774685E-3</v>
      </c>
      <c r="Z37" s="3">
        <v>-1.0104477000000001E-2</v>
      </c>
      <c r="AA37" s="3">
        <v>3.28542E-2</v>
      </c>
      <c r="AB37" s="3">
        <v>2.5156736000000002E-3</v>
      </c>
      <c r="AC37" s="3">
        <v>-1.3599277E-2</v>
      </c>
      <c r="AD37" s="3">
        <v>3.2010078000000004E-2</v>
      </c>
      <c r="AE37" s="3">
        <v>2.4724126000000003E-2</v>
      </c>
      <c r="AF37" s="3">
        <v>-9.1440080000000003E-3</v>
      </c>
      <c r="AG37" s="3">
        <v>2.8661012999999999E-2</v>
      </c>
      <c r="AH37" s="3">
        <v>-5.858588E-2</v>
      </c>
      <c r="AI37" s="3">
        <v>-1.5882373000000002E-2</v>
      </c>
      <c r="AJ37" s="3"/>
      <c r="AK37" s="3"/>
      <c r="AL37" s="3"/>
    </row>
    <row r="38" spans="1:38" x14ac:dyDescent="0.45">
      <c r="A38" s="2">
        <v>45348</v>
      </c>
      <c r="B38" s="3">
        <v>3.0278562999999998E-2</v>
      </c>
      <c r="C38" s="3">
        <v>-4.0879250000000006E-2</v>
      </c>
      <c r="D38" s="3">
        <v>5.5737734000000004E-2</v>
      </c>
      <c r="E38" s="3">
        <v>4.3494700000000004E-2</v>
      </c>
      <c r="F38" s="3">
        <v>0.12276578</v>
      </c>
      <c r="G38" s="3">
        <v>3.7500740000000005E-2</v>
      </c>
      <c r="H38" s="3">
        <v>2.1306753000000001E-2</v>
      </c>
      <c r="I38" s="3">
        <v>3.1111119999999999E-2</v>
      </c>
      <c r="J38" s="3">
        <v>-3.3137798E-3</v>
      </c>
      <c r="K38" s="3">
        <v>7.8991530000000004E-2</v>
      </c>
      <c r="L38" s="3">
        <v>-2.3972988000000002E-3</v>
      </c>
      <c r="M38" s="3">
        <v>-4.7943534999999995E-2</v>
      </c>
      <c r="N38" s="3">
        <v>3.7371159000000001E-2</v>
      </c>
      <c r="O38" s="3">
        <v>4.8180580000000001E-2</v>
      </c>
      <c r="P38" s="3">
        <v>3.6154031999999996E-2</v>
      </c>
      <c r="Q38" s="3">
        <v>1.4362216000000001E-2</v>
      </c>
      <c r="R38" s="3">
        <v>2.1920084999999999E-2</v>
      </c>
      <c r="S38" s="3">
        <v>8.586001E-2</v>
      </c>
      <c r="T38" s="3">
        <v>-2.5316477E-2</v>
      </c>
      <c r="U38" s="3">
        <v>1.4762998000000001E-2</v>
      </c>
      <c r="V38" s="3">
        <v>3.3627152E-2</v>
      </c>
      <c r="W38" s="3">
        <v>-2.6865719999999999E-2</v>
      </c>
      <c r="X38" s="3">
        <v>5.9096813000000005E-3</v>
      </c>
      <c r="Y38" s="3">
        <v>1.0419487999999999E-2</v>
      </c>
      <c r="Z38" s="3">
        <v>3.1303167E-2</v>
      </c>
      <c r="AA38" s="3">
        <v>5.5207252999999998E-2</v>
      </c>
      <c r="AB38" s="3">
        <v>-1.4638245000000001E-2</v>
      </c>
      <c r="AC38" s="3">
        <v>8.2720520000000002E-3</v>
      </c>
      <c r="AD38" s="3">
        <v>3.0060650000000001E-2</v>
      </c>
      <c r="AE38" s="3">
        <v>3.8119792999999999E-2</v>
      </c>
      <c r="AF38" s="3">
        <v>3.1786799999999997E-2</v>
      </c>
      <c r="AG38" s="3">
        <v>3.8963914000000002E-2</v>
      </c>
      <c r="AH38" s="3">
        <v>6.1427116000000004E-2</v>
      </c>
      <c r="AI38" s="3">
        <v>6.5152406999999996E-2</v>
      </c>
      <c r="AJ38" s="3"/>
      <c r="AK38" s="3"/>
      <c r="AL38" s="3"/>
    </row>
    <row r="39" spans="1:38" x14ac:dyDescent="0.45">
      <c r="A39" s="2">
        <v>45377</v>
      </c>
      <c r="B39" s="3">
        <v>2.1551727999999999E-2</v>
      </c>
      <c r="C39" s="3">
        <v>4.7044635000000001E-2</v>
      </c>
      <c r="D39" s="3">
        <v>1.0647774E-2</v>
      </c>
      <c r="E39" s="3">
        <v>-1.0511100000000001E-2</v>
      </c>
      <c r="F39" s="3">
        <v>-2.6811957000000001E-2</v>
      </c>
      <c r="G39" s="3">
        <v>0.10094357000000001</v>
      </c>
      <c r="H39" s="3">
        <v>1.7153502000000001E-2</v>
      </c>
      <c r="I39" s="3">
        <v>4.4396519999999995E-2</v>
      </c>
      <c r="J39" s="3">
        <v>3.4607887000000004E-2</v>
      </c>
      <c r="K39" s="3">
        <v>4.9844264999999999E-2</v>
      </c>
      <c r="L39" s="3">
        <v>-3.0940294E-2</v>
      </c>
      <c r="M39" s="3">
        <v>1.8287777999999998E-2</v>
      </c>
      <c r="N39" s="3">
        <v>3.4782887000000002E-3</v>
      </c>
      <c r="O39" s="3">
        <v>-1.5515983000000001E-2</v>
      </c>
      <c r="P39" s="3">
        <v>7.5864789999999997E-4</v>
      </c>
      <c r="Q39" s="3">
        <v>-1.6102195E-2</v>
      </c>
      <c r="R39" s="3">
        <v>-1.495558E-2</v>
      </c>
      <c r="S39" s="3">
        <v>-8.9248360000000013E-2</v>
      </c>
      <c r="T39" s="3">
        <v>2.1872877999999998E-2</v>
      </c>
      <c r="U39" s="3">
        <v>5.0535917E-2</v>
      </c>
      <c r="V39" s="3">
        <v>-1.2340127999999999E-2</v>
      </c>
      <c r="W39" s="3">
        <v>-2.4101734E-3</v>
      </c>
      <c r="X39" s="3">
        <v>1.8883824E-2</v>
      </c>
      <c r="Y39" s="3">
        <v>2.360928E-2</v>
      </c>
      <c r="Z39" s="3">
        <v>4.1900396000000006E-2</v>
      </c>
      <c r="AA39" s="3">
        <v>3.3333420000000002E-2</v>
      </c>
      <c r="AB39" s="3">
        <v>6.3669680000000002E-4</v>
      </c>
      <c r="AC39" s="3">
        <v>3.0385852000000001E-2</v>
      </c>
      <c r="AD39" s="3">
        <v>1.6839147000000002E-2</v>
      </c>
      <c r="AE39" s="3">
        <v>2.8544187999999998E-2</v>
      </c>
      <c r="AF39" s="3">
        <v>2.534163E-2</v>
      </c>
      <c r="AG39" s="3">
        <v>3.28933E-2</v>
      </c>
      <c r="AH39" s="3">
        <v>2.7040720000000001E-2</v>
      </c>
      <c r="AI39" s="3">
        <v>5.9483647000000001E-2</v>
      </c>
      <c r="AJ39" s="3"/>
      <c r="AK39" s="3"/>
      <c r="AL39" s="3"/>
    </row>
    <row r="40" spans="1:38" x14ac:dyDescent="0.45">
      <c r="A40" s="2">
        <v>45408</v>
      </c>
      <c r="B40" s="3">
        <v>1.1891007E-2</v>
      </c>
      <c r="C40" s="3">
        <v>1.7281055E-2</v>
      </c>
      <c r="D40" s="3">
        <v>-0.10842847999999999</v>
      </c>
      <c r="E40" s="3">
        <v>-7.0695934000000002E-2</v>
      </c>
      <c r="F40" s="3">
        <v>2.7550577999999999E-2</v>
      </c>
      <c r="G40" s="3">
        <v>6.5255283999999997E-2</v>
      </c>
      <c r="H40" s="3">
        <v>1.549685E-2</v>
      </c>
      <c r="I40" s="3">
        <v>-2.8064369999999998E-2</v>
      </c>
      <c r="J40" s="3">
        <v>-2.3517369999999999E-2</v>
      </c>
      <c r="K40" s="3">
        <v>-6.0237410000000005E-2</v>
      </c>
      <c r="L40" s="3">
        <v>-2.2318602E-2</v>
      </c>
      <c r="M40" s="3">
        <v>4.2165636999999999E-2</v>
      </c>
      <c r="N40" s="3">
        <v>1.448381E-2</v>
      </c>
      <c r="O40" s="3">
        <v>3.0732870000000002E-2</v>
      </c>
      <c r="P40" s="3">
        <v>6.9984794000000003E-2</v>
      </c>
      <c r="Q40" s="3">
        <v>-2.9345273999999998E-2</v>
      </c>
      <c r="R40" s="3">
        <v>-1.2554228000000001E-2</v>
      </c>
      <c r="S40" s="3">
        <v>0.13667607000000001</v>
      </c>
      <c r="T40" s="3">
        <v>-4.0802659999999998E-2</v>
      </c>
      <c r="U40" s="3">
        <v>-0.10349852</v>
      </c>
      <c r="V40" s="3">
        <v>-2.8623401999999999E-2</v>
      </c>
      <c r="W40" s="3">
        <v>-2.7674020000000001E-2</v>
      </c>
      <c r="X40" s="3">
        <v>-2.3064314999999998E-2</v>
      </c>
      <c r="Y40" s="3">
        <v>-2.3860334999999998E-3</v>
      </c>
      <c r="Z40" s="3">
        <v>-1.9632696999999998E-2</v>
      </c>
      <c r="AA40" s="3">
        <v>-5.8485326999999997E-2</v>
      </c>
      <c r="AB40" s="3">
        <v>-2.5662839999999999E-2</v>
      </c>
      <c r="AC40" s="3">
        <v>2.7130722999999999E-2</v>
      </c>
      <c r="AD40" s="3">
        <v>-2.7790308E-2</v>
      </c>
      <c r="AE40" s="3">
        <v>-2.0334959999999999E-2</v>
      </c>
      <c r="AF40" s="3">
        <v>-1.4538466999999999E-2</v>
      </c>
      <c r="AG40" s="3">
        <v>-1.8052696999999999E-2</v>
      </c>
      <c r="AH40" s="3">
        <v>-3.8385750000000003E-2</v>
      </c>
      <c r="AI40" s="3">
        <v>-1.3771116999999999E-2</v>
      </c>
      <c r="AJ40" s="3"/>
      <c r="AK40" s="3"/>
      <c r="AL40" s="3"/>
    </row>
    <row r="41" spans="1:38" x14ac:dyDescent="0.45">
      <c r="A41" s="2">
        <v>45436</v>
      </c>
      <c r="B41" s="3">
        <v>4.1698216999999996E-3</v>
      </c>
      <c r="C41" s="3">
        <v>0.10079276999999999</v>
      </c>
      <c r="D41" s="3">
        <v>9.3550679999999994E-3</v>
      </c>
      <c r="E41" s="3">
        <v>7.8833102999999998E-3</v>
      </c>
      <c r="F41" s="3">
        <v>6.4935090000000001E-2</v>
      </c>
      <c r="G41" s="3">
        <v>4.6478270000000002E-2</v>
      </c>
      <c r="H41" s="3">
        <v>3.9497256000000001E-2</v>
      </c>
      <c r="I41" s="3">
        <v>9.7452279999999988E-2</v>
      </c>
      <c r="J41" s="3">
        <v>-1.3911724E-2</v>
      </c>
      <c r="K41" s="3">
        <v>1.1998653E-2</v>
      </c>
      <c r="L41" s="3">
        <v>-3.5193443000000005E-2</v>
      </c>
      <c r="M41" s="3">
        <v>7.0929049999999993E-2</v>
      </c>
      <c r="N41" s="3">
        <v>3.624165E-2</v>
      </c>
      <c r="O41" s="3">
        <v>3.3447980000000002E-2</v>
      </c>
      <c r="P41" s="3">
        <v>6.1865449999999995E-2</v>
      </c>
      <c r="Q41" s="3">
        <v>-1.3372182999999999E-2</v>
      </c>
      <c r="R41" s="3">
        <v>3.3384562000000001E-3</v>
      </c>
      <c r="S41" s="3">
        <v>8.4950919999999999E-2</v>
      </c>
      <c r="T41" s="3">
        <v>-2.6931642999999998E-2</v>
      </c>
      <c r="U41" s="3">
        <v>2.3983717000000002E-2</v>
      </c>
      <c r="V41" s="3">
        <v>-3.5079539999999999E-2</v>
      </c>
      <c r="W41" s="3">
        <v>3.2301784E-2</v>
      </c>
      <c r="X41" s="3">
        <v>4.1736959999999997E-2</v>
      </c>
      <c r="Y41" s="3">
        <v>1.5944719E-2</v>
      </c>
      <c r="Z41" s="3">
        <v>4.2635680000000002E-2</v>
      </c>
      <c r="AA41" s="3">
        <v>1.9812346000000002E-2</v>
      </c>
      <c r="AB41" s="3">
        <v>5.1806690000000002E-2</v>
      </c>
      <c r="AC41" s="3">
        <v>4.335344E-2</v>
      </c>
      <c r="AD41" s="3">
        <v>6.2529086999999997E-2</v>
      </c>
      <c r="AE41" s="3">
        <v>4.1671514999999999E-2</v>
      </c>
      <c r="AF41" s="3">
        <v>3.1964659999999999E-2</v>
      </c>
      <c r="AG41" s="3">
        <v>6.8374275999999998E-2</v>
      </c>
      <c r="AH41" s="3">
        <v>6.6018343000000007E-2</v>
      </c>
      <c r="AI41" s="3">
        <v>3.7593960000000003E-2</v>
      </c>
      <c r="AJ41" s="3"/>
      <c r="AK41" s="3"/>
      <c r="AL41" s="3"/>
    </row>
    <row r="42" spans="1:38" x14ac:dyDescent="0.45">
      <c r="A42" s="2">
        <v>45469</v>
      </c>
      <c r="B42" s="3">
        <v>-3.5267949999999999E-2</v>
      </c>
      <c r="C42" s="3">
        <v>-8.9823064999999994E-2</v>
      </c>
      <c r="D42" s="3">
        <v>-5.7751656000000005E-2</v>
      </c>
      <c r="E42" s="3">
        <v>-6.3891470000000006E-2</v>
      </c>
      <c r="F42" s="3">
        <v>-2.8920352E-2</v>
      </c>
      <c r="G42" s="3">
        <v>-3.9993167000000003E-2</v>
      </c>
      <c r="H42" s="3">
        <v>-1.8200993999999998E-2</v>
      </c>
      <c r="I42" s="3">
        <v>3.7144542000000003E-2</v>
      </c>
      <c r="J42" s="3">
        <v>-0.13906693000000001</v>
      </c>
      <c r="K42" s="3">
        <v>1.7784715E-2</v>
      </c>
      <c r="L42" s="3">
        <v>-7.1367920000000001E-2</v>
      </c>
      <c r="M42" s="3">
        <v>2.7068973E-2</v>
      </c>
      <c r="N42" s="3">
        <v>-6.5944375999999999E-2</v>
      </c>
      <c r="O42" s="3">
        <v>2.1268725000000002E-2</v>
      </c>
      <c r="P42" s="3">
        <v>-3.8705766000000003E-2</v>
      </c>
      <c r="Q42" s="3">
        <v>2.6016712000000001E-2</v>
      </c>
      <c r="R42" s="3">
        <v>-3.3221423999999999E-2</v>
      </c>
      <c r="S42" s="3">
        <v>-3.3490062000000001E-2</v>
      </c>
      <c r="T42" s="3">
        <v>3.3346415000000003E-3</v>
      </c>
      <c r="U42" s="3">
        <v>-2.5009990000000003E-2</v>
      </c>
      <c r="V42" s="3">
        <v>-7.8876020000000005E-3</v>
      </c>
      <c r="W42" s="3">
        <v>3.8623809999999999E-4</v>
      </c>
      <c r="X42" s="3">
        <v>9.4771384999999998E-5</v>
      </c>
      <c r="Y42" s="3">
        <v>-2.4858296000000002E-2</v>
      </c>
      <c r="Z42" s="3">
        <v>-3.5963296999999998E-2</v>
      </c>
      <c r="AA42" s="3">
        <v>-9.4501376000000002E-3</v>
      </c>
      <c r="AB42" s="3">
        <v>2.0977258999999998E-2</v>
      </c>
      <c r="AC42" s="3">
        <v>-1.6890347E-2</v>
      </c>
      <c r="AD42" s="3">
        <v>5.0642729999999997E-2</v>
      </c>
      <c r="AE42" s="3">
        <v>3.3681393000000004E-2</v>
      </c>
      <c r="AF42" s="3">
        <v>-6.6731570000000004E-2</v>
      </c>
      <c r="AG42" s="3">
        <v>-1.8634915000000002E-2</v>
      </c>
      <c r="AH42" s="3">
        <v>-2.0716369999999998E-2</v>
      </c>
      <c r="AI42" s="3">
        <v>-4.0210724000000003E-2</v>
      </c>
      <c r="AJ42" s="3"/>
      <c r="AK42" s="3"/>
      <c r="AL42" s="3"/>
    </row>
    <row r="43" spans="1:38" x14ac:dyDescent="0.45">
      <c r="A43" s="2">
        <v>45499</v>
      </c>
      <c r="B43" s="3">
        <v>-1.5698551999999998E-2</v>
      </c>
      <c r="C43" s="3">
        <v>-5.4117440000000004E-3</v>
      </c>
      <c r="D43" s="3">
        <v>7.7706337E-2</v>
      </c>
      <c r="E43" s="3">
        <v>7.7184080000000002E-2</v>
      </c>
      <c r="F43" s="3">
        <v>-1.5270292999999999E-2</v>
      </c>
      <c r="G43" s="3">
        <v>8.6870192999999995E-3</v>
      </c>
      <c r="H43" s="3">
        <v>3.3958912000000001E-2</v>
      </c>
      <c r="I43" s="3">
        <v>-2.7420282000000001E-2</v>
      </c>
      <c r="J43" s="3">
        <v>6.0411689999999999E-3</v>
      </c>
      <c r="K43" s="3">
        <v>-2.9122232999999999E-3</v>
      </c>
      <c r="L43" s="3">
        <v>1.3888836E-2</v>
      </c>
      <c r="M43" s="3">
        <v>1.1761904E-2</v>
      </c>
      <c r="N43" s="3">
        <v>7.5160859999999996E-2</v>
      </c>
      <c r="O43" s="3">
        <v>2.8975010000000002E-2</v>
      </c>
      <c r="P43" s="3">
        <v>-4.1589260000000003E-2</v>
      </c>
      <c r="Q43" s="3">
        <v>4.0889979999999999E-2</v>
      </c>
      <c r="R43" s="3">
        <v>-9.051323E-3</v>
      </c>
      <c r="S43" s="3">
        <v>4.0155770000000007E-2</v>
      </c>
      <c r="T43" s="3">
        <v>8.9086894999999999E-2</v>
      </c>
      <c r="U43" s="3">
        <v>-1.8729626999999999E-2</v>
      </c>
      <c r="V43" s="3">
        <v>3.4217596000000003E-2</v>
      </c>
      <c r="W43" s="3">
        <v>7.2735550000000001E-3</v>
      </c>
      <c r="X43" s="3">
        <v>1.8151878999999999E-2</v>
      </c>
      <c r="Y43" s="3">
        <v>3.7909627000000001E-2</v>
      </c>
      <c r="Z43" s="3">
        <v>3.09515E-2</v>
      </c>
      <c r="AA43" s="3">
        <v>2.050221E-2</v>
      </c>
      <c r="AB43" s="3">
        <v>3.6010027E-2</v>
      </c>
      <c r="AC43" s="3">
        <v>2.7968050000000001E-2</v>
      </c>
      <c r="AD43" s="3">
        <v>-3.6222039999999997E-2</v>
      </c>
      <c r="AE43" s="3">
        <v>-1.9614697000000002E-3</v>
      </c>
      <c r="AF43" s="3">
        <v>1.0449409999999999E-2</v>
      </c>
      <c r="AG43" s="3">
        <v>-2.8292476999999996E-2</v>
      </c>
      <c r="AH43" s="3">
        <v>-1.220429E-2</v>
      </c>
      <c r="AI43" s="3">
        <v>3.6197899999999998E-2</v>
      </c>
      <c r="AJ43" s="3"/>
      <c r="AK43" s="3"/>
      <c r="AL43" s="3"/>
    </row>
    <row r="44" spans="1:38" x14ac:dyDescent="0.45">
      <c r="A44" s="2">
        <v>45530</v>
      </c>
      <c r="B44" s="3">
        <v>-6.7783000000000001E-3</v>
      </c>
      <c r="C44" s="3">
        <v>4.4694900000000003E-2</v>
      </c>
      <c r="D44" s="3">
        <v>9.3485829999999992E-2</v>
      </c>
      <c r="E44" s="3">
        <v>9.3700889999999995E-2</v>
      </c>
      <c r="F44" s="3">
        <v>2.9337764000000002E-2</v>
      </c>
      <c r="G44" s="3">
        <v>1.4665126999999999E-3</v>
      </c>
      <c r="H44" s="3">
        <v>8.7294689999999994E-2</v>
      </c>
      <c r="I44" s="3">
        <v>3.4330725999999999E-2</v>
      </c>
      <c r="J44" s="3">
        <v>-4.3800774000000001E-2</v>
      </c>
      <c r="K44" s="3">
        <v>1.5987635E-2</v>
      </c>
      <c r="L44" s="3">
        <v>0.10670519000000001</v>
      </c>
      <c r="M44" s="3">
        <v>8.3884239999999999E-2</v>
      </c>
      <c r="N44" s="3">
        <v>5.0765276000000002E-3</v>
      </c>
      <c r="O44" s="3">
        <v>6.5118074000000007E-3</v>
      </c>
      <c r="P44" s="3">
        <v>1.090908E-2</v>
      </c>
      <c r="Q44" s="3">
        <v>1.6753316000000001E-2</v>
      </c>
      <c r="R44" s="3">
        <v>4.4063329999999998E-2</v>
      </c>
      <c r="S44" s="3">
        <v>-0.15255027999999998</v>
      </c>
      <c r="T44" s="3">
        <v>8.1799029999999988E-3</v>
      </c>
      <c r="U44" s="3">
        <v>4.1493773000000005E-2</v>
      </c>
      <c r="V44" s="3">
        <v>2.4694324E-2</v>
      </c>
      <c r="W44" s="3">
        <v>8.2713370000000008E-2</v>
      </c>
      <c r="X44" s="3">
        <v>4.8217177E-2</v>
      </c>
      <c r="Y44" s="3">
        <v>5.3221939999999995E-2</v>
      </c>
      <c r="Z44" s="3">
        <v>3.2577515000000001E-2</v>
      </c>
      <c r="AA44" s="3">
        <v>3.4066079999999999E-2</v>
      </c>
      <c r="AB44" s="3">
        <v>4.9740314000000001E-2</v>
      </c>
      <c r="AC44" s="3">
        <v>3.77568E-2</v>
      </c>
      <c r="AD44" s="3">
        <v>2.6718736E-2</v>
      </c>
      <c r="AE44" s="3">
        <v>3.0030846999999999E-2</v>
      </c>
      <c r="AF44" s="3">
        <v>3.4901738000000002E-2</v>
      </c>
      <c r="AG44" s="3">
        <v>2.8501153000000001E-2</v>
      </c>
      <c r="AH44" s="3">
        <v>5.4210779999999993E-2</v>
      </c>
      <c r="AI44" s="3">
        <v>2.1066666000000001E-2</v>
      </c>
      <c r="AJ44" s="3"/>
      <c r="AK44" s="3"/>
      <c r="AL44" s="3"/>
    </row>
    <row r="45" spans="1:38" x14ac:dyDescent="0.45">
      <c r="A45" s="2">
        <v>45561</v>
      </c>
      <c r="B45" s="3">
        <v>0.13207554999999999</v>
      </c>
      <c r="C45" s="3">
        <v>1.8229245999999998E-2</v>
      </c>
      <c r="D45" s="3">
        <v>5.50251E-2</v>
      </c>
      <c r="E45" s="3">
        <v>7.7393770000000001E-2</v>
      </c>
      <c r="F45" s="3">
        <v>1.2622237000000001E-2</v>
      </c>
      <c r="G45" s="3">
        <v>8.6497189999999988E-2</v>
      </c>
      <c r="H45" s="3">
        <v>9.0620039999999999E-2</v>
      </c>
      <c r="I45" s="3">
        <v>4.5429230000000001E-2</v>
      </c>
      <c r="J45" s="3">
        <v>1.3852953999999999E-2</v>
      </c>
      <c r="K45" s="3">
        <v>1.4979601E-2</v>
      </c>
      <c r="L45" s="3">
        <v>-3.1921864000000001E-2</v>
      </c>
      <c r="M45" s="3">
        <v>8.2439540000000006E-2</v>
      </c>
      <c r="N45" s="3">
        <v>3.1461120000000002E-2</v>
      </c>
      <c r="O45" s="3">
        <v>3.5145997999999998E-2</v>
      </c>
      <c r="P45" s="3">
        <v>0.20143878999999998</v>
      </c>
      <c r="Q45" s="3">
        <v>4.3750049999999999E-2</v>
      </c>
      <c r="R45" s="3">
        <v>6.6104410000000002E-2</v>
      </c>
      <c r="S45" s="3">
        <v>1.8774151999999999E-2</v>
      </c>
      <c r="T45" s="3">
        <v>4.3948530000000006E-2</v>
      </c>
      <c r="U45" s="3">
        <v>1.6733049999999999E-2</v>
      </c>
      <c r="V45" s="3">
        <v>1.3804436E-2</v>
      </c>
      <c r="W45" s="3">
        <v>4.2440889999999995E-3</v>
      </c>
      <c r="X45" s="3">
        <v>4.2520284999999998E-2</v>
      </c>
      <c r="Y45" s="3">
        <v>3.1954408000000004E-2</v>
      </c>
      <c r="Z45" s="3">
        <v>4.2375445000000005E-2</v>
      </c>
      <c r="AA45" s="3">
        <v>2.7593969999999999E-2</v>
      </c>
      <c r="AB45" s="3">
        <v>-4.1864514E-3</v>
      </c>
      <c r="AC45" s="3">
        <v>7.4906349999999998E-3</v>
      </c>
      <c r="AD45" s="3">
        <v>3.1169056999999997E-2</v>
      </c>
      <c r="AE45" s="3">
        <v>2.3659468000000003E-2</v>
      </c>
      <c r="AF45" s="3">
        <v>2.6729941E-2</v>
      </c>
      <c r="AG45" s="3">
        <v>1.8540621E-2</v>
      </c>
      <c r="AH45" s="3">
        <v>4.8313856000000002E-2</v>
      </c>
      <c r="AI45" s="3">
        <v>2.7161121E-2</v>
      </c>
      <c r="AJ45" s="3"/>
      <c r="AK45" s="3"/>
      <c r="AL45" s="3"/>
    </row>
    <row r="46" spans="1:38" x14ac:dyDescent="0.45">
      <c r="A46" s="2">
        <v>45590</v>
      </c>
      <c r="B46" s="3">
        <v>4.680848E-2</v>
      </c>
      <c r="C46" s="3">
        <v>-1.4249206E-2</v>
      </c>
      <c r="D46" s="3">
        <v>-5.6034509999999996E-2</v>
      </c>
      <c r="E46" s="3">
        <v>-6.5820273999999998E-2</v>
      </c>
      <c r="F46" s="3">
        <v>-0.10293531</v>
      </c>
      <c r="G46" s="3">
        <v>1.5829921E-2</v>
      </c>
      <c r="H46" s="3">
        <v>-8.0903829999999996E-2</v>
      </c>
      <c r="I46" s="3">
        <v>-1.4189482E-3</v>
      </c>
      <c r="J46" s="3">
        <v>-4.2084099999999999E-2</v>
      </c>
      <c r="K46" s="3">
        <v>-8.8551040000000011E-2</v>
      </c>
      <c r="L46" s="3">
        <v>-5.3499339999999999E-2</v>
      </c>
      <c r="M46" s="3">
        <v>-3.4777582000000001E-2</v>
      </c>
      <c r="N46" s="3">
        <v>-0.10074878</v>
      </c>
      <c r="O46" s="3">
        <v>-7.5844646000000002E-2</v>
      </c>
      <c r="P46" s="3">
        <v>-4.9900413000000003E-3</v>
      </c>
      <c r="Q46" s="3">
        <v>-2.1774710000000003E-2</v>
      </c>
      <c r="R46" s="3">
        <v>5.7662725E-3</v>
      </c>
      <c r="S46" s="3">
        <v>-9.1870010000000002E-2</v>
      </c>
      <c r="T46" s="3">
        <v>-4.5984449999999996E-2</v>
      </c>
      <c r="U46" s="3">
        <v>-6.6614446999999993E-2</v>
      </c>
      <c r="V46" s="3">
        <v>-4.2003335999999995E-2</v>
      </c>
      <c r="W46" s="3">
        <v>-3.4010828E-2</v>
      </c>
      <c r="X46" s="3">
        <v>-4.3752250000000006E-2</v>
      </c>
      <c r="Y46" s="3">
        <v>-1.2001932E-2</v>
      </c>
      <c r="Z46" s="3">
        <v>-2.9080092999999998E-2</v>
      </c>
      <c r="AA46" s="3">
        <v>-7.8777910000000007E-2</v>
      </c>
      <c r="AB46" s="3">
        <v>-3.2103956000000003E-2</v>
      </c>
      <c r="AC46" s="3">
        <v>-4.0626645000000003E-2</v>
      </c>
      <c r="AD46" s="3">
        <v>1.1951685E-2</v>
      </c>
      <c r="AE46" s="3">
        <v>1.1777043000000001E-2</v>
      </c>
      <c r="AF46" s="3">
        <v>-6.9343032999999998E-2</v>
      </c>
      <c r="AG46" s="3">
        <v>-6.3026070000000003E-2</v>
      </c>
      <c r="AH46" s="3">
        <v>-7.2324934000000007E-2</v>
      </c>
      <c r="AI46" s="3">
        <v>-2.6188731E-2</v>
      </c>
      <c r="AJ46" s="3"/>
      <c r="AK46" s="3"/>
      <c r="AL46" s="3"/>
    </row>
    <row r="47" spans="1:38" x14ac:dyDescent="0.45">
      <c r="A47" s="2">
        <v>45622</v>
      </c>
      <c r="B47" s="3">
        <v>-4.6409249999999999E-2</v>
      </c>
      <c r="C47" s="3">
        <v>-6.4492226E-2</v>
      </c>
      <c r="D47" s="3">
        <v>-8.2648390000000002E-2</v>
      </c>
      <c r="E47" s="3">
        <v>-6.8669439999999998E-2</v>
      </c>
      <c r="F47" s="3">
        <v>-2.3756086999999999E-2</v>
      </c>
      <c r="G47" s="3">
        <v>-4.2965174000000002E-2</v>
      </c>
      <c r="H47" s="3">
        <v>-2.9738307000000002E-2</v>
      </c>
      <c r="I47" s="3">
        <v>-4.9378339999999993E-2</v>
      </c>
      <c r="J47" s="3">
        <v>-6.9037676000000006E-2</v>
      </c>
      <c r="K47" s="3">
        <v>-4.1544020000000001E-2</v>
      </c>
      <c r="L47" s="3">
        <v>-2.3818016000000001E-2</v>
      </c>
      <c r="M47" s="3">
        <v>-4.8711776999999998E-2</v>
      </c>
      <c r="N47" s="3">
        <v>-1.8925071000000002E-2</v>
      </c>
      <c r="O47" s="3">
        <v>0</v>
      </c>
      <c r="P47" s="3">
        <v>-7.5225650000000005E-2</v>
      </c>
      <c r="Q47" s="3">
        <v>3.3389330000000001E-3</v>
      </c>
      <c r="R47" s="3">
        <v>-1.7199457000000001E-2</v>
      </c>
      <c r="S47" s="3">
        <v>8.5347649999999997E-2</v>
      </c>
      <c r="T47" s="3">
        <v>4.8479319999999999E-2</v>
      </c>
      <c r="U47" s="3">
        <v>-1.3434052E-2</v>
      </c>
      <c r="V47" s="3">
        <v>-1.4213442999999999E-2</v>
      </c>
      <c r="W47" s="3">
        <v>-1.2500286E-3</v>
      </c>
      <c r="X47" s="3">
        <v>6.979346E-3</v>
      </c>
      <c r="Y47" s="3">
        <v>3.4985423000000002E-2</v>
      </c>
      <c r="Z47" s="3">
        <v>-3.5452365999999999E-2</v>
      </c>
      <c r="AA47" s="3">
        <v>1.2343884000000001E-2</v>
      </c>
      <c r="AB47" s="3">
        <v>-6.7324757999999998E-2</v>
      </c>
      <c r="AC47" s="3">
        <v>-2.6293932999999999E-2</v>
      </c>
      <c r="AD47" s="3">
        <v>2.8244376000000002E-2</v>
      </c>
      <c r="AE47" s="3">
        <v>3.7320495000000002E-2</v>
      </c>
      <c r="AF47" s="3">
        <v>-6.7973795000000004E-2</v>
      </c>
      <c r="AG47" s="3">
        <v>-6.538534E-2</v>
      </c>
      <c r="AH47" s="3">
        <v>-6.6896257000000001E-2</v>
      </c>
      <c r="AI47" s="3">
        <v>-6.7101835999999998E-2</v>
      </c>
      <c r="AJ47" s="3"/>
      <c r="AK47" s="3"/>
      <c r="AL47" s="3"/>
    </row>
    <row r="48" spans="1:38" x14ac:dyDescent="0.45">
      <c r="A48" s="2">
        <v>45652</v>
      </c>
      <c r="B48" s="3">
        <v>4.0138960000000001E-2</v>
      </c>
      <c r="C48" s="3">
        <v>-2.6419162999999999E-3</v>
      </c>
      <c r="D48" s="3">
        <v>-5.9587359999999999E-2</v>
      </c>
      <c r="E48" s="3">
        <v>-2.1125436000000001E-2</v>
      </c>
      <c r="F48" s="3">
        <v>1.7975688E-2</v>
      </c>
      <c r="G48" s="3">
        <v>-2.8610170000000001E-2</v>
      </c>
      <c r="H48" s="3">
        <v>6.6931249999999994E-3</v>
      </c>
      <c r="I48" s="3">
        <v>1.5510201E-2</v>
      </c>
      <c r="J48" s="3">
        <v>2.0676255000000001E-2</v>
      </c>
      <c r="K48" s="3">
        <v>-9.1648999999999994E-2</v>
      </c>
      <c r="L48" s="3">
        <v>-0.13496970999999999</v>
      </c>
      <c r="M48" s="3">
        <v>-4.4947805E-2</v>
      </c>
      <c r="N48" s="3">
        <v>4.4753075000000003E-2</v>
      </c>
      <c r="O48" s="3">
        <v>-1.9562900000000001E-2</v>
      </c>
      <c r="P48" s="3">
        <v>5.710602E-2</v>
      </c>
      <c r="Q48" s="3">
        <v>3.5502909999999997E-3</v>
      </c>
      <c r="R48" s="3">
        <v>-2.8124452000000001E-2</v>
      </c>
      <c r="S48" s="3">
        <v>1.3605833000000001E-2</v>
      </c>
      <c r="T48" s="3">
        <v>7.2186947000000001E-2</v>
      </c>
      <c r="U48" s="3">
        <v>-3.4042597000000004E-3</v>
      </c>
      <c r="V48" s="3">
        <v>1.0560632E-2</v>
      </c>
      <c r="W48" s="3">
        <v>-3.8200438000000003E-2</v>
      </c>
      <c r="X48" s="3">
        <v>-4.7809124000000001E-2</v>
      </c>
      <c r="Y48" s="3">
        <v>-3.8439274000000002E-2</v>
      </c>
      <c r="Z48" s="3">
        <v>2.6932836000000002E-2</v>
      </c>
      <c r="AA48" s="3">
        <v>2.9983520000000001E-3</v>
      </c>
      <c r="AB48" s="3">
        <v>-1.3124526000000001E-2</v>
      </c>
      <c r="AC48" s="3">
        <v>-1.035291E-2</v>
      </c>
      <c r="AD48" s="3">
        <v>4.1498065000000001E-2</v>
      </c>
      <c r="AE48" s="3">
        <v>4.4775010000000001E-3</v>
      </c>
      <c r="AF48" s="3">
        <v>2.0762562999999998E-2</v>
      </c>
      <c r="AG48" s="3">
        <v>2.0624159999999999E-2</v>
      </c>
      <c r="AH48" s="3">
        <v>-6.0622096E-3</v>
      </c>
      <c r="AI48" s="3">
        <v>2.8678536000000001E-2</v>
      </c>
      <c r="AJ48" s="3"/>
      <c r="AK48" s="3"/>
      <c r="AL48" s="3"/>
    </row>
    <row r="49" spans="1:38" x14ac:dyDescent="0.45">
      <c r="A49" s="2">
        <v>45681</v>
      </c>
      <c r="B49" s="3">
        <v>-3.0017436000000002E-2</v>
      </c>
      <c r="C49" s="3">
        <v>7.2538853E-2</v>
      </c>
      <c r="D49" s="3">
        <v>4.7757625999999996E-3</v>
      </c>
      <c r="E49" s="3">
        <v>-3.0075192000000001E-2</v>
      </c>
      <c r="F49" s="3">
        <v>0.10590446000000001</v>
      </c>
      <c r="G49" s="3">
        <v>-2.5568008E-3</v>
      </c>
      <c r="H49" s="3">
        <v>-4.5492650000000003E-3</v>
      </c>
      <c r="I49" s="3">
        <v>1.5200495999999999E-2</v>
      </c>
      <c r="J49" s="3">
        <v>3.3870339999999999E-2</v>
      </c>
      <c r="K49" s="3">
        <v>7.5620529999999991E-2</v>
      </c>
      <c r="L49" s="3">
        <v>7.1302890000000008E-2</v>
      </c>
      <c r="M49" s="3">
        <v>1.2368798E-2</v>
      </c>
      <c r="N49" s="3">
        <v>7.7944280000000005E-2</v>
      </c>
      <c r="O49" s="3">
        <v>-4.8262890000000003E-2</v>
      </c>
      <c r="P49" s="3">
        <v>-9.1993209999999999E-3</v>
      </c>
      <c r="Q49" s="3">
        <v>1.4598607999999999E-2</v>
      </c>
      <c r="R49" s="3">
        <v>-3.1284928000000004E-2</v>
      </c>
      <c r="S49" s="3">
        <v>-4.9019455999999998E-3</v>
      </c>
      <c r="T49" s="3">
        <v>4.3530819999999998E-2</v>
      </c>
      <c r="U49" s="3">
        <v>-9.3936324000000009E-3</v>
      </c>
      <c r="V49" s="3">
        <v>3.6372185000000001E-2</v>
      </c>
      <c r="W49" s="3">
        <v>9.8900794999999993E-3</v>
      </c>
      <c r="X49" s="3">
        <v>2.4259925000000002E-2</v>
      </c>
      <c r="Y49" s="3">
        <v>3.0430554999999998E-2</v>
      </c>
      <c r="Z49" s="3">
        <v>6.6337585000000004E-2</v>
      </c>
      <c r="AA49" s="3">
        <v>1.8744469E-2</v>
      </c>
      <c r="AB49" s="3">
        <v>4.7404647000000001E-2</v>
      </c>
      <c r="AC49" s="3">
        <v>3.137827E-2</v>
      </c>
      <c r="AD49" s="3">
        <v>5.6743619999999998E-5</v>
      </c>
      <c r="AE49" s="3">
        <v>1.102531E-2</v>
      </c>
      <c r="AF49" s="3">
        <v>8.3056450000000004E-2</v>
      </c>
      <c r="AG49" s="3">
        <v>2.1427035000000001E-2</v>
      </c>
      <c r="AH49" s="3">
        <v>8.3001850000000002E-2</v>
      </c>
      <c r="AI49" s="3">
        <v>6.9060802000000004E-2</v>
      </c>
      <c r="AJ49" s="3"/>
      <c r="AK49" s="3"/>
      <c r="AL49" s="3"/>
    </row>
    <row r="50" spans="1:38" x14ac:dyDescent="0.45">
      <c r="A50" s="2">
        <v>45714</v>
      </c>
      <c r="B50" s="3">
        <v>2.5548696999999999E-2</v>
      </c>
      <c r="C50" s="3">
        <v>7.3578595999999996E-2</v>
      </c>
      <c r="D50" s="3">
        <v>-9.1492830000000011E-2</v>
      </c>
      <c r="E50" s="3">
        <v>-2.0400285999999999E-3</v>
      </c>
      <c r="F50" s="3">
        <v>0.10932206999999999</v>
      </c>
      <c r="G50" s="3">
        <v>2.6820064000000001E-2</v>
      </c>
      <c r="H50" s="3">
        <v>3.7391185999999998E-3</v>
      </c>
      <c r="I50" s="3">
        <v>-6.5506100000000001E-3</v>
      </c>
      <c r="J50" s="3">
        <v>2.8565763999999997E-2</v>
      </c>
      <c r="K50" s="3">
        <v>3.4168124000000001E-2</v>
      </c>
      <c r="L50" s="3">
        <v>2.2185682999999998E-2</v>
      </c>
      <c r="M50" s="3">
        <v>6.2701699999999999E-2</v>
      </c>
      <c r="N50" s="3">
        <v>1.0845184000000001E-2</v>
      </c>
      <c r="O50" s="3">
        <v>-3.2754539999999999E-2</v>
      </c>
      <c r="P50" s="3">
        <v>0.16902304000000001</v>
      </c>
      <c r="Q50" s="3">
        <v>1.6602278000000001E-3</v>
      </c>
      <c r="R50" s="3">
        <v>-9.0785500000000005E-2</v>
      </c>
      <c r="S50" s="3">
        <v>-7.2796940000000004E-2</v>
      </c>
      <c r="T50" s="3">
        <v>1.2166858000000001E-2</v>
      </c>
      <c r="U50" s="3">
        <v>2.4999976E-2</v>
      </c>
      <c r="V50" s="3">
        <v>-9.7526310000000012E-3</v>
      </c>
      <c r="W50" s="3">
        <v>-6.5070750000000011E-2</v>
      </c>
      <c r="X50" s="3">
        <v>-1.8867910000000002E-2</v>
      </c>
      <c r="Y50" s="3">
        <v>-5.2821636000000005E-3</v>
      </c>
      <c r="Z50" s="3">
        <v>6.2210559999999998E-2</v>
      </c>
      <c r="AA50" s="3">
        <v>1.5040873999999999E-2</v>
      </c>
      <c r="AB50" s="3">
        <v>6.5533400000000006E-2</v>
      </c>
      <c r="AC50" s="3">
        <v>4.4924736E-2</v>
      </c>
      <c r="AD50" s="3">
        <v>-2.8453827000000001E-2</v>
      </c>
      <c r="AE50" s="3">
        <v>-2.2089899000000003E-2</v>
      </c>
      <c r="AF50" s="3">
        <v>1.9683002999999998E-2</v>
      </c>
      <c r="AG50" s="3">
        <v>4.801035E-2</v>
      </c>
      <c r="AH50" s="3">
        <v>7.3702216000000001E-2</v>
      </c>
      <c r="AI50" s="3">
        <v>6.6408277000000002E-2</v>
      </c>
      <c r="AJ50" s="3"/>
      <c r="AK50" s="3"/>
      <c r="AL50" s="3"/>
    </row>
    <row r="51" spans="1:38" x14ac:dyDescent="0.45">
      <c r="A51" s="2">
        <v>45742</v>
      </c>
      <c r="B51" s="3">
        <v>-1.1929810000000001E-2</v>
      </c>
      <c r="C51" s="3">
        <v>4.7767400000000002E-2</v>
      </c>
      <c r="D51" s="3">
        <v>-3.9458214999999998E-2</v>
      </c>
      <c r="E51" s="3">
        <v>2.2976280000000002E-2</v>
      </c>
      <c r="F51" s="3">
        <v>8.5561509999999993E-2</v>
      </c>
      <c r="G51" s="3">
        <v>7.3172810000000005E-2</v>
      </c>
      <c r="H51" s="3">
        <v>-3.9321244000000005E-2</v>
      </c>
      <c r="I51" s="3">
        <v>-6.7257047E-2</v>
      </c>
      <c r="J51" s="3">
        <v>1.0098933999999999E-2</v>
      </c>
      <c r="K51" s="3">
        <v>-1.7298042999999999E-2</v>
      </c>
      <c r="L51" s="3">
        <v>5.7073949999999998E-2</v>
      </c>
      <c r="M51" s="3">
        <v>4.4685482999999998E-2</v>
      </c>
      <c r="N51" s="3">
        <v>0.14098274</v>
      </c>
      <c r="O51" s="3">
        <v>4.855168E-2</v>
      </c>
      <c r="P51" s="3">
        <v>-7.2202679999999993E-3</v>
      </c>
      <c r="Q51" s="3">
        <v>-1.7127037000000001E-2</v>
      </c>
      <c r="R51" s="3">
        <v>-3.3123791E-2</v>
      </c>
      <c r="S51" s="3">
        <v>-3.3057928E-2</v>
      </c>
      <c r="T51" s="3">
        <v>-3.2054900000000004E-2</v>
      </c>
      <c r="U51" s="3">
        <v>5.0462483999999995E-2</v>
      </c>
      <c r="V51" s="3">
        <v>-1.8256128E-2</v>
      </c>
      <c r="W51" s="3">
        <v>-1.1173188999999998E-2</v>
      </c>
      <c r="X51" s="3">
        <v>-2.9869140000000002E-2</v>
      </c>
      <c r="Y51" s="3">
        <v>-1.2068152399999999E-3</v>
      </c>
      <c r="Z51" s="3">
        <v>2.3154497E-2</v>
      </c>
      <c r="AA51" s="3">
        <v>1.7839074E-2</v>
      </c>
      <c r="AB51" s="3">
        <v>8.0722570000000011E-3</v>
      </c>
      <c r="AC51" s="3">
        <v>2.0680190000000001E-2</v>
      </c>
      <c r="AD51" s="3">
        <v>-5.7278929999999999E-2</v>
      </c>
      <c r="AE51" s="3">
        <v>-4.0771903999999998E-2</v>
      </c>
      <c r="AF51" s="3">
        <v>1.4790654E-2</v>
      </c>
      <c r="AG51" s="3">
        <v>-1.2798130000000001E-2</v>
      </c>
      <c r="AH51" s="3">
        <v>-6.1572789999999999E-3</v>
      </c>
      <c r="AI51" s="3">
        <v>3.2469153000000001E-2</v>
      </c>
      <c r="AJ51" s="3"/>
      <c r="AK51" s="3"/>
      <c r="AL51" s="3"/>
    </row>
    <row r="52" spans="1:38" x14ac:dyDescent="0.45">
      <c r="A52" s="2">
        <v>45772</v>
      </c>
      <c r="B52" s="3">
        <v>-3.2315314000000005E-2</v>
      </c>
      <c r="C52" s="3">
        <v>4.6250342999999999E-2</v>
      </c>
      <c r="D52" s="3">
        <v>2.8203607000000002E-2</v>
      </c>
      <c r="E52" s="3">
        <v>4.9476503999999998E-2</v>
      </c>
      <c r="F52" s="3">
        <v>5.7002186999999996E-2</v>
      </c>
      <c r="G52" s="3">
        <v>-1.4518500000000002E-3</v>
      </c>
      <c r="H52" s="3">
        <v>9.478687999999999E-3</v>
      </c>
      <c r="I52" s="3">
        <v>-6.4027429999999996E-2</v>
      </c>
      <c r="J52" s="3">
        <v>0.11401652999999999</v>
      </c>
      <c r="K52" s="3">
        <v>-1.7602563000000002E-2</v>
      </c>
      <c r="L52" s="3">
        <v>2.4334669999999999E-2</v>
      </c>
      <c r="M52" s="3">
        <v>4.5681000000000003E-3</v>
      </c>
      <c r="N52" s="3">
        <v>2.2717952999999999E-2</v>
      </c>
      <c r="O52" s="3">
        <v>2.8210044E-2</v>
      </c>
      <c r="P52" s="3">
        <v>-5.6181850000000005E-2</v>
      </c>
      <c r="Q52" s="3">
        <v>2.0798087E-2</v>
      </c>
      <c r="R52" s="3">
        <v>-2.6344955E-2</v>
      </c>
      <c r="S52" s="3">
        <v>-2.4420022999999999E-2</v>
      </c>
      <c r="T52" s="3">
        <v>3.311646E-2</v>
      </c>
      <c r="U52" s="3">
        <v>-3.8430689999999997E-2</v>
      </c>
      <c r="V52" s="3">
        <v>7.0956945000000002E-3</v>
      </c>
      <c r="W52" s="3">
        <v>3.0131817000000002E-2</v>
      </c>
      <c r="X52" s="3">
        <v>3.3741117000000001E-2</v>
      </c>
      <c r="Y52" s="3">
        <v>1.5949726000000001E-2</v>
      </c>
      <c r="Z52" s="3">
        <v>4.7923326000000002E-2</v>
      </c>
      <c r="AA52" s="3">
        <v>2.8264522999999999E-4</v>
      </c>
      <c r="AB52" s="3">
        <v>1.1248826999999999E-2</v>
      </c>
      <c r="AC52" s="3">
        <v>1.1463642000000001E-2</v>
      </c>
      <c r="AD52" s="3">
        <v>-2.4402319999999998E-2</v>
      </c>
      <c r="AE52" s="3">
        <v>-3.1569362000000004E-2</v>
      </c>
      <c r="AF52" s="3">
        <v>1.1610746E-2</v>
      </c>
      <c r="AG52" s="3">
        <v>1.9653081999999999E-2</v>
      </c>
      <c r="AH52" s="3">
        <v>9.1779230000000006E-4</v>
      </c>
      <c r="AI52" s="3">
        <v>3.3560157E-2</v>
      </c>
      <c r="AJ52" s="3"/>
      <c r="AK52" s="3"/>
      <c r="AL52" s="3"/>
    </row>
    <row r="53" spans="1:38" x14ac:dyDescent="0.45">
      <c r="A53" s="2">
        <v>45800</v>
      </c>
      <c r="B53" s="3">
        <v>3.4862400000000002E-2</v>
      </c>
      <c r="C53" s="3">
        <v>3.7259220000000003E-2</v>
      </c>
      <c r="D53" s="3">
        <v>0.14251637</v>
      </c>
      <c r="E53" s="3">
        <v>5.9025049999999996E-2</v>
      </c>
      <c r="F53" s="3">
        <v>-6.324947E-3</v>
      </c>
      <c r="G53" s="3">
        <v>5.2477479999999993E-2</v>
      </c>
      <c r="H53" s="3">
        <v>4.9082399999999998E-2</v>
      </c>
      <c r="I53" s="3">
        <v>0.15494179999999999</v>
      </c>
      <c r="J53" s="3">
        <v>4.711771E-2</v>
      </c>
      <c r="K53" s="3">
        <v>5.6441426000000003E-2</v>
      </c>
      <c r="L53" s="3">
        <v>2.6354790000000003E-2</v>
      </c>
      <c r="M53" s="3">
        <v>8.5572479999999992E-2</v>
      </c>
      <c r="N53" s="3">
        <v>7.4919224000000006E-2</v>
      </c>
      <c r="O53" s="3">
        <v>3.2734275E-2</v>
      </c>
      <c r="P53" s="3">
        <v>5.5287956999999999E-2</v>
      </c>
      <c r="Q53" s="3">
        <v>5.4515359999999999E-2</v>
      </c>
      <c r="R53" s="3">
        <v>1.6764522E-2</v>
      </c>
      <c r="S53" s="3">
        <v>-2.2528111999999999E-2</v>
      </c>
      <c r="T53" s="3">
        <v>5.6096196000000001E-2</v>
      </c>
      <c r="U53" s="3">
        <v>9.4088320000000003E-2</v>
      </c>
      <c r="V53" s="3">
        <v>-4.8347950000000001E-2</v>
      </c>
      <c r="W53" s="3">
        <v>3.6563157999999998E-2</v>
      </c>
      <c r="X53" s="3">
        <v>4.6511649999999995E-2</v>
      </c>
      <c r="Y53" s="3">
        <v>5.7088374999999997E-2</v>
      </c>
      <c r="Z53" s="3">
        <v>4.8272250000000003E-2</v>
      </c>
      <c r="AA53" s="3">
        <v>3.1934499999999998E-2</v>
      </c>
      <c r="AB53" s="3">
        <v>3.7518860000000001E-2</v>
      </c>
      <c r="AC53" s="3">
        <v>5.1133393999999999E-2</v>
      </c>
      <c r="AD53" s="3">
        <v>7.7619790000000008E-2</v>
      </c>
      <c r="AE53" s="3">
        <v>5.1703453000000003E-2</v>
      </c>
      <c r="AF53" s="3">
        <v>3.5409093000000003E-2</v>
      </c>
      <c r="AG53" s="3">
        <v>7.1340680000000004E-2</v>
      </c>
      <c r="AH53" s="3">
        <v>3.8972974000000001E-2</v>
      </c>
      <c r="AI53" s="3">
        <v>6.630337E-2</v>
      </c>
      <c r="AJ53" s="3"/>
      <c r="AK53" s="3"/>
      <c r="AL53" s="3"/>
    </row>
    <row r="54" spans="1:38" x14ac:dyDescent="0.45">
      <c r="A54" s="2">
        <v>45834</v>
      </c>
      <c r="B54" s="3">
        <v>2.4991154999999998E-2</v>
      </c>
      <c r="C54" s="3">
        <v>-2.7835727000000001E-2</v>
      </c>
      <c r="D54" s="3">
        <v>-6.1522303E-2</v>
      </c>
      <c r="E54" s="3">
        <v>-2.3012996000000001E-2</v>
      </c>
      <c r="F54" s="3">
        <v>7.8802346999999995E-2</v>
      </c>
      <c r="G54" s="3">
        <v>6.9931984000000003E-2</v>
      </c>
      <c r="H54" s="3">
        <v>3.7312508000000001E-5</v>
      </c>
      <c r="I54" s="3">
        <v>8.0904249999999997E-2</v>
      </c>
      <c r="J54" s="3">
        <v>1.2067794999999999E-2</v>
      </c>
      <c r="K54" s="3">
        <v>0.22014927000000001</v>
      </c>
      <c r="L54" s="3">
        <v>3.5873769999999999E-2</v>
      </c>
      <c r="M54" s="3">
        <v>2.0658970000000002E-2</v>
      </c>
      <c r="N54" s="3">
        <v>0.11422133000000001</v>
      </c>
      <c r="O54" s="3">
        <v>2.0703553999999999E-2</v>
      </c>
      <c r="P54" s="3">
        <v>2.3744345E-2</v>
      </c>
      <c r="Q54" s="3">
        <v>-9.1097950000000004E-3</v>
      </c>
      <c r="R54" s="3">
        <v>-6.0843705999999997E-2</v>
      </c>
      <c r="S54" s="3">
        <v>-1.8902182999999999E-2</v>
      </c>
      <c r="T54" s="3">
        <v>3.6741733999999998E-2</v>
      </c>
      <c r="U54" s="3">
        <v>3.5768627999999997E-2</v>
      </c>
      <c r="V54" s="3">
        <v>-9.3219280000000002E-3</v>
      </c>
      <c r="W54" s="3">
        <v>8.5783005000000002E-3</v>
      </c>
      <c r="X54" s="3">
        <v>4.6102047E-2</v>
      </c>
      <c r="Y54" s="3">
        <v>4.0211678000000001E-2</v>
      </c>
      <c r="Z54" s="3">
        <v>2.5878310000000002E-2</v>
      </c>
      <c r="AA54" s="3">
        <v>2.105713E-2</v>
      </c>
      <c r="AB54" s="3">
        <v>4.7723054999999999E-3</v>
      </c>
      <c r="AC54" s="3">
        <v>1.560843E-2</v>
      </c>
      <c r="AD54" s="3">
        <v>7.3810577000000002E-2</v>
      </c>
      <c r="AE54" s="3">
        <v>5.9700727000000002E-2</v>
      </c>
      <c r="AF54" s="3">
        <v>1.6338587000000002E-2</v>
      </c>
      <c r="AG54" s="3">
        <v>4.6507240000000005E-2</v>
      </c>
      <c r="AH54" s="3">
        <v>2.2725344000000001E-2</v>
      </c>
      <c r="AI54" s="3">
        <v>2.9102325000000002E-2</v>
      </c>
      <c r="AJ54" s="3"/>
      <c r="AK54" s="3"/>
      <c r="AL54" s="3"/>
    </row>
    <row r="55" spans="1:38" x14ac:dyDescent="0.45">
      <c r="A55" s="2">
        <v>45863</v>
      </c>
      <c r="B55" s="3">
        <v>5.2796005999999999E-2</v>
      </c>
      <c r="C55" s="3">
        <v>-2.9430568000000001E-2</v>
      </c>
      <c r="D55" s="3">
        <v>5.1399470000000006E-3</v>
      </c>
      <c r="E55" s="3">
        <v>-3.6424994000000001E-3</v>
      </c>
      <c r="F55" s="3">
        <v>5.3712486999999996E-2</v>
      </c>
      <c r="G55" s="3">
        <v>1.0226488000000001E-2</v>
      </c>
      <c r="H55" s="3">
        <v>4.9854516999999999E-3</v>
      </c>
      <c r="I55" s="3">
        <v>2.7312039999999999E-2</v>
      </c>
      <c r="J55" s="3">
        <v>1.2269855000000001E-2</v>
      </c>
      <c r="K55" s="3">
        <v>1.7653584E-2</v>
      </c>
      <c r="L55" s="3">
        <v>-4.2303559999999997E-2</v>
      </c>
      <c r="M55" s="3">
        <v>3.3220171999999999E-2</v>
      </c>
      <c r="N55" s="3">
        <v>6.3781977000000004E-2</v>
      </c>
      <c r="O55" s="3">
        <v>-3.4284710000000003E-2</v>
      </c>
      <c r="P55" s="3">
        <v>6.1037064000000002E-2</v>
      </c>
      <c r="Q55" s="3">
        <v>5.9363127000000002E-2</v>
      </c>
      <c r="R55" s="3">
        <v>9.9771499999999999E-2</v>
      </c>
      <c r="S55" s="3">
        <v>0.11924481000000001</v>
      </c>
      <c r="T55" s="3">
        <v>0.10000002000000001</v>
      </c>
      <c r="U55" s="3">
        <v>0.21013964000000002</v>
      </c>
      <c r="V55" s="3">
        <v>-1.1530339999999998E-2</v>
      </c>
      <c r="W55" s="3">
        <v>1.6131996999999999E-2</v>
      </c>
      <c r="X55" s="3">
        <v>1.8917322E-3</v>
      </c>
      <c r="Y55" s="3">
        <v>2.3736953999999998E-2</v>
      </c>
      <c r="Z55" s="3">
        <v>2.8097987000000001E-2</v>
      </c>
      <c r="AA55" s="3">
        <v>2.3117423000000002E-2</v>
      </c>
      <c r="AB55" s="3">
        <v>1.6586780000000002E-2</v>
      </c>
      <c r="AC55" s="3">
        <v>2.3935556E-2</v>
      </c>
      <c r="AD55" s="3">
        <v>3.6889909999999998E-2</v>
      </c>
      <c r="AE55" s="3">
        <v>4.1234254999999997E-2</v>
      </c>
      <c r="AF55" s="3">
        <v>3.7494063000000001E-2</v>
      </c>
      <c r="AG55" s="3">
        <v>-8.7085366000000004E-3</v>
      </c>
      <c r="AH55" s="3">
        <v>2.3163437999999998E-2</v>
      </c>
      <c r="AI55" s="3">
        <v>4.3368460000000005E-2</v>
      </c>
      <c r="AJ55" s="3"/>
      <c r="AK55" s="3"/>
      <c r="AL55" s="3"/>
    </row>
    <row r="56" spans="1:38" x14ac:dyDescent="0.45">
      <c r="A56" s="2">
        <v>45895</v>
      </c>
      <c r="B56" s="3">
        <v>8.5780259999999997E-2</v>
      </c>
      <c r="C56" s="3">
        <v>6.9215536000000008E-2</v>
      </c>
      <c r="D56" s="3">
        <v>4.4318080000000003E-2</v>
      </c>
      <c r="E56" s="3">
        <v>-2.3631632E-2</v>
      </c>
      <c r="F56" s="3">
        <v>-1.4692605000000001E-2</v>
      </c>
      <c r="G56" s="3">
        <v>7.6194286E-2</v>
      </c>
      <c r="H56" s="3">
        <v>3.8859009999999999E-2</v>
      </c>
      <c r="I56" s="3">
        <v>1.177907E-3</v>
      </c>
      <c r="J56" s="3">
        <v>6.3881874000000002E-3</v>
      </c>
      <c r="K56" s="3">
        <v>-1.1200666E-2</v>
      </c>
      <c r="L56" s="3">
        <v>6.1989664999999999E-2</v>
      </c>
      <c r="M56" s="3">
        <v>6.1380982000000001E-2</v>
      </c>
      <c r="N56" s="3">
        <v>4.5534970000000001E-2</v>
      </c>
      <c r="O56" s="3">
        <v>-2.3234189000000002E-2</v>
      </c>
      <c r="P56" s="3">
        <v>4.5647383E-2</v>
      </c>
      <c r="Q56" s="3">
        <v>2.5980710000000001E-2</v>
      </c>
      <c r="R56" s="3">
        <v>2.8024435E-2</v>
      </c>
      <c r="S56" s="3">
        <v>6.4516187000000003E-2</v>
      </c>
      <c r="T56" s="3">
        <v>-2.9484034000000003E-2</v>
      </c>
      <c r="U56" s="3">
        <v>9.0467449999999991E-2</v>
      </c>
      <c r="V56" s="3">
        <v>7.9532860000000004E-3</v>
      </c>
      <c r="W56" s="3">
        <v>-1.8698870999999999E-2</v>
      </c>
      <c r="X56" s="3">
        <v>1.85045E-2</v>
      </c>
      <c r="Y56" s="3">
        <v>2.1484852000000002E-2</v>
      </c>
      <c r="Z56" s="3">
        <v>-1.5884161000000001E-2</v>
      </c>
      <c r="AA56" s="3">
        <v>4.2811750000000003E-2</v>
      </c>
      <c r="AB56" s="3">
        <v>-9.0646743999999997E-4</v>
      </c>
      <c r="AC56" s="3">
        <v>2.7066946000000001E-2</v>
      </c>
      <c r="AD56" s="3">
        <v>1.1017561E-2</v>
      </c>
      <c r="AE56" s="3">
        <v>1.2651086000000001E-2</v>
      </c>
      <c r="AF56" s="3">
        <v>-2.6075005999999998E-2</v>
      </c>
      <c r="AG56" s="3">
        <v>5.0467249999999993E-3</v>
      </c>
      <c r="AH56" s="3">
        <v>5.6058169999999999E-3</v>
      </c>
      <c r="AI56" s="3">
        <v>3.7530184000000001E-2</v>
      </c>
      <c r="AJ56" s="3"/>
      <c r="AK56" s="3"/>
      <c r="AL56" s="3"/>
    </row>
    <row r="57" spans="1:38" x14ac:dyDescent="0.45">
      <c r="A57" s="2">
        <v>45926</v>
      </c>
      <c r="B57" s="3">
        <v>1.9143105000000001E-2</v>
      </c>
      <c r="C57" s="3">
        <v>2.2503018E-2</v>
      </c>
      <c r="D57" s="3">
        <v>-4.2437370000000002E-2</v>
      </c>
      <c r="E57" s="3">
        <v>-3.8284838000000002E-2</v>
      </c>
      <c r="F57" s="3">
        <v>-2.0998239999999998E-2</v>
      </c>
      <c r="G57" s="3">
        <v>0.11069489</v>
      </c>
      <c r="H57" s="3">
        <v>2.3875833000000003E-2</v>
      </c>
      <c r="I57" s="3">
        <v>5.4453849999999998E-2</v>
      </c>
      <c r="J57" s="3">
        <v>9.2773439999999999E-2</v>
      </c>
      <c r="K57" s="3">
        <v>8.9515209999999998E-2</v>
      </c>
      <c r="L57" s="3">
        <v>7.4099899999999996E-2</v>
      </c>
      <c r="M57" s="3">
        <v>8.9500899999999994E-2</v>
      </c>
      <c r="N57" s="3">
        <v>-1.785171E-2</v>
      </c>
      <c r="O57" s="3">
        <v>-5.7088137000000008E-3</v>
      </c>
      <c r="P57" s="3">
        <v>4.3816924000000007E-2</v>
      </c>
      <c r="Q57" s="3">
        <v>-3.5749732999999999E-2</v>
      </c>
      <c r="R57" s="3">
        <v>2.1961807999999999E-2</v>
      </c>
      <c r="S57" s="3">
        <v>-3.3361136999999999E-2</v>
      </c>
      <c r="T57" s="3">
        <v>-3.8987338999999996E-2</v>
      </c>
      <c r="U57" s="3">
        <v>-2.2828520000000001E-2</v>
      </c>
      <c r="V57" s="3">
        <v>5.0762773000000004E-2</v>
      </c>
      <c r="W57" s="3">
        <v>3.8726329999999999E-3</v>
      </c>
      <c r="X57" s="3">
        <v>-1.1123419000000001E-2</v>
      </c>
      <c r="Y57" s="3">
        <v>4.164934E-2</v>
      </c>
      <c r="Z57" s="3">
        <v>-2.207452E-2</v>
      </c>
      <c r="AA57" s="3">
        <v>1.9260048999999998E-2</v>
      </c>
      <c r="AB57" s="3">
        <v>-1.5423714999999999E-2</v>
      </c>
      <c r="AC57" s="3">
        <v>-3.8332343000000001E-3</v>
      </c>
      <c r="AD57" s="3">
        <v>4.1994930000000007E-2</v>
      </c>
      <c r="AE57" s="3">
        <v>2.8653263999999998E-2</v>
      </c>
      <c r="AF57" s="3">
        <v>2.3720026000000002E-2</v>
      </c>
      <c r="AG57" s="3">
        <v>6.2302350000000006E-2</v>
      </c>
      <c r="AH57" s="3">
        <v>1.2006879E-2</v>
      </c>
      <c r="AI57" s="3">
        <v>2.3337602999999999E-3</v>
      </c>
      <c r="AJ57" s="3"/>
      <c r="AK57" s="3"/>
      <c r="AL57" s="3"/>
    </row>
    <row r="58" spans="1:38" x14ac:dyDescent="0.45">
      <c r="A58" s="2">
        <v>45954</v>
      </c>
      <c r="B58" s="3">
        <v>2.8026222999999999E-2</v>
      </c>
      <c r="C58" s="3">
        <v>3.6177278E-2</v>
      </c>
      <c r="D58" s="3">
        <v>3.9772630000000003E-2</v>
      </c>
      <c r="E58" s="3">
        <v>-1.6719759000000001E-2</v>
      </c>
      <c r="F58" s="3">
        <v>5.4087759999999999E-2</v>
      </c>
      <c r="G58" s="3">
        <v>3.9123058000000002E-2</v>
      </c>
      <c r="H58" s="3">
        <v>-1.5545487E-3</v>
      </c>
      <c r="I58" s="3">
        <v>5.9611080000000004E-2</v>
      </c>
      <c r="J58" s="3">
        <v>-2.6362777E-2</v>
      </c>
      <c r="K58" s="3">
        <v>0.16711044</v>
      </c>
      <c r="L58" s="3">
        <v>-8.1353783999999988E-3</v>
      </c>
      <c r="M58" s="3">
        <v>2.9699802000000001E-2</v>
      </c>
      <c r="N58" s="3">
        <v>-8.6179969999999988E-3</v>
      </c>
      <c r="O58" s="3">
        <v>4.325354E-2</v>
      </c>
      <c r="P58" s="3">
        <v>2.9540062E-3</v>
      </c>
      <c r="Q58" s="3">
        <v>-6.6940784000000001E-3</v>
      </c>
      <c r="R58" s="3">
        <v>2.7503730000000001E-2</v>
      </c>
      <c r="S58" s="3">
        <v>-2.0995080000000003E-2</v>
      </c>
      <c r="T58" s="3">
        <v>5.2687049999999999E-2</v>
      </c>
      <c r="U58" s="3">
        <v>3.7606834999999998E-2</v>
      </c>
      <c r="V58" s="3">
        <v>1.9524336E-2</v>
      </c>
      <c r="W58" s="3">
        <v>5.5108069999999995E-3</v>
      </c>
      <c r="X58" s="3">
        <v>1.91226E-2</v>
      </c>
      <c r="Y58" s="3">
        <v>1.6393423000000001E-2</v>
      </c>
      <c r="Z58" s="3">
        <v>9.4660520000000008E-3</v>
      </c>
      <c r="AA58" s="3">
        <v>2.5609136000000001E-2</v>
      </c>
      <c r="AB58" s="3">
        <v>5.2709219999999994E-2</v>
      </c>
      <c r="AC58" s="3">
        <v>2.8859973000000001E-2</v>
      </c>
      <c r="AD58" s="3">
        <v>3.5454869999999999E-2</v>
      </c>
      <c r="AE58" s="3">
        <v>2.3314476000000001E-2</v>
      </c>
      <c r="AF58" s="3">
        <v>3.4870386000000003E-2</v>
      </c>
      <c r="AG58" s="3">
        <v>3.1337499999999997E-2</v>
      </c>
      <c r="AH58" s="3">
        <v>3.5169482000000002E-2</v>
      </c>
      <c r="AI58" s="3">
        <v>-5.2386519999999999E-3</v>
      </c>
      <c r="AJ58" s="3"/>
      <c r="AK58" s="3"/>
      <c r="AL58" s="3"/>
    </row>
    <row r="59" spans="1:38" x14ac:dyDescent="0.45">
      <c r="A59" s="2">
        <v>45987</v>
      </c>
      <c r="B59" s="3">
        <v>-2.581203E-2</v>
      </c>
      <c r="C59" s="3">
        <v>9.4268319999999989E-2</v>
      </c>
      <c r="D59" s="3">
        <v>3.1147600000000001E-2</v>
      </c>
      <c r="E59" s="3">
        <v>1.2955426999999999E-2</v>
      </c>
      <c r="F59" s="3">
        <v>4.7184230000000002E-3</v>
      </c>
      <c r="G59" s="3">
        <v>2.4018168000000003E-2</v>
      </c>
      <c r="H59" s="3">
        <v>3.6979318000000004E-2</v>
      </c>
      <c r="I59" s="3">
        <v>-4.2418838E-2</v>
      </c>
      <c r="J59" s="3">
        <v>3.8396715999999997E-2</v>
      </c>
      <c r="K59" s="3">
        <v>-5.4318310000000007E-3</v>
      </c>
      <c r="L59" s="3">
        <v>9.809720999999999E-2</v>
      </c>
      <c r="M59" s="3">
        <v>4.0656686000000004E-2</v>
      </c>
      <c r="N59" s="3">
        <v>4.5519233000000006E-2</v>
      </c>
      <c r="O59" s="3">
        <v>2.9352903000000002E-3</v>
      </c>
      <c r="P59" s="3">
        <v>-4.0303890000000002E-2</v>
      </c>
      <c r="Q59" s="3">
        <v>-2.0995377999999999E-2</v>
      </c>
      <c r="R59" s="3">
        <v>-4.0132103000000002E-2</v>
      </c>
      <c r="S59" s="3">
        <v>-1.3219774E-2</v>
      </c>
      <c r="T59" s="3">
        <v>-7.2572526999999998E-2</v>
      </c>
      <c r="U59" s="3">
        <v>1.6474723999999998E-3</v>
      </c>
      <c r="V59" s="3">
        <v>-8.2248929999999998E-2</v>
      </c>
      <c r="W59" s="3">
        <v>-3.1787753000000001E-3</v>
      </c>
      <c r="X59" s="3">
        <v>-5.0036789999999998E-2</v>
      </c>
      <c r="Y59" s="3">
        <v>2.7734041000000001E-2</v>
      </c>
      <c r="Z59" s="3">
        <v>-2.3803830000000002E-2</v>
      </c>
      <c r="AA59" s="3">
        <v>9.2121359999999992E-3</v>
      </c>
      <c r="AB59" s="3">
        <v>7.5280665999999993E-3</v>
      </c>
      <c r="AC59" s="3">
        <v>4.9089193E-3</v>
      </c>
      <c r="AD59" s="3">
        <v>-4.5859218E-3</v>
      </c>
      <c r="AE59" s="3">
        <v>3.5880804000000001E-3</v>
      </c>
      <c r="AF59" s="3">
        <v>-1.5074252999999999E-2</v>
      </c>
      <c r="AG59" s="3">
        <v>-1.9012034000000001E-2</v>
      </c>
      <c r="AH59" s="3">
        <v>-2.9267310000000001E-2</v>
      </c>
      <c r="AI59" s="3">
        <v>2.4770856000000001E-2</v>
      </c>
      <c r="AJ59" s="3"/>
      <c r="AK59" s="3"/>
      <c r="AL59" s="3"/>
    </row>
    <row r="60" spans="1:38" x14ac:dyDescent="0.45">
      <c r="A60" s="2">
        <v>46017</v>
      </c>
      <c r="B60" s="3">
        <v>5.0476789999999994E-2</v>
      </c>
      <c r="C60" s="3">
        <v>7.2988510000000006E-2</v>
      </c>
      <c r="D60" s="3">
        <v>-1.2726128000000001E-2</v>
      </c>
      <c r="E60" s="3">
        <v>1.0334015E-2</v>
      </c>
      <c r="F60" s="3">
        <v>6.8278790000000006E-2</v>
      </c>
      <c r="G60" s="3">
        <v>0.17389510999999999</v>
      </c>
      <c r="H60" s="3">
        <v>5.4013850000000002E-2</v>
      </c>
      <c r="I60" s="3">
        <v>3.5559177000000004E-2</v>
      </c>
      <c r="J60" s="3">
        <v>6.8546176E-2</v>
      </c>
      <c r="K60" s="3">
        <v>7.0681333999999998E-2</v>
      </c>
      <c r="L60" s="3">
        <v>-2.1182895E-2</v>
      </c>
      <c r="M60" s="3">
        <v>9.3540430000000008E-2</v>
      </c>
      <c r="N60" s="3">
        <v>3.7188171999999999E-2</v>
      </c>
      <c r="O60" s="3">
        <v>-1.5181959E-2</v>
      </c>
      <c r="P60" s="3">
        <v>1.8467902999999999E-3</v>
      </c>
      <c r="Q60" s="3">
        <v>1.1050463E-2</v>
      </c>
      <c r="R60" s="3">
        <v>-1.5303493000000002E-3</v>
      </c>
      <c r="S60" s="3">
        <v>4.5543550000000002E-2</v>
      </c>
      <c r="T60" s="3">
        <v>6.4828753000000003E-2</v>
      </c>
      <c r="U60" s="3">
        <v>1.0831713999999999E-2</v>
      </c>
      <c r="V60" s="3">
        <v>-9.7549560000000004E-3</v>
      </c>
      <c r="W60" s="3">
        <v>1.8537998E-2</v>
      </c>
      <c r="X60" s="3">
        <v>5.1061389999999998E-2</v>
      </c>
      <c r="Y60" s="3">
        <v>5.8205365999999994E-2</v>
      </c>
      <c r="Z60" s="3">
        <v>5.0492644000000003E-2</v>
      </c>
      <c r="AA60" s="3">
        <v>9.3191860000000001E-3</v>
      </c>
      <c r="AB60" s="3">
        <v>5.1954865000000003E-2</v>
      </c>
      <c r="AC60" s="3">
        <v>4.9044249999999998E-2</v>
      </c>
      <c r="AD60" s="3">
        <v>1.6963362999999999E-2</v>
      </c>
      <c r="AE60" s="3">
        <v>1.8614411000000001E-2</v>
      </c>
      <c r="AF60" s="3">
        <v>2.204132E-2</v>
      </c>
      <c r="AG60" s="3">
        <v>2.6987790000000001E-2</v>
      </c>
      <c r="AH60" s="3">
        <v>5.9854627000000001E-2</v>
      </c>
      <c r="AI60" s="3">
        <v>5.3211926999999999E-2</v>
      </c>
      <c r="AJ60" s="3"/>
      <c r="AK60" s="3"/>
      <c r="AL60" s="3"/>
    </row>
    <row r="61" spans="1:38" x14ac:dyDescent="0.45">
      <c r="A61" s="2">
        <v>46048</v>
      </c>
      <c r="B61" s="3">
        <v>2.5064945000000002E-2</v>
      </c>
      <c r="C61" s="3">
        <v>0.16332042999999999</v>
      </c>
      <c r="D61" s="3">
        <v>4.0594935000000006E-2</v>
      </c>
      <c r="E61" s="3">
        <v>3.7878870000000002E-2</v>
      </c>
      <c r="F61" s="3">
        <v>7.2159169999999995E-2</v>
      </c>
      <c r="G61" s="3">
        <v>0.22583711999999997</v>
      </c>
      <c r="H61" s="3">
        <v>6.7293763000000006E-2</v>
      </c>
      <c r="I61" s="3">
        <v>0.10980642</v>
      </c>
      <c r="J61" s="3">
        <v>7.8004119999999996E-2</v>
      </c>
      <c r="K61" s="3">
        <v>0.22412360000000001</v>
      </c>
      <c r="L61" s="3">
        <v>0.15762746999999999</v>
      </c>
      <c r="M61" s="3">
        <v>0.1005547</v>
      </c>
      <c r="N61" s="3">
        <v>8.7296119999999991E-2</v>
      </c>
      <c r="O61" s="3">
        <v>-4.4576526000000005E-2</v>
      </c>
      <c r="P61" s="3">
        <v>2.2686481000000001E-2</v>
      </c>
      <c r="Q61" s="3">
        <v>5.6824803E-2</v>
      </c>
      <c r="R61" s="3">
        <v>3.7974953999999998E-2</v>
      </c>
      <c r="S61" s="3">
        <v>0.14672041</v>
      </c>
      <c r="T61" s="3">
        <v>4.4523954000000004E-2</v>
      </c>
      <c r="U61" s="3">
        <v>2.7717352000000001E-2</v>
      </c>
      <c r="V61" s="3">
        <v>8.3128209999999994E-2</v>
      </c>
      <c r="W61" s="3">
        <v>2.4928927E-2</v>
      </c>
      <c r="X61" s="3">
        <v>3.5232424999999998E-2</v>
      </c>
      <c r="Y61" s="3">
        <v>1.6240834999999999E-2</v>
      </c>
      <c r="Z61" s="3">
        <v>2.7901530000000001E-2</v>
      </c>
      <c r="AA61" s="3">
        <v>4.5201900000000003E-2</v>
      </c>
      <c r="AB61" s="3">
        <v>1.0736704E-2</v>
      </c>
      <c r="AC61" s="3">
        <v>3.594029E-2</v>
      </c>
      <c r="AD61" s="3">
        <v>2.5165080000000002E-3</v>
      </c>
      <c r="AE61" s="3">
        <v>3.5055876000000003E-3</v>
      </c>
      <c r="AF61" s="3">
        <v>1.0402918000000001E-2</v>
      </c>
      <c r="AG61" s="3">
        <v>9.8845370000000002E-2</v>
      </c>
      <c r="AH61" s="3">
        <v>6.1832786000000001E-2</v>
      </c>
      <c r="AI61" s="3">
        <v>1.4097452E-2</v>
      </c>
      <c r="AJ61" s="3"/>
      <c r="AK61" s="3"/>
      <c r="AL61" s="3"/>
    </row>
    <row r="62" spans="1:38" x14ac:dyDescent="0.45">
      <c r="A62" s="2">
        <v>46079</v>
      </c>
      <c r="B62" s="3">
        <v>1.0680080000000002E-2</v>
      </c>
      <c r="C62" s="3">
        <v>-5.2159013999999997E-2</v>
      </c>
      <c r="D62" s="3">
        <v>-6.8229256000000002E-2</v>
      </c>
      <c r="E62" s="3">
        <v>8.1444500000000003E-2</v>
      </c>
      <c r="F62" s="3">
        <v>1.1923551999999999E-2</v>
      </c>
      <c r="G62" s="3">
        <v>3.3506513000000002E-2</v>
      </c>
      <c r="H62" s="3">
        <v>5.084753E-3</v>
      </c>
      <c r="I62" s="3">
        <v>8.8647370000000003E-2</v>
      </c>
      <c r="J62" s="3">
        <v>5.162978E-2</v>
      </c>
      <c r="K62" s="3">
        <v>0.28204918000000001</v>
      </c>
      <c r="L62" s="3">
        <v>6.8014144999999998E-2</v>
      </c>
      <c r="M62" s="3">
        <v>4.3680549999999999E-2</v>
      </c>
      <c r="N62" s="3">
        <v>-1.4097989E-2</v>
      </c>
      <c r="O62" s="3">
        <v>2.2161841000000002E-2</v>
      </c>
      <c r="P62" s="3">
        <v>-5.4739895000000004E-2</v>
      </c>
      <c r="Q62" s="3">
        <v>-2.0915865999999998E-2</v>
      </c>
      <c r="R62" s="3">
        <v>0.17334198000000001</v>
      </c>
      <c r="S62" s="3">
        <v>3.4370302999999998E-2</v>
      </c>
      <c r="T62" s="3">
        <v>5.5365086000000001E-2</v>
      </c>
      <c r="U62" s="3">
        <v>1.3220549E-2</v>
      </c>
      <c r="V62" s="3">
        <v>-6.2610445000000001E-2</v>
      </c>
      <c r="W62" s="3">
        <v>7.5740814E-3</v>
      </c>
      <c r="X62" s="3">
        <v>9.1238139999999995E-2</v>
      </c>
      <c r="Y62" s="3">
        <v>4.4173119999999996E-2</v>
      </c>
      <c r="Z62" s="3">
        <v>1.6423344999999999E-2</v>
      </c>
      <c r="AA62" s="3">
        <v>9.2756749999999999E-2</v>
      </c>
      <c r="AB62" s="3">
        <v>5.6218266000000003E-2</v>
      </c>
      <c r="AC62" s="3">
        <v>6.065893E-2</v>
      </c>
      <c r="AD62" s="3">
        <v>-2.5932968000000001E-2</v>
      </c>
      <c r="AE62" s="3">
        <v>-4.9514173999999998E-3</v>
      </c>
      <c r="AF62" s="3">
        <v>5.9145570000000001E-2</v>
      </c>
      <c r="AG62" s="3">
        <v>3.8210154000000002E-3</v>
      </c>
      <c r="AH62" s="3">
        <v>3.4901380000000003E-2</v>
      </c>
      <c r="AI62" s="3">
        <v>4.5856714E-2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1.0680080000000002E-2</v>
      </c>
      <c r="C67" s="3">
        <f t="shared" ref="C67:AI67" si="2">C62</f>
        <v>-5.2159013999999997E-2</v>
      </c>
      <c r="D67" s="3">
        <f t="shared" si="2"/>
        <v>-6.8229256000000002E-2</v>
      </c>
      <c r="E67" s="3">
        <f t="shared" si="2"/>
        <v>8.1444500000000003E-2</v>
      </c>
      <c r="F67" s="3">
        <f t="shared" si="2"/>
        <v>1.1923551999999999E-2</v>
      </c>
      <c r="G67" s="3">
        <f t="shared" si="2"/>
        <v>3.3506513000000002E-2</v>
      </c>
      <c r="H67" s="3">
        <f t="shared" si="2"/>
        <v>5.084753E-3</v>
      </c>
      <c r="I67" s="3">
        <f t="shared" si="2"/>
        <v>8.8647370000000003E-2</v>
      </c>
      <c r="J67" s="3">
        <f t="shared" si="2"/>
        <v>5.162978E-2</v>
      </c>
      <c r="K67" s="3">
        <f t="shared" si="2"/>
        <v>0.28204918000000001</v>
      </c>
      <c r="L67" s="3">
        <f t="shared" si="2"/>
        <v>6.8014144999999998E-2</v>
      </c>
      <c r="M67" s="3">
        <f t="shared" si="2"/>
        <v>4.3680549999999999E-2</v>
      </c>
      <c r="N67" s="3">
        <f t="shared" si="2"/>
        <v>-1.4097989E-2</v>
      </c>
      <c r="O67" s="3">
        <f t="shared" si="2"/>
        <v>2.2161841000000002E-2</v>
      </c>
      <c r="P67" s="3">
        <f t="shared" si="2"/>
        <v>-5.4739895000000004E-2</v>
      </c>
      <c r="Q67" s="3">
        <f t="shared" si="2"/>
        <v>-2.0915865999999998E-2</v>
      </c>
      <c r="R67" s="3">
        <f t="shared" si="2"/>
        <v>0.17334198000000001</v>
      </c>
      <c r="S67" s="3">
        <f t="shared" si="2"/>
        <v>3.4370302999999998E-2</v>
      </c>
      <c r="T67" s="3">
        <f t="shared" si="2"/>
        <v>5.5365086000000001E-2</v>
      </c>
      <c r="U67" s="3">
        <f t="shared" si="2"/>
        <v>1.3220549E-2</v>
      </c>
      <c r="V67" s="3">
        <f t="shared" si="2"/>
        <v>-6.2610445000000001E-2</v>
      </c>
      <c r="W67" s="3">
        <f t="shared" si="2"/>
        <v>7.5740814E-3</v>
      </c>
      <c r="X67" s="3">
        <f t="shared" si="2"/>
        <v>9.1238139999999995E-2</v>
      </c>
      <c r="Y67" s="3">
        <f t="shared" si="2"/>
        <v>4.4173119999999996E-2</v>
      </c>
      <c r="Z67" s="3">
        <f t="shared" si="2"/>
        <v>1.6423344999999999E-2</v>
      </c>
      <c r="AA67" s="3">
        <f t="shared" si="2"/>
        <v>9.2756749999999999E-2</v>
      </c>
      <c r="AB67" s="3">
        <f t="shared" si="2"/>
        <v>5.6218266000000003E-2</v>
      </c>
      <c r="AC67" s="3">
        <f t="shared" si="2"/>
        <v>6.065893E-2</v>
      </c>
      <c r="AD67" s="3">
        <f t="shared" si="2"/>
        <v>-2.5932968000000001E-2</v>
      </c>
      <c r="AE67" s="3">
        <f t="shared" si="2"/>
        <v>-4.9514173999999998E-3</v>
      </c>
      <c r="AF67" s="3">
        <f t="shared" si="2"/>
        <v>5.9145570000000001E-2</v>
      </c>
      <c r="AG67" s="3">
        <f t="shared" si="2"/>
        <v>3.8210154000000002E-3</v>
      </c>
      <c r="AH67" s="3">
        <f t="shared" si="2"/>
        <v>3.4901380000000003E-2</v>
      </c>
      <c r="AI67" s="3">
        <f t="shared" si="2"/>
        <v>4.5856714E-2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-3.2915534426229546E-4</v>
      </c>
      <c r="C68" s="4">
        <f t="shared" si="3"/>
        <v>1.2542045759016395E-2</v>
      </c>
      <c r="D68" s="4">
        <f t="shared" si="3"/>
        <v>-7.7837701213114799E-4</v>
      </c>
      <c r="E68" s="4">
        <f t="shared" si="3"/>
        <v>1.179009218524591E-3</v>
      </c>
      <c r="F68" s="4">
        <f t="shared" si="3"/>
        <v>1.7273244807377058E-2</v>
      </c>
      <c r="G68" s="4">
        <f t="shared" si="3"/>
        <v>2.2693301331147542E-2</v>
      </c>
      <c r="H68" s="4">
        <f t="shared" si="3"/>
        <v>5.3361486845573784E-3</v>
      </c>
      <c r="I68" s="4">
        <f t="shared" si="3"/>
        <v>1.2767100045901637E-2</v>
      </c>
      <c r="J68" s="4">
        <f t="shared" si="3"/>
        <v>1.4694993688524588E-2</v>
      </c>
      <c r="K68" s="4">
        <f t="shared" si="3"/>
        <v>1.2675908927868851E-2</v>
      </c>
      <c r="L68" s="4">
        <f t="shared" si="3"/>
        <v>1.1314681875409837E-2</v>
      </c>
      <c r="M68" s="4">
        <f t="shared" si="3"/>
        <v>1.551073180327869E-2</v>
      </c>
      <c r="N68" s="4">
        <f t="shared" si="3"/>
        <v>2.3045537496721322E-2</v>
      </c>
      <c r="O68" s="4">
        <f t="shared" si="3"/>
        <v>6.1027223747540981E-3</v>
      </c>
      <c r="P68" s="4">
        <f t="shared" si="3"/>
        <v>-2.5335414655737729E-3</v>
      </c>
      <c r="Q68" s="4">
        <f t="shared" si="3"/>
        <v>4.8291514573770488E-3</v>
      </c>
      <c r="R68" s="4">
        <f t="shared" si="3"/>
        <v>9.9785786393442682E-4</v>
      </c>
      <c r="S68" s="4">
        <f t="shared" si="3"/>
        <v>1.2402621899999999E-2</v>
      </c>
      <c r="T68" s="4">
        <f t="shared" si="3"/>
        <v>1.2624153060983606E-2</v>
      </c>
      <c r="U68" s="4">
        <f t="shared" si="3"/>
        <v>4.0210105770491795E-3</v>
      </c>
      <c r="V68" s="4">
        <f t="shared" si="3"/>
        <v>6.1484838639344229E-3</v>
      </c>
      <c r="W68" s="4">
        <f t="shared" si="3"/>
        <v>-3.5213659672131141E-3</v>
      </c>
      <c r="X68" s="4">
        <f t="shared" si="3"/>
        <v>7.8397893669672099E-3</v>
      </c>
      <c r="Y68" s="4">
        <f t="shared" si="3"/>
        <v>1.2701969564918033E-2</v>
      </c>
      <c r="Z68" s="4">
        <f t="shared" si="3"/>
        <v>8.5445405767213111E-3</v>
      </c>
      <c r="AA68" s="4">
        <f t="shared" si="3"/>
        <v>7.6124985083606553E-3</v>
      </c>
      <c r="AB68" s="4">
        <f t="shared" si="3"/>
        <v>8.234914110819674E-3</v>
      </c>
      <c r="AC68" s="4">
        <f t="shared" si="3"/>
        <v>1.1748564063934428E-2</v>
      </c>
      <c r="AD68" s="4">
        <f t="shared" si="3"/>
        <v>1.1941839574098364E-2</v>
      </c>
      <c r="AE68" s="4">
        <f t="shared" si="3"/>
        <v>1.1471608601639344E-2</v>
      </c>
      <c r="AF68" s="4">
        <f t="shared" si="3"/>
        <v>9.8165923245901645E-3</v>
      </c>
      <c r="AG68" s="4">
        <f t="shared" si="3"/>
        <v>9.5285599213114774E-3</v>
      </c>
      <c r="AH68" s="4">
        <f t="shared" si="3"/>
        <v>8.7136856885245903E-3</v>
      </c>
      <c r="AI68" s="4">
        <f t="shared" si="3"/>
        <v>1.5567564518032786E-2</v>
      </c>
    </row>
    <row r="69" spans="1:38" x14ac:dyDescent="0.45">
      <c r="A69" t="s">
        <v>21</v>
      </c>
      <c r="B69" s="4">
        <f t="shared" ref="B69:AI69" si="4">STDEV(B40:B62)</f>
        <v>4.1765781091394359E-2</v>
      </c>
      <c r="C69" s="4">
        <f t="shared" si="4"/>
        <v>5.8888413731976785E-2</v>
      </c>
      <c r="D69" s="4">
        <f t="shared" si="4"/>
        <v>6.5243377069070199E-2</v>
      </c>
      <c r="E69" s="4">
        <f t="shared" si="4"/>
        <v>5.1107261830076793E-2</v>
      </c>
      <c r="F69" s="4">
        <f t="shared" si="4"/>
        <v>5.0977606697101087E-2</v>
      </c>
      <c r="G69" s="4">
        <f t="shared" si="4"/>
        <v>6.3681280615832989E-2</v>
      </c>
      <c r="H69" s="4">
        <f t="shared" si="4"/>
        <v>3.9836211251369692E-2</v>
      </c>
      <c r="I69" s="4">
        <f t="shared" si="4"/>
        <v>5.794255461014633E-2</v>
      </c>
      <c r="J69" s="4">
        <f t="shared" si="4"/>
        <v>5.5481431381155258E-2</v>
      </c>
      <c r="K69" s="4">
        <f t="shared" si="4"/>
        <v>9.8315768581255639E-2</v>
      </c>
      <c r="L69" s="4">
        <f t="shared" si="4"/>
        <v>6.6459590124357953E-2</v>
      </c>
      <c r="M69" s="4">
        <f t="shared" si="4"/>
        <v>4.3139402809816985E-2</v>
      </c>
      <c r="N69" s="4">
        <f t="shared" si="4"/>
        <v>5.5053124793209909E-2</v>
      </c>
      <c r="O69" s="4">
        <f t="shared" si="4"/>
        <v>3.3728073134705931E-2</v>
      </c>
      <c r="P69" s="4">
        <f t="shared" si="4"/>
        <v>6.7122456034105715E-2</v>
      </c>
      <c r="Q69" s="4">
        <f t="shared" si="4"/>
        <v>2.8619692806999077E-2</v>
      </c>
      <c r="R69" s="4">
        <f t="shared" si="4"/>
        <v>5.5597764298691808E-2</v>
      </c>
      <c r="S69" s="4">
        <f t="shared" si="4"/>
        <v>7.3179777753450151E-2</v>
      </c>
      <c r="T69" s="4">
        <f t="shared" si="4"/>
        <v>4.788567352846005E-2</v>
      </c>
      <c r="U69" s="4">
        <f t="shared" si="4"/>
        <v>6.1384976986028794E-2</v>
      </c>
      <c r="V69" s="4">
        <f t="shared" si="4"/>
        <v>3.7457714150982022E-2</v>
      </c>
      <c r="W69" s="4">
        <f t="shared" si="4"/>
        <v>2.9737574346302174E-2</v>
      </c>
      <c r="X69" s="4">
        <f t="shared" si="4"/>
        <v>3.6820136826302016E-2</v>
      </c>
      <c r="Y69" s="4">
        <f t="shared" si="4"/>
        <v>2.5541184210302943E-2</v>
      </c>
      <c r="Z69" s="4">
        <f t="shared" si="4"/>
        <v>3.2388643498406561E-2</v>
      </c>
      <c r="AA69" s="4">
        <f t="shared" si="4"/>
        <v>3.3080420655912289E-2</v>
      </c>
      <c r="AB69" s="4">
        <f t="shared" si="4"/>
        <v>3.3601490453013069E-2</v>
      </c>
      <c r="AC69" s="4">
        <f t="shared" si="4"/>
        <v>2.5877556126569393E-2</v>
      </c>
      <c r="AD69" s="4">
        <f t="shared" si="4"/>
        <v>3.6555649081209909E-2</v>
      </c>
      <c r="AE69" s="4">
        <f t="shared" si="4"/>
        <v>2.6212652445007582E-2</v>
      </c>
      <c r="AF69" s="4">
        <f t="shared" si="4"/>
        <v>3.8469946659944083E-2</v>
      </c>
      <c r="AG69" s="4">
        <f t="shared" si="4"/>
        <v>4.1249870109522503E-2</v>
      </c>
      <c r="AH69" s="4">
        <f t="shared" si="4"/>
        <v>4.3353995727818596E-2</v>
      </c>
      <c r="AI69" s="4">
        <f t="shared" si="4"/>
        <v>3.4249464357961924E-2</v>
      </c>
    </row>
    <row r="70" spans="1:38" x14ac:dyDescent="0.45">
      <c r="A70" t="s">
        <v>36</v>
      </c>
      <c r="B70" s="3">
        <f>B69*2</f>
        <v>8.3531562182788718E-2</v>
      </c>
      <c r="C70" s="3">
        <f t="shared" ref="C70:AI70" si="5">C69*2</f>
        <v>0.11777682746395357</v>
      </c>
      <c r="D70" s="3">
        <f t="shared" si="5"/>
        <v>0.1304867541381404</v>
      </c>
      <c r="E70" s="3">
        <f t="shared" si="5"/>
        <v>0.10221452366015359</v>
      </c>
      <c r="F70" s="3">
        <f t="shared" si="5"/>
        <v>0.10195521339420217</v>
      </c>
      <c r="G70" s="3">
        <f t="shared" si="5"/>
        <v>0.12736256123166598</v>
      </c>
      <c r="H70" s="3">
        <f t="shared" si="5"/>
        <v>7.9672422502739385E-2</v>
      </c>
      <c r="I70" s="3">
        <f t="shared" si="5"/>
        <v>0.11588510922029266</v>
      </c>
      <c r="J70" s="3">
        <f t="shared" si="5"/>
        <v>0.11096286276231052</v>
      </c>
      <c r="K70" s="3">
        <f t="shared" si="5"/>
        <v>0.19663153716251128</v>
      </c>
      <c r="L70" s="3">
        <f t="shared" si="5"/>
        <v>0.13291918024871591</v>
      </c>
      <c r="M70" s="3">
        <f t="shared" si="5"/>
        <v>8.6278805619633969E-2</v>
      </c>
      <c r="N70" s="3">
        <f t="shared" si="5"/>
        <v>0.11010624958641982</v>
      </c>
      <c r="O70" s="3">
        <f t="shared" si="5"/>
        <v>6.7456146269411862E-2</v>
      </c>
      <c r="P70" s="3">
        <f t="shared" si="5"/>
        <v>0.13424491206821143</v>
      </c>
      <c r="Q70" s="3">
        <f t="shared" si="5"/>
        <v>5.7239385613998155E-2</v>
      </c>
      <c r="R70" s="3">
        <f t="shared" si="5"/>
        <v>0.11119552859738362</v>
      </c>
      <c r="S70" s="3">
        <f t="shared" si="5"/>
        <v>0.1463595555069003</v>
      </c>
      <c r="T70" s="3">
        <f t="shared" si="5"/>
        <v>9.57713470569201E-2</v>
      </c>
      <c r="U70" s="3">
        <f t="shared" si="5"/>
        <v>0.12276995397205759</v>
      </c>
      <c r="V70" s="3">
        <f t="shared" si="5"/>
        <v>7.4915428301964043E-2</v>
      </c>
      <c r="W70" s="3">
        <f t="shared" si="5"/>
        <v>5.9475148692604347E-2</v>
      </c>
      <c r="X70" s="3">
        <f t="shared" si="5"/>
        <v>7.3640273652604032E-2</v>
      </c>
      <c r="Y70" s="3">
        <f t="shared" si="5"/>
        <v>5.1082368420605886E-2</v>
      </c>
      <c r="Z70" s="3">
        <f t="shared" si="5"/>
        <v>6.4777286996813122E-2</v>
      </c>
      <c r="AA70" s="3">
        <f t="shared" si="5"/>
        <v>6.6160841311824578E-2</v>
      </c>
      <c r="AB70" s="3">
        <f t="shared" si="5"/>
        <v>6.7202980906026138E-2</v>
      </c>
      <c r="AC70" s="3">
        <f t="shared" si="5"/>
        <v>5.1755112253138787E-2</v>
      </c>
      <c r="AD70" s="3">
        <f t="shared" si="5"/>
        <v>7.3111298162419819E-2</v>
      </c>
      <c r="AE70" s="3">
        <f t="shared" si="5"/>
        <v>5.2425304890015165E-2</v>
      </c>
      <c r="AF70" s="3">
        <f t="shared" si="5"/>
        <v>7.6939893319888167E-2</v>
      </c>
      <c r="AG70" s="3">
        <f t="shared" si="5"/>
        <v>8.2499740219045006E-2</v>
      </c>
      <c r="AH70" s="3">
        <f t="shared" si="5"/>
        <v>8.6707991455637193E-2</v>
      </c>
      <c r="AI70" s="3">
        <f t="shared" si="5"/>
        <v>6.8498928715923849E-2</v>
      </c>
    </row>
    <row r="71" spans="1:38" x14ac:dyDescent="0.45">
      <c r="A71" t="s">
        <v>79</v>
      </c>
      <c r="B71">
        <f>PRICE_DATA!B2</f>
        <v>35.96</v>
      </c>
      <c r="C71">
        <f>PRICE_DATA!C2</f>
        <v>44.34</v>
      </c>
      <c r="D71">
        <f>PRICE_DATA!D2</f>
        <v>17.89</v>
      </c>
      <c r="E71">
        <f>PRICE_DATA!E2</f>
        <v>28.15</v>
      </c>
      <c r="F71">
        <f>PRICE_DATA!F2</f>
        <v>38.19</v>
      </c>
      <c r="G71">
        <f>PRICE_DATA!G2</f>
        <v>93.46</v>
      </c>
      <c r="H71">
        <f>PRICE_DATA!H2</f>
        <v>29.65</v>
      </c>
      <c r="I71">
        <f>PRICE_DATA!I2</f>
        <v>76.14</v>
      </c>
      <c r="J71">
        <f>PRICE_DATA!J2</f>
        <v>80.66</v>
      </c>
      <c r="K71">
        <f>PRICE_DATA!K2</f>
        <v>150.41</v>
      </c>
      <c r="L71">
        <f>PRICE_DATA!L2</f>
        <v>39.1</v>
      </c>
      <c r="M71">
        <f>PRICE_DATA!M2</f>
        <v>80.760000000000005</v>
      </c>
      <c r="N71">
        <f>PRICE_DATA!N2</f>
        <v>72.03</v>
      </c>
      <c r="O71">
        <f>PRICE_DATA!O2</f>
        <v>52.58</v>
      </c>
      <c r="P71">
        <f>PRICE_DATA!P2</f>
        <v>59.23</v>
      </c>
      <c r="Q71">
        <f>PRICE_DATA!Q2</f>
        <v>19.52</v>
      </c>
      <c r="R71">
        <f>PRICE_DATA!R2</f>
        <v>1533.64</v>
      </c>
      <c r="S71">
        <f>PRICE_DATA!S2</f>
        <v>41.23</v>
      </c>
      <c r="T71">
        <f>PRICE_DATA!T2</f>
        <v>21.54</v>
      </c>
      <c r="U71">
        <f>PRICE_DATA!U2</f>
        <v>19.16</v>
      </c>
      <c r="V71">
        <f>PRICE_DATA!V2</f>
        <v>37.130000000000003</v>
      </c>
      <c r="W71">
        <f>PRICE_DATA!W2</f>
        <v>47.225000000000001</v>
      </c>
      <c r="X71">
        <f>PRICE_DATA!X2</f>
        <v>30.14</v>
      </c>
      <c r="Y71">
        <f>PRICE_DATA!Y2</f>
        <v>58.15</v>
      </c>
      <c r="Z71">
        <f>PRICE_DATA!Z2</f>
        <v>44.56</v>
      </c>
      <c r="AA71">
        <f>PRICE_DATA!AA2</f>
        <v>92.48</v>
      </c>
      <c r="AB71">
        <f>PRICE_DATA!AB2</f>
        <v>64.63</v>
      </c>
      <c r="AC71">
        <f>PRICE_DATA!AC2</f>
        <v>48.61</v>
      </c>
      <c r="AD71">
        <f>PRICE_DATA!AD2</f>
        <v>609.24</v>
      </c>
      <c r="AE71">
        <f>PRICE_DATA!AE2</f>
        <v>689.3</v>
      </c>
      <c r="AF71">
        <f>PRICE_DATA!AF2</f>
        <v>48.35</v>
      </c>
      <c r="AG71">
        <f>PRICE_DATA!AG2</f>
        <v>63.05</v>
      </c>
      <c r="AH71">
        <f>PRICE_DATA!AH2</f>
        <v>54.56</v>
      </c>
      <c r="AI71">
        <f>PRICE_DATA!AI2</f>
        <v>57.93</v>
      </c>
    </row>
    <row r="72" spans="1:38" x14ac:dyDescent="0.45">
      <c r="A72" t="s">
        <v>80</v>
      </c>
      <c r="B72" s="7">
        <f>PRICE_DATA!B204</f>
        <v>32.51411840796019</v>
      </c>
      <c r="C72" s="7">
        <f>PRICE_DATA!C204</f>
        <v>35.675995024875633</v>
      </c>
      <c r="D72" s="7">
        <f>PRICE_DATA!D204</f>
        <v>18.145074626865661</v>
      </c>
      <c r="E72" s="7">
        <f>PRICE_DATA!E204</f>
        <v>26.05978706467662</v>
      </c>
      <c r="F72" s="7">
        <f>PRICE_DATA!F204</f>
        <v>33.473333333333343</v>
      </c>
      <c r="G72" s="7">
        <f>PRICE_DATA!G204</f>
        <v>61.854213432835842</v>
      </c>
      <c r="H72" s="7">
        <f>PRICE_DATA!H204</f>
        <v>25.992985074626851</v>
      </c>
      <c r="I72" s="7">
        <f>PRICE_DATA!I204</f>
        <v>62.365223880597014</v>
      </c>
      <c r="J72" s="7">
        <f>PRICE_DATA!J204</f>
        <v>66.308258706467655</v>
      </c>
      <c r="K72" s="7">
        <f>PRICE_DATA!K204</f>
        <v>87.038258706467658</v>
      </c>
      <c r="L72" s="7">
        <f>PRICE_DATA!L204</f>
        <v>30.909253731343295</v>
      </c>
      <c r="M72" s="7">
        <f>PRICE_DATA!M204</f>
        <v>62.616716417910432</v>
      </c>
      <c r="N72" s="7">
        <f>PRICE_DATA!N204</f>
        <v>64.041776616915428</v>
      </c>
      <c r="O72" s="7">
        <f>PRICE_DATA!O204</f>
        <v>53.670024875621905</v>
      </c>
      <c r="P72" s="7">
        <f>PRICE_DATA!P204</f>
        <v>60.337487562189111</v>
      </c>
      <c r="Q72" s="7">
        <f>PRICE_DATA!Q204</f>
        <v>19.306370646766172</v>
      </c>
      <c r="R72" s="7">
        <f>PRICE_DATA!R204</f>
        <v>1255.7025373134327</v>
      </c>
      <c r="S72" s="7">
        <f>PRICE_DATA!S204</f>
        <v>34.569327363184058</v>
      </c>
      <c r="T72" s="7">
        <f>PRICE_DATA!T204</f>
        <v>19.483515422885578</v>
      </c>
      <c r="U72" s="7">
        <f>PRICE_DATA!U204</f>
        <v>17.056592039801</v>
      </c>
      <c r="V72" s="7">
        <f>PRICE_DATA!V204</f>
        <v>38.425920398009957</v>
      </c>
      <c r="W72" s="7">
        <f>PRICE_DATA!W204</f>
        <v>45.756854228855708</v>
      </c>
      <c r="X72" s="7">
        <f>PRICE_DATA!X204</f>
        <v>26.713432835820885</v>
      </c>
      <c r="Y72" s="7">
        <f>PRICE_DATA!Y204</f>
        <v>50.048557213930351</v>
      </c>
      <c r="Z72" s="7">
        <f>PRICE_DATA!Z204</f>
        <v>41.993283582089596</v>
      </c>
      <c r="AA72" s="7">
        <f>PRICE_DATA!AA204</f>
        <v>80.082437810945279</v>
      </c>
      <c r="AB72" s="7">
        <f>PRICE_DATA!AB204</f>
        <v>56.969452736318445</v>
      </c>
      <c r="AC72" s="7">
        <f>PRICE_DATA!AC204</f>
        <v>42.3055223880597</v>
      </c>
      <c r="AD72" s="7">
        <f>PRICE_DATA!AD204</f>
        <v>585.67457711442796</v>
      </c>
      <c r="AE72" s="7">
        <f>PRICE_DATA!AE204</f>
        <v>653.22328358208961</v>
      </c>
      <c r="AF72" s="7">
        <f>PRICE_DATA!AF204</f>
        <v>44.024676616915428</v>
      </c>
      <c r="AG72" s="7">
        <f>PRICE_DATA!AG204</f>
        <v>56.605776616915477</v>
      </c>
      <c r="AH72" s="7">
        <f>PRICE_DATA!AH204</f>
        <v>47.782835820895535</v>
      </c>
      <c r="AI72" s="7">
        <f>PRICE_DATA!AI204</f>
        <v>51.484527363184078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1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1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1</v>
      </c>
      <c r="Y73">
        <f t="shared" si="6"/>
        <v>0</v>
      </c>
      <c r="Z73">
        <f t="shared" si="6"/>
        <v>0</v>
      </c>
      <c r="AA73">
        <f t="shared" si="6"/>
        <v>1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46079</v>
      </c>
      <c r="B2" cm="1">
        <f t="array" ref="B2:B202">_xll.FDS(B1,"FG_PRICE(0,-200D)")</f>
        <v>35.96</v>
      </c>
      <c r="C2" cm="1">
        <f t="array" ref="C2:C202">_xll.FDS(C1,"FG_PRICE(0,-200D)")</f>
        <v>44.34</v>
      </c>
      <c r="D2" cm="1">
        <f t="array" ref="D2:D202">_xll.FDS(D1,"FG_PRICE(0,-200D)")</f>
        <v>17.89</v>
      </c>
      <c r="E2" cm="1">
        <f t="array" ref="E2:E202">_xll.FDS(E1,"FG_PRICE(0,-200D)")</f>
        <v>28.15</v>
      </c>
      <c r="F2" cm="1">
        <f t="array" ref="F2:F202">_xll.FDS(F1,"FG_PRICE(0,-200D)")</f>
        <v>38.19</v>
      </c>
      <c r="G2" cm="1">
        <f t="array" ref="G2:G202">_xll.FDS(G1,"FG_PRICE(0,-200D)")</f>
        <v>93.46</v>
      </c>
      <c r="H2" cm="1">
        <f t="array" ref="H2:H202">_xll.FDS(H1,"FG_PRICE(0,-200D)")</f>
        <v>29.65</v>
      </c>
      <c r="I2" cm="1">
        <f t="array" ref="I2:I202">_xll.FDS(I1,"FG_PRICE(0,-200D)")</f>
        <v>76.14</v>
      </c>
      <c r="J2" cm="1">
        <f t="array" ref="J2:J202">_xll.FDS(J1,"FG_PRICE(0,-200D)")</f>
        <v>80.66</v>
      </c>
      <c r="K2" cm="1">
        <f t="array" ref="K2:K202">_xll.FDS(K1,"FG_PRICE(0,-200D)")</f>
        <v>150.41</v>
      </c>
      <c r="L2" cm="1">
        <f t="array" ref="L2:L202">_xll.FDS(L1,"FG_PRICE(0,-200D)")</f>
        <v>39.1</v>
      </c>
      <c r="M2" cm="1">
        <f t="array" ref="M2:M202">_xll.FDS(M1,"FG_PRICE(0,-200D)")</f>
        <v>80.760000000000005</v>
      </c>
      <c r="N2" cm="1">
        <f t="array" ref="N2:N202">_xll.FDS(N1,"FG_PRICE(0,-200D)")</f>
        <v>72.03</v>
      </c>
      <c r="O2" cm="1">
        <f t="array" ref="O2:O202">_xll.FDS(O1,"FG_PRICE(0,-200D)")</f>
        <v>52.58</v>
      </c>
      <c r="P2" cm="1">
        <f t="array" ref="P2:P202">_xll.FDS(P1,"FG_PRICE(0,-200D)")</f>
        <v>59.23</v>
      </c>
      <c r="Q2" cm="1">
        <f t="array" ref="Q2:Q202">_xll.FDS(Q1,"FG_PRICE(0,-200D)")</f>
        <v>19.52</v>
      </c>
      <c r="R2" cm="1">
        <f t="array" ref="R2:R202">_xll.FDS(R1,"FG_PRICE(0,-200D)")</f>
        <v>1533.64</v>
      </c>
      <c r="S2" cm="1">
        <f t="array" ref="S2:S202">_xll.FDS(S1,"FG_PRICE(0,-200D)")</f>
        <v>41.23</v>
      </c>
      <c r="T2" cm="1">
        <f t="array" ref="T2:T202">_xll.FDS(T1,"FG_PRICE(0,-200D)")</f>
        <v>21.54</v>
      </c>
      <c r="U2" cm="1">
        <f t="array" ref="U2:U202">_xll.FDS(U1,"FG_PRICE(0,-200D)")</f>
        <v>19.16</v>
      </c>
      <c r="V2" cm="1">
        <f t="array" ref="V2:V202">_xll.FDS(V1,"FG_PRICE(0,-200D)")</f>
        <v>37.130000000000003</v>
      </c>
      <c r="W2" cm="1">
        <f t="array" ref="W2:W202">_xll.FDS(W1,"FG_PRICE(0,-200D)")</f>
        <v>47.225000000000001</v>
      </c>
      <c r="X2" cm="1">
        <f t="array" ref="X2:X202">_xll.FDS(X1,"FG_PRICE(0,-200D)")</f>
        <v>30.14</v>
      </c>
      <c r="Y2" cm="1">
        <f t="array" ref="Y2:Y202">_xll.FDS(Y1,"FG_PRICE(0,-200D)")</f>
        <v>58.15</v>
      </c>
      <c r="Z2" cm="1">
        <f t="array" ref="Z2:Z202">_xll.FDS(Z1,"FG_PRICE(0,-200D)")</f>
        <v>44.56</v>
      </c>
      <c r="AA2" cm="1">
        <f t="array" ref="AA2:AA202">_xll.FDS(AA1,"FG_PRICE(0,-200D)")</f>
        <v>92.48</v>
      </c>
      <c r="AB2" cm="1">
        <f t="array" ref="AB2:AB202">_xll.FDS(AB1,"FG_PRICE(0,-200D)")</f>
        <v>64.63</v>
      </c>
      <c r="AC2" cm="1">
        <f t="array" ref="AC2:AC202">_xll.FDS(AC1,"FG_PRICE(0,-200D)")</f>
        <v>48.61</v>
      </c>
      <c r="AD2" cm="1">
        <f t="array" ref="AD2:AD202">_xll.FDS(AD1,"FG_PRICE(0,-200D)")</f>
        <v>609.24</v>
      </c>
      <c r="AE2" cm="1">
        <f t="array" ref="AE2:AE202">_xll.FDS(AE1,"FG_PRICE(0,-200D)")</f>
        <v>689.3</v>
      </c>
      <c r="AF2" cm="1">
        <f t="array" ref="AF2:AF202">_xll.FDS(AF1,"FG_PRICE(0,-200D)")</f>
        <v>48.35</v>
      </c>
      <c r="AG2" cm="1">
        <f t="array" ref="AG2:AG202">_xll.FDS(AG1,"FG_PRICE(0,-200D)")</f>
        <v>63.05</v>
      </c>
      <c r="AH2" cm="1">
        <f t="array" ref="AH2:AH202">_xll.FDS(AH1,"FG_PRICE(0,-200D)")</f>
        <v>54.56</v>
      </c>
      <c r="AI2" cm="1">
        <f t="array" ref="AI2:AI202">_xll.FDS(AI1,"FG_PRICE(0,-200D)")</f>
        <v>57.93</v>
      </c>
    </row>
    <row r="3" spans="1:35" x14ac:dyDescent="0.45">
      <c r="A3" s="2">
        <v>46078</v>
      </c>
      <c r="B3">
        <v>36.36</v>
      </c>
      <c r="C3">
        <v>44.73</v>
      </c>
      <c r="D3">
        <v>18.22</v>
      </c>
      <c r="E3">
        <v>28.37</v>
      </c>
      <c r="F3">
        <v>38.71</v>
      </c>
      <c r="G3">
        <v>93.37</v>
      </c>
      <c r="H3">
        <v>30.01</v>
      </c>
      <c r="I3">
        <v>77.06</v>
      </c>
      <c r="J3">
        <v>80.45</v>
      </c>
      <c r="K3">
        <v>148.88999999999999</v>
      </c>
      <c r="L3">
        <v>39.590000000000003</v>
      </c>
      <c r="M3">
        <v>80.27</v>
      </c>
      <c r="N3">
        <v>71.510000000000005</v>
      </c>
      <c r="O3">
        <v>52.74</v>
      </c>
      <c r="P3">
        <v>60.67</v>
      </c>
      <c r="Q3">
        <v>19.89</v>
      </c>
      <c r="R3">
        <v>1516.01</v>
      </c>
      <c r="S3">
        <v>41.19</v>
      </c>
      <c r="T3">
        <v>22</v>
      </c>
      <c r="U3">
        <v>19.085000000000001</v>
      </c>
      <c r="V3">
        <v>37.92</v>
      </c>
      <c r="W3">
        <v>47.164499999999997</v>
      </c>
      <c r="X3">
        <v>30.16</v>
      </c>
      <c r="Y3">
        <v>57.59</v>
      </c>
      <c r="Z3">
        <v>44.35</v>
      </c>
      <c r="AA3">
        <v>92.44</v>
      </c>
      <c r="AB3">
        <v>64.849999999999994</v>
      </c>
      <c r="AC3">
        <v>48.66</v>
      </c>
      <c r="AD3">
        <v>616.67999999999995</v>
      </c>
      <c r="AE3">
        <v>693.15</v>
      </c>
      <c r="AF3">
        <v>48.02</v>
      </c>
      <c r="AG3">
        <v>63.77</v>
      </c>
      <c r="AH3">
        <v>54.13</v>
      </c>
      <c r="AI3">
        <v>57.61</v>
      </c>
    </row>
    <row r="4" spans="1:35" x14ac:dyDescent="0.45">
      <c r="A4" s="2">
        <v>46077</v>
      </c>
      <c r="B4">
        <v>35.94</v>
      </c>
      <c r="C4">
        <v>44.54</v>
      </c>
      <c r="D4">
        <v>17.95</v>
      </c>
      <c r="E4">
        <v>27.73</v>
      </c>
      <c r="F4">
        <v>37.950000000000003</v>
      </c>
      <c r="G4">
        <v>92.18</v>
      </c>
      <c r="H4">
        <v>30.02</v>
      </c>
      <c r="I4">
        <v>75.73</v>
      </c>
      <c r="J4">
        <v>80.37</v>
      </c>
      <c r="K4">
        <v>144.55000000000001</v>
      </c>
      <c r="L4">
        <v>39.47</v>
      </c>
      <c r="M4">
        <v>79.25</v>
      </c>
      <c r="N4">
        <v>70.34</v>
      </c>
      <c r="O4">
        <v>52.67</v>
      </c>
      <c r="P4">
        <v>60.43</v>
      </c>
      <c r="Q4">
        <v>19.989999999999998</v>
      </c>
      <c r="R4">
        <v>1490.4</v>
      </c>
      <c r="S4">
        <v>41.93</v>
      </c>
      <c r="T4">
        <v>22</v>
      </c>
      <c r="U4">
        <v>19.25</v>
      </c>
      <c r="V4">
        <v>38.18</v>
      </c>
      <c r="W4">
        <v>46.72</v>
      </c>
      <c r="X4">
        <v>29.58</v>
      </c>
      <c r="Y4">
        <v>57.15</v>
      </c>
      <c r="Z4">
        <v>43.95</v>
      </c>
      <c r="AA4">
        <v>91.23</v>
      </c>
      <c r="AB4">
        <v>64.819999999999993</v>
      </c>
      <c r="AC4">
        <v>47.98</v>
      </c>
      <c r="AD4">
        <v>607.87</v>
      </c>
      <c r="AE4">
        <v>687.35</v>
      </c>
      <c r="AF4">
        <v>47.62</v>
      </c>
      <c r="AG4">
        <v>63</v>
      </c>
      <c r="AH4">
        <v>54.01</v>
      </c>
      <c r="AI4">
        <v>56.94</v>
      </c>
    </row>
    <row r="5" spans="1:35" x14ac:dyDescent="0.45">
      <c r="A5" s="2">
        <v>46076</v>
      </c>
      <c r="B5">
        <v>35.85</v>
      </c>
      <c r="C5">
        <v>43.51</v>
      </c>
      <c r="D5">
        <v>18.11</v>
      </c>
      <c r="E5">
        <v>27.53</v>
      </c>
      <c r="F5">
        <v>38.1</v>
      </c>
      <c r="G5">
        <v>90.66</v>
      </c>
      <c r="H5">
        <v>30.01</v>
      </c>
      <c r="I5">
        <v>73.180000000000007</v>
      </c>
      <c r="J5">
        <v>79.540000000000006</v>
      </c>
      <c r="K5">
        <v>139.30000000000001</v>
      </c>
      <c r="L5">
        <v>38.770000000000003</v>
      </c>
      <c r="M5">
        <v>77.89</v>
      </c>
      <c r="N5">
        <v>71.040000000000006</v>
      </c>
      <c r="O5">
        <v>52.61</v>
      </c>
      <c r="P5">
        <v>60.76</v>
      </c>
      <c r="Q5">
        <v>19.920000000000002</v>
      </c>
      <c r="R5">
        <v>1480.24</v>
      </c>
      <c r="S5">
        <v>41.76</v>
      </c>
      <c r="T5">
        <v>21.96</v>
      </c>
      <c r="U5">
        <v>19.23</v>
      </c>
      <c r="V5">
        <v>38.299999999999997</v>
      </c>
      <c r="W5">
        <v>45.933500000000002</v>
      </c>
      <c r="X5">
        <v>29.45</v>
      </c>
      <c r="Y5">
        <v>56.95</v>
      </c>
      <c r="Z5">
        <v>43.9</v>
      </c>
      <c r="AA5">
        <v>91.39</v>
      </c>
      <c r="AB5">
        <v>64.31</v>
      </c>
      <c r="AC5">
        <v>47.89</v>
      </c>
      <c r="AD5">
        <v>601.41</v>
      </c>
      <c r="AE5">
        <v>682.39</v>
      </c>
      <c r="AF5">
        <v>47.49</v>
      </c>
      <c r="AG5">
        <v>62.95</v>
      </c>
      <c r="AH5">
        <v>53.49</v>
      </c>
      <c r="AI5">
        <v>56.94</v>
      </c>
    </row>
    <row r="6" spans="1:35" x14ac:dyDescent="0.45">
      <c r="A6" s="2">
        <v>46073</v>
      </c>
      <c r="B6">
        <v>35.79</v>
      </c>
      <c r="C6">
        <v>43.58</v>
      </c>
      <c r="D6">
        <v>18.059999999999999</v>
      </c>
      <c r="E6">
        <v>27.16</v>
      </c>
      <c r="F6">
        <v>37.81</v>
      </c>
      <c r="G6">
        <v>89.66</v>
      </c>
      <c r="H6">
        <v>30.13</v>
      </c>
      <c r="I6">
        <v>74.38</v>
      </c>
      <c r="J6">
        <v>81.23</v>
      </c>
      <c r="K6">
        <v>141.88</v>
      </c>
      <c r="L6">
        <v>39.369999999999997</v>
      </c>
      <c r="M6">
        <v>77.25</v>
      </c>
      <c r="N6">
        <v>70.900000000000006</v>
      </c>
      <c r="O6">
        <v>53.42</v>
      </c>
      <c r="P6">
        <v>61.01</v>
      </c>
      <c r="Q6">
        <v>19.844999999999999</v>
      </c>
      <c r="R6">
        <v>1479.71</v>
      </c>
      <c r="S6">
        <v>41.65</v>
      </c>
      <c r="T6">
        <v>21.63</v>
      </c>
      <c r="U6">
        <v>19.285</v>
      </c>
      <c r="V6">
        <v>38.630000000000003</v>
      </c>
      <c r="W6">
        <v>45.835500000000003</v>
      </c>
      <c r="X6">
        <v>29.7</v>
      </c>
      <c r="Y6">
        <v>57.16</v>
      </c>
      <c r="Z6">
        <v>44.32</v>
      </c>
      <c r="AA6">
        <v>91.47</v>
      </c>
      <c r="AB6">
        <v>64.38</v>
      </c>
      <c r="AC6">
        <v>48.04</v>
      </c>
      <c r="AD6">
        <v>608.80999999999995</v>
      </c>
      <c r="AE6">
        <v>689.43</v>
      </c>
      <c r="AF6">
        <v>47.68</v>
      </c>
      <c r="AG6">
        <v>63.18</v>
      </c>
      <c r="AH6">
        <v>54</v>
      </c>
      <c r="AI6">
        <v>56.81</v>
      </c>
    </row>
    <row r="7" spans="1:35" x14ac:dyDescent="0.45">
      <c r="A7" s="2">
        <v>46072</v>
      </c>
      <c r="B7">
        <v>35.622</v>
      </c>
      <c r="C7">
        <v>43.52</v>
      </c>
      <c r="D7">
        <v>17.829999999999998</v>
      </c>
      <c r="E7">
        <v>26.83</v>
      </c>
      <c r="F7">
        <v>37.65</v>
      </c>
      <c r="G7">
        <v>88.13</v>
      </c>
      <c r="H7">
        <v>29.82</v>
      </c>
      <c r="I7">
        <v>72.67</v>
      </c>
      <c r="J7">
        <v>79.94</v>
      </c>
      <c r="K7">
        <v>135.21</v>
      </c>
      <c r="L7">
        <v>38.61</v>
      </c>
      <c r="M7">
        <v>75.010000000000005</v>
      </c>
      <c r="N7">
        <v>71.040000000000006</v>
      </c>
      <c r="O7">
        <v>52.3</v>
      </c>
      <c r="P7">
        <v>60.72</v>
      </c>
      <c r="Q7">
        <v>19.855599999999999</v>
      </c>
      <c r="R7">
        <v>1493.91</v>
      </c>
      <c r="S7">
        <v>41.26</v>
      </c>
      <c r="T7">
        <v>21.69</v>
      </c>
      <c r="U7">
        <v>18.760000000000002</v>
      </c>
      <c r="V7">
        <v>38.130000000000003</v>
      </c>
      <c r="W7">
        <v>46.017200000000003</v>
      </c>
      <c r="X7">
        <v>29.37</v>
      </c>
      <c r="Y7">
        <v>56.75</v>
      </c>
      <c r="Z7">
        <v>43.88</v>
      </c>
      <c r="AA7">
        <v>91.2</v>
      </c>
      <c r="AB7">
        <v>64.16</v>
      </c>
      <c r="AC7">
        <v>47.68</v>
      </c>
      <c r="AD7">
        <v>603.47</v>
      </c>
      <c r="AE7">
        <v>684.48</v>
      </c>
      <c r="AF7">
        <v>46.91</v>
      </c>
      <c r="AG7">
        <v>62.66</v>
      </c>
      <c r="AH7">
        <v>53.4</v>
      </c>
      <c r="AI7">
        <v>55.89</v>
      </c>
    </row>
    <row r="8" spans="1:35" x14ac:dyDescent="0.45">
      <c r="A8" s="2">
        <v>46071</v>
      </c>
      <c r="B8">
        <v>35.799999999999997</v>
      </c>
      <c r="C8">
        <v>43.69</v>
      </c>
      <c r="D8">
        <v>17.87</v>
      </c>
      <c r="E8">
        <v>26.78</v>
      </c>
      <c r="F8">
        <v>37.729999999999997</v>
      </c>
      <c r="G8">
        <v>86.570999999999998</v>
      </c>
      <c r="H8">
        <v>29.67</v>
      </c>
      <c r="I8">
        <v>72.98</v>
      </c>
      <c r="J8">
        <v>80.150000000000006</v>
      </c>
      <c r="K8">
        <v>132.93</v>
      </c>
      <c r="L8">
        <v>38.03</v>
      </c>
      <c r="M8">
        <v>75.569999999999993</v>
      </c>
      <c r="N8">
        <v>72.89</v>
      </c>
      <c r="O8">
        <v>53.32</v>
      </c>
      <c r="P8">
        <v>60.95</v>
      </c>
      <c r="Q8">
        <v>20.114999999999998</v>
      </c>
      <c r="R8">
        <v>1466.67</v>
      </c>
      <c r="S8">
        <v>42.41</v>
      </c>
      <c r="T8">
        <v>22.23</v>
      </c>
      <c r="U8">
        <v>18.77</v>
      </c>
      <c r="V8">
        <v>39.119999999999997</v>
      </c>
      <c r="W8">
        <v>45.25</v>
      </c>
      <c r="X8">
        <v>29.31</v>
      </c>
      <c r="Y8">
        <v>56.46</v>
      </c>
      <c r="Z8">
        <v>44.12</v>
      </c>
      <c r="AA8">
        <v>91.38</v>
      </c>
      <c r="AB8">
        <v>64.260000000000005</v>
      </c>
      <c r="AC8">
        <v>47.88</v>
      </c>
      <c r="AD8">
        <v>605.79</v>
      </c>
      <c r="AE8">
        <v>686.29</v>
      </c>
      <c r="AF8">
        <v>47.03</v>
      </c>
      <c r="AG8">
        <v>62.94</v>
      </c>
      <c r="AH8">
        <v>53.5</v>
      </c>
      <c r="AI8">
        <v>56.32</v>
      </c>
    </row>
    <row r="9" spans="1:35" x14ac:dyDescent="0.45">
      <c r="A9" s="2">
        <v>46070</v>
      </c>
      <c r="B9">
        <v>35.65</v>
      </c>
      <c r="C9">
        <v>43.8</v>
      </c>
      <c r="D9">
        <v>17.82</v>
      </c>
      <c r="E9">
        <v>26.68</v>
      </c>
      <c r="F9">
        <v>37.5</v>
      </c>
      <c r="G9">
        <v>84.91</v>
      </c>
      <c r="H9">
        <v>29.65</v>
      </c>
      <c r="I9">
        <v>72.89</v>
      </c>
      <c r="J9">
        <v>80.760000000000005</v>
      </c>
      <c r="K9">
        <v>130.68</v>
      </c>
      <c r="L9">
        <v>37.74</v>
      </c>
      <c r="M9">
        <v>74.709999999999994</v>
      </c>
      <c r="N9">
        <v>70.66</v>
      </c>
      <c r="O9">
        <v>53.27</v>
      </c>
      <c r="P9">
        <v>60.61</v>
      </c>
      <c r="Q9">
        <v>19.98</v>
      </c>
      <c r="R9">
        <v>1459.68</v>
      </c>
      <c r="S9">
        <v>42.34</v>
      </c>
      <c r="T9">
        <v>21.85</v>
      </c>
      <c r="U9">
        <v>18.73</v>
      </c>
      <c r="V9">
        <v>38.94</v>
      </c>
      <c r="W9">
        <v>44.905000000000001</v>
      </c>
      <c r="X9">
        <v>29.32</v>
      </c>
      <c r="Y9">
        <v>55.86</v>
      </c>
      <c r="Z9">
        <v>44.04</v>
      </c>
      <c r="AA9">
        <v>91.87</v>
      </c>
      <c r="AB9">
        <v>64.44</v>
      </c>
      <c r="AC9">
        <v>47.42</v>
      </c>
      <c r="AD9">
        <v>601.29999999999995</v>
      </c>
      <c r="AE9">
        <v>682.85</v>
      </c>
      <c r="AF9">
        <v>47.05</v>
      </c>
      <c r="AG9">
        <v>62.23</v>
      </c>
      <c r="AH9">
        <v>53.26</v>
      </c>
      <c r="AI9">
        <v>56.02</v>
      </c>
    </row>
    <row r="10" spans="1:35" x14ac:dyDescent="0.45">
      <c r="A10" s="2">
        <v>46066</v>
      </c>
      <c r="B10">
        <v>35.368400000000001</v>
      </c>
      <c r="C10">
        <v>43.81</v>
      </c>
      <c r="D10">
        <v>17.77</v>
      </c>
      <c r="E10">
        <v>26.97</v>
      </c>
      <c r="F10">
        <v>37.67</v>
      </c>
      <c r="G10">
        <v>86.67</v>
      </c>
      <c r="H10">
        <v>29.72</v>
      </c>
      <c r="I10">
        <v>73.05</v>
      </c>
      <c r="J10">
        <v>81.03</v>
      </c>
      <c r="K10">
        <v>133.97</v>
      </c>
      <c r="L10">
        <v>38.06</v>
      </c>
      <c r="M10">
        <v>75.319999999999993</v>
      </c>
      <c r="N10">
        <v>71.900000000000006</v>
      </c>
      <c r="O10">
        <v>52.89</v>
      </c>
      <c r="P10">
        <v>60.35</v>
      </c>
      <c r="Q10">
        <v>20.096699999999998</v>
      </c>
      <c r="R10">
        <v>1438.09</v>
      </c>
      <c r="S10">
        <v>42.22</v>
      </c>
      <c r="T10">
        <v>21.94</v>
      </c>
      <c r="U10">
        <v>18.89</v>
      </c>
      <c r="V10">
        <v>39.159999999999997</v>
      </c>
      <c r="W10">
        <v>46.772100000000002</v>
      </c>
      <c r="X10">
        <v>29.16</v>
      </c>
      <c r="Y10">
        <v>56.17</v>
      </c>
      <c r="Z10">
        <v>43.97</v>
      </c>
      <c r="AA10">
        <v>93.85</v>
      </c>
      <c r="AB10">
        <v>63.79</v>
      </c>
      <c r="AC10">
        <v>47.25</v>
      </c>
      <c r="AD10">
        <v>601.91999999999996</v>
      </c>
      <c r="AE10">
        <v>681.75</v>
      </c>
      <c r="AF10">
        <v>46.7</v>
      </c>
      <c r="AG10">
        <v>61.65</v>
      </c>
      <c r="AH10">
        <v>53.47</v>
      </c>
      <c r="AI10">
        <v>55.54</v>
      </c>
    </row>
    <row r="11" spans="1:35" x14ac:dyDescent="0.45">
      <c r="A11" s="2">
        <v>46065</v>
      </c>
      <c r="B11">
        <v>35.56</v>
      </c>
      <c r="C11">
        <v>44.25</v>
      </c>
      <c r="D11">
        <v>17.89</v>
      </c>
      <c r="E11">
        <v>26.94</v>
      </c>
      <c r="F11">
        <v>37.909999999999997</v>
      </c>
      <c r="G11">
        <v>87.03</v>
      </c>
      <c r="H11">
        <v>29.71</v>
      </c>
      <c r="I11">
        <v>72.56</v>
      </c>
      <c r="J11">
        <v>79.92</v>
      </c>
      <c r="K11">
        <v>130.80000000000001</v>
      </c>
      <c r="L11">
        <v>38.49</v>
      </c>
      <c r="M11">
        <v>74.150000000000006</v>
      </c>
      <c r="N11">
        <v>73.56</v>
      </c>
      <c r="O11">
        <v>53.11</v>
      </c>
      <c r="P11">
        <v>60.58</v>
      </c>
      <c r="Q11">
        <v>20.074999999999999</v>
      </c>
      <c r="R11">
        <v>1430.41</v>
      </c>
      <c r="S11">
        <v>41.91</v>
      </c>
      <c r="T11">
        <v>21.89</v>
      </c>
      <c r="U11">
        <v>18.510000000000002</v>
      </c>
      <c r="V11">
        <v>38.94</v>
      </c>
      <c r="W11">
        <v>47.456800000000001</v>
      </c>
      <c r="X11">
        <v>29.1</v>
      </c>
      <c r="Y11">
        <v>55.26</v>
      </c>
      <c r="Z11">
        <v>43.96</v>
      </c>
      <c r="AA11">
        <v>93.37</v>
      </c>
      <c r="AB11">
        <v>63.46</v>
      </c>
      <c r="AC11">
        <v>47.01</v>
      </c>
      <c r="AD11">
        <v>600.64</v>
      </c>
      <c r="AE11">
        <v>681.27</v>
      </c>
      <c r="AF11">
        <v>46.68</v>
      </c>
      <c r="AG11">
        <v>61.53</v>
      </c>
      <c r="AH11">
        <v>53.42</v>
      </c>
      <c r="AI11">
        <v>56.52</v>
      </c>
    </row>
    <row r="12" spans="1:35" x14ac:dyDescent="0.45">
      <c r="A12" s="2">
        <v>46064</v>
      </c>
      <c r="B12">
        <v>35.76</v>
      </c>
      <c r="C12">
        <v>45.35</v>
      </c>
      <c r="D12">
        <v>18.09</v>
      </c>
      <c r="E12">
        <v>27.25</v>
      </c>
      <c r="F12">
        <v>38.39</v>
      </c>
      <c r="G12">
        <v>90.05</v>
      </c>
      <c r="H12">
        <v>29.98</v>
      </c>
      <c r="I12">
        <v>73.349999999999994</v>
      </c>
      <c r="J12">
        <v>80.7</v>
      </c>
      <c r="K12">
        <v>130.6</v>
      </c>
      <c r="L12">
        <v>39.159999999999997</v>
      </c>
      <c r="M12">
        <v>76.53</v>
      </c>
      <c r="N12">
        <v>73.84</v>
      </c>
      <c r="O12">
        <v>53.53</v>
      </c>
      <c r="P12">
        <v>61.93</v>
      </c>
      <c r="Q12">
        <v>20.125</v>
      </c>
      <c r="R12">
        <v>1441.53</v>
      </c>
      <c r="S12">
        <v>41.21</v>
      </c>
      <c r="T12">
        <v>21.83</v>
      </c>
      <c r="U12">
        <v>18.71</v>
      </c>
      <c r="V12">
        <v>39.19</v>
      </c>
      <c r="W12">
        <v>47.898000000000003</v>
      </c>
      <c r="X12">
        <v>29.3</v>
      </c>
      <c r="Y12">
        <v>56.58</v>
      </c>
      <c r="Z12">
        <v>44.05</v>
      </c>
      <c r="AA12">
        <v>93.97</v>
      </c>
      <c r="AB12">
        <v>63.24</v>
      </c>
      <c r="AC12">
        <v>47.43</v>
      </c>
      <c r="AD12">
        <v>613.11</v>
      </c>
      <c r="AE12">
        <v>691.96</v>
      </c>
      <c r="AF12">
        <v>47.08</v>
      </c>
      <c r="AG12">
        <v>63.06</v>
      </c>
      <c r="AH12">
        <v>54.56</v>
      </c>
      <c r="AI12">
        <v>56.98</v>
      </c>
    </row>
    <row r="13" spans="1:35" x14ac:dyDescent="0.45">
      <c r="A13" s="2">
        <v>46063</v>
      </c>
      <c r="B13">
        <v>35.715000000000003</v>
      </c>
      <c r="C13">
        <v>44.54</v>
      </c>
      <c r="D13">
        <v>17.75</v>
      </c>
      <c r="E13">
        <v>26.93</v>
      </c>
      <c r="F13">
        <v>38.11</v>
      </c>
      <c r="G13">
        <v>89.43</v>
      </c>
      <c r="H13">
        <v>29.69</v>
      </c>
      <c r="I13">
        <v>71.44</v>
      </c>
      <c r="J13">
        <v>80.48</v>
      </c>
      <c r="K13">
        <v>124.45</v>
      </c>
      <c r="L13">
        <v>38.32</v>
      </c>
      <c r="M13">
        <v>75.41</v>
      </c>
      <c r="N13">
        <v>74.540000000000006</v>
      </c>
      <c r="O13">
        <v>53.74</v>
      </c>
      <c r="P13">
        <v>61.99</v>
      </c>
      <c r="Q13">
        <v>20.094999999999999</v>
      </c>
      <c r="R13">
        <v>1411.7</v>
      </c>
      <c r="S13">
        <v>40.97</v>
      </c>
      <c r="T13">
        <v>21.9</v>
      </c>
      <c r="U13">
        <v>18.079999999999998</v>
      </c>
      <c r="V13">
        <v>39.229999999999997</v>
      </c>
      <c r="W13">
        <v>47.994999999999997</v>
      </c>
      <c r="X13">
        <v>28.64</v>
      </c>
      <c r="Y13">
        <v>56.72</v>
      </c>
      <c r="Z13">
        <v>44.22</v>
      </c>
      <c r="AA13">
        <v>93.1</v>
      </c>
      <c r="AB13">
        <v>63.43</v>
      </c>
      <c r="AC13">
        <v>46.74</v>
      </c>
      <c r="AD13">
        <v>611.47</v>
      </c>
      <c r="AE13">
        <v>692.12</v>
      </c>
      <c r="AF13">
        <v>46.83</v>
      </c>
      <c r="AG13">
        <v>63.07</v>
      </c>
      <c r="AH13">
        <v>54.17</v>
      </c>
      <c r="AI13">
        <v>57.32</v>
      </c>
    </row>
    <row r="14" spans="1:35" x14ac:dyDescent="0.45">
      <c r="A14" s="2">
        <v>46062</v>
      </c>
      <c r="B14">
        <v>35.82</v>
      </c>
      <c r="C14">
        <v>46.17</v>
      </c>
      <c r="D14">
        <v>17.600000000000001</v>
      </c>
      <c r="E14">
        <v>26.42</v>
      </c>
      <c r="F14">
        <v>38.76</v>
      </c>
      <c r="G14">
        <v>91.08</v>
      </c>
      <c r="H14">
        <v>29.83</v>
      </c>
      <c r="I14">
        <v>70.760000000000005</v>
      </c>
      <c r="J14">
        <v>80.67</v>
      </c>
      <c r="K14">
        <v>126.05</v>
      </c>
      <c r="L14">
        <v>38.42</v>
      </c>
      <c r="M14">
        <v>75.72</v>
      </c>
      <c r="N14">
        <v>74.77</v>
      </c>
      <c r="O14">
        <v>53.44</v>
      </c>
      <c r="P14">
        <v>61.97</v>
      </c>
      <c r="Q14">
        <v>20.100000000000001</v>
      </c>
      <c r="R14">
        <v>1410.44</v>
      </c>
      <c r="S14">
        <v>41.54</v>
      </c>
      <c r="T14">
        <v>21.89</v>
      </c>
      <c r="U14">
        <v>18.045000000000002</v>
      </c>
      <c r="V14">
        <v>39.46</v>
      </c>
      <c r="W14">
        <v>47.975000000000001</v>
      </c>
      <c r="X14">
        <v>28.83</v>
      </c>
      <c r="Y14">
        <v>56.27</v>
      </c>
      <c r="Z14">
        <v>44.32</v>
      </c>
      <c r="AA14">
        <v>91.29</v>
      </c>
      <c r="AB14">
        <v>63.45</v>
      </c>
      <c r="AC14">
        <v>47.02</v>
      </c>
      <c r="AD14">
        <v>614.32000000000005</v>
      </c>
      <c r="AE14">
        <v>693.95</v>
      </c>
      <c r="AF14">
        <v>46.99</v>
      </c>
      <c r="AG14">
        <v>62.99</v>
      </c>
      <c r="AH14">
        <v>53.38</v>
      </c>
      <c r="AI14">
        <v>57.61</v>
      </c>
    </row>
    <row r="15" spans="1:35" x14ac:dyDescent="0.45">
      <c r="A15" s="2">
        <v>46059</v>
      </c>
      <c r="B15">
        <v>35.409999999999997</v>
      </c>
      <c r="C15">
        <v>45.24</v>
      </c>
      <c r="D15">
        <v>17.600000000000001</v>
      </c>
      <c r="E15">
        <v>26.73</v>
      </c>
      <c r="F15">
        <v>37.92</v>
      </c>
      <c r="G15">
        <v>88.15</v>
      </c>
      <c r="H15">
        <v>29.57</v>
      </c>
      <c r="I15">
        <v>70.05</v>
      </c>
      <c r="J15">
        <v>79.87</v>
      </c>
      <c r="K15">
        <v>124.71</v>
      </c>
      <c r="L15">
        <v>37.56</v>
      </c>
      <c r="M15">
        <v>74.77</v>
      </c>
      <c r="N15">
        <v>75.17</v>
      </c>
      <c r="O15">
        <v>53.28</v>
      </c>
      <c r="P15">
        <v>61.67</v>
      </c>
      <c r="Q15">
        <v>19.940000000000001</v>
      </c>
      <c r="R15">
        <v>1400.89</v>
      </c>
      <c r="S15">
        <v>40.840000000000003</v>
      </c>
      <c r="T15">
        <v>21.73</v>
      </c>
      <c r="U15">
        <v>18.03</v>
      </c>
      <c r="V15">
        <v>39.75</v>
      </c>
      <c r="W15">
        <v>47.6</v>
      </c>
      <c r="X15">
        <v>28.23</v>
      </c>
      <c r="Y15">
        <v>55.01</v>
      </c>
      <c r="Z15">
        <v>43.53</v>
      </c>
      <c r="AA15">
        <v>89.4</v>
      </c>
      <c r="AB15">
        <v>63.09</v>
      </c>
      <c r="AC15">
        <v>46.9</v>
      </c>
      <c r="AD15">
        <v>609.65</v>
      </c>
      <c r="AE15">
        <v>690.62</v>
      </c>
      <c r="AF15">
        <v>46.4</v>
      </c>
      <c r="AG15">
        <v>62.03</v>
      </c>
      <c r="AH15">
        <v>52.93</v>
      </c>
      <c r="AI15">
        <v>56.28</v>
      </c>
    </row>
    <row r="16" spans="1:35" x14ac:dyDescent="0.45">
      <c r="A16" s="2">
        <v>46058</v>
      </c>
      <c r="B16">
        <v>34.840000000000003</v>
      </c>
      <c r="C16">
        <v>45.19</v>
      </c>
      <c r="D16">
        <v>17.510000000000002</v>
      </c>
      <c r="E16">
        <v>26.45</v>
      </c>
      <c r="F16">
        <v>37.369999999999997</v>
      </c>
      <c r="G16">
        <v>85.17</v>
      </c>
      <c r="H16">
        <v>29.18</v>
      </c>
      <c r="I16">
        <v>67.86</v>
      </c>
      <c r="J16">
        <v>76.83</v>
      </c>
      <c r="K16">
        <v>120.21</v>
      </c>
      <c r="L16">
        <v>36.909999999999997</v>
      </c>
      <c r="M16">
        <v>71.599999999999994</v>
      </c>
      <c r="N16">
        <v>74.650000000000006</v>
      </c>
      <c r="O16">
        <v>52.95</v>
      </c>
      <c r="P16">
        <v>60.1</v>
      </c>
      <c r="Q16">
        <v>19.82</v>
      </c>
      <c r="R16">
        <v>1354.01</v>
      </c>
      <c r="S16">
        <v>40.659999999999997</v>
      </c>
      <c r="T16">
        <v>21.39</v>
      </c>
      <c r="U16">
        <v>18.12</v>
      </c>
      <c r="V16">
        <v>39.22</v>
      </c>
      <c r="W16">
        <v>47.11</v>
      </c>
      <c r="X16">
        <v>27.84</v>
      </c>
      <c r="Y16">
        <v>54.14</v>
      </c>
      <c r="Z16">
        <v>42.84</v>
      </c>
      <c r="AA16">
        <v>86.1</v>
      </c>
      <c r="AB16">
        <v>62.24</v>
      </c>
      <c r="AC16">
        <v>45.94</v>
      </c>
      <c r="AD16">
        <v>597.03</v>
      </c>
      <c r="AE16">
        <v>677.62</v>
      </c>
      <c r="AF16">
        <v>45.73</v>
      </c>
      <c r="AG16">
        <v>60.56</v>
      </c>
      <c r="AH16">
        <v>51.86</v>
      </c>
      <c r="AI16">
        <v>55.7</v>
      </c>
    </row>
    <row r="17" spans="1:35" x14ac:dyDescent="0.45">
      <c r="A17" s="2">
        <v>46057</v>
      </c>
      <c r="B17">
        <v>35.14</v>
      </c>
      <c r="C17">
        <v>45.66</v>
      </c>
      <c r="D17">
        <v>17.79</v>
      </c>
      <c r="E17">
        <v>26.33</v>
      </c>
      <c r="F17">
        <v>38.28</v>
      </c>
      <c r="G17">
        <v>88.38</v>
      </c>
      <c r="H17">
        <v>29.49</v>
      </c>
      <c r="I17">
        <v>68.150000000000006</v>
      </c>
      <c r="J17">
        <v>77.22</v>
      </c>
      <c r="K17">
        <v>120.26</v>
      </c>
      <c r="L17">
        <v>36.979999999999997</v>
      </c>
      <c r="M17">
        <v>73.98</v>
      </c>
      <c r="N17">
        <v>76.09</v>
      </c>
      <c r="O17">
        <v>53.44</v>
      </c>
      <c r="P17">
        <v>60.31</v>
      </c>
      <c r="Q17">
        <v>19.96</v>
      </c>
      <c r="R17">
        <v>1346.23</v>
      </c>
      <c r="S17">
        <v>41.37</v>
      </c>
      <c r="T17">
        <v>21.29</v>
      </c>
      <c r="U17">
        <v>18.61</v>
      </c>
      <c r="V17">
        <v>39.630000000000003</v>
      </c>
      <c r="W17">
        <v>46.72</v>
      </c>
      <c r="X17">
        <v>28.35</v>
      </c>
      <c r="Y17">
        <v>55.01</v>
      </c>
      <c r="Z17">
        <v>43.25</v>
      </c>
      <c r="AA17">
        <v>87.49</v>
      </c>
      <c r="AB17">
        <v>62.47</v>
      </c>
      <c r="AC17">
        <v>47.05</v>
      </c>
      <c r="AD17">
        <v>605.75</v>
      </c>
      <c r="AE17">
        <v>686.19</v>
      </c>
      <c r="AF17">
        <v>46.03</v>
      </c>
      <c r="AG17">
        <v>61.07</v>
      </c>
      <c r="AH17">
        <v>52.92</v>
      </c>
      <c r="AI17">
        <v>56.95</v>
      </c>
    </row>
    <row r="18" spans="1:35" x14ac:dyDescent="0.45">
      <c r="A18" s="2">
        <v>46056</v>
      </c>
      <c r="B18">
        <v>35</v>
      </c>
      <c r="C18">
        <v>47.19</v>
      </c>
      <c r="D18">
        <v>17.59</v>
      </c>
      <c r="E18">
        <v>26.45</v>
      </c>
      <c r="F18">
        <v>38.35</v>
      </c>
      <c r="G18">
        <v>91.33</v>
      </c>
      <c r="H18">
        <v>29.42</v>
      </c>
      <c r="I18">
        <v>68.83</v>
      </c>
      <c r="J18">
        <v>78.760000000000005</v>
      </c>
      <c r="K18">
        <v>124.32</v>
      </c>
      <c r="L18">
        <v>38.04</v>
      </c>
      <c r="M18">
        <v>74.56</v>
      </c>
      <c r="N18">
        <v>76.02</v>
      </c>
      <c r="O18">
        <v>53.15</v>
      </c>
      <c r="P18">
        <v>61.07</v>
      </c>
      <c r="Q18">
        <v>19.916899999999998</v>
      </c>
      <c r="R18">
        <v>1346.54</v>
      </c>
      <c r="S18">
        <v>41.54</v>
      </c>
      <c r="T18">
        <v>21.11</v>
      </c>
      <c r="U18">
        <v>18.45</v>
      </c>
      <c r="V18">
        <v>39.57</v>
      </c>
      <c r="W18">
        <v>47.241999999999997</v>
      </c>
      <c r="X18">
        <v>28.12</v>
      </c>
      <c r="Y18">
        <v>54.84</v>
      </c>
      <c r="Z18">
        <v>43.51</v>
      </c>
      <c r="AA18">
        <v>86.68</v>
      </c>
      <c r="AB18">
        <v>61.89</v>
      </c>
      <c r="AC18">
        <v>46.47</v>
      </c>
      <c r="AD18">
        <v>616.52</v>
      </c>
      <c r="AE18">
        <v>689.53</v>
      </c>
      <c r="AF18">
        <v>45.69</v>
      </c>
      <c r="AG18">
        <v>61.9</v>
      </c>
      <c r="AH18">
        <v>53.23</v>
      </c>
      <c r="AI18">
        <v>56.93</v>
      </c>
    </row>
    <row r="19" spans="1:35" x14ac:dyDescent="0.45">
      <c r="A19" s="2">
        <v>46055</v>
      </c>
      <c r="B19">
        <v>34.72</v>
      </c>
      <c r="C19">
        <v>46.05</v>
      </c>
      <c r="D19">
        <v>17.41</v>
      </c>
      <c r="E19">
        <v>26.24</v>
      </c>
      <c r="F19">
        <v>37.659999999999997</v>
      </c>
      <c r="G19">
        <v>87.4</v>
      </c>
      <c r="H19">
        <v>29.32</v>
      </c>
      <c r="I19">
        <v>68.94</v>
      </c>
      <c r="J19">
        <v>75.430000000000007</v>
      </c>
      <c r="K19">
        <v>120.93</v>
      </c>
      <c r="L19">
        <v>37.450000000000003</v>
      </c>
      <c r="M19">
        <v>73.25</v>
      </c>
      <c r="N19">
        <v>74.66</v>
      </c>
      <c r="O19">
        <v>53.28</v>
      </c>
      <c r="P19">
        <v>61.61</v>
      </c>
      <c r="Q19">
        <v>19.97</v>
      </c>
      <c r="R19">
        <v>1336.11</v>
      </c>
      <c r="S19">
        <v>41.14</v>
      </c>
      <c r="T19">
        <v>20.94</v>
      </c>
      <c r="U19">
        <v>18.77</v>
      </c>
      <c r="V19">
        <v>39.79</v>
      </c>
      <c r="W19">
        <v>47.117699999999999</v>
      </c>
      <c r="X19">
        <v>27.95</v>
      </c>
      <c r="Y19">
        <v>54.55</v>
      </c>
      <c r="Z19">
        <v>43.48</v>
      </c>
      <c r="AA19">
        <v>85.89</v>
      </c>
      <c r="AB19">
        <v>62.25</v>
      </c>
      <c r="AC19">
        <v>46.54</v>
      </c>
      <c r="AD19">
        <v>626.14</v>
      </c>
      <c r="AE19">
        <v>695.41</v>
      </c>
      <c r="AF19">
        <v>45.68</v>
      </c>
      <c r="AG19">
        <v>62.77</v>
      </c>
      <c r="AH19">
        <v>52.88</v>
      </c>
      <c r="AI19">
        <v>56.37</v>
      </c>
    </row>
    <row r="20" spans="1:35" x14ac:dyDescent="0.45">
      <c r="A20" s="2">
        <v>46052</v>
      </c>
      <c r="B20">
        <v>35.11</v>
      </c>
      <c r="C20">
        <v>45.24</v>
      </c>
      <c r="D20">
        <v>17.649999999999999</v>
      </c>
      <c r="E20">
        <v>25.97</v>
      </c>
      <c r="F20">
        <v>37.590000000000003</v>
      </c>
      <c r="G20">
        <v>86.6</v>
      </c>
      <c r="H20">
        <v>29.18</v>
      </c>
      <c r="I20">
        <v>68.06</v>
      </c>
      <c r="J20">
        <v>75.12</v>
      </c>
      <c r="K20">
        <v>122.41</v>
      </c>
      <c r="L20">
        <v>37.04</v>
      </c>
      <c r="M20">
        <v>73.2</v>
      </c>
      <c r="N20">
        <v>73.75</v>
      </c>
      <c r="O20">
        <v>51.74</v>
      </c>
      <c r="P20">
        <v>62.4</v>
      </c>
      <c r="Q20">
        <v>19.71</v>
      </c>
      <c r="R20">
        <v>1321.42</v>
      </c>
      <c r="S20">
        <v>41.25</v>
      </c>
      <c r="T20">
        <v>20.49</v>
      </c>
      <c r="U20">
        <v>19.07</v>
      </c>
      <c r="V20">
        <v>39.86</v>
      </c>
      <c r="W20">
        <v>46.940800000000003</v>
      </c>
      <c r="X20">
        <v>27.75</v>
      </c>
      <c r="Y20">
        <v>54.26</v>
      </c>
      <c r="Z20">
        <v>43.11</v>
      </c>
      <c r="AA20">
        <v>85.72</v>
      </c>
      <c r="AB20">
        <v>61.54</v>
      </c>
      <c r="AC20">
        <v>46.16</v>
      </c>
      <c r="AD20">
        <v>621.87</v>
      </c>
      <c r="AE20">
        <v>691.97</v>
      </c>
      <c r="AF20">
        <v>45.35</v>
      </c>
      <c r="AG20">
        <v>62.27</v>
      </c>
      <c r="AH20">
        <v>52.27</v>
      </c>
      <c r="AI20">
        <v>55.88</v>
      </c>
    </row>
    <row r="21" spans="1:35" x14ac:dyDescent="0.45">
      <c r="A21" s="2">
        <v>46051</v>
      </c>
      <c r="B21">
        <v>35.89</v>
      </c>
      <c r="C21">
        <v>46.875</v>
      </c>
      <c r="D21">
        <v>17.579999999999998</v>
      </c>
      <c r="E21">
        <v>25.65</v>
      </c>
      <c r="F21">
        <v>38.380000000000003</v>
      </c>
      <c r="G21">
        <v>92.57</v>
      </c>
      <c r="H21">
        <v>29.27</v>
      </c>
      <c r="I21">
        <v>69.83</v>
      </c>
      <c r="J21">
        <v>78.45</v>
      </c>
      <c r="K21">
        <v>124.5</v>
      </c>
      <c r="L21">
        <v>38.119999999999997</v>
      </c>
      <c r="M21">
        <v>79.58</v>
      </c>
      <c r="N21">
        <v>75.62</v>
      </c>
      <c r="O21">
        <v>51.61</v>
      </c>
      <c r="P21">
        <v>64.23</v>
      </c>
      <c r="Q21">
        <v>19.82</v>
      </c>
      <c r="R21">
        <v>1325.62</v>
      </c>
      <c r="S21">
        <v>41.58</v>
      </c>
      <c r="T21">
        <v>20.66</v>
      </c>
      <c r="U21">
        <v>18.809999999999999</v>
      </c>
      <c r="V21">
        <v>39.869999999999997</v>
      </c>
      <c r="W21">
        <v>47.234000000000002</v>
      </c>
      <c r="X21">
        <v>28.42</v>
      </c>
      <c r="Y21">
        <v>56.53</v>
      </c>
      <c r="Z21">
        <v>43.44</v>
      </c>
      <c r="AA21">
        <v>86.09</v>
      </c>
      <c r="AB21">
        <v>62.22</v>
      </c>
      <c r="AC21">
        <v>46.44</v>
      </c>
      <c r="AD21">
        <v>629.42999999999995</v>
      </c>
      <c r="AE21">
        <v>694.04</v>
      </c>
      <c r="AF21">
        <v>45.82</v>
      </c>
      <c r="AG21">
        <v>63.48</v>
      </c>
      <c r="AH21">
        <v>53.45</v>
      </c>
      <c r="AI21">
        <v>56.17</v>
      </c>
    </row>
    <row r="22" spans="1:35" x14ac:dyDescent="0.45">
      <c r="A22" s="2">
        <v>46050</v>
      </c>
      <c r="B22">
        <v>35.520000000000003</v>
      </c>
      <c r="C22">
        <v>47.06</v>
      </c>
      <c r="D22">
        <v>17.260000000000002</v>
      </c>
      <c r="E22">
        <v>26.33</v>
      </c>
      <c r="F22">
        <v>38.25</v>
      </c>
      <c r="G22">
        <v>92.07</v>
      </c>
      <c r="H22">
        <v>29.84</v>
      </c>
      <c r="I22">
        <v>71.19</v>
      </c>
      <c r="J22">
        <v>78.73</v>
      </c>
      <c r="K22">
        <v>125.56</v>
      </c>
      <c r="L22">
        <v>38.33</v>
      </c>
      <c r="M22">
        <v>80.14</v>
      </c>
      <c r="N22">
        <v>77.2</v>
      </c>
      <c r="O22">
        <v>51.49</v>
      </c>
      <c r="P22">
        <v>63.91</v>
      </c>
      <c r="Q22">
        <v>20</v>
      </c>
      <c r="R22">
        <v>1331.07</v>
      </c>
      <c r="S22">
        <v>40.39</v>
      </c>
      <c r="T22">
        <v>20.75</v>
      </c>
      <c r="U22">
        <v>18.5</v>
      </c>
      <c r="V22">
        <v>40.14</v>
      </c>
      <c r="W22">
        <v>47.11</v>
      </c>
      <c r="X22">
        <v>28.17</v>
      </c>
      <c r="Y22">
        <v>56.35</v>
      </c>
      <c r="Z22">
        <v>44.01</v>
      </c>
      <c r="AA22">
        <v>85.21</v>
      </c>
      <c r="AB22">
        <v>61.05</v>
      </c>
      <c r="AC22">
        <v>46.24</v>
      </c>
      <c r="AD22">
        <v>633.22</v>
      </c>
      <c r="AE22">
        <v>695.42</v>
      </c>
      <c r="AF22">
        <v>45.53</v>
      </c>
      <c r="AG22">
        <v>63.05</v>
      </c>
      <c r="AH22">
        <v>52.93</v>
      </c>
      <c r="AI22">
        <v>55.83</v>
      </c>
    </row>
    <row r="23" spans="1:35" x14ac:dyDescent="0.45">
      <c r="A23" s="2">
        <v>46049</v>
      </c>
      <c r="B23">
        <v>35.64</v>
      </c>
      <c r="C23">
        <v>47.37</v>
      </c>
      <c r="D23">
        <v>19.18</v>
      </c>
      <c r="E23">
        <v>26.23</v>
      </c>
      <c r="F23">
        <v>38.44</v>
      </c>
      <c r="G23">
        <v>91.61</v>
      </c>
      <c r="H23">
        <v>30.06</v>
      </c>
      <c r="I23">
        <v>71.319999999999993</v>
      </c>
      <c r="J23">
        <v>77.86</v>
      </c>
      <c r="K23">
        <v>122.7</v>
      </c>
      <c r="L23">
        <v>37.89</v>
      </c>
      <c r="M23">
        <v>79.02</v>
      </c>
      <c r="N23">
        <v>75.349999999999994</v>
      </c>
      <c r="O23">
        <v>51.69</v>
      </c>
      <c r="P23">
        <v>63.29</v>
      </c>
      <c r="Q23">
        <v>19.940000000000001</v>
      </c>
      <c r="R23">
        <v>1338.9</v>
      </c>
      <c r="S23">
        <v>39.56</v>
      </c>
      <c r="T23">
        <v>20.71</v>
      </c>
      <c r="U23">
        <v>18.760000000000002</v>
      </c>
      <c r="V23">
        <v>40.119999999999997</v>
      </c>
      <c r="W23">
        <v>47.52</v>
      </c>
      <c r="X23">
        <v>28.24</v>
      </c>
      <c r="Y23">
        <v>56.18</v>
      </c>
      <c r="Z23">
        <v>44.3</v>
      </c>
      <c r="AA23">
        <v>85.84</v>
      </c>
      <c r="AB23">
        <v>62.57</v>
      </c>
      <c r="AC23">
        <v>46.5</v>
      </c>
      <c r="AD23">
        <v>631.13</v>
      </c>
      <c r="AE23">
        <v>695.49</v>
      </c>
      <c r="AF23">
        <v>46.15</v>
      </c>
      <c r="AG23">
        <v>63.7</v>
      </c>
      <c r="AH23">
        <v>53.64</v>
      </c>
      <c r="AI23">
        <v>56.63</v>
      </c>
    </row>
    <row r="24" spans="1:35" x14ac:dyDescent="0.45">
      <c r="A24" s="2">
        <v>46048</v>
      </c>
      <c r="B24">
        <v>35.58</v>
      </c>
      <c r="C24">
        <v>46.78</v>
      </c>
      <c r="D24">
        <v>19.2</v>
      </c>
      <c r="E24">
        <v>26.03</v>
      </c>
      <c r="F24">
        <v>37.74</v>
      </c>
      <c r="G24">
        <v>90.43</v>
      </c>
      <c r="H24">
        <v>29.5</v>
      </c>
      <c r="I24">
        <v>69.94</v>
      </c>
      <c r="J24">
        <v>76.7</v>
      </c>
      <c r="K24">
        <v>117.32</v>
      </c>
      <c r="L24">
        <v>36.61</v>
      </c>
      <c r="M24">
        <v>77.38</v>
      </c>
      <c r="N24">
        <v>73.06</v>
      </c>
      <c r="O24">
        <v>51.44</v>
      </c>
      <c r="P24">
        <v>62.66</v>
      </c>
      <c r="Q24">
        <v>19.937000000000001</v>
      </c>
      <c r="R24">
        <v>1334.45</v>
      </c>
      <c r="S24">
        <v>39.86</v>
      </c>
      <c r="T24">
        <v>20.41</v>
      </c>
      <c r="U24">
        <v>18.91</v>
      </c>
      <c r="V24">
        <v>39.61</v>
      </c>
      <c r="W24">
        <v>46.87</v>
      </c>
      <c r="X24">
        <v>27.62</v>
      </c>
      <c r="Y24">
        <v>55.69</v>
      </c>
      <c r="Z24">
        <v>43.84</v>
      </c>
      <c r="AA24">
        <v>84.63</v>
      </c>
      <c r="AB24">
        <v>61.19</v>
      </c>
      <c r="AC24">
        <v>45.83</v>
      </c>
      <c r="AD24">
        <v>625.46</v>
      </c>
      <c r="AE24">
        <v>692.73</v>
      </c>
      <c r="AF24">
        <v>45.65</v>
      </c>
      <c r="AG24">
        <v>62.81</v>
      </c>
      <c r="AH24">
        <v>52.72</v>
      </c>
      <c r="AI24">
        <v>55.39</v>
      </c>
    </row>
    <row r="25" spans="1:35" x14ac:dyDescent="0.45">
      <c r="A25" s="2">
        <v>46045</v>
      </c>
      <c r="B25">
        <v>35.549999999999997</v>
      </c>
      <c r="C25">
        <v>46.4</v>
      </c>
      <c r="D25">
        <v>19.010000000000002</v>
      </c>
      <c r="E25">
        <v>26.21</v>
      </c>
      <c r="F25">
        <v>36.89</v>
      </c>
      <c r="G25">
        <v>88.38</v>
      </c>
      <c r="H25">
        <v>28.78</v>
      </c>
      <c r="I25">
        <v>69.709999999999994</v>
      </c>
      <c r="J25">
        <v>76.08</v>
      </c>
      <c r="K25">
        <v>117.97</v>
      </c>
      <c r="L25">
        <v>36.590000000000003</v>
      </c>
      <c r="M25">
        <v>76.34</v>
      </c>
      <c r="N25">
        <v>72.25</v>
      </c>
      <c r="O25">
        <v>51.24</v>
      </c>
      <c r="P25">
        <v>62.74</v>
      </c>
      <c r="Q25">
        <v>19.82</v>
      </c>
      <c r="R25">
        <v>1307.07</v>
      </c>
      <c r="S25">
        <v>39.43</v>
      </c>
      <c r="T25">
        <v>20.46</v>
      </c>
      <c r="U25">
        <v>19.420000000000002</v>
      </c>
      <c r="V25">
        <v>39.01</v>
      </c>
      <c r="W25">
        <v>46.624000000000002</v>
      </c>
      <c r="X25">
        <v>27.38</v>
      </c>
      <c r="Y25">
        <v>55.77</v>
      </c>
      <c r="Z25">
        <v>43.48</v>
      </c>
      <c r="AA25">
        <v>84.56</v>
      </c>
      <c r="AB25">
        <v>60.87</v>
      </c>
      <c r="AC25">
        <v>45.57</v>
      </c>
      <c r="AD25">
        <v>622.72</v>
      </c>
      <c r="AE25">
        <v>689.23</v>
      </c>
      <c r="AF25">
        <v>45.51</v>
      </c>
      <c r="AG25">
        <v>62.33</v>
      </c>
      <c r="AH25">
        <v>52.38</v>
      </c>
      <c r="AI25">
        <v>54.91</v>
      </c>
    </row>
    <row r="26" spans="1:35" x14ac:dyDescent="0.45">
      <c r="A26" s="2">
        <v>46044</v>
      </c>
      <c r="B26">
        <v>35.78</v>
      </c>
      <c r="C26">
        <v>46.174999999999997</v>
      </c>
      <c r="D26">
        <v>19.05</v>
      </c>
      <c r="E26">
        <v>26.35</v>
      </c>
      <c r="F26">
        <v>37.26</v>
      </c>
      <c r="G26">
        <v>86.2</v>
      </c>
      <c r="H26">
        <v>28.43</v>
      </c>
      <c r="I26">
        <v>68.25</v>
      </c>
      <c r="J26">
        <v>75.75</v>
      </c>
      <c r="K26">
        <v>115.99</v>
      </c>
      <c r="L26">
        <v>35.950000000000003</v>
      </c>
      <c r="M26">
        <v>75.56</v>
      </c>
      <c r="N26">
        <v>72.2</v>
      </c>
      <c r="O26">
        <v>51.795000000000002</v>
      </c>
      <c r="P26">
        <v>62.78</v>
      </c>
      <c r="Q26">
        <v>19.899999999999999</v>
      </c>
      <c r="R26">
        <v>1314.39</v>
      </c>
      <c r="S26">
        <v>39.08</v>
      </c>
      <c r="T26">
        <v>20.62</v>
      </c>
      <c r="U26">
        <v>19.625</v>
      </c>
      <c r="V26">
        <v>38.93</v>
      </c>
      <c r="W26">
        <v>46.755000000000003</v>
      </c>
      <c r="X26">
        <v>27.07</v>
      </c>
      <c r="Y26">
        <v>55.2</v>
      </c>
      <c r="Z26">
        <v>43.1</v>
      </c>
      <c r="AA26">
        <v>84.86</v>
      </c>
      <c r="AB26">
        <v>60.59</v>
      </c>
      <c r="AC26">
        <v>45.07</v>
      </c>
      <c r="AD26">
        <v>620.76</v>
      </c>
      <c r="AE26">
        <v>688.98</v>
      </c>
      <c r="AF26">
        <v>45.16</v>
      </c>
      <c r="AG26">
        <v>62.14</v>
      </c>
      <c r="AH26">
        <v>51.74</v>
      </c>
      <c r="AI26">
        <v>54.77</v>
      </c>
    </row>
    <row r="27" spans="1:35" x14ac:dyDescent="0.45">
      <c r="A27" s="2">
        <v>46043</v>
      </c>
      <c r="B27">
        <v>35.805</v>
      </c>
      <c r="C27">
        <v>45.2</v>
      </c>
      <c r="D27">
        <v>18.940000000000001</v>
      </c>
      <c r="E27">
        <v>26.27</v>
      </c>
      <c r="F27">
        <v>36.15</v>
      </c>
      <c r="G27">
        <v>85.04</v>
      </c>
      <c r="H27">
        <v>28.26</v>
      </c>
      <c r="I27">
        <v>67.45</v>
      </c>
      <c r="J27">
        <v>75.36</v>
      </c>
      <c r="K27">
        <v>115.66</v>
      </c>
      <c r="L27">
        <v>35.020000000000003</v>
      </c>
      <c r="M27">
        <v>73.52</v>
      </c>
      <c r="N27">
        <v>70.739999999999995</v>
      </c>
      <c r="O27">
        <v>51.55</v>
      </c>
      <c r="P27">
        <v>62.49</v>
      </c>
      <c r="Q27">
        <v>19.71</v>
      </c>
      <c r="R27">
        <v>1311.64</v>
      </c>
      <c r="S27">
        <v>38.64</v>
      </c>
      <c r="T27">
        <v>20.3</v>
      </c>
      <c r="U27">
        <v>19.39</v>
      </c>
      <c r="V27">
        <v>38.299999999999997</v>
      </c>
      <c r="W27">
        <v>46.11</v>
      </c>
      <c r="X27">
        <v>26.7</v>
      </c>
      <c r="Y27">
        <v>55.02</v>
      </c>
      <c r="Z27">
        <v>42.82</v>
      </c>
      <c r="AA27">
        <v>84.78</v>
      </c>
      <c r="AB27">
        <v>60.49</v>
      </c>
      <c r="AC27">
        <v>45.16</v>
      </c>
      <c r="AD27">
        <v>616.28</v>
      </c>
      <c r="AE27">
        <v>685.4</v>
      </c>
      <c r="AF27">
        <v>45.05</v>
      </c>
      <c r="AG27">
        <v>61.539000000000001</v>
      </c>
      <c r="AH27">
        <v>51.52</v>
      </c>
      <c r="AI27">
        <v>54.44</v>
      </c>
    </row>
    <row r="28" spans="1:35" x14ac:dyDescent="0.45">
      <c r="A28" s="2">
        <v>46042</v>
      </c>
      <c r="B28">
        <v>35.5</v>
      </c>
      <c r="C28">
        <v>43.89</v>
      </c>
      <c r="D28">
        <v>19.13</v>
      </c>
      <c r="E28">
        <v>26</v>
      </c>
      <c r="F28">
        <v>35.840000000000003</v>
      </c>
      <c r="G28">
        <v>84.78</v>
      </c>
      <c r="H28">
        <v>27.88</v>
      </c>
      <c r="I28">
        <v>66.540000000000006</v>
      </c>
      <c r="J28">
        <v>74.61</v>
      </c>
      <c r="K28">
        <v>110.97</v>
      </c>
      <c r="L28">
        <v>33.619999999999997</v>
      </c>
      <c r="M28">
        <v>73.44</v>
      </c>
      <c r="N28">
        <v>69.88</v>
      </c>
      <c r="O28">
        <v>51.73</v>
      </c>
      <c r="P28">
        <v>61.65</v>
      </c>
      <c r="Q28">
        <v>19.71</v>
      </c>
      <c r="R28">
        <v>1317.56</v>
      </c>
      <c r="S28">
        <v>38.869999999999997</v>
      </c>
      <c r="T28">
        <v>20.09</v>
      </c>
      <c r="U28">
        <v>19.510000000000002</v>
      </c>
      <c r="V28">
        <v>37.94</v>
      </c>
      <c r="W28">
        <v>46.09</v>
      </c>
      <c r="X28">
        <v>26.46</v>
      </c>
      <c r="Y28">
        <v>54.75</v>
      </c>
      <c r="Z28">
        <v>42.54</v>
      </c>
      <c r="AA28">
        <v>83.72</v>
      </c>
      <c r="AB28">
        <v>60.16</v>
      </c>
      <c r="AC28">
        <v>44.7</v>
      </c>
      <c r="AD28">
        <v>608.05999999999995</v>
      </c>
      <c r="AE28">
        <v>677.58</v>
      </c>
      <c r="AF28">
        <v>44.55</v>
      </c>
      <c r="AG28">
        <v>60.64</v>
      </c>
      <c r="AH28">
        <v>50.46</v>
      </c>
      <c r="AI28">
        <v>54.02</v>
      </c>
    </row>
    <row r="29" spans="1:35" x14ac:dyDescent="0.45">
      <c r="A29" s="2">
        <v>46038</v>
      </c>
      <c r="B29">
        <v>35.515000000000001</v>
      </c>
      <c r="C29">
        <v>44.09</v>
      </c>
      <c r="D29">
        <v>19.14</v>
      </c>
      <c r="E29">
        <v>26.42</v>
      </c>
      <c r="F29">
        <v>35.92</v>
      </c>
      <c r="G29">
        <v>82.63</v>
      </c>
      <c r="H29">
        <v>28.17</v>
      </c>
      <c r="I29">
        <v>67.34</v>
      </c>
      <c r="J29">
        <v>74</v>
      </c>
      <c r="K29">
        <v>112.22</v>
      </c>
      <c r="L29">
        <v>33.17</v>
      </c>
      <c r="M29">
        <v>72.78</v>
      </c>
      <c r="N29">
        <v>70.03</v>
      </c>
      <c r="O29">
        <v>52.85</v>
      </c>
      <c r="P29">
        <v>62.52</v>
      </c>
      <c r="Q29">
        <v>19.46</v>
      </c>
      <c r="R29">
        <v>1296.3699999999999</v>
      </c>
      <c r="S29">
        <v>38.409999999999997</v>
      </c>
      <c r="T29">
        <v>19.87</v>
      </c>
      <c r="U29">
        <v>19.73</v>
      </c>
      <c r="V29">
        <v>37.83</v>
      </c>
      <c r="W29">
        <v>45.755000000000003</v>
      </c>
      <c r="X29">
        <v>26.74</v>
      </c>
      <c r="Y29">
        <v>55.13</v>
      </c>
      <c r="Z29">
        <v>43.34</v>
      </c>
      <c r="AA29">
        <v>85.48</v>
      </c>
      <c r="AB29">
        <v>60.51</v>
      </c>
      <c r="AC29">
        <v>45.18</v>
      </c>
      <c r="AD29">
        <v>621.26</v>
      </c>
      <c r="AE29">
        <v>691.66</v>
      </c>
      <c r="AF29">
        <v>45.29</v>
      </c>
      <c r="AG29">
        <v>61.91</v>
      </c>
      <c r="AH29">
        <v>51.31</v>
      </c>
      <c r="AI29">
        <v>54.92</v>
      </c>
    </row>
    <row r="30" spans="1:35" x14ac:dyDescent="0.45">
      <c r="A30" s="2">
        <v>46037</v>
      </c>
      <c r="B30">
        <v>35.869999999999997</v>
      </c>
      <c r="C30">
        <v>44.15</v>
      </c>
      <c r="D30">
        <v>19.22</v>
      </c>
      <c r="E30">
        <v>26.38</v>
      </c>
      <c r="F30">
        <v>36.15</v>
      </c>
      <c r="G30">
        <v>83.01</v>
      </c>
      <c r="H30">
        <v>28.28</v>
      </c>
      <c r="I30">
        <v>67.290000000000006</v>
      </c>
      <c r="J30">
        <v>73.25</v>
      </c>
      <c r="K30">
        <v>111.05</v>
      </c>
      <c r="L30">
        <v>33.36</v>
      </c>
      <c r="M30">
        <v>73.739999999999995</v>
      </c>
      <c r="N30">
        <v>69.84</v>
      </c>
      <c r="O30">
        <v>53.22</v>
      </c>
      <c r="P30">
        <v>63.59</v>
      </c>
      <c r="Q30">
        <v>19.425000000000001</v>
      </c>
      <c r="R30">
        <v>1283.2</v>
      </c>
      <c r="S30">
        <v>37.94</v>
      </c>
      <c r="T30">
        <v>19.73</v>
      </c>
      <c r="U30">
        <v>19.53</v>
      </c>
      <c r="V30">
        <v>37.99</v>
      </c>
      <c r="W30">
        <v>45.630099999999999</v>
      </c>
      <c r="X30">
        <v>26.65</v>
      </c>
      <c r="Y30">
        <v>55.22</v>
      </c>
      <c r="Z30">
        <v>43.24</v>
      </c>
      <c r="AA30">
        <v>85.42</v>
      </c>
      <c r="AB30">
        <v>60.52</v>
      </c>
      <c r="AC30">
        <v>45.09</v>
      </c>
      <c r="AD30">
        <v>621.78</v>
      </c>
      <c r="AE30">
        <v>692.24</v>
      </c>
      <c r="AF30">
        <v>45.4</v>
      </c>
      <c r="AG30">
        <v>61.6</v>
      </c>
      <c r="AH30">
        <v>51.05</v>
      </c>
      <c r="AI30">
        <v>54.8</v>
      </c>
    </row>
    <row r="31" spans="1:35" x14ac:dyDescent="0.45">
      <c r="A31" s="2">
        <v>46036</v>
      </c>
      <c r="B31">
        <v>35.6</v>
      </c>
      <c r="C31">
        <v>44.51</v>
      </c>
      <c r="D31">
        <v>19.14</v>
      </c>
      <c r="E31">
        <v>26.04</v>
      </c>
      <c r="F31">
        <v>36.03</v>
      </c>
      <c r="G31">
        <v>82.26</v>
      </c>
      <c r="H31">
        <v>28.2</v>
      </c>
      <c r="I31">
        <v>66.510000000000005</v>
      </c>
      <c r="J31">
        <v>73.38</v>
      </c>
      <c r="K31">
        <v>109.64</v>
      </c>
      <c r="L31">
        <v>33.159999999999997</v>
      </c>
      <c r="M31">
        <v>73.39</v>
      </c>
      <c r="N31">
        <v>69.150000000000006</v>
      </c>
      <c r="O31">
        <v>53.25</v>
      </c>
      <c r="P31">
        <v>63.55</v>
      </c>
      <c r="Q31">
        <v>19.659600000000001</v>
      </c>
      <c r="R31">
        <v>1275.5999999999999</v>
      </c>
      <c r="S31">
        <v>37.590000000000003</v>
      </c>
      <c r="T31">
        <v>19.59</v>
      </c>
      <c r="U31">
        <v>19.690000000000001</v>
      </c>
      <c r="V31">
        <v>38.21</v>
      </c>
      <c r="W31">
        <v>45.89</v>
      </c>
      <c r="X31">
        <v>26.54</v>
      </c>
      <c r="Y31">
        <v>55.18</v>
      </c>
      <c r="Z31">
        <v>43.49</v>
      </c>
      <c r="AA31">
        <v>85.04</v>
      </c>
      <c r="AB31">
        <v>60.87</v>
      </c>
      <c r="AC31">
        <v>45.28</v>
      </c>
      <c r="AD31">
        <v>619.54999999999995</v>
      </c>
      <c r="AE31">
        <v>690.36</v>
      </c>
      <c r="AF31">
        <v>45.87</v>
      </c>
      <c r="AG31">
        <v>60.67</v>
      </c>
      <c r="AH31">
        <v>50.61</v>
      </c>
      <c r="AI31">
        <v>55.04</v>
      </c>
    </row>
    <row r="32" spans="1:35" x14ac:dyDescent="0.45">
      <c r="A32" s="2">
        <v>46035</v>
      </c>
      <c r="B32">
        <v>35.590000000000003</v>
      </c>
      <c r="C32">
        <v>44.34</v>
      </c>
      <c r="D32">
        <v>19.03</v>
      </c>
      <c r="E32">
        <v>26.24</v>
      </c>
      <c r="F32">
        <v>36.090000000000003</v>
      </c>
      <c r="G32">
        <v>80.989999999999995</v>
      </c>
      <c r="H32">
        <v>28.05</v>
      </c>
      <c r="I32">
        <v>66.099999999999994</v>
      </c>
      <c r="J32">
        <v>71.97</v>
      </c>
      <c r="K32">
        <v>107.54</v>
      </c>
      <c r="L32">
        <v>32.630000000000003</v>
      </c>
      <c r="M32">
        <v>73.09</v>
      </c>
      <c r="N32">
        <v>69</v>
      </c>
      <c r="O32">
        <v>53.04</v>
      </c>
      <c r="P32">
        <v>63.52</v>
      </c>
      <c r="Q32">
        <v>19.71</v>
      </c>
      <c r="R32">
        <v>1261.3900000000001</v>
      </c>
      <c r="S32">
        <v>37.729999999999997</v>
      </c>
      <c r="T32">
        <v>19.760000000000002</v>
      </c>
      <c r="U32">
        <v>19.8</v>
      </c>
      <c r="V32">
        <v>38.21</v>
      </c>
      <c r="W32">
        <v>45.52</v>
      </c>
      <c r="X32">
        <v>26.41</v>
      </c>
      <c r="Y32">
        <v>55.12</v>
      </c>
      <c r="Z32">
        <v>43.57</v>
      </c>
      <c r="AA32">
        <v>84.45</v>
      </c>
      <c r="AB32">
        <v>60.17</v>
      </c>
      <c r="AC32">
        <v>44.98</v>
      </c>
      <c r="AD32">
        <v>626.24</v>
      </c>
      <c r="AE32">
        <v>693.77</v>
      </c>
      <c r="AF32">
        <v>45.96</v>
      </c>
      <c r="AG32">
        <v>60.78</v>
      </c>
      <c r="AH32">
        <v>50.7</v>
      </c>
      <c r="AI32">
        <v>54.81</v>
      </c>
    </row>
    <row r="33" spans="1:35" x14ac:dyDescent="0.45">
      <c r="A33" s="2">
        <v>46034</v>
      </c>
      <c r="B33">
        <v>36.229999999999997</v>
      </c>
      <c r="C33">
        <v>43.87</v>
      </c>
      <c r="D33">
        <v>18.989999999999998</v>
      </c>
      <c r="E33">
        <v>26.41</v>
      </c>
      <c r="F33">
        <v>36.380000000000003</v>
      </c>
      <c r="G33">
        <v>80.55</v>
      </c>
      <c r="H33">
        <v>27.97</v>
      </c>
      <c r="I33">
        <v>66.62</v>
      </c>
      <c r="J33">
        <v>72.06</v>
      </c>
      <c r="K33">
        <v>108.93</v>
      </c>
      <c r="L33">
        <v>32.93</v>
      </c>
      <c r="M33">
        <v>72.78</v>
      </c>
      <c r="N33">
        <v>69.489999999999995</v>
      </c>
      <c r="O33">
        <v>53.4</v>
      </c>
      <c r="P33">
        <v>64.260000000000005</v>
      </c>
      <c r="Q33">
        <v>19.6099</v>
      </c>
      <c r="R33">
        <v>1244.3</v>
      </c>
      <c r="S33">
        <v>37.54</v>
      </c>
      <c r="T33">
        <v>19.55</v>
      </c>
      <c r="U33">
        <v>19.670000000000002</v>
      </c>
      <c r="V33">
        <v>37.82</v>
      </c>
      <c r="W33">
        <v>46.1</v>
      </c>
      <c r="X33">
        <v>26.45</v>
      </c>
      <c r="Y33">
        <v>55.09</v>
      </c>
      <c r="Z33">
        <v>43.83</v>
      </c>
      <c r="AA33">
        <v>85.29</v>
      </c>
      <c r="AB33">
        <v>60.63</v>
      </c>
      <c r="AC33">
        <v>45.09</v>
      </c>
      <c r="AD33">
        <v>627.16999999999996</v>
      </c>
      <c r="AE33">
        <v>695.16</v>
      </c>
      <c r="AF33">
        <v>46.1</v>
      </c>
      <c r="AG33">
        <v>61.04</v>
      </c>
      <c r="AH33">
        <v>50.91</v>
      </c>
      <c r="AI33">
        <v>55.32</v>
      </c>
    </row>
    <row r="34" spans="1:35" x14ac:dyDescent="0.45">
      <c r="A34" s="2">
        <v>46031</v>
      </c>
      <c r="B34">
        <v>35.83</v>
      </c>
      <c r="C34">
        <v>42.85</v>
      </c>
      <c r="D34">
        <v>19.010000000000002</v>
      </c>
      <c r="E34">
        <v>26.13</v>
      </c>
      <c r="F34">
        <v>36.200000000000003</v>
      </c>
      <c r="G34">
        <v>78.19</v>
      </c>
      <c r="H34">
        <v>27.59</v>
      </c>
      <c r="I34">
        <v>65.92</v>
      </c>
      <c r="J34">
        <v>71.06</v>
      </c>
      <c r="K34">
        <v>108.89</v>
      </c>
      <c r="L34">
        <v>33.06</v>
      </c>
      <c r="M34">
        <v>70.69</v>
      </c>
      <c r="N34">
        <v>68.98</v>
      </c>
      <c r="O34">
        <v>53.174999999999997</v>
      </c>
      <c r="P34">
        <v>62.22</v>
      </c>
      <c r="Q34">
        <v>19.36</v>
      </c>
      <c r="R34">
        <v>1235.3</v>
      </c>
      <c r="S34">
        <v>37.159999999999997</v>
      </c>
      <c r="T34">
        <v>19.43</v>
      </c>
      <c r="U34">
        <v>19.28</v>
      </c>
      <c r="V34">
        <v>36.869999999999997</v>
      </c>
      <c r="W34">
        <v>45.98</v>
      </c>
      <c r="X34">
        <v>26.26</v>
      </c>
      <c r="Y34">
        <v>54.63</v>
      </c>
      <c r="Z34">
        <v>43.41</v>
      </c>
      <c r="AA34">
        <v>84.61</v>
      </c>
      <c r="AB34">
        <v>60.58</v>
      </c>
      <c r="AC34">
        <v>44.79</v>
      </c>
      <c r="AD34">
        <v>626.65</v>
      </c>
      <c r="AE34">
        <v>694.07</v>
      </c>
      <c r="AF34">
        <v>45.88</v>
      </c>
      <c r="AG34">
        <v>60.4</v>
      </c>
      <c r="AH34">
        <v>50.78</v>
      </c>
      <c r="AI34">
        <v>55.03</v>
      </c>
    </row>
    <row r="35" spans="1:35" x14ac:dyDescent="0.45">
      <c r="A35" s="2">
        <v>46030</v>
      </c>
      <c r="B35">
        <v>35.49</v>
      </c>
      <c r="C35">
        <v>42.75</v>
      </c>
      <c r="D35">
        <v>18.989999999999998</v>
      </c>
      <c r="E35">
        <v>26.08</v>
      </c>
      <c r="F35">
        <v>35.82</v>
      </c>
      <c r="G35">
        <v>76.55</v>
      </c>
      <c r="H35">
        <v>27.36</v>
      </c>
      <c r="I35">
        <v>65.44</v>
      </c>
      <c r="J35">
        <v>70.48</v>
      </c>
      <c r="K35">
        <v>106.59</v>
      </c>
      <c r="L35">
        <v>32.880000000000003</v>
      </c>
      <c r="M35">
        <v>70.34</v>
      </c>
      <c r="N35">
        <v>69.19</v>
      </c>
      <c r="O35">
        <v>53.72</v>
      </c>
      <c r="P35">
        <v>62.28</v>
      </c>
      <c r="Q35">
        <v>19.28</v>
      </c>
      <c r="R35">
        <v>1242.2</v>
      </c>
      <c r="S35">
        <v>36.729999999999997</v>
      </c>
      <c r="T35">
        <v>19.649999999999999</v>
      </c>
      <c r="U35">
        <v>19.309999999999999</v>
      </c>
      <c r="V35">
        <v>36.82</v>
      </c>
      <c r="W35">
        <v>46.115000000000002</v>
      </c>
      <c r="X35">
        <v>26.37</v>
      </c>
      <c r="Y35">
        <v>54.46</v>
      </c>
      <c r="Z35">
        <v>43.31</v>
      </c>
      <c r="AA35">
        <v>82.86</v>
      </c>
      <c r="AB35">
        <v>60.21</v>
      </c>
      <c r="AC35">
        <v>44.6</v>
      </c>
      <c r="AD35">
        <v>620.47</v>
      </c>
      <c r="AE35">
        <v>689.51</v>
      </c>
      <c r="AF35">
        <v>45.46</v>
      </c>
      <c r="AG35">
        <v>59.21</v>
      </c>
      <c r="AH35">
        <v>50.28</v>
      </c>
      <c r="AI35">
        <v>55.24</v>
      </c>
    </row>
    <row r="36" spans="1:35" x14ac:dyDescent="0.45">
      <c r="A36" s="2">
        <v>46029</v>
      </c>
      <c r="B36">
        <v>35.5</v>
      </c>
      <c r="C36">
        <v>42.39</v>
      </c>
      <c r="D36">
        <v>19.03</v>
      </c>
      <c r="E36">
        <v>25.92</v>
      </c>
      <c r="F36">
        <v>36.6</v>
      </c>
      <c r="G36">
        <v>75.42</v>
      </c>
      <c r="H36">
        <v>27.43</v>
      </c>
      <c r="I36">
        <v>65.59</v>
      </c>
      <c r="J36">
        <v>69.92</v>
      </c>
      <c r="K36">
        <v>107.03</v>
      </c>
      <c r="L36">
        <v>32.700000000000003</v>
      </c>
      <c r="M36">
        <v>71.45</v>
      </c>
      <c r="N36">
        <v>67.98</v>
      </c>
      <c r="O36">
        <v>54.2</v>
      </c>
      <c r="P36">
        <v>61.88</v>
      </c>
      <c r="Q36">
        <v>19.405000000000001</v>
      </c>
      <c r="R36">
        <v>1254.0899999999999</v>
      </c>
      <c r="S36">
        <v>36.630000000000003</v>
      </c>
      <c r="T36">
        <v>19.649999999999999</v>
      </c>
      <c r="U36">
        <v>19.440000000000001</v>
      </c>
      <c r="V36">
        <v>36.32</v>
      </c>
      <c r="W36">
        <v>46.295000000000002</v>
      </c>
      <c r="X36">
        <v>26.27</v>
      </c>
      <c r="Y36">
        <v>54.01</v>
      </c>
      <c r="Z36">
        <v>43.26</v>
      </c>
      <c r="AA36">
        <v>82.92</v>
      </c>
      <c r="AB36">
        <v>60.31</v>
      </c>
      <c r="AC36">
        <v>44.49</v>
      </c>
      <c r="AD36">
        <v>624.02</v>
      </c>
      <c r="AE36">
        <v>689.58</v>
      </c>
      <c r="AF36">
        <v>45.4</v>
      </c>
      <c r="AG36">
        <v>59.8</v>
      </c>
      <c r="AH36">
        <v>50.87</v>
      </c>
      <c r="AI36">
        <v>54.97</v>
      </c>
    </row>
    <row r="37" spans="1:35" x14ac:dyDescent="0.45">
      <c r="A37" s="2">
        <v>46028</v>
      </c>
      <c r="B37">
        <v>35.64</v>
      </c>
      <c r="C37">
        <v>42.55</v>
      </c>
      <c r="D37">
        <v>19.079999999999998</v>
      </c>
      <c r="E37">
        <v>25.98</v>
      </c>
      <c r="F37">
        <v>36.26</v>
      </c>
      <c r="G37">
        <v>76.709999999999994</v>
      </c>
      <c r="H37">
        <v>27.63</v>
      </c>
      <c r="I37">
        <v>65.83</v>
      </c>
      <c r="J37">
        <v>70.040000000000006</v>
      </c>
      <c r="K37">
        <v>107.61</v>
      </c>
      <c r="L37">
        <v>33.11</v>
      </c>
      <c r="M37">
        <v>72.739999999999995</v>
      </c>
      <c r="N37">
        <v>67.39</v>
      </c>
      <c r="O37">
        <v>54.08</v>
      </c>
      <c r="P37">
        <v>62.71</v>
      </c>
      <c r="Q37">
        <v>19.3551</v>
      </c>
      <c r="R37">
        <v>1253.5999999999999</v>
      </c>
      <c r="S37">
        <v>36.770000000000003</v>
      </c>
      <c r="T37">
        <v>19.425000000000001</v>
      </c>
      <c r="U37">
        <v>19.43</v>
      </c>
      <c r="V37">
        <v>37.03</v>
      </c>
      <c r="W37">
        <v>46.147599999999997</v>
      </c>
      <c r="X37">
        <v>26.49</v>
      </c>
      <c r="Y37">
        <v>54.65</v>
      </c>
      <c r="Z37">
        <v>43.13</v>
      </c>
      <c r="AA37">
        <v>83.07</v>
      </c>
      <c r="AB37">
        <v>60.55</v>
      </c>
      <c r="AC37">
        <v>45.05</v>
      </c>
      <c r="AD37">
        <v>623.41999999999996</v>
      </c>
      <c r="AE37">
        <v>691.81</v>
      </c>
      <c r="AF37">
        <v>45.6</v>
      </c>
      <c r="AG37">
        <v>60.44</v>
      </c>
      <c r="AH37">
        <v>50.11</v>
      </c>
      <c r="AI37">
        <v>55.29</v>
      </c>
    </row>
    <row r="38" spans="1:35" x14ac:dyDescent="0.45">
      <c r="A38" s="2">
        <v>46027</v>
      </c>
      <c r="B38">
        <v>35.21</v>
      </c>
      <c r="C38">
        <v>41.6</v>
      </c>
      <c r="D38">
        <v>19.04</v>
      </c>
      <c r="E38">
        <v>25.46</v>
      </c>
      <c r="F38">
        <v>36.17</v>
      </c>
      <c r="G38">
        <v>74.87</v>
      </c>
      <c r="H38">
        <v>27.61</v>
      </c>
      <c r="I38">
        <v>65.3</v>
      </c>
      <c r="J38">
        <v>70.58</v>
      </c>
      <c r="K38">
        <v>104.83</v>
      </c>
      <c r="L38">
        <v>32.79</v>
      </c>
      <c r="M38">
        <v>70.239999999999995</v>
      </c>
      <c r="N38">
        <v>67.61</v>
      </c>
      <c r="O38">
        <v>54.29</v>
      </c>
      <c r="P38">
        <v>62.67</v>
      </c>
      <c r="Q38">
        <v>19.190000000000001</v>
      </c>
      <c r="R38">
        <v>1280.82</v>
      </c>
      <c r="S38">
        <v>35.81</v>
      </c>
      <c r="T38">
        <v>19.22</v>
      </c>
      <c r="U38">
        <v>19.02</v>
      </c>
      <c r="V38">
        <v>36</v>
      </c>
      <c r="W38">
        <v>45.858400000000003</v>
      </c>
      <c r="X38">
        <v>26.61</v>
      </c>
      <c r="Y38">
        <v>54.59</v>
      </c>
      <c r="Z38">
        <v>43.05</v>
      </c>
      <c r="AA38">
        <v>83.13</v>
      </c>
      <c r="AB38">
        <v>60.43</v>
      </c>
      <c r="AC38">
        <v>44.81</v>
      </c>
      <c r="AD38">
        <v>617.99</v>
      </c>
      <c r="AE38">
        <v>687.72</v>
      </c>
      <c r="AF38">
        <v>45.42</v>
      </c>
      <c r="AG38">
        <v>60.14</v>
      </c>
      <c r="AH38">
        <v>50.39</v>
      </c>
      <c r="AI38">
        <v>55.67</v>
      </c>
    </row>
    <row r="39" spans="1:35" x14ac:dyDescent="0.45">
      <c r="A39" s="2">
        <v>46024</v>
      </c>
      <c r="B39">
        <v>34.909999999999997</v>
      </c>
      <c r="C39">
        <v>40.369999999999997</v>
      </c>
      <c r="D39">
        <v>18.809999999999999</v>
      </c>
      <c r="E39">
        <v>25.3</v>
      </c>
      <c r="F39">
        <v>36.25</v>
      </c>
      <c r="G39">
        <v>72.709999999999994</v>
      </c>
      <c r="H39">
        <v>27.42</v>
      </c>
      <c r="I39">
        <v>64.77</v>
      </c>
      <c r="J39">
        <v>69.66</v>
      </c>
      <c r="K39">
        <v>102.22</v>
      </c>
      <c r="L39">
        <v>32.200000000000003</v>
      </c>
      <c r="M39">
        <v>69.400000000000006</v>
      </c>
      <c r="N39">
        <v>67.444599999999994</v>
      </c>
      <c r="O39">
        <v>54.56</v>
      </c>
      <c r="P39">
        <v>62.24</v>
      </c>
      <c r="Q39">
        <v>18.824999999999999</v>
      </c>
      <c r="R39">
        <v>1274.75</v>
      </c>
      <c r="S39">
        <v>34.92</v>
      </c>
      <c r="T39">
        <v>19.2151</v>
      </c>
      <c r="U39">
        <v>19.11</v>
      </c>
      <c r="V39">
        <v>36.770000000000003</v>
      </c>
      <c r="W39">
        <v>45.471899999999998</v>
      </c>
      <c r="X39">
        <v>26.47</v>
      </c>
      <c r="Y39">
        <v>54.19</v>
      </c>
      <c r="Z39">
        <v>42.56</v>
      </c>
      <c r="AA39">
        <v>81.33</v>
      </c>
      <c r="AB39">
        <v>60.34</v>
      </c>
      <c r="AC39">
        <v>44.46</v>
      </c>
      <c r="AD39">
        <v>613.12</v>
      </c>
      <c r="AE39">
        <v>683.17</v>
      </c>
      <c r="AF39">
        <v>45.31</v>
      </c>
      <c r="AG39">
        <v>58.64</v>
      </c>
      <c r="AH39">
        <v>49.6</v>
      </c>
      <c r="AI39">
        <v>55.16</v>
      </c>
    </row>
    <row r="40" spans="1:35" x14ac:dyDescent="0.45">
      <c r="A40" s="2">
        <v>46022</v>
      </c>
      <c r="B40">
        <v>34.58</v>
      </c>
      <c r="C40">
        <v>40.4</v>
      </c>
      <c r="D40">
        <v>18.7</v>
      </c>
      <c r="E40">
        <v>24.92</v>
      </c>
      <c r="F40">
        <v>35.19</v>
      </c>
      <c r="G40">
        <v>72.349999999999994</v>
      </c>
      <c r="H40">
        <v>27.36</v>
      </c>
      <c r="I40">
        <v>63.53</v>
      </c>
      <c r="J40">
        <v>69.33</v>
      </c>
      <c r="K40">
        <v>97.22</v>
      </c>
      <c r="L40">
        <v>31.77</v>
      </c>
      <c r="M40">
        <v>68.8</v>
      </c>
      <c r="N40">
        <v>65.91</v>
      </c>
      <c r="O40">
        <v>54.05</v>
      </c>
      <c r="P40">
        <v>60.07</v>
      </c>
      <c r="Q40">
        <v>18.818300000000001</v>
      </c>
      <c r="R40">
        <v>1280.05</v>
      </c>
      <c r="S40">
        <v>34.42</v>
      </c>
      <c r="T40">
        <v>19.12</v>
      </c>
      <c r="U40">
        <v>19.079999999999998</v>
      </c>
      <c r="V40">
        <v>36.409999999999997</v>
      </c>
      <c r="W40">
        <v>45.271500000000003</v>
      </c>
      <c r="X40">
        <v>26.19</v>
      </c>
      <c r="Y40">
        <v>53.93</v>
      </c>
      <c r="Z40">
        <v>42.5</v>
      </c>
      <c r="AA40">
        <v>80.739999999999995</v>
      </c>
      <c r="AB40">
        <v>59.96</v>
      </c>
      <c r="AC40">
        <v>43.98</v>
      </c>
      <c r="AD40">
        <v>614.30999999999995</v>
      </c>
      <c r="AE40">
        <v>681.92</v>
      </c>
      <c r="AF40">
        <v>44.99</v>
      </c>
      <c r="AG40">
        <v>57.03</v>
      </c>
      <c r="AH40">
        <v>49.23</v>
      </c>
      <c r="AI40">
        <v>54.33</v>
      </c>
    </row>
    <row r="41" spans="1:35" x14ac:dyDescent="0.45">
      <c r="A41" s="2">
        <v>46021</v>
      </c>
      <c r="B41">
        <v>34.590000000000003</v>
      </c>
      <c r="C41">
        <v>40.54</v>
      </c>
      <c r="D41">
        <v>18.670000000000002</v>
      </c>
      <c r="E41">
        <v>25.06</v>
      </c>
      <c r="F41">
        <v>35.159999999999997</v>
      </c>
      <c r="G41">
        <v>72.91</v>
      </c>
      <c r="H41">
        <v>27.57</v>
      </c>
      <c r="I41">
        <v>63.71</v>
      </c>
      <c r="J41">
        <v>69.489999999999995</v>
      </c>
      <c r="K41">
        <v>98.62</v>
      </c>
      <c r="L41">
        <v>31.99</v>
      </c>
      <c r="M41">
        <v>69.23</v>
      </c>
      <c r="N41">
        <v>66.5</v>
      </c>
      <c r="O41">
        <v>53.64</v>
      </c>
      <c r="P41">
        <v>60.58</v>
      </c>
      <c r="Q41">
        <v>18.95</v>
      </c>
      <c r="R41">
        <v>1259.67</v>
      </c>
      <c r="S41">
        <v>34.42</v>
      </c>
      <c r="T41">
        <v>19.05</v>
      </c>
      <c r="U41">
        <v>19.010000000000002</v>
      </c>
      <c r="V41">
        <v>36.049999999999997</v>
      </c>
      <c r="W41">
        <v>45.41</v>
      </c>
      <c r="X41">
        <v>26.41</v>
      </c>
      <c r="Y41">
        <v>54.3</v>
      </c>
      <c r="Z41">
        <v>42.75</v>
      </c>
      <c r="AA41">
        <v>80.98</v>
      </c>
      <c r="AB41">
        <v>60.17</v>
      </c>
      <c r="AC41">
        <v>44.22</v>
      </c>
      <c r="AD41">
        <v>619.42999999999995</v>
      </c>
      <c r="AE41">
        <v>687.01</v>
      </c>
      <c r="AF41">
        <v>45.14</v>
      </c>
      <c r="AG41">
        <v>57.226999999999997</v>
      </c>
      <c r="AH41">
        <v>49.55</v>
      </c>
      <c r="AI41">
        <v>54.59</v>
      </c>
    </row>
    <row r="42" spans="1:35" x14ac:dyDescent="0.45">
      <c r="A42" s="2">
        <v>46020</v>
      </c>
      <c r="B42">
        <v>34.369999999999997</v>
      </c>
      <c r="C42">
        <v>40.15</v>
      </c>
      <c r="D42">
        <v>18.670000000000002</v>
      </c>
      <c r="E42">
        <v>25.09</v>
      </c>
      <c r="F42">
        <v>34.96</v>
      </c>
      <c r="G42">
        <v>71.95</v>
      </c>
      <c r="H42">
        <v>27.53</v>
      </c>
      <c r="I42">
        <v>63.33</v>
      </c>
      <c r="J42">
        <v>70.510000000000005</v>
      </c>
      <c r="K42">
        <v>98.72</v>
      </c>
      <c r="L42">
        <v>31.42</v>
      </c>
      <c r="M42">
        <v>68.430000000000007</v>
      </c>
      <c r="N42">
        <v>68</v>
      </c>
      <c r="O42">
        <v>53.47</v>
      </c>
      <c r="P42">
        <v>60.37</v>
      </c>
      <c r="Q42">
        <v>18.8751</v>
      </c>
      <c r="R42">
        <v>1254.03</v>
      </c>
      <c r="S42">
        <v>34.409999999999997</v>
      </c>
      <c r="T42">
        <v>19.600000000000001</v>
      </c>
      <c r="U42">
        <v>18.920000000000002</v>
      </c>
      <c r="V42">
        <v>36.39</v>
      </c>
      <c r="W42">
        <v>45.41</v>
      </c>
      <c r="X42">
        <v>26.48</v>
      </c>
      <c r="Y42">
        <v>54.33</v>
      </c>
      <c r="Z42">
        <v>42.51</v>
      </c>
      <c r="AA42">
        <v>81.09</v>
      </c>
      <c r="AB42">
        <v>60.35</v>
      </c>
      <c r="AC42">
        <v>44.02</v>
      </c>
      <c r="AD42">
        <v>620.87</v>
      </c>
      <c r="AE42">
        <v>687.85</v>
      </c>
      <c r="AF42">
        <v>44.99</v>
      </c>
      <c r="AG42">
        <v>57</v>
      </c>
      <c r="AH42">
        <v>49.32</v>
      </c>
      <c r="AI42">
        <v>54.16</v>
      </c>
    </row>
    <row r="43" spans="1:35" x14ac:dyDescent="0.45">
      <c r="A43" s="2">
        <v>46017</v>
      </c>
      <c r="B43">
        <v>34.71</v>
      </c>
      <c r="C43">
        <v>40.29</v>
      </c>
      <c r="D43">
        <v>18.47</v>
      </c>
      <c r="E43">
        <v>25.08</v>
      </c>
      <c r="F43">
        <v>35.200000000000003</v>
      </c>
      <c r="G43">
        <v>73.77</v>
      </c>
      <c r="H43">
        <v>27.64</v>
      </c>
      <c r="I43">
        <v>63.02</v>
      </c>
      <c r="J43">
        <v>71.150000000000006</v>
      </c>
      <c r="K43">
        <v>95.84</v>
      </c>
      <c r="L43">
        <v>31.73</v>
      </c>
      <c r="M43">
        <v>70.31</v>
      </c>
      <c r="N43">
        <v>68.61</v>
      </c>
      <c r="O43">
        <v>53.84</v>
      </c>
      <c r="P43">
        <v>61.27</v>
      </c>
      <c r="Q43">
        <v>18.864999999999998</v>
      </c>
      <c r="R43">
        <v>1259.25</v>
      </c>
      <c r="S43">
        <v>34.76</v>
      </c>
      <c r="T43">
        <v>19.54</v>
      </c>
      <c r="U43">
        <v>18.399999999999999</v>
      </c>
      <c r="V43">
        <v>36.57</v>
      </c>
      <c r="W43">
        <v>45.73</v>
      </c>
      <c r="X43">
        <v>26.68</v>
      </c>
      <c r="Y43">
        <v>54.8</v>
      </c>
      <c r="Z43">
        <v>42.65</v>
      </c>
      <c r="AA43">
        <v>80.97</v>
      </c>
      <c r="AB43">
        <v>60.54</v>
      </c>
      <c r="AC43">
        <v>44.24</v>
      </c>
      <c r="AD43">
        <v>623.89</v>
      </c>
      <c r="AE43">
        <v>690.31</v>
      </c>
      <c r="AF43">
        <v>45.18</v>
      </c>
      <c r="AG43">
        <v>57.16</v>
      </c>
      <c r="AH43">
        <v>49.65</v>
      </c>
      <c r="AI43">
        <v>54.62</v>
      </c>
    </row>
    <row r="44" spans="1:35" x14ac:dyDescent="0.45">
      <c r="A44" s="2">
        <v>46015</v>
      </c>
      <c r="B44">
        <v>34.44</v>
      </c>
      <c r="C44">
        <v>40.03</v>
      </c>
      <c r="D44">
        <v>18.45</v>
      </c>
      <c r="E44">
        <v>24.94</v>
      </c>
      <c r="F44">
        <v>35.15</v>
      </c>
      <c r="G44">
        <v>72.739999999999995</v>
      </c>
      <c r="H44">
        <v>27.69</v>
      </c>
      <c r="I44">
        <v>62.53</v>
      </c>
      <c r="J44">
        <v>70.95</v>
      </c>
      <c r="K44">
        <v>94.6</v>
      </c>
      <c r="L44">
        <v>31.55</v>
      </c>
      <c r="M44">
        <v>69.92</v>
      </c>
      <c r="N44">
        <v>68.16</v>
      </c>
      <c r="O44">
        <v>54.01</v>
      </c>
      <c r="P44">
        <v>60.61</v>
      </c>
      <c r="Q44">
        <v>18.96</v>
      </c>
      <c r="R44">
        <v>1264.77</v>
      </c>
      <c r="S44">
        <v>34.869999999999997</v>
      </c>
      <c r="T44">
        <v>19.52</v>
      </c>
      <c r="U44">
        <v>19.010000000000002</v>
      </c>
      <c r="V44">
        <v>36.6</v>
      </c>
      <c r="W44">
        <v>45.74</v>
      </c>
      <c r="X44">
        <v>26.6</v>
      </c>
      <c r="Y44">
        <v>54.6</v>
      </c>
      <c r="Z44">
        <v>42.57</v>
      </c>
      <c r="AA44">
        <v>81</v>
      </c>
      <c r="AB44">
        <v>60.53</v>
      </c>
      <c r="AC44">
        <v>44.08</v>
      </c>
      <c r="AD44">
        <v>623.92999999999995</v>
      </c>
      <c r="AE44">
        <v>690.38</v>
      </c>
      <c r="AF44">
        <v>44.98</v>
      </c>
      <c r="AG44">
        <v>57.1</v>
      </c>
      <c r="AH44">
        <v>49.31</v>
      </c>
      <c r="AI44">
        <v>54.56</v>
      </c>
    </row>
    <row r="45" spans="1:35" x14ac:dyDescent="0.45">
      <c r="A45" s="2">
        <v>46014</v>
      </c>
      <c r="B45">
        <v>34.31</v>
      </c>
      <c r="C45">
        <v>39.92</v>
      </c>
      <c r="D45">
        <v>18.559999999999999</v>
      </c>
      <c r="E45">
        <v>24.93</v>
      </c>
      <c r="F45">
        <v>34.99</v>
      </c>
      <c r="G45">
        <v>72.78</v>
      </c>
      <c r="H45">
        <v>27.53</v>
      </c>
      <c r="I45">
        <v>62.5</v>
      </c>
      <c r="J45">
        <v>71.040000000000006</v>
      </c>
      <c r="K45">
        <v>92.7</v>
      </c>
      <c r="L45">
        <v>31.65</v>
      </c>
      <c r="M45">
        <v>69.540000000000006</v>
      </c>
      <c r="N45">
        <v>68.209999999999994</v>
      </c>
      <c r="O45">
        <v>54.47</v>
      </c>
      <c r="P45">
        <v>60.67</v>
      </c>
      <c r="Q45">
        <v>18.930199999999999</v>
      </c>
      <c r="R45">
        <v>1275.33</v>
      </c>
      <c r="S45">
        <v>34.814999999999998</v>
      </c>
      <c r="T45">
        <v>19.559999999999999</v>
      </c>
      <c r="U45">
        <v>19.079999999999998</v>
      </c>
      <c r="V45">
        <v>36.76</v>
      </c>
      <c r="W45">
        <v>45.54</v>
      </c>
      <c r="X45">
        <v>26.61</v>
      </c>
      <c r="Y45">
        <v>54.54</v>
      </c>
      <c r="Z45">
        <v>42.44</v>
      </c>
      <c r="AA45">
        <v>81.14</v>
      </c>
      <c r="AB45">
        <v>60.4</v>
      </c>
      <c r="AC45">
        <v>43.98</v>
      </c>
      <c r="AD45">
        <v>622.11</v>
      </c>
      <c r="AE45">
        <v>687.96</v>
      </c>
      <c r="AF45">
        <v>44.9</v>
      </c>
      <c r="AG45">
        <v>56.84</v>
      </c>
      <c r="AH45">
        <v>49.21</v>
      </c>
      <c r="AI45">
        <v>54.4</v>
      </c>
    </row>
    <row r="46" spans="1:35" x14ac:dyDescent="0.45">
      <c r="A46" s="2">
        <v>46013</v>
      </c>
      <c r="B46">
        <v>34.24</v>
      </c>
      <c r="C46">
        <v>39.79</v>
      </c>
      <c r="D46">
        <v>18.68</v>
      </c>
      <c r="E46">
        <v>24.96</v>
      </c>
      <c r="F46">
        <v>35.200000000000003</v>
      </c>
      <c r="G46">
        <v>72.08</v>
      </c>
      <c r="H46">
        <v>27.41</v>
      </c>
      <c r="I46">
        <v>61.98</v>
      </c>
      <c r="J46">
        <v>69.95</v>
      </c>
      <c r="K46">
        <v>91.75</v>
      </c>
      <c r="L46">
        <v>30.97</v>
      </c>
      <c r="M46">
        <v>68.790000000000006</v>
      </c>
      <c r="N46">
        <v>68.39</v>
      </c>
      <c r="O46">
        <v>54.19</v>
      </c>
      <c r="P46">
        <v>60.89</v>
      </c>
      <c r="Q46">
        <v>18.839600000000001</v>
      </c>
      <c r="R46">
        <v>1271.1099999999999</v>
      </c>
      <c r="S46">
        <v>34.61</v>
      </c>
      <c r="T46">
        <v>19.45</v>
      </c>
      <c r="U46">
        <v>18.61</v>
      </c>
      <c r="V46">
        <v>36.549999999999997</v>
      </c>
      <c r="W46">
        <v>45.18</v>
      </c>
      <c r="X46">
        <v>26.15</v>
      </c>
      <c r="Y46">
        <v>54.17</v>
      </c>
      <c r="Z46">
        <v>42.34</v>
      </c>
      <c r="AA46">
        <v>80.459999999999994</v>
      </c>
      <c r="AB46">
        <v>59.93</v>
      </c>
      <c r="AC46">
        <v>43.79</v>
      </c>
      <c r="AD46">
        <v>619.21</v>
      </c>
      <c r="AE46">
        <v>684.83</v>
      </c>
      <c r="AF46">
        <v>44.96</v>
      </c>
      <c r="AG46">
        <v>57.01</v>
      </c>
      <c r="AH46">
        <v>48.8</v>
      </c>
      <c r="AI46">
        <v>54.24</v>
      </c>
    </row>
    <row r="47" spans="1:35" x14ac:dyDescent="0.45">
      <c r="A47" s="2">
        <v>46010</v>
      </c>
      <c r="B47">
        <v>33.89</v>
      </c>
      <c r="C47">
        <v>39.31</v>
      </c>
      <c r="D47">
        <v>18.579999999999998</v>
      </c>
      <c r="E47">
        <v>24.66</v>
      </c>
      <c r="F47">
        <v>34.78</v>
      </c>
      <c r="G47">
        <v>71.2</v>
      </c>
      <c r="H47">
        <v>27.2</v>
      </c>
      <c r="I47">
        <v>61.64</v>
      </c>
      <c r="J47">
        <v>68.849999999999994</v>
      </c>
      <c r="K47">
        <v>91.34</v>
      </c>
      <c r="L47">
        <v>31.17</v>
      </c>
      <c r="M47">
        <v>67.599999999999994</v>
      </c>
      <c r="N47">
        <v>67.25</v>
      </c>
      <c r="O47">
        <v>54.15</v>
      </c>
      <c r="P47">
        <v>60.63</v>
      </c>
      <c r="Q47">
        <v>18.774999999999999</v>
      </c>
      <c r="R47">
        <v>1269.68</v>
      </c>
      <c r="S47">
        <v>34.86</v>
      </c>
      <c r="T47">
        <v>19.25</v>
      </c>
      <c r="U47">
        <v>18.39</v>
      </c>
      <c r="V47">
        <v>36.36</v>
      </c>
      <c r="W47">
        <v>44.82</v>
      </c>
      <c r="X47">
        <v>25.88</v>
      </c>
      <c r="Y47">
        <v>53.68</v>
      </c>
      <c r="Z47">
        <v>42.1</v>
      </c>
      <c r="AA47">
        <v>80.58</v>
      </c>
      <c r="AB47">
        <v>59.57</v>
      </c>
      <c r="AC47">
        <v>43.54</v>
      </c>
      <c r="AD47">
        <v>617.04999999999995</v>
      </c>
      <c r="AE47">
        <v>680.59</v>
      </c>
      <c r="AF47">
        <v>44.91</v>
      </c>
      <c r="AG47">
        <v>56.61</v>
      </c>
      <c r="AH47">
        <v>48.55</v>
      </c>
      <c r="AI47">
        <v>54.21</v>
      </c>
    </row>
    <row r="48" spans="1:35" x14ac:dyDescent="0.45">
      <c r="A48" s="2">
        <v>46009</v>
      </c>
      <c r="B48">
        <v>33.58</v>
      </c>
      <c r="C48">
        <v>38.69</v>
      </c>
      <c r="D48">
        <v>18.63</v>
      </c>
      <c r="E48">
        <v>25.01</v>
      </c>
      <c r="F48">
        <v>34.409999999999997</v>
      </c>
      <c r="G48">
        <v>69.98</v>
      </c>
      <c r="H48">
        <v>26.88</v>
      </c>
      <c r="I48">
        <v>60.87</v>
      </c>
      <c r="J48">
        <v>68.75</v>
      </c>
      <c r="K48">
        <v>90.07</v>
      </c>
      <c r="L48">
        <v>31.17</v>
      </c>
      <c r="M48">
        <v>67.510000000000005</v>
      </c>
      <c r="N48">
        <v>66.94</v>
      </c>
      <c r="O48">
        <v>53.28</v>
      </c>
      <c r="P48">
        <v>59.99</v>
      </c>
      <c r="Q48">
        <v>18.739999999999998</v>
      </c>
      <c r="R48">
        <v>1252.19</v>
      </c>
      <c r="S48">
        <v>34.82</v>
      </c>
      <c r="T48">
        <v>19.309999999999999</v>
      </c>
      <c r="U48">
        <v>17.88</v>
      </c>
      <c r="V48">
        <v>36.299999999999997</v>
      </c>
      <c r="W48">
        <v>44.6999</v>
      </c>
      <c r="X48">
        <v>25.81</v>
      </c>
      <c r="Y48">
        <v>53.22</v>
      </c>
      <c r="Z48">
        <v>41.94</v>
      </c>
      <c r="AA48">
        <v>79.97</v>
      </c>
      <c r="AB48">
        <v>59.47</v>
      </c>
      <c r="AC48">
        <v>43.13</v>
      </c>
      <c r="AD48">
        <v>609.11</v>
      </c>
      <c r="AE48">
        <v>676.47</v>
      </c>
      <c r="AF48">
        <v>44.8</v>
      </c>
      <c r="AG48">
        <v>56.02</v>
      </c>
      <c r="AH48">
        <v>48.18</v>
      </c>
      <c r="AI48">
        <v>53.81</v>
      </c>
    </row>
    <row r="49" spans="1:35" x14ac:dyDescent="0.45">
      <c r="A49" s="2">
        <v>46008</v>
      </c>
      <c r="B49">
        <v>33.630000000000003</v>
      </c>
      <c r="C49">
        <v>38.28</v>
      </c>
      <c r="D49">
        <v>18.600000000000001</v>
      </c>
      <c r="E49">
        <v>25.1</v>
      </c>
      <c r="F49">
        <v>34.270000000000003</v>
      </c>
      <c r="G49">
        <v>69.180000000000007</v>
      </c>
      <c r="H49">
        <v>26.6</v>
      </c>
      <c r="I49">
        <v>60.03</v>
      </c>
      <c r="J49">
        <v>67.45</v>
      </c>
      <c r="K49">
        <v>88.58</v>
      </c>
      <c r="L49">
        <v>31</v>
      </c>
      <c r="M49">
        <v>66.64</v>
      </c>
      <c r="N49">
        <v>66.25</v>
      </c>
      <c r="O49">
        <v>52.97</v>
      </c>
      <c r="P49">
        <v>59.47</v>
      </c>
      <c r="Q49">
        <v>18.6081</v>
      </c>
      <c r="R49">
        <v>1250.07</v>
      </c>
      <c r="S49">
        <v>34.734999999999999</v>
      </c>
      <c r="T49">
        <v>19.1129</v>
      </c>
      <c r="U49">
        <v>17.54</v>
      </c>
      <c r="V49">
        <v>35.83</v>
      </c>
      <c r="W49">
        <v>44.634999999999998</v>
      </c>
      <c r="X49">
        <v>25.58</v>
      </c>
      <c r="Y49">
        <v>52.81</v>
      </c>
      <c r="Z49">
        <v>41.61</v>
      </c>
      <c r="AA49">
        <v>79.739999999999995</v>
      </c>
      <c r="AB49">
        <v>58.84</v>
      </c>
      <c r="AC49">
        <v>42.94</v>
      </c>
      <c r="AD49">
        <v>600.41</v>
      </c>
      <c r="AE49">
        <v>671.4</v>
      </c>
      <c r="AF49">
        <v>44.62</v>
      </c>
      <c r="AG49">
        <v>55.57</v>
      </c>
      <c r="AH49">
        <v>47.62</v>
      </c>
      <c r="AI49">
        <v>53.51</v>
      </c>
    </row>
    <row r="50" spans="1:35" x14ac:dyDescent="0.45">
      <c r="A50" s="2">
        <v>46007</v>
      </c>
      <c r="B50">
        <v>33.197000000000003</v>
      </c>
      <c r="C50">
        <v>38.840000000000003</v>
      </c>
      <c r="D50">
        <v>18.670000000000002</v>
      </c>
      <c r="E50">
        <v>25.19</v>
      </c>
      <c r="F50">
        <v>34.409999999999997</v>
      </c>
      <c r="G50">
        <v>69.3</v>
      </c>
      <c r="H50">
        <v>26.79</v>
      </c>
      <c r="I50">
        <v>61.12</v>
      </c>
      <c r="J50">
        <v>68.28</v>
      </c>
      <c r="K50">
        <v>89.52</v>
      </c>
      <c r="L50">
        <v>31.6</v>
      </c>
      <c r="M50">
        <v>65.7</v>
      </c>
      <c r="N50">
        <v>66.81</v>
      </c>
      <c r="O50">
        <v>52.95</v>
      </c>
      <c r="P50">
        <v>59.7</v>
      </c>
      <c r="Q50">
        <v>18.696899999999999</v>
      </c>
      <c r="R50">
        <v>1256.8499999999999</v>
      </c>
      <c r="S50">
        <v>34.71</v>
      </c>
      <c r="T50">
        <v>19.239999999999998</v>
      </c>
      <c r="U50">
        <v>17.850000000000001</v>
      </c>
      <c r="V50">
        <v>36.090000000000003</v>
      </c>
      <c r="W50">
        <v>45.1265</v>
      </c>
      <c r="X50">
        <v>25.82</v>
      </c>
      <c r="Y50">
        <v>52.98</v>
      </c>
      <c r="Z50">
        <v>42.03</v>
      </c>
      <c r="AA50">
        <v>80.849999999999994</v>
      </c>
      <c r="AB50">
        <v>59.02</v>
      </c>
      <c r="AC50">
        <v>42.73</v>
      </c>
      <c r="AD50">
        <v>611.75</v>
      </c>
      <c r="AE50">
        <v>678.87</v>
      </c>
      <c r="AF50">
        <v>44.94</v>
      </c>
      <c r="AG50">
        <v>56.41</v>
      </c>
      <c r="AH50">
        <v>48.23</v>
      </c>
      <c r="AI50">
        <v>53.58</v>
      </c>
    </row>
    <row r="51" spans="1:35" x14ac:dyDescent="0.45">
      <c r="A51" s="2">
        <v>46006</v>
      </c>
      <c r="B51">
        <v>34.049999999999997</v>
      </c>
      <c r="C51">
        <v>38.994999999999997</v>
      </c>
      <c r="D51">
        <v>18.86</v>
      </c>
      <c r="E51">
        <v>24.95</v>
      </c>
      <c r="F51">
        <v>35.9</v>
      </c>
      <c r="G51">
        <v>69.25</v>
      </c>
      <c r="H51">
        <v>27.09</v>
      </c>
      <c r="I51">
        <v>64.11</v>
      </c>
      <c r="J51">
        <v>70.48</v>
      </c>
      <c r="K51">
        <v>92.73</v>
      </c>
      <c r="L51">
        <v>33.58</v>
      </c>
      <c r="M51">
        <v>69.61</v>
      </c>
      <c r="N51">
        <v>67.45</v>
      </c>
      <c r="O51">
        <v>53.1</v>
      </c>
      <c r="P51">
        <v>60.87</v>
      </c>
      <c r="Q51">
        <v>19.010000000000002</v>
      </c>
      <c r="R51">
        <v>1260.68</v>
      </c>
      <c r="S51">
        <v>35.29</v>
      </c>
      <c r="T51">
        <v>19.38</v>
      </c>
      <c r="U51">
        <v>17.420000000000002</v>
      </c>
      <c r="V51">
        <v>36.81</v>
      </c>
      <c r="W51">
        <v>45.75</v>
      </c>
      <c r="X51">
        <v>26.42</v>
      </c>
      <c r="Y51">
        <v>53.8</v>
      </c>
      <c r="Z51">
        <v>42.1</v>
      </c>
      <c r="AA51">
        <v>84.87</v>
      </c>
      <c r="AB51">
        <v>59.06</v>
      </c>
      <c r="AC51">
        <v>43.75</v>
      </c>
      <c r="AD51">
        <v>610.54</v>
      </c>
      <c r="AE51">
        <v>680.73</v>
      </c>
      <c r="AF51">
        <v>45.18</v>
      </c>
      <c r="AG51">
        <v>58.76</v>
      </c>
      <c r="AH51">
        <v>49.11</v>
      </c>
      <c r="AI51">
        <v>54.35</v>
      </c>
    </row>
    <row r="52" spans="1:35" x14ac:dyDescent="0.45">
      <c r="A52" s="2">
        <v>46003</v>
      </c>
      <c r="B52">
        <v>34.08</v>
      </c>
      <c r="C52">
        <v>39.78</v>
      </c>
      <c r="D52">
        <v>18.760000000000002</v>
      </c>
      <c r="E52">
        <v>24.9</v>
      </c>
      <c r="F52">
        <v>35.200000000000003</v>
      </c>
      <c r="G52">
        <v>69.3</v>
      </c>
      <c r="H52">
        <v>26.98</v>
      </c>
      <c r="I52">
        <v>64.099999999999994</v>
      </c>
      <c r="J52">
        <v>70.69</v>
      </c>
      <c r="K52">
        <v>92.67</v>
      </c>
      <c r="L52">
        <v>33.32</v>
      </c>
      <c r="M52">
        <v>68.63</v>
      </c>
      <c r="N52">
        <v>67.239999999999995</v>
      </c>
      <c r="O52">
        <v>53.14</v>
      </c>
      <c r="P52">
        <v>61.52</v>
      </c>
      <c r="Q52">
        <v>19.32</v>
      </c>
      <c r="R52">
        <v>1273.4000000000001</v>
      </c>
      <c r="S52">
        <v>34.82</v>
      </c>
      <c r="T52">
        <v>19.350000000000001</v>
      </c>
      <c r="U52">
        <v>17.489999999999998</v>
      </c>
      <c r="V52">
        <v>37.4</v>
      </c>
      <c r="W52">
        <v>45.71</v>
      </c>
      <c r="X52">
        <v>26.52</v>
      </c>
      <c r="Y52">
        <v>53.89</v>
      </c>
      <c r="Z52">
        <v>42.18</v>
      </c>
      <c r="AA52">
        <v>84</v>
      </c>
      <c r="AB52">
        <v>58.37</v>
      </c>
      <c r="AC52">
        <v>43.28</v>
      </c>
      <c r="AD52">
        <v>613.62</v>
      </c>
      <c r="AE52">
        <v>681.76</v>
      </c>
      <c r="AF52">
        <v>44.88</v>
      </c>
      <c r="AG52">
        <v>58.6</v>
      </c>
      <c r="AH52">
        <v>49.38</v>
      </c>
      <c r="AI52">
        <v>53.66</v>
      </c>
    </row>
    <row r="53" spans="1:35" x14ac:dyDescent="0.45">
      <c r="A53" s="2">
        <v>46002</v>
      </c>
      <c r="B53">
        <v>34.090000000000003</v>
      </c>
      <c r="C53">
        <v>39.28</v>
      </c>
      <c r="D53">
        <v>18.68</v>
      </c>
      <c r="E53">
        <v>25.02</v>
      </c>
      <c r="F53">
        <v>35.270000000000003</v>
      </c>
      <c r="G53">
        <v>69.680000000000007</v>
      </c>
      <c r="H53">
        <v>26.87</v>
      </c>
      <c r="I53">
        <v>65.92</v>
      </c>
      <c r="J53">
        <v>71.06</v>
      </c>
      <c r="K53">
        <v>94.96</v>
      </c>
      <c r="L53">
        <v>33.159999999999997</v>
      </c>
      <c r="M53">
        <v>69.5</v>
      </c>
      <c r="N53">
        <v>67.67</v>
      </c>
      <c r="O53">
        <v>53.57</v>
      </c>
      <c r="P53">
        <v>61.69</v>
      </c>
      <c r="Q53">
        <v>19.315000000000001</v>
      </c>
      <c r="R53">
        <v>1254.0999999999999</v>
      </c>
      <c r="S53">
        <v>34.82</v>
      </c>
      <c r="T53">
        <v>19.510000000000002</v>
      </c>
      <c r="U53">
        <v>18.27</v>
      </c>
      <c r="V53">
        <v>37.619999999999997</v>
      </c>
      <c r="W53">
        <v>46.35</v>
      </c>
      <c r="X53">
        <v>26.64</v>
      </c>
      <c r="Y53">
        <v>54.08</v>
      </c>
      <c r="Z53">
        <v>42.39</v>
      </c>
      <c r="AA53">
        <v>84.22</v>
      </c>
      <c r="AB53">
        <v>58.49</v>
      </c>
      <c r="AC53">
        <v>43.65</v>
      </c>
      <c r="AD53">
        <v>625.58000000000004</v>
      </c>
      <c r="AE53">
        <v>689.17</v>
      </c>
      <c r="AF53">
        <v>45</v>
      </c>
      <c r="AG53">
        <v>59.5</v>
      </c>
      <c r="AH53">
        <v>49.67</v>
      </c>
      <c r="AI53">
        <v>53.95</v>
      </c>
    </row>
    <row r="54" spans="1:35" x14ac:dyDescent="0.45">
      <c r="A54" s="2">
        <v>46001</v>
      </c>
      <c r="B54">
        <v>34.340000000000003</v>
      </c>
      <c r="C54">
        <v>38.75</v>
      </c>
      <c r="D54">
        <v>18.86</v>
      </c>
      <c r="E54">
        <v>24.73</v>
      </c>
      <c r="F54">
        <v>34.880000000000003</v>
      </c>
      <c r="G54">
        <v>68.290000000000006</v>
      </c>
      <c r="H54">
        <v>26.52</v>
      </c>
      <c r="I54">
        <v>66.8</v>
      </c>
      <c r="J54">
        <v>69.040000000000006</v>
      </c>
      <c r="K54">
        <v>96.75</v>
      </c>
      <c r="L54">
        <v>32.770000000000003</v>
      </c>
      <c r="M54">
        <v>68.180000000000007</v>
      </c>
      <c r="N54">
        <v>66.77</v>
      </c>
      <c r="O54">
        <v>53.36</v>
      </c>
      <c r="P54">
        <v>61.81</v>
      </c>
      <c r="Q54">
        <v>19.168500000000002</v>
      </c>
      <c r="R54">
        <v>1253.54</v>
      </c>
      <c r="S54">
        <v>34.729999999999997</v>
      </c>
      <c r="T54">
        <v>19.440100000000001</v>
      </c>
      <c r="U54">
        <v>18.28</v>
      </c>
      <c r="V54">
        <v>37.659999999999997</v>
      </c>
      <c r="W54">
        <v>46.2943</v>
      </c>
      <c r="X54">
        <v>26.65</v>
      </c>
      <c r="Y54">
        <v>53.72</v>
      </c>
      <c r="Z54">
        <v>41.94</v>
      </c>
      <c r="AA54">
        <v>83.91</v>
      </c>
      <c r="AB54">
        <v>58.38</v>
      </c>
      <c r="AC54">
        <v>43.46</v>
      </c>
      <c r="AD54">
        <v>627.61</v>
      </c>
      <c r="AE54">
        <v>687.57</v>
      </c>
      <c r="AF54">
        <v>44.58</v>
      </c>
      <c r="AG54">
        <v>58.8</v>
      </c>
      <c r="AH54">
        <v>49.36</v>
      </c>
      <c r="AI54">
        <v>53.55</v>
      </c>
    </row>
    <row r="55" spans="1:35" x14ac:dyDescent="0.45">
      <c r="A55" s="2">
        <v>46000</v>
      </c>
      <c r="B55">
        <v>34.225000000000001</v>
      </c>
      <c r="C55">
        <v>38.340000000000003</v>
      </c>
      <c r="D55">
        <v>18.68</v>
      </c>
      <c r="E55">
        <v>24.67</v>
      </c>
      <c r="F55">
        <v>34.25</v>
      </c>
      <c r="G55">
        <v>67.48</v>
      </c>
      <c r="H55">
        <v>26.37</v>
      </c>
      <c r="I55">
        <v>65.72</v>
      </c>
      <c r="J55">
        <v>69.27</v>
      </c>
      <c r="K55">
        <v>95.57</v>
      </c>
      <c r="L55">
        <v>32.74</v>
      </c>
      <c r="M55">
        <v>66.91</v>
      </c>
      <c r="N55">
        <v>65.8</v>
      </c>
      <c r="O55">
        <v>53.27</v>
      </c>
      <c r="P55">
        <v>61.35</v>
      </c>
      <c r="Q55">
        <v>19.041399999999999</v>
      </c>
      <c r="R55">
        <v>1269.8699999999999</v>
      </c>
      <c r="S55">
        <v>34.659999999999997</v>
      </c>
      <c r="T55">
        <v>19.38</v>
      </c>
      <c r="U55">
        <v>18.649999999999999</v>
      </c>
      <c r="V55">
        <v>37.43</v>
      </c>
      <c r="W55">
        <v>45.950400000000002</v>
      </c>
      <c r="X55">
        <v>26.35</v>
      </c>
      <c r="Y55">
        <v>53.07</v>
      </c>
      <c r="Z55">
        <v>41.53</v>
      </c>
      <c r="AA55">
        <v>83.31</v>
      </c>
      <c r="AB55">
        <v>57.69</v>
      </c>
      <c r="AC55">
        <v>42.88</v>
      </c>
      <c r="AD55">
        <v>625.04999999999995</v>
      </c>
      <c r="AE55">
        <v>683.04</v>
      </c>
      <c r="AF55">
        <v>44.21</v>
      </c>
      <c r="AG55">
        <v>58.55</v>
      </c>
      <c r="AH55">
        <v>48.55</v>
      </c>
      <c r="AI55">
        <v>53.02</v>
      </c>
    </row>
    <row r="56" spans="1:35" x14ac:dyDescent="0.45">
      <c r="A56" s="2">
        <v>45999</v>
      </c>
      <c r="B56">
        <v>34.36</v>
      </c>
      <c r="C56">
        <v>38.24</v>
      </c>
      <c r="D56">
        <v>18.87</v>
      </c>
      <c r="E56">
        <v>24.58</v>
      </c>
      <c r="F56">
        <v>33.51</v>
      </c>
      <c r="G56">
        <v>66.53</v>
      </c>
      <c r="H56">
        <v>26.32</v>
      </c>
      <c r="I56">
        <v>65.569999999999993</v>
      </c>
      <c r="J56">
        <v>68.64</v>
      </c>
      <c r="K56">
        <v>95.07</v>
      </c>
      <c r="L56">
        <v>32.75</v>
      </c>
      <c r="M56">
        <v>66.39</v>
      </c>
      <c r="N56">
        <v>66.97</v>
      </c>
      <c r="O56">
        <v>53.08</v>
      </c>
      <c r="P56">
        <v>62.22</v>
      </c>
      <c r="Q56">
        <v>18.955400000000001</v>
      </c>
      <c r="R56">
        <v>1261.3900000000001</v>
      </c>
      <c r="S56">
        <v>34.42</v>
      </c>
      <c r="T56">
        <v>19.079999999999998</v>
      </c>
      <c r="U56">
        <v>18.72</v>
      </c>
      <c r="V56">
        <v>37.19</v>
      </c>
      <c r="W56">
        <v>46.026699999999998</v>
      </c>
      <c r="X56">
        <v>26.24</v>
      </c>
      <c r="Y56">
        <v>52.95</v>
      </c>
      <c r="Z56">
        <v>41.34</v>
      </c>
      <c r="AA56">
        <v>83.19</v>
      </c>
      <c r="AB56">
        <v>57.76</v>
      </c>
      <c r="AC56">
        <v>43.08</v>
      </c>
      <c r="AD56">
        <v>624.28</v>
      </c>
      <c r="AE56">
        <v>683.63</v>
      </c>
      <c r="AF56">
        <v>44.65</v>
      </c>
      <c r="AG56">
        <v>58.7224</v>
      </c>
      <c r="AH56">
        <v>48.4</v>
      </c>
      <c r="AI56">
        <v>52.98</v>
      </c>
    </row>
    <row r="57" spans="1:35" x14ac:dyDescent="0.45">
      <c r="A57" s="2">
        <v>45996</v>
      </c>
      <c r="B57">
        <v>34.21</v>
      </c>
      <c r="C57">
        <v>38.18</v>
      </c>
      <c r="D57">
        <v>18.82</v>
      </c>
      <c r="E57">
        <v>24.73</v>
      </c>
      <c r="F57">
        <v>33.44</v>
      </c>
      <c r="G57">
        <v>67.03</v>
      </c>
      <c r="H57">
        <v>26.64</v>
      </c>
      <c r="I57">
        <v>65.349999999999994</v>
      </c>
      <c r="J57">
        <v>68.680000000000007</v>
      </c>
      <c r="K57">
        <v>94.3</v>
      </c>
      <c r="L57">
        <v>32.53</v>
      </c>
      <c r="M57">
        <v>67.88</v>
      </c>
      <c r="N57">
        <v>66.45</v>
      </c>
      <c r="O57">
        <v>53.97</v>
      </c>
      <c r="P57">
        <v>62.66</v>
      </c>
      <c r="Q57">
        <v>18.930399999999999</v>
      </c>
      <c r="R57">
        <v>1273.77</v>
      </c>
      <c r="S57">
        <v>33.840000000000003</v>
      </c>
      <c r="T57">
        <v>19.22</v>
      </c>
      <c r="U57">
        <v>18.649999999999999</v>
      </c>
      <c r="V57">
        <v>37.200000000000003</v>
      </c>
      <c r="W57">
        <v>45.994999999999997</v>
      </c>
      <c r="X57">
        <v>26.34</v>
      </c>
      <c r="Y57">
        <v>53.29</v>
      </c>
      <c r="Z57">
        <v>41.41</v>
      </c>
      <c r="AA57">
        <v>83.7</v>
      </c>
      <c r="AB57">
        <v>58.03</v>
      </c>
      <c r="AC57">
        <v>43.22</v>
      </c>
      <c r="AD57">
        <v>625.48</v>
      </c>
      <c r="AE57">
        <v>685.69</v>
      </c>
      <c r="AF57">
        <v>44.62</v>
      </c>
      <c r="AG57">
        <v>58.55</v>
      </c>
      <c r="AH57">
        <v>48.37</v>
      </c>
      <c r="AI57">
        <v>52.98</v>
      </c>
    </row>
    <row r="58" spans="1:35" x14ac:dyDescent="0.45">
      <c r="A58" s="2">
        <v>45995</v>
      </c>
      <c r="B58">
        <v>33.74</v>
      </c>
      <c r="C58">
        <v>38.51</v>
      </c>
      <c r="D58">
        <v>18.79</v>
      </c>
      <c r="E58">
        <v>24.2</v>
      </c>
      <c r="F58">
        <v>33.53</v>
      </c>
      <c r="G58">
        <v>67</v>
      </c>
      <c r="H58">
        <v>26.59</v>
      </c>
      <c r="I58">
        <v>64.510000000000005</v>
      </c>
      <c r="J58">
        <v>68.819999999999993</v>
      </c>
      <c r="K58">
        <v>91.87</v>
      </c>
      <c r="L58">
        <v>34.72</v>
      </c>
      <c r="M58">
        <v>67.05</v>
      </c>
      <c r="N58">
        <v>66.3</v>
      </c>
      <c r="O58">
        <v>53.76</v>
      </c>
      <c r="P58">
        <v>61.98</v>
      </c>
      <c r="Q58">
        <v>18.940200000000001</v>
      </c>
      <c r="R58">
        <v>1274.82</v>
      </c>
      <c r="S58">
        <v>33.549999999999997</v>
      </c>
      <c r="T58">
        <v>19.05</v>
      </c>
      <c r="U58">
        <v>18.59</v>
      </c>
      <c r="V58">
        <v>37.17</v>
      </c>
      <c r="W58">
        <v>46.005000000000003</v>
      </c>
      <c r="X58">
        <v>26.29</v>
      </c>
      <c r="Y58">
        <v>53.07</v>
      </c>
      <c r="Z58">
        <v>41.14</v>
      </c>
      <c r="AA58">
        <v>83.62</v>
      </c>
      <c r="AB58">
        <v>57.91</v>
      </c>
      <c r="AC58">
        <v>43.42</v>
      </c>
      <c r="AD58">
        <v>622.94000000000005</v>
      </c>
      <c r="AE58">
        <v>684.39</v>
      </c>
      <c r="AF58">
        <v>44.75</v>
      </c>
      <c r="AG58">
        <v>58.78</v>
      </c>
      <c r="AH58">
        <v>48.09</v>
      </c>
      <c r="AI58">
        <v>53.15</v>
      </c>
    </row>
    <row r="59" spans="1:35" x14ac:dyDescent="0.45">
      <c r="A59" s="2">
        <v>45994</v>
      </c>
      <c r="B59">
        <v>33.76</v>
      </c>
      <c r="C59">
        <v>38.619999999999997</v>
      </c>
      <c r="D59">
        <v>18.829999999999998</v>
      </c>
      <c r="E59">
        <v>24.68</v>
      </c>
      <c r="F59">
        <v>33.61</v>
      </c>
      <c r="G59">
        <v>66.03</v>
      </c>
      <c r="H59">
        <v>26.73</v>
      </c>
      <c r="I59">
        <v>64.849999999999994</v>
      </c>
      <c r="J59">
        <v>68.430000000000007</v>
      </c>
      <c r="K59">
        <v>93</v>
      </c>
      <c r="L59">
        <v>34.200000000000003</v>
      </c>
      <c r="M59">
        <v>66.92</v>
      </c>
      <c r="N59">
        <v>66.37</v>
      </c>
      <c r="O59">
        <v>53.41</v>
      </c>
      <c r="P59">
        <v>61.88</v>
      </c>
      <c r="Q59">
        <v>18.930199999999999</v>
      </c>
      <c r="R59">
        <v>1277.58</v>
      </c>
      <c r="S59">
        <v>33.869999999999997</v>
      </c>
      <c r="T59">
        <v>18.850000000000001</v>
      </c>
      <c r="U59">
        <v>18.690000000000001</v>
      </c>
      <c r="V59">
        <v>37.04</v>
      </c>
      <c r="W59">
        <v>46.165599999999998</v>
      </c>
      <c r="X59">
        <v>26.13</v>
      </c>
      <c r="Y59">
        <v>52.47</v>
      </c>
      <c r="Z59">
        <v>40.950000000000003</v>
      </c>
      <c r="AA59">
        <v>82.61</v>
      </c>
      <c r="AB59">
        <v>58.07</v>
      </c>
      <c r="AC59">
        <v>43.46</v>
      </c>
      <c r="AD59">
        <v>623.52</v>
      </c>
      <c r="AE59">
        <v>683.89</v>
      </c>
      <c r="AF59">
        <v>44.79</v>
      </c>
      <c r="AG59">
        <v>59.18</v>
      </c>
      <c r="AH59">
        <v>47.77</v>
      </c>
      <c r="AI59">
        <v>53.29</v>
      </c>
    </row>
    <row r="60" spans="1:35" x14ac:dyDescent="0.45">
      <c r="A60" s="2">
        <v>45993</v>
      </c>
      <c r="B60">
        <v>33.81</v>
      </c>
      <c r="C60">
        <v>38.29</v>
      </c>
      <c r="D60">
        <v>18.920000000000002</v>
      </c>
      <c r="E60">
        <v>25.06</v>
      </c>
      <c r="F60">
        <v>33.65</v>
      </c>
      <c r="G60">
        <v>64.67</v>
      </c>
      <c r="H60">
        <v>26.67</v>
      </c>
      <c r="I60">
        <v>64.63</v>
      </c>
      <c r="J60">
        <v>68.709999999999994</v>
      </c>
      <c r="K60">
        <v>92.07</v>
      </c>
      <c r="L60">
        <v>34.03</v>
      </c>
      <c r="M60">
        <v>66.5</v>
      </c>
      <c r="N60">
        <v>66.64</v>
      </c>
      <c r="O60">
        <v>53.88</v>
      </c>
      <c r="P60">
        <v>62.24</v>
      </c>
      <c r="Q60">
        <v>18.774999999999999</v>
      </c>
      <c r="R60">
        <v>1276.57</v>
      </c>
      <c r="S60">
        <v>34.1</v>
      </c>
      <c r="T60">
        <v>18.53</v>
      </c>
      <c r="U60">
        <v>18.649999999999999</v>
      </c>
      <c r="V60">
        <v>36.979999999999997</v>
      </c>
      <c r="W60">
        <v>45.818399999999997</v>
      </c>
      <c r="X60">
        <v>25.93</v>
      </c>
      <c r="Y60">
        <v>52.14</v>
      </c>
      <c r="Z60">
        <v>40.89</v>
      </c>
      <c r="AA60">
        <v>82.47</v>
      </c>
      <c r="AB60">
        <v>57.94</v>
      </c>
      <c r="AC60">
        <v>43.01</v>
      </c>
      <c r="AD60">
        <v>622</v>
      </c>
      <c r="AE60">
        <v>681.53</v>
      </c>
      <c r="AF60">
        <v>44.44</v>
      </c>
      <c r="AG60">
        <v>58.57</v>
      </c>
      <c r="AH60">
        <v>47.61</v>
      </c>
      <c r="AI60">
        <v>53</v>
      </c>
    </row>
    <row r="61" spans="1:35" x14ac:dyDescent="0.45">
      <c r="A61" s="2">
        <v>45992</v>
      </c>
      <c r="B61">
        <v>34.25</v>
      </c>
      <c r="C61">
        <v>37.69</v>
      </c>
      <c r="D61">
        <v>18.79</v>
      </c>
      <c r="E61">
        <v>25.24</v>
      </c>
      <c r="F61">
        <v>33.9</v>
      </c>
      <c r="G61">
        <v>64.569999999999993</v>
      </c>
      <c r="H61">
        <v>26.6</v>
      </c>
      <c r="I61">
        <v>64.13</v>
      </c>
      <c r="J61">
        <v>68.459999999999994</v>
      </c>
      <c r="K61">
        <v>90.62</v>
      </c>
      <c r="L61">
        <v>33.4</v>
      </c>
      <c r="M61">
        <v>67.45</v>
      </c>
      <c r="N61">
        <v>66.28</v>
      </c>
      <c r="O61">
        <v>54.33</v>
      </c>
      <c r="P61">
        <v>62.66</v>
      </c>
      <c r="Q61">
        <v>18.71</v>
      </c>
      <c r="R61">
        <v>1256.69</v>
      </c>
      <c r="S61">
        <v>34.03</v>
      </c>
      <c r="T61">
        <v>18.4941</v>
      </c>
      <c r="U61">
        <v>18.38</v>
      </c>
      <c r="V61">
        <v>37.06</v>
      </c>
      <c r="W61">
        <v>45.48</v>
      </c>
      <c r="X61">
        <v>25.73</v>
      </c>
      <c r="Y61">
        <v>52.18</v>
      </c>
      <c r="Z61">
        <v>40.520000000000003</v>
      </c>
      <c r="AA61">
        <v>82.53</v>
      </c>
      <c r="AB61">
        <v>57.42</v>
      </c>
      <c r="AC61">
        <v>42.93</v>
      </c>
      <c r="AD61">
        <v>617.16999999999996</v>
      </c>
      <c r="AE61">
        <v>680.27</v>
      </c>
      <c r="AF61">
        <v>44.41</v>
      </c>
      <c r="AG61">
        <v>58.32</v>
      </c>
      <c r="AH61">
        <v>47.58</v>
      </c>
      <c r="AI61">
        <v>52.66</v>
      </c>
    </row>
    <row r="62" spans="1:35" x14ac:dyDescent="0.45">
      <c r="A62" s="2">
        <v>45989</v>
      </c>
      <c r="B62">
        <v>33.950000000000003</v>
      </c>
      <c r="C62">
        <v>37.86</v>
      </c>
      <c r="D62">
        <v>18.670000000000002</v>
      </c>
      <c r="E62">
        <v>25.21</v>
      </c>
      <c r="F62">
        <v>34.07</v>
      </c>
      <c r="G62">
        <v>64.47</v>
      </c>
      <c r="H62">
        <v>26.43</v>
      </c>
      <c r="I62">
        <v>64.510000000000005</v>
      </c>
      <c r="J62">
        <v>68.42</v>
      </c>
      <c r="K62">
        <v>90.87</v>
      </c>
      <c r="L62">
        <v>33.61</v>
      </c>
      <c r="M62">
        <v>66.739999999999995</v>
      </c>
      <c r="N62">
        <v>65.319999999999993</v>
      </c>
      <c r="O62">
        <v>54.71</v>
      </c>
      <c r="P62">
        <v>62.2</v>
      </c>
      <c r="Q62">
        <v>18.88</v>
      </c>
      <c r="R62">
        <v>1252.71</v>
      </c>
      <c r="S62">
        <v>33.5</v>
      </c>
      <c r="T62">
        <v>18.579999999999998</v>
      </c>
      <c r="U62">
        <v>18.34</v>
      </c>
      <c r="V62">
        <v>37.44</v>
      </c>
      <c r="W62">
        <v>45.625700000000002</v>
      </c>
      <c r="X62">
        <v>25.85</v>
      </c>
      <c r="Y62">
        <v>52.7</v>
      </c>
      <c r="Z62">
        <v>40.92</v>
      </c>
      <c r="AA62">
        <v>83.01</v>
      </c>
      <c r="AB62">
        <v>57.82</v>
      </c>
      <c r="AC62">
        <v>43.15</v>
      </c>
      <c r="AD62">
        <v>619.25</v>
      </c>
      <c r="AE62">
        <v>683.39</v>
      </c>
      <c r="AF62">
        <v>44.57</v>
      </c>
      <c r="AG62">
        <v>58.17</v>
      </c>
      <c r="AH62">
        <v>47.91</v>
      </c>
      <c r="AI62">
        <v>52.93</v>
      </c>
    </row>
    <row r="63" spans="1:35" x14ac:dyDescent="0.45">
      <c r="A63" s="2">
        <v>45987</v>
      </c>
      <c r="B63">
        <v>33.590000000000003</v>
      </c>
      <c r="C63">
        <v>37.61</v>
      </c>
      <c r="D63">
        <v>18.87</v>
      </c>
      <c r="E63">
        <v>25.02</v>
      </c>
      <c r="F63">
        <v>34.07</v>
      </c>
      <c r="G63">
        <v>63.1</v>
      </c>
      <c r="H63">
        <v>26.64</v>
      </c>
      <c r="I63">
        <v>63.66</v>
      </c>
      <c r="J63">
        <v>67.88</v>
      </c>
      <c r="K63">
        <v>91.55</v>
      </c>
      <c r="L63">
        <v>33.47</v>
      </c>
      <c r="M63">
        <v>67.83</v>
      </c>
      <c r="N63">
        <v>66.150000000000006</v>
      </c>
      <c r="O63">
        <v>54.67</v>
      </c>
      <c r="P63">
        <v>61.91</v>
      </c>
      <c r="Q63">
        <v>18.885000000000002</v>
      </c>
      <c r="R63">
        <v>1261.18</v>
      </c>
      <c r="S63">
        <v>33.590000000000003</v>
      </c>
      <c r="T63">
        <v>18.53</v>
      </c>
      <c r="U63">
        <v>18.239999999999998</v>
      </c>
      <c r="V63">
        <v>37.380000000000003</v>
      </c>
      <c r="W63">
        <v>45.47</v>
      </c>
      <c r="X63">
        <v>25.82</v>
      </c>
      <c r="Y63">
        <v>52.25</v>
      </c>
      <c r="Z63">
        <v>40.6</v>
      </c>
      <c r="AA63">
        <v>83.26</v>
      </c>
      <c r="AB63">
        <v>57.55</v>
      </c>
      <c r="AC63">
        <v>42.99</v>
      </c>
      <c r="AD63">
        <v>614.27</v>
      </c>
      <c r="AE63">
        <v>679.68</v>
      </c>
      <c r="AF63">
        <v>44.43</v>
      </c>
      <c r="AG63">
        <v>57.79</v>
      </c>
      <c r="AH63">
        <v>47.43</v>
      </c>
      <c r="AI63">
        <v>52.54</v>
      </c>
    </row>
    <row r="64" spans="1:35" x14ac:dyDescent="0.45">
      <c r="A64" s="2">
        <v>45986</v>
      </c>
      <c r="B64">
        <v>33.51</v>
      </c>
      <c r="C64">
        <v>37.270000000000003</v>
      </c>
      <c r="D64">
        <v>18.73</v>
      </c>
      <c r="E64">
        <v>25</v>
      </c>
      <c r="F64">
        <v>33.729999999999997</v>
      </c>
      <c r="G64">
        <v>61.56</v>
      </c>
      <c r="H64">
        <v>26.49</v>
      </c>
      <c r="I64">
        <v>62.8</v>
      </c>
      <c r="J64">
        <v>67.75</v>
      </c>
      <c r="K64">
        <v>89.79</v>
      </c>
      <c r="L64">
        <v>32.549999999999997</v>
      </c>
      <c r="M64">
        <v>66.3</v>
      </c>
      <c r="N64">
        <v>65.48</v>
      </c>
      <c r="O64">
        <v>54.28</v>
      </c>
      <c r="P64">
        <v>62.2</v>
      </c>
      <c r="Q64">
        <v>18.77</v>
      </c>
      <c r="R64">
        <v>1268.78</v>
      </c>
      <c r="S64">
        <v>33.54</v>
      </c>
      <c r="T64">
        <v>18.71</v>
      </c>
      <c r="U64">
        <v>17.75</v>
      </c>
      <c r="V64">
        <v>37.590000000000003</v>
      </c>
      <c r="W64">
        <v>44.699399999999997</v>
      </c>
      <c r="X64">
        <v>25.62</v>
      </c>
      <c r="Y64">
        <v>51.56</v>
      </c>
      <c r="Z64">
        <v>40.19</v>
      </c>
      <c r="AA64">
        <v>81.92</v>
      </c>
      <c r="AB64">
        <v>57.26</v>
      </c>
      <c r="AC64">
        <v>42.52</v>
      </c>
      <c r="AD64">
        <v>608.89</v>
      </c>
      <c r="AE64">
        <v>675.02</v>
      </c>
      <c r="AF64">
        <v>44.06</v>
      </c>
      <c r="AG64">
        <v>56.872</v>
      </c>
      <c r="AH64">
        <v>47.06</v>
      </c>
      <c r="AI64">
        <v>52.16</v>
      </c>
    </row>
    <row r="65" spans="1:35" x14ac:dyDescent="0.45">
      <c r="A65" s="2">
        <v>45985</v>
      </c>
      <c r="B65">
        <v>33.11</v>
      </c>
      <c r="C65">
        <v>36.61</v>
      </c>
      <c r="D65">
        <v>18.78</v>
      </c>
      <c r="E65">
        <v>24.97</v>
      </c>
      <c r="F65">
        <v>32.94</v>
      </c>
      <c r="G65">
        <v>61.02</v>
      </c>
      <c r="H65">
        <v>26.47</v>
      </c>
      <c r="I65">
        <v>62.51</v>
      </c>
      <c r="J65">
        <v>66.55</v>
      </c>
      <c r="K65">
        <v>90.3</v>
      </c>
      <c r="L65">
        <v>32.200000000000003</v>
      </c>
      <c r="M65">
        <v>65.89</v>
      </c>
      <c r="N65">
        <v>63.99</v>
      </c>
      <c r="O65">
        <v>54.22</v>
      </c>
      <c r="P65">
        <v>61.96</v>
      </c>
      <c r="Q65">
        <v>18.850000000000001</v>
      </c>
      <c r="R65">
        <v>1252.73</v>
      </c>
      <c r="S65">
        <v>33.76</v>
      </c>
      <c r="T65">
        <v>18.75</v>
      </c>
      <c r="U65">
        <v>17.91</v>
      </c>
      <c r="V65">
        <v>38.159999999999997</v>
      </c>
      <c r="W65">
        <v>44.47</v>
      </c>
      <c r="X65">
        <v>25.44</v>
      </c>
      <c r="Y65">
        <v>51.05</v>
      </c>
      <c r="Z65">
        <v>39.47</v>
      </c>
      <c r="AA65">
        <v>81.739999999999995</v>
      </c>
      <c r="AB65">
        <v>56.39</v>
      </c>
      <c r="AC65">
        <v>41.92</v>
      </c>
      <c r="AD65">
        <v>605.16</v>
      </c>
      <c r="AE65">
        <v>668.73</v>
      </c>
      <c r="AF65">
        <v>43.33</v>
      </c>
      <c r="AG65">
        <v>55.95</v>
      </c>
      <c r="AH65">
        <v>46.26</v>
      </c>
      <c r="AI65">
        <v>51.19</v>
      </c>
    </row>
    <row r="66" spans="1:35" x14ac:dyDescent="0.45">
      <c r="A66" s="2">
        <v>45982</v>
      </c>
      <c r="B66">
        <v>33.06</v>
      </c>
      <c r="C66">
        <v>36.340000000000003</v>
      </c>
      <c r="D66">
        <v>18.37</v>
      </c>
      <c r="E66">
        <v>25.06</v>
      </c>
      <c r="F66">
        <v>33.04</v>
      </c>
      <c r="G66">
        <v>59.64</v>
      </c>
      <c r="H66">
        <v>26.29</v>
      </c>
      <c r="I66">
        <v>61.8</v>
      </c>
      <c r="J66">
        <v>66.040000000000006</v>
      </c>
      <c r="K66">
        <v>89.22</v>
      </c>
      <c r="L66">
        <v>32.03</v>
      </c>
      <c r="M66">
        <v>64.86</v>
      </c>
      <c r="N66">
        <v>64.64</v>
      </c>
      <c r="O66">
        <v>54.21</v>
      </c>
      <c r="P66">
        <v>60.92</v>
      </c>
      <c r="Q66">
        <v>18.68</v>
      </c>
      <c r="R66">
        <v>1254.4000000000001</v>
      </c>
      <c r="S66">
        <v>33.78</v>
      </c>
      <c r="T66">
        <v>18.68</v>
      </c>
      <c r="U66">
        <v>17.72</v>
      </c>
      <c r="V66">
        <v>38.28</v>
      </c>
      <c r="W66">
        <v>44.33</v>
      </c>
      <c r="X66">
        <v>25.33</v>
      </c>
      <c r="Y66">
        <v>50.43</v>
      </c>
      <c r="Z66">
        <v>39.4</v>
      </c>
      <c r="AA66">
        <v>81.19</v>
      </c>
      <c r="AB66">
        <v>56.69</v>
      </c>
      <c r="AC66">
        <v>42.06</v>
      </c>
      <c r="AD66">
        <v>590.07000000000005</v>
      </c>
      <c r="AE66">
        <v>659.03</v>
      </c>
      <c r="AF66">
        <v>43.69</v>
      </c>
      <c r="AG66">
        <v>55.92</v>
      </c>
      <c r="AH66">
        <v>46.06</v>
      </c>
      <c r="AI66">
        <v>51.47</v>
      </c>
    </row>
    <row r="67" spans="1:35" x14ac:dyDescent="0.45">
      <c r="A67" s="2">
        <v>45981</v>
      </c>
      <c r="B67">
        <v>33.46</v>
      </c>
      <c r="C67">
        <v>36.590000000000003</v>
      </c>
      <c r="D67">
        <v>18.329999999999998</v>
      </c>
      <c r="E67">
        <v>24.37</v>
      </c>
      <c r="F67">
        <v>32.56</v>
      </c>
      <c r="G67">
        <v>59.5</v>
      </c>
      <c r="H67">
        <v>26.05</v>
      </c>
      <c r="I67">
        <v>61.68</v>
      </c>
      <c r="J67">
        <v>66.02</v>
      </c>
      <c r="K67">
        <v>88.53</v>
      </c>
      <c r="L67">
        <v>31.9</v>
      </c>
      <c r="M67">
        <v>64.930000000000007</v>
      </c>
      <c r="N67">
        <v>62.76</v>
      </c>
      <c r="O67">
        <v>54.72</v>
      </c>
      <c r="P67">
        <v>60.88</v>
      </c>
      <c r="Q67">
        <v>18.614999999999998</v>
      </c>
      <c r="R67">
        <v>1281.81</v>
      </c>
      <c r="S67">
        <v>33.58</v>
      </c>
      <c r="T67">
        <v>18.758199999999999</v>
      </c>
      <c r="U67">
        <v>17.45</v>
      </c>
      <c r="V67">
        <v>38.19</v>
      </c>
      <c r="W67">
        <v>43.75</v>
      </c>
      <c r="X67">
        <v>24.95</v>
      </c>
      <c r="Y67">
        <v>49.91</v>
      </c>
      <c r="Z67">
        <v>38.89</v>
      </c>
      <c r="AA67">
        <v>79.489999999999995</v>
      </c>
      <c r="AB67">
        <v>55.69</v>
      </c>
      <c r="AC67">
        <v>41.34</v>
      </c>
      <c r="AD67">
        <v>585.66999999999996</v>
      </c>
      <c r="AE67">
        <v>652.53</v>
      </c>
      <c r="AF67">
        <v>42.99</v>
      </c>
      <c r="AG67">
        <v>55.52</v>
      </c>
      <c r="AH67">
        <v>45.38</v>
      </c>
      <c r="AI67">
        <v>50.81</v>
      </c>
    </row>
    <row r="68" spans="1:35" x14ac:dyDescent="0.45">
      <c r="A68" s="2">
        <v>45980</v>
      </c>
      <c r="B68">
        <v>33.880000000000003</v>
      </c>
      <c r="C68">
        <v>37.11</v>
      </c>
      <c r="D68">
        <v>18.48</v>
      </c>
      <c r="E68">
        <v>24.23</v>
      </c>
      <c r="F68">
        <v>33.29</v>
      </c>
      <c r="G68">
        <v>61.25</v>
      </c>
      <c r="H68">
        <v>26.33</v>
      </c>
      <c r="I68">
        <v>62.5</v>
      </c>
      <c r="J68">
        <v>66.77</v>
      </c>
      <c r="K68">
        <v>90.56</v>
      </c>
      <c r="L68">
        <v>32.49</v>
      </c>
      <c r="M68">
        <v>66.569999999999993</v>
      </c>
      <c r="N68">
        <v>63.34</v>
      </c>
      <c r="O68">
        <v>54.83</v>
      </c>
      <c r="P68">
        <v>61.91</v>
      </c>
      <c r="Q68">
        <v>18.954999999999998</v>
      </c>
      <c r="R68">
        <v>1272.17</v>
      </c>
      <c r="S68">
        <v>33.659999999999997</v>
      </c>
      <c r="T68">
        <v>18.87</v>
      </c>
      <c r="U68">
        <v>17.61</v>
      </c>
      <c r="V68">
        <v>38.43</v>
      </c>
      <c r="W68">
        <v>43.6663</v>
      </c>
      <c r="X68">
        <v>25.3</v>
      </c>
      <c r="Y68">
        <v>50.62</v>
      </c>
      <c r="Z68">
        <v>39.51</v>
      </c>
      <c r="AA68">
        <v>80.680000000000007</v>
      </c>
      <c r="AB68">
        <v>56.36</v>
      </c>
      <c r="AC68">
        <v>41.73</v>
      </c>
      <c r="AD68">
        <v>599.87</v>
      </c>
      <c r="AE68">
        <v>662.63</v>
      </c>
      <c r="AF68">
        <v>43.44</v>
      </c>
      <c r="AG68">
        <v>57.05</v>
      </c>
      <c r="AH68">
        <v>46.17</v>
      </c>
      <c r="AI68">
        <v>51.34</v>
      </c>
    </row>
    <row r="69" spans="1:35" x14ac:dyDescent="0.45">
      <c r="A69" s="2">
        <v>45979</v>
      </c>
      <c r="B69">
        <v>33.93</v>
      </c>
      <c r="C69">
        <v>36.83</v>
      </c>
      <c r="D69">
        <v>18.260000000000002</v>
      </c>
      <c r="E69">
        <v>24.02</v>
      </c>
      <c r="F69">
        <v>32.869999999999997</v>
      </c>
      <c r="G69">
        <v>60.32</v>
      </c>
      <c r="H69">
        <v>26.16</v>
      </c>
      <c r="I69">
        <v>62.67</v>
      </c>
      <c r="J69">
        <v>66.67</v>
      </c>
      <c r="K69">
        <v>91.59</v>
      </c>
      <c r="L69">
        <v>32.71</v>
      </c>
      <c r="M69">
        <v>66.16</v>
      </c>
      <c r="N69">
        <v>63.2</v>
      </c>
      <c r="O69">
        <v>54.61</v>
      </c>
      <c r="P69">
        <v>62.42</v>
      </c>
      <c r="Q69">
        <v>18.815000000000001</v>
      </c>
      <c r="R69">
        <v>1270.04</v>
      </c>
      <c r="S69">
        <v>33.299999999999997</v>
      </c>
      <c r="T69">
        <v>18.850000000000001</v>
      </c>
      <c r="U69">
        <v>17.73</v>
      </c>
      <c r="V69">
        <v>38.79</v>
      </c>
      <c r="W69">
        <v>44.235900000000001</v>
      </c>
      <c r="X69">
        <v>25.4</v>
      </c>
      <c r="Y69">
        <v>50.53</v>
      </c>
      <c r="Z69">
        <v>39.53</v>
      </c>
      <c r="AA69">
        <v>80.78</v>
      </c>
      <c r="AB69">
        <v>56.58</v>
      </c>
      <c r="AC69">
        <v>42.19</v>
      </c>
      <c r="AD69">
        <v>596.30999999999995</v>
      </c>
      <c r="AE69">
        <v>660.08</v>
      </c>
      <c r="AF69">
        <v>43.63</v>
      </c>
      <c r="AG69">
        <v>56.63</v>
      </c>
      <c r="AH69">
        <v>46.49</v>
      </c>
      <c r="AI69">
        <v>51.81</v>
      </c>
    </row>
    <row r="70" spans="1:35" x14ac:dyDescent="0.45">
      <c r="A70" s="2">
        <v>45978</v>
      </c>
      <c r="B70">
        <v>33.89</v>
      </c>
      <c r="C70">
        <v>37.31</v>
      </c>
      <c r="D70">
        <v>18.38</v>
      </c>
      <c r="E70">
        <v>23.95</v>
      </c>
      <c r="F70">
        <v>33.39</v>
      </c>
      <c r="G70">
        <v>61.163600000000002</v>
      </c>
      <c r="H70">
        <v>26.23</v>
      </c>
      <c r="I70">
        <v>63.16</v>
      </c>
      <c r="J70">
        <v>65.87</v>
      </c>
      <c r="K70">
        <v>93.02</v>
      </c>
      <c r="L70">
        <v>32.78</v>
      </c>
      <c r="M70">
        <v>66.13</v>
      </c>
      <c r="N70">
        <v>64.5</v>
      </c>
      <c r="O70">
        <v>54.65</v>
      </c>
      <c r="P70">
        <v>62.78</v>
      </c>
      <c r="Q70">
        <v>18.89</v>
      </c>
      <c r="R70">
        <v>1280.07</v>
      </c>
      <c r="S70">
        <v>33.08</v>
      </c>
      <c r="T70">
        <v>18.93</v>
      </c>
      <c r="U70">
        <v>17.66</v>
      </c>
      <c r="V70">
        <v>38.450000000000003</v>
      </c>
      <c r="W70">
        <v>44.493200000000002</v>
      </c>
      <c r="X70">
        <v>25.64</v>
      </c>
      <c r="Y70">
        <v>50.34</v>
      </c>
      <c r="Z70">
        <v>40.01</v>
      </c>
      <c r="AA70">
        <v>82.47</v>
      </c>
      <c r="AB70">
        <v>56.81</v>
      </c>
      <c r="AC70">
        <v>42.44</v>
      </c>
      <c r="AD70">
        <v>603.66</v>
      </c>
      <c r="AE70">
        <v>665.67</v>
      </c>
      <c r="AF70">
        <v>44.2</v>
      </c>
      <c r="AG70">
        <v>57.36</v>
      </c>
      <c r="AH70">
        <v>47.22</v>
      </c>
      <c r="AI70">
        <v>52.56</v>
      </c>
    </row>
    <row r="71" spans="1:35" x14ac:dyDescent="0.45">
      <c r="A71" s="2">
        <v>45975</v>
      </c>
      <c r="B71">
        <v>34.19</v>
      </c>
      <c r="C71">
        <v>36.369999999999997</v>
      </c>
      <c r="D71">
        <v>18.38</v>
      </c>
      <c r="E71">
        <v>23.28</v>
      </c>
      <c r="F71">
        <v>34.159999999999997</v>
      </c>
      <c r="G71">
        <v>62.34</v>
      </c>
      <c r="H71">
        <v>26.45</v>
      </c>
      <c r="I71">
        <v>65.17</v>
      </c>
      <c r="J71">
        <v>67.22</v>
      </c>
      <c r="K71">
        <v>94.13</v>
      </c>
      <c r="L71">
        <v>33.18</v>
      </c>
      <c r="M71">
        <v>66.989999999999995</v>
      </c>
      <c r="N71">
        <v>65</v>
      </c>
      <c r="O71">
        <v>54.62</v>
      </c>
      <c r="P71">
        <v>63.5</v>
      </c>
      <c r="Q71">
        <v>19.285</v>
      </c>
      <c r="R71">
        <v>1269.26</v>
      </c>
      <c r="S71">
        <v>32.85</v>
      </c>
      <c r="T71">
        <v>19.170000000000002</v>
      </c>
      <c r="U71">
        <v>17.59</v>
      </c>
      <c r="V71">
        <v>38.83</v>
      </c>
      <c r="W71">
        <v>44.844999999999999</v>
      </c>
      <c r="X71">
        <v>25.95</v>
      </c>
      <c r="Y71">
        <v>50.89</v>
      </c>
      <c r="Z71">
        <v>40.86</v>
      </c>
      <c r="AA71">
        <v>83.98</v>
      </c>
      <c r="AB71">
        <v>57.55</v>
      </c>
      <c r="AC71">
        <v>42.77</v>
      </c>
      <c r="AD71">
        <v>608.86</v>
      </c>
      <c r="AE71">
        <v>671.93</v>
      </c>
      <c r="AF71">
        <v>44.84</v>
      </c>
      <c r="AG71">
        <v>58.13</v>
      </c>
      <c r="AH71">
        <v>47.65</v>
      </c>
      <c r="AI71">
        <v>53.2</v>
      </c>
    </row>
    <row r="72" spans="1:35" x14ac:dyDescent="0.45">
      <c r="A72" s="2">
        <v>45974</v>
      </c>
      <c r="B72">
        <v>34.64</v>
      </c>
      <c r="C72">
        <v>36.71</v>
      </c>
      <c r="D72">
        <v>18.28</v>
      </c>
      <c r="E72">
        <v>23.69</v>
      </c>
      <c r="F72">
        <v>34.130000000000003</v>
      </c>
      <c r="G72">
        <v>62.52</v>
      </c>
      <c r="H72">
        <v>26.5</v>
      </c>
      <c r="I72">
        <v>63.99</v>
      </c>
      <c r="J72">
        <v>67.38</v>
      </c>
      <c r="K72">
        <v>94.07</v>
      </c>
      <c r="L72">
        <v>32.979999999999997</v>
      </c>
      <c r="M72">
        <v>67.83</v>
      </c>
      <c r="N72">
        <v>64.67</v>
      </c>
      <c r="O72">
        <v>54.2</v>
      </c>
      <c r="P72">
        <v>64.459999999999994</v>
      </c>
      <c r="Q72">
        <v>19.25</v>
      </c>
      <c r="R72">
        <v>1287.44</v>
      </c>
      <c r="S72">
        <v>32.78</v>
      </c>
      <c r="T72">
        <v>19.190000000000001</v>
      </c>
      <c r="U72">
        <v>17.420000000000002</v>
      </c>
      <c r="V72">
        <v>38.729999999999997</v>
      </c>
      <c r="W72">
        <v>44.943399999999997</v>
      </c>
      <c r="X72">
        <v>25.94</v>
      </c>
      <c r="Y72">
        <v>50.64</v>
      </c>
      <c r="Z72">
        <v>41.25</v>
      </c>
      <c r="AA72">
        <v>83.01</v>
      </c>
      <c r="AB72">
        <v>57.85</v>
      </c>
      <c r="AC72">
        <v>43.04</v>
      </c>
      <c r="AD72">
        <v>608.4</v>
      </c>
      <c r="AE72">
        <v>672.04</v>
      </c>
      <c r="AF72">
        <v>45.04</v>
      </c>
      <c r="AG72">
        <v>58.61</v>
      </c>
      <c r="AH72">
        <v>48.27</v>
      </c>
      <c r="AI72">
        <v>53.98</v>
      </c>
    </row>
    <row r="73" spans="1:35" x14ac:dyDescent="0.45">
      <c r="A73" s="2">
        <v>45973</v>
      </c>
      <c r="B73">
        <v>34.43</v>
      </c>
      <c r="C73">
        <v>37.26</v>
      </c>
      <c r="D73">
        <v>18.440000000000001</v>
      </c>
      <c r="E73">
        <v>23.6</v>
      </c>
      <c r="F73">
        <v>34.42</v>
      </c>
      <c r="G73">
        <v>64.38</v>
      </c>
      <c r="H73">
        <v>26.53</v>
      </c>
      <c r="I73">
        <v>65.41</v>
      </c>
      <c r="J73">
        <v>68.16</v>
      </c>
      <c r="K73">
        <v>95.92</v>
      </c>
      <c r="L73">
        <v>33.22</v>
      </c>
      <c r="M73">
        <v>68.08</v>
      </c>
      <c r="N73">
        <v>64.319999999999993</v>
      </c>
      <c r="O73">
        <v>54.56</v>
      </c>
      <c r="P73">
        <v>64.58</v>
      </c>
      <c r="Q73">
        <v>19.555</v>
      </c>
      <c r="R73">
        <v>1284.81</v>
      </c>
      <c r="S73">
        <v>33.03</v>
      </c>
      <c r="T73">
        <v>19.48</v>
      </c>
      <c r="U73">
        <v>17.53</v>
      </c>
      <c r="V73">
        <v>39.17</v>
      </c>
      <c r="W73">
        <v>45.657200000000003</v>
      </c>
      <c r="X73">
        <v>26.58</v>
      </c>
      <c r="Y73">
        <v>51.75</v>
      </c>
      <c r="Z73">
        <v>41.68</v>
      </c>
      <c r="AA73">
        <v>84.34</v>
      </c>
      <c r="AB73">
        <v>58.06</v>
      </c>
      <c r="AC73">
        <v>43.51</v>
      </c>
      <c r="AD73">
        <v>621.08000000000004</v>
      </c>
      <c r="AE73">
        <v>683.38</v>
      </c>
      <c r="AF73">
        <v>45.14</v>
      </c>
      <c r="AG73">
        <v>59.03</v>
      </c>
      <c r="AH73">
        <v>48.82</v>
      </c>
      <c r="AI73">
        <v>54.12</v>
      </c>
    </row>
    <row r="74" spans="1:35" x14ac:dyDescent="0.45">
      <c r="A74" s="2">
        <v>45972</v>
      </c>
      <c r="B74">
        <v>34.47</v>
      </c>
      <c r="C74">
        <v>36.5</v>
      </c>
      <c r="D74">
        <v>18.45</v>
      </c>
      <c r="E74">
        <v>23.41</v>
      </c>
      <c r="F74">
        <v>34.56</v>
      </c>
      <c r="G74">
        <v>63.04</v>
      </c>
      <c r="H74">
        <v>26.78</v>
      </c>
      <c r="I74">
        <v>65.39</v>
      </c>
      <c r="J74">
        <v>69.34</v>
      </c>
      <c r="K74">
        <v>95.29</v>
      </c>
      <c r="L74">
        <v>33.49</v>
      </c>
      <c r="M74">
        <v>66.53</v>
      </c>
      <c r="N74">
        <v>63.63</v>
      </c>
      <c r="O74">
        <v>54.74</v>
      </c>
      <c r="P74">
        <v>64.53</v>
      </c>
      <c r="Q74">
        <v>19.6479</v>
      </c>
      <c r="R74">
        <v>1300.47</v>
      </c>
      <c r="S74">
        <v>32.85</v>
      </c>
      <c r="T74">
        <v>19.690000000000001</v>
      </c>
      <c r="U74">
        <v>16.93</v>
      </c>
      <c r="V74">
        <v>39.39</v>
      </c>
      <c r="W74">
        <v>45.674999999999997</v>
      </c>
      <c r="X74">
        <v>26.63</v>
      </c>
      <c r="Y74">
        <v>51.04</v>
      </c>
      <c r="Z74">
        <v>41.23</v>
      </c>
      <c r="AA74">
        <v>83.75</v>
      </c>
      <c r="AB74">
        <v>57.67</v>
      </c>
      <c r="AC74">
        <v>43.65</v>
      </c>
      <c r="AD74">
        <v>621.57000000000005</v>
      </c>
      <c r="AE74">
        <v>683</v>
      </c>
      <c r="AF74">
        <v>44.71</v>
      </c>
      <c r="AG74">
        <v>58.73</v>
      </c>
      <c r="AH74">
        <v>48.48</v>
      </c>
      <c r="AI74">
        <v>53.75</v>
      </c>
    </row>
    <row r="75" spans="1:35" x14ac:dyDescent="0.45">
      <c r="A75" s="2">
        <v>45971</v>
      </c>
      <c r="B75">
        <v>34.770000000000003</v>
      </c>
      <c r="C75">
        <v>36.299999999999997</v>
      </c>
      <c r="D75">
        <v>18.55</v>
      </c>
      <c r="E75">
        <v>23.7</v>
      </c>
      <c r="F75">
        <v>34.44</v>
      </c>
      <c r="G75">
        <v>63.13</v>
      </c>
      <c r="H75">
        <v>26.47</v>
      </c>
      <c r="I75">
        <v>65.75</v>
      </c>
      <c r="J75">
        <v>67.91</v>
      </c>
      <c r="K75">
        <v>95.67</v>
      </c>
      <c r="L75">
        <v>32.72</v>
      </c>
      <c r="M75">
        <v>66.62</v>
      </c>
      <c r="N75">
        <v>63.69</v>
      </c>
      <c r="O75">
        <v>54.15</v>
      </c>
      <c r="P75">
        <v>64.7</v>
      </c>
      <c r="Q75">
        <v>19.48</v>
      </c>
      <c r="R75">
        <v>1306.26</v>
      </c>
      <c r="S75">
        <v>33.549999999999997</v>
      </c>
      <c r="T75">
        <v>19.53</v>
      </c>
      <c r="U75">
        <v>16.71</v>
      </c>
      <c r="V75">
        <v>39.32</v>
      </c>
      <c r="W75">
        <v>45.684100000000001</v>
      </c>
      <c r="X75">
        <v>26.81</v>
      </c>
      <c r="Y75">
        <v>50.89</v>
      </c>
      <c r="Z75">
        <v>40.96</v>
      </c>
      <c r="AA75">
        <v>83.68</v>
      </c>
      <c r="AB75">
        <v>56.36</v>
      </c>
      <c r="AC75">
        <v>43.44</v>
      </c>
      <c r="AD75">
        <v>623.23</v>
      </c>
      <c r="AE75">
        <v>681.44</v>
      </c>
      <c r="AF75">
        <v>44.19</v>
      </c>
      <c r="AG75">
        <v>58.56</v>
      </c>
      <c r="AH75">
        <v>47.74</v>
      </c>
      <c r="AI75">
        <v>53.15</v>
      </c>
    </row>
    <row r="76" spans="1:35" x14ac:dyDescent="0.45">
      <c r="A76" s="2">
        <v>45968</v>
      </c>
      <c r="B76">
        <v>34.6</v>
      </c>
      <c r="C76">
        <v>35.799999999999997</v>
      </c>
      <c r="D76">
        <v>18.53</v>
      </c>
      <c r="E76">
        <v>23.79</v>
      </c>
      <c r="F76">
        <v>33.840000000000003</v>
      </c>
      <c r="G76">
        <v>61.77</v>
      </c>
      <c r="H76">
        <v>26.23</v>
      </c>
      <c r="I76">
        <v>64.61</v>
      </c>
      <c r="J76">
        <v>67.819999999999993</v>
      </c>
      <c r="K76">
        <v>91.8</v>
      </c>
      <c r="L76">
        <v>32.299999999999997</v>
      </c>
      <c r="M76">
        <v>64.239999999999995</v>
      </c>
      <c r="N76">
        <v>62.35</v>
      </c>
      <c r="O76">
        <v>53.75</v>
      </c>
      <c r="P76">
        <v>63.61</v>
      </c>
      <c r="Q76">
        <v>19.420000000000002</v>
      </c>
      <c r="R76">
        <v>1302.9100000000001</v>
      </c>
      <c r="S76">
        <v>33.86</v>
      </c>
      <c r="T76">
        <v>19.43</v>
      </c>
      <c r="U76">
        <v>16.88</v>
      </c>
      <c r="V76">
        <v>39.28</v>
      </c>
      <c r="W76">
        <v>45.580800000000004</v>
      </c>
      <c r="X76">
        <v>26.44</v>
      </c>
      <c r="Y76">
        <v>50.1</v>
      </c>
      <c r="Z76">
        <v>40.479999999999997</v>
      </c>
      <c r="AA76">
        <v>83.29</v>
      </c>
      <c r="AB76">
        <v>55.74</v>
      </c>
      <c r="AC76">
        <v>42.87</v>
      </c>
      <c r="AD76">
        <v>609.74</v>
      </c>
      <c r="AE76">
        <v>670.97</v>
      </c>
      <c r="AF76">
        <v>43.78</v>
      </c>
      <c r="AG76">
        <v>57.74</v>
      </c>
      <c r="AH76">
        <v>47.24</v>
      </c>
      <c r="AI76">
        <v>52.19</v>
      </c>
    </row>
    <row r="77" spans="1:35" x14ac:dyDescent="0.45">
      <c r="A77" s="2">
        <v>45967</v>
      </c>
      <c r="B77">
        <v>34.590000000000003</v>
      </c>
      <c r="C77">
        <v>35.25</v>
      </c>
      <c r="D77">
        <v>18.440000000000001</v>
      </c>
      <c r="E77">
        <v>24.11</v>
      </c>
      <c r="F77">
        <v>33.950000000000003</v>
      </c>
      <c r="G77">
        <v>61.75</v>
      </c>
      <c r="H77">
        <v>26.01</v>
      </c>
      <c r="I77">
        <v>64.94</v>
      </c>
      <c r="J77">
        <v>66.97</v>
      </c>
      <c r="K77">
        <v>93.51</v>
      </c>
      <c r="L77">
        <v>32.04</v>
      </c>
      <c r="M77">
        <v>63.7</v>
      </c>
      <c r="N77">
        <v>62.47</v>
      </c>
      <c r="O77">
        <v>53.62</v>
      </c>
      <c r="P77">
        <v>63.97</v>
      </c>
      <c r="Q77">
        <v>19.46</v>
      </c>
      <c r="R77">
        <v>1313.31</v>
      </c>
      <c r="S77">
        <v>34.25</v>
      </c>
      <c r="T77">
        <v>19.309999999999999</v>
      </c>
      <c r="U77">
        <v>17.32</v>
      </c>
      <c r="V77">
        <v>39.299999999999997</v>
      </c>
      <c r="W77">
        <v>45.333100000000002</v>
      </c>
      <c r="X77">
        <v>26.46</v>
      </c>
      <c r="Y77">
        <v>49.75</v>
      </c>
      <c r="Z77">
        <v>40.39</v>
      </c>
      <c r="AA77">
        <v>82.96</v>
      </c>
      <c r="AB77">
        <v>55.22</v>
      </c>
      <c r="AC77">
        <v>42.62</v>
      </c>
      <c r="AD77">
        <v>611.66999999999996</v>
      </c>
      <c r="AE77">
        <v>670.31</v>
      </c>
      <c r="AF77">
        <v>43.42</v>
      </c>
      <c r="AG77">
        <v>57.96</v>
      </c>
      <c r="AH77">
        <v>46.98</v>
      </c>
      <c r="AI77">
        <v>51.75</v>
      </c>
    </row>
    <row r="78" spans="1:35" x14ac:dyDescent="0.45">
      <c r="A78" s="2">
        <v>45966</v>
      </c>
      <c r="B78">
        <v>34.380000000000003</v>
      </c>
      <c r="C78">
        <v>35.299999999999997</v>
      </c>
      <c r="D78">
        <v>18.54</v>
      </c>
      <c r="E78">
        <v>24.19</v>
      </c>
      <c r="F78">
        <v>33.51</v>
      </c>
      <c r="G78">
        <v>61.39</v>
      </c>
      <c r="H78">
        <v>26.2</v>
      </c>
      <c r="I78">
        <v>66.03</v>
      </c>
      <c r="J78">
        <v>67.180000000000007</v>
      </c>
      <c r="K78">
        <v>96.62</v>
      </c>
      <c r="L78">
        <v>32.1</v>
      </c>
      <c r="M78">
        <v>63.4</v>
      </c>
      <c r="N78">
        <v>62.68</v>
      </c>
      <c r="O78">
        <v>54.3</v>
      </c>
      <c r="P78">
        <v>63.36</v>
      </c>
      <c r="Q78">
        <v>19.414999999999999</v>
      </c>
      <c r="R78">
        <v>1295.29</v>
      </c>
      <c r="S78">
        <v>34.130000000000003</v>
      </c>
      <c r="T78">
        <v>19.350000000000001</v>
      </c>
      <c r="U78">
        <v>17.57</v>
      </c>
      <c r="V78">
        <v>39.35</v>
      </c>
      <c r="W78">
        <v>45.91</v>
      </c>
      <c r="X78">
        <v>26.67</v>
      </c>
      <c r="Y78">
        <v>50.26</v>
      </c>
      <c r="Z78">
        <v>40.729999999999997</v>
      </c>
      <c r="AA78">
        <v>82.8</v>
      </c>
      <c r="AB78">
        <v>55.4</v>
      </c>
      <c r="AC78">
        <v>42.61</v>
      </c>
      <c r="AD78">
        <v>623.28</v>
      </c>
      <c r="AE78">
        <v>677.58</v>
      </c>
      <c r="AF78">
        <v>43.88</v>
      </c>
      <c r="AG78">
        <v>58.26</v>
      </c>
      <c r="AH78">
        <v>47.29</v>
      </c>
      <c r="AI78">
        <v>52</v>
      </c>
    </row>
    <row r="79" spans="1:35" x14ac:dyDescent="0.45">
      <c r="A79" s="2">
        <v>45965</v>
      </c>
      <c r="B79">
        <v>33.97</v>
      </c>
      <c r="C79">
        <v>34.5</v>
      </c>
      <c r="D79">
        <v>18.36</v>
      </c>
      <c r="E79">
        <v>24.38</v>
      </c>
      <c r="F79">
        <v>33.31</v>
      </c>
      <c r="G79">
        <v>60.31</v>
      </c>
      <c r="H79">
        <v>25.98</v>
      </c>
      <c r="I79">
        <v>65.430000000000007</v>
      </c>
      <c r="J79">
        <v>65.650000000000006</v>
      </c>
      <c r="K79">
        <v>95.76</v>
      </c>
      <c r="L79">
        <v>31.18</v>
      </c>
      <c r="M79">
        <v>61.44</v>
      </c>
      <c r="N79">
        <v>62.17</v>
      </c>
      <c r="O79">
        <v>54.02</v>
      </c>
      <c r="P79">
        <v>62.73</v>
      </c>
      <c r="Q79">
        <v>19.434999999999999</v>
      </c>
      <c r="R79">
        <v>1298.5999999999999</v>
      </c>
      <c r="S79">
        <v>33.909999999999997</v>
      </c>
      <c r="T79">
        <v>19.36</v>
      </c>
      <c r="U79">
        <v>17.53</v>
      </c>
      <c r="V79">
        <v>39.68</v>
      </c>
      <c r="W79">
        <v>45.38</v>
      </c>
      <c r="X79">
        <v>26.41</v>
      </c>
      <c r="Y79">
        <v>49.72</v>
      </c>
      <c r="Z79">
        <v>40.340000000000003</v>
      </c>
      <c r="AA79">
        <v>82.83</v>
      </c>
      <c r="AB79">
        <v>55.06</v>
      </c>
      <c r="AC79">
        <v>42.18</v>
      </c>
      <c r="AD79">
        <v>619.25</v>
      </c>
      <c r="AE79">
        <v>675.24</v>
      </c>
      <c r="AF79">
        <v>43.63</v>
      </c>
      <c r="AG79">
        <v>57.82</v>
      </c>
      <c r="AH79">
        <v>46.87</v>
      </c>
      <c r="AI79">
        <v>51.38</v>
      </c>
    </row>
    <row r="80" spans="1:35" x14ac:dyDescent="0.45">
      <c r="A80" s="2">
        <v>45964</v>
      </c>
      <c r="B80">
        <v>34.377099999999999</v>
      </c>
      <c r="C80">
        <v>35.93</v>
      </c>
      <c r="D80">
        <v>18.45</v>
      </c>
      <c r="E80">
        <v>24.15</v>
      </c>
      <c r="F80">
        <v>33.78</v>
      </c>
      <c r="G80">
        <v>62.16</v>
      </c>
      <c r="H80">
        <v>26.06</v>
      </c>
      <c r="I80">
        <v>66.900000000000006</v>
      </c>
      <c r="J80">
        <v>66.23</v>
      </c>
      <c r="K80">
        <v>100.78</v>
      </c>
      <c r="L80">
        <v>31.52</v>
      </c>
      <c r="M80">
        <v>63.76</v>
      </c>
      <c r="N80">
        <v>63.18</v>
      </c>
      <c r="O80">
        <v>54.24</v>
      </c>
      <c r="P80">
        <v>63.55</v>
      </c>
      <c r="Q80">
        <v>19.315000000000001</v>
      </c>
      <c r="R80">
        <v>1308.8599999999999</v>
      </c>
      <c r="S80">
        <v>34.450000000000003</v>
      </c>
      <c r="T80">
        <v>19.579999999999998</v>
      </c>
      <c r="U80">
        <v>17.09</v>
      </c>
      <c r="V80">
        <v>40</v>
      </c>
      <c r="W80">
        <v>45.705599999999997</v>
      </c>
      <c r="X80">
        <v>26.84</v>
      </c>
      <c r="Y80">
        <v>50.67</v>
      </c>
      <c r="Z80">
        <v>40.909999999999997</v>
      </c>
      <c r="AA80">
        <v>83.64</v>
      </c>
      <c r="AB80">
        <v>55.12</v>
      </c>
      <c r="AC80">
        <v>42.53</v>
      </c>
      <c r="AD80">
        <v>632.08000000000004</v>
      </c>
      <c r="AE80">
        <v>683.34</v>
      </c>
      <c r="AF80">
        <v>44.07</v>
      </c>
      <c r="AG80">
        <v>58.68</v>
      </c>
      <c r="AH80">
        <v>47.7</v>
      </c>
      <c r="AI80">
        <v>51.79</v>
      </c>
    </row>
    <row r="81" spans="1:35" x14ac:dyDescent="0.45">
      <c r="A81" s="2">
        <v>45961</v>
      </c>
      <c r="B81">
        <v>34.299999999999997</v>
      </c>
      <c r="C81">
        <v>35.32</v>
      </c>
      <c r="D81">
        <v>18.28</v>
      </c>
      <c r="E81">
        <v>24.55</v>
      </c>
      <c r="F81">
        <v>33.71</v>
      </c>
      <c r="G81">
        <v>62.78</v>
      </c>
      <c r="H81">
        <v>25.85</v>
      </c>
      <c r="I81">
        <v>66.650000000000006</v>
      </c>
      <c r="J81">
        <v>66.53</v>
      </c>
      <c r="K81">
        <v>97</v>
      </c>
      <c r="L81">
        <v>31.17</v>
      </c>
      <c r="M81">
        <v>63.77</v>
      </c>
      <c r="N81">
        <v>62.22</v>
      </c>
      <c r="O81">
        <v>53.97</v>
      </c>
      <c r="P81">
        <v>63.57</v>
      </c>
      <c r="Q81">
        <v>19.3</v>
      </c>
      <c r="R81">
        <v>1309.5</v>
      </c>
      <c r="S81">
        <v>34.15</v>
      </c>
      <c r="T81">
        <v>19.68</v>
      </c>
      <c r="U81">
        <v>17.43</v>
      </c>
      <c r="V81">
        <v>40.28</v>
      </c>
      <c r="W81">
        <v>45.89</v>
      </c>
      <c r="X81">
        <v>26.77</v>
      </c>
      <c r="Y81">
        <v>50.74</v>
      </c>
      <c r="Z81">
        <v>40.729999999999997</v>
      </c>
      <c r="AA81">
        <v>83.45</v>
      </c>
      <c r="AB81">
        <v>55.36</v>
      </c>
      <c r="AC81">
        <v>42.67</v>
      </c>
      <c r="AD81">
        <v>629.07000000000005</v>
      </c>
      <c r="AE81">
        <v>682.06</v>
      </c>
      <c r="AF81">
        <v>44.28</v>
      </c>
      <c r="AG81">
        <v>58.8</v>
      </c>
      <c r="AH81">
        <v>47.99</v>
      </c>
      <c r="AI81">
        <v>51.81</v>
      </c>
    </row>
    <row r="82" spans="1:35" x14ac:dyDescent="0.45">
      <c r="A82" s="2">
        <v>45960</v>
      </c>
      <c r="B82">
        <v>34.9</v>
      </c>
      <c r="C82">
        <v>35.340000000000003</v>
      </c>
      <c r="D82">
        <v>18.27</v>
      </c>
      <c r="E82">
        <v>24.4</v>
      </c>
      <c r="F82">
        <v>34.22</v>
      </c>
      <c r="G82">
        <v>63.11</v>
      </c>
      <c r="H82">
        <v>25.88</v>
      </c>
      <c r="I82">
        <v>66.540000000000006</v>
      </c>
      <c r="J82">
        <v>66.73</v>
      </c>
      <c r="K82">
        <v>95.26</v>
      </c>
      <c r="L82">
        <v>31.05</v>
      </c>
      <c r="M82">
        <v>64.37</v>
      </c>
      <c r="N82">
        <v>62.69</v>
      </c>
      <c r="O82">
        <v>54.27</v>
      </c>
      <c r="P82">
        <v>64.38</v>
      </c>
      <c r="Q82">
        <v>19.289100000000001</v>
      </c>
      <c r="R82">
        <v>1314.65</v>
      </c>
      <c r="S82">
        <v>33.64</v>
      </c>
      <c r="T82">
        <v>20.149999999999999</v>
      </c>
      <c r="U82">
        <v>17.71</v>
      </c>
      <c r="V82">
        <v>40.229999999999997</v>
      </c>
      <c r="W82">
        <v>45.755000000000003</v>
      </c>
      <c r="X82">
        <v>26.89</v>
      </c>
      <c r="Y82">
        <v>50.67</v>
      </c>
      <c r="Z82">
        <v>41</v>
      </c>
      <c r="AA82">
        <v>83.21</v>
      </c>
      <c r="AB82">
        <v>55.6</v>
      </c>
      <c r="AC82">
        <v>42.75</v>
      </c>
      <c r="AD82">
        <v>626.04999999999995</v>
      </c>
      <c r="AE82">
        <v>679.83</v>
      </c>
      <c r="AF82">
        <v>44.44</v>
      </c>
      <c r="AG82">
        <v>59.48</v>
      </c>
      <c r="AH82">
        <v>48.49</v>
      </c>
      <c r="AI82">
        <v>51.82</v>
      </c>
    </row>
    <row r="83" spans="1:35" x14ac:dyDescent="0.45">
      <c r="A83" s="2">
        <v>45959</v>
      </c>
      <c r="B83">
        <v>35.270000000000003</v>
      </c>
      <c r="C83">
        <v>34.97</v>
      </c>
      <c r="D83">
        <v>18.32</v>
      </c>
      <c r="E83">
        <v>24.74</v>
      </c>
      <c r="F83">
        <v>34.53</v>
      </c>
      <c r="G83">
        <v>63.12</v>
      </c>
      <c r="H83">
        <v>25.91</v>
      </c>
      <c r="I83">
        <v>67.13</v>
      </c>
      <c r="J83">
        <v>67.430000000000007</v>
      </c>
      <c r="K83">
        <v>96.9</v>
      </c>
      <c r="L83">
        <v>31.18</v>
      </c>
      <c r="M83">
        <v>64.75</v>
      </c>
      <c r="N83">
        <v>63.76</v>
      </c>
      <c r="O83">
        <v>54.61</v>
      </c>
      <c r="P83">
        <v>65.489999999999995</v>
      </c>
      <c r="Q83">
        <v>19.25</v>
      </c>
      <c r="R83">
        <v>1315.64</v>
      </c>
      <c r="S83">
        <v>33.909999999999997</v>
      </c>
      <c r="T83">
        <v>20</v>
      </c>
      <c r="U83">
        <v>18.149999999999999</v>
      </c>
      <c r="V83">
        <v>41.03</v>
      </c>
      <c r="W83">
        <v>45.674999999999997</v>
      </c>
      <c r="X83">
        <v>27</v>
      </c>
      <c r="Y83">
        <v>50.75</v>
      </c>
      <c r="Z83">
        <v>41.27</v>
      </c>
      <c r="AA83">
        <v>83.23</v>
      </c>
      <c r="AB83">
        <v>55.66</v>
      </c>
      <c r="AC83">
        <v>42.83</v>
      </c>
      <c r="AD83">
        <v>635.77</v>
      </c>
      <c r="AE83">
        <v>687.39</v>
      </c>
      <c r="AF83">
        <v>44.86</v>
      </c>
      <c r="AG83">
        <v>59.366</v>
      </c>
      <c r="AH83">
        <v>48.74</v>
      </c>
      <c r="AI83">
        <v>52.11</v>
      </c>
    </row>
    <row r="84" spans="1:35" x14ac:dyDescent="0.45">
      <c r="A84" s="2">
        <v>45958</v>
      </c>
      <c r="B84">
        <v>34.950000000000003</v>
      </c>
      <c r="C84">
        <v>34.630000000000003</v>
      </c>
      <c r="D84">
        <v>18.05</v>
      </c>
      <c r="E84">
        <v>24.44</v>
      </c>
      <c r="F84">
        <v>34.85</v>
      </c>
      <c r="G84">
        <v>62.53</v>
      </c>
      <c r="H84">
        <v>26.01</v>
      </c>
      <c r="I84">
        <v>67.09</v>
      </c>
      <c r="J84">
        <v>67.099999999999994</v>
      </c>
      <c r="K84">
        <v>94.45</v>
      </c>
      <c r="L84">
        <v>30.92</v>
      </c>
      <c r="M84">
        <v>65.23</v>
      </c>
      <c r="N84">
        <v>62.89</v>
      </c>
      <c r="O84">
        <v>54.54</v>
      </c>
      <c r="P84">
        <v>65.12</v>
      </c>
      <c r="Q84">
        <v>19.195</v>
      </c>
      <c r="R84">
        <v>1314.28</v>
      </c>
      <c r="S84">
        <v>33.979999999999997</v>
      </c>
      <c r="T84">
        <v>20.010000000000002</v>
      </c>
      <c r="U84">
        <v>18.18</v>
      </c>
      <c r="V84">
        <v>40.89</v>
      </c>
      <c r="W84">
        <v>45.844999999999999</v>
      </c>
      <c r="X84">
        <v>27.52</v>
      </c>
      <c r="Y84">
        <v>51.41</v>
      </c>
      <c r="Z84">
        <v>41.72</v>
      </c>
      <c r="AA84">
        <v>83.93</v>
      </c>
      <c r="AB84">
        <v>56.17</v>
      </c>
      <c r="AC84">
        <v>42.92</v>
      </c>
      <c r="AD84">
        <v>632.91999999999996</v>
      </c>
      <c r="AE84">
        <v>687.06</v>
      </c>
      <c r="AF84">
        <v>45.14</v>
      </c>
      <c r="AG84">
        <v>59.01</v>
      </c>
      <c r="AH84">
        <v>49.07</v>
      </c>
      <c r="AI84">
        <v>52.18</v>
      </c>
    </row>
    <row r="85" spans="1:35" x14ac:dyDescent="0.45">
      <c r="A85" s="2">
        <v>45957</v>
      </c>
      <c r="B85">
        <v>34.950000000000003</v>
      </c>
      <c r="C85">
        <v>34.590000000000003</v>
      </c>
      <c r="D85">
        <v>18.09</v>
      </c>
      <c r="E85">
        <v>24.4</v>
      </c>
      <c r="F85">
        <v>34.200000000000003</v>
      </c>
      <c r="G85">
        <v>61.55</v>
      </c>
      <c r="H85">
        <v>25.96</v>
      </c>
      <c r="I85">
        <v>66.98</v>
      </c>
      <c r="J85">
        <v>66.33</v>
      </c>
      <c r="K85">
        <v>94.31</v>
      </c>
      <c r="L85">
        <v>30.77</v>
      </c>
      <c r="M85">
        <v>64.2</v>
      </c>
      <c r="N85">
        <v>63.03</v>
      </c>
      <c r="O85">
        <v>54.72</v>
      </c>
      <c r="P85">
        <v>65.59</v>
      </c>
      <c r="Q85">
        <v>19.195</v>
      </c>
      <c r="R85">
        <v>1323.52</v>
      </c>
      <c r="S85">
        <v>33.89</v>
      </c>
      <c r="T85">
        <v>19.97</v>
      </c>
      <c r="U85">
        <v>17.739999999999998</v>
      </c>
      <c r="V85">
        <v>40.61</v>
      </c>
      <c r="W85">
        <v>45.99</v>
      </c>
      <c r="X85">
        <v>27.37</v>
      </c>
      <c r="Y85">
        <v>50.79</v>
      </c>
      <c r="Z85">
        <v>41.78</v>
      </c>
      <c r="AA85">
        <v>83.53</v>
      </c>
      <c r="AB85">
        <v>56.94</v>
      </c>
      <c r="AC85">
        <v>42.98</v>
      </c>
      <c r="AD85">
        <v>628.09</v>
      </c>
      <c r="AE85">
        <v>685.24</v>
      </c>
      <c r="AF85">
        <v>45.33</v>
      </c>
      <c r="AG85">
        <v>59.564999999999998</v>
      </c>
      <c r="AH85">
        <v>49.23</v>
      </c>
      <c r="AI85">
        <v>51.93</v>
      </c>
    </row>
    <row r="86" spans="1:35" x14ac:dyDescent="0.45">
      <c r="A86" s="2">
        <v>45954</v>
      </c>
      <c r="B86">
        <v>34.479999999999997</v>
      </c>
      <c r="C86">
        <v>34.369999999999997</v>
      </c>
      <c r="D86">
        <v>18.3</v>
      </c>
      <c r="E86">
        <v>24.7</v>
      </c>
      <c r="F86">
        <v>33.909999999999997</v>
      </c>
      <c r="G86">
        <v>61.62</v>
      </c>
      <c r="H86">
        <v>25.69</v>
      </c>
      <c r="I86">
        <v>66.48</v>
      </c>
      <c r="J86">
        <v>65.37</v>
      </c>
      <c r="K86">
        <v>92.05</v>
      </c>
      <c r="L86">
        <v>30.48</v>
      </c>
      <c r="M86">
        <v>65.180000000000007</v>
      </c>
      <c r="N86">
        <v>63.27</v>
      </c>
      <c r="O86">
        <v>54.51</v>
      </c>
      <c r="P86">
        <v>64.510000000000005</v>
      </c>
      <c r="Q86">
        <v>19.29</v>
      </c>
      <c r="R86">
        <v>1313.91</v>
      </c>
      <c r="S86">
        <v>34.04</v>
      </c>
      <c r="T86">
        <v>19.98</v>
      </c>
      <c r="U86">
        <v>18.21</v>
      </c>
      <c r="V86">
        <v>40.729999999999997</v>
      </c>
      <c r="W86">
        <v>45.615000000000002</v>
      </c>
      <c r="X86">
        <v>27.18</v>
      </c>
      <c r="Y86">
        <v>50.84</v>
      </c>
      <c r="Z86">
        <v>41.59</v>
      </c>
      <c r="AA86">
        <v>82.5</v>
      </c>
      <c r="AB86">
        <v>57.12</v>
      </c>
      <c r="AC86">
        <v>42.78</v>
      </c>
      <c r="AD86">
        <v>617.1</v>
      </c>
      <c r="AE86">
        <v>677.25</v>
      </c>
      <c r="AF86">
        <v>45.11</v>
      </c>
      <c r="AG86">
        <v>58.91</v>
      </c>
      <c r="AH86">
        <v>48.86</v>
      </c>
      <c r="AI86">
        <v>51.27</v>
      </c>
    </row>
    <row r="87" spans="1:35" x14ac:dyDescent="0.45">
      <c r="A87" s="2">
        <v>45953</v>
      </c>
      <c r="B87">
        <v>34.06</v>
      </c>
      <c r="C87">
        <v>34.200000000000003</v>
      </c>
      <c r="D87">
        <v>18.3</v>
      </c>
      <c r="E87">
        <v>24.99</v>
      </c>
      <c r="F87">
        <v>34.17</v>
      </c>
      <c r="G87">
        <v>61.61</v>
      </c>
      <c r="H87">
        <v>25.65</v>
      </c>
      <c r="I87">
        <v>65.709999999999994</v>
      </c>
      <c r="J87">
        <v>66.02</v>
      </c>
      <c r="K87">
        <v>90.07</v>
      </c>
      <c r="L87">
        <v>30.47</v>
      </c>
      <c r="M87">
        <v>64.930000000000007</v>
      </c>
      <c r="N87">
        <v>64.06</v>
      </c>
      <c r="O87">
        <v>54.76</v>
      </c>
      <c r="P87">
        <v>64.11</v>
      </c>
      <c r="Q87">
        <v>19.260000000000002</v>
      </c>
      <c r="R87">
        <v>1302.3499999999999</v>
      </c>
      <c r="S87">
        <v>33.11</v>
      </c>
      <c r="T87">
        <v>19.920000000000002</v>
      </c>
      <c r="U87">
        <v>18.29</v>
      </c>
      <c r="V87">
        <v>40.67</v>
      </c>
      <c r="W87">
        <v>45.52</v>
      </c>
      <c r="X87">
        <v>27.19</v>
      </c>
      <c r="Y87">
        <v>50.58</v>
      </c>
      <c r="Z87">
        <v>41.55</v>
      </c>
      <c r="AA87">
        <v>82.22</v>
      </c>
      <c r="AB87">
        <v>57.17</v>
      </c>
      <c r="AC87">
        <v>42.6</v>
      </c>
      <c r="AD87">
        <v>610.58000000000004</v>
      </c>
      <c r="AE87">
        <v>671.76</v>
      </c>
      <c r="AF87">
        <v>45.27</v>
      </c>
      <c r="AG87">
        <v>58.87</v>
      </c>
      <c r="AH87">
        <v>48.65</v>
      </c>
      <c r="AI87">
        <v>51.17</v>
      </c>
    </row>
    <row r="88" spans="1:35" x14ac:dyDescent="0.45">
      <c r="A88" s="2">
        <v>45952</v>
      </c>
      <c r="B88">
        <v>33.86</v>
      </c>
      <c r="C88">
        <v>33.47</v>
      </c>
      <c r="D88">
        <v>17.89</v>
      </c>
      <c r="E88">
        <v>24.82</v>
      </c>
      <c r="F88">
        <v>33.83</v>
      </c>
      <c r="G88">
        <v>60.71</v>
      </c>
      <c r="H88">
        <v>25.47</v>
      </c>
      <c r="I88">
        <v>65.03</v>
      </c>
      <c r="J88">
        <v>65.510000000000005</v>
      </c>
      <c r="K88">
        <v>89.45</v>
      </c>
      <c r="L88">
        <v>30.03</v>
      </c>
      <c r="M88">
        <v>63.58</v>
      </c>
      <c r="N88">
        <v>63.56</v>
      </c>
      <c r="O88">
        <v>55.29</v>
      </c>
      <c r="P88">
        <v>63.03</v>
      </c>
      <c r="Q88">
        <v>19.14</v>
      </c>
      <c r="R88">
        <v>1290.72</v>
      </c>
      <c r="S88">
        <v>32.96</v>
      </c>
      <c r="T88">
        <v>19.690000000000001</v>
      </c>
      <c r="U88">
        <v>18.170000000000002</v>
      </c>
      <c r="V88">
        <v>40.51</v>
      </c>
      <c r="W88">
        <v>45.230899999999998</v>
      </c>
      <c r="X88">
        <v>27.07</v>
      </c>
      <c r="Y88">
        <v>50.2</v>
      </c>
      <c r="Z88">
        <v>41.44</v>
      </c>
      <c r="AA88">
        <v>82.18</v>
      </c>
      <c r="AB88">
        <v>57.14</v>
      </c>
      <c r="AC88">
        <v>42.41</v>
      </c>
      <c r="AD88">
        <v>605.49</v>
      </c>
      <c r="AE88">
        <v>667.8</v>
      </c>
      <c r="AF88">
        <v>44.91</v>
      </c>
      <c r="AG88">
        <v>58.12</v>
      </c>
      <c r="AH88">
        <v>48.36</v>
      </c>
      <c r="AI88">
        <v>50.66</v>
      </c>
    </row>
    <row r="89" spans="1:35" x14ac:dyDescent="0.45">
      <c r="A89" s="2">
        <v>45951</v>
      </c>
      <c r="B89">
        <v>33.880000000000003</v>
      </c>
      <c r="C89">
        <v>33.5</v>
      </c>
      <c r="D89">
        <v>18.170000000000002</v>
      </c>
      <c r="E89">
        <v>25.11</v>
      </c>
      <c r="F89">
        <v>33.1</v>
      </c>
      <c r="G89">
        <v>61.35</v>
      </c>
      <c r="H89">
        <v>25.74</v>
      </c>
      <c r="I89">
        <v>65.78</v>
      </c>
      <c r="J89">
        <v>65.069999999999993</v>
      </c>
      <c r="K89">
        <v>88.64</v>
      </c>
      <c r="L89">
        <v>29.94</v>
      </c>
      <c r="M89">
        <v>63.27</v>
      </c>
      <c r="N89">
        <v>63.28</v>
      </c>
      <c r="O89">
        <v>54.48</v>
      </c>
      <c r="P89">
        <v>63.44</v>
      </c>
      <c r="Q89">
        <v>19.09</v>
      </c>
      <c r="R89">
        <v>1284.47</v>
      </c>
      <c r="S89">
        <v>32.72</v>
      </c>
      <c r="T89">
        <v>19.579999999999998</v>
      </c>
      <c r="U89">
        <v>18.045000000000002</v>
      </c>
      <c r="V89">
        <v>40.47</v>
      </c>
      <c r="W89">
        <v>45.325000000000003</v>
      </c>
      <c r="X89">
        <v>27.11</v>
      </c>
      <c r="Y89">
        <v>49.99</v>
      </c>
      <c r="Z89">
        <v>41.69</v>
      </c>
      <c r="AA89">
        <v>82.57</v>
      </c>
      <c r="AB89">
        <v>57.11</v>
      </c>
      <c r="AC89">
        <v>41.96</v>
      </c>
      <c r="AD89">
        <v>611.38</v>
      </c>
      <c r="AE89">
        <v>671.29</v>
      </c>
      <c r="AF89">
        <v>44.98</v>
      </c>
      <c r="AG89">
        <v>58.35</v>
      </c>
      <c r="AH89">
        <v>48.54</v>
      </c>
      <c r="AI89">
        <v>51.1</v>
      </c>
    </row>
    <row r="90" spans="1:35" x14ac:dyDescent="0.45">
      <c r="A90" s="2">
        <v>45950</v>
      </c>
      <c r="B90">
        <v>33.64</v>
      </c>
      <c r="C90">
        <v>33.85</v>
      </c>
      <c r="D90">
        <v>17.82</v>
      </c>
      <c r="E90">
        <v>25.33</v>
      </c>
      <c r="F90">
        <v>33.49</v>
      </c>
      <c r="G90">
        <v>64</v>
      </c>
      <c r="H90">
        <v>25.82</v>
      </c>
      <c r="I90">
        <v>66.17</v>
      </c>
      <c r="J90">
        <v>65.94</v>
      </c>
      <c r="K90">
        <v>90.43</v>
      </c>
      <c r="L90">
        <v>30.22</v>
      </c>
      <c r="M90">
        <v>66.209999999999994</v>
      </c>
      <c r="N90">
        <v>62.99</v>
      </c>
      <c r="O90">
        <v>54.74</v>
      </c>
      <c r="P90">
        <v>64.12</v>
      </c>
      <c r="Q90">
        <v>19.135000000000002</v>
      </c>
      <c r="R90">
        <v>1274.6099999999999</v>
      </c>
      <c r="S90">
        <v>32.76</v>
      </c>
      <c r="T90">
        <v>19.57</v>
      </c>
      <c r="U90">
        <v>18.2</v>
      </c>
      <c r="V90">
        <v>40.89</v>
      </c>
      <c r="W90">
        <v>45.56</v>
      </c>
      <c r="X90">
        <v>27.26</v>
      </c>
      <c r="Y90">
        <v>50.72</v>
      </c>
      <c r="Z90">
        <v>41.88</v>
      </c>
      <c r="AA90">
        <v>83.54</v>
      </c>
      <c r="AB90">
        <v>57.68</v>
      </c>
      <c r="AC90">
        <v>42.16</v>
      </c>
      <c r="AD90">
        <v>611.54</v>
      </c>
      <c r="AE90">
        <v>671.3</v>
      </c>
      <c r="AF90">
        <v>45.2</v>
      </c>
      <c r="AG90">
        <v>58.85</v>
      </c>
      <c r="AH90">
        <v>48.09</v>
      </c>
      <c r="AI90">
        <v>51.24</v>
      </c>
    </row>
    <row r="91" spans="1:35" x14ac:dyDescent="0.45">
      <c r="A91" s="2">
        <v>45947</v>
      </c>
      <c r="B91">
        <v>33.61</v>
      </c>
      <c r="C91">
        <v>33.36</v>
      </c>
      <c r="D91">
        <v>17.3</v>
      </c>
      <c r="E91">
        <v>25.41</v>
      </c>
      <c r="F91">
        <v>32.92</v>
      </c>
      <c r="G91">
        <v>62.97</v>
      </c>
      <c r="H91">
        <v>25.7</v>
      </c>
      <c r="I91">
        <v>65.09</v>
      </c>
      <c r="J91">
        <v>66.13</v>
      </c>
      <c r="K91">
        <v>88.52</v>
      </c>
      <c r="L91">
        <v>29.71</v>
      </c>
      <c r="M91">
        <v>65.41</v>
      </c>
      <c r="N91">
        <v>62.75</v>
      </c>
      <c r="O91">
        <v>54.45</v>
      </c>
      <c r="P91">
        <v>63.31</v>
      </c>
      <c r="Q91">
        <v>19.085000000000001</v>
      </c>
      <c r="R91">
        <v>1291.46</v>
      </c>
      <c r="S91">
        <v>31.9</v>
      </c>
      <c r="T91">
        <v>19.63</v>
      </c>
      <c r="U91">
        <v>19.2</v>
      </c>
      <c r="V91">
        <v>40.78</v>
      </c>
      <c r="W91">
        <v>45.174999999999997</v>
      </c>
      <c r="X91">
        <v>26.92</v>
      </c>
      <c r="Y91">
        <v>50.28</v>
      </c>
      <c r="Z91">
        <v>41.38</v>
      </c>
      <c r="AA91">
        <v>82</v>
      </c>
      <c r="AB91">
        <v>57.78</v>
      </c>
      <c r="AC91">
        <v>42.07</v>
      </c>
      <c r="AD91">
        <v>603.92999999999995</v>
      </c>
      <c r="AE91">
        <v>664.39</v>
      </c>
      <c r="AF91">
        <v>45.23</v>
      </c>
      <c r="AG91">
        <v>58.65</v>
      </c>
      <c r="AH91">
        <v>47.79</v>
      </c>
      <c r="AI91">
        <v>50.77</v>
      </c>
    </row>
    <row r="92" spans="1:35" x14ac:dyDescent="0.45">
      <c r="A92" s="2">
        <v>45946</v>
      </c>
      <c r="B92">
        <v>34.020000000000003</v>
      </c>
      <c r="C92">
        <v>33.4</v>
      </c>
      <c r="D92">
        <v>17.36</v>
      </c>
      <c r="E92">
        <v>25.42</v>
      </c>
      <c r="F92">
        <v>32.83</v>
      </c>
      <c r="G92">
        <v>64.55</v>
      </c>
      <c r="H92">
        <v>25.58</v>
      </c>
      <c r="I92">
        <v>65.17</v>
      </c>
      <c r="J92">
        <v>67.05</v>
      </c>
      <c r="K92">
        <v>87.88</v>
      </c>
      <c r="L92">
        <v>29.24</v>
      </c>
      <c r="M92">
        <v>67.33</v>
      </c>
      <c r="N92">
        <v>63.87</v>
      </c>
      <c r="O92">
        <v>54.064999999999998</v>
      </c>
      <c r="P92">
        <v>63.4</v>
      </c>
      <c r="Q92">
        <v>19.1356</v>
      </c>
      <c r="R92">
        <v>1286.69</v>
      </c>
      <c r="S92">
        <v>32.340000000000003</v>
      </c>
      <c r="T92">
        <v>19.47</v>
      </c>
      <c r="U92">
        <v>19.64</v>
      </c>
      <c r="V92">
        <v>40.78</v>
      </c>
      <c r="W92">
        <v>45.42</v>
      </c>
      <c r="X92">
        <v>26.97</v>
      </c>
      <c r="Y92">
        <v>50.62</v>
      </c>
      <c r="Z92">
        <v>41.59</v>
      </c>
      <c r="AA92">
        <v>81.55</v>
      </c>
      <c r="AB92">
        <v>57.47</v>
      </c>
      <c r="AC92">
        <v>41.99</v>
      </c>
      <c r="AD92">
        <v>599.99</v>
      </c>
      <c r="AE92">
        <v>660.64</v>
      </c>
      <c r="AF92">
        <v>45.15</v>
      </c>
      <c r="AG92">
        <v>58.49</v>
      </c>
      <c r="AH92">
        <v>47.8</v>
      </c>
      <c r="AI92">
        <v>50.88</v>
      </c>
    </row>
    <row r="93" spans="1:35" x14ac:dyDescent="0.45">
      <c r="A93" s="2">
        <v>45945</v>
      </c>
      <c r="B93">
        <v>33.99</v>
      </c>
      <c r="C93">
        <v>33.409999999999997</v>
      </c>
      <c r="D93">
        <v>17.21</v>
      </c>
      <c r="E93">
        <v>25.44</v>
      </c>
      <c r="F93">
        <v>32.9</v>
      </c>
      <c r="G93">
        <v>64.099999999999994</v>
      </c>
      <c r="H93">
        <v>25.66</v>
      </c>
      <c r="I93">
        <v>64.989999999999995</v>
      </c>
      <c r="J93">
        <v>65.87</v>
      </c>
      <c r="K93">
        <v>85.17</v>
      </c>
      <c r="L93">
        <v>29.32</v>
      </c>
      <c r="M93">
        <v>66.03</v>
      </c>
      <c r="N93">
        <v>64.67</v>
      </c>
      <c r="O93">
        <v>53.76</v>
      </c>
      <c r="P93">
        <v>63.25</v>
      </c>
      <c r="Q93">
        <v>19.070699999999999</v>
      </c>
      <c r="R93">
        <v>1266.3800000000001</v>
      </c>
      <c r="S93">
        <v>32.56</v>
      </c>
      <c r="T93">
        <v>19.47</v>
      </c>
      <c r="U93">
        <v>19.420000000000002</v>
      </c>
      <c r="V93">
        <v>40.89</v>
      </c>
      <c r="W93">
        <v>45.14</v>
      </c>
      <c r="X93">
        <v>26.89</v>
      </c>
      <c r="Y93">
        <v>50.96</v>
      </c>
      <c r="Z93">
        <v>41.53</v>
      </c>
      <c r="AA93">
        <v>81.290000000000006</v>
      </c>
      <c r="AB93">
        <v>56.64</v>
      </c>
      <c r="AC93">
        <v>42.02</v>
      </c>
      <c r="AD93">
        <v>602.22</v>
      </c>
      <c r="AE93">
        <v>665.17</v>
      </c>
      <c r="AF93">
        <v>44.42</v>
      </c>
      <c r="AG93">
        <v>58.27</v>
      </c>
      <c r="AH93">
        <v>47.58</v>
      </c>
      <c r="AI93">
        <v>50.47</v>
      </c>
    </row>
    <row r="94" spans="1:35" x14ac:dyDescent="0.45">
      <c r="A94" s="2">
        <v>45944</v>
      </c>
      <c r="B94">
        <v>33.549999999999997</v>
      </c>
      <c r="C94">
        <v>32.799999999999997</v>
      </c>
      <c r="D94">
        <v>17.22</v>
      </c>
      <c r="E94">
        <v>25.45</v>
      </c>
      <c r="F94">
        <v>32.22</v>
      </c>
      <c r="G94">
        <v>63.3</v>
      </c>
      <c r="H94">
        <v>25.72</v>
      </c>
      <c r="I94">
        <v>63.7</v>
      </c>
      <c r="J94">
        <v>64.84</v>
      </c>
      <c r="K94">
        <v>82.69</v>
      </c>
      <c r="L94">
        <v>29.1</v>
      </c>
      <c r="M94">
        <v>65.31</v>
      </c>
      <c r="N94">
        <v>64.83</v>
      </c>
      <c r="O94">
        <v>52.78</v>
      </c>
      <c r="P94">
        <v>62.58</v>
      </c>
      <c r="Q94">
        <v>19.204999999999998</v>
      </c>
      <c r="R94">
        <v>1286.98</v>
      </c>
      <c r="S94">
        <v>32.35</v>
      </c>
      <c r="T94">
        <v>19.57</v>
      </c>
      <c r="U94">
        <v>19.690000000000001</v>
      </c>
      <c r="V94">
        <v>40.75</v>
      </c>
      <c r="W94">
        <v>45.066499999999998</v>
      </c>
      <c r="X94">
        <v>26.7</v>
      </c>
      <c r="Y94">
        <v>50.53</v>
      </c>
      <c r="Z94">
        <v>41.67</v>
      </c>
      <c r="AA94">
        <v>80.040000000000006</v>
      </c>
      <c r="AB94">
        <v>56.33</v>
      </c>
      <c r="AC94">
        <v>42.06</v>
      </c>
      <c r="AD94">
        <v>598</v>
      </c>
      <c r="AE94">
        <v>662.23</v>
      </c>
      <c r="AF94">
        <v>44.13</v>
      </c>
      <c r="AG94">
        <v>57.76</v>
      </c>
      <c r="AH94">
        <v>47.45</v>
      </c>
      <c r="AI94">
        <v>50.79</v>
      </c>
    </row>
    <row r="95" spans="1:35" x14ac:dyDescent="0.45">
      <c r="A95" s="2">
        <v>45943</v>
      </c>
      <c r="B95">
        <v>33.94</v>
      </c>
      <c r="C95">
        <v>32.119999999999997</v>
      </c>
      <c r="D95">
        <v>17.57</v>
      </c>
      <c r="E95">
        <v>25.3</v>
      </c>
      <c r="F95">
        <v>32.409999999999997</v>
      </c>
      <c r="G95">
        <v>63.41</v>
      </c>
      <c r="H95">
        <v>25.71</v>
      </c>
      <c r="I95">
        <v>64.56</v>
      </c>
      <c r="J95">
        <v>65.47</v>
      </c>
      <c r="K95">
        <v>83.62</v>
      </c>
      <c r="L95">
        <v>29.18</v>
      </c>
      <c r="M95">
        <v>66.010000000000005</v>
      </c>
      <c r="N95">
        <v>65.61</v>
      </c>
      <c r="O95">
        <v>52.97</v>
      </c>
      <c r="P95">
        <v>63.3</v>
      </c>
      <c r="Q95">
        <v>19.254999999999999</v>
      </c>
      <c r="R95">
        <v>1313.99</v>
      </c>
      <c r="S95">
        <v>33.04</v>
      </c>
      <c r="T95">
        <v>19.16</v>
      </c>
      <c r="U95">
        <v>19.59</v>
      </c>
      <c r="V95">
        <v>40.69</v>
      </c>
      <c r="W95">
        <v>45.45</v>
      </c>
      <c r="X95">
        <v>26.66</v>
      </c>
      <c r="Y95">
        <v>50.59</v>
      </c>
      <c r="Z95">
        <v>41.78</v>
      </c>
      <c r="AA95">
        <v>79.290000000000006</v>
      </c>
      <c r="AB95">
        <v>56.08</v>
      </c>
      <c r="AC95">
        <v>41.99</v>
      </c>
      <c r="AD95">
        <v>602.01</v>
      </c>
      <c r="AE95">
        <v>663.04</v>
      </c>
      <c r="AF95">
        <v>43.35</v>
      </c>
      <c r="AG95">
        <v>57.75</v>
      </c>
      <c r="AH95">
        <v>47.32</v>
      </c>
      <c r="AI95">
        <v>50.5</v>
      </c>
    </row>
    <row r="96" spans="1:35" x14ac:dyDescent="0.45">
      <c r="A96" s="2">
        <v>45940</v>
      </c>
      <c r="B96">
        <v>32.92</v>
      </c>
      <c r="C96">
        <v>31.5</v>
      </c>
      <c r="D96">
        <v>17.309999999999999</v>
      </c>
      <c r="E96">
        <v>24.87</v>
      </c>
      <c r="F96">
        <v>31.78</v>
      </c>
      <c r="G96">
        <v>60.91</v>
      </c>
      <c r="H96">
        <v>25.33</v>
      </c>
      <c r="I96">
        <v>61.62</v>
      </c>
      <c r="J96">
        <v>64.39</v>
      </c>
      <c r="K96">
        <v>80.72</v>
      </c>
      <c r="L96">
        <v>28.79</v>
      </c>
      <c r="M96">
        <v>63.32</v>
      </c>
      <c r="N96">
        <v>65.45</v>
      </c>
      <c r="O96">
        <v>52.77</v>
      </c>
      <c r="P96">
        <v>61.39</v>
      </c>
      <c r="Q96">
        <v>19.23</v>
      </c>
      <c r="R96">
        <v>1304.92</v>
      </c>
      <c r="S96">
        <v>32.840000000000003</v>
      </c>
      <c r="T96">
        <v>19</v>
      </c>
      <c r="U96">
        <v>18.98</v>
      </c>
      <c r="V96">
        <v>39.81</v>
      </c>
      <c r="W96">
        <v>45.805</v>
      </c>
      <c r="X96">
        <v>26.44</v>
      </c>
      <c r="Y96">
        <v>49.86</v>
      </c>
      <c r="Z96">
        <v>41.52</v>
      </c>
      <c r="AA96">
        <v>78.36</v>
      </c>
      <c r="AB96">
        <v>56.1</v>
      </c>
      <c r="AC96">
        <v>41.73</v>
      </c>
      <c r="AD96">
        <v>589.5</v>
      </c>
      <c r="AE96">
        <v>653.02</v>
      </c>
      <c r="AF96">
        <v>43.29</v>
      </c>
      <c r="AG96">
        <v>56.64</v>
      </c>
      <c r="AH96">
        <v>46.92</v>
      </c>
      <c r="AI96">
        <v>50.31</v>
      </c>
    </row>
    <row r="97" spans="1:35" x14ac:dyDescent="0.45">
      <c r="A97" s="2">
        <v>45939</v>
      </c>
      <c r="B97">
        <v>34.44</v>
      </c>
      <c r="C97">
        <v>32.520000000000003</v>
      </c>
      <c r="D97">
        <v>17.649999999999999</v>
      </c>
      <c r="E97">
        <v>25.2</v>
      </c>
      <c r="F97">
        <v>32.28</v>
      </c>
      <c r="G97">
        <v>62.65</v>
      </c>
      <c r="H97">
        <v>25.98</v>
      </c>
      <c r="I97">
        <v>64.83</v>
      </c>
      <c r="J97">
        <v>65.42</v>
      </c>
      <c r="K97">
        <v>83.43</v>
      </c>
      <c r="L97">
        <v>29.67</v>
      </c>
      <c r="M97">
        <v>65.06</v>
      </c>
      <c r="N97">
        <v>65.7</v>
      </c>
      <c r="O97">
        <v>52.81</v>
      </c>
      <c r="P97">
        <v>65.12</v>
      </c>
      <c r="Q97">
        <v>19.329999999999998</v>
      </c>
      <c r="R97">
        <v>1305.24</v>
      </c>
      <c r="S97">
        <v>33.369999999999997</v>
      </c>
      <c r="T97">
        <v>19.25</v>
      </c>
      <c r="U97">
        <v>18.75</v>
      </c>
      <c r="V97">
        <v>40.68</v>
      </c>
      <c r="W97">
        <v>46.575000000000003</v>
      </c>
      <c r="X97">
        <v>26.92</v>
      </c>
      <c r="Y97">
        <v>50.53</v>
      </c>
      <c r="Z97">
        <v>42.09</v>
      </c>
      <c r="AA97">
        <v>81.55</v>
      </c>
      <c r="AB97">
        <v>56.36</v>
      </c>
      <c r="AC97">
        <v>42.07</v>
      </c>
      <c r="AD97">
        <v>610.70000000000005</v>
      </c>
      <c r="AE97">
        <v>671.16</v>
      </c>
      <c r="AF97">
        <v>43.89</v>
      </c>
      <c r="AG97">
        <v>57.89</v>
      </c>
      <c r="AH97">
        <v>47.2</v>
      </c>
      <c r="AI97">
        <v>51.13</v>
      </c>
    </row>
    <row r="98" spans="1:35" x14ac:dyDescent="0.45">
      <c r="A98" s="2">
        <v>45938</v>
      </c>
      <c r="B98">
        <v>34.21</v>
      </c>
      <c r="C98">
        <v>32.79</v>
      </c>
      <c r="D98">
        <v>17.45</v>
      </c>
      <c r="E98">
        <v>25.67</v>
      </c>
      <c r="F98">
        <v>32.619999999999997</v>
      </c>
      <c r="G98">
        <v>63.53</v>
      </c>
      <c r="H98">
        <v>26.02</v>
      </c>
      <c r="I98">
        <v>65.650000000000006</v>
      </c>
      <c r="J98">
        <v>65.73</v>
      </c>
      <c r="K98">
        <v>84.19</v>
      </c>
      <c r="L98">
        <v>29.87</v>
      </c>
      <c r="M98">
        <v>66.8</v>
      </c>
      <c r="N98">
        <v>65.62</v>
      </c>
      <c r="O98">
        <v>52.63</v>
      </c>
      <c r="P98">
        <v>66.13</v>
      </c>
      <c r="Q98">
        <v>19.309999999999999</v>
      </c>
      <c r="R98">
        <v>1285.6400000000001</v>
      </c>
      <c r="S98">
        <v>33.615000000000002</v>
      </c>
      <c r="T98">
        <v>19.29</v>
      </c>
      <c r="U98">
        <v>18.43</v>
      </c>
      <c r="V98">
        <v>40.549999999999997</v>
      </c>
      <c r="W98">
        <v>47.094999999999999</v>
      </c>
      <c r="X98">
        <v>27.23</v>
      </c>
      <c r="Y98">
        <v>51.14</v>
      </c>
      <c r="Z98">
        <v>42.34</v>
      </c>
      <c r="AA98">
        <v>81.75</v>
      </c>
      <c r="AB98">
        <v>56.83</v>
      </c>
      <c r="AC98">
        <v>42.68</v>
      </c>
      <c r="AD98">
        <v>611.44000000000005</v>
      </c>
      <c r="AE98">
        <v>673.11</v>
      </c>
      <c r="AF98">
        <v>44.3</v>
      </c>
      <c r="AG98">
        <v>58.41</v>
      </c>
      <c r="AH98">
        <v>47.88</v>
      </c>
      <c r="AI98">
        <v>52.29</v>
      </c>
    </row>
    <row r="99" spans="1:35" x14ac:dyDescent="0.45">
      <c r="A99" s="2">
        <v>45937</v>
      </c>
      <c r="B99">
        <v>34.26</v>
      </c>
      <c r="C99">
        <v>32.270000000000003</v>
      </c>
      <c r="D99">
        <v>17.43</v>
      </c>
      <c r="E99">
        <v>25.36</v>
      </c>
      <c r="F99">
        <v>32.58</v>
      </c>
      <c r="G99">
        <v>61.87</v>
      </c>
      <c r="H99">
        <v>25.99</v>
      </c>
      <c r="I99">
        <v>64.81</v>
      </c>
      <c r="J99">
        <v>65.040000000000006</v>
      </c>
      <c r="K99">
        <v>83.35</v>
      </c>
      <c r="L99">
        <v>29.68</v>
      </c>
      <c r="M99">
        <v>64.790000000000006</v>
      </c>
      <c r="N99">
        <v>65.33</v>
      </c>
      <c r="O99">
        <v>52.88</v>
      </c>
      <c r="P99">
        <v>65.81</v>
      </c>
      <c r="Q99">
        <v>19.260000000000002</v>
      </c>
      <c r="R99">
        <v>1293.6099999999999</v>
      </c>
      <c r="S99">
        <v>33.69</v>
      </c>
      <c r="T99">
        <v>19.13</v>
      </c>
      <c r="U99">
        <v>18.23</v>
      </c>
      <c r="V99">
        <v>40.590000000000003</v>
      </c>
      <c r="W99">
        <v>47.05</v>
      </c>
      <c r="X99">
        <v>27.14</v>
      </c>
      <c r="Y99">
        <v>50.94</v>
      </c>
      <c r="Z99">
        <v>42.07</v>
      </c>
      <c r="AA99">
        <v>81.96</v>
      </c>
      <c r="AB99">
        <v>56.55</v>
      </c>
      <c r="AC99">
        <v>42.45</v>
      </c>
      <c r="AD99">
        <v>604.51</v>
      </c>
      <c r="AE99">
        <v>669.12</v>
      </c>
      <c r="AF99">
        <v>43.79</v>
      </c>
      <c r="AG99">
        <v>58.56</v>
      </c>
      <c r="AH99">
        <v>47.82</v>
      </c>
      <c r="AI99">
        <v>51.94</v>
      </c>
    </row>
    <row r="100" spans="1:35" x14ac:dyDescent="0.45">
      <c r="A100" s="2">
        <v>45936</v>
      </c>
      <c r="B100">
        <v>34.369999999999997</v>
      </c>
      <c r="C100">
        <v>32.049999999999997</v>
      </c>
      <c r="D100">
        <v>17.420000000000002</v>
      </c>
      <c r="E100">
        <v>25.1</v>
      </c>
      <c r="F100">
        <v>32.51</v>
      </c>
      <c r="G100">
        <v>62.71</v>
      </c>
      <c r="H100">
        <v>26.09</v>
      </c>
      <c r="I100">
        <v>65.03</v>
      </c>
      <c r="J100">
        <v>65.44</v>
      </c>
      <c r="K100">
        <v>84.78</v>
      </c>
      <c r="L100">
        <v>30.31</v>
      </c>
      <c r="M100">
        <v>65.319999999999993</v>
      </c>
      <c r="N100">
        <v>65.38</v>
      </c>
      <c r="O100">
        <v>52.76</v>
      </c>
      <c r="P100">
        <v>66.64</v>
      </c>
      <c r="Q100">
        <v>19.215</v>
      </c>
      <c r="R100">
        <v>1288.29</v>
      </c>
      <c r="S100">
        <v>33.47</v>
      </c>
      <c r="T100">
        <v>19.04</v>
      </c>
      <c r="U100">
        <v>18.434999999999999</v>
      </c>
      <c r="V100">
        <v>40.770000000000003</v>
      </c>
      <c r="W100">
        <v>47.134999999999998</v>
      </c>
      <c r="X100">
        <v>27.36</v>
      </c>
      <c r="Y100">
        <v>51.3</v>
      </c>
      <c r="Z100">
        <v>42.42</v>
      </c>
      <c r="AA100">
        <v>83.27</v>
      </c>
      <c r="AB100">
        <v>56.72</v>
      </c>
      <c r="AC100">
        <v>42.58</v>
      </c>
      <c r="AD100">
        <v>607.71</v>
      </c>
      <c r="AE100">
        <v>671.61</v>
      </c>
      <c r="AF100">
        <v>44.19</v>
      </c>
      <c r="AG100">
        <v>59.68</v>
      </c>
      <c r="AH100">
        <v>48.26</v>
      </c>
      <c r="AI100">
        <v>52.26</v>
      </c>
    </row>
    <row r="101" spans="1:35" x14ac:dyDescent="0.45">
      <c r="A101" s="2">
        <v>45933</v>
      </c>
      <c r="B101">
        <v>34.39</v>
      </c>
      <c r="C101">
        <v>32.32</v>
      </c>
      <c r="D101">
        <v>17.43</v>
      </c>
      <c r="E101">
        <v>25.59</v>
      </c>
      <c r="F101">
        <v>32.92</v>
      </c>
      <c r="G101">
        <v>62.31</v>
      </c>
      <c r="H101">
        <v>26.2</v>
      </c>
      <c r="I101">
        <v>64.64</v>
      </c>
      <c r="J101">
        <v>66.81</v>
      </c>
      <c r="K101">
        <v>83.85</v>
      </c>
      <c r="L101">
        <v>30.33</v>
      </c>
      <c r="M101">
        <v>65.06</v>
      </c>
      <c r="N101">
        <v>66.17</v>
      </c>
      <c r="O101">
        <v>52.45</v>
      </c>
      <c r="P101">
        <v>66.55</v>
      </c>
      <c r="Q101">
        <v>19.295000000000002</v>
      </c>
      <c r="R101">
        <v>1275.03</v>
      </c>
      <c r="S101">
        <v>33.74</v>
      </c>
      <c r="T101">
        <v>19.11</v>
      </c>
      <c r="U101">
        <v>17.53</v>
      </c>
      <c r="V101">
        <v>40.49</v>
      </c>
      <c r="W101">
        <v>47.188299999999998</v>
      </c>
      <c r="X101">
        <v>27.43</v>
      </c>
      <c r="Y101">
        <v>51.24</v>
      </c>
      <c r="Z101">
        <v>42.43</v>
      </c>
      <c r="AA101">
        <v>81.78</v>
      </c>
      <c r="AB101">
        <v>56.66</v>
      </c>
      <c r="AC101">
        <v>42.64</v>
      </c>
      <c r="AD101">
        <v>603.17999999999995</v>
      </c>
      <c r="AE101">
        <v>669.21</v>
      </c>
      <c r="AF101">
        <v>44.91</v>
      </c>
      <c r="AG101">
        <v>59.62</v>
      </c>
      <c r="AH101">
        <v>48.2</v>
      </c>
      <c r="AI101">
        <v>52.61</v>
      </c>
    </row>
    <row r="102" spans="1:35" x14ac:dyDescent="0.45">
      <c r="A102" s="2">
        <v>45932</v>
      </c>
      <c r="B102">
        <v>34.5182</v>
      </c>
      <c r="C102">
        <v>32.4</v>
      </c>
      <c r="D102">
        <v>17.440000000000001</v>
      </c>
      <c r="E102">
        <v>25.22</v>
      </c>
      <c r="F102">
        <v>32.81</v>
      </c>
      <c r="G102">
        <v>61.33</v>
      </c>
      <c r="H102">
        <v>26.27</v>
      </c>
      <c r="I102">
        <v>64</v>
      </c>
      <c r="J102">
        <v>66.900000000000006</v>
      </c>
      <c r="K102">
        <v>83.53</v>
      </c>
      <c r="L102">
        <v>30.24</v>
      </c>
      <c r="M102">
        <v>64.209999999999994</v>
      </c>
      <c r="N102">
        <v>65.25</v>
      </c>
      <c r="O102">
        <v>52.3</v>
      </c>
      <c r="P102">
        <v>66.989999999999995</v>
      </c>
      <c r="Q102">
        <v>19.274999999999999</v>
      </c>
      <c r="R102">
        <v>1274.17</v>
      </c>
      <c r="S102">
        <v>34.450000000000003</v>
      </c>
      <c r="T102">
        <v>19.079999999999998</v>
      </c>
      <c r="U102">
        <v>17.515000000000001</v>
      </c>
      <c r="V102">
        <v>40.479999999999997</v>
      </c>
      <c r="W102">
        <v>46.68</v>
      </c>
      <c r="X102">
        <v>27.18</v>
      </c>
      <c r="Y102">
        <v>50.59</v>
      </c>
      <c r="Z102">
        <v>42.47</v>
      </c>
      <c r="AA102">
        <v>80.150000000000006</v>
      </c>
      <c r="AB102">
        <v>56.25</v>
      </c>
      <c r="AC102">
        <v>42.26</v>
      </c>
      <c r="AD102">
        <v>605.73</v>
      </c>
      <c r="AE102">
        <v>669.22</v>
      </c>
      <c r="AF102">
        <v>44.77</v>
      </c>
      <c r="AG102">
        <v>59.51</v>
      </c>
      <c r="AH102">
        <v>47.94</v>
      </c>
      <c r="AI102">
        <v>52.33</v>
      </c>
    </row>
    <row r="103" spans="1:35" x14ac:dyDescent="0.45">
      <c r="A103" s="2">
        <v>45931</v>
      </c>
      <c r="B103">
        <v>34.369500000000002</v>
      </c>
      <c r="C103">
        <v>32.71</v>
      </c>
      <c r="D103">
        <v>17.46</v>
      </c>
      <c r="E103">
        <v>25.2</v>
      </c>
      <c r="F103">
        <v>32.6</v>
      </c>
      <c r="G103">
        <v>61.05</v>
      </c>
      <c r="H103">
        <v>26.21</v>
      </c>
      <c r="I103">
        <v>64.14</v>
      </c>
      <c r="J103">
        <v>66.78</v>
      </c>
      <c r="K103">
        <v>81.89</v>
      </c>
      <c r="L103">
        <v>30.58</v>
      </c>
      <c r="M103">
        <v>64.75</v>
      </c>
      <c r="N103">
        <v>65.56</v>
      </c>
      <c r="O103">
        <v>52.39</v>
      </c>
      <c r="P103">
        <v>66.25</v>
      </c>
      <c r="Q103">
        <v>19.39</v>
      </c>
      <c r="R103">
        <v>1288.07</v>
      </c>
      <c r="S103">
        <v>34.96</v>
      </c>
      <c r="T103">
        <v>18.989999999999998</v>
      </c>
      <c r="U103">
        <v>18.04</v>
      </c>
      <c r="V103">
        <v>40.25</v>
      </c>
      <c r="W103">
        <v>46.711599999999997</v>
      </c>
      <c r="X103">
        <v>27.15</v>
      </c>
      <c r="Y103">
        <v>50.57</v>
      </c>
      <c r="Z103">
        <v>42.13</v>
      </c>
      <c r="AA103">
        <v>80.209999999999994</v>
      </c>
      <c r="AB103">
        <v>55.94</v>
      </c>
      <c r="AC103">
        <v>42.5</v>
      </c>
      <c r="AD103">
        <v>603.25</v>
      </c>
      <c r="AE103">
        <v>668.45</v>
      </c>
      <c r="AF103">
        <v>44.49</v>
      </c>
      <c r="AG103">
        <v>58.84</v>
      </c>
      <c r="AH103">
        <v>47.61</v>
      </c>
      <c r="AI103">
        <v>52.41</v>
      </c>
    </row>
    <row r="104" spans="1:35" x14ac:dyDescent="0.45">
      <c r="A104" s="2">
        <v>45930</v>
      </c>
      <c r="B104">
        <v>34.340000000000003</v>
      </c>
      <c r="C104">
        <v>32.96</v>
      </c>
      <c r="D104">
        <v>17.55</v>
      </c>
      <c r="E104">
        <v>24.84</v>
      </c>
      <c r="F104">
        <v>32.200000000000003</v>
      </c>
      <c r="G104">
        <v>61.5</v>
      </c>
      <c r="H104">
        <v>25.92</v>
      </c>
      <c r="I104">
        <v>63.62</v>
      </c>
      <c r="J104">
        <v>68.209999999999994</v>
      </c>
      <c r="K104">
        <v>80.099999999999994</v>
      </c>
      <c r="L104">
        <v>31</v>
      </c>
      <c r="M104">
        <v>64.099999999999994</v>
      </c>
      <c r="N104">
        <v>64.400000000000006</v>
      </c>
      <c r="O104">
        <v>52.06</v>
      </c>
      <c r="P104">
        <v>65.849999999999994</v>
      </c>
      <c r="Q104">
        <v>19.53</v>
      </c>
      <c r="R104">
        <v>1278.74</v>
      </c>
      <c r="S104">
        <v>34.229999999999997</v>
      </c>
      <c r="T104">
        <v>18.89</v>
      </c>
      <c r="U104">
        <v>17.84</v>
      </c>
      <c r="V104">
        <v>40.58</v>
      </c>
      <c r="W104">
        <v>45.933399999999999</v>
      </c>
      <c r="X104">
        <v>27</v>
      </c>
      <c r="Y104">
        <v>50.55</v>
      </c>
      <c r="Z104">
        <v>41.61</v>
      </c>
      <c r="AA104">
        <v>80.209999999999994</v>
      </c>
      <c r="AB104">
        <v>55.24</v>
      </c>
      <c r="AC104">
        <v>41.97</v>
      </c>
      <c r="AD104">
        <v>600.37</v>
      </c>
      <c r="AE104">
        <v>666.18</v>
      </c>
      <c r="AF104">
        <v>43.93</v>
      </c>
      <c r="AG104">
        <v>58.01</v>
      </c>
      <c r="AH104">
        <v>47.2</v>
      </c>
      <c r="AI104">
        <v>51.95</v>
      </c>
    </row>
    <row r="105" spans="1:35" x14ac:dyDescent="0.45">
      <c r="A105" s="2">
        <v>45929</v>
      </c>
      <c r="B105">
        <v>34.200000000000003</v>
      </c>
      <c r="C105">
        <v>32.85</v>
      </c>
      <c r="D105">
        <v>17.690000000000001</v>
      </c>
      <c r="E105">
        <v>25.04</v>
      </c>
      <c r="F105">
        <v>32.11</v>
      </c>
      <c r="G105">
        <v>60.803600000000003</v>
      </c>
      <c r="H105">
        <v>25.78</v>
      </c>
      <c r="I105">
        <v>63.08</v>
      </c>
      <c r="J105">
        <v>67.459999999999994</v>
      </c>
      <c r="K105">
        <v>80.239999999999995</v>
      </c>
      <c r="L105">
        <v>30.99</v>
      </c>
      <c r="M105">
        <v>63.42</v>
      </c>
      <c r="N105">
        <v>64.27</v>
      </c>
      <c r="O105">
        <v>52.16</v>
      </c>
      <c r="P105">
        <v>65.53</v>
      </c>
      <c r="Q105">
        <v>19.425000000000001</v>
      </c>
      <c r="R105">
        <v>1288.26</v>
      </c>
      <c r="S105">
        <v>34.57</v>
      </c>
      <c r="T105">
        <v>18.82</v>
      </c>
      <c r="U105">
        <v>17.690000000000001</v>
      </c>
      <c r="V105">
        <v>40.15</v>
      </c>
      <c r="W105">
        <v>45.484999999999999</v>
      </c>
      <c r="X105">
        <v>26.98</v>
      </c>
      <c r="Y105">
        <v>50.46</v>
      </c>
      <c r="Z105">
        <v>41.31</v>
      </c>
      <c r="AA105">
        <v>80.510000000000005</v>
      </c>
      <c r="AB105">
        <v>54.57</v>
      </c>
      <c r="AC105">
        <v>41.63</v>
      </c>
      <c r="AD105">
        <v>598.73</v>
      </c>
      <c r="AE105">
        <v>663.68</v>
      </c>
      <c r="AF105">
        <v>43.78</v>
      </c>
      <c r="AG105">
        <v>57.67</v>
      </c>
      <c r="AH105">
        <v>47.22</v>
      </c>
      <c r="AI105">
        <v>51.5</v>
      </c>
    </row>
    <row r="106" spans="1:35" x14ac:dyDescent="0.45">
      <c r="A106" s="2">
        <v>45926</v>
      </c>
      <c r="B106">
        <v>33.54</v>
      </c>
      <c r="C106">
        <v>33.17</v>
      </c>
      <c r="D106">
        <v>17.600000000000001</v>
      </c>
      <c r="E106">
        <v>25.12</v>
      </c>
      <c r="F106">
        <v>32.17</v>
      </c>
      <c r="G106">
        <v>59.3</v>
      </c>
      <c r="H106">
        <v>25.73</v>
      </c>
      <c r="I106">
        <v>62.74</v>
      </c>
      <c r="J106">
        <v>67.14</v>
      </c>
      <c r="K106">
        <v>78.87</v>
      </c>
      <c r="L106">
        <v>30.73</v>
      </c>
      <c r="M106">
        <v>63.3</v>
      </c>
      <c r="N106">
        <v>63.82</v>
      </c>
      <c r="O106">
        <v>52.25</v>
      </c>
      <c r="P106">
        <v>64.319999999999993</v>
      </c>
      <c r="Q106">
        <v>19.420000000000002</v>
      </c>
      <c r="R106">
        <v>1278.4100000000001</v>
      </c>
      <c r="S106">
        <v>34.770000000000003</v>
      </c>
      <c r="T106">
        <v>18.98</v>
      </c>
      <c r="U106">
        <v>17.55</v>
      </c>
      <c r="V106">
        <v>39.950000000000003</v>
      </c>
      <c r="W106">
        <v>45.365000000000002</v>
      </c>
      <c r="X106">
        <v>26.67</v>
      </c>
      <c r="Y106">
        <v>50.02</v>
      </c>
      <c r="Z106">
        <v>41.2</v>
      </c>
      <c r="AA106">
        <v>80.44</v>
      </c>
      <c r="AB106">
        <v>54.26</v>
      </c>
      <c r="AC106">
        <v>41.58</v>
      </c>
      <c r="AD106">
        <v>595.97</v>
      </c>
      <c r="AE106">
        <v>661.82</v>
      </c>
      <c r="AF106">
        <v>43.59</v>
      </c>
      <c r="AG106">
        <v>57.12</v>
      </c>
      <c r="AH106">
        <v>47.2</v>
      </c>
      <c r="AI106">
        <v>51.54</v>
      </c>
    </row>
    <row r="107" spans="1:35" x14ac:dyDescent="0.45">
      <c r="A107" s="2">
        <v>45925</v>
      </c>
      <c r="B107">
        <v>33.880000000000003</v>
      </c>
      <c r="C107">
        <v>33.21</v>
      </c>
      <c r="D107">
        <v>17.41</v>
      </c>
      <c r="E107">
        <v>25.09</v>
      </c>
      <c r="F107">
        <v>31.57</v>
      </c>
      <c r="G107">
        <v>59.78</v>
      </c>
      <c r="H107">
        <v>25.27</v>
      </c>
      <c r="I107">
        <v>63.06</v>
      </c>
      <c r="J107">
        <v>66.180000000000007</v>
      </c>
      <c r="K107">
        <v>79.89</v>
      </c>
      <c r="L107">
        <v>30.58</v>
      </c>
      <c r="M107">
        <v>61.67</v>
      </c>
      <c r="N107">
        <v>63.96</v>
      </c>
      <c r="O107">
        <v>52.49</v>
      </c>
      <c r="P107">
        <v>64.760000000000005</v>
      </c>
      <c r="Q107">
        <v>19.37</v>
      </c>
      <c r="R107">
        <v>1273.2</v>
      </c>
      <c r="S107">
        <v>35.19</v>
      </c>
      <c r="T107">
        <v>18.84</v>
      </c>
      <c r="U107">
        <v>17.670000000000002</v>
      </c>
      <c r="V107">
        <v>39.840000000000003</v>
      </c>
      <c r="W107">
        <v>45.196899999999999</v>
      </c>
      <c r="X107">
        <v>26.47</v>
      </c>
      <c r="Y107">
        <v>50.05</v>
      </c>
      <c r="Z107">
        <v>40.75</v>
      </c>
      <c r="AA107">
        <v>80.459999999999994</v>
      </c>
      <c r="AB107">
        <v>53.86</v>
      </c>
      <c r="AC107">
        <v>41.04</v>
      </c>
      <c r="AD107">
        <v>593.53</v>
      </c>
      <c r="AE107">
        <v>658.05</v>
      </c>
      <c r="AF107">
        <v>43.05</v>
      </c>
      <c r="AG107">
        <v>57.02</v>
      </c>
      <c r="AH107">
        <v>46.62</v>
      </c>
      <c r="AI107">
        <v>50.94</v>
      </c>
    </row>
    <row r="108" spans="1:35" x14ac:dyDescent="0.45">
      <c r="A108" s="2">
        <v>45924</v>
      </c>
      <c r="B108">
        <v>33.680599999999998</v>
      </c>
      <c r="C108">
        <v>33.630000000000003</v>
      </c>
      <c r="D108">
        <v>17.68</v>
      </c>
      <c r="E108">
        <v>25.69</v>
      </c>
      <c r="F108">
        <v>32.090000000000003</v>
      </c>
      <c r="G108">
        <v>59.89</v>
      </c>
      <c r="H108">
        <v>25.33</v>
      </c>
      <c r="I108">
        <v>63.57</v>
      </c>
      <c r="J108">
        <v>66.47</v>
      </c>
      <c r="K108">
        <v>80.040000000000006</v>
      </c>
      <c r="L108">
        <v>31.05</v>
      </c>
      <c r="M108">
        <v>61.97</v>
      </c>
      <c r="N108">
        <v>65</v>
      </c>
      <c r="O108">
        <v>52.74</v>
      </c>
      <c r="P108">
        <v>64.58</v>
      </c>
      <c r="Q108">
        <v>19.565000000000001</v>
      </c>
      <c r="R108">
        <v>1282.54</v>
      </c>
      <c r="S108">
        <v>35.299999999999997</v>
      </c>
      <c r="T108">
        <v>18.68</v>
      </c>
      <c r="U108">
        <v>17.579999999999998</v>
      </c>
      <c r="V108">
        <v>40.54</v>
      </c>
      <c r="W108">
        <v>45.596299999999999</v>
      </c>
      <c r="X108">
        <v>26.47</v>
      </c>
      <c r="Y108">
        <v>50.24</v>
      </c>
      <c r="Z108">
        <v>41.24</v>
      </c>
      <c r="AA108">
        <v>80.849999999999994</v>
      </c>
      <c r="AB108">
        <v>54.51</v>
      </c>
      <c r="AC108">
        <v>41.35</v>
      </c>
      <c r="AD108">
        <v>596.1</v>
      </c>
      <c r="AE108">
        <v>661.1</v>
      </c>
      <c r="AF108">
        <v>43.41</v>
      </c>
      <c r="AG108">
        <v>57.27</v>
      </c>
      <c r="AH108">
        <v>47.01</v>
      </c>
      <c r="AI108">
        <v>51.29</v>
      </c>
    </row>
    <row r="109" spans="1:35" x14ac:dyDescent="0.45">
      <c r="A109" s="2">
        <v>45923</v>
      </c>
      <c r="B109">
        <v>33.47</v>
      </c>
      <c r="C109">
        <v>33.68</v>
      </c>
      <c r="D109">
        <v>17.760000000000002</v>
      </c>
      <c r="E109">
        <v>26.16</v>
      </c>
      <c r="F109">
        <v>32.04</v>
      </c>
      <c r="G109">
        <v>58.88</v>
      </c>
      <c r="H109">
        <v>25.74</v>
      </c>
      <c r="I109">
        <v>64.290000000000006</v>
      </c>
      <c r="J109">
        <v>67.430000000000007</v>
      </c>
      <c r="K109">
        <v>81.45</v>
      </c>
      <c r="L109">
        <v>31.32</v>
      </c>
      <c r="M109">
        <v>62.87</v>
      </c>
      <c r="N109">
        <v>65.23</v>
      </c>
      <c r="O109">
        <v>53.06</v>
      </c>
      <c r="P109">
        <v>63.66</v>
      </c>
      <c r="Q109">
        <v>19.785</v>
      </c>
      <c r="R109">
        <v>1292.72</v>
      </c>
      <c r="S109">
        <v>35.06</v>
      </c>
      <c r="T109">
        <v>19.14</v>
      </c>
      <c r="U109">
        <v>17.29</v>
      </c>
      <c r="V109">
        <v>40.78</v>
      </c>
      <c r="W109">
        <v>45.865900000000003</v>
      </c>
      <c r="X109">
        <v>26.87</v>
      </c>
      <c r="Y109">
        <v>50.53</v>
      </c>
      <c r="Z109">
        <v>41.27</v>
      </c>
      <c r="AA109">
        <v>81.09</v>
      </c>
      <c r="AB109">
        <v>55.24</v>
      </c>
      <c r="AC109">
        <v>41.47</v>
      </c>
      <c r="AD109">
        <v>598.20000000000005</v>
      </c>
      <c r="AE109">
        <v>663.21</v>
      </c>
      <c r="AF109">
        <v>43.89</v>
      </c>
      <c r="AG109">
        <v>57.62</v>
      </c>
      <c r="AH109">
        <v>47.85</v>
      </c>
      <c r="AI109">
        <v>51.51</v>
      </c>
    </row>
    <row r="110" spans="1:35" x14ac:dyDescent="0.45">
      <c r="A110" s="2">
        <v>45922</v>
      </c>
      <c r="B110">
        <v>33.67</v>
      </c>
      <c r="C110">
        <v>33.5</v>
      </c>
      <c r="D110">
        <v>17.73</v>
      </c>
      <c r="E110">
        <v>26.6</v>
      </c>
      <c r="F110">
        <v>32</v>
      </c>
      <c r="G110">
        <v>58.59</v>
      </c>
      <c r="H110">
        <v>25.79</v>
      </c>
      <c r="I110">
        <v>64.02</v>
      </c>
      <c r="J110">
        <v>66.900000000000006</v>
      </c>
      <c r="K110">
        <v>81.56</v>
      </c>
      <c r="L110">
        <v>30.79</v>
      </c>
      <c r="M110">
        <v>62.46</v>
      </c>
      <c r="N110">
        <v>64.760000000000005</v>
      </c>
      <c r="O110">
        <v>53.5</v>
      </c>
      <c r="P110">
        <v>64.430000000000007</v>
      </c>
      <c r="Q110">
        <v>19.940000000000001</v>
      </c>
      <c r="R110">
        <v>1297.01</v>
      </c>
      <c r="S110">
        <v>35.58</v>
      </c>
      <c r="T110">
        <v>19.55</v>
      </c>
      <c r="U110">
        <v>17.53</v>
      </c>
      <c r="V110">
        <v>38.18</v>
      </c>
      <c r="W110">
        <v>46.287199999999999</v>
      </c>
      <c r="X110">
        <v>26.92</v>
      </c>
      <c r="Y110">
        <v>50.88</v>
      </c>
      <c r="Z110">
        <v>41.24</v>
      </c>
      <c r="AA110">
        <v>81.25</v>
      </c>
      <c r="AB110">
        <v>55.57</v>
      </c>
      <c r="AC110">
        <v>41.61</v>
      </c>
      <c r="AD110">
        <v>602.20000000000005</v>
      </c>
      <c r="AE110">
        <v>666.84</v>
      </c>
      <c r="AF110">
        <v>43.78</v>
      </c>
      <c r="AG110">
        <v>57.36</v>
      </c>
      <c r="AH110">
        <v>47.63</v>
      </c>
      <c r="AI110">
        <v>51.74</v>
      </c>
    </row>
    <row r="111" spans="1:35" x14ac:dyDescent="0.45">
      <c r="A111" s="2">
        <v>45919</v>
      </c>
      <c r="B111">
        <v>33.450000000000003</v>
      </c>
      <c r="C111">
        <v>33.590000000000003</v>
      </c>
      <c r="D111">
        <v>17.79</v>
      </c>
      <c r="E111">
        <v>26.8</v>
      </c>
      <c r="F111">
        <v>31.76</v>
      </c>
      <c r="G111">
        <v>57.811199999999999</v>
      </c>
      <c r="H111">
        <v>25.59</v>
      </c>
      <c r="I111">
        <v>63.38</v>
      </c>
      <c r="J111">
        <v>66.099999999999994</v>
      </c>
      <c r="K111">
        <v>80.05</v>
      </c>
      <c r="L111">
        <v>30.93</v>
      </c>
      <c r="M111">
        <v>62.54</v>
      </c>
      <c r="N111">
        <v>64.14</v>
      </c>
      <c r="O111">
        <v>53.94</v>
      </c>
      <c r="P111">
        <v>64.44</v>
      </c>
      <c r="Q111">
        <v>19.940000000000001</v>
      </c>
      <c r="R111">
        <v>1306.69</v>
      </c>
      <c r="S111">
        <v>35.380000000000003</v>
      </c>
      <c r="T111">
        <v>19.47</v>
      </c>
      <c r="U111">
        <v>17.68</v>
      </c>
      <c r="V111">
        <v>37.83</v>
      </c>
      <c r="W111">
        <v>46.41</v>
      </c>
      <c r="X111">
        <v>26.89</v>
      </c>
      <c r="Y111">
        <v>50.73</v>
      </c>
      <c r="Z111">
        <v>41.22</v>
      </c>
      <c r="AA111">
        <v>80.790000000000006</v>
      </c>
      <c r="AB111">
        <v>55.26</v>
      </c>
      <c r="AC111">
        <v>41.36</v>
      </c>
      <c r="AD111">
        <v>599.35</v>
      </c>
      <c r="AE111">
        <v>663.7</v>
      </c>
      <c r="AF111">
        <v>43.68</v>
      </c>
      <c r="AG111">
        <v>56.84</v>
      </c>
      <c r="AH111">
        <v>47.43</v>
      </c>
      <c r="AI111">
        <v>51.37</v>
      </c>
    </row>
    <row r="112" spans="1:35" x14ac:dyDescent="0.45">
      <c r="A112" s="2">
        <v>45918</v>
      </c>
      <c r="B112">
        <v>33.479999999999997</v>
      </c>
      <c r="C112">
        <v>33.6</v>
      </c>
      <c r="D112">
        <v>17.72</v>
      </c>
      <c r="E112">
        <v>26.46</v>
      </c>
      <c r="F112">
        <v>32.07</v>
      </c>
      <c r="G112">
        <v>57.14</v>
      </c>
      <c r="H112">
        <v>25.6</v>
      </c>
      <c r="I112">
        <v>63.77</v>
      </c>
      <c r="J112">
        <v>65.95</v>
      </c>
      <c r="K112">
        <v>80.75</v>
      </c>
      <c r="L112">
        <v>30.82</v>
      </c>
      <c r="M112">
        <v>61.48</v>
      </c>
      <c r="N112">
        <v>64.3</v>
      </c>
      <c r="O112">
        <v>53.74</v>
      </c>
      <c r="P112">
        <v>64.75</v>
      </c>
      <c r="Q112">
        <v>19.940000000000001</v>
      </c>
      <c r="R112">
        <v>1308.19</v>
      </c>
      <c r="S112">
        <v>34.35</v>
      </c>
      <c r="T112">
        <v>19.36</v>
      </c>
      <c r="U112">
        <v>17.8</v>
      </c>
      <c r="V112">
        <v>37.770000000000003</v>
      </c>
      <c r="W112">
        <v>46.255000000000003</v>
      </c>
      <c r="X112">
        <v>26.89</v>
      </c>
      <c r="Y112">
        <v>50.18</v>
      </c>
      <c r="Z112">
        <v>41.45</v>
      </c>
      <c r="AA112">
        <v>81.489999999999995</v>
      </c>
      <c r="AB112">
        <v>55.21</v>
      </c>
      <c r="AC112">
        <v>41.66</v>
      </c>
      <c r="AD112">
        <v>595.32000000000005</v>
      </c>
      <c r="AE112">
        <v>662.26</v>
      </c>
      <c r="AF112">
        <v>43.84</v>
      </c>
      <c r="AG112">
        <v>56.97</v>
      </c>
      <c r="AH112">
        <v>47.56</v>
      </c>
      <c r="AI112">
        <v>51.44</v>
      </c>
    </row>
    <row r="113" spans="1:35" x14ac:dyDescent="0.45">
      <c r="A113" s="2">
        <v>45917</v>
      </c>
      <c r="B113">
        <v>33.96</v>
      </c>
      <c r="C113">
        <v>33.4</v>
      </c>
      <c r="D113">
        <v>17.98</v>
      </c>
      <c r="E113">
        <v>26.55</v>
      </c>
      <c r="F113">
        <v>32.32</v>
      </c>
      <c r="G113">
        <v>57.874499999999998</v>
      </c>
      <c r="H113">
        <v>25.95</v>
      </c>
      <c r="I113">
        <v>63.21</v>
      </c>
      <c r="J113">
        <v>66.53</v>
      </c>
      <c r="K113">
        <v>79.83</v>
      </c>
      <c r="L113">
        <v>30.94</v>
      </c>
      <c r="M113">
        <v>60.86</v>
      </c>
      <c r="N113">
        <v>64.099999999999994</v>
      </c>
      <c r="O113">
        <v>54.02</v>
      </c>
      <c r="P113">
        <v>65.8</v>
      </c>
      <c r="Q113">
        <v>19.850000000000001</v>
      </c>
      <c r="R113">
        <v>1299.78</v>
      </c>
      <c r="S113">
        <v>34.75</v>
      </c>
      <c r="T113">
        <v>19.16</v>
      </c>
      <c r="U113">
        <v>17.88</v>
      </c>
      <c r="V113">
        <v>37.43</v>
      </c>
      <c r="W113">
        <v>47.045000000000002</v>
      </c>
      <c r="X113">
        <v>27.14</v>
      </c>
      <c r="Y113">
        <v>49.98</v>
      </c>
      <c r="Z113">
        <v>41.06</v>
      </c>
      <c r="AA113">
        <v>81.17</v>
      </c>
      <c r="AB113">
        <v>55.29</v>
      </c>
      <c r="AC113">
        <v>41.79</v>
      </c>
      <c r="AD113">
        <v>590</v>
      </c>
      <c r="AE113">
        <v>659.18</v>
      </c>
      <c r="AF113">
        <v>43.53</v>
      </c>
      <c r="AG113">
        <v>55.8782</v>
      </c>
      <c r="AH113">
        <v>47.17</v>
      </c>
      <c r="AI113">
        <v>51.33</v>
      </c>
    </row>
    <row r="114" spans="1:35" x14ac:dyDescent="0.45">
      <c r="A114" s="2">
        <v>45916</v>
      </c>
      <c r="B114">
        <v>33.770000000000003</v>
      </c>
      <c r="C114">
        <v>33.76</v>
      </c>
      <c r="D114">
        <v>17.850000000000001</v>
      </c>
      <c r="E114">
        <v>26.22</v>
      </c>
      <c r="F114">
        <v>32.51</v>
      </c>
      <c r="G114">
        <v>57.915399999999998</v>
      </c>
      <c r="H114">
        <v>25.54</v>
      </c>
      <c r="I114">
        <v>63.32</v>
      </c>
      <c r="J114">
        <v>66.8</v>
      </c>
      <c r="K114">
        <v>80.69</v>
      </c>
      <c r="L114">
        <v>30.69</v>
      </c>
      <c r="M114">
        <v>61</v>
      </c>
      <c r="N114">
        <v>64.77</v>
      </c>
      <c r="O114">
        <v>53.87</v>
      </c>
      <c r="P114">
        <v>64.86</v>
      </c>
      <c r="Q114">
        <v>19.77</v>
      </c>
      <c r="R114">
        <v>1293.6199999999999</v>
      </c>
      <c r="S114">
        <v>34.82</v>
      </c>
      <c r="T114">
        <v>19.32</v>
      </c>
      <c r="U114">
        <v>18.059999999999999</v>
      </c>
      <c r="V114">
        <v>36.9</v>
      </c>
      <c r="W114">
        <v>47.020400000000002</v>
      </c>
      <c r="X114">
        <v>27.38</v>
      </c>
      <c r="Y114">
        <v>50.08</v>
      </c>
      <c r="Z114">
        <v>41.15</v>
      </c>
      <c r="AA114">
        <v>81.349999999999994</v>
      </c>
      <c r="AB114">
        <v>55.48</v>
      </c>
      <c r="AC114">
        <v>41.89</v>
      </c>
      <c r="AD114">
        <v>591.17999999999995</v>
      </c>
      <c r="AE114">
        <v>660</v>
      </c>
      <c r="AF114">
        <v>43.82</v>
      </c>
      <c r="AG114">
        <v>55.71</v>
      </c>
      <c r="AH114">
        <v>47.46</v>
      </c>
      <c r="AI114">
        <v>52.15</v>
      </c>
    </row>
    <row r="115" spans="1:35" x14ac:dyDescent="0.45">
      <c r="A115" s="2">
        <v>45915</v>
      </c>
      <c r="B115">
        <v>33.81</v>
      </c>
      <c r="C115">
        <v>33.799999999999997</v>
      </c>
      <c r="D115">
        <v>17.96</v>
      </c>
      <c r="E115">
        <v>25.71</v>
      </c>
      <c r="F115">
        <v>32.81</v>
      </c>
      <c r="G115">
        <v>58.435400000000001</v>
      </c>
      <c r="H115">
        <v>25.55</v>
      </c>
      <c r="I115">
        <v>63.02</v>
      </c>
      <c r="J115">
        <v>66.77</v>
      </c>
      <c r="K115">
        <v>79.19</v>
      </c>
      <c r="L115">
        <v>30.51</v>
      </c>
      <c r="M115">
        <v>60.93</v>
      </c>
      <c r="N115">
        <v>65.23</v>
      </c>
      <c r="O115">
        <v>53.43</v>
      </c>
      <c r="P115">
        <v>64.430000000000007</v>
      </c>
      <c r="Q115">
        <v>19.55</v>
      </c>
      <c r="R115">
        <v>1288.03</v>
      </c>
      <c r="S115">
        <v>34.24</v>
      </c>
      <c r="T115">
        <v>19.2</v>
      </c>
      <c r="U115">
        <v>18.399999999999999</v>
      </c>
      <c r="V115">
        <v>36.71</v>
      </c>
      <c r="W115">
        <v>47.107199999999999</v>
      </c>
      <c r="X115">
        <v>27.57</v>
      </c>
      <c r="Y115">
        <v>50.13</v>
      </c>
      <c r="Z115">
        <v>41.42</v>
      </c>
      <c r="AA115">
        <v>81.349999999999994</v>
      </c>
      <c r="AB115">
        <v>55.56</v>
      </c>
      <c r="AC115">
        <v>42.09</v>
      </c>
      <c r="AD115">
        <v>591.67999999999995</v>
      </c>
      <c r="AE115">
        <v>660.91</v>
      </c>
      <c r="AF115">
        <v>43.89</v>
      </c>
      <c r="AG115">
        <v>55.75</v>
      </c>
      <c r="AH115">
        <v>47.61</v>
      </c>
      <c r="AI115">
        <v>52.39</v>
      </c>
    </row>
    <row r="116" spans="1:35" x14ac:dyDescent="0.45">
      <c r="A116" s="2">
        <v>45912</v>
      </c>
      <c r="B116">
        <v>33.6</v>
      </c>
      <c r="C116">
        <v>33.22</v>
      </c>
      <c r="D116">
        <v>17.829999999999998</v>
      </c>
      <c r="E116">
        <v>25.8</v>
      </c>
      <c r="F116">
        <v>32.28</v>
      </c>
      <c r="G116">
        <v>57.768000000000001</v>
      </c>
      <c r="H116">
        <v>25.47</v>
      </c>
      <c r="I116">
        <v>62.83</v>
      </c>
      <c r="J116">
        <v>66.12</v>
      </c>
      <c r="K116">
        <v>78.66</v>
      </c>
      <c r="L116">
        <v>30.03</v>
      </c>
      <c r="M116">
        <v>60.57</v>
      </c>
      <c r="N116">
        <v>65.17</v>
      </c>
      <c r="O116">
        <v>53.15</v>
      </c>
      <c r="P116">
        <v>63.95</v>
      </c>
      <c r="Q116">
        <v>19.54</v>
      </c>
      <c r="R116">
        <v>1278.05</v>
      </c>
      <c r="S116">
        <v>32.270000000000003</v>
      </c>
      <c r="T116">
        <v>19.170000000000002</v>
      </c>
      <c r="U116">
        <v>17.97</v>
      </c>
      <c r="V116">
        <v>36.72</v>
      </c>
      <c r="W116">
        <v>46.74</v>
      </c>
      <c r="X116">
        <v>27.24</v>
      </c>
      <c r="Y116">
        <v>49.6</v>
      </c>
      <c r="Z116">
        <v>41.31</v>
      </c>
      <c r="AA116">
        <v>80.760000000000005</v>
      </c>
      <c r="AB116">
        <v>55.65</v>
      </c>
      <c r="AC116">
        <v>41.94</v>
      </c>
      <c r="AD116">
        <v>586.66</v>
      </c>
      <c r="AE116">
        <v>657.41</v>
      </c>
      <c r="AF116">
        <v>43.49</v>
      </c>
      <c r="AG116">
        <v>54.66</v>
      </c>
      <c r="AH116">
        <v>47.24</v>
      </c>
      <c r="AI116">
        <v>51.72</v>
      </c>
    </row>
    <row r="117" spans="1:35" x14ac:dyDescent="0.45">
      <c r="A117" s="2">
        <v>45911</v>
      </c>
      <c r="B117">
        <v>33.94</v>
      </c>
      <c r="C117">
        <v>34.020000000000003</v>
      </c>
      <c r="D117">
        <v>17.64</v>
      </c>
      <c r="E117">
        <v>26</v>
      </c>
      <c r="F117">
        <v>32.6</v>
      </c>
      <c r="G117">
        <v>57.547199999999997</v>
      </c>
      <c r="H117">
        <v>25.33</v>
      </c>
      <c r="I117">
        <v>62.74</v>
      </c>
      <c r="J117">
        <v>65.709999999999994</v>
      </c>
      <c r="K117">
        <v>77.86</v>
      </c>
      <c r="L117">
        <v>30.05</v>
      </c>
      <c r="M117">
        <v>60.56</v>
      </c>
      <c r="N117">
        <v>64.22</v>
      </c>
      <c r="O117">
        <v>53.24</v>
      </c>
      <c r="P117">
        <v>64.209999999999994</v>
      </c>
      <c r="Q117">
        <v>19.579999999999998</v>
      </c>
      <c r="R117">
        <v>1276.08</v>
      </c>
      <c r="S117">
        <v>32.32</v>
      </c>
      <c r="T117">
        <v>19.010000000000002</v>
      </c>
      <c r="U117">
        <v>18.03</v>
      </c>
      <c r="V117">
        <v>36.799999999999997</v>
      </c>
      <c r="W117">
        <v>47.225000000000001</v>
      </c>
      <c r="X117">
        <v>27.41</v>
      </c>
      <c r="Y117">
        <v>49.92</v>
      </c>
      <c r="Z117">
        <v>41.39</v>
      </c>
      <c r="AA117">
        <v>81.319999999999993</v>
      </c>
      <c r="AB117">
        <v>56.12</v>
      </c>
      <c r="AC117">
        <v>42.19</v>
      </c>
      <c r="AD117">
        <v>584.08000000000004</v>
      </c>
      <c r="AE117">
        <v>657.63</v>
      </c>
      <c r="AF117">
        <v>43.53</v>
      </c>
      <c r="AG117">
        <v>54.46</v>
      </c>
      <c r="AH117">
        <v>47.33</v>
      </c>
      <c r="AI117">
        <v>51.6</v>
      </c>
    </row>
    <row r="118" spans="1:35" x14ac:dyDescent="0.45">
      <c r="A118" s="2">
        <v>45910</v>
      </c>
      <c r="B118">
        <v>32.840000000000003</v>
      </c>
      <c r="C118">
        <v>32.89</v>
      </c>
      <c r="D118">
        <v>17.329999999999998</v>
      </c>
      <c r="E118">
        <v>25.92</v>
      </c>
      <c r="F118">
        <v>31.83</v>
      </c>
      <c r="G118">
        <v>56.45</v>
      </c>
      <c r="H118">
        <v>25.17</v>
      </c>
      <c r="I118">
        <v>62.56</v>
      </c>
      <c r="J118">
        <v>64.28</v>
      </c>
      <c r="K118">
        <v>76.650000000000006</v>
      </c>
      <c r="L118">
        <v>29.79</v>
      </c>
      <c r="M118">
        <v>59.73</v>
      </c>
      <c r="N118">
        <v>63.64</v>
      </c>
      <c r="O118">
        <v>53.16</v>
      </c>
      <c r="P118">
        <v>62.54</v>
      </c>
      <c r="Q118">
        <v>19.53</v>
      </c>
      <c r="R118">
        <v>1266.1099999999999</v>
      </c>
      <c r="S118">
        <v>32.92</v>
      </c>
      <c r="T118">
        <v>18.850000000000001</v>
      </c>
      <c r="U118">
        <v>17.75</v>
      </c>
      <c r="V118">
        <v>36.799999999999997</v>
      </c>
      <c r="W118">
        <v>46.85</v>
      </c>
      <c r="X118">
        <v>27.11</v>
      </c>
      <c r="Y118">
        <v>49.42</v>
      </c>
      <c r="Z118">
        <v>41.07</v>
      </c>
      <c r="AA118">
        <v>80.36</v>
      </c>
      <c r="AB118">
        <v>55.62</v>
      </c>
      <c r="AC118">
        <v>41.74</v>
      </c>
      <c r="AD118">
        <v>580.70000000000005</v>
      </c>
      <c r="AE118">
        <v>652.21</v>
      </c>
      <c r="AF118">
        <v>42.9</v>
      </c>
      <c r="AG118">
        <v>53.79</v>
      </c>
      <c r="AH118">
        <v>47.1</v>
      </c>
      <c r="AI118">
        <v>50.93</v>
      </c>
    </row>
    <row r="119" spans="1:35" x14ac:dyDescent="0.45">
      <c r="A119" s="2">
        <v>45909</v>
      </c>
      <c r="B119">
        <v>32.94</v>
      </c>
      <c r="C119">
        <v>32.695</v>
      </c>
      <c r="D119">
        <v>17.059999999999999</v>
      </c>
      <c r="E119">
        <v>26.09</v>
      </c>
      <c r="F119">
        <v>32.380000000000003</v>
      </c>
      <c r="G119">
        <v>56</v>
      </c>
      <c r="H119">
        <v>25.17</v>
      </c>
      <c r="I119">
        <v>61.62</v>
      </c>
      <c r="J119">
        <v>64.260000000000005</v>
      </c>
      <c r="K119">
        <v>74.92</v>
      </c>
      <c r="L119">
        <v>29.54</v>
      </c>
      <c r="M119">
        <v>59.03</v>
      </c>
      <c r="N119">
        <v>63.6</v>
      </c>
      <c r="O119">
        <v>52.71</v>
      </c>
      <c r="P119">
        <v>62.97</v>
      </c>
      <c r="Q119">
        <v>19.37</v>
      </c>
      <c r="R119">
        <v>1264.8</v>
      </c>
      <c r="S119">
        <v>32.68</v>
      </c>
      <c r="T119">
        <v>18.91</v>
      </c>
      <c r="U119">
        <v>17.670000000000002</v>
      </c>
      <c r="V119">
        <v>36.76</v>
      </c>
      <c r="W119">
        <v>46.655000000000001</v>
      </c>
      <c r="X119">
        <v>26.89</v>
      </c>
      <c r="Y119">
        <v>49.27</v>
      </c>
      <c r="Z119">
        <v>41.48</v>
      </c>
      <c r="AA119">
        <v>80.06</v>
      </c>
      <c r="AB119">
        <v>56.02</v>
      </c>
      <c r="AC119">
        <v>41.75</v>
      </c>
      <c r="AD119">
        <v>580.51</v>
      </c>
      <c r="AE119">
        <v>650.33000000000004</v>
      </c>
      <c r="AF119">
        <v>43.06</v>
      </c>
      <c r="AG119">
        <v>54.12</v>
      </c>
      <c r="AH119">
        <v>47.3</v>
      </c>
      <c r="AI119">
        <v>50.86</v>
      </c>
    </row>
    <row r="120" spans="1:35" x14ac:dyDescent="0.45">
      <c r="A120" s="2">
        <v>45908</v>
      </c>
      <c r="B120">
        <v>33.14</v>
      </c>
      <c r="C120">
        <v>33.229999999999997</v>
      </c>
      <c r="D120">
        <v>17.5</v>
      </c>
      <c r="E120">
        <v>26.09</v>
      </c>
      <c r="F120">
        <v>32.880000000000003</v>
      </c>
      <c r="G120">
        <v>56.647500000000001</v>
      </c>
      <c r="H120">
        <v>25.12</v>
      </c>
      <c r="I120">
        <v>60.98</v>
      </c>
      <c r="J120">
        <v>64.150000000000006</v>
      </c>
      <c r="K120">
        <v>74.19</v>
      </c>
      <c r="L120">
        <v>29.58</v>
      </c>
      <c r="M120">
        <v>59.34</v>
      </c>
      <c r="N120">
        <v>63.86</v>
      </c>
      <c r="O120">
        <v>52.89</v>
      </c>
      <c r="P120">
        <v>62.3</v>
      </c>
      <c r="Q120">
        <v>19.63</v>
      </c>
      <c r="R120">
        <v>1252.55</v>
      </c>
      <c r="S120">
        <v>32.54</v>
      </c>
      <c r="T120">
        <v>18.940000000000001</v>
      </c>
      <c r="U120">
        <v>17.37</v>
      </c>
      <c r="V120">
        <v>36.69</v>
      </c>
      <c r="W120">
        <v>46.74</v>
      </c>
      <c r="X120">
        <v>27</v>
      </c>
      <c r="Y120">
        <v>49.3</v>
      </c>
      <c r="Z120">
        <v>41.69</v>
      </c>
      <c r="AA120">
        <v>80.959999999999994</v>
      </c>
      <c r="AB120">
        <v>56.33</v>
      </c>
      <c r="AC120">
        <v>41.71</v>
      </c>
      <c r="AD120">
        <v>578.87</v>
      </c>
      <c r="AE120">
        <v>648.83000000000004</v>
      </c>
      <c r="AF120">
        <v>42.99</v>
      </c>
      <c r="AG120">
        <v>54.17</v>
      </c>
      <c r="AH120">
        <v>47.42</v>
      </c>
      <c r="AI120">
        <v>50.64</v>
      </c>
    </row>
    <row r="121" spans="1:35" x14ac:dyDescent="0.45">
      <c r="A121" s="2">
        <v>45905</v>
      </c>
      <c r="B121">
        <v>33.020000000000003</v>
      </c>
      <c r="C121">
        <v>33.83</v>
      </c>
      <c r="D121">
        <v>17.93</v>
      </c>
      <c r="E121">
        <v>26.06</v>
      </c>
      <c r="F121">
        <v>32.14</v>
      </c>
      <c r="G121">
        <v>56.5</v>
      </c>
      <c r="H121">
        <v>25.03</v>
      </c>
      <c r="I121">
        <v>60.21</v>
      </c>
      <c r="J121">
        <v>63.83</v>
      </c>
      <c r="K121">
        <v>73.63</v>
      </c>
      <c r="L121">
        <v>29.63</v>
      </c>
      <c r="M121">
        <v>57.92</v>
      </c>
      <c r="N121">
        <v>63.4</v>
      </c>
      <c r="O121">
        <v>52.48</v>
      </c>
      <c r="P121">
        <v>61.35</v>
      </c>
      <c r="Q121">
        <v>19.690000000000001</v>
      </c>
      <c r="R121">
        <v>1259.31</v>
      </c>
      <c r="S121">
        <v>33.33</v>
      </c>
      <c r="T121">
        <v>19.16</v>
      </c>
      <c r="U121">
        <v>17.97</v>
      </c>
      <c r="V121">
        <v>37.200000000000003</v>
      </c>
      <c r="W121">
        <v>46.13</v>
      </c>
      <c r="X121">
        <v>26.93</v>
      </c>
      <c r="Y121">
        <v>49.17</v>
      </c>
      <c r="Z121">
        <v>41.34</v>
      </c>
      <c r="AA121">
        <v>79.180000000000007</v>
      </c>
      <c r="AB121">
        <v>56.25</v>
      </c>
      <c r="AC121">
        <v>41.55</v>
      </c>
      <c r="AD121">
        <v>576.05999999999995</v>
      </c>
      <c r="AE121">
        <v>647.24</v>
      </c>
      <c r="AF121">
        <v>42.56</v>
      </c>
      <c r="AG121">
        <v>53.47</v>
      </c>
      <c r="AH121">
        <v>47.01</v>
      </c>
      <c r="AI121">
        <v>50.46</v>
      </c>
    </row>
    <row r="122" spans="1:35" x14ac:dyDescent="0.45">
      <c r="A122" s="2">
        <v>45904</v>
      </c>
      <c r="B122">
        <v>32.229999999999997</v>
      </c>
      <c r="C122">
        <v>33.4</v>
      </c>
      <c r="D122">
        <v>17.77</v>
      </c>
      <c r="E122">
        <v>25.78</v>
      </c>
      <c r="F122">
        <v>32.130000000000003</v>
      </c>
      <c r="G122">
        <v>55.73</v>
      </c>
      <c r="H122">
        <v>24.97</v>
      </c>
      <c r="I122">
        <v>59.3</v>
      </c>
      <c r="J122">
        <v>63.07</v>
      </c>
      <c r="K122">
        <v>73.069999999999993</v>
      </c>
      <c r="L122">
        <v>29.17</v>
      </c>
      <c r="M122">
        <v>56.57</v>
      </c>
      <c r="N122">
        <v>63.26</v>
      </c>
      <c r="O122">
        <v>52.59</v>
      </c>
      <c r="P122">
        <v>60.3</v>
      </c>
      <c r="Q122">
        <v>19.7</v>
      </c>
      <c r="R122">
        <v>1248.78</v>
      </c>
      <c r="S122">
        <v>33.729999999999997</v>
      </c>
      <c r="T122">
        <v>19.2</v>
      </c>
      <c r="U122">
        <v>18.43</v>
      </c>
      <c r="V122">
        <v>37.35</v>
      </c>
      <c r="W122">
        <v>45.37</v>
      </c>
      <c r="X122">
        <v>26.9</v>
      </c>
      <c r="Y122">
        <v>49.12</v>
      </c>
      <c r="Z122">
        <v>41.34</v>
      </c>
      <c r="AA122">
        <v>78.73</v>
      </c>
      <c r="AB122">
        <v>55.71</v>
      </c>
      <c r="AC122">
        <v>41.39</v>
      </c>
      <c r="AD122">
        <v>575.23</v>
      </c>
      <c r="AE122">
        <v>649.12</v>
      </c>
      <c r="AF122">
        <v>42.56</v>
      </c>
      <c r="AG122">
        <v>52.87</v>
      </c>
      <c r="AH122">
        <v>46.26</v>
      </c>
      <c r="AI122">
        <v>50.65</v>
      </c>
    </row>
    <row r="123" spans="1:35" x14ac:dyDescent="0.45">
      <c r="A123" s="2">
        <v>45903</v>
      </c>
      <c r="B123">
        <v>32.94</v>
      </c>
      <c r="C123">
        <v>33.049999999999997</v>
      </c>
      <c r="D123">
        <v>17.809999999999999</v>
      </c>
      <c r="E123">
        <v>25.58</v>
      </c>
      <c r="F123">
        <v>31.52</v>
      </c>
      <c r="G123">
        <v>56.01</v>
      </c>
      <c r="H123">
        <v>24.87</v>
      </c>
      <c r="I123">
        <v>58.73</v>
      </c>
      <c r="J123">
        <v>62.8</v>
      </c>
      <c r="K123">
        <v>72.91</v>
      </c>
      <c r="L123">
        <v>28.99</v>
      </c>
      <c r="M123">
        <v>57.7</v>
      </c>
      <c r="N123">
        <v>63.4</v>
      </c>
      <c r="O123">
        <v>52.62</v>
      </c>
      <c r="P123">
        <v>61.33</v>
      </c>
      <c r="Q123">
        <v>19.86</v>
      </c>
      <c r="R123">
        <v>1244.48</v>
      </c>
      <c r="S123">
        <v>33.51</v>
      </c>
      <c r="T123">
        <v>19.03</v>
      </c>
      <c r="U123">
        <v>18.25</v>
      </c>
      <c r="V123">
        <v>37.11</v>
      </c>
      <c r="W123">
        <v>45.494999999999997</v>
      </c>
      <c r="X123">
        <v>26.6</v>
      </c>
      <c r="Y123">
        <v>48.87</v>
      </c>
      <c r="Z123">
        <v>41.05</v>
      </c>
      <c r="AA123">
        <v>77.930000000000007</v>
      </c>
      <c r="AB123">
        <v>55.08</v>
      </c>
      <c r="AC123">
        <v>41.18</v>
      </c>
      <c r="AD123">
        <v>570.07000000000005</v>
      </c>
      <c r="AE123">
        <v>643.74</v>
      </c>
      <c r="AF123">
        <v>42.54</v>
      </c>
      <c r="AG123">
        <v>52.22</v>
      </c>
      <c r="AH123">
        <v>46.18</v>
      </c>
      <c r="AI123">
        <v>50.38</v>
      </c>
    </row>
    <row r="124" spans="1:35" x14ac:dyDescent="0.45">
      <c r="A124" s="2">
        <v>45902</v>
      </c>
      <c r="B124">
        <v>33.200000000000003</v>
      </c>
      <c r="C124">
        <v>32.729999999999997</v>
      </c>
      <c r="D124">
        <v>17.739999999999998</v>
      </c>
      <c r="E124">
        <v>25.68</v>
      </c>
      <c r="F124">
        <v>31.29</v>
      </c>
      <c r="G124">
        <v>54.91</v>
      </c>
      <c r="H124">
        <v>24.73</v>
      </c>
      <c r="I124">
        <v>58.05</v>
      </c>
      <c r="J124">
        <v>62.91</v>
      </c>
      <c r="K124">
        <v>71.92</v>
      </c>
      <c r="L124">
        <v>29</v>
      </c>
      <c r="M124">
        <v>57.25</v>
      </c>
      <c r="N124">
        <v>62.28</v>
      </c>
      <c r="O124">
        <v>52.35</v>
      </c>
      <c r="P124">
        <v>61.64</v>
      </c>
      <c r="Q124">
        <v>19.73</v>
      </c>
      <c r="R124">
        <v>1236.6099999999999</v>
      </c>
      <c r="S124">
        <v>33.97</v>
      </c>
      <c r="T124">
        <v>19.14</v>
      </c>
      <c r="U124">
        <v>18.14</v>
      </c>
      <c r="V124">
        <v>37.21</v>
      </c>
      <c r="W124">
        <v>45.380099999999999</v>
      </c>
      <c r="X124">
        <v>26.77</v>
      </c>
      <c r="Y124">
        <v>48.59</v>
      </c>
      <c r="Z124">
        <v>41.04</v>
      </c>
      <c r="AA124">
        <v>78.150000000000006</v>
      </c>
      <c r="AB124">
        <v>54.67</v>
      </c>
      <c r="AC124">
        <v>40.9</v>
      </c>
      <c r="AD124">
        <v>565.62</v>
      </c>
      <c r="AE124">
        <v>640.27</v>
      </c>
      <c r="AF124">
        <v>42.29</v>
      </c>
      <c r="AG124">
        <v>51.94</v>
      </c>
      <c r="AH124">
        <v>45.89</v>
      </c>
      <c r="AI124">
        <v>50.4</v>
      </c>
    </row>
    <row r="125" spans="1:35" x14ac:dyDescent="0.45">
      <c r="A125" s="2">
        <v>45898</v>
      </c>
      <c r="B125">
        <v>33.47</v>
      </c>
      <c r="C125">
        <v>32.81</v>
      </c>
      <c r="D125">
        <v>17.670000000000002</v>
      </c>
      <c r="E125">
        <v>26.15</v>
      </c>
      <c r="F125">
        <v>31.7</v>
      </c>
      <c r="G125">
        <v>53.8</v>
      </c>
      <c r="H125">
        <v>24.87</v>
      </c>
      <c r="I125">
        <v>58.82</v>
      </c>
      <c r="J125">
        <v>61.94</v>
      </c>
      <c r="K125">
        <v>72.239999999999995</v>
      </c>
      <c r="L125">
        <v>29.5</v>
      </c>
      <c r="M125">
        <v>57.67</v>
      </c>
      <c r="N125">
        <v>63.09</v>
      </c>
      <c r="O125">
        <v>51.98</v>
      </c>
      <c r="P125">
        <v>61.31</v>
      </c>
      <c r="Q125">
        <v>20</v>
      </c>
      <c r="R125">
        <v>1250.0899999999999</v>
      </c>
      <c r="S125">
        <v>35.29</v>
      </c>
      <c r="T125">
        <v>19.38</v>
      </c>
      <c r="U125">
        <v>18.29</v>
      </c>
      <c r="V125">
        <v>37.36</v>
      </c>
      <c r="W125">
        <v>44.86</v>
      </c>
      <c r="X125">
        <v>27.08</v>
      </c>
      <c r="Y125">
        <v>48.79</v>
      </c>
      <c r="Z125">
        <v>41.88</v>
      </c>
      <c r="AA125">
        <v>78.28</v>
      </c>
      <c r="AB125">
        <v>55.33</v>
      </c>
      <c r="AC125">
        <v>41.46</v>
      </c>
      <c r="AD125">
        <v>570.4</v>
      </c>
      <c r="AE125">
        <v>645.04999999999995</v>
      </c>
      <c r="AF125">
        <v>42.59</v>
      </c>
      <c r="AG125">
        <v>53</v>
      </c>
      <c r="AH125">
        <v>46.39</v>
      </c>
      <c r="AI125">
        <v>51.05</v>
      </c>
    </row>
    <row r="126" spans="1:35" x14ac:dyDescent="0.45">
      <c r="A126" s="2">
        <v>45897</v>
      </c>
      <c r="B126">
        <v>33.159999999999997</v>
      </c>
      <c r="C126">
        <v>32.58</v>
      </c>
      <c r="D126">
        <v>18.190000000000001</v>
      </c>
      <c r="E126">
        <v>26.39</v>
      </c>
      <c r="F126">
        <v>32.07</v>
      </c>
      <c r="G126">
        <v>53.418799999999997</v>
      </c>
      <c r="H126">
        <v>25.13</v>
      </c>
      <c r="I126">
        <v>59.9</v>
      </c>
      <c r="J126">
        <v>62.52</v>
      </c>
      <c r="K126">
        <v>73.64</v>
      </c>
      <c r="L126">
        <v>29.49</v>
      </c>
      <c r="M126">
        <v>57.15</v>
      </c>
      <c r="N126">
        <v>63.94</v>
      </c>
      <c r="O126">
        <v>52.54</v>
      </c>
      <c r="P126">
        <v>60.45</v>
      </c>
      <c r="Q126">
        <v>19.96</v>
      </c>
      <c r="R126">
        <v>1248.03</v>
      </c>
      <c r="S126">
        <v>35.54</v>
      </c>
      <c r="T126">
        <v>19.53</v>
      </c>
      <c r="U126">
        <v>18.315000000000001</v>
      </c>
      <c r="V126">
        <v>37.47</v>
      </c>
      <c r="W126">
        <v>44.87</v>
      </c>
      <c r="X126">
        <v>27.09</v>
      </c>
      <c r="Y126">
        <v>48.46</v>
      </c>
      <c r="Z126">
        <v>42.02</v>
      </c>
      <c r="AA126">
        <v>79.290000000000006</v>
      </c>
      <c r="AB126">
        <v>55.33</v>
      </c>
      <c r="AC126">
        <v>41.57</v>
      </c>
      <c r="AD126">
        <v>577.08000000000004</v>
      </c>
      <c r="AE126">
        <v>648.91999999999996</v>
      </c>
      <c r="AF126">
        <v>42.9</v>
      </c>
      <c r="AG126">
        <v>53.5</v>
      </c>
      <c r="AH126">
        <v>46.63</v>
      </c>
      <c r="AI126">
        <v>51.19</v>
      </c>
    </row>
    <row r="127" spans="1:35" x14ac:dyDescent="0.45">
      <c r="A127" s="2">
        <v>45896</v>
      </c>
      <c r="B127">
        <v>32.26</v>
      </c>
      <c r="C127">
        <v>32.549999999999997</v>
      </c>
      <c r="D127">
        <v>18.16</v>
      </c>
      <c r="E127">
        <v>26.56</v>
      </c>
      <c r="F127">
        <v>32.340000000000003</v>
      </c>
      <c r="G127">
        <v>52.967199999999998</v>
      </c>
      <c r="H127">
        <v>25.05</v>
      </c>
      <c r="I127">
        <v>59.77</v>
      </c>
      <c r="J127">
        <v>61.94</v>
      </c>
      <c r="K127">
        <v>72.47</v>
      </c>
      <c r="L127">
        <v>29.02</v>
      </c>
      <c r="M127">
        <v>57.38</v>
      </c>
      <c r="N127">
        <v>64.489999999999995</v>
      </c>
      <c r="O127">
        <v>52.68</v>
      </c>
      <c r="P127">
        <v>60.02</v>
      </c>
      <c r="Q127">
        <v>20.13</v>
      </c>
      <c r="R127">
        <v>1251.26</v>
      </c>
      <c r="S127">
        <v>35.51</v>
      </c>
      <c r="T127">
        <v>19.68</v>
      </c>
      <c r="U127">
        <v>18.02</v>
      </c>
      <c r="V127">
        <v>37.68</v>
      </c>
      <c r="W127">
        <v>44.67</v>
      </c>
      <c r="X127">
        <v>27</v>
      </c>
      <c r="Y127">
        <v>48.37</v>
      </c>
      <c r="Z127">
        <v>41.89</v>
      </c>
      <c r="AA127">
        <v>78.63</v>
      </c>
      <c r="AB127">
        <v>55.24</v>
      </c>
      <c r="AC127">
        <v>41.66</v>
      </c>
      <c r="AD127">
        <v>573.49</v>
      </c>
      <c r="AE127">
        <v>646.63</v>
      </c>
      <c r="AF127">
        <v>42.56</v>
      </c>
      <c r="AG127">
        <v>53.59</v>
      </c>
      <c r="AH127">
        <v>46.46</v>
      </c>
      <c r="AI127">
        <v>50.91</v>
      </c>
    </row>
    <row r="128" spans="1:35" x14ac:dyDescent="0.45">
      <c r="A128" s="2">
        <v>45895</v>
      </c>
      <c r="B128">
        <v>32.909999999999997</v>
      </c>
      <c r="C128">
        <v>32.44</v>
      </c>
      <c r="D128">
        <v>18.38</v>
      </c>
      <c r="E128">
        <v>26.12</v>
      </c>
      <c r="F128">
        <v>32.86</v>
      </c>
      <c r="G128">
        <v>53.39</v>
      </c>
      <c r="H128">
        <v>25.13</v>
      </c>
      <c r="I128">
        <v>59.5</v>
      </c>
      <c r="J128">
        <v>61.44</v>
      </c>
      <c r="K128">
        <v>72.39</v>
      </c>
      <c r="L128">
        <v>28.61</v>
      </c>
      <c r="M128">
        <v>58.1</v>
      </c>
      <c r="N128">
        <v>64.98</v>
      </c>
      <c r="O128">
        <v>52.55</v>
      </c>
      <c r="P128">
        <v>61.62</v>
      </c>
      <c r="Q128">
        <v>20.14</v>
      </c>
      <c r="R128">
        <v>1262.67</v>
      </c>
      <c r="S128">
        <v>35.97</v>
      </c>
      <c r="T128">
        <v>19.75</v>
      </c>
      <c r="U128">
        <v>17.96</v>
      </c>
      <c r="V128">
        <v>38.020000000000003</v>
      </c>
      <c r="W128">
        <v>45.19</v>
      </c>
      <c r="X128">
        <v>26.97</v>
      </c>
      <c r="Y128">
        <v>48.02</v>
      </c>
      <c r="Z128">
        <v>42.13</v>
      </c>
      <c r="AA128">
        <v>78.92</v>
      </c>
      <c r="AB128">
        <v>55.11</v>
      </c>
      <c r="AC128">
        <v>41.74</v>
      </c>
      <c r="AD128">
        <v>572.61</v>
      </c>
      <c r="AE128">
        <v>645.16</v>
      </c>
      <c r="AF128">
        <v>42.58</v>
      </c>
      <c r="AG128">
        <v>53.77</v>
      </c>
      <c r="AH128">
        <v>46.64</v>
      </c>
      <c r="AI128">
        <v>51.42</v>
      </c>
    </row>
    <row r="129" spans="1:35" x14ac:dyDescent="0.45">
      <c r="A129" s="2">
        <v>45894</v>
      </c>
      <c r="B129">
        <v>32.909999999999997</v>
      </c>
      <c r="C129">
        <v>32.71</v>
      </c>
      <c r="D129">
        <v>18.61</v>
      </c>
      <c r="E129">
        <v>26.69</v>
      </c>
      <c r="F129">
        <v>32.590000000000003</v>
      </c>
      <c r="G129">
        <v>52.93</v>
      </c>
      <c r="H129">
        <v>25.5</v>
      </c>
      <c r="I129">
        <v>59.26</v>
      </c>
      <c r="J129">
        <v>61.71</v>
      </c>
      <c r="K129">
        <v>72.73</v>
      </c>
      <c r="L129">
        <v>28.74</v>
      </c>
      <c r="M129">
        <v>58.35</v>
      </c>
      <c r="N129">
        <v>65.62</v>
      </c>
      <c r="O129">
        <v>53.23</v>
      </c>
      <c r="P129">
        <v>61.54</v>
      </c>
      <c r="Q129">
        <v>20.002600000000001</v>
      </c>
      <c r="R129">
        <v>1253.3900000000001</v>
      </c>
      <c r="S129">
        <v>35.93</v>
      </c>
      <c r="T129">
        <v>19.829999999999998</v>
      </c>
      <c r="U129">
        <v>17.22</v>
      </c>
      <c r="V129">
        <v>38.08</v>
      </c>
      <c r="W129">
        <v>45.62</v>
      </c>
      <c r="X129">
        <v>26.83</v>
      </c>
      <c r="Y129">
        <v>47.55</v>
      </c>
      <c r="Z129">
        <v>42.12</v>
      </c>
      <c r="AA129">
        <v>79.05</v>
      </c>
      <c r="AB129">
        <v>54.97</v>
      </c>
      <c r="AC129">
        <v>41.79</v>
      </c>
      <c r="AD129">
        <v>570.32000000000005</v>
      </c>
      <c r="AE129">
        <v>642.47</v>
      </c>
      <c r="AF129">
        <v>42.96</v>
      </c>
      <c r="AG129">
        <v>53.84</v>
      </c>
      <c r="AH129">
        <v>46.57</v>
      </c>
      <c r="AI129">
        <v>51.76</v>
      </c>
    </row>
    <row r="130" spans="1:35" x14ac:dyDescent="0.45">
      <c r="A130" s="2">
        <v>45891</v>
      </c>
      <c r="B130">
        <v>32.71</v>
      </c>
      <c r="C130">
        <v>32.799999999999997</v>
      </c>
      <c r="D130">
        <v>18.649999999999999</v>
      </c>
      <c r="E130">
        <v>26.63</v>
      </c>
      <c r="F130">
        <v>32.700000000000003</v>
      </c>
      <c r="G130">
        <v>53.23</v>
      </c>
      <c r="H130">
        <v>25.72</v>
      </c>
      <c r="I130">
        <v>59.66</v>
      </c>
      <c r="J130">
        <v>62.8</v>
      </c>
      <c r="K130">
        <v>73.510000000000005</v>
      </c>
      <c r="L130">
        <v>28.61</v>
      </c>
      <c r="M130">
        <v>58.8</v>
      </c>
      <c r="N130">
        <v>65.995000000000005</v>
      </c>
      <c r="O130">
        <v>53.58</v>
      </c>
      <c r="P130">
        <v>61.57</v>
      </c>
      <c r="Q130">
        <v>20.189599999999999</v>
      </c>
      <c r="R130">
        <v>1244.79</v>
      </c>
      <c r="S130">
        <v>35.69</v>
      </c>
      <c r="T130">
        <v>19.96</v>
      </c>
      <c r="U130">
        <v>17.36</v>
      </c>
      <c r="V130">
        <v>38.130000000000003</v>
      </c>
      <c r="W130">
        <v>45.782899999999998</v>
      </c>
      <c r="X130">
        <v>27.26</v>
      </c>
      <c r="Y130">
        <v>48.03</v>
      </c>
      <c r="Z130">
        <v>42.66</v>
      </c>
      <c r="AA130">
        <v>80.02</v>
      </c>
      <c r="AB130">
        <v>55.64</v>
      </c>
      <c r="AC130">
        <v>42.08</v>
      </c>
      <c r="AD130">
        <v>571.97</v>
      </c>
      <c r="AE130">
        <v>645.30999999999995</v>
      </c>
      <c r="AF130">
        <v>44.18</v>
      </c>
      <c r="AG130">
        <v>54.188000000000002</v>
      </c>
      <c r="AH130">
        <v>47.24</v>
      </c>
      <c r="AI130">
        <v>52.34</v>
      </c>
    </row>
    <row r="131" spans="1:35" x14ac:dyDescent="0.45">
      <c r="A131" s="2">
        <v>45890</v>
      </c>
      <c r="B131">
        <v>31.62</v>
      </c>
      <c r="C131">
        <v>31.9</v>
      </c>
      <c r="D131">
        <v>18.440000000000001</v>
      </c>
      <c r="E131">
        <v>26.15</v>
      </c>
      <c r="F131">
        <v>33.380000000000003</v>
      </c>
      <c r="G131">
        <v>52.009</v>
      </c>
      <c r="H131">
        <v>25.19</v>
      </c>
      <c r="I131">
        <v>58.57</v>
      </c>
      <c r="J131">
        <v>61.55</v>
      </c>
      <c r="K131">
        <v>71.22</v>
      </c>
      <c r="L131">
        <v>27.66</v>
      </c>
      <c r="M131">
        <v>56.91</v>
      </c>
      <c r="N131">
        <v>65.2</v>
      </c>
      <c r="O131">
        <v>53.57</v>
      </c>
      <c r="P131">
        <v>60</v>
      </c>
      <c r="Q131">
        <v>20.065000000000001</v>
      </c>
      <c r="R131">
        <v>1248.1300000000001</v>
      </c>
      <c r="S131">
        <v>35.51</v>
      </c>
      <c r="T131">
        <v>19.753</v>
      </c>
      <c r="U131">
        <v>17.600000000000001</v>
      </c>
      <c r="V131">
        <v>37.94</v>
      </c>
      <c r="W131">
        <v>45.58</v>
      </c>
      <c r="X131">
        <v>26.86</v>
      </c>
      <c r="Y131">
        <v>47.28</v>
      </c>
      <c r="Z131">
        <v>42.08</v>
      </c>
      <c r="AA131">
        <v>78.7</v>
      </c>
      <c r="AB131">
        <v>54.94</v>
      </c>
      <c r="AC131">
        <v>41.66</v>
      </c>
      <c r="AD131">
        <v>563.28</v>
      </c>
      <c r="AE131">
        <v>635.54999999999995</v>
      </c>
      <c r="AF131">
        <v>43.55</v>
      </c>
      <c r="AG131">
        <v>53.08</v>
      </c>
      <c r="AH131">
        <v>46.08</v>
      </c>
      <c r="AI131">
        <v>51.53</v>
      </c>
    </row>
    <row r="132" spans="1:35" x14ac:dyDescent="0.45">
      <c r="A132" s="2">
        <v>45889</v>
      </c>
      <c r="B132">
        <v>31.74</v>
      </c>
      <c r="C132">
        <v>32.04</v>
      </c>
      <c r="D132">
        <v>18.600000000000001</v>
      </c>
      <c r="E132">
        <v>26.35</v>
      </c>
      <c r="F132">
        <v>33.78</v>
      </c>
      <c r="G132">
        <v>51.75</v>
      </c>
      <c r="H132">
        <v>25.19</v>
      </c>
      <c r="I132">
        <v>58.78</v>
      </c>
      <c r="J132">
        <v>61.17</v>
      </c>
      <c r="K132">
        <v>71.36</v>
      </c>
      <c r="L132">
        <v>27.69</v>
      </c>
      <c r="M132">
        <v>57.11</v>
      </c>
      <c r="N132">
        <v>65.400000000000006</v>
      </c>
      <c r="O132">
        <v>53.8</v>
      </c>
      <c r="P132">
        <v>59.92</v>
      </c>
      <c r="Q132">
        <v>20.079999999999998</v>
      </c>
      <c r="R132">
        <v>1235.76</v>
      </c>
      <c r="S132">
        <v>35.04</v>
      </c>
      <c r="T132">
        <v>19.8</v>
      </c>
      <c r="U132">
        <v>17.690000000000001</v>
      </c>
      <c r="V132">
        <v>37.89</v>
      </c>
      <c r="W132">
        <v>45.674999999999997</v>
      </c>
      <c r="X132">
        <v>26.7</v>
      </c>
      <c r="Y132">
        <v>47.11</v>
      </c>
      <c r="Z132">
        <v>42.39</v>
      </c>
      <c r="AA132">
        <v>79.64</v>
      </c>
      <c r="AB132">
        <v>55.52</v>
      </c>
      <c r="AC132">
        <v>41.72</v>
      </c>
      <c r="AD132">
        <v>565.9</v>
      </c>
      <c r="AE132">
        <v>638.11</v>
      </c>
      <c r="AF132">
        <v>43.97</v>
      </c>
      <c r="AG132">
        <v>53.58</v>
      </c>
      <c r="AH132">
        <v>46.45</v>
      </c>
      <c r="AI132">
        <v>51.69</v>
      </c>
    </row>
    <row r="133" spans="1:35" x14ac:dyDescent="0.45">
      <c r="A133" s="2">
        <v>45888</v>
      </c>
      <c r="B133">
        <v>31.02</v>
      </c>
      <c r="C133">
        <v>32.19</v>
      </c>
      <c r="D133">
        <v>18.309999999999999</v>
      </c>
      <c r="E133">
        <v>26.25</v>
      </c>
      <c r="F133">
        <v>33.79</v>
      </c>
      <c r="G133">
        <v>51.68</v>
      </c>
      <c r="H133">
        <v>25.18</v>
      </c>
      <c r="I133">
        <v>60.09</v>
      </c>
      <c r="J133">
        <v>61.25</v>
      </c>
      <c r="K133">
        <v>71.44</v>
      </c>
      <c r="L133">
        <v>27.36</v>
      </c>
      <c r="M133">
        <v>56.67</v>
      </c>
      <c r="N133">
        <v>65.150000000000006</v>
      </c>
      <c r="O133">
        <v>53.65</v>
      </c>
      <c r="P133">
        <v>59.59</v>
      </c>
      <c r="Q133">
        <v>20.239999999999998</v>
      </c>
      <c r="R133">
        <v>1242.31</v>
      </c>
      <c r="S133">
        <v>34.5</v>
      </c>
      <c r="T133">
        <v>19.8383</v>
      </c>
      <c r="U133">
        <v>17.899999999999999</v>
      </c>
      <c r="V133">
        <v>37.840000000000003</v>
      </c>
      <c r="W133">
        <v>45.604999999999997</v>
      </c>
      <c r="X133">
        <v>26.61</v>
      </c>
      <c r="Y133">
        <v>47</v>
      </c>
      <c r="Z133">
        <v>42.39</v>
      </c>
      <c r="AA133">
        <v>80.02</v>
      </c>
      <c r="AB133">
        <v>54.9</v>
      </c>
      <c r="AC133">
        <v>41.29</v>
      </c>
      <c r="AD133">
        <v>569.28</v>
      </c>
      <c r="AE133">
        <v>639.80999999999995</v>
      </c>
      <c r="AF133">
        <v>43.82</v>
      </c>
      <c r="AG133">
        <v>53.215000000000003</v>
      </c>
      <c r="AH133">
        <v>46.56</v>
      </c>
      <c r="AI133">
        <v>51.62</v>
      </c>
    </row>
    <row r="134" spans="1:35" x14ac:dyDescent="0.45">
      <c r="A134" s="2">
        <v>45887</v>
      </c>
      <c r="B134">
        <v>31.32</v>
      </c>
      <c r="C134">
        <v>32.549999999999997</v>
      </c>
      <c r="D134">
        <v>18.43</v>
      </c>
      <c r="E134">
        <v>26.34</v>
      </c>
      <c r="F134">
        <v>33.64</v>
      </c>
      <c r="G134">
        <v>52.382100000000001</v>
      </c>
      <c r="H134">
        <v>25.13</v>
      </c>
      <c r="I134">
        <v>61.04</v>
      </c>
      <c r="J134">
        <v>61.19</v>
      </c>
      <c r="K134">
        <v>72.8</v>
      </c>
      <c r="L134">
        <v>28.29</v>
      </c>
      <c r="M134">
        <v>57.11</v>
      </c>
      <c r="N134">
        <v>65.58</v>
      </c>
      <c r="O134">
        <v>53.5</v>
      </c>
      <c r="P134">
        <v>60.04</v>
      </c>
      <c r="Q134">
        <v>20.38</v>
      </c>
      <c r="R134">
        <v>1259.42</v>
      </c>
      <c r="S134">
        <v>34.47</v>
      </c>
      <c r="T134">
        <v>19.965</v>
      </c>
      <c r="U134">
        <v>17.84</v>
      </c>
      <c r="V134">
        <v>37.83</v>
      </c>
      <c r="W134">
        <v>45.844999999999999</v>
      </c>
      <c r="X134">
        <v>26.84</v>
      </c>
      <c r="Y134">
        <v>47.35</v>
      </c>
      <c r="Z134">
        <v>42.45</v>
      </c>
      <c r="AA134">
        <v>80.3</v>
      </c>
      <c r="AB134">
        <v>54.35</v>
      </c>
      <c r="AC134">
        <v>41.29</v>
      </c>
      <c r="AD134">
        <v>577.11</v>
      </c>
      <c r="AE134">
        <v>643.29999999999995</v>
      </c>
      <c r="AF134">
        <v>43.55</v>
      </c>
      <c r="AG134">
        <v>53.13</v>
      </c>
      <c r="AH134">
        <v>46.28</v>
      </c>
      <c r="AI134">
        <v>51.54</v>
      </c>
    </row>
    <row r="135" spans="1:35" x14ac:dyDescent="0.45">
      <c r="A135" s="2">
        <v>45884</v>
      </c>
      <c r="B135">
        <v>30.97</v>
      </c>
      <c r="C135">
        <v>32.4</v>
      </c>
      <c r="D135">
        <v>18.5</v>
      </c>
      <c r="E135">
        <v>26.39</v>
      </c>
      <c r="F135">
        <v>33.450000000000003</v>
      </c>
      <c r="G135">
        <v>52.191600000000001</v>
      </c>
      <c r="H135">
        <v>24.98</v>
      </c>
      <c r="I135">
        <v>60.42</v>
      </c>
      <c r="J135">
        <v>61.34</v>
      </c>
      <c r="K135">
        <v>73.39</v>
      </c>
      <c r="L135">
        <v>28.2</v>
      </c>
      <c r="M135">
        <v>57.62</v>
      </c>
      <c r="N135">
        <v>66.89</v>
      </c>
      <c r="O135">
        <v>52.71</v>
      </c>
      <c r="P135">
        <v>59.68</v>
      </c>
      <c r="Q135">
        <v>20.54</v>
      </c>
      <c r="R135">
        <v>1266.67</v>
      </c>
      <c r="S135">
        <v>34.24</v>
      </c>
      <c r="T135">
        <v>19.905000000000001</v>
      </c>
      <c r="U135">
        <v>17.71</v>
      </c>
      <c r="V135">
        <v>37.549999999999997</v>
      </c>
      <c r="W135">
        <v>45.683999999999997</v>
      </c>
      <c r="X135">
        <v>26.83</v>
      </c>
      <c r="Y135">
        <v>47.27</v>
      </c>
      <c r="Z135">
        <v>42.58</v>
      </c>
      <c r="AA135">
        <v>80.150000000000006</v>
      </c>
      <c r="AB135">
        <v>54.5</v>
      </c>
      <c r="AC135">
        <v>41.27</v>
      </c>
      <c r="AD135">
        <v>577.34</v>
      </c>
      <c r="AE135">
        <v>643.44000000000005</v>
      </c>
      <c r="AF135">
        <v>43.89</v>
      </c>
      <c r="AG135">
        <v>53.16</v>
      </c>
      <c r="AH135">
        <v>46.61</v>
      </c>
      <c r="AI135">
        <v>51.79</v>
      </c>
    </row>
    <row r="136" spans="1:35" x14ac:dyDescent="0.45">
      <c r="A136" s="2">
        <v>45883</v>
      </c>
      <c r="B136">
        <v>30.72</v>
      </c>
      <c r="C136">
        <v>32.270000000000003</v>
      </c>
      <c r="D136">
        <v>18.63</v>
      </c>
      <c r="E136">
        <v>26.28</v>
      </c>
      <c r="F136">
        <v>33.270000000000003</v>
      </c>
      <c r="G136">
        <v>51.95</v>
      </c>
      <c r="H136">
        <v>25.03</v>
      </c>
      <c r="I136">
        <v>60.65</v>
      </c>
      <c r="J136">
        <v>60.99</v>
      </c>
      <c r="K136">
        <v>73.66</v>
      </c>
      <c r="L136">
        <v>27.89</v>
      </c>
      <c r="M136">
        <v>57.64</v>
      </c>
      <c r="N136">
        <v>66.53</v>
      </c>
      <c r="O136">
        <v>52.41</v>
      </c>
      <c r="P136">
        <v>59.3</v>
      </c>
      <c r="Q136">
        <v>20.52</v>
      </c>
      <c r="R136">
        <v>1277.43</v>
      </c>
      <c r="S136">
        <v>34.11</v>
      </c>
      <c r="T136">
        <v>19.98</v>
      </c>
      <c r="U136">
        <v>17.760000000000002</v>
      </c>
      <c r="V136">
        <v>37.590000000000003</v>
      </c>
      <c r="W136">
        <v>45.57</v>
      </c>
      <c r="X136">
        <v>26.74</v>
      </c>
      <c r="Y136">
        <v>47.33</v>
      </c>
      <c r="Z136">
        <v>42.5</v>
      </c>
      <c r="AA136">
        <v>78.8</v>
      </c>
      <c r="AB136">
        <v>54.1</v>
      </c>
      <c r="AC136">
        <v>41.5</v>
      </c>
      <c r="AD136">
        <v>579.89</v>
      </c>
      <c r="AE136">
        <v>644.95000000000005</v>
      </c>
      <c r="AF136">
        <v>43.5</v>
      </c>
      <c r="AG136">
        <v>53.3</v>
      </c>
      <c r="AH136">
        <v>46.06</v>
      </c>
      <c r="AI136">
        <v>51.56</v>
      </c>
    </row>
    <row r="137" spans="1:35" x14ac:dyDescent="0.45">
      <c r="A137" s="2">
        <v>45882</v>
      </c>
      <c r="B137">
        <v>31.01</v>
      </c>
      <c r="C137">
        <v>32.54</v>
      </c>
      <c r="D137">
        <v>18.829999999999998</v>
      </c>
      <c r="E137">
        <v>26.72</v>
      </c>
      <c r="F137">
        <v>34.07</v>
      </c>
      <c r="G137">
        <v>52.16</v>
      </c>
      <c r="H137">
        <v>25.27</v>
      </c>
      <c r="I137">
        <v>61.03</v>
      </c>
      <c r="J137">
        <v>61.99</v>
      </c>
      <c r="K137">
        <v>74.72</v>
      </c>
      <c r="L137">
        <v>28.18</v>
      </c>
      <c r="M137">
        <v>58.36</v>
      </c>
      <c r="N137">
        <v>66.81</v>
      </c>
      <c r="O137">
        <v>52.71</v>
      </c>
      <c r="P137">
        <v>60.56</v>
      </c>
      <c r="Q137">
        <v>20.56</v>
      </c>
      <c r="R137">
        <v>1259.07</v>
      </c>
      <c r="S137">
        <v>34.47</v>
      </c>
      <c r="T137">
        <v>19.93</v>
      </c>
      <c r="U137">
        <v>17.46</v>
      </c>
      <c r="V137">
        <v>37.44</v>
      </c>
      <c r="W137">
        <v>45.82</v>
      </c>
      <c r="X137">
        <v>26.91</v>
      </c>
      <c r="Y137">
        <v>47.64</v>
      </c>
      <c r="Z137">
        <v>42.38</v>
      </c>
      <c r="AA137">
        <v>79.27</v>
      </c>
      <c r="AB137">
        <v>54.2</v>
      </c>
      <c r="AC137">
        <v>41.36</v>
      </c>
      <c r="AD137">
        <v>580.34</v>
      </c>
      <c r="AE137">
        <v>644.89</v>
      </c>
      <c r="AF137">
        <v>43.31</v>
      </c>
      <c r="AG137">
        <v>53.36</v>
      </c>
      <c r="AH137">
        <v>46.02</v>
      </c>
      <c r="AI137">
        <v>51.1</v>
      </c>
    </row>
    <row r="138" spans="1:35" x14ac:dyDescent="0.45">
      <c r="A138" s="2">
        <v>45881</v>
      </c>
      <c r="B138">
        <v>30.73</v>
      </c>
      <c r="C138">
        <v>31.97</v>
      </c>
      <c r="D138">
        <v>18.61</v>
      </c>
      <c r="E138">
        <v>26.55</v>
      </c>
      <c r="F138">
        <v>33.99</v>
      </c>
      <c r="G138">
        <v>51.75</v>
      </c>
      <c r="H138">
        <v>24.94</v>
      </c>
      <c r="I138">
        <v>61.09</v>
      </c>
      <c r="J138">
        <v>62.33</v>
      </c>
      <c r="K138">
        <v>74.099999999999994</v>
      </c>
      <c r="L138">
        <v>28.39</v>
      </c>
      <c r="M138">
        <v>57.5</v>
      </c>
      <c r="N138">
        <v>66.349999999999994</v>
      </c>
      <c r="O138">
        <v>52.465000000000003</v>
      </c>
      <c r="P138">
        <v>58.73</v>
      </c>
      <c r="Q138">
        <v>20.27</v>
      </c>
      <c r="R138">
        <v>1265.1500000000001</v>
      </c>
      <c r="S138">
        <v>34.54</v>
      </c>
      <c r="T138">
        <v>20.149999999999999</v>
      </c>
      <c r="U138">
        <v>17.440000000000001</v>
      </c>
      <c r="V138">
        <v>37.49</v>
      </c>
      <c r="W138">
        <v>45.658999999999999</v>
      </c>
      <c r="X138">
        <v>26.96</v>
      </c>
      <c r="Y138">
        <v>47.51</v>
      </c>
      <c r="Z138">
        <v>42.15</v>
      </c>
      <c r="AA138">
        <v>79.23</v>
      </c>
      <c r="AB138">
        <v>53.81</v>
      </c>
      <c r="AC138">
        <v>41.03</v>
      </c>
      <c r="AD138">
        <v>580.04999999999995</v>
      </c>
      <c r="AE138">
        <v>642.69000000000005</v>
      </c>
      <c r="AF138">
        <v>42.89</v>
      </c>
      <c r="AG138">
        <v>52.967399999999998</v>
      </c>
      <c r="AH138">
        <v>45.99</v>
      </c>
      <c r="AI138">
        <v>50.64</v>
      </c>
    </row>
    <row r="139" spans="1:35" x14ac:dyDescent="0.45">
      <c r="A139" s="2">
        <v>45880</v>
      </c>
      <c r="B139">
        <v>30.295000000000002</v>
      </c>
      <c r="C139">
        <v>31.47</v>
      </c>
      <c r="D139">
        <v>17.98</v>
      </c>
      <c r="E139">
        <v>26.19</v>
      </c>
      <c r="F139">
        <v>33.44</v>
      </c>
      <c r="G139">
        <v>51.130899999999997</v>
      </c>
      <c r="H139">
        <v>24.6</v>
      </c>
      <c r="I139">
        <v>60.28</v>
      </c>
      <c r="J139">
        <v>61.54</v>
      </c>
      <c r="K139">
        <v>73.03</v>
      </c>
      <c r="L139">
        <v>27.64</v>
      </c>
      <c r="M139">
        <v>56.36</v>
      </c>
      <c r="N139">
        <v>65.680000000000007</v>
      </c>
      <c r="O139">
        <v>52.27</v>
      </c>
      <c r="P139">
        <v>57.82</v>
      </c>
      <c r="Q139">
        <v>20.034600000000001</v>
      </c>
      <c r="R139">
        <v>1264.47</v>
      </c>
      <c r="S139">
        <v>34.844799999999999</v>
      </c>
      <c r="T139">
        <v>20.079999999999998</v>
      </c>
      <c r="U139">
        <v>17.27</v>
      </c>
      <c r="V139">
        <v>37.43</v>
      </c>
      <c r="W139">
        <v>45.79</v>
      </c>
      <c r="X139">
        <v>26.65</v>
      </c>
      <c r="Y139">
        <v>47.28</v>
      </c>
      <c r="Z139">
        <v>41.94</v>
      </c>
      <c r="AA139">
        <v>77.790000000000006</v>
      </c>
      <c r="AB139">
        <v>53.2</v>
      </c>
      <c r="AC139">
        <v>40.64</v>
      </c>
      <c r="AD139">
        <v>572.85</v>
      </c>
      <c r="AE139">
        <v>635.91999999999996</v>
      </c>
      <c r="AF139">
        <v>42.35</v>
      </c>
      <c r="AG139">
        <v>52.37</v>
      </c>
      <c r="AH139">
        <v>45.23</v>
      </c>
      <c r="AI139">
        <v>49.99</v>
      </c>
    </row>
    <row r="140" spans="1:35" x14ac:dyDescent="0.45">
      <c r="A140" s="2">
        <v>45877</v>
      </c>
      <c r="B140">
        <v>30.27</v>
      </c>
      <c r="C140">
        <v>31.41</v>
      </c>
      <c r="D140">
        <v>17.829999999999998</v>
      </c>
      <c r="E140">
        <v>26.63</v>
      </c>
      <c r="F140">
        <v>33.97</v>
      </c>
      <c r="G140">
        <v>51.72</v>
      </c>
      <c r="H140">
        <v>24.51</v>
      </c>
      <c r="I140">
        <v>60.29</v>
      </c>
      <c r="J140">
        <v>61.64</v>
      </c>
      <c r="K140">
        <v>73.5</v>
      </c>
      <c r="L140">
        <v>27.81</v>
      </c>
      <c r="M140">
        <v>56.45</v>
      </c>
      <c r="N140">
        <v>65.069199999999995</v>
      </c>
      <c r="O140">
        <v>52.12</v>
      </c>
      <c r="P140">
        <v>58.19</v>
      </c>
      <c r="Q140">
        <v>19.93</v>
      </c>
      <c r="R140">
        <v>1246.96</v>
      </c>
      <c r="S140">
        <v>34.68</v>
      </c>
      <c r="T140">
        <v>20.14</v>
      </c>
      <c r="U140">
        <v>17.18</v>
      </c>
      <c r="V140">
        <v>37.83</v>
      </c>
      <c r="W140">
        <v>45.744999999999997</v>
      </c>
      <c r="X140">
        <v>26.63</v>
      </c>
      <c r="Y140">
        <v>47.34</v>
      </c>
      <c r="Z140">
        <v>42.34</v>
      </c>
      <c r="AA140">
        <v>77.930000000000007</v>
      </c>
      <c r="AB140">
        <v>53.6</v>
      </c>
      <c r="AC140">
        <v>40.53</v>
      </c>
      <c r="AD140">
        <v>574.54999999999995</v>
      </c>
      <c r="AE140">
        <v>637.17999999999995</v>
      </c>
      <c r="AF140">
        <v>42.68</v>
      </c>
      <c r="AG140">
        <v>52.52</v>
      </c>
      <c r="AH140">
        <v>45.88</v>
      </c>
      <c r="AI140">
        <v>50.16</v>
      </c>
    </row>
    <row r="141" spans="1:35" x14ac:dyDescent="0.45">
      <c r="A141" s="2">
        <v>45876</v>
      </c>
      <c r="B141">
        <v>30.3</v>
      </c>
      <c r="C141">
        <v>30.74</v>
      </c>
      <c r="D141">
        <v>17.72</v>
      </c>
      <c r="E141">
        <v>26.49</v>
      </c>
      <c r="F141">
        <v>33.53</v>
      </c>
      <c r="G141">
        <v>50.705500000000001</v>
      </c>
      <c r="H141">
        <v>24.38</v>
      </c>
      <c r="I141">
        <v>60.36</v>
      </c>
      <c r="J141">
        <v>61.65</v>
      </c>
      <c r="K141">
        <v>73.44</v>
      </c>
      <c r="L141">
        <v>28.05</v>
      </c>
      <c r="M141">
        <v>56.66</v>
      </c>
      <c r="N141">
        <v>64.58</v>
      </c>
      <c r="O141">
        <v>52.53</v>
      </c>
      <c r="P141">
        <v>58.2</v>
      </c>
      <c r="Q141">
        <v>19.946000000000002</v>
      </c>
      <c r="R141">
        <v>1229.4000000000001</v>
      </c>
      <c r="S141">
        <v>34.61</v>
      </c>
      <c r="T141">
        <v>20.100000000000001</v>
      </c>
      <c r="U141">
        <v>16.8</v>
      </c>
      <c r="V141">
        <v>37.83</v>
      </c>
      <c r="W141">
        <v>45.795000000000002</v>
      </c>
      <c r="X141">
        <v>26.6</v>
      </c>
      <c r="Y141">
        <v>47.34</v>
      </c>
      <c r="Z141">
        <v>42.33</v>
      </c>
      <c r="AA141">
        <v>76.62</v>
      </c>
      <c r="AB141">
        <v>53.68</v>
      </c>
      <c r="AC141">
        <v>40.49</v>
      </c>
      <c r="AD141">
        <v>569.24</v>
      </c>
      <c r="AE141">
        <v>632.25</v>
      </c>
      <c r="AF141">
        <v>42.49</v>
      </c>
      <c r="AG141">
        <v>52.2</v>
      </c>
      <c r="AH141">
        <v>45.6</v>
      </c>
      <c r="AI141">
        <v>49.95</v>
      </c>
    </row>
    <row r="142" spans="1:35" x14ac:dyDescent="0.45">
      <c r="A142" s="2">
        <v>45875</v>
      </c>
      <c r="B142">
        <v>30.33</v>
      </c>
      <c r="C142">
        <v>30.09</v>
      </c>
      <c r="D142">
        <v>17.66</v>
      </c>
      <c r="E142">
        <v>26.41</v>
      </c>
      <c r="F142">
        <v>32.840000000000003</v>
      </c>
      <c r="G142">
        <v>50.183300000000003</v>
      </c>
      <c r="H142">
        <v>24.4</v>
      </c>
      <c r="I142">
        <v>59.14</v>
      </c>
      <c r="J142">
        <v>60.76</v>
      </c>
      <c r="K142">
        <v>73.180000000000007</v>
      </c>
      <c r="L142">
        <v>27.45</v>
      </c>
      <c r="M142">
        <v>56.17</v>
      </c>
      <c r="N142">
        <v>64.2</v>
      </c>
      <c r="O142">
        <v>52.255000000000003</v>
      </c>
      <c r="P142">
        <v>58.36</v>
      </c>
      <c r="Q142">
        <v>19.850000000000001</v>
      </c>
      <c r="R142">
        <v>1218.33</v>
      </c>
      <c r="S142">
        <v>34.46</v>
      </c>
      <c r="T142">
        <v>20.25</v>
      </c>
      <c r="U142">
        <v>17.09</v>
      </c>
      <c r="V142">
        <v>38.04</v>
      </c>
      <c r="W142">
        <v>45.63</v>
      </c>
      <c r="X142">
        <v>26.66</v>
      </c>
      <c r="Y142">
        <v>47.73</v>
      </c>
      <c r="Z142">
        <v>41.84</v>
      </c>
      <c r="AA142">
        <v>76.03</v>
      </c>
      <c r="AB142">
        <v>52.98</v>
      </c>
      <c r="AC142">
        <v>40.380000000000003</v>
      </c>
      <c r="AD142">
        <v>567.32000000000005</v>
      </c>
      <c r="AE142">
        <v>632.78</v>
      </c>
      <c r="AF142">
        <v>42.02</v>
      </c>
      <c r="AG142">
        <v>51.43</v>
      </c>
      <c r="AH142">
        <v>44.82</v>
      </c>
      <c r="AI142">
        <v>49.52</v>
      </c>
    </row>
    <row r="143" spans="1:35" x14ac:dyDescent="0.45">
      <c r="A143" s="2">
        <v>45874</v>
      </c>
      <c r="B143">
        <v>30.17</v>
      </c>
      <c r="C143">
        <v>30.26</v>
      </c>
      <c r="D143">
        <v>17.62</v>
      </c>
      <c r="E143">
        <v>26.16</v>
      </c>
      <c r="F143">
        <v>31.79</v>
      </c>
      <c r="G143">
        <v>49.7</v>
      </c>
      <c r="H143">
        <v>24.24</v>
      </c>
      <c r="I143">
        <v>58.92</v>
      </c>
      <c r="J143">
        <v>60.19</v>
      </c>
      <c r="K143">
        <v>72.89</v>
      </c>
      <c r="L143">
        <v>27.02</v>
      </c>
      <c r="M143">
        <v>55.4</v>
      </c>
      <c r="N143">
        <v>62.98</v>
      </c>
      <c r="O143">
        <v>52.41</v>
      </c>
      <c r="P143">
        <v>57.86</v>
      </c>
      <c r="Q143">
        <v>19.785</v>
      </c>
      <c r="R143">
        <v>1242.3499999999999</v>
      </c>
      <c r="S143">
        <v>34.29</v>
      </c>
      <c r="T143">
        <v>20.010000000000002</v>
      </c>
      <c r="U143">
        <v>16.670000000000002</v>
      </c>
      <c r="V143">
        <v>37.78</v>
      </c>
      <c r="W143">
        <v>45.255000000000003</v>
      </c>
      <c r="X143">
        <v>26.41</v>
      </c>
      <c r="Y143">
        <v>46.93</v>
      </c>
      <c r="Z143">
        <v>41.49</v>
      </c>
      <c r="AA143">
        <v>75.03</v>
      </c>
      <c r="AB143">
        <v>53.48</v>
      </c>
      <c r="AC143">
        <v>40.229999999999997</v>
      </c>
      <c r="AD143">
        <v>560.27</v>
      </c>
      <c r="AE143">
        <v>627.97</v>
      </c>
      <c r="AF143">
        <v>41.83</v>
      </c>
      <c r="AG143">
        <v>51.33</v>
      </c>
      <c r="AH143">
        <v>44.45</v>
      </c>
      <c r="AI143">
        <v>48.74</v>
      </c>
    </row>
    <row r="144" spans="1:35" x14ac:dyDescent="0.45">
      <c r="A144" s="2">
        <v>45873</v>
      </c>
      <c r="B144">
        <v>29.9</v>
      </c>
      <c r="C144">
        <v>30.24</v>
      </c>
      <c r="D144">
        <v>17.59</v>
      </c>
      <c r="E144">
        <v>26.35</v>
      </c>
      <c r="F144">
        <v>31.94</v>
      </c>
      <c r="G144">
        <v>49.27</v>
      </c>
      <c r="H144">
        <v>24.13</v>
      </c>
      <c r="I144">
        <v>58.84</v>
      </c>
      <c r="J144">
        <v>59.23</v>
      </c>
      <c r="K144">
        <v>72.33</v>
      </c>
      <c r="L144">
        <v>26.93</v>
      </c>
      <c r="M144">
        <v>55.05</v>
      </c>
      <c r="N144">
        <v>62.02</v>
      </c>
      <c r="O144">
        <v>52.48</v>
      </c>
      <c r="P144">
        <v>57.47</v>
      </c>
      <c r="Q144">
        <v>19.71</v>
      </c>
      <c r="R144">
        <v>1244.1400000000001</v>
      </c>
      <c r="S144">
        <v>34.32</v>
      </c>
      <c r="T144">
        <v>20.21</v>
      </c>
      <c r="U144">
        <v>16.579999999999998</v>
      </c>
      <c r="V144">
        <v>37.630000000000003</v>
      </c>
      <c r="W144">
        <v>44.93</v>
      </c>
      <c r="X144">
        <v>26.28</v>
      </c>
      <c r="Y144">
        <v>46.58</v>
      </c>
      <c r="Z144">
        <v>41.3</v>
      </c>
      <c r="AA144">
        <v>75.290000000000006</v>
      </c>
      <c r="AB144">
        <v>53.31</v>
      </c>
      <c r="AC144">
        <v>40.21</v>
      </c>
      <c r="AD144">
        <v>564.1</v>
      </c>
      <c r="AE144">
        <v>631.16999999999996</v>
      </c>
      <c r="AF144">
        <v>41.86</v>
      </c>
      <c r="AG144">
        <v>51.35</v>
      </c>
      <c r="AH144">
        <v>44.3</v>
      </c>
      <c r="AI144">
        <v>48.57</v>
      </c>
    </row>
    <row r="145" spans="1:35" x14ac:dyDescent="0.45">
      <c r="A145" s="2">
        <v>45870</v>
      </c>
      <c r="B145">
        <v>29.6</v>
      </c>
      <c r="C145">
        <v>29.98</v>
      </c>
      <c r="D145">
        <v>17.61</v>
      </c>
      <c r="E145">
        <v>25.78</v>
      </c>
      <c r="F145">
        <v>31.7</v>
      </c>
      <c r="G145">
        <v>48.35</v>
      </c>
      <c r="H145">
        <v>23.98</v>
      </c>
      <c r="I145">
        <v>58.39</v>
      </c>
      <c r="J145">
        <v>59.6</v>
      </c>
      <c r="K145">
        <v>70.650000000000006</v>
      </c>
      <c r="L145">
        <v>26.65</v>
      </c>
      <c r="M145">
        <v>53.43</v>
      </c>
      <c r="N145">
        <v>60.34</v>
      </c>
      <c r="O145">
        <v>52.72</v>
      </c>
      <c r="P145">
        <v>56.52</v>
      </c>
      <c r="Q145">
        <v>19.664999999999999</v>
      </c>
      <c r="R145">
        <v>1233.68</v>
      </c>
      <c r="S145">
        <v>33.92</v>
      </c>
      <c r="T145">
        <v>19.95</v>
      </c>
      <c r="U145">
        <v>15.95</v>
      </c>
      <c r="V145">
        <v>37.32</v>
      </c>
      <c r="W145">
        <v>44.69</v>
      </c>
      <c r="X145">
        <v>25.91</v>
      </c>
      <c r="Y145">
        <v>45.86</v>
      </c>
      <c r="Z145">
        <v>40.75</v>
      </c>
      <c r="AA145">
        <v>74.069999999999993</v>
      </c>
      <c r="AB145">
        <v>52.43</v>
      </c>
      <c r="AC145">
        <v>39.94</v>
      </c>
      <c r="AD145">
        <v>553.88</v>
      </c>
      <c r="AE145">
        <v>621.72</v>
      </c>
      <c r="AF145">
        <v>41.43</v>
      </c>
      <c r="AG145">
        <v>50.85</v>
      </c>
      <c r="AH145">
        <v>43.68</v>
      </c>
      <c r="AI145">
        <v>47.83</v>
      </c>
    </row>
    <row r="146" spans="1:35" x14ac:dyDescent="0.45">
      <c r="A146" s="2">
        <v>45869</v>
      </c>
      <c r="B146">
        <v>29.68</v>
      </c>
      <c r="C146">
        <v>29.83</v>
      </c>
      <c r="D146">
        <v>17.27</v>
      </c>
      <c r="E146">
        <v>25.42</v>
      </c>
      <c r="F146">
        <v>31.75</v>
      </c>
      <c r="G146">
        <v>48.65</v>
      </c>
      <c r="H146">
        <v>23.49</v>
      </c>
      <c r="I146">
        <v>58.36</v>
      </c>
      <c r="J146">
        <v>60.14</v>
      </c>
      <c r="K146">
        <v>72.81</v>
      </c>
      <c r="L146">
        <v>26.55</v>
      </c>
      <c r="M146">
        <v>53.05</v>
      </c>
      <c r="N146">
        <v>60.51</v>
      </c>
      <c r="O146">
        <v>52.64</v>
      </c>
      <c r="P146">
        <v>57.43</v>
      </c>
      <c r="Q146">
        <v>19.655000000000001</v>
      </c>
      <c r="R146">
        <v>1217.1500000000001</v>
      </c>
      <c r="S146">
        <v>33.85</v>
      </c>
      <c r="T146">
        <v>20.039899999999999</v>
      </c>
      <c r="U146">
        <v>16.010000000000002</v>
      </c>
      <c r="V146">
        <v>37.56</v>
      </c>
      <c r="W146">
        <v>45.05</v>
      </c>
      <c r="X146">
        <v>26.02</v>
      </c>
      <c r="Y146">
        <v>46.18</v>
      </c>
      <c r="Z146">
        <v>41.15</v>
      </c>
      <c r="AA146">
        <v>73.62</v>
      </c>
      <c r="AB146">
        <v>52.72</v>
      </c>
      <c r="AC146">
        <v>39.81</v>
      </c>
      <c r="AD146">
        <v>565.01</v>
      </c>
      <c r="AE146">
        <v>632.08000000000004</v>
      </c>
      <c r="AF146">
        <v>41.94</v>
      </c>
      <c r="AG146">
        <v>51.26</v>
      </c>
      <c r="AH146">
        <v>43.86</v>
      </c>
      <c r="AI146">
        <v>48.25</v>
      </c>
    </row>
    <row r="147" spans="1:35" x14ac:dyDescent="0.45">
      <c r="A147" s="2">
        <v>45868</v>
      </c>
      <c r="B147">
        <v>30.24</v>
      </c>
      <c r="C147">
        <v>29.48</v>
      </c>
      <c r="D147">
        <v>17.579999999999998</v>
      </c>
      <c r="E147">
        <v>26.175000000000001</v>
      </c>
      <c r="F147">
        <v>32.21</v>
      </c>
      <c r="G147">
        <v>47.99</v>
      </c>
      <c r="H147">
        <v>23.84</v>
      </c>
      <c r="I147">
        <v>58.35</v>
      </c>
      <c r="J147">
        <v>60.17</v>
      </c>
      <c r="K147">
        <v>73.680000000000007</v>
      </c>
      <c r="L147">
        <v>26.88</v>
      </c>
      <c r="M147">
        <v>53.99</v>
      </c>
      <c r="N147">
        <v>60.44</v>
      </c>
      <c r="O147">
        <v>52.7</v>
      </c>
      <c r="P147">
        <v>57.89</v>
      </c>
      <c r="Q147">
        <v>19.66</v>
      </c>
      <c r="R147">
        <v>1212.49</v>
      </c>
      <c r="S147">
        <v>33.659999999999997</v>
      </c>
      <c r="T147">
        <v>20.260000000000002</v>
      </c>
      <c r="U147">
        <v>16.03</v>
      </c>
      <c r="V147">
        <v>37.619999999999997</v>
      </c>
      <c r="W147">
        <v>45.19</v>
      </c>
      <c r="X147">
        <v>26.15</v>
      </c>
      <c r="Y147">
        <v>46.38</v>
      </c>
      <c r="Z147">
        <v>41.63</v>
      </c>
      <c r="AA147">
        <v>73.98</v>
      </c>
      <c r="AB147">
        <v>53.48</v>
      </c>
      <c r="AC147">
        <v>40.04</v>
      </c>
      <c r="AD147">
        <v>568.02</v>
      </c>
      <c r="AE147">
        <v>634.46</v>
      </c>
      <c r="AF147">
        <v>42.47</v>
      </c>
      <c r="AG147">
        <v>52.2</v>
      </c>
      <c r="AH147">
        <v>44.54</v>
      </c>
      <c r="AI147">
        <v>49.13</v>
      </c>
    </row>
    <row r="148" spans="1:35" x14ac:dyDescent="0.45">
      <c r="A148" s="2">
        <v>45867</v>
      </c>
      <c r="B148">
        <v>30.44</v>
      </c>
      <c r="C148">
        <v>29.83</v>
      </c>
      <c r="D148">
        <v>17.8</v>
      </c>
      <c r="E148">
        <v>26.37</v>
      </c>
      <c r="F148">
        <v>32.25</v>
      </c>
      <c r="G148">
        <v>49.44</v>
      </c>
      <c r="H148">
        <v>24.04</v>
      </c>
      <c r="I148">
        <v>58.62</v>
      </c>
      <c r="J148">
        <v>60.93</v>
      </c>
      <c r="K148">
        <v>73.489999999999995</v>
      </c>
      <c r="L148">
        <v>26.76</v>
      </c>
      <c r="M148">
        <v>54.54</v>
      </c>
      <c r="N148">
        <v>60.98</v>
      </c>
      <c r="O148">
        <v>53.49</v>
      </c>
      <c r="P148">
        <v>58.56</v>
      </c>
      <c r="Q148">
        <v>19.600000000000001</v>
      </c>
      <c r="R148">
        <v>1219.6199999999999</v>
      </c>
      <c r="S148">
        <v>33.28</v>
      </c>
      <c r="T148">
        <v>20.145</v>
      </c>
      <c r="U148">
        <v>15.9</v>
      </c>
      <c r="V148">
        <v>37.39</v>
      </c>
      <c r="W148">
        <v>45.834299999999999</v>
      </c>
      <c r="X148">
        <v>26.37</v>
      </c>
      <c r="Y148">
        <v>46.79</v>
      </c>
      <c r="Z148">
        <v>41.89</v>
      </c>
      <c r="AA148">
        <v>73.88</v>
      </c>
      <c r="AB148">
        <v>54.12</v>
      </c>
      <c r="AC148">
        <v>40.39</v>
      </c>
      <c r="AD148">
        <v>567.26</v>
      </c>
      <c r="AE148">
        <v>635.26</v>
      </c>
      <c r="AF148">
        <v>42.91</v>
      </c>
      <c r="AG148">
        <v>52.69</v>
      </c>
      <c r="AH148">
        <v>44.96</v>
      </c>
      <c r="AI148">
        <v>49.06</v>
      </c>
    </row>
    <row r="149" spans="1:35" x14ac:dyDescent="0.45">
      <c r="A149" s="2">
        <v>45866</v>
      </c>
      <c r="B149">
        <v>30.29</v>
      </c>
      <c r="C149">
        <v>29.78</v>
      </c>
      <c r="D149">
        <v>17.75</v>
      </c>
      <c r="E149">
        <v>26.55</v>
      </c>
      <c r="F149">
        <v>32.130000000000003</v>
      </c>
      <c r="G149">
        <v>49.15</v>
      </c>
      <c r="H149">
        <v>24.05</v>
      </c>
      <c r="I149">
        <v>59.06</v>
      </c>
      <c r="J149">
        <v>60.06</v>
      </c>
      <c r="K149">
        <v>72.709999999999994</v>
      </c>
      <c r="L149">
        <v>26.52</v>
      </c>
      <c r="M149">
        <v>54.22</v>
      </c>
      <c r="N149">
        <v>60.45</v>
      </c>
      <c r="O149">
        <v>53.23</v>
      </c>
      <c r="P149">
        <v>58.7</v>
      </c>
      <c r="Q149">
        <v>19.600000000000001</v>
      </c>
      <c r="R149">
        <v>1191.75</v>
      </c>
      <c r="S149">
        <v>33.43</v>
      </c>
      <c r="T149">
        <v>20.32</v>
      </c>
      <c r="U149">
        <v>16.78</v>
      </c>
      <c r="V149">
        <v>37.61</v>
      </c>
      <c r="W149">
        <v>45.64</v>
      </c>
      <c r="X149">
        <v>26.22</v>
      </c>
      <c r="Y149">
        <v>46.72</v>
      </c>
      <c r="Z149">
        <v>41.67</v>
      </c>
      <c r="AA149">
        <v>74.27</v>
      </c>
      <c r="AB149">
        <v>54.16</v>
      </c>
      <c r="AC149">
        <v>40.119999999999997</v>
      </c>
      <c r="AD149">
        <v>568.14</v>
      </c>
      <c r="AE149">
        <v>636.94000000000005</v>
      </c>
      <c r="AF149">
        <v>42.8</v>
      </c>
      <c r="AG149">
        <v>52.91</v>
      </c>
      <c r="AH149">
        <v>45.78</v>
      </c>
      <c r="AI149">
        <v>48.78</v>
      </c>
    </row>
    <row r="150" spans="1:35" x14ac:dyDescent="0.45">
      <c r="A150" s="2">
        <v>45863</v>
      </c>
      <c r="B150">
        <v>30.31</v>
      </c>
      <c r="C150">
        <v>30.34</v>
      </c>
      <c r="D150">
        <v>17.600000000000001</v>
      </c>
      <c r="E150">
        <v>26.752199999999998</v>
      </c>
      <c r="F150">
        <v>33.35</v>
      </c>
      <c r="G150">
        <v>49.61</v>
      </c>
      <c r="H150">
        <v>24.19</v>
      </c>
      <c r="I150">
        <v>59.43</v>
      </c>
      <c r="J150">
        <v>61.05</v>
      </c>
      <c r="K150">
        <v>73.209999999999994</v>
      </c>
      <c r="L150">
        <v>26.94</v>
      </c>
      <c r="M150">
        <v>54.74</v>
      </c>
      <c r="N150">
        <v>62.15</v>
      </c>
      <c r="O150">
        <v>53.8</v>
      </c>
      <c r="P150">
        <v>58.93</v>
      </c>
      <c r="Q150">
        <v>19.63</v>
      </c>
      <c r="R150">
        <v>1208.1300000000001</v>
      </c>
      <c r="S150">
        <v>33.79</v>
      </c>
      <c r="T150">
        <v>20.350000000000001</v>
      </c>
      <c r="U150">
        <v>16.47</v>
      </c>
      <c r="V150">
        <v>37.72</v>
      </c>
      <c r="W150">
        <v>46.051099999999998</v>
      </c>
      <c r="X150">
        <v>26.48</v>
      </c>
      <c r="Y150">
        <v>47.01</v>
      </c>
      <c r="Z150">
        <v>42.81</v>
      </c>
      <c r="AA150">
        <v>75.680000000000007</v>
      </c>
      <c r="AB150">
        <v>55.16</v>
      </c>
      <c r="AC150">
        <v>40.64</v>
      </c>
      <c r="AD150">
        <v>566.37</v>
      </c>
      <c r="AE150">
        <v>637.1</v>
      </c>
      <c r="AF150">
        <v>43.72</v>
      </c>
      <c r="AG150">
        <v>53.5</v>
      </c>
      <c r="AH150">
        <v>46.38</v>
      </c>
      <c r="AI150">
        <v>49.56</v>
      </c>
    </row>
    <row r="151" spans="1:35" x14ac:dyDescent="0.45">
      <c r="A151" s="2">
        <v>45862</v>
      </c>
      <c r="B151">
        <v>30.45</v>
      </c>
      <c r="C151">
        <v>30.49</v>
      </c>
      <c r="D151">
        <v>17.809999999999999</v>
      </c>
      <c r="E151">
        <v>27</v>
      </c>
      <c r="F151">
        <v>33.29</v>
      </c>
      <c r="G151">
        <v>49.98</v>
      </c>
      <c r="H151">
        <v>24.3</v>
      </c>
      <c r="I151">
        <v>59.39</v>
      </c>
      <c r="J151">
        <v>60.85</v>
      </c>
      <c r="K151">
        <v>73.31</v>
      </c>
      <c r="L151">
        <v>27.13</v>
      </c>
      <c r="M151">
        <v>55.44</v>
      </c>
      <c r="N151">
        <v>62</v>
      </c>
      <c r="O151">
        <v>54.06</v>
      </c>
      <c r="P151">
        <v>59.18</v>
      </c>
      <c r="Q151">
        <v>19.61</v>
      </c>
      <c r="R151">
        <v>1206.58</v>
      </c>
      <c r="S151">
        <v>33.950000000000003</v>
      </c>
      <c r="T151">
        <v>20.11</v>
      </c>
      <c r="U151">
        <v>15.994999999999999</v>
      </c>
      <c r="V151">
        <v>37.68</v>
      </c>
      <c r="W151">
        <v>45.98</v>
      </c>
      <c r="X151">
        <v>26.58</v>
      </c>
      <c r="Y151">
        <v>46.97</v>
      </c>
      <c r="Z151">
        <v>42.7</v>
      </c>
      <c r="AA151">
        <v>76.55</v>
      </c>
      <c r="AB151">
        <v>55.12</v>
      </c>
      <c r="AC151">
        <v>40.770000000000003</v>
      </c>
      <c r="AD151">
        <v>565.01</v>
      </c>
      <c r="AE151">
        <v>634.41999999999996</v>
      </c>
      <c r="AF151">
        <v>43.4</v>
      </c>
      <c r="AG151">
        <v>53.93</v>
      </c>
      <c r="AH151">
        <v>45.9</v>
      </c>
      <c r="AI151">
        <v>49.12</v>
      </c>
    </row>
    <row r="152" spans="1:35" x14ac:dyDescent="0.45">
      <c r="A152" s="2">
        <v>45861</v>
      </c>
      <c r="B152">
        <v>30.35</v>
      </c>
      <c r="C152">
        <v>30.41</v>
      </c>
      <c r="D152">
        <v>17.809999999999999</v>
      </c>
      <c r="E152">
        <v>27.09</v>
      </c>
      <c r="F152">
        <v>33.450000000000003</v>
      </c>
      <c r="G152">
        <v>50.3</v>
      </c>
      <c r="H152">
        <v>24.21</v>
      </c>
      <c r="I152">
        <v>59.8</v>
      </c>
      <c r="J152">
        <v>60.47</v>
      </c>
      <c r="K152">
        <v>73.849999999999994</v>
      </c>
      <c r="L152">
        <v>27.48</v>
      </c>
      <c r="M152">
        <v>56.27</v>
      </c>
      <c r="N152">
        <v>62.58</v>
      </c>
      <c r="O152">
        <v>54.73</v>
      </c>
      <c r="P152">
        <v>59.25</v>
      </c>
      <c r="Q152">
        <v>19.54</v>
      </c>
      <c r="R152">
        <v>1198.1099999999999</v>
      </c>
      <c r="S152">
        <v>33.86</v>
      </c>
      <c r="T152">
        <v>20.105</v>
      </c>
      <c r="U152">
        <v>16</v>
      </c>
      <c r="V152">
        <v>37.97</v>
      </c>
      <c r="W152">
        <v>46.134999999999998</v>
      </c>
      <c r="X152">
        <v>26.82</v>
      </c>
      <c r="Y152">
        <v>47.17</v>
      </c>
      <c r="Z152">
        <v>43.21</v>
      </c>
      <c r="AA152">
        <v>76.489999999999995</v>
      </c>
      <c r="AB152">
        <v>56.2</v>
      </c>
      <c r="AC152">
        <v>40.9</v>
      </c>
      <c r="AD152">
        <v>563.80999999999995</v>
      </c>
      <c r="AE152">
        <v>634.21</v>
      </c>
      <c r="AF152">
        <v>44.4</v>
      </c>
      <c r="AG152">
        <v>54.25</v>
      </c>
      <c r="AH152">
        <v>46.3</v>
      </c>
      <c r="AI152">
        <v>49.84</v>
      </c>
    </row>
    <row r="153" spans="1:35" x14ac:dyDescent="0.45">
      <c r="A153" s="2">
        <v>45860</v>
      </c>
      <c r="B153">
        <v>30.364999999999998</v>
      </c>
      <c r="C153">
        <v>30.39</v>
      </c>
      <c r="D153">
        <v>17.559999999999999</v>
      </c>
      <c r="E153">
        <v>26.52</v>
      </c>
      <c r="F153">
        <v>32.93</v>
      </c>
      <c r="G153">
        <v>49.55</v>
      </c>
      <c r="H153">
        <v>23.99</v>
      </c>
      <c r="I153">
        <v>58.72</v>
      </c>
      <c r="J153">
        <v>59.03</v>
      </c>
      <c r="K153">
        <v>72.89</v>
      </c>
      <c r="L153">
        <v>27</v>
      </c>
      <c r="M153">
        <v>55.74</v>
      </c>
      <c r="N153">
        <v>61.43</v>
      </c>
      <c r="O153">
        <v>54.61</v>
      </c>
      <c r="P153">
        <v>58.664999999999999</v>
      </c>
      <c r="Q153">
        <v>19.34</v>
      </c>
      <c r="R153">
        <v>1157.6300000000001</v>
      </c>
      <c r="S153">
        <v>33.869999999999997</v>
      </c>
      <c r="T153">
        <v>19.795000000000002</v>
      </c>
      <c r="U153">
        <v>15.82</v>
      </c>
      <c r="V153">
        <v>37.5</v>
      </c>
      <c r="W153">
        <v>46.155000000000001</v>
      </c>
      <c r="X153">
        <v>26.55</v>
      </c>
      <c r="Y153">
        <v>47.09</v>
      </c>
      <c r="Z153">
        <v>42.42</v>
      </c>
      <c r="AA153">
        <v>72.98</v>
      </c>
      <c r="AB153">
        <v>54.96</v>
      </c>
      <c r="AC153">
        <v>40.43</v>
      </c>
      <c r="AD153">
        <v>561.25</v>
      </c>
      <c r="AE153">
        <v>628.86</v>
      </c>
      <c r="AF153">
        <v>43.16</v>
      </c>
      <c r="AG153">
        <v>53.37</v>
      </c>
      <c r="AH153">
        <v>45.21</v>
      </c>
      <c r="AI153">
        <v>48.55</v>
      </c>
    </row>
    <row r="154" spans="1:35" x14ac:dyDescent="0.45">
      <c r="A154" s="2">
        <v>45859</v>
      </c>
      <c r="B154">
        <v>29.98</v>
      </c>
      <c r="C154">
        <v>30.3</v>
      </c>
      <c r="D154">
        <v>17.73</v>
      </c>
      <c r="E154">
        <v>26.34</v>
      </c>
      <c r="F154">
        <v>32.9</v>
      </c>
      <c r="G154">
        <v>48.93</v>
      </c>
      <c r="H154">
        <v>24.03</v>
      </c>
      <c r="I154">
        <v>59.36</v>
      </c>
      <c r="J154">
        <v>59.24</v>
      </c>
      <c r="K154">
        <v>73.87</v>
      </c>
      <c r="L154">
        <v>27.08</v>
      </c>
      <c r="M154">
        <v>55.7</v>
      </c>
      <c r="N154">
        <v>61.53</v>
      </c>
      <c r="O154">
        <v>54.75</v>
      </c>
      <c r="P154">
        <v>57.81</v>
      </c>
      <c r="Q154">
        <v>19.12</v>
      </c>
      <c r="R154">
        <v>1161.01</v>
      </c>
      <c r="S154">
        <v>33.93</v>
      </c>
      <c r="T154">
        <v>19.899999999999999</v>
      </c>
      <c r="U154">
        <v>15.35</v>
      </c>
      <c r="V154">
        <v>37.82</v>
      </c>
      <c r="W154">
        <v>46.367600000000003</v>
      </c>
      <c r="X154">
        <v>26.37</v>
      </c>
      <c r="Y154">
        <v>46.71</v>
      </c>
      <c r="Z154">
        <v>42.42</v>
      </c>
      <c r="AA154">
        <v>72.61</v>
      </c>
      <c r="AB154">
        <v>54.51</v>
      </c>
      <c r="AC154">
        <v>40.01</v>
      </c>
      <c r="AD154">
        <v>564.16999999999996</v>
      </c>
      <c r="AE154">
        <v>628.77</v>
      </c>
      <c r="AF154">
        <v>43.03</v>
      </c>
      <c r="AG154">
        <v>53.41</v>
      </c>
      <c r="AH154">
        <v>45.25</v>
      </c>
      <c r="AI154">
        <v>48.03</v>
      </c>
    </row>
    <row r="155" spans="1:35" x14ac:dyDescent="0.45">
      <c r="A155" s="2">
        <v>45856</v>
      </c>
      <c r="B155">
        <v>29.73</v>
      </c>
      <c r="C155">
        <v>30.16</v>
      </c>
      <c r="D155">
        <v>17.690000000000001</v>
      </c>
      <c r="E155">
        <v>26.11</v>
      </c>
      <c r="F155">
        <v>32.86</v>
      </c>
      <c r="G155">
        <v>48.32</v>
      </c>
      <c r="H155">
        <v>23.93</v>
      </c>
      <c r="I155">
        <v>59.24</v>
      </c>
      <c r="J155">
        <v>59.46</v>
      </c>
      <c r="K155">
        <v>72.39</v>
      </c>
      <c r="L155">
        <v>26.85</v>
      </c>
      <c r="M155">
        <v>54.81</v>
      </c>
      <c r="N155">
        <v>61.2</v>
      </c>
      <c r="O155">
        <v>54.5</v>
      </c>
      <c r="P155">
        <v>57.45</v>
      </c>
      <c r="Q155">
        <v>18.91</v>
      </c>
      <c r="R155">
        <v>1143.31</v>
      </c>
      <c r="S155">
        <v>32.994999999999997</v>
      </c>
      <c r="T155">
        <v>19.98</v>
      </c>
      <c r="U155">
        <v>15.574999999999999</v>
      </c>
      <c r="V155">
        <v>38.130000000000003</v>
      </c>
      <c r="W155">
        <v>45.695</v>
      </c>
      <c r="X155">
        <v>26.45</v>
      </c>
      <c r="Y155">
        <v>46.59</v>
      </c>
      <c r="Z155">
        <v>42.13</v>
      </c>
      <c r="AA155">
        <v>71.81</v>
      </c>
      <c r="AB155">
        <v>54.48</v>
      </c>
      <c r="AC155">
        <v>39.799999999999997</v>
      </c>
      <c r="AD155">
        <v>561.26</v>
      </c>
      <c r="AE155">
        <v>627.58000000000004</v>
      </c>
      <c r="AF155">
        <v>42.92</v>
      </c>
      <c r="AG155">
        <v>53.46</v>
      </c>
      <c r="AH155">
        <v>44.65</v>
      </c>
      <c r="AI155">
        <v>47.79</v>
      </c>
    </row>
    <row r="156" spans="1:35" x14ac:dyDescent="0.45">
      <c r="A156" s="2">
        <v>45855</v>
      </c>
      <c r="B156">
        <v>29.6</v>
      </c>
      <c r="C156">
        <v>30.23</v>
      </c>
      <c r="D156">
        <v>17.760000000000002</v>
      </c>
      <c r="E156">
        <v>26.08</v>
      </c>
      <c r="F156">
        <v>32.340000000000003</v>
      </c>
      <c r="G156">
        <v>48.2014</v>
      </c>
      <c r="H156">
        <v>23.93</v>
      </c>
      <c r="I156">
        <v>59.48</v>
      </c>
      <c r="J156">
        <v>59.79</v>
      </c>
      <c r="K156">
        <v>73.06</v>
      </c>
      <c r="L156">
        <v>27.69</v>
      </c>
      <c r="M156">
        <v>53.57</v>
      </c>
      <c r="N156">
        <v>61.52</v>
      </c>
      <c r="O156">
        <v>55.01</v>
      </c>
      <c r="P156">
        <v>56.92</v>
      </c>
      <c r="Q156">
        <v>18.96</v>
      </c>
      <c r="R156">
        <v>1121.1300000000001</v>
      </c>
      <c r="S156">
        <v>33.15</v>
      </c>
      <c r="T156">
        <v>20.05</v>
      </c>
      <c r="U156">
        <v>15.67</v>
      </c>
      <c r="V156">
        <v>38.17</v>
      </c>
      <c r="W156">
        <v>45.872</v>
      </c>
      <c r="X156">
        <v>26.28</v>
      </c>
      <c r="Y156">
        <v>46.71</v>
      </c>
      <c r="Z156">
        <v>42.35</v>
      </c>
      <c r="AA156">
        <v>72.39</v>
      </c>
      <c r="AB156">
        <v>54.36</v>
      </c>
      <c r="AC156">
        <v>39.83</v>
      </c>
      <c r="AD156">
        <v>561.79999999999995</v>
      </c>
      <c r="AE156">
        <v>628.04</v>
      </c>
      <c r="AF156">
        <v>42.98</v>
      </c>
      <c r="AG156">
        <v>53.51</v>
      </c>
      <c r="AH156">
        <v>44.98</v>
      </c>
      <c r="AI156">
        <v>47.75</v>
      </c>
    </row>
    <row r="157" spans="1:35" x14ac:dyDescent="0.45">
      <c r="A157" s="2">
        <v>45854</v>
      </c>
      <c r="B157">
        <v>29.26</v>
      </c>
      <c r="C157">
        <v>29.77</v>
      </c>
      <c r="D157">
        <v>17.7</v>
      </c>
      <c r="E157">
        <v>26.35</v>
      </c>
      <c r="F157">
        <v>31.97</v>
      </c>
      <c r="G157">
        <v>48.003799999999998</v>
      </c>
      <c r="H157">
        <v>23.71</v>
      </c>
      <c r="I157">
        <v>58.98</v>
      </c>
      <c r="J157">
        <v>59.77</v>
      </c>
      <c r="K157">
        <v>73.08</v>
      </c>
      <c r="L157">
        <v>27.57</v>
      </c>
      <c r="M157">
        <v>53.43</v>
      </c>
      <c r="N157">
        <v>60.8</v>
      </c>
      <c r="O157">
        <v>55.27</v>
      </c>
      <c r="P157">
        <v>56.51</v>
      </c>
      <c r="Q157">
        <v>18.779</v>
      </c>
      <c r="R157">
        <v>1110.4000000000001</v>
      </c>
      <c r="S157">
        <v>32.5</v>
      </c>
      <c r="T157">
        <v>19.86</v>
      </c>
      <c r="U157">
        <v>15.41</v>
      </c>
      <c r="V157">
        <v>38.1</v>
      </c>
      <c r="W157">
        <v>45.56</v>
      </c>
      <c r="X157">
        <v>26.19</v>
      </c>
      <c r="Y157">
        <v>46.47</v>
      </c>
      <c r="Z157">
        <v>42.18</v>
      </c>
      <c r="AA157">
        <v>72.02</v>
      </c>
      <c r="AB157">
        <v>54.55</v>
      </c>
      <c r="AC157">
        <v>39.85</v>
      </c>
      <c r="AD157">
        <v>557.29</v>
      </c>
      <c r="AE157">
        <v>624.22</v>
      </c>
      <c r="AF157">
        <v>42.74</v>
      </c>
      <c r="AG157">
        <v>53.47</v>
      </c>
      <c r="AH157">
        <v>44.63</v>
      </c>
      <c r="AI157">
        <v>47.76</v>
      </c>
    </row>
    <row r="158" spans="1:35" x14ac:dyDescent="0.45">
      <c r="A158" s="2">
        <v>45853</v>
      </c>
      <c r="B158">
        <v>29.29</v>
      </c>
      <c r="C158">
        <v>29.89</v>
      </c>
      <c r="D158">
        <v>17.72</v>
      </c>
      <c r="E158">
        <v>26.96</v>
      </c>
      <c r="F158">
        <v>31.66</v>
      </c>
      <c r="G158">
        <v>48.12</v>
      </c>
      <c r="H158">
        <v>23.8</v>
      </c>
      <c r="I158">
        <v>58.27</v>
      </c>
      <c r="J158">
        <v>59.38</v>
      </c>
      <c r="K158">
        <v>73.069999999999993</v>
      </c>
      <c r="L158">
        <v>27.47</v>
      </c>
      <c r="M158">
        <v>52.86</v>
      </c>
      <c r="N158">
        <v>60.25</v>
      </c>
      <c r="O158">
        <v>54.875</v>
      </c>
      <c r="P158">
        <v>56.68</v>
      </c>
      <c r="Q158">
        <v>18.690000000000001</v>
      </c>
      <c r="R158">
        <v>1115.6500000000001</v>
      </c>
      <c r="S158">
        <v>32.840000000000003</v>
      </c>
      <c r="T158">
        <v>19.41</v>
      </c>
      <c r="U158">
        <v>15.04</v>
      </c>
      <c r="V158">
        <v>38.090000000000003</v>
      </c>
      <c r="W158">
        <v>44.89</v>
      </c>
      <c r="X158">
        <v>26.07</v>
      </c>
      <c r="Y158">
        <v>46.04</v>
      </c>
      <c r="Z158">
        <v>41.82</v>
      </c>
      <c r="AA158">
        <v>71.69</v>
      </c>
      <c r="AB158">
        <v>54.18</v>
      </c>
      <c r="AC158">
        <v>39.590000000000003</v>
      </c>
      <c r="AD158">
        <v>556.72</v>
      </c>
      <c r="AE158">
        <v>622.14</v>
      </c>
      <c r="AF158">
        <v>42.56</v>
      </c>
      <c r="AG158">
        <v>54.45</v>
      </c>
      <c r="AH158">
        <v>44.69</v>
      </c>
      <c r="AI158">
        <v>47.32</v>
      </c>
    </row>
    <row r="159" spans="1:35" x14ac:dyDescent="0.45">
      <c r="A159" s="2">
        <v>45852</v>
      </c>
      <c r="B159">
        <v>29.395</v>
      </c>
      <c r="C159">
        <v>30.21</v>
      </c>
      <c r="D159">
        <v>17.63</v>
      </c>
      <c r="E159">
        <v>27.36</v>
      </c>
      <c r="F159">
        <v>32.14</v>
      </c>
      <c r="G159">
        <v>48.69</v>
      </c>
      <c r="H159">
        <v>24.09</v>
      </c>
      <c r="I159">
        <v>57.81</v>
      </c>
      <c r="J159">
        <v>59.61</v>
      </c>
      <c r="K159">
        <v>73.2</v>
      </c>
      <c r="L159">
        <v>27.31</v>
      </c>
      <c r="M159">
        <v>52.99</v>
      </c>
      <c r="N159">
        <v>60.82</v>
      </c>
      <c r="O159">
        <v>54.92</v>
      </c>
      <c r="P159">
        <v>55.55</v>
      </c>
      <c r="Q159">
        <v>18.71</v>
      </c>
      <c r="R159">
        <v>1123</v>
      </c>
      <c r="S159">
        <v>32.97</v>
      </c>
      <c r="T159">
        <v>19.37</v>
      </c>
      <c r="U159">
        <v>15.24</v>
      </c>
      <c r="V159">
        <v>38.65</v>
      </c>
      <c r="W159">
        <v>45.49</v>
      </c>
      <c r="X159">
        <v>26.39</v>
      </c>
      <c r="Y159">
        <v>46.44</v>
      </c>
      <c r="Z159">
        <v>42.35</v>
      </c>
      <c r="AA159">
        <v>72.41</v>
      </c>
      <c r="AB159">
        <v>54.71</v>
      </c>
      <c r="AC159">
        <v>40.03</v>
      </c>
      <c r="AD159">
        <v>556.21</v>
      </c>
      <c r="AE159">
        <v>624.80999999999995</v>
      </c>
      <c r="AF159">
        <v>43.12</v>
      </c>
      <c r="AG159">
        <v>54.4</v>
      </c>
      <c r="AH159">
        <v>45.3</v>
      </c>
      <c r="AI159">
        <v>48.16</v>
      </c>
    </row>
    <row r="160" spans="1:35" x14ac:dyDescent="0.45">
      <c r="A160" s="2">
        <v>45849</v>
      </c>
      <c r="B160">
        <v>29.2</v>
      </c>
      <c r="C160">
        <v>30.51</v>
      </c>
      <c r="D160">
        <v>17.87</v>
      </c>
      <c r="E160">
        <v>27.13</v>
      </c>
      <c r="F160">
        <v>31.95</v>
      </c>
      <c r="G160">
        <v>48.83</v>
      </c>
      <c r="H160">
        <v>24.08</v>
      </c>
      <c r="I160">
        <v>58.3</v>
      </c>
      <c r="J160">
        <v>60.13</v>
      </c>
      <c r="K160">
        <v>72.56</v>
      </c>
      <c r="L160">
        <v>27.53</v>
      </c>
      <c r="M160">
        <v>52.98</v>
      </c>
      <c r="N160">
        <v>60.99</v>
      </c>
      <c r="O160">
        <v>54.88</v>
      </c>
      <c r="P160">
        <v>54.95</v>
      </c>
      <c r="Q160">
        <v>18.73</v>
      </c>
      <c r="R160">
        <v>1119.94</v>
      </c>
      <c r="S160">
        <v>33.17</v>
      </c>
      <c r="T160">
        <v>19.21</v>
      </c>
      <c r="U160">
        <v>15.22</v>
      </c>
      <c r="V160">
        <v>38.89</v>
      </c>
      <c r="W160">
        <v>45.76</v>
      </c>
      <c r="X160">
        <v>26.36</v>
      </c>
      <c r="Y160">
        <v>46.13</v>
      </c>
      <c r="Z160">
        <v>42.45</v>
      </c>
      <c r="AA160">
        <v>72.36</v>
      </c>
      <c r="AB160">
        <v>54.7</v>
      </c>
      <c r="AC160">
        <v>39.92</v>
      </c>
      <c r="AD160">
        <v>554.20000000000005</v>
      </c>
      <c r="AE160">
        <v>623.62</v>
      </c>
      <c r="AF160">
        <v>43.28</v>
      </c>
      <c r="AG160">
        <v>54.41</v>
      </c>
      <c r="AH160">
        <v>45.57</v>
      </c>
      <c r="AI160">
        <v>47.99</v>
      </c>
    </row>
    <row r="161" spans="1:35" x14ac:dyDescent="0.45">
      <c r="A161" s="2">
        <v>45848</v>
      </c>
      <c r="B161">
        <v>29.32</v>
      </c>
      <c r="C161">
        <v>31.1</v>
      </c>
      <c r="D161">
        <v>17.760000000000002</v>
      </c>
      <c r="E161">
        <v>27.19</v>
      </c>
      <c r="F161">
        <v>32.049999999999997</v>
      </c>
      <c r="G161">
        <v>49.12</v>
      </c>
      <c r="H161">
        <v>24.11</v>
      </c>
      <c r="I161">
        <v>58.38</v>
      </c>
      <c r="J161">
        <v>60.29</v>
      </c>
      <c r="K161">
        <v>73.14</v>
      </c>
      <c r="L161">
        <v>27.72</v>
      </c>
      <c r="M161">
        <v>53.95</v>
      </c>
      <c r="N161">
        <v>61.32</v>
      </c>
      <c r="O161">
        <v>55.27</v>
      </c>
      <c r="P161">
        <v>55.01</v>
      </c>
      <c r="Q161">
        <v>18.75</v>
      </c>
      <c r="R161">
        <v>1127.21</v>
      </c>
      <c r="S161">
        <v>33.25</v>
      </c>
      <c r="T161">
        <v>19.079999999999998</v>
      </c>
      <c r="U161">
        <v>15.12</v>
      </c>
      <c r="V161">
        <v>39</v>
      </c>
      <c r="W161">
        <v>46.01</v>
      </c>
      <c r="X161">
        <v>26.58</v>
      </c>
      <c r="Y161">
        <v>46.41</v>
      </c>
      <c r="Z161">
        <v>42.86</v>
      </c>
      <c r="AA161">
        <v>72.94</v>
      </c>
      <c r="AB161">
        <v>55.45</v>
      </c>
      <c r="AC161">
        <v>40.270000000000003</v>
      </c>
      <c r="AD161">
        <v>555.45000000000005</v>
      </c>
      <c r="AE161">
        <v>625.82000000000005</v>
      </c>
      <c r="AF161">
        <v>43.75</v>
      </c>
      <c r="AG161">
        <v>54.63</v>
      </c>
      <c r="AH161">
        <v>46.39</v>
      </c>
      <c r="AI161">
        <v>48.53</v>
      </c>
    </row>
    <row r="162" spans="1:35" x14ac:dyDescent="0.45">
      <c r="A162" s="2">
        <v>45847</v>
      </c>
      <c r="B162">
        <v>29.07</v>
      </c>
      <c r="C162">
        <v>31.04</v>
      </c>
      <c r="D162">
        <v>17.47</v>
      </c>
      <c r="E162">
        <v>27.15</v>
      </c>
      <c r="F162">
        <v>32.72</v>
      </c>
      <c r="G162">
        <v>48.81</v>
      </c>
      <c r="H162">
        <v>23.98</v>
      </c>
      <c r="I162">
        <v>58.03</v>
      </c>
      <c r="J162">
        <v>60.28</v>
      </c>
      <c r="K162">
        <v>72.08</v>
      </c>
      <c r="L162">
        <v>28.16</v>
      </c>
      <c r="M162">
        <v>54</v>
      </c>
      <c r="N162">
        <v>61.08</v>
      </c>
      <c r="O162">
        <v>55.66</v>
      </c>
      <c r="P162">
        <v>54.58</v>
      </c>
      <c r="Q162">
        <v>18.75</v>
      </c>
      <c r="R162">
        <v>1115.69</v>
      </c>
      <c r="S162">
        <v>32.79</v>
      </c>
      <c r="T162">
        <v>19.13</v>
      </c>
      <c r="U162">
        <v>14.89</v>
      </c>
      <c r="V162">
        <v>38.89</v>
      </c>
      <c r="W162">
        <v>46.07</v>
      </c>
      <c r="X162">
        <v>26.24</v>
      </c>
      <c r="Y162">
        <v>46.13</v>
      </c>
      <c r="Z162">
        <v>43.26</v>
      </c>
      <c r="AA162">
        <v>73.3</v>
      </c>
      <c r="AB162">
        <v>55.28</v>
      </c>
      <c r="AC162">
        <v>40.01</v>
      </c>
      <c r="AD162">
        <v>556.25</v>
      </c>
      <c r="AE162">
        <v>624.05999999999995</v>
      </c>
      <c r="AF162">
        <v>43.84</v>
      </c>
      <c r="AG162">
        <v>54.58</v>
      </c>
      <c r="AH162">
        <v>46.05</v>
      </c>
      <c r="AI162">
        <v>49.17</v>
      </c>
    </row>
    <row r="163" spans="1:35" x14ac:dyDescent="0.45">
      <c r="A163" s="2">
        <v>45846</v>
      </c>
      <c r="B163">
        <v>29.12</v>
      </c>
      <c r="C163">
        <v>31.41</v>
      </c>
      <c r="D163">
        <v>17.309999999999999</v>
      </c>
      <c r="E163">
        <v>26.78</v>
      </c>
      <c r="F163">
        <v>32.619999999999997</v>
      </c>
      <c r="G163">
        <v>49.3</v>
      </c>
      <c r="H163">
        <v>23.95</v>
      </c>
      <c r="I163">
        <v>57.66</v>
      </c>
      <c r="J163">
        <v>60.89</v>
      </c>
      <c r="K163">
        <v>72.08</v>
      </c>
      <c r="L163">
        <v>28.71</v>
      </c>
      <c r="M163">
        <v>53.81</v>
      </c>
      <c r="N163">
        <v>60.9</v>
      </c>
      <c r="O163">
        <v>55.69</v>
      </c>
      <c r="P163">
        <v>55.13</v>
      </c>
      <c r="Q163">
        <v>18.73</v>
      </c>
      <c r="R163">
        <v>1110.01</v>
      </c>
      <c r="S163">
        <v>32.119999999999997</v>
      </c>
      <c r="T163">
        <v>18.84</v>
      </c>
      <c r="U163">
        <v>14.51</v>
      </c>
      <c r="V163">
        <v>38.9</v>
      </c>
      <c r="W163">
        <v>45.98</v>
      </c>
      <c r="X163">
        <v>26.14</v>
      </c>
      <c r="Y163">
        <v>46</v>
      </c>
      <c r="Z163">
        <v>42.59</v>
      </c>
      <c r="AA163">
        <v>73.19</v>
      </c>
      <c r="AB163">
        <v>54.82</v>
      </c>
      <c r="AC163">
        <v>39.79</v>
      </c>
      <c r="AD163">
        <v>552.34</v>
      </c>
      <c r="AE163">
        <v>620.34</v>
      </c>
      <c r="AF163">
        <v>43.27</v>
      </c>
      <c r="AG163">
        <v>54.33</v>
      </c>
      <c r="AH163">
        <v>45.55</v>
      </c>
      <c r="AI163">
        <v>48.34</v>
      </c>
    </row>
    <row r="164" spans="1:35" x14ac:dyDescent="0.45">
      <c r="A164" s="2">
        <v>45845</v>
      </c>
      <c r="B164">
        <v>28.86</v>
      </c>
      <c r="C164">
        <v>31.02</v>
      </c>
      <c r="D164">
        <v>17.34</v>
      </c>
      <c r="E164">
        <v>26.72</v>
      </c>
      <c r="F164">
        <v>32.25</v>
      </c>
      <c r="G164">
        <v>49.62</v>
      </c>
      <c r="H164">
        <v>23.93</v>
      </c>
      <c r="I164">
        <v>57.63</v>
      </c>
      <c r="J164">
        <v>61.11</v>
      </c>
      <c r="K164">
        <v>70.069999999999993</v>
      </c>
      <c r="L164">
        <v>28.6</v>
      </c>
      <c r="M164">
        <v>53.84</v>
      </c>
      <c r="N164">
        <v>59.12</v>
      </c>
      <c r="O164">
        <v>55.36</v>
      </c>
      <c r="P164">
        <v>54.62</v>
      </c>
      <c r="Q164">
        <v>18.68</v>
      </c>
      <c r="R164">
        <v>1089.56</v>
      </c>
      <c r="S164">
        <v>32.44</v>
      </c>
      <c r="T164">
        <v>18.86</v>
      </c>
      <c r="U164">
        <v>14.18</v>
      </c>
      <c r="V164">
        <v>39.08</v>
      </c>
      <c r="W164">
        <v>45.5</v>
      </c>
      <c r="X164">
        <v>25.98</v>
      </c>
      <c r="Y164">
        <v>46.18</v>
      </c>
      <c r="Z164">
        <v>42.23</v>
      </c>
      <c r="AA164">
        <v>72.819999999999993</v>
      </c>
      <c r="AB164">
        <v>54.53</v>
      </c>
      <c r="AC164">
        <v>39.42</v>
      </c>
      <c r="AD164">
        <v>552.03</v>
      </c>
      <c r="AE164">
        <v>620.67999999999995</v>
      </c>
      <c r="AF164">
        <v>42.68</v>
      </c>
      <c r="AG164">
        <v>53.98</v>
      </c>
      <c r="AH164">
        <v>45.52</v>
      </c>
      <c r="AI164">
        <v>47.87</v>
      </c>
    </row>
    <row r="165" spans="1:35" x14ac:dyDescent="0.45">
      <c r="A165" s="2">
        <v>45841</v>
      </c>
      <c r="B165">
        <v>28.91</v>
      </c>
      <c r="C165">
        <v>31.82</v>
      </c>
      <c r="D165">
        <v>17.47</v>
      </c>
      <c r="E165">
        <v>27.08</v>
      </c>
      <c r="F165">
        <v>32.82</v>
      </c>
      <c r="G165">
        <v>50.06</v>
      </c>
      <c r="H165">
        <v>24.41</v>
      </c>
      <c r="I165">
        <v>59.44</v>
      </c>
      <c r="J165">
        <v>61.7</v>
      </c>
      <c r="K165">
        <v>72.7</v>
      </c>
      <c r="L165">
        <v>29.31</v>
      </c>
      <c r="M165">
        <v>54.79</v>
      </c>
      <c r="N165">
        <v>59.72</v>
      </c>
      <c r="O165">
        <v>55.79</v>
      </c>
      <c r="P165">
        <v>54.72</v>
      </c>
      <c r="Q165">
        <v>18.63</v>
      </c>
      <c r="R165">
        <v>1082.42</v>
      </c>
      <c r="S165">
        <v>33.04</v>
      </c>
      <c r="T165">
        <v>18.84</v>
      </c>
      <c r="U165">
        <v>13.96</v>
      </c>
      <c r="V165">
        <v>38.89</v>
      </c>
      <c r="W165">
        <v>45.96</v>
      </c>
      <c r="X165">
        <v>26.48</v>
      </c>
      <c r="Y165">
        <v>46.67</v>
      </c>
      <c r="Z165">
        <v>42.21</v>
      </c>
      <c r="AA165">
        <v>74.599999999999994</v>
      </c>
      <c r="AB165">
        <v>54.9</v>
      </c>
      <c r="AC165">
        <v>39.82</v>
      </c>
      <c r="AD165">
        <v>556.22</v>
      </c>
      <c r="AE165">
        <v>625.34</v>
      </c>
      <c r="AF165">
        <v>43.08</v>
      </c>
      <c r="AG165">
        <v>54.29</v>
      </c>
      <c r="AH165">
        <v>45.62</v>
      </c>
      <c r="AI165">
        <v>48.21</v>
      </c>
    </row>
    <row r="166" spans="1:35" x14ac:dyDescent="0.45">
      <c r="A166" s="2">
        <v>45840</v>
      </c>
      <c r="B166">
        <v>28.7</v>
      </c>
      <c r="C166">
        <v>31.85</v>
      </c>
      <c r="D166">
        <v>17.48</v>
      </c>
      <c r="E166">
        <v>27</v>
      </c>
      <c r="F166">
        <v>32.19</v>
      </c>
      <c r="G166">
        <v>49.75</v>
      </c>
      <c r="H166">
        <v>24.41</v>
      </c>
      <c r="I166">
        <v>58.75</v>
      </c>
      <c r="J166">
        <v>61.59</v>
      </c>
      <c r="K166">
        <v>71.95</v>
      </c>
      <c r="L166">
        <v>28.91</v>
      </c>
      <c r="M166">
        <v>54.31</v>
      </c>
      <c r="N166">
        <v>59.34</v>
      </c>
      <c r="O166">
        <v>55.6</v>
      </c>
      <c r="P166">
        <v>55</v>
      </c>
      <c r="Q166">
        <v>18.559999999999999</v>
      </c>
      <c r="R166">
        <v>1106.73</v>
      </c>
      <c r="S166">
        <v>33.07</v>
      </c>
      <c r="T166">
        <v>18.600000000000001</v>
      </c>
      <c r="U166">
        <v>13.76</v>
      </c>
      <c r="V166">
        <v>38.44</v>
      </c>
      <c r="W166">
        <v>46.265000000000001</v>
      </c>
      <c r="X166">
        <v>26.54</v>
      </c>
      <c r="Y166">
        <v>46.33</v>
      </c>
      <c r="Z166">
        <v>42.17</v>
      </c>
      <c r="AA166">
        <v>74.459999999999994</v>
      </c>
      <c r="AB166">
        <v>55.27</v>
      </c>
      <c r="AC166">
        <v>39.61</v>
      </c>
      <c r="AD166">
        <v>550.79999999999995</v>
      </c>
      <c r="AE166">
        <v>620.45000000000005</v>
      </c>
      <c r="AF166">
        <v>43.27</v>
      </c>
      <c r="AG166">
        <v>54.3</v>
      </c>
      <c r="AH166">
        <v>45.51</v>
      </c>
      <c r="AI166">
        <v>48.29</v>
      </c>
    </row>
    <row r="167" spans="1:35" x14ac:dyDescent="0.45">
      <c r="A167" s="2">
        <v>45839</v>
      </c>
      <c r="B167">
        <v>28.71</v>
      </c>
      <c r="C167">
        <v>31.51</v>
      </c>
      <c r="D167">
        <v>17.489999999999998</v>
      </c>
      <c r="E167">
        <v>27.14</v>
      </c>
      <c r="F167">
        <v>32.06</v>
      </c>
      <c r="G167">
        <v>48.857199999999999</v>
      </c>
      <c r="H167">
        <v>24.38</v>
      </c>
      <c r="I167">
        <v>57.58</v>
      </c>
      <c r="J167">
        <v>61.12</v>
      </c>
      <c r="K167">
        <v>71.64</v>
      </c>
      <c r="L167">
        <v>28.79</v>
      </c>
      <c r="M167">
        <v>54.21</v>
      </c>
      <c r="N167">
        <v>58.63</v>
      </c>
      <c r="O167">
        <v>55.84</v>
      </c>
      <c r="P167">
        <v>55.27</v>
      </c>
      <c r="Q167">
        <v>18.579999999999998</v>
      </c>
      <c r="R167">
        <v>1107.69</v>
      </c>
      <c r="S167">
        <v>32.479999999999997</v>
      </c>
      <c r="T167">
        <v>18.66</v>
      </c>
      <c r="U167">
        <v>13.72</v>
      </c>
      <c r="V167">
        <v>38.25</v>
      </c>
      <c r="W167">
        <v>45.96</v>
      </c>
      <c r="X167">
        <v>26.35</v>
      </c>
      <c r="Y167">
        <v>46.19</v>
      </c>
      <c r="Z167">
        <v>42.01</v>
      </c>
      <c r="AA167">
        <v>74.42</v>
      </c>
      <c r="AB167">
        <v>54.98</v>
      </c>
      <c r="AC167">
        <v>39.85</v>
      </c>
      <c r="AD167">
        <v>546.99</v>
      </c>
      <c r="AE167">
        <v>617.65</v>
      </c>
      <c r="AF167">
        <v>42.87</v>
      </c>
      <c r="AG167">
        <v>54.07</v>
      </c>
      <c r="AH167">
        <v>45.19</v>
      </c>
      <c r="AI167">
        <v>48.05</v>
      </c>
    </row>
    <row r="168" spans="1:35" x14ac:dyDescent="0.45">
      <c r="A168" s="2">
        <v>45838</v>
      </c>
      <c r="B168">
        <v>28.71</v>
      </c>
      <c r="C168">
        <v>31.45</v>
      </c>
      <c r="D168">
        <v>17.63</v>
      </c>
      <c r="E168">
        <v>27.12</v>
      </c>
      <c r="F168">
        <v>32.26</v>
      </c>
      <c r="G168">
        <v>48.59</v>
      </c>
      <c r="H168">
        <v>24.34</v>
      </c>
      <c r="I168">
        <v>57.4</v>
      </c>
      <c r="J168">
        <v>60.56</v>
      </c>
      <c r="K168">
        <v>71.78</v>
      </c>
      <c r="L168">
        <v>28.85</v>
      </c>
      <c r="M168">
        <v>53.75</v>
      </c>
      <c r="N168">
        <v>58.04</v>
      </c>
      <c r="O168">
        <v>55.68</v>
      </c>
      <c r="P168">
        <v>55.1</v>
      </c>
      <c r="Q168">
        <v>18.62</v>
      </c>
      <c r="R168">
        <v>1100.01</v>
      </c>
      <c r="S168">
        <v>32.26</v>
      </c>
      <c r="T168">
        <v>18.72</v>
      </c>
      <c r="U168">
        <v>13.75</v>
      </c>
      <c r="V168">
        <v>38.54</v>
      </c>
      <c r="W168">
        <v>45.61</v>
      </c>
      <c r="X168">
        <v>26.32</v>
      </c>
      <c r="Y168">
        <v>46.2</v>
      </c>
      <c r="Z168">
        <v>42.31</v>
      </c>
      <c r="AA168">
        <v>74.97</v>
      </c>
      <c r="AB168">
        <v>54.81</v>
      </c>
      <c r="AC168">
        <v>39.72</v>
      </c>
      <c r="AD168">
        <v>551.64</v>
      </c>
      <c r="AE168">
        <v>617.85</v>
      </c>
      <c r="AF168">
        <v>42.8</v>
      </c>
      <c r="AG168">
        <v>54.5</v>
      </c>
      <c r="AH168">
        <v>45.74</v>
      </c>
      <c r="AI168">
        <v>48.14</v>
      </c>
    </row>
    <row r="169" spans="1:35" x14ac:dyDescent="0.45">
      <c r="A169" s="2">
        <v>45835</v>
      </c>
      <c r="B169">
        <v>28.46</v>
      </c>
      <c r="C169">
        <v>31.05</v>
      </c>
      <c r="D169">
        <v>17.489999999999998</v>
      </c>
      <c r="E169">
        <v>27.23</v>
      </c>
      <c r="F169">
        <v>31.69</v>
      </c>
      <c r="G169">
        <v>48.49</v>
      </c>
      <c r="H169">
        <v>24.07</v>
      </c>
      <c r="I169">
        <v>57.85</v>
      </c>
      <c r="J169">
        <v>60.32</v>
      </c>
      <c r="K169">
        <v>70.739999999999995</v>
      </c>
      <c r="L169">
        <v>28.14</v>
      </c>
      <c r="M169">
        <v>52.64</v>
      </c>
      <c r="N169">
        <v>58.17</v>
      </c>
      <c r="O169">
        <v>55.86</v>
      </c>
      <c r="P169">
        <v>55.18</v>
      </c>
      <c r="Q169">
        <v>18.57</v>
      </c>
      <c r="R169">
        <v>1062.78</v>
      </c>
      <c r="S169">
        <v>30.49</v>
      </c>
      <c r="T169">
        <v>18.57</v>
      </c>
      <c r="U169">
        <v>13.73</v>
      </c>
      <c r="V169">
        <v>38.26</v>
      </c>
      <c r="W169">
        <v>45.37</v>
      </c>
      <c r="X169">
        <v>26.09</v>
      </c>
      <c r="Y169">
        <v>45.58</v>
      </c>
      <c r="Z169">
        <v>42.3</v>
      </c>
      <c r="AA169">
        <v>75.28</v>
      </c>
      <c r="AB169">
        <v>54.63</v>
      </c>
      <c r="AC169">
        <v>39.72</v>
      </c>
      <c r="AD169">
        <v>548.09</v>
      </c>
      <c r="AE169">
        <v>614.91</v>
      </c>
      <c r="AF169">
        <v>42.61</v>
      </c>
      <c r="AG169">
        <v>54.36</v>
      </c>
      <c r="AH169">
        <v>46.02</v>
      </c>
      <c r="AI169">
        <v>47.86</v>
      </c>
    </row>
    <row r="170" spans="1:35" x14ac:dyDescent="0.45">
      <c r="A170" s="2">
        <v>45834</v>
      </c>
      <c r="B170">
        <v>28.79</v>
      </c>
      <c r="C170">
        <v>31.26</v>
      </c>
      <c r="D170">
        <v>17.510000000000002</v>
      </c>
      <c r="E170">
        <v>26.85</v>
      </c>
      <c r="F170">
        <v>31.65</v>
      </c>
      <c r="G170">
        <v>49.107799999999997</v>
      </c>
      <c r="H170">
        <v>24.07</v>
      </c>
      <c r="I170">
        <v>57.85</v>
      </c>
      <c r="J170">
        <v>60.31</v>
      </c>
      <c r="K170">
        <v>71.94</v>
      </c>
      <c r="L170">
        <v>28.13</v>
      </c>
      <c r="M170">
        <v>52.98</v>
      </c>
      <c r="N170">
        <v>59.31</v>
      </c>
      <c r="O170">
        <v>55.71</v>
      </c>
      <c r="P170">
        <v>55.54</v>
      </c>
      <c r="Q170">
        <v>18.53</v>
      </c>
      <c r="R170">
        <v>1067.6300000000001</v>
      </c>
      <c r="S170">
        <v>30.19</v>
      </c>
      <c r="T170">
        <v>18.5</v>
      </c>
      <c r="U170">
        <v>13.61</v>
      </c>
      <c r="V170">
        <v>38.159999999999997</v>
      </c>
      <c r="W170">
        <v>45.32</v>
      </c>
      <c r="X170">
        <v>26.43</v>
      </c>
      <c r="Y170">
        <v>45.92</v>
      </c>
      <c r="Z170">
        <v>41.64</v>
      </c>
      <c r="AA170">
        <v>73.97</v>
      </c>
      <c r="AB170">
        <v>54.26</v>
      </c>
      <c r="AC170">
        <v>39.69</v>
      </c>
      <c r="AD170">
        <v>546.22</v>
      </c>
      <c r="AE170">
        <v>611.87</v>
      </c>
      <c r="AF170">
        <v>42.14</v>
      </c>
      <c r="AG170">
        <v>53.97</v>
      </c>
      <c r="AH170">
        <v>45.33</v>
      </c>
      <c r="AI170">
        <v>47.5</v>
      </c>
    </row>
    <row r="171" spans="1:35" x14ac:dyDescent="0.45">
      <c r="A171" s="2">
        <v>45833</v>
      </c>
      <c r="B171">
        <v>28.805</v>
      </c>
      <c r="C171">
        <v>30.86</v>
      </c>
      <c r="D171">
        <v>17.18</v>
      </c>
      <c r="E171">
        <v>26.81</v>
      </c>
      <c r="F171">
        <v>30.57</v>
      </c>
      <c r="G171">
        <v>47.315899999999999</v>
      </c>
      <c r="H171">
        <v>23.82</v>
      </c>
      <c r="I171">
        <v>57.31</v>
      </c>
      <c r="J171">
        <v>59.68</v>
      </c>
      <c r="K171">
        <v>72.37</v>
      </c>
      <c r="L171">
        <v>27.57</v>
      </c>
      <c r="M171">
        <v>52.89</v>
      </c>
      <c r="N171">
        <v>58.42</v>
      </c>
      <c r="O171">
        <v>55</v>
      </c>
      <c r="P171">
        <v>55.53</v>
      </c>
      <c r="Q171">
        <v>18.36</v>
      </c>
      <c r="R171">
        <v>1068.73</v>
      </c>
      <c r="S171">
        <v>30.68</v>
      </c>
      <c r="T171">
        <v>18.22</v>
      </c>
      <c r="U171">
        <v>13.54</v>
      </c>
      <c r="V171">
        <v>37.82</v>
      </c>
      <c r="W171">
        <v>44.6</v>
      </c>
      <c r="X171">
        <v>26.03</v>
      </c>
      <c r="Y171">
        <v>45.32</v>
      </c>
      <c r="Z171">
        <v>41.15</v>
      </c>
      <c r="AA171">
        <v>72.44</v>
      </c>
      <c r="AB171">
        <v>53.75</v>
      </c>
      <c r="AC171">
        <v>39.28</v>
      </c>
      <c r="AD171">
        <v>541.16</v>
      </c>
      <c r="AE171">
        <v>607.12</v>
      </c>
      <c r="AF171">
        <v>41.89</v>
      </c>
      <c r="AG171">
        <v>53.8</v>
      </c>
      <c r="AH171">
        <v>44.67</v>
      </c>
      <c r="AI171">
        <v>47.17</v>
      </c>
    </row>
    <row r="172" spans="1:35" x14ac:dyDescent="0.45">
      <c r="A172" s="2">
        <v>45832</v>
      </c>
      <c r="B172">
        <v>28.55</v>
      </c>
      <c r="C172">
        <v>30.96</v>
      </c>
      <c r="D172">
        <v>17.38</v>
      </c>
      <c r="E172">
        <v>26.61</v>
      </c>
      <c r="F172">
        <v>30.56</v>
      </c>
      <c r="G172">
        <v>47.313000000000002</v>
      </c>
      <c r="H172">
        <v>23.77</v>
      </c>
      <c r="I172">
        <v>56.82</v>
      </c>
      <c r="J172">
        <v>59.21</v>
      </c>
      <c r="K172">
        <v>72.650000000000006</v>
      </c>
      <c r="L172">
        <v>27.98</v>
      </c>
      <c r="M172">
        <v>53.46</v>
      </c>
      <c r="N172">
        <v>57.86</v>
      </c>
      <c r="O172">
        <v>54.8</v>
      </c>
      <c r="P172">
        <v>55.57</v>
      </c>
      <c r="Q172">
        <v>18.25</v>
      </c>
      <c r="R172">
        <v>1094.58</v>
      </c>
      <c r="S172">
        <v>30.86</v>
      </c>
      <c r="T172">
        <v>18.3</v>
      </c>
      <c r="U172">
        <v>13.62</v>
      </c>
      <c r="V172">
        <v>37.72</v>
      </c>
      <c r="W172">
        <v>44.79</v>
      </c>
      <c r="X172">
        <v>26.05</v>
      </c>
      <c r="Y172">
        <v>45.62</v>
      </c>
      <c r="Z172">
        <v>41.39</v>
      </c>
      <c r="AA172">
        <v>72.739999999999995</v>
      </c>
      <c r="AB172">
        <v>54.32</v>
      </c>
      <c r="AC172">
        <v>39.409999999999997</v>
      </c>
      <c r="AD172">
        <v>539.78</v>
      </c>
      <c r="AE172">
        <v>606.78</v>
      </c>
      <c r="AF172">
        <v>42.04</v>
      </c>
      <c r="AG172">
        <v>54.16</v>
      </c>
      <c r="AH172">
        <v>44.95</v>
      </c>
      <c r="AI172">
        <v>47.2</v>
      </c>
    </row>
    <row r="173" spans="1:35" x14ac:dyDescent="0.45">
      <c r="A173" s="2">
        <v>45831</v>
      </c>
      <c r="B173">
        <v>28.03</v>
      </c>
      <c r="C173">
        <v>30.03</v>
      </c>
      <c r="D173">
        <v>16.89</v>
      </c>
      <c r="E173">
        <v>25.96</v>
      </c>
      <c r="F173">
        <v>29.51</v>
      </c>
      <c r="G173">
        <v>46.97</v>
      </c>
      <c r="H173">
        <v>23.53</v>
      </c>
      <c r="I173">
        <v>55.18</v>
      </c>
      <c r="J173">
        <v>57.94</v>
      </c>
      <c r="K173">
        <v>69.42</v>
      </c>
      <c r="L173">
        <v>27.66</v>
      </c>
      <c r="M173">
        <v>52.35</v>
      </c>
      <c r="N173">
        <v>56.55</v>
      </c>
      <c r="O173">
        <v>54.31</v>
      </c>
      <c r="P173">
        <v>54.13</v>
      </c>
      <c r="Q173">
        <v>17.96</v>
      </c>
      <c r="R173">
        <v>1113.58</v>
      </c>
      <c r="S173">
        <v>30.08</v>
      </c>
      <c r="T173">
        <v>17.66</v>
      </c>
      <c r="U173">
        <v>13.4</v>
      </c>
      <c r="V173">
        <v>37.1</v>
      </c>
      <c r="W173">
        <v>44.86</v>
      </c>
      <c r="X173">
        <v>25.79</v>
      </c>
      <c r="Y173">
        <v>45.33</v>
      </c>
      <c r="Z173">
        <v>40.75</v>
      </c>
      <c r="AA173">
        <v>72.02</v>
      </c>
      <c r="AB173">
        <v>53.46</v>
      </c>
      <c r="AC173">
        <v>39.17</v>
      </c>
      <c r="AD173">
        <v>531.65</v>
      </c>
      <c r="AE173">
        <v>600.15</v>
      </c>
      <c r="AF173">
        <v>41.57</v>
      </c>
      <c r="AG173">
        <v>53.03</v>
      </c>
      <c r="AH173">
        <v>43.96</v>
      </c>
      <c r="AI173">
        <v>46.45</v>
      </c>
    </row>
    <row r="174" spans="1:35" x14ac:dyDescent="0.45">
      <c r="A174" s="2">
        <v>45828</v>
      </c>
      <c r="B174">
        <v>27.925000000000001</v>
      </c>
      <c r="C174">
        <v>30.1</v>
      </c>
      <c r="D174">
        <v>17.18</v>
      </c>
      <c r="E174">
        <v>26.5</v>
      </c>
      <c r="F174">
        <v>29.72</v>
      </c>
      <c r="G174">
        <v>47.08</v>
      </c>
      <c r="H174">
        <v>23.41</v>
      </c>
      <c r="I174">
        <v>54.84</v>
      </c>
      <c r="J174">
        <v>58.11</v>
      </c>
      <c r="K174">
        <v>68.53</v>
      </c>
      <c r="L174">
        <v>27.67</v>
      </c>
      <c r="M174">
        <v>51.73</v>
      </c>
      <c r="N174">
        <v>54.71</v>
      </c>
      <c r="O174">
        <v>53.9</v>
      </c>
      <c r="P174">
        <v>53.5</v>
      </c>
      <c r="Q174">
        <v>17.72</v>
      </c>
      <c r="R174">
        <v>1114.49</v>
      </c>
      <c r="S174">
        <v>29.96</v>
      </c>
      <c r="T174">
        <v>17.260000000000002</v>
      </c>
      <c r="U174">
        <v>13.345000000000001</v>
      </c>
      <c r="V174">
        <v>36.56</v>
      </c>
      <c r="W174">
        <v>44.6</v>
      </c>
      <c r="X174">
        <v>25.55</v>
      </c>
      <c r="Y174">
        <v>45.1</v>
      </c>
      <c r="Z174">
        <v>40.340000000000003</v>
      </c>
      <c r="AA174">
        <v>71.760000000000005</v>
      </c>
      <c r="AB174">
        <v>52.68</v>
      </c>
      <c r="AC174">
        <v>38.9</v>
      </c>
      <c r="AD174">
        <v>526.83000000000004</v>
      </c>
      <c r="AE174">
        <v>594.28</v>
      </c>
      <c r="AF174">
        <v>41.29</v>
      </c>
      <c r="AG174">
        <v>51.892699999999998</v>
      </c>
      <c r="AH174">
        <v>43.81</v>
      </c>
      <c r="AI174">
        <v>46.36</v>
      </c>
    </row>
    <row r="175" spans="1:35" x14ac:dyDescent="0.45">
      <c r="A175" s="2">
        <v>45826</v>
      </c>
      <c r="B175">
        <v>27.96</v>
      </c>
      <c r="C175">
        <v>30.34</v>
      </c>
      <c r="D175">
        <v>17.87</v>
      </c>
      <c r="E175">
        <v>26.7</v>
      </c>
      <c r="F175">
        <v>29.36</v>
      </c>
      <c r="G175">
        <v>47.413699999999999</v>
      </c>
      <c r="H175">
        <v>23.59</v>
      </c>
      <c r="I175">
        <v>56.03</v>
      </c>
      <c r="J175">
        <v>58.97</v>
      </c>
      <c r="K175">
        <v>67.87</v>
      </c>
      <c r="L175">
        <v>28.08</v>
      </c>
      <c r="M175">
        <v>51.8</v>
      </c>
      <c r="N175">
        <v>54.58</v>
      </c>
      <c r="O175">
        <v>53.79</v>
      </c>
      <c r="P175">
        <v>53.93</v>
      </c>
      <c r="Q175">
        <v>17.82</v>
      </c>
      <c r="R175">
        <v>1122.7</v>
      </c>
      <c r="S175">
        <v>30.11</v>
      </c>
      <c r="T175">
        <v>16.989999999999998</v>
      </c>
      <c r="U175">
        <v>13.36</v>
      </c>
      <c r="V175">
        <v>36.36</v>
      </c>
      <c r="W175">
        <v>45.08</v>
      </c>
      <c r="X175">
        <v>25.86</v>
      </c>
      <c r="Y175">
        <v>45.32</v>
      </c>
      <c r="Z175">
        <v>40.28</v>
      </c>
      <c r="AA175">
        <v>73.05</v>
      </c>
      <c r="AB175">
        <v>53.25</v>
      </c>
      <c r="AC175">
        <v>39.22</v>
      </c>
      <c r="AD175">
        <v>528.99</v>
      </c>
      <c r="AE175">
        <v>597.44000000000005</v>
      </c>
      <c r="AF175">
        <v>41.67</v>
      </c>
      <c r="AG175">
        <v>52.247599999999998</v>
      </c>
      <c r="AH175">
        <v>43.98</v>
      </c>
      <c r="AI175">
        <v>46.46</v>
      </c>
    </row>
    <row r="176" spans="1:35" x14ac:dyDescent="0.45">
      <c r="A176" s="2">
        <v>45825</v>
      </c>
      <c r="B176">
        <v>28</v>
      </c>
      <c r="C176">
        <v>30.45</v>
      </c>
      <c r="D176">
        <v>18.02</v>
      </c>
      <c r="E176">
        <v>26.98</v>
      </c>
      <c r="F176">
        <v>29.39</v>
      </c>
      <c r="G176">
        <v>47.62</v>
      </c>
      <c r="H176">
        <v>23.53</v>
      </c>
      <c r="I176">
        <v>55.65</v>
      </c>
      <c r="J176">
        <v>58.91</v>
      </c>
      <c r="K176">
        <v>66.63</v>
      </c>
      <c r="L176">
        <v>28.11</v>
      </c>
      <c r="M176">
        <v>51.56</v>
      </c>
      <c r="N176">
        <v>54.88</v>
      </c>
      <c r="O176">
        <v>53.83</v>
      </c>
      <c r="P176">
        <v>54.44</v>
      </c>
      <c r="Q176">
        <v>17.895</v>
      </c>
      <c r="R176">
        <v>1128.6199999999999</v>
      </c>
      <c r="S176">
        <v>30.21</v>
      </c>
      <c r="T176">
        <v>17.239999999999998</v>
      </c>
      <c r="U176">
        <v>13.31</v>
      </c>
      <c r="V176">
        <v>36.83</v>
      </c>
      <c r="W176">
        <v>45.09</v>
      </c>
      <c r="X176">
        <v>25.77</v>
      </c>
      <c r="Y176">
        <v>45.45</v>
      </c>
      <c r="Z176">
        <v>40.4</v>
      </c>
      <c r="AA176">
        <v>72.28</v>
      </c>
      <c r="AB176">
        <v>53.42</v>
      </c>
      <c r="AC176">
        <v>39.200000000000003</v>
      </c>
      <c r="AD176">
        <v>529.08000000000004</v>
      </c>
      <c r="AE176">
        <v>597.53</v>
      </c>
      <c r="AF176">
        <v>41.74</v>
      </c>
      <c r="AG176">
        <v>52.33</v>
      </c>
      <c r="AH176">
        <v>44.43</v>
      </c>
      <c r="AI176">
        <v>46.26</v>
      </c>
    </row>
    <row r="177" spans="1:35" x14ac:dyDescent="0.45">
      <c r="A177" s="2">
        <v>45824</v>
      </c>
      <c r="B177">
        <v>28.12</v>
      </c>
      <c r="C177">
        <v>31.11</v>
      </c>
      <c r="D177">
        <v>18.010000000000002</v>
      </c>
      <c r="E177">
        <v>27.35</v>
      </c>
      <c r="F177">
        <v>29.38</v>
      </c>
      <c r="G177">
        <v>47.7117</v>
      </c>
      <c r="H177">
        <v>23.93</v>
      </c>
      <c r="I177">
        <v>56.46</v>
      </c>
      <c r="J177">
        <v>59.82</v>
      </c>
      <c r="K177">
        <v>68.19</v>
      </c>
      <c r="L177">
        <v>28.31</v>
      </c>
      <c r="M177">
        <v>53.04</v>
      </c>
      <c r="N177">
        <v>55.79</v>
      </c>
      <c r="O177">
        <v>54.56</v>
      </c>
      <c r="P177">
        <v>55.01</v>
      </c>
      <c r="Q177">
        <v>18.045000000000002</v>
      </c>
      <c r="R177">
        <v>1141.58</v>
      </c>
      <c r="S177">
        <v>30.63</v>
      </c>
      <c r="T177">
        <v>17.559999999999999</v>
      </c>
      <c r="U177">
        <v>13.26</v>
      </c>
      <c r="V177">
        <v>37.479999999999997</v>
      </c>
      <c r="W177">
        <v>45.97</v>
      </c>
      <c r="X177">
        <v>26.09</v>
      </c>
      <c r="Y177">
        <v>45.76</v>
      </c>
      <c r="Z177">
        <v>41.13</v>
      </c>
      <c r="AA177">
        <v>73.150000000000006</v>
      </c>
      <c r="AB177">
        <v>53.77</v>
      </c>
      <c r="AC177">
        <v>39.619999999999997</v>
      </c>
      <c r="AD177">
        <v>534.29</v>
      </c>
      <c r="AE177">
        <v>602.67999999999995</v>
      </c>
      <c r="AF177">
        <v>42.21</v>
      </c>
      <c r="AG177">
        <v>53.08</v>
      </c>
      <c r="AH177">
        <v>44.91</v>
      </c>
      <c r="AI177">
        <v>47.21</v>
      </c>
    </row>
    <row r="178" spans="1:35" x14ac:dyDescent="0.45">
      <c r="A178" s="2">
        <v>45821</v>
      </c>
      <c r="B178">
        <v>28.15</v>
      </c>
      <c r="C178">
        <v>31.83</v>
      </c>
      <c r="D178">
        <v>18.62</v>
      </c>
      <c r="E178">
        <v>27.66</v>
      </c>
      <c r="F178">
        <v>29.86</v>
      </c>
      <c r="G178">
        <v>48.2913</v>
      </c>
      <c r="H178">
        <v>24.26</v>
      </c>
      <c r="I178">
        <v>55.85</v>
      </c>
      <c r="J178">
        <v>61.06</v>
      </c>
      <c r="K178">
        <v>66.42</v>
      </c>
      <c r="L178">
        <v>28.14</v>
      </c>
      <c r="M178">
        <v>53.3</v>
      </c>
      <c r="N178">
        <v>56</v>
      </c>
      <c r="O178">
        <v>54.04</v>
      </c>
      <c r="P178">
        <v>54.77</v>
      </c>
      <c r="Q178">
        <v>18.2</v>
      </c>
      <c r="R178">
        <v>1139.1600000000001</v>
      </c>
      <c r="S178">
        <v>30.75</v>
      </c>
      <c r="T178">
        <v>17.88</v>
      </c>
      <c r="U178">
        <v>13.02</v>
      </c>
      <c r="V178">
        <v>37.130000000000003</v>
      </c>
      <c r="W178">
        <v>45.19</v>
      </c>
      <c r="X178">
        <v>26.32</v>
      </c>
      <c r="Y178">
        <v>45.88</v>
      </c>
      <c r="Z178">
        <v>41.51</v>
      </c>
      <c r="AA178">
        <v>73.599999999999994</v>
      </c>
      <c r="AB178">
        <v>55.22</v>
      </c>
      <c r="AC178">
        <v>40.42</v>
      </c>
      <c r="AD178">
        <v>526.96</v>
      </c>
      <c r="AE178">
        <v>597</v>
      </c>
      <c r="AF178">
        <v>42.83</v>
      </c>
      <c r="AG178">
        <v>53.54</v>
      </c>
      <c r="AH178">
        <v>45.49</v>
      </c>
      <c r="AI178">
        <v>47.43</v>
      </c>
    </row>
    <row r="179" spans="1:35" x14ac:dyDescent="0.45">
      <c r="A179" s="2">
        <v>45820</v>
      </c>
      <c r="B179">
        <v>28.42</v>
      </c>
      <c r="C179">
        <v>32.51</v>
      </c>
      <c r="D179">
        <v>18.899999999999999</v>
      </c>
      <c r="E179">
        <v>28.08</v>
      </c>
      <c r="F179">
        <v>30.63</v>
      </c>
      <c r="G179">
        <v>48.584800000000001</v>
      </c>
      <c r="H179">
        <v>24.54</v>
      </c>
      <c r="I179">
        <v>56.74</v>
      </c>
      <c r="J179">
        <v>61.57</v>
      </c>
      <c r="K179">
        <v>67.69</v>
      </c>
      <c r="L179">
        <v>28.15</v>
      </c>
      <c r="M179">
        <v>54.77</v>
      </c>
      <c r="N179">
        <v>56.89</v>
      </c>
      <c r="O179">
        <v>54.8</v>
      </c>
      <c r="P179">
        <v>55.79</v>
      </c>
      <c r="Q179">
        <v>18.899999999999999</v>
      </c>
      <c r="R179">
        <v>1135.24</v>
      </c>
      <c r="S179">
        <v>31.57</v>
      </c>
      <c r="T179">
        <v>18.395</v>
      </c>
      <c r="U179">
        <v>13.36</v>
      </c>
      <c r="V179">
        <v>38.07</v>
      </c>
      <c r="W179">
        <v>46.07</v>
      </c>
      <c r="X179">
        <v>26.64</v>
      </c>
      <c r="Y179">
        <v>46</v>
      </c>
      <c r="Z179">
        <v>42.22</v>
      </c>
      <c r="AA179">
        <v>74.209999999999994</v>
      </c>
      <c r="AB179">
        <v>56.27</v>
      </c>
      <c r="AC179">
        <v>40.78</v>
      </c>
      <c r="AD179">
        <v>533.66</v>
      </c>
      <c r="AE179">
        <v>603.75</v>
      </c>
      <c r="AF179">
        <v>43.57</v>
      </c>
      <c r="AG179">
        <v>54.73</v>
      </c>
      <c r="AH179">
        <v>46.02</v>
      </c>
      <c r="AI179">
        <v>48.25</v>
      </c>
    </row>
    <row r="180" spans="1:35" x14ac:dyDescent="0.45">
      <c r="A180" s="2">
        <v>45819</v>
      </c>
      <c r="B180">
        <v>28.29</v>
      </c>
      <c r="C180">
        <v>32.54</v>
      </c>
      <c r="D180">
        <v>18.91</v>
      </c>
      <c r="E180">
        <v>27.93</v>
      </c>
      <c r="F180">
        <v>30.62</v>
      </c>
      <c r="G180">
        <v>48.44</v>
      </c>
      <c r="H180">
        <v>24.45</v>
      </c>
      <c r="I180">
        <v>55.83</v>
      </c>
      <c r="J180">
        <v>61.56</v>
      </c>
      <c r="K180">
        <v>66.989999999999995</v>
      </c>
      <c r="L180">
        <v>28.22</v>
      </c>
      <c r="M180">
        <v>54.08</v>
      </c>
      <c r="N180">
        <v>56.52</v>
      </c>
      <c r="O180">
        <v>55.33</v>
      </c>
      <c r="P180">
        <v>55.86</v>
      </c>
      <c r="Q180">
        <v>18.96</v>
      </c>
      <c r="R180">
        <v>1136.43</v>
      </c>
      <c r="S180">
        <v>32.11</v>
      </c>
      <c r="T180">
        <v>18.72</v>
      </c>
      <c r="U180">
        <v>13.32</v>
      </c>
      <c r="V180">
        <v>38.46</v>
      </c>
      <c r="W180">
        <v>45.76</v>
      </c>
      <c r="X180">
        <v>26.6</v>
      </c>
      <c r="Y180">
        <v>45.66</v>
      </c>
      <c r="Z180">
        <v>42.11</v>
      </c>
      <c r="AA180">
        <v>73.67</v>
      </c>
      <c r="AB180">
        <v>55.43</v>
      </c>
      <c r="AC180">
        <v>40.409999999999997</v>
      </c>
      <c r="AD180">
        <v>532.41</v>
      </c>
      <c r="AE180">
        <v>601.36</v>
      </c>
      <c r="AF180">
        <v>43.11</v>
      </c>
      <c r="AG180">
        <v>54.37</v>
      </c>
      <c r="AH180">
        <v>45.9</v>
      </c>
      <c r="AI180">
        <v>47.93</v>
      </c>
    </row>
    <row r="181" spans="1:35" x14ac:dyDescent="0.45">
      <c r="A181" s="2">
        <v>45818</v>
      </c>
      <c r="B181">
        <v>28.1</v>
      </c>
      <c r="C181">
        <v>31.82</v>
      </c>
      <c r="D181">
        <v>18.84</v>
      </c>
      <c r="E181">
        <v>27.82</v>
      </c>
      <c r="F181">
        <v>30.83</v>
      </c>
      <c r="G181">
        <v>48.231099999999998</v>
      </c>
      <c r="H181">
        <v>24.28</v>
      </c>
      <c r="I181">
        <v>55.8</v>
      </c>
      <c r="J181">
        <v>61.36</v>
      </c>
      <c r="K181">
        <v>66.16</v>
      </c>
      <c r="L181">
        <v>27.72</v>
      </c>
      <c r="M181">
        <v>54.66</v>
      </c>
      <c r="N181">
        <v>56.48</v>
      </c>
      <c r="O181">
        <v>55.26</v>
      </c>
      <c r="P181">
        <v>55.69</v>
      </c>
      <c r="Q181">
        <v>18.920000000000002</v>
      </c>
      <c r="R181">
        <v>1140.6300000000001</v>
      </c>
      <c r="S181">
        <v>32.17</v>
      </c>
      <c r="T181">
        <v>18.78</v>
      </c>
      <c r="U181">
        <v>13.4</v>
      </c>
      <c r="V181">
        <v>38.72</v>
      </c>
      <c r="W181">
        <v>45.65</v>
      </c>
      <c r="X181">
        <v>26.71</v>
      </c>
      <c r="Y181">
        <v>45.43</v>
      </c>
      <c r="Z181">
        <v>42.12</v>
      </c>
      <c r="AA181">
        <v>73.88</v>
      </c>
      <c r="AB181">
        <v>55.67</v>
      </c>
      <c r="AC181">
        <v>40.31</v>
      </c>
      <c r="AD181">
        <v>534.21</v>
      </c>
      <c r="AE181">
        <v>603.08000000000004</v>
      </c>
      <c r="AF181">
        <v>43.21</v>
      </c>
      <c r="AG181">
        <v>54.57</v>
      </c>
      <c r="AH181">
        <v>45.94</v>
      </c>
      <c r="AI181">
        <v>47.93</v>
      </c>
    </row>
    <row r="182" spans="1:35" x14ac:dyDescent="0.45">
      <c r="A182" s="2">
        <v>45817</v>
      </c>
      <c r="B182">
        <v>28.3</v>
      </c>
      <c r="C182">
        <v>31.75</v>
      </c>
      <c r="D182">
        <v>18.59</v>
      </c>
      <c r="E182">
        <v>28.12</v>
      </c>
      <c r="F182">
        <v>30</v>
      </c>
      <c r="G182">
        <v>48.53</v>
      </c>
      <c r="H182">
        <v>24.32</v>
      </c>
      <c r="I182">
        <v>54.71</v>
      </c>
      <c r="J182">
        <v>61.09</v>
      </c>
      <c r="K182">
        <v>66.48</v>
      </c>
      <c r="L182">
        <v>27.62</v>
      </c>
      <c r="M182">
        <v>54.44</v>
      </c>
      <c r="N182">
        <v>55.85</v>
      </c>
      <c r="O182">
        <v>55.24</v>
      </c>
      <c r="P182">
        <v>55.52</v>
      </c>
      <c r="Q182">
        <v>18.829999999999998</v>
      </c>
      <c r="R182">
        <v>1132.02</v>
      </c>
      <c r="S182">
        <v>31.66</v>
      </c>
      <c r="T182">
        <v>18.71</v>
      </c>
      <c r="U182">
        <v>13.26</v>
      </c>
      <c r="V182">
        <v>38.57</v>
      </c>
      <c r="W182">
        <v>45.32</v>
      </c>
      <c r="X182">
        <v>26.44</v>
      </c>
      <c r="Y182">
        <v>45.3</v>
      </c>
      <c r="Z182">
        <v>42.31</v>
      </c>
      <c r="AA182">
        <v>73.930000000000007</v>
      </c>
      <c r="AB182">
        <v>55.62</v>
      </c>
      <c r="AC182">
        <v>40.340000000000003</v>
      </c>
      <c r="AD182">
        <v>530.70000000000005</v>
      </c>
      <c r="AE182">
        <v>599.67999999999995</v>
      </c>
      <c r="AF182">
        <v>43.08</v>
      </c>
      <c r="AG182">
        <v>54.02</v>
      </c>
      <c r="AH182">
        <v>45.91</v>
      </c>
      <c r="AI182">
        <v>48.18</v>
      </c>
    </row>
    <row r="183" spans="1:35" x14ac:dyDescent="0.45">
      <c r="A183" s="2">
        <v>45814</v>
      </c>
      <c r="B183">
        <v>28.22</v>
      </c>
      <c r="C183">
        <v>31.84</v>
      </c>
      <c r="D183">
        <v>18.510000000000002</v>
      </c>
      <c r="E183">
        <v>27.95</v>
      </c>
      <c r="F183">
        <v>29.46</v>
      </c>
      <c r="G183">
        <v>48.5916</v>
      </c>
      <c r="H183">
        <v>24.25</v>
      </c>
      <c r="I183">
        <v>54.11</v>
      </c>
      <c r="J183">
        <v>61.24</v>
      </c>
      <c r="K183">
        <v>65.569999999999993</v>
      </c>
      <c r="L183">
        <v>27.72</v>
      </c>
      <c r="M183">
        <v>53.94</v>
      </c>
      <c r="N183">
        <v>55.46</v>
      </c>
      <c r="O183">
        <v>54.91</v>
      </c>
      <c r="P183">
        <v>54.92</v>
      </c>
      <c r="Q183">
        <v>18.829999999999998</v>
      </c>
      <c r="R183">
        <v>1149.18</v>
      </c>
      <c r="S183">
        <v>31.61</v>
      </c>
      <c r="T183">
        <v>18.670000000000002</v>
      </c>
      <c r="U183">
        <v>13.64</v>
      </c>
      <c r="V183">
        <v>38.51</v>
      </c>
      <c r="W183">
        <v>45.31</v>
      </c>
      <c r="X183">
        <v>26.37</v>
      </c>
      <c r="Y183">
        <v>45.39</v>
      </c>
      <c r="Z183">
        <v>42.52</v>
      </c>
      <c r="AA183">
        <v>73.819999999999993</v>
      </c>
      <c r="AB183">
        <v>55.64</v>
      </c>
      <c r="AC183">
        <v>40.35</v>
      </c>
      <c r="AD183">
        <v>529.91999999999996</v>
      </c>
      <c r="AE183">
        <v>599.14</v>
      </c>
      <c r="AF183">
        <v>43.04</v>
      </c>
      <c r="AG183">
        <v>53.63</v>
      </c>
      <c r="AH183">
        <v>46.14</v>
      </c>
      <c r="AI183">
        <v>48.3</v>
      </c>
    </row>
    <row r="184" spans="1:35" x14ac:dyDescent="0.45">
      <c r="A184" s="2">
        <v>45813</v>
      </c>
      <c r="B184">
        <v>28.29</v>
      </c>
      <c r="C184">
        <v>32.17</v>
      </c>
      <c r="D184">
        <v>18.559999999999999</v>
      </c>
      <c r="E184">
        <v>27.96</v>
      </c>
      <c r="F184">
        <v>29.75</v>
      </c>
      <c r="G184">
        <v>48.796100000000003</v>
      </c>
      <c r="H184">
        <v>24.31</v>
      </c>
      <c r="I184">
        <v>53.74</v>
      </c>
      <c r="J184">
        <v>60.72</v>
      </c>
      <c r="K184">
        <v>65.36</v>
      </c>
      <c r="L184">
        <v>27.6</v>
      </c>
      <c r="M184">
        <v>54.03</v>
      </c>
      <c r="N184">
        <v>55.77</v>
      </c>
      <c r="O184">
        <v>54.18</v>
      </c>
      <c r="P184">
        <v>54.99</v>
      </c>
      <c r="Q184">
        <v>18.78</v>
      </c>
      <c r="R184">
        <v>1164.01</v>
      </c>
      <c r="S184">
        <v>31.44</v>
      </c>
      <c r="T184">
        <v>18.61</v>
      </c>
      <c r="U184">
        <v>13.74</v>
      </c>
      <c r="V184">
        <v>38.479999999999997</v>
      </c>
      <c r="W184">
        <v>45.53</v>
      </c>
      <c r="X184">
        <v>26.36</v>
      </c>
      <c r="Y184">
        <v>45.32</v>
      </c>
      <c r="Z184">
        <v>42.57</v>
      </c>
      <c r="AA184">
        <v>73.39</v>
      </c>
      <c r="AB184">
        <v>55.47</v>
      </c>
      <c r="AC184">
        <v>40.22</v>
      </c>
      <c r="AD184">
        <v>524.79</v>
      </c>
      <c r="AE184">
        <v>593.04999999999995</v>
      </c>
      <c r="AF184">
        <v>43.04</v>
      </c>
      <c r="AG184">
        <v>53.36</v>
      </c>
      <c r="AH184">
        <v>46.17</v>
      </c>
      <c r="AI184">
        <v>47.98</v>
      </c>
    </row>
    <row r="185" spans="1:35" x14ac:dyDescent="0.45">
      <c r="A185" s="2">
        <v>45812</v>
      </c>
      <c r="B185">
        <v>28.18</v>
      </c>
      <c r="C185">
        <v>31.88</v>
      </c>
      <c r="D185">
        <v>18.45</v>
      </c>
      <c r="E185">
        <v>27.66</v>
      </c>
      <c r="F185">
        <v>30.22</v>
      </c>
      <c r="G185">
        <v>48.064999999999998</v>
      </c>
      <c r="H185">
        <v>24.14</v>
      </c>
      <c r="I185">
        <v>53.96</v>
      </c>
      <c r="J185">
        <v>60.25</v>
      </c>
      <c r="K185">
        <v>63.98</v>
      </c>
      <c r="L185">
        <v>27.44</v>
      </c>
      <c r="M185">
        <v>53.46</v>
      </c>
      <c r="N185">
        <v>55.24</v>
      </c>
      <c r="O185">
        <v>53.92</v>
      </c>
      <c r="P185">
        <v>54.79</v>
      </c>
      <c r="Q185">
        <v>18.91</v>
      </c>
      <c r="R185">
        <v>1160.74</v>
      </c>
      <c r="S185">
        <v>31.36</v>
      </c>
      <c r="T185">
        <v>18.59</v>
      </c>
      <c r="U185">
        <v>13.86</v>
      </c>
      <c r="V185">
        <v>38.380000000000003</v>
      </c>
      <c r="W185">
        <v>45.25</v>
      </c>
      <c r="X185">
        <v>26.33</v>
      </c>
      <c r="Y185">
        <v>45.25</v>
      </c>
      <c r="Z185">
        <v>42.46</v>
      </c>
      <c r="AA185">
        <v>74.08</v>
      </c>
      <c r="AB185">
        <v>55.56</v>
      </c>
      <c r="AC185">
        <v>40.19</v>
      </c>
      <c r="AD185">
        <v>528.77</v>
      </c>
      <c r="AE185">
        <v>595.92999999999995</v>
      </c>
      <c r="AF185">
        <v>43.08</v>
      </c>
      <c r="AG185">
        <v>53.23</v>
      </c>
      <c r="AH185">
        <v>45.93</v>
      </c>
      <c r="AI185">
        <v>47.74</v>
      </c>
    </row>
    <row r="186" spans="1:35" x14ac:dyDescent="0.45">
      <c r="A186" s="2">
        <v>45811</v>
      </c>
      <c r="B186">
        <v>27.96</v>
      </c>
      <c r="C186">
        <v>31.58</v>
      </c>
      <c r="D186">
        <v>18.420000000000002</v>
      </c>
      <c r="E186">
        <v>27.78</v>
      </c>
      <c r="F186">
        <v>29.92</v>
      </c>
      <c r="G186">
        <v>47.95</v>
      </c>
      <c r="H186">
        <v>24.09</v>
      </c>
      <c r="I186">
        <v>53.15</v>
      </c>
      <c r="J186">
        <v>60.39</v>
      </c>
      <c r="K186">
        <v>61.89</v>
      </c>
      <c r="L186">
        <v>27.58</v>
      </c>
      <c r="M186">
        <v>53.13</v>
      </c>
      <c r="N186">
        <v>55.29</v>
      </c>
      <c r="O186">
        <v>53.96</v>
      </c>
      <c r="P186">
        <v>53.76</v>
      </c>
      <c r="Q186">
        <v>19.079999999999998</v>
      </c>
      <c r="R186">
        <v>1163.42</v>
      </c>
      <c r="S186">
        <v>30.84</v>
      </c>
      <c r="T186">
        <v>18.59</v>
      </c>
      <c r="U186">
        <v>13.96</v>
      </c>
      <c r="V186">
        <v>38</v>
      </c>
      <c r="W186">
        <v>44.61</v>
      </c>
      <c r="X186">
        <v>26.07</v>
      </c>
      <c r="Y186">
        <v>45.34</v>
      </c>
      <c r="Z186">
        <v>42.12</v>
      </c>
      <c r="AA186">
        <v>74.13</v>
      </c>
      <c r="AB186">
        <v>55.03</v>
      </c>
      <c r="AC186">
        <v>40.06</v>
      </c>
      <c r="AD186">
        <v>527.29999999999995</v>
      </c>
      <c r="AE186">
        <v>596.09</v>
      </c>
      <c r="AF186">
        <v>42.84</v>
      </c>
      <c r="AG186">
        <v>52.95</v>
      </c>
      <c r="AH186">
        <v>45.2</v>
      </c>
      <c r="AI186">
        <v>47.87</v>
      </c>
    </row>
    <row r="187" spans="1:35" x14ac:dyDescent="0.45">
      <c r="A187" s="2">
        <v>45810</v>
      </c>
      <c r="B187">
        <v>27.72</v>
      </c>
      <c r="C187">
        <v>31.53</v>
      </c>
      <c r="D187">
        <v>18.559999999999999</v>
      </c>
      <c r="E187">
        <v>27.6</v>
      </c>
      <c r="F187">
        <v>30.49</v>
      </c>
      <c r="G187">
        <v>47.72</v>
      </c>
      <c r="H187">
        <v>24.15</v>
      </c>
      <c r="I187">
        <v>52.84</v>
      </c>
      <c r="J187">
        <v>60.64</v>
      </c>
      <c r="K187">
        <v>61.74</v>
      </c>
      <c r="L187">
        <v>27.27</v>
      </c>
      <c r="M187">
        <v>53.27</v>
      </c>
      <c r="N187">
        <v>55.7</v>
      </c>
      <c r="O187">
        <v>54.54</v>
      </c>
      <c r="P187">
        <v>53.26</v>
      </c>
      <c r="Q187">
        <v>18.8</v>
      </c>
      <c r="R187">
        <v>1178.43</v>
      </c>
      <c r="S187">
        <v>30.05</v>
      </c>
      <c r="T187">
        <v>18.45</v>
      </c>
      <c r="U187">
        <v>13.81</v>
      </c>
      <c r="V187">
        <v>38.159999999999997</v>
      </c>
      <c r="W187">
        <v>45.04</v>
      </c>
      <c r="X187">
        <v>26.15</v>
      </c>
      <c r="Y187">
        <v>45.39</v>
      </c>
      <c r="Z187">
        <v>42.34</v>
      </c>
      <c r="AA187">
        <v>75.040000000000006</v>
      </c>
      <c r="AB187">
        <v>55.54</v>
      </c>
      <c r="AC187">
        <v>40.29</v>
      </c>
      <c r="AD187">
        <v>523.21</v>
      </c>
      <c r="AE187">
        <v>592.71</v>
      </c>
      <c r="AF187">
        <v>43.14</v>
      </c>
      <c r="AG187">
        <v>53.285800000000002</v>
      </c>
      <c r="AH187">
        <v>45.62</v>
      </c>
      <c r="AI187">
        <v>48.32</v>
      </c>
    </row>
    <row r="188" spans="1:35" x14ac:dyDescent="0.45">
      <c r="A188" s="2">
        <v>45807</v>
      </c>
      <c r="B188">
        <v>27.67</v>
      </c>
      <c r="C188">
        <v>31.5</v>
      </c>
      <c r="D188">
        <v>18.88</v>
      </c>
      <c r="E188">
        <v>27.24</v>
      </c>
      <c r="F188">
        <v>30.37</v>
      </c>
      <c r="G188">
        <v>46.64</v>
      </c>
      <c r="H188">
        <v>23.96</v>
      </c>
      <c r="I188">
        <v>52.38</v>
      </c>
      <c r="J188">
        <v>60.17</v>
      </c>
      <c r="K188">
        <v>60.63</v>
      </c>
      <c r="L188">
        <v>27.21</v>
      </c>
      <c r="M188">
        <v>52.21</v>
      </c>
      <c r="N188">
        <v>55</v>
      </c>
      <c r="O188">
        <v>54.31</v>
      </c>
      <c r="P188">
        <v>52.82</v>
      </c>
      <c r="Q188">
        <v>18.75</v>
      </c>
      <c r="R188">
        <v>1176.3599999999999</v>
      </c>
      <c r="S188">
        <v>29.99</v>
      </c>
      <c r="T188">
        <v>18.57</v>
      </c>
      <c r="U188">
        <v>13.59</v>
      </c>
      <c r="V188">
        <v>38.33</v>
      </c>
      <c r="W188">
        <v>44.39</v>
      </c>
      <c r="X188">
        <v>25.81</v>
      </c>
      <c r="Y188">
        <v>44.96</v>
      </c>
      <c r="Z188">
        <v>41.97</v>
      </c>
      <c r="AA188">
        <v>74.12</v>
      </c>
      <c r="AB188">
        <v>55.18</v>
      </c>
      <c r="AC188">
        <v>39.92</v>
      </c>
      <c r="AD188">
        <v>519.11</v>
      </c>
      <c r="AE188">
        <v>589.39</v>
      </c>
      <c r="AF188">
        <v>42.49</v>
      </c>
      <c r="AG188">
        <v>52.85</v>
      </c>
      <c r="AH188">
        <v>45.45</v>
      </c>
      <c r="AI188">
        <v>47.77</v>
      </c>
    </row>
    <row r="189" spans="1:35" x14ac:dyDescent="0.45">
      <c r="A189" s="2">
        <v>45806</v>
      </c>
      <c r="B189">
        <v>28.02</v>
      </c>
      <c r="C189">
        <v>32.08</v>
      </c>
      <c r="D189">
        <v>18.95</v>
      </c>
      <c r="E189">
        <v>27.84</v>
      </c>
      <c r="F189">
        <v>30.72</v>
      </c>
      <c r="G189">
        <v>46.613599999999998</v>
      </c>
      <c r="H189">
        <v>24.3</v>
      </c>
      <c r="I189">
        <v>52.87</v>
      </c>
      <c r="J189">
        <v>61.23</v>
      </c>
      <c r="K189">
        <v>61.8</v>
      </c>
      <c r="L189">
        <v>27.7</v>
      </c>
      <c r="M189">
        <v>53.05</v>
      </c>
      <c r="N189">
        <v>55.71</v>
      </c>
      <c r="O189">
        <v>54.59</v>
      </c>
      <c r="P189">
        <v>53.86</v>
      </c>
      <c r="Q189">
        <v>18.829999999999998</v>
      </c>
      <c r="R189">
        <v>1173.3699999999999</v>
      </c>
      <c r="S189">
        <v>30.54</v>
      </c>
      <c r="T189">
        <v>18.59</v>
      </c>
      <c r="U189">
        <v>13.51</v>
      </c>
      <c r="V189">
        <v>38.39</v>
      </c>
      <c r="W189">
        <v>43.97</v>
      </c>
      <c r="X189">
        <v>25.64</v>
      </c>
      <c r="Y189">
        <v>44.78</v>
      </c>
      <c r="Z189">
        <v>41.85</v>
      </c>
      <c r="AA189">
        <v>74.03</v>
      </c>
      <c r="AB189">
        <v>54.9</v>
      </c>
      <c r="AC189">
        <v>39.79</v>
      </c>
      <c r="AD189">
        <v>519.92999999999995</v>
      </c>
      <c r="AE189">
        <v>590.04999999999995</v>
      </c>
      <c r="AF189">
        <v>42.76</v>
      </c>
      <c r="AG189">
        <v>52.94</v>
      </c>
      <c r="AH189">
        <v>45.36</v>
      </c>
      <c r="AI189">
        <v>47.58</v>
      </c>
    </row>
    <row r="190" spans="1:35" x14ac:dyDescent="0.45">
      <c r="A190" s="2">
        <v>45805</v>
      </c>
      <c r="B190">
        <v>27.83</v>
      </c>
      <c r="C190">
        <v>32.17</v>
      </c>
      <c r="D190">
        <v>18.91</v>
      </c>
      <c r="E190">
        <v>27.93</v>
      </c>
      <c r="F190">
        <v>31.25</v>
      </c>
      <c r="G190">
        <v>46.5428</v>
      </c>
      <c r="H190">
        <v>24.47</v>
      </c>
      <c r="I190">
        <v>53.26</v>
      </c>
      <c r="J190">
        <v>60.9</v>
      </c>
      <c r="K190">
        <v>60.75</v>
      </c>
      <c r="L190">
        <v>27.69</v>
      </c>
      <c r="M190">
        <v>52.03</v>
      </c>
      <c r="N190">
        <v>55.85</v>
      </c>
      <c r="O190">
        <v>54.284999999999997</v>
      </c>
      <c r="P190">
        <v>53.33</v>
      </c>
      <c r="Q190">
        <v>18.940000000000001</v>
      </c>
      <c r="R190">
        <v>1179.81</v>
      </c>
      <c r="S190">
        <v>30.56</v>
      </c>
      <c r="T190">
        <v>18.66</v>
      </c>
      <c r="U190">
        <v>13.71</v>
      </c>
      <c r="V190">
        <v>38.6</v>
      </c>
      <c r="W190">
        <v>44.23</v>
      </c>
      <c r="X190">
        <v>25.56</v>
      </c>
      <c r="Y190">
        <v>44.76</v>
      </c>
      <c r="Z190">
        <v>41.77</v>
      </c>
      <c r="AA190">
        <v>73.61</v>
      </c>
      <c r="AB190">
        <v>54.62</v>
      </c>
      <c r="AC190">
        <v>39.67</v>
      </c>
      <c r="AD190">
        <v>518.91</v>
      </c>
      <c r="AE190">
        <v>587.73</v>
      </c>
      <c r="AF190">
        <v>42.47</v>
      </c>
      <c r="AG190">
        <v>52.59</v>
      </c>
      <c r="AH190">
        <v>45.24</v>
      </c>
      <c r="AI190">
        <v>47.55</v>
      </c>
    </row>
    <row r="191" spans="1:35" x14ac:dyDescent="0.45">
      <c r="A191" s="2">
        <v>45804</v>
      </c>
      <c r="B191">
        <v>27.9</v>
      </c>
      <c r="C191">
        <v>32.75</v>
      </c>
      <c r="D191">
        <v>19.04</v>
      </c>
      <c r="E191">
        <v>27.78</v>
      </c>
      <c r="F191">
        <v>30.82</v>
      </c>
      <c r="G191">
        <v>46.83</v>
      </c>
      <c r="H191">
        <v>24.52</v>
      </c>
      <c r="I191">
        <v>53.58</v>
      </c>
      <c r="J191">
        <v>61.13</v>
      </c>
      <c r="K191">
        <v>59.98</v>
      </c>
      <c r="L191">
        <v>27.99</v>
      </c>
      <c r="M191">
        <v>51.91</v>
      </c>
      <c r="N191">
        <v>55.02</v>
      </c>
      <c r="O191">
        <v>54.53</v>
      </c>
      <c r="P191">
        <v>54.04</v>
      </c>
      <c r="Q191">
        <v>18.91</v>
      </c>
      <c r="R191">
        <v>1189.1400000000001</v>
      </c>
      <c r="S191">
        <v>30.86</v>
      </c>
      <c r="T191">
        <v>18.62</v>
      </c>
      <c r="U191">
        <v>13.585000000000001</v>
      </c>
      <c r="V191">
        <v>38.21</v>
      </c>
      <c r="W191">
        <v>45.38</v>
      </c>
      <c r="X191">
        <v>25.87</v>
      </c>
      <c r="Y191">
        <v>44.82</v>
      </c>
      <c r="Z191">
        <v>42.31</v>
      </c>
      <c r="AA191">
        <v>74.95</v>
      </c>
      <c r="AB191">
        <v>55.2</v>
      </c>
      <c r="AC191">
        <v>40.07</v>
      </c>
      <c r="AD191">
        <v>521.22</v>
      </c>
      <c r="AE191">
        <v>591.15</v>
      </c>
      <c r="AF191">
        <v>42.92</v>
      </c>
      <c r="AG191">
        <v>53</v>
      </c>
      <c r="AH191">
        <v>45.55</v>
      </c>
      <c r="AI191">
        <v>47.66</v>
      </c>
    </row>
    <row r="192" spans="1:35" x14ac:dyDescent="0.45">
      <c r="A192" s="2">
        <v>45800</v>
      </c>
      <c r="B192">
        <v>28.2</v>
      </c>
      <c r="C192">
        <v>32.85</v>
      </c>
      <c r="D192">
        <v>19.16</v>
      </c>
      <c r="E192">
        <v>27.81</v>
      </c>
      <c r="F192">
        <v>29.85</v>
      </c>
      <c r="G192">
        <v>46.76</v>
      </c>
      <c r="H192">
        <v>24.58</v>
      </c>
      <c r="I192">
        <v>53.52</v>
      </c>
      <c r="J192">
        <v>60.67</v>
      </c>
      <c r="K192">
        <v>58.96</v>
      </c>
      <c r="L192">
        <v>27.65</v>
      </c>
      <c r="M192">
        <v>52.52</v>
      </c>
      <c r="N192">
        <v>53.23</v>
      </c>
      <c r="O192">
        <v>54.58</v>
      </c>
      <c r="P192">
        <v>54.78</v>
      </c>
      <c r="Q192">
        <v>19.149999999999999</v>
      </c>
      <c r="R192">
        <v>1187.06</v>
      </c>
      <c r="S192">
        <v>31.24</v>
      </c>
      <c r="T192">
        <v>18.45</v>
      </c>
      <c r="U192">
        <v>13.14</v>
      </c>
      <c r="V192">
        <v>39.17</v>
      </c>
      <c r="W192">
        <v>45.36</v>
      </c>
      <c r="X192">
        <v>25.65</v>
      </c>
      <c r="Y192">
        <v>44.44</v>
      </c>
      <c r="Z192">
        <v>41.26</v>
      </c>
      <c r="AA192">
        <v>73.03</v>
      </c>
      <c r="AB192">
        <v>55.03</v>
      </c>
      <c r="AC192">
        <v>39.880000000000003</v>
      </c>
      <c r="AD192">
        <v>509.24</v>
      </c>
      <c r="AE192">
        <v>579.11</v>
      </c>
      <c r="AF192">
        <v>42.4</v>
      </c>
      <c r="AG192">
        <v>52.26</v>
      </c>
      <c r="AH192">
        <v>45.32</v>
      </c>
      <c r="AI192">
        <v>46.96</v>
      </c>
    </row>
    <row r="193" spans="1:35" x14ac:dyDescent="0.45">
      <c r="A193" s="2">
        <v>45799</v>
      </c>
      <c r="B193">
        <v>28.3</v>
      </c>
      <c r="C193">
        <v>32.634999999999998</v>
      </c>
      <c r="D193">
        <v>18.91</v>
      </c>
      <c r="E193">
        <v>27.27</v>
      </c>
      <c r="F193">
        <v>29.99</v>
      </c>
      <c r="G193">
        <v>45.76</v>
      </c>
      <c r="H193">
        <v>24.24</v>
      </c>
      <c r="I193">
        <v>53.7</v>
      </c>
      <c r="J193">
        <v>59.83</v>
      </c>
      <c r="K193">
        <v>58.29</v>
      </c>
      <c r="L193">
        <v>27.52</v>
      </c>
      <c r="M193">
        <v>51.43</v>
      </c>
      <c r="N193">
        <v>53.88</v>
      </c>
      <c r="O193">
        <v>53.79</v>
      </c>
      <c r="P193">
        <v>54.75</v>
      </c>
      <c r="Q193">
        <v>19.11</v>
      </c>
      <c r="R193">
        <v>1195.77</v>
      </c>
      <c r="S193">
        <v>31.7</v>
      </c>
      <c r="T193">
        <v>18.53</v>
      </c>
      <c r="U193">
        <v>13.17</v>
      </c>
      <c r="V193">
        <v>39.28</v>
      </c>
      <c r="W193">
        <v>45.08</v>
      </c>
      <c r="X193">
        <v>25.41</v>
      </c>
      <c r="Y193">
        <v>44</v>
      </c>
      <c r="Z193">
        <v>41.64</v>
      </c>
      <c r="AA193">
        <v>72.37</v>
      </c>
      <c r="AB193">
        <v>54.77</v>
      </c>
      <c r="AC193">
        <v>39.53</v>
      </c>
      <c r="AD193">
        <v>514</v>
      </c>
      <c r="AE193">
        <v>583.09</v>
      </c>
      <c r="AF193">
        <v>42.65</v>
      </c>
      <c r="AG193">
        <v>52.54</v>
      </c>
      <c r="AH193">
        <v>45.09</v>
      </c>
      <c r="AI193">
        <v>47.54</v>
      </c>
    </row>
    <row r="194" spans="1:35" x14ac:dyDescent="0.45">
      <c r="A194" s="2">
        <v>45798</v>
      </c>
      <c r="B194">
        <v>28.4</v>
      </c>
      <c r="C194">
        <v>32.69</v>
      </c>
      <c r="D194">
        <v>18.79</v>
      </c>
      <c r="E194">
        <v>27.46</v>
      </c>
      <c r="F194">
        <v>30.09</v>
      </c>
      <c r="G194">
        <v>45.66</v>
      </c>
      <c r="H194">
        <v>24.49</v>
      </c>
      <c r="I194">
        <v>53.72</v>
      </c>
      <c r="J194">
        <v>60.32</v>
      </c>
      <c r="K194">
        <v>59.1</v>
      </c>
      <c r="L194">
        <v>27.67</v>
      </c>
      <c r="M194">
        <v>51.45</v>
      </c>
      <c r="N194">
        <v>54.14</v>
      </c>
      <c r="O194">
        <v>54.03</v>
      </c>
      <c r="P194">
        <v>54.99</v>
      </c>
      <c r="Q194">
        <v>19.18</v>
      </c>
      <c r="R194">
        <v>1194.49</v>
      </c>
      <c r="S194">
        <v>31.42</v>
      </c>
      <c r="T194">
        <v>18.57</v>
      </c>
      <c r="U194">
        <v>13.21</v>
      </c>
      <c r="V194">
        <v>39.299999999999997</v>
      </c>
      <c r="W194">
        <v>45.22</v>
      </c>
      <c r="X194">
        <v>25.41</v>
      </c>
      <c r="Y194">
        <v>43.94</v>
      </c>
      <c r="Z194">
        <v>41.68</v>
      </c>
      <c r="AA194">
        <v>72.31</v>
      </c>
      <c r="AB194">
        <v>55.04</v>
      </c>
      <c r="AC194">
        <v>39.43</v>
      </c>
      <c r="AD194">
        <v>513.04</v>
      </c>
      <c r="AE194">
        <v>582.86</v>
      </c>
      <c r="AF194">
        <v>42.71</v>
      </c>
      <c r="AG194">
        <v>52.48</v>
      </c>
      <c r="AH194">
        <v>45.94</v>
      </c>
      <c r="AI194">
        <v>47.65</v>
      </c>
    </row>
    <row r="195" spans="1:35" x14ac:dyDescent="0.45">
      <c r="A195" s="2">
        <v>45797</v>
      </c>
      <c r="B195">
        <v>28.28</v>
      </c>
      <c r="C195">
        <v>32.75</v>
      </c>
      <c r="D195">
        <v>18.53</v>
      </c>
      <c r="E195">
        <v>27.36</v>
      </c>
      <c r="F195">
        <v>30.77</v>
      </c>
      <c r="G195">
        <v>45.57</v>
      </c>
      <c r="H195">
        <v>24.5</v>
      </c>
      <c r="I195">
        <v>53.48</v>
      </c>
      <c r="J195">
        <v>60.53</v>
      </c>
      <c r="K195">
        <v>58.4</v>
      </c>
      <c r="L195">
        <v>28.16</v>
      </c>
      <c r="M195">
        <v>51.61</v>
      </c>
      <c r="N195">
        <v>53.89</v>
      </c>
      <c r="O195">
        <v>54.07</v>
      </c>
      <c r="P195">
        <v>55.2</v>
      </c>
      <c r="Q195">
        <v>19.059999999999999</v>
      </c>
      <c r="R195">
        <v>1216.71</v>
      </c>
      <c r="S195">
        <v>31.86</v>
      </c>
      <c r="T195">
        <v>18.71</v>
      </c>
      <c r="U195">
        <v>13.09</v>
      </c>
      <c r="V195">
        <v>39.89</v>
      </c>
      <c r="W195">
        <v>45.2</v>
      </c>
      <c r="X195">
        <v>25.63</v>
      </c>
      <c r="Y195">
        <v>44.19</v>
      </c>
      <c r="Z195">
        <v>41.77</v>
      </c>
      <c r="AA195">
        <v>72.989999999999995</v>
      </c>
      <c r="AB195">
        <v>55.17</v>
      </c>
      <c r="AC195">
        <v>39.61</v>
      </c>
      <c r="AD195">
        <v>520.27</v>
      </c>
      <c r="AE195">
        <v>592.85</v>
      </c>
      <c r="AF195">
        <v>43.1</v>
      </c>
      <c r="AG195">
        <v>52.8</v>
      </c>
      <c r="AH195">
        <v>46.35</v>
      </c>
      <c r="AI195">
        <v>47.84</v>
      </c>
    </row>
    <row r="196" spans="1:35" x14ac:dyDescent="0.45">
      <c r="A196" s="2">
        <v>45796</v>
      </c>
      <c r="B196">
        <v>28.14</v>
      </c>
      <c r="C196">
        <v>32.96</v>
      </c>
      <c r="D196">
        <v>18.739999999999998</v>
      </c>
      <c r="E196">
        <v>27.9</v>
      </c>
      <c r="F196">
        <v>30.53</v>
      </c>
      <c r="G196">
        <v>45.16</v>
      </c>
      <c r="H196">
        <v>24.69</v>
      </c>
      <c r="I196">
        <v>53.82</v>
      </c>
      <c r="J196">
        <v>60.57</v>
      </c>
      <c r="K196">
        <v>58.82</v>
      </c>
      <c r="L196">
        <v>28.18</v>
      </c>
      <c r="M196">
        <v>51.08</v>
      </c>
      <c r="N196">
        <v>52.9</v>
      </c>
      <c r="O196">
        <v>54.78</v>
      </c>
      <c r="P196">
        <v>54.7</v>
      </c>
      <c r="Q196">
        <v>19.05</v>
      </c>
      <c r="R196">
        <v>1214.3900000000001</v>
      </c>
      <c r="S196">
        <v>32.49</v>
      </c>
      <c r="T196">
        <v>18.649999999999999</v>
      </c>
      <c r="U196">
        <v>12.865</v>
      </c>
      <c r="V196">
        <v>39.909999999999997</v>
      </c>
      <c r="W196">
        <v>45.15</v>
      </c>
      <c r="X196">
        <v>25.63</v>
      </c>
      <c r="Y196">
        <v>44.05</v>
      </c>
      <c r="Z196">
        <v>41.56</v>
      </c>
      <c r="AA196">
        <v>72.569999999999993</v>
      </c>
      <c r="AB196">
        <v>55.02</v>
      </c>
      <c r="AC196">
        <v>39.33</v>
      </c>
      <c r="AD196">
        <v>522.01</v>
      </c>
      <c r="AE196">
        <v>594.85</v>
      </c>
      <c r="AF196">
        <v>42.73</v>
      </c>
      <c r="AG196">
        <v>52.645000000000003</v>
      </c>
      <c r="AH196">
        <v>46.19</v>
      </c>
      <c r="AI196">
        <v>47.3</v>
      </c>
    </row>
    <row r="197" spans="1:35" x14ac:dyDescent="0.45">
      <c r="A197" s="2">
        <v>45793</v>
      </c>
      <c r="B197">
        <v>28.24</v>
      </c>
      <c r="C197">
        <v>32.61</v>
      </c>
      <c r="D197">
        <v>18.39</v>
      </c>
      <c r="E197">
        <v>27.69</v>
      </c>
      <c r="F197">
        <v>30.32</v>
      </c>
      <c r="G197">
        <v>44.57</v>
      </c>
      <c r="H197">
        <v>24.87</v>
      </c>
      <c r="I197">
        <v>54.01</v>
      </c>
      <c r="J197">
        <v>59.51</v>
      </c>
      <c r="K197">
        <v>58.79</v>
      </c>
      <c r="L197">
        <v>28</v>
      </c>
      <c r="M197">
        <v>51.24</v>
      </c>
      <c r="N197">
        <v>52.5</v>
      </c>
      <c r="O197">
        <v>54.66</v>
      </c>
      <c r="P197">
        <v>54.42</v>
      </c>
      <c r="Q197">
        <v>18.88</v>
      </c>
      <c r="R197">
        <v>1210.94</v>
      </c>
      <c r="S197">
        <v>32.43</v>
      </c>
      <c r="T197">
        <v>18.48</v>
      </c>
      <c r="U197">
        <v>12.75</v>
      </c>
      <c r="V197">
        <v>40.19</v>
      </c>
      <c r="W197">
        <v>45.41</v>
      </c>
      <c r="X197">
        <v>25.47</v>
      </c>
      <c r="Y197">
        <v>43.89</v>
      </c>
      <c r="Z197">
        <v>40.85</v>
      </c>
      <c r="AA197">
        <v>72.489999999999995</v>
      </c>
      <c r="AB197">
        <v>54.41</v>
      </c>
      <c r="AC197">
        <v>38.9</v>
      </c>
      <c r="AD197">
        <v>521.51</v>
      </c>
      <c r="AE197">
        <v>594.20000000000005</v>
      </c>
      <c r="AF197">
        <v>42.25</v>
      </c>
      <c r="AG197">
        <v>52.19</v>
      </c>
      <c r="AH197">
        <v>45.61</v>
      </c>
      <c r="AI197">
        <v>46.85</v>
      </c>
    </row>
    <row r="198" spans="1:35" x14ac:dyDescent="0.45">
      <c r="A198" s="2">
        <v>45792</v>
      </c>
      <c r="B198">
        <v>28.25</v>
      </c>
      <c r="C198">
        <v>33.07</v>
      </c>
      <c r="D198">
        <v>18.27</v>
      </c>
      <c r="E198">
        <v>27.62</v>
      </c>
      <c r="F198">
        <v>30.49</v>
      </c>
      <c r="G198">
        <v>45.06</v>
      </c>
      <c r="H198">
        <v>25.08</v>
      </c>
      <c r="I198">
        <v>53.99</v>
      </c>
      <c r="J198">
        <v>59.26</v>
      </c>
      <c r="K198">
        <v>58.8</v>
      </c>
      <c r="L198">
        <v>28.01</v>
      </c>
      <c r="M198">
        <v>51.09</v>
      </c>
      <c r="N198">
        <v>52.15</v>
      </c>
      <c r="O198">
        <v>54.77</v>
      </c>
      <c r="P198">
        <v>54.57</v>
      </c>
      <c r="Q198">
        <v>18.84</v>
      </c>
      <c r="R198">
        <v>1206.5899999999999</v>
      </c>
      <c r="S198">
        <v>31.91</v>
      </c>
      <c r="T198">
        <v>18.3</v>
      </c>
      <c r="U198">
        <v>12.81</v>
      </c>
      <c r="V198">
        <v>40.130000000000003</v>
      </c>
      <c r="W198">
        <v>45.6</v>
      </c>
      <c r="X198">
        <v>25.55</v>
      </c>
      <c r="Y198">
        <v>43.83</v>
      </c>
      <c r="Z198">
        <v>40.86</v>
      </c>
      <c r="AA198">
        <v>72.3</v>
      </c>
      <c r="AB198">
        <v>54.02</v>
      </c>
      <c r="AC198">
        <v>38.799999999999997</v>
      </c>
      <c r="AD198">
        <v>519.25</v>
      </c>
      <c r="AE198">
        <v>590.46</v>
      </c>
      <c r="AF198">
        <v>42.09</v>
      </c>
      <c r="AG198">
        <v>52.25</v>
      </c>
      <c r="AH198">
        <v>45.62</v>
      </c>
      <c r="AI198">
        <v>46.53</v>
      </c>
    </row>
    <row r="199" spans="1:35" x14ac:dyDescent="0.45">
      <c r="A199" s="2">
        <v>45791</v>
      </c>
      <c r="B199">
        <v>28.58</v>
      </c>
      <c r="C199">
        <v>33.24</v>
      </c>
      <c r="D199">
        <v>17.97</v>
      </c>
      <c r="E199">
        <v>28.01</v>
      </c>
      <c r="F199">
        <v>30.68</v>
      </c>
      <c r="G199">
        <v>44.95</v>
      </c>
      <c r="H199">
        <v>25.07</v>
      </c>
      <c r="I199">
        <v>53.77</v>
      </c>
      <c r="J199">
        <v>59.36</v>
      </c>
      <c r="K199">
        <v>58.61</v>
      </c>
      <c r="L199">
        <v>28.2</v>
      </c>
      <c r="M199">
        <v>50.22</v>
      </c>
      <c r="N199">
        <v>52.22</v>
      </c>
      <c r="O199">
        <v>53.97</v>
      </c>
      <c r="P199">
        <v>55.6</v>
      </c>
      <c r="Q199">
        <v>18.829999999999998</v>
      </c>
      <c r="R199">
        <v>1220.27</v>
      </c>
      <c r="S199">
        <v>32.479999999999997</v>
      </c>
      <c r="T199">
        <v>18.16</v>
      </c>
      <c r="U199">
        <v>12.82</v>
      </c>
      <c r="V199">
        <v>40.21</v>
      </c>
      <c r="W199">
        <v>45.33</v>
      </c>
      <c r="X199">
        <v>25.16</v>
      </c>
      <c r="Y199">
        <v>43.44</v>
      </c>
      <c r="Z199">
        <v>40.340000000000003</v>
      </c>
      <c r="AA199">
        <v>71.45</v>
      </c>
      <c r="AB199">
        <v>52.94</v>
      </c>
      <c r="AC199">
        <v>38.25</v>
      </c>
      <c r="AD199">
        <v>518.67999999999995</v>
      </c>
      <c r="AE199">
        <v>587.59</v>
      </c>
      <c r="AF199">
        <v>41.88</v>
      </c>
      <c r="AG199">
        <v>52.2</v>
      </c>
      <c r="AH199">
        <v>45.11</v>
      </c>
      <c r="AI199">
        <v>46.26</v>
      </c>
    </row>
    <row r="200" spans="1:35" x14ac:dyDescent="0.45">
      <c r="A200" s="2">
        <v>45790</v>
      </c>
      <c r="B200">
        <v>28.34</v>
      </c>
      <c r="C200">
        <v>32.56</v>
      </c>
      <c r="D200">
        <v>17.54</v>
      </c>
      <c r="E200">
        <v>28.06</v>
      </c>
      <c r="F200">
        <v>30.8</v>
      </c>
      <c r="G200">
        <v>45.11</v>
      </c>
      <c r="H200">
        <v>24.87</v>
      </c>
      <c r="I200">
        <v>53.28</v>
      </c>
      <c r="J200">
        <v>59.08</v>
      </c>
      <c r="K200">
        <v>58.12</v>
      </c>
      <c r="L200">
        <v>28.33</v>
      </c>
      <c r="M200">
        <v>50.41</v>
      </c>
      <c r="N200">
        <v>52.07</v>
      </c>
      <c r="O200">
        <v>54.01</v>
      </c>
      <c r="P200">
        <v>54.7</v>
      </c>
      <c r="Q200">
        <v>18.755299999999998</v>
      </c>
      <c r="R200">
        <v>1187.8599999999999</v>
      </c>
      <c r="S200">
        <v>32.46</v>
      </c>
      <c r="T200">
        <v>18.36</v>
      </c>
      <c r="U200">
        <v>12.74</v>
      </c>
      <c r="V200">
        <v>40.299999999999997</v>
      </c>
      <c r="W200">
        <v>45.62</v>
      </c>
      <c r="X200">
        <v>25.42</v>
      </c>
      <c r="Y200">
        <v>43.4</v>
      </c>
      <c r="Z200">
        <v>40.590000000000003</v>
      </c>
      <c r="AA200">
        <v>72.25</v>
      </c>
      <c r="AB200">
        <v>53.19</v>
      </c>
      <c r="AC200">
        <v>38.42</v>
      </c>
      <c r="AD200">
        <v>515.59</v>
      </c>
      <c r="AE200">
        <v>586.84</v>
      </c>
      <c r="AF200">
        <v>42.1</v>
      </c>
      <c r="AG200">
        <v>52.04</v>
      </c>
      <c r="AH200">
        <v>45.23</v>
      </c>
      <c r="AI200">
        <v>46</v>
      </c>
    </row>
    <row r="201" spans="1:35" x14ac:dyDescent="0.45">
      <c r="A201" s="2">
        <v>45789</v>
      </c>
      <c r="B201">
        <v>28.45</v>
      </c>
      <c r="C201">
        <v>32.35</v>
      </c>
      <c r="D201">
        <v>17.399999999999999</v>
      </c>
      <c r="E201">
        <v>27.75</v>
      </c>
      <c r="F201">
        <v>30.5</v>
      </c>
      <c r="G201">
        <v>44.74</v>
      </c>
      <c r="H201">
        <v>24.5</v>
      </c>
      <c r="I201">
        <v>52.95</v>
      </c>
      <c r="J201">
        <v>57.84</v>
      </c>
      <c r="K201">
        <v>58.04</v>
      </c>
      <c r="L201">
        <v>27.49</v>
      </c>
      <c r="M201">
        <v>50.19</v>
      </c>
      <c r="N201">
        <v>51.6</v>
      </c>
      <c r="O201">
        <v>54.32</v>
      </c>
      <c r="P201">
        <v>55.06</v>
      </c>
      <c r="Q201">
        <v>18.7</v>
      </c>
      <c r="R201">
        <v>1198.98</v>
      </c>
      <c r="S201">
        <v>32.619999999999997</v>
      </c>
      <c r="T201">
        <v>18.13</v>
      </c>
      <c r="U201">
        <v>12.69</v>
      </c>
      <c r="V201">
        <v>40.04</v>
      </c>
      <c r="W201">
        <v>44.75</v>
      </c>
      <c r="X201">
        <v>25.18</v>
      </c>
      <c r="Y201">
        <v>43.08</v>
      </c>
      <c r="Z201">
        <v>40.380000000000003</v>
      </c>
      <c r="AA201">
        <v>72.8</v>
      </c>
      <c r="AB201">
        <v>53.53</v>
      </c>
      <c r="AC201">
        <v>38.24</v>
      </c>
      <c r="AD201">
        <v>507.85</v>
      </c>
      <c r="AE201">
        <v>582.99</v>
      </c>
      <c r="AF201">
        <v>41.81</v>
      </c>
      <c r="AG201">
        <v>51.6</v>
      </c>
      <c r="AH201">
        <v>45.09</v>
      </c>
      <c r="AI201">
        <v>45.66</v>
      </c>
    </row>
    <row r="202" spans="1:35" x14ac:dyDescent="0.45">
      <c r="A202" s="2">
        <v>45786</v>
      </c>
      <c r="B202">
        <v>27.78</v>
      </c>
      <c r="C202">
        <v>32.200000000000003</v>
      </c>
      <c r="D202">
        <v>17.41</v>
      </c>
      <c r="E202">
        <v>27.62</v>
      </c>
      <c r="F202">
        <v>30.88</v>
      </c>
      <c r="G202">
        <v>45.330300000000001</v>
      </c>
      <c r="H202">
        <v>24.45</v>
      </c>
      <c r="I202">
        <v>51.75</v>
      </c>
      <c r="J202">
        <v>58.12</v>
      </c>
      <c r="K202">
        <v>57.69</v>
      </c>
      <c r="L202">
        <v>27.56</v>
      </c>
      <c r="M202">
        <v>50.64</v>
      </c>
      <c r="N202">
        <v>51.048299999999998</v>
      </c>
      <c r="O202">
        <v>52.39</v>
      </c>
      <c r="P202">
        <v>53.25</v>
      </c>
      <c r="Q202">
        <v>18.690000000000001</v>
      </c>
      <c r="R202">
        <v>1197.26</v>
      </c>
      <c r="S202">
        <v>31.41</v>
      </c>
      <c r="T202">
        <v>18.149999999999999</v>
      </c>
      <c r="U202">
        <v>12.49</v>
      </c>
      <c r="V202">
        <v>39.54</v>
      </c>
      <c r="W202">
        <v>45.17</v>
      </c>
      <c r="X202">
        <v>25.01</v>
      </c>
      <c r="Y202">
        <v>42.85</v>
      </c>
      <c r="Z202">
        <v>40.770000000000003</v>
      </c>
      <c r="AA202">
        <v>72.010000000000005</v>
      </c>
      <c r="AB202">
        <v>53.58</v>
      </c>
      <c r="AC202">
        <v>38.29</v>
      </c>
      <c r="AD202">
        <v>487.97</v>
      </c>
      <c r="AE202">
        <v>564.34</v>
      </c>
      <c r="AF202">
        <v>41.68</v>
      </c>
      <c r="AG202">
        <v>50.79</v>
      </c>
      <c r="AH202">
        <v>44.38</v>
      </c>
      <c r="AI202">
        <v>45.81</v>
      </c>
    </row>
    <row r="204" spans="1:35" x14ac:dyDescent="0.45">
      <c r="A204" t="s">
        <v>78</v>
      </c>
      <c r="B204">
        <f>AVERAGE(_xlfn.ANCHORARRAY(B2))</f>
        <v>32.51411840796019</v>
      </c>
      <c r="C204">
        <f t="shared" ref="C204:AI204" si="0">AVERAGE(_xlfn.ANCHORARRAY(C2))</f>
        <v>35.675995024875633</v>
      </c>
      <c r="D204">
        <f t="shared" si="0"/>
        <v>18.145074626865661</v>
      </c>
      <c r="E204">
        <f t="shared" si="0"/>
        <v>26.05978706467662</v>
      </c>
      <c r="F204">
        <f t="shared" si="0"/>
        <v>33.473333333333343</v>
      </c>
      <c r="G204">
        <f t="shared" si="0"/>
        <v>61.854213432835842</v>
      </c>
      <c r="H204">
        <f t="shared" si="0"/>
        <v>25.992985074626851</v>
      </c>
      <c r="I204">
        <f t="shared" si="0"/>
        <v>62.365223880597014</v>
      </c>
      <c r="J204">
        <f t="shared" si="0"/>
        <v>66.308258706467655</v>
      </c>
      <c r="K204">
        <f t="shared" si="0"/>
        <v>87.038258706467658</v>
      </c>
      <c r="L204">
        <f t="shared" si="0"/>
        <v>30.909253731343295</v>
      </c>
      <c r="M204">
        <f t="shared" si="0"/>
        <v>62.616716417910432</v>
      </c>
      <c r="N204">
        <f t="shared" si="0"/>
        <v>64.041776616915428</v>
      </c>
      <c r="O204">
        <f t="shared" si="0"/>
        <v>53.670024875621905</v>
      </c>
      <c r="P204">
        <f t="shared" si="0"/>
        <v>60.337487562189111</v>
      </c>
      <c r="Q204">
        <f t="shared" si="0"/>
        <v>19.306370646766172</v>
      </c>
      <c r="R204">
        <f t="shared" si="0"/>
        <v>1255.7025373134327</v>
      </c>
      <c r="S204">
        <f t="shared" si="0"/>
        <v>34.569327363184058</v>
      </c>
      <c r="T204">
        <f t="shared" si="0"/>
        <v>19.483515422885578</v>
      </c>
      <c r="U204">
        <f t="shared" si="0"/>
        <v>17.056592039801</v>
      </c>
      <c r="V204">
        <f t="shared" si="0"/>
        <v>38.425920398009957</v>
      </c>
      <c r="W204">
        <f t="shared" si="0"/>
        <v>45.756854228855708</v>
      </c>
      <c r="X204">
        <f t="shared" si="0"/>
        <v>26.713432835820885</v>
      </c>
      <c r="Y204">
        <f t="shared" si="0"/>
        <v>50.048557213930351</v>
      </c>
      <c r="Z204">
        <f t="shared" si="0"/>
        <v>41.993283582089596</v>
      </c>
      <c r="AA204">
        <f t="shared" si="0"/>
        <v>80.082437810945279</v>
      </c>
      <c r="AB204">
        <f t="shared" si="0"/>
        <v>56.969452736318445</v>
      </c>
      <c r="AC204">
        <f t="shared" si="0"/>
        <v>42.3055223880597</v>
      </c>
      <c r="AD204">
        <f t="shared" si="0"/>
        <v>585.67457711442796</v>
      </c>
      <c r="AE204">
        <f t="shared" si="0"/>
        <v>653.22328358208961</v>
      </c>
      <c r="AF204">
        <f t="shared" si="0"/>
        <v>44.024676616915428</v>
      </c>
      <c r="AG204">
        <f t="shared" si="0"/>
        <v>56.605776616915477</v>
      </c>
      <c r="AH204">
        <f t="shared" si="0"/>
        <v>47.782835820895535</v>
      </c>
      <c r="AI204">
        <f t="shared" si="0"/>
        <v>51.484527363184078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2178911"><![CDATA[{"QQQ^FG_TOTAL_RETURNC(-5AY,0,AM)":[-4.397571,0.71669817,8.110762,-2.1953583,4.7085404,5.44554,1.0665178,0.35779476,1.5509129,3.1863332,1.5931368,-13.189059,0.34825802,4.0562153,-11.746204,-5.6158247,-1.3921797,-0.08146167,4.4399977,-10.597574,1.2975216,3.2346368,-6.5908375,9.717237,-0.50793886,6.6883087,0.3152132,11.713219,2.804613,5.546856,-3.5759686999999998,-2.5543094,-2.978456,13.341677,5.69582,3.2010078,3.006065,1.6839147,-2.7790308,6.2529087,5.064273,-3.622204,2.6718736,3.1169057,1.1951685,2.8244376,4.1498065,0.005674362,-2.8453827,-5.727893,-2.440232,7.761979,7.3810577,3.688991,1.1017561,4.199493,3.545487,-0.45859218,1.6963363,0.2516508,-2.5932968],"GREK^FG_TOTAL_RETURNC(-5AY,0,AM)":[3.8413405,6.8757534,7.8555226,-1.7371237,2.8043985,-7.147789,5.8014154,-3.5500884,2.915454,-9.631723,5.6034446,4.611933,5.2555323,-11.225897,5.0038695,-1.7362356,-7.030076,-6.839246,4.6562195,-13.596666,16.773819,9.372938,2.411449,12.563551,6.7069054,-7.7938375,7.2597146,10.041321,2.685535,13.118291,-6.6266594,-9.212637,-1.7404139,11.738216,2.0687819,4.201591,3.7371159,0.34782887,1.448381,3.624165,-6.5944376,7.516086,0.50765276,3.146112,-10.074878,-1.8925071,4.4753075,7.794428,1.0845184,14.098274,2.2717953,7.4919224,11.422133,6.3781977,4.553497,-1.785171,-0.8617997,4.5519233,3.7188172,8.729612,-1.4097989],"EZA^FG_TOTAL_RETURNC(-5AY,0,AM)":[2.4590135,6.5297365,3.0038595,2.9556632,-4.1977463,-6.0080647,0.8365512,-1.2337744,5.1475286,-13.088894,10.985875,3.1323671,8.570838,5.9206724,-14.7793,-0.33963323,-3.6839426,-6.1496735,2.6258707,-15.352106,7.5707197,13.972664,-0.47007203,7.291186,-12.430107,0.56483746,3.150189,-11.197925,5.722213,13.288868,-9.193844,-5.910224,-1.8287778,8.693302,3.0336618,-3.2706857,-4.7943535,1.8287778,4.2165637,7.092905,2.7068973,1.1761904,8.388424,8.243954,-3.4777582,-4.8711777,-4.4947805,1.2368798,6.27017,4.4685483,0.45681,8.557248,2.065897,3.3220172,6.1380982,8.95009,2.9699802,4.0656686,9.354043,10.05547,4.368055],"EWT^FG_PRICE(0,-200D)":[76.14,77.06,75.73,73.18,74.38,72.67,72.98,72.89,73.05,72.56,73.35,71.44,70.76,70.05,67.86,68.15,68.83,68.94,68.06,69.83,71.19,71.32,69.94,69.71,68.25,67.45,66.54,67.34,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],"SPY^FG_TOTAL_RETURNC(-5AY,0,AM)":[-0.89372396,4.4481993,5.462396,0.349617,2.1367788,3.3777952,1.188159,-0.20475388,2.7145147,0.6601453,2.8988004,-7.909054,1.0083556,3.7306905,-8.082795,-2.5931299,-3.3428192,0.20766258,3.689015,-9.743547,4.8612475,5.316472,-4.3845296,5.7036877,-2.0679414,0.22666454,2.1756172,3.872788,3.1018734,5.5789948,-3.4115613,-2.8568506,-3.1299949,10.362375,4.893863,2.4724126,3.8119793,2.8544188,-2.033496,4.1671515,3.3681393,-0.19614697,3.0030847,2.3659468,1.1777043,3.7320495,0.4477501,1.102531,-2.2089899,-4.0771904,-3.1569362,5.1703453,5.9700727,4.1234255,1.2651086,2.8653264,2.3314476,0.35880804,1.8614411,0.35055876,-0.49514174],"INDA^FG_TOTAL_RETURNC(-5AY,0,AM)":[0.9099841,3.6314964,-4.4214487,8.439959,0.97806454,0.7872343,3.9053798,7.195008,-0.060105324,-5.433047,1.759541,-1.2211442,-0.9433985,0.34013987,-0.881356,-6.338346,-2.775079,1.4271379,5.1839113,-4.1774216,3.5268188,2.365744,-4.807031,1.7722726,-6.989497,-1.1285007,4.4357896,4.3715954,1.977396,4.465747,-2.0590901,1.2797117,-3.587544,5.7570815,7.3910117,1.3599873,4.818058,-1.5515983,3.073287,3.344798,2.1268725,2.897501,0.65118074,3.5145998,-7.5844646,0.0,-1.95629,-4.826289,-3.275454,4.855168,2.8210044,3.2734275,2.0703554,-3.428471,-2.3234189,-0.57088137,4.325354,0.29352903,-1.5181959,-4.4576526,2.2161841],"EWI^FG_PRICE(0,-200D)":[57.93,57.61,56.94,56.94,56.81,55.89,56.32,56.02,55.54,56.52,56.98,57.32,57.61,56.28,55.7,56.95,56.93,56.37,55.88,56.17,55.83,56.63,55.39,54.91,54.77,54.44,54.02,54.92,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],"EWJ^FG_PRICE(0,-200D)":[92.48,92.44,91.23,91.39,91.47,91.2,91.38,91.87,93.85,93.37,93.97,93.1,91.29,89.4,86.1,87.49,86.68,85.89,85.72,86.09,85.21,85.84,84.63,84.56,84.86,84.78,83.72,85.48,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],"TUR^FG_PRICE(0,-200D)":[41.23,41.19,41.93,41.76,41.65,41.26,42.41,42.34,42.22,41.91,41.21,40.97,41.54,40.84,40.66,41.37,41.54,41.14,41.25,41.58,40.39,39.56,39.86,39.43,39.08,38.64,38.87,38.41,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],"EWY^FG_PRICE(0,-200D)":[150.41,148.89,144.55,139.3,141.88,135.21,132.93,130.68,133.97,130.8,130.6,124.45,126.05,124.71,120.21,120.26,124.32,120.93,122.41,124.5,125.56,122.7,117.32,117.97,115.99,115.66,110.97,112.22,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],"ECH^FG_PRICE(0,-200D)":[44.34,44.73,44.54,43.51,43.58,43.52,43.69,43.8,43.81,44.25,45.35,44.54,46.17,45.24,45.19,45.66,47.19,46.05,45.24,46.875,47.06,47.37,46.78,46.4,46.175,45.2,43.89,44.09,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],"KSA^FG_TOTAL_RETURNC(-5AY,0,AM)":[2.22646,7.1250796,7.8420043,3.6628127,3.0934095,-0.2035141,3.3647656,1.627624,5.872369,-8.228284,3.332448,8.367622,2.4034142,4.694009,2.9122114,-7.2068334,-9.185898,3.5288453,6.7936063,-13.427246,10.882271,-8.736533,-6.4942303,6.8169475,-7.2972355,3.8123965,7.503307,0.31949282,1.3361692,5.3326845,-5.9684157,-4.59373,-4.633707,7.0575476,8.392584,2.204311,3.3627152,-1.2340128,-2.8623402,-3.507954,-0.7887602,3.4217596,2.4694324,1.3804436,-4.2003335999999996,-1.4213443,1.0560632,3.6372185,-0.9752631,-1.8256128,0.70956945,-4.834795,-0.9321928,-1.153034,0.7953286,5.0762773,1.9524336,-8.224893,-0.9754956,8.312821,-6.2610445],"EPOL^FG_TOTAL_RETURNC(-5AY,0,AM)":[-3.063345,-2.4102867,7.793629,11.023426,3.006494,-4.1517854,3.2603621,0.045108795,5.320108,-15.325344,5.0600767,-0.43774247,-9.868092,0.8672118,-13.111234,1.4842272,-10.4047,-6.8634152,-5.2321315,-13.763607,9.558153,23.292183,4.8790574,8.937824,-8.026159,-5.623788,17.705477,3.8114667,7.455158,9.285343,-9.069222,-9.133858,12.593878,11.749625,8.026814,-6.9991293,12.276578,-2.6811957,2.7550578,6.493509,-2.8920352,-1.5270293,2.9337764,1.2622237,-10.293531,-2.3756087,1.7975688,10.590446,10.932207,8.556151,5.7002187,-0.6324947,7.8802347,5.3712487,-1.4692605,-2.099824,5.408776,0.4718423,6.827879,7.215917,1.1923552],"EWL^FG_TOTAL_RETURNC(-5AY,0,AM)":[-5.590743,3.5854697,4.488611,3.9324641,3.2895207,0.46634674,2.0585299,-4.7854424,2.6791215,-0.22248626,5.635512,-7.2538853,-0.08276701,1.0768294,-5.388242,-2.2087514,-5.4613533,1.0277271,-2.342093,-10.440886,7.2761655,8.446789,-2.441293,7.602489,-3.1450748,-0.59455633,9.753847,-0.77551603,-1.6211033,4.6981335,-4.445374,-4.235244,-3.7580192,7.523811,5.6244493,0.25156736,-1.4638245,0.06366968,-2.566284,5.180669,2.0977259,3.6010027,4.9740314,-0.41864514,-3.2103956,-6.7324758,-1.3124526,4.7404647,6.55334,0.8072257,1.1248827,3.751886,0.47723055,1.658678,-0.090646744,-1.5423715,5.270922,0.75280666,5.1954865,1.0736704,5.6218266],"EWZ^FG_TOTAL_RETURNC(-5AY,0,AM)":[-9.861541,1.5987515,10.459733,5.3352,10.496855,-5.0682306,-7.597536,-7.1388903,-8.794498,-3.6405385,1.049149,11.448669,7.5122,14.004827,-13.557964,8.962547,-19.731552,-0.4779458,18.248976,-8.497339,4.8139334,-3.6482096,4.7546625,6.2521696,-9.48022,-7.2950544,6.8952084,9.110785,11.659634,4.535699,-8.20874,-2.8106034,0.19717216,10.757626,7.848656,-5.0640163,-0.23972988,-3.0940294,-2.2318602,-3.5193443,-7.136792,1.3888836,10.670519,-3.1921864,-5.349934,-2.3818016,-13.496971,7.130289,2.2185683,5.707395,2.433467,2.635479,3.587377,-4.230356,6.1989665,7.40999,-0.81353784,9.809721,-2.1182895,15.762747,6.8014145],"MCHI^FG_PRICE(0,-200D)":[59.23,60.67,60.43,60.76,61.01,60.72,60.95,60.61,60.35,60.58,61.93,61.99,61.97,61.67,60.1,60.31,61.07,61.61,62.4,64.23,63.91,63.29,62.66,62.74,62.78,62.49,61.65,62.52,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],"INDA^FG_PRICE(0,-200D)":[52.58,52.74,52.67,52.61,53.42,52.3,53.32,53.27,52.89,53.11,53.53,53.74,53.44,53.28,52.95,53.44,53.15,53.28,51.74,51.61,51.49,51.69,51.44,51.24,51.795,51.55,51.73,52.85,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],"EWD^FG_TOTAL_RETURNC(-5AY,0,AM)":[-0.5679071,7.5202227,5.422759,0.5248785,0.51208735,3.529656,-2.3208022,-1.9344032,3.5377383,-7.7034593,5.4131627,-8.892298,-6.3132524,-0.07717013,-9.060478,1.3869166,-8.825434,-0.34656525,-3.9203286,-12.339586,12.199699,13.282037,-3.824228,9.944403,-1.9662857,-4.3266535,8.056307,-3.1042218,-1.4015973,4.699731,-9.531725,-0.88821054,-4.1409135,16.441,12.341892,-5.858588,6.1427116,2.704072,-3.838575,6.6018343,-2.071637,-1.220429,5.421078,4.8313856,-7.2324934,-6.6896257,-0.60622096,8.300185,7.3702216,-0.6157279,0.09177923,3.8972974,2.2725344,2.3163438,0.5605817,1.2006879,3.5169482,-2.926731,5.9854627,6.1832786,3.490138],"EWC^FG_TOTAL_RETURNC(-5AY,0,AM)":[1.7393947,6.061554,3.722155,6.046903,1.0712862,-2.0689726,0.4062891,-0.45858622,6.5582633,-2.8738558,0.6578326,-1.6337276,2.196622,6.395805,-8.819908,0.05403757,-7.688558,-0.4715562,3.5238385,-12.099541,6.8987966,7.5494766,-5.664688,8.432269,-4.267269,-4.3401775,5.5794,-1.9163787,2.358842,4.820335,-6.326646,-0.14876127,-5.184746,8.830929,7.801962,-0.9774685,1.0419488,2.360928,-0.23860335,1.5944719,-2.4858296,3.7909627,5.322194,3.1954408,-1.2001932,3.4985423,-3.8439274,3.0430555,-0.52821636,-0.120681524,1.5949726,5.7088375,4.0211678,2.3736954,2.1484852,4.164934,1.6393423,2.7734041,5.8205366,1.6240835,4.417312],"SET-BKK^FG_PRICE(0,-200D)":[1533.64,1516.01,1490.4,1480.24,1479.71,1493.91,1466.67,1459.68,1438.09,1430.41,1441.53,1411.7,1410.44,1400.89,1354.01,1346.23,1346.54,1336.11,1321.42,1325.62,1331.07,1338.9,1334.45,1307.07,1314.39,1311.64,1317.56,1296.37,1283.2,1275.6,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],"EWU^FG_TOTAL_RETURNC(-5AY,0,AM)":[-0.75163245,3.9183378,3.4220576,3.2169104,0.33141375,-1.865232,0.8890271,-1.0331213,4.2984366,-5.5637302,5.379379,1.7629147,2.2102833,-1.052016,-6.2315407,4.0944815,-6.3910303,-1.6458213,-0.40160418,-13.373655,8.921647,10.897434,0.42068958,6.2642097,-1.4966428,-3.5348833,7.48955,-2.9904306,0.5598545,4.9375057,-6.2537313,0.22236109,-3.232962,6.419921,4.1913867,-1.3599277,0.8272052,3.0385852,2.7130723,4.335344,-1.6890347,2.796805,3.77568,0.7490635,-4.0626645,-2.6293933,-1.035291,3.137827,4.4924736,2.068019,1.1463642,5.1133394,1.560843,2.3935556,2.7066946,-0.38332343,2.8859973,0.49089193,4.904425,3.594029,6.065893],"EPHE^FG_TOTAL_RETURNC(-5AY,0,AM)":[-4.2499185,-0.8943379,-3.676474,1.387918,8.260286,-11.043919,7.781756,0.016593933,6.8038583,-0.43504834,0.99425316,-3.1017423,4.0012836,-5.632508,-3.5225034,-1.3184547,-11.681747,-1.4521122,7.367575,-12.31454,1.0152221,9.212732,1.2739778,10.916698,-8.607685,1.8386483,-3.0950606,-0.98858476,0.70376396,5.71208,-11.171961,0.36991835,-3.6855042,6.590128,4.6014786,1.6532063,4.34947,-1.05111,-7.0695934,0.78833103,-6.389147,7.718408,9.370089,7.739377,-6.5820274,-6.866944,-2.1125436,-3.0075192,-0.20400286,2.297628,4.9476504,5.902505,-2.3012996,-0.36424994,-2.3631632,-3.8284838,-1.6719759,1.2955427,1.0334015,3.787887,8.14445],"QAT^FG_PRICE(0,-200D)":[19.52,19.89,19.99,19.92,19.845,19.8556,20.115,19.98,20.0967,20.075,20.125,20.095,20.1,19.94,19.82,19.96,19.9169,19.97,19.71,19.82,20.0,19.94,19.937,19.82,19.9,19.71,19.71,19.46,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],"CNYA^JULIAN(FG_PRICE(0,-200D).DATES)":[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],"EWQ^FG_PRICE(0,-200D)":[48.35,48.02,47.62,47.49,47.68,46.91,47.03,47.05,46.7,46.68,47.08,46.83,46.99,46.4,45.73,46.03,45.69,45.68,45.35,45.82,45.53,46.15,45.65,45.51,45.16,45.05,44.55,45.29,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],"EWM^FG_PRICE(0,-200D)":[29.65,30.01,30.02,30.01,30.13,29.82,29.67,29.65,29.72,29.71,29.98,29.69,29.83,29.57,29.18,29.49,29.42,29.32,29.18,29.27,29.84,30.06,29.5,28.78,28.43,28.26,27.88,28.17,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],"TUR^FG_TOTAL_RETURNC(-5AY,0,AM)":[-4.5032206,-13.922155,-0.5217433,1.6171336,-5.5295763,-1.359582,10.97908,-10.278368,1.8138409,-8.579463,7.6581,-8.468903,-0.4704535,4.7794104,11.2782,-7.477474,-3.5205543,-2.1795511,18.302382,3.1838655,18.94828,22.396778,10.638785,-4.8264685,-2.2507012,-0.64121485,-6.0428324,-7.680297,-1.5178382,12.379932,17.062355,4.1103363,-9.740257,1.5539646,-8.848434,10.8702545,8.586001,-8.924836,13.667607,8.495092,-3.3490062,4.015577,-15.255028,1.8774152,-9.187001,8.534765,1.3605833,-0.49019456,-7.279694,-3.3057928,-2.4420023,-2.2528112,-1.8902183,11.924481,6.4516187,-3.3361137,-2.099508,-1.3219774,4.554355,14.672041,3.4370303],"SPY^FG_PRICE(0,-200D)":[689.3,693.15,687.35,682.39,689.43,684.48,686.29,682.85,681.75,681.27,691.96,692.12,693.95,690.62,677.62,686.19,689.53,695.41,691.97,694.04,695.42,695.49,692.73,689.23,688.98,685.4,677.58,691.66,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],"KSA^FG_PRICE(0,-200D)":[37.13,37.92,38.18,38.3,38.63,38.13,39.12,38.94,39.16,38.94,39.19,39.23,39.46,39.75,39.22,39.63,39.57,39.79,39.86,39.87,40.14,40.12,39.61,39.01,38.93,38.3,37.94,37.83,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],"EWN^FG_TOTAL_RETURNC(-5AY,0,AM)":[0.6861806,5.270326,5.9128165,0.46862364,-0.39929152,1.3937235,4.50778,1.2185693,-0.40130615,-5.2187204,1.0834217,-9.005022,-3.4459949,-2.562338,-10.213661,0.62761307,-5.852008,0.7270813,-2.7484775,-12.617749,8.3959465,16.214584,-2.0145655,13.715053,-5.2693186,0.0741601,2.618575,3.5387516,-1.6421735,5.210948,-7.6678395,-7.480061,-2.1279275,15.108705,6.2250733,2.8661013,3.8963914,3.28933,-1.8052697,6.8374276,-1.8634915,-2.8292477,2.8501153,1.8540621,-6.302607,-6.538534,2.062416,2.1427035,4.801035,-1.279813,1.9653082,7.134068,4.650724,-0.87085366,0.5046725,6.230235,3.13375,-1.9012034,2.698779,9.884537,0.38210154],"EWT^FG_TOTAL_RETURNC(-5AY,0,AM)":[1.4228702,1.5055656,9.961224,-5.686694,3.250444,-0.37776828,-1.0902226,2.2044778,-1.3129115,0.8394003,6.077504,-2.8145492,0.29742718,-3.527391,-10.402846,-0.8486867,-3.860861,-5.209321,1.5987158,-12.234461,-6.476915,17.852867,-2.5698304,12.14286,-3.887546,3.9762378,-5.4065943,8.73605,1.025641,2.5169253,-6.1275063,-2.9670298,-1.4949024,10.669112,6.3555956,-0.9028852,3.111112,4.439652,-2.806437,9.7452279999999991,3.7144542,-2.7420282,3.4330726,4.542923,-0.14189482,-4.937834,1.5510201,1.5200496,-0.655061,-6.7257047,-6.402743,15.49418,8.090425,2.731204,0.1177907,5.445385,5.961108,-4.2418838,3.5559177,10.980642,8.864737],"ECH^JULIAN(FG_TOTAL_RETURNC(-5AY,0,AM).DATES)":[44253,44281,44312,44342,44372,44403,44434,44463,44495,44526,44553,44587,44617,44645,44677,44707,44736,44768,44799,44830,44860,44890,44918,44952,44981,45009,45042,45072,45103,45133,45163,45195,45225,45254,45286,45317,45348,45377,45408,45436,45469,45499,45530,45561,45590,45622,45652,45681,45714,45742,45772,45800,45834,45863,45895,45926,45954,45987,46017,46048,46079],"EWU^FG_PRICE(0,-200D)":[48.61,48.66,47.98,47.89,48.04,47.68,47.88,47.42,47.25,47.01,47.43,46.74,47.02,46.9,45.94,47.05,46.47,46.54,46.16,46.44,46.24,46.5,45.83,45.57,45.07,45.16,44.7,45.18,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],"VNM^FG_PRICE(0,-200D)":[19.16,19.085,19.25,19.23,19.285,18.76,18.77,18.73,18.89,18.51,18.71,18.08,18.045,18.03,18.12,18.61,18.45,18.77,19.07,18.81,18.5,18.76,18.91,19.42,19.625,19.39,19.51,19.73,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],"EPHE^FG_PRICE(0,-200D)":[28.15,28.37,27.73,27.53,27.16,26.83,26.78,26.68,26.97,26.94,27.25,26.93,26.42,26.73,26.45,26.33,26.45,26.24,25.97,25.65,26.33,26.23,26.03,26.21,26.35,26.27,26.0,26.42,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],"EWA^FG_TOTAL_RETURNC(-5AY,0,AM)":[-1.9599974,2.2031784,5.309379,0.7960558,0.51676035,-1.6691983,-1.1188328,-1.1704981,5.2112103,-7.8424034,4.5835853,-7.2734175,5.3959966,9.413708,-7.924527,0.12295246,-8.685416,0.60156584,3.2198787,-11.809265,5.457306,11.499763,-2.2963881,12.096775,-8.393288,-3.9267004,3.7238836,-1.8388808,0.7994652,5.8160424,-8.308476,-0.836432,-3.420806,8.927703,11.107122,-3.0687392,0.59096813,1.8883824,-2.3064315,4.173696,0.0094771385,1.8151879,4.8217177,4.2520285,-4.375225,0.6979346,-4.7809124,2.4259925,-1.886791,-2.986914,3.3741117,4.651165,4.6102047,0.18917322,1.85045,-1.1123419,1.91226,-5.003679,5.106139,3.5232425,9.123814],"UAE^FG_PRICE(0,-200D)":[21.54,22.0,22.0,21.96,21.63,21.69,22.23,21.85,21.94,21.89,21.83,21.9,21.89,21.73,21.39,21.29,21.11,20.94,20.49,20.66,20.75,20.71,20.41,20.46,20.62,20.3,20.09,19.87,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],"EIDO^FG_PRICE(0,-200D)":[17.89,18.22,17.95,18.11,18.06,17.83,17.87,17.82,17.77,17.89,18.09,17.75,17.6,17.6,17.51,17.79,17.59,17.41,17.65,17.58,17.26,19.18,19.2,19.01,19.05,18.94,19.13,19.14,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],"ENZL^FG_TOTAL_RETURNC(-5AY,0,AM)":[-10.837012,-1.039499,4.993534,-3.7555814,-0.40208697,-0.5346775,1.2054086,2.140665,0.61455965,-9.158963,2.8234959,-8.673817,1.7429471,1.9604206,-9.038639,-6.0450373,-3.54923,0.2205491,1.9586325,-8.417874,0.49493313,10.365856,3.5809755,8.286953,-7.9954267,-0.24830103,1.2860417,-0.9215653,-0.8987546,4.297447,-9.291047,-1.0465384,-6.5931616,8.479881,8.632517,-2.1285415,-2.686572,-0.24101734,-2.767402,3.2301784,0.03862381,0.7273555,8.271337,0.4244089,-3.4010828,-0.12500286,-3.8200438,0.98900795,-6.507075,-1.1173189,3.0131817,3.6563158,0.85783005,1.6131997,-1.8698871,0.3872633,0.5510807,-0.31787753,1.8537998,2.4928927,0.75740814],"EWD^FG_PRICE(0,-200D)":[54.56,54.13,54.01,53.49,54.0,53.4,53.5,53.26,53.47,53.42,54.56,54.17,53.38,52.93,51.86,52.92,53.23,52.88,52.27,53.45,52.93,53.64,52.72,52.38,51.74,51.52,50.46,51.31,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],"EWG^FG_PRICE(0,-200D)":[44.56,44.35,43.95,43.9,44.32,43.88,44.12,44.04,43.97,43.96,44.05,44.22,44.32,43.53,42.84,43.25,43.51,43.48,43.11,43.44,44.01,44.3,43.84,43.48,43.1,42.82,42.54,43.34,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],"EWW^FG_PRICE(0,-200D)":[80.66,80.45,80.37,79.54,81.23,79.94,80.15,80.76,81.03,79.92,80.7,80.48,80.67,79.87,76.83,77.22,78.76,75.43,75.12,78.45,78.73,77.86,76.7,76.08,75.75,75.36,74.61,74.0,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],"CNYA^FG_PRICE(0,-200D)":[35.96,36.36,35.94,35.85,35.79,35.622,35.8,35.65,35.3684,35.56,35.76,35.715,35.82,35.41,34.84,35.14,35.0,34.72,35.11,35.89,35.52,35.64,35.58,35.55,35.78,35.805,35.5,35.515,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],"VNM^FG_TOTAL_RETURNC(-5AY,0,AM)":[-3.0837,1.3636351,7.062781,2.3560166,4.85934,-6.439024,0.26068687,1.8200755,0.7150173,4.8681617,0.40329695,-6.437558,1.3450623,-2.246046,-12.689299,-5.8612404,-6.0355783,-3.0425966,6.973505,-11.408085,-15.599704,0.87183714,5.881679,6.537962,-11.214238,3.0487895,-0.33812523,4.3257,10.081303,7.6070905,0.06864071,-9.25926,-9.032499,9.181559,3.2048106,0.06655455,1.4762998,5.0535917,-10.349852,2.3983717,-2.500999,-1.8729627,4.1493773,1.673305,-6.6614447,-1.3434052,-0.34042597,-0.93936324,2.4999976,5.0462484,-3.843069,9.408832,3.5768628,21.013964,9.046745,-2.282852,3.7606835,0.16474724,1.0831714,2.7717352,1.3220549],"EWJ^FG_TOTAL_RETURNC(-5AY,0,AM)":[-1.8699586,2.7704477,-1.8114448,-0.90063214,1.0293365,-1.1546373,0.044369698,7.389891,-5.780351,-2.1910608,1.9935966,-5.9198856,0.22078753,-1.2745857,-10.663056,3.461194,-6.4918814,0.72625875,0.647068,-9.570169,2.3359776,11.075819,-1.9089937,7.10243,-5.1824093,2.7148604,2.1529794,3.238523,1.809144,3.1521916,-4.5519648,1.3339996,-5.644232,9.190798,2.5432944,3.28542,5.5207253,3.333342,-5.8485327,1.9812346,-0.94501376,2.050221,3.406608,2.759397,-7.877791,1.2343884,0.2998352,1.8744469,1.5040874,1.7839074,0.028264523,3.19345,2.105713,2.3117423,4.281175,1.9260049,2.5609136,0.9212136,0.9319186,4.52019,9.275675],"GREK^FG_PRICE(0,-200D)":[72.03,71.51,70.34,71.04,70.9,71.04,72.89,70.66,71.9,73.56,73.84,74.54,74.77,75.17,74.65,76.09,76.02,74.66,73.75,75.62,77.2,75.35,73.06,72.25,72.2,70.74,69.88,70.03,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],"EWC^FG_PRICE(0,-200D)":[58.15,57.59,57.15,56.95,57.16,56.75,56.46,55.86,56.17,55.26,56.58,56.72,56.27,55.01,54.14,55.01,54.84,54.55,54.26,56.53,56.35,56.18,55.69,55.77,55.2,55.02,54.75,55.13,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],"EWI^FG_TOTAL_RETURNC(-5AY,0,AM)":[2.500856,5.080211,2.7989745,2.2586584,1.2498975,-2.147621,0.6491542,-0.15357137,3.3835769,-5.8911085,4.1494966,-1.8780768,-1.5688717,-7.4593544,-6.3382683,6.1419606,-10.144586,-9.062004,1.8356681,-6.60944,10.340071,15.326953,-1.0623097,10.892927,-1.0023415,-1.8562257,7.668495,-2.6828468,3.1598449,8.213818,-5.0903616,-3.9987326,-3.041321,11.830891,4.9663067,-1.5882373,6.5152407,5.9483647,-1.3771117,3.759396,-4.0210724,3.61979,2.1066666,2.7161121,-2.6188731,-6.7101836,2.8678536,6.9060802,6.6408277,3.2469153,3.3560157,6.630337,2.9102325,4.336846,3.7530184,0.23337603,-0.5238652,2.4770856,5.3211927,1.4097452,4.5856714],"EWW^FG_TOTAL_RETURNC(-5AY,0,AM)":[-5.857837,8.28824,6.6999793,0.8514285,3.2935739,0.3706813,1.169467,-0.08112192,0.974226,-11.095476,14.004731,-3.8012862,4.683244,7.0101857,-5.916393,3.0946255,-7.531267,-4.4791937,2.941835,-5.8659196,12.828123,9.245396,-1.8637359,12.574614,-2.1382153,-0.29714704,3.2959223,3.9036036,1.6123414,4.1781425,-2.300644,-7.446301,-6.1715603,14.492488,11.000574,-2.8107107,-0.33137798,3.4607887,-2.351737,-1.3911724,-13.906693,0.6041169,-4.3800774,1.3852954,-4.20841,-6.9037676,2.0676255,3.387034,2.8565764,1.0098934,11.401653,4.711771,1.2067795,1.2269855,0.63881874,9.277344,-2.6362777,3.8396716,6.8546176,7.800412,5.162978],"CNYA^FG_TOTAL_RETURNC(-5AY,0,AM)":[-4.2925954,-5.491996,1.5738487,7.9380155,-2.225417,-4.411769,-0.5917132,0.30952692,3.821504,-1.4174759,2.138126,-5.728692,-0.6806016,-10.156637,-14.70989,6.771004,11.965263,-4.737687,-3.7651002,-10.102188,-3.6700249,1.8543482,3.0495286,16.419876,-8.931601,0.99316835,-3.1653345,-4.474771,-3.923732,5.477631,-7.818663,-0.28510094,-4.896349,3.7715077,-5.541092,-1.0782778,3.0278563,2.1551728,1.1891007,0.41698217,-3.526795,-1.5698552,-0.67783,13.207555,4.680848,-4.640925,4.013896,-3.0017436,2.5548697,-1.192981,-3.2315314,3.48624,2.4991155,5.2796006,8.578026,1.9143105,2.8026223,-2.581203,5.047679,2.5064945,1.068008],"QQQ^FG_PRICE(0,-200D)":[609.24,616.68,607.87,601.41,608.81,603.47,605.79,601.3,601.92,600.64,613.11,611.47,614.32,609.65,597.03,605.75,616.52,626.14,621.87,629.43,633.22,631.13,625.46,622.72,620.76,616.28,608.06,621.26,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],"EWQ^FG_TOTAL_RETURNC(-5AY,0,AM)":[1.4983535,2.863896,6.8312287,3.6270738,1.3005495,-1.7080724,0.5265951,0.6024122,1.1455297,-2.9343605,5.0282598,-3.1136513,-1.8211067,-4.828149,-5.5316744,3.003645,-5.632019,-3.149104,-0.5640328,-11.177837,13.373399,10.7687235,-0.63001513,11.722064,-1.9740403,-0.4137993,8.698071,-3.2619834,0.24265051,4.0569544,-3.84714,-5.2631674,-3.032881,10.230923,5.0819755,-0.9144008,3.17868,2.534163,-1.4538467,3.196466,-6.673157,1.044941,3.4901738,2.6729941,-6.9343033,-6.7973795,2.0762563,8.305645,1.9683003,1.4790654,1.1610746,3.5409093,1.6338587,3.7494063,-2.6075006,2.3720026,3.4870386,-1.5074253,2.204132,1.0402918,5.914557],"EWN^FG_PRICE(0,-200D)":[63.05,63.77,63.0,62.95,63.18,62.66,62.94,62.23,61.65,61.53,63.06,63.07,62.99,62.03,60.56,61.07,61.9,62.77,62.27,63.48,63.05,63.7,62.81,62.33,62.14,61.539,60.64,61.91,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],"UAE^FG_TOTAL_RETURNC(-5AY,0,AM)":[-1.6129017,3.3567429,3.1722069,8.857977,-0.8749902,-1.6853929,5.4292917,1.2188196,0.20014048,9.55317,0.038778782,3.2218099,3.1812787,8.958685,-0.6940663,-9.408599,-6.4724627,4.4127226,3.108132,-7.8968763,1.3088942,0.64599514,-2.5477707,-2.0462036,-1.8194079,-3.3630729,6.5340877,-2.9333293,3.0742884,4.722798,-1.241833,2.0516276,-11.8677025,9.345102,-0.43065548,2.108848,-2.5316477,2.1872878,-4.080266,-2.6931643,0.33346415,8.9086895,0.8179903,4.394853,-4.598445,4.847932,7.2186947,4.353082,1.2166858,-3.20549,3.311646,5.6096196,3.6741734,10.000002,-2.9484034,-3.8987339,5.268705,-7.2572527,6.4828753,4.4523954,5.5365086],"EIDO^FG_TOTAL_RETURNC(-5AY,0,AM)":[-3.5458028,0.7877469,-6.0790358,-1.2482584,-2.804476,-1.5511394,1.1324525,3.6027193,14.238715,-5.5532694,0.7504821,-0.43534636,7.302141,1.0187507,1.2908459,-4.61967,-1.5535176,-3.26882,4.7576666,0.8913398,-0.5048394,-2.198732,-2.0909846,4.103482,-1.9708693,0.043702126,5.9851527,-1.9373417,-0.9300649,3.1615376,-3.6523879,-2.8758168,-8.6137295,6.0382843,3.4686446,-3.6986887,5.5737734,1.0647774,-10.842848,0.9355068,-5.7751656,7.7706337,9.348583,5.50251,-5.603451,-8.264839,-5.958736,0.47757626,-9.149283,-3.9458215,2.8203607,14.251637,-6.1522303,0.5139947,4.431808,-4.243737,3.977263,3.11476,-1.2726128,4.0594935,-6.8229256],"EWA^FG_PRICE(0,-200D)":[30.14,30.16,29.58,29.45,29.7,29.37,29.31,29.32,29.16,29.1,29.3,28.64,28.83,28.23,27.84,28.35,28.12,27.95,27.75,28.42,28.17,28.24,27.62,27.38,27.07,26.7,26.46,26.74,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],"EWY^FG_TOTAL_RETURNC(-5AY,0,AM)":[-6.682926,1.3299942,4.9921393,-2.1583438,2.6646256,-4.233593,-6.1757145,-2.3203492,-0.58175325,-7.6435385,6.2096477,-9.7372055,2.1940947,-3.4269273,-7.182556,2.1956086,-10.606968,-1.4621854,-1.2621582,-14.458454,4.058957,12.303507,-0.25414824,14.11289,-9.955442,1.8426895,0.11726618,5.5890203,1.2678385,5.680752,-8.174145,-5.3378463,-6.013632,12.959946,5.826533,-7.421809,7.899153,4.9844265,-6.023741,1.1998653,1.7784715,-0.29122233,1.5987635,1.4979601,-8.855104,-4.154402,-9.1649,7.562053,3.4168124,-1.7298043,-1.7602563,5.6441426,22.014927,1.7653584,-1.1200666,8.951521,16.711044,-0.5431831,7.0681334,22.41236,28.204918],"ECH^FG_TOTAL_RETURNC(-5AY,0,AM)":[0.64082146,6.94046,3.4831762,-19.533943,6.2080503,-8.661413,3.860569,-2.634424,-5.2260933,3.8326144,-12.338173,13.253975,1.5282154,14.936316,-14.60712,17.734957,-14.747953,3.626728,9.673607,-15.023303,5.4008365,3.0224204,4.267323,11.964834,-4.1993914,-0.926584,1.1151075,4.5535326,1.4745355,10.006964,-8.938193,-10.511661,-6.5344152,10.611736,5.4142594,-6.860632,-4.087925,4.7044635,1.7281055,10.079277,-8.9823065,-0.5411744,4.46949,1.8229246,-1.4249206,-6.4492226,-0.26419163,7.2538853,7.3578596,4.77674,4.6250343,3.725922,-2.7835727,-2.9430568,6.9215536,2.2503018,3.6177278,9.426832,7.298851,16.332043,-5.2159014],"ENZL^FG_PRICE(0,-200D)":[47.225,47.1645,46.72,45.9335,45.8355,46.0172,45.25,44.905,46.7721,47.4568,47.898,47.995,47.975,47.6,47.11,46.72,47.242,47.1177,46.9408,47.234,47.11,47.52,46.87,46.624,46.755,46.11,46.09,45.755,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],"EPU^FG_PRICE(0,-200D)":[93.46,93.37,92.18,90.66,89.66,88.13,86.571,84.91,86.67,87.03,90.05,89.43,91.08,88.15,85.17,88.38,91.33,87.4,86.6,92.57,92.07,91.61,90.43,88.38,86.2,85.04,84.78,82.63,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],"EWG^FG_TOTAL_RETURNC(-5AY,0,AM)":[-1.5682697,3.7488341,5.992174,1.4204502,-0.23801327,-1.2564182,0.2891779,-2.0472884,0.058877468,-5.942929,2.8969526,-3.017062,-4.900408,-5.884308,-8.724833,4.3730617,-8.52828,-6.3518643,-3.4805894,-8.599162,12.190187,13.88638,-2.065283,13.263249,-3.4630477,0.2588749,7.2666883,-1.7193973,0.30126572,3.7992835,-5.455804,-5.149746,-4.428184,13.698626,5.214584,-1.0104477,3.1303167,4.1900396,-1.9632697,4.263568,-3.5963297,3.09515,3.2577515,4.2375445,-2.9080093,-3.5452366,2.6932836,6.6337585,6.221056,2.3154497,4.7923326,4.827225,2.587831,2.8097987,-1.5884161,-2.207452,0.9466052,-2.380383,5.0492644,2.790153,1.6423345],"SET-BKK^FG_TOTAL_RETURNC(-5AY,0,AM)":[-1.060921,5.216527,-0.9734154,0.5802989,0.89826584,-2.3738384,3.676784,1.8253207,0.295496,-1.5501499,1.6521692,0.37990808,2.2185206,-0.18453598,-0.46696663,-2.1114826,-3.9767861,-0.99313855,5.8975816,-1.430589,-1.5290678,1.5271306,0.36771297,2.7378798,-2.232933,-2.580756,-3.009081,-0.8491218,-2.9735327,2.6438713,2.3357034,-4.2417583,-8.219439,1.9114375,1.146388,-3.204918,2.1920085,-1.495558,-1.2554228,0.33384562,-3.3221424,-0.9051323,4.406333,6.610441,0.57662725,-1.7199457,-2.8124452,-3.1284928,-9.07855,-3.3123791,-2.6344955,1.6764522,-6.0843706,9.97715,2.8024435,2.1961808,2.750373,-4.0132103,-0.15303493,3.7974954,17.334198],"EPOL^FG_PRICE(0,-200D)":[38.19,38.71,37.95,38.1,37.81,37.65,37.73,37.5,37.67,37.91,38.39,38.11,38.76,37.92,37.37,38.28,38.35,37.66,37.59,38.38,38.25,38.44,37.74,36.89,37.26,36.15,35.84,35.92,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],"QAT^FG_TOTAL_RETURNC(-5AY,0,AM)":[-4.3474555,4.226923,5.2294493,-1.9776821,0.56221485,-0.7099688,4.3432236,0.8629441,4.3281317,-2.4602056,2.000451,5.853641,3.245926,8.20719,-1.1924326,-4.9105287,-7.092786,5.640352,6.6548586,-10.553635,1.6440988,-3.8059056,-6.28137,2.3367047,-5.967826,-2.5938272,2.1529794,6.100929,-4.059267,6.4552665,-4.2021217,-2.5819004,-8.9769125,10.081398,2.1046638,-1.0863602,1.4362216,-1.6102195,-2.9345274,-1.3372183,2.6016712,4.088998,1.6753316,4.375005,-2.177471,0.3338933,0.3550291,1.4598608,0.16602278,-1.7127037,2.0798087,5.451536,-0.9109795,5.9363127,2.598071,-3.5749733,-0.66940784,-2.0995378,1.1050463,5.6824803,-2.0915866],"EZA^FG_PRICE(0,-200D)":[80.76,80.27,79.25,77.89,77.25,75.01,75.57,74.71,75.32,74.15,76.53,75.41,75.72,74.77,71.6,73.98,74.56,73.25,73.2,79.58,80.14,79.02,77.38,76.34,75.56,73.52,73.44,72.78,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],"MCHI^FG_TOTAL_RETURNC(-5AY,0,AM)":[-5.3666534,-6.6123304,1.880765,-1.2789547,1.6867876,-14.924115,-2.4352193,-3.3376932,6.770754,-7.227218,-4.220283,-2.4709046,-3.1219363,-10.426861,-12.412882,7.4623704,12.340522,-7.937646,-1.9462824,-13.0805855,-12.4686,11.061823,11.470163,20.1882,-15.017796,2.1566272,-4.0172157,-4.591078,0.23031235,7.461667,-8.202225,-1.9424081,-2.7965546,4.651165,-7.0527673,-3.5380363,3.6154032,0.07586479,6.9984794,6.186545,-3.8705766,-4.158926,1.090908,20.143879,-0.49900413,-7.522565,5.710602,-0.9199321,16.902304,-0.7220268,-5.618185,5.5287957,2.3744345,6.1037064,4.5647383,4.3816924,0.29540062,-4.030389,0.18467903,2.2686481,-5.4739895],"EWM^FG_TOTAL_RETURNC(-5AY,0,AM)":[-1.377809,2.2058725,1.6546845,-3.8216531,-1.3284147,-4.115385,4.372239,-3.1129956,5.2756906,-7.837236,2.5690794,-0.94689727,6.566918,1.2480497,-5.238825,-2.2764206,-6.6571655,-0.3638029,1.8712878,-7.8405023,2.1390438,7.091856,0.7885337,7.034731,-8.444262,-1.4538825,0.092196465,-3.592807,-2.5202096,8.033932,-3.1408787,-0.2384305,-2.0554483,3.611517,1.1922836,0.04737377,2.1306753,1.7153502,1.549685,3.9497256,-1.8200994,3.3958912,8.729469,9.062004,-8.090383,-2.9738307,0.6693125,-0.4549265,0.37391186,-3.9321244,0.9478688,4.90824,0.0037312508,0.49854517,3.885901,2.3875833,-0.15545487,3.6979318,5.401385,6.7293763,0.5084753],"EWL^FG_PRICE(0,-200D)":[64.63,64.85,64.82,64.31,64.38,64.16,64.26,64.44,63.79,63.46,63.24,63.43,63.45,63.09,62.24,62.47,61.89,62.25,61.54,62.22,61.05,62.57,61.19,60.87,60.59,60.49,60.16,60.51,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],"EWZ^FG_PRICE(0,-200D)":[39.1,39.59,39.47,38.77,39.37,38.61,38.03,37.74,38.06,38.49,39.16,38.32,38.42,37.56,36.91,36.98,38.04,37.45,37.04,38.12,38.33,37.89,36.61,36.59,35.95,35.02,33.62,33.17,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],"EPU^FG_TOTAL_RETURNC(-5AY,0,AM)":[6.4006925,-7.3104916,-7.217699,-1.3488054,-8.1341505,-1.2216389,-9.116608,3.8491488,14.039683,-8.335519,5.670202,12.005544,6.288731,9.880495,-17.29443,-1.1545897,-11.315023,-3.07284,3.287673,-11.140579,14.371002,9.507835,-1.3252497,11.341286,-9.460735,1.3235807,5.4314137,-3.4385383,4.8197985,9.900724,-5.017418,-5.497628,-2.9194236,6.5027833,14.243233,-2.4112523,3.750074,10.094357,6.5255284,4.647827,-3.9993167,0.86870193,0.14665127,8.649719,1.5829921,-4.2965174,-2.861017,-0.25568008,2.6820064,7.317281,-0.145185,5.247748,6.9931984,1.0226488,7.6194286,11.069489,3.9123058,2.4018168,17.389511,22.583712,3.3506513]}]]></FdsFormulaCache>
</file>

<file path=customXml/itemProps1.xml><?xml version="1.0" encoding="utf-8"?>
<ds:datastoreItem xmlns:ds="http://schemas.openxmlformats.org/officeDocument/2006/customXml" ds:itemID="{2C9ABFE4-6FE3-4500-9702-DAC9A523A458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2026-02-27T07:55:12Z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