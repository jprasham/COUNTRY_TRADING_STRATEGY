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51980B71-4EF8-4522-AD46-C352F72A90E3}" xr6:coauthVersionLast="47" xr6:coauthVersionMax="47" xr10:uidLastSave="{00000000-0000-0000-0000-000000000000}"/>
  <bookViews>
    <workbookView xWindow="25620" yWindow="-98" windowWidth="22140" windowHeight="11821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H2" i="1" a="1"/>
  <c r="AI2" i="6" a="1"/>
  <c r="AA2" i="6" a="1"/>
  <c r="S2" i="6" a="1"/>
  <c r="K2" i="6" a="1"/>
  <c r="C2" i="6" a="1"/>
  <c r="AD2" i="1" a="1"/>
  <c r="V2" i="1" a="1"/>
  <c r="N2" i="1" a="1"/>
  <c r="F2" i="1" a="1"/>
  <c r="I2" i="6" a="1"/>
  <c r="T2" i="1" a="1"/>
  <c r="AF2" i="6" a="1"/>
  <c r="P2" i="6" a="1"/>
  <c r="H2" i="6" a="1"/>
  <c r="AI2" i="1" a="1"/>
  <c r="K2" i="1" a="1"/>
  <c r="W2" i="6" a="1"/>
  <c r="G2" i="6" a="1"/>
  <c r="Z2" i="1" a="1"/>
  <c r="R2" i="1" a="1"/>
  <c r="B2" i="1" a="1"/>
  <c r="N2" i="6" a="1"/>
  <c r="AG2" i="1" a="1"/>
  <c r="Q2" i="1" a="1"/>
  <c r="AC2" i="6" a="1"/>
  <c r="AB2" i="6" a="1"/>
  <c r="A2" i="6" a="1"/>
  <c r="C2" i="1" a="1"/>
  <c r="F2" i="6" a="1"/>
  <c r="A2" i="1" a="1"/>
  <c r="M2" i="6" a="1"/>
  <c r="G2" i="1" a="1"/>
  <c r="AH2" i="6" a="1"/>
  <c r="Z2" i="6" a="1"/>
  <c r="R2" i="6" a="1"/>
  <c r="J2" i="6" a="1"/>
  <c r="B2" i="6" a="1"/>
  <c r="AC2" i="1" a="1"/>
  <c r="U2" i="1" a="1"/>
  <c r="M2" i="1" a="1"/>
  <c r="E2" i="1" a="1"/>
  <c r="Y2" i="6" a="1"/>
  <c r="AB2" i="1" a="1"/>
  <c r="D2" i="1" a="1"/>
  <c r="AA2" i="1" a="1"/>
  <c r="AH2" i="1" a="1"/>
  <c r="J2" i="1" a="1"/>
  <c r="V2" i="6" a="1"/>
  <c r="AF2" i="1" a="1"/>
  <c r="P2" i="1" a="1"/>
  <c r="T2" i="6" a="1"/>
  <c r="D2" i="6" a="1"/>
  <c r="W2" i="1" a="1"/>
  <c r="AG2" i="6" a="1"/>
  <c r="Q2" i="6" a="1"/>
  <c r="L2" i="1" a="1"/>
  <c r="X2" i="6" a="1"/>
  <c r="S2" i="1" a="1"/>
  <c r="AE2" i="6" a="1"/>
  <c r="O2" i="6" a="1"/>
  <c r="AD2" i="6" a="1"/>
  <c r="Y2" i="1" a="1"/>
  <c r="I2" i="1" a="1"/>
  <c r="U2" i="6" a="1"/>
  <c r="E2" i="6" a="1"/>
  <c r="X2" i="1" a="1"/>
  <c r="L2" i="6" a="1"/>
  <c r="AE2" i="1" a="1"/>
  <c r="O2" i="1" a="1"/>
  <c r="O2" i="1" l="1"/>
  <c r="AE2" i="1"/>
  <c r="L2" i="6"/>
  <c r="X2" i="1"/>
  <c r="E2" i="6"/>
  <c r="U2" i="6"/>
  <c r="I2" i="1"/>
  <c r="Y2" i="1"/>
  <c r="AD2" i="6"/>
  <c r="O2" i="6"/>
  <c r="AE2" i="6"/>
  <c r="S2" i="1"/>
  <c r="X2" i="6"/>
  <c r="L2" i="1"/>
  <c r="Q2" i="6"/>
  <c r="AG2" i="6"/>
  <c r="W2" i="1"/>
  <c r="D2" i="6"/>
  <c r="T2" i="6"/>
  <c r="P2" i="1"/>
  <c r="AF2" i="1"/>
  <c r="V2" i="6"/>
  <c r="J2" i="1"/>
  <c r="AH2" i="1"/>
  <c r="AA2" i="1"/>
  <c r="AA68" i="1" s="1"/>
  <c r="D2" i="1"/>
  <c r="AB2" i="1"/>
  <c r="Y2" i="6"/>
  <c r="E2" i="1"/>
  <c r="M2" i="1"/>
  <c r="U2" i="1"/>
  <c r="AC2" i="1"/>
  <c r="AC68" i="1" s="1"/>
  <c r="B2" i="6"/>
  <c r="J2" i="6"/>
  <c r="R2" i="6"/>
  <c r="Z2" i="6"/>
  <c r="AH2" i="6"/>
  <c r="G2" i="1"/>
  <c r="M2" i="6"/>
  <c r="A2" i="1"/>
  <c r="F2" i="6"/>
  <c r="C2" i="1"/>
  <c r="A2" i="6"/>
  <c r="AB2" i="6"/>
  <c r="AC2" i="6"/>
  <c r="Q2" i="1"/>
  <c r="AG2" i="1"/>
  <c r="AG68" i="1" s="1"/>
  <c r="N2" i="6"/>
  <c r="B2" i="1"/>
  <c r="R2" i="1"/>
  <c r="Z2" i="1"/>
  <c r="G2" i="6"/>
  <c r="W2" i="6"/>
  <c r="K2" i="1"/>
  <c r="AI2" i="1"/>
  <c r="H2" i="6"/>
  <c r="P2" i="6"/>
  <c r="AF2" i="6"/>
  <c r="T2" i="1"/>
  <c r="I2" i="6"/>
  <c r="F2" i="1"/>
  <c r="N2" i="1"/>
  <c r="V2" i="1"/>
  <c r="AD2" i="1"/>
  <c r="AD68" i="1" s="1"/>
  <c r="C2" i="6"/>
  <c r="K2" i="6"/>
  <c r="S2" i="6"/>
  <c r="AA2" i="6"/>
  <c r="AI2" i="6"/>
  <c r="H2" i="1"/>
  <c r="X68" i="1"/>
  <c r="AE68" i="1"/>
  <c r="AF68" i="1"/>
  <c r="W68" i="1"/>
  <c r="Z68" i="1"/>
  <c r="Y68" i="1"/>
  <c r="AB68" i="1"/>
  <c r="AI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71F9CFE6-465E-4C26-9A4D-2BED61D54F39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Timestamp="1769753668"&gt;&lt;FQL&gt;&lt;Q&gt;EWM^FG_TOTAL_RETURNC(-5AY,0,AM)&lt;/Q&gt;&lt;R&gt;61&lt;/R&gt;&lt;C&gt;1&lt;/C&gt;&lt;D xsi:type="xsd:double"&gt;-6.5953016&lt;/D&gt;&lt;D xsi:type="xsd:double"&gt;0.5545378&lt;/D&gt;&lt;D xsi:type="xsd:double"&gt;1.3602853&lt;/D&gt;&lt;D xsi:type="xsd:double"&gt;1.2694955&lt;/D&gt;&lt;D xsi:type="xsd:double"&gt;-1.8624663&lt;/D&gt;&lt;D xsi:type="xsd:double"&gt;-2.534771&lt;/D&gt;&lt;D xsi:type="xsd:double"&gt;-3.8624942&lt;/D&gt;&lt;D xsi:type="xsd:double"&gt;6.0265183&lt;/D&gt;&lt;D xsi:type="xsd:double"&gt;-3.3724844&lt;/D&gt;&lt;D xsi:type="xsd:double"&gt;2.9019594&lt;/D&gt;&lt;D xsi:type="xsd:double"&gt;-5.907011&lt;/D&gt;&lt;D xsi:type="xsd:double"&gt;3.9981008&lt;/D&gt;&lt;D xsi:type="xsd:double"&gt;-1.8503666&lt;/D&gt;&lt;D xsi:type="xsd:double"&gt;6.270492&lt;/D&gt;&lt;D xsi:type="xsd:double"&gt;-0.88700056&lt;/D&gt;&lt;D xsi:type="xsd:double"&gt;-3.4630418&lt;/D&gt;&lt;D xsi:type="xsd:double"&gt;-2.9423594&lt;/D&gt;&lt;D xsi:type="xsd:double"&gt;-6.769836&lt;/D&gt;&lt;D xsi:type="xsd:double"&gt;2.6818156&lt;/D&gt;&lt;D xsi:type="xsd:double"&gt;-1.1509538&lt;/D&gt;&lt;D xsi:type="xsd:double"&gt;-9.046125&lt;/D&gt;&lt;D xsi:type="xsd:double"&gt;2.7080297&lt;/D&gt;&lt;D xsi:type="xsd:double"&gt;6.6155314&lt;/D&gt;&lt;D xsi:type="xsd:double"&gt;3.9189816&lt;/D&gt;&lt;D xsi:type="xsd:double"&gt;4.849279&lt;/D&gt;&lt;D xsi:type="xsd:double"&gt;-9.41667&lt;/D&gt;&lt;D xsi:type="xsd:double"&gt;1.6099334&lt;/D&gt;&lt;D xsi:type="xsd:double"&gt;-1.4486194&lt;/D&gt;&lt;D xsi:type="xsd:double"&gt;-3.8585186&lt;/D&gt;&lt;D xsi:type="xsd:double"&gt;-2.7634263&lt;/D&gt;&lt;D xsi:type="xsd:double"&gt;7.9039574&lt;/D&gt;&lt;D xsi:type="xsd:double"&gt;-1.5299022&lt;/D&gt;&lt;D xsi:type="xsd:double"&gt;-3.0602634&lt;/D&gt;&lt;D xsi:type="xsd:double"&gt;-0.8742094&lt;/D&gt;&lt;D xsi:type="xsd:double"&gt;3.772664&lt;/D&gt;&lt;D xsi:type="xsd:double"&gt;2.1038413&lt;/D&gt;&lt;D xsi:type="xsd:double"&gt;0.14117956&lt;/D&gt;&lt;D xsi:type="xsd:double"&gt;2.1146536&lt;/D&gt;&lt;D xsi:type="xsd:double"&gt;0.27612448&lt;/D&gt;&lt;D xsi:type="xsd:double"&gt;2.5699854&lt;/D&gt;&lt;D xsi:type="xsd:double"&gt;2.7292967&lt;/D&gt;&lt;D xsi:type="xsd:double"&gt;-0.6108582&lt;/D&gt;&lt;D xsi:type="xsd:double"&gt;3.7845135&lt;/D&gt;&lt;D xsi:type="xsd:double"&gt;9.395111&lt;/D&gt;&lt;D xsi:type="xsd:double"&gt;6.8627477&lt;/D&gt;&lt;D xsi:type="xsd:double"&gt;-8.183485&lt;/D&gt;&lt;D xsi:type="xsd:double"&gt;-1.6386867&lt;/D&gt;&lt;D xsi:type="xsd:double"&gt;0.63477755&lt;/D&gt;&lt;D xsi:type="xsd:double"&gt;-2.2624433&lt;/D&gt;&lt;D xsi:type="xsd:double"&gt;-0.37878752&lt;/D&gt;&lt;D xsi:type="xsd:double"&gt;-2.8305888&lt;/D&gt;&lt;D xsi:type="xsd:double"&gt;3.0434847&lt;/D&gt;&lt;D xsi:type="xsd:double"&gt;2.5316358&lt;/D&gt;&lt;D xsi:type="xsd:double"&gt;1.156044&lt;/D&gt;&lt;D xsi:type="xsd:double"&gt;-0.12463331&lt;/D&gt;&lt;D xsi:type="xsd:double"&gt;3.4525752&lt;/D&gt;&lt;D xsi:type="xsd:double"&gt;3.6590219&lt;/D&gt;&lt;D xsi:type="xsd:double"&gt;0.5042672&lt;/D&gt;&lt;D xsi:type="xsd:double"&gt;2.006948&lt;/D&gt;&lt;D xsi:type="xsd:double"&gt;5.8160424&lt;/D&gt;&lt;D xsi:type="xsd:double"&gt;6.320381&lt;/D&gt;&lt;/FQL&gt;&lt;FQL&gt;&lt;Q&gt;EWI^FG_PRICE(0,-200D)&lt;/Q&gt;&lt;R&gt;201&lt;/R&gt;&lt;C&gt;1&lt;/C&gt;&lt;D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xsi:type="xsd:double"&gt;41.76&lt;/D&gt;&lt;D xsi:type="xsd:double"&gt;41.54&lt;/D&gt;&lt;D xsi:type="xsd:double"&gt;40.92&lt;/D&gt;&lt;D xsi:type="xsd:double"&gt;40.53&lt;/D&gt;&lt;/FQL&gt;&lt;FQL&gt;&lt;Q&gt;EWJ^FG_PRICE(0,-200D)&lt;/Q&gt;&lt;R&gt;201&lt;/R&gt;&lt;C&gt;1&lt;/C&gt;&lt;D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xsi:type="xsd:double"&gt;66.78&lt;/D&gt;&lt;D xsi:type="xsd:double"&gt;67.44&lt;/D&gt;&lt;D xsi:type="xsd:double"&gt;66.9&lt;/D&gt;&lt;D xsi:type="xsd:double"&gt;65.82&lt;/D&gt;&lt;/FQL&gt;&lt;FQL&gt;&lt;Q&gt;TUR^FG_PRICE(0,-200D)&lt;/Q&gt;&lt;R&gt;201&lt;/R&gt;&lt;C&gt;1&lt;/C&gt;&lt;D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xsi:type="xsd:double"&gt;31.21&lt;/D&gt;&lt;D xsi:type="xsd:double"&gt;31.85&lt;/D&gt;&lt;D xsi:type="xsd:double"&gt;32.13&lt;/D&gt;&lt;D xsi:type="xsd:double"&gt;32.08&lt;/D&gt;&lt;/FQL&gt;&lt;FQL&gt;&lt;Q&gt;EWY^FG_PRICE(0,-200D)&lt;/Q&gt;&lt;R&gt;201&lt;/R&gt;&lt;C&gt;1&lt;/C&gt;&lt;D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xsi:type="xsd:double"&gt;54.06&lt;/D&gt;&lt;D xsi:type="xsd:double"&gt;54.38&lt;/D&gt;&lt;D xsi:type="xsd:double"&gt;54.35&lt;/D&gt;&lt;D xsi:type="xsd:double"&gt;54.31&lt;/D&gt;&lt;/FQL&gt;&lt;FQL&gt;&lt;Q&gt;ECH^FG_PRICE(0,-200D)&lt;/Q&gt;&lt;R&gt;201&lt;/R&gt;&lt;C&gt;1&lt;/C&gt;&lt;D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</t>
        </r>
      </text>
    </comment>
    <comment ref="A2" authorId="0" shapeId="0" xr:uid="{3D07BA92-ADE3-43C9-89CB-CE8882945423}">
      <text>
        <r>
          <rPr>
            <b/>
            <sz val="9"/>
            <color indexed="81"/>
            <rFont val="Tahoma"/>
            <charset val="1"/>
          </rPr>
          <t>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xsi:type="xsd:double"&gt;29.43&lt;/D&gt;&lt;D xsi:type="xsd:double"&gt;29.35&lt;/D&gt;&lt;D xsi:type="xsd:double"&gt;29.13&lt;/D&gt;&lt;D xsi:type="xsd:double"&gt;28.39&lt;/D&gt;&lt;/FQL&gt;&lt;FQL&gt;&lt;Q&gt;QQQ^FG_TOTAL_RETURNC(-5AY,0,AM)&lt;/Q&gt;&lt;R&gt;61&lt;/R&gt;&lt;C&gt;1&lt;/C&gt;&lt;D xsi:type="xsd:double"&gt;0.5112529&lt;/D&gt;&lt;D xsi:type="xsd:double"&gt;-0.1335144&lt;/D&gt;&lt;D xsi:type="xsd:double"&gt;0.6880045&lt;/D&gt;&lt;D xsi:type="xsd:double"&gt;7.695234&lt;/D&gt;&lt;D xsi:type="xsd:double"&gt;-1.848805&lt;/D&gt;&lt;D xsi:type="xsd:double"&gt;6.4291954&lt;/D&gt;&lt;D xsi:type="xsd:double"&gt;3.236711&lt;/D&gt;&lt;D xsi:type="xsd:double"&gt;2.6085973&lt;/D&gt;&lt;D xsi:type="xsd:double"&gt;-4.3488383&lt;/D&gt;&lt;D xsi:type="xsd:double"&gt;7.467711&lt;/D&gt;&lt;D xsi:type="xsd:double"&gt;3.517139&lt;/D&gt;&lt;D xsi:type="xsd:double"&gt;0.59503317&lt;/D&gt;&lt;D xsi:type="xsd:double"&gt;-12.389493&lt;/D&gt;&lt;D xsi:type="xsd:double"&gt;-1.4212608&lt;/D&gt;&lt;D xsi:type="xsd:double"&gt;7.1654797&lt;/D&gt;&lt;D xsi:type="xsd:double"&gt;-15.609259&lt;/D&gt;&lt;D xsi:type="xsd:double"&gt;-1.3248205&lt;/D&gt;&lt;D xsi:type="xsd:double"&gt;-8.012783&lt;/D&gt;&lt;D xsi:type="xsd:double"&gt;11.155748&lt;/D&gt;&lt;D xsi:type="xsd:double"&gt;-3.502816&lt;/D&gt;&lt;D xsi:type="xsd:double"&gt;-10.530406&lt;/D&gt;&lt;D xsi:type="xsd:double"&gt;3.4391403&lt;/D&gt;&lt;D xsi:type="xsd:double"&gt;-0.23113489&lt;/D&gt;&lt;D xsi:type="xsd:double"&gt;-4.8054457&lt;/D&gt;&lt;D xsi:type="xsd:double"&gt;11.192012&lt;/D&gt;&lt;D xsi:type="xsd:double"&gt;-0.91136694&lt;/D&gt;&lt;D xsi:type="xsd:double"&gt;6.6911817&lt;/D&gt;&lt;D xsi:type="xsd:double"&gt;3.1465888&lt;/D&gt;&lt;D xsi:type="xsd:double"&gt;8.010912&lt;/D&gt;&lt;D xsi:type="xsd:double"&gt;4.5665026&lt;/D&gt;&lt;D xsi:type="xsd:double"&gt;5.4066777&lt;/D&gt;&lt;D xsi:type="xsd:double"&gt;-2.2713125&lt;/D&gt;&lt;D xsi:type="xsd:double"&gt;-4.2645693&lt;/D&gt;&lt;D xsi:type="xsd:double"&gt;-3.617382&lt;/D&gt;&lt;D xsi:type="xsd:double"&gt;12.886965&lt;/D&gt;&lt;D xsi:type="xsd:double"&gt;5.320108&lt;/D&gt;&lt;D xsi:type="xsd:double"&gt;4.549229&lt;/D&gt;&lt;D xsi:type="xsd:double"&gt;2.534163&lt;/D&gt;&lt;D xsi:type="xsd:double"&gt;1.2738109&lt;/D&gt;&lt;D xsi:type="xsd:double"&gt;-2.535981&lt;/D&gt;&lt;D xsi:type="xsd:double"&gt;5.474293&lt;/D&gt;&lt;D xsi:type="xsd:double"&gt;5.1353455&lt;/D&gt;&lt;D xsi:type="xsd:double"&gt;-3.1746328&lt;/D&gt;&lt;D xsi:type="xsd:double"&gt;1.4572144&lt;/D&gt;&lt;D xsi:type="xsd:double"&gt;3.5635233&lt;/D&gt;&lt;D xsi:type="xsd:double"&gt;2.7550101&lt;/D&gt;&lt;D xsi:type="xsd:double"&gt;1.9153833&lt;/D&gt;&lt;D xsi:type="xsd:double"&gt;2.6786566&lt;/D&gt;&lt;D xsi:type="xsd:double"&gt;-0.33105612&lt;/D&gt;&lt;D xsi:type="xsd:double"&gt;-2.430737&lt;/D&gt;&lt;D xsi:type="xsd:double"&gt;-7.5852513&lt;/D&gt;&lt;D xsi:type="xsd:double"&gt;1.4052987&lt;/D&gt;&lt;D xsi:type="xsd:double"&gt;9.336948&lt;/D&gt;&lt;D xsi:type="xsd:double"&gt;5.5333257&lt;/D&gt;&lt;D xsi:type="xsd:double"&gt;3.4976006&lt;/D&gt;&lt;D xsi:type="xsd:double"&gt;0.5535364&lt;/D&gt;&lt;D xsi:type="xsd:double"&gt;5.087638&lt;/D&gt;&lt;D xsi:type="xsd:double"&gt;6.1864376&lt;/D&gt;&lt;D xsi:type="xsd:double"&gt;-2.5984287&lt;/D&gt;&lt;D xsi:type="xsd:double"&gt;0.39018393&lt;/D&gt;&lt;D xsi:type="xsd:double"&gt;1.378715&lt;/D&gt;&lt;/FQL&gt;&lt;FQL&gt;&lt;Q&gt;KSA^FG_TOTAL_RETURNC(-5AY,0,AM)&lt;/Q&gt;&lt;R&gt;61&lt;/R&gt;&lt;C&gt;1&lt;/C&gt;&lt;D xsi:type="xsd:double"&gt;-1.111114&lt;/D&gt;&lt;D xsi:type="xsd:double"&gt;3.1781673&lt;/D&gt;&lt;D xsi:type="xsd:double"&gt;7.934034&lt;/D&gt;&lt;D xsi:type="xsd:double"&gt;9.858751&lt;/D&gt;&lt;D xsi:type="xsd:double"&gt;1.1283159&lt;/D&gt;&lt;D xsi:type="xsd:double"&gt;4.4001937&lt;/D&gt;&lt;D xsi:type="xsd:double"&gt;-0.6522894&lt;/D&gt;&lt;D xsi:type="xsd:double"&gt;3.2323241&lt;/D&gt;&lt;D xsi:type="xsd:double"&gt;1.1497021&lt;/D&gt;&lt;D xsi:type="xsd:double"&gt;4.5707464&lt;/D&gt;&lt;D xsi:type="xsd:double"&gt;-8.5568905&lt;/D&gt;&lt;D xsi:type="xsd:double"&gt;4.4099927&lt;/D&gt;&lt;D xsi:type="xsd:double"&gt;9.093344&lt;/D&gt;&lt;D xsi:type="xsd:double"&gt;4.181576&lt;/D&gt;&lt;D xsi:type="xsd:double"&gt;3.9922714&lt;/D&gt;&lt;D xsi:type="xsd:double"&gt;4.5820355&lt;/D&gt;&lt;D xsi:type="xsd:double"&gt;-9.058607&lt;/D&gt;&lt;D xsi:type="xsd:double"&gt;-8.269352&lt;/D&gt;&lt;D xsi:type="xsd:double"&gt;5.0286055&lt;/D&gt;&lt;D xsi:type="xsd:double"&gt;3.9482713&lt;/D&gt;&lt;D xsi:type="xsd:double"&gt;-10.281605&lt;/D&gt;&lt;D xsi:type="xsd:double"&gt;4.987848&lt;/D&gt;&lt;D xsi:type="xsd:double"&gt;-9.223646&lt;/D&gt;&lt;D xsi:type="xsd:double"&gt;-1.584202&lt;/D&gt;&lt;D xsi:type="xsd:double"&gt;3.1725168&lt;/D&gt;&lt;D xsi:type="xsd:double"&gt;-7.801777&lt;/D&gt;&lt;D xsi:type="xsd:double"&gt;4.740906&lt;/D&gt;&lt;D xsi:type="xsd:double"&gt;8.342099&lt;/D&gt;&lt;D xsi:type="xsd:double"&gt;-0.8501291&lt;/D&gt;&lt;D xsi:type="xsd:double"&gt;1.9558907&lt;/D&gt;&lt;D xsi:type="xsd:double"&gt;3.719914&lt;/D&gt;&lt;D xsi:type="xsd:double"&gt;-4.0318847&lt;/D&gt;&lt;D xsi:type="xsd:double"&gt;-5.3737106&lt;/D&gt;&lt;D xsi:type="xsd:double"&gt;-6.1435223&lt;/D&gt;&lt;D xsi:type="xsd:double"&gt;8.443344&lt;/D&gt;&lt;D xsi:type="xsd:double"&gt;8.77986&lt;/D&gt;&lt;D xsi:type="xsd:double"&gt;2.7639985&lt;/D&gt;&lt;D xsi:type="xsd:double"&gt;2.2528768&lt;/D&gt;&lt;D xsi:type="xsd:double"&gt;-0.7194221&lt;/D&gt;&lt;D xsi:type="xsd:double"&gt;-2.0380497&lt;/D&gt;&lt;D xsi:type="xsd:double"&gt;-6.7267656&lt;/D&gt;&lt;D xsi:type="xsd:double"&gt;2.1781921&lt;/D&gt;&lt;D xsi:type="xsd:double"&gt;3.3973455&lt;/D&gt;&lt;D xsi:type="xsd:double"&gt;0.83333254&lt;/D&gt;&lt;D xsi:type="xsd:double"&gt;2.2668362&lt;/D&gt;&lt;D xsi:type="xsd:double"&gt;-2.5398314&lt;/D&gt;&lt;D xsi:type="xsd:double"&gt;-2.7244687&lt;/D&gt;&lt;D xsi:type="xsd:double"&gt;0.29268265&lt;/D&gt;&lt;D xsi:type="xsd:double"&gt;4.2680264&lt;/D&gt;&lt;D xsi:type="xsd:double"&gt;-2.3504198&lt;/D&gt;&lt;D xsi:type="xsd:double"&gt;-0.14588237&lt;/D&gt;&lt;D xsi:type="xsd:double"&gt;-0.8035004&lt;/D&gt;&lt;D xsi:type="xsd:double"&gt;-5.7682934&lt;/D&gt;&lt;D xsi:type="xsd:double"&gt;1.3455153&lt;/D&gt;&lt;D xsi:type="xsd:double"&gt;-2.2739112&lt;/D&gt;&lt;D xsi:type="xsd:double"&gt;-0.08023381&lt;/D&gt;&lt;D xsi:type="xsd:double"&gt;7.467878&lt;/D&gt;&lt;D xsi:type="xsd:double"&gt;2.19177&lt;/D&gt;&lt;D xsi:type="xsd:double"&gt;-8.749694&lt;/D&gt;&lt;D xsi:type="xsd:double"&gt;-1.6208053&lt;/D&gt;&lt;D xsi:type="xsd:double"&gt;9.563065&lt;/D&gt;&lt;/FQL&gt;&lt;FQL&gt;&lt;Q&gt;GREK^FG_TOTAL_RETURNC(-5AY,0,AM)&lt;/Q&gt;&lt;R&gt;61&lt;/R&gt;&lt;C&gt;1&lt;/C&gt;&lt;D xsi:type="xsd:double"&gt;-9.854328&lt;/D&gt;&lt;D xsi:type="xsd:double"&gt;7.198274&lt;/D&gt;&lt;D xsi:type="xsd:double"&gt;7.5995207&lt;/D&gt;&lt;D xsi:type="xsd:double"&gt;7.436466&lt;/D&gt;&lt;D xsi:type="xsd:double"&gt;-1.565218&lt;/D&gt;&lt;D xsi:type="xsd:double"&gt;-0.42402744&lt;/D&gt;&lt;D xsi:type="xsd:double"&gt;-2.342087&lt;/D&gt;&lt;D xsi:type="xsd:double"&gt;4.3241262&lt;/D&gt;&lt;D xsi:type="xsd:double"&gt;-5.5729685&lt;/D&gt;&lt;D xsi:type="xsd:double"&gt;3.4304738&lt;/D&gt;&lt;D xsi:type="xsd:double"&gt;-6.865197&lt;/D&gt;&lt;D xsi:type="xsd:double"&gt;3.3888578&lt;/D&gt;&lt;D xsi:type="xsd:double"&gt;5.932069&lt;/D&gt;&lt;D xsi:type="xsd:double"&gt;-3.2154322&lt;/D&gt;&lt;D xsi:type="xsd:double"&gt;0.479877&lt;/D&gt;&lt;D xsi:type="xsd:double"&gt;-4.004407&lt;/D&gt;&lt;D xsi:type="xsd:double"&gt;1.8369794&lt;/D&gt;&lt;D xsi:type="xsd:double"&gt;-10.595387&lt;/D&gt;&lt;D xsi:type="xsd:double"&gt;1.053524&lt;/D&gt;&lt;D xsi:type="xsd:double"&gt;0.41701794&lt;/D&gt;&lt;D xsi:type="xsd:double"&gt;-11.378736&lt;/D&gt;&lt;D xsi:type="xsd:double"&gt;12.980318&lt;/D&gt;&lt;D xsi:type="xsd:double"&gt;8.494818&lt;/D&gt;&lt;D xsi:type="xsd:double"&gt;4.1745186&lt;/D&gt;&lt;D xsi:type="xsd:double"&gt;12.801207&lt;/D&gt;&lt;D xsi:type="xsd:double"&gt;8.678246&lt;/D&gt;&lt;D xsi:type="xsd:double"&gt;-8.507371&lt;/D&gt;&lt;D xsi:type="xsd:double"&gt;5.169511&lt;/D&gt;&lt;D xsi:type="xsd:double"&gt;10.533035&lt;/D&gt;&lt;D xsi:type="xsd:double"&gt;7.529366&lt;/D&gt;&lt;D xsi:type="xsd:double"&gt;5.4024816&lt;/D&gt;&lt;D xsi:type="xsd:double"&gt;-1.9220889&lt;/D&gt;&lt;D xsi:type="xsd:double"&gt;-13.169586&lt;/D&gt;&lt;D xsi:type="xsd:double"&gt;0.12037754&lt;/D&gt;&lt;D xsi:type="xsd:double"&gt;12.623989&lt;/D&gt;&lt;D xsi:type="xsd:double"&gt;0.8826494&lt;/D&gt;&lt;D xsi:type="xsd:double"&gt;4.183531&lt;/D&gt;&lt;D xsi:type="xsd:double"&gt;3.9378285&lt;/D&gt;&lt;D xsi:type="xsd:double"&gt;-0.27418137&lt;/D&gt;&lt;D xsi:type="xsd:double"&gt;2.0244956&lt;/D&gt;&lt;D xsi:type="xsd:double"&gt;0.31847954&lt;/D&gt;&lt;D xsi:type="xsd:double"&gt;-2.582544&lt;/D&gt;&lt;D xsi:type="xsd:double"&gt;6.6255927&lt;/D&gt;&lt;D xsi:type="xsd:double"&gt;-1.1232138&lt;/D&gt;&lt;D xsi:type="xsd:double"&gt;5.094135&lt;/D&gt;&lt;D xsi:type="xsd:double"&gt;-9.110719&lt;/D&gt;&lt;D xsi:type="xsd:double"&gt;-2.8963804&lt;/D&gt;&lt;D xsi:type="xsd:double"&gt;4.474163&lt;/D&gt;&lt;D xsi:type="xsd:double"&gt;6.8134785&lt;/D&gt;&lt;D xsi:type="xsd:double"&gt;2.3311734&lt;/D&gt;&lt;D xsi:type="xsd:double"&gt;13.833022&lt;/D&gt;&lt;D xsi:type="xsd:double"&gt;3.1357527&lt;/D&gt;&lt;D xsi:type="xsd:double"&gt;11.44228&lt;/D&gt;&lt;D xsi:type="xsd:double"&gt;5.999875&lt;/D&gt;&lt;D xsi:type="xsd:double"&gt;4.8306704&lt;/D&gt;&lt;D xsi:type="xsd:double"&gt;3.460157&lt;/D&gt;&lt;D xsi:type="xsd:double"&gt;1.8703341&lt;/D&gt;&lt;D xsi:type="xsd:double"&gt;-0.7935226&lt;/D&gt;&lt;D xsi:type="xsd:double"&gt;2.4466753&lt;/D&gt;&lt;D xsi:type="xsd:double"&gt;4.102874&lt;/D&gt;&lt;D xsi:type="xsd:double"&gt;13.549018&lt;/D&gt;&lt;/FQL&gt;&lt;FQL&gt;&lt;Q&gt;EPOL^FG_TOTAL_RETURNC(-5AY,0,AM)&lt;/Q&gt;&lt;R&gt;61&lt;/R&gt;&lt;C&gt;1&lt;/C&gt;&lt;D xsi:type="xsd:double"&gt;-4.2835293&lt;/D&gt;&lt;D xsi:type="xsd:double"&gt;-0.5327642&lt;/D&gt;&lt;D xsi:type="xsd:double"&gt;-2.8387845&lt;/D&gt;&lt;D xsi:type="xsd:double"&gt;12.072765&lt;/D&gt;&lt;D xsi:type="xsd:double"&gt;10.870636&lt;/D&gt;&lt;D xsi:type="xsd:double"&gt;-1.864934&lt;/D&gt;&lt;D xsi:type="xsd:double"&gt;-0.8159578&lt;/D&gt;&lt;D xsi:type="xsd:double"&gt;2.1480918&lt;/D&gt;&lt;D xsi:type="xsd:double"&gt;-3.624159&lt;/D&gt;&lt;D xsi:type="xsd:double"&gt;7.985139&lt;/D&gt;&lt;D xsi:type="xsd:double"&gt;-14.3164215&lt;/D&gt;&lt;D xsi:type="xsd:double"&gt;6.805098&lt;/D&gt;&lt;D xsi:type="xsd:double"&gt;-3.9173722&lt;/D&gt;&lt;D xsi:type="xsd:double"&gt;-11.489993&lt;/D&gt;&lt;D xsi:type="xsd:double"&gt;9.882748&lt;/D&gt;&lt;D xsi:type="xsd:double"&gt;-19.817078&lt;/D&gt;&lt;D xsi:type="xsd:double"&gt;4.1825175&lt;/D&gt;&lt;D xsi:type="xsd:double"&gt;-9.524727&lt;/D&gt;&lt;D xsi:type="xsd:double"&gt;-2.238804&lt;/D&gt;&lt;D xsi:type="xsd:double"&gt;-10.687023&lt;/D&gt;&lt;D xsi:type="xsd:double"&gt;-14.996118&lt;/D&gt;&lt;D xsi:type="xsd:double"&gt;14.076781&lt;/D&gt;&lt;D xsi:type="xsd:double"&gt;18.429493&lt;/D&gt;&lt;D xsi:type="xsd:double"&gt;7.1932554&lt;/D&gt;&lt;D xsi:type="xsd:double"&gt;7.514453&lt;/D&gt;&lt;D xsi:type="xsd:double"&gt;-5.7945013&lt;/D&gt;&lt;D xsi:type="xsd:double"&gt;-4.4388113&lt;/D&gt;&lt;D xsi:type="xsd:double"&gt;16.921043&lt;/D&gt;&lt;D xsi:type="xsd:double"&gt;1.2485743&lt;/D&gt;&lt;D xsi:type="xsd:double"&gt;7.062781&lt;/D&gt;&lt;D xsi:type="xsd:double"&gt;10.000002&lt;/D&gt;&lt;D xsi:type="xsd:double"&gt;-7.044262&lt;/D&gt;&lt;D xsi:type="xsd:double"&gt;-12.3911915&lt;/D&gt;&lt;D xsi:type="xsd:double"&gt;12.799525&lt;/D&gt;&lt;D xsi:type="xsd:double"&gt;13.989639&lt;/D&gt;&lt;D xsi:type="xsd:double"&gt;5.9640884&lt;/D&gt;&lt;D xsi:type="xsd:double"&gt;-6.3576164&lt;/D&gt;&lt;D xsi:type="xsd:double"&gt;9.900988&lt;/D&gt;&lt;D xsi:type="xsd:double"&gt;1.2012005&lt;/D&gt;&lt;D xsi:type="xsd:double"&gt;2.416277&lt;/D&gt;&lt;D xsi:type="xsd:double"&gt;1.9453645&lt;/D&gt;&lt;D xsi:type="xsd:double"&gt;1.4635801&lt;/D&gt;&lt;D xsi:type="xsd:double"&gt;-2.9759526&lt;/D&gt;&lt;D xsi:type="xsd:double"&gt;2.8151274&lt;/D&gt;&lt;D xsi:type="xsd:double"&gt;1.5937924&lt;/D&gt;&lt;D xsi:type="xsd:double"&gt;-8.08528&lt;/D&gt;&lt;D xsi:type="xsd:double"&gt;-3.3260405&lt;/D&gt;&lt;D xsi:type="xsd:double"&gt;-0.7598102&lt;/D&gt;&lt;D xsi:type="xsd:double"&gt;11.137438&lt;/D&gt;&lt;D xsi:type="xsd:double"&gt;7.8038335&lt;/D&gt;&lt;D xsi:type="xsd:double"&gt;12.460446&lt;/D&gt;&lt;D xsi:type="xsd:double"&gt;6.5775514&lt;/D&gt;&lt;D xsi:type="xsd:double"&gt;1.3861418&lt;/D&gt;&lt;D xsi:type="xsd:double"&gt;4.957521&lt;/D&gt;&lt;D xsi:type="xsd:double"&gt;1.7671227&lt;/D&gt;&lt;D xsi:type="xsd:double"&gt;-1.705426&lt;/D&gt;&lt;D xsi:type="xsd:double"&gt;1.2933731&lt;/D&gt;&lt;D xsi:type="xsd:double"&gt;7.53659&lt;/D&gt;&lt;D xsi:type="xsd:double"&gt;-1.3321698&lt;/D&gt;&lt;D xsi:type="xsd:double"&gt;6.0994983&lt;/D&gt;&lt;D xsi:type="xsd:double"&gt;9.782612&lt;/D&gt;&lt;/FQL&gt;&lt;FQL&gt;&lt;Q&gt;EWT^FG_PRICE(0,-200D)&lt;/Q&gt;&lt;R&gt;201&lt;/R&gt;&lt;C&gt;1&lt;/C&gt;&lt;D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xsi:type="xsd:double"&gt;44.99&lt;/D&gt;&lt;D xsi:type="xsd:double"&gt;46.05&lt;/D&gt;&lt;D xsi:type="xsd:double"&gt;45.77&lt;/D&gt;&lt;D xsi:type="xsd:double"&gt;45.62&lt;/D&gt;&lt;/FQL&gt;&lt;FQL&gt;&lt;Q&gt;UAE^FG_TOTAL_RETURNC(-5AY,0,AM)&lt;/Q&gt;&lt;R&gt;61&lt;/R&gt;&lt;C&gt;1&lt;/C&gt;&lt;D xsi:type="xsd:double"&gt;10.332203&lt;/D&gt;&lt;D xsi:type="xsd:double"&gt;-1.3560653&lt;/D&gt;&lt;D xsi:type="xsd:double"&gt;4.0593266&lt;/D&gt;&lt;D xsi:type="xsd:double"&gt;2.1755457&lt;/D&gt;&lt;D xsi:type="xsd:double"&gt;9.104252&lt;/D&gt;&lt;D xsi:type="xsd:double"&gt;-1.2958765&lt;/D&gt;&lt;D xsi:type="xsd:double"&gt;-0.5645752&lt;/D&gt;&lt;D xsi:type="xsd:double"&gt;4.861605&lt;/D&gt;&lt;D xsi:type="xsd:double"&gt;0.3045678&lt;/D&gt;&lt;D xsi:type="xsd:double"&gt;-0.13562441&lt;/D&gt;&lt;D xsi:type="xsd:double"&gt;9.7980385&lt;/D&gt;&lt;D xsi:type="xsd:double"&gt;1.4626384&lt;/D&gt;&lt;D xsi:type="xsd:double"&gt;3.6128283&lt;/D&gt;&lt;D xsi:type="xsd:double"&gt;4.3674946&lt;/D&gt;&lt;D xsi:type="xsd:double"&gt;7.8677297&lt;/D&gt;&lt;D xsi:type="xsd:double"&gt;-0.5285442&lt;/D&gt;&lt;D xsi:type="xsd:double"&gt;-9.936232&lt;/D&gt;&lt;D xsi:type="xsd:double"&gt;-5.7137785&lt;/D&gt;&lt;D xsi:type="xsd:double"&gt;5.5211425&lt;/D&gt;&lt;D xsi:type="xsd:double"&gt;0.24257898&lt;/D&gt;&lt;D xsi:type="xsd:double"&gt;-8.227468&lt;/D&gt;&lt;D xsi:type="xsd:double"&gt;2.175343&lt;/D&gt;&lt;D xsi:type="xsd:double"&gt;-1.2903214&lt;/D&gt;&lt;D xsi:type="xsd:double"&gt;-0.47612786&lt;/D&gt;&lt;D xsi:type="xsd:double"&gt;-6.0155334&lt;/D&gt;&lt;D xsi:type="xsd:double"&gt;2.5910378&lt;/D&gt;&lt;D xsi:type="xsd:double"&gt;-4.1638193&lt;/D&gt;&lt;D xsi:type="xsd:double"&gt;10.113966&lt;/D&gt;&lt;D xsi:type="xsd:double"&gt;-5.821472&lt;/D&gt;&lt;D xsi:type="xsd:double"&gt;4.061997&lt;/D&gt;&lt;D xsi:type="xsd:double"&gt;3.4576297&lt;/D&gt;&lt;D xsi:type="xsd:double"&gt;-1.179558&lt;/D&gt;&lt;D xsi:type="xsd:double"&gt;1.3925791&lt;/D&gt;&lt;D xsi:type="xsd:double"&gt;-12.720728&lt;/D&gt;&lt;D xsi:type="xsd:double"&gt;10.753083&lt;/D&gt;&lt;D xsi:type="xsd:double"&gt;1.1978984&lt;/D&gt;&lt;D xsi:type="xsd:double"&gt;1.2786031&lt;/D&gt;&lt;D xsi:type="xsd:double"&gt;-3.2558143&lt;/D&gt;&lt;D xsi:type="xsd:double"&gt;1.5796661&lt;/D&gt;&lt;D xsi:type="xsd:double"&gt;-2.6369214&lt;/D&gt;&lt;D xsi:type="xsd:double"&gt;-4.444438&lt;/D&gt;&lt;D xsi:type="xsd:double"&gt;3.8615942&lt;/D&gt;&lt;D xsi:type="xsd:double"&gt;7.345462&lt;/D&gt;&lt;D xsi:type="xsd:double"&gt;0.5420089&lt;/D&gt;&lt;D xsi:type="xsd:double"&gt;3.975737&lt;/D&gt;&lt;D xsi:type="xsd:double"&gt;-1.6850293&lt;/D&gt;&lt;D xsi:type="xsd:double"&gt;2.5339484&lt;/D&gt;&lt;D xsi:type="xsd:double"&gt;5.5894613&lt;/D&gt;&lt;D xsi:type="xsd:double"&gt;4.0536404&lt;/D&gt;&lt;D xsi:type="xsd:double"&gt;2.226138&lt;/D&gt;&lt;D xsi:type="xsd:double"&gt;-3.4383953&lt;/D&gt;&lt;D xsi:type="xsd:double"&gt;6.76558&lt;/D&gt;&lt;D xsi:type="xsd:double"&gt;3.3351898&lt;/D&gt;&lt;D xsi:type="xsd:double"&gt;3.2827377&lt;/D&gt;&lt;D xsi:type="xsd:double"&gt;8.481431&lt;/D&gt;&lt;D xsi:type="xsd:double"&gt;-3.7974775&lt;/D&gt;&lt;D xsi:type="xsd:double"&gt;-2.8895736&lt;/D&gt;&lt;D xsi:type="xsd:double"&gt;6.269932&lt;/D&gt;&lt;D xsi:type="xsd:double"&gt;-7.099998&lt;/D&gt;&lt;D xsi:type="xsd:double"&gt;6.522417&lt;/D&gt;&lt;D xsi:type="xsd:double"&gt;5.408156&lt;/D&gt;&lt;/FQL&gt;&lt;FQL&gt;&lt;Q&gt;EWQ^FG_PRICE(0,-200D)&lt;/Q&gt;&lt;R&gt;201&lt;/R&gt;&lt;C&gt;1&lt;/C&gt;&lt;D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xsi:type="xsd:double"&gt;38.96&lt;/D&gt;&lt;D xsi:type="xsd:double"&gt;39&lt;/D&gt;&lt;D xsi:type="xsd:double"&gt;38.85&lt;/D&gt;&lt;D xsi:type="xsd:double"&gt;38.97&lt;/D&gt;&lt;/FQL&gt;&lt;FQL&gt;&lt;Q&gt;MCHI^FG_PRICE(0,-200D)&lt;/Q&gt;&lt;R&gt;201&lt;/R&gt;&lt;C&gt;1&lt;/C&gt;&lt;D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</t>
        </r>
      </text>
    </comment>
    <comment ref="A3" authorId="0" shapeId="0" xr:uid="{577D9813-1940-43A2-8E64-C45604D6795E}">
      <text>
        <r>
          <rPr>
            <b/>
            <sz val="9"/>
            <color indexed="81"/>
            <rFont val="Tahoma"/>
            <charset val="1"/>
          </rPr>
          <t>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xsi:type="xsd:double"&gt;49.16&lt;/D&gt;&lt;D xsi:type="xsd:double"&gt;50.17&lt;/D&gt;&lt;D xsi:type="xsd:double"&gt;50.56&lt;/D&gt;&lt;D xsi:type="xsd:double"&gt;49.68&lt;/D&gt;&lt;/FQL&gt;&lt;FQL&gt;&lt;Q&gt;EWM^FG_PRICE(0,-200D)&lt;/Q&gt;&lt;R&gt;201&lt;/R&gt;&lt;C&gt;1&lt;/C&gt;&lt;D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xsi:type="xsd:double"&gt;22.44&lt;/D&gt;&lt;D xsi:type="xsd:double"&gt;22.63&lt;/D&gt;&lt;D xsi:type="xsd:double"&gt;22.65&lt;/D&gt;&lt;D xsi:type="xsd:double"&gt;22.46&lt;/D&gt;&lt;/FQL&gt;&lt;FQL&gt;&lt;Q&gt;EWI^FG_TOTAL_RETURNC(-5AY,0,AM)&lt;/Q&gt;&lt;R&gt;61&lt;/R&gt;&lt;C&gt;1&lt;/C&gt;&lt;D xsi:type="xsd:double"&gt;-4.5133057&lt;/D&gt;&lt;D xsi:type="xsd:double"&gt;5.537915&lt;/D&gt;&lt;D xsi:type="xsd:double"&gt;5.1136374&lt;/D&gt;&lt;D xsi:type="xsd:double"&gt;2.1939516&lt;/D&gt;&lt;D xsi:type="xsd:double"&gt;4.2626023&lt;/D&gt;&lt;D xsi:type="xsd:double"&gt;-1.2575924&lt;/D&gt;&lt;D xsi:type="xsd:double"&gt;0.030601025&lt;/D&gt;&lt;D xsi:type="xsd:double"&gt;0.73393583&lt;/D&gt;&lt;D xsi:type="xsd:double"&gt;-3.3697605&lt;/D&gt;&lt;D xsi:type="xsd:double"&gt;5.183792&lt;/D&gt;&lt;D xsi:type="xsd:double"&gt;-5.2269993&lt;/D&gt;&lt;D xsi:type="xsd:double"&gt;5.291629&lt;/D&gt;&lt;D xsi:type="xsd:double"&gt;-3.0358195&lt;/D&gt;&lt;D xsi:type="xsd:double"&gt;-5.29117&lt;/D&gt;&lt;D xsi:type="xsd:double"&gt;-0.6281018&lt;/D&gt;&lt;D xsi:type="xsd:double"&gt;-8.749163&lt;/D&gt;&lt;D xsi:type="xsd:double"&gt;5.6142926&lt;/D&gt;&lt;D xsi:type="xsd:double"&gt;-13.118535&lt;/D&gt;&lt;D xsi:type="xsd:double"&gt;0.90090036&lt;/D&gt;&lt;D xsi:type="xsd:double"&gt;-4.5048656&lt;/D&gt;&lt;D xsi:type="xsd:double"&gt;-8.669787&lt;/D&gt;&lt;D xsi:type="xsd:double"&gt;12.936258&lt;/D&gt;&lt;D xsi:type="xsd:double"&gt;12.649357&lt;/D&gt;&lt;D xsi:type="xsd:double"&gt;1.4294386&lt;/D&gt;&lt;D xsi:type="xsd:double"&gt;9.809661&lt;/D&gt;&lt;D xsi:type="xsd:double"&gt;0.033330917&lt;/D&gt;&lt;D xsi:type="xsd:double"&gt;0.2665758&lt;/D&gt;&lt;D xsi:type="xsd:double"&gt;5.2176833&lt;/D&gt;&lt;D xsi:type="xsd:double"&gt;-3.7586868&lt;/D&gt;&lt;D xsi:type="xsd:double"&gt;5.547178&lt;/D&gt;&lt;D xsi:type="xsd:double"&gt;6.2440276&lt;/D&gt;&lt;D xsi:type="xsd:double"&gt;-2.7586162&lt;/D&gt;&lt;D xsi:type="xsd:double"&gt;-6.197965&lt;/D&gt;&lt;D xsi:type="xsd:double"&gt;-4.404998&lt;/D&gt;&lt;D xsi:type="xsd:double"&gt;13.789547&lt;/D&gt;&lt;D xsi:type="xsd:double"&gt;3.8321614&lt;/D&gt;&lt;D xsi:type="xsd:double"&gt;-2.0335972&lt;/D&gt;&lt;D xsi:type="xsd:double"&gt;7.190132&lt;/D&gt;&lt;D xsi:type="xsd:double"&gt;5.865848&lt;/D&gt;&lt;D xsi:type="xsd:double"&gt;-1.0604501&lt;/D&gt;&lt;D xsi:type="xsd:double"&gt;2.1436214&lt;/D&gt;&lt;D xsi:type="xsd:double"&gt;-3.625822&lt;/D&gt;&lt;D xsi:type="xsd:double"&gt;3.5425425&lt;/D&gt;&lt;D xsi:type="xsd:double"&gt;4.067898&lt;/D&gt;&lt;D xsi:type="xsd:double"&gt;2.096808&lt;/D&gt;&lt;D xsi:type="xsd:double"&gt;-2.5862098&lt;/D&gt;&lt;D xsi:type="xsd:double"&gt;-5.413842&lt;/D&gt;&lt;D xsi:type="xsd:double"&gt;0.66615343&lt;/D&gt;&lt;D xsi:type="xsd:double"&gt;7.1329474&lt;/D&gt;&lt;D xsi:type="xsd:double"&gt;5.6994796&lt;/D&gt;&lt;D xsi:type="xsd:double"&gt;4.9019575&lt;/D&gt;&lt;D xsi:type="xsd:double"&gt;4.3691516&lt;/D&gt;&lt;D xsi:type="xsd:double"&gt;6.514442&lt;/D&gt;&lt;D xsi:type="xsd:double"&gt;2.3390412&lt;/D&gt;&lt;D xsi:type="xsd:double"&gt;2.507317&lt;/D&gt;&lt;D xsi:type="xsd:double"&gt;4.056251&lt;/D&gt;&lt;D xsi:type="xsd:double"&gt;0.8814931&lt;/D&gt;&lt;D xsi:type="xsd:double"&gt;1.1844635&lt;/D&gt;&lt;D xsi:type="xsd:double"&gt;1.5735984&lt;/D&gt;&lt;D xsi:type="xsd:double"&gt;3.6647081&lt;/D&gt;&lt;D xsi:type="xsd:double"&gt;3.7112236&lt;/D&gt;&lt;/FQL&gt;&lt;FQL&gt;&lt;Q&gt;EWY^FG_TOTAL_RETURNC(-5AY,0,AM)&lt;/Q&gt;&lt;R&gt;61&lt;/R&gt;&lt;C&gt;1&lt;/C&gt;&lt;D xsi:type="xsd:double"&gt;4.18638&lt;/D&gt;&lt;D xsi:type="xsd:double"&gt;-0.14755726&lt;/D&gt;&lt;D xsi:type="xsd:double"&gt;0.28418303&lt;/D&gt;&lt;D xsi:type="xsd:double"&gt;5.0782084&lt;/D&gt;&lt;D xsi:type="xsd:double"&gt;-0.72275996&lt;/D&gt;&lt;D xsi:type="xsd:double"&gt;1.1518002&lt;/D&gt;&lt;D xsi:type="xsd:double"&gt;-2.6640832&lt;/D&gt;&lt;D xsi:type="xsd:double"&gt;-5.418831&lt;/D&gt;&lt;D xsi:type="xsd:double"&gt;-6.5810976&lt;/D&gt;&lt;D xsi:type="xsd:double"&gt;-0.71196556&lt;/D&gt;&lt;D xsi:type="xsd:double"&gt;-3.9250135&lt;/D&gt;&lt;D xsi:type="xsd:double"&gt;5.5084467&lt;/D&gt;&lt;D xsi:type="xsd:double"&gt;-10.496956&lt;/D&gt;&lt;D xsi:type="xsd:double"&gt;2.5637507&lt;/D&gt;&lt;D xsi:type="xsd:double"&gt;0.124287605&lt;/D&gt;&lt;D xsi:type="xsd:double"&gt;-8.08276&lt;/D&gt;&lt;D xsi:type="xsd:double"&gt;1.4405727&lt;/D&gt;&lt;D xsi:type="xsd:double"&gt;-13.979286&lt;/D&gt;&lt;D xsi:type="xsd:double"&gt;4.127252&lt;/D&gt;&lt;D xsi:type="xsd:double"&gt;-5.4004965&lt;/D&gt;&lt;D xsi:type="xsd:double"&gt;-15.764666&lt;/D&gt;&lt;D xsi:type="xsd:double"&gt;7.398963&lt;/D&gt;&lt;D xsi:type="xsd:double"&gt;12.620616&lt;/D&gt;&lt;D xsi:type="xsd:double"&gt;-0.9355664&lt;/D&gt;&lt;D xsi:type="xsd:double"&gt;14.493263&lt;/D&gt;&lt;D xsi:type="xsd:double"&gt;-10.5641365&lt;/D&gt;&lt;D xsi:type="xsd:double"&gt;2.5641084&lt;/D&gt;&lt;D xsi:type="xsd:double"&gt;1.1166692&lt;/D&gt;&lt;D xsi:type="xsd:double"&gt;4.005277&lt;/D&gt;&lt;D xsi:type="xsd:double"&gt;-0.6022155&lt;/D&gt;&lt;D xsi:type="xsd:double"&gt;7.605219&lt;/D&gt;&lt;D xsi:type="xsd:double"&gt;-6.134242&lt;/D&gt;&lt;D xsi:type="xsd:double"&gt;-6.9613276&lt;/D&gt;&lt;D xsi:type="xsd:double"&gt;-7.295555&lt;/D&gt;&lt;D xsi:type="xsd:double"&gt;15.995609&lt;/D&gt;&lt;D xsi:type="xsd:double"&gt;6.0966372&lt;/D&gt;&lt;D xsi:type="xsd:double"&gt;-8.194721&lt;/D&gt;&lt;D xsi:type="xsd:double"&gt;6.565821&lt;/D&gt;&lt;D xsi:type="xsd:double"&gt;4.6794534&lt;/D&gt;&lt;D xsi:type="xsd:double"&gt;-4.6043873&lt;/D&gt;&lt;D xsi:type="xsd:double"&gt;-1.3589442&lt;/D&gt;&lt;D xsi:type="xsd:double"&gt;4.6555758&lt;/D&gt;&lt;D xsi:type="xsd:double"&gt;-1.5736043&lt;/D&gt;&lt;D xsi:type="xsd:double"&gt;0.5534172&lt;/D&gt;&lt;D xsi:type="xsd:double"&gt;1.4217854&lt;/D&gt;&lt;D xsi:type="xsd:double"&gt;-7.024413&lt;/D&gt;&lt;D xsi:type="xsd:double"&gt;-6.890404&lt;/D&gt;&lt;D xsi:type="xsd:double"&gt;-8.223915&lt;/D&gt;&lt;D xsi:type="xsd:double"&gt;5.752039&lt;/D&gt;&lt;D xsi:type="xsd:double"&gt;0.45938492&lt;/D&gt;&lt;D xsi:type="xsd:double"&gt;0.21950006&lt;/D&gt;&lt;D xsi:type="xsd:double"&gt;2.390945&lt;/D&gt;&lt;D xsi:type="xsd:double"&gt;10.160435&lt;/D&gt;&lt;D xsi:type="xsd:double"&gt;14.466011&lt;/D&gt;&lt;D xsi:type="xsd:double"&gt;3.8874745&lt;/D&gt;&lt;D xsi:type="xsd:double"&gt;-1.7009139&lt;/D&gt;&lt;D xsi:type="xsd:double"&gt;11.074198&lt;/D&gt;&lt;D xsi:type="xsd:double"&gt;20.762718&lt;/D&gt;&lt;D xsi:type="xsd:double"&gt;-6.22291&lt;/D&gt;&lt;D xsi:type="xsd:double"&gt;11.11083&lt;/D&gt;&lt;D xsi:type="xsd:double"&gt;26.114262&lt;/D&gt;&lt;/FQL&gt;&lt;FQL&gt;&lt;Q&gt;ENZL^FG_PRICE(0,-200D)&lt;/Q&gt;&lt;R&gt;201&lt;/R&gt;&lt;C&gt;1&lt;/C&gt;&lt;D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xsi:type="xsd:double"&gt;43.03&lt;/D&gt;&lt;D xsi:type="xsd:double"&gt;42.68&lt;/D&gt;&lt;D xsi:type="xsd:double"&gt;43.1&lt;/D&gt;&lt;D xsi:type="xsd:double"&gt;42.39&lt;/D&gt;&lt;/FQL&gt;&lt;FQL&gt;&lt;Q&gt;EPU^FG_PRICE(0,-200D)&lt;/Q&gt;&lt;R&gt;201&lt;/R&gt;&lt;C&gt;1&lt;/C&gt;&lt;D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xsi:type="xsd:double"&gt;43.3511&lt;/D&gt;&lt;D xsi:type="xsd:double"&gt;43.15&lt;/D&gt;&lt;D xsi:type="xsd:double"&gt;43.14&lt;/D&gt;&lt;D xsi:type="xsd:double"&gt;42.085&lt;/D&gt;&lt;/FQL&gt;&lt;FQL&gt;&lt;Q&gt;EWG^FG_TOTAL_RETURNC(-5AY,0,AM)&lt;/Q&gt;&lt;R&gt;61&lt;/R&gt;&lt;C&gt;1&lt;/C&gt;&lt;D xsi:type="xsd:double"&gt;-2.2677839&lt;/D&gt;&lt;D xsi:type="xsd:double"&gt;1.7482519&lt;/D&gt;&lt;D xsi:type="xsd:double"&gt;3.7488341&lt;/D&gt;&lt;D xsi:type="xsd:double"&gt;5.6007266&lt;/D&gt;&lt;D xsi:type="xsd:double"&gt;2.0245194&lt;/D&gt;&lt;D xsi:type="xsd:double"&gt;-0.5179107&lt;/D&gt;&lt;D xsi:type="xsd:double"&gt;-0.54285526&lt;/D&gt;&lt;D xsi:type="xsd:double"&gt;0.60327053&lt;/D&gt;&lt;D xsi:type="xsd:double"&gt;-5.3398013&lt;/D&gt;&lt;D xsi:type="xsd:double"&gt;1.8702865&lt;/D&gt;&lt;D xsi:type="xsd:double"&gt;-5.152506&lt;/D&gt;&lt;D xsi:type="xsd:double"&gt;3.516829&lt;/D&gt;&lt;D xsi:type="xsd:double"&gt;-4.2347136&lt;/D&gt;&lt;D xsi:type="xsd:double"&gt;-7.623887&lt;/D&gt;&lt;D xsi:type="xsd:double"&gt;1.6506195&lt;/D&gt;&lt;D xsi:type="xsd:double"&gt;-12.009472&lt;/D&gt;&lt;D xsi:type="xsd:double"&gt;5.190313&lt;/D&gt;&lt;D xsi:type="xsd:double"&gt;-12.394381&lt;/D&gt;&lt;D xsi:type="xsd:double"&gt;1.4193535&lt;/D&gt;&lt;D xsi:type="xsd:double"&gt;-7.5487733&lt;/D&gt;&lt;D xsi:type="xsd:double"&gt;-9.357792&lt;/D&gt;&lt;D xsi:type="xsd:double"&gt;12.145746&lt;/D&gt;&lt;D xsi:type="xsd:double"&gt;12.409746&lt;/D&gt;&lt;D xsi:type="xsd:double"&gt;0.59581995&lt;/D&gt;&lt;D xsi:type="xsd:double"&gt;11.736525&lt;/D&gt;&lt;D xsi:type="xsd:double"&gt;-2.5008917&lt;/D&gt;&lt;D xsi:type="xsd:double"&gt;2.1619558&lt;/D&gt;&lt;D xsi:type="xsd:double"&gt;5.4878116&lt;/D&gt;&lt;D xsi:type="xsd:double"&gt;-2.8221667&lt;/D&gt;&lt;D xsi:type="xsd:double"&gt;0.912416&lt;/D&gt;&lt;D xsi:type="xsd:double"&gt;4.8094034&lt;/D&gt;&lt;D xsi:type="xsd:double"&gt;-4.520732&lt;/D&gt;&lt;D xsi:type="xsd:double"&gt;-6.7283688&lt;/D&gt;&lt;D xsi:type="xsd:double"&gt;-5.4580154&lt;/D&gt;&lt;D xsi:type="xsd:double"&gt;15.179658&lt;/D&gt;&lt;D xsi:type="xsd:double"&gt;4.071343&lt;/D&gt;&lt;D xsi:type="xsd:double"&gt;-0.7746756&lt;/D&gt;&lt;D xsi:type="xsd:double"&gt;4.005432&lt;/D&gt;&lt;D xsi:type="xsd:double"&gt;3.6227226&lt;/D&gt;&lt;D xsi:type="xsd:double"&gt;-2.4251997&lt;/D&gt;&lt;D xsi:type="xsd:double"&gt;2.453196&lt;/D&gt;&lt;D xsi:type="xsd:double"&gt;-1.149118&lt;/D&gt;&lt;D xsi:type="xsd:double"&gt;1.2736797&lt;/D&gt;&lt;D xsi:type="xsd:double"&gt;4.708159&lt;/D&gt;&lt;D xsi:type="xsd:double"&gt;4.496455&lt;/D&gt;&lt;D xsi:type="xsd:double"&gt;-3.0946016&lt;/D&gt;&lt;D xsi:type="xsd:double"&gt;-1.8552303&lt;/D&gt;&lt;D xsi:type="xsd:double"&gt;-0.40285587&lt;/D&gt;&lt;D xsi:type="xsd:double"&gt;8.089614&lt;/D&gt;&lt;D xsi:type="xsd:double"&gt;3.8284302&lt;/D&gt;&lt;D xsi:type="xsd:double"&gt;3.6595464&lt;/D&gt;&lt;D xsi:type="xsd:double"&gt;6.097889&lt;/D&gt;&lt;D xsi:type="xsd:double"&gt;5.4953337&lt;/D&gt;&lt;D xsi:type="xsd:double"&gt;2.7446508&lt;/D&gt;&lt;D xsi:type="xsd:double"&gt;-0.9692669&lt;/D&gt;&lt;D xsi:type="xsd:double"&gt;-0.0238657&lt;/D&gt;&lt;D xsi:type="xsd:double"&gt;-1.3610303&lt;/D&gt;&lt;D xsi:type="xsd:double"&gt;-0.096833706&lt;/D&gt;&lt;D xsi:type="xsd:double"&gt;-0.8480787&lt;/D&gt;&lt;D xsi:type="xsd:double"&gt;3.8856268&lt;/D&gt;&lt;D xsi:type="xsd:double"&gt;2.187717&lt;/D&gt;&lt;/FQL&gt;&lt;FQL&gt;&lt;Q&gt;SET-BKK^FG_TOTAL_RETURNC(-5AY,0,AM)&lt;/Q&gt;&lt;R&gt;61&lt;/R&gt;&lt;C&gt;1&lt;/C&gt;&lt;D xsi:type="xsd:double"&gt;0.34406185&lt;/D&gt;&lt;D xsi:type="xsd:double"&gt;2.031386&lt;/D&gt;&lt;D xsi:type="xsd:double"&gt;5.8198214&lt;/D&gt;&lt;D xsi:type="xsd:double"&gt;0.41480064&lt;/D&gt;&lt;D xsi:type="xsd:double"&gt;-0.53317547&lt;/D&gt;&lt;D xsi:type="xsd:double"&gt;0.59735775&lt;/D&gt;&lt;D xsi:type="xsd:double"&gt;-3.371185&lt;/D&gt;&lt;D xsi:type="xsd:double"&gt;4.7744155&lt;/D&gt;&lt;D xsi:type="xsd:double"&gt;0.35873652&lt;/D&gt;&lt;D xsi:type="xsd:double"&gt;0.39889812&lt;/D&gt;&lt;D xsi:type="xsd:double"&gt;-2.0783246&lt;/D&gt;&lt;D xsi:type="xsd:double"&gt;4.0032983&lt;/D&gt;&lt;D xsi:type="xsd:double"&gt;-0.8358836&lt;/D&gt;&lt;D xsi:type="xsd:double"&gt;2.7855873&lt;/D&gt;&lt;D xsi:type="xsd:double"&gt;0.27059317&lt;/D&gt;&lt;D xsi:type="xsd:double"&gt;-1.3197303&lt;/D&gt;&lt;D xsi:type="xsd:double"&gt;-1.7205954&lt;/D&gt;&lt;D xsi:type="xsd:double"&gt;-3.207928&lt;/D&gt;&lt;D xsi:type="xsd:dou</t>
        </r>
      </text>
    </comment>
    <comment ref="A4" authorId="0" shapeId="0" xr:uid="{16863FB5-3F6E-4A8D-A47D-B2044BA9232E}">
      <text>
        <r>
          <rPr>
            <b/>
            <sz val="9"/>
            <color indexed="81"/>
            <rFont val="Tahoma"/>
            <charset val="1"/>
          </rPr>
          <t>ble"&gt;-0.61594844&lt;/D&gt;&lt;D xsi:type="xsd:double"&gt;3.1787395&lt;/D&gt;&lt;D xsi:type="xsd:double"&gt;-2.0995736&lt;/D&gt;&lt;D xsi:type="xsd:double"&gt;0.86034536&lt;/D&gt;&lt;D xsi:type="xsd:double"&gt;1.1406779&lt;/D&gt;&lt;D xsi:type="xsd:double"&gt;2.2660732&lt;/D&gt;&lt;D xsi:type="xsd:double"&gt;1.2099743&lt;/D&gt;&lt;D xsi:type="xsd:double"&gt;-3.5062194&lt;/D&gt;&lt;D xsi:type="xsd:double"&gt;-0.72918534&lt;/D&gt;&lt;D xsi:type="xsd:double"&gt;-5.054271&lt;/D&gt;&lt;D xsi:type="xsd:double"&gt;0.77495575&lt;/D&gt;&lt;D xsi:type="xsd:double"&gt;-3.984505&lt;/D&gt;&lt;D xsi:type="xsd:double"&gt;4.305315&lt;/D&gt;&lt;D xsi:type="xsd:double"&gt;1.6549349&lt;/D&gt;&lt;D xsi:type="xsd:double"&gt;-6.2072515&lt;/D&gt;&lt;D xsi:type="xsd:double"&gt;-5.654371&lt;/D&gt;&lt;D xsi:type="xsd:double"&gt;-0.03890395&lt;/D&gt;&lt;D xsi:type="xsd:double"&gt;2.029276&lt;/D&gt;&lt;D xsi:type="xsd:double"&gt;-2.7947843&lt;/D&gt;&lt;D xsi:type="xsd:double"&gt;-0.40761828&lt;/D&gt;&lt;D xsi:type="xsd:double"&gt;0.530386&lt;/D&gt;&lt;D xsi:type="xsd:double"&gt;-1.1589766&lt;/D&gt;&lt;D xsi:type="xsd:double"&gt;-0.89135766&lt;/D&gt;&lt;D xsi:type="xsd:double"&gt;-3.6204576&lt;/D&gt;&lt;D xsi:type="xsd:double"&gt;0.48041344&lt;/D&gt;&lt;D xsi:type="xsd:double"&gt;3.8402438&lt;/D&gt;&lt;D xsi:type="xsd:double"&gt;6.832123&lt;/D&gt;&lt;D xsi:type="xsd:double"&gt;0.06965399&lt;/D&gt;&lt;D xsi:type="xsd:double"&gt;-1.6276658&lt;/D&gt;&lt;D xsi:type="xsd:double"&gt;-1.8269241&lt;/D&gt;&lt;D xsi:type="xsd:double"&gt;-4.1578054&lt;/D&gt;&lt;D xsi:type="xsd:double"&gt;-10.383487&lt;/D&gt;&lt;D xsi:type="xsd:double"&gt;-2.3485541&lt;/D&gt;&lt;D xsi:type="xsd:double"&gt;-0.36836863&lt;/D&gt;&lt;D xsi:type="xsd:double"&gt;-0.60710907&lt;/D&gt;&lt;D xsi:type="xsd:double"&gt;-7.009387&lt;/D&gt;&lt;D xsi:type="xsd:double"&gt;13.974237&lt;/D&gt;&lt;D xsi:type="xsd:double"&gt;0.23750067&lt;/D&gt;&lt;D xsi:type="xsd:double"&gt;4.16137&lt;/D&gt;&lt;D xsi:type="xsd:double"&gt;2.1404147&lt;/D&gt;&lt;D xsi:type="xsd:double"&gt;-4.480714&lt;/D&gt;&lt;D xsi:type="xsd:double"&gt;-0.21166205&lt;/D&gt;&lt;D xsi:type="xsd:double"&gt;6.143391&lt;/D&gt;&lt;/FQL&gt;&lt;FQL&gt;&lt;Q&gt;CNYA^FG_TOTAL_RETURNC(-5AY,0,AM)&lt;/Q&gt;&lt;R&gt;61&lt;/R&gt;&lt;C&gt;1&lt;/C&gt;&lt;D xsi:type="xsd:double"&gt;7.0094585&lt;/D&gt;&lt;D xsi:type="xsd:double"&gt;-0.9519458&lt;/D&gt;&lt;D xsi:type="xsd:double"&gt;-6.6590366&lt;/D&gt;&lt;D xsi:type="xsd:double"&gt;4.8624635&lt;/D&gt;&lt;D xsi:type="xsd:double"&gt;5.8601856&lt;/D&gt;&lt;D xsi:type="xsd:double"&gt;-2.4908721&lt;/D&gt;&lt;D xsi:type="xsd:double"&gt;-4.9228725&lt;/D&gt;&lt;D xsi:type="xsd:double"&gt;1.07373&lt;/D&gt;&lt;D xsi:type="xsd:double"&gt;-1.4164388&lt;/D&gt;&lt;D xsi:type="xsd:double"&gt;3.5201192&lt;/D&gt;&lt;D xsi:type="xsd:double"&gt;-0.023126602&lt;/D&gt;&lt;D xsi:type="xsd:double"&gt;0.33730268&lt;/D&gt;&lt;D xsi:type="xsd:double"&gt;-7.3888836&lt;/D&gt;&lt;D xsi:type="xsd:double"&gt;3.002894&lt;/D&gt;&lt;D xsi:type="xsd:double"&gt;-10.807514&lt;/D&gt;&lt;D xsi:type="xsd:double"&gt;-9.436542&lt;/D&gt;&lt;D xsi:type="xsd:double"&gt;1.6913295&lt;/D&gt;&lt;D xsi:type="xsd:double"&gt;10.9291315&lt;/D&gt;&lt;D xsi:type="xsd:double"&gt;-5.3916273&lt;/D&gt;&lt;D xsi:type="xsd:double"&gt;-3.3739686&lt;/D&gt;&lt;D xsi:type="xsd:double"&gt;-8.744133&lt;/D&gt;&lt;D xsi:type="xsd:double"&gt;-9.131831&lt;/D&gt;&lt;D xsi:type="xsd:double"&gt;11.075724&lt;/D&gt;&lt;D xsi:type="xsd:double"&gt;1.7864704&lt;/D&gt;&lt;D xsi:type="xsd:double"&gt;13.401723&lt;/D&gt;&lt;D xsi:type="xsd:double"&gt;-7.718402&lt;/D&gt;&lt;D xsi:type="xsd:double"&gt;-0.91911554&lt;/D&gt;&lt;D xsi:type="xsd:double"&gt;-0.24737716&lt;/D&gt;&lt;D xsi:type="xsd:double"&gt;-6.6955924&lt;/D&gt;&lt;D xsi:type="xsd:double"&gt;-3.8544893&lt;/D&gt;&lt;D xsi:type="xsd:double"&gt;7.929361&lt;/D&gt;&lt;D xsi:type="xsd:double"&gt;-7.2322726&lt;/D&gt;&lt;D xsi:type="xsd:double"&gt;-2.3540854&lt;/D&gt;&lt;D xsi:type="xsd:double"&gt;-5.011511&lt;/D&gt;&lt;D xsi:type="xsd:double"&gt;1.5659928&lt;/D&gt;&lt;D xsi:type="xsd:double"&gt;-1.2628257&lt;/D&gt;&lt;D xsi:type="xsd:double"&gt;-5.731988&lt;/D&gt;&lt;D xsi:type="xsd:double"&gt;6.727195&lt;/D&gt;&lt;D xsi:type="xsd:double"&gt;-0.10547042&lt;/D&gt;&lt;D xsi:type="xsd:double"&gt;3.5452843&lt;/D&gt;&lt;D xsi:type="xsd:double"&gt;-1.1537075&lt;/D&gt;&lt;D xsi:type="xsd:double"&gt;-4.3474913&lt;/D&gt;&lt;D xsi:type="xsd:double"&gt;-1.8555045&lt;/D&gt;&lt;D xsi:type="xsd:double"&gt;-0.6033838&lt;/D&gt;&lt;D xsi:type="xsd:double"&gt;17.159058&lt;/D&gt;&lt;D xsi:type="xsd:double"&gt;1.761651&lt;/D&gt;&lt;D xsi:type="xsd:double"&gt;-1.0862172&lt;/D&gt;&lt;D xsi:type="xsd:double"&gt;0.30477047&lt;/D&gt;&lt;D xsi:type="xsd:double"&gt;-3.2867134&lt;/D&gt;&lt;D xsi:type="xsd:double"&gt;1.0846019&lt;/D&gt;&lt;D xsi:type="xsd:double"&gt;0.4291892&lt;/D&gt;&lt;D xsi:type="xsd:double"&gt;-3.3475816&lt;/D&gt;&lt;D xsi:type="xsd:double"&gt;3.242445&lt;/D&gt;&lt;D xsi:type="xsd:double"&gt;1.975131&lt;/D&gt;&lt;D xsi:type="xsd:double"&gt;6.9571376&lt;/D&gt;&lt;D xsi:type="xsd:double"&gt;9.954012&lt;/D&gt;&lt;D xsi:type="xsd:double"&gt;2.1810532&lt;/D&gt;&lt;D xsi:type="xsd:double"&gt;3.1286597&lt;/D&gt;&lt;D xsi:type="xsd:double"&gt;-3.7425578&lt;/D&gt;&lt;D xsi:type="xsd:double"&gt;2.9156923&lt;/D&gt;&lt;D xsi:type="xsd:double"&gt;4.422462&lt;/D&gt;&lt;/FQL&gt;&lt;FQL&gt;&lt;Q&gt;GREK^FG_PRICE(0,-200D)&lt;/Q&gt;&lt;R&gt;201&lt;/R&gt;&lt;C&gt;1&lt;/C&gt;&lt;D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xsi:type="xsd:double"&gt;47.35&lt;/D&gt;&lt;D xsi:type="xsd:double"&gt;47.415&lt;/D&gt;&lt;D xsi:type="xsd:double"&gt;46.92&lt;/D&gt;&lt;D xsi:type="xsd:double"&gt;45.92&lt;/D&gt;&lt;/FQL&gt;&lt;FQL&gt;&lt;Q&gt;EWN^FG_TOTAL_RETURNC(-5AY,0,AM)&lt;/Q&gt;&lt;R&gt;61&lt;/R&gt;&lt;C&gt;1&lt;/C&gt;&lt;D xsi:type="xsd:double"&gt;1.633048&lt;/D&gt;&lt;D xsi:type="xsd:double"&gt;4.0170193&lt;/D&gt;&lt;D xsi:type="xsd:double"&gt;4.475236&lt;/D&gt;&lt;D xsi:type="xsd:double"&gt;6.4796686&lt;/D&gt;&lt;D xsi:type="xsd:double"&gt;1.0822892&lt;/D&gt;&lt;D xsi:type="xsd:double"&gt;-0.63924193&lt;/D&gt;&lt;D xsi:type="xsd:double"&gt;2.7629972&lt;/D&gt;&lt;D xsi:type="xsd:double"&gt;4.6405077&lt;/D&gt;&lt;D xsi:type="xsd:double"&gt;-5.3673387&lt;/D&gt;&lt;D xsi:type="xsd:double"&gt;4.7868013&lt;/D&gt;&lt;D xsi:type="xsd:double"&gt;-4.664111&lt;/D&gt;&lt;D xsi:type="xsd:double"&gt;1.281631&lt;/D&gt;&lt;D xsi:type="xsd:double"&gt;-10.055858&lt;/D&gt;&lt;D xsi:type="xsd:double"&gt;-4.991126&lt;/D&gt;&lt;D xsi:type="xsd:double"&gt;3.151989&lt;/D&gt;&lt;D xsi:type="xsd:double"&gt;-13.014936&lt;/D&gt;&lt;D xsi:type="xsd:double"&gt;2.1857977&lt;/D&gt;&lt;D xsi:type="xsd:double"&gt;-9.293884&lt;/D&gt;&lt;D xsi:type="xsd:double"&gt;8.219564&lt;/D&gt;&lt;D xsi:type="xsd:double"&gt;-8.226019&lt;/D&gt;&lt;D xsi:type="xsd:double"&gt;-12.428403&lt;/D&gt;&lt;D xsi:type="xsd:double"&gt;8.502293&lt;/D&gt;&lt;D xsi:type="xsd:double"&gt;14.315855&lt;/D&gt;&lt;D xsi:type="xsd:double"&gt;0.2761364&lt;/D&gt;&lt;D xsi:type="xsd:double"&gt;12.275135&lt;/D&gt;&lt;D xsi:type="xsd:double"&gt;-3.8642764&lt;/D&gt;&lt;D xsi:type="xsd:double"&gt;1.5441179&lt;/D&gt;&lt;D xsi:type="xsd:double"&gt;2.148199&lt;/D&gt;&lt;D xsi:type="xsd:double"&gt;1.6304374&lt;/D&gt;&lt;D xsi:type="xsd:double"&gt;0.6501436&lt;/D&gt;&lt;D xsi:type="xsd:double"&gt;5.1389813&lt;/D&gt;&lt;D xsi:type="xsd:double"&gt;-7.3761406&lt;/D&gt;&lt;D xsi:type="xsd:double"&gt;-8.803063&lt;/D&gt;&lt;D xsi:type="xsd:double"&gt;-3.3535004&lt;/D&gt;&lt;D xsi:type="xsd:double"&gt;15.199351&lt;/D&gt;&lt;D xsi:type="xsd:double"&gt;6.2289476&lt;/D&gt;&lt;D xsi:type="xsd:double"&gt;3.2937407&lt;/D&gt;&lt;D xsi:type="xsd:double"&gt;3.5574913&lt;/D&gt;&lt;D xsi:type="xsd:double"&gt;3.6447406&lt;/D&gt;&lt;D xsi:type="xsd:double"&gt;-1.4551342&lt;/D&gt;&lt;D xsi:type="xsd:double"&gt;4.450369&lt;/D&gt;&lt;D xsi:type="xsd:double"&gt;-0.26182532&lt;/D&gt;&lt;D xsi:type="xsd:double"&gt;-4.1409492&lt;/D&gt;&lt;D xsi:type="xsd:double"&gt;4.859817&lt;/D&gt;&lt;D xsi:type="xsd:double"&gt;1.4260173&lt;/D&gt;&lt;D xsi:type="xsd:double"&gt;-6.5221667&lt;/D&gt;&lt;D xsi:type="xsd:double"&gt;-4.804677&lt;/D&gt;&lt;D xsi:type="xsd:double"&gt;-0.17280579&lt;/D&gt;&lt;D xsi:type="xsd:double"&gt;1.840353&lt;/D&gt;&lt;D xsi:type="xsd:double"&gt;2.6997566&lt;/D&gt;&lt;D xsi:type="xsd:double"&gt;0.36040545&lt;/D&gt;&lt;D xsi:type="xsd:double"&gt;3.3375502&lt;/D&gt;&lt;D xsi:type="xsd:double"&gt;8.217502&lt;/D&gt;&lt;D xsi:type="xsd:double"&gt;4.0530324&lt;/D&gt;&lt;D xsi:type="xsd:double"&gt;-3.0721128&lt;/D&gt;&lt;D xsi:type="xsd:double"&gt;0.5883455&lt;/D&gt;&lt;D xsi:type="xsd:double"&gt;8.811319&lt;/D&gt;&lt;D xsi:type="xsd:double"&gt;2.9408813&lt;/D&gt;&lt;D xsi:type="xsd:double"&gt;-2.014625&lt;/D&gt;&lt;D xsi:type="xsd:double"&gt;1.7423034&lt;/D&gt;&lt;D xsi:type="xsd:double"&gt;11.368418&lt;/D&gt;&lt;/FQL&gt;&lt;FQL&gt;&lt;Q&gt;QAT^FG_TOTAL_RETURNC(-5AY,0,AM)&lt;/Q&gt;&lt;R&gt;61&lt;/R&gt;&lt;C&gt;1&lt;/C&gt;&lt;D xsi:type="xsd:double"&gt;0.9029746&lt;/D&gt;&lt;D xsi:type="xsd:double"&gt;-3.5924911&lt;/D&gt;&lt;D xsi:type="xsd:double"&gt;3.7819862&lt;/D&gt;&lt;D xsi:type="xsd:double"&gt;5.2518725&lt;/D&gt;&lt;D xsi:type="xsd:double"&gt;-1.4541686&lt;/D&gt;&lt;D xsi:type="xsd:double"&gt;0.62030554&lt;/D&gt;&lt;D xsi:type="xsd:double"&gt;-1.3385773&lt;/D&gt;&lt;D xsi:type="xsd:double"&gt;5.027926&lt;/D&gt;&lt;D xsi:type="xsd:double"&gt;2.1783233&lt;/D&gt;&lt;D xsi:type="xsd:double"&gt;2.6276708&lt;/D&gt;&lt;D xsi:type="xsd:double"&gt;-2.4951696&lt;/D&gt;&lt;D xsi:type="xsd:double"&gt;2.0606875&lt;/D&gt;&lt;D xsi:type="xsd:double"&gt;6.7210317&lt;/D&gt;&lt;D xsi:type="xsd:double"&gt;4.787755&lt;/D&gt;&lt;D xsi:type="xsd:double"&gt;5.7030916&lt;/D&gt;&lt;D xsi:type="xsd:double"&gt;-0.49423575&lt;/D&gt;&lt;D xsi:type="xsd:double"&gt;-5.091059&lt;/D&gt;&lt;D xsi:type="xsd:double"&gt;-6.1075926&lt;/D&gt;&lt;D xsi:type="xsd:double"&gt;6.9187284&lt;/D&gt;&lt;D xsi:type="xsd:double"&gt;4.134834&lt;/D&gt;&lt;D xsi:type="xsd:double"&gt;-8.205438&lt;/D&gt;&lt;D xsi:type="xsd:double"&gt;-1.4989078&lt;/D&gt;&lt;D xsi:type="xsd:double"&gt;-2.7684987&lt;/D&gt;&lt;D xsi:type="xsd:double"&gt;-8.1078&lt;/D&gt;&lt;D xsi:type="xsd:double"&gt;4.032254&lt;/D&gt;&lt;D xsi:type="xsd:double"&gt;-5.581397&lt;/D&gt;&lt;D xsi:type="xsd:double"&gt;-1.094693&lt;/D&gt;&lt;D xsi:type="xsd:double"&gt;2.0475984&lt;/D&gt;&lt;D xsi:type="xsd:double"&gt;3.7418604&lt;/D&gt;&lt;D xsi:type="xsd:double"&gt;-3.3530116&lt;/D&gt;&lt;D xsi:type="xsd:double"&gt;6.1270237&lt;/D&gt;&lt;D xsi:type="xsd:double"&gt;-4.449141&lt;/D&gt;&lt;D xsi:type="xsd:double"&gt;-3.6031127&lt;/D&gt;&lt;D xsi:type="xsd:double"&gt;-8.913165&lt;/D&gt;&lt;D xsi:type="xsd:double"&gt;9.027779&lt;/D&gt;&lt;D xsi:type="xsd:double"&gt;4.9797297&lt;/D&gt;&lt;D xsi:type="xsd:double"&gt;-4.0816307&lt;/D&gt;&lt;D xsi:type="xsd:double"&gt;4.5428514&lt;/D&gt;&lt;D xsi:type="xsd:double"&gt;-2.970302&lt;/D&gt;&lt;D xsi:type="xsd:double"&gt;-1.2471616&lt;/D&gt;&lt;D xsi:type="xsd:double"&gt;-5.166471&lt;/D&gt;&lt;D xsi:type="xsd:double"&gt;6.9809437&lt;/D&gt;&lt;D xsi:type="xsd:double"&gt;1.4218092&lt;/D&gt;&lt;D xsi:type="xsd:double"&gt;2.803731&lt;/D&gt;&lt;D xsi:type="xsd:double"&gt;4.488635&lt;/D&gt;&lt;D xsi:type="xsd:double"&gt;-0.054377317&lt;/D&gt;&lt;D xsi:type="xsd:double"&gt;-0.92492104&lt;/D&gt;&lt;D xsi:type="xsd:double"&gt;-1.0274708&lt;/D&gt;&lt;D xsi:type="xsd:double"&gt;1.5219927&lt;/D&gt;&lt;D xsi:type="xsd:double"&gt;-0.055527687&lt;/D&gt;&lt;D xsi:type="xsd:double"&gt;-1.3888896&lt;/D&gt;&lt;D xsi:type="xsd:double"&gt;2.535212&lt;/D&gt;&lt;D xsi:type="xsd:double"&gt;3.4615278&lt;/D&gt;&lt;D xsi:type="xsd:double"&gt;0.9904742&lt;/D&gt;&lt;D xsi:type="xsd:double"&gt;5.5465817&lt;/D&gt;&lt;D xsi:type="xsd:double"&gt;2.0408154&lt;/D&gt;&lt;D xsi:type="xsd:double"&gt;-2.8750062&lt;/D&gt;&lt;D xsi:type="xsd:double"&gt;-0.9008944&lt;/D&gt;&lt;D xsi:type="xsd:double"&gt;-1.9220829&lt;/D&gt;&lt;D xsi:type="xsd:double"&gt;1.1859894&lt;/D&gt;&lt;D xsi:type="xsd:double"&gt;5.006075&lt;/D&gt;&lt;/FQL&gt;&lt;FQL&gt;&lt;Q&gt;EWU^FG_PRICE(0,-200D)&lt;/Q&gt;&lt;R&gt;201&lt;/R&gt;&lt;C&gt;1&lt;/C&gt;&lt;D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xsi:type="xsd:double"&gt;36.55&lt;/D&gt;&lt;D xsi:type="xsd:double"&gt;36.65&lt;/D&gt;&lt;D xsi:type="xsd:double"&gt;36.15&lt;/D&gt;&lt;D xsi:type="xsd:double"&gt;35.57&lt;/D&gt;&lt;/FQL&gt;&lt;FQL&gt;&lt;Q&gt;EWL^FG_PRICE(0,-200D)&lt;/Q&gt;&lt;R&gt;201&lt;/R&gt;&lt;C&gt;1&lt;/C&gt;&lt;D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xsi:type="xsd:double"&gt;51.29&lt;/D&gt;&lt;D xsi:type="xsd:double"&gt;51.45&lt;/D&gt;&lt;D xsi:type="xsd:double"&gt;51.2&lt;/D&gt;&lt;D xsi:type="xsd:double"&gt;51.05&lt;/D&gt;&lt;/FQL&gt;&lt;FQL&gt;&lt;Q&gt;CNYA^JULIAN(FG_PRICE(0,-200D).DATES)&lt;/Q&gt;&lt;R&gt;201&lt;/R&gt;&lt;C&gt;1&lt;/C&gt;&lt;D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</t>
        </r>
      </text>
    </comment>
    <comment ref="A5" authorId="0" shapeId="0" xr:uid="{BFC1B3B9-BFF9-45C6-9B6B-C4573877AFE4}">
      <text>
        <r>
          <rPr>
            <b/>
            <sz val="9"/>
            <color indexed="81"/>
            <rFont val="Tahoma"/>
            <charset val="1"/>
          </rPr>
          <t>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xsi:type="xsd:long"&gt;45758&lt;/D&gt;&lt;/FQL&gt;&lt;FQL&gt;&lt;Q&gt;ECH^FG_TOTAL_RETURNC(-5AY,0,AM)&lt;/Q&gt;&lt;R&gt;61&lt;/R&gt;&lt;C&gt;1&lt;/C&gt;&lt;D xsi:type="xsd:double"&gt;-0.2665758&lt;/D&gt;&lt;D xsi:type="xsd:double"&gt;4.944873&lt;/D&gt;&lt;D xsi:type="xsd:double"&gt;6.972301&lt;/D&gt;&lt;D xsi:type="xsd:double"&gt;-4.2857113&lt;/D&gt;&lt;D xsi:type="xsd:double"&gt;-8.550996&lt;/D&gt;&lt;D xsi:type="xsd:double"&gt;-0.23707747&lt;/D&gt;&lt;D xsi:type="xsd:double"&gt;-4.4714093&lt;/D&gt;&lt;D xsi:type="xsd:double"&gt;1.669085&lt;/D&gt;&lt;D xsi:type="xsd:double"&gt;-7.030696&lt;/D&gt;&lt;D xsi:type="xsd:double"&gt;-5.834925&lt;/D&gt;&lt;D xsi:type="xsd:double"&gt;5.2181005&lt;/D&gt;&lt;D xsi:type="xsd:double"&gt;-7.871413&lt;/D&gt;&lt;D xsi:type="xsd:double"&gt;11.547649&lt;/D&gt;&lt;D xsi:type="xsd:double"&gt;1.323986&lt;/D&gt;&lt;D xsi:type="xsd:double"&gt;12.18294&lt;/D&gt;&lt;D xsi:type="xsd:double"&gt;-13.018161&lt;/D&gt;&lt;D xsi:type="xsd:double"&gt;20.913755&lt;/D&gt;&lt;D xsi:type="xsd:double"&gt;-17.90871&lt;/D&gt;&lt;D xsi:type="xsd:double"&gt;9.12093&lt;/D&gt;&lt;D xsi:type="xsd:double"&gt;6.7700386&lt;/D&gt;&lt;D xsi:type="xsd:double"&gt;-14.842361&lt;/D&gt;&lt;D xsi:type="xsd:double"&gt;5.657232&lt;/D&gt;&lt;D xsi:type="xsd:double"&gt;3.5433054&lt;/D&gt;&lt;D xsi:type="xsd:double"&gt;3.470409&lt;/D&gt;&lt;D xsi:type="xsd:double"&gt;8.51866&lt;/D&gt;&lt;D xsi:type="xsd:double"&gt;-2.3619294&lt;/D&gt;&lt;D xsi:type="xsd:double"&gt;2.1700382&lt;/D&gt;&lt;D xsi:type="xsd:double"&gt;-1.0793865&lt;/D&gt;&lt;D xsi:type="xsd:double"&gt;3.4494877&lt;/D&gt;&lt;D xsi:type="xsd:double"&gt;2.1467805&lt;/D&gt;&lt;D xsi:type="xsd:double"&gt;7.585728&lt;/D&gt;&lt;D xsi:type="xsd:double"&gt;-8.91822&lt;/D&gt;&lt;D xsi:type="xsd:double"&gt;-7.4231205&lt;/D&gt;&lt;D xsi:type="xsd:double"&gt;-7.254678&lt;/D&gt;&lt;D xsi:type="xsd:double"&gt;9.715927&lt;/D&gt;&lt;D xsi:type="xsd:double"&gt;6.53466&lt;/D&gt;&lt;D xsi:type="xsd:double"&gt;-8.401275&lt;/D&gt;&lt;D xsi:type="xsd:double"&gt;1.896286&lt;/D&gt;&lt;D xsi:type="xsd:double"&gt;0.91151&lt;/D&gt;&lt;D xsi:type="xsd:double"&gt;2.7098298&lt;/D&gt;&lt;D xsi:type="xsd:double"&gt;4.3605685&lt;/D&gt;&lt;D xsi:type="xsd:double"&gt;-6.8091335&lt;/D&gt;&lt;D xsi:type="xsd:double"&gt;-1.3529181&lt;/D&gt;&lt;D xsi:type="xsd:double"&gt;4.427898&lt;/D&gt;&lt;D xsi:type="xsd:double"&gt;3.2270193&lt;/D&gt;&lt;D xsi:type="xsd:double"&gt;-4.3257&lt;/D&gt;&lt;D xsi:type="xsd:double"&gt;-3.6854088&lt;/D&gt;&lt;D xsi:type="xsd:double"&gt;-0.4990816&lt;/D&gt;&lt;D xsi:type="xsd:double"&gt;6.3245773&lt;/D&gt;&lt;D xsi:type="xsd:double"&gt;7.0707083&lt;/D&gt;&lt;D xsi:type="xsd:double"&gt;3.9832234&lt;/D&gt;&lt;D xsi:type="xsd:double"&gt;5.645168&lt;/D&gt;&lt;D xsi:type="xsd:double"&gt;2.0356297&lt;/D&gt;&lt;D xsi:type="xsd:double"&gt;-1.1189103&lt;/D&gt;&lt;D xsi:type="xsd:double"&gt;-3.9291441&lt;/D&gt;&lt;D xsi:type="xsd:double"&gt;9.989953&lt;/D&gt;&lt;D xsi:type="xsd:double"&gt;0.12190342&lt;/D&gt;&lt;D xsi:type="xsd:double"&gt;6.4535856&lt;/D&gt;&lt;D xsi:type="xsd:double"&gt;8.264219&lt;/D&gt;&lt;D xsi:type="xsd:double"&gt;6.2199473&lt;/D&gt;&lt;D xsi:type="xsd:double"&gt;16.974758&lt;/D&gt;&lt;/FQL&gt;&lt;FQL&gt;&lt;Q&gt;EPOL^FG_PRICE(0,-200D)&lt;/Q&gt;&lt;R&gt;201&lt;/R&gt;&lt;C&gt;1&lt;/C&gt;&lt;D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xsi:type="xsd:double"&gt;27.74&lt;/D&gt;&lt;D xsi:type="xsd:double"&gt;27.58&lt;/D&gt;&lt;D xsi:type="xsd:double"&gt;27.59&lt;/D&gt;&lt;D xsi:type="xsd:double"&gt;27.25&lt;/D&gt;&lt;/FQL&gt;&lt;FQL&gt;&lt;Q&gt;ECH^JULIAN(FG_TOTAL_RETURNC(-5AY,0,AM).DATES)&lt;/Q&gt;&lt;R&gt;61&lt;/R&gt;&lt;C&gt;1&lt;/C&gt;&lt;D xsi:type="xsd:long"&gt;44225&lt;/D&gt;&lt;D xsi:type="xsd:long"&gt;44253&lt;/D&gt;&lt;D xsi:type="xsd:long"&gt;44284&lt;/D&gt;&lt;D xsi:type="xsd:long"&gt;44315&lt;/D&gt;&lt;D xsi:type="xsd:long"&gt;44344&lt;/D&gt;&lt;D xsi:type="xsd:long"&gt;44376&lt;/D&gt;&lt;D xsi:type="xsd:long"&gt;44406&lt;/D&gt;&lt;D xsi:type="xsd:long"&gt;44435&lt;/D&gt;&lt;D xsi:type="xsd:long"&gt;44468&lt;/D&gt;&lt;D xsi:type="xsd:long"&gt;44498&lt;/D&gt;&lt;D xsi:type="xsd:long"&gt;44529&lt;/D&gt;&lt;D xsi:type="xsd:long"&gt;44559&lt;/D&gt;&lt;D xsi:type="xsd:long"&gt;44589&lt;/D&gt;&lt;D xsi:type="xsd:long"&gt;44620&lt;/D&gt;&lt;D xsi:type="xsd:long"&gt;44649&lt;/D&gt;&lt;D xsi:type="xsd:long"&gt;44680&lt;/D&gt;&lt;D xsi:type="xsd:long"&gt;44708&lt;/D&gt;&lt;D xsi:type="xsd:long"&gt;44741&lt;/D&gt;&lt;D xsi:type="xsd:long"&gt;44771&lt;/D&gt;&lt;D xsi:type="xsd:long"&gt;44802&lt;/D&gt;&lt;D xsi:type="xsd:long"&gt;44833&lt;/D&gt;&lt;D xsi:type="xsd:long"&gt;44862&lt;/D&gt;&lt;D xsi:type="xsd:long"&gt;44894&lt;/D&gt;&lt;D xsi:type="xsd:long"&gt;44924&lt;/D&gt;&lt;D xsi:type="xsd:long"&gt;44953&lt;/D&gt;&lt;D xsi:type="xsd:long"&gt;44985&lt;/D&gt;&lt;D xsi:type="xsd:long"&gt;45014&lt;/D&gt;&lt;D xsi:type="xsd:long"&gt;45044&lt;/D&gt;&lt;D xsi:type="xsd:long"&gt;45072&lt;/D&gt;&lt;D xsi:type="xsd:long"&gt;45106&lt;/D&gt;&lt;D xsi:type="xsd:long"&gt;45135&lt;/D&gt;&lt;D xsi:type="xsd:long"&gt;45167&lt;/D&gt;&lt;D xsi:type="xsd:long"&gt;45198&lt;/D&gt;&lt;D xsi:type="xsd:long"&gt;45226&lt;/D&gt;&lt;D xsi:type="xsd:long"&gt;45259&lt;/D&gt;&lt;D xsi:type="xsd:long"&gt;45289&lt;/D&gt;&lt;D xsi:type="xsd:long"&gt;45320&lt;/D&gt;&lt;D xsi:type="xsd:long"&gt;45351&lt;/D&gt;&lt;D xsi:type="xsd:long"&gt;45379&lt;/D&gt;&lt;D xsi:type="xsd:long"&gt;45411&lt;/D&gt;&lt;D xsi:type="xsd:long"&gt;45441&lt;/D&gt;&lt;D xsi:type="xsd:long"&gt;45471&lt;/D&gt;&lt;D xsi:type="xsd:long"&gt;45502&lt;/D&gt;&lt;D xsi:type="xsd:long"&gt;45533&lt;/D&gt;&lt;D xsi:type="xsd:long"&gt;45562&lt;/D&gt;&lt;D xsi:type="xsd:long"&gt;45594&lt;/D&gt;&lt;D xsi:type="xsd:long"&gt;45625&lt;/D&gt;&lt;D xsi:type="xsd:long"&gt;45653&lt;/D&gt;&lt;D xsi:type="xsd:long"&gt;45686&lt;/D&gt;&lt;D xsi:type="xsd:long"&gt;45716&lt;/D&gt;&lt;D xsi:type="xsd:long"&gt;45744&lt;/D&gt;&lt;D xsi:type="xsd:long"&gt;45776&lt;/D&gt;&lt;D xsi:type="xsd:long"&gt;45806&lt;/D&gt;&lt;D xsi:type="xsd:long"&gt;45835&lt;/D&gt;&lt;D xsi:type="xsd:long"&gt;45867&lt;/D&gt;&lt;D xsi:type="xsd:long"&gt;45898&lt;/D&gt;&lt;D xsi:type="xsd:long"&gt;45929&lt;/D&gt;&lt;D xsi:type="xsd:long"&gt;45959&lt;/D&gt;&lt;D xsi:type="xsd:long"&gt;45989&lt;/D&gt;&lt;D xsi:type="xsd:long"&gt;46020&lt;/D&gt;&lt;D xsi:type="xsd:long"&gt;46051&lt;/D&gt;&lt;/FQL&gt;&lt;FQL&gt;&lt;Q&gt;EZA^FG_PRICE(0,-200D)&lt;/Q&gt;&lt;R&gt;201&lt;/R&gt;&lt;C&gt;1&lt;/C&gt;&lt;D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xsi:type="xsd:double"&gt;47.43&lt;/D&gt;&lt;D xsi:type="xsd:double"&gt;47.1&lt;/D&gt;&lt;D xsi:type="xsd:double"&gt;47.22&lt;/D&gt;&lt;D xsi:type="xsd:double"&gt;45.62&lt;/D&gt;&lt;/FQL&gt;&lt;FQL&gt;&lt;Q&gt;EPU^FG_TOTAL_RETURNC(-5AY,0,AM)&lt;/Q&gt;&lt;R&gt;61&lt;/R&gt;&lt;C&gt;1&lt;/C&gt;&lt;D xsi:type="xsd:double"&gt;-0.7877946&lt;/D&gt;&lt;D xsi:type="xsd:double"&gt;8.020687&lt;/D&gt;&lt;D xsi:type="xsd:double"&gt;-8.79417&lt;/D&gt;&lt;D xsi:type="xsd:double"&gt;-5.50133&lt;/D&gt;&lt;D xsi:type="xsd:double"&gt;3.004694&lt;/D&gt;&lt;D xsi:type="xsd:double"&gt;-11.198431&lt;/D&gt;&lt;D xsi:type="xsd:double"&gt;0.03451109&lt;/D&gt;&lt;D xsi:type="xsd:double"&gt;-8.416695&lt;/D&gt;&lt;D xsi:type="xsd:double"&gt;-0.18832088&lt;/D&gt;&lt;D xsi:type="xsd:double"&gt;13.283026&lt;/D&gt;&lt;D xsi:type="xsd:double"&gt;-5.696207&lt;/D&gt;&lt;D xsi:type="xsd:double"&gt;6.134796&lt;/D&gt;&lt;D xsi:type="xsd:double"&gt;10.902893&lt;/D&gt;&lt;D xsi:type="xsd:double"&gt;7.035339&lt;/D&gt;&lt;D xsi:type="xsd:double"&gt;7.118249&lt;/D&gt;&lt;D xsi:type="xsd:double"&gt;-14.389062&lt;/D&gt;&lt;D xsi:type="xsd:double"&gt;-2.222228&lt;/D&gt;&lt;D xsi:type="xsd:double"&gt;-12.407762&lt;/D&gt;&lt;D xsi:type="xsd:double"&gt;-1.8946588&lt;/D&gt;&lt;D xsi:type="xsd:double"&gt;1.1201262&lt;/D&gt;&lt;D xsi:type="xsd:double"&gt;-6.9900694&lt;/D&gt;&lt;D xsi:type="xsd:double"&gt;8.706355&lt;/D&gt;&lt;D xsi:type="xsd:double"&gt;9.293545&lt;/D&gt;&lt;D xsi:type="xsd:double"&gt;1.0196805&lt;/D&gt;&lt;D xsi:type="xsd:double"&gt;9.749306&lt;/D&gt;&lt;D xsi:type="xsd:double"&gt;-7.868016&lt;/D&gt;&lt;D xsi:type="xsd:double"&gt;4.8553705&lt;/D&gt;&lt;D xsi:type="xsd:double"&gt;1.8719196&lt;/D&gt;&lt;D xsi:type="xsd:double"&gt;-4.5280457&lt;/D&gt;&lt;D xsi:type="xsd:double"&gt;4.2794466&lt;/D&gt;&lt;D xsi:type="xsd:double"&gt;11.027503&lt;/D&gt;&lt;D xsi:type="xsd:double"&gt;-3.3442914&lt;/D&gt;&lt;D xsi:type="xsd:double"&gt;-6.7655206&lt;/D&gt;&lt;D xsi:type="xsd:double"&gt;-3.5046399&lt;/D&gt;&lt;D xsi:type="xsd:double"&gt;6.046915&lt;/D&gt;&lt;D xsi:type="xsd:double"&gt;13.655651&lt;/D&gt;&lt;D xsi:type="xsd:double"&gt;-0.7617831&lt;/D&gt;&lt;D xsi:type="xsd:double"&gt;3.0277252&lt;/D&gt;&lt;D xsi:type="xsd:double"&gt;11.433208&lt;/D&gt;&lt;D xsi:type="xsd:double"&gt;6.4615846&lt;/D&gt;&lt;D xsi:type="xsd:double"&gt;3.7385106&lt;/D&gt;&lt;D xsi:type="xsd:double"&gt;-4.718399&lt;/D&gt;&lt;D xsi:type="xsd:double"&gt;0.89485645&lt;/D&gt;&lt;D xsi:type="xsd:double"&gt;-0.68982244&lt;/D&gt;&lt;D xsi:type="xsd:double"&gt;9.278095&lt;/D&gt;&lt;D xsi:type="xsd:double"&gt;1.1577845&lt;/D&gt;&lt;D xsi:type="xsd:double"&gt;-4.3088017&lt;/D&gt;&lt;D xsi:type="xsd:double"&gt;-3.124565&lt;/D&gt;&lt;D xsi:type="xsd:double"&gt;0.5207062&lt;/D&gt;&lt;D xsi:type="xsd:double"&gt;1.7180204&lt;/D&gt;&lt;D xsi:type="xsd:double"&gt;7.960868&lt;/D&gt;&lt;D xsi:type="xsd:double"&gt;1.3556242&lt;/D&gt;&lt;D xsi:type="xsd:double"&gt;4.0482163&lt;/D&gt;&lt;D xsi:type="xsd:double"&gt;5.9789658&lt;/D&gt;&lt;D xsi:type="xsd:double"&gt;1.959157&lt;/D&gt;&lt;D xsi:type="xsd:double"&gt;8.818769&lt;/D&gt;&lt;D xsi:type="xsd:double"&gt;13.017845&lt;/D&gt;&lt;D xsi:type="xsd:double"&gt;3.8096428&lt;/D&gt;&lt;D xsi:type="xsd:double"&gt;2.1387815&lt;/D&gt;&lt;D xsi:type="xsd:double"&gt;12.060356&lt;/D&gt;&lt;D xsi:type="xsd:double"&gt;28.658794&lt;/D&gt;&lt;/FQL&gt;&lt;FQL&gt;&lt;Q&gt;EWD^FG_PRICE(0,-200D)&lt;/Q&gt;&lt;R&gt;201&lt;/R&gt;&lt;C&gt;1&lt;/C&gt;&lt;D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xsi:type="xsd:double"&gt;41.07&lt;/D&gt;&lt;D xsi:type="xsd:double"&gt;41.39&lt;/D&gt;&lt;D xsi:type="xsd:double"&gt;40.72&lt;/D&gt;&lt;D xsi:type="xsd:double"&gt;40.31&lt;/D&gt;&lt;/FQL&gt;&lt;FQL&gt;&lt;Q&gt;EWG^FG_PRICE(0,-200D)&lt;/Q&gt;&lt;R&gt;201&lt;/R&gt;&lt;C&gt;1&lt;/C&gt;&lt;D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</t>
        </r>
      </text>
    </comment>
    <comment ref="A6" authorId="0" shapeId="0" xr:uid="{93350ACB-6390-4090-84CE-506D97E65360}">
      <text>
        <r>
          <rPr>
            <b/>
            <sz val="9"/>
            <color indexed="81"/>
            <rFont val="Tahoma"/>
            <charset val="1"/>
          </rPr>
          <t>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xsi:type="xsd:double"&gt;37.22&lt;/D&gt;&lt;D xsi:type="xsd:double"&gt;37.2&lt;/D&gt;&lt;D xsi:type="xsd:double"&gt;36.82&lt;/D&gt;&lt;D xsi:type="xsd:double"&gt;36.37&lt;/D&gt;&lt;/FQL&gt;&lt;FQL&gt;&lt;Q&gt;SET-BKK^FG_PRICE(0,-200D)&lt;/Q&gt;&lt;R&gt;201&lt;/R&gt;&lt;C&gt;1&lt;/C&gt;&lt;D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xsi:type="xsd:double"&gt;1175.45&lt;/D&gt;&lt;/FQL&gt;&lt;FQL&gt;&lt;Q&gt;EWW^FG_PRICE(0,-200D)&lt;/Q&gt;&lt;R&gt;201&lt;/R&gt;&lt;C&gt;1&lt;/C&gt;&lt;D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xsi:type="xsd:double"&gt;53.02&lt;/D&gt;&lt;D xsi:type="xsd:double"&gt;52.19&lt;/D&gt;&lt;D xsi:type="xsd:double"&gt;51.91&lt;/D&gt;&lt;D xsi:type="xsd:double"&gt;50.68&lt;/D&gt;&lt;/FQL&gt;&lt;FQL&gt;&lt;Q&gt;CNYA^FG_PRICE(0,-200D)&lt;/Q&gt;&lt;R&gt;201&lt;/R&gt;&lt;C&gt;1&lt;/C&gt;&lt;D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xsi:type="xsd:double"&gt;26.92&lt;/D&gt;&lt;D xsi:type="xsd:double"&gt;26.7&lt;/D&gt;&lt;D xsi:type="xsd:double"&gt;26.96&lt;/D&gt;&lt;D xsi:type="xsd:double"&gt;27.09&lt;/D&gt;&lt;/FQL&gt;&lt;FQL&gt;&lt;Q&gt;EWU^FG_TOTAL_RETURNC(-5AY,0,AM)&lt;/Q&gt;&lt;R&gt;61&lt;/R&gt;&lt;C&gt;1&lt;/C&gt;&lt;D xsi:type="xsd:double"&gt;-1.5498698&lt;/D&gt;&lt;D xsi:type="xsd:double"&gt;3.9356709&lt;/D&gt;&lt;D xsi:type="xsd:double"&gt;3.6878467&lt;/D&gt;&lt;D xsi:type="xsd:double"&gt;4.3505907&lt;/D&gt;&lt;D xsi:type="xsd:double"&gt;2.8301954&lt;/D&gt;&lt;D xsi:type="xsd:double"&gt;-1.2896895&lt;/D&gt;&lt;D xsi:type="xsd:double"&gt;0.8231759&lt;/D&gt;&lt;D xsi:type="xsd:double"&gt;0.39310455&lt;/D&gt;&lt;D xsi:type="xsd:double"&gt;-3.0120492&lt;/D&gt;&lt;D xsi:type="xsd:double"&gt;4.596269&lt;/D&gt;&lt;D xsi:type="xsd:double"&gt;-4.0083113&lt;/D&gt;&lt;D xsi:type="xsd:double"&gt;5.804026&lt;/D&gt;&lt;D xsi:type="xsd:double"&gt;1.3517618&lt;/D&gt;&lt;D xsi:type="xsd:double"&gt;-0.7409632&lt;/D&gt;&lt;D xsi:type="xsd:double"&gt;0.95551014&lt;/D&gt;&lt;D xsi:type="xsd:double"&gt;-4.4661403&lt;/D&gt;&lt;D xsi:type="xsd:double"&gt;2.8173327&lt;/D&gt;&lt;D xsi:type="xsd:double"&gt;-7.424635&lt;/D&gt;&lt;D xsi:type="xsd:double"&gt;2.3848891&lt;/D&gt;&lt;D xsi:type="xsd:double"&gt;-3.8175344&lt;/D&gt;&lt;D xsi:type="xsd:double"&gt;-11.940795&lt;/D&gt;&lt;D xsi:type="xsd:double"&gt;8.212376&lt;/D&gt;&lt;D xsi:type="xsd:double"&gt;9.354043&lt;/D&gt;&lt;D xsi:type="xsd:double"&gt;0.93933344&lt;/D&gt;&lt;D xsi:type="xsd:double"&gt;5.7448983&lt;/D&gt;&lt;D xsi:type="xsd:double"&gt;-0.92082024&lt;/D&gt;&lt;D xsi:type="xsd:double"&gt;-1.2391567&lt;/D&gt;&lt;D xsi:type="xsd:double"&gt;6.4303637&lt;/D&gt;&lt;D xsi:type="xsd:double"&gt;-4.391396&lt;/D&gt;&lt;D xsi:type="xsd:double"&gt;0.2456069&lt;/D&gt;&lt;D xsi:type="xsd:double"&gt;4.3260217&lt;/D&gt;&lt;D xsi:type="xsd:double"&gt;-3.3653796&lt;/D&gt;&lt;D xsi:type="xsd:double"&gt;-1.616919&lt;/D&gt;&lt;D xsi:type="xsd:double"&gt;-4.5195937&lt;/D&gt;&lt;D xsi:type="xsd:double"&gt;7.1499467&lt;/D&gt;&lt;D xsi:type="xsd:double"&gt;4.451227&lt;/D&gt;&lt;D xsi:type="xsd:double"&gt;-1.0589957&lt;/D&gt;&lt;D xsi:type="xsd:double"&gt;0.15289783&lt;/D&gt;&lt;D xsi:type="xsd:double"&gt;4.45801&lt;/D&gt;&lt;D xsi:type="xsd:double"&gt;2.2508025&lt;/D&gt;&lt;D xsi:type="xsd:double"&gt;1.886797&lt;/D&gt;&lt;D xsi:type="xsd:double"&gt;-0.21585226&lt;/D&gt;&lt;D xsi:type="xsd:double"&gt;2.8956413&lt;/D&gt;&lt;D xsi:type="xsd:double"&gt;4.6809673&lt;/D&gt;&lt;D xsi:type="xsd:double"&gt;0.2661705&lt;/D&gt;&lt;D xsi:type="xsd:double"&gt;-3.955394&lt;/D&gt;&lt;D xsi:type="xsd:double"&gt;-1.0503054&lt;/D&gt;&lt;D xsi:type="xsd:double"&gt;-3.1484723&lt;/D&gt;&lt;D xsi:type="xsd:double"&gt;3.8574815&lt;/D&gt;&lt;D xsi:type="xsd:double"&gt;5.018425&lt;/D&gt;&lt;D xsi:type="xsd:double"&gt;1.4848828&lt;/D&gt;&lt;D xsi:type="xsd:double"&gt;2.0218134&lt;/D&gt;&lt;D xsi:type="xsd:double"&gt;3.75489&lt;/D&gt;&lt;D xsi:type="xsd:double"&gt;1.8675089&lt;/D&gt;&lt;D xsi:type="xsd:double"&gt;1.6867995&lt;/D&gt;&lt;D xsi:type="xsd:double"&gt;2.6491642&lt;/D&gt;&lt;D xsi:type="xsd:double"&gt;0.4100442&lt;/D&gt;&lt;D xsi:type="xsd:double"&gt;2.8825402&lt;/D&gt;&lt;D xsi:type="xsd:double"&gt;0.7471442&lt;/D&gt;&lt;D xsi:type="xsd:double"&gt;3.9956927&lt;/D&gt;&lt;D xsi:type="xsd:double"&gt;5.4974914&lt;/D&gt;&lt;/FQL&gt;&lt;FQL&gt;&lt;Q&gt;VNM^FG_TOTAL_RETURNC(-5AY,0,AM)&lt;/Q&gt;&lt;R&gt;61&lt;/R&gt;&lt;C&gt;1&lt;/C&gt;&lt;D xsi:type="xsd:double"&gt;-3.2590032&lt;/D&gt;&lt;D xsi:type="xsd:double"&gt;4.0189147&lt;/D&gt;&lt;D xsi:type="xsd:double"&gt;1.6477227&lt;/D&gt;&lt;D xsi:type="xsd:double"&gt;6.7635655&lt;/D&gt;&lt;D xsi:type="xsd:double"&gt;3.036654&lt;/D&gt;&lt;D xsi:type="xsd:double"&gt;4.827225&lt;/D&gt;&lt;D xsi:type="xsd:double"&gt;-6.1318455&lt;/D&gt;&lt;D xsi:type="xsd:double"&gt;2.0397663&lt;/D&gt;&lt;D xsi:type="xsd:double"&gt;-3.4919083&lt;/D&gt;&lt;D xsi:type="xsd:double"&gt;6.449914&lt;/D&gt;&lt;D xsi:type="xsd:double"&gt;1.8226624&lt;/D&gt;&lt;D xsi:type="xsd:double"&gt;2.1536112&lt;/D&gt;&lt;D xsi:type="xsd:double"&gt;-6.7110896&lt;/D&gt;&lt;D xsi:type="xsd:double"&gt;-0.45918226&lt;/D&gt;&lt;D xsi:type="xsd:double"&gt;-2.050227&lt;/D&gt;&lt;D xsi:type="xsd:double"&gt;-10.832024&lt;/D&gt;&lt;D xsi:type="xsd:double"&gt;-6.6901503&lt;/D&gt;&lt;D xsi:type="xsd:double"&gt;-7.484275&lt;/D&gt;&lt;D xsi:type="xsd:double"&gt;0.1359582&lt;/D&gt;&lt;D xsi:type="xsd:double"&gt;3.4623265&lt;/D&gt;&lt;D xsi:type="xsd:double"&gt;-14.173227&lt;/D&gt;&lt;D xsi:type="xsd:double"&gt;-10.168195&lt;/D&gt;&lt;D xsi:type="xsd:double"&gt;3.8297892&lt;/D&gt;&lt;D xsi:type="xsd:double"&gt;-1.6255975&lt;/D&gt;&lt;D xsi:type="xsd:double"&gt;9.335577&lt;/D&gt;&lt;D xsi:type="xsd:double"&gt;-13.384617&lt;/D&gt;&lt;D xsi:type="xsd:double"&gt;7.9040766&lt;/D&gt;&lt;D xsi:type="xsd:double"&gt;0&lt;/D&gt;&lt;D xsi:type="xsd:double"&gt;1.2345672&lt;/D&gt;&lt;D xsi:type="xsd:double"&gt;8.211386&lt;/D&gt;&lt;D xsi:type="xsd:double"&gt;11.269724&lt;/D&gt;&lt;D xsi:type="xsd:double"&gt;0.7427335&lt;/D&gt;&lt;D xsi:type="xsd:double"&gt;-9.24933&lt;/D&gt;&lt;D xsi:type="xsd:double"&gt;-11.00443&lt;/D&gt;&lt;D xsi:type="xsd:double"&gt;10.041499&lt;/D&gt;&lt;D xsi:type="xsd:double"&gt;2.736485&lt;/D&gt;&lt;D xsi:type="xsd:double"&gt;-0.9287894&lt;/D&gt;&lt;D xsi:type="xsd:double"&gt;5.54688&lt;/D&gt;&lt;D xsi:type="xsd:double"&gt;2.8867483&lt;/D&gt;&lt;D xsi:type="xsd:double"&gt;-11.079139&lt;/D&gt;&lt;D xsi:type="xsd:double"&gt;2.508092&lt;/D&gt;&lt;D xsi:type="xsd:double"&gt;-3.9463282&lt;/D&gt;&lt;D xsi:type="xsd:double"&gt;-1.3147056&lt;/D&gt;&lt;D xsi:type="xsd:double"&gt;4.662776&lt;/D&gt;&lt;D xsi:type="xsd:double"&gt;1.8297553&lt;/D&gt;&lt;D xsi:type="xsd:double"&gt;-6.406254&lt;/D&gt;&lt;D xsi:type="xsd:double"&gt;-1.8363893&lt;/D&gt;&lt;D xsi:type="xsd:double"&gt;-1.8707514&lt;/D&gt;&lt;D xsi:type="xsd:double"&gt;0.17331839&lt;/D&gt;&lt;D xsi:type="xsd:double"&gt;4.1522503&lt;/D&gt;&lt;D xsi:type="xsd:double"&gt;2.823925&lt;/D&gt;&lt;D xsi:type="xsd:double"&gt;-2.6655912&lt;/D&gt;&lt;D xsi:type="xsd:double"&gt;12.116182&lt;/D&gt;&lt;D xsi:type="xsd:double"&gt;1.6284227&lt;/D&gt;&lt;D xsi:type="xsd:double"&gt;15.804804&lt;/D&gt;&lt;D xsi:type="xsd:double"&gt;15.031457&lt;/D&gt;&lt;D xsi:type="xsd:double"&gt;-3.2804847&lt;/D&gt;&lt;D xsi:type="xsd:double"&gt;2.600336&lt;/D&gt;&lt;D xsi:type="xsd:double"&gt;1.0468364&lt;/D&gt;&lt;D xsi:type="xsd:double"&gt;3.373146&lt;/D&gt;&lt;D xsi:type="xsd:double"&gt;-0.5813956&lt;/D&gt;&lt;/FQL&gt;&lt;FQL&gt;&lt;Q&gt;EZA^FG_TOTAL_RETURNC(-5AY,0,AM)&lt;/Q&gt;&lt;R&gt;61&lt;/R&gt;&lt;C&gt;1&lt;/C&gt;&lt;D xsi:type="xsd:double"&gt;-0.20444989&lt;/D&gt;&lt;D xsi:type="xsd:double"&gt;5.2811265&lt;/D&gt;&lt;D xsi:type="xsd:double"&gt;6.4216256&lt;/D&gt;&lt;D xsi:type="xsd:double"&gt;3.7992716&lt;/D&gt;&lt;D xsi:type="xsd:double"&gt;3.9146662&lt;/D&gt;&lt;D xsi:type="xsd:double"&gt;-6.530958&lt;/D&gt;&lt;D xsi:type="xsd:double"&gt;-1.1185646&lt;/D&gt;&lt;D xsi:type="xsd:double"&gt;-0.6992996&lt;/D&gt;&lt;D xsi:type="xsd:double"&gt;-4.0389357&lt;/D&gt;&lt;D xsi:type="xsd:double"&gt;1.5108943&lt;/D&gt;&lt;D xsi:type="xsd:double"&gt;-7.1018515&lt;/D&gt;&lt;D xsi:type="xsd:double"&gt;7.04509&lt;/D&gt;&lt;D xsi:type="xsd:double"&gt;4.2557716&lt;/D&gt;&lt;D xsi:type="xsd:double"&gt;9.117281&lt;/D&gt;&lt;D xsi:type="xsd:double"&gt;5.905807&lt;/D&gt;&lt;D xsi:type="xsd:double"&gt;-14.039808&lt;/D&gt;&lt;D xsi:type="xsd:double"&gt;-0.10429621&lt;/D&gt;&lt;D xsi:type="xsd:double"&gt;-8.093614&lt;/D&gt;&lt;D xsi:type="xsd:double"&gt;-1.3937235&lt;/D&gt;&lt;D xsi:type="xsd:double"&gt;0.09423494&lt;/D&gt;&lt;D xsi:type="xsd:double"&gt;-14.168042&lt;/D&gt;&lt;D xsi:type="xsd:double"&gt;5.5662155&lt;/D&gt;&lt;D xsi:type="xsd:double"&gt;14.675331&lt;/D&gt;&lt;D xsi:type="xsd:double"&gt;0.33208132&lt;/D&gt;&lt;D xsi:type="xsd:double"&gt;5.6612372&lt;/D&gt;&lt;D xsi:type="xsd:double"&gt;-11.106289&lt;/D&gt;&lt;D xsi:type="xsd:double"&gt;2.0985842&lt;/D&gt;&lt;D xsi:type="xsd:double"&gt;2.652967&lt;/D&gt;&lt;D xsi:type="xsd:double"&gt;-12.665897&lt;/D&gt;&lt;D xsi:type="xsd:double"&gt;6.4816356&lt;/D&gt;&lt;D xsi:type="xsd:double"&gt;14.59502&lt;/D&gt;&lt;D xsi:type="xsd:double"&gt;-9.290952&lt;/D&gt;&lt;D xsi:type="xsd:double"&gt;-7.81672&lt;/D&gt;&lt;D xsi:type="xsd:double"&gt;-1.5417278&lt;/D&gt;&lt;D xsi:type="xsd:double"&gt;9.341251&lt;/D&gt;&lt;D xsi:type="xsd:double"&gt;4.4730425&lt;/D&gt;&lt;D xsi:type="xsd:double"&gt;-5.886573&lt;/D&gt;&lt;D xsi:type="xsd:double"&gt;-5.542845&lt;/D&gt;&lt;D xsi:type="xsd:double"&gt;5.43741&lt;/D&gt;&lt;D xsi:type="xsd:double"&gt;4.901719&lt;/D&gt;&lt;D xsi:type="xsd:double"&gt;3.1151056&lt;/D&gt;&lt;D xsi:type="xsd:double"&gt;3.8472772&lt;/D&gt;&lt;D xsi:type="xsd:double"&gt;0.39243698&lt;/D&gt;&lt;D xsi:type="xsd:double"&gt;8.783627&lt;/D&gt;&lt;D xsi:type="xsd:double"&gt;8.962154&lt;/D&gt;&lt;D xsi:type="xsd:double"&gt;-2.7352095&lt;/D&gt;&lt;D xsi:type="xsd:double"&gt;-5.3649783&lt;/D&gt;&lt;D xsi:type="xsd:double"&gt;-4.988199&lt;/D&gt;&lt;D xsi:type="xsd:double"&gt;2.0560741&lt;/D&gt;&lt;D xsi:type="xsd:double"&gt;1.6483545&lt;/D&gt;&lt;D xsi:type="xsd:double"&gt;7.207203&lt;/D&gt;&lt;D xsi:type="xsd:double"&gt;3.2352924&lt;/D&gt;&lt;D xsi:type="xsd:double"&gt;7.9568624&lt;/D&gt;&lt;D xsi:type="xsd:double"&gt;0.3977418&lt;/D&gt;&lt;D xsi:type="xsd:double"&gt;3.6094308&lt;/D&gt;&lt;D xsi:type="xsd:double"&gt;5.738902&lt;/D&gt;&lt;D xsi:type="xsd:double"&gt;9.970522&lt;/D&gt;&lt;D xsi:type="xsd:double"&gt;2.0971298&lt;/D&gt;&lt;D xsi</t>
        </r>
      </text>
    </comment>
    <comment ref="A7" authorId="0" shapeId="0" xr:uid="{D3E136EF-2FCE-49D8-AB24-44BF7380D9DF}">
      <text>
        <r>
          <rPr>
            <b/>
            <sz val="9"/>
            <color indexed="81"/>
            <rFont val="Tahoma"/>
            <charset val="1"/>
          </rPr>
          <t>:type="xsd:double"&gt;3.0733585&lt;/D&gt;&lt;D xsi:type="xsd:double"&gt;8.168292&lt;/D&gt;&lt;D xsi:type="xsd:double"&gt;16.294025&lt;/D&gt;&lt;/FQL&gt;&lt;FQL&gt;&lt;Q&gt;EPHE^FG_TOTAL_RETURNC(-5AY,0,AM)&lt;/Q&gt;&lt;R&gt;61&lt;/R&gt;&lt;C&gt;1&lt;/C&gt;&lt;D xsi:type="xsd:double"&gt;-8.328229&lt;/D&gt;&lt;D xsi:type="xsd:double"&gt;0.83500147&lt;/D&gt;&lt;D xsi:type="xsd:double"&gt;-1.0930777&lt;/D&gt;&lt;D xsi:type="xsd:double"&gt;-1.7079711&lt;/D&gt;&lt;D xsi:type="xsd:double"&gt;4.9063087&lt;/D&gt;&lt;D xsi:type="xsd:double"&gt;2.64194&lt;/D&gt;&lt;D xsi:type="xsd:double"&gt;-9.174895&lt;/D&gt;&lt;D xsi:type="xsd:double"&gt;6.173277&lt;/D&gt;&lt;D xsi:type="xsd:double"&gt;-2.6759207&lt;/D&gt;&lt;D xsi:type="xsd:double"&gt;7.5016975&lt;/D&gt;&lt;D xsi:type="xsd:double"&gt;0.28418303&lt;/D&gt;&lt;D xsi:type="xsd:double"&gt;1.9162416&lt;/D&gt;&lt;D xsi:type="xsd:double"&gt;-1.7364323&lt;/D&gt;&lt;D xsi:type="xsd:double"&gt;3.9760232&lt;/D&gt;&lt;D xsi:type="xsd:double"&gt;-6.2822523&lt;/D&gt;&lt;D xsi:type="xsd:double"&gt;-6.6385984&lt;/D&gt;&lt;D xsi:type="xsd:double"&gt;2.428031&lt;/D&gt;&lt;D xsi:type="xsd:double"&gt;-11.56795&lt;/D&gt;&lt;D xsi:type="xsd:double"&gt;0.5036831&lt;/D&gt;&lt;D xsi:type="xsd:double"&gt;3.0069351&lt;/D&gt;&lt;D xsi:type="xsd:double"&gt;-14.520955&lt;/D&gt;&lt;D xsi:type="xsd:double"&gt;5.341506&lt;/D&gt;&lt;D xsi:type="xsd:double"&gt;11.263514&lt;/D&gt;&lt;D xsi:type="xsd:double"&gt;-0.51074624&lt;/D&gt;&lt;D xsi:type="xsd:double"&gt;9.769893&lt;/D&gt;&lt;D xsi:type="xsd:double"&gt;-9.243989&lt;/D&gt;&lt;D xsi:type="xsd:double"&gt;3.6728501&lt;/D&gt;&lt;D xsi:type="xsd:double"&gt;-1.3148248&lt;/D&gt;&lt;D xsi:type="xsd:double"&gt;-3.6269426&lt;/D&gt;&lt;D xsi:type="xsd:double"&gt;1.8308997&lt;/D&gt;&lt;D xsi:type="xsd:double"&gt;3.2824397&lt;/D&gt;&lt;D xsi:type="xsd:double"&gt;-8.943092&lt;/D&gt;&lt;D xsi:type="xsd:double"&gt;1.0957837&lt;/D&gt;&lt;D xsi:type="xsd:double"&gt;-6.623846&lt;/D&gt;&lt;D xsi:type="xsd:double"&gt;8.2975025&lt;/D&gt;&lt;D xsi:type="xsd:double"&gt;4.023123&lt;/D&gt;&lt;D xsi:type="xsd:double"&gt;1.6160011&lt;/D&gt;&lt;D xsi:type="xsd:double"&gt;3.975761&lt;/D&gt;&lt;D xsi:type="xsd:double"&gt;0.6190777&lt;/D&gt;&lt;D xsi:type="xsd:double"&gt;-5.8993816&lt;/D&gt;&lt;D xsi:type="xsd:double"&gt;-5.3461494&lt;/D&gt;&lt;D xsi:type="xsd:double"&gt;-0.34514666&lt;/D&gt;&lt;D xsi:type="xsd:double"&gt;3.890729&lt;/D&gt;&lt;D xsi:type="xsd:double"&gt;9.800792&lt;/D&gt;&lt;D xsi:type="xsd:double"&gt;7.764876&lt;/D&gt;&lt;D xsi:type="xsd:double"&gt;-6.9697022&lt;/D&gt;&lt;D xsi:type="xsd:double"&gt;-7.093734&lt;/D&gt;&lt;D xsi:type="xsd:double"&gt;-0.9766698&lt;/D&gt;&lt;D xsi:type="xsd:double"&gt;-5.238104&lt;/D&gt;&lt;D xsi:type="xsd:double"&gt;0.50251484&lt;/D&gt;&lt;D xsi:type="xsd:double"&gt;4.0833354&lt;/D&gt;&lt;D xsi:type="xsd:double"&gt;5.724585&lt;/D&gt;&lt;D xsi:type="xsd:double"&gt;5.414617&lt;/D&gt;&lt;D xsi:type="xsd:double"&gt;-1.0253787&lt;/D&gt;&lt;D xsi:type="xsd:double"&gt;-3.1582773&lt;/D&gt;&lt;D xsi:type="xsd:double"&gt;-0.8342862&lt;/D&gt;&lt;D xsi:type="xsd:double"&gt;-4.2447386&lt;/D&gt;&lt;D xsi:type="xsd:double"&gt;-1.1980891&lt;/D&gt;&lt;D xsi:type="xsd:double"&gt;1.899755&lt;/D&gt;&lt;D xsi:type="xsd:double"&gt;0.31193495&lt;/D&gt;&lt;D xsi:type="xsd:double"&gt;2.2319674&lt;/D&gt;&lt;/FQL&gt;&lt;FQL&gt;&lt;Q&gt;EWC^FG_PRICE(0,-200D)&lt;/Q&gt;&lt;R&gt;201&lt;/R&gt;&lt;C&gt;1&lt;/C&gt;&lt;D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xsi:type="xsd:double"&gt;40.83&lt;/D&gt;&lt;D xsi:type="xsd:double"&gt;40.53&lt;/D&gt;&lt;D xsi:type="xsd:double"&gt;40.44&lt;/D&gt;&lt;D xsi:type="xsd:double"&gt;39.87&lt;/D&gt;&lt;/FQL&gt;&lt;FQL&gt;&lt;Q&gt;EWL^FG_TOTAL_RETURNC(-5AY,0,AM)&lt;/Q&gt;&lt;R&gt;61&lt;/R&gt;&lt;C&gt;1&lt;/C&gt;&lt;D xsi:type="xsd:double"&gt;-1.9376457&lt;/D&gt;&lt;D xsi:type="xsd:double"&gt;-1.8169403&lt;/D&gt;&lt;D xsi:type="xsd:double"&gt;3.307891&lt;/D&gt;&lt;D xsi:type="xsd:double"&gt;4.81416&lt;/D&gt;&lt;D xsi:type="xsd:double"&gt;4.1016817&lt;/D&gt;&lt;D xsi:type="xsd:double"&gt;2.76407&lt;/D&gt;&lt;D xsi:type="xsd:double"&gt;1.7490387&lt;/D&gt;&lt;D xsi:type="xsd:double"&gt;2.2586465&lt;/D&gt;&lt;D xsi:type="xsd:double"&gt;-8.5613785&lt;/D&gt;&lt;D xsi:type="xsd:double"&gt;6.51989&lt;/D&gt;&lt;D xsi:type="xsd:double"&gt;-0.6221175&lt;/D&gt;&lt;D xsi:type="xsd:double"&gt;7.0678473&lt;/D&gt;&lt;D xsi:type="xsd:double"&gt;-8.185589&lt;/D&gt;&lt;D xsi:type="xsd:double"&gt;-1.520133&lt;/D&gt;&lt;D xsi:type="xsd:double"&gt;3.7964106&lt;/D&gt;&lt;D xsi:type="xsd:double"&gt;-6.7524076&lt;/D&gt;&lt;D xsi:type="xsd:double"&gt;-1.357758&lt;/D&gt;&lt;D xsi:type="xsd:double"&gt;-7.5684967&lt;/D&gt;&lt;D xsi:type="xsd:double"&gt;4.896295&lt;/D&gt;&lt;D xsi:type="xsd:double"&gt;-4.98966&lt;/D&gt;&lt;D xsi:type="xsd:double"&gt;-8.978701&lt;/D&gt;&lt;D xsi:type="xsd:double"&gt;4.626429&lt;/D&gt;&lt;D xsi:type="xsd:double"&gt;7.4205875&lt;/D&gt;&lt;D xsi:type="xsd:double"&gt;0.6860733&lt;/D&gt;&lt;D xsi:type="xsd:double"&gt;5.7095885&lt;/D&gt;&lt;D xsi:type="xsd:double"&gt;-3.600806&lt;/D&gt;&lt;D xsi:type="xsd:double"&gt;2.674663&lt;/D&gt;&lt;D xsi:type="xsd:double"&gt;7.994616&lt;/D&gt;&lt;D xsi:type="xsd:double"&gt;-1.5595734&lt;/D&gt;&lt;D xsi:type="xsd:double"&gt;-1.5779078&lt;/D&gt;&lt;D xsi:type="xsd:double"&gt;4.937458&lt;/D&gt;&lt;D xsi:type="xsd:double"&gt;-2.7185261&lt;/D&gt;&lt;D xsi:type="xsd:double"&gt;-6.341362&lt;/D&gt;&lt;D xsi:type="xsd:double"&gt;-4.4985056&lt;/D&gt;&lt;D xsi:type="xsd:double"&gt;8.723867&lt;/D&gt;&lt;D xsi:type="xsd:double"&gt;6.697607&lt;/D&gt;&lt;D xsi:type="xsd:double"&gt;0&lt;/D&gt;&lt;D xsi:type="xsd:double"&gt;-3.003937&lt;/D&gt;&lt;D xsi:type="xsd:double"&gt;1.6659498&lt;/D&gt;&lt;D xsi:type="xsd:double"&gt;-3.1932712&lt;/D&gt;&lt;D xsi:type="xsd:double"&gt;3.559029&lt;/D&gt;&lt;D xsi:type="xsd:double"&gt;3.1460881&lt;/D&gt;&lt;D xsi:type="xsd:double"&gt;3.1321406&lt;/D&gt;&lt;D xsi:type="xsd:double"&gt;6.1544657&lt;/D&gt;&lt;D xsi:type="xsd:double"&gt;-0.56839585&lt;/D&gt;&lt;D xsi:type="xsd:double"&gt;-4.1349053&lt;/D&gt;&lt;D xsi:type="xsd:double"&gt;-4.2138815&lt;/D&gt;&lt;D xsi:type="xsd:double"&gt;-3.8389683&lt;/D&gt;&lt;D xsi:type="xsd:double"&gt;7.0133805&lt;/D&gt;&lt;D xsi:type="xsd:double"&gt;4.315388&lt;/D&gt;&lt;D xsi:type="xsd:double"&gt;1.4498353&lt;/D&gt;&lt;D xsi:type="xsd:double"&gt;2.2675276&lt;/D&gt;&lt;D xsi:type="xsd:double"&gt;2.2917867&lt;/D&gt;&lt;D xsi:type="xsd:double"&gt;1.401937&lt;/D&gt;&lt;D xsi:type="xsd:double"&gt;-0.93355775&lt;/D&gt;&lt;D xsi:type="xsd:double"&gt;2.2357821&lt;/D&gt;&lt;D xsi:type="xsd:double"&gt;-1.3735831&lt;/D&gt;&lt;D xsi:type="xsd:double"&gt;1.9974351&lt;/D&gt;&lt;D xsi:type="xsd:double"&gt;3.8807034&lt;/D&gt;&lt;D xsi:type="xsd:double"&gt;4.3756485&lt;/D&gt;&lt;D xsi:type="xsd:double"&gt;3.0985951&lt;/D&gt;&lt;/FQL&gt;&lt;FQL&gt;&lt;Q&gt;EIDO^FG_TOTAL_RETURNC(-5AY,0,AM)&lt;/Q&gt;&lt;R&gt;61&lt;/R&gt;&lt;C&gt;1&lt;/C&gt;&lt;D xsi:type="xsd:double"&gt;-4.7518015&lt;/D&gt;&lt;D xsi:type="xsd:double"&gt;1.7817378&lt;/D&gt;&lt;D xsi:type="xsd:double"&gt;-0.8752763&lt;/D&gt;&lt;D xsi:type="xsd:double"&gt;-3.443706&lt;/D&gt;&lt;D xsi:type="xsd:double"&gt;-2.3319602&lt;/D&gt;&lt;D xsi:type="xsd:double"&gt;-4.7361374&lt;/D&gt;&lt;D xsi:type="xsd:double"&gt;-0.14836192&lt;/D&gt;&lt;D xsi:type="xsd:double"&gt;3.4670591&lt;/D&gt;&lt;D xsi:type="xsd:double"&gt;1.3403535&lt;/D&gt;&lt;D xsi:type="xsd:double"&gt;13.037324&lt;/D&gt;&lt;D xsi:type="xsd:double"&gt;-2.549106&lt;/D&gt;&lt;D xsi:type="xsd:double"&gt;-0.027519464&lt;/D&gt;&lt;D xsi:type="xsd:double"&gt;0.21598339&lt;/D&gt;&lt;D xsi:type="xsd:double"&gt;4.870689&lt;/D&gt;&lt;D xsi:type="xsd:double"&gt;2.2194862&lt;/D&gt;&lt;D xsi:type="xsd:double"&gt;1.4073133&lt;/D&gt;&lt;D xsi:type="xsd:double"&gt;-2.5773168&lt;/D&gt;&lt;D xsi:type="xsd:double"&gt;-7.5047374&lt;/D&gt;&lt;D xsi:type="xsd:double"&gt;3.1236053&lt;/D&gt;&lt;D xsi:type="xsd:double"&gt;2.1635652&lt;/D&gt;&lt;D xsi:type="xsd:double"&gt;-0.67768097&lt;/D&gt;&lt;D xsi:type="xsd:double"&gt;1.2366652&lt;/D&gt;&lt;D xsi:type="xsd:double"&gt;-1.8112898&lt;/D&gt;&lt;D xsi:type="xsd:double"&gt;-2.8470337&lt;/D&gt;&lt;D xsi:type="xsd:double"&gt;5.040145&lt;/D&gt;&lt;D xsi:type="xsd:double"&gt;-2.7176201&lt;/D&gt;&lt;D xsi:type="xsd:double"&gt;3.1427264&lt;/D&gt;&lt;D xsi:type="xsd:double"&gt;4.7397375&lt;/D&gt;&lt;D xsi:type="xsd:double"&gt;-3.8787842&lt;/D&gt;&lt;D xsi:type="xsd:double"&gt;-1.5736461&lt;/D&gt;&lt;D xsi:type="xsd:double"&gt;1.8744588&lt;/D&gt;&lt;D xsi:type="xsd:double"&gt;0.25674105&lt;/D&gt;&lt;D xsi:type="xsd:double"&gt;-4.950917&lt;/D&gt;&lt;D xsi:type="xsd:double"&gt;-8.57656&lt;/D&gt;&lt;D xsi:type="xsd:double"&gt;6.4833045&lt;/D&gt;&lt;D xsi:type="xsd:double"&gt;3.7843108&lt;/D&gt;&lt;D xsi:type="xsd:double"&gt;-3.3602178&lt;/D&gt;&lt;D xsi:type="xsd:double"&gt;3.7088633&lt;/D&gt;&lt;D xsi:type="xsd:double"&gt;0.7152438&lt;/D&gt;&lt;D xsi:type="xsd:double"&gt;-8.166891&lt;/D&gt;&lt;D xsi:type="xsd:double"&gt;-3.528279&lt;/D&gt;&lt;D xsi:type="xsd:double"&gt;-0.062412024&lt;/D&gt;&lt;D xsi:type="xsd:double"&gt;4.0996313&lt;/D&gt;&lt;D xsi:type="xsd:double"&gt;8.923233&lt;/D&gt;&lt;D xsi:type="xsd:double"&gt;5.308926&lt;/D&gt;&lt;D xsi:type="xsd:double"&gt;-6.388521&lt;/D&gt;&lt;D xsi:type="xsd:double"&gt;-7.6601744&lt;/D&gt;&lt;D xsi:type="xsd:double"&gt;-5.3185344&lt;/D&gt;&lt;D xsi:type="xsd:double"&gt;-0.27698874&lt;/D&gt;&lt;D xsi:type="xsd:double"&gt;-13.683069&lt;/D&gt;&lt;D xsi:type="xsd:double"&gt;2.5689244&lt;/D&gt;&lt;D xsi:type="xsd:double"&gt;4.459369&lt;/D&gt;&lt;D xsi:type="xsd:double"&gt;10.81872&lt;/D&gt;&lt;D xsi:type="xsd:double"&gt;-5.220616&lt;/D&gt;&lt;D xsi:type="xsd:double"&gt;1.7724395&lt;/D&gt;&lt;D xsi:type="xsd:double"&gt;-0.73032975&lt;/D&gt;&lt;D xsi:type="xsd:double"&gt;0.11318922&lt;/D&gt;&lt;D xsi:type="xsd:double"&gt;3.5613298&lt;/D&gt;&lt;D xsi:type="xsd:double"&gt;1.9104838&lt;/D&gt;&lt;D xsi:type="xsd:double"&gt;0.8655071&lt;/D&gt;&lt;D xsi:type="xsd:double"&gt;-5.7411966&lt;/D&gt;&lt;/FQL&gt;&lt;FQL&gt;&lt;Q&gt;EWJ^FG_TOTAL_RETURNC(-5AY,0,AM)&lt;/Q&gt;&lt;R&gt;61&lt;/R&gt;&lt;C&gt;1&lt;/C&gt;&lt;D xsi:type="xsd:double"&gt;-0.49020052&lt;/D&gt;&lt;D xsi:type="xsd:double"&gt;1.8360972&lt;/D&gt;&lt;D xsi:type="xsd:double"&gt;2.1547914&lt;/D&gt;&lt;D xsi:type="xsd:double"&gt;-2.3676276&lt;/D&gt;&lt;D xsi:type="xsd:double"&gt;0.79364777&lt;/D&gt;&lt;D xsi:type="xsd:double"&gt;0.16115904&lt;/D&gt;&lt;D xsi:type="xsd:double"&gt;-0.49861073&lt;/D&gt;&lt;D xsi:type="xsd:double"&gt;0.41267872&lt;/D&gt;&lt;D xsi:type="xsd:double"&gt;4.19786&lt;/D&gt;&lt;D xsi:type="xsd:double"&gt;-3.6483943&lt;/D&gt;&lt;D xsi:type="xsd:double"&gt;-1.8274844&lt;/D&gt;&lt;D xsi:type="xsd:double"&gt;1.2523055&lt;/D&gt;&lt;D xsi:type="xsd:double"&gt;-6.4828577&lt;/D&gt;&lt;D xsi:type="xsd:double"&gt;0.3027916&lt;/D&gt;&lt;D xsi:type="xsd:double"&gt;0.12711287&lt;/D&gt;&lt;D xsi:type="xsd:double"&gt;-10.155511&lt;/D&gt;&lt;D xsi:type="xsd:double"&gt;3.0377984&lt;/D&gt;&lt;D xsi:type="xsd:double"&gt;-8.420247&lt;/D&gt;&lt;D xsi:type="xsd:double"&gt;6.1236143&lt;/D&gt;&lt;D xsi:type="xsd:double"&gt;-4.024935&lt;/D&gt;&lt;D xsi:type="xsd:double"&gt;-8.59158&lt;/D&gt;&lt;D xsi:type="xsd:double"&gt;2.0706415&lt;/D&gt;&lt;D xsi:type="xsd:double"&gt;9.765315&lt;/D&gt;&lt;D xsi:type="xsd:double"&gt;-0.35886168&lt;/D&gt;&lt;D xsi:type="xsd:double"&gt;7.1988344&lt;/D&gt;&lt;D xsi:type="xsd:double"&gt;-4.896295&lt;/D&gt;&lt;D xsi:type="xsd:double"&gt;3.1641006&lt;/D&gt;&lt;D xsi:type="xsd:double"&gt;1.9580722&lt;/D&gt;&lt;D xsi:type="xsd:double"&gt;2.3963332&lt;/D&gt;&lt;D xsi:type="xsd:double"&gt;2.812028&lt;/D&gt;&lt;D xsi:type="xsd:double"&gt;3.5604&lt;/D&gt;&lt;D xsi:type="xsd:double"&gt;-4.0816364&lt;/D&gt;&lt;D xsi:type="xsd:double"&gt;-1.3256907&lt;/D&gt;&lt;D xsi:type="xsd:double"&gt;-4.0968657&lt;/D&gt;&lt;D xsi:type="xsd:double"&gt;8.076799&lt;/D&gt;&lt;D xsi:type="xsd:double"&gt;4.0871263&lt;/D&gt;&lt;D xsi:type="xsd:double"&gt;3.164947&lt;/D&gt;&lt;D xsi:type="xsd:double"&gt;4.458225&lt;/D&gt;&lt;D xsi:type="xsd:double"&gt;3.2262683&lt;/D&gt;&lt;D xsi:type="xsd:double"&gt;-5.059564&lt;/D&gt;&lt;D xsi:type="xsd:double"&gt;-0.39857626&lt;/D&gt;&lt;D xsi:type="xsd:double"&gt;1.8971324&lt;/D&gt;&lt;D xsi:type="xsd:double"&gt;0.8939028&lt;/D&gt;&lt;D xsi:type="xsd:double"&gt;3.9070487&lt;/D&gt;&lt;D xsi:type="xsd:double"&gt;-0.642997&lt;/D&gt;&lt;D xsi:type="xsd:double"&gt;-3.8266778&lt;/D&gt;&lt;D xsi:type="xsd:double"&gt;1.945579&lt;/D&gt;&lt;D xsi:type="xsd:double"&gt;-1.28842&lt;/D&gt;&lt;D xsi:type="xsd:double"&gt;0.54627657&lt;/D&gt;&lt;D xsi:type="xsd:double"&gt;0.5433202&lt;/D&gt;&lt;D xsi:type="xsd:double"&gt;1.0953665&lt;/D&gt;&lt;D xsi:type="xsd:double"&gt;4.045069&lt;/D&gt;&lt;D xsi:type="xsd:double"&gt;2.7908921&lt;/D&gt;&lt;D xsi:type="xsd:double"&gt;2.5103211&lt;/D&gt;&lt;D xsi:type="xsd:double"&gt;-1.8597245&lt;/D&gt;&lt;D xsi:type="xsd:double"&gt;5.9556007&lt;/D&gt;&lt;D xsi:type="xsd:double"&gt;2.8487563&lt;/D&gt;&lt;D xsi:type="xsd:double"&gt;3.3784628&lt;/D&gt;&lt;D xsi:type="xsd:double"&gt;-0.26432872&lt;/D&gt;&lt;D xsi:type="xsd:double"&gt;1.3859153&lt;/D&gt;&lt;D xsi:type="xsd:double"&gt;6.165993&lt;/D&gt;&lt;/FQL&gt;&lt;FQL&gt;&lt;Q&gt;EWD^FG_TOTAL_RETURNC(-5AY,0,AM)&lt;/Q&gt;&lt;R&gt;61&lt;/R&gt;&lt;C&gt;1&lt;/C&gt;&lt;D xsi:type="xsd:double"&gt;0.4939437&lt;/D&gt;&lt;D xsi:type="xsd:double"&gt;3.2686234&lt;/D&gt;&lt;D xsi:type="xsd:double"&gt;5.782962&lt;/D&gt;&lt;D xsi:type="xsd:double"&gt;6.9291234&lt;/D&gt;&lt;D xsi:type="xsd:double"&gt;1.977706&lt;/D&gt;&lt;D xsi:type="xsd:double"&gt;-1.3869703&lt;/D&gt;&lt;D xsi:type="xsd:double"&gt;4.5814633&lt;/D&gt;&lt;D xsi:type="xsd:double"&gt;-1.3510764&lt;/D&gt;&lt;D xsi:type="xsd:double"&gt;-7.345915&lt;/D&gt;&lt;D xsi:type="xsd:double"&gt;7.3012233&lt;/D&gt;&lt;D xsi:type="xsd:double"&gt;-5.1555037&lt;/D&gt;&lt;D xsi:type="xsd:double"&gt;6.039119&lt;/D&gt;&lt;D xsi:type="xsd:double"&gt;-11.742126&lt;/D&gt;&lt;D xsi:type="xsd:double"&gt;-8.270675&lt;/D&gt;&lt;D xsi:type="xsd:double"&gt;6.716025&lt;/D&gt;&lt;D xsi:type="xsd:double"&gt;-11.025768&lt;/D&gt;&lt;D xsi:type="xsd:double"&gt;1.7822266&lt;/D&gt;&lt;D xsi:type="xsd:double"&gt;-13.095629&lt;/D&gt;&lt;D xsi:type="xsd:double"&gt;10.171676&lt;/D&gt;&lt;D xsi:type="xsd:double"&gt;-10.732132&lt;/D&gt;&lt;D xsi:type="xsd:double"&gt;-11.3307&lt;/D&gt;&lt;D xsi:type="xsd:double"&gt;12.109959&lt;/D&gt;&lt;D xsi:type="xsd:double"&gt;8.913183&lt;/D&gt;&lt;D xsi:type="xsd:double"&gt;0.41872263&lt;/D&gt;&lt;D xsi:type="xsd:double"&gt;8.074355&lt;/D&gt;&lt;D xsi:type="xsd:double"&gt;-0.42289495&lt;/D&gt;&lt;D xsi:type="xsd:double"&gt;-2.9728174&lt;/D&gt;&lt;D xsi:type="xsd:double"&gt;8.578932&lt;/D&gt;&lt;D xsi:type="xsd:double"&gt;-6.04676&lt;/D&gt;&lt;D xsi:type="xsd:double"&gt;-0.5720854&lt;/D&gt;&lt;D xsi:type="xsd:double"&gt;2.8768659&lt;/D&gt;&lt;D xsi:type="xsd:double"&gt;-5.3970814&lt;/D&gt;&lt;D xsi:type="xsd:double"&gt;-2.5421262&lt;/D&gt;&lt;D xsi:type="xsd:double"&gt;-6.5817475&lt;/D&gt;&lt;D xsi:type="xsd:double"&gt;18.409098&lt;/D&gt;&lt;D xsi:type="xsd:double"&gt;10.898495&lt;/D&gt;&lt;D xsi:type="xsd:double"&gt;-5.295163&lt;/D&gt;&lt;D xsi:type="xsd:double"&gt;5.7784915&lt;/D&gt;&lt;D xsi:type="xsd:double"&gt;1.0622144&lt;/D&gt;&lt;D xsi:type="xsd:double"&gt;-1.5515506&lt;/D&gt;&lt;D xsi:type="xsd:double"&gt;3.863752&lt;/D&gt;&lt;D xsi:type="xsd:double"&gt;0.094389915&lt;/D&gt;&lt;D xsi:type="xsd:double"&gt;-1.6397536&lt;/D&gt;&lt;D xsi:type="xsd:double"&gt;6.2642097&lt;/D&gt;&lt;D xsi:type="xsd:double"&gt;3.8744926&lt;/D&gt;&lt;D xsi:type="xsd:double"&gt;-6.384444&lt;/D&gt;&lt;D xsi:type="xsd:double"&gt;-5.4998755&lt;/D&gt;&lt;D xsi:type="xsd:double"&gt;-2.53492&lt;/D&gt;&lt;D xsi:type="xsd:double"&gt;8.651805&lt;/D&gt;&lt;D xsi:type="xsd:double"&gt;5.3737164&lt;/D&gt;&lt;D xsi:type="xsd:double"&gt;-0.4636109&lt;/D&gt;&lt;D xsi:type="xsd:double"&gt;0.13973713&lt;/D&gt;&lt;D xsi:type="xsd:double"&gt;5.488372&lt;/D&gt;&lt;D xsi:type="xsd:double"&gt;3.7377357&lt;/D&gt;&lt;D xsi:type="xsd:double"&gt;-2.30335&lt;/D&gt;&lt;D xsi:type="xsd:double"&gt;3.1806111&lt;/D&gt;&lt;D xsi:type="xsd:double"&gt;1.7891884&lt;/D&gt;&lt;D xsi:type="xsd:double"&gt;3.2189727&lt;/D&gt;&lt;D xsi:type="xsd:double"&gt;-1.7029166&lt;/D&gt;&lt;D xsi:type="xsd:double"&gt;4.2262316&lt;/D&gt;&lt;D xsi:type="xsd:double"&gt;8.373892&lt;/D&gt;&lt;/FQL&gt;&lt;FQL&gt;&lt;Q&gt;EWW^FG_TOTAL_RETURNC(-5AY,0,AM)&lt;/Q&gt;&lt;R&gt;61&lt;/R&gt;&lt;C&gt;1&lt;/C&gt;&lt;D xsi:type="xsd:double"&gt;-7.4953794&lt;/D&gt;&lt;D xsi:type="xsd:double"&gt;1.1694431&lt;/D&gt;&lt;D xsi:type="xsd:double"&gt;8.68175&lt;/D&gt;&lt;D xsi:type="xsd:double"&gt;5.657387&lt;/D&gt;&lt;D xsi:type="xsd:double"&gt;3.041339&lt;/D&gt;&lt;D xsi:type="xsd:double"&gt;1.1396885&lt;/D&gt;&lt;D xsi:type="xsd:double"&gt;3.0240297&lt;/D&gt;&lt;D xsi:type="xsd:double"&gt;0.4624009&lt;/D&gt;&lt;D xsi:type="xsd:double"&gt;-3.602165&lt;/D&gt;&lt;D xsi:type="xsd:double"&gt;0.37367344&lt;/D&gt;&lt;D xsi:type="xsd:double"&gt;-7.6111674&lt;/D&gt;&lt;D xsi:type="xsd:double"&gt;13.948846&lt;/D&gt;&lt;D xsi:type="xsd:double"&gt;-5.63857&lt;/D&gt;&lt;D xsi:type="xsd:double"&gt;6.292224&lt;/D&gt;&lt;D xsi:type="xsd:double"&gt;8.343267&lt;/D&gt;&lt;D xsi:type="xsd:double"&gt;-9.369272&lt;/D&gt;&lt;D xsi:type="xsd:double"&gt;7.5460196&lt;/D&gt;&lt;D xsi:type="xsd:double"&gt;-10.68989&lt;/D&gt;&lt;D xsi:type="xsd:double"&gt;0.085544586&lt;/D&gt;&lt;D xsi:type="xsd:double"&gt;-1.8803418&lt;/D&gt;&lt;D xsi:type="xsd:double"&gt;-2.3519099&lt;/D&gt;&lt;D xsi:type="xsd:double"&gt;11.016941&lt;/D&gt;&lt;D xsi:type="xsd:double"&gt;6.066692&lt;/D&gt;&lt;D xsi:type="xsd:double"&gt;-2.4551451&lt;/D&gt;&lt;D xsi:type="xsd:double"&gt;15.018821&lt;/D&gt;&lt;D xsi:type="xsd:double"&gt;-0.70628524&lt;/D&gt;&lt;D xsi:type="xsd:double"&gt;2.8625965&lt;/D&gt;&lt;D xsi:type="xsd:double"&gt;2.6817322&lt;/D&gt;&lt;D xsi:type="xsd:double"&gt;0.5584717&lt;/D&gt;&lt;D xsi:type="xsd:double"&gt;2.8958678&lt;/D&gt;&lt;D xsi:type="xsd:double"&gt;4.5258284&lt;/D&gt;&lt;D xsi:type="xsd:double"&gt;-2.1725833&lt;/D&gt;&lt;D xsi:type="xsd:double"&gt;-8.930248&lt;/D&gt;&lt;D xsi:type="xsd:double"&gt;-6.3541117&lt;/D&gt;&lt;D xsi:type="xsd:double"&gt;13.827252&lt;/D&gt;&lt;D xsi:type="xsd:double"&gt;10.999131&lt;/D&gt;&lt;D xsi:type="xsd:double"&gt;-2.1665454&lt;/D&gt;&lt;D xsi:type="xsd:double"&gt;-1.7173827&lt;/D&gt;&lt;D xsi:type="xsd:double"&gt;6.238508&lt;/D&gt;&lt;D xsi:type="xsd:double"&gt;-2.9721498&lt;/D&gt;&lt;D xsi:type="xsd:double"&gt;-3.8810432&lt;/D&gt;&lt;D xsi:type="xsd:double"&gt;-11.687058&lt;/D&gt;&lt;D xsi:type="xsd:double"&gt;-1.3425231&lt;/D&gt;&lt;D xsi:type="xsd:double"&gt;-5.389434&lt;/D&gt;&lt;D xsi:type="xsd:double"&gt;2.1196008&lt;/D&gt;&lt;D xsi:type="xsd:double"&gt;-3.8361728&lt;/D&gt;&lt;D xsi:type="xsd:double"&gt;-3.121984&lt;/D&gt;&lt;D xsi:type="xsd:double"&gt;-1.4950991&lt;/D&gt;&lt;D xsi:type="xsd:double"&gt;3.688264&lt;/D&gt;&lt;D xsi:type="xsd:double"&gt;1.5273333&lt;/D&gt;&lt;D xsi:type="xsd:double"&gt;2.1773577&lt;/D&gt;&lt;D xsi:type="xsd:double"&gt;9.2987175&lt;/D&gt;&lt;D xsi:type="xsd:double"&gt;8.525348&lt;/D&gt;&lt;D xsi:type="xsd:double"&gt;0.2977848&lt;/D&gt;&lt;D xsi:type="xsd:double"&gt;1.0112762&lt;/D&gt;&lt;D xsi:type="xsd:double"&gt;1.6576409&lt;/D&gt;&lt;D xsi:type="xsd:double"&gt;8.911848&lt;/D&gt;&lt;D xsi:type="xsd:double"&gt;-0.044471025&lt;/D&gt;&lt;D xsi:type="xsd:double"&gt;1.4681816&lt;/D&gt;&lt;D xsi:type="xsd:double"&gt;5.0576925&lt;/D&gt;&lt;D xsi:type="xsd:double"&gt;11.260807&lt;/D&gt;&lt;/FQL&gt;&lt;FQL&gt;&lt;Q&gt;KSA^FG_PRICE(0,-200D)&lt;/Q&gt;&lt;R&gt;201&lt;/R&gt;&lt;C&gt;1&lt;/C&gt;&lt;D xsi:type="xsd:double"&gt;39.87&lt;/D&gt;&lt;D xsi:type="xsd:double"&gt;40.14&lt;/D&gt;&lt;D xsi:type="xsd:double"&gt;40.12&lt;/D&gt;&lt;D xsi:type="xsd:double"&gt;39.61&lt;/D&gt;&lt;D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xsi:type="xsd:double"&gt;40.04&lt;/D&gt;&lt;D xsi:type="xsd:double"&gt;40.24&lt;/D&gt;&lt;D xsi:type="xsd:double"&gt;40.01&lt;/D&gt;&lt;D xsi:type="xsd:double"&gt;39.58&lt;/D&gt;&lt;/FQL&gt;&lt;FQL&gt;&lt;Q&gt;EWQ^FG_TOTAL_RETURNC(-5AY,0,AM)&lt;/Q&gt;&lt;R&gt;61&lt;/R&gt;&lt;C&gt;1&lt;/C&gt;&lt;D xsi:type="xsd:double"&gt;-3.887242&lt;/D&gt;&lt;D xsi:type="xsd:double"&gt;4.569316&lt;/D&gt;&lt;D xsi:type="xsd:double"&gt;2.7753234&lt;/D&gt;&lt;D xsi:type="xsd:double"&gt;8.072388&lt;/D&gt;&lt;D xsi:type="xsd:double"&gt;3.6151052&lt;/D&gt;&lt;D xsi:type="xsd:double"&gt;-0.984174&lt;/D&gt;&lt;D xsi:type="xsd:double"&gt;0.6811738&lt;/D&gt;&lt;D xsi:type="xsd:double"&gt;0.23418665&lt;/D&gt;&lt;D xsi:type="xsd:double"&gt;-2.4922073&lt;/D&gt;&lt;D xsi:type="xsd:double"&gt;4.6592116&lt;/D&gt;&lt;D xsi:type="xsd:double"&gt;-3.6886334&lt;/D&gt;&lt;D xsi:type="xsd:double"&gt;5.725026&lt;/D&gt;&lt;D xsi:type="xsd:double"&gt;-3.8510919&lt;/D&gt;&lt;D xsi:type="xsd:double"&gt;-5.6608796&lt;/D&gt;&lt;D xsi:type="xsd:double"&gt;3.0568838&lt;/D&gt;&lt;D xsi:type="xsd:double"&gt;-9.502882&lt;/D&gt;&lt;D xsi:type="xsd:double"&gt;4.8558354&lt;/D&gt;&lt;D xsi:type="xsd:double"&gt;-9.952587&lt;/D&gt;&lt;D xsi:type="xsd:double"&gt;5.7908654&lt;/D&gt;&lt;D xsi:type="xsd:double"&gt;-5.9743524&lt;/D&gt;&lt;D xsi:type="xsd:double"&gt;-10.878241&lt;/D&gt;&lt;D xsi:type="xsd:double"&gt;12.691296&lt;/D&gt;&lt;D xsi:type="xsd:double"&gt;9.53958&lt;/D&gt;&lt;D xsi:type="xsd:double"&gt;1.6656518&lt;/D&gt;&lt;D xsi:type="xsd:double"&gt;9.99999&lt;/D&gt;&lt;D xsi:type="xsd:double"&gt;-0.89551806&lt;/D&gt;&lt;D xsi:type="xsd:double"&gt;1.6976953&lt;/D&gt;&lt;D xsi:type="xsd:double"&gt;6.542814&lt;/D&gt;&lt;D xsi:type="xsd:double"&gt;-4.068738&lt;/D&gt;&lt;D xsi:type="xsd:double"&gt;2.235639&lt;/D&gt;&lt;D xsi:type="xsd:double"&gt;3.2402515&lt;/D&gt;&lt;D xsi:type="xsd:double"&gt;-2.5771856&lt;/D&gt;&lt;D xsi:type="xsd:double"&gt;-6.783658&lt;/D&gt;&lt;D xsi:type="xsd:double"&gt;-5.1418962&lt;/D&gt;&lt;D xsi:type="xsd:double"&gt;11.4632845&lt;/D&gt;&lt;D xsi:type="xsd:double"&gt;4.7971845&lt;/D&gt;&lt;D xsi:type="xsd:double"&gt;-0.17865896&lt;/D&gt;&lt;D xsi:type="xsd:double"&gt;2.8125763&lt;/D&gt;&lt;D xsi:type="xsd:double"&gt;2.984333&lt;/D&gt;&lt;D xsi:type="xsd:double"&gt;-1.9560516&lt;/D&gt;&lt;D xsi:type="xsd:double"&gt;1.2068987&lt;/D&gt;&lt;D xsi:type="xsd:double"&gt;-5.91954&lt;/D&gt;&lt;D xsi:type="xsd:double"&gt;1.164639&lt;/D&gt;&lt;D xsi:type="xsd:double"&gt;4.212451&lt;/D&gt;&lt;D xsi:type="xsd:double"&gt;3.2387614&lt;/D&gt;&lt;D xsi:type="xsd:double"&gt;-6.5418243&lt;/D&gt;&lt;D xsi:type="xsd:double"&gt;-5.6726513&lt;/D&gt;&lt;D xsi:type="xsd:double"&gt;0.2199769&lt;/D&gt;&lt;D xsi:type="xsd:double"&gt;7.099271&lt;/D&gt;&lt;D xsi:type="xsd:double"&gt;2.382195&lt;/D&gt;&lt;D xsi:type="xsd:double"&gt;2.048552&lt;/D&gt;&lt;D xsi:type="xsd:double"&gt;1.4622092&lt;/D&gt;&lt;D xsi:type="xsd:double"&gt;4.445529&lt;/D&gt;&lt;D xsi:type="xsd:double"&gt;1.9022226&lt;/D&gt;&lt;D xsi:type="xsd:double"&gt;0.704062&lt;/D&gt;&lt;D xsi:type="xsd:double"&gt;-0.7457435&lt;/D&gt;&lt;D xsi:type="xsd:double"&gt;2.794075&lt;/D&gt;&lt;D xsi:type="xsd:double"&gt;2.4668813&lt;/D&gt;&lt;D xsi:type="xsd:double"&gt;-0.64646006&lt;/D&gt;&lt;D xsi:type="xsd:double"&gt;1.4546514&lt;/D&gt;&lt;D xsi:type="xsd:double"&gt;1.8448472&lt;/D&gt;&lt;/FQL&gt;&lt;FQL&gt;&lt;Q&gt;MCHI^FG_TOTAL_RETURNC(-5AY,0,AM)&lt;/Q&gt;&lt;R&gt;61&lt;/R&gt;&lt;C&gt;1&lt;/C&gt;&lt;D xsi:type="xsd:double"&gt;10.560883&lt;/D&gt;&lt;D xsi:type="xsd:double"&gt;-0.4684627&lt;/D&gt;&lt;D xsi:type="xsd:double"&gt;-7.2781563&lt;/D&gt;&lt;D xsi:type="xsd:double"&gt;3.1323552&lt;/D&gt;&lt;D xsi:type="xsd:double"&gt;-1.7527103&lt;/D&gt;&lt;D xsi:type="xsd:double"&gt;2.0293117&lt;/D&gt;&lt;D xsi:type="xsd:double"&gt;-13.922226&lt;/D&gt;&lt;D xsi:type="xsd:double"&gt;-3.8204074&lt;/D&gt;&lt;D xsi:type="xsd:double"&gt;-3.4357846&lt;/D&gt;&lt;D xsi:type="xsd:double"&gt;3.9483547&lt;/D&gt;&lt;D xsi:type="xsd:double"&gt;-5.3004026&lt;/D&gt;&lt;D xsi:type="xsd:double"&gt;-6.3408194&lt;/D&gt;&lt;D xsi:type="xsd:double"&gt;-1.886481&lt;/D&gt;&lt;D xsi:type="xsd:double"&gt;-2.006352&lt;/D&gt;&lt;D xsi:type="xsd:double"&gt;-6.6200314&lt;/D&gt;&lt;D xsi:type="xsd:double"&gt;-7.801938&lt;/D&gt;&lt;D xsi:type="xsd:double"&gt;-0.49543977&lt;/D&gt;&lt;D xsi:type="xsd:double"&gt;11.50304&lt;/D&gt;&lt;D xsi:type="xsd:double"&gt;-10.725838&lt;/D&gt;&lt;D xsi:type="xsd:double"&gt;0.52324533&lt;/D&gt;&lt;D xsi:type="xsd:double"&gt;-14.154154&lt;/D&gt;&lt;D xsi:type="xsd:double"&gt;-15.438437&lt;/D&gt;&lt;D xsi:type="xsd:double"&gt;23.883068&lt;/D&gt;&lt;D xsi:type="xsd:double"&gt;9.321022&lt;/D&gt;&lt;D xsi:type="xsd:double"&gt;15.871048&lt;/D&gt;&lt;D xsi:type="xsd:double"&gt;-14.642411&lt;/D&gt;&lt;D xsi:type="xsd:double"&gt;3.7400723&lt;/D&gt;&lt;D xsi:type="xsd:double"&gt;-3.8872123&lt;/D&gt;&lt;D xsi:type="xsd:double"&gt;-6.3704967&lt;/D&gt;&lt;D xsi:type="xsd:double"&gt;0.09473562&lt;/D&gt;&lt;D xsi:type="xsd:double"&gt;11.693001&lt;/D&gt;&lt;D xsi:type="xsd:double"&gt;-7.801133&lt;/D&gt;&lt;D xsi:type="xsd:double"&gt;-5.107403&lt;/D&gt;&lt;D xsi:type="xsd:double"&gt;-3.1647086&lt;/D&gt;&lt;D xsi:type="xsd:double"&gt;1.1927485&lt;/D&gt;&lt;D xsi:type="xsd:double"&gt;-1.5297413&lt;/D&gt;&lt;D xsi:type="xsd:double"&gt;-8.001971&lt;/D&gt;&lt;D xsi:type="xsd:double"&gt;4.028821&lt;/D&gt;&lt;D xsi:type="xsd:double"&gt;1.8979192&lt;/D&gt;&lt;D xsi:type="xsd:double"&gt;7.651651&lt;/D&gt;&lt;D xsi:type="xsd:double"&gt;4.0448904&lt;/D&gt;&lt;D xsi:type="xsd:double"&gt;-4.81894&lt;/D&gt;&lt;D xsi:type="xsd:double"&gt;-2.4662018&lt;/D&gt;&lt;D xsi:type="xsd:double"&gt;0.9725213&lt;/D&gt;&lt;D xsi:type="xsd:double"&gt;22.778725&lt;/D&gt;&lt;D xsi:type="xsd:double"&gt;-1.8042803&lt;/D&gt;&lt;D xsi:type="xsd:double"&gt;-5.4923115&lt;/D&gt;&lt;D xsi:type="xsd:double"&gt;2.2100449&lt;/D&gt;&lt;D xsi:type="xsd:double"&gt;1.6431451&lt;/D&gt;&lt;D xsi:type="xsd:double"&gt;11.046637&lt;/D&gt;&lt;D xsi:type="xsd:double"&gt;1.8476963&lt;/D&gt;&lt;D xsi:type="xsd:double"&gt;-5.29595&lt;/D&gt;&lt;D xsi:type="xsd:double"&gt;4.2182684&lt;/D&gt;&lt;D xsi:type="xsd:double"&gt;3.448224&lt;/D&gt;&lt;D xsi:type="xsd:double"&gt;6.1254144&lt;/D&gt;&lt;D xsi:typ</t>
        </r>
      </text>
    </comment>
    <comment ref="A8" authorId="0" shapeId="0" xr:uid="{EE707E4A-5422-473E-9CEF-20A43B0D0CEC}">
      <text>
        <r>
          <rPr>
            <b/>
            <sz val="9"/>
            <color indexed="81"/>
            <rFont val="Tahoma"/>
            <charset val="1"/>
          </rPr>
          <t xml:space="preserve">e="xsd:double"&gt;4.6960354&lt;/D&gt;&lt;D xsi:type="xsd:double"&gt;6.883049&lt;/D&gt;&lt;D xsi:type="xsd:double"&gt;-0.061041117&lt;/D&gt;&lt;D xsi:type="xsd:double"&gt;-5.0236645&lt;/D&gt;&lt;D xsi:type="xsd:double"&gt;-1.747179&lt;/D&gt;&lt;D xsi:type="xsd:double"&gt;6.3939095&lt;/D&gt;&lt;/FQL&gt;&lt;FQL&gt;&lt;Q&gt;UAE^FG_PRICE(0,-200D)&lt;/Q&gt;&lt;R&gt;201&lt;/R&gt;&lt;C&gt;1&lt;/C&gt;&lt;D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xsi:type="xsd:double"&gt;16.51&lt;/D&gt;&lt;/FQL&gt;&lt;FQL&gt;&lt;Q&gt;EIDO^FG_PRICE(0,-200D)&lt;/Q&gt;&lt;R&gt;201&lt;/R&gt;&lt;C&gt;1&lt;/C&gt;&lt;D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xsi:type="xsd:double"&gt;15.93&lt;/D&gt;&lt;D xsi:type="xsd:double"&gt;16.14&lt;/D&gt;&lt;D xsi:type="xsd:double"&gt;16.09&lt;/D&gt;&lt;D xsi:type="xsd:double"&gt;15.87&lt;/D&gt;&lt;/FQL&gt;&lt;FQL&gt;&lt;Q&gt;ENZL^FG_TOTAL_RETURNC(-5AY,0,AM)&lt;/Q&gt;&lt;R&gt;61&lt;/R&gt;&lt;C&gt;1&lt;/C&gt;&lt;D xsi:type="xsd:double"&gt;-1.784426&lt;/D&gt;&lt;D xsi:type="xsd:double"&gt;-7.6366305&lt;/D&gt;&lt;D xsi:type="xsd:double"&gt;-0.55972934&lt;/D&gt;&lt;D xsi:type="xsd:double"&gt;5.0976157&lt;/D&gt;&lt;D xsi:type="xsd:double"&gt;-5.6996465&lt;/D&gt;&lt;D xsi:type="xsd:double"&gt;0.20911694&lt;/D&gt;&lt;D xsi:type="xsd:double"&gt;0.44118166&lt;/D&gt;&lt;D xsi:type="xsd:double"&gt;2.228725&lt;/D&gt;&lt;D xsi:type="xsd:double"&gt;-2.2915304&lt;/D&gt;&lt;D xsi:type="xsd:double"&gt;3.973937&lt;/D&gt;&lt;D xsi:type="xsd:double"&gt;-8.771926&lt;/D&gt;&lt;D xsi:type="xsd:double"&gt;2.5919318&lt;/D&gt;&lt;D xsi:type="xsd:double"&gt;-12.486708&lt;/D&gt;&lt;D xsi:type="xsd:double"&gt;5.6310654&lt;/D&gt;&lt;D xsi:type="xsd:double"&gt;1.1580825&lt;/D&gt;&lt;D xsi:type="xsd:double"&gt;-9.213156&lt;/D&gt;&lt;D xsi:type="xsd:double"&gt;-4.165733&lt;/D&gt;&lt;D xsi:type="xsd:double"&gt;-5.247998&lt;/D&gt;&lt;D xsi:type="xsd:double"&gt;7.2702885&lt;/D&gt;&lt;D xsi:type="xsd:double"&gt;-3.0561268&lt;/D&gt;&lt;D xsi:type="xsd:double"&gt;-9.800559&lt;/D&gt;&lt;D xsi:type="xsd:double"&gt;2.4251103&lt;/D&gt;&lt;D xsi:type="xsd:double"&gt;9.09934&lt;/D&gt;&lt;D xsi:type="xsd:double"&gt;5.2016735&lt;/D&gt;&lt;D xsi:type="xsd:double"&gt;6.1451554&lt;/D&gt;&lt;D xsi:type="xsd:double"&gt;-6.279916&lt;/D&gt;&lt;D xsi:type="xsd:double"&gt;0.44943094&lt;/D&gt;&lt;D xsi:type="xsd:double"&gt;1.5253186&lt;/D&gt;&lt;D xsi:type="xsd:double"&gt;-3.0849278&lt;/D&gt;&lt;D xsi:type="xsd:double"&gt;0.082445145&lt;/D&gt;&lt;D xsi:type="xsd:double"&gt;2.4196863&lt;/D&gt;&lt;D xsi:type="xsd:double"&gt;-6.9450083&lt;/D&gt;&lt;D xsi:type="xsd:double"&gt;-3.0641258&lt;/D&gt;&lt;D xsi:type="xsd:double"&gt;-7.3379993&lt;/D&gt;&lt;D xsi:type="xsd:double"&gt;12.378168&lt;/D&gt;&lt;D xsi:type="xsd:double"&gt;7.337785&lt;/D&gt;&lt;D xsi:type="xsd:double"&gt;-2.629131&lt;/D&gt;&lt;D xsi:type="xsd:double"&gt;-4.6166897&lt;/D&gt;&lt;D xsi:type="xsd:double"&gt;0.9991169&lt;/D&gt;&lt;D xsi:type="xsd:double"&gt;-0.37371516&lt;/D&gt;&lt;D xsi:type="xsd:double"&gt;-0.88261366&lt;/D&gt;&lt;D xsi:type="xsd:double"&gt;1.9776225&lt;/D&gt;&lt;D xsi:type="xsd:double"&gt;-0.8798897&lt;/D&gt;&lt;D xsi:type="xsd:double"&gt;8.211267&lt;/D&gt;&lt;D xsi:type="xsd:double"&gt;1.907301&lt;/D&gt;&lt;D xsi:type="xsd:double"&gt;-3.9645731&lt;/D&gt;&lt;D xsi:type="xsd:double"&gt;2.2841573&lt;/D&gt;&lt;D xsi:type="xsd:double"&gt;-4.5585814&lt;/D&gt;&lt;D xsi:type="xsd:double"&gt;-1.5879929&lt;/D&gt;&lt;D xsi:type="xsd:double"&gt;-6.343949&lt;/D&gt;&lt;D xsi:type="xsd:double"&gt;-0.75525045&lt;/D&gt;&lt;D xsi:type="xsd:double"&gt;3.0915618&lt;/D&gt;&lt;D xsi:type="xsd:double"&gt;1.4302254&lt;/D&gt;&lt;D xsi:type="xsd:double"&gt;4.1609883&lt;/D&gt;&lt;D xsi:type="xsd:double"&gt;1.0233641&lt;/D&gt;&lt;D xsi:type="xsd:double"&gt;-2.1257043&lt;/D&gt;&lt;D xsi:type="xsd:double"&gt;1.3932228&lt;/D&gt;&lt;D xsi:type="xsd:double"&gt;0.41772127&lt;/D&gt;&lt;D xsi:type="xsd:double"&gt;-0.10793209&lt;/D&gt;&lt;D xsi:type="xsd:double"&gt;0.79592466&lt;/D&gt;&lt;D xsi:type="xsd:double"&gt;4.016745&lt;/D&gt;&lt;/FQL&gt;&lt;FQL&gt;&lt;Q&gt;EWN^FG_PRICE(0,-200D)&lt;/Q&gt;&lt;R&gt;201&lt;/R&gt;&lt;C&gt;1&lt;/C&gt;&lt;D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xsi:type="xsd:double"&gt;46.26&lt;/D&gt;&lt;D xsi:type="xsd:double"&gt;46.89&lt;/D&gt;&lt;D xsi:type="xsd:double"&gt;46.61&lt;/D&gt;&lt;D xsi:type="xsd:double"&gt;45.81&lt;/D&gt;&lt;/FQL&gt;&lt;FQL&gt;&lt;Q&gt;QAT^FG_PRICE(0,-200D)&lt;/Q&gt;&lt;R&gt;201&lt;/R&gt;&lt;C&gt;1&lt;/C&gt;&lt;D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xsi:type="xsd:double"&gt;17.78&lt;/D&gt;&lt;D xsi:type="xsd:double"&gt;17.89&lt;/D&gt;&lt;D xsi:type="xsd:double"&gt;17.79&lt;/D&gt;&lt;D xsi:type="xsd:double"&gt;17.61&lt;/D&gt;&lt;/FQL&gt;&lt;FQL&gt;&lt;Q&gt;EWZ^FG_TOTAL_RETURNC(-5AY,0,AM)&lt;/Q&gt;&lt;R&gt;61&lt;/R&gt;&lt;C&gt;1&lt;/C&gt;&lt;D xsi:type="xsd:double"&gt;-8.165461&lt;/D&gt;&lt;D xsi:type="xsd:double"&gt;-6.6978636&lt;/D&gt;&lt;D xsi:type="xsd:double"&gt;1.4733553&lt;/D&gt;&lt;D xsi:type="xsd:double"&gt;12.882304&lt;/D&gt;&lt;D xsi:type="xsd:double"&gt;6.4860344&lt;/D&gt;&lt;D xsi:type="xsd:double"&gt;6.9847107&lt;/D&gt;&lt;D xsi:type="xsd:double"&gt;-3.2926798&lt;/D&gt;&lt;D xsi:type="xsd:double"&gt;-6.733924&lt;/D&gt;&lt;D xsi:type="xsd:double"&gt;-12.574357&lt;/D&gt;&lt;D xsi:type="xsd:double"&gt;-9.3102455&lt;/D&gt;&lt;D xsi:type="xsd:double"&gt;0.068211555&lt;/D&gt;&lt;D xsi:type="xsd:double"&gt;-0.08932352&lt;/D&gt;&lt;D xsi:type="xsd:double"&gt;14.340555&lt;/D&gt;&lt;D xsi:type="xsd:double"&gt;5.585873&lt;/D&gt;&lt;D xsi:type="xsd:double"&gt;15.110981&lt;/D&gt;&lt;D xsi:type="xsd:double"&gt;-13.444269&lt;/D&gt;&lt;D xsi:type="xsd:double"&gt;9.002137&lt;/D&gt;&lt;D xsi:type="xsd:double"&gt;-18.52486&lt;/D&gt;&lt;D xsi:type="xsd:double"&gt;4.463637&lt;/D&gt;&lt;D xsi:type="xsd:double"&gt;11.268091&lt;/D&gt;&lt;D xsi:type="xsd:double"&gt;-10.281825&lt;/D&gt;&lt;D xsi:type="xsd:double"&gt;8.560586&lt;/D&gt;&lt;D xsi:type="xsd:double"&gt;-2.7345002&lt;/D&gt;&lt;D xsi:type="xsd:double"&gt;-0.92068315&lt;/D&gt;&lt;D xsi:type="xsd:double"&gt;5.8948874&lt;/D&gt;&lt;D xsi:type="xsd:double"&gt;-8.551306&lt;/D&gt;&lt;D xsi:type="xsd:double"&gt;-0.95342994&lt;/D&gt;&lt;D xsi:type="xsd:double"&gt;4.6649456&lt;/D&gt;&lt;D xsi:type="xsd:double"&gt;5.907321&lt;/D&gt;&lt;D xsi:type="xsd:double"&gt;10.15395&lt;/D&gt;&lt;D xsi:type="xsd:double"&gt;3.7278652&lt;/D&gt;&lt;D xsi:type="xsd:double"&gt;-3.7436366&lt;/D&gt;&lt;D xsi:type="xsd:double"&gt;-4.5737386&lt;/D&gt;&lt;D xsi:type="xsd:double"&gt;-2.4127781&lt;/D&gt;&lt;D xsi:type="xsd:double"&gt;12.896765&lt;/D&gt;&lt;D xsi:type="xsd:double"&gt;7.202184&lt;/D&gt;&lt;D xsi:type="xsd:double"&gt;-5.2345457&lt;/D&gt;&lt;D xsi:type="xsd:double"&gt;-0.36221743&lt;/D&gt;&lt;D xsi:type="xsd:double"&gt;-1.7873406&lt;/D&gt;&lt;D xsi:type="xsd:double"&gt;-2.0666182&lt;/D&gt;&lt;D xsi:type="xsd:double"&gt;-5.8897676&lt;/D&gt;&lt;D xsi:type="xsd:double"&gt;-5.5311623&lt;/D&gt;&lt;D xsi:type="xsd:double"&gt;1.57336&lt;/D&gt;&lt;D xsi:type="xsd:double"&gt;7.5648427&lt;/D&gt;&lt;D xsi:type="xsd:double"&gt;-0.4353702&lt;/D&gt;&lt;D xsi:type="xsd:double"&gt;-5.112684&lt;/D&gt;&lt;D xsi:type="xsd:double"&gt;-9.535623&lt;/D&gt;&lt;D xsi:type="xsd:double"&gt;-7.576603&lt;/D&gt;&lt;D xsi:type="xsd:double"&gt;9.3528385&lt;/D&gt;&lt;D xsi:type="xsd:double"&gt;-2.2699594&lt;/D&gt;&lt;D xsi:type="xsd:double"&gt;7.6731563&lt;/D&gt;&lt;D xsi:type="xsd:double"&gt;5.392921&lt;/D&gt;&lt;D xsi:type="xsd:double"&gt;1.2426853&lt;/D&gt;&lt;D xsi:type="xsd:double"&gt;3.4371614&lt;/D&gt;&lt;D xsi:type="xsd:double"&gt;-4.90405&lt;/D&gt;&lt;D xsi:type="xsd:double"&gt;10.239161&lt;/D&gt;&lt;D xsi:type="xsd:double"&gt;5.05085&lt;/D&gt;&lt;D xsi:type="xsd:double"&gt;0.6131053&lt;/D&gt;&lt;D xsi:type="xsd:double"&gt;7.7934623&lt;/D&gt;&lt;D xsi:type="xsd:double"&gt;-3.4783304&lt;/D&gt;&lt;D xsi:type="xsd:double"&gt;21.726704&lt;/D&gt;&lt;/FQL&gt;&lt;FQL&gt;&lt;Q&gt;EWA^FG_PRICE(0,-200D)&lt;/Q&gt;&lt;R&gt;201&lt;/R&gt;&lt;C&gt;1&lt;/C&gt;&lt;D xsi:type="xsd:double"&gt;28.42&lt;/D&gt;&lt;D xsi:type="xsd:double"&gt;28.17&lt;/D&gt;&lt;D </t>
        </r>
      </text>
    </comment>
    <comment ref="A9" authorId="0" shapeId="0" xr:uid="{2559A43A-59C1-4DA4-BD5E-7364A89DA0DA}">
      <text>
        <r>
          <rPr>
            <b/>
            <sz val="9"/>
            <color indexed="81"/>
            <rFont val="Tahoma"/>
            <charset val="1"/>
          </rPr>
          <t>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xsi:type="xsd:double"&gt;23.42&lt;/D&gt;&lt;D xsi:type="xsd:double"&gt;23.36&lt;/D&gt;&lt;D xsi:type="xsd:double"&gt;23.29&lt;/D&gt;&lt;D xsi:type="xsd:double"&gt;22.77&lt;/D&gt;&lt;/FQL&gt;&lt;FQL&gt;&lt;Q&gt;TUR^FG_TOTAL_RETURNC(-5AY,0,AM)&lt;/Q&gt;&lt;R&gt;61&lt;/R&gt;&lt;C&gt;1&lt;/C&gt;&lt;D xsi:type="xsd:double"&gt;0.037527084&lt;/D&gt;&lt;D xsi:type="xsd:double"&gt;0.22505522&lt;/D&gt;&lt;D xsi:type="xsd:double"&gt;-14.595806&lt;/D&gt;&lt;D xsi:type="xsd:double"&gt;2.8921962&lt;/D&gt;&lt;D xsi:type="xsd:double"&gt;-2.3424149&lt;/D&gt;&lt;D xsi:type="xsd:double"&gt;-5.01954&lt;/D&gt;&lt;D xsi:type="xsd:double"&gt;3.9716363&lt;/D&gt;&lt;D xsi:type="xsd:double"&gt;8.00364&lt;/D&gt;&lt;D xsi:type="xsd:double"&gt;-11.621052&lt;/D&gt;&lt;D xsi:type="xsd:double"&gt;1.4768958&lt;/D&gt;&lt;D xsi:type="xsd:double"&gt;-10.093898&lt;/D&gt;&lt;D xsi:type="xsd:double"&gt;5.2197337&lt;/D&gt;&lt;D xsi:type="xsd:double"&gt;-1.7946124&lt;/D&gt;&lt;D xsi:type="xsd:double"&gt;-4.9746275&lt;/D&gt;&lt;D xsi:type="xsd:double"&gt;10.897446&lt;/D&gt;&lt;D xsi:type="xsd:double"&gt;7.3699474&lt;/D&gt;&lt;D xsi:type="xsd:double"&gt;-7.4472904&lt;/D&gt;&lt;D xsi:type="xsd:double"&gt;-4.7390223&lt;/D&gt;&lt;D xsi:type="xsd:double"&gt;0.6802678&lt;/D&gt;&lt;D xsi:type="xsd:double"&gt;17.827438&lt;/D&gt;&lt;D xsi:type="xsd:double"&gt;-2.4261117&lt;/D&gt;&lt;D xsi:type="xsd:double"&gt;21.0217&lt;/D&gt;&lt;D xsi:type="xsd:double"&gt;26.148678&lt;/D&gt;&lt;D xsi:type="xsd:double"&gt;10.646999&lt;/D&gt;&lt;D xsi:type="xsd:double"&gt;-5.164075&lt;/D&gt;&lt;D xsi:type="xsd:double"&gt;0.6239414&lt;/D&gt;&lt;D xsi:type="xsd:double"&gt;-5.5806103&lt;/D&gt;&lt;D xsi:type="xsd:double"&gt;-7.5522423&lt;/D&gt;&lt;D xsi:type="xsd:double"&gt;-4.5204997&lt;/D&gt;&lt;D xsi:type="xsd:double"&gt;-2.0083249&lt;/D&gt;&lt;D xsi:type="xsd:double"&gt;19.127644&lt;/D&gt;&lt;D xsi:type="xsd:double"&gt;13.295317&lt;/D&gt;&lt;D xsi:type="xsd:double"&gt;2.1456957&lt;/D&gt;&lt;D xsi:type="xsd:double"&gt;-11.825728&lt;/D&gt;&lt;D xsi:type="xsd:double"&gt;4.735291&lt;/D&gt;&lt;D xsi:type="xsd:double"&gt;-8.390456&lt;/D&gt;&lt;D xsi:type="xsd:double"&gt;10.62578&lt;/D&gt;&lt;D xsi:type="xsd:double"&gt;4.9846053&lt;/D&gt;&lt;D xsi:type="xsd:double"&gt;-4.134446&lt;/D&gt;&lt;D xsi:type="xsd:double"&gt;12.047863&lt;/D&gt;&lt;D xsi:type="xsd:double"&gt;5.6617856&lt;/D&gt;&lt;D xsi:type="xsd:double"&gt;-0.023269653&lt;/D&gt;&lt;D xsi:type="xsd:double"&gt;-0.07139444&lt;/D&gt;&lt;D xsi:type="xsd:double"&gt;-11.931419&lt;/D&gt;&lt;D xsi:type="xsd:double"&gt;-0.54083467&lt;/D&gt;&lt;D xsi:type="xsd:double"&gt;-8.401304&lt;/D&gt;&lt;D xsi:type="xsd:double"&gt;8.281398&lt;/D&gt;&lt;D xsi:type="xsd:double"&gt;1.8805623&lt;/D&gt;&lt;D xsi:type="xsd:double"&gt;-1.7017841&lt;/D&gt;&lt;D xsi:type="xsd:double"&gt;-5.798298&lt;/D&gt;&lt;D xsi:type="xsd:double"&gt;-4.6966195&lt;/D&gt;&lt;D xsi:type="xsd:double"&gt;-4.560751&lt;/D&gt;&lt;D xsi:type="xsd:double"&gt;-2.0525932&lt;/D&gt;&lt;D xsi:type="xsd:double"&gt;1.3557911&lt;/D&gt;&lt;D xsi:type="xsd:double"&gt;9.150541&lt;/D&gt;&lt;D xsi:type="xsd:double"&gt;6.039667&lt;/D&gt;&lt;D xsi:type="xsd:double"&gt;-2.0402431&lt;/D&gt;&lt;D xsi:type="xsd:double"&gt;-1.9091666&lt;/D&gt;&lt;D xsi:type="xsd:double"&gt;-1.2090802&lt;/D&gt;&lt;D xsi:type="xsd:double"&gt;3.7796617&lt;/D&gt;&lt;D xsi:type="xsd:double"&gt;20.836973&lt;/D&gt;&lt;/FQL&gt;&lt;FQL&gt;&lt;Q&gt;SPY^FG_PRICE(0,-200D)&lt;/Q&gt;&lt;R&gt;201&lt;/R&gt;&lt;C&gt;1&lt;/C&gt;&lt;D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xsi:type="xsd:double"&gt;525.66&lt;/D&gt;&lt;D xsi:type="xsd:double"&gt;537.61&lt;/D&gt;&lt;D xsi:type="xsd:double"&gt;539.12&lt;/D&gt;&lt;D xsi:type="xsd:double"&gt;533.94&lt;/D&gt;&lt;/FQL&gt;&lt;FQL&gt;&lt;Q&gt;INDA^FG_PRICE(0,-200D)&lt;/Q&gt;&lt;R&gt;201&lt;/R&gt;&lt;C&gt;1&lt;/C&gt;&lt;D xsi:type="xsd:double"&gt;51.61&lt;/D&gt;&lt;D xsi:type="xsd:double"&gt;51.49&lt;/D&gt;&lt;D xsi:type="xsd:double"&gt;51.69&lt;/D&gt;&lt;D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xsi:type="xsd:double"&gt;51.13&lt;/D&gt;&lt;D xsi:type="xsd:double"&gt;51.13&lt;/D&gt;&lt;D xsi:type="xsd:double"&gt;51.03&lt;/D&gt;&lt;D xsi:type="xsd:double"&gt;50.76&lt;/D&gt;&lt;/FQL&gt;&lt;FQL&gt;&lt;Q&gt;QQQ^FG_PRICE(0,-200D)&lt;/Q&gt;&lt;R&gt;201&lt;/R&gt;&lt;C&gt;1&lt;/C&gt;&lt;D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xsi:type="xsd:double"&gt;444.18&lt;/D&gt;&lt;D xsi:type="xsd:double"&gt;457.99&lt;/D&gt;&lt;D xsi:type="xsd:double"&gt;457.48&lt;/D&gt;&lt;D xsi:type="xsd:double"&gt;454.4&lt;/D&gt;&lt;/FQL&gt;&lt;FQL&gt;&lt;Q&gt;EWC^FG_TOTAL_RETURNC(-5AY,0,AM)&lt;/Q&gt;&lt;R&gt;61&lt;/R&gt;&lt;C&gt;1&lt;/C&gt;&lt;D xsi:type="xsd:double"&gt;-1.0669231&lt;/D&gt;&lt;D xsi:type="xsd:double"&gt;5.130708&lt;/D&gt;&lt;D xsi:type="xsd:double"&gt;5.875051&lt;/D&gt;&lt;D xsi:type="xsd:double"&gt;5.695832&lt;/D&gt;&lt;D xsi:type="xsd:double"&gt;5.1944375&lt;/D&gt;&lt;D xsi:type="xsd:double"&gt;-0.8457482&lt;/D&gt;&lt;D xsi:type="xsd:double"&gt;0.32154322&lt;/D&gt;&lt;D xsi:type="xsd:double"&gt;0.32051802&lt;/D&gt;&lt;D xsi:type="xsd:double"&gt;-3.3280075&lt;/D&gt;&lt;D xsi:type="xsd:double"&gt;7.90416&lt;/D&gt;&lt;D xsi:type="xsd:double"&gt;-2.3226142&lt;/D&gt;&lt;D xsi:type="xsd:double"&gt;0.92384815&lt;/D&gt;&lt;D xsi:type="xsd:double"&gt;-2.1243155&lt;/D&gt;&lt;D xsi:type="xsd:double"&gt;2.41158&lt;/D&gt;&lt;D xsi:type="xsd:double"&gt;6.2009335&lt;/D&gt;&lt;D xsi:type="xsd:double"&gt;-8.721363&lt;/D&gt;&lt;D xsi:type="xsd:double"&gt;1.5384555&lt;/D&gt;&lt;D xsi:type="xsd:double"&gt;-8.975613&lt;/D&gt;&lt;D xsi:type="xsd:double"&gt;3.883493&lt;/D&gt;&lt;D xsi:type="xsd:double"&gt;-0.93458295&lt;/D&gt;&lt;D xsi:type="xsd:double"&gt;-11.149227&lt;/D&gt;&lt;D xsi:type="xsd:double"&gt;6.5636992&lt;/D&gt;&lt;D xsi:type="xsd:double"&gt;4.4082165&lt;/D&gt;&lt;D xsi:type="xsd:double"&gt;-3.2372475&lt;/D&gt;&lt;D xsi:type="xsd:double"&gt;8.156454&lt;/D&gt;&lt;D xsi:type="xsd:double"&gt;-4.54163&lt;/D&gt;&lt;D xsi:type="xsd:double"&gt;-1.32159&lt;/D&gt;&lt;D xsi:type="xsd:double"&gt;4.7619104&lt;/D&gt;&lt;D xsi:type="xsd:double"&gt;-4.034096&lt;/D&gt;&lt;D xsi:type="xsd:double"&gt;3.4353614&lt;/D&gt;&lt;D xsi:type="xsd:double"&gt;3.4402966&lt;/D&gt;&lt;D xsi:type="xsd:double"&gt;-3.6333144&lt;/D&gt;&lt;D xsi:type="xsd:double"&gt;-2.9582381&lt;/D&gt;&lt;D xsi:type="xsd:double"&gt;-5.9175134&lt;/D&gt;&lt;D xsi:type="xsd:double"&gt;10.101652&lt;/D&gt;&lt;D xsi:type="xsd:double"&gt;7.2699666&lt;/D&gt;&lt;D xsi:type="xsd:double"&gt;0.05452633&lt;/D&gt;&lt;D xsi:type="xsd:double"&gt;0.19073486&lt;/D&gt;&lt;D xsi:type="xsd:double"&gt;4.106605&lt;/D&gt;&lt;D xsi:type="xsd:double"&gt;-1.5673935&lt;/D&gt;&lt;D xsi:type="xsd:double"&gt;-0.98195076&lt;/D&gt;&lt;D xsi:type="xsd:double"&gt;0.35158396&lt;/D&gt;&lt;D xsi:type="xsd:double"&gt;3.0466437&lt;/D&gt;&lt;D xsi:type="xsd:double"&gt;5.259025&lt;/D&gt;&lt;D xsi:type="xsd:double"&gt;3.032565&lt;/D&gt;&lt;D xsi:type="xsd:double"&gt;-0.43426156&lt;/D&gt;&lt;D xsi:type="xsd:double"&gt;4.797673&lt;/D&gt;&lt;D xsi:type="xsd:double"&gt;-5.7576714&lt;/D&gt;&lt;D xsi:type="xsd:double"&gt;3.1576395&lt;/D&gt;&lt;D xsi:type="xsd:double"&gt;-0.6266594&lt;/D&gt;&lt;D xsi:type="xsd:double"&gt;-1.6007781&lt;/D&gt;&lt;D xsi:type="xsd:double"&gt;4.633963&lt;/D&gt;&lt;D xsi:type="xsd:double"&gt;5.488801&lt;/D&gt;&lt;D xsi:type="xsd:double"&gt;2.4670243&lt;/D&gt;&lt;D xsi:type="xsd:double"&gt;2.6546717&lt;/D&gt;&lt;D xsi:type="xsd:double"&gt;4.274416&lt;/D&gt;&lt;D xsi:type="xsd:double"&gt;3.4228325&lt;/D&gt;&lt;D xsi:type="xsd:double"&gt;0.5747199&lt;/D&gt;&lt;D xsi:type="xsd:double"&gt;3.8423657&lt;/D&gt;&lt;D xsi:type="xsd:double"&gt;4.0171027&lt;/D&gt;&lt;D xsi:type="xsd:double"&gt;4.049325&lt;/D&gt;&lt;/FQL&gt;&lt;FQL&gt;&lt;Q&gt;EWT^FG_TOTAL_RETURNC(-5AY,0,AM)&lt;/Q&gt;&lt;R&gt;61&lt;/R&gt;&lt;C&gt;1&lt;/C&gt;&lt;D xsi:type="xsd:double"&gt;5.329275&lt;/D&gt;&lt;D xsi:type="xsd:double"&gt;5.6198&lt;/D&gt;&lt;D xsi:type="xsd:double"&gt;1.8135071&lt;/D&gt;&lt;D xsi:type="xsd:double"&gt;9.796667&lt;/D&gt;&lt;D xsi:ty</t>
        </r>
      </text>
    </comment>
    <comment ref="A10" authorId="0" shapeId="0" xr:uid="{5D79C65C-5085-4B61-B118-BB6BA21F1BBC}">
      <text>
        <r>
          <rPr>
            <b/>
            <sz val="9"/>
            <color indexed="81"/>
            <rFont val="Tahoma"/>
            <charset val="1"/>
          </rPr>
          <t>pe="xsd:double"&gt;-4.560751&lt;/D&gt;&lt;D xsi:type="xsd:double"&gt;2.3412466&lt;/D&gt;&lt;D xsi:type="xsd:double"&gt;0.37605762&lt;/D&gt;&lt;D xsi:type="xsd:double"&gt;-0.18732548&lt;/D&gt;&lt;D xsi:type="xsd:double"&gt;-3.2843292&lt;/D&gt;&lt;D xsi:type="xsd:double"&gt;1.9081473&lt;/D&gt;&lt;D xsi:type="xsd:double"&gt;2.7292848&lt;/D&gt;&lt;D xsi:type="xsd:double"&gt;6.3082337&lt;/D&gt;&lt;D xsi:type="xsd:double"&gt;-6.315321&lt;/D&gt;&lt;D xsi:type="xsd:double"&gt;1.8645406&lt;/D&gt;&lt;D xsi:type="xsd:double"&gt;-2.847308&lt;/D&gt;&lt;D xsi:type="xsd:double"&gt;-9.9677925&lt;/D&gt;&lt;D xsi:type="xsd:double"&gt;0.23251772&lt;/D&gt;&lt;D xsi:type="xsd:double"&gt;-8.047825&lt;/D&gt;&lt;D xsi:type="xsd:double"&gt;-0.46574473&lt;/D&gt;&lt;D xsi:type="xsd:double"&gt;-2.1056771&lt;/D&gt;&lt;D xsi:type="xsd:double"&gt;-13.4634495&lt;/D&gt;&lt;D xsi:type="xsd:double"&gt;-3.4062147&lt;/D&gt;&lt;D xsi:type="xsd:double"&gt;16.893017&lt;/D&gt;&lt;D xsi:type="xsd:double"&gt;-2.211231&lt;/D&gt;&lt;D xsi:type="xsd:double"&gt;11.635912&lt;/D&gt;&lt;D xsi:type="xsd:double"&gt;-3.7241101&lt;/D&gt;&lt;D xsi:type="xsd:double"&gt;3.3874989&lt;/D&gt;&lt;D xsi:type="xsd:double"&gt;-2.7673244&lt;/D&gt;&lt;D xsi:type="xsd:double"&gt;6.557381&lt;/D&gt;&lt;D xsi:type="xsd:double"&gt;0.04273653&lt;/D&gt;&lt;D xsi:type="xsd:double"&gt;4.186249&lt;/D&gt;&lt;D xsi:type="xsd:double"&gt;-5.022544&lt;/D&gt;&lt;D xsi:type="xsd:double"&gt;-3.842008&lt;/D&gt;&lt;D xsi:type="xsd:double"&gt;-2.4466872&lt;/D&gt;&lt;D xsi:type="xsd:double"&gt;12.701332&lt;/D&gt;&lt;D xsi:type="xsd:double"&gt;5.9368134&lt;/D&gt;&lt;D xsi:type="xsd:double"&gt;-1.3686657&lt;/D&gt;&lt;D xsi:type="xsd:double"&gt;2.0484567&lt;/D&gt;&lt;D xsi:type="xsd:double"&gt;5.0723076&lt;/D&gt;&lt;D xsi:type="xsd:double"&gt;-1.5817583&lt;/D&gt;&lt;D xsi:type="xsd:double"&gt;6.5122128&lt;/D&gt;&lt;D xsi:type="xsd:double"&gt;6.192434&lt;/D&gt;&lt;D xsi:type="xsd:double"&gt;-5.0931873&lt;/D&gt;&lt;D xsi:type="xsd:double"&gt;5.133188&lt;/D&gt;&lt;D xsi:type="xsd:double"&gt;2.6447177&lt;/D&gt;&lt;D xsi:type="xsd:double"&gt;-0.2702713&lt;/D&gt;&lt;D xsi:type="xsd:double"&gt;-3.9747&lt;/D&gt;&lt;D xsi:type="xsd:double"&gt;2.102518&lt;/D&gt;&lt;D xsi:type="xsd:double"&gt;-2.7973294&lt;/D&gt;&lt;D xsi:type="xsd:double"&gt;-0.5285859&lt;/D&gt;&lt;D xsi:type="xsd:double"&gt;-5.884671&lt;/D&gt;&lt;D xsi:type="xsd:double"&gt;-1.4010847&lt;/D&gt;&lt;D xsi:type="xsd:double"&gt;12.131489&lt;/D&gt;&lt;D xsi:type="xsd:double"&gt;9.419334&lt;/D&gt;&lt;D xsi:type="xsd:double"&gt;1.3310313&lt;/D&gt;&lt;D xsi:type="xsd:double"&gt;0.341177&lt;/D&gt;&lt;D xsi:type="xsd:double"&gt;7.242441&lt;/D&gt;&lt;D xsi:type="xsd:double"&gt;6.4204097&lt;/D&gt;&lt;D xsi:type="xsd:double"&gt;-3.9028704&lt;/D&gt;&lt;D xsi:type="xsd:double"&gt;2.69413&lt;/D&gt;&lt;D xsi:type="xsd:double"&gt;10.263693&lt;/D&gt;&lt;/FQL&gt;&lt;FQL&gt;&lt;Q&gt;VNM^FG_PRICE(0,-200D)&lt;/Q&gt;&lt;R&gt;201&lt;/R&gt;&lt;C&gt;1&lt;/C&gt;&lt;D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xsi:type="xsd:double"&gt;11.5&lt;/D&gt;&lt;D xsi:type="xsd:double"&gt;11.74&lt;/D&gt;&lt;D xsi:type="xsd:double"&gt;11.93&lt;/D&gt;&lt;D xsi:type="xsd:double"&gt;11.87&lt;/D&gt;&lt;/FQL&gt;&lt;FQL&gt;&lt;Q&gt;EPHE^FG_PRICE(0,-200D)&lt;/Q&gt;&lt;R&gt;201&lt;/R&gt;&lt;C&gt;1&lt;/C&gt;&lt;D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xsi:type="xsd:double"&gt;25.25&lt;/D&gt;&lt;D xsi:type="xsd:double"&gt;25.4141&lt;/D&gt;&lt;D xsi:type="xsd:double"&gt;25.19&lt;/D&gt;&lt;D xsi:type="xsd:double"&gt;24.96&lt;/D&gt;&lt;/FQL&gt;&lt;FQL&gt;&lt;Q&gt;EWA^FG_TOTAL_RETURNC(-5AY,0,AM)&lt;/Q&gt;&lt;R&gt;61&lt;/R&gt;&lt;C&gt;1&lt;/C&gt;&lt;D xsi:type="xsd:double"&gt;-0.8764565&lt;/D&gt;&lt;D xsi:type="xsd:double"&gt;3.2000065&lt;/D&gt;&lt;D xsi:type="xsd:double"&gt;1.7543912&lt;/D&gt;&lt;D xsi:type="xsd:double"&gt;5.573368&lt;/D&gt;&lt;D xsi:type="xsd:double"&gt;1.5571594&lt;/D&gt;&lt;D xsi:type="xsd:double"&gt;-0.6917119&lt;/D&gt;&lt;D xsi:type="xsd:double"&gt;-0.64910054&lt;/D&gt;&lt;D xsi:type="xsd:double"&gt;-0.038433075&lt;/D&gt;&lt;D xsi:type="xsd:double"&gt;-5.190313&lt;/D&gt;&lt;D xsi:type="xsd:double"&gt;7.2992682&lt;/D&gt;&lt;D xsi:type="xsd:double"&gt;-6.4625797&lt;/D&gt;&lt;D xsi:type="xsd:double"&gt;4.6524763&lt;/D&gt;&lt;D xsi:type="xsd:double"&gt;-9.686446&lt;/D&gt;&lt;D xsi:type="xsd:double"&gt;6.557369&lt;/D&gt;&lt;D xsi:type="xsd:double"&gt;10.935556&lt;/D&gt;&lt;D xsi:type="xsd:double"&gt;-7.8710675&lt;/D&gt;&lt;D xsi:type="xsd:double"&gt;1.5052915&lt;/D&gt;&lt;D xsi:type="xsd:double"&gt;-11.209196&lt;/D&gt;&lt;D xsi:type="xsd:double"&gt;5.964589&lt;/D&gt;&lt;D xsi:type="xsd:double"&gt;-1.6710579&lt;/D&gt;&lt;D xsi:type="xsd:double"&gt;-10.5545635&lt;/D&gt;&lt;D xsi:type="xsd:double"&gt;3.9499998&lt;/D&gt;&lt;D xsi:type="xsd:double"&gt;10.966802&lt;/D&gt;&lt;D xsi:type="xsd:double"&gt;-1.3168991&lt;/D&gt;&lt;D xsi:type="xsd:double"&gt;11.588371&lt;/D&gt;&lt;D xsi:type="xsd:double"&gt;-8.259827&lt;/D&gt;&lt;D xsi:type="xsd:double"&gt;-1.3985991&lt;/D&gt;&lt;D xsi:type="xsd:double"&gt;2.5709271&lt;/D&gt;&lt;D xsi:type="xsd:double"&gt;-3.1114936&lt;/D&gt;&lt;D xsi:type="xsd:double"&gt;1.5266061&lt;/D&gt;&lt;D xsi:type="xsd:double"&gt;3.5362482&lt;/D&gt;&lt;D xsi:type="xsd:double"&gt;-4.366618&lt;/D&gt;&lt;D xsi:type="xsd:double"&gt;-2.7576864&lt;/D&gt;&lt;D xsi:type="xsd:double"&gt;-4.463047&lt;/D&gt;&lt;D xsi:type="xsd:double"&gt;9.002436&lt;/D&gt;&lt;D xsi:type="xsd:double"&gt;10.899496&lt;/D&gt;&lt;D xsi:type="xsd:double"&gt;-1.9720614&lt;/D&gt;&lt;D xsi:type="xsd:double"&gt;0.25146008&lt;/D&gt;&lt;D xsi:type="xsd:double"&gt;3.093648&lt;/D&gt;&lt;D xsi:type="xsd:double"&gt;-2.9602587&lt;/D&gt;&lt;D xsi:type="xsd:double"&gt;1.1282921&lt;/D&gt;&lt;D xsi:type="xsd:double"&gt;2.9175282&lt;/D&gt;&lt;D xsi:type="xsd:double"&gt;0.32746792&lt;/D&gt;&lt;D xsi:type="xsd:double"&gt;6.28314&lt;/D&gt;&lt;D xsi:type="xsd:double"&gt;3.8387775&lt;/D&gt;&lt;D xsi:type="xsd:double"&gt;-4.916823&lt;/D&gt;&lt;D xsi:type="xsd:double"&gt;2.7605057&lt;/D&gt;&lt;D xsi:type="xsd:double"&gt;-7.4383974&lt;/D&gt;&lt;D xsi:type="xsd:double"&gt;2.4106383&lt;/D&gt;&lt;D xsi:type="xsd:double"&gt;-2.6379883&lt;/D&gt;&lt;D xsi:type="xsd:double"&gt;-2.1675706&lt;/D&gt;&lt;D xsi:type="xsd:double"&gt;4.6016216&lt;/D&gt;&lt;D xsi:type="xsd:double"&gt;4.439914&lt;/D&gt;&lt;D xsi:type="xsd:double"&gt;3.3047557&lt;/D&gt;&lt;D xsi:type="xsd:double"&gt;1.0732055&lt;/D&gt;&lt;D xsi:type="xsd:double"&gt;2.692449&lt;/D&gt;&lt;D xsi:type="xsd:double"&gt;-0.36928058&lt;/D&gt;&lt;D xsi:type="xsd:double"&gt;0.07413626&lt;/D&gt;&lt;D xsi:type="xsd:double"&gt;-4.2592583&lt;/D&gt;&lt;D xsi:type="xsd:double"&gt;4.1971684&lt;/D&gt;&lt;D xsi:type="xsd:double"&gt;7.326281&lt;/D&gt;&lt;/FQL&gt;&lt;FQL&gt;&lt;Q&gt;EWZ^FG_PRICE(0,-200D)&lt;/Q&gt;&lt;R&gt;201&lt;/R&gt;&lt;C&gt;1&lt;/C&gt;&lt;D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xsi:type="xsd:double"&gt;24.79&lt;/D&gt;&lt;D xsi:type="xsd:double"&gt;24.86&lt;/D&gt;&lt;D xsi:type="xsd:double"&gt;25.01&lt;/D&gt;&lt;D xsi:type="xsd:double"&gt;24.69&lt;/D&gt;&lt;/FQL&gt;&lt;FQL&gt;&lt;Q&gt;SPY^FG_TOTAL_RETURNC(-5AY,0,AM)&lt;/Q&gt;&lt;R&gt;61&lt;/R&gt;&lt;C&gt;1&lt;/C&gt;&lt;D xsi:type="xsd:double"&gt;-0.374192&lt;/D&gt;&lt;D xsi:type="xsd:double"&gt;2.7805448&lt;/D&gt;&lt;D xsi:type="xsd:double"&gt;4.3954372&lt;/D&gt;&lt;D xsi:type="xsd:double"&gt;6.1347246&lt;/D&gt;&lt;D xsi:type="xsd:double"&gt;-0.0047564507&lt;/D&gt;&lt;D xsi:type="xsd:double"&gt;2.1612763&lt;/D&gt;&lt;D xsi:type="xsd:double"&gt;3.0278206&lt;/D&gt;&lt;D xsi:type="xsd:double"&gt;2.1785975&lt;/D&gt;&lt;D xsi:type="xsd:double"&gt;-3.1969726&lt;/D&gt;&lt;D xsi:type="xsd:double"&gt;5.7083607&lt;/D&gt;&lt;D xsi:type="xsd:double"&gt;1.1649489&lt;/D&gt;&lt;D xsi:type="xsd:double"&gt;3.1379938&lt;/D&gt;&lt;D xsi:type="xsd:double"&gt;-7.441151&lt;/D&gt;&lt;D xsi:type="xsd:double"&gt;-1.2037575&lt;/D&gt;&lt;D xsi:type="xsd:double"&gt;6.0321927&lt;/D&gt;&lt;D xsi:type="xsd:double"&gt;-10.735565&lt;/D&gt;&lt;D xsi:type="xsd:double"&gt;0.7912636&lt;/D&gt;&lt;D xsi:type="xsd:double"&gt;-8.014441&lt;/D&gt;&lt;D xsi:type="xsd:double"&gt;8.3215&lt;/D&gt;&lt;D xsi:type="xsd:double"&gt;-2.2718966&lt;/D&gt;&lt;D xsi:type="xsd:double"&gt;-9.52186&lt;/D&gt;&lt;D xsi:type="xsd:double"&gt;7.2300673&lt;/D&gt;&lt;D xsi:type="xsd:double"&gt;1.5963197&lt;/D&gt;&lt;D xsi:type="xsd:double"&gt;-2.5321543&lt;/D&gt;&lt;D xsi:type="xsd:double"&gt;5.800128&lt;/D&gt;&lt;D xsi:type="xsd:double"&gt;-2.322024&lt;/D&gt;&lt;D xsi:type="xsd:double"&gt;1.6756892&lt;/D&gt;&lt;D xsi:type="xsd:double"&gt;3.6327362&lt;/D&gt;&lt;D xsi:type="xsd:double"&gt;0.9833336&lt;/D&gt;&lt;D xsi:type="xsd:double"&gt;4.695809&lt;/D&gt;&lt;D xsi:type="xsd:double"&gt;4.2934537&lt;/D&gt;&lt;D xsi:type="xsd:double"&gt;-1.6983271&lt;/D&gt;&lt;D xsi:type="xsd:double"&gt;-4.4869423&lt;/D&gt;&lt;D xsi:type="xsd:double"&gt;-3.9300144&lt;/D&gt;&lt;D xsi:type="xsd:double"&gt;10.696888&lt;/D&gt;&lt;D xsi:type="xsd:double"&gt;4.9779654&lt;/D&gt;&lt;D xsi:type="xsd:double"&gt;3.3578038&lt;/D&gt;&lt;D xsi:type="xsd:double"&gt;3.4217477&lt;/D&gt;&lt;D xsi:type="xsd:double"&gt;3.2723904&lt;/D&gt;&lt;D xsi:type="xsd:double"&gt;-2.4872422&lt;/D&gt;&lt;D xsi:type="xsd:double"&gt;3.1447291&lt;/D&gt;&lt;D xsi:type="xsd:double"&gt;3.778386&lt;/D&gt;&lt;D xsi:type="xsd:double"&gt;0.09922981&lt;/D&gt;&lt;D xsi:type="xsd:double"&gt;2.494669&lt;/D&gt;&lt;D xsi:type="xsd:double"&gt;2.6641726&lt;/D&gt;&lt;D xsi:type="xsd:double"&gt;1.8023729&lt;/D&gt;&lt;D xsi:type="xsd:double"&gt;3.571856&lt;/D&gt;&lt;D xsi:type="xsd:double"&gt;-0.9230137&lt;/D&gt;&lt;D xsi:type="xsd:double"&gt;1.1428356&lt;/D&gt;&lt;D xsi:type="xsd:double"&gt;-1.2678444&lt;/D&gt;&lt;D xsi:type="xsd:double"&gt;-6.201744&lt;/D&gt;&lt;D xsi:type="xsd:double"&gt;-0.24114847&lt;/D&gt;&lt;D xsi:type="xsd:double"&gt;6.4457297&lt;/D&gt;&lt;D xsi:type="xsd:double"&gt;4.5220375&lt;/D&gt;&lt;D xsi:type="xsd:double"&gt;3.3094287&lt;/D&gt;&lt;D xsi:type="xsd:double"&gt;1.5411019&lt;/D&gt;&lt;D xsi:type="xsd:double"&gt;3.1720161&lt;/D&gt;&lt;D xsi:type="xsd:double"&gt;3.5725117&lt;/D&gt;&lt;D xsi:type="xsd:double"&gt;-0.5819142&lt;/D&gt;&lt;D xsi:type="xsd:double"&gt;0.9474158&lt;/D&gt;&lt;D xsi:type="xsd:double"&gt;0.8999109&lt;/D&gt;&lt;/FQL&gt;&lt;FQL&gt;&lt;Q&gt;INDA^FG_TOTAL_RETURNC(-5AY,0,AM)&lt;/Q&gt;&lt;R&gt;61&lt;/R&gt;&lt;C&gt;1&lt;/C&gt;&lt;D xsi:type="xsd:double"&gt;-1.8309474&lt;/D&gt;&lt;D xsi:type="xsd:double"&gt;4.8288226&lt;/D&gt;&lt;D xsi:type="xsd:double"&gt;2.4859905&lt;/D&gt;&lt;D xsi:type="xsd:double"&gt;-0.85612535&lt;/D&gt;&lt;D xsi:type="xsd:double"&gt;6.2125206&lt;/D&gt;&lt;D xsi:type="xsd:double"&gt;0.49917698&lt;/D&gt;&lt;D xsi:type="xsd:double"&gt;0.38237572&lt;/D&gt;&lt;D xsi:type="xsd:double"&gt;6.5874934&lt;/D&gt;&lt;D xsi:type="xsd:double"&gt;2.943039&lt;/D&gt;&lt;D xsi:type="xsd:double"&gt;-0.26547313&lt;/D&gt;&lt;D xsi:type="xsd:double"&gt;-2.9893517&lt;/D&gt;&lt;D xsi:type="xsd:double"&gt;2.836001&lt;/D&gt;&lt;D xsi:type="xsd:double"&gt;-2.0982027&lt;/D&gt;&lt;D xsi:type="xsd:double"&gt;-2.3219466&lt;/D&gt;&lt;D xsi:type="xsd:double"&gt;3.7257195&lt;/D&gt;&lt;D xsi:type="xsd:double"&gt;-3.8342893&lt;/D&gt;&lt;D xsi:type="xsd:double"&gt;-5.2245617&lt;/D&gt;&lt;D xsi:type="xsd:double"&gt;-4.7630606&lt;/D&gt;&lt;D xsi:type="xsd:double"&gt;8.33968&lt;/D&gt;&lt;D xsi:type="xsd:double"&gt;0.0351429&lt;/D&gt;&lt;D xsi:type="xsd:double"&gt;-5.2237034&lt;/D&gt;&lt;D xsi:type="xsd:double"&gt;4.6465635&lt;/D&gt;&lt;D xsi:type="xsd:double"&gt;2.8578162&lt;/D&gt;&lt;D xsi:type="xsd:double"&gt;-3.0309975&lt;/D&gt;&lt;D xsi:type="xsd:double"&gt;-3.2678187&lt;/D&gt;&lt;D xsi:type="xsd:double"&gt;-5.018359&lt;/D&gt;&lt;D xsi:type="xsd:double"&gt;-0.36082268&lt;/D&gt;&lt;D xsi:type="xsd:double"&gt;6.3631654&lt;/D&gt;&lt;D xsi:type="xsd:double"&gt;2.1887183&lt;/D&gt;&lt;D xsi:type="xsd:double"&gt;3.3364654&lt;/D&gt;&lt;D xsi:type="xsd:double"&gt;2.6765108&lt;/D&gt;&lt;D xsi:type="xsd:double"&gt;-0.69663525&lt;/D&gt;&lt;D xsi:type="xsd:double"&gt;0.06788969&lt;/D&gt;&lt;D xsi:type="xsd:double"&gt;-2.849394&lt;/D&gt;&lt;D xsi:type="xsd:double"&gt;6.2150836&lt;/D&gt;&lt;D xsi:type="xsd:double"&gt;6.9690943&lt;/D&gt;&lt;D xsi:type="xsd:double"&gt;2.3970485&lt;/D&gt;&lt;D xsi:type="xsd:double"&gt;2.36094&lt;/D&gt;&lt;D xsi:type="xsd:double"&gt;0.840497&lt;/D&gt;&lt;D xsi:type="xsd:double"&gt;1.8220544&lt;/D&gt;&lt;D xsi:type="xsd:double"&gt;1.4277577&lt;/D&gt;&lt;D xsi:type="xsd:double"&gt;4.692197&lt;/D&gt;&lt;D xsi:type="xsd:double"&gt;1.9003272&lt;/D&gt;&lt;D xsi:type="xsd:double"&gt;0.7565141&lt;/D&gt;&lt;D xsi:type="xsd:double"&gt;3.2477736&lt;/D&gt;&lt;D xsi:type="xsd:double"&gt;-6.578726&lt;/D&gt;&lt;D xsi:type="xsd:double"&gt;-0.8327365&lt;/D&gt;&lt;D xsi:type="xsd:double"&gt;-2.3573995&lt;/D&gt;&lt;D xsi:type="xsd:double"&gt;-4.858756&lt;/D&gt;&lt;D xsi:type="xsd:double"&gt;-4.790187&lt;/D&gt;&lt;D xsi:type="xsd:double"&gt;6.611228&lt;/D&gt;&lt;D xsi:type="xsd:double"&gt;4.4071794&lt;/D&gt;&lt;D xsi:type="xsd:double"&gt;1.9611478&lt;/D&gt;&lt;D xsi:type="xsd:double"&gt;2.326429&lt;/D&gt;&lt;D xsi:type="xsd:double"&gt;-4.2427483&lt;/D&gt;&lt;D xsi:type="xsd:double"&gt;-2.8229594&lt;/D&gt;&lt;D xsi:type="xsd:double"&gt;0.34629107&lt;/D&gt;&lt;D xsi:type="xsd:double"&gt;4.6970844&lt;/D&gt;&lt;D xsi:type="xsd:double"&gt;0.18311739&lt;/D&gt;&lt;D xsi:type="xsd:double"&gt;-2.2664905&lt;/D&gt;&lt;D xsi:type="xsd:double"&gt;-3.4785867&lt;/D&gt;&lt;/FQL&gt;&lt;/Schema&gt;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<sst xmlns="http://schemas.openxmlformats.org/spreadsheetml/2006/main" count="167" uniqueCount="82">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</sst>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F12" sqref="F12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10">IFERROR(TRANSPOSE(_xlfn._xlws.FILTER(MONTHLY_RETURNS!B64:AI64, MONTHLY_RETURNS!$B$73:$AI$73=1)),"")</f>
        <v>ECH</v>
      </c>
      <c r="B2" s="4" t="str" cm="1">
        <f t="array" ref="B2:B10">IFERROR(TRANSPOSE(_xlfn._xlws.FILTER(MONTHLY_RETURNS!B65:AI65, MONTHLY_RETURNS!$B$73:$AI$73=1)),"")</f>
        <v>Chile</v>
      </c>
      <c r="C2" s="4" t="str" cm="1">
        <f t="array" ref="C2:C10">IFERROR(TRANSPOSE(_xlfn._xlws.FILTER(MONTHLY_RETURNS!B66:AI66, MONTHLY_RETURNS!$B$73:$AI$73=1)),"")</f>
        <v>EMERGING</v>
      </c>
      <c r="D2" s="4" cm="1">
        <f t="array" ref="D2:D10">IFERROR(TRANSPOSE(_xlfn._xlws.FILTER(MONTHLY_RETURNS!B67:AI67, MONTHLY_RETURNS!$B$73:$AI$73=1)),"")</f>
        <v>0.16974758000000001</v>
      </c>
      <c r="E2" s="4" cm="1">
        <f t="array" ref="E2:E10">IFERROR(TRANSPOSE(_xlfn._xlws.FILTER(MONTHLY_RETURNS!B68:AI68, MONTHLY_RETURNS!$B$73:$AI$73=1)),"")</f>
        <v>1.3540283418032787E-2</v>
      </c>
      <c r="F2" s="4" cm="1">
        <f t="array" ref="F2:F10">IFERROR(TRANSPOSE(_xlfn._xlws.FILTER(MONTHLY_RETURNS!B69:AI69, MONTHLY_RETURNS!$B$73:$AI$73=1)),"")</f>
        <v>5.3848460770381829E-2</v>
      </c>
      <c r="G2" s="4" cm="1">
        <f t="array" ref="G2:G10">IFERROR(TRANSPOSE(_xlfn._xlws.FILTER(MONTHLY_RETURNS!B70:AI70, MONTHLY_RETURNS!$B$73:$AI$73=1)),"")</f>
        <v>0.10769692154076366</v>
      </c>
      <c r="H2" s="1" cm="1">
        <f t="array" ref="H2:H10">IFERROR(TRANSPOSE(_xlfn._xlws.FILTER(MONTHLY_RETURNS!B71:AI71, MONTHLY_RETURNS!$B$73:$AI$73=1)),"")</f>
        <v>46.875</v>
      </c>
      <c r="I2" s="1" cm="1">
        <f t="array" ref="I2:I10">IFERROR(TRANSPOSE(_xlfn._xlws.FILTER(MONTHLY_RETURNS!B72:AI72, MONTHLY_RETURNS!$B$73:$AI$73=1)),"")</f>
        <v>34.35609452736319</v>
      </c>
    </row>
    <row r="3" spans="1:9" x14ac:dyDescent="0.45">
      <c r="A3" s="5" t="str">
        <v>EPU</v>
      </c>
      <c r="B3" s="4" t="str">
        <v>Peru</v>
      </c>
      <c r="C3" s="4" t="str">
        <v>EMERGING</v>
      </c>
      <c r="D3" s="4">
        <v>0.28658793999999999</v>
      </c>
      <c r="E3" s="4">
        <v>2.2474903363934429E-2</v>
      </c>
      <c r="F3" s="4">
        <v>7.1865401480272748E-2</v>
      </c>
      <c r="G3" s="4">
        <v>0.1437308029605455</v>
      </c>
      <c r="H3" s="1">
        <v>92.57</v>
      </c>
      <c r="I3" s="1">
        <v>57.609646268656725</v>
      </c>
    </row>
    <row r="4" spans="1:9" x14ac:dyDescent="0.45">
      <c r="A4" s="5" t="str">
        <v>EWY</v>
      </c>
      <c r="B4" s="4" t="str">
        <v>Korea, Rep.</v>
      </c>
      <c r="C4" s="4" t="str">
        <v>EMERGING</v>
      </c>
      <c r="D4" s="4">
        <v>0.26114261999999999</v>
      </c>
      <c r="E4" s="4">
        <v>1.1221699202459018E-2</v>
      </c>
      <c r="F4" s="4">
        <v>8.8530543556638308E-2</v>
      </c>
      <c r="G4" s="4">
        <v>0.17706108711327662</v>
      </c>
      <c r="H4" s="1">
        <v>124.5</v>
      </c>
      <c r="I4" s="1">
        <v>79.866766169154218</v>
      </c>
    </row>
    <row r="5" spans="1:9" x14ac:dyDescent="0.45">
      <c r="A5" s="5" t="str">
        <v>EWZ</v>
      </c>
      <c r="B5" s="4" t="str">
        <v>Brazil</v>
      </c>
      <c r="C5" s="4" t="str">
        <v>EMERGING</v>
      </c>
      <c r="D5" s="4">
        <v>0.21726704000000002</v>
      </c>
      <c r="E5" s="4">
        <v>1.0023850674590164E-2</v>
      </c>
      <c r="F5" s="4">
        <v>7.23993792757604E-2</v>
      </c>
      <c r="G5" s="4">
        <v>0.1447987585515208</v>
      </c>
      <c r="H5" s="1">
        <v>38.119999999999997</v>
      </c>
      <c r="I5" s="1">
        <v>29.771542288557203</v>
      </c>
    </row>
    <row r="6" spans="1:9" x14ac:dyDescent="0.45">
      <c r="A6" s="5" t="str">
        <v>EZA</v>
      </c>
      <c r="B6" s="4" t="str">
        <v>South Africa</v>
      </c>
      <c r="C6" s="4" t="str">
        <v>EMERGING</v>
      </c>
      <c r="D6" s="4">
        <v>0.16294025000000001</v>
      </c>
      <c r="E6" s="4">
        <v>1.5685757137704918E-2</v>
      </c>
      <c r="F6" s="4">
        <v>4.9476898554172588E-2</v>
      </c>
      <c r="G6" s="4">
        <v>9.8953797108345176E-2</v>
      </c>
      <c r="H6" s="1">
        <v>79.58</v>
      </c>
      <c r="I6" s="1">
        <v>60.050348258706443</v>
      </c>
    </row>
    <row r="7" spans="1:9" x14ac:dyDescent="0.45">
      <c r="A7" s="5" t="str">
        <v>GREK</v>
      </c>
      <c r="B7" s="4" t="str">
        <v>Greece</v>
      </c>
      <c r="C7" s="4" t="str">
        <v>EMERGING</v>
      </c>
      <c r="D7" s="4">
        <v>0.13549018000000002</v>
      </c>
      <c r="E7" s="4">
        <v>2.2420302214754096E-2</v>
      </c>
      <c r="F7" s="4">
        <v>5.2698075437088869E-2</v>
      </c>
      <c r="G7" s="4">
        <v>0.10539615087417774</v>
      </c>
      <c r="H7" s="1">
        <v>75.62</v>
      </c>
      <c r="I7" s="1">
        <v>61.75468706467661</v>
      </c>
    </row>
    <row r="8" spans="1:9" x14ac:dyDescent="0.45">
      <c r="A8" s="5" t="str">
        <v>TUR</v>
      </c>
      <c r="B8" s="4" t="str">
        <v>Turkey</v>
      </c>
      <c r="C8" s="4" t="str">
        <v>EMERGING</v>
      </c>
      <c r="D8" s="4">
        <v>0.20836973</v>
      </c>
      <c r="E8" s="4">
        <v>1.3413797170655734E-2</v>
      </c>
      <c r="F8" s="4">
        <v>7.1531977115568635E-2</v>
      </c>
      <c r="G8" s="4">
        <v>0.14306395423113727</v>
      </c>
      <c r="H8" s="1">
        <v>41.58</v>
      </c>
      <c r="I8" s="1">
        <v>33.61375522388056</v>
      </c>
    </row>
    <row r="9" spans="1:9" x14ac:dyDescent="0.45">
      <c r="A9" s="5" t="str">
        <v>KSA</v>
      </c>
      <c r="B9" s="4" t="str">
        <v>Saudi Arabia</v>
      </c>
      <c r="C9" s="4" t="str">
        <v>EMERGING</v>
      </c>
      <c r="D9" s="4">
        <v>9.5630649999999998E-2</v>
      </c>
      <c r="E9" s="4">
        <v>7.2413477065573738E-3</v>
      </c>
      <c r="F9" s="4">
        <v>4.1645208660820013E-2</v>
      </c>
      <c r="G9" s="4">
        <v>8.3290417321640026E-2</v>
      </c>
      <c r="H9" s="1">
        <v>39.869999999999997</v>
      </c>
      <c r="I9" s="1">
        <v>38.543134328358221</v>
      </c>
    </row>
    <row r="10" spans="1:9" x14ac:dyDescent="0.45">
      <c r="A10" s="5" t="str">
        <v>EWN</v>
      </c>
      <c r="B10" s="4" t="str">
        <v>Netherlands</v>
      </c>
      <c r="C10" s="4" t="str">
        <v>DEVELOPED</v>
      </c>
      <c r="D10" s="4">
        <v>0.11368418</v>
      </c>
      <c r="E10" s="4">
        <v>1.0704261460655735E-2</v>
      </c>
      <c r="F10" s="4">
        <v>4.3671998324538532E-2</v>
      </c>
      <c r="G10" s="4">
        <v>8.7343996649077063E-2</v>
      </c>
      <c r="H10" s="1">
        <v>63.48</v>
      </c>
      <c r="I10" s="1">
        <v>55.26174676616921</v>
      </c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44225</v>
      </c>
      <c r="B2" s="3" cm="1">
        <f t="array" ref="B2:B62">_xll.FDS(B1,"FG_TOTAL_RETURNC(-5AY,0,AM)")/100</f>
        <v>7.0094585000000001E-2</v>
      </c>
      <c r="C2" s="3" cm="1">
        <f t="array" ref="C2:C62">_xll.FDS(C1,"FG_TOTAL_RETURNC(-5AY,0,AM)")/100</f>
        <v>-2.6657579999999998E-3</v>
      </c>
      <c r="D2" s="3" cm="1">
        <f t="array" ref="D2:D62">_xll.FDS(D1,"FG_TOTAL_RETURNC(-5AY,0,AM)")/100</f>
        <v>-4.7518014999999997E-2</v>
      </c>
      <c r="E2" s="3" cm="1">
        <f t="array" ref="E2:E62">_xll.FDS(E1,"FG_TOTAL_RETURNC(-5AY,0,AM)")/100</f>
        <v>-8.3282290000000009E-2</v>
      </c>
      <c r="F2" s="3" cm="1">
        <f t="array" ref="F2:F62">_xll.FDS(F1,"FG_TOTAL_RETURNC(-5AY,0,AM)")/100</f>
        <v>-4.2835292999999997E-2</v>
      </c>
      <c r="G2" s="3" cm="1">
        <f t="array" ref="G2:G62">_xll.FDS(G1,"FG_TOTAL_RETURNC(-5AY,0,AM)")/100</f>
        <v>-7.8779460000000003E-3</v>
      </c>
      <c r="H2" s="3" cm="1">
        <f t="array" ref="H2:H62">_xll.FDS(H1,"FG_TOTAL_RETURNC(-5AY,0,AM)")/100</f>
        <v>-6.5953016000000003E-2</v>
      </c>
      <c r="I2" s="3" cm="1">
        <f t="array" ref="I2:I62">_xll.FDS(I1,"FG_TOTAL_RETURNC(-5AY,0,AM)")/100</f>
        <v>5.329275E-2</v>
      </c>
      <c r="J2" s="3" cm="1">
        <f t="array" ref="J2:J62">_xll.FDS(J1,"FG_TOTAL_RETURNC(-5AY,0,AM)")/100</f>
        <v>-7.4953794000000004E-2</v>
      </c>
      <c r="K2" s="3" cm="1">
        <f t="array" ref="K2:K62">_xll.FDS(K1,"FG_TOTAL_RETURNC(-5AY,0,AM)")/100</f>
        <v>4.18638E-2</v>
      </c>
      <c r="L2" s="3" cm="1">
        <f t="array" ref="L2:L62">_xll.FDS(L1,"FG_TOTAL_RETURNC(-5AY,0,AM)")/100</f>
        <v>-8.1654610000000002E-2</v>
      </c>
      <c r="M2" s="3" cm="1">
        <f t="array" ref="M2:M62">_xll.FDS(M1,"FG_TOTAL_RETURNC(-5AY,0,AM)")/100</f>
        <v>-2.0444988999999999E-3</v>
      </c>
      <c r="N2" s="3" cm="1">
        <f t="array" ref="N2:N62">_xll.FDS(N1,"FG_TOTAL_RETURNC(-5AY,0,AM)")/100</f>
        <v>-9.8543280000000011E-2</v>
      </c>
      <c r="O2" s="3" cm="1">
        <f t="array" ref="O2:O62">_xll.FDS(O1,"FG_TOTAL_RETURNC(-5AY,0,AM)")/100</f>
        <v>-1.8309473999999999E-2</v>
      </c>
      <c r="P2" s="3" cm="1">
        <f t="array" ref="P2:P62">_xll.FDS(P1,"FG_TOTAL_RETURNC(-5AY,0,AM)")/100</f>
        <v>0.10560883</v>
      </c>
      <c r="Q2" s="3" cm="1">
        <f t="array" ref="Q2:Q62">_xll.FDS(Q1,"FG_TOTAL_RETURNC(-5AY,0,AM)")/100</f>
        <v>9.029746E-3</v>
      </c>
      <c r="R2" s="3" cm="1">
        <f t="array" ref="R2:R62">_xll.FDS(R1,"FG_TOTAL_RETURNC(-5AY,0,AM)")/100</f>
        <v>3.4406185000000001E-3</v>
      </c>
      <c r="S2" s="3" cm="1">
        <f t="array" ref="S2:S62">_xll.FDS(S1,"FG_TOTAL_RETURNC(-5AY,0,AM)")/100</f>
        <v>3.7527084000000004E-4</v>
      </c>
      <c r="T2" s="3" cm="1">
        <f t="array" ref="T2:T62">_xll.FDS(T1,"FG_TOTAL_RETURNC(-5AY,0,AM)")/100</f>
        <v>0.10332203</v>
      </c>
      <c r="U2" s="3" cm="1">
        <f t="array" ref="U2:U62">_xll.FDS(U1,"FG_TOTAL_RETURNC(-5AY,0,AM)")/100</f>
        <v>-3.2590031999999998E-2</v>
      </c>
      <c r="V2" s="3" cm="1">
        <f t="array" ref="V2:V62">_xll.FDS(V1,"FG_TOTAL_RETURNC(-5AY,0,AM)")/100</f>
        <v>-1.1111139999999999E-2</v>
      </c>
      <c r="W2" s="3" cm="1">
        <f t="array" ref="W2:W62">_xll.FDS(W1,"FG_TOTAL_RETURNC(-5AY,0,AM)")/100</f>
        <v>-1.7844260000000001E-2</v>
      </c>
      <c r="X2" s="3" cm="1">
        <f t="array" ref="X2:X62">_xll.FDS(X1,"FG_TOTAL_RETURNC(-5AY,0,AM)")/100</f>
        <v>-8.7645650000000002E-3</v>
      </c>
      <c r="Y2" s="3" cm="1">
        <f t="array" ref="Y2:Y62">_xll.FDS(Y1,"FG_TOTAL_RETURNC(-5AY,0,AM)")/100</f>
        <v>-1.0669231E-2</v>
      </c>
      <c r="Z2" s="3" cm="1">
        <f t="array" ref="Z2:Z62">_xll.FDS(Z1,"FG_TOTAL_RETURNC(-5AY,0,AM)")/100</f>
        <v>-2.2677838999999998E-2</v>
      </c>
      <c r="AA2" s="3" cm="1">
        <f t="array" ref="AA2:AA62">_xll.FDS(AA1,"FG_TOTAL_RETURNC(-5AY,0,AM)")/100</f>
        <v>-4.9020052000000001E-3</v>
      </c>
      <c r="AB2" s="3" cm="1">
        <f t="array" ref="AB2:AB62">_xll.FDS(AB1,"FG_TOTAL_RETURNC(-5AY,0,AM)")/100</f>
        <v>-1.9376457E-2</v>
      </c>
      <c r="AC2" s="3" cm="1">
        <f t="array" ref="AC2:AC62">_xll.FDS(AC1,"FG_TOTAL_RETURNC(-5AY,0,AM)")/100</f>
        <v>-1.5498698E-2</v>
      </c>
      <c r="AD2" s="3" cm="1">
        <f t="array" ref="AD2:AD62">_xll.FDS(AD1,"FG_TOTAL_RETURNC(-5AY,0,AM)")/100</f>
        <v>5.1125290000000002E-3</v>
      </c>
      <c r="AE2" s="3" cm="1">
        <f t="array" ref="AE2:AE62">_xll.FDS(AE1,"FG_TOTAL_RETURNC(-5AY,0,AM)")/100</f>
        <v>-3.7419200000000001E-3</v>
      </c>
      <c r="AF2" s="3" cm="1">
        <f t="array" ref="AF2:AF62">_xll.FDS(AF1,"FG_TOTAL_RETURNC(-5AY,0,AM)")/100</f>
        <v>-3.8872419999999998E-2</v>
      </c>
      <c r="AG2" s="3" cm="1">
        <f t="array" ref="AG2:AG62">_xll.FDS(AG1,"FG_TOTAL_RETURNC(-5AY,0,AM)")/100</f>
        <v>1.6330480000000001E-2</v>
      </c>
      <c r="AH2" s="3" cm="1">
        <f t="array" ref="AH2:AH62">_xll.FDS(AH1,"FG_TOTAL_RETURNC(-5AY,0,AM)")/100</f>
        <v>4.9394369999999996E-3</v>
      </c>
      <c r="AI2" s="3" cm="1">
        <f t="array" ref="AI2:AI62">_xll.FDS(AI1,"FG_TOTAL_RETURNC(-5AY,0,AM)")/100</f>
        <v>-4.5133057000000004E-2</v>
      </c>
      <c r="AJ2" s="3"/>
      <c r="AK2" s="3"/>
      <c r="AL2" s="3"/>
    </row>
    <row r="3" spans="1:38" x14ac:dyDescent="0.45">
      <c r="A3" s="2">
        <v>44253</v>
      </c>
      <c r="B3" s="3">
        <v>-9.5194579999999997E-3</v>
      </c>
      <c r="C3" s="3">
        <v>4.9448730000000003E-2</v>
      </c>
      <c r="D3" s="3">
        <v>1.7817377999999998E-2</v>
      </c>
      <c r="E3" s="3">
        <v>8.3500147E-3</v>
      </c>
      <c r="F3" s="3">
        <v>-5.3276420000000005E-3</v>
      </c>
      <c r="G3" s="3">
        <v>8.020687E-2</v>
      </c>
      <c r="H3" s="3">
        <v>5.5453780000000001E-3</v>
      </c>
      <c r="I3" s="3">
        <v>5.6197999999999998E-2</v>
      </c>
      <c r="J3" s="3">
        <v>1.1694431E-2</v>
      </c>
      <c r="K3" s="3">
        <v>-1.4755725999999999E-3</v>
      </c>
      <c r="L3" s="3">
        <v>-6.6978635999999994E-2</v>
      </c>
      <c r="M3" s="3">
        <v>5.2811265000000003E-2</v>
      </c>
      <c r="N3" s="3">
        <v>7.198273999999999E-2</v>
      </c>
      <c r="O3" s="3">
        <v>4.8288225999999997E-2</v>
      </c>
      <c r="P3" s="3">
        <v>-4.6846270000000002E-3</v>
      </c>
      <c r="Q3" s="3">
        <v>-3.5924911000000004E-2</v>
      </c>
      <c r="R3" s="3">
        <v>2.031386E-2</v>
      </c>
      <c r="S3" s="3">
        <v>2.2505521999999999E-3</v>
      </c>
      <c r="T3" s="3">
        <v>-1.3560653000000001E-2</v>
      </c>
      <c r="U3" s="3">
        <v>4.0189147000000001E-2</v>
      </c>
      <c r="V3" s="3">
        <v>3.1781673000000003E-2</v>
      </c>
      <c r="W3" s="3">
        <v>-7.6366304999999995E-2</v>
      </c>
      <c r="X3" s="3">
        <v>3.2000065000000001E-2</v>
      </c>
      <c r="Y3" s="3">
        <v>5.1307080000000005E-2</v>
      </c>
      <c r="Z3" s="3">
        <v>1.7482519000000002E-2</v>
      </c>
      <c r="AA3" s="3">
        <v>1.8360972E-2</v>
      </c>
      <c r="AB3" s="3">
        <v>-1.8169403000000001E-2</v>
      </c>
      <c r="AC3" s="3">
        <v>3.9356708999999997E-2</v>
      </c>
      <c r="AD3" s="3">
        <v>-1.3351440000000001E-3</v>
      </c>
      <c r="AE3" s="3">
        <v>2.7805448E-2</v>
      </c>
      <c r="AF3" s="3">
        <v>4.5693159999999997E-2</v>
      </c>
      <c r="AG3" s="3">
        <v>4.0170193E-2</v>
      </c>
      <c r="AH3" s="3">
        <v>3.2686234000000002E-2</v>
      </c>
      <c r="AI3" s="3">
        <v>5.5379150000000002E-2</v>
      </c>
      <c r="AJ3" s="3"/>
      <c r="AK3" s="3"/>
      <c r="AL3" s="3"/>
    </row>
    <row r="4" spans="1:38" x14ac:dyDescent="0.45">
      <c r="A4" s="2">
        <v>44284</v>
      </c>
      <c r="B4" s="3">
        <v>-6.6590365999999998E-2</v>
      </c>
      <c r="C4" s="3">
        <v>6.9723010000000002E-2</v>
      </c>
      <c r="D4" s="3">
        <v>-8.7527630000000002E-3</v>
      </c>
      <c r="E4" s="3">
        <v>-1.0930777000000001E-2</v>
      </c>
      <c r="F4" s="3">
        <v>-2.8387845000000002E-2</v>
      </c>
      <c r="G4" s="3">
        <v>-8.7941699999999998E-2</v>
      </c>
      <c r="H4" s="3">
        <v>1.3602853E-2</v>
      </c>
      <c r="I4" s="3">
        <v>1.8135070999999999E-2</v>
      </c>
      <c r="J4" s="3">
        <v>8.6817499999999992E-2</v>
      </c>
      <c r="K4" s="3">
        <v>2.8418303000000002E-3</v>
      </c>
      <c r="L4" s="3">
        <v>1.4733553E-2</v>
      </c>
      <c r="M4" s="3">
        <v>6.4216255999999999E-2</v>
      </c>
      <c r="N4" s="3">
        <v>7.5995207000000009E-2</v>
      </c>
      <c r="O4" s="3">
        <v>2.4859905000000002E-2</v>
      </c>
      <c r="P4" s="3">
        <v>-7.2781562999999994E-2</v>
      </c>
      <c r="Q4" s="3">
        <v>3.7819862000000003E-2</v>
      </c>
      <c r="R4" s="3">
        <v>5.8198214000000005E-2</v>
      </c>
      <c r="S4" s="3">
        <v>-0.14595806</v>
      </c>
      <c r="T4" s="3">
        <v>4.0593266000000003E-2</v>
      </c>
      <c r="U4" s="3">
        <v>1.6477227000000001E-2</v>
      </c>
      <c r="V4" s="3">
        <v>7.9340339999999995E-2</v>
      </c>
      <c r="W4" s="3">
        <v>-5.5972933999999998E-3</v>
      </c>
      <c r="X4" s="3">
        <v>1.7543911999999998E-2</v>
      </c>
      <c r="Y4" s="3">
        <v>5.8750509999999999E-2</v>
      </c>
      <c r="Z4" s="3">
        <v>3.7488341000000001E-2</v>
      </c>
      <c r="AA4" s="3">
        <v>2.1547914000000001E-2</v>
      </c>
      <c r="AB4" s="3">
        <v>3.3078910000000003E-2</v>
      </c>
      <c r="AC4" s="3">
        <v>3.6878466999999998E-2</v>
      </c>
      <c r="AD4" s="3">
        <v>6.8800450000000004E-3</v>
      </c>
      <c r="AE4" s="3">
        <v>4.3954371999999998E-2</v>
      </c>
      <c r="AF4" s="3">
        <v>2.7753234000000002E-2</v>
      </c>
      <c r="AG4" s="3">
        <v>4.4752359999999998E-2</v>
      </c>
      <c r="AH4" s="3">
        <v>5.7829620000000005E-2</v>
      </c>
      <c r="AI4" s="3">
        <v>5.1136373999999998E-2</v>
      </c>
      <c r="AJ4" s="3"/>
      <c r="AK4" s="3"/>
      <c r="AL4" s="3"/>
    </row>
    <row r="5" spans="1:38" x14ac:dyDescent="0.45">
      <c r="A5" s="2">
        <v>44315</v>
      </c>
      <c r="B5" s="3">
        <v>4.8624634999999999E-2</v>
      </c>
      <c r="C5" s="3">
        <v>-4.2857113000000002E-2</v>
      </c>
      <c r="D5" s="3">
        <v>-3.4437059999999999E-2</v>
      </c>
      <c r="E5" s="3">
        <v>-1.7079711000000001E-2</v>
      </c>
      <c r="F5" s="3">
        <v>0.12072765000000001</v>
      </c>
      <c r="G5" s="3">
        <v>-5.5013300000000001E-2</v>
      </c>
      <c r="H5" s="3">
        <v>1.2694955000000001E-2</v>
      </c>
      <c r="I5" s="3">
        <v>9.7966669999999992E-2</v>
      </c>
      <c r="J5" s="3">
        <v>5.6573869999999998E-2</v>
      </c>
      <c r="K5" s="3">
        <v>5.0782084000000005E-2</v>
      </c>
      <c r="L5" s="3">
        <v>0.12882304</v>
      </c>
      <c r="M5" s="3">
        <v>3.7992716000000003E-2</v>
      </c>
      <c r="N5" s="3">
        <v>7.4364659999999999E-2</v>
      </c>
      <c r="O5" s="3">
        <v>-8.5612534999999993E-3</v>
      </c>
      <c r="P5" s="3">
        <v>3.1323552000000005E-2</v>
      </c>
      <c r="Q5" s="3">
        <v>5.2518725000000002E-2</v>
      </c>
      <c r="R5" s="3">
        <v>4.1480064000000002E-3</v>
      </c>
      <c r="S5" s="3">
        <v>2.8921961999999999E-2</v>
      </c>
      <c r="T5" s="3">
        <v>2.1755456999999999E-2</v>
      </c>
      <c r="U5" s="3">
        <v>6.7635655000000003E-2</v>
      </c>
      <c r="V5" s="3">
        <v>9.8587510000000003E-2</v>
      </c>
      <c r="W5" s="3">
        <v>5.0976157000000001E-2</v>
      </c>
      <c r="X5" s="3">
        <v>5.5733680000000001E-2</v>
      </c>
      <c r="Y5" s="3">
        <v>5.695832E-2</v>
      </c>
      <c r="Z5" s="3">
        <v>5.6007266E-2</v>
      </c>
      <c r="AA5" s="3">
        <v>-2.3676276E-2</v>
      </c>
      <c r="AB5" s="3">
        <v>4.81416E-2</v>
      </c>
      <c r="AC5" s="3">
        <v>4.3505906999999996E-2</v>
      </c>
      <c r="AD5" s="3">
        <v>7.6952340000000008E-2</v>
      </c>
      <c r="AE5" s="3">
        <v>6.1347246000000001E-2</v>
      </c>
      <c r="AF5" s="3">
        <v>8.0723879999999998E-2</v>
      </c>
      <c r="AG5" s="3">
        <v>6.4796686000000006E-2</v>
      </c>
      <c r="AH5" s="3">
        <v>6.9291233999999993E-2</v>
      </c>
      <c r="AI5" s="3">
        <v>2.1939516000000003E-2</v>
      </c>
      <c r="AJ5" s="3"/>
      <c r="AK5" s="3"/>
      <c r="AL5" s="3"/>
    </row>
    <row r="6" spans="1:38" x14ac:dyDescent="0.45">
      <c r="A6" s="2">
        <v>44344</v>
      </c>
      <c r="B6" s="3">
        <v>5.8601856000000001E-2</v>
      </c>
      <c r="C6" s="3">
        <v>-8.5509959999999996E-2</v>
      </c>
      <c r="D6" s="3">
        <v>-2.3319602000000002E-2</v>
      </c>
      <c r="E6" s="3">
        <v>4.9063087000000005E-2</v>
      </c>
      <c r="F6" s="3">
        <v>0.10870635999999999</v>
      </c>
      <c r="G6" s="3">
        <v>3.0046940000000001E-2</v>
      </c>
      <c r="H6" s="3">
        <v>-1.8624663E-2</v>
      </c>
      <c r="I6" s="3">
        <v>-4.5607509999999997E-2</v>
      </c>
      <c r="J6" s="3">
        <v>3.0413389999999998E-2</v>
      </c>
      <c r="K6" s="3">
        <v>-7.2275995999999997E-3</v>
      </c>
      <c r="L6" s="3">
        <v>6.4860344E-2</v>
      </c>
      <c r="M6" s="3">
        <v>3.9146661999999999E-2</v>
      </c>
      <c r="N6" s="3">
        <v>-1.5652180000000002E-2</v>
      </c>
      <c r="O6" s="3">
        <v>6.2125206000000002E-2</v>
      </c>
      <c r="P6" s="3">
        <v>-1.7527102999999999E-2</v>
      </c>
      <c r="Q6" s="3">
        <v>-1.4541686E-2</v>
      </c>
      <c r="R6" s="3">
        <v>-5.3317547E-3</v>
      </c>
      <c r="S6" s="3">
        <v>-2.3424149000000002E-2</v>
      </c>
      <c r="T6" s="3">
        <v>9.1042520000000002E-2</v>
      </c>
      <c r="U6" s="3">
        <v>3.0366540000000001E-2</v>
      </c>
      <c r="V6" s="3">
        <v>1.1283159000000001E-2</v>
      </c>
      <c r="W6" s="3">
        <v>-5.6996465000000003E-2</v>
      </c>
      <c r="X6" s="3">
        <v>1.5571593999999999E-2</v>
      </c>
      <c r="Y6" s="3">
        <v>5.1944375000000001E-2</v>
      </c>
      <c r="Z6" s="3">
        <v>2.0245194000000001E-2</v>
      </c>
      <c r="AA6" s="3">
        <v>7.9364776999999997E-3</v>
      </c>
      <c r="AB6" s="3">
        <v>4.1016817000000004E-2</v>
      </c>
      <c r="AC6" s="3">
        <v>2.8301954000000001E-2</v>
      </c>
      <c r="AD6" s="3">
        <v>-1.8488049999999999E-2</v>
      </c>
      <c r="AE6" s="3">
        <v>-4.7564507000000001E-5</v>
      </c>
      <c r="AF6" s="3">
        <v>3.6151051999999996E-2</v>
      </c>
      <c r="AG6" s="3">
        <v>1.0822891999999999E-2</v>
      </c>
      <c r="AH6" s="3">
        <v>1.9777059999999999E-2</v>
      </c>
      <c r="AI6" s="3">
        <v>4.2626022999999999E-2</v>
      </c>
      <c r="AJ6" s="3"/>
      <c r="AK6" s="3"/>
      <c r="AL6" s="3"/>
    </row>
    <row r="7" spans="1:38" x14ac:dyDescent="0.45">
      <c r="A7" s="2">
        <v>44376</v>
      </c>
      <c r="B7" s="3">
        <v>-2.4908720999999998E-2</v>
      </c>
      <c r="C7" s="3">
        <v>-2.3707747000000002E-3</v>
      </c>
      <c r="D7" s="3">
        <v>-4.7361373999999998E-2</v>
      </c>
      <c r="E7" s="3">
        <v>2.6419399999999999E-2</v>
      </c>
      <c r="F7" s="3">
        <v>-1.864934E-2</v>
      </c>
      <c r="G7" s="3">
        <v>-0.11198430999999999</v>
      </c>
      <c r="H7" s="3">
        <v>-2.5347710000000002E-2</v>
      </c>
      <c r="I7" s="3">
        <v>2.3412466E-2</v>
      </c>
      <c r="J7" s="3">
        <v>1.1396885000000001E-2</v>
      </c>
      <c r="K7" s="3">
        <v>1.1518002000000001E-2</v>
      </c>
      <c r="L7" s="3">
        <v>6.9847107000000005E-2</v>
      </c>
      <c r="M7" s="3">
        <v>-6.5309580000000006E-2</v>
      </c>
      <c r="N7" s="3">
        <v>-4.2402743999999997E-3</v>
      </c>
      <c r="O7" s="3">
        <v>4.9917698000000003E-3</v>
      </c>
      <c r="P7" s="3">
        <v>2.0293116999999999E-2</v>
      </c>
      <c r="Q7" s="3">
        <v>6.2030554000000009E-3</v>
      </c>
      <c r="R7" s="3">
        <v>5.9735775000000005E-3</v>
      </c>
      <c r="S7" s="3">
        <v>-5.0195400000000001E-2</v>
      </c>
      <c r="T7" s="3">
        <v>-1.2958765000000001E-2</v>
      </c>
      <c r="U7" s="3">
        <v>4.8272250000000003E-2</v>
      </c>
      <c r="V7" s="3">
        <v>4.4001936999999998E-2</v>
      </c>
      <c r="W7" s="3">
        <v>2.0911694000000001E-3</v>
      </c>
      <c r="X7" s="3">
        <v>-6.9171190000000002E-3</v>
      </c>
      <c r="Y7" s="3">
        <v>-8.4574819999999988E-3</v>
      </c>
      <c r="Z7" s="3">
        <v>-5.1791069999999996E-3</v>
      </c>
      <c r="AA7" s="3">
        <v>1.6115904000000001E-3</v>
      </c>
      <c r="AB7" s="3">
        <v>2.7640699999999997E-2</v>
      </c>
      <c r="AC7" s="3">
        <v>-1.2896894999999998E-2</v>
      </c>
      <c r="AD7" s="3">
        <v>6.4291953999999998E-2</v>
      </c>
      <c r="AE7" s="3">
        <v>2.1612763E-2</v>
      </c>
      <c r="AF7" s="3">
        <v>-9.8417399999999999E-3</v>
      </c>
      <c r="AG7" s="3">
        <v>-6.3924192999999995E-3</v>
      </c>
      <c r="AH7" s="3">
        <v>-1.3869703000000001E-2</v>
      </c>
      <c r="AI7" s="3">
        <v>-1.2575924E-2</v>
      </c>
      <c r="AJ7" s="3"/>
      <c r="AK7" s="3"/>
      <c r="AL7" s="3"/>
    </row>
    <row r="8" spans="1:38" x14ac:dyDescent="0.45">
      <c r="A8" s="2">
        <v>44406</v>
      </c>
      <c r="B8" s="3">
        <v>-4.9228725000000001E-2</v>
      </c>
      <c r="C8" s="3">
        <v>-4.4714093000000003E-2</v>
      </c>
      <c r="D8" s="3">
        <v>-1.4836192000000001E-3</v>
      </c>
      <c r="E8" s="3">
        <v>-9.1748949999999996E-2</v>
      </c>
      <c r="F8" s="3">
        <v>-8.1595779999999989E-3</v>
      </c>
      <c r="G8" s="3">
        <v>3.4511090000000002E-4</v>
      </c>
      <c r="H8" s="3">
        <v>-3.8624942000000002E-2</v>
      </c>
      <c r="I8" s="3">
        <v>3.7605761999999999E-3</v>
      </c>
      <c r="J8" s="3">
        <v>3.0240296999999999E-2</v>
      </c>
      <c r="K8" s="3">
        <v>-2.6640832E-2</v>
      </c>
      <c r="L8" s="3">
        <v>-3.2926798E-2</v>
      </c>
      <c r="M8" s="3">
        <v>-1.1185646E-2</v>
      </c>
      <c r="N8" s="3">
        <v>-2.3420869999999996E-2</v>
      </c>
      <c r="O8" s="3">
        <v>3.8237571999999997E-3</v>
      </c>
      <c r="P8" s="3">
        <v>-0.13922226000000001</v>
      </c>
      <c r="Q8" s="3">
        <v>-1.3385773E-2</v>
      </c>
      <c r="R8" s="3">
        <v>-3.3711850000000002E-2</v>
      </c>
      <c r="S8" s="3">
        <v>3.9716363000000005E-2</v>
      </c>
      <c r="T8" s="3">
        <v>-5.6457520000000004E-3</v>
      </c>
      <c r="U8" s="3">
        <v>-6.1318455000000001E-2</v>
      </c>
      <c r="V8" s="3">
        <v>-6.5228940000000004E-3</v>
      </c>
      <c r="W8" s="3">
        <v>4.4118166E-3</v>
      </c>
      <c r="X8" s="3">
        <v>-6.4910053999999995E-3</v>
      </c>
      <c r="Y8" s="3">
        <v>3.2154322000000003E-3</v>
      </c>
      <c r="Z8" s="3">
        <v>-5.4285525999999999E-3</v>
      </c>
      <c r="AA8" s="3">
        <v>-4.9861072999999997E-3</v>
      </c>
      <c r="AB8" s="3">
        <v>1.7490387E-2</v>
      </c>
      <c r="AC8" s="3">
        <v>8.231759E-3</v>
      </c>
      <c r="AD8" s="3">
        <v>3.2367110000000004E-2</v>
      </c>
      <c r="AE8" s="3">
        <v>3.0278206000000002E-2</v>
      </c>
      <c r="AF8" s="3">
        <v>6.8117380000000003E-3</v>
      </c>
      <c r="AG8" s="3">
        <v>2.7629971999999999E-2</v>
      </c>
      <c r="AH8" s="3">
        <v>4.5814633E-2</v>
      </c>
      <c r="AI8" s="3">
        <v>3.0601024999999998E-4</v>
      </c>
      <c r="AJ8" s="3"/>
      <c r="AK8" s="3"/>
      <c r="AL8" s="3"/>
    </row>
    <row r="9" spans="1:38" x14ac:dyDescent="0.45">
      <c r="A9" s="2">
        <v>44435</v>
      </c>
      <c r="B9" s="3">
        <v>1.07373E-2</v>
      </c>
      <c r="C9" s="3">
        <v>1.669085E-2</v>
      </c>
      <c r="D9" s="3">
        <v>3.4670591000000001E-2</v>
      </c>
      <c r="E9" s="3">
        <v>6.1732769999999999E-2</v>
      </c>
      <c r="F9" s="3">
        <v>2.1480918000000002E-2</v>
      </c>
      <c r="G9" s="3">
        <v>-8.4166950000000004E-2</v>
      </c>
      <c r="H9" s="3">
        <v>6.0265183E-2</v>
      </c>
      <c r="I9" s="3">
        <v>-1.8732547999999998E-3</v>
      </c>
      <c r="J9" s="3">
        <v>4.6240090000000001E-3</v>
      </c>
      <c r="K9" s="3">
        <v>-5.4188309999999996E-2</v>
      </c>
      <c r="L9" s="3">
        <v>-6.7339239999999995E-2</v>
      </c>
      <c r="M9" s="3">
        <v>-6.9929960000000005E-3</v>
      </c>
      <c r="N9" s="3">
        <v>4.3241262000000003E-2</v>
      </c>
      <c r="O9" s="3">
        <v>6.5874933999999996E-2</v>
      </c>
      <c r="P9" s="3">
        <v>-3.8204074000000005E-2</v>
      </c>
      <c r="Q9" s="3">
        <v>5.0279259999999999E-2</v>
      </c>
      <c r="R9" s="3">
        <v>4.7744154999999996E-2</v>
      </c>
      <c r="S9" s="3">
        <v>8.0036400000000008E-2</v>
      </c>
      <c r="T9" s="3">
        <v>4.8616050000000001E-2</v>
      </c>
      <c r="U9" s="3">
        <v>2.0397663E-2</v>
      </c>
      <c r="V9" s="3">
        <v>3.2323241000000003E-2</v>
      </c>
      <c r="W9" s="3">
        <v>2.2287249999999998E-2</v>
      </c>
      <c r="X9" s="3">
        <v>-3.8433074999999999E-4</v>
      </c>
      <c r="Y9" s="3">
        <v>3.2051802000000002E-3</v>
      </c>
      <c r="Z9" s="3">
        <v>6.0327052999999999E-3</v>
      </c>
      <c r="AA9" s="3">
        <v>4.1267871999999999E-3</v>
      </c>
      <c r="AB9" s="3">
        <v>2.2586464999999997E-2</v>
      </c>
      <c r="AC9" s="3">
        <v>3.9310454999999999E-3</v>
      </c>
      <c r="AD9" s="3">
        <v>2.6085972999999998E-2</v>
      </c>
      <c r="AE9" s="3">
        <v>2.1785974999999999E-2</v>
      </c>
      <c r="AF9" s="3">
        <v>2.3418664999999999E-3</v>
      </c>
      <c r="AG9" s="3">
        <v>4.6405076999999996E-2</v>
      </c>
      <c r="AH9" s="3">
        <v>-1.3510764E-2</v>
      </c>
      <c r="AI9" s="3">
        <v>7.3393582999999995E-3</v>
      </c>
      <c r="AJ9" s="3"/>
      <c r="AK9" s="3"/>
      <c r="AL9" s="3"/>
    </row>
    <row r="10" spans="1:38" x14ac:dyDescent="0.45">
      <c r="A10" s="2">
        <v>44468</v>
      </c>
      <c r="B10" s="3">
        <v>-1.4164388000000002E-2</v>
      </c>
      <c r="C10" s="3">
        <v>-7.0306960000000002E-2</v>
      </c>
      <c r="D10" s="3">
        <v>1.3403534999999999E-2</v>
      </c>
      <c r="E10" s="3">
        <v>-2.6759206999999997E-2</v>
      </c>
      <c r="F10" s="3">
        <v>-3.6241590000000004E-2</v>
      </c>
      <c r="G10" s="3">
        <v>-1.8832088E-3</v>
      </c>
      <c r="H10" s="3">
        <v>-3.3724843999999997E-2</v>
      </c>
      <c r="I10" s="3">
        <v>-3.2843292000000003E-2</v>
      </c>
      <c r="J10" s="3">
        <v>-3.6021649999999995E-2</v>
      </c>
      <c r="K10" s="3">
        <v>-6.5810975999999993E-2</v>
      </c>
      <c r="L10" s="3">
        <v>-0.12574357</v>
      </c>
      <c r="M10" s="3">
        <v>-4.0389356999999994E-2</v>
      </c>
      <c r="N10" s="3">
        <v>-5.5729685000000001E-2</v>
      </c>
      <c r="O10" s="3">
        <v>2.9430390000000001E-2</v>
      </c>
      <c r="P10" s="3">
        <v>-3.4357845999999997E-2</v>
      </c>
      <c r="Q10" s="3">
        <v>2.1783233000000003E-2</v>
      </c>
      <c r="R10" s="3">
        <v>3.5873652E-3</v>
      </c>
      <c r="S10" s="3">
        <v>-0.11621052000000001</v>
      </c>
      <c r="T10" s="3">
        <v>3.045678E-3</v>
      </c>
      <c r="U10" s="3">
        <v>-3.4919082999999997E-2</v>
      </c>
      <c r="V10" s="3">
        <v>1.1497021000000001E-2</v>
      </c>
      <c r="W10" s="3">
        <v>-2.2915304000000001E-2</v>
      </c>
      <c r="X10" s="3">
        <v>-5.1903129999999999E-2</v>
      </c>
      <c r="Y10" s="3">
        <v>-3.3280074999999999E-2</v>
      </c>
      <c r="Z10" s="3">
        <v>-5.3398013000000001E-2</v>
      </c>
      <c r="AA10" s="3">
        <v>4.1978600000000005E-2</v>
      </c>
      <c r="AB10" s="3">
        <v>-8.5613784999999998E-2</v>
      </c>
      <c r="AC10" s="3">
        <v>-3.0120491999999999E-2</v>
      </c>
      <c r="AD10" s="3">
        <v>-4.3488382999999999E-2</v>
      </c>
      <c r="AE10" s="3">
        <v>-3.1969726000000004E-2</v>
      </c>
      <c r="AF10" s="3">
        <v>-2.4922072999999999E-2</v>
      </c>
      <c r="AG10" s="3">
        <v>-5.3673387000000003E-2</v>
      </c>
      <c r="AH10" s="3">
        <v>-7.3459150000000001E-2</v>
      </c>
      <c r="AI10" s="3">
        <v>-3.3697604999999999E-2</v>
      </c>
      <c r="AJ10" s="3"/>
      <c r="AK10" s="3"/>
      <c r="AL10" s="3"/>
    </row>
    <row r="11" spans="1:38" x14ac:dyDescent="0.45">
      <c r="A11" s="2">
        <v>44498</v>
      </c>
      <c r="B11" s="3">
        <v>3.5201191999999999E-2</v>
      </c>
      <c r="C11" s="3">
        <v>-5.8349249999999998E-2</v>
      </c>
      <c r="D11" s="3">
        <v>0.13037324</v>
      </c>
      <c r="E11" s="3">
        <v>7.5016975E-2</v>
      </c>
      <c r="F11" s="3">
        <v>7.9851390000000008E-2</v>
      </c>
      <c r="G11" s="3">
        <v>0.13283026000000001</v>
      </c>
      <c r="H11" s="3">
        <v>2.9019593999999999E-2</v>
      </c>
      <c r="I11" s="3">
        <v>1.9081473000000002E-2</v>
      </c>
      <c r="J11" s="3">
        <v>3.7367344000000004E-3</v>
      </c>
      <c r="K11" s="3">
        <v>-7.1196556000000001E-3</v>
      </c>
      <c r="L11" s="3">
        <v>-9.3102455000000001E-2</v>
      </c>
      <c r="M11" s="3">
        <v>1.5108943E-2</v>
      </c>
      <c r="N11" s="3">
        <v>3.4304738000000001E-2</v>
      </c>
      <c r="O11" s="3">
        <v>-2.6547313000000001E-3</v>
      </c>
      <c r="P11" s="3">
        <v>3.9483547000000001E-2</v>
      </c>
      <c r="Q11" s="3">
        <v>2.6276708000000003E-2</v>
      </c>
      <c r="R11" s="3">
        <v>3.9889812E-3</v>
      </c>
      <c r="S11" s="3">
        <v>1.4768958E-2</v>
      </c>
      <c r="T11" s="3">
        <v>-1.3562441E-3</v>
      </c>
      <c r="U11" s="3">
        <v>6.4499139999999996E-2</v>
      </c>
      <c r="V11" s="3">
        <v>4.5707464000000003E-2</v>
      </c>
      <c r="W11" s="3">
        <v>3.9739369999999996E-2</v>
      </c>
      <c r="X11" s="3">
        <v>7.2992682000000003E-2</v>
      </c>
      <c r="Y11" s="3">
        <v>7.9041600000000004E-2</v>
      </c>
      <c r="Z11" s="3">
        <v>1.8702864999999999E-2</v>
      </c>
      <c r="AA11" s="3">
        <v>-3.6483942999999998E-2</v>
      </c>
      <c r="AB11" s="3">
        <v>6.5198900000000004E-2</v>
      </c>
      <c r="AC11" s="3">
        <v>4.596269E-2</v>
      </c>
      <c r="AD11" s="3">
        <v>7.4677110000000005E-2</v>
      </c>
      <c r="AE11" s="3">
        <v>5.7083607000000001E-2</v>
      </c>
      <c r="AF11" s="3">
        <v>4.6592115999999996E-2</v>
      </c>
      <c r="AG11" s="3">
        <v>4.7868012999999994E-2</v>
      </c>
      <c r="AH11" s="3">
        <v>7.3012232999999996E-2</v>
      </c>
      <c r="AI11" s="3">
        <v>5.1837920000000003E-2</v>
      </c>
      <c r="AJ11" s="3"/>
      <c r="AK11" s="3"/>
      <c r="AL11" s="3"/>
    </row>
    <row r="12" spans="1:38" x14ac:dyDescent="0.45">
      <c r="A12" s="2">
        <v>44529</v>
      </c>
      <c r="B12" s="3">
        <v>-2.3126601999999999E-4</v>
      </c>
      <c r="C12" s="3">
        <v>5.2181005000000003E-2</v>
      </c>
      <c r="D12" s="3">
        <v>-2.5491059999999999E-2</v>
      </c>
      <c r="E12" s="3">
        <v>2.8418303000000002E-3</v>
      </c>
      <c r="F12" s="3">
        <v>-0.14316421500000001</v>
      </c>
      <c r="G12" s="3">
        <v>-5.6962070000000004E-2</v>
      </c>
      <c r="H12" s="3">
        <v>-5.9070109999999995E-2</v>
      </c>
      <c r="I12" s="3">
        <v>2.7292847999999998E-2</v>
      </c>
      <c r="J12" s="3">
        <v>-7.6111674000000004E-2</v>
      </c>
      <c r="K12" s="3">
        <v>-3.9250134999999998E-2</v>
      </c>
      <c r="L12" s="3">
        <v>6.8211554999999993E-4</v>
      </c>
      <c r="M12" s="3">
        <v>-7.1018515000000004E-2</v>
      </c>
      <c r="N12" s="3">
        <v>-6.8651970000000007E-2</v>
      </c>
      <c r="O12" s="3">
        <v>-2.9893516999999998E-2</v>
      </c>
      <c r="P12" s="3">
        <v>-5.3004026000000003E-2</v>
      </c>
      <c r="Q12" s="3">
        <v>-2.4951696000000002E-2</v>
      </c>
      <c r="R12" s="3">
        <v>-2.0783246000000002E-2</v>
      </c>
      <c r="S12" s="3">
        <v>-0.10093898</v>
      </c>
      <c r="T12" s="3">
        <v>9.7980385000000003E-2</v>
      </c>
      <c r="U12" s="3">
        <v>1.8226624E-2</v>
      </c>
      <c r="V12" s="3">
        <v>-8.5568905000000001E-2</v>
      </c>
      <c r="W12" s="3">
        <v>-8.7719260000000007E-2</v>
      </c>
      <c r="X12" s="3">
        <v>-6.4625796999999999E-2</v>
      </c>
      <c r="Y12" s="3">
        <v>-2.3226141999999998E-2</v>
      </c>
      <c r="Z12" s="3">
        <v>-5.1525059999999998E-2</v>
      </c>
      <c r="AA12" s="3">
        <v>-1.8274843999999998E-2</v>
      </c>
      <c r="AB12" s="3">
        <v>-6.2211749999999998E-3</v>
      </c>
      <c r="AC12" s="3">
        <v>-4.0083112999999997E-2</v>
      </c>
      <c r="AD12" s="3">
        <v>3.5171389999999997E-2</v>
      </c>
      <c r="AE12" s="3">
        <v>1.1649488999999999E-2</v>
      </c>
      <c r="AF12" s="3">
        <v>-3.6886334E-2</v>
      </c>
      <c r="AG12" s="3">
        <v>-4.664111E-2</v>
      </c>
      <c r="AH12" s="3">
        <v>-5.1555036999999998E-2</v>
      </c>
      <c r="AI12" s="3">
        <v>-5.2269993000000001E-2</v>
      </c>
      <c r="AJ12" s="3"/>
      <c r="AK12" s="3"/>
      <c r="AL12" s="3"/>
    </row>
    <row r="13" spans="1:38" x14ac:dyDescent="0.45">
      <c r="A13" s="2">
        <v>44559</v>
      </c>
      <c r="B13" s="3">
        <v>3.3730268000000002E-3</v>
      </c>
      <c r="C13" s="3">
        <v>-7.8714130000000007E-2</v>
      </c>
      <c r="D13" s="3">
        <v>-2.7519464000000003E-4</v>
      </c>
      <c r="E13" s="3">
        <v>1.9162416000000002E-2</v>
      </c>
      <c r="F13" s="3">
        <v>6.8050979999999997E-2</v>
      </c>
      <c r="G13" s="3">
        <v>6.134796E-2</v>
      </c>
      <c r="H13" s="3">
        <v>3.9981007999999998E-2</v>
      </c>
      <c r="I13" s="3">
        <v>6.3082337000000002E-2</v>
      </c>
      <c r="J13" s="3">
        <v>0.13948846000000001</v>
      </c>
      <c r="K13" s="3">
        <v>5.5084467000000005E-2</v>
      </c>
      <c r="L13" s="3">
        <v>-8.932352E-4</v>
      </c>
      <c r="M13" s="3">
        <v>7.0450899999999997E-2</v>
      </c>
      <c r="N13" s="3">
        <v>3.3888577999999996E-2</v>
      </c>
      <c r="O13" s="3">
        <v>2.8360010000000001E-2</v>
      </c>
      <c r="P13" s="3">
        <v>-6.3408194000000001E-2</v>
      </c>
      <c r="Q13" s="3">
        <v>2.0606874999999997E-2</v>
      </c>
      <c r="R13" s="3">
        <v>4.0032983000000001E-2</v>
      </c>
      <c r="S13" s="3">
        <v>5.2197336999999996E-2</v>
      </c>
      <c r="T13" s="3">
        <v>1.4626383999999999E-2</v>
      </c>
      <c r="U13" s="3">
        <v>2.1536112E-2</v>
      </c>
      <c r="V13" s="3">
        <v>4.4099927000000004E-2</v>
      </c>
      <c r="W13" s="3">
        <v>2.5919317999999997E-2</v>
      </c>
      <c r="X13" s="3">
        <v>4.6524762999999997E-2</v>
      </c>
      <c r="Y13" s="3">
        <v>9.2384814999999995E-3</v>
      </c>
      <c r="Z13" s="3">
        <v>3.5168289999999998E-2</v>
      </c>
      <c r="AA13" s="3">
        <v>1.2523055E-2</v>
      </c>
      <c r="AB13" s="3">
        <v>7.0678473000000006E-2</v>
      </c>
      <c r="AC13" s="3">
        <v>5.8040260000000003E-2</v>
      </c>
      <c r="AD13" s="3">
        <v>5.9503317000000003E-3</v>
      </c>
      <c r="AE13" s="3">
        <v>3.1379937999999996E-2</v>
      </c>
      <c r="AF13" s="3">
        <v>5.7250259999999997E-2</v>
      </c>
      <c r="AG13" s="3">
        <v>1.2816309999999999E-2</v>
      </c>
      <c r="AH13" s="3">
        <v>6.0391190000000004E-2</v>
      </c>
      <c r="AI13" s="3">
        <v>5.2916290000000005E-2</v>
      </c>
      <c r="AJ13" s="3"/>
      <c r="AK13" s="3"/>
      <c r="AL13" s="3"/>
    </row>
    <row r="14" spans="1:38" x14ac:dyDescent="0.45">
      <c r="A14" s="2">
        <v>44589</v>
      </c>
      <c r="B14" s="3">
        <v>-7.3888835999999999E-2</v>
      </c>
      <c r="C14" s="3">
        <v>0.11547649</v>
      </c>
      <c r="D14" s="3">
        <v>2.1598338999999998E-3</v>
      </c>
      <c r="E14" s="3">
        <v>-1.7364323000000001E-2</v>
      </c>
      <c r="F14" s="3">
        <v>-3.9173722000000001E-2</v>
      </c>
      <c r="G14" s="3">
        <v>0.10902893000000001</v>
      </c>
      <c r="H14" s="3">
        <v>-1.8503666000000002E-2</v>
      </c>
      <c r="I14" s="3">
        <v>-6.3153210000000001E-2</v>
      </c>
      <c r="J14" s="3">
        <v>-5.6385699999999997E-2</v>
      </c>
      <c r="K14" s="3">
        <v>-0.10496956</v>
      </c>
      <c r="L14" s="3">
        <v>0.14340554999999999</v>
      </c>
      <c r="M14" s="3">
        <v>4.2557716000000002E-2</v>
      </c>
      <c r="N14" s="3">
        <v>5.9320690000000002E-2</v>
      </c>
      <c r="O14" s="3">
        <v>-2.0982027E-2</v>
      </c>
      <c r="P14" s="3">
        <v>-1.8864809999999999E-2</v>
      </c>
      <c r="Q14" s="3">
        <v>6.7210317000000006E-2</v>
      </c>
      <c r="R14" s="3">
        <v>-8.3588359999999997E-3</v>
      </c>
      <c r="S14" s="3">
        <v>-1.7946124000000001E-2</v>
      </c>
      <c r="T14" s="3">
        <v>3.6128282999999997E-2</v>
      </c>
      <c r="U14" s="3">
        <v>-6.7110896000000003E-2</v>
      </c>
      <c r="V14" s="3">
        <v>9.0933440000000004E-2</v>
      </c>
      <c r="W14" s="3">
        <v>-0.12486708000000001</v>
      </c>
      <c r="X14" s="3">
        <v>-9.6864459999999999E-2</v>
      </c>
      <c r="Y14" s="3">
        <v>-2.1243155E-2</v>
      </c>
      <c r="Z14" s="3">
        <v>-4.2347136E-2</v>
      </c>
      <c r="AA14" s="3">
        <v>-6.4828576999999998E-2</v>
      </c>
      <c r="AB14" s="3">
        <v>-8.1855890000000001E-2</v>
      </c>
      <c r="AC14" s="3">
        <v>1.3517618E-2</v>
      </c>
      <c r="AD14" s="3">
        <v>-0.12389493</v>
      </c>
      <c r="AE14" s="3">
        <v>-7.441151E-2</v>
      </c>
      <c r="AF14" s="3">
        <v>-3.8510919000000005E-2</v>
      </c>
      <c r="AG14" s="3">
        <v>-0.10055858000000001</v>
      </c>
      <c r="AH14" s="3">
        <v>-0.11742126000000001</v>
      </c>
      <c r="AI14" s="3">
        <v>-3.0358195000000001E-2</v>
      </c>
      <c r="AJ14" s="3"/>
      <c r="AK14" s="3"/>
      <c r="AL14" s="3"/>
    </row>
    <row r="15" spans="1:38" x14ac:dyDescent="0.45">
      <c r="A15" s="2">
        <v>44620</v>
      </c>
      <c r="B15" s="3">
        <v>3.002894E-2</v>
      </c>
      <c r="C15" s="3">
        <v>1.3239860000000001E-2</v>
      </c>
      <c r="D15" s="3">
        <v>4.8706889999999996E-2</v>
      </c>
      <c r="E15" s="3">
        <v>3.9760232E-2</v>
      </c>
      <c r="F15" s="3">
        <v>-0.11489993</v>
      </c>
      <c r="G15" s="3">
        <v>7.0353390000000002E-2</v>
      </c>
      <c r="H15" s="3">
        <v>6.2704919999999997E-2</v>
      </c>
      <c r="I15" s="3">
        <v>1.8645406E-2</v>
      </c>
      <c r="J15" s="3">
        <v>6.2922240000000004E-2</v>
      </c>
      <c r="K15" s="3">
        <v>2.5637507E-2</v>
      </c>
      <c r="L15" s="3">
        <v>5.5858730000000002E-2</v>
      </c>
      <c r="M15" s="3">
        <v>9.1172810000000007E-2</v>
      </c>
      <c r="N15" s="3">
        <v>-3.2154321999999999E-2</v>
      </c>
      <c r="O15" s="3">
        <v>-2.3219466000000001E-2</v>
      </c>
      <c r="P15" s="3">
        <v>-2.0063520000000001E-2</v>
      </c>
      <c r="Q15" s="3">
        <v>4.7877549999999998E-2</v>
      </c>
      <c r="R15" s="3">
        <v>2.7855873E-2</v>
      </c>
      <c r="S15" s="3">
        <v>-4.9746275000000006E-2</v>
      </c>
      <c r="T15" s="3">
        <v>4.3674945999999999E-2</v>
      </c>
      <c r="U15" s="3">
        <v>-4.5918225999999999E-3</v>
      </c>
      <c r="V15" s="3">
        <v>4.181576E-2</v>
      </c>
      <c r="W15" s="3">
        <v>5.6310653999999995E-2</v>
      </c>
      <c r="X15" s="3">
        <v>6.557368999999999E-2</v>
      </c>
      <c r="Y15" s="3">
        <v>2.41158E-2</v>
      </c>
      <c r="Z15" s="3">
        <v>-7.623887E-2</v>
      </c>
      <c r="AA15" s="3">
        <v>3.0279159999999999E-3</v>
      </c>
      <c r="AB15" s="3">
        <v>-1.5201329999999999E-2</v>
      </c>
      <c r="AC15" s="3">
        <v>-7.4096320000000002E-3</v>
      </c>
      <c r="AD15" s="3">
        <v>-1.4212608E-2</v>
      </c>
      <c r="AE15" s="3">
        <v>-1.2037575E-2</v>
      </c>
      <c r="AF15" s="3">
        <v>-5.6608796000000003E-2</v>
      </c>
      <c r="AG15" s="3">
        <v>-4.9911260000000006E-2</v>
      </c>
      <c r="AH15" s="3">
        <v>-8.2706750000000009E-2</v>
      </c>
      <c r="AI15" s="3">
        <v>-5.2911699999999999E-2</v>
      </c>
      <c r="AJ15" s="3"/>
      <c r="AK15" s="3"/>
      <c r="AL15" s="3"/>
    </row>
    <row r="16" spans="1:38" x14ac:dyDescent="0.45">
      <c r="A16" s="2">
        <v>44649</v>
      </c>
      <c r="B16" s="3">
        <v>-0.10807514</v>
      </c>
      <c r="C16" s="3">
        <v>0.1218294</v>
      </c>
      <c r="D16" s="3">
        <v>2.2194861999999999E-2</v>
      </c>
      <c r="E16" s="3">
        <v>-6.2822522999999991E-2</v>
      </c>
      <c r="F16" s="3">
        <v>9.8827479999999995E-2</v>
      </c>
      <c r="G16" s="3">
        <v>7.1182490000000001E-2</v>
      </c>
      <c r="H16" s="3">
        <v>-8.8700056000000013E-3</v>
      </c>
      <c r="I16" s="3">
        <v>-2.8473079999999998E-2</v>
      </c>
      <c r="J16" s="3">
        <v>8.3432670000000014E-2</v>
      </c>
      <c r="K16" s="3">
        <v>1.24287605E-3</v>
      </c>
      <c r="L16" s="3">
        <v>0.15110981000000001</v>
      </c>
      <c r="M16" s="3">
        <v>5.9058070000000004E-2</v>
      </c>
      <c r="N16" s="3">
        <v>4.7987699999999999E-3</v>
      </c>
      <c r="O16" s="3">
        <v>3.7257195E-2</v>
      </c>
      <c r="P16" s="3">
        <v>-6.6200313999999996E-2</v>
      </c>
      <c r="Q16" s="3">
        <v>5.7030915999999994E-2</v>
      </c>
      <c r="R16" s="3">
        <v>2.7059316999999998E-3</v>
      </c>
      <c r="S16" s="3">
        <v>0.10897446000000001</v>
      </c>
      <c r="T16" s="3">
        <v>7.8677296999999993E-2</v>
      </c>
      <c r="U16" s="3">
        <v>-2.050227E-2</v>
      </c>
      <c r="V16" s="3">
        <v>3.9922713999999998E-2</v>
      </c>
      <c r="W16" s="3">
        <v>1.1580824999999999E-2</v>
      </c>
      <c r="X16" s="3">
        <v>0.10935556</v>
      </c>
      <c r="Y16" s="3">
        <v>6.2009334999999999E-2</v>
      </c>
      <c r="Z16" s="3">
        <v>1.6506194999999998E-2</v>
      </c>
      <c r="AA16" s="3">
        <v>1.2711286999999999E-3</v>
      </c>
      <c r="AB16" s="3">
        <v>3.7964106000000004E-2</v>
      </c>
      <c r="AC16" s="3">
        <v>9.5551014E-3</v>
      </c>
      <c r="AD16" s="3">
        <v>7.1654796999999992E-2</v>
      </c>
      <c r="AE16" s="3">
        <v>6.0321927000000004E-2</v>
      </c>
      <c r="AF16" s="3">
        <v>3.0568838000000001E-2</v>
      </c>
      <c r="AG16" s="3">
        <v>3.1519890000000002E-2</v>
      </c>
      <c r="AH16" s="3">
        <v>6.7160250000000005E-2</v>
      </c>
      <c r="AI16" s="3">
        <v>-6.2810180000000002E-3</v>
      </c>
      <c r="AJ16" s="3"/>
      <c r="AK16" s="3"/>
      <c r="AL16" s="3"/>
    </row>
    <row r="17" spans="1:38" x14ac:dyDescent="0.45">
      <c r="A17" s="2">
        <v>44680</v>
      </c>
      <c r="B17" s="3">
        <v>-9.4365419999999992E-2</v>
      </c>
      <c r="C17" s="3">
        <v>-0.13018161</v>
      </c>
      <c r="D17" s="3">
        <v>1.4073133E-2</v>
      </c>
      <c r="E17" s="3">
        <v>-6.6385984000000009E-2</v>
      </c>
      <c r="F17" s="3">
        <v>-0.19817077999999999</v>
      </c>
      <c r="G17" s="3">
        <v>-0.14389062</v>
      </c>
      <c r="H17" s="3">
        <v>-3.4630418000000003E-2</v>
      </c>
      <c r="I17" s="3">
        <v>-9.9677925000000001E-2</v>
      </c>
      <c r="J17" s="3">
        <v>-9.3692720000000007E-2</v>
      </c>
      <c r="K17" s="3">
        <v>-8.0827599999999999E-2</v>
      </c>
      <c r="L17" s="3">
        <v>-0.13444269</v>
      </c>
      <c r="M17" s="3">
        <v>-0.14039808000000001</v>
      </c>
      <c r="N17" s="3">
        <v>-4.0044069999999994E-2</v>
      </c>
      <c r="O17" s="3">
        <v>-3.8342893000000003E-2</v>
      </c>
      <c r="P17" s="3">
        <v>-7.8019379999999999E-2</v>
      </c>
      <c r="Q17" s="3">
        <v>-4.9423574999999994E-3</v>
      </c>
      <c r="R17" s="3">
        <v>-1.3197303000000001E-2</v>
      </c>
      <c r="S17" s="3">
        <v>7.3699474000000001E-2</v>
      </c>
      <c r="T17" s="3">
        <v>-5.2854420000000004E-3</v>
      </c>
      <c r="U17" s="3">
        <v>-0.10832024000000001</v>
      </c>
      <c r="V17" s="3">
        <v>4.5820355E-2</v>
      </c>
      <c r="W17" s="3">
        <v>-9.2131560000000001E-2</v>
      </c>
      <c r="X17" s="3">
        <v>-7.8710674999999994E-2</v>
      </c>
      <c r="Y17" s="3">
        <v>-8.721363E-2</v>
      </c>
      <c r="Z17" s="3">
        <v>-0.12009472</v>
      </c>
      <c r="AA17" s="3">
        <v>-0.10155511</v>
      </c>
      <c r="AB17" s="3">
        <v>-6.7524076000000002E-2</v>
      </c>
      <c r="AC17" s="3">
        <v>-4.4661403000000002E-2</v>
      </c>
      <c r="AD17" s="3">
        <v>-0.15609259</v>
      </c>
      <c r="AE17" s="3">
        <v>-0.10735565</v>
      </c>
      <c r="AF17" s="3">
        <v>-9.502882E-2</v>
      </c>
      <c r="AG17" s="3">
        <v>-0.13014935999999999</v>
      </c>
      <c r="AH17" s="3">
        <v>-0.11025768</v>
      </c>
      <c r="AI17" s="3">
        <v>-8.7491629999999987E-2</v>
      </c>
      <c r="AJ17" s="3"/>
      <c r="AK17" s="3"/>
      <c r="AL17" s="3"/>
    </row>
    <row r="18" spans="1:38" x14ac:dyDescent="0.45">
      <c r="A18" s="2">
        <v>44708</v>
      </c>
      <c r="B18" s="3">
        <v>1.6913294999999998E-2</v>
      </c>
      <c r="C18" s="3">
        <v>0.20913754999999998</v>
      </c>
      <c r="D18" s="3">
        <v>-2.5773168000000003E-2</v>
      </c>
      <c r="E18" s="3">
        <v>2.4280309999999999E-2</v>
      </c>
      <c r="F18" s="3">
        <v>4.1825175000000006E-2</v>
      </c>
      <c r="G18" s="3">
        <v>-2.2222279999999997E-2</v>
      </c>
      <c r="H18" s="3">
        <v>-2.9423594000000001E-2</v>
      </c>
      <c r="I18" s="3">
        <v>2.3251772E-3</v>
      </c>
      <c r="J18" s="3">
        <v>7.5460196000000007E-2</v>
      </c>
      <c r="K18" s="3">
        <v>1.4405727E-2</v>
      </c>
      <c r="L18" s="3">
        <v>9.0021369999999989E-2</v>
      </c>
      <c r="M18" s="3">
        <v>-1.0429621E-3</v>
      </c>
      <c r="N18" s="3">
        <v>1.8369793999999998E-2</v>
      </c>
      <c r="O18" s="3">
        <v>-5.2245616999999994E-2</v>
      </c>
      <c r="P18" s="3">
        <v>-4.9543976999999999E-3</v>
      </c>
      <c r="Q18" s="3">
        <v>-5.0910589999999999E-2</v>
      </c>
      <c r="R18" s="3">
        <v>-1.7205954000000002E-2</v>
      </c>
      <c r="S18" s="3">
        <v>-7.4472904000000006E-2</v>
      </c>
      <c r="T18" s="3">
        <v>-9.9362320000000004E-2</v>
      </c>
      <c r="U18" s="3">
        <v>-6.6901503000000001E-2</v>
      </c>
      <c r="V18" s="3">
        <v>-9.0586070000000005E-2</v>
      </c>
      <c r="W18" s="3">
        <v>-4.1657330000000006E-2</v>
      </c>
      <c r="X18" s="3">
        <v>1.5052915E-2</v>
      </c>
      <c r="Y18" s="3">
        <v>1.5384554999999999E-2</v>
      </c>
      <c r="Z18" s="3">
        <v>5.1903129999999999E-2</v>
      </c>
      <c r="AA18" s="3">
        <v>3.0377983999999997E-2</v>
      </c>
      <c r="AB18" s="3">
        <v>-1.3577580000000001E-2</v>
      </c>
      <c r="AC18" s="3">
        <v>2.8173327000000001E-2</v>
      </c>
      <c r="AD18" s="3">
        <v>-1.3248204999999999E-2</v>
      </c>
      <c r="AE18" s="3">
        <v>7.9126359999999989E-3</v>
      </c>
      <c r="AF18" s="3">
        <v>4.8558353999999998E-2</v>
      </c>
      <c r="AG18" s="3">
        <v>2.1857977000000001E-2</v>
      </c>
      <c r="AH18" s="3">
        <v>1.7822266E-2</v>
      </c>
      <c r="AI18" s="3">
        <v>5.6142925999999996E-2</v>
      </c>
      <c r="AJ18" s="3"/>
      <c r="AK18" s="3"/>
      <c r="AL18" s="3"/>
    </row>
    <row r="19" spans="1:38" x14ac:dyDescent="0.45">
      <c r="A19" s="2">
        <v>44741</v>
      </c>
      <c r="B19" s="3">
        <v>0.109291315</v>
      </c>
      <c r="C19" s="3">
        <v>-0.1790871</v>
      </c>
      <c r="D19" s="3">
        <v>-7.5047374E-2</v>
      </c>
      <c r="E19" s="3">
        <v>-0.11567949999999999</v>
      </c>
      <c r="F19" s="3">
        <v>-9.5247270000000009E-2</v>
      </c>
      <c r="G19" s="3">
        <v>-0.12407762</v>
      </c>
      <c r="H19" s="3">
        <v>-6.7698359999999999E-2</v>
      </c>
      <c r="I19" s="3">
        <v>-8.0478250000000001E-2</v>
      </c>
      <c r="J19" s="3">
        <v>-0.10689890000000001</v>
      </c>
      <c r="K19" s="3">
        <v>-0.13979285999999999</v>
      </c>
      <c r="L19" s="3">
        <v>-0.18524860000000001</v>
      </c>
      <c r="M19" s="3">
        <v>-8.0936140000000004E-2</v>
      </c>
      <c r="N19" s="3">
        <v>-0.10595387000000001</v>
      </c>
      <c r="O19" s="3">
        <v>-4.7630605999999999E-2</v>
      </c>
      <c r="P19" s="3">
        <v>0.1150304</v>
      </c>
      <c r="Q19" s="3">
        <v>-6.1075926000000003E-2</v>
      </c>
      <c r="R19" s="3">
        <v>-3.2079280000000002E-2</v>
      </c>
      <c r="S19" s="3">
        <v>-4.7390223000000002E-2</v>
      </c>
      <c r="T19" s="3">
        <v>-5.7137785000000003E-2</v>
      </c>
      <c r="U19" s="3">
        <v>-7.484275E-2</v>
      </c>
      <c r="V19" s="3">
        <v>-8.2693519999999993E-2</v>
      </c>
      <c r="W19" s="3">
        <v>-5.2479980000000002E-2</v>
      </c>
      <c r="X19" s="3">
        <v>-0.11209196</v>
      </c>
      <c r="Y19" s="3">
        <v>-8.975612999999999E-2</v>
      </c>
      <c r="Z19" s="3">
        <v>-0.12394380999999999</v>
      </c>
      <c r="AA19" s="3">
        <v>-8.4202470000000001E-2</v>
      </c>
      <c r="AB19" s="3">
        <v>-7.5684966999999992E-2</v>
      </c>
      <c r="AC19" s="3">
        <v>-7.4246350000000003E-2</v>
      </c>
      <c r="AD19" s="3">
        <v>-8.0127830000000011E-2</v>
      </c>
      <c r="AE19" s="3">
        <v>-8.0144409999999999E-2</v>
      </c>
      <c r="AF19" s="3">
        <v>-9.9525869999999989E-2</v>
      </c>
      <c r="AG19" s="3">
        <v>-9.2938840000000009E-2</v>
      </c>
      <c r="AH19" s="3">
        <v>-0.13095629</v>
      </c>
      <c r="AI19" s="3">
        <v>-0.13118535000000001</v>
      </c>
      <c r="AJ19" s="3"/>
      <c r="AK19" s="3"/>
      <c r="AL19" s="3"/>
    </row>
    <row r="20" spans="1:38" x14ac:dyDescent="0.45">
      <c r="A20" s="2">
        <v>44771</v>
      </c>
      <c r="B20" s="3">
        <v>-5.3916272999999994E-2</v>
      </c>
      <c r="C20" s="3">
        <v>9.1209299999999993E-2</v>
      </c>
      <c r="D20" s="3">
        <v>3.1236053E-2</v>
      </c>
      <c r="E20" s="3">
        <v>5.0368310000000003E-3</v>
      </c>
      <c r="F20" s="3">
        <v>-2.2388040000000001E-2</v>
      </c>
      <c r="G20" s="3">
        <v>-1.8946588E-2</v>
      </c>
      <c r="H20" s="3">
        <v>2.6818156000000003E-2</v>
      </c>
      <c r="I20" s="3">
        <v>-4.6574473E-3</v>
      </c>
      <c r="J20" s="3">
        <v>8.5544586000000007E-4</v>
      </c>
      <c r="K20" s="3">
        <v>4.1272520000000007E-2</v>
      </c>
      <c r="L20" s="3">
        <v>4.4636370000000002E-2</v>
      </c>
      <c r="M20" s="3">
        <v>-1.3937234999999999E-2</v>
      </c>
      <c r="N20" s="3">
        <v>1.053524E-2</v>
      </c>
      <c r="O20" s="3">
        <v>8.3396799999999993E-2</v>
      </c>
      <c r="P20" s="3">
        <v>-0.10725838</v>
      </c>
      <c r="Q20" s="3">
        <v>6.9187284000000002E-2</v>
      </c>
      <c r="R20" s="3">
        <v>-6.1594844000000008E-3</v>
      </c>
      <c r="S20" s="3">
        <v>6.8026779999999995E-3</v>
      </c>
      <c r="T20" s="3">
        <v>5.5211425000000001E-2</v>
      </c>
      <c r="U20" s="3">
        <v>1.359582E-3</v>
      </c>
      <c r="V20" s="3">
        <v>5.0286055000000003E-2</v>
      </c>
      <c r="W20" s="3">
        <v>7.2702885000000009E-2</v>
      </c>
      <c r="X20" s="3">
        <v>5.964589E-2</v>
      </c>
      <c r="Y20" s="3">
        <v>3.8834930000000004E-2</v>
      </c>
      <c r="Z20" s="3">
        <v>1.4193535E-2</v>
      </c>
      <c r="AA20" s="3">
        <v>6.1236143E-2</v>
      </c>
      <c r="AB20" s="3">
        <v>4.8962950000000005E-2</v>
      </c>
      <c r="AC20" s="3">
        <v>2.3848891000000001E-2</v>
      </c>
      <c r="AD20" s="3">
        <v>0.11155748000000001</v>
      </c>
      <c r="AE20" s="3">
        <v>8.3214999999999997E-2</v>
      </c>
      <c r="AF20" s="3">
        <v>5.7908654000000004E-2</v>
      </c>
      <c r="AG20" s="3">
        <v>8.219564E-2</v>
      </c>
      <c r="AH20" s="3">
        <v>0.10171676</v>
      </c>
      <c r="AI20" s="3">
        <v>9.0090035999999991E-3</v>
      </c>
      <c r="AJ20" s="3"/>
      <c r="AK20" s="3"/>
      <c r="AL20" s="3"/>
    </row>
    <row r="21" spans="1:38" x14ac:dyDescent="0.45">
      <c r="A21" s="2">
        <v>44802</v>
      </c>
      <c r="B21" s="3">
        <v>-3.3739685999999998E-2</v>
      </c>
      <c r="C21" s="3">
        <v>6.7700386000000001E-2</v>
      </c>
      <c r="D21" s="3">
        <v>2.1635651999999998E-2</v>
      </c>
      <c r="E21" s="3">
        <v>3.0069351000000001E-2</v>
      </c>
      <c r="F21" s="3">
        <v>-0.10687023</v>
      </c>
      <c r="G21" s="3">
        <v>1.1201262E-2</v>
      </c>
      <c r="H21" s="3">
        <v>-1.1509538E-2</v>
      </c>
      <c r="I21" s="3">
        <v>-2.1056770999999998E-2</v>
      </c>
      <c r="J21" s="3">
        <v>-1.8803418000000002E-2</v>
      </c>
      <c r="K21" s="3">
        <v>-5.4004965000000002E-2</v>
      </c>
      <c r="L21" s="3">
        <v>0.11268091</v>
      </c>
      <c r="M21" s="3">
        <v>9.4234940000000001E-4</v>
      </c>
      <c r="N21" s="3">
        <v>4.1701793999999997E-3</v>
      </c>
      <c r="O21" s="3">
        <v>3.51429E-4</v>
      </c>
      <c r="P21" s="3">
        <v>5.2324532999999994E-3</v>
      </c>
      <c r="Q21" s="3">
        <v>4.1348339999999997E-2</v>
      </c>
      <c r="R21" s="3">
        <v>3.1787394999999996E-2</v>
      </c>
      <c r="S21" s="3">
        <v>0.17827438000000001</v>
      </c>
      <c r="T21" s="3">
        <v>2.4257898000000001E-3</v>
      </c>
      <c r="U21" s="3">
        <v>3.4623265E-2</v>
      </c>
      <c r="V21" s="3">
        <v>3.9482713000000003E-2</v>
      </c>
      <c r="W21" s="3">
        <v>-3.0561267999999999E-2</v>
      </c>
      <c r="X21" s="3">
        <v>-1.6710579E-2</v>
      </c>
      <c r="Y21" s="3">
        <v>-9.3458294999999997E-3</v>
      </c>
      <c r="Z21" s="3">
        <v>-7.5487733000000001E-2</v>
      </c>
      <c r="AA21" s="3">
        <v>-4.0249350000000003E-2</v>
      </c>
      <c r="AB21" s="3">
        <v>-4.9896599999999999E-2</v>
      </c>
      <c r="AC21" s="3">
        <v>-3.8175344E-2</v>
      </c>
      <c r="AD21" s="3">
        <v>-3.5028160000000003E-2</v>
      </c>
      <c r="AE21" s="3">
        <v>-2.2718965999999997E-2</v>
      </c>
      <c r="AF21" s="3">
        <v>-5.9743523999999999E-2</v>
      </c>
      <c r="AG21" s="3">
        <v>-8.2260190000000011E-2</v>
      </c>
      <c r="AH21" s="3">
        <v>-0.10732132</v>
      </c>
      <c r="AI21" s="3">
        <v>-4.5048655999999992E-2</v>
      </c>
      <c r="AJ21" s="3"/>
      <c r="AK21" s="3"/>
      <c r="AL21" s="3"/>
    </row>
    <row r="22" spans="1:38" x14ac:dyDescent="0.45">
      <c r="A22" s="2">
        <v>44833</v>
      </c>
      <c r="B22" s="3">
        <v>-8.7441329999999998E-2</v>
      </c>
      <c r="C22" s="3">
        <v>-0.14842361000000001</v>
      </c>
      <c r="D22" s="3">
        <v>-6.7768097000000006E-3</v>
      </c>
      <c r="E22" s="3">
        <v>-0.14520955000000002</v>
      </c>
      <c r="F22" s="3">
        <v>-0.14996118</v>
      </c>
      <c r="G22" s="3">
        <v>-6.9900693999999999E-2</v>
      </c>
      <c r="H22" s="3">
        <v>-9.0461249999999993E-2</v>
      </c>
      <c r="I22" s="3">
        <v>-0.13463449499999999</v>
      </c>
      <c r="J22" s="3">
        <v>-2.3519098999999998E-2</v>
      </c>
      <c r="K22" s="3">
        <v>-0.15764665999999999</v>
      </c>
      <c r="L22" s="3">
        <v>-0.10281825</v>
      </c>
      <c r="M22" s="3">
        <v>-0.14168042</v>
      </c>
      <c r="N22" s="3">
        <v>-0.11378736</v>
      </c>
      <c r="O22" s="3">
        <v>-5.2237033999999995E-2</v>
      </c>
      <c r="P22" s="3">
        <v>-0.14154153999999999</v>
      </c>
      <c r="Q22" s="3">
        <v>-8.2054379999999996E-2</v>
      </c>
      <c r="R22" s="3">
        <v>-2.0995735999999997E-2</v>
      </c>
      <c r="S22" s="3">
        <v>-2.4261116999999999E-2</v>
      </c>
      <c r="T22" s="3">
        <v>-8.2274680000000003E-2</v>
      </c>
      <c r="U22" s="3">
        <v>-0.14173226999999999</v>
      </c>
      <c r="V22" s="3">
        <v>-0.10281605000000001</v>
      </c>
      <c r="W22" s="3">
        <v>-9.8005590000000004E-2</v>
      </c>
      <c r="X22" s="3">
        <v>-0.105545635</v>
      </c>
      <c r="Y22" s="3">
        <v>-0.11149227</v>
      </c>
      <c r="Z22" s="3">
        <v>-9.3577919999999995E-2</v>
      </c>
      <c r="AA22" s="3">
        <v>-8.5915800000000001E-2</v>
      </c>
      <c r="AB22" s="3">
        <v>-8.9787009999999987E-2</v>
      </c>
      <c r="AC22" s="3">
        <v>-0.11940795</v>
      </c>
      <c r="AD22" s="3">
        <v>-0.10530405999999999</v>
      </c>
      <c r="AE22" s="3">
        <v>-9.52186E-2</v>
      </c>
      <c r="AF22" s="3">
        <v>-0.10878241</v>
      </c>
      <c r="AG22" s="3">
        <v>-0.12428402999999999</v>
      </c>
      <c r="AH22" s="3">
        <v>-0.113307</v>
      </c>
      <c r="AI22" s="3">
        <v>-8.6697869999999996E-2</v>
      </c>
      <c r="AJ22" s="3"/>
      <c r="AK22" s="3"/>
      <c r="AL22" s="3"/>
    </row>
    <row r="23" spans="1:38" x14ac:dyDescent="0.45">
      <c r="A23" s="2">
        <v>44862</v>
      </c>
      <c r="B23" s="3">
        <v>-9.131831E-2</v>
      </c>
      <c r="C23" s="3">
        <v>5.6572319999999995E-2</v>
      </c>
      <c r="D23" s="3">
        <v>1.2366652000000001E-2</v>
      </c>
      <c r="E23" s="3">
        <v>5.341506E-2</v>
      </c>
      <c r="F23" s="3">
        <v>0.14076780999999999</v>
      </c>
      <c r="G23" s="3">
        <v>8.7063550000000003E-2</v>
      </c>
      <c r="H23" s="3">
        <v>2.7080297E-2</v>
      </c>
      <c r="I23" s="3">
        <v>-3.4062147000000001E-2</v>
      </c>
      <c r="J23" s="3">
        <v>0.11016941</v>
      </c>
      <c r="K23" s="3">
        <v>7.3989630000000001E-2</v>
      </c>
      <c r="L23" s="3">
        <v>8.5605860000000006E-2</v>
      </c>
      <c r="M23" s="3">
        <v>5.5662155000000005E-2</v>
      </c>
      <c r="N23" s="3">
        <v>0.12980318000000002</v>
      </c>
      <c r="O23" s="3">
        <v>4.6465634999999998E-2</v>
      </c>
      <c r="P23" s="3">
        <v>-0.15438436999999999</v>
      </c>
      <c r="Q23" s="3">
        <v>-1.4989077999999999E-2</v>
      </c>
      <c r="R23" s="3">
        <v>8.6034535999999998E-3</v>
      </c>
      <c r="S23" s="3">
        <v>0.21021699999999999</v>
      </c>
      <c r="T23" s="3">
        <v>2.1753429999999997E-2</v>
      </c>
      <c r="U23" s="3">
        <v>-0.10168195000000001</v>
      </c>
      <c r="V23" s="3">
        <v>4.9878479999999996E-2</v>
      </c>
      <c r="W23" s="3">
        <v>2.4251103E-2</v>
      </c>
      <c r="X23" s="3">
        <v>3.9499998000000001E-2</v>
      </c>
      <c r="Y23" s="3">
        <v>6.5636992000000005E-2</v>
      </c>
      <c r="Z23" s="3">
        <v>0.12145746</v>
      </c>
      <c r="AA23" s="3">
        <v>2.0706414999999999E-2</v>
      </c>
      <c r="AB23" s="3">
        <v>4.626429E-2</v>
      </c>
      <c r="AC23" s="3">
        <v>8.2123760000000004E-2</v>
      </c>
      <c r="AD23" s="3">
        <v>3.4391403000000001E-2</v>
      </c>
      <c r="AE23" s="3">
        <v>7.2300672999999996E-2</v>
      </c>
      <c r="AF23" s="3">
        <v>0.12691295999999999</v>
      </c>
      <c r="AG23" s="3">
        <v>8.5022929999999997E-2</v>
      </c>
      <c r="AH23" s="3">
        <v>0.12109958999999999</v>
      </c>
      <c r="AI23" s="3">
        <v>0.12936258</v>
      </c>
      <c r="AJ23" s="3"/>
      <c r="AK23" s="3"/>
      <c r="AL23" s="3"/>
    </row>
    <row r="24" spans="1:38" x14ac:dyDescent="0.45">
      <c r="A24" s="2">
        <v>44894</v>
      </c>
      <c r="B24" s="3">
        <v>0.11075723999999999</v>
      </c>
      <c r="C24" s="3">
        <v>3.5433053999999999E-2</v>
      </c>
      <c r="D24" s="3">
        <v>-1.8112897999999999E-2</v>
      </c>
      <c r="E24" s="3">
        <v>0.11263514000000001</v>
      </c>
      <c r="F24" s="3">
        <v>0.18429493</v>
      </c>
      <c r="G24" s="3">
        <v>9.2935450000000003E-2</v>
      </c>
      <c r="H24" s="3">
        <v>6.6155314000000007E-2</v>
      </c>
      <c r="I24" s="3">
        <v>0.16893016999999999</v>
      </c>
      <c r="J24" s="3">
        <v>6.0666919999999999E-2</v>
      </c>
      <c r="K24" s="3">
        <v>0.12620616000000001</v>
      </c>
      <c r="L24" s="3">
        <v>-2.7345001999999997E-2</v>
      </c>
      <c r="M24" s="3">
        <v>0.14675331</v>
      </c>
      <c r="N24" s="3">
        <v>8.4948179999999998E-2</v>
      </c>
      <c r="O24" s="3">
        <v>2.8578161999999997E-2</v>
      </c>
      <c r="P24" s="3">
        <v>0.23883068000000002</v>
      </c>
      <c r="Q24" s="3">
        <v>-2.7684986999999998E-2</v>
      </c>
      <c r="R24" s="3">
        <v>1.1406779000000001E-2</v>
      </c>
      <c r="S24" s="3">
        <v>0.26148678000000003</v>
      </c>
      <c r="T24" s="3">
        <v>-1.2903214000000001E-2</v>
      </c>
      <c r="U24" s="3">
        <v>3.8297892E-2</v>
      </c>
      <c r="V24" s="3">
        <v>-9.2236460000000006E-2</v>
      </c>
      <c r="W24" s="3">
        <v>9.0993400000000002E-2</v>
      </c>
      <c r="X24" s="3">
        <v>0.10966801999999999</v>
      </c>
      <c r="Y24" s="3">
        <v>4.4082165E-2</v>
      </c>
      <c r="Z24" s="3">
        <v>0.12409746000000001</v>
      </c>
      <c r="AA24" s="3">
        <v>9.7653149999999994E-2</v>
      </c>
      <c r="AB24" s="3">
        <v>7.4205875000000004E-2</v>
      </c>
      <c r="AC24" s="3">
        <v>9.3540430000000008E-2</v>
      </c>
      <c r="AD24" s="3">
        <v>-2.3113489000000003E-3</v>
      </c>
      <c r="AE24" s="3">
        <v>1.5963196999999998E-2</v>
      </c>
      <c r="AF24" s="3">
        <v>9.5395800000000003E-2</v>
      </c>
      <c r="AG24" s="3">
        <v>0.14315855</v>
      </c>
      <c r="AH24" s="3">
        <v>8.9131829999999995E-2</v>
      </c>
      <c r="AI24" s="3">
        <v>0.12649357</v>
      </c>
      <c r="AJ24" s="3"/>
      <c r="AK24" s="3"/>
      <c r="AL24" s="3"/>
    </row>
    <row r="25" spans="1:38" x14ac:dyDescent="0.45">
      <c r="A25" s="2">
        <v>44924</v>
      </c>
      <c r="B25" s="3">
        <v>1.7864703999999999E-2</v>
      </c>
      <c r="C25" s="3">
        <v>3.470409E-2</v>
      </c>
      <c r="D25" s="3">
        <v>-2.8470336999999998E-2</v>
      </c>
      <c r="E25" s="3">
        <v>-5.1074624000000002E-3</v>
      </c>
      <c r="F25" s="3">
        <v>7.1932553999999996E-2</v>
      </c>
      <c r="G25" s="3">
        <v>1.0196805E-2</v>
      </c>
      <c r="H25" s="3">
        <v>3.9189816000000002E-2</v>
      </c>
      <c r="I25" s="3">
        <v>-2.2112310000000003E-2</v>
      </c>
      <c r="J25" s="3">
        <v>-2.4551451000000002E-2</v>
      </c>
      <c r="K25" s="3">
        <v>-9.3556639999999996E-3</v>
      </c>
      <c r="L25" s="3">
        <v>-9.2068315000000001E-3</v>
      </c>
      <c r="M25" s="3">
        <v>3.3208132000000002E-3</v>
      </c>
      <c r="N25" s="3">
        <v>4.1745185999999997E-2</v>
      </c>
      <c r="O25" s="3">
        <v>-3.0309974999999999E-2</v>
      </c>
      <c r="P25" s="3">
        <v>9.3210219999999996E-2</v>
      </c>
      <c r="Q25" s="3">
        <v>-8.1077999999999997E-2</v>
      </c>
      <c r="R25" s="3">
        <v>2.2660732000000003E-2</v>
      </c>
      <c r="S25" s="3">
        <v>0.10646998999999999</v>
      </c>
      <c r="T25" s="3">
        <v>-4.7612786000000001E-3</v>
      </c>
      <c r="U25" s="3">
        <v>-1.6255974999999999E-2</v>
      </c>
      <c r="V25" s="3">
        <v>-1.5842020000000002E-2</v>
      </c>
      <c r="W25" s="3">
        <v>5.2016735000000001E-2</v>
      </c>
      <c r="X25" s="3">
        <v>-1.3168991000000001E-2</v>
      </c>
      <c r="Y25" s="3">
        <v>-3.2372474999999998E-2</v>
      </c>
      <c r="Z25" s="3">
        <v>5.9581994999999997E-3</v>
      </c>
      <c r="AA25" s="3">
        <v>-3.5886168E-3</v>
      </c>
      <c r="AB25" s="3">
        <v>6.8607329999999999E-3</v>
      </c>
      <c r="AC25" s="3">
        <v>9.3933343999999998E-3</v>
      </c>
      <c r="AD25" s="3">
        <v>-4.8054457000000002E-2</v>
      </c>
      <c r="AE25" s="3">
        <v>-2.5321543000000002E-2</v>
      </c>
      <c r="AF25" s="3">
        <v>1.6656517999999999E-2</v>
      </c>
      <c r="AG25" s="3">
        <v>2.7613640000000001E-3</v>
      </c>
      <c r="AH25" s="3">
        <v>4.1872263000000002E-3</v>
      </c>
      <c r="AI25" s="3">
        <v>1.4294385999999999E-2</v>
      </c>
      <c r="AJ25" s="3"/>
      <c r="AK25" s="3"/>
      <c r="AL25" s="3"/>
    </row>
    <row r="26" spans="1:38" x14ac:dyDescent="0.45">
      <c r="A26" s="2">
        <v>44953</v>
      </c>
      <c r="B26" s="3">
        <v>0.13401723000000001</v>
      </c>
      <c r="C26" s="3">
        <v>8.5186600000000001E-2</v>
      </c>
      <c r="D26" s="3">
        <v>5.040145E-2</v>
      </c>
      <c r="E26" s="3">
        <v>9.7698930000000003E-2</v>
      </c>
      <c r="F26" s="3">
        <v>7.5144530000000001E-2</v>
      </c>
      <c r="G26" s="3">
        <v>9.7493060000000006E-2</v>
      </c>
      <c r="H26" s="3">
        <v>4.8492790000000001E-2</v>
      </c>
      <c r="I26" s="3">
        <v>0.11635912</v>
      </c>
      <c r="J26" s="3">
        <v>0.15018821000000002</v>
      </c>
      <c r="K26" s="3">
        <v>0.14493263000000001</v>
      </c>
      <c r="L26" s="3">
        <v>5.8948873999999998E-2</v>
      </c>
      <c r="M26" s="3">
        <v>5.6612372000000001E-2</v>
      </c>
      <c r="N26" s="3">
        <v>0.12801207000000001</v>
      </c>
      <c r="O26" s="3">
        <v>-3.2678186999999997E-2</v>
      </c>
      <c r="P26" s="3">
        <v>0.15871047999999999</v>
      </c>
      <c r="Q26" s="3">
        <v>4.0322539999999997E-2</v>
      </c>
      <c r="R26" s="3">
        <v>1.2099743000000001E-2</v>
      </c>
      <c r="S26" s="3">
        <v>-5.1640750000000006E-2</v>
      </c>
      <c r="T26" s="3">
        <v>-6.0155333999999998E-2</v>
      </c>
      <c r="U26" s="3">
        <v>9.3355770000000005E-2</v>
      </c>
      <c r="V26" s="3">
        <v>3.1725167999999998E-2</v>
      </c>
      <c r="W26" s="3">
        <v>6.1451553999999999E-2</v>
      </c>
      <c r="X26" s="3">
        <v>0.11588371</v>
      </c>
      <c r="Y26" s="3">
        <v>8.1564540000000005E-2</v>
      </c>
      <c r="Z26" s="3">
        <v>0.11736525</v>
      </c>
      <c r="AA26" s="3">
        <v>7.1988343999999996E-2</v>
      </c>
      <c r="AB26" s="3">
        <v>5.7095884999999999E-2</v>
      </c>
      <c r="AC26" s="3">
        <v>5.7448983000000002E-2</v>
      </c>
      <c r="AD26" s="3">
        <v>0.11192012</v>
      </c>
      <c r="AE26" s="3">
        <v>5.8001280000000002E-2</v>
      </c>
      <c r="AF26" s="3">
        <v>9.9999900000000003E-2</v>
      </c>
      <c r="AG26" s="3">
        <v>0.12275135000000001</v>
      </c>
      <c r="AH26" s="3">
        <v>8.0743550000000011E-2</v>
      </c>
      <c r="AI26" s="3">
        <v>9.8096610000000001E-2</v>
      </c>
      <c r="AJ26" s="3"/>
      <c r="AK26" s="3"/>
      <c r="AL26" s="3"/>
    </row>
    <row r="27" spans="1:38" x14ac:dyDescent="0.45">
      <c r="A27" s="2">
        <v>44985</v>
      </c>
      <c r="B27" s="3">
        <v>-7.7184020000000006E-2</v>
      </c>
      <c r="C27" s="3">
        <v>-2.3619294000000002E-2</v>
      </c>
      <c r="D27" s="3">
        <v>-2.7176201000000001E-2</v>
      </c>
      <c r="E27" s="3">
        <v>-9.2439889999999997E-2</v>
      </c>
      <c r="F27" s="3">
        <v>-5.7945013000000004E-2</v>
      </c>
      <c r="G27" s="3">
        <v>-7.8680159999999999E-2</v>
      </c>
      <c r="H27" s="3">
        <v>-9.4166699999999992E-2</v>
      </c>
      <c r="I27" s="3">
        <v>-3.7241100999999999E-2</v>
      </c>
      <c r="J27" s="3">
        <v>-7.0628524000000007E-3</v>
      </c>
      <c r="K27" s="3">
        <v>-0.105641365</v>
      </c>
      <c r="L27" s="3">
        <v>-8.5513060000000002E-2</v>
      </c>
      <c r="M27" s="3">
        <v>-0.11106289</v>
      </c>
      <c r="N27" s="3">
        <v>8.6782459999999992E-2</v>
      </c>
      <c r="O27" s="3">
        <v>-5.018359E-2</v>
      </c>
      <c r="P27" s="3">
        <v>-0.14642411</v>
      </c>
      <c r="Q27" s="3">
        <v>-5.5813969999999997E-2</v>
      </c>
      <c r="R27" s="3">
        <v>-3.5062193999999998E-2</v>
      </c>
      <c r="S27" s="3">
        <v>6.2394139999999996E-3</v>
      </c>
      <c r="T27" s="3">
        <v>2.5910378000000001E-2</v>
      </c>
      <c r="U27" s="3">
        <v>-0.13384617000000001</v>
      </c>
      <c r="V27" s="3">
        <v>-7.801777E-2</v>
      </c>
      <c r="W27" s="3">
        <v>-6.2799160000000007E-2</v>
      </c>
      <c r="X27" s="3">
        <v>-8.2598270000000001E-2</v>
      </c>
      <c r="Y27" s="3">
        <v>-4.5416299999999993E-2</v>
      </c>
      <c r="Z27" s="3">
        <v>-2.5008916999999999E-2</v>
      </c>
      <c r="AA27" s="3">
        <v>-4.8962950000000005E-2</v>
      </c>
      <c r="AB27" s="3">
        <v>-3.6008060000000001E-2</v>
      </c>
      <c r="AC27" s="3">
        <v>-9.2082023999999988E-3</v>
      </c>
      <c r="AD27" s="3">
        <v>-9.1136693999999997E-3</v>
      </c>
      <c r="AE27" s="3">
        <v>-2.322024E-2</v>
      </c>
      <c r="AF27" s="3">
        <v>-8.9551805999999994E-3</v>
      </c>
      <c r="AG27" s="3">
        <v>-3.8642764000000003E-2</v>
      </c>
      <c r="AH27" s="3">
        <v>-4.2289494999999998E-3</v>
      </c>
      <c r="AI27" s="3">
        <v>3.3330917000000003E-4</v>
      </c>
      <c r="AJ27" s="3"/>
      <c r="AK27" s="3"/>
      <c r="AL27" s="3"/>
    </row>
    <row r="28" spans="1:38" x14ac:dyDescent="0.45">
      <c r="A28" s="2">
        <v>45014</v>
      </c>
      <c r="B28" s="3">
        <v>-9.1911553999999996E-3</v>
      </c>
      <c r="C28" s="3">
        <v>2.1700382000000001E-2</v>
      </c>
      <c r="D28" s="3">
        <v>3.1427263999999996E-2</v>
      </c>
      <c r="E28" s="3">
        <v>3.6728500999999997E-2</v>
      </c>
      <c r="F28" s="3">
        <v>-4.4388113E-2</v>
      </c>
      <c r="G28" s="3">
        <v>4.8553705000000003E-2</v>
      </c>
      <c r="H28" s="3">
        <v>1.6099334E-2</v>
      </c>
      <c r="I28" s="3">
        <v>3.3874989000000001E-2</v>
      </c>
      <c r="J28" s="3">
        <v>2.8625965E-2</v>
      </c>
      <c r="K28" s="3">
        <v>2.5641083999999998E-2</v>
      </c>
      <c r="L28" s="3">
        <v>-9.5342993999999997E-3</v>
      </c>
      <c r="M28" s="3">
        <v>2.0985841999999998E-2</v>
      </c>
      <c r="N28" s="3">
        <v>-8.5073709999999997E-2</v>
      </c>
      <c r="O28" s="3">
        <v>-3.6082268000000002E-3</v>
      </c>
      <c r="P28" s="3">
        <v>3.7400722999999997E-2</v>
      </c>
      <c r="Q28" s="3">
        <v>-1.0946929999999999E-2</v>
      </c>
      <c r="R28" s="3">
        <v>-7.2918534000000002E-3</v>
      </c>
      <c r="S28" s="3">
        <v>-5.5806103000000003E-2</v>
      </c>
      <c r="T28" s="3">
        <v>-4.1638193000000004E-2</v>
      </c>
      <c r="U28" s="3">
        <v>7.9040765999999998E-2</v>
      </c>
      <c r="V28" s="3">
        <v>4.7409059999999996E-2</v>
      </c>
      <c r="W28" s="3">
        <v>4.4943094000000003E-3</v>
      </c>
      <c r="X28" s="3">
        <v>-1.3985991E-2</v>
      </c>
      <c r="Y28" s="3">
        <v>-1.3215900000000001E-2</v>
      </c>
      <c r="Z28" s="3">
        <v>2.1619557999999997E-2</v>
      </c>
      <c r="AA28" s="3">
        <v>3.1641005999999999E-2</v>
      </c>
      <c r="AB28" s="3">
        <v>2.6746629999999997E-2</v>
      </c>
      <c r="AC28" s="3">
        <v>-1.2391567000000001E-2</v>
      </c>
      <c r="AD28" s="3">
        <v>6.6911816999999998E-2</v>
      </c>
      <c r="AE28" s="3">
        <v>1.6756892000000002E-2</v>
      </c>
      <c r="AF28" s="3">
        <v>1.6976952999999999E-2</v>
      </c>
      <c r="AG28" s="3">
        <v>1.5441179000000001E-2</v>
      </c>
      <c r="AH28" s="3">
        <v>-2.9728174E-2</v>
      </c>
      <c r="AI28" s="3">
        <v>2.6657579999999998E-3</v>
      </c>
      <c r="AJ28" s="3"/>
      <c r="AK28" s="3"/>
      <c r="AL28" s="3"/>
    </row>
    <row r="29" spans="1:38" x14ac:dyDescent="0.45">
      <c r="A29" s="2">
        <v>45044</v>
      </c>
      <c r="B29" s="3">
        <v>-2.4737716000000002E-3</v>
      </c>
      <c r="C29" s="3">
        <v>-1.0793865E-2</v>
      </c>
      <c r="D29" s="3">
        <v>4.7397375000000005E-2</v>
      </c>
      <c r="E29" s="3">
        <v>-1.3148248E-2</v>
      </c>
      <c r="F29" s="3">
        <v>0.16921043000000002</v>
      </c>
      <c r="G29" s="3">
        <v>1.8719196E-2</v>
      </c>
      <c r="H29" s="3">
        <v>-1.4486193999999999E-2</v>
      </c>
      <c r="I29" s="3">
        <v>-2.7673244E-2</v>
      </c>
      <c r="J29" s="3">
        <v>2.6817321999999998E-2</v>
      </c>
      <c r="K29" s="3">
        <v>1.1166692000000001E-2</v>
      </c>
      <c r="L29" s="3">
        <v>4.6649456000000006E-2</v>
      </c>
      <c r="M29" s="3">
        <v>2.6529669999999998E-2</v>
      </c>
      <c r="N29" s="3">
        <v>5.1695110000000002E-2</v>
      </c>
      <c r="O29" s="3">
        <v>6.3631653999999996E-2</v>
      </c>
      <c r="P29" s="3">
        <v>-3.8872123000000001E-2</v>
      </c>
      <c r="Q29" s="3">
        <v>2.0475983999999999E-2</v>
      </c>
      <c r="R29" s="3">
        <v>-5.0542709999999998E-2</v>
      </c>
      <c r="S29" s="3">
        <v>-7.5522422999999991E-2</v>
      </c>
      <c r="T29" s="3">
        <v>0.10113965999999999</v>
      </c>
      <c r="U29" s="3">
        <v>0</v>
      </c>
      <c r="V29" s="3">
        <v>8.3420989999999987E-2</v>
      </c>
      <c r="W29" s="3">
        <v>1.5253186E-2</v>
      </c>
      <c r="X29" s="3">
        <v>2.5709270999999999E-2</v>
      </c>
      <c r="Y29" s="3">
        <v>4.7619103999999995E-2</v>
      </c>
      <c r="Z29" s="3">
        <v>5.4878115999999998E-2</v>
      </c>
      <c r="AA29" s="3">
        <v>1.9580721999999998E-2</v>
      </c>
      <c r="AB29" s="3">
        <v>7.9946160000000002E-2</v>
      </c>
      <c r="AC29" s="3">
        <v>6.4303636999999997E-2</v>
      </c>
      <c r="AD29" s="3">
        <v>3.1465887999999997E-2</v>
      </c>
      <c r="AE29" s="3">
        <v>3.6327362000000002E-2</v>
      </c>
      <c r="AF29" s="3">
        <v>6.5428139999999996E-2</v>
      </c>
      <c r="AG29" s="3">
        <v>2.1481989999999999E-2</v>
      </c>
      <c r="AH29" s="3">
        <v>8.5789320000000002E-2</v>
      </c>
      <c r="AI29" s="3">
        <v>5.2176832999999999E-2</v>
      </c>
      <c r="AJ29" s="3"/>
      <c r="AK29" s="3"/>
      <c r="AL29" s="3"/>
    </row>
    <row r="30" spans="1:38" x14ac:dyDescent="0.45">
      <c r="A30" s="2">
        <v>45072</v>
      </c>
      <c r="B30" s="3">
        <v>-6.6955924E-2</v>
      </c>
      <c r="C30" s="3">
        <v>3.4494877E-2</v>
      </c>
      <c r="D30" s="3">
        <v>-3.8787842000000003E-2</v>
      </c>
      <c r="E30" s="3">
        <v>-3.6269426E-2</v>
      </c>
      <c r="F30" s="3">
        <v>1.2485743000000001E-2</v>
      </c>
      <c r="G30" s="3">
        <v>-4.5280456999999996E-2</v>
      </c>
      <c r="H30" s="3">
        <v>-3.8585186E-2</v>
      </c>
      <c r="I30" s="3">
        <v>6.557381000000001E-2</v>
      </c>
      <c r="J30" s="3">
        <v>5.5847170000000003E-3</v>
      </c>
      <c r="K30" s="3">
        <v>4.0052770000000001E-2</v>
      </c>
      <c r="L30" s="3">
        <v>5.9073209999999994E-2</v>
      </c>
      <c r="M30" s="3">
        <v>-0.12665896999999998</v>
      </c>
      <c r="N30" s="3">
        <v>0.10533035</v>
      </c>
      <c r="O30" s="3">
        <v>2.1887183000000001E-2</v>
      </c>
      <c r="P30" s="3">
        <v>-6.3704967000000001E-2</v>
      </c>
      <c r="Q30" s="3">
        <v>3.7418604000000001E-2</v>
      </c>
      <c r="R30" s="3">
        <v>7.7495575000000004E-3</v>
      </c>
      <c r="S30" s="3">
        <v>-4.5204997000000004E-2</v>
      </c>
      <c r="T30" s="3">
        <v>-5.8214719999999998E-2</v>
      </c>
      <c r="U30" s="3">
        <v>1.2345672E-2</v>
      </c>
      <c r="V30" s="3">
        <v>-8.5012909999999994E-3</v>
      </c>
      <c r="W30" s="3">
        <v>-3.0849278000000001E-2</v>
      </c>
      <c r="X30" s="3">
        <v>-3.1114936000000003E-2</v>
      </c>
      <c r="Y30" s="3">
        <v>-4.0340960000000002E-2</v>
      </c>
      <c r="Z30" s="3">
        <v>-2.8221666999999999E-2</v>
      </c>
      <c r="AA30" s="3">
        <v>2.3963332E-2</v>
      </c>
      <c r="AB30" s="3">
        <v>-1.5595734000000002E-2</v>
      </c>
      <c r="AC30" s="3">
        <v>-4.3913960000000002E-2</v>
      </c>
      <c r="AD30" s="3">
        <v>8.0109119999999992E-2</v>
      </c>
      <c r="AE30" s="3">
        <v>9.8333359999999998E-3</v>
      </c>
      <c r="AF30" s="3">
        <v>-4.0687379999999995E-2</v>
      </c>
      <c r="AG30" s="3">
        <v>1.6304374E-2</v>
      </c>
      <c r="AH30" s="3">
        <v>-6.0467599999999996E-2</v>
      </c>
      <c r="AI30" s="3">
        <v>-3.7586868000000002E-2</v>
      </c>
      <c r="AJ30" s="3"/>
      <c r="AK30" s="3"/>
      <c r="AL30" s="3"/>
    </row>
    <row r="31" spans="1:38" x14ac:dyDescent="0.45">
      <c r="A31" s="2">
        <v>45106</v>
      </c>
      <c r="B31" s="3">
        <v>-3.8544892999999997E-2</v>
      </c>
      <c r="C31" s="3">
        <v>2.1467805000000003E-2</v>
      </c>
      <c r="D31" s="3">
        <v>-1.5736461E-2</v>
      </c>
      <c r="E31" s="3">
        <v>1.8308997E-2</v>
      </c>
      <c r="F31" s="3">
        <v>7.0627809999999999E-2</v>
      </c>
      <c r="G31" s="3">
        <v>4.2794466000000003E-2</v>
      </c>
      <c r="H31" s="3">
        <v>-2.7634262999999999E-2</v>
      </c>
      <c r="I31" s="3">
        <v>4.2736530000000002E-4</v>
      </c>
      <c r="J31" s="3">
        <v>2.8958678000000002E-2</v>
      </c>
      <c r="K31" s="3">
        <v>-6.0221550000000004E-3</v>
      </c>
      <c r="L31" s="3">
        <v>0.1015395</v>
      </c>
      <c r="M31" s="3">
        <v>6.4816355999999992E-2</v>
      </c>
      <c r="N31" s="3">
        <v>7.5293659999999998E-2</v>
      </c>
      <c r="O31" s="3">
        <v>3.3364654000000001E-2</v>
      </c>
      <c r="P31" s="3">
        <v>9.4735620000000007E-4</v>
      </c>
      <c r="Q31" s="3">
        <v>-3.3530115999999999E-2</v>
      </c>
      <c r="R31" s="3">
        <v>-3.984505E-2</v>
      </c>
      <c r="S31" s="3">
        <v>-2.0083248999999997E-2</v>
      </c>
      <c r="T31" s="3">
        <v>4.0619969999999998E-2</v>
      </c>
      <c r="U31" s="3">
        <v>8.2113859999999997E-2</v>
      </c>
      <c r="V31" s="3">
        <v>1.9558907E-2</v>
      </c>
      <c r="W31" s="3">
        <v>8.2445144999999996E-4</v>
      </c>
      <c r="X31" s="3">
        <v>1.5266060999999999E-2</v>
      </c>
      <c r="Y31" s="3">
        <v>3.4353614000000005E-2</v>
      </c>
      <c r="Z31" s="3">
        <v>9.1241599999999992E-3</v>
      </c>
      <c r="AA31" s="3">
        <v>2.8120280000000001E-2</v>
      </c>
      <c r="AB31" s="3">
        <v>-1.5779077999999998E-2</v>
      </c>
      <c r="AC31" s="3">
        <v>2.456069E-3</v>
      </c>
      <c r="AD31" s="3">
        <v>4.5665025999999997E-2</v>
      </c>
      <c r="AE31" s="3">
        <v>4.6958089999999994E-2</v>
      </c>
      <c r="AF31" s="3">
        <v>2.235639E-2</v>
      </c>
      <c r="AG31" s="3">
        <v>6.5014360000000002E-3</v>
      </c>
      <c r="AH31" s="3">
        <v>-5.720854E-3</v>
      </c>
      <c r="AI31" s="3">
        <v>5.5471779999999998E-2</v>
      </c>
      <c r="AJ31" s="3"/>
      <c r="AK31" s="3"/>
      <c r="AL31" s="3"/>
    </row>
    <row r="32" spans="1:38" x14ac:dyDescent="0.45">
      <c r="A32" s="2">
        <v>45135</v>
      </c>
      <c r="B32" s="3">
        <v>7.929361E-2</v>
      </c>
      <c r="C32" s="3">
        <v>7.5857279999999999E-2</v>
      </c>
      <c r="D32" s="3">
        <v>1.8744588E-2</v>
      </c>
      <c r="E32" s="3">
        <v>3.2824396999999998E-2</v>
      </c>
      <c r="F32" s="3">
        <v>0.10000002000000001</v>
      </c>
      <c r="G32" s="3">
        <v>0.11027503</v>
      </c>
      <c r="H32" s="3">
        <v>7.9039574000000001E-2</v>
      </c>
      <c r="I32" s="3">
        <v>4.1862490000000002E-2</v>
      </c>
      <c r="J32" s="3">
        <v>4.5258284000000003E-2</v>
      </c>
      <c r="K32" s="3">
        <v>7.6052190000000006E-2</v>
      </c>
      <c r="L32" s="3">
        <v>3.7278652000000002E-2</v>
      </c>
      <c r="M32" s="3">
        <v>0.1459502</v>
      </c>
      <c r="N32" s="3">
        <v>5.4024815999999996E-2</v>
      </c>
      <c r="O32" s="3">
        <v>2.6765107999999999E-2</v>
      </c>
      <c r="P32" s="3">
        <v>0.11693001</v>
      </c>
      <c r="Q32" s="3">
        <v>6.1270236999999998E-2</v>
      </c>
      <c r="R32" s="3">
        <v>4.3053150000000005E-2</v>
      </c>
      <c r="S32" s="3">
        <v>0.19127643999999999</v>
      </c>
      <c r="T32" s="3">
        <v>3.4576296999999999E-2</v>
      </c>
      <c r="U32" s="3">
        <v>0.11269724</v>
      </c>
      <c r="V32" s="3">
        <v>3.7199139999999999E-2</v>
      </c>
      <c r="W32" s="3">
        <v>2.4196862999999999E-2</v>
      </c>
      <c r="X32" s="3">
        <v>3.5362482000000001E-2</v>
      </c>
      <c r="Y32" s="3">
        <v>3.4402966E-2</v>
      </c>
      <c r="Z32" s="3">
        <v>4.8094034000000001E-2</v>
      </c>
      <c r="AA32" s="3">
        <v>3.5603999999999997E-2</v>
      </c>
      <c r="AB32" s="3">
        <v>4.9374580000000001E-2</v>
      </c>
      <c r="AC32" s="3">
        <v>4.3260217000000004E-2</v>
      </c>
      <c r="AD32" s="3">
        <v>5.4066777000000003E-2</v>
      </c>
      <c r="AE32" s="3">
        <v>4.2934536999999995E-2</v>
      </c>
      <c r="AF32" s="3">
        <v>3.2402515E-2</v>
      </c>
      <c r="AG32" s="3">
        <v>5.1389812999999999E-2</v>
      </c>
      <c r="AH32" s="3">
        <v>2.8768658999999999E-2</v>
      </c>
      <c r="AI32" s="3">
        <v>6.2440275999999996E-2</v>
      </c>
      <c r="AJ32" s="3"/>
      <c r="AK32" s="3"/>
      <c r="AL32" s="3"/>
    </row>
    <row r="33" spans="1:38" x14ac:dyDescent="0.45">
      <c r="A33" s="2">
        <v>45167</v>
      </c>
      <c r="B33" s="3">
        <v>-7.2322726000000004E-2</v>
      </c>
      <c r="C33" s="3">
        <v>-8.9182200000000003E-2</v>
      </c>
      <c r="D33" s="3">
        <v>2.5674105000000002E-3</v>
      </c>
      <c r="E33" s="3">
        <v>-8.9430919999999997E-2</v>
      </c>
      <c r="F33" s="3">
        <v>-7.0442619999999997E-2</v>
      </c>
      <c r="G33" s="3">
        <v>-3.3442913999999997E-2</v>
      </c>
      <c r="H33" s="3">
        <v>-1.5299022000000001E-2</v>
      </c>
      <c r="I33" s="3">
        <v>-5.0225439999999996E-2</v>
      </c>
      <c r="J33" s="3">
        <v>-2.1725833E-2</v>
      </c>
      <c r="K33" s="3">
        <v>-6.1342420000000002E-2</v>
      </c>
      <c r="L33" s="3">
        <v>-3.7436365999999999E-2</v>
      </c>
      <c r="M33" s="3">
        <v>-9.2909520000000009E-2</v>
      </c>
      <c r="N33" s="3">
        <v>-1.9220889000000001E-2</v>
      </c>
      <c r="O33" s="3">
        <v>-6.9663525E-3</v>
      </c>
      <c r="P33" s="3">
        <v>-7.8011330000000004E-2</v>
      </c>
      <c r="Q33" s="3">
        <v>-4.4491410000000002E-2</v>
      </c>
      <c r="R33" s="3">
        <v>1.6549349000000001E-2</v>
      </c>
      <c r="S33" s="3">
        <v>0.13295317000000001</v>
      </c>
      <c r="T33" s="3">
        <v>-1.1795580000000002E-2</v>
      </c>
      <c r="U33" s="3">
        <v>7.4273350000000002E-3</v>
      </c>
      <c r="V33" s="3">
        <v>-4.0318846999999998E-2</v>
      </c>
      <c r="W33" s="3">
        <v>-6.9450082999999996E-2</v>
      </c>
      <c r="X33" s="3">
        <v>-4.3666179999999999E-2</v>
      </c>
      <c r="Y33" s="3">
        <v>-3.6333144000000005E-2</v>
      </c>
      <c r="Z33" s="3">
        <v>-4.5207319999999995E-2</v>
      </c>
      <c r="AA33" s="3">
        <v>-4.0816364000000001E-2</v>
      </c>
      <c r="AB33" s="3">
        <v>-2.7185261000000002E-2</v>
      </c>
      <c r="AC33" s="3">
        <v>-3.3653796E-2</v>
      </c>
      <c r="AD33" s="3">
        <v>-2.2713125000000001E-2</v>
      </c>
      <c r="AE33" s="3">
        <v>-1.6983271000000001E-2</v>
      </c>
      <c r="AF33" s="3">
        <v>-2.5771855999999999E-2</v>
      </c>
      <c r="AG33" s="3">
        <v>-7.3761406000000002E-2</v>
      </c>
      <c r="AH33" s="3">
        <v>-5.3970814000000006E-2</v>
      </c>
      <c r="AI33" s="3">
        <v>-2.7586162000000001E-2</v>
      </c>
      <c r="AJ33" s="3"/>
      <c r="AK33" s="3"/>
      <c r="AL33" s="3"/>
    </row>
    <row r="34" spans="1:38" x14ac:dyDescent="0.45">
      <c r="A34" s="2">
        <v>45198</v>
      </c>
      <c r="B34" s="3">
        <v>-2.3540854000000003E-2</v>
      </c>
      <c r="C34" s="3">
        <v>-7.4231204999999995E-2</v>
      </c>
      <c r="D34" s="3">
        <v>-4.9509169999999998E-2</v>
      </c>
      <c r="E34" s="3">
        <v>1.0957837E-2</v>
      </c>
      <c r="F34" s="3">
        <v>-0.123911915</v>
      </c>
      <c r="G34" s="3">
        <v>-6.7655206000000009E-2</v>
      </c>
      <c r="H34" s="3">
        <v>-3.0602634000000004E-2</v>
      </c>
      <c r="I34" s="3">
        <v>-3.8420079999999995E-2</v>
      </c>
      <c r="J34" s="3">
        <v>-8.9302480000000004E-2</v>
      </c>
      <c r="K34" s="3">
        <v>-6.9613276000000002E-2</v>
      </c>
      <c r="L34" s="3">
        <v>-4.5737386000000005E-2</v>
      </c>
      <c r="M34" s="3">
        <v>-7.8167200000000006E-2</v>
      </c>
      <c r="N34" s="3">
        <v>-0.13169586</v>
      </c>
      <c r="O34" s="3">
        <v>6.7889689999999999E-4</v>
      </c>
      <c r="P34" s="3">
        <v>-5.1074029999999999E-2</v>
      </c>
      <c r="Q34" s="3">
        <v>-3.6031127000000003E-2</v>
      </c>
      <c r="R34" s="3">
        <v>-6.2072515000000002E-2</v>
      </c>
      <c r="S34" s="3">
        <v>2.1456957000000002E-2</v>
      </c>
      <c r="T34" s="3">
        <v>1.3925791E-2</v>
      </c>
      <c r="U34" s="3">
        <v>-9.2493300000000001E-2</v>
      </c>
      <c r="V34" s="3">
        <v>-5.3737106E-2</v>
      </c>
      <c r="W34" s="3">
        <v>-3.0641257999999998E-2</v>
      </c>
      <c r="X34" s="3">
        <v>-2.7576864E-2</v>
      </c>
      <c r="Y34" s="3">
        <v>-2.9582381000000001E-2</v>
      </c>
      <c r="Z34" s="3">
        <v>-6.7283688000000008E-2</v>
      </c>
      <c r="AA34" s="3">
        <v>-1.3256907E-2</v>
      </c>
      <c r="AB34" s="3">
        <v>-6.3413620000000004E-2</v>
      </c>
      <c r="AC34" s="3">
        <v>-1.616919E-2</v>
      </c>
      <c r="AD34" s="3">
        <v>-4.2645692999999998E-2</v>
      </c>
      <c r="AE34" s="3">
        <v>-4.4869422999999999E-2</v>
      </c>
      <c r="AF34" s="3">
        <v>-6.7836579999999994E-2</v>
      </c>
      <c r="AG34" s="3">
        <v>-8.8030629999999999E-2</v>
      </c>
      <c r="AH34" s="3">
        <v>-2.5421261999999997E-2</v>
      </c>
      <c r="AI34" s="3">
        <v>-6.1979649999999997E-2</v>
      </c>
      <c r="AJ34" s="3"/>
      <c r="AK34" s="3"/>
      <c r="AL34" s="3"/>
    </row>
    <row r="35" spans="1:38" x14ac:dyDescent="0.45">
      <c r="A35" s="2">
        <v>45226</v>
      </c>
      <c r="B35" s="3">
        <v>-5.0115109999999997E-2</v>
      </c>
      <c r="C35" s="3">
        <v>-7.2546780000000005E-2</v>
      </c>
      <c r="D35" s="3">
        <v>-8.5765600000000011E-2</v>
      </c>
      <c r="E35" s="3">
        <v>-6.6238459999999999E-2</v>
      </c>
      <c r="F35" s="3">
        <v>0.12799525</v>
      </c>
      <c r="G35" s="3">
        <v>-3.5046398999999999E-2</v>
      </c>
      <c r="H35" s="3">
        <v>-8.7420940000000006E-3</v>
      </c>
      <c r="I35" s="3">
        <v>-2.4466872000000001E-2</v>
      </c>
      <c r="J35" s="3">
        <v>-6.3541116999999994E-2</v>
      </c>
      <c r="K35" s="3">
        <v>-7.2955550000000008E-2</v>
      </c>
      <c r="L35" s="3">
        <v>-2.4127781000000001E-2</v>
      </c>
      <c r="M35" s="3">
        <v>-1.5417278000000001E-2</v>
      </c>
      <c r="N35" s="3">
        <v>1.2037753999999999E-3</v>
      </c>
      <c r="O35" s="3">
        <v>-2.8493940000000002E-2</v>
      </c>
      <c r="P35" s="3">
        <v>-3.1647085999999998E-2</v>
      </c>
      <c r="Q35" s="3">
        <v>-8.9131649999999993E-2</v>
      </c>
      <c r="R35" s="3">
        <v>-5.6543710000000004E-2</v>
      </c>
      <c r="S35" s="3">
        <v>-0.11825727999999999</v>
      </c>
      <c r="T35" s="3">
        <v>-0.12720728000000001</v>
      </c>
      <c r="U35" s="3">
        <v>-0.1100443</v>
      </c>
      <c r="V35" s="3">
        <v>-6.1435222999999997E-2</v>
      </c>
      <c r="W35" s="3">
        <v>-7.3379993000000004E-2</v>
      </c>
      <c r="X35" s="3">
        <v>-4.4630470000000005E-2</v>
      </c>
      <c r="Y35" s="3">
        <v>-5.9175133999999997E-2</v>
      </c>
      <c r="Z35" s="3">
        <v>-5.4580153999999999E-2</v>
      </c>
      <c r="AA35" s="3">
        <v>-4.0968657000000006E-2</v>
      </c>
      <c r="AB35" s="3">
        <v>-4.4985055999999995E-2</v>
      </c>
      <c r="AC35" s="3">
        <v>-4.5195936999999999E-2</v>
      </c>
      <c r="AD35" s="3">
        <v>-3.6173820000000002E-2</v>
      </c>
      <c r="AE35" s="3">
        <v>-3.9300144000000002E-2</v>
      </c>
      <c r="AF35" s="3">
        <v>-5.1418961999999999E-2</v>
      </c>
      <c r="AG35" s="3">
        <v>-3.3535004E-2</v>
      </c>
      <c r="AH35" s="3">
        <v>-6.5817475E-2</v>
      </c>
      <c r="AI35" s="3">
        <v>-4.4049980000000002E-2</v>
      </c>
      <c r="AJ35" s="3"/>
      <c r="AK35" s="3"/>
      <c r="AL35" s="3"/>
    </row>
    <row r="36" spans="1:38" x14ac:dyDescent="0.45">
      <c r="A36" s="2">
        <v>45259</v>
      </c>
      <c r="B36" s="3">
        <v>1.5659928E-2</v>
      </c>
      <c r="C36" s="3">
        <v>9.7159270000000006E-2</v>
      </c>
      <c r="D36" s="3">
        <v>6.4833045000000006E-2</v>
      </c>
      <c r="E36" s="3">
        <v>8.2975025000000008E-2</v>
      </c>
      <c r="F36" s="3">
        <v>0.13989639000000001</v>
      </c>
      <c r="G36" s="3">
        <v>6.0469149999999999E-2</v>
      </c>
      <c r="H36" s="3">
        <v>3.7726639999999999E-2</v>
      </c>
      <c r="I36" s="3">
        <v>0.12701332000000001</v>
      </c>
      <c r="J36" s="3">
        <v>0.13827252000000001</v>
      </c>
      <c r="K36" s="3">
        <v>0.15995609</v>
      </c>
      <c r="L36" s="3">
        <v>0.12896764999999999</v>
      </c>
      <c r="M36" s="3">
        <v>9.3412510000000004E-2</v>
      </c>
      <c r="N36" s="3">
        <v>0.12623988999999999</v>
      </c>
      <c r="O36" s="3">
        <v>6.2150836000000001E-2</v>
      </c>
      <c r="P36" s="3">
        <v>1.1927485E-2</v>
      </c>
      <c r="Q36" s="3">
        <v>9.0277790000000011E-2</v>
      </c>
      <c r="R36" s="3">
        <v>-3.8903949999999999E-4</v>
      </c>
      <c r="S36" s="3">
        <v>4.7352909999999998E-2</v>
      </c>
      <c r="T36" s="3">
        <v>0.10753083000000001</v>
      </c>
      <c r="U36" s="3">
        <v>0.10041499</v>
      </c>
      <c r="V36" s="3">
        <v>8.4433439999999998E-2</v>
      </c>
      <c r="W36" s="3">
        <v>0.12378168000000001</v>
      </c>
      <c r="X36" s="3">
        <v>9.0024359999999998E-2</v>
      </c>
      <c r="Y36" s="3">
        <v>0.10101652</v>
      </c>
      <c r="Z36" s="3">
        <v>0.15179657999999999</v>
      </c>
      <c r="AA36" s="3">
        <v>8.0767989999999998E-2</v>
      </c>
      <c r="AB36" s="3">
        <v>8.7238670000000004E-2</v>
      </c>
      <c r="AC36" s="3">
        <v>7.1499466999999997E-2</v>
      </c>
      <c r="AD36" s="3">
        <v>0.12886965</v>
      </c>
      <c r="AE36" s="3">
        <v>0.10696887999999999</v>
      </c>
      <c r="AF36" s="3">
        <v>0.114632845</v>
      </c>
      <c r="AG36" s="3">
        <v>0.15199351</v>
      </c>
      <c r="AH36" s="3">
        <v>0.18409098000000002</v>
      </c>
      <c r="AI36" s="3">
        <v>0.13789547000000002</v>
      </c>
      <c r="AJ36" s="3"/>
      <c r="AK36" s="3"/>
      <c r="AL36" s="3"/>
    </row>
    <row r="37" spans="1:38" x14ac:dyDescent="0.45">
      <c r="A37" s="2">
        <v>45289</v>
      </c>
      <c r="B37" s="3">
        <v>-1.2628257E-2</v>
      </c>
      <c r="C37" s="3">
        <v>6.5346599999999991E-2</v>
      </c>
      <c r="D37" s="3">
        <v>3.7843108E-2</v>
      </c>
      <c r="E37" s="3">
        <v>4.023123E-2</v>
      </c>
      <c r="F37" s="3">
        <v>5.9640883999999998E-2</v>
      </c>
      <c r="G37" s="3">
        <v>0.13655651000000002</v>
      </c>
      <c r="H37" s="3">
        <v>2.1038412999999999E-2</v>
      </c>
      <c r="I37" s="3">
        <v>5.9368134000000003E-2</v>
      </c>
      <c r="J37" s="3">
        <v>0.10999131000000001</v>
      </c>
      <c r="K37" s="3">
        <v>6.0966371999999998E-2</v>
      </c>
      <c r="L37" s="3">
        <v>7.2021840000000004E-2</v>
      </c>
      <c r="M37" s="3">
        <v>4.4730424999999997E-2</v>
      </c>
      <c r="N37" s="3">
        <v>8.8264940000000007E-3</v>
      </c>
      <c r="O37" s="3">
        <v>6.9690943000000005E-2</v>
      </c>
      <c r="P37" s="3">
        <v>-1.5297412999999999E-2</v>
      </c>
      <c r="Q37" s="3">
        <v>4.9797296999999997E-2</v>
      </c>
      <c r="R37" s="3">
        <v>2.029276E-2</v>
      </c>
      <c r="S37" s="3">
        <v>-8.3904560000000003E-2</v>
      </c>
      <c r="T37" s="3">
        <v>1.1978984E-2</v>
      </c>
      <c r="U37" s="3">
        <v>2.736485E-2</v>
      </c>
      <c r="V37" s="3">
        <v>8.7798599999999991E-2</v>
      </c>
      <c r="W37" s="3">
        <v>7.3377850000000008E-2</v>
      </c>
      <c r="X37" s="3">
        <v>0.10899495999999999</v>
      </c>
      <c r="Y37" s="3">
        <v>7.2699665999999996E-2</v>
      </c>
      <c r="Z37" s="3">
        <v>4.0713429999999995E-2</v>
      </c>
      <c r="AA37" s="3">
        <v>4.0871263000000005E-2</v>
      </c>
      <c r="AB37" s="3">
        <v>6.6976069999999999E-2</v>
      </c>
      <c r="AC37" s="3">
        <v>4.451227E-2</v>
      </c>
      <c r="AD37" s="3">
        <v>5.3201080000000005E-2</v>
      </c>
      <c r="AE37" s="3">
        <v>4.9779654000000007E-2</v>
      </c>
      <c r="AF37" s="3">
        <v>4.7971844999999999E-2</v>
      </c>
      <c r="AG37" s="3">
        <v>6.2289475999999996E-2</v>
      </c>
      <c r="AH37" s="3">
        <v>0.10898495000000001</v>
      </c>
      <c r="AI37" s="3">
        <v>3.8321613999999997E-2</v>
      </c>
      <c r="AJ37" s="3"/>
      <c r="AK37" s="3"/>
      <c r="AL37" s="3"/>
    </row>
    <row r="38" spans="1:38" x14ac:dyDescent="0.45">
      <c r="A38" s="2">
        <v>45320</v>
      </c>
      <c r="B38" s="3">
        <v>-5.7319880000000004E-2</v>
      </c>
      <c r="C38" s="3">
        <v>-8.4012749999999997E-2</v>
      </c>
      <c r="D38" s="3">
        <v>-3.3602178000000003E-2</v>
      </c>
      <c r="E38" s="3">
        <v>1.6160011000000002E-2</v>
      </c>
      <c r="F38" s="3">
        <v>-6.3576164000000004E-2</v>
      </c>
      <c r="G38" s="3">
        <v>-7.6178310000000003E-3</v>
      </c>
      <c r="H38" s="3">
        <v>1.4117956000000002E-3</v>
      </c>
      <c r="I38" s="3">
        <v>-1.3686657E-2</v>
      </c>
      <c r="J38" s="3">
        <v>-2.1665454000000001E-2</v>
      </c>
      <c r="K38" s="3">
        <v>-8.1947209999999993E-2</v>
      </c>
      <c r="L38" s="3">
        <v>-5.2345456999999998E-2</v>
      </c>
      <c r="M38" s="3">
        <v>-5.8865730000000005E-2</v>
      </c>
      <c r="N38" s="3">
        <v>4.1835310000000001E-2</v>
      </c>
      <c r="O38" s="3">
        <v>2.3970485E-2</v>
      </c>
      <c r="P38" s="3">
        <v>-8.0019709999999994E-2</v>
      </c>
      <c r="Q38" s="3">
        <v>-4.0816306999999996E-2</v>
      </c>
      <c r="R38" s="3">
        <v>-2.7947843E-2</v>
      </c>
      <c r="S38" s="3">
        <v>0.10625780000000001</v>
      </c>
      <c r="T38" s="3">
        <v>1.2786031E-2</v>
      </c>
      <c r="U38" s="3">
        <v>-9.2878939999999997E-3</v>
      </c>
      <c r="V38" s="3">
        <v>2.7639984999999999E-2</v>
      </c>
      <c r="W38" s="3">
        <v>-2.6291310000000002E-2</v>
      </c>
      <c r="X38" s="3">
        <v>-1.9720614000000001E-2</v>
      </c>
      <c r="Y38" s="3">
        <v>5.4526329999999993E-4</v>
      </c>
      <c r="Z38" s="3">
        <v>-7.7467560000000005E-3</v>
      </c>
      <c r="AA38" s="3">
        <v>3.1649469999999999E-2</v>
      </c>
      <c r="AB38" s="3">
        <v>0</v>
      </c>
      <c r="AC38" s="3">
        <v>-1.0589957000000001E-2</v>
      </c>
      <c r="AD38" s="3">
        <v>4.5492290000000005E-2</v>
      </c>
      <c r="AE38" s="3">
        <v>3.3578038000000004E-2</v>
      </c>
      <c r="AF38" s="3">
        <v>-1.7865896000000001E-3</v>
      </c>
      <c r="AG38" s="3">
        <v>3.2937407000000002E-2</v>
      </c>
      <c r="AH38" s="3">
        <v>-5.295163E-2</v>
      </c>
      <c r="AI38" s="3">
        <v>-2.0335972000000001E-2</v>
      </c>
      <c r="AJ38" s="3"/>
      <c r="AK38" s="3"/>
      <c r="AL38" s="3"/>
    </row>
    <row r="39" spans="1:38" x14ac:dyDescent="0.45">
      <c r="A39" s="2">
        <v>45351</v>
      </c>
      <c r="B39" s="3">
        <v>6.7271949999999997E-2</v>
      </c>
      <c r="C39" s="3">
        <v>1.8962859999999998E-2</v>
      </c>
      <c r="D39" s="3">
        <v>3.7088633000000003E-2</v>
      </c>
      <c r="E39" s="3">
        <v>3.9757609999999999E-2</v>
      </c>
      <c r="F39" s="3">
        <v>9.9009879999999995E-2</v>
      </c>
      <c r="G39" s="3">
        <v>3.0277251999999998E-2</v>
      </c>
      <c r="H39" s="3">
        <v>2.1146536E-2</v>
      </c>
      <c r="I39" s="3">
        <v>2.0484566999999999E-2</v>
      </c>
      <c r="J39" s="3">
        <v>-1.7173826999999999E-2</v>
      </c>
      <c r="K39" s="3">
        <v>6.5658209999999995E-2</v>
      </c>
      <c r="L39" s="3">
        <v>-3.6221743000000002E-3</v>
      </c>
      <c r="M39" s="3">
        <v>-5.5428449999999997E-2</v>
      </c>
      <c r="N39" s="3">
        <v>3.9378284999999999E-2</v>
      </c>
      <c r="O39" s="3">
        <v>2.3609399999999999E-2</v>
      </c>
      <c r="P39" s="3">
        <v>4.0288209999999998E-2</v>
      </c>
      <c r="Q39" s="3">
        <v>4.5428514000000003E-2</v>
      </c>
      <c r="R39" s="3">
        <v>-4.0761827999999996E-3</v>
      </c>
      <c r="S39" s="3">
        <v>4.9846053000000001E-2</v>
      </c>
      <c r="T39" s="3">
        <v>-3.2558142999999998E-2</v>
      </c>
      <c r="U39" s="3">
        <v>5.5468799999999999E-2</v>
      </c>
      <c r="V39" s="3">
        <v>2.2528768000000001E-2</v>
      </c>
      <c r="W39" s="3">
        <v>-4.6166897000000005E-2</v>
      </c>
      <c r="X39" s="3">
        <v>2.5146007999999999E-3</v>
      </c>
      <c r="Y39" s="3">
        <v>1.9073486000000001E-3</v>
      </c>
      <c r="Z39" s="3">
        <v>4.0054319999999997E-2</v>
      </c>
      <c r="AA39" s="3">
        <v>4.4582249999999997E-2</v>
      </c>
      <c r="AB39" s="3">
        <v>-3.0039369999999999E-2</v>
      </c>
      <c r="AC39" s="3">
        <v>1.5289783000000002E-3</v>
      </c>
      <c r="AD39" s="3">
        <v>2.534163E-2</v>
      </c>
      <c r="AE39" s="3">
        <v>3.4217477000000003E-2</v>
      </c>
      <c r="AF39" s="3">
        <v>2.8125762999999998E-2</v>
      </c>
      <c r="AG39" s="3">
        <v>3.5574913E-2</v>
      </c>
      <c r="AH39" s="3">
        <v>5.7784915000000006E-2</v>
      </c>
      <c r="AI39" s="3">
        <v>7.1901320000000005E-2</v>
      </c>
      <c r="AJ39" s="3"/>
      <c r="AK39" s="3"/>
      <c r="AL39" s="3"/>
    </row>
    <row r="40" spans="1:38" x14ac:dyDescent="0.45">
      <c r="A40" s="2">
        <v>45379</v>
      </c>
      <c r="B40" s="3">
        <v>-1.0547041999999999E-3</v>
      </c>
      <c r="C40" s="3">
        <v>9.115100000000001E-3</v>
      </c>
      <c r="D40" s="3">
        <v>7.1524379999999997E-3</v>
      </c>
      <c r="E40" s="3">
        <v>6.1907769999999997E-3</v>
      </c>
      <c r="F40" s="3">
        <v>1.2012004999999999E-2</v>
      </c>
      <c r="G40" s="3">
        <v>0.11433208</v>
      </c>
      <c r="H40" s="3">
        <v>2.7612448000000002E-3</v>
      </c>
      <c r="I40" s="3">
        <v>5.0723076000000006E-2</v>
      </c>
      <c r="J40" s="3">
        <v>6.2385080000000002E-2</v>
      </c>
      <c r="K40" s="3">
        <v>4.6794533999999999E-2</v>
      </c>
      <c r="L40" s="3">
        <v>-1.7873406000000001E-2</v>
      </c>
      <c r="M40" s="3">
        <v>5.4374100000000002E-2</v>
      </c>
      <c r="N40" s="3">
        <v>-2.7418136999999999E-3</v>
      </c>
      <c r="O40" s="3">
        <v>8.4049700000000012E-3</v>
      </c>
      <c r="P40" s="3">
        <v>1.8979191999999999E-2</v>
      </c>
      <c r="Q40" s="3">
        <v>-2.9703020000000004E-2</v>
      </c>
      <c r="R40" s="3">
        <v>5.3038600000000005E-3</v>
      </c>
      <c r="S40" s="3">
        <v>-4.134446E-2</v>
      </c>
      <c r="T40" s="3">
        <v>1.5796661E-2</v>
      </c>
      <c r="U40" s="3">
        <v>2.8867482999999999E-2</v>
      </c>
      <c r="V40" s="3">
        <v>-7.1942209999999998E-3</v>
      </c>
      <c r="W40" s="3">
        <v>9.9911689999999994E-3</v>
      </c>
      <c r="X40" s="3">
        <v>3.0936479999999999E-2</v>
      </c>
      <c r="Y40" s="3">
        <v>4.106605E-2</v>
      </c>
      <c r="Z40" s="3">
        <v>3.6227226000000001E-2</v>
      </c>
      <c r="AA40" s="3">
        <v>3.2262683E-2</v>
      </c>
      <c r="AB40" s="3">
        <v>1.6659497999999998E-2</v>
      </c>
      <c r="AC40" s="3">
        <v>4.4580099999999998E-2</v>
      </c>
      <c r="AD40" s="3">
        <v>1.2738108999999999E-2</v>
      </c>
      <c r="AE40" s="3">
        <v>3.2723903999999998E-2</v>
      </c>
      <c r="AF40" s="3">
        <v>2.9843329999999998E-2</v>
      </c>
      <c r="AG40" s="3">
        <v>3.6447406000000002E-2</v>
      </c>
      <c r="AH40" s="3">
        <v>1.0622144E-2</v>
      </c>
      <c r="AI40" s="3">
        <v>5.8658479999999999E-2</v>
      </c>
      <c r="AJ40" s="3"/>
      <c r="AK40" s="3"/>
      <c r="AL40" s="3"/>
    </row>
    <row r="41" spans="1:38" x14ac:dyDescent="0.45">
      <c r="A41" s="2">
        <v>45411</v>
      </c>
      <c r="B41" s="3">
        <v>3.5452842999999998E-2</v>
      </c>
      <c r="C41" s="3">
        <v>2.7098298E-2</v>
      </c>
      <c r="D41" s="3">
        <v>-8.1668909999999997E-2</v>
      </c>
      <c r="E41" s="3">
        <v>-5.8993815999999998E-2</v>
      </c>
      <c r="F41" s="3">
        <v>2.416277E-2</v>
      </c>
      <c r="G41" s="3">
        <v>6.4615846000000005E-2</v>
      </c>
      <c r="H41" s="3">
        <v>2.5699854000000001E-2</v>
      </c>
      <c r="I41" s="3">
        <v>-1.5817583E-2</v>
      </c>
      <c r="J41" s="3">
        <v>-2.9721497999999999E-2</v>
      </c>
      <c r="K41" s="3">
        <v>-4.6043872999999999E-2</v>
      </c>
      <c r="L41" s="3">
        <v>-2.0666182000000002E-2</v>
      </c>
      <c r="M41" s="3">
        <v>4.9017190000000002E-2</v>
      </c>
      <c r="N41" s="3">
        <v>2.0244955999999998E-2</v>
      </c>
      <c r="O41" s="3">
        <v>1.8220544000000002E-2</v>
      </c>
      <c r="P41" s="3">
        <v>7.6516509999999996E-2</v>
      </c>
      <c r="Q41" s="3">
        <v>-1.2471616000000001E-2</v>
      </c>
      <c r="R41" s="3">
        <v>-1.1589766E-2</v>
      </c>
      <c r="S41" s="3">
        <v>0.12047862999999999</v>
      </c>
      <c r="T41" s="3">
        <v>-2.6369213999999998E-2</v>
      </c>
      <c r="U41" s="3">
        <v>-0.11079138999999999</v>
      </c>
      <c r="V41" s="3">
        <v>-2.0380497000000001E-2</v>
      </c>
      <c r="W41" s="3">
        <v>-3.7371516E-3</v>
      </c>
      <c r="X41" s="3">
        <v>-2.9602587E-2</v>
      </c>
      <c r="Y41" s="3">
        <v>-1.5673935E-2</v>
      </c>
      <c r="Z41" s="3">
        <v>-2.4251996999999997E-2</v>
      </c>
      <c r="AA41" s="3">
        <v>-5.0595639999999997E-2</v>
      </c>
      <c r="AB41" s="3">
        <v>-3.1932712000000002E-2</v>
      </c>
      <c r="AC41" s="3">
        <v>2.2508024999999997E-2</v>
      </c>
      <c r="AD41" s="3">
        <v>-2.535981E-2</v>
      </c>
      <c r="AE41" s="3">
        <v>-2.4872421999999998E-2</v>
      </c>
      <c r="AF41" s="3">
        <v>-1.9560516E-2</v>
      </c>
      <c r="AG41" s="3">
        <v>-1.4551342E-2</v>
      </c>
      <c r="AH41" s="3">
        <v>-1.5515505999999998E-2</v>
      </c>
      <c r="AI41" s="3">
        <v>-1.0604500999999999E-2</v>
      </c>
      <c r="AJ41" s="3"/>
      <c r="AK41" s="3"/>
      <c r="AL41" s="3"/>
    </row>
    <row r="42" spans="1:38" x14ac:dyDescent="0.45">
      <c r="A42" s="2">
        <v>45441</v>
      </c>
      <c r="B42" s="3">
        <v>-1.1537075000000001E-2</v>
      </c>
      <c r="C42" s="3">
        <v>4.3605685000000005E-2</v>
      </c>
      <c r="D42" s="3">
        <v>-3.5282790000000001E-2</v>
      </c>
      <c r="E42" s="3">
        <v>-5.3461493999999998E-2</v>
      </c>
      <c r="F42" s="3">
        <v>1.9453644999999999E-2</v>
      </c>
      <c r="G42" s="3">
        <v>3.7385106000000001E-2</v>
      </c>
      <c r="H42" s="3">
        <v>2.7292966999999998E-2</v>
      </c>
      <c r="I42" s="3">
        <v>6.5122128000000001E-2</v>
      </c>
      <c r="J42" s="3">
        <v>-3.8810431999999999E-2</v>
      </c>
      <c r="K42" s="3">
        <v>-1.3589442E-2</v>
      </c>
      <c r="L42" s="3">
        <v>-5.8897675999999996E-2</v>
      </c>
      <c r="M42" s="3">
        <v>3.1151056E-2</v>
      </c>
      <c r="N42" s="3">
        <v>3.1847953999999999E-3</v>
      </c>
      <c r="O42" s="3">
        <v>1.4277577E-2</v>
      </c>
      <c r="P42" s="3">
        <v>4.0448904000000001E-2</v>
      </c>
      <c r="Q42" s="3">
        <v>-5.1664709999999996E-2</v>
      </c>
      <c r="R42" s="3">
        <v>-8.9135766000000005E-3</v>
      </c>
      <c r="S42" s="3">
        <v>5.6617856000000001E-2</v>
      </c>
      <c r="T42" s="3">
        <v>-4.4444379999999999E-2</v>
      </c>
      <c r="U42" s="3">
        <v>2.508092E-2</v>
      </c>
      <c r="V42" s="3">
        <v>-6.7267656000000009E-2</v>
      </c>
      <c r="W42" s="3">
        <v>-8.8261365999999994E-3</v>
      </c>
      <c r="X42" s="3">
        <v>1.1282921E-2</v>
      </c>
      <c r="Y42" s="3">
        <v>-9.819507600000001E-3</v>
      </c>
      <c r="Z42" s="3">
        <v>2.4531960000000002E-2</v>
      </c>
      <c r="AA42" s="3">
        <v>-3.9857626000000005E-3</v>
      </c>
      <c r="AB42" s="3">
        <v>3.5590290000000004E-2</v>
      </c>
      <c r="AC42" s="3">
        <v>1.8867970000000001E-2</v>
      </c>
      <c r="AD42" s="3">
        <v>5.4742930000000002E-2</v>
      </c>
      <c r="AE42" s="3">
        <v>3.1447291000000002E-2</v>
      </c>
      <c r="AF42" s="3">
        <v>1.2068987E-2</v>
      </c>
      <c r="AG42" s="3">
        <v>4.4503690000000005E-2</v>
      </c>
      <c r="AH42" s="3">
        <v>3.8637520000000002E-2</v>
      </c>
      <c r="AI42" s="3">
        <v>2.1436213999999999E-2</v>
      </c>
      <c r="AJ42" s="3"/>
      <c r="AK42" s="3"/>
      <c r="AL42" s="3"/>
    </row>
    <row r="43" spans="1:38" x14ac:dyDescent="0.45">
      <c r="A43" s="2">
        <v>45471</v>
      </c>
      <c r="B43" s="3">
        <v>-4.3474912999999997E-2</v>
      </c>
      <c r="C43" s="3">
        <v>-6.8091335000000003E-2</v>
      </c>
      <c r="D43" s="3">
        <v>-6.2412024000000005E-4</v>
      </c>
      <c r="E43" s="3">
        <v>-3.4514666E-3</v>
      </c>
      <c r="F43" s="3">
        <v>1.4635800999999999E-2</v>
      </c>
      <c r="G43" s="3">
        <v>-4.7183989999999995E-2</v>
      </c>
      <c r="H43" s="3">
        <v>-6.1085820000000004E-3</v>
      </c>
      <c r="I43" s="3">
        <v>6.1924340000000001E-2</v>
      </c>
      <c r="J43" s="3">
        <v>-0.11687058</v>
      </c>
      <c r="K43" s="3">
        <v>4.6555758000000003E-2</v>
      </c>
      <c r="L43" s="3">
        <v>-5.5311623000000004E-2</v>
      </c>
      <c r="M43" s="3">
        <v>3.8472772000000002E-2</v>
      </c>
      <c r="N43" s="3">
        <v>-2.5825439999999998E-2</v>
      </c>
      <c r="O43" s="3">
        <v>4.692197E-2</v>
      </c>
      <c r="P43" s="3">
        <v>-4.8189399999999993E-2</v>
      </c>
      <c r="Q43" s="3">
        <v>6.9809437000000002E-2</v>
      </c>
      <c r="R43" s="3">
        <v>-3.6204576000000002E-2</v>
      </c>
      <c r="S43" s="3">
        <v>-2.3269653000000001E-4</v>
      </c>
      <c r="T43" s="3">
        <v>3.8615942E-2</v>
      </c>
      <c r="U43" s="3">
        <v>-3.9463282000000002E-2</v>
      </c>
      <c r="V43" s="3">
        <v>2.1781920999999999E-2</v>
      </c>
      <c r="W43" s="3">
        <v>1.9776225000000001E-2</v>
      </c>
      <c r="X43" s="3">
        <v>2.9175282E-2</v>
      </c>
      <c r="Y43" s="3">
        <v>3.5158395999999995E-3</v>
      </c>
      <c r="Z43" s="3">
        <v>-1.149118E-2</v>
      </c>
      <c r="AA43" s="3">
        <v>1.8971324000000001E-2</v>
      </c>
      <c r="AB43" s="3">
        <v>3.1460881000000003E-2</v>
      </c>
      <c r="AC43" s="3">
        <v>-2.1585225999999997E-3</v>
      </c>
      <c r="AD43" s="3">
        <v>5.1353454999999999E-2</v>
      </c>
      <c r="AE43" s="3">
        <v>3.7783859999999996E-2</v>
      </c>
      <c r="AF43" s="3">
        <v>-5.9195399999999995E-2</v>
      </c>
      <c r="AG43" s="3">
        <v>-2.6182531999999997E-3</v>
      </c>
      <c r="AH43" s="3">
        <v>9.4389915000000005E-4</v>
      </c>
      <c r="AI43" s="3">
        <v>-3.6258220000000001E-2</v>
      </c>
      <c r="AJ43" s="3"/>
      <c r="AK43" s="3"/>
      <c r="AL43" s="3"/>
    </row>
    <row r="44" spans="1:38" x14ac:dyDescent="0.45">
      <c r="A44" s="2">
        <v>45502</v>
      </c>
      <c r="B44" s="3">
        <v>-1.8555044999999999E-2</v>
      </c>
      <c r="C44" s="3">
        <v>-1.3529180999999999E-2</v>
      </c>
      <c r="D44" s="3">
        <v>4.0996313000000006E-2</v>
      </c>
      <c r="E44" s="3">
        <v>3.8907289999999997E-2</v>
      </c>
      <c r="F44" s="3">
        <v>-2.9759525999999998E-2</v>
      </c>
      <c r="G44" s="3">
        <v>8.9485645000000006E-3</v>
      </c>
      <c r="H44" s="3">
        <v>3.7845135000000002E-2</v>
      </c>
      <c r="I44" s="3">
        <v>-5.0931873000000003E-2</v>
      </c>
      <c r="J44" s="3">
        <v>-1.3425230999999999E-2</v>
      </c>
      <c r="K44" s="3">
        <v>-1.5736042999999998E-2</v>
      </c>
      <c r="L44" s="3">
        <v>1.57336E-2</v>
      </c>
      <c r="M44" s="3">
        <v>3.9243697999999999E-3</v>
      </c>
      <c r="N44" s="3">
        <v>6.6255927000000006E-2</v>
      </c>
      <c r="O44" s="3">
        <v>1.9003272000000002E-2</v>
      </c>
      <c r="P44" s="3">
        <v>-2.4662017999999997E-2</v>
      </c>
      <c r="Q44" s="3">
        <v>1.4218092E-2</v>
      </c>
      <c r="R44" s="3">
        <v>4.8041344E-3</v>
      </c>
      <c r="S44" s="3">
        <v>-7.1394440000000002E-4</v>
      </c>
      <c r="T44" s="3">
        <v>7.3454619999999998E-2</v>
      </c>
      <c r="U44" s="3">
        <v>-1.3147055999999999E-2</v>
      </c>
      <c r="V44" s="3">
        <v>3.3973455E-2</v>
      </c>
      <c r="W44" s="3">
        <v>-8.798897E-3</v>
      </c>
      <c r="X44" s="3">
        <v>3.2746792E-3</v>
      </c>
      <c r="Y44" s="3">
        <v>3.0466437000000002E-2</v>
      </c>
      <c r="Z44" s="3">
        <v>1.2736796999999999E-2</v>
      </c>
      <c r="AA44" s="3">
        <v>8.9390279999999999E-3</v>
      </c>
      <c r="AB44" s="3">
        <v>3.1321406000000003E-2</v>
      </c>
      <c r="AC44" s="3">
        <v>2.8956413E-2</v>
      </c>
      <c r="AD44" s="3">
        <v>-3.1746327999999997E-2</v>
      </c>
      <c r="AE44" s="3">
        <v>9.922981E-4</v>
      </c>
      <c r="AF44" s="3">
        <v>1.164639E-2</v>
      </c>
      <c r="AG44" s="3">
        <v>-4.1409491999999999E-2</v>
      </c>
      <c r="AH44" s="3">
        <v>-1.6397536000000001E-2</v>
      </c>
      <c r="AI44" s="3">
        <v>3.5425425000000003E-2</v>
      </c>
      <c r="AJ44" s="3"/>
      <c r="AK44" s="3"/>
      <c r="AL44" s="3"/>
    </row>
    <row r="45" spans="1:38" x14ac:dyDescent="0.45">
      <c r="A45" s="2">
        <v>45533</v>
      </c>
      <c r="B45" s="3">
        <v>-6.0338380000000006E-3</v>
      </c>
      <c r="C45" s="3">
        <v>4.4278979999999996E-2</v>
      </c>
      <c r="D45" s="3">
        <v>8.9232329999999999E-2</v>
      </c>
      <c r="E45" s="3">
        <v>9.8007919999999998E-2</v>
      </c>
      <c r="F45" s="3">
        <v>2.8151274E-2</v>
      </c>
      <c r="G45" s="3">
        <v>-6.8982244000000007E-3</v>
      </c>
      <c r="H45" s="3">
        <v>9.3951110000000004E-2</v>
      </c>
      <c r="I45" s="3">
        <v>5.1331879999999996E-2</v>
      </c>
      <c r="J45" s="3">
        <v>-5.3894339999999999E-2</v>
      </c>
      <c r="K45" s="3">
        <v>5.5341720000000004E-3</v>
      </c>
      <c r="L45" s="3">
        <v>7.5648427000000004E-2</v>
      </c>
      <c r="M45" s="3">
        <v>8.7836269999999994E-2</v>
      </c>
      <c r="N45" s="3">
        <v>-1.1232138000000001E-2</v>
      </c>
      <c r="O45" s="3">
        <v>7.5651410000000001E-3</v>
      </c>
      <c r="P45" s="3">
        <v>9.7252129999999999E-3</v>
      </c>
      <c r="Q45" s="3">
        <v>2.8037309999999999E-2</v>
      </c>
      <c r="R45" s="3">
        <v>3.8402438000000004E-2</v>
      </c>
      <c r="S45" s="3">
        <v>-0.11931419</v>
      </c>
      <c r="T45" s="3">
        <v>5.4200890000000003E-3</v>
      </c>
      <c r="U45" s="3">
        <v>4.6627759999999997E-2</v>
      </c>
      <c r="V45" s="3">
        <v>8.3333254000000009E-3</v>
      </c>
      <c r="W45" s="3">
        <v>8.2112669999999999E-2</v>
      </c>
      <c r="X45" s="3">
        <v>6.2831400000000009E-2</v>
      </c>
      <c r="Y45" s="3">
        <v>5.2590250000000005E-2</v>
      </c>
      <c r="Z45" s="3">
        <v>4.708159E-2</v>
      </c>
      <c r="AA45" s="3">
        <v>3.9070487000000001E-2</v>
      </c>
      <c r="AB45" s="3">
        <v>6.1544657000000003E-2</v>
      </c>
      <c r="AC45" s="3">
        <v>4.6809672999999996E-2</v>
      </c>
      <c r="AD45" s="3">
        <v>1.4572144E-2</v>
      </c>
      <c r="AE45" s="3">
        <v>2.4946690000000001E-2</v>
      </c>
      <c r="AF45" s="3">
        <v>4.2124509999999997E-2</v>
      </c>
      <c r="AG45" s="3">
        <v>4.8598169999999996E-2</v>
      </c>
      <c r="AH45" s="3">
        <v>6.2642097000000008E-2</v>
      </c>
      <c r="AI45" s="3">
        <v>4.0678979999999997E-2</v>
      </c>
      <c r="AJ45" s="3"/>
      <c r="AK45" s="3"/>
      <c r="AL45" s="3"/>
    </row>
    <row r="46" spans="1:38" x14ac:dyDescent="0.45">
      <c r="A46" s="2">
        <v>45562</v>
      </c>
      <c r="B46" s="3">
        <v>0.17159058000000002</v>
      </c>
      <c r="C46" s="3">
        <v>3.2270192999999996E-2</v>
      </c>
      <c r="D46" s="3">
        <v>5.3089259999999999E-2</v>
      </c>
      <c r="E46" s="3">
        <v>7.7648759999999997E-2</v>
      </c>
      <c r="F46" s="3">
        <v>1.5937924000000003E-2</v>
      </c>
      <c r="G46" s="3">
        <v>9.2780950000000001E-2</v>
      </c>
      <c r="H46" s="3">
        <v>6.8627476999999992E-2</v>
      </c>
      <c r="I46" s="3">
        <v>2.6447177000000002E-2</v>
      </c>
      <c r="J46" s="3">
        <v>2.1196008000000002E-2</v>
      </c>
      <c r="K46" s="3">
        <v>1.4217854E-2</v>
      </c>
      <c r="L46" s="3">
        <v>-4.3537020000000001E-3</v>
      </c>
      <c r="M46" s="3">
        <v>8.962154E-2</v>
      </c>
      <c r="N46" s="3">
        <v>5.0941349999999996E-2</v>
      </c>
      <c r="O46" s="3">
        <v>3.2477736E-2</v>
      </c>
      <c r="P46" s="3">
        <v>0.22778725000000002</v>
      </c>
      <c r="Q46" s="3">
        <v>4.4886350000000005E-2</v>
      </c>
      <c r="R46" s="3">
        <v>6.8321229999999997E-2</v>
      </c>
      <c r="S46" s="3">
        <v>-5.4083466999999994E-3</v>
      </c>
      <c r="T46" s="3">
        <v>3.975737E-2</v>
      </c>
      <c r="U46" s="3">
        <v>1.8297553000000001E-2</v>
      </c>
      <c r="V46" s="3">
        <v>2.2668362000000001E-2</v>
      </c>
      <c r="W46" s="3">
        <v>1.9073009999999998E-2</v>
      </c>
      <c r="X46" s="3">
        <v>3.8387774999999999E-2</v>
      </c>
      <c r="Y46" s="3">
        <v>3.0325649999999999E-2</v>
      </c>
      <c r="Z46" s="3">
        <v>4.4964549999999999E-2</v>
      </c>
      <c r="AA46" s="3">
        <v>-6.4299700000000001E-3</v>
      </c>
      <c r="AB46" s="3">
        <v>-5.6839585E-3</v>
      </c>
      <c r="AC46" s="3">
        <v>2.6617049999999999E-3</v>
      </c>
      <c r="AD46" s="3">
        <v>3.5635233000000002E-2</v>
      </c>
      <c r="AE46" s="3">
        <v>2.6641726000000001E-2</v>
      </c>
      <c r="AF46" s="3">
        <v>3.2387614000000002E-2</v>
      </c>
      <c r="AG46" s="3">
        <v>1.4260173000000001E-2</v>
      </c>
      <c r="AH46" s="3">
        <v>3.8744925999999999E-2</v>
      </c>
      <c r="AI46" s="3">
        <v>2.0968079999999997E-2</v>
      </c>
      <c r="AJ46" s="3"/>
      <c r="AK46" s="3"/>
      <c r="AL46" s="3"/>
    </row>
    <row r="47" spans="1:38" x14ac:dyDescent="0.45">
      <c r="A47" s="2">
        <v>45594</v>
      </c>
      <c r="B47" s="3">
        <v>1.7616510000000002E-2</v>
      </c>
      <c r="C47" s="3">
        <v>-4.3257000000000004E-2</v>
      </c>
      <c r="D47" s="3">
        <v>-6.3885209999999998E-2</v>
      </c>
      <c r="E47" s="3">
        <v>-6.9697021999999997E-2</v>
      </c>
      <c r="F47" s="3">
        <v>-8.0852799999999989E-2</v>
      </c>
      <c r="G47" s="3">
        <v>1.1577845E-2</v>
      </c>
      <c r="H47" s="3">
        <v>-8.1834849999999987E-2</v>
      </c>
      <c r="I47" s="3">
        <v>-2.7027129999999998E-3</v>
      </c>
      <c r="J47" s="3">
        <v>-3.8361727999999998E-2</v>
      </c>
      <c r="K47" s="3">
        <v>-7.0244130000000002E-2</v>
      </c>
      <c r="L47" s="3">
        <v>-5.112684E-2</v>
      </c>
      <c r="M47" s="3">
        <v>-2.7352095E-2</v>
      </c>
      <c r="N47" s="3">
        <v>-9.1107189999999991E-2</v>
      </c>
      <c r="O47" s="3">
        <v>-6.578726E-2</v>
      </c>
      <c r="P47" s="3">
        <v>-1.8042803E-2</v>
      </c>
      <c r="Q47" s="3">
        <v>-5.4377316999999997E-4</v>
      </c>
      <c r="R47" s="3">
        <v>6.9653990000000002E-4</v>
      </c>
      <c r="S47" s="3">
        <v>-8.4013039999999997E-2</v>
      </c>
      <c r="T47" s="3">
        <v>-1.6850293000000002E-2</v>
      </c>
      <c r="U47" s="3">
        <v>-6.4062540000000001E-2</v>
      </c>
      <c r="V47" s="3">
        <v>-2.5398314000000002E-2</v>
      </c>
      <c r="W47" s="3">
        <v>-3.9645730999999997E-2</v>
      </c>
      <c r="X47" s="3">
        <v>-4.916823E-2</v>
      </c>
      <c r="Y47" s="3">
        <v>-4.3426155999999995E-3</v>
      </c>
      <c r="Z47" s="3">
        <v>-3.0946016E-2</v>
      </c>
      <c r="AA47" s="3">
        <v>-3.8266778000000001E-2</v>
      </c>
      <c r="AB47" s="3">
        <v>-4.1349052999999997E-2</v>
      </c>
      <c r="AC47" s="3">
        <v>-3.9553940000000003E-2</v>
      </c>
      <c r="AD47" s="3">
        <v>2.7550100999999997E-2</v>
      </c>
      <c r="AE47" s="3">
        <v>1.8023728999999999E-2</v>
      </c>
      <c r="AF47" s="3">
        <v>-6.5418243000000001E-2</v>
      </c>
      <c r="AG47" s="3">
        <v>-6.5221666999999997E-2</v>
      </c>
      <c r="AH47" s="3">
        <v>-6.3844440000000002E-2</v>
      </c>
      <c r="AI47" s="3">
        <v>-2.5862097999999997E-2</v>
      </c>
      <c r="AJ47" s="3"/>
      <c r="AK47" s="3"/>
      <c r="AL47" s="3"/>
    </row>
    <row r="48" spans="1:38" x14ac:dyDescent="0.45">
      <c r="A48" s="2">
        <v>45625</v>
      </c>
      <c r="B48" s="3">
        <v>-1.0862172000000002E-2</v>
      </c>
      <c r="C48" s="3">
        <v>-3.6854088E-2</v>
      </c>
      <c r="D48" s="3">
        <v>-7.6601743999999999E-2</v>
      </c>
      <c r="E48" s="3">
        <v>-7.0937340000000002E-2</v>
      </c>
      <c r="F48" s="3">
        <v>-3.3260405E-2</v>
      </c>
      <c r="G48" s="3">
        <v>-4.3088016999999999E-2</v>
      </c>
      <c r="H48" s="3">
        <v>-1.6386866999999999E-2</v>
      </c>
      <c r="I48" s="3">
        <v>-3.9746999999999998E-2</v>
      </c>
      <c r="J48" s="3">
        <v>-3.1219839999999999E-2</v>
      </c>
      <c r="K48" s="3">
        <v>-6.890404E-2</v>
      </c>
      <c r="L48" s="3">
        <v>-9.5356229999999986E-2</v>
      </c>
      <c r="M48" s="3">
        <v>-5.3649782999999999E-2</v>
      </c>
      <c r="N48" s="3">
        <v>-2.8963803999999999E-2</v>
      </c>
      <c r="O48" s="3">
        <v>-8.3273649999999998E-3</v>
      </c>
      <c r="P48" s="3">
        <v>-5.4923114999999995E-2</v>
      </c>
      <c r="Q48" s="3">
        <v>-9.2492103999999992E-3</v>
      </c>
      <c r="R48" s="3">
        <v>-1.6276657999999999E-2</v>
      </c>
      <c r="S48" s="3">
        <v>8.2813979999999995E-2</v>
      </c>
      <c r="T48" s="3">
        <v>2.5339483999999999E-2</v>
      </c>
      <c r="U48" s="3">
        <v>-1.8363892999999999E-2</v>
      </c>
      <c r="V48" s="3">
        <v>-2.7244687E-2</v>
      </c>
      <c r="W48" s="3">
        <v>2.2841573E-2</v>
      </c>
      <c r="X48" s="3">
        <v>2.7605056999999999E-2</v>
      </c>
      <c r="Y48" s="3">
        <v>4.7976729999999995E-2</v>
      </c>
      <c r="Z48" s="3">
        <v>-1.8552303000000003E-2</v>
      </c>
      <c r="AA48" s="3">
        <v>1.9455790000000001E-2</v>
      </c>
      <c r="AB48" s="3">
        <v>-4.2138815000000003E-2</v>
      </c>
      <c r="AC48" s="3">
        <v>-1.0503054000000001E-2</v>
      </c>
      <c r="AD48" s="3">
        <v>1.9153832999999999E-2</v>
      </c>
      <c r="AE48" s="3">
        <v>3.5718559999999996E-2</v>
      </c>
      <c r="AF48" s="3">
        <v>-5.6726512999999999E-2</v>
      </c>
      <c r="AG48" s="3">
        <v>-4.8046769999999996E-2</v>
      </c>
      <c r="AH48" s="3">
        <v>-5.4998754999999996E-2</v>
      </c>
      <c r="AI48" s="3">
        <v>-5.413842E-2</v>
      </c>
      <c r="AJ48" s="3"/>
      <c r="AK48" s="3"/>
      <c r="AL48" s="3"/>
    </row>
    <row r="49" spans="1:38" x14ac:dyDescent="0.45">
      <c r="A49" s="2">
        <v>45653</v>
      </c>
      <c r="B49" s="3">
        <v>3.0477047000000003E-3</v>
      </c>
      <c r="C49" s="3">
        <v>-4.9908160000000003E-3</v>
      </c>
      <c r="D49" s="3">
        <v>-5.3185343999999996E-2</v>
      </c>
      <c r="E49" s="3">
        <v>-9.7666980000000007E-3</v>
      </c>
      <c r="F49" s="3">
        <v>-7.5981019999999998E-3</v>
      </c>
      <c r="G49" s="3">
        <v>-3.124565E-2</v>
      </c>
      <c r="H49" s="3">
        <v>6.3477755000000005E-3</v>
      </c>
      <c r="I49" s="3">
        <v>2.1025179999999997E-2</v>
      </c>
      <c r="J49" s="3">
        <v>-1.4950991E-2</v>
      </c>
      <c r="K49" s="3">
        <v>-8.2239149999999997E-2</v>
      </c>
      <c r="L49" s="3">
        <v>-7.5766029999999998E-2</v>
      </c>
      <c r="M49" s="3">
        <v>-4.9881990000000001E-2</v>
      </c>
      <c r="N49" s="3">
        <v>4.4741629999999998E-2</v>
      </c>
      <c r="O49" s="3">
        <v>-2.3573995E-2</v>
      </c>
      <c r="P49" s="3">
        <v>2.2100449000000001E-2</v>
      </c>
      <c r="Q49" s="3">
        <v>-1.0274707999999999E-2</v>
      </c>
      <c r="R49" s="3">
        <v>-1.8269241000000002E-2</v>
      </c>
      <c r="S49" s="3">
        <v>1.8805623E-2</v>
      </c>
      <c r="T49" s="3">
        <v>5.5894613000000003E-2</v>
      </c>
      <c r="U49" s="3">
        <v>-1.8707514000000001E-2</v>
      </c>
      <c r="V49" s="3">
        <v>2.9268264999999997E-3</v>
      </c>
      <c r="W49" s="3">
        <v>-4.5585813999999995E-2</v>
      </c>
      <c r="X49" s="3">
        <v>-7.4383974000000005E-2</v>
      </c>
      <c r="Y49" s="3">
        <v>-5.7576714000000001E-2</v>
      </c>
      <c r="Z49" s="3">
        <v>-4.0285587000000005E-3</v>
      </c>
      <c r="AA49" s="3">
        <v>-1.2884199999999998E-2</v>
      </c>
      <c r="AB49" s="3">
        <v>-3.8389683000000001E-2</v>
      </c>
      <c r="AC49" s="3">
        <v>-3.1484722999999999E-2</v>
      </c>
      <c r="AD49" s="3">
        <v>2.6786566000000001E-2</v>
      </c>
      <c r="AE49" s="3">
        <v>-9.2301370000000011E-3</v>
      </c>
      <c r="AF49" s="3">
        <v>2.1997689999999999E-3</v>
      </c>
      <c r="AG49" s="3">
        <v>-1.7280578999999999E-3</v>
      </c>
      <c r="AH49" s="3">
        <v>-2.5349200000000002E-2</v>
      </c>
      <c r="AI49" s="3">
        <v>6.6615343000000007E-3</v>
      </c>
      <c r="AJ49" s="3"/>
      <c r="AK49" s="3"/>
      <c r="AL49" s="3"/>
    </row>
    <row r="50" spans="1:38" x14ac:dyDescent="0.45">
      <c r="A50" s="2">
        <v>45686</v>
      </c>
      <c r="B50" s="3">
        <v>-3.2867133999999999E-2</v>
      </c>
      <c r="C50" s="3">
        <v>6.3245772999999991E-2</v>
      </c>
      <c r="D50" s="3">
        <v>-2.7698874000000001E-3</v>
      </c>
      <c r="E50" s="3">
        <v>-5.2381039999999997E-2</v>
      </c>
      <c r="F50" s="3">
        <v>0.11137438</v>
      </c>
      <c r="G50" s="3">
        <v>5.2070620000000001E-3</v>
      </c>
      <c r="H50" s="3">
        <v>-2.2624433000000003E-2</v>
      </c>
      <c r="I50" s="3">
        <v>-2.7973294000000003E-2</v>
      </c>
      <c r="J50" s="3">
        <v>3.6882640000000001E-2</v>
      </c>
      <c r="K50" s="3">
        <v>5.7520389999999998E-2</v>
      </c>
      <c r="L50" s="3">
        <v>9.3528385000000006E-2</v>
      </c>
      <c r="M50" s="3">
        <v>2.0560741E-2</v>
      </c>
      <c r="N50" s="3">
        <v>6.8134785000000003E-2</v>
      </c>
      <c r="O50" s="3">
        <v>-4.8587559999999995E-2</v>
      </c>
      <c r="P50" s="3">
        <v>1.6431451E-2</v>
      </c>
      <c r="Q50" s="3">
        <v>1.5219926999999999E-2</v>
      </c>
      <c r="R50" s="3">
        <v>-4.1578054000000003E-2</v>
      </c>
      <c r="S50" s="3">
        <v>-1.7017840999999999E-2</v>
      </c>
      <c r="T50" s="3">
        <v>4.0536403999999998E-2</v>
      </c>
      <c r="U50" s="3">
        <v>1.7331839E-3</v>
      </c>
      <c r="V50" s="3">
        <v>4.2680264000000002E-2</v>
      </c>
      <c r="W50" s="3">
        <v>-1.5879929000000001E-2</v>
      </c>
      <c r="X50" s="3">
        <v>2.4106382999999999E-2</v>
      </c>
      <c r="Y50" s="3">
        <v>3.1576395E-2</v>
      </c>
      <c r="Z50" s="3">
        <v>8.0896139999999991E-2</v>
      </c>
      <c r="AA50" s="3">
        <v>5.4627656999999994E-3</v>
      </c>
      <c r="AB50" s="3">
        <v>7.0133805000000007E-2</v>
      </c>
      <c r="AC50" s="3">
        <v>3.8574814999999998E-2</v>
      </c>
      <c r="AD50" s="3">
        <v>-3.3105612000000001E-3</v>
      </c>
      <c r="AE50" s="3">
        <v>1.1428355999999999E-2</v>
      </c>
      <c r="AF50" s="3">
        <v>7.0992710000000001E-2</v>
      </c>
      <c r="AG50" s="3">
        <v>1.8403529999999998E-2</v>
      </c>
      <c r="AH50" s="3">
        <v>8.6518049999999999E-2</v>
      </c>
      <c r="AI50" s="3">
        <v>7.1329474000000004E-2</v>
      </c>
      <c r="AJ50" s="3"/>
      <c r="AK50" s="3"/>
      <c r="AL50" s="3"/>
    </row>
    <row r="51" spans="1:38" x14ac:dyDescent="0.45">
      <c r="A51" s="2">
        <v>45716</v>
      </c>
      <c r="B51" s="3">
        <v>1.0846019E-2</v>
      </c>
      <c r="C51" s="3">
        <v>7.0707083000000004E-2</v>
      </c>
      <c r="D51" s="3">
        <v>-0.13683069</v>
      </c>
      <c r="E51" s="3">
        <v>5.0251484000000003E-3</v>
      </c>
      <c r="F51" s="3">
        <v>7.8038335E-2</v>
      </c>
      <c r="G51" s="3">
        <v>1.7180203999999998E-2</v>
      </c>
      <c r="H51" s="3">
        <v>-3.7878752000000001E-3</v>
      </c>
      <c r="I51" s="3">
        <v>-5.2858590000000004E-3</v>
      </c>
      <c r="J51" s="3">
        <v>1.5273333E-2</v>
      </c>
      <c r="K51" s="3">
        <v>4.5938491999999997E-3</v>
      </c>
      <c r="L51" s="3">
        <v>-2.2699594E-2</v>
      </c>
      <c r="M51" s="3">
        <v>1.6483544999999999E-2</v>
      </c>
      <c r="N51" s="3">
        <v>2.3311734000000001E-2</v>
      </c>
      <c r="O51" s="3">
        <v>-4.7901870000000006E-2</v>
      </c>
      <c r="P51" s="3">
        <v>0.11046637000000001</v>
      </c>
      <c r="Q51" s="3">
        <v>-5.5527686999999994E-4</v>
      </c>
      <c r="R51" s="3">
        <v>-0.10383487000000001</v>
      </c>
      <c r="S51" s="3">
        <v>-5.7982979999999996E-2</v>
      </c>
      <c r="T51" s="3">
        <v>2.2261380000000001E-2</v>
      </c>
      <c r="U51" s="3">
        <v>4.1522503000000002E-2</v>
      </c>
      <c r="V51" s="3">
        <v>-2.3504198E-2</v>
      </c>
      <c r="W51" s="3">
        <v>-6.3439490000000001E-2</v>
      </c>
      <c r="X51" s="3">
        <v>-2.6379883E-2</v>
      </c>
      <c r="Y51" s="3">
        <v>-6.2665939999999995E-3</v>
      </c>
      <c r="Z51" s="3">
        <v>3.8284301999999999E-2</v>
      </c>
      <c r="AA51" s="3">
        <v>5.4332020000000007E-3</v>
      </c>
      <c r="AB51" s="3">
        <v>4.3153879999999999E-2</v>
      </c>
      <c r="AC51" s="3">
        <v>5.018425E-2</v>
      </c>
      <c r="AD51" s="3">
        <v>-2.4307370000000002E-2</v>
      </c>
      <c r="AE51" s="3">
        <v>-1.2678444000000001E-2</v>
      </c>
      <c r="AF51" s="3">
        <v>2.3821949999999998E-2</v>
      </c>
      <c r="AG51" s="3">
        <v>2.6997566000000001E-2</v>
      </c>
      <c r="AH51" s="3">
        <v>5.3737164000000004E-2</v>
      </c>
      <c r="AI51" s="3">
        <v>5.6994796E-2</v>
      </c>
      <c r="AJ51" s="3"/>
      <c r="AK51" s="3"/>
      <c r="AL51" s="3"/>
    </row>
    <row r="52" spans="1:38" x14ac:dyDescent="0.45">
      <c r="A52" s="2">
        <v>45744</v>
      </c>
      <c r="B52" s="3">
        <v>4.2918920000000003E-3</v>
      </c>
      <c r="C52" s="3">
        <v>3.9832234000000001E-2</v>
      </c>
      <c r="D52" s="3">
        <v>2.5689244000000003E-2</v>
      </c>
      <c r="E52" s="3">
        <v>4.0833354000000002E-2</v>
      </c>
      <c r="F52" s="3">
        <v>0.12460445999999999</v>
      </c>
      <c r="G52" s="3">
        <v>7.9608680000000001E-2</v>
      </c>
      <c r="H52" s="3">
        <v>-2.8305888000000001E-2</v>
      </c>
      <c r="I52" s="3">
        <v>-5.8846709999999997E-2</v>
      </c>
      <c r="J52" s="3">
        <v>2.1773576999999999E-2</v>
      </c>
      <c r="K52" s="3">
        <v>2.1950006000000001E-3</v>
      </c>
      <c r="L52" s="3">
        <v>7.6731563000000003E-2</v>
      </c>
      <c r="M52" s="3">
        <v>7.2072029999999995E-2</v>
      </c>
      <c r="N52" s="3">
        <v>0.13833022</v>
      </c>
      <c r="O52" s="3">
        <v>6.6112279999999995E-2</v>
      </c>
      <c r="P52" s="3">
        <v>1.8476962999999999E-2</v>
      </c>
      <c r="Q52" s="3">
        <v>-1.3888896E-2</v>
      </c>
      <c r="R52" s="3">
        <v>-2.3485540999999999E-2</v>
      </c>
      <c r="S52" s="3">
        <v>-4.6966194999999995E-2</v>
      </c>
      <c r="T52" s="3">
        <v>-3.4383952999999995E-2</v>
      </c>
      <c r="U52" s="3">
        <v>2.823925E-2</v>
      </c>
      <c r="V52" s="3">
        <v>-1.4588237000000002E-3</v>
      </c>
      <c r="W52" s="3">
        <v>-7.5525045000000004E-3</v>
      </c>
      <c r="X52" s="3">
        <v>-2.1675705999999999E-2</v>
      </c>
      <c r="Y52" s="3">
        <v>-1.6007781000000002E-2</v>
      </c>
      <c r="Z52" s="3">
        <v>3.6595464000000001E-2</v>
      </c>
      <c r="AA52" s="3">
        <v>1.0953665E-2</v>
      </c>
      <c r="AB52" s="3">
        <v>1.4498352999999999E-2</v>
      </c>
      <c r="AC52" s="3">
        <v>1.4848828000000001E-2</v>
      </c>
      <c r="AD52" s="3">
        <v>-7.585251300000001E-2</v>
      </c>
      <c r="AE52" s="3">
        <v>-6.201744E-2</v>
      </c>
      <c r="AF52" s="3">
        <v>2.048552E-2</v>
      </c>
      <c r="AG52" s="3">
        <v>3.6040545000000004E-3</v>
      </c>
      <c r="AH52" s="3">
        <v>-4.6361090000000002E-3</v>
      </c>
      <c r="AI52" s="3">
        <v>4.9019575000000003E-2</v>
      </c>
      <c r="AJ52" s="3"/>
      <c r="AK52" s="3"/>
      <c r="AL52" s="3"/>
    </row>
    <row r="53" spans="1:38" x14ac:dyDescent="0.45">
      <c r="A53" s="2">
        <v>45776</v>
      </c>
      <c r="B53" s="3">
        <v>-3.3475815999999999E-2</v>
      </c>
      <c r="C53" s="3">
        <v>5.6451679999999997E-2</v>
      </c>
      <c r="D53" s="3">
        <v>4.4593689999999998E-2</v>
      </c>
      <c r="E53" s="3">
        <v>5.7245850000000001E-2</v>
      </c>
      <c r="F53" s="3">
        <v>6.5775513999999993E-2</v>
      </c>
      <c r="G53" s="3">
        <v>1.3556242000000001E-2</v>
      </c>
      <c r="H53" s="3">
        <v>3.0434847000000001E-2</v>
      </c>
      <c r="I53" s="3">
        <v>-1.4010847E-2</v>
      </c>
      <c r="J53" s="3">
        <v>9.2987175000000005E-2</v>
      </c>
      <c r="K53" s="3">
        <v>2.3909449999999999E-2</v>
      </c>
      <c r="L53" s="3">
        <v>5.3929210000000005E-2</v>
      </c>
      <c r="M53" s="3">
        <v>3.2352923999999998E-2</v>
      </c>
      <c r="N53" s="3">
        <v>3.1357526999999996E-2</v>
      </c>
      <c r="O53" s="3">
        <v>4.4071794000000004E-2</v>
      </c>
      <c r="P53" s="3">
        <v>-5.2959500000000007E-2</v>
      </c>
      <c r="Q53" s="3">
        <v>2.5352119999999999E-2</v>
      </c>
      <c r="R53" s="3">
        <v>-3.6836862999999999E-3</v>
      </c>
      <c r="S53" s="3">
        <v>-4.5607509999999997E-2</v>
      </c>
      <c r="T53" s="3">
        <v>6.7655800000000002E-2</v>
      </c>
      <c r="U53" s="3">
        <v>-2.6655912E-2</v>
      </c>
      <c r="V53" s="3">
        <v>-8.0350040000000001E-3</v>
      </c>
      <c r="W53" s="3">
        <v>3.0915617999999999E-2</v>
      </c>
      <c r="X53" s="3">
        <v>4.6016215999999999E-2</v>
      </c>
      <c r="Y53" s="3">
        <v>4.6339629999999993E-2</v>
      </c>
      <c r="Z53" s="3">
        <v>6.0978890000000001E-2</v>
      </c>
      <c r="AA53" s="3">
        <v>4.0450689999999997E-2</v>
      </c>
      <c r="AB53" s="3">
        <v>2.2675276000000001E-2</v>
      </c>
      <c r="AC53" s="3">
        <v>2.0218134000000002E-2</v>
      </c>
      <c r="AD53" s="3">
        <v>1.4052986999999999E-2</v>
      </c>
      <c r="AE53" s="3">
        <v>-2.4114847E-3</v>
      </c>
      <c r="AF53" s="3">
        <v>1.4622092E-2</v>
      </c>
      <c r="AG53" s="3">
        <v>3.3375502000000001E-2</v>
      </c>
      <c r="AH53" s="3">
        <v>1.3973712999999998E-3</v>
      </c>
      <c r="AI53" s="3">
        <v>4.3691516000000007E-2</v>
      </c>
      <c r="AJ53" s="3"/>
      <c r="AK53" s="3"/>
      <c r="AL53" s="3"/>
    </row>
    <row r="54" spans="1:38" x14ac:dyDescent="0.45">
      <c r="A54" s="2">
        <v>45806</v>
      </c>
      <c r="B54" s="3">
        <v>3.242445E-2</v>
      </c>
      <c r="C54" s="3">
        <v>2.0356296999999999E-2</v>
      </c>
      <c r="D54" s="3">
        <v>0.10818720000000001</v>
      </c>
      <c r="E54" s="3">
        <v>5.414617E-2</v>
      </c>
      <c r="F54" s="3">
        <v>1.3861418E-2</v>
      </c>
      <c r="G54" s="3">
        <v>4.0482163000000002E-2</v>
      </c>
      <c r="H54" s="3">
        <v>2.5316358000000001E-2</v>
      </c>
      <c r="I54" s="3">
        <v>0.12131489000000001</v>
      </c>
      <c r="J54" s="3">
        <v>8.5253479999999993E-2</v>
      </c>
      <c r="K54" s="3">
        <v>0.10160435</v>
      </c>
      <c r="L54" s="3">
        <v>1.2426853E-2</v>
      </c>
      <c r="M54" s="3">
        <v>7.9568624000000004E-2</v>
      </c>
      <c r="N54" s="3">
        <v>0.11442280000000001</v>
      </c>
      <c r="O54" s="3">
        <v>1.9611478000000002E-2</v>
      </c>
      <c r="P54" s="3">
        <v>4.2182684000000005E-2</v>
      </c>
      <c r="Q54" s="3">
        <v>3.4615277999999999E-2</v>
      </c>
      <c r="R54" s="3">
        <v>-6.0710907000000001E-3</v>
      </c>
      <c r="S54" s="3">
        <v>-2.0525932E-2</v>
      </c>
      <c r="T54" s="3">
        <v>3.3351898000000005E-2</v>
      </c>
      <c r="U54" s="3">
        <v>0.12116182</v>
      </c>
      <c r="V54" s="3">
        <v>-5.7682933999999998E-2</v>
      </c>
      <c r="W54" s="3">
        <v>1.4302254E-2</v>
      </c>
      <c r="X54" s="3">
        <v>4.4399139999999997E-2</v>
      </c>
      <c r="Y54" s="3">
        <v>5.4888009999999994E-2</v>
      </c>
      <c r="Z54" s="3">
        <v>5.4953336999999998E-2</v>
      </c>
      <c r="AA54" s="3">
        <v>2.7908921000000003E-2</v>
      </c>
      <c r="AB54" s="3">
        <v>2.2917866999999998E-2</v>
      </c>
      <c r="AC54" s="3">
        <v>3.7548900000000003E-2</v>
      </c>
      <c r="AD54" s="3">
        <v>9.3369479999999991E-2</v>
      </c>
      <c r="AE54" s="3">
        <v>6.4457296999999997E-2</v>
      </c>
      <c r="AF54" s="3">
        <v>4.4455289999999995E-2</v>
      </c>
      <c r="AG54" s="3">
        <v>8.2175020000000001E-2</v>
      </c>
      <c r="AH54" s="3">
        <v>5.4883719999999997E-2</v>
      </c>
      <c r="AI54" s="3">
        <v>6.5144419999999995E-2</v>
      </c>
      <c r="AJ54" s="3"/>
      <c r="AK54" s="3"/>
      <c r="AL54" s="3"/>
    </row>
    <row r="55" spans="1:38" x14ac:dyDescent="0.45">
      <c r="A55" s="2">
        <v>45835</v>
      </c>
      <c r="B55" s="3">
        <v>1.9751310000000001E-2</v>
      </c>
      <c r="C55" s="3">
        <v>-1.1189103000000001E-2</v>
      </c>
      <c r="D55" s="3">
        <v>-5.2206159999999995E-2</v>
      </c>
      <c r="E55" s="3">
        <v>-1.0253787E-2</v>
      </c>
      <c r="F55" s="3">
        <v>4.9575210000000001E-2</v>
      </c>
      <c r="G55" s="3">
        <v>5.9789658000000002E-2</v>
      </c>
      <c r="H55" s="3">
        <v>1.156044E-2</v>
      </c>
      <c r="I55" s="3">
        <v>9.4193339999999987E-2</v>
      </c>
      <c r="J55" s="3">
        <v>2.977848E-3</v>
      </c>
      <c r="K55" s="3">
        <v>0.14466011000000001</v>
      </c>
      <c r="L55" s="3">
        <v>3.4371614000000002E-2</v>
      </c>
      <c r="M55" s="3">
        <v>3.9774179999999999E-3</v>
      </c>
      <c r="N55" s="3">
        <v>5.9998750000000003E-2</v>
      </c>
      <c r="O55" s="3">
        <v>2.326429E-2</v>
      </c>
      <c r="P55" s="3">
        <v>3.4482240000000004E-2</v>
      </c>
      <c r="Q55" s="3">
        <v>9.9047419999999994E-3</v>
      </c>
      <c r="R55" s="3">
        <v>-7.0093870000000003E-2</v>
      </c>
      <c r="S55" s="3">
        <v>1.3557911000000001E-2</v>
      </c>
      <c r="T55" s="3">
        <v>3.2827377000000005E-2</v>
      </c>
      <c r="U55" s="3">
        <v>1.6284226999999998E-2</v>
      </c>
      <c r="V55" s="3">
        <v>1.3455152999999999E-2</v>
      </c>
      <c r="W55" s="3">
        <v>4.1609882999999993E-2</v>
      </c>
      <c r="X55" s="3">
        <v>3.3047556999999998E-2</v>
      </c>
      <c r="Y55" s="3">
        <v>2.4670242999999998E-2</v>
      </c>
      <c r="Z55" s="3">
        <v>2.7446508000000001E-2</v>
      </c>
      <c r="AA55" s="3">
        <v>2.5103211E-2</v>
      </c>
      <c r="AB55" s="3">
        <v>1.401937E-2</v>
      </c>
      <c r="AC55" s="3">
        <v>1.8675088999999999E-2</v>
      </c>
      <c r="AD55" s="3">
        <v>5.5333256999999997E-2</v>
      </c>
      <c r="AE55" s="3">
        <v>4.5220375E-2</v>
      </c>
      <c r="AF55" s="3">
        <v>1.9022226E-2</v>
      </c>
      <c r="AG55" s="3">
        <v>4.0530324E-2</v>
      </c>
      <c r="AH55" s="3">
        <v>3.7377357E-2</v>
      </c>
      <c r="AI55" s="3">
        <v>2.3390411999999999E-2</v>
      </c>
      <c r="AJ55" s="3"/>
      <c r="AK55" s="3"/>
      <c r="AL55" s="3"/>
    </row>
    <row r="56" spans="1:38" x14ac:dyDescent="0.45">
      <c r="A56" s="2">
        <v>45867</v>
      </c>
      <c r="B56" s="3">
        <v>6.9571376000000004E-2</v>
      </c>
      <c r="C56" s="3">
        <v>-3.9291440999999996E-2</v>
      </c>
      <c r="D56" s="3">
        <v>1.7724395E-2</v>
      </c>
      <c r="E56" s="3">
        <v>-3.1582773000000001E-2</v>
      </c>
      <c r="F56" s="3">
        <v>1.7671227000000001E-2</v>
      </c>
      <c r="G56" s="3">
        <v>1.9591569999999999E-2</v>
      </c>
      <c r="H56" s="3">
        <v>-1.2463330999999999E-3</v>
      </c>
      <c r="I56" s="3">
        <v>1.3310313000000001E-2</v>
      </c>
      <c r="J56" s="3">
        <v>1.0112761999999999E-2</v>
      </c>
      <c r="K56" s="3">
        <v>3.8874745000000002E-2</v>
      </c>
      <c r="L56" s="3">
        <v>-4.9040500000000001E-2</v>
      </c>
      <c r="M56" s="3">
        <v>3.6094307999999999E-2</v>
      </c>
      <c r="N56" s="3">
        <v>4.8306703999999999E-2</v>
      </c>
      <c r="O56" s="3">
        <v>-4.2427482999999995E-2</v>
      </c>
      <c r="P56" s="3">
        <v>6.1254144000000003E-2</v>
      </c>
      <c r="Q56" s="3">
        <v>5.5465817000000001E-2</v>
      </c>
      <c r="R56" s="3">
        <v>0.13974237</v>
      </c>
      <c r="S56" s="3">
        <v>9.1505410000000009E-2</v>
      </c>
      <c r="T56" s="3">
        <v>8.4814310000000004E-2</v>
      </c>
      <c r="U56" s="3">
        <v>0.15804804</v>
      </c>
      <c r="V56" s="3">
        <v>-2.2739112000000002E-2</v>
      </c>
      <c r="W56" s="3">
        <v>1.0233641E-2</v>
      </c>
      <c r="X56" s="3">
        <v>1.0732055000000001E-2</v>
      </c>
      <c r="Y56" s="3">
        <v>2.6546717000000001E-2</v>
      </c>
      <c r="Z56" s="3">
        <v>-9.692669000000001E-3</v>
      </c>
      <c r="AA56" s="3">
        <v>-1.8597244999999998E-2</v>
      </c>
      <c r="AB56" s="3">
        <v>-9.3355774999999992E-3</v>
      </c>
      <c r="AC56" s="3">
        <v>1.6867995E-2</v>
      </c>
      <c r="AD56" s="3">
        <v>3.4976006000000004E-2</v>
      </c>
      <c r="AE56" s="3">
        <v>3.3094287E-2</v>
      </c>
      <c r="AF56" s="3">
        <v>7.04062E-3</v>
      </c>
      <c r="AG56" s="3">
        <v>-3.0721128E-2</v>
      </c>
      <c r="AH56" s="3">
        <v>-2.3033499999999998E-2</v>
      </c>
      <c r="AI56" s="3">
        <v>2.5073169999999999E-2</v>
      </c>
      <c r="AJ56" s="3"/>
      <c r="AK56" s="3"/>
      <c r="AL56" s="3"/>
    </row>
    <row r="57" spans="1:38" x14ac:dyDescent="0.45">
      <c r="A57" s="2">
        <v>45898</v>
      </c>
      <c r="B57" s="3">
        <v>9.954012000000001E-2</v>
      </c>
      <c r="C57" s="3">
        <v>9.989953E-2</v>
      </c>
      <c r="D57" s="3">
        <v>-7.3032975E-3</v>
      </c>
      <c r="E57" s="3">
        <v>-8.3428619999999995E-3</v>
      </c>
      <c r="F57" s="3">
        <v>-1.7054260000000002E-2</v>
      </c>
      <c r="G57" s="3">
        <v>8.8187689999999999E-2</v>
      </c>
      <c r="H57" s="3">
        <v>3.4525752E-2</v>
      </c>
      <c r="I57" s="3">
        <v>3.4117700000000002E-3</v>
      </c>
      <c r="J57" s="3">
        <v>1.6576409E-2</v>
      </c>
      <c r="K57" s="3">
        <v>-1.7009139E-2</v>
      </c>
      <c r="L57" s="3">
        <v>0.10239160999999999</v>
      </c>
      <c r="M57" s="3">
        <v>5.7389020000000006E-2</v>
      </c>
      <c r="N57" s="3">
        <v>3.4601569999999998E-2</v>
      </c>
      <c r="O57" s="3">
        <v>-2.8229593999999997E-2</v>
      </c>
      <c r="P57" s="3">
        <v>4.6960354000000003E-2</v>
      </c>
      <c r="Q57" s="3">
        <v>2.0408154000000001E-2</v>
      </c>
      <c r="R57" s="3">
        <v>2.3750067000000001E-3</v>
      </c>
      <c r="S57" s="3">
        <v>6.039667E-2</v>
      </c>
      <c r="T57" s="3">
        <v>-3.7974774999999995E-2</v>
      </c>
      <c r="U57" s="3">
        <v>0.15031457000000001</v>
      </c>
      <c r="V57" s="3">
        <v>-8.0233810000000002E-4</v>
      </c>
      <c r="W57" s="3">
        <v>-2.1257043000000003E-2</v>
      </c>
      <c r="X57" s="3">
        <v>2.6924489999999999E-2</v>
      </c>
      <c r="Y57" s="3">
        <v>4.2744160000000003E-2</v>
      </c>
      <c r="Z57" s="3">
        <v>-2.38657E-4</v>
      </c>
      <c r="AA57" s="3">
        <v>5.9556006999999994E-2</v>
      </c>
      <c r="AB57" s="3">
        <v>2.2357821000000003E-2</v>
      </c>
      <c r="AC57" s="3">
        <v>2.6491641999999999E-2</v>
      </c>
      <c r="AD57" s="3">
        <v>5.5353640000000001E-3</v>
      </c>
      <c r="AE57" s="3">
        <v>1.5411019E-2</v>
      </c>
      <c r="AF57" s="3">
        <v>-7.4574350000000001E-3</v>
      </c>
      <c r="AG57" s="3">
        <v>5.8834549999999992E-3</v>
      </c>
      <c r="AH57" s="3">
        <v>3.1806110999999998E-2</v>
      </c>
      <c r="AI57" s="3">
        <v>4.0562509999999996E-2</v>
      </c>
      <c r="AJ57" s="3"/>
      <c r="AK57" s="3"/>
      <c r="AL57" s="3"/>
    </row>
    <row r="58" spans="1:38" x14ac:dyDescent="0.45">
      <c r="A58" s="2">
        <v>45929</v>
      </c>
      <c r="B58" s="3">
        <v>2.1810532000000001E-2</v>
      </c>
      <c r="C58" s="3">
        <v>1.2190342E-3</v>
      </c>
      <c r="D58" s="3">
        <v>1.1318921999999999E-3</v>
      </c>
      <c r="E58" s="3">
        <v>-4.2447385999999997E-2</v>
      </c>
      <c r="F58" s="3">
        <v>1.2933730999999999E-2</v>
      </c>
      <c r="G58" s="3">
        <v>0.13017845</v>
      </c>
      <c r="H58" s="3">
        <v>3.6590219E-2</v>
      </c>
      <c r="I58" s="3">
        <v>7.2424410000000009E-2</v>
      </c>
      <c r="J58" s="3">
        <v>8.9118480000000014E-2</v>
      </c>
      <c r="K58" s="3">
        <v>0.11074198</v>
      </c>
      <c r="L58" s="3">
        <v>5.0508499999999998E-2</v>
      </c>
      <c r="M58" s="3">
        <v>9.9705220000000011E-2</v>
      </c>
      <c r="N58" s="3">
        <v>1.8703340999999998E-2</v>
      </c>
      <c r="O58" s="3">
        <v>3.4629106999999998E-3</v>
      </c>
      <c r="P58" s="3">
        <v>6.8830489999999994E-2</v>
      </c>
      <c r="Q58" s="3">
        <v>-2.8750062E-2</v>
      </c>
      <c r="R58" s="3">
        <v>4.1613699999999997E-2</v>
      </c>
      <c r="S58" s="3">
        <v>-2.0402431000000002E-2</v>
      </c>
      <c r="T58" s="3">
        <v>-2.8895735999999998E-2</v>
      </c>
      <c r="U58" s="3">
        <v>-3.2804846999999998E-2</v>
      </c>
      <c r="V58" s="3">
        <v>7.467878E-2</v>
      </c>
      <c r="W58" s="3">
        <v>1.3932228E-2</v>
      </c>
      <c r="X58" s="3">
        <v>-3.6928058000000002E-3</v>
      </c>
      <c r="Y58" s="3">
        <v>3.4228325000000004E-2</v>
      </c>
      <c r="Z58" s="3">
        <v>-1.3610302999999999E-2</v>
      </c>
      <c r="AA58" s="3">
        <v>2.8487562999999997E-2</v>
      </c>
      <c r="AB58" s="3">
        <v>-1.3735831E-2</v>
      </c>
      <c r="AC58" s="3">
        <v>4.1004420000000001E-3</v>
      </c>
      <c r="AD58" s="3">
        <v>5.0876379999999999E-2</v>
      </c>
      <c r="AE58" s="3">
        <v>3.1720160999999997E-2</v>
      </c>
      <c r="AF58" s="3">
        <v>2.794075E-2</v>
      </c>
      <c r="AG58" s="3">
        <v>8.8113189999999994E-2</v>
      </c>
      <c r="AH58" s="3">
        <v>1.7891884E-2</v>
      </c>
      <c r="AI58" s="3">
        <v>8.8149309999999998E-3</v>
      </c>
      <c r="AJ58" s="3"/>
      <c r="AK58" s="3"/>
      <c r="AL58" s="3"/>
    </row>
    <row r="59" spans="1:38" x14ac:dyDescent="0.45">
      <c r="A59" s="2">
        <v>45959</v>
      </c>
      <c r="B59" s="3">
        <v>3.1286596999999999E-2</v>
      </c>
      <c r="C59" s="3">
        <v>6.4535856000000003E-2</v>
      </c>
      <c r="D59" s="3">
        <v>3.5613298000000002E-2</v>
      </c>
      <c r="E59" s="3">
        <v>-1.1980891E-2</v>
      </c>
      <c r="F59" s="3">
        <v>7.53659E-2</v>
      </c>
      <c r="G59" s="3">
        <v>3.8096428000000002E-2</v>
      </c>
      <c r="H59" s="3">
        <v>5.0426720000000006E-3</v>
      </c>
      <c r="I59" s="3">
        <v>6.4204097000000002E-2</v>
      </c>
      <c r="J59" s="3">
        <v>-4.4471024999999999E-4</v>
      </c>
      <c r="K59" s="3">
        <v>0.20762717999999999</v>
      </c>
      <c r="L59" s="3">
        <v>6.131053E-3</v>
      </c>
      <c r="M59" s="3">
        <v>2.0971297999999999E-2</v>
      </c>
      <c r="N59" s="3">
        <v>-7.9352260000000001E-3</v>
      </c>
      <c r="O59" s="3">
        <v>4.6970843999999998E-2</v>
      </c>
      <c r="P59" s="3">
        <v>-6.1041117000000002E-4</v>
      </c>
      <c r="Q59" s="3">
        <v>-9.0089439999999996E-3</v>
      </c>
      <c r="R59" s="3">
        <v>2.1404146999999998E-2</v>
      </c>
      <c r="S59" s="3">
        <v>-1.9091666E-2</v>
      </c>
      <c r="T59" s="3">
        <v>6.2699320000000003E-2</v>
      </c>
      <c r="U59" s="3">
        <v>2.600336E-2</v>
      </c>
      <c r="V59" s="3">
        <v>2.1917699999999998E-2</v>
      </c>
      <c r="W59" s="3">
        <v>4.1772126999999994E-3</v>
      </c>
      <c r="X59" s="3">
        <v>7.4136259999999995E-4</v>
      </c>
      <c r="Y59" s="3">
        <v>5.7471989999999997E-3</v>
      </c>
      <c r="Z59" s="3">
        <v>-9.6833706000000008E-4</v>
      </c>
      <c r="AA59" s="3">
        <v>3.3784627999999997E-2</v>
      </c>
      <c r="AB59" s="3">
        <v>1.9974350999999998E-2</v>
      </c>
      <c r="AC59" s="3">
        <v>2.8825402000000003E-2</v>
      </c>
      <c r="AD59" s="3">
        <v>6.1864375999999999E-2</v>
      </c>
      <c r="AE59" s="3">
        <v>3.5725117000000001E-2</v>
      </c>
      <c r="AF59" s="3">
        <v>2.4668812999999998E-2</v>
      </c>
      <c r="AG59" s="3">
        <v>2.9408812999999999E-2</v>
      </c>
      <c r="AH59" s="3">
        <v>3.2189727000000001E-2</v>
      </c>
      <c r="AI59" s="3">
        <v>1.1844634999999999E-2</v>
      </c>
      <c r="AJ59" s="3"/>
      <c r="AK59" s="3"/>
      <c r="AL59" s="3"/>
    </row>
    <row r="60" spans="1:38" x14ac:dyDescent="0.45">
      <c r="A60" s="2">
        <v>45989</v>
      </c>
      <c r="B60" s="3">
        <v>-3.7425578000000001E-2</v>
      </c>
      <c r="C60" s="3">
        <v>8.2642190000000004E-2</v>
      </c>
      <c r="D60" s="3">
        <v>1.9104837999999999E-2</v>
      </c>
      <c r="E60" s="3">
        <v>1.8997550000000002E-2</v>
      </c>
      <c r="F60" s="3">
        <v>-1.3321698E-2</v>
      </c>
      <c r="G60" s="3">
        <v>2.1387814999999998E-2</v>
      </c>
      <c r="H60" s="3">
        <v>2.0069480000000001E-2</v>
      </c>
      <c r="I60" s="3">
        <v>-3.9028703999999997E-2</v>
      </c>
      <c r="J60" s="3">
        <v>1.4681816E-2</v>
      </c>
      <c r="K60" s="3">
        <v>-6.2229099999999996E-2</v>
      </c>
      <c r="L60" s="3">
        <v>7.7934622999999995E-2</v>
      </c>
      <c r="M60" s="3">
        <v>3.0733584999999997E-2</v>
      </c>
      <c r="N60" s="3">
        <v>2.4466752999999997E-2</v>
      </c>
      <c r="O60" s="3">
        <v>1.8311738999999998E-3</v>
      </c>
      <c r="P60" s="3">
        <v>-5.0236644999999996E-2</v>
      </c>
      <c r="Q60" s="3">
        <v>-1.9220828999999998E-2</v>
      </c>
      <c r="R60" s="3">
        <v>-4.4807139999999995E-2</v>
      </c>
      <c r="S60" s="3">
        <v>-1.2090802000000001E-2</v>
      </c>
      <c r="T60" s="3">
        <v>-7.0999980000000004E-2</v>
      </c>
      <c r="U60" s="3">
        <v>1.0468363999999999E-2</v>
      </c>
      <c r="V60" s="3">
        <v>-8.7496939999999995E-2</v>
      </c>
      <c r="W60" s="3">
        <v>-1.0793209E-3</v>
      </c>
      <c r="X60" s="3">
        <v>-4.2592582999999996E-2</v>
      </c>
      <c r="Y60" s="3">
        <v>3.8423657E-2</v>
      </c>
      <c r="Z60" s="3">
        <v>-8.480787E-3</v>
      </c>
      <c r="AA60" s="3">
        <v>-2.6432872000000003E-3</v>
      </c>
      <c r="AB60" s="3">
        <v>3.8807033999999997E-2</v>
      </c>
      <c r="AC60" s="3">
        <v>7.471442E-3</v>
      </c>
      <c r="AD60" s="3">
        <v>-2.5984286999999998E-2</v>
      </c>
      <c r="AE60" s="3">
        <v>-5.8191420000000002E-3</v>
      </c>
      <c r="AF60" s="3">
        <v>-6.4646006000000002E-3</v>
      </c>
      <c r="AG60" s="3">
        <v>-2.0146250000000001E-2</v>
      </c>
      <c r="AH60" s="3">
        <v>-1.7029165999999998E-2</v>
      </c>
      <c r="AI60" s="3">
        <v>1.5735984000000001E-2</v>
      </c>
      <c r="AJ60" s="3"/>
      <c r="AK60" s="3"/>
      <c r="AL60" s="3"/>
    </row>
    <row r="61" spans="1:38" x14ac:dyDescent="0.45">
      <c r="A61" s="2">
        <v>46020</v>
      </c>
      <c r="B61" s="3">
        <v>2.9156922999999998E-2</v>
      </c>
      <c r="C61" s="3">
        <v>6.2199473000000005E-2</v>
      </c>
      <c r="D61" s="3">
        <v>8.6550710000000003E-3</v>
      </c>
      <c r="E61" s="3">
        <v>3.1193494999999997E-3</v>
      </c>
      <c r="F61" s="3">
        <v>6.0994982999999996E-2</v>
      </c>
      <c r="G61" s="3">
        <v>0.12060356</v>
      </c>
      <c r="H61" s="3">
        <v>5.8160423999999995E-2</v>
      </c>
      <c r="I61" s="3">
        <v>2.6941299999999998E-2</v>
      </c>
      <c r="J61" s="3">
        <v>5.0576925000000002E-2</v>
      </c>
      <c r="K61" s="3">
        <v>0.11110829999999999</v>
      </c>
      <c r="L61" s="3">
        <v>-3.4783304000000001E-2</v>
      </c>
      <c r="M61" s="3">
        <v>8.1682919999999992E-2</v>
      </c>
      <c r="N61" s="3">
        <v>4.1028740000000001E-2</v>
      </c>
      <c r="O61" s="3">
        <v>-2.2664905000000003E-2</v>
      </c>
      <c r="P61" s="3">
        <v>-1.7471790000000001E-2</v>
      </c>
      <c r="Q61" s="3">
        <v>1.1859893999999999E-2</v>
      </c>
      <c r="R61" s="3">
        <v>-2.1166204999999998E-3</v>
      </c>
      <c r="S61" s="3">
        <v>3.7796617000000005E-2</v>
      </c>
      <c r="T61" s="3">
        <v>6.5224169999999998E-2</v>
      </c>
      <c r="U61" s="3">
        <v>3.3731460000000005E-2</v>
      </c>
      <c r="V61" s="3">
        <v>-1.6208053E-2</v>
      </c>
      <c r="W61" s="3">
        <v>7.959246599999999E-3</v>
      </c>
      <c r="X61" s="3">
        <v>4.1971683999999995E-2</v>
      </c>
      <c r="Y61" s="3">
        <v>4.0171026999999998E-2</v>
      </c>
      <c r="Z61" s="3">
        <v>3.8856267999999999E-2</v>
      </c>
      <c r="AA61" s="3">
        <v>1.3859152999999999E-2</v>
      </c>
      <c r="AB61" s="3">
        <v>4.3756484999999998E-2</v>
      </c>
      <c r="AC61" s="3">
        <v>3.9956927000000003E-2</v>
      </c>
      <c r="AD61" s="3">
        <v>3.9018392999999999E-3</v>
      </c>
      <c r="AE61" s="3">
        <v>9.4741579999999999E-3</v>
      </c>
      <c r="AF61" s="3">
        <v>1.4546514E-2</v>
      </c>
      <c r="AG61" s="3">
        <v>1.7423034E-2</v>
      </c>
      <c r="AH61" s="3">
        <v>4.2262316000000001E-2</v>
      </c>
      <c r="AI61" s="3">
        <v>3.6647080999999998E-2</v>
      </c>
      <c r="AJ61" s="3"/>
      <c r="AK61" s="3"/>
      <c r="AL61" s="3"/>
    </row>
    <row r="62" spans="1:38" x14ac:dyDescent="0.45">
      <c r="A62" s="2">
        <v>46051</v>
      </c>
      <c r="B62" s="3">
        <v>4.4224620000000006E-2</v>
      </c>
      <c r="C62" s="3">
        <v>0.16974758000000001</v>
      </c>
      <c r="D62" s="3">
        <v>-5.7411966000000002E-2</v>
      </c>
      <c r="E62" s="3">
        <v>2.2319673999999998E-2</v>
      </c>
      <c r="F62" s="3">
        <v>9.7826120000000003E-2</v>
      </c>
      <c r="G62" s="3">
        <v>0.28658793999999999</v>
      </c>
      <c r="H62" s="3">
        <v>6.3203809999999999E-2</v>
      </c>
      <c r="I62" s="3">
        <v>0.10263693</v>
      </c>
      <c r="J62" s="3">
        <v>0.11260807</v>
      </c>
      <c r="K62" s="3">
        <v>0.26114261999999999</v>
      </c>
      <c r="L62" s="3">
        <v>0.21726704000000002</v>
      </c>
      <c r="M62" s="3">
        <v>0.16294025000000001</v>
      </c>
      <c r="N62" s="3">
        <v>0.13549018000000002</v>
      </c>
      <c r="O62" s="3">
        <v>-3.4785866999999998E-2</v>
      </c>
      <c r="P62" s="3">
        <v>6.3939095000000001E-2</v>
      </c>
      <c r="Q62" s="3">
        <v>5.0060750000000001E-2</v>
      </c>
      <c r="R62" s="3">
        <v>6.1433910000000001E-2</v>
      </c>
      <c r="S62" s="3">
        <v>0.20836973</v>
      </c>
      <c r="T62" s="3">
        <v>5.4081560000000001E-2</v>
      </c>
      <c r="U62" s="3">
        <v>-5.8139560000000003E-3</v>
      </c>
      <c r="V62" s="3">
        <v>9.5630649999999998E-2</v>
      </c>
      <c r="W62" s="3">
        <v>4.016745E-2</v>
      </c>
      <c r="X62" s="3">
        <v>7.3262809999999998E-2</v>
      </c>
      <c r="Y62" s="3">
        <v>4.0493249999999995E-2</v>
      </c>
      <c r="Z62" s="3">
        <v>2.1877170000000001E-2</v>
      </c>
      <c r="AA62" s="3">
        <v>6.1659930000000002E-2</v>
      </c>
      <c r="AB62" s="3">
        <v>3.0985950999999998E-2</v>
      </c>
      <c r="AC62" s="3">
        <v>5.4974914000000007E-2</v>
      </c>
      <c r="AD62" s="3">
        <v>1.378715E-2</v>
      </c>
      <c r="AE62" s="3">
        <v>8.9991089999999999E-3</v>
      </c>
      <c r="AF62" s="3">
        <v>1.8448472E-2</v>
      </c>
      <c r="AG62" s="3">
        <v>0.11368418</v>
      </c>
      <c r="AH62" s="3">
        <v>8.3738919999999994E-2</v>
      </c>
      <c r="AI62" s="3">
        <v>3.7112236E-2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4.4224620000000006E-2</v>
      </c>
      <c r="C67" s="3">
        <f t="shared" ref="C67:AI67" si="2">C62</f>
        <v>0.16974758000000001</v>
      </c>
      <c r="D67" s="3">
        <f t="shared" si="2"/>
        <v>-5.7411966000000002E-2</v>
      </c>
      <c r="E67" s="3">
        <f t="shared" si="2"/>
        <v>2.2319673999999998E-2</v>
      </c>
      <c r="F67" s="3">
        <f t="shared" si="2"/>
        <v>9.7826120000000003E-2</v>
      </c>
      <c r="G67" s="3">
        <f t="shared" si="2"/>
        <v>0.28658793999999999</v>
      </c>
      <c r="H67" s="3">
        <f t="shared" si="2"/>
        <v>6.3203809999999999E-2</v>
      </c>
      <c r="I67" s="3">
        <f t="shared" si="2"/>
        <v>0.10263693</v>
      </c>
      <c r="J67" s="3">
        <f t="shared" si="2"/>
        <v>0.11260807</v>
      </c>
      <c r="K67" s="3">
        <f t="shared" si="2"/>
        <v>0.26114261999999999</v>
      </c>
      <c r="L67" s="3">
        <f t="shared" si="2"/>
        <v>0.21726704000000002</v>
      </c>
      <c r="M67" s="3">
        <f t="shared" si="2"/>
        <v>0.16294025000000001</v>
      </c>
      <c r="N67" s="3">
        <f t="shared" si="2"/>
        <v>0.13549018000000002</v>
      </c>
      <c r="O67" s="3">
        <f t="shared" si="2"/>
        <v>-3.4785866999999998E-2</v>
      </c>
      <c r="P67" s="3">
        <f t="shared" si="2"/>
        <v>6.3939095000000001E-2</v>
      </c>
      <c r="Q67" s="3">
        <f t="shared" si="2"/>
        <v>5.0060750000000001E-2</v>
      </c>
      <c r="R67" s="3">
        <f t="shared" si="2"/>
        <v>6.1433910000000001E-2</v>
      </c>
      <c r="S67" s="3">
        <f t="shared" si="2"/>
        <v>0.20836973</v>
      </c>
      <c r="T67" s="3">
        <f t="shared" si="2"/>
        <v>5.4081560000000001E-2</v>
      </c>
      <c r="U67" s="3">
        <f t="shared" si="2"/>
        <v>-5.8139560000000003E-3</v>
      </c>
      <c r="V67" s="3">
        <f t="shared" si="2"/>
        <v>9.5630649999999998E-2</v>
      </c>
      <c r="W67" s="3">
        <f t="shared" si="2"/>
        <v>4.016745E-2</v>
      </c>
      <c r="X67" s="3">
        <f t="shared" si="2"/>
        <v>7.3262809999999998E-2</v>
      </c>
      <c r="Y67" s="3">
        <f t="shared" si="2"/>
        <v>4.0493249999999995E-2</v>
      </c>
      <c r="Z67" s="3">
        <f t="shared" si="2"/>
        <v>2.1877170000000001E-2</v>
      </c>
      <c r="AA67" s="3">
        <f t="shared" si="2"/>
        <v>6.1659930000000002E-2</v>
      </c>
      <c r="AB67" s="3">
        <f t="shared" si="2"/>
        <v>3.0985950999999998E-2</v>
      </c>
      <c r="AC67" s="3">
        <f t="shared" si="2"/>
        <v>5.4974914000000007E-2</v>
      </c>
      <c r="AD67" s="3">
        <f t="shared" si="2"/>
        <v>1.378715E-2</v>
      </c>
      <c r="AE67" s="3">
        <f t="shared" si="2"/>
        <v>8.9991089999999999E-3</v>
      </c>
      <c r="AF67" s="3">
        <f t="shared" si="2"/>
        <v>1.8448472E-2</v>
      </c>
      <c r="AG67" s="3">
        <f t="shared" si="2"/>
        <v>0.11368418</v>
      </c>
      <c r="AH67" s="3">
        <f t="shared" si="2"/>
        <v>8.3738919999999994E-2</v>
      </c>
      <c r="AI67" s="3">
        <f t="shared" si="2"/>
        <v>3.7112236E-2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1.399860627540984E-3</v>
      </c>
      <c r="C68" s="4">
        <f t="shared" si="3"/>
        <v>1.3540283418032787E-2</v>
      </c>
      <c r="D68" s="4">
        <f t="shared" si="3"/>
        <v>-1.1648554603278694E-3</v>
      </c>
      <c r="E68" s="4">
        <f t="shared" si="3"/>
        <v>-9.3977047704917982E-4</v>
      </c>
      <c r="F68" s="4">
        <f t="shared" si="3"/>
        <v>1.7397764098360656E-2</v>
      </c>
      <c r="G68" s="4">
        <f t="shared" si="3"/>
        <v>2.2474903363934429E-2</v>
      </c>
      <c r="H68" s="4">
        <f t="shared" si="3"/>
        <v>4.3145751475409831E-3</v>
      </c>
      <c r="I68" s="4">
        <f t="shared" si="3"/>
        <v>1.274442461639344E-2</v>
      </c>
      <c r="J68" s="4">
        <f t="shared" si="3"/>
        <v>1.4188258157540986E-2</v>
      </c>
      <c r="K68" s="4">
        <f t="shared" si="3"/>
        <v>1.1221699202459018E-2</v>
      </c>
      <c r="L68" s="4">
        <f t="shared" si="3"/>
        <v>1.0023850674590164E-2</v>
      </c>
      <c r="M68" s="4">
        <f t="shared" si="3"/>
        <v>1.5685757137704918E-2</v>
      </c>
      <c r="N68" s="4">
        <f t="shared" si="3"/>
        <v>2.2420302214754096E-2</v>
      </c>
      <c r="O68" s="4">
        <f t="shared" si="3"/>
        <v>6.1171437770491796E-3</v>
      </c>
      <c r="P68" s="4">
        <f t="shared" si="3"/>
        <v>1.4291068300000048E-3</v>
      </c>
      <c r="Q68" s="4">
        <f t="shared" si="3"/>
        <v>5.3175207944262297E-3</v>
      </c>
      <c r="R68" s="4">
        <f t="shared" si="3"/>
        <v>-8.5621985737704953E-4</v>
      </c>
      <c r="S68" s="4">
        <f t="shared" si="3"/>
        <v>1.3413797170655734E-2</v>
      </c>
      <c r="T68" s="4">
        <f t="shared" si="3"/>
        <v>1.3742920739344269E-2</v>
      </c>
      <c r="U68" s="4">
        <f t="shared" si="3"/>
        <v>4.4629766114754089E-3</v>
      </c>
      <c r="V68" s="4">
        <f t="shared" si="3"/>
        <v>7.2413477065573738E-3</v>
      </c>
      <c r="W68" s="4">
        <f t="shared" si="3"/>
        <v>-3.0945727024590144E-3</v>
      </c>
      <c r="X68" s="4">
        <f t="shared" si="3"/>
        <v>7.6171502401639361E-3</v>
      </c>
      <c r="Y68" s="4">
        <f t="shared" si="3"/>
        <v>1.2603212486885252E-2</v>
      </c>
      <c r="Z68" s="4">
        <f t="shared" si="3"/>
        <v>8.4280449088524629E-3</v>
      </c>
      <c r="AA68" s="4">
        <f t="shared" si="3"/>
        <v>6.8264750426229488E-3</v>
      </c>
      <c r="AB68" s="4">
        <f t="shared" si="3"/>
        <v>8.0138531803278703E-3</v>
      </c>
      <c r="AC68" s="4">
        <f t="shared" si="3"/>
        <v>1.1396242862295085E-2</v>
      </c>
      <c r="AD68" s="4">
        <f t="shared" si="3"/>
        <v>1.3533969319672132E-2</v>
      </c>
      <c r="AE68" s="4">
        <f t="shared" si="3"/>
        <v>1.2318104063819673E-2</v>
      </c>
      <c r="AF68" s="4">
        <f t="shared" si="3"/>
        <v>8.9102651918032769E-3</v>
      </c>
      <c r="AG68" s="4">
        <f t="shared" si="3"/>
        <v>1.0704261460655735E-2</v>
      </c>
      <c r="AH68" s="4">
        <f t="shared" si="3"/>
        <v>9.3596593319672152E-3</v>
      </c>
      <c r="AI68" s="4">
        <f t="shared" si="3"/>
        <v>1.4839715764262292E-2</v>
      </c>
    </row>
    <row r="69" spans="1:38" x14ac:dyDescent="0.45">
      <c r="A69" t="s">
        <v>21</v>
      </c>
      <c r="B69" s="4">
        <f t="shared" ref="B69:AI69" si="4">STDEV(B40:B62)</f>
        <v>4.8117249299902555E-2</v>
      </c>
      <c r="C69" s="4">
        <f t="shared" si="4"/>
        <v>5.3848460770381829E-2</v>
      </c>
      <c r="D69" s="4">
        <f t="shared" si="4"/>
        <v>5.7917041553806482E-2</v>
      </c>
      <c r="E69" s="4">
        <f t="shared" si="4"/>
        <v>4.678483779509001E-2</v>
      </c>
      <c r="F69" s="4">
        <f t="shared" si="4"/>
        <v>4.9557580732668687E-2</v>
      </c>
      <c r="G69" s="4">
        <f t="shared" si="4"/>
        <v>7.1865401480272748E-2</v>
      </c>
      <c r="H69" s="4">
        <f t="shared" si="4"/>
        <v>3.7096269995882579E-2</v>
      </c>
      <c r="I69" s="4">
        <f t="shared" si="4"/>
        <v>5.1109767547477446E-2</v>
      </c>
      <c r="J69" s="4">
        <f t="shared" si="4"/>
        <v>5.3991965186129864E-2</v>
      </c>
      <c r="K69" s="4">
        <f t="shared" si="4"/>
        <v>8.8530543556638308E-2</v>
      </c>
      <c r="L69" s="4">
        <f t="shared" si="4"/>
        <v>7.23993792757604E-2</v>
      </c>
      <c r="M69" s="4">
        <f t="shared" si="4"/>
        <v>4.9476898554172588E-2</v>
      </c>
      <c r="N69" s="4">
        <f t="shared" si="4"/>
        <v>5.2698075437088869E-2</v>
      </c>
      <c r="O69" s="4">
        <f t="shared" si="4"/>
        <v>3.5440187604507629E-2</v>
      </c>
      <c r="P69" s="4">
        <f t="shared" si="4"/>
        <v>6.3095323097828962E-2</v>
      </c>
      <c r="Q69" s="4">
        <f t="shared" si="4"/>
        <v>3.0083749805736675E-2</v>
      </c>
      <c r="R69" s="4">
        <f t="shared" si="4"/>
        <v>4.947560631495139E-2</v>
      </c>
      <c r="S69" s="4">
        <f t="shared" si="4"/>
        <v>7.1531977115568635E-2</v>
      </c>
      <c r="T69" s="4">
        <f t="shared" si="4"/>
        <v>4.3726696532772023E-2</v>
      </c>
      <c r="U69" s="4">
        <f t="shared" si="4"/>
        <v>6.2300481495429862E-2</v>
      </c>
      <c r="V69" s="4">
        <f t="shared" si="4"/>
        <v>4.1645208660820013E-2</v>
      </c>
      <c r="W69" s="4">
        <f t="shared" si="4"/>
        <v>3.1015811268415829E-2</v>
      </c>
      <c r="X69" s="4">
        <f t="shared" si="4"/>
        <v>3.7419995586714216E-2</v>
      </c>
      <c r="Y69" s="4">
        <f t="shared" si="4"/>
        <v>2.8375021207781962E-2</v>
      </c>
      <c r="Z69" s="4">
        <f t="shared" si="4"/>
        <v>3.0501308667086776E-2</v>
      </c>
      <c r="AA69" s="4">
        <f t="shared" si="4"/>
        <v>2.767073379232388E-2</v>
      </c>
      <c r="AB69" s="4">
        <f t="shared" si="4"/>
        <v>3.1730550397032056E-2</v>
      </c>
      <c r="AC69" s="4">
        <f t="shared" si="4"/>
        <v>2.4369557171766164E-2</v>
      </c>
      <c r="AD69" s="4">
        <f t="shared" si="4"/>
        <v>3.7570283924699716E-2</v>
      </c>
      <c r="AE69" s="4">
        <f t="shared" si="4"/>
        <v>2.7017883808486329E-2</v>
      </c>
      <c r="AF69" s="4">
        <f t="shared" si="4"/>
        <v>3.32253634117698E-2</v>
      </c>
      <c r="AG69" s="4">
        <f t="shared" si="4"/>
        <v>4.3671998324538532E-2</v>
      </c>
      <c r="AH69" s="4">
        <f t="shared" si="4"/>
        <v>4.0475440104072245E-2</v>
      </c>
      <c r="AI69" s="4">
        <f t="shared" si="4"/>
        <v>3.1931966497087828E-2</v>
      </c>
    </row>
    <row r="70" spans="1:38" x14ac:dyDescent="0.45">
      <c r="A70" t="s">
        <v>36</v>
      </c>
      <c r="B70" s="3">
        <f>B69*2</f>
        <v>9.623449859980511E-2</v>
      </c>
      <c r="C70" s="3">
        <f t="shared" ref="C70:AI70" si="5">C69*2</f>
        <v>0.10769692154076366</v>
      </c>
      <c r="D70" s="3">
        <f t="shared" si="5"/>
        <v>0.11583408310761296</v>
      </c>
      <c r="E70" s="3">
        <f t="shared" si="5"/>
        <v>9.3569675590180021E-2</v>
      </c>
      <c r="F70" s="3">
        <f t="shared" si="5"/>
        <v>9.9115161465337373E-2</v>
      </c>
      <c r="G70" s="3">
        <f t="shared" si="5"/>
        <v>0.1437308029605455</v>
      </c>
      <c r="H70" s="3">
        <f t="shared" si="5"/>
        <v>7.4192539991765158E-2</v>
      </c>
      <c r="I70" s="3">
        <f t="shared" si="5"/>
        <v>0.10221953509495489</v>
      </c>
      <c r="J70" s="3">
        <f t="shared" si="5"/>
        <v>0.10798393037225973</v>
      </c>
      <c r="K70" s="3">
        <f t="shared" si="5"/>
        <v>0.17706108711327662</v>
      </c>
      <c r="L70" s="3">
        <f t="shared" si="5"/>
        <v>0.1447987585515208</v>
      </c>
      <c r="M70" s="3">
        <f t="shared" si="5"/>
        <v>9.8953797108345176E-2</v>
      </c>
      <c r="N70" s="3">
        <f t="shared" si="5"/>
        <v>0.10539615087417774</v>
      </c>
      <c r="O70" s="3">
        <f t="shared" si="5"/>
        <v>7.0880375209015259E-2</v>
      </c>
      <c r="P70" s="3">
        <f t="shared" si="5"/>
        <v>0.12619064619565792</v>
      </c>
      <c r="Q70" s="3">
        <f t="shared" si="5"/>
        <v>6.016749961147335E-2</v>
      </c>
      <c r="R70" s="3">
        <f t="shared" si="5"/>
        <v>9.8951212629902779E-2</v>
      </c>
      <c r="S70" s="3">
        <f t="shared" si="5"/>
        <v>0.14306395423113727</v>
      </c>
      <c r="T70" s="3">
        <f t="shared" si="5"/>
        <v>8.7453393065544047E-2</v>
      </c>
      <c r="U70" s="3">
        <f t="shared" si="5"/>
        <v>0.12460096299085972</v>
      </c>
      <c r="V70" s="3">
        <f t="shared" si="5"/>
        <v>8.3290417321640026E-2</v>
      </c>
      <c r="W70" s="3">
        <f t="shared" si="5"/>
        <v>6.2031622536831657E-2</v>
      </c>
      <c r="X70" s="3">
        <f t="shared" si="5"/>
        <v>7.4839991173428433E-2</v>
      </c>
      <c r="Y70" s="3">
        <f t="shared" si="5"/>
        <v>5.6750042415563924E-2</v>
      </c>
      <c r="Z70" s="3">
        <f t="shared" si="5"/>
        <v>6.1002617334173552E-2</v>
      </c>
      <c r="AA70" s="3">
        <f t="shared" si="5"/>
        <v>5.5341467584647759E-2</v>
      </c>
      <c r="AB70" s="3">
        <f t="shared" si="5"/>
        <v>6.3461100794064113E-2</v>
      </c>
      <c r="AC70" s="3">
        <f t="shared" si="5"/>
        <v>4.8739114343532328E-2</v>
      </c>
      <c r="AD70" s="3">
        <f t="shared" si="5"/>
        <v>7.5140567849399431E-2</v>
      </c>
      <c r="AE70" s="3">
        <f t="shared" si="5"/>
        <v>5.4035767616972659E-2</v>
      </c>
      <c r="AF70" s="3">
        <f t="shared" si="5"/>
        <v>6.6450726823539599E-2</v>
      </c>
      <c r="AG70" s="3">
        <f t="shared" si="5"/>
        <v>8.7343996649077063E-2</v>
      </c>
      <c r="AH70" s="3">
        <f t="shared" si="5"/>
        <v>8.0950880208144491E-2</v>
      </c>
      <c r="AI70" s="3">
        <f t="shared" si="5"/>
        <v>6.3863932994175657E-2</v>
      </c>
    </row>
    <row r="71" spans="1:38" x14ac:dyDescent="0.45">
      <c r="A71" t="s">
        <v>79</v>
      </c>
      <c r="B71">
        <f>PRICE_DATA!B2</f>
        <v>35.89</v>
      </c>
      <c r="C71">
        <f>PRICE_DATA!C2</f>
        <v>46.875</v>
      </c>
      <c r="D71">
        <f>PRICE_DATA!D2</f>
        <v>17.579999999999998</v>
      </c>
      <c r="E71">
        <f>PRICE_DATA!E2</f>
        <v>25.65</v>
      </c>
      <c r="F71">
        <f>PRICE_DATA!F2</f>
        <v>38.380000000000003</v>
      </c>
      <c r="G71">
        <f>PRICE_DATA!G2</f>
        <v>92.57</v>
      </c>
      <c r="H71">
        <f>PRICE_DATA!H2</f>
        <v>29.27</v>
      </c>
      <c r="I71">
        <f>PRICE_DATA!I2</f>
        <v>69.83</v>
      </c>
      <c r="J71">
        <f>PRICE_DATA!J2</f>
        <v>78.45</v>
      </c>
      <c r="K71">
        <f>PRICE_DATA!K2</f>
        <v>124.5</v>
      </c>
      <c r="L71">
        <f>PRICE_DATA!L2</f>
        <v>38.119999999999997</v>
      </c>
      <c r="M71">
        <f>PRICE_DATA!M2</f>
        <v>79.58</v>
      </c>
      <c r="N71">
        <f>PRICE_DATA!N2</f>
        <v>75.62</v>
      </c>
      <c r="O71">
        <f>PRICE_DATA!O2</f>
        <v>51.61</v>
      </c>
      <c r="P71">
        <f>PRICE_DATA!P2</f>
        <v>64.23</v>
      </c>
      <c r="Q71">
        <f>PRICE_DATA!Q2</f>
        <v>19.82</v>
      </c>
      <c r="R71">
        <f>PRICE_DATA!R2</f>
        <v>1331.07</v>
      </c>
      <c r="S71">
        <f>PRICE_DATA!S2</f>
        <v>41.58</v>
      </c>
      <c r="T71">
        <f>PRICE_DATA!T2</f>
        <v>20.66</v>
      </c>
      <c r="U71">
        <f>PRICE_DATA!U2</f>
        <v>18.809999999999999</v>
      </c>
      <c r="V71">
        <f>PRICE_DATA!V2</f>
        <v>39.869999999999997</v>
      </c>
      <c r="W71">
        <f>PRICE_DATA!W2</f>
        <v>47.234000000000002</v>
      </c>
      <c r="X71">
        <f>PRICE_DATA!X2</f>
        <v>28.42</v>
      </c>
      <c r="Y71">
        <f>PRICE_DATA!Y2</f>
        <v>56.53</v>
      </c>
      <c r="Z71">
        <f>PRICE_DATA!Z2</f>
        <v>43.44</v>
      </c>
      <c r="AA71">
        <f>PRICE_DATA!AA2</f>
        <v>86.09</v>
      </c>
      <c r="AB71">
        <f>PRICE_DATA!AB2</f>
        <v>62.22</v>
      </c>
      <c r="AC71">
        <f>PRICE_DATA!AC2</f>
        <v>46.44</v>
      </c>
      <c r="AD71">
        <f>PRICE_DATA!AD2</f>
        <v>629.42999999999995</v>
      </c>
      <c r="AE71">
        <f>PRICE_DATA!AE2</f>
        <v>694.04</v>
      </c>
      <c r="AF71">
        <f>PRICE_DATA!AF2</f>
        <v>45.82</v>
      </c>
      <c r="AG71">
        <f>PRICE_DATA!AG2</f>
        <v>63.48</v>
      </c>
      <c r="AH71">
        <f>PRICE_DATA!AH2</f>
        <v>53.45</v>
      </c>
      <c r="AI71">
        <f>PRICE_DATA!AI2</f>
        <v>56.17</v>
      </c>
    </row>
    <row r="72" spans="1:38" x14ac:dyDescent="0.45">
      <c r="A72" t="s">
        <v>80</v>
      </c>
      <c r="B72" s="7">
        <f>PRICE_DATA!B204</f>
        <v>31.727474626865664</v>
      </c>
      <c r="C72" s="7">
        <f>PRICE_DATA!C204</f>
        <v>34.35609452736319</v>
      </c>
      <c r="D72" s="7">
        <f>PRICE_DATA!D204</f>
        <v>18.051094527363176</v>
      </c>
      <c r="E72" s="7">
        <f>PRICE_DATA!E204</f>
        <v>25.987379104477622</v>
      </c>
      <c r="F72" s="7">
        <f>PRICE_DATA!F204</f>
        <v>32.641840796019899</v>
      </c>
      <c r="G72" s="7">
        <f>PRICE_DATA!G204</f>
        <v>57.609646268656725</v>
      </c>
      <c r="H72" s="7">
        <f>PRICE_DATA!H204</f>
        <v>25.414975124378117</v>
      </c>
      <c r="I72" s="7">
        <f>PRICE_DATA!I204</f>
        <v>60.038606965174083</v>
      </c>
      <c r="J72" s="7">
        <f>PRICE_DATA!J204</f>
        <v>64.082537313432837</v>
      </c>
      <c r="K72" s="7">
        <f>PRICE_DATA!K204</f>
        <v>79.866766169154218</v>
      </c>
      <c r="L72" s="7">
        <f>PRICE_DATA!L204</f>
        <v>29.771542288557203</v>
      </c>
      <c r="M72" s="7">
        <f>PRICE_DATA!M204</f>
        <v>60.050348258706443</v>
      </c>
      <c r="N72" s="7">
        <f>PRICE_DATA!N204</f>
        <v>61.75468706467661</v>
      </c>
      <c r="O72" s="7">
        <f>PRICE_DATA!O204</f>
        <v>53.648781094527372</v>
      </c>
      <c r="P72" s="7">
        <f>PRICE_DATA!P204</f>
        <v>59.442064676616987</v>
      </c>
      <c r="Q72" s="7">
        <f>PRICE_DATA!Q204</f>
        <v>19.134683084577112</v>
      </c>
      <c r="R72" s="7">
        <f>PRICE_DATA!R204</f>
        <v>1227.8596019900494</v>
      </c>
      <c r="S72" s="7">
        <f>PRICE_DATA!S204</f>
        <v>33.61375522388056</v>
      </c>
      <c r="T72" s="7">
        <f>PRICE_DATA!T204</f>
        <v>19.08878905472638</v>
      </c>
      <c r="U72" s="7">
        <f>PRICE_DATA!U204</f>
        <v>16.41940298507463</v>
      </c>
      <c r="V72" s="7">
        <f>PRICE_DATA!V204</f>
        <v>38.543134328358221</v>
      </c>
      <c r="W72" s="7">
        <f>PRICE_DATA!W204</f>
        <v>45.441907462686544</v>
      </c>
      <c r="X72" s="7">
        <f>PRICE_DATA!X204</f>
        <v>26.266019900497518</v>
      </c>
      <c r="Y72" s="7">
        <f>PRICE_DATA!Y204</f>
        <v>48.701393034825898</v>
      </c>
      <c r="Z72" s="7">
        <f>PRICE_DATA!Z204</f>
        <v>41.516965174129389</v>
      </c>
      <c r="AA72" s="7">
        <f>PRICE_DATA!AA204</f>
        <v>78.138606965174148</v>
      </c>
      <c r="AB72" s="7">
        <f>PRICE_DATA!AB204</f>
        <v>55.967860696517434</v>
      </c>
      <c r="AC72" s="7">
        <f>PRICE_DATA!AC204</f>
        <v>41.389452736318404</v>
      </c>
      <c r="AD72" s="7">
        <f>PRICE_DATA!AD204</f>
        <v>572.19233830845769</v>
      </c>
      <c r="AE72" s="7">
        <f>PRICE_DATA!AE204</f>
        <v>639.80263681592032</v>
      </c>
      <c r="AF72" s="7">
        <f>PRICE_DATA!AF204</f>
        <v>43.41940298507464</v>
      </c>
      <c r="AG72" s="7">
        <f>PRICE_DATA!AG204</f>
        <v>55.26174676616921</v>
      </c>
      <c r="AH72" s="7">
        <f>PRICE_DATA!AH204</f>
        <v>46.781791044776128</v>
      </c>
      <c r="AI72" s="7">
        <f>PRICE_DATA!AI204</f>
        <v>50.232288557213906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1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1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1</v>
      </c>
      <c r="L73">
        <f t="shared" si="6"/>
        <v>1</v>
      </c>
      <c r="M73">
        <f t="shared" si="6"/>
        <v>1</v>
      </c>
      <c r="N73">
        <f t="shared" si="6"/>
        <v>1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1</v>
      </c>
      <c r="T73">
        <f t="shared" si="6"/>
        <v>0</v>
      </c>
      <c r="U73">
        <f t="shared" si="6"/>
        <v>0</v>
      </c>
      <c r="V73">
        <f t="shared" si="6"/>
        <v>1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1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46051</v>
      </c>
      <c r="B2" cm="1">
        <f t="array" ref="B2:B202">_xll.FDS(B1,"FG_PRICE(0,-200D)")</f>
        <v>35.89</v>
      </c>
      <c r="C2" cm="1">
        <f t="array" ref="C2:C202">_xll.FDS(C1,"FG_PRICE(0,-200D)")</f>
        <v>46.875</v>
      </c>
      <c r="D2" cm="1">
        <f t="array" ref="D2:D202">_xll.FDS(D1,"FG_PRICE(0,-200D)")</f>
        <v>17.579999999999998</v>
      </c>
      <c r="E2" cm="1">
        <f t="array" ref="E2:E202">_xll.FDS(E1,"FG_PRICE(0,-200D)")</f>
        <v>25.65</v>
      </c>
      <c r="F2" cm="1">
        <f t="array" ref="F2:F202">_xll.FDS(F1,"FG_PRICE(0,-200D)")</f>
        <v>38.380000000000003</v>
      </c>
      <c r="G2" cm="1">
        <f t="array" ref="G2:G202">_xll.FDS(G1,"FG_PRICE(0,-200D)")</f>
        <v>92.57</v>
      </c>
      <c r="H2" cm="1">
        <f t="array" ref="H2:H202">_xll.FDS(H1,"FG_PRICE(0,-200D)")</f>
        <v>29.27</v>
      </c>
      <c r="I2" cm="1">
        <f t="array" ref="I2:I202">_xll.FDS(I1,"FG_PRICE(0,-200D)")</f>
        <v>69.83</v>
      </c>
      <c r="J2" cm="1">
        <f t="array" ref="J2:J202">_xll.FDS(J1,"FG_PRICE(0,-200D)")</f>
        <v>78.45</v>
      </c>
      <c r="K2" cm="1">
        <f t="array" ref="K2:K202">_xll.FDS(K1,"FG_PRICE(0,-200D)")</f>
        <v>124.5</v>
      </c>
      <c r="L2" cm="1">
        <f t="array" ref="L2:L202">_xll.FDS(L1,"FG_PRICE(0,-200D)")</f>
        <v>38.119999999999997</v>
      </c>
      <c r="M2" cm="1">
        <f t="array" ref="M2:M202">_xll.FDS(M1,"FG_PRICE(0,-200D)")</f>
        <v>79.58</v>
      </c>
      <c r="N2" cm="1">
        <f t="array" ref="N2:N202">_xll.FDS(N1,"FG_PRICE(0,-200D)")</f>
        <v>75.62</v>
      </c>
      <c r="O2" cm="1">
        <f t="array" ref="O2:O202">_xll.FDS(O1,"FG_PRICE(0,-200D)")</f>
        <v>51.61</v>
      </c>
      <c r="P2" cm="1">
        <f t="array" ref="P2:P202">_xll.FDS(P1,"FG_PRICE(0,-200D)")</f>
        <v>64.23</v>
      </c>
      <c r="Q2" cm="1">
        <f t="array" ref="Q2:Q202">_xll.FDS(Q1,"FG_PRICE(0,-200D)")</f>
        <v>19.82</v>
      </c>
      <c r="R2" cm="1">
        <f t="array" ref="R2:R202">_xll.FDS(R1,"FG_PRICE(0,-200D)")</f>
        <v>1331.07</v>
      </c>
      <c r="S2" cm="1">
        <f t="array" ref="S2:S202">_xll.FDS(S1,"FG_PRICE(0,-200D)")</f>
        <v>41.58</v>
      </c>
      <c r="T2" cm="1">
        <f t="array" ref="T2:T202">_xll.FDS(T1,"FG_PRICE(0,-200D)")</f>
        <v>20.66</v>
      </c>
      <c r="U2" cm="1">
        <f t="array" ref="U2:U202">_xll.FDS(U1,"FG_PRICE(0,-200D)")</f>
        <v>18.809999999999999</v>
      </c>
      <c r="V2" cm="1">
        <f t="array" ref="V2:V202">_xll.FDS(V1,"FG_PRICE(0,-200D)")</f>
        <v>39.869999999999997</v>
      </c>
      <c r="W2" cm="1">
        <f t="array" ref="W2:W202">_xll.FDS(W1,"FG_PRICE(0,-200D)")</f>
        <v>47.234000000000002</v>
      </c>
      <c r="X2" cm="1">
        <f t="array" ref="X2:X202">_xll.FDS(X1,"FG_PRICE(0,-200D)")</f>
        <v>28.42</v>
      </c>
      <c r="Y2" cm="1">
        <f t="array" ref="Y2:Y202">_xll.FDS(Y1,"FG_PRICE(0,-200D)")</f>
        <v>56.53</v>
      </c>
      <c r="Z2" cm="1">
        <f t="array" ref="Z2:Z202">_xll.FDS(Z1,"FG_PRICE(0,-200D)")</f>
        <v>43.44</v>
      </c>
      <c r="AA2" cm="1">
        <f t="array" ref="AA2:AA202">_xll.FDS(AA1,"FG_PRICE(0,-200D)")</f>
        <v>86.09</v>
      </c>
      <c r="AB2" cm="1">
        <f t="array" ref="AB2:AB202">_xll.FDS(AB1,"FG_PRICE(0,-200D)")</f>
        <v>62.22</v>
      </c>
      <c r="AC2" cm="1">
        <f t="array" ref="AC2:AC202">_xll.FDS(AC1,"FG_PRICE(0,-200D)")</f>
        <v>46.44</v>
      </c>
      <c r="AD2" cm="1">
        <f t="array" ref="AD2:AD202">_xll.FDS(AD1,"FG_PRICE(0,-200D)")</f>
        <v>629.42999999999995</v>
      </c>
      <c r="AE2" cm="1">
        <f t="array" ref="AE2:AE202">_xll.FDS(AE1,"FG_PRICE(0,-200D)")</f>
        <v>694.04</v>
      </c>
      <c r="AF2" cm="1">
        <f t="array" ref="AF2:AF202">_xll.FDS(AF1,"FG_PRICE(0,-200D)")</f>
        <v>45.82</v>
      </c>
      <c r="AG2" cm="1">
        <f t="array" ref="AG2:AG202">_xll.FDS(AG1,"FG_PRICE(0,-200D)")</f>
        <v>63.48</v>
      </c>
      <c r="AH2" cm="1">
        <f t="array" ref="AH2:AH202">_xll.FDS(AH1,"FG_PRICE(0,-200D)")</f>
        <v>53.45</v>
      </c>
      <c r="AI2" cm="1">
        <f t="array" ref="AI2:AI202">_xll.FDS(AI1,"FG_PRICE(0,-200D)")</f>
        <v>56.17</v>
      </c>
    </row>
    <row r="3" spans="1:35" x14ac:dyDescent="0.45">
      <c r="A3" s="2">
        <v>46050</v>
      </c>
      <c r="B3">
        <v>35.520000000000003</v>
      </c>
      <c r="C3">
        <v>47.06</v>
      </c>
      <c r="D3">
        <v>17.260000000000002</v>
      </c>
      <c r="E3">
        <v>26.33</v>
      </c>
      <c r="F3">
        <v>38.25</v>
      </c>
      <c r="G3">
        <v>92.07</v>
      </c>
      <c r="H3">
        <v>29.84</v>
      </c>
      <c r="I3">
        <v>71.19</v>
      </c>
      <c r="J3">
        <v>78.73</v>
      </c>
      <c r="K3">
        <v>125.56</v>
      </c>
      <c r="L3">
        <v>38.33</v>
      </c>
      <c r="M3">
        <v>80.14</v>
      </c>
      <c r="N3">
        <v>77.2</v>
      </c>
      <c r="O3">
        <v>51.49</v>
      </c>
      <c r="P3">
        <v>63.91</v>
      </c>
      <c r="Q3">
        <v>20</v>
      </c>
      <c r="R3">
        <v>1338.9</v>
      </c>
      <c r="S3">
        <v>40.39</v>
      </c>
      <c r="T3">
        <v>20.75</v>
      </c>
      <c r="U3">
        <v>18.5</v>
      </c>
      <c r="V3">
        <v>40.14</v>
      </c>
      <c r="W3">
        <v>47.11</v>
      </c>
      <c r="X3">
        <v>28.17</v>
      </c>
      <c r="Y3">
        <v>56.35</v>
      </c>
      <c r="Z3">
        <v>44.01</v>
      </c>
      <c r="AA3">
        <v>85.21</v>
      </c>
      <c r="AB3">
        <v>61.05</v>
      </c>
      <c r="AC3">
        <v>46.24</v>
      </c>
      <c r="AD3">
        <v>633.22</v>
      </c>
      <c r="AE3">
        <v>695.42</v>
      </c>
      <c r="AF3">
        <v>45.53</v>
      </c>
      <c r="AG3">
        <v>63.05</v>
      </c>
      <c r="AH3">
        <v>52.93</v>
      </c>
      <c r="AI3">
        <v>55.83</v>
      </c>
    </row>
    <row r="4" spans="1:35" x14ac:dyDescent="0.45">
      <c r="A4" s="2">
        <v>46049</v>
      </c>
      <c r="B4">
        <v>35.64</v>
      </c>
      <c r="C4">
        <v>47.37</v>
      </c>
      <c r="D4">
        <v>19.18</v>
      </c>
      <c r="E4">
        <v>26.23</v>
      </c>
      <c r="F4">
        <v>38.44</v>
      </c>
      <c r="G4">
        <v>91.61</v>
      </c>
      <c r="H4">
        <v>30.06</v>
      </c>
      <c r="I4">
        <v>71.319999999999993</v>
      </c>
      <c r="J4">
        <v>77.86</v>
      </c>
      <c r="K4">
        <v>122.7</v>
      </c>
      <c r="L4">
        <v>37.89</v>
      </c>
      <c r="M4">
        <v>79.02</v>
      </c>
      <c r="N4">
        <v>75.349999999999994</v>
      </c>
      <c r="O4">
        <v>51.69</v>
      </c>
      <c r="P4">
        <v>63.29</v>
      </c>
      <c r="Q4">
        <v>19.940000000000001</v>
      </c>
      <c r="R4">
        <v>1334.45</v>
      </c>
      <c r="S4">
        <v>39.56</v>
      </c>
      <c r="T4">
        <v>20.71</v>
      </c>
      <c r="U4">
        <v>18.760000000000002</v>
      </c>
      <c r="V4">
        <v>40.119999999999997</v>
      </c>
      <c r="W4">
        <v>47.52</v>
      </c>
      <c r="X4">
        <v>28.24</v>
      </c>
      <c r="Y4">
        <v>56.18</v>
      </c>
      <c r="Z4">
        <v>44.3</v>
      </c>
      <c r="AA4">
        <v>85.84</v>
      </c>
      <c r="AB4">
        <v>62.57</v>
      </c>
      <c r="AC4">
        <v>46.5</v>
      </c>
      <c r="AD4">
        <v>631.13</v>
      </c>
      <c r="AE4">
        <v>695.49</v>
      </c>
      <c r="AF4">
        <v>46.15</v>
      </c>
      <c r="AG4">
        <v>63.7</v>
      </c>
      <c r="AH4">
        <v>53.64</v>
      </c>
      <c r="AI4">
        <v>56.63</v>
      </c>
    </row>
    <row r="5" spans="1:35" x14ac:dyDescent="0.45">
      <c r="A5" s="2">
        <v>46048</v>
      </c>
      <c r="B5">
        <v>35.58</v>
      </c>
      <c r="C5">
        <v>46.78</v>
      </c>
      <c r="D5">
        <v>19.2</v>
      </c>
      <c r="E5">
        <v>26.03</v>
      </c>
      <c r="F5">
        <v>37.74</v>
      </c>
      <c r="G5">
        <v>90.43</v>
      </c>
      <c r="H5">
        <v>29.5</v>
      </c>
      <c r="I5">
        <v>69.94</v>
      </c>
      <c r="J5">
        <v>76.7</v>
      </c>
      <c r="K5">
        <v>117.32</v>
      </c>
      <c r="L5">
        <v>36.61</v>
      </c>
      <c r="M5">
        <v>77.38</v>
      </c>
      <c r="N5">
        <v>73.06</v>
      </c>
      <c r="O5">
        <v>51.44</v>
      </c>
      <c r="P5">
        <v>62.66</v>
      </c>
      <c r="Q5">
        <v>19.937000000000001</v>
      </c>
      <c r="R5">
        <v>1307.07</v>
      </c>
      <c r="S5">
        <v>39.86</v>
      </c>
      <c r="T5">
        <v>20.41</v>
      </c>
      <c r="U5">
        <v>18.91</v>
      </c>
      <c r="V5">
        <v>39.61</v>
      </c>
      <c r="W5">
        <v>46.87</v>
      </c>
      <c r="X5">
        <v>27.62</v>
      </c>
      <c r="Y5">
        <v>55.69</v>
      </c>
      <c r="Z5">
        <v>43.84</v>
      </c>
      <c r="AA5">
        <v>84.63</v>
      </c>
      <c r="AB5">
        <v>61.19</v>
      </c>
      <c r="AC5">
        <v>45.83</v>
      </c>
      <c r="AD5">
        <v>625.46</v>
      </c>
      <c r="AE5">
        <v>692.73</v>
      </c>
      <c r="AF5">
        <v>45.65</v>
      </c>
      <c r="AG5">
        <v>62.81</v>
      </c>
      <c r="AH5">
        <v>52.72</v>
      </c>
      <c r="AI5">
        <v>55.39</v>
      </c>
    </row>
    <row r="6" spans="1:35" x14ac:dyDescent="0.45">
      <c r="A6" s="2">
        <v>46045</v>
      </c>
      <c r="B6">
        <v>35.549999999999997</v>
      </c>
      <c r="C6">
        <v>46.4</v>
      </c>
      <c r="D6">
        <v>19.010000000000002</v>
      </c>
      <c r="E6">
        <v>26.21</v>
      </c>
      <c r="F6">
        <v>36.89</v>
      </c>
      <c r="G6">
        <v>88.38</v>
      </c>
      <c r="H6">
        <v>28.78</v>
      </c>
      <c r="I6">
        <v>69.709999999999994</v>
      </c>
      <c r="J6">
        <v>76.08</v>
      </c>
      <c r="K6">
        <v>117.97</v>
      </c>
      <c r="L6">
        <v>36.590000000000003</v>
      </c>
      <c r="M6">
        <v>76.34</v>
      </c>
      <c r="N6">
        <v>72.25</v>
      </c>
      <c r="O6">
        <v>51.24</v>
      </c>
      <c r="P6">
        <v>62.74</v>
      </c>
      <c r="Q6">
        <v>19.82</v>
      </c>
      <c r="R6">
        <v>1314.39</v>
      </c>
      <c r="S6">
        <v>39.43</v>
      </c>
      <c r="T6">
        <v>20.46</v>
      </c>
      <c r="U6">
        <v>19.420000000000002</v>
      </c>
      <c r="V6">
        <v>39.01</v>
      </c>
      <c r="W6">
        <v>46.624000000000002</v>
      </c>
      <c r="X6">
        <v>27.38</v>
      </c>
      <c r="Y6">
        <v>55.77</v>
      </c>
      <c r="Z6">
        <v>43.48</v>
      </c>
      <c r="AA6">
        <v>84.56</v>
      </c>
      <c r="AB6">
        <v>60.87</v>
      </c>
      <c r="AC6">
        <v>45.57</v>
      </c>
      <c r="AD6">
        <v>622.72</v>
      </c>
      <c r="AE6">
        <v>689.23</v>
      </c>
      <c r="AF6">
        <v>45.51</v>
      </c>
      <c r="AG6">
        <v>62.33</v>
      </c>
      <c r="AH6">
        <v>52.38</v>
      </c>
      <c r="AI6">
        <v>54.91</v>
      </c>
    </row>
    <row r="7" spans="1:35" x14ac:dyDescent="0.45">
      <c r="A7" s="2">
        <v>46044</v>
      </c>
      <c r="B7">
        <v>35.78</v>
      </c>
      <c r="C7">
        <v>46.174999999999997</v>
      </c>
      <c r="D7">
        <v>19.05</v>
      </c>
      <c r="E7">
        <v>26.35</v>
      </c>
      <c r="F7">
        <v>37.26</v>
      </c>
      <c r="G7">
        <v>86.2</v>
      </c>
      <c r="H7">
        <v>28.43</v>
      </c>
      <c r="I7">
        <v>68.25</v>
      </c>
      <c r="J7">
        <v>75.75</v>
      </c>
      <c r="K7">
        <v>115.99</v>
      </c>
      <c r="L7">
        <v>35.950000000000003</v>
      </c>
      <c r="M7">
        <v>75.56</v>
      </c>
      <c r="N7">
        <v>72.2</v>
      </c>
      <c r="O7">
        <v>51.795000000000002</v>
      </c>
      <c r="P7">
        <v>62.78</v>
      </c>
      <c r="Q7">
        <v>19.899999999999999</v>
      </c>
      <c r="R7">
        <v>1311.64</v>
      </c>
      <c r="S7">
        <v>39.08</v>
      </c>
      <c r="T7">
        <v>20.62</v>
      </c>
      <c r="U7">
        <v>19.625</v>
      </c>
      <c r="V7">
        <v>38.93</v>
      </c>
      <c r="W7">
        <v>46.755000000000003</v>
      </c>
      <c r="X7">
        <v>27.07</v>
      </c>
      <c r="Y7">
        <v>55.2</v>
      </c>
      <c r="Z7">
        <v>43.1</v>
      </c>
      <c r="AA7">
        <v>84.86</v>
      </c>
      <c r="AB7">
        <v>60.59</v>
      </c>
      <c r="AC7">
        <v>45.07</v>
      </c>
      <c r="AD7">
        <v>620.76</v>
      </c>
      <c r="AE7">
        <v>688.98</v>
      </c>
      <c r="AF7">
        <v>45.16</v>
      </c>
      <c r="AG7">
        <v>62.14</v>
      </c>
      <c r="AH7">
        <v>51.74</v>
      </c>
      <c r="AI7">
        <v>54.77</v>
      </c>
    </row>
    <row r="8" spans="1:35" x14ac:dyDescent="0.45">
      <c r="A8" s="2">
        <v>46043</v>
      </c>
      <c r="B8">
        <v>35.805</v>
      </c>
      <c r="C8">
        <v>45.2</v>
      </c>
      <c r="D8">
        <v>18.940000000000001</v>
      </c>
      <c r="E8">
        <v>26.27</v>
      </c>
      <c r="F8">
        <v>36.15</v>
      </c>
      <c r="G8">
        <v>85.04</v>
      </c>
      <c r="H8">
        <v>28.26</v>
      </c>
      <c r="I8">
        <v>67.45</v>
      </c>
      <c r="J8">
        <v>75.36</v>
      </c>
      <c r="K8">
        <v>115.66</v>
      </c>
      <c r="L8">
        <v>35.020000000000003</v>
      </c>
      <c r="M8">
        <v>73.52</v>
      </c>
      <c r="N8">
        <v>70.739999999999995</v>
      </c>
      <c r="O8">
        <v>51.55</v>
      </c>
      <c r="P8">
        <v>62.49</v>
      </c>
      <c r="Q8">
        <v>19.71</v>
      </c>
      <c r="R8">
        <v>1317.56</v>
      </c>
      <c r="S8">
        <v>38.64</v>
      </c>
      <c r="T8">
        <v>20.3</v>
      </c>
      <c r="U8">
        <v>19.39</v>
      </c>
      <c r="V8">
        <v>38.299999999999997</v>
      </c>
      <c r="W8">
        <v>46.11</v>
      </c>
      <c r="X8">
        <v>26.7</v>
      </c>
      <c r="Y8">
        <v>55.02</v>
      </c>
      <c r="Z8">
        <v>42.82</v>
      </c>
      <c r="AA8">
        <v>84.78</v>
      </c>
      <c r="AB8">
        <v>60.49</v>
      </c>
      <c r="AC8">
        <v>45.16</v>
      </c>
      <c r="AD8">
        <v>616.28</v>
      </c>
      <c r="AE8">
        <v>685.4</v>
      </c>
      <c r="AF8">
        <v>45.05</v>
      </c>
      <c r="AG8">
        <v>61.539000000000001</v>
      </c>
      <c r="AH8">
        <v>51.52</v>
      </c>
      <c r="AI8">
        <v>54.44</v>
      </c>
    </row>
    <row r="9" spans="1:35" x14ac:dyDescent="0.45">
      <c r="A9" s="2">
        <v>46042</v>
      </c>
      <c r="B9">
        <v>35.5</v>
      </c>
      <c r="C9">
        <v>43.89</v>
      </c>
      <c r="D9">
        <v>19.13</v>
      </c>
      <c r="E9">
        <v>26</v>
      </c>
      <c r="F9">
        <v>35.840000000000003</v>
      </c>
      <c r="G9">
        <v>84.78</v>
      </c>
      <c r="H9">
        <v>27.88</v>
      </c>
      <c r="I9">
        <v>66.540000000000006</v>
      </c>
      <c r="J9">
        <v>74.61</v>
      </c>
      <c r="K9">
        <v>110.97</v>
      </c>
      <c r="L9">
        <v>33.619999999999997</v>
      </c>
      <c r="M9">
        <v>73.44</v>
      </c>
      <c r="N9">
        <v>69.88</v>
      </c>
      <c r="O9">
        <v>51.73</v>
      </c>
      <c r="P9">
        <v>61.65</v>
      </c>
      <c r="Q9">
        <v>19.71</v>
      </c>
      <c r="R9">
        <v>1296.3699999999999</v>
      </c>
      <c r="S9">
        <v>38.869999999999997</v>
      </c>
      <c r="T9">
        <v>20.09</v>
      </c>
      <c r="U9">
        <v>19.510000000000002</v>
      </c>
      <c r="V9">
        <v>37.94</v>
      </c>
      <c r="W9">
        <v>46.09</v>
      </c>
      <c r="X9">
        <v>26.46</v>
      </c>
      <c r="Y9">
        <v>54.75</v>
      </c>
      <c r="Z9">
        <v>42.54</v>
      </c>
      <c r="AA9">
        <v>83.72</v>
      </c>
      <c r="AB9">
        <v>60.16</v>
      </c>
      <c r="AC9">
        <v>44.7</v>
      </c>
      <c r="AD9">
        <v>608.05999999999995</v>
      </c>
      <c r="AE9">
        <v>677.58</v>
      </c>
      <c r="AF9">
        <v>44.55</v>
      </c>
      <c r="AG9">
        <v>60.64</v>
      </c>
      <c r="AH9">
        <v>50.46</v>
      </c>
      <c r="AI9">
        <v>54.02</v>
      </c>
    </row>
    <row r="10" spans="1:35" x14ac:dyDescent="0.45">
      <c r="A10" s="2">
        <v>46038</v>
      </c>
      <c r="B10">
        <v>35.515000000000001</v>
      </c>
      <c r="C10">
        <v>44.09</v>
      </c>
      <c r="D10">
        <v>19.14</v>
      </c>
      <c r="E10">
        <v>26.42</v>
      </c>
      <c r="F10">
        <v>35.92</v>
      </c>
      <c r="G10">
        <v>82.63</v>
      </c>
      <c r="H10">
        <v>28.17</v>
      </c>
      <c r="I10">
        <v>67.34</v>
      </c>
      <c r="J10">
        <v>74</v>
      </c>
      <c r="K10">
        <v>112.22</v>
      </c>
      <c r="L10">
        <v>33.17</v>
      </c>
      <c r="M10">
        <v>72.78</v>
      </c>
      <c r="N10">
        <v>70.03</v>
      </c>
      <c r="O10">
        <v>52.85</v>
      </c>
      <c r="P10">
        <v>62.52</v>
      </c>
      <c r="Q10">
        <v>19.46</v>
      </c>
      <c r="R10">
        <v>1283.2</v>
      </c>
      <c r="S10">
        <v>38.409999999999997</v>
      </c>
      <c r="T10">
        <v>19.87</v>
      </c>
      <c r="U10">
        <v>19.73</v>
      </c>
      <c r="V10">
        <v>37.83</v>
      </c>
      <c r="W10">
        <v>45.755000000000003</v>
      </c>
      <c r="X10">
        <v>26.74</v>
      </c>
      <c r="Y10">
        <v>55.13</v>
      </c>
      <c r="Z10">
        <v>43.34</v>
      </c>
      <c r="AA10">
        <v>85.48</v>
      </c>
      <c r="AB10">
        <v>60.51</v>
      </c>
      <c r="AC10">
        <v>45.18</v>
      </c>
      <c r="AD10">
        <v>621.26</v>
      </c>
      <c r="AE10">
        <v>691.66</v>
      </c>
      <c r="AF10">
        <v>45.29</v>
      </c>
      <c r="AG10">
        <v>61.91</v>
      </c>
      <c r="AH10">
        <v>51.31</v>
      </c>
      <c r="AI10">
        <v>54.92</v>
      </c>
    </row>
    <row r="11" spans="1:35" x14ac:dyDescent="0.45">
      <c r="A11" s="2">
        <v>46037</v>
      </c>
      <c r="B11">
        <v>35.869999999999997</v>
      </c>
      <c r="C11">
        <v>44.15</v>
      </c>
      <c r="D11">
        <v>19.22</v>
      </c>
      <c r="E11">
        <v>26.38</v>
      </c>
      <c r="F11">
        <v>36.15</v>
      </c>
      <c r="G11">
        <v>83.01</v>
      </c>
      <c r="H11">
        <v>28.28</v>
      </c>
      <c r="I11">
        <v>67.290000000000006</v>
      </c>
      <c r="J11">
        <v>73.25</v>
      </c>
      <c r="K11">
        <v>111.05</v>
      </c>
      <c r="L11">
        <v>33.36</v>
      </c>
      <c r="M11">
        <v>73.739999999999995</v>
      </c>
      <c r="N11">
        <v>69.84</v>
      </c>
      <c r="O11">
        <v>53.22</v>
      </c>
      <c r="P11">
        <v>63.59</v>
      </c>
      <c r="Q11">
        <v>19.425000000000001</v>
      </c>
      <c r="R11">
        <v>1275.5999999999999</v>
      </c>
      <c r="S11">
        <v>37.94</v>
      </c>
      <c r="T11">
        <v>19.73</v>
      </c>
      <c r="U11">
        <v>19.53</v>
      </c>
      <c r="V11">
        <v>37.99</v>
      </c>
      <c r="W11">
        <v>45.630099999999999</v>
      </c>
      <c r="X11">
        <v>26.65</v>
      </c>
      <c r="Y11">
        <v>55.22</v>
      </c>
      <c r="Z11">
        <v>43.24</v>
      </c>
      <c r="AA11">
        <v>85.42</v>
      </c>
      <c r="AB11">
        <v>60.52</v>
      </c>
      <c r="AC11">
        <v>45.09</v>
      </c>
      <c r="AD11">
        <v>621.78</v>
      </c>
      <c r="AE11">
        <v>692.24</v>
      </c>
      <c r="AF11">
        <v>45.4</v>
      </c>
      <c r="AG11">
        <v>61.6</v>
      </c>
      <c r="AH11">
        <v>51.05</v>
      </c>
      <c r="AI11">
        <v>54.8</v>
      </c>
    </row>
    <row r="12" spans="1:35" x14ac:dyDescent="0.45">
      <c r="A12" s="2">
        <v>46036</v>
      </c>
      <c r="B12">
        <v>35.6</v>
      </c>
      <c r="C12">
        <v>44.51</v>
      </c>
      <c r="D12">
        <v>19.14</v>
      </c>
      <c r="E12">
        <v>26.04</v>
      </c>
      <c r="F12">
        <v>36.03</v>
      </c>
      <c r="G12">
        <v>82.26</v>
      </c>
      <c r="H12">
        <v>28.2</v>
      </c>
      <c r="I12">
        <v>66.510000000000005</v>
      </c>
      <c r="J12">
        <v>73.38</v>
      </c>
      <c r="K12">
        <v>109.64</v>
      </c>
      <c r="L12">
        <v>33.159999999999997</v>
      </c>
      <c r="M12">
        <v>73.39</v>
      </c>
      <c r="N12">
        <v>69.150000000000006</v>
      </c>
      <c r="O12">
        <v>53.25</v>
      </c>
      <c r="P12">
        <v>63.55</v>
      </c>
      <c r="Q12">
        <v>19.659600000000001</v>
      </c>
      <c r="R12">
        <v>1261.3900000000001</v>
      </c>
      <c r="S12">
        <v>37.590000000000003</v>
      </c>
      <c r="T12">
        <v>19.59</v>
      </c>
      <c r="U12">
        <v>19.690000000000001</v>
      </c>
      <c r="V12">
        <v>38.21</v>
      </c>
      <c r="W12">
        <v>45.89</v>
      </c>
      <c r="X12">
        <v>26.54</v>
      </c>
      <c r="Y12">
        <v>55.18</v>
      </c>
      <c r="Z12">
        <v>43.49</v>
      </c>
      <c r="AA12">
        <v>85.04</v>
      </c>
      <c r="AB12">
        <v>60.87</v>
      </c>
      <c r="AC12">
        <v>45.28</v>
      </c>
      <c r="AD12">
        <v>619.54999999999995</v>
      </c>
      <c r="AE12">
        <v>690.36</v>
      </c>
      <c r="AF12">
        <v>45.87</v>
      </c>
      <c r="AG12">
        <v>60.67</v>
      </c>
      <c r="AH12">
        <v>50.61</v>
      </c>
      <c r="AI12">
        <v>55.04</v>
      </c>
    </row>
    <row r="13" spans="1:35" x14ac:dyDescent="0.45">
      <c r="A13" s="2">
        <v>46035</v>
      </c>
      <c r="B13">
        <v>35.590000000000003</v>
      </c>
      <c r="C13">
        <v>44.34</v>
      </c>
      <c r="D13">
        <v>19.03</v>
      </c>
      <c r="E13">
        <v>26.24</v>
      </c>
      <c r="F13">
        <v>36.090000000000003</v>
      </c>
      <c r="G13">
        <v>80.989999999999995</v>
      </c>
      <c r="H13">
        <v>28.05</v>
      </c>
      <c r="I13">
        <v>66.099999999999994</v>
      </c>
      <c r="J13">
        <v>71.97</v>
      </c>
      <c r="K13">
        <v>107.54</v>
      </c>
      <c r="L13">
        <v>32.630000000000003</v>
      </c>
      <c r="M13">
        <v>73.09</v>
      </c>
      <c r="N13">
        <v>69</v>
      </c>
      <c r="O13">
        <v>53.04</v>
      </c>
      <c r="P13">
        <v>63.52</v>
      </c>
      <c r="Q13">
        <v>19.71</v>
      </c>
      <c r="R13">
        <v>1244.3</v>
      </c>
      <c r="S13">
        <v>37.729999999999997</v>
      </c>
      <c r="T13">
        <v>19.760000000000002</v>
      </c>
      <c r="U13">
        <v>19.8</v>
      </c>
      <c r="V13">
        <v>38.21</v>
      </c>
      <c r="W13">
        <v>45.52</v>
      </c>
      <c r="X13">
        <v>26.41</v>
      </c>
      <c r="Y13">
        <v>55.12</v>
      </c>
      <c r="Z13">
        <v>43.57</v>
      </c>
      <c r="AA13">
        <v>84.45</v>
      </c>
      <c r="AB13">
        <v>60.17</v>
      </c>
      <c r="AC13">
        <v>44.98</v>
      </c>
      <c r="AD13">
        <v>626.24</v>
      </c>
      <c r="AE13">
        <v>693.77</v>
      </c>
      <c r="AF13">
        <v>45.96</v>
      </c>
      <c r="AG13">
        <v>60.78</v>
      </c>
      <c r="AH13">
        <v>50.7</v>
      </c>
      <c r="AI13">
        <v>54.81</v>
      </c>
    </row>
    <row r="14" spans="1:35" x14ac:dyDescent="0.45">
      <c r="A14" s="2">
        <v>46034</v>
      </c>
      <c r="B14">
        <v>36.229999999999997</v>
      </c>
      <c r="C14">
        <v>43.87</v>
      </c>
      <c r="D14">
        <v>18.989999999999998</v>
      </c>
      <c r="E14">
        <v>26.41</v>
      </c>
      <c r="F14">
        <v>36.380000000000003</v>
      </c>
      <c r="G14">
        <v>80.55</v>
      </c>
      <c r="H14">
        <v>27.97</v>
      </c>
      <c r="I14">
        <v>66.62</v>
      </c>
      <c r="J14">
        <v>72.06</v>
      </c>
      <c r="K14">
        <v>108.93</v>
      </c>
      <c r="L14">
        <v>32.93</v>
      </c>
      <c r="M14">
        <v>72.78</v>
      </c>
      <c r="N14">
        <v>69.489999999999995</v>
      </c>
      <c r="O14">
        <v>53.4</v>
      </c>
      <c r="P14">
        <v>64.260000000000005</v>
      </c>
      <c r="Q14">
        <v>19.6099</v>
      </c>
      <c r="R14">
        <v>1235.3</v>
      </c>
      <c r="S14">
        <v>37.54</v>
      </c>
      <c r="T14">
        <v>19.55</v>
      </c>
      <c r="U14">
        <v>19.670000000000002</v>
      </c>
      <c r="V14">
        <v>37.82</v>
      </c>
      <c r="W14">
        <v>46.1</v>
      </c>
      <c r="X14">
        <v>26.45</v>
      </c>
      <c r="Y14">
        <v>55.09</v>
      </c>
      <c r="Z14">
        <v>43.83</v>
      </c>
      <c r="AA14">
        <v>85.29</v>
      </c>
      <c r="AB14">
        <v>60.63</v>
      </c>
      <c r="AC14">
        <v>45.09</v>
      </c>
      <c r="AD14">
        <v>627.16999999999996</v>
      </c>
      <c r="AE14">
        <v>695.16</v>
      </c>
      <c r="AF14">
        <v>46.1</v>
      </c>
      <c r="AG14">
        <v>61.04</v>
      </c>
      <c r="AH14">
        <v>50.91</v>
      </c>
      <c r="AI14">
        <v>55.32</v>
      </c>
    </row>
    <row r="15" spans="1:35" x14ac:dyDescent="0.45">
      <c r="A15" s="2">
        <v>46031</v>
      </c>
      <c r="B15">
        <v>35.83</v>
      </c>
      <c r="C15">
        <v>42.85</v>
      </c>
      <c r="D15">
        <v>19.010000000000002</v>
      </c>
      <c r="E15">
        <v>26.13</v>
      </c>
      <c r="F15">
        <v>36.200000000000003</v>
      </c>
      <c r="G15">
        <v>78.19</v>
      </c>
      <c r="H15">
        <v>27.59</v>
      </c>
      <c r="I15">
        <v>65.92</v>
      </c>
      <c r="J15">
        <v>71.06</v>
      </c>
      <c r="K15">
        <v>108.89</v>
      </c>
      <c r="L15">
        <v>33.06</v>
      </c>
      <c r="M15">
        <v>70.69</v>
      </c>
      <c r="N15">
        <v>68.98</v>
      </c>
      <c r="O15">
        <v>53.174999999999997</v>
      </c>
      <c r="P15">
        <v>62.22</v>
      </c>
      <c r="Q15">
        <v>19.36</v>
      </c>
      <c r="R15">
        <v>1242.2</v>
      </c>
      <c r="S15">
        <v>37.159999999999997</v>
      </c>
      <c r="T15">
        <v>19.43</v>
      </c>
      <c r="U15">
        <v>19.28</v>
      </c>
      <c r="V15">
        <v>36.869999999999997</v>
      </c>
      <c r="W15">
        <v>45.98</v>
      </c>
      <c r="X15">
        <v>26.26</v>
      </c>
      <c r="Y15">
        <v>54.63</v>
      </c>
      <c r="Z15">
        <v>43.41</v>
      </c>
      <c r="AA15">
        <v>84.61</v>
      </c>
      <c r="AB15">
        <v>60.58</v>
      </c>
      <c r="AC15">
        <v>44.79</v>
      </c>
      <c r="AD15">
        <v>626.65</v>
      </c>
      <c r="AE15">
        <v>694.07</v>
      </c>
      <c r="AF15">
        <v>45.88</v>
      </c>
      <c r="AG15">
        <v>60.4</v>
      </c>
      <c r="AH15">
        <v>50.78</v>
      </c>
      <c r="AI15">
        <v>55.03</v>
      </c>
    </row>
    <row r="16" spans="1:35" x14ac:dyDescent="0.45">
      <c r="A16" s="2">
        <v>46030</v>
      </c>
      <c r="B16">
        <v>35.49</v>
      </c>
      <c r="C16">
        <v>42.75</v>
      </c>
      <c r="D16">
        <v>18.989999999999998</v>
      </c>
      <c r="E16">
        <v>26.08</v>
      </c>
      <c r="F16">
        <v>35.82</v>
      </c>
      <c r="G16">
        <v>76.55</v>
      </c>
      <c r="H16">
        <v>27.36</v>
      </c>
      <c r="I16">
        <v>65.44</v>
      </c>
      <c r="J16">
        <v>70.48</v>
      </c>
      <c r="K16">
        <v>106.59</v>
      </c>
      <c r="L16">
        <v>32.880000000000003</v>
      </c>
      <c r="M16">
        <v>70.34</v>
      </c>
      <c r="N16">
        <v>69.19</v>
      </c>
      <c r="O16">
        <v>53.72</v>
      </c>
      <c r="P16">
        <v>62.28</v>
      </c>
      <c r="Q16">
        <v>19.28</v>
      </c>
      <c r="R16">
        <v>1254.0899999999999</v>
      </c>
      <c r="S16">
        <v>36.729999999999997</v>
      </c>
      <c r="T16">
        <v>19.649999999999999</v>
      </c>
      <c r="U16">
        <v>19.309999999999999</v>
      </c>
      <c r="V16">
        <v>36.82</v>
      </c>
      <c r="W16">
        <v>46.115000000000002</v>
      </c>
      <c r="X16">
        <v>26.37</v>
      </c>
      <c r="Y16">
        <v>54.46</v>
      </c>
      <c r="Z16">
        <v>43.31</v>
      </c>
      <c r="AA16">
        <v>82.86</v>
      </c>
      <c r="AB16">
        <v>60.21</v>
      </c>
      <c r="AC16">
        <v>44.6</v>
      </c>
      <c r="AD16">
        <v>620.47</v>
      </c>
      <c r="AE16">
        <v>689.51</v>
      </c>
      <c r="AF16">
        <v>45.46</v>
      </c>
      <c r="AG16">
        <v>59.21</v>
      </c>
      <c r="AH16">
        <v>50.28</v>
      </c>
      <c r="AI16">
        <v>55.24</v>
      </c>
    </row>
    <row r="17" spans="1:35" x14ac:dyDescent="0.45">
      <c r="A17" s="2">
        <v>46029</v>
      </c>
      <c r="B17">
        <v>35.5</v>
      </c>
      <c r="C17">
        <v>42.39</v>
      </c>
      <c r="D17">
        <v>19.03</v>
      </c>
      <c r="E17">
        <v>25.92</v>
      </c>
      <c r="F17">
        <v>36.6</v>
      </c>
      <c r="G17">
        <v>75.42</v>
      </c>
      <c r="H17">
        <v>27.43</v>
      </c>
      <c r="I17">
        <v>65.59</v>
      </c>
      <c r="J17">
        <v>69.92</v>
      </c>
      <c r="K17">
        <v>107.03</v>
      </c>
      <c r="L17">
        <v>32.700000000000003</v>
      </c>
      <c r="M17">
        <v>71.45</v>
      </c>
      <c r="N17">
        <v>67.98</v>
      </c>
      <c r="O17">
        <v>54.2</v>
      </c>
      <c r="P17">
        <v>61.88</v>
      </c>
      <c r="Q17">
        <v>19.405000000000001</v>
      </c>
      <c r="R17">
        <v>1253.5999999999999</v>
      </c>
      <c r="S17">
        <v>36.630000000000003</v>
      </c>
      <c r="T17">
        <v>19.649999999999999</v>
      </c>
      <c r="U17">
        <v>19.440000000000001</v>
      </c>
      <c r="V17">
        <v>36.32</v>
      </c>
      <c r="W17">
        <v>46.295000000000002</v>
      </c>
      <c r="X17">
        <v>26.27</v>
      </c>
      <c r="Y17">
        <v>54.01</v>
      </c>
      <c r="Z17">
        <v>43.26</v>
      </c>
      <c r="AA17">
        <v>82.92</v>
      </c>
      <c r="AB17">
        <v>60.31</v>
      </c>
      <c r="AC17">
        <v>44.49</v>
      </c>
      <c r="AD17">
        <v>624.02</v>
      </c>
      <c r="AE17">
        <v>689.58</v>
      </c>
      <c r="AF17">
        <v>45.4</v>
      </c>
      <c r="AG17">
        <v>59.8</v>
      </c>
      <c r="AH17">
        <v>50.87</v>
      </c>
      <c r="AI17">
        <v>54.97</v>
      </c>
    </row>
    <row r="18" spans="1:35" x14ac:dyDescent="0.45">
      <c r="A18" s="2">
        <v>46028</v>
      </c>
      <c r="B18">
        <v>35.64</v>
      </c>
      <c r="C18">
        <v>42.55</v>
      </c>
      <c r="D18">
        <v>19.079999999999998</v>
      </c>
      <c r="E18">
        <v>25.98</v>
      </c>
      <c r="F18">
        <v>36.26</v>
      </c>
      <c r="G18">
        <v>76.709999999999994</v>
      </c>
      <c r="H18">
        <v>27.63</v>
      </c>
      <c r="I18">
        <v>65.83</v>
      </c>
      <c r="J18">
        <v>70.040000000000006</v>
      </c>
      <c r="K18">
        <v>107.61</v>
      </c>
      <c r="L18">
        <v>33.11</v>
      </c>
      <c r="M18">
        <v>72.739999999999995</v>
      </c>
      <c r="N18">
        <v>67.39</v>
      </c>
      <c r="O18">
        <v>54.08</v>
      </c>
      <c r="P18">
        <v>62.71</v>
      </c>
      <c r="Q18">
        <v>19.3551</v>
      </c>
      <c r="R18">
        <v>1280.82</v>
      </c>
      <c r="S18">
        <v>36.770000000000003</v>
      </c>
      <c r="T18">
        <v>19.425000000000001</v>
      </c>
      <c r="U18">
        <v>19.43</v>
      </c>
      <c r="V18">
        <v>37.03</v>
      </c>
      <c r="W18">
        <v>46.147599999999997</v>
      </c>
      <c r="X18">
        <v>26.49</v>
      </c>
      <c r="Y18">
        <v>54.65</v>
      </c>
      <c r="Z18">
        <v>43.13</v>
      </c>
      <c r="AA18">
        <v>83.07</v>
      </c>
      <c r="AB18">
        <v>60.55</v>
      </c>
      <c r="AC18">
        <v>45.05</v>
      </c>
      <c r="AD18">
        <v>623.41999999999996</v>
      </c>
      <c r="AE18">
        <v>691.81</v>
      </c>
      <c r="AF18">
        <v>45.6</v>
      </c>
      <c r="AG18">
        <v>60.44</v>
      </c>
      <c r="AH18">
        <v>50.11</v>
      </c>
      <c r="AI18">
        <v>55.29</v>
      </c>
    </row>
    <row r="19" spans="1:35" x14ac:dyDescent="0.45">
      <c r="A19" s="2">
        <v>46027</v>
      </c>
      <c r="B19">
        <v>35.21</v>
      </c>
      <c r="C19">
        <v>41.6</v>
      </c>
      <c r="D19">
        <v>19.04</v>
      </c>
      <c r="E19">
        <v>25.46</v>
      </c>
      <c r="F19">
        <v>36.17</v>
      </c>
      <c r="G19">
        <v>74.87</v>
      </c>
      <c r="H19">
        <v>27.61</v>
      </c>
      <c r="I19">
        <v>65.3</v>
      </c>
      <c r="J19">
        <v>70.58</v>
      </c>
      <c r="K19">
        <v>104.83</v>
      </c>
      <c r="L19">
        <v>32.79</v>
      </c>
      <c r="M19">
        <v>70.239999999999995</v>
      </c>
      <c r="N19">
        <v>67.61</v>
      </c>
      <c r="O19">
        <v>54.29</v>
      </c>
      <c r="P19">
        <v>62.67</v>
      </c>
      <c r="Q19">
        <v>19.190000000000001</v>
      </c>
      <c r="R19">
        <v>1274.75</v>
      </c>
      <c r="S19">
        <v>35.81</v>
      </c>
      <c r="T19">
        <v>19.22</v>
      </c>
      <c r="U19">
        <v>19.02</v>
      </c>
      <c r="V19">
        <v>36</v>
      </c>
      <c r="W19">
        <v>45.858400000000003</v>
      </c>
      <c r="X19">
        <v>26.61</v>
      </c>
      <c r="Y19">
        <v>54.59</v>
      </c>
      <c r="Z19">
        <v>43.05</v>
      </c>
      <c r="AA19">
        <v>83.13</v>
      </c>
      <c r="AB19">
        <v>60.43</v>
      </c>
      <c r="AC19">
        <v>44.81</v>
      </c>
      <c r="AD19">
        <v>617.99</v>
      </c>
      <c r="AE19">
        <v>687.72</v>
      </c>
      <c r="AF19">
        <v>45.42</v>
      </c>
      <c r="AG19">
        <v>60.14</v>
      </c>
      <c r="AH19">
        <v>50.39</v>
      </c>
      <c r="AI19">
        <v>55.67</v>
      </c>
    </row>
    <row r="20" spans="1:35" x14ac:dyDescent="0.45">
      <c r="A20" s="2">
        <v>46024</v>
      </c>
      <c r="B20">
        <v>34.909999999999997</v>
      </c>
      <c r="C20">
        <v>40.369999999999997</v>
      </c>
      <c r="D20">
        <v>18.809999999999999</v>
      </c>
      <c r="E20">
        <v>25.3</v>
      </c>
      <c r="F20">
        <v>36.25</v>
      </c>
      <c r="G20">
        <v>72.709999999999994</v>
      </c>
      <c r="H20">
        <v>27.42</v>
      </c>
      <c r="I20">
        <v>64.77</v>
      </c>
      <c r="J20">
        <v>69.66</v>
      </c>
      <c r="K20">
        <v>102.22</v>
      </c>
      <c r="L20">
        <v>32.200000000000003</v>
      </c>
      <c r="M20">
        <v>69.400000000000006</v>
      </c>
      <c r="N20">
        <v>67.444599999999994</v>
      </c>
      <c r="O20">
        <v>54.56</v>
      </c>
      <c r="P20">
        <v>62.24</v>
      </c>
      <c r="Q20">
        <v>18.824999999999999</v>
      </c>
      <c r="R20">
        <v>1280.05</v>
      </c>
      <c r="S20">
        <v>34.92</v>
      </c>
      <c r="T20">
        <v>19.2151</v>
      </c>
      <c r="U20">
        <v>19.11</v>
      </c>
      <c r="V20">
        <v>36.770000000000003</v>
      </c>
      <c r="W20">
        <v>45.471899999999998</v>
      </c>
      <c r="X20">
        <v>26.47</v>
      </c>
      <c r="Y20">
        <v>54.19</v>
      </c>
      <c r="Z20">
        <v>42.56</v>
      </c>
      <c r="AA20">
        <v>81.33</v>
      </c>
      <c r="AB20">
        <v>60.34</v>
      </c>
      <c r="AC20">
        <v>44.46</v>
      </c>
      <c r="AD20">
        <v>613.12</v>
      </c>
      <c r="AE20">
        <v>683.17</v>
      </c>
      <c r="AF20">
        <v>45.31</v>
      </c>
      <c r="AG20">
        <v>58.64</v>
      </c>
      <c r="AH20">
        <v>49.6</v>
      </c>
      <c r="AI20">
        <v>55.16</v>
      </c>
    </row>
    <row r="21" spans="1:35" x14ac:dyDescent="0.45">
      <c r="A21" s="2">
        <v>46022</v>
      </c>
      <c r="B21">
        <v>34.58</v>
      </c>
      <c r="C21">
        <v>40.4</v>
      </c>
      <c r="D21">
        <v>18.7</v>
      </c>
      <c r="E21">
        <v>24.92</v>
      </c>
      <c r="F21">
        <v>35.19</v>
      </c>
      <c r="G21">
        <v>72.349999999999994</v>
      </c>
      <c r="H21">
        <v>27.36</v>
      </c>
      <c r="I21">
        <v>63.53</v>
      </c>
      <c r="J21">
        <v>69.33</v>
      </c>
      <c r="K21">
        <v>97.22</v>
      </c>
      <c r="L21">
        <v>31.77</v>
      </c>
      <c r="M21">
        <v>68.8</v>
      </c>
      <c r="N21">
        <v>65.91</v>
      </c>
      <c r="O21">
        <v>54.05</v>
      </c>
      <c r="P21">
        <v>60.07</v>
      </c>
      <c r="Q21">
        <v>18.818300000000001</v>
      </c>
      <c r="R21">
        <v>1259.67</v>
      </c>
      <c r="S21">
        <v>34.42</v>
      </c>
      <c r="T21">
        <v>19.12</v>
      </c>
      <c r="U21">
        <v>19.079999999999998</v>
      </c>
      <c r="V21">
        <v>36.409999999999997</v>
      </c>
      <c r="W21">
        <v>45.271500000000003</v>
      </c>
      <c r="X21">
        <v>26.19</v>
      </c>
      <c r="Y21">
        <v>53.93</v>
      </c>
      <c r="Z21">
        <v>42.5</v>
      </c>
      <c r="AA21">
        <v>80.739999999999995</v>
      </c>
      <c r="AB21">
        <v>59.96</v>
      </c>
      <c r="AC21">
        <v>43.98</v>
      </c>
      <c r="AD21">
        <v>614.30999999999995</v>
      </c>
      <c r="AE21">
        <v>681.92</v>
      </c>
      <c r="AF21">
        <v>44.99</v>
      </c>
      <c r="AG21">
        <v>57.03</v>
      </c>
      <c r="AH21">
        <v>49.23</v>
      </c>
      <c r="AI21">
        <v>54.33</v>
      </c>
    </row>
    <row r="22" spans="1:35" x14ac:dyDescent="0.45">
      <c r="A22" s="2">
        <v>46021</v>
      </c>
      <c r="B22">
        <v>34.590000000000003</v>
      </c>
      <c r="C22">
        <v>40.54</v>
      </c>
      <c r="D22">
        <v>18.670000000000002</v>
      </c>
      <c r="E22">
        <v>25.06</v>
      </c>
      <c r="F22">
        <v>35.159999999999997</v>
      </c>
      <c r="G22">
        <v>72.91</v>
      </c>
      <c r="H22">
        <v>27.57</v>
      </c>
      <c r="I22">
        <v>63.71</v>
      </c>
      <c r="J22">
        <v>69.489999999999995</v>
      </c>
      <c r="K22">
        <v>98.62</v>
      </c>
      <c r="L22">
        <v>31.99</v>
      </c>
      <c r="M22">
        <v>69.23</v>
      </c>
      <c r="N22">
        <v>66.5</v>
      </c>
      <c r="O22">
        <v>53.64</v>
      </c>
      <c r="P22">
        <v>60.58</v>
      </c>
      <c r="Q22">
        <v>18.95</v>
      </c>
      <c r="R22">
        <v>1254.03</v>
      </c>
      <c r="S22">
        <v>34.42</v>
      </c>
      <c r="T22">
        <v>19.05</v>
      </c>
      <c r="U22">
        <v>19.010000000000002</v>
      </c>
      <c r="V22">
        <v>36.049999999999997</v>
      </c>
      <c r="W22">
        <v>45.41</v>
      </c>
      <c r="X22">
        <v>26.41</v>
      </c>
      <c r="Y22">
        <v>54.3</v>
      </c>
      <c r="Z22">
        <v>42.75</v>
      </c>
      <c r="AA22">
        <v>80.98</v>
      </c>
      <c r="AB22">
        <v>60.17</v>
      </c>
      <c r="AC22">
        <v>44.22</v>
      </c>
      <c r="AD22">
        <v>619.42999999999995</v>
      </c>
      <c r="AE22">
        <v>687.01</v>
      </c>
      <c r="AF22">
        <v>45.14</v>
      </c>
      <c r="AG22">
        <v>57.226999999999997</v>
      </c>
      <c r="AH22">
        <v>49.55</v>
      </c>
      <c r="AI22">
        <v>54.59</v>
      </c>
    </row>
    <row r="23" spans="1:35" x14ac:dyDescent="0.45">
      <c r="A23" s="2">
        <v>46020</v>
      </c>
      <c r="B23">
        <v>34.369999999999997</v>
      </c>
      <c r="C23">
        <v>40.15</v>
      </c>
      <c r="D23">
        <v>18.670000000000002</v>
      </c>
      <c r="E23">
        <v>25.09</v>
      </c>
      <c r="F23">
        <v>34.96</v>
      </c>
      <c r="G23">
        <v>71.95</v>
      </c>
      <c r="H23">
        <v>27.53</v>
      </c>
      <c r="I23">
        <v>63.33</v>
      </c>
      <c r="J23">
        <v>70.510000000000005</v>
      </c>
      <c r="K23">
        <v>98.72</v>
      </c>
      <c r="L23">
        <v>31.42</v>
      </c>
      <c r="M23">
        <v>68.430000000000007</v>
      </c>
      <c r="N23">
        <v>68</v>
      </c>
      <c r="O23">
        <v>53.47</v>
      </c>
      <c r="P23">
        <v>60.37</v>
      </c>
      <c r="Q23">
        <v>18.8751</v>
      </c>
      <c r="R23">
        <v>1259.25</v>
      </c>
      <c r="S23">
        <v>34.409999999999997</v>
      </c>
      <c r="T23">
        <v>19.600000000000001</v>
      </c>
      <c r="U23">
        <v>18.920000000000002</v>
      </c>
      <c r="V23">
        <v>36.39</v>
      </c>
      <c r="W23">
        <v>45.41</v>
      </c>
      <c r="X23">
        <v>26.48</v>
      </c>
      <c r="Y23">
        <v>54.33</v>
      </c>
      <c r="Z23">
        <v>42.51</v>
      </c>
      <c r="AA23">
        <v>81.09</v>
      </c>
      <c r="AB23">
        <v>60.35</v>
      </c>
      <c r="AC23">
        <v>44.02</v>
      </c>
      <c r="AD23">
        <v>620.87</v>
      </c>
      <c r="AE23">
        <v>687.85</v>
      </c>
      <c r="AF23">
        <v>44.99</v>
      </c>
      <c r="AG23">
        <v>57</v>
      </c>
      <c r="AH23">
        <v>49.32</v>
      </c>
      <c r="AI23">
        <v>54.16</v>
      </c>
    </row>
    <row r="24" spans="1:35" x14ac:dyDescent="0.45">
      <c r="A24" s="2">
        <v>46017</v>
      </c>
      <c r="B24">
        <v>34.71</v>
      </c>
      <c r="C24">
        <v>40.29</v>
      </c>
      <c r="D24">
        <v>18.47</v>
      </c>
      <c r="E24">
        <v>25.08</v>
      </c>
      <c r="F24">
        <v>35.200000000000003</v>
      </c>
      <c r="G24">
        <v>73.77</v>
      </c>
      <c r="H24">
        <v>27.64</v>
      </c>
      <c r="I24">
        <v>63.02</v>
      </c>
      <c r="J24">
        <v>71.150000000000006</v>
      </c>
      <c r="K24">
        <v>95.84</v>
      </c>
      <c r="L24">
        <v>31.73</v>
      </c>
      <c r="M24">
        <v>70.31</v>
      </c>
      <c r="N24">
        <v>68.61</v>
      </c>
      <c r="O24">
        <v>53.84</v>
      </c>
      <c r="P24">
        <v>61.27</v>
      </c>
      <c r="Q24">
        <v>18.864999999999998</v>
      </c>
      <c r="R24">
        <v>1264.77</v>
      </c>
      <c r="S24">
        <v>34.76</v>
      </c>
      <c r="T24">
        <v>19.54</v>
      </c>
      <c r="U24">
        <v>18.399999999999999</v>
      </c>
      <c r="V24">
        <v>36.57</v>
      </c>
      <c r="W24">
        <v>45.73</v>
      </c>
      <c r="X24">
        <v>26.68</v>
      </c>
      <c r="Y24">
        <v>54.8</v>
      </c>
      <c r="Z24">
        <v>42.65</v>
      </c>
      <c r="AA24">
        <v>80.97</v>
      </c>
      <c r="AB24">
        <v>60.54</v>
      </c>
      <c r="AC24">
        <v>44.24</v>
      </c>
      <c r="AD24">
        <v>623.89</v>
      </c>
      <c r="AE24">
        <v>690.31</v>
      </c>
      <c r="AF24">
        <v>45.18</v>
      </c>
      <c r="AG24">
        <v>57.16</v>
      </c>
      <c r="AH24">
        <v>49.65</v>
      </c>
      <c r="AI24">
        <v>54.62</v>
      </c>
    </row>
    <row r="25" spans="1:35" x14ac:dyDescent="0.45">
      <c r="A25" s="2">
        <v>46015</v>
      </c>
      <c r="B25">
        <v>34.44</v>
      </c>
      <c r="C25">
        <v>40.03</v>
      </c>
      <c r="D25">
        <v>18.45</v>
      </c>
      <c r="E25">
        <v>24.94</v>
      </c>
      <c r="F25">
        <v>35.15</v>
      </c>
      <c r="G25">
        <v>72.739999999999995</v>
      </c>
      <c r="H25">
        <v>27.69</v>
      </c>
      <c r="I25">
        <v>62.53</v>
      </c>
      <c r="J25">
        <v>70.95</v>
      </c>
      <c r="K25">
        <v>94.6</v>
      </c>
      <c r="L25">
        <v>31.55</v>
      </c>
      <c r="M25">
        <v>69.92</v>
      </c>
      <c r="N25">
        <v>68.16</v>
      </c>
      <c r="O25">
        <v>54.01</v>
      </c>
      <c r="P25">
        <v>60.61</v>
      </c>
      <c r="Q25">
        <v>18.96</v>
      </c>
      <c r="R25">
        <v>1275.33</v>
      </c>
      <c r="S25">
        <v>34.869999999999997</v>
      </c>
      <c r="T25">
        <v>19.52</v>
      </c>
      <c r="U25">
        <v>19.010000000000002</v>
      </c>
      <c r="V25">
        <v>36.6</v>
      </c>
      <c r="W25">
        <v>45.74</v>
      </c>
      <c r="X25">
        <v>26.6</v>
      </c>
      <c r="Y25">
        <v>54.6</v>
      </c>
      <c r="Z25">
        <v>42.57</v>
      </c>
      <c r="AA25">
        <v>81</v>
      </c>
      <c r="AB25">
        <v>60.53</v>
      </c>
      <c r="AC25">
        <v>44.08</v>
      </c>
      <c r="AD25">
        <v>623.92999999999995</v>
      </c>
      <c r="AE25">
        <v>690.38</v>
      </c>
      <c r="AF25">
        <v>44.98</v>
      </c>
      <c r="AG25">
        <v>57.1</v>
      </c>
      <c r="AH25">
        <v>49.31</v>
      </c>
      <c r="AI25">
        <v>54.56</v>
      </c>
    </row>
    <row r="26" spans="1:35" x14ac:dyDescent="0.45">
      <c r="A26" s="2">
        <v>46014</v>
      </c>
      <c r="B26">
        <v>34.31</v>
      </c>
      <c r="C26">
        <v>39.92</v>
      </c>
      <c r="D26">
        <v>18.559999999999999</v>
      </c>
      <c r="E26">
        <v>24.93</v>
      </c>
      <c r="F26">
        <v>34.99</v>
      </c>
      <c r="G26">
        <v>72.78</v>
      </c>
      <c r="H26">
        <v>27.53</v>
      </c>
      <c r="I26">
        <v>62.5</v>
      </c>
      <c r="J26">
        <v>71.040000000000006</v>
      </c>
      <c r="K26">
        <v>92.7</v>
      </c>
      <c r="L26">
        <v>31.65</v>
      </c>
      <c r="M26">
        <v>69.540000000000006</v>
      </c>
      <c r="N26">
        <v>68.209999999999994</v>
      </c>
      <c r="O26">
        <v>54.47</v>
      </c>
      <c r="P26">
        <v>60.67</v>
      </c>
      <c r="Q26">
        <v>18.930199999999999</v>
      </c>
      <c r="R26">
        <v>1271.1099999999999</v>
      </c>
      <c r="S26">
        <v>34.814999999999998</v>
      </c>
      <c r="T26">
        <v>19.559999999999999</v>
      </c>
      <c r="U26">
        <v>19.079999999999998</v>
      </c>
      <c r="V26">
        <v>36.76</v>
      </c>
      <c r="W26">
        <v>45.54</v>
      </c>
      <c r="X26">
        <v>26.61</v>
      </c>
      <c r="Y26">
        <v>54.54</v>
      </c>
      <c r="Z26">
        <v>42.44</v>
      </c>
      <c r="AA26">
        <v>81.14</v>
      </c>
      <c r="AB26">
        <v>60.4</v>
      </c>
      <c r="AC26">
        <v>43.98</v>
      </c>
      <c r="AD26">
        <v>622.11</v>
      </c>
      <c r="AE26">
        <v>687.96</v>
      </c>
      <c r="AF26">
        <v>44.9</v>
      </c>
      <c r="AG26">
        <v>56.84</v>
      </c>
      <c r="AH26">
        <v>49.21</v>
      </c>
      <c r="AI26">
        <v>54.4</v>
      </c>
    </row>
    <row r="27" spans="1:35" x14ac:dyDescent="0.45">
      <c r="A27" s="2">
        <v>46013</v>
      </c>
      <c r="B27">
        <v>34.24</v>
      </c>
      <c r="C27">
        <v>39.79</v>
      </c>
      <c r="D27">
        <v>18.68</v>
      </c>
      <c r="E27">
        <v>24.96</v>
      </c>
      <c r="F27">
        <v>35.200000000000003</v>
      </c>
      <c r="G27">
        <v>72.08</v>
      </c>
      <c r="H27">
        <v>27.41</v>
      </c>
      <c r="I27">
        <v>61.98</v>
      </c>
      <c r="J27">
        <v>69.95</v>
      </c>
      <c r="K27">
        <v>91.75</v>
      </c>
      <c r="L27">
        <v>30.97</v>
      </c>
      <c r="M27">
        <v>68.790000000000006</v>
      </c>
      <c r="N27">
        <v>68.39</v>
      </c>
      <c r="O27">
        <v>54.19</v>
      </c>
      <c r="P27">
        <v>60.89</v>
      </c>
      <c r="Q27">
        <v>18.839600000000001</v>
      </c>
      <c r="R27">
        <v>1269.68</v>
      </c>
      <c r="S27">
        <v>34.61</v>
      </c>
      <c r="T27">
        <v>19.45</v>
      </c>
      <c r="U27">
        <v>18.61</v>
      </c>
      <c r="V27">
        <v>36.549999999999997</v>
      </c>
      <c r="W27">
        <v>45.18</v>
      </c>
      <c r="X27">
        <v>26.15</v>
      </c>
      <c r="Y27">
        <v>54.17</v>
      </c>
      <c r="Z27">
        <v>42.34</v>
      </c>
      <c r="AA27">
        <v>80.459999999999994</v>
      </c>
      <c r="AB27">
        <v>59.93</v>
      </c>
      <c r="AC27">
        <v>43.79</v>
      </c>
      <c r="AD27">
        <v>619.21</v>
      </c>
      <c r="AE27">
        <v>684.83</v>
      </c>
      <c r="AF27">
        <v>44.96</v>
      </c>
      <c r="AG27">
        <v>57.01</v>
      </c>
      <c r="AH27">
        <v>48.8</v>
      </c>
      <c r="AI27">
        <v>54.24</v>
      </c>
    </row>
    <row r="28" spans="1:35" x14ac:dyDescent="0.45">
      <c r="A28" s="2">
        <v>46010</v>
      </c>
      <c r="B28">
        <v>33.89</v>
      </c>
      <c r="C28">
        <v>39.31</v>
      </c>
      <c r="D28">
        <v>18.579999999999998</v>
      </c>
      <c r="E28">
        <v>24.66</v>
      </c>
      <c r="F28">
        <v>34.78</v>
      </c>
      <c r="G28">
        <v>71.2</v>
      </c>
      <c r="H28">
        <v>27.2</v>
      </c>
      <c r="I28">
        <v>61.64</v>
      </c>
      <c r="J28">
        <v>68.849999999999994</v>
      </c>
      <c r="K28">
        <v>91.34</v>
      </c>
      <c r="L28">
        <v>31.17</v>
      </c>
      <c r="M28">
        <v>67.599999999999994</v>
      </c>
      <c r="N28">
        <v>67.25</v>
      </c>
      <c r="O28">
        <v>54.15</v>
      </c>
      <c r="P28">
        <v>60.63</v>
      </c>
      <c r="Q28">
        <v>18.774999999999999</v>
      </c>
      <c r="R28">
        <v>1252.19</v>
      </c>
      <c r="S28">
        <v>34.86</v>
      </c>
      <c r="T28">
        <v>19.25</v>
      </c>
      <c r="U28">
        <v>18.39</v>
      </c>
      <c r="V28">
        <v>36.36</v>
      </c>
      <c r="W28">
        <v>44.82</v>
      </c>
      <c r="X28">
        <v>25.88</v>
      </c>
      <c r="Y28">
        <v>53.68</v>
      </c>
      <c r="Z28">
        <v>42.1</v>
      </c>
      <c r="AA28">
        <v>80.58</v>
      </c>
      <c r="AB28">
        <v>59.57</v>
      </c>
      <c r="AC28">
        <v>43.54</v>
      </c>
      <c r="AD28">
        <v>617.04999999999995</v>
      </c>
      <c r="AE28">
        <v>680.59</v>
      </c>
      <c r="AF28">
        <v>44.91</v>
      </c>
      <c r="AG28">
        <v>56.61</v>
      </c>
      <c r="AH28">
        <v>48.55</v>
      </c>
      <c r="AI28">
        <v>54.21</v>
      </c>
    </row>
    <row r="29" spans="1:35" x14ac:dyDescent="0.45">
      <c r="A29" s="2">
        <v>46009</v>
      </c>
      <c r="B29">
        <v>33.58</v>
      </c>
      <c r="C29">
        <v>38.69</v>
      </c>
      <c r="D29">
        <v>18.63</v>
      </c>
      <c r="E29">
        <v>25.01</v>
      </c>
      <c r="F29">
        <v>34.409999999999997</v>
      </c>
      <c r="G29">
        <v>69.98</v>
      </c>
      <c r="H29">
        <v>26.88</v>
      </c>
      <c r="I29">
        <v>60.87</v>
      </c>
      <c r="J29">
        <v>68.75</v>
      </c>
      <c r="K29">
        <v>90.07</v>
      </c>
      <c r="L29">
        <v>31.17</v>
      </c>
      <c r="M29">
        <v>67.510000000000005</v>
      </c>
      <c r="N29">
        <v>66.94</v>
      </c>
      <c r="O29">
        <v>53.28</v>
      </c>
      <c r="P29">
        <v>59.99</v>
      </c>
      <c r="Q29">
        <v>18.739999999999998</v>
      </c>
      <c r="R29">
        <v>1250.07</v>
      </c>
      <c r="S29">
        <v>34.82</v>
      </c>
      <c r="T29">
        <v>19.309999999999999</v>
      </c>
      <c r="U29">
        <v>17.88</v>
      </c>
      <c r="V29">
        <v>36.299999999999997</v>
      </c>
      <c r="W29">
        <v>44.6999</v>
      </c>
      <c r="X29">
        <v>25.81</v>
      </c>
      <c r="Y29">
        <v>53.22</v>
      </c>
      <c r="Z29">
        <v>41.94</v>
      </c>
      <c r="AA29">
        <v>79.97</v>
      </c>
      <c r="AB29">
        <v>59.47</v>
      </c>
      <c r="AC29">
        <v>43.13</v>
      </c>
      <c r="AD29">
        <v>609.11</v>
      </c>
      <c r="AE29">
        <v>676.47</v>
      </c>
      <c r="AF29">
        <v>44.8</v>
      </c>
      <c r="AG29">
        <v>56.02</v>
      </c>
      <c r="AH29">
        <v>48.18</v>
      </c>
      <c r="AI29">
        <v>53.81</v>
      </c>
    </row>
    <row r="30" spans="1:35" x14ac:dyDescent="0.45">
      <c r="A30" s="2">
        <v>46008</v>
      </c>
      <c r="B30">
        <v>33.630000000000003</v>
      </c>
      <c r="C30">
        <v>38.28</v>
      </c>
      <c r="D30">
        <v>18.600000000000001</v>
      </c>
      <c r="E30">
        <v>25.1</v>
      </c>
      <c r="F30">
        <v>34.270000000000003</v>
      </c>
      <c r="G30">
        <v>69.180000000000007</v>
      </c>
      <c r="H30">
        <v>26.6</v>
      </c>
      <c r="I30">
        <v>60.03</v>
      </c>
      <c r="J30">
        <v>67.45</v>
      </c>
      <c r="K30">
        <v>88.58</v>
      </c>
      <c r="L30">
        <v>31</v>
      </c>
      <c r="M30">
        <v>66.64</v>
      </c>
      <c r="N30">
        <v>66.25</v>
      </c>
      <c r="O30">
        <v>52.97</v>
      </c>
      <c r="P30">
        <v>59.47</v>
      </c>
      <c r="Q30">
        <v>18.6081</v>
      </c>
      <c r="R30">
        <v>1256.8499999999999</v>
      </c>
      <c r="S30">
        <v>34.734999999999999</v>
      </c>
      <c r="T30">
        <v>19.1129</v>
      </c>
      <c r="U30">
        <v>17.54</v>
      </c>
      <c r="V30">
        <v>35.83</v>
      </c>
      <c r="W30">
        <v>44.634999999999998</v>
      </c>
      <c r="X30">
        <v>25.58</v>
      </c>
      <c r="Y30">
        <v>52.81</v>
      </c>
      <c r="Z30">
        <v>41.61</v>
      </c>
      <c r="AA30">
        <v>79.739999999999995</v>
      </c>
      <c r="AB30">
        <v>58.84</v>
      </c>
      <c r="AC30">
        <v>42.94</v>
      </c>
      <c r="AD30">
        <v>600.41</v>
      </c>
      <c r="AE30">
        <v>671.4</v>
      </c>
      <c r="AF30">
        <v>44.62</v>
      </c>
      <c r="AG30">
        <v>55.57</v>
      </c>
      <c r="AH30">
        <v>47.62</v>
      </c>
      <c r="AI30">
        <v>53.51</v>
      </c>
    </row>
    <row r="31" spans="1:35" x14ac:dyDescent="0.45">
      <c r="A31" s="2">
        <v>46007</v>
      </c>
      <c r="B31">
        <v>33.197000000000003</v>
      </c>
      <c r="C31">
        <v>38.840000000000003</v>
      </c>
      <c r="D31">
        <v>18.670000000000002</v>
      </c>
      <c r="E31">
        <v>25.19</v>
      </c>
      <c r="F31">
        <v>34.409999999999997</v>
      </c>
      <c r="G31">
        <v>69.3</v>
      </c>
      <c r="H31">
        <v>26.79</v>
      </c>
      <c r="I31">
        <v>61.12</v>
      </c>
      <c r="J31">
        <v>68.28</v>
      </c>
      <c r="K31">
        <v>89.52</v>
      </c>
      <c r="L31">
        <v>31.6</v>
      </c>
      <c r="M31">
        <v>65.7</v>
      </c>
      <c r="N31">
        <v>66.81</v>
      </c>
      <c r="O31">
        <v>52.95</v>
      </c>
      <c r="P31">
        <v>59.7</v>
      </c>
      <c r="Q31">
        <v>18.696899999999999</v>
      </c>
      <c r="R31">
        <v>1260.68</v>
      </c>
      <c r="S31">
        <v>34.71</v>
      </c>
      <c r="T31">
        <v>19.239999999999998</v>
      </c>
      <c r="U31">
        <v>17.850000000000001</v>
      </c>
      <c r="V31">
        <v>36.090000000000003</v>
      </c>
      <c r="W31">
        <v>45.1265</v>
      </c>
      <c r="X31">
        <v>25.82</v>
      </c>
      <c r="Y31">
        <v>52.98</v>
      </c>
      <c r="Z31">
        <v>42.03</v>
      </c>
      <c r="AA31">
        <v>80.849999999999994</v>
      </c>
      <c r="AB31">
        <v>59.02</v>
      </c>
      <c r="AC31">
        <v>42.73</v>
      </c>
      <c r="AD31">
        <v>611.75</v>
      </c>
      <c r="AE31">
        <v>678.87</v>
      </c>
      <c r="AF31">
        <v>44.94</v>
      </c>
      <c r="AG31">
        <v>56.41</v>
      </c>
      <c r="AH31">
        <v>48.23</v>
      </c>
      <c r="AI31">
        <v>53.58</v>
      </c>
    </row>
    <row r="32" spans="1:35" x14ac:dyDescent="0.45">
      <c r="A32" s="2">
        <v>46006</v>
      </c>
      <c r="B32">
        <v>34.049999999999997</v>
      </c>
      <c r="C32">
        <v>38.994999999999997</v>
      </c>
      <c r="D32">
        <v>18.86</v>
      </c>
      <c r="E32">
        <v>24.95</v>
      </c>
      <c r="F32">
        <v>35.9</v>
      </c>
      <c r="G32">
        <v>69.25</v>
      </c>
      <c r="H32">
        <v>27.09</v>
      </c>
      <c r="I32">
        <v>64.11</v>
      </c>
      <c r="J32">
        <v>70.48</v>
      </c>
      <c r="K32">
        <v>92.73</v>
      </c>
      <c r="L32">
        <v>33.58</v>
      </c>
      <c r="M32">
        <v>69.61</v>
      </c>
      <c r="N32">
        <v>67.45</v>
      </c>
      <c r="O32">
        <v>53.1</v>
      </c>
      <c r="P32">
        <v>60.87</v>
      </c>
      <c r="Q32">
        <v>19.010000000000002</v>
      </c>
      <c r="R32">
        <v>1273.4000000000001</v>
      </c>
      <c r="S32">
        <v>35.29</v>
      </c>
      <c r="T32">
        <v>19.38</v>
      </c>
      <c r="U32">
        <v>17.420000000000002</v>
      </c>
      <c r="V32">
        <v>36.81</v>
      </c>
      <c r="W32">
        <v>45.75</v>
      </c>
      <c r="X32">
        <v>26.42</v>
      </c>
      <c r="Y32">
        <v>53.8</v>
      </c>
      <c r="Z32">
        <v>42.1</v>
      </c>
      <c r="AA32">
        <v>84.87</v>
      </c>
      <c r="AB32">
        <v>59.06</v>
      </c>
      <c r="AC32">
        <v>43.75</v>
      </c>
      <c r="AD32">
        <v>610.54</v>
      </c>
      <c r="AE32">
        <v>680.73</v>
      </c>
      <c r="AF32">
        <v>45.18</v>
      </c>
      <c r="AG32">
        <v>58.76</v>
      </c>
      <c r="AH32">
        <v>49.11</v>
      </c>
      <c r="AI32">
        <v>54.35</v>
      </c>
    </row>
    <row r="33" spans="1:35" x14ac:dyDescent="0.45">
      <c r="A33" s="2">
        <v>46003</v>
      </c>
      <c r="B33">
        <v>34.08</v>
      </c>
      <c r="C33">
        <v>39.78</v>
      </c>
      <c r="D33">
        <v>18.760000000000002</v>
      </c>
      <c r="E33">
        <v>24.9</v>
      </c>
      <c r="F33">
        <v>35.200000000000003</v>
      </c>
      <c r="G33">
        <v>69.3</v>
      </c>
      <c r="H33">
        <v>26.98</v>
      </c>
      <c r="I33">
        <v>64.099999999999994</v>
      </c>
      <c r="J33">
        <v>70.69</v>
      </c>
      <c r="K33">
        <v>92.67</v>
      </c>
      <c r="L33">
        <v>33.32</v>
      </c>
      <c r="M33">
        <v>68.63</v>
      </c>
      <c r="N33">
        <v>67.239999999999995</v>
      </c>
      <c r="O33">
        <v>53.14</v>
      </c>
      <c r="P33">
        <v>61.52</v>
      </c>
      <c r="Q33">
        <v>19.32</v>
      </c>
      <c r="R33">
        <v>1254.0999999999999</v>
      </c>
      <c r="S33">
        <v>34.82</v>
      </c>
      <c r="T33">
        <v>19.350000000000001</v>
      </c>
      <c r="U33">
        <v>17.489999999999998</v>
      </c>
      <c r="V33">
        <v>37.4</v>
      </c>
      <c r="W33">
        <v>45.71</v>
      </c>
      <c r="X33">
        <v>26.52</v>
      </c>
      <c r="Y33">
        <v>53.89</v>
      </c>
      <c r="Z33">
        <v>42.18</v>
      </c>
      <c r="AA33">
        <v>84</v>
      </c>
      <c r="AB33">
        <v>58.37</v>
      </c>
      <c r="AC33">
        <v>43.28</v>
      </c>
      <c r="AD33">
        <v>613.62</v>
      </c>
      <c r="AE33">
        <v>681.76</v>
      </c>
      <c r="AF33">
        <v>44.88</v>
      </c>
      <c r="AG33">
        <v>58.6</v>
      </c>
      <c r="AH33">
        <v>49.38</v>
      </c>
      <c r="AI33">
        <v>53.66</v>
      </c>
    </row>
    <row r="34" spans="1:35" x14ac:dyDescent="0.45">
      <c r="A34" s="2">
        <v>46002</v>
      </c>
      <c r="B34">
        <v>34.090000000000003</v>
      </c>
      <c r="C34">
        <v>39.28</v>
      </c>
      <c r="D34">
        <v>18.68</v>
      </c>
      <c r="E34">
        <v>25.02</v>
      </c>
      <c r="F34">
        <v>35.270000000000003</v>
      </c>
      <c r="G34">
        <v>69.680000000000007</v>
      </c>
      <c r="H34">
        <v>26.87</v>
      </c>
      <c r="I34">
        <v>65.92</v>
      </c>
      <c r="J34">
        <v>71.06</v>
      </c>
      <c r="K34">
        <v>94.96</v>
      </c>
      <c r="L34">
        <v>33.159999999999997</v>
      </c>
      <c r="M34">
        <v>69.5</v>
      </c>
      <c r="N34">
        <v>67.67</v>
      </c>
      <c r="O34">
        <v>53.57</v>
      </c>
      <c r="P34">
        <v>61.69</v>
      </c>
      <c r="Q34">
        <v>19.315000000000001</v>
      </c>
      <c r="R34">
        <v>1253.54</v>
      </c>
      <c r="S34">
        <v>34.82</v>
      </c>
      <c r="T34">
        <v>19.510000000000002</v>
      </c>
      <c r="U34">
        <v>18.27</v>
      </c>
      <c r="V34">
        <v>37.619999999999997</v>
      </c>
      <c r="W34">
        <v>46.35</v>
      </c>
      <c r="X34">
        <v>26.64</v>
      </c>
      <c r="Y34">
        <v>54.08</v>
      </c>
      <c r="Z34">
        <v>42.39</v>
      </c>
      <c r="AA34">
        <v>84.22</v>
      </c>
      <c r="AB34">
        <v>58.49</v>
      </c>
      <c r="AC34">
        <v>43.65</v>
      </c>
      <c r="AD34">
        <v>625.58000000000004</v>
      </c>
      <c r="AE34">
        <v>689.17</v>
      </c>
      <c r="AF34">
        <v>45</v>
      </c>
      <c r="AG34">
        <v>59.5</v>
      </c>
      <c r="AH34">
        <v>49.67</v>
      </c>
      <c r="AI34">
        <v>53.95</v>
      </c>
    </row>
    <row r="35" spans="1:35" x14ac:dyDescent="0.45">
      <c r="A35" s="2">
        <v>46001</v>
      </c>
      <c r="B35">
        <v>34.340000000000003</v>
      </c>
      <c r="C35">
        <v>38.75</v>
      </c>
      <c r="D35">
        <v>18.86</v>
      </c>
      <c r="E35">
        <v>24.73</v>
      </c>
      <c r="F35">
        <v>34.880000000000003</v>
      </c>
      <c r="G35">
        <v>68.290000000000006</v>
      </c>
      <c r="H35">
        <v>26.52</v>
      </c>
      <c r="I35">
        <v>66.8</v>
      </c>
      <c r="J35">
        <v>69.040000000000006</v>
      </c>
      <c r="K35">
        <v>96.75</v>
      </c>
      <c r="L35">
        <v>32.770000000000003</v>
      </c>
      <c r="M35">
        <v>68.180000000000007</v>
      </c>
      <c r="N35">
        <v>66.77</v>
      </c>
      <c r="O35">
        <v>53.36</v>
      </c>
      <c r="P35">
        <v>61.81</v>
      </c>
      <c r="Q35">
        <v>19.168500000000002</v>
      </c>
      <c r="R35">
        <v>1269.8699999999999</v>
      </c>
      <c r="S35">
        <v>34.729999999999997</v>
      </c>
      <c r="T35">
        <v>19.440100000000001</v>
      </c>
      <c r="U35">
        <v>18.28</v>
      </c>
      <c r="V35">
        <v>37.659999999999997</v>
      </c>
      <c r="W35">
        <v>46.2943</v>
      </c>
      <c r="X35">
        <v>26.65</v>
      </c>
      <c r="Y35">
        <v>53.72</v>
      </c>
      <c r="Z35">
        <v>41.94</v>
      </c>
      <c r="AA35">
        <v>83.91</v>
      </c>
      <c r="AB35">
        <v>58.38</v>
      </c>
      <c r="AC35">
        <v>43.46</v>
      </c>
      <c r="AD35">
        <v>627.61</v>
      </c>
      <c r="AE35">
        <v>687.57</v>
      </c>
      <c r="AF35">
        <v>44.58</v>
      </c>
      <c r="AG35">
        <v>58.8</v>
      </c>
      <c r="AH35">
        <v>49.36</v>
      </c>
      <c r="AI35">
        <v>53.55</v>
      </c>
    </row>
    <row r="36" spans="1:35" x14ac:dyDescent="0.45">
      <c r="A36" s="2">
        <v>46000</v>
      </c>
      <c r="B36">
        <v>34.225000000000001</v>
      </c>
      <c r="C36">
        <v>38.340000000000003</v>
      </c>
      <c r="D36">
        <v>18.68</v>
      </c>
      <c r="E36">
        <v>24.67</v>
      </c>
      <c r="F36">
        <v>34.25</v>
      </c>
      <c r="G36">
        <v>67.48</v>
      </c>
      <c r="H36">
        <v>26.37</v>
      </c>
      <c r="I36">
        <v>65.72</v>
      </c>
      <c r="J36">
        <v>69.27</v>
      </c>
      <c r="K36">
        <v>95.57</v>
      </c>
      <c r="L36">
        <v>32.74</v>
      </c>
      <c r="M36">
        <v>66.91</v>
      </c>
      <c r="N36">
        <v>65.8</v>
      </c>
      <c r="O36">
        <v>53.27</v>
      </c>
      <c r="P36">
        <v>61.35</v>
      </c>
      <c r="Q36">
        <v>19.041399999999999</v>
      </c>
      <c r="R36">
        <v>1261.3900000000001</v>
      </c>
      <c r="S36">
        <v>34.659999999999997</v>
      </c>
      <c r="T36">
        <v>19.38</v>
      </c>
      <c r="U36">
        <v>18.649999999999999</v>
      </c>
      <c r="V36">
        <v>37.43</v>
      </c>
      <c r="W36">
        <v>45.950400000000002</v>
      </c>
      <c r="X36">
        <v>26.35</v>
      </c>
      <c r="Y36">
        <v>53.07</v>
      </c>
      <c r="Z36">
        <v>41.53</v>
      </c>
      <c r="AA36">
        <v>83.31</v>
      </c>
      <c r="AB36">
        <v>57.69</v>
      </c>
      <c r="AC36">
        <v>42.88</v>
      </c>
      <c r="AD36">
        <v>625.04999999999995</v>
      </c>
      <c r="AE36">
        <v>683.04</v>
      </c>
      <c r="AF36">
        <v>44.21</v>
      </c>
      <c r="AG36">
        <v>58.55</v>
      </c>
      <c r="AH36">
        <v>48.55</v>
      </c>
      <c r="AI36">
        <v>53.02</v>
      </c>
    </row>
    <row r="37" spans="1:35" x14ac:dyDescent="0.45">
      <c r="A37" s="2">
        <v>45999</v>
      </c>
      <c r="B37">
        <v>34.36</v>
      </c>
      <c r="C37">
        <v>38.24</v>
      </c>
      <c r="D37">
        <v>18.87</v>
      </c>
      <c r="E37">
        <v>24.58</v>
      </c>
      <c r="F37">
        <v>33.51</v>
      </c>
      <c r="G37">
        <v>66.53</v>
      </c>
      <c r="H37">
        <v>26.32</v>
      </c>
      <c r="I37">
        <v>65.569999999999993</v>
      </c>
      <c r="J37">
        <v>68.64</v>
      </c>
      <c r="K37">
        <v>95.07</v>
      </c>
      <c r="L37">
        <v>32.75</v>
      </c>
      <c r="M37">
        <v>66.39</v>
      </c>
      <c r="N37">
        <v>66.97</v>
      </c>
      <c r="O37">
        <v>53.08</v>
      </c>
      <c r="P37">
        <v>62.22</v>
      </c>
      <c r="Q37">
        <v>18.955400000000001</v>
      </c>
      <c r="R37">
        <v>1273.77</v>
      </c>
      <c r="S37">
        <v>34.42</v>
      </c>
      <c r="T37">
        <v>19.079999999999998</v>
      </c>
      <c r="U37">
        <v>18.72</v>
      </c>
      <c r="V37">
        <v>37.19</v>
      </c>
      <c r="W37">
        <v>46.026699999999998</v>
      </c>
      <c r="X37">
        <v>26.24</v>
      </c>
      <c r="Y37">
        <v>52.95</v>
      </c>
      <c r="Z37">
        <v>41.34</v>
      </c>
      <c r="AA37">
        <v>83.19</v>
      </c>
      <c r="AB37">
        <v>57.76</v>
      </c>
      <c r="AC37">
        <v>43.08</v>
      </c>
      <c r="AD37">
        <v>624.28</v>
      </c>
      <c r="AE37">
        <v>683.63</v>
      </c>
      <c r="AF37">
        <v>44.65</v>
      </c>
      <c r="AG37">
        <v>58.7224</v>
      </c>
      <c r="AH37">
        <v>48.4</v>
      </c>
      <c r="AI37">
        <v>52.98</v>
      </c>
    </row>
    <row r="38" spans="1:35" x14ac:dyDescent="0.45">
      <c r="A38" s="2">
        <v>45996</v>
      </c>
      <c r="B38">
        <v>34.21</v>
      </c>
      <c r="C38">
        <v>38.18</v>
      </c>
      <c r="D38">
        <v>18.82</v>
      </c>
      <c r="E38">
        <v>24.73</v>
      </c>
      <c r="F38">
        <v>33.44</v>
      </c>
      <c r="G38">
        <v>67.03</v>
      </c>
      <c r="H38">
        <v>26.64</v>
      </c>
      <c r="I38">
        <v>65.349999999999994</v>
      </c>
      <c r="J38">
        <v>68.680000000000007</v>
      </c>
      <c r="K38">
        <v>94.3</v>
      </c>
      <c r="L38">
        <v>32.53</v>
      </c>
      <c r="M38">
        <v>67.88</v>
      </c>
      <c r="N38">
        <v>66.45</v>
      </c>
      <c r="O38">
        <v>53.97</v>
      </c>
      <c r="P38">
        <v>62.66</v>
      </c>
      <c r="Q38">
        <v>18.930399999999999</v>
      </c>
      <c r="R38">
        <v>1274.82</v>
      </c>
      <c r="S38">
        <v>33.840000000000003</v>
      </c>
      <c r="T38">
        <v>19.22</v>
      </c>
      <c r="U38">
        <v>18.649999999999999</v>
      </c>
      <c r="V38">
        <v>37.200000000000003</v>
      </c>
      <c r="W38">
        <v>45.994999999999997</v>
      </c>
      <c r="X38">
        <v>26.34</v>
      </c>
      <c r="Y38">
        <v>53.29</v>
      </c>
      <c r="Z38">
        <v>41.41</v>
      </c>
      <c r="AA38">
        <v>83.7</v>
      </c>
      <c r="AB38">
        <v>58.03</v>
      </c>
      <c r="AC38">
        <v>43.22</v>
      </c>
      <c r="AD38">
        <v>625.48</v>
      </c>
      <c r="AE38">
        <v>685.69</v>
      </c>
      <c r="AF38">
        <v>44.62</v>
      </c>
      <c r="AG38">
        <v>58.55</v>
      </c>
      <c r="AH38">
        <v>48.37</v>
      </c>
      <c r="AI38">
        <v>52.98</v>
      </c>
    </row>
    <row r="39" spans="1:35" x14ac:dyDescent="0.45">
      <c r="A39" s="2">
        <v>45995</v>
      </c>
      <c r="B39">
        <v>33.74</v>
      </c>
      <c r="C39">
        <v>38.51</v>
      </c>
      <c r="D39">
        <v>18.79</v>
      </c>
      <c r="E39">
        <v>24.2</v>
      </c>
      <c r="F39">
        <v>33.53</v>
      </c>
      <c r="G39">
        <v>67</v>
      </c>
      <c r="H39">
        <v>26.59</v>
      </c>
      <c r="I39">
        <v>64.510000000000005</v>
      </c>
      <c r="J39">
        <v>68.819999999999993</v>
      </c>
      <c r="K39">
        <v>91.87</v>
      </c>
      <c r="L39">
        <v>34.72</v>
      </c>
      <c r="M39">
        <v>67.05</v>
      </c>
      <c r="N39">
        <v>66.3</v>
      </c>
      <c r="O39">
        <v>53.76</v>
      </c>
      <c r="P39">
        <v>61.98</v>
      </c>
      <c r="Q39">
        <v>18.940200000000001</v>
      </c>
      <c r="R39">
        <v>1277.58</v>
      </c>
      <c r="S39">
        <v>33.549999999999997</v>
      </c>
      <c r="T39">
        <v>19.05</v>
      </c>
      <c r="U39">
        <v>18.59</v>
      </c>
      <c r="V39">
        <v>37.17</v>
      </c>
      <c r="W39">
        <v>46.005000000000003</v>
      </c>
      <c r="X39">
        <v>26.29</v>
      </c>
      <c r="Y39">
        <v>53.07</v>
      </c>
      <c r="Z39">
        <v>41.14</v>
      </c>
      <c r="AA39">
        <v>83.62</v>
      </c>
      <c r="AB39">
        <v>57.91</v>
      </c>
      <c r="AC39">
        <v>43.42</v>
      </c>
      <c r="AD39">
        <v>622.94000000000005</v>
      </c>
      <c r="AE39">
        <v>684.39</v>
      </c>
      <c r="AF39">
        <v>44.75</v>
      </c>
      <c r="AG39">
        <v>58.78</v>
      </c>
      <c r="AH39">
        <v>48.09</v>
      </c>
      <c r="AI39">
        <v>53.15</v>
      </c>
    </row>
    <row r="40" spans="1:35" x14ac:dyDescent="0.45">
      <c r="A40" s="2">
        <v>45994</v>
      </c>
      <c r="B40">
        <v>33.76</v>
      </c>
      <c r="C40">
        <v>38.619999999999997</v>
      </c>
      <c r="D40">
        <v>18.829999999999998</v>
      </c>
      <c r="E40">
        <v>24.68</v>
      </c>
      <c r="F40">
        <v>33.61</v>
      </c>
      <c r="G40">
        <v>66.03</v>
      </c>
      <c r="H40">
        <v>26.73</v>
      </c>
      <c r="I40">
        <v>64.849999999999994</v>
      </c>
      <c r="J40">
        <v>68.430000000000007</v>
      </c>
      <c r="K40">
        <v>93</v>
      </c>
      <c r="L40">
        <v>34.200000000000003</v>
      </c>
      <c r="M40">
        <v>66.92</v>
      </c>
      <c r="N40">
        <v>66.37</v>
      </c>
      <c r="O40">
        <v>53.41</v>
      </c>
      <c r="P40">
        <v>61.88</v>
      </c>
      <c r="Q40">
        <v>18.930199999999999</v>
      </c>
      <c r="R40">
        <v>1276.57</v>
      </c>
      <c r="S40">
        <v>33.869999999999997</v>
      </c>
      <c r="T40">
        <v>18.850000000000001</v>
      </c>
      <c r="U40">
        <v>18.690000000000001</v>
      </c>
      <c r="V40">
        <v>37.04</v>
      </c>
      <c r="W40">
        <v>46.165599999999998</v>
      </c>
      <c r="X40">
        <v>26.13</v>
      </c>
      <c r="Y40">
        <v>52.47</v>
      </c>
      <c r="Z40">
        <v>40.950000000000003</v>
      </c>
      <c r="AA40">
        <v>82.61</v>
      </c>
      <c r="AB40">
        <v>58.07</v>
      </c>
      <c r="AC40">
        <v>43.46</v>
      </c>
      <c r="AD40">
        <v>623.52</v>
      </c>
      <c r="AE40">
        <v>683.89</v>
      </c>
      <c r="AF40">
        <v>44.79</v>
      </c>
      <c r="AG40">
        <v>59.18</v>
      </c>
      <c r="AH40">
        <v>47.77</v>
      </c>
      <c r="AI40">
        <v>53.29</v>
      </c>
    </row>
    <row r="41" spans="1:35" x14ac:dyDescent="0.45">
      <c r="A41" s="2">
        <v>45993</v>
      </c>
      <c r="B41">
        <v>33.81</v>
      </c>
      <c r="C41">
        <v>38.29</v>
      </c>
      <c r="D41">
        <v>18.920000000000002</v>
      </c>
      <c r="E41">
        <v>25.06</v>
      </c>
      <c r="F41">
        <v>33.65</v>
      </c>
      <c r="G41">
        <v>64.67</v>
      </c>
      <c r="H41">
        <v>26.67</v>
      </c>
      <c r="I41">
        <v>64.63</v>
      </c>
      <c r="J41">
        <v>68.709999999999994</v>
      </c>
      <c r="K41">
        <v>92.07</v>
      </c>
      <c r="L41">
        <v>34.03</v>
      </c>
      <c r="M41">
        <v>66.5</v>
      </c>
      <c r="N41">
        <v>66.64</v>
      </c>
      <c r="O41">
        <v>53.88</v>
      </c>
      <c r="P41">
        <v>62.24</v>
      </c>
      <c r="Q41">
        <v>18.774999999999999</v>
      </c>
      <c r="R41">
        <v>1256.69</v>
      </c>
      <c r="S41">
        <v>34.1</v>
      </c>
      <c r="T41">
        <v>18.53</v>
      </c>
      <c r="U41">
        <v>18.649999999999999</v>
      </c>
      <c r="V41">
        <v>36.979999999999997</v>
      </c>
      <c r="W41">
        <v>45.818399999999997</v>
      </c>
      <c r="X41">
        <v>25.93</v>
      </c>
      <c r="Y41">
        <v>52.14</v>
      </c>
      <c r="Z41">
        <v>40.89</v>
      </c>
      <c r="AA41">
        <v>82.47</v>
      </c>
      <c r="AB41">
        <v>57.94</v>
      </c>
      <c r="AC41">
        <v>43.01</v>
      </c>
      <c r="AD41">
        <v>622</v>
      </c>
      <c r="AE41">
        <v>681.53</v>
      </c>
      <c r="AF41">
        <v>44.44</v>
      </c>
      <c r="AG41">
        <v>58.57</v>
      </c>
      <c r="AH41">
        <v>47.61</v>
      </c>
      <c r="AI41">
        <v>53</v>
      </c>
    </row>
    <row r="42" spans="1:35" x14ac:dyDescent="0.45">
      <c r="A42" s="2">
        <v>45992</v>
      </c>
      <c r="B42">
        <v>34.25</v>
      </c>
      <c r="C42">
        <v>37.69</v>
      </c>
      <c r="D42">
        <v>18.79</v>
      </c>
      <c r="E42">
        <v>25.24</v>
      </c>
      <c r="F42">
        <v>33.9</v>
      </c>
      <c r="G42">
        <v>64.569999999999993</v>
      </c>
      <c r="H42">
        <v>26.6</v>
      </c>
      <c r="I42">
        <v>64.13</v>
      </c>
      <c r="J42">
        <v>68.459999999999994</v>
      </c>
      <c r="K42">
        <v>90.62</v>
      </c>
      <c r="L42">
        <v>33.4</v>
      </c>
      <c r="M42">
        <v>67.45</v>
      </c>
      <c r="N42">
        <v>66.28</v>
      </c>
      <c r="O42">
        <v>54.33</v>
      </c>
      <c r="P42">
        <v>62.66</v>
      </c>
      <c r="Q42">
        <v>18.71</v>
      </c>
      <c r="R42">
        <v>1252.71</v>
      </c>
      <c r="S42">
        <v>34.03</v>
      </c>
      <c r="T42">
        <v>18.4941</v>
      </c>
      <c r="U42">
        <v>18.38</v>
      </c>
      <c r="V42">
        <v>37.06</v>
      </c>
      <c r="W42">
        <v>45.48</v>
      </c>
      <c r="X42">
        <v>25.73</v>
      </c>
      <c r="Y42">
        <v>52.18</v>
      </c>
      <c r="Z42">
        <v>40.520000000000003</v>
      </c>
      <c r="AA42">
        <v>82.53</v>
      </c>
      <c r="AB42">
        <v>57.42</v>
      </c>
      <c r="AC42">
        <v>42.93</v>
      </c>
      <c r="AD42">
        <v>617.16999999999996</v>
      </c>
      <c r="AE42">
        <v>680.27</v>
      </c>
      <c r="AF42">
        <v>44.41</v>
      </c>
      <c r="AG42">
        <v>58.32</v>
      </c>
      <c r="AH42">
        <v>47.58</v>
      </c>
      <c r="AI42">
        <v>52.66</v>
      </c>
    </row>
    <row r="43" spans="1:35" x14ac:dyDescent="0.45">
      <c r="A43" s="2">
        <v>45989</v>
      </c>
      <c r="B43">
        <v>33.950000000000003</v>
      </c>
      <c r="C43">
        <v>37.86</v>
      </c>
      <c r="D43">
        <v>18.670000000000002</v>
      </c>
      <c r="E43">
        <v>25.21</v>
      </c>
      <c r="F43">
        <v>34.07</v>
      </c>
      <c r="G43">
        <v>64.47</v>
      </c>
      <c r="H43">
        <v>26.43</v>
      </c>
      <c r="I43">
        <v>64.510000000000005</v>
      </c>
      <c r="J43">
        <v>68.42</v>
      </c>
      <c r="K43">
        <v>90.87</v>
      </c>
      <c r="L43">
        <v>33.61</v>
      </c>
      <c r="M43">
        <v>66.739999999999995</v>
      </c>
      <c r="N43">
        <v>65.319999999999993</v>
      </c>
      <c r="O43">
        <v>54.71</v>
      </c>
      <c r="P43">
        <v>62.2</v>
      </c>
      <c r="Q43">
        <v>18.88</v>
      </c>
      <c r="R43">
        <v>1261.18</v>
      </c>
      <c r="S43">
        <v>33.5</v>
      </c>
      <c r="T43">
        <v>18.579999999999998</v>
      </c>
      <c r="U43">
        <v>18.34</v>
      </c>
      <c r="V43">
        <v>37.44</v>
      </c>
      <c r="W43">
        <v>45.625700000000002</v>
      </c>
      <c r="X43">
        <v>25.85</v>
      </c>
      <c r="Y43">
        <v>52.7</v>
      </c>
      <c r="Z43">
        <v>40.92</v>
      </c>
      <c r="AA43">
        <v>83.01</v>
      </c>
      <c r="AB43">
        <v>57.82</v>
      </c>
      <c r="AC43">
        <v>43.15</v>
      </c>
      <c r="AD43">
        <v>619.25</v>
      </c>
      <c r="AE43">
        <v>683.39</v>
      </c>
      <c r="AF43">
        <v>44.57</v>
      </c>
      <c r="AG43">
        <v>58.17</v>
      </c>
      <c r="AH43">
        <v>47.91</v>
      </c>
      <c r="AI43">
        <v>52.93</v>
      </c>
    </row>
    <row r="44" spans="1:35" x14ac:dyDescent="0.45">
      <c r="A44" s="2">
        <v>45987</v>
      </c>
      <c r="B44">
        <v>33.590000000000003</v>
      </c>
      <c r="C44">
        <v>37.61</v>
      </c>
      <c r="D44">
        <v>18.87</v>
      </c>
      <c r="E44">
        <v>25.02</v>
      </c>
      <c r="F44">
        <v>34.07</v>
      </c>
      <c r="G44">
        <v>63.1</v>
      </c>
      <c r="H44">
        <v>26.64</v>
      </c>
      <c r="I44">
        <v>63.66</v>
      </c>
      <c r="J44">
        <v>67.88</v>
      </c>
      <c r="K44">
        <v>91.55</v>
      </c>
      <c r="L44">
        <v>33.47</v>
      </c>
      <c r="M44">
        <v>67.83</v>
      </c>
      <c r="N44">
        <v>66.150000000000006</v>
      </c>
      <c r="O44">
        <v>54.67</v>
      </c>
      <c r="P44">
        <v>61.91</v>
      </c>
      <c r="Q44">
        <v>18.885000000000002</v>
      </c>
      <c r="R44">
        <v>1268.78</v>
      </c>
      <c r="S44">
        <v>33.590000000000003</v>
      </c>
      <c r="T44">
        <v>18.53</v>
      </c>
      <c r="U44">
        <v>18.239999999999998</v>
      </c>
      <c r="V44">
        <v>37.380000000000003</v>
      </c>
      <c r="W44">
        <v>45.47</v>
      </c>
      <c r="X44">
        <v>25.82</v>
      </c>
      <c r="Y44">
        <v>52.25</v>
      </c>
      <c r="Z44">
        <v>40.6</v>
      </c>
      <c r="AA44">
        <v>83.26</v>
      </c>
      <c r="AB44">
        <v>57.55</v>
      </c>
      <c r="AC44">
        <v>42.99</v>
      </c>
      <c r="AD44">
        <v>614.27</v>
      </c>
      <c r="AE44">
        <v>679.68</v>
      </c>
      <c r="AF44">
        <v>44.43</v>
      </c>
      <c r="AG44">
        <v>57.79</v>
      </c>
      <c r="AH44">
        <v>47.43</v>
      </c>
      <c r="AI44">
        <v>52.54</v>
      </c>
    </row>
    <row r="45" spans="1:35" x14ac:dyDescent="0.45">
      <c r="A45" s="2">
        <v>45986</v>
      </c>
      <c r="B45">
        <v>33.51</v>
      </c>
      <c r="C45">
        <v>37.270000000000003</v>
      </c>
      <c r="D45">
        <v>18.73</v>
      </c>
      <c r="E45">
        <v>25</v>
      </c>
      <c r="F45">
        <v>33.729999999999997</v>
      </c>
      <c r="G45">
        <v>61.56</v>
      </c>
      <c r="H45">
        <v>26.49</v>
      </c>
      <c r="I45">
        <v>62.8</v>
      </c>
      <c r="J45">
        <v>67.75</v>
      </c>
      <c r="K45">
        <v>89.79</v>
      </c>
      <c r="L45">
        <v>32.549999999999997</v>
      </c>
      <c r="M45">
        <v>66.3</v>
      </c>
      <c r="N45">
        <v>65.48</v>
      </c>
      <c r="O45">
        <v>54.28</v>
      </c>
      <c r="P45">
        <v>62.2</v>
      </c>
      <c r="Q45">
        <v>18.77</v>
      </c>
      <c r="R45">
        <v>1252.73</v>
      </c>
      <c r="S45">
        <v>33.54</v>
      </c>
      <c r="T45">
        <v>18.71</v>
      </c>
      <c r="U45">
        <v>17.75</v>
      </c>
      <c r="V45">
        <v>37.590000000000003</v>
      </c>
      <c r="W45">
        <v>44.699399999999997</v>
      </c>
      <c r="X45">
        <v>25.62</v>
      </c>
      <c r="Y45">
        <v>51.56</v>
      </c>
      <c r="Z45">
        <v>40.19</v>
      </c>
      <c r="AA45">
        <v>81.92</v>
      </c>
      <c r="AB45">
        <v>57.26</v>
      </c>
      <c r="AC45">
        <v>42.52</v>
      </c>
      <c r="AD45">
        <v>608.89</v>
      </c>
      <c r="AE45">
        <v>675.02</v>
      </c>
      <c r="AF45">
        <v>44.06</v>
      </c>
      <c r="AG45">
        <v>56.872</v>
      </c>
      <c r="AH45">
        <v>47.06</v>
      </c>
      <c r="AI45">
        <v>52.16</v>
      </c>
    </row>
    <row r="46" spans="1:35" x14ac:dyDescent="0.45">
      <c r="A46" s="2">
        <v>45985</v>
      </c>
      <c r="B46">
        <v>33.11</v>
      </c>
      <c r="C46">
        <v>36.61</v>
      </c>
      <c r="D46">
        <v>18.78</v>
      </c>
      <c r="E46">
        <v>24.97</v>
      </c>
      <c r="F46">
        <v>32.94</v>
      </c>
      <c r="G46">
        <v>61.02</v>
      </c>
      <c r="H46">
        <v>26.47</v>
      </c>
      <c r="I46">
        <v>62.51</v>
      </c>
      <c r="J46">
        <v>66.55</v>
      </c>
      <c r="K46">
        <v>90.3</v>
      </c>
      <c r="L46">
        <v>32.200000000000003</v>
      </c>
      <c r="M46">
        <v>65.89</v>
      </c>
      <c r="N46">
        <v>63.99</v>
      </c>
      <c r="O46">
        <v>54.22</v>
      </c>
      <c r="P46">
        <v>61.96</v>
      </c>
      <c r="Q46">
        <v>18.850000000000001</v>
      </c>
      <c r="R46">
        <v>1254.4000000000001</v>
      </c>
      <c r="S46">
        <v>33.76</v>
      </c>
      <c r="T46">
        <v>18.75</v>
      </c>
      <c r="U46">
        <v>17.91</v>
      </c>
      <c r="V46">
        <v>38.159999999999997</v>
      </c>
      <c r="W46">
        <v>44.47</v>
      </c>
      <c r="X46">
        <v>25.44</v>
      </c>
      <c r="Y46">
        <v>51.05</v>
      </c>
      <c r="Z46">
        <v>39.47</v>
      </c>
      <c r="AA46">
        <v>81.739999999999995</v>
      </c>
      <c r="AB46">
        <v>56.39</v>
      </c>
      <c r="AC46">
        <v>41.92</v>
      </c>
      <c r="AD46">
        <v>605.16</v>
      </c>
      <c r="AE46">
        <v>668.73</v>
      </c>
      <c r="AF46">
        <v>43.33</v>
      </c>
      <c r="AG46">
        <v>55.95</v>
      </c>
      <c r="AH46">
        <v>46.26</v>
      </c>
      <c r="AI46">
        <v>51.19</v>
      </c>
    </row>
    <row r="47" spans="1:35" x14ac:dyDescent="0.45">
      <c r="A47" s="2">
        <v>45982</v>
      </c>
      <c r="B47">
        <v>33.06</v>
      </c>
      <c r="C47">
        <v>36.340000000000003</v>
      </c>
      <c r="D47">
        <v>18.37</v>
      </c>
      <c r="E47">
        <v>25.06</v>
      </c>
      <c r="F47">
        <v>33.04</v>
      </c>
      <c r="G47">
        <v>59.64</v>
      </c>
      <c r="H47">
        <v>26.29</v>
      </c>
      <c r="I47">
        <v>61.8</v>
      </c>
      <c r="J47">
        <v>66.040000000000006</v>
      </c>
      <c r="K47">
        <v>89.22</v>
      </c>
      <c r="L47">
        <v>32.03</v>
      </c>
      <c r="M47">
        <v>64.86</v>
      </c>
      <c r="N47">
        <v>64.64</v>
      </c>
      <c r="O47">
        <v>54.21</v>
      </c>
      <c r="P47">
        <v>60.92</v>
      </c>
      <c r="Q47">
        <v>18.68</v>
      </c>
      <c r="R47">
        <v>1281.81</v>
      </c>
      <c r="S47">
        <v>33.78</v>
      </c>
      <c r="T47">
        <v>18.68</v>
      </c>
      <c r="U47">
        <v>17.72</v>
      </c>
      <c r="V47">
        <v>38.28</v>
      </c>
      <c r="W47">
        <v>44.33</v>
      </c>
      <c r="X47">
        <v>25.33</v>
      </c>
      <c r="Y47">
        <v>50.43</v>
      </c>
      <c r="Z47">
        <v>39.4</v>
      </c>
      <c r="AA47">
        <v>81.19</v>
      </c>
      <c r="AB47">
        <v>56.69</v>
      </c>
      <c r="AC47">
        <v>42.06</v>
      </c>
      <c r="AD47">
        <v>590.07000000000005</v>
      </c>
      <c r="AE47">
        <v>659.03</v>
      </c>
      <c r="AF47">
        <v>43.69</v>
      </c>
      <c r="AG47">
        <v>55.92</v>
      </c>
      <c r="AH47">
        <v>46.06</v>
      </c>
      <c r="AI47">
        <v>51.47</v>
      </c>
    </row>
    <row r="48" spans="1:35" x14ac:dyDescent="0.45">
      <c r="A48" s="2">
        <v>45981</v>
      </c>
      <c r="B48">
        <v>33.46</v>
      </c>
      <c r="C48">
        <v>36.590000000000003</v>
      </c>
      <c r="D48">
        <v>18.329999999999998</v>
      </c>
      <c r="E48">
        <v>24.37</v>
      </c>
      <c r="F48">
        <v>32.56</v>
      </c>
      <c r="G48">
        <v>59.5</v>
      </c>
      <c r="H48">
        <v>26.05</v>
      </c>
      <c r="I48">
        <v>61.68</v>
      </c>
      <c r="J48">
        <v>66.02</v>
      </c>
      <c r="K48">
        <v>88.53</v>
      </c>
      <c r="L48">
        <v>31.9</v>
      </c>
      <c r="M48">
        <v>64.930000000000007</v>
      </c>
      <c r="N48">
        <v>62.76</v>
      </c>
      <c r="O48">
        <v>54.72</v>
      </c>
      <c r="P48">
        <v>60.88</v>
      </c>
      <c r="Q48">
        <v>18.614999999999998</v>
      </c>
      <c r="R48">
        <v>1272.17</v>
      </c>
      <c r="S48">
        <v>33.58</v>
      </c>
      <c r="T48">
        <v>18.758199999999999</v>
      </c>
      <c r="U48">
        <v>17.45</v>
      </c>
      <c r="V48">
        <v>38.19</v>
      </c>
      <c r="W48">
        <v>43.75</v>
      </c>
      <c r="X48">
        <v>24.95</v>
      </c>
      <c r="Y48">
        <v>49.91</v>
      </c>
      <c r="Z48">
        <v>38.89</v>
      </c>
      <c r="AA48">
        <v>79.489999999999995</v>
      </c>
      <c r="AB48">
        <v>55.69</v>
      </c>
      <c r="AC48">
        <v>41.34</v>
      </c>
      <c r="AD48">
        <v>585.66999999999996</v>
      </c>
      <c r="AE48">
        <v>652.53</v>
      </c>
      <c r="AF48">
        <v>42.99</v>
      </c>
      <c r="AG48">
        <v>55.52</v>
      </c>
      <c r="AH48">
        <v>45.38</v>
      </c>
      <c r="AI48">
        <v>50.81</v>
      </c>
    </row>
    <row r="49" spans="1:35" x14ac:dyDescent="0.45">
      <c r="A49" s="2">
        <v>45980</v>
      </c>
      <c r="B49">
        <v>33.880000000000003</v>
      </c>
      <c r="C49">
        <v>37.11</v>
      </c>
      <c r="D49">
        <v>18.48</v>
      </c>
      <c r="E49">
        <v>24.23</v>
      </c>
      <c r="F49">
        <v>33.29</v>
      </c>
      <c r="G49">
        <v>61.25</v>
      </c>
      <c r="H49">
        <v>26.33</v>
      </c>
      <c r="I49">
        <v>62.5</v>
      </c>
      <c r="J49">
        <v>66.77</v>
      </c>
      <c r="K49">
        <v>90.56</v>
      </c>
      <c r="L49">
        <v>32.49</v>
      </c>
      <c r="M49">
        <v>66.569999999999993</v>
      </c>
      <c r="N49">
        <v>63.34</v>
      </c>
      <c r="O49">
        <v>54.83</v>
      </c>
      <c r="P49">
        <v>61.91</v>
      </c>
      <c r="Q49">
        <v>18.954999999999998</v>
      </c>
      <c r="R49">
        <v>1270.04</v>
      </c>
      <c r="S49">
        <v>33.659999999999997</v>
      </c>
      <c r="T49">
        <v>18.87</v>
      </c>
      <c r="U49">
        <v>17.61</v>
      </c>
      <c r="V49">
        <v>38.43</v>
      </c>
      <c r="W49">
        <v>43.6663</v>
      </c>
      <c r="X49">
        <v>25.3</v>
      </c>
      <c r="Y49">
        <v>50.62</v>
      </c>
      <c r="Z49">
        <v>39.51</v>
      </c>
      <c r="AA49">
        <v>80.680000000000007</v>
      </c>
      <c r="AB49">
        <v>56.36</v>
      </c>
      <c r="AC49">
        <v>41.73</v>
      </c>
      <c r="AD49">
        <v>599.87</v>
      </c>
      <c r="AE49">
        <v>662.63</v>
      </c>
      <c r="AF49">
        <v>43.44</v>
      </c>
      <c r="AG49">
        <v>57.05</v>
      </c>
      <c r="AH49">
        <v>46.17</v>
      </c>
      <c r="AI49">
        <v>51.34</v>
      </c>
    </row>
    <row r="50" spans="1:35" x14ac:dyDescent="0.45">
      <c r="A50" s="2">
        <v>45979</v>
      </c>
      <c r="B50">
        <v>33.93</v>
      </c>
      <c r="C50">
        <v>36.83</v>
      </c>
      <c r="D50">
        <v>18.260000000000002</v>
      </c>
      <c r="E50">
        <v>24.02</v>
      </c>
      <c r="F50">
        <v>32.869999999999997</v>
      </c>
      <c r="G50">
        <v>60.32</v>
      </c>
      <c r="H50">
        <v>26.16</v>
      </c>
      <c r="I50">
        <v>62.67</v>
      </c>
      <c r="J50">
        <v>66.67</v>
      </c>
      <c r="K50">
        <v>91.59</v>
      </c>
      <c r="L50">
        <v>32.71</v>
      </c>
      <c r="M50">
        <v>66.16</v>
      </c>
      <c r="N50">
        <v>63.2</v>
      </c>
      <c r="O50">
        <v>54.61</v>
      </c>
      <c r="P50">
        <v>62.42</v>
      </c>
      <c r="Q50">
        <v>18.815000000000001</v>
      </c>
      <c r="R50">
        <v>1280.07</v>
      </c>
      <c r="S50">
        <v>33.299999999999997</v>
      </c>
      <c r="T50">
        <v>18.850000000000001</v>
      </c>
      <c r="U50">
        <v>17.73</v>
      </c>
      <c r="V50">
        <v>38.79</v>
      </c>
      <c r="W50">
        <v>44.235900000000001</v>
      </c>
      <c r="X50">
        <v>25.4</v>
      </c>
      <c r="Y50">
        <v>50.53</v>
      </c>
      <c r="Z50">
        <v>39.53</v>
      </c>
      <c r="AA50">
        <v>80.78</v>
      </c>
      <c r="AB50">
        <v>56.58</v>
      </c>
      <c r="AC50">
        <v>42.19</v>
      </c>
      <c r="AD50">
        <v>596.30999999999995</v>
      </c>
      <c r="AE50">
        <v>660.08</v>
      </c>
      <c r="AF50">
        <v>43.63</v>
      </c>
      <c r="AG50">
        <v>56.63</v>
      </c>
      <c r="AH50">
        <v>46.49</v>
      </c>
      <c r="AI50">
        <v>51.81</v>
      </c>
    </row>
    <row r="51" spans="1:35" x14ac:dyDescent="0.45">
      <c r="A51" s="2">
        <v>45978</v>
      </c>
      <c r="B51">
        <v>33.89</v>
      </c>
      <c r="C51">
        <v>37.31</v>
      </c>
      <c r="D51">
        <v>18.38</v>
      </c>
      <c r="E51">
        <v>23.95</v>
      </c>
      <c r="F51">
        <v>33.39</v>
      </c>
      <c r="G51">
        <v>61.163600000000002</v>
      </c>
      <c r="H51">
        <v>26.23</v>
      </c>
      <c r="I51">
        <v>63.16</v>
      </c>
      <c r="J51">
        <v>65.87</v>
      </c>
      <c r="K51">
        <v>93.02</v>
      </c>
      <c r="L51">
        <v>32.78</v>
      </c>
      <c r="M51">
        <v>66.13</v>
      </c>
      <c r="N51">
        <v>64.5</v>
      </c>
      <c r="O51">
        <v>54.65</v>
      </c>
      <c r="P51">
        <v>62.78</v>
      </c>
      <c r="Q51">
        <v>18.89</v>
      </c>
      <c r="R51">
        <v>1269.26</v>
      </c>
      <c r="S51">
        <v>33.08</v>
      </c>
      <c r="T51">
        <v>18.93</v>
      </c>
      <c r="U51">
        <v>17.66</v>
      </c>
      <c r="V51">
        <v>38.450000000000003</v>
      </c>
      <c r="W51">
        <v>44.493200000000002</v>
      </c>
      <c r="X51">
        <v>25.64</v>
      </c>
      <c r="Y51">
        <v>50.34</v>
      </c>
      <c r="Z51">
        <v>40.01</v>
      </c>
      <c r="AA51">
        <v>82.47</v>
      </c>
      <c r="AB51">
        <v>56.81</v>
      </c>
      <c r="AC51">
        <v>42.44</v>
      </c>
      <c r="AD51">
        <v>603.66</v>
      </c>
      <c r="AE51">
        <v>665.67</v>
      </c>
      <c r="AF51">
        <v>44.2</v>
      </c>
      <c r="AG51">
        <v>57.36</v>
      </c>
      <c r="AH51">
        <v>47.22</v>
      </c>
      <c r="AI51">
        <v>52.56</v>
      </c>
    </row>
    <row r="52" spans="1:35" x14ac:dyDescent="0.45">
      <c r="A52" s="2">
        <v>45975</v>
      </c>
      <c r="B52">
        <v>34.19</v>
      </c>
      <c r="C52">
        <v>36.369999999999997</v>
      </c>
      <c r="D52">
        <v>18.38</v>
      </c>
      <c r="E52">
        <v>23.28</v>
      </c>
      <c r="F52">
        <v>34.159999999999997</v>
      </c>
      <c r="G52">
        <v>62.34</v>
      </c>
      <c r="H52">
        <v>26.45</v>
      </c>
      <c r="I52">
        <v>65.17</v>
      </c>
      <c r="J52">
        <v>67.22</v>
      </c>
      <c r="K52">
        <v>94.13</v>
      </c>
      <c r="L52">
        <v>33.18</v>
      </c>
      <c r="M52">
        <v>66.989999999999995</v>
      </c>
      <c r="N52">
        <v>65</v>
      </c>
      <c r="O52">
        <v>54.62</v>
      </c>
      <c r="P52">
        <v>63.5</v>
      </c>
      <c r="Q52">
        <v>19.285</v>
      </c>
      <c r="R52">
        <v>1287.44</v>
      </c>
      <c r="S52">
        <v>32.85</v>
      </c>
      <c r="T52">
        <v>19.170000000000002</v>
      </c>
      <c r="U52">
        <v>17.59</v>
      </c>
      <c r="V52">
        <v>38.83</v>
      </c>
      <c r="W52">
        <v>44.844999999999999</v>
      </c>
      <c r="X52">
        <v>25.95</v>
      </c>
      <c r="Y52">
        <v>50.89</v>
      </c>
      <c r="Z52">
        <v>40.86</v>
      </c>
      <c r="AA52">
        <v>83.98</v>
      </c>
      <c r="AB52">
        <v>57.55</v>
      </c>
      <c r="AC52">
        <v>42.77</v>
      </c>
      <c r="AD52">
        <v>608.86</v>
      </c>
      <c r="AE52">
        <v>671.93</v>
      </c>
      <c r="AF52">
        <v>44.84</v>
      </c>
      <c r="AG52">
        <v>58.13</v>
      </c>
      <c r="AH52">
        <v>47.65</v>
      </c>
      <c r="AI52">
        <v>53.2</v>
      </c>
    </row>
    <row r="53" spans="1:35" x14ac:dyDescent="0.45">
      <c r="A53" s="2">
        <v>45974</v>
      </c>
      <c r="B53">
        <v>34.64</v>
      </c>
      <c r="C53">
        <v>36.71</v>
      </c>
      <c r="D53">
        <v>18.28</v>
      </c>
      <c r="E53">
        <v>23.69</v>
      </c>
      <c r="F53">
        <v>34.130000000000003</v>
      </c>
      <c r="G53">
        <v>62.52</v>
      </c>
      <c r="H53">
        <v>26.5</v>
      </c>
      <c r="I53">
        <v>63.99</v>
      </c>
      <c r="J53">
        <v>67.38</v>
      </c>
      <c r="K53">
        <v>94.07</v>
      </c>
      <c r="L53">
        <v>32.979999999999997</v>
      </c>
      <c r="M53">
        <v>67.83</v>
      </c>
      <c r="N53">
        <v>64.67</v>
      </c>
      <c r="O53">
        <v>54.2</v>
      </c>
      <c r="P53">
        <v>64.459999999999994</v>
      </c>
      <c r="Q53">
        <v>19.25</v>
      </c>
      <c r="R53">
        <v>1284.81</v>
      </c>
      <c r="S53">
        <v>32.78</v>
      </c>
      <c r="T53">
        <v>19.190000000000001</v>
      </c>
      <c r="U53">
        <v>17.420000000000002</v>
      </c>
      <c r="V53">
        <v>38.729999999999997</v>
      </c>
      <c r="W53">
        <v>44.943399999999997</v>
      </c>
      <c r="X53">
        <v>25.94</v>
      </c>
      <c r="Y53">
        <v>50.64</v>
      </c>
      <c r="Z53">
        <v>41.25</v>
      </c>
      <c r="AA53">
        <v>83.01</v>
      </c>
      <c r="AB53">
        <v>57.85</v>
      </c>
      <c r="AC53">
        <v>43.04</v>
      </c>
      <c r="AD53">
        <v>608.4</v>
      </c>
      <c r="AE53">
        <v>672.04</v>
      </c>
      <c r="AF53">
        <v>45.04</v>
      </c>
      <c r="AG53">
        <v>58.61</v>
      </c>
      <c r="AH53">
        <v>48.27</v>
      </c>
      <c r="AI53">
        <v>53.98</v>
      </c>
    </row>
    <row r="54" spans="1:35" x14ac:dyDescent="0.45">
      <c r="A54" s="2">
        <v>45973</v>
      </c>
      <c r="B54">
        <v>34.43</v>
      </c>
      <c r="C54">
        <v>37.26</v>
      </c>
      <c r="D54">
        <v>18.440000000000001</v>
      </c>
      <c r="E54">
        <v>23.6</v>
      </c>
      <c r="F54">
        <v>34.42</v>
      </c>
      <c r="G54">
        <v>64.38</v>
      </c>
      <c r="H54">
        <v>26.53</v>
      </c>
      <c r="I54">
        <v>65.41</v>
      </c>
      <c r="J54">
        <v>68.16</v>
      </c>
      <c r="K54">
        <v>95.92</v>
      </c>
      <c r="L54">
        <v>33.22</v>
      </c>
      <c r="M54">
        <v>68.08</v>
      </c>
      <c r="N54">
        <v>64.319999999999993</v>
      </c>
      <c r="O54">
        <v>54.56</v>
      </c>
      <c r="P54">
        <v>64.58</v>
      </c>
      <c r="Q54">
        <v>19.555</v>
      </c>
      <c r="R54">
        <v>1300.47</v>
      </c>
      <c r="S54">
        <v>33.03</v>
      </c>
      <c r="T54">
        <v>19.48</v>
      </c>
      <c r="U54">
        <v>17.53</v>
      </c>
      <c r="V54">
        <v>39.17</v>
      </c>
      <c r="W54">
        <v>45.657200000000003</v>
      </c>
      <c r="X54">
        <v>26.58</v>
      </c>
      <c r="Y54">
        <v>51.75</v>
      </c>
      <c r="Z54">
        <v>41.68</v>
      </c>
      <c r="AA54">
        <v>84.34</v>
      </c>
      <c r="AB54">
        <v>58.06</v>
      </c>
      <c r="AC54">
        <v>43.51</v>
      </c>
      <c r="AD54">
        <v>621.08000000000004</v>
      </c>
      <c r="AE54">
        <v>683.38</v>
      </c>
      <c r="AF54">
        <v>45.14</v>
      </c>
      <c r="AG54">
        <v>59.03</v>
      </c>
      <c r="AH54">
        <v>48.82</v>
      </c>
      <c r="AI54">
        <v>54.12</v>
      </c>
    </row>
    <row r="55" spans="1:35" x14ac:dyDescent="0.45">
      <c r="A55" s="2">
        <v>45972</v>
      </c>
      <c r="B55">
        <v>34.47</v>
      </c>
      <c r="C55">
        <v>36.5</v>
      </c>
      <c r="D55">
        <v>18.45</v>
      </c>
      <c r="E55">
        <v>23.41</v>
      </c>
      <c r="F55">
        <v>34.56</v>
      </c>
      <c r="G55">
        <v>63.04</v>
      </c>
      <c r="H55">
        <v>26.78</v>
      </c>
      <c r="I55">
        <v>65.39</v>
      </c>
      <c r="J55">
        <v>69.34</v>
      </c>
      <c r="K55">
        <v>95.29</v>
      </c>
      <c r="L55">
        <v>33.49</v>
      </c>
      <c r="M55">
        <v>66.53</v>
      </c>
      <c r="N55">
        <v>63.63</v>
      </c>
      <c r="O55">
        <v>54.74</v>
      </c>
      <c r="P55">
        <v>64.53</v>
      </c>
      <c r="Q55">
        <v>19.6479</v>
      </c>
      <c r="R55">
        <v>1306.26</v>
      </c>
      <c r="S55">
        <v>32.85</v>
      </c>
      <c r="T55">
        <v>19.690000000000001</v>
      </c>
      <c r="U55">
        <v>16.93</v>
      </c>
      <c r="V55">
        <v>39.39</v>
      </c>
      <c r="W55">
        <v>45.674999999999997</v>
      </c>
      <c r="X55">
        <v>26.63</v>
      </c>
      <c r="Y55">
        <v>51.04</v>
      </c>
      <c r="Z55">
        <v>41.23</v>
      </c>
      <c r="AA55">
        <v>83.75</v>
      </c>
      <c r="AB55">
        <v>57.67</v>
      </c>
      <c r="AC55">
        <v>43.65</v>
      </c>
      <c r="AD55">
        <v>621.57000000000005</v>
      </c>
      <c r="AE55">
        <v>683</v>
      </c>
      <c r="AF55">
        <v>44.71</v>
      </c>
      <c r="AG55">
        <v>58.73</v>
      </c>
      <c r="AH55">
        <v>48.48</v>
      </c>
      <c r="AI55">
        <v>53.75</v>
      </c>
    </row>
    <row r="56" spans="1:35" x14ac:dyDescent="0.45">
      <c r="A56" s="2">
        <v>45971</v>
      </c>
      <c r="B56">
        <v>34.770000000000003</v>
      </c>
      <c r="C56">
        <v>36.299999999999997</v>
      </c>
      <c r="D56">
        <v>18.55</v>
      </c>
      <c r="E56">
        <v>23.7</v>
      </c>
      <c r="F56">
        <v>34.44</v>
      </c>
      <c r="G56">
        <v>63.13</v>
      </c>
      <c r="H56">
        <v>26.47</v>
      </c>
      <c r="I56">
        <v>65.75</v>
      </c>
      <c r="J56">
        <v>67.91</v>
      </c>
      <c r="K56">
        <v>95.67</v>
      </c>
      <c r="L56">
        <v>32.72</v>
      </c>
      <c r="M56">
        <v>66.62</v>
      </c>
      <c r="N56">
        <v>63.69</v>
      </c>
      <c r="O56">
        <v>54.15</v>
      </c>
      <c r="P56">
        <v>64.7</v>
      </c>
      <c r="Q56">
        <v>19.48</v>
      </c>
      <c r="R56">
        <v>1302.9100000000001</v>
      </c>
      <c r="S56">
        <v>33.549999999999997</v>
      </c>
      <c r="T56">
        <v>19.53</v>
      </c>
      <c r="U56">
        <v>16.71</v>
      </c>
      <c r="V56">
        <v>39.32</v>
      </c>
      <c r="W56">
        <v>45.684100000000001</v>
      </c>
      <c r="X56">
        <v>26.81</v>
      </c>
      <c r="Y56">
        <v>50.89</v>
      </c>
      <c r="Z56">
        <v>40.96</v>
      </c>
      <c r="AA56">
        <v>83.68</v>
      </c>
      <c r="AB56">
        <v>56.36</v>
      </c>
      <c r="AC56">
        <v>43.44</v>
      </c>
      <c r="AD56">
        <v>623.23</v>
      </c>
      <c r="AE56">
        <v>681.44</v>
      </c>
      <c r="AF56">
        <v>44.19</v>
      </c>
      <c r="AG56">
        <v>58.56</v>
      </c>
      <c r="AH56">
        <v>47.74</v>
      </c>
      <c r="AI56">
        <v>53.15</v>
      </c>
    </row>
    <row r="57" spans="1:35" x14ac:dyDescent="0.45">
      <c r="A57" s="2">
        <v>45968</v>
      </c>
      <c r="B57">
        <v>34.6</v>
      </c>
      <c r="C57">
        <v>35.799999999999997</v>
      </c>
      <c r="D57">
        <v>18.53</v>
      </c>
      <c r="E57">
        <v>23.79</v>
      </c>
      <c r="F57">
        <v>33.840000000000003</v>
      </c>
      <c r="G57">
        <v>61.77</v>
      </c>
      <c r="H57">
        <v>26.23</v>
      </c>
      <c r="I57">
        <v>64.61</v>
      </c>
      <c r="J57">
        <v>67.819999999999993</v>
      </c>
      <c r="K57">
        <v>91.8</v>
      </c>
      <c r="L57">
        <v>32.299999999999997</v>
      </c>
      <c r="M57">
        <v>64.239999999999995</v>
      </c>
      <c r="N57">
        <v>62.35</v>
      </c>
      <c r="O57">
        <v>53.75</v>
      </c>
      <c r="P57">
        <v>63.61</v>
      </c>
      <c r="Q57">
        <v>19.420000000000002</v>
      </c>
      <c r="R57">
        <v>1313.31</v>
      </c>
      <c r="S57">
        <v>33.86</v>
      </c>
      <c r="T57">
        <v>19.43</v>
      </c>
      <c r="U57">
        <v>16.88</v>
      </c>
      <c r="V57">
        <v>39.28</v>
      </c>
      <c r="W57">
        <v>45.580800000000004</v>
      </c>
      <c r="X57">
        <v>26.44</v>
      </c>
      <c r="Y57">
        <v>50.1</v>
      </c>
      <c r="Z57">
        <v>40.479999999999997</v>
      </c>
      <c r="AA57">
        <v>83.29</v>
      </c>
      <c r="AB57">
        <v>55.74</v>
      </c>
      <c r="AC57">
        <v>42.87</v>
      </c>
      <c r="AD57">
        <v>609.74</v>
      </c>
      <c r="AE57">
        <v>670.97</v>
      </c>
      <c r="AF57">
        <v>43.78</v>
      </c>
      <c r="AG57">
        <v>57.74</v>
      </c>
      <c r="AH57">
        <v>47.24</v>
      </c>
      <c r="AI57">
        <v>52.19</v>
      </c>
    </row>
    <row r="58" spans="1:35" x14ac:dyDescent="0.45">
      <c r="A58" s="2">
        <v>45967</v>
      </c>
      <c r="B58">
        <v>34.590000000000003</v>
      </c>
      <c r="C58">
        <v>35.25</v>
      </c>
      <c r="D58">
        <v>18.440000000000001</v>
      </c>
      <c r="E58">
        <v>24.11</v>
      </c>
      <c r="F58">
        <v>33.950000000000003</v>
      </c>
      <c r="G58">
        <v>61.75</v>
      </c>
      <c r="H58">
        <v>26.01</v>
      </c>
      <c r="I58">
        <v>64.94</v>
      </c>
      <c r="J58">
        <v>66.97</v>
      </c>
      <c r="K58">
        <v>93.51</v>
      </c>
      <c r="L58">
        <v>32.04</v>
      </c>
      <c r="M58">
        <v>63.7</v>
      </c>
      <c r="N58">
        <v>62.47</v>
      </c>
      <c r="O58">
        <v>53.62</v>
      </c>
      <c r="P58">
        <v>63.97</v>
      </c>
      <c r="Q58">
        <v>19.46</v>
      </c>
      <c r="R58">
        <v>1295.29</v>
      </c>
      <c r="S58">
        <v>34.25</v>
      </c>
      <c r="T58">
        <v>19.309999999999999</v>
      </c>
      <c r="U58">
        <v>17.32</v>
      </c>
      <c r="V58">
        <v>39.299999999999997</v>
      </c>
      <c r="W58">
        <v>45.333100000000002</v>
      </c>
      <c r="X58">
        <v>26.46</v>
      </c>
      <c r="Y58">
        <v>49.75</v>
      </c>
      <c r="Z58">
        <v>40.39</v>
      </c>
      <c r="AA58">
        <v>82.96</v>
      </c>
      <c r="AB58">
        <v>55.22</v>
      </c>
      <c r="AC58">
        <v>42.62</v>
      </c>
      <c r="AD58">
        <v>611.66999999999996</v>
      </c>
      <c r="AE58">
        <v>670.31</v>
      </c>
      <c r="AF58">
        <v>43.42</v>
      </c>
      <c r="AG58">
        <v>57.96</v>
      </c>
      <c r="AH58">
        <v>46.98</v>
      </c>
      <c r="AI58">
        <v>51.75</v>
      </c>
    </row>
    <row r="59" spans="1:35" x14ac:dyDescent="0.45">
      <c r="A59" s="2">
        <v>45966</v>
      </c>
      <c r="B59">
        <v>34.380000000000003</v>
      </c>
      <c r="C59">
        <v>35.299999999999997</v>
      </c>
      <c r="D59">
        <v>18.54</v>
      </c>
      <c r="E59">
        <v>24.19</v>
      </c>
      <c r="F59">
        <v>33.51</v>
      </c>
      <c r="G59">
        <v>61.39</v>
      </c>
      <c r="H59">
        <v>26.2</v>
      </c>
      <c r="I59">
        <v>66.03</v>
      </c>
      <c r="J59">
        <v>67.180000000000007</v>
      </c>
      <c r="K59">
        <v>96.62</v>
      </c>
      <c r="L59">
        <v>32.1</v>
      </c>
      <c r="M59">
        <v>63.4</v>
      </c>
      <c r="N59">
        <v>62.68</v>
      </c>
      <c r="O59">
        <v>54.3</v>
      </c>
      <c r="P59">
        <v>63.36</v>
      </c>
      <c r="Q59">
        <v>19.414999999999999</v>
      </c>
      <c r="R59">
        <v>1298.5999999999999</v>
      </c>
      <c r="S59">
        <v>34.130000000000003</v>
      </c>
      <c r="T59">
        <v>19.350000000000001</v>
      </c>
      <c r="U59">
        <v>17.57</v>
      </c>
      <c r="V59">
        <v>39.35</v>
      </c>
      <c r="W59">
        <v>45.91</v>
      </c>
      <c r="X59">
        <v>26.67</v>
      </c>
      <c r="Y59">
        <v>50.26</v>
      </c>
      <c r="Z59">
        <v>40.729999999999997</v>
      </c>
      <c r="AA59">
        <v>82.8</v>
      </c>
      <c r="AB59">
        <v>55.4</v>
      </c>
      <c r="AC59">
        <v>42.61</v>
      </c>
      <c r="AD59">
        <v>623.28</v>
      </c>
      <c r="AE59">
        <v>677.58</v>
      </c>
      <c r="AF59">
        <v>43.88</v>
      </c>
      <c r="AG59">
        <v>58.26</v>
      </c>
      <c r="AH59">
        <v>47.29</v>
      </c>
      <c r="AI59">
        <v>52</v>
      </c>
    </row>
    <row r="60" spans="1:35" x14ac:dyDescent="0.45">
      <c r="A60" s="2">
        <v>45965</v>
      </c>
      <c r="B60">
        <v>33.97</v>
      </c>
      <c r="C60">
        <v>34.5</v>
      </c>
      <c r="D60">
        <v>18.36</v>
      </c>
      <c r="E60">
        <v>24.38</v>
      </c>
      <c r="F60">
        <v>33.31</v>
      </c>
      <c r="G60">
        <v>60.31</v>
      </c>
      <c r="H60">
        <v>25.98</v>
      </c>
      <c r="I60">
        <v>65.430000000000007</v>
      </c>
      <c r="J60">
        <v>65.650000000000006</v>
      </c>
      <c r="K60">
        <v>95.76</v>
      </c>
      <c r="L60">
        <v>31.18</v>
      </c>
      <c r="M60">
        <v>61.44</v>
      </c>
      <c r="N60">
        <v>62.17</v>
      </c>
      <c r="O60">
        <v>54.02</v>
      </c>
      <c r="P60">
        <v>62.73</v>
      </c>
      <c r="Q60">
        <v>19.434999999999999</v>
      </c>
      <c r="R60">
        <v>1308.8599999999999</v>
      </c>
      <c r="S60">
        <v>33.909999999999997</v>
      </c>
      <c r="T60">
        <v>19.36</v>
      </c>
      <c r="U60">
        <v>17.53</v>
      </c>
      <c r="V60">
        <v>39.68</v>
      </c>
      <c r="W60">
        <v>45.38</v>
      </c>
      <c r="X60">
        <v>26.41</v>
      </c>
      <c r="Y60">
        <v>49.72</v>
      </c>
      <c r="Z60">
        <v>40.340000000000003</v>
      </c>
      <c r="AA60">
        <v>82.83</v>
      </c>
      <c r="AB60">
        <v>55.06</v>
      </c>
      <c r="AC60">
        <v>42.18</v>
      </c>
      <c r="AD60">
        <v>619.25</v>
      </c>
      <c r="AE60">
        <v>675.24</v>
      </c>
      <c r="AF60">
        <v>43.63</v>
      </c>
      <c r="AG60">
        <v>57.82</v>
      </c>
      <c r="AH60">
        <v>46.87</v>
      </c>
      <c r="AI60">
        <v>51.38</v>
      </c>
    </row>
    <row r="61" spans="1:35" x14ac:dyDescent="0.45">
      <c r="A61" s="2">
        <v>45964</v>
      </c>
      <c r="B61">
        <v>34.377099999999999</v>
      </c>
      <c r="C61">
        <v>35.93</v>
      </c>
      <c r="D61">
        <v>18.45</v>
      </c>
      <c r="E61">
        <v>24.15</v>
      </c>
      <c r="F61">
        <v>33.78</v>
      </c>
      <c r="G61">
        <v>62.16</v>
      </c>
      <c r="H61">
        <v>26.06</v>
      </c>
      <c r="I61">
        <v>66.900000000000006</v>
      </c>
      <c r="J61">
        <v>66.23</v>
      </c>
      <c r="K61">
        <v>100.78</v>
      </c>
      <c r="L61">
        <v>31.52</v>
      </c>
      <c r="M61">
        <v>63.76</v>
      </c>
      <c r="N61">
        <v>63.18</v>
      </c>
      <c r="O61">
        <v>54.24</v>
      </c>
      <c r="P61">
        <v>63.55</v>
      </c>
      <c r="Q61">
        <v>19.315000000000001</v>
      </c>
      <c r="R61">
        <v>1309.5</v>
      </c>
      <c r="S61">
        <v>34.450000000000003</v>
      </c>
      <c r="T61">
        <v>19.579999999999998</v>
      </c>
      <c r="U61">
        <v>17.09</v>
      </c>
      <c r="V61">
        <v>40</v>
      </c>
      <c r="W61">
        <v>45.705599999999997</v>
      </c>
      <c r="X61">
        <v>26.84</v>
      </c>
      <c r="Y61">
        <v>50.67</v>
      </c>
      <c r="Z61">
        <v>40.909999999999997</v>
      </c>
      <c r="AA61">
        <v>83.64</v>
      </c>
      <c r="AB61">
        <v>55.12</v>
      </c>
      <c r="AC61">
        <v>42.53</v>
      </c>
      <c r="AD61">
        <v>632.08000000000004</v>
      </c>
      <c r="AE61">
        <v>683.34</v>
      </c>
      <c r="AF61">
        <v>44.07</v>
      </c>
      <c r="AG61">
        <v>58.68</v>
      </c>
      <c r="AH61">
        <v>47.7</v>
      </c>
      <c r="AI61">
        <v>51.79</v>
      </c>
    </row>
    <row r="62" spans="1:35" x14ac:dyDescent="0.45">
      <c r="A62" s="2">
        <v>45961</v>
      </c>
      <c r="B62">
        <v>34.299999999999997</v>
      </c>
      <c r="C62">
        <v>35.32</v>
      </c>
      <c r="D62">
        <v>18.28</v>
      </c>
      <c r="E62">
        <v>24.55</v>
      </c>
      <c r="F62">
        <v>33.71</v>
      </c>
      <c r="G62">
        <v>62.78</v>
      </c>
      <c r="H62">
        <v>25.85</v>
      </c>
      <c r="I62">
        <v>66.650000000000006</v>
      </c>
      <c r="J62">
        <v>66.53</v>
      </c>
      <c r="K62">
        <v>97</v>
      </c>
      <c r="L62">
        <v>31.17</v>
      </c>
      <c r="M62">
        <v>63.77</v>
      </c>
      <c r="N62">
        <v>62.22</v>
      </c>
      <c r="O62">
        <v>53.97</v>
      </c>
      <c r="P62">
        <v>63.57</v>
      </c>
      <c r="Q62">
        <v>19.3</v>
      </c>
      <c r="R62">
        <v>1314.65</v>
      </c>
      <c r="S62">
        <v>34.15</v>
      </c>
      <c r="T62">
        <v>19.68</v>
      </c>
      <c r="U62">
        <v>17.43</v>
      </c>
      <c r="V62">
        <v>40.28</v>
      </c>
      <c r="W62">
        <v>45.89</v>
      </c>
      <c r="X62">
        <v>26.77</v>
      </c>
      <c r="Y62">
        <v>50.74</v>
      </c>
      <c r="Z62">
        <v>40.729999999999997</v>
      </c>
      <c r="AA62">
        <v>83.45</v>
      </c>
      <c r="AB62">
        <v>55.36</v>
      </c>
      <c r="AC62">
        <v>42.67</v>
      </c>
      <c r="AD62">
        <v>629.07000000000005</v>
      </c>
      <c r="AE62">
        <v>682.06</v>
      </c>
      <c r="AF62">
        <v>44.28</v>
      </c>
      <c r="AG62">
        <v>58.8</v>
      </c>
      <c r="AH62">
        <v>47.99</v>
      </c>
      <c r="AI62">
        <v>51.81</v>
      </c>
    </row>
    <row r="63" spans="1:35" x14ac:dyDescent="0.45">
      <c r="A63" s="2">
        <v>45960</v>
      </c>
      <c r="B63">
        <v>34.9</v>
      </c>
      <c r="C63">
        <v>35.340000000000003</v>
      </c>
      <c r="D63">
        <v>18.27</v>
      </c>
      <c r="E63">
        <v>24.4</v>
      </c>
      <c r="F63">
        <v>34.22</v>
      </c>
      <c r="G63">
        <v>63.11</v>
      </c>
      <c r="H63">
        <v>25.88</v>
      </c>
      <c r="I63">
        <v>66.540000000000006</v>
      </c>
      <c r="J63">
        <v>66.73</v>
      </c>
      <c r="K63">
        <v>95.26</v>
      </c>
      <c r="L63">
        <v>31.05</v>
      </c>
      <c r="M63">
        <v>64.37</v>
      </c>
      <c r="N63">
        <v>62.69</v>
      </c>
      <c r="O63">
        <v>54.27</v>
      </c>
      <c r="P63">
        <v>64.38</v>
      </c>
      <c r="Q63">
        <v>19.289100000000001</v>
      </c>
      <c r="R63">
        <v>1315.64</v>
      </c>
      <c r="S63">
        <v>33.64</v>
      </c>
      <c r="T63">
        <v>20.149999999999999</v>
      </c>
      <c r="U63">
        <v>17.71</v>
      </c>
      <c r="V63">
        <v>40.229999999999997</v>
      </c>
      <c r="W63">
        <v>45.755000000000003</v>
      </c>
      <c r="X63">
        <v>26.89</v>
      </c>
      <c r="Y63">
        <v>50.67</v>
      </c>
      <c r="Z63">
        <v>41</v>
      </c>
      <c r="AA63">
        <v>83.21</v>
      </c>
      <c r="AB63">
        <v>55.6</v>
      </c>
      <c r="AC63">
        <v>42.75</v>
      </c>
      <c r="AD63">
        <v>626.04999999999995</v>
      </c>
      <c r="AE63">
        <v>679.83</v>
      </c>
      <c r="AF63">
        <v>44.44</v>
      </c>
      <c r="AG63">
        <v>59.48</v>
      </c>
      <c r="AH63">
        <v>48.49</v>
      </c>
      <c r="AI63">
        <v>51.82</v>
      </c>
    </row>
    <row r="64" spans="1:35" x14ac:dyDescent="0.45">
      <c r="A64" s="2">
        <v>45959</v>
      </c>
      <c r="B64">
        <v>35.270000000000003</v>
      </c>
      <c r="C64">
        <v>34.97</v>
      </c>
      <c r="D64">
        <v>18.32</v>
      </c>
      <c r="E64">
        <v>24.74</v>
      </c>
      <c r="F64">
        <v>34.53</v>
      </c>
      <c r="G64">
        <v>63.12</v>
      </c>
      <c r="H64">
        <v>25.91</v>
      </c>
      <c r="I64">
        <v>67.13</v>
      </c>
      <c r="J64">
        <v>67.430000000000007</v>
      </c>
      <c r="K64">
        <v>96.9</v>
      </c>
      <c r="L64">
        <v>31.18</v>
      </c>
      <c r="M64">
        <v>64.75</v>
      </c>
      <c r="N64">
        <v>63.76</v>
      </c>
      <c r="O64">
        <v>54.61</v>
      </c>
      <c r="P64">
        <v>65.489999999999995</v>
      </c>
      <c r="Q64">
        <v>19.25</v>
      </c>
      <c r="R64">
        <v>1314.28</v>
      </c>
      <c r="S64">
        <v>33.909999999999997</v>
      </c>
      <c r="T64">
        <v>20</v>
      </c>
      <c r="U64">
        <v>18.149999999999999</v>
      </c>
      <c r="V64">
        <v>41.03</v>
      </c>
      <c r="W64">
        <v>45.674999999999997</v>
      </c>
      <c r="X64">
        <v>27</v>
      </c>
      <c r="Y64">
        <v>50.75</v>
      </c>
      <c r="Z64">
        <v>41.27</v>
      </c>
      <c r="AA64">
        <v>83.23</v>
      </c>
      <c r="AB64">
        <v>55.66</v>
      </c>
      <c r="AC64">
        <v>42.83</v>
      </c>
      <c r="AD64">
        <v>635.77</v>
      </c>
      <c r="AE64">
        <v>687.39</v>
      </c>
      <c r="AF64">
        <v>44.86</v>
      </c>
      <c r="AG64">
        <v>59.366</v>
      </c>
      <c r="AH64">
        <v>48.74</v>
      </c>
      <c r="AI64">
        <v>52.11</v>
      </c>
    </row>
    <row r="65" spans="1:35" x14ac:dyDescent="0.45">
      <c r="A65" s="2">
        <v>45958</v>
      </c>
      <c r="B65">
        <v>34.950000000000003</v>
      </c>
      <c r="C65">
        <v>34.630000000000003</v>
      </c>
      <c r="D65">
        <v>18.05</v>
      </c>
      <c r="E65">
        <v>24.44</v>
      </c>
      <c r="F65">
        <v>34.85</v>
      </c>
      <c r="G65">
        <v>62.53</v>
      </c>
      <c r="H65">
        <v>26.01</v>
      </c>
      <c r="I65">
        <v>67.09</v>
      </c>
      <c r="J65">
        <v>67.099999999999994</v>
      </c>
      <c r="K65">
        <v>94.45</v>
      </c>
      <c r="L65">
        <v>30.92</v>
      </c>
      <c r="M65">
        <v>65.23</v>
      </c>
      <c r="N65">
        <v>62.89</v>
      </c>
      <c r="O65">
        <v>54.54</v>
      </c>
      <c r="P65">
        <v>65.12</v>
      </c>
      <c r="Q65">
        <v>19.195</v>
      </c>
      <c r="R65">
        <v>1323.52</v>
      </c>
      <c r="S65">
        <v>33.979999999999997</v>
      </c>
      <c r="T65">
        <v>20.010000000000002</v>
      </c>
      <c r="U65">
        <v>18.18</v>
      </c>
      <c r="V65">
        <v>40.89</v>
      </c>
      <c r="W65">
        <v>45.844999999999999</v>
      </c>
      <c r="X65">
        <v>27.52</v>
      </c>
      <c r="Y65">
        <v>51.41</v>
      </c>
      <c r="Z65">
        <v>41.72</v>
      </c>
      <c r="AA65">
        <v>83.93</v>
      </c>
      <c r="AB65">
        <v>56.17</v>
      </c>
      <c r="AC65">
        <v>42.92</v>
      </c>
      <c r="AD65">
        <v>632.91999999999996</v>
      </c>
      <c r="AE65">
        <v>687.06</v>
      </c>
      <c r="AF65">
        <v>45.14</v>
      </c>
      <c r="AG65">
        <v>59.01</v>
      </c>
      <c r="AH65">
        <v>49.07</v>
      </c>
      <c r="AI65">
        <v>52.18</v>
      </c>
    </row>
    <row r="66" spans="1:35" x14ac:dyDescent="0.45">
      <c r="A66" s="2">
        <v>45957</v>
      </c>
      <c r="B66">
        <v>34.950000000000003</v>
      </c>
      <c r="C66">
        <v>34.590000000000003</v>
      </c>
      <c r="D66">
        <v>18.09</v>
      </c>
      <c r="E66">
        <v>24.4</v>
      </c>
      <c r="F66">
        <v>34.200000000000003</v>
      </c>
      <c r="G66">
        <v>61.55</v>
      </c>
      <c r="H66">
        <v>25.96</v>
      </c>
      <c r="I66">
        <v>66.98</v>
      </c>
      <c r="J66">
        <v>66.33</v>
      </c>
      <c r="K66">
        <v>94.31</v>
      </c>
      <c r="L66">
        <v>30.77</v>
      </c>
      <c r="M66">
        <v>64.2</v>
      </c>
      <c r="N66">
        <v>63.03</v>
      </c>
      <c r="O66">
        <v>54.72</v>
      </c>
      <c r="P66">
        <v>65.59</v>
      </c>
      <c r="Q66">
        <v>19.195</v>
      </c>
      <c r="R66">
        <v>1313.91</v>
      </c>
      <c r="S66">
        <v>33.89</v>
      </c>
      <c r="T66">
        <v>19.97</v>
      </c>
      <c r="U66">
        <v>17.739999999999998</v>
      </c>
      <c r="V66">
        <v>40.61</v>
      </c>
      <c r="W66">
        <v>45.99</v>
      </c>
      <c r="X66">
        <v>27.37</v>
      </c>
      <c r="Y66">
        <v>50.79</v>
      </c>
      <c r="Z66">
        <v>41.78</v>
      </c>
      <c r="AA66">
        <v>83.53</v>
      </c>
      <c r="AB66">
        <v>56.94</v>
      </c>
      <c r="AC66">
        <v>42.98</v>
      </c>
      <c r="AD66">
        <v>628.09</v>
      </c>
      <c r="AE66">
        <v>685.24</v>
      </c>
      <c r="AF66">
        <v>45.33</v>
      </c>
      <c r="AG66">
        <v>59.564999999999998</v>
      </c>
      <c r="AH66">
        <v>49.23</v>
      </c>
      <c r="AI66">
        <v>51.93</v>
      </c>
    </row>
    <row r="67" spans="1:35" x14ac:dyDescent="0.45">
      <c r="A67" s="2">
        <v>45954</v>
      </c>
      <c r="B67">
        <v>34.479999999999997</v>
      </c>
      <c r="C67">
        <v>34.369999999999997</v>
      </c>
      <c r="D67">
        <v>18.3</v>
      </c>
      <c r="E67">
        <v>24.7</v>
      </c>
      <c r="F67">
        <v>33.909999999999997</v>
      </c>
      <c r="G67">
        <v>61.62</v>
      </c>
      <c r="H67">
        <v>25.69</v>
      </c>
      <c r="I67">
        <v>66.48</v>
      </c>
      <c r="J67">
        <v>65.37</v>
      </c>
      <c r="K67">
        <v>92.05</v>
      </c>
      <c r="L67">
        <v>30.48</v>
      </c>
      <c r="M67">
        <v>65.180000000000007</v>
      </c>
      <c r="N67">
        <v>63.27</v>
      </c>
      <c r="O67">
        <v>54.51</v>
      </c>
      <c r="P67">
        <v>64.510000000000005</v>
      </c>
      <c r="Q67">
        <v>19.29</v>
      </c>
      <c r="R67">
        <v>1302.3499999999999</v>
      </c>
      <c r="S67">
        <v>34.04</v>
      </c>
      <c r="T67">
        <v>19.98</v>
      </c>
      <c r="U67">
        <v>18.21</v>
      </c>
      <c r="V67">
        <v>40.729999999999997</v>
      </c>
      <c r="W67">
        <v>45.615000000000002</v>
      </c>
      <c r="X67">
        <v>27.18</v>
      </c>
      <c r="Y67">
        <v>50.84</v>
      </c>
      <c r="Z67">
        <v>41.59</v>
      </c>
      <c r="AA67">
        <v>82.5</v>
      </c>
      <c r="AB67">
        <v>57.12</v>
      </c>
      <c r="AC67">
        <v>42.78</v>
      </c>
      <c r="AD67">
        <v>617.1</v>
      </c>
      <c r="AE67">
        <v>677.25</v>
      </c>
      <c r="AF67">
        <v>45.11</v>
      </c>
      <c r="AG67">
        <v>58.91</v>
      </c>
      <c r="AH67">
        <v>48.86</v>
      </c>
      <c r="AI67">
        <v>51.27</v>
      </c>
    </row>
    <row r="68" spans="1:35" x14ac:dyDescent="0.45">
      <c r="A68" s="2">
        <v>45953</v>
      </c>
      <c r="B68">
        <v>34.06</v>
      </c>
      <c r="C68">
        <v>34.200000000000003</v>
      </c>
      <c r="D68">
        <v>18.3</v>
      </c>
      <c r="E68">
        <v>24.99</v>
      </c>
      <c r="F68">
        <v>34.17</v>
      </c>
      <c r="G68">
        <v>61.61</v>
      </c>
      <c r="H68">
        <v>25.65</v>
      </c>
      <c r="I68">
        <v>65.709999999999994</v>
      </c>
      <c r="J68">
        <v>66.02</v>
      </c>
      <c r="K68">
        <v>90.07</v>
      </c>
      <c r="L68">
        <v>30.47</v>
      </c>
      <c r="M68">
        <v>64.930000000000007</v>
      </c>
      <c r="N68">
        <v>64.06</v>
      </c>
      <c r="O68">
        <v>54.76</v>
      </c>
      <c r="P68">
        <v>64.11</v>
      </c>
      <c r="Q68">
        <v>19.260000000000002</v>
      </c>
      <c r="R68">
        <v>1290.72</v>
      </c>
      <c r="S68">
        <v>33.11</v>
      </c>
      <c r="T68">
        <v>19.920000000000002</v>
      </c>
      <c r="U68">
        <v>18.29</v>
      </c>
      <c r="V68">
        <v>40.67</v>
      </c>
      <c r="W68">
        <v>45.52</v>
      </c>
      <c r="X68">
        <v>27.19</v>
      </c>
      <c r="Y68">
        <v>50.58</v>
      </c>
      <c r="Z68">
        <v>41.55</v>
      </c>
      <c r="AA68">
        <v>82.22</v>
      </c>
      <c r="AB68">
        <v>57.17</v>
      </c>
      <c r="AC68">
        <v>42.6</v>
      </c>
      <c r="AD68">
        <v>610.58000000000004</v>
      </c>
      <c r="AE68">
        <v>671.76</v>
      </c>
      <c r="AF68">
        <v>45.27</v>
      </c>
      <c r="AG68">
        <v>58.87</v>
      </c>
      <c r="AH68">
        <v>48.65</v>
      </c>
      <c r="AI68">
        <v>51.17</v>
      </c>
    </row>
    <row r="69" spans="1:35" x14ac:dyDescent="0.45">
      <c r="A69" s="2">
        <v>45952</v>
      </c>
      <c r="B69">
        <v>33.86</v>
      </c>
      <c r="C69">
        <v>33.47</v>
      </c>
      <c r="D69">
        <v>17.89</v>
      </c>
      <c r="E69">
        <v>24.82</v>
      </c>
      <c r="F69">
        <v>33.83</v>
      </c>
      <c r="G69">
        <v>60.71</v>
      </c>
      <c r="H69">
        <v>25.47</v>
      </c>
      <c r="I69">
        <v>65.03</v>
      </c>
      <c r="J69">
        <v>65.510000000000005</v>
      </c>
      <c r="K69">
        <v>89.45</v>
      </c>
      <c r="L69">
        <v>30.03</v>
      </c>
      <c r="M69">
        <v>63.58</v>
      </c>
      <c r="N69">
        <v>63.56</v>
      </c>
      <c r="O69">
        <v>55.29</v>
      </c>
      <c r="P69">
        <v>63.03</v>
      </c>
      <c r="Q69">
        <v>19.14</v>
      </c>
      <c r="R69">
        <v>1284.47</v>
      </c>
      <c r="S69">
        <v>32.96</v>
      </c>
      <c r="T69">
        <v>19.690000000000001</v>
      </c>
      <c r="U69">
        <v>18.170000000000002</v>
      </c>
      <c r="V69">
        <v>40.51</v>
      </c>
      <c r="W69">
        <v>45.230899999999998</v>
      </c>
      <c r="X69">
        <v>27.07</v>
      </c>
      <c r="Y69">
        <v>50.2</v>
      </c>
      <c r="Z69">
        <v>41.44</v>
      </c>
      <c r="AA69">
        <v>82.18</v>
      </c>
      <c r="AB69">
        <v>57.14</v>
      </c>
      <c r="AC69">
        <v>42.41</v>
      </c>
      <c r="AD69">
        <v>605.49</v>
      </c>
      <c r="AE69">
        <v>667.8</v>
      </c>
      <c r="AF69">
        <v>44.91</v>
      </c>
      <c r="AG69">
        <v>58.12</v>
      </c>
      <c r="AH69">
        <v>48.36</v>
      </c>
      <c r="AI69">
        <v>50.66</v>
      </c>
    </row>
    <row r="70" spans="1:35" x14ac:dyDescent="0.45">
      <c r="A70" s="2">
        <v>45951</v>
      </c>
      <c r="B70">
        <v>33.880000000000003</v>
      </c>
      <c r="C70">
        <v>33.5</v>
      </c>
      <c r="D70">
        <v>18.170000000000002</v>
      </c>
      <c r="E70">
        <v>25.11</v>
      </c>
      <c r="F70">
        <v>33.1</v>
      </c>
      <c r="G70">
        <v>61.35</v>
      </c>
      <c r="H70">
        <v>25.74</v>
      </c>
      <c r="I70">
        <v>65.78</v>
      </c>
      <c r="J70">
        <v>65.069999999999993</v>
      </c>
      <c r="K70">
        <v>88.64</v>
      </c>
      <c r="L70">
        <v>29.94</v>
      </c>
      <c r="M70">
        <v>63.27</v>
      </c>
      <c r="N70">
        <v>63.28</v>
      </c>
      <c r="O70">
        <v>54.48</v>
      </c>
      <c r="P70">
        <v>63.44</v>
      </c>
      <c r="Q70">
        <v>19.09</v>
      </c>
      <c r="R70">
        <v>1274.6099999999999</v>
      </c>
      <c r="S70">
        <v>32.72</v>
      </c>
      <c r="T70">
        <v>19.579999999999998</v>
      </c>
      <c r="U70">
        <v>18.045000000000002</v>
      </c>
      <c r="V70">
        <v>40.47</v>
      </c>
      <c r="W70">
        <v>45.325000000000003</v>
      </c>
      <c r="X70">
        <v>27.11</v>
      </c>
      <c r="Y70">
        <v>49.99</v>
      </c>
      <c r="Z70">
        <v>41.69</v>
      </c>
      <c r="AA70">
        <v>82.57</v>
      </c>
      <c r="AB70">
        <v>57.11</v>
      </c>
      <c r="AC70">
        <v>41.96</v>
      </c>
      <c r="AD70">
        <v>611.38</v>
      </c>
      <c r="AE70">
        <v>671.29</v>
      </c>
      <c r="AF70">
        <v>44.98</v>
      </c>
      <c r="AG70">
        <v>58.35</v>
      </c>
      <c r="AH70">
        <v>48.54</v>
      </c>
      <c r="AI70">
        <v>51.1</v>
      </c>
    </row>
    <row r="71" spans="1:35" x14ac:dyDescent="0.45">
      <c r="A71" s="2">
        <v>45950</v>
      </c>
      <c r="B71">
        <v>33.64</v>
      </c>
      <c r="C71">
        <v>33.85</v>
      </c>
      <c r="D71">
        <v>17.82</v>
      </c>
      <c r="E71">
        <v>25.33</v>
      </c>
      <c r="F71">
        <v>33.49</v>
      </c>
      <c r="G71">
        <v>64</v>
      </c>
      <c r="H71">
        <v>25.82</v>
      </c>
      <c r="I71">
        <v>66.17</v>
      </c>
      <c r="J71">
        <v>65.94</v>
      </c>
      <c r="K71">
        <v>90.43</v>
      </c>
      <c r="L71">
        <v>30.22</v>
      </c>
      <c r="M71">
        <v>66.209999999999994</v>
      </c>
      <c r="N71">
        <v>62.99</v>
      </c>
      <c r="O71">
        <v>54.74</v>
      </c>
      <c r="P71">
        <v>64.12</v>
      </c>
      <c r="Q71">
        <v>19.135000000000002</v>
      </c>
      <c r="R71">
        <v>1291.46</v>
      </c>
      <c r="S71">
        <v>32.76</v>
      </c>
      <c r="T71">
        <v>19.57</v>
      </c>
      <c r="U71">
        <v>18.2</v>
      </c>
      <c r="V71">
        <v>40.89</v>
      </c>
      <c r="W71">
        <v>45.56</v>
      </c>
      <c r="X71">
        <v>27.26</v>
      </c>
      <c r="Y71">
        <v>50.72</v>
      </c>
      <c r="Z71">
        <v>41.88</v>
      </c>
      <c r="AA71">
        <v>83.54</v>
      </c>
      <c r="AB71">
        <v>57.68</v>
      </c>
      <c r="AC71">
        <v>42.16</v>
      </c>
      <c r="AD71">
        <v>611.54</v>
      </c>
      <c r="AE71">
        <v>671.3</v>
      </c>
      <c r="AF71">
        <v>45.2</v>
      </c>
      <c r="AG71">
        <v>58.85</v>
      </c>
      <c r="AH71">
        <v>48.09</v>
      </c>
      <c r="AI71">
        <v>51.24</v>
      </c>
    </row>
    <row r="72" spans="1:35" x14ac:dyDescent="0.45">
      <c r="A72" s="2">
        <v>45947</v>
      </c>
      <c r="B72">
        <v>33.61</v>
      </c>
      <c r="C72">
        <v>33.36</v>
      </c>
      <c r="D72">
        <v>17.3</v>
      </c>
      <c r="E72">
        <v>25.41</v>
      </c>
      <c r="F72">
        <v>32.92</v>
      </c>
      <c r="G72">
        <v>62.97</v>
      </c>
      <c r="H72">
        <v>25.7</v>
      </c>
      <c r="I72">
        <v>65.09</v>
      </c>
      <c r="J72">
        <v>66.13</v>
      </c>
      <c r="K72">
        <v>88.52</v>
      </c>
      <c r="L72">
        <v>29.71</v>
      </c>
      <c r="M72">
        <v>65.41</v>
      </c>
      <c r="N72">
        <v>62.75</v>
      </c>
      <c r="O72">
        <v>54.45</v>
      </c>
      <c r="P72">
        <v>63.31</v>
      </c>
      <c r="Q72">
        <v>19.085000000000001</v>
      </c>
      <c r="R72">
        <v>1286.69</v>
      </c>
      <c r="S72">
        <v>31.9</v>
      </c>
      <c r="T72">
        <v>19.63</v>
      </c>
      <c r="U72">
        <v>19.2</v>
      </c>
      <c r="V72">
        <v>40.78</v>
      </c>
      <c r="W72">
        <v>45.174999999999997</v>
      </c>
      <c r="X72">
        <v>26.92</v>
      </c>
      <c r="Y72">
        <v>50.28</v>
      </c>
      <c r="Z72">
        <v>41.38</v>
      </c>
      <c r="AA72">
        <v>82</v>
      </c>
      <c r="AB72">
        <v>57.78</v>
      </c>
      <c r="AC72">
        <v>42.07</v>
      </c>
      <c r="AD72">
        <v>603.92999999999995</v>
      </c>
      <c r="AE72">
        <v>664.39</v>
      </c>
      <c r="AF72">
        <v>45.23</v>
      </c>
      <c r="AG72">
        <v>58.65</v>
      </c>
      <c r="AH72">
        <v>47.79</v>
      </c>
      <c r="AI72">
        <v>50.77</v>
      </c>
    </row>
    <row r="73" spans="1:35" x14ac:dyDescent="0.45">
      <c r="A73" s="2">
        <v>45946</v>
      </c>
      <c r="B73">
        <v>34.020000000000003</v>
      </c>
      <c r="C73">
        <v>33.4</v>
      </c>
      <c r="D73">
        <v>17.36</v>
      </c>
      <c r="E73">
        <v>25.42</v>
      </c>
      <c r="F73">
        <v>32.83</v>
      </c>
      <c r="G73">
        <v>64.55</v>
      </c>
      <c r="H73">
        <v>25.58</v>
      </c>
      <c r="I73">
        <v>65.17</v>
      </c>
      <c r="J73">
        <v>67.05</v>
      </c>
      <c r="K73">
        <v>87.88</v>
      </c>
      <c r="L73">
        <v>29.24</v>
      </c>
      <c r="M73">
        <v>67.33</v>
      </c>
      <c r="N73">
        <v>63.87</v>
      </c>
      <c r="O73">
        <v>54.064999999999998</v>
      </c>
      <c r="P73">
        <v>63.4</v>
      </c>
      <c r="Q73">
        <v>19.1356</v>
      </c>
      <c r="R73">
        <v>1266.3800000000001</v>
      </c>
      <c r="S73">
        <v>32.340000000000003</v>
      </c>
      <c r="T73">
        <v>19.47</v>
      </c>
      <c r="U73">
        <v>19.64</v>
      </c>
      <c r="V73">
        <v>40.78</v>
      </c>
      <c r="W73">
        <v>45.42</v>
      </c>
      <c r="X73">
        <v>26.97</v>
      </c>
      <c r="Y73">
        <v>50.62</v>
      </c>
      <c r="Z73">
        <v>41.59</v>
      </c>
      <c r="AA73">
        <v>81.55</v>
      </c>
      <c r="AB73">
        <v>57.47</v>
      </c>
      <c r="AC73">
        <v>41.99</v>
      </c>
      <c r="AD73">
        <v>599.99</v>
      </c>
      <c r="AE73">
        <v>660.64</v>
      </c>
      <c r="AF73">
        <v>45.15</v>
      </c>
      <c r="AG73">
        <v>58.49</v>
      </c>
      <c r="AH73">
        <v>47.8</v>
      </c>
      <c r="AI73">
        <v>50.88</v>
      </c>
    </row>
    <row r="74" spans="1:35" x14ac:dyDescent="0.45">
      <c r="A74" s="2">
        <v>45945</v>
      </c>
      <c r="B74">
        <v>33.99</v>
      </c>
      <c r="C74">
        <v>33.409999999999997</v>
      </c>
      <c r="D74">
        <v>17.21</v>
      </c>
      <c r="E74">
        <v>25.44</v>
      </c>
      <c r="F74">
        <v>32.9</v>
      </c>
      <c r="G74">
        <v>64.099999999999994</v>
      </c>
      <c r="H74">
        <v>25.66</v>
      </c>
      <c r="I74">
        <v>64.989999999999995</v>
      </c>
      <c r="J74">
        <v>65.87</v>
      </c>
      <c r="K74">
        <v>85.17</v>
      </c>
      <c r="L74">
        <v>29.32</v>
      </c>
      <c r="M74">
        <v>66.03</v>
      </c>
      <c r="N74">
        <v>64.67</v>
      </c>
      <c r="O74">
        <v>53.76</v>
      </c>
      <c r="P74">
        <v>63.25</v>
      </c>
      <c r="Q74">
        <v>19.070699999999999</v>
      </c>
      <c r="R74">
        <v>1286.98</v>
      </c>
      <c r="S74">
        <v>32.56</v>
      </c>
      <c r="T74">
        <v>19.47</v>
      </c>
      <c r="U74">
        <v>19.420000000000002</v>
      </c>
      <c r="V74">
        <v>40.89</v>
      </c>
      <c r="W74">
        <v>45.14</v>
      </c>
      <c r="X74">
        <v>26.89</v>
      </c>
      <c r="Y74">
        <v>50.96</v>
      </c>
      <c r="Z74">
        <v>41.53</v>
      </c>
      <c r="AA74">
        <v>81.290000000000006</v>
      </c>
      <c r="AB74">
        <v>56.64</v>
      </c>
      <c r="AC74">
        <v>42.02</v>
      </c>
      <c r="AD74">
        <v>602.22</v>
      </c>
      <c r="AE74">
        <v>665.17</v>
      </c>
      <c r="AF74">
        <v>44.42</v>
      </c>
      <c r="AG74">
        <v>58.27</v>
      </c>
      <c r="AH74">
        <v>47.58</v>
      </c>
      <c r="AI74">
        <v>50.47</v>
      </c>
    </row>
    <row r="75" spans="1:35" x14ac:dyDescent="0.45">
      <c r="A75" s="2">
        <v>45944</v>
      </c>
      <c r="B75">
        <v>33.549999999999997</v>
      </c>
      <c r="C75">
        <v>32.799999999999997</v>
      </c>
      <c r="D75">
        <v>17.22</v>
      </c>
      <c r="E75">
        <v>25.45</v>
      </c>
      <c r="F75">
        <v>32.22</v>
      </c>
      <c r="G75">
        <v>63.3</v>
      </c>
      <c r="H75">
        <v>25.72</v>
      </c>
      <c r="I75">
        <v>63.7</v>
      </c>
      <c r="J75">
        <v>64.84</v>
      </c>
      <c r="K75">
        <v>82.69</v>
      </c>
      <c r="L75">
        <v>29.1</v>
      </c>
      <c r="M75">
        <v>65.31</v>
      </c>
      <c r="N75">
        <v>64.83</v>
      </c>
      <c r="O75">
        <v>52.78</v>
      </c>
      <c r="P75">
        <v>62.58</v>
      </c>
      <c r="Q75">
        <v>19.204999999999998</v>
      </c>
      <c r="R75">
        <v>1313.99</v>
      </c>
      <c r="S75">
        <v>32.35</v>
      </c>
      <c r="T75">
        <v>19.57</v>
      </c>
      <c r="U75">
        <v>19.690000000000001</v>
      </c>
      <c r="V75">
        <v>40.75</v>
      </c>
      <c r="W75">
        <v>45.066499999999998</v>
      </c>
      <c r="X75">
        <v>26.7</v>
      </c>
      <c r="Y75">
        <v>50.53</v>
      </c>
      <c r="Z75">
        <v>41.67</v>
      </c>
      <c r="AA75">
        <v>80.040000000000006</v>
      </c>
      <c r="AB75">
        <v>56.33</v>
      </c>
      <c r="AC75">
        <v>42.06</v>
      </c>
      <c r="AD75">
        <v>598</v>
      </c>
      <c r="AE75">
        <v>662.23</v>
      </c>
      <c r="AF75">
        <v>44.13</v>
      </c>
      <c r="AG75">
        <v>57.76</v>
      </c>
      <c r="AH75">
        <v>47.45</v>
      </c>
      <c r="AI75">
        <v>50.79</v>
      </c>
    </row>
    <row r="76" spans="1:35" x14ac:dyDescent="0.45">
      <c r="A76" s="2">
        <v>45943</v>
      </c>
      <c r="B76">
        <v>33.94</v>
      </c>
      <c r="C76">
        <v>32.119999999999997</v>
      </c>
      <c r="D76">
        <v>17.57</v>
      </c>
      <c r="E76">
        <v>25.3</v>
      </c>
      <c r="F76">
        <v>32.409999999999997</v>
      </c>
      <c r="G76">
        <v>63.41</v>
      </c>
      <c r="H76">
        <v>25.71</v>
      </c>
      <c r="I76">
        <v>64.56</v>
      </c>
      <c r="J76">
        <v>65.47</v>
      </c>
      <c r="K76">
        <v>83.62</v>
      </c>
      <c r="L76">
        <v>29.18</v>
      </c>
      <c r="M76">
        <v>66.010000000000005</v>
      </c>
      <c r="N76">
        <v>65.61</v>
      </c>
      <c r="O76">
        <v>52.97</v>
      </c>
      <c r="P76">
        <v>63.3</v>
      </c>
      <c r="Q76">
        <v>19.254999999999999</v>
      </c>
      <c r="R76">
        <v>1304.92</v>
      </c>
      <c r="S76">
        <v>33.04</v>
      </c>
      <c r="T76">
        <v>19.16</v>
      </c>
      <c r="U76">
        <v>19.59</v>
      </c>
      <c r="V76">
        <v>40.69</v>
      </c>
      <c r="W76">
        <v>45.45</v>
      </c>
      <c r="X76">
        <v>26.66</v>
      </c>
      <c r="Y76">
        <v>50.59</v>
      </c>
      <c r="Z76">
        <v>41.78</v>
      </c>
      <c r="AA76">
        <v>79.290000000000006</v>
      </c>
      <c r="AB76">
        <v>56.08</v>
      </c>
      <c r="AC76">
        <v>41.99</v>
      </c>
      <c r="AD76">
        <v>602.01</v>
      </c>
      <c r="AE76">
        <v>663.04</v>
      </c>
      <c r="AF76">
        <v>43.35</v>
      </c>
      <c r="AG76">
        <v>57.75</v>
      </c>
      <c r="AH76">
        <v>47.32</v>
      </c>
      <c r="AI76">
        <v>50.5</v>
      </c>
    </row>
    <row r="77" spans="1:35" x14ac:dyDescent="0.45">
      <c r="A77" s="2">
        <v>45940</v>
      </c>
      <c r="B77">
        <v>32.92</v>
      </c>
      <c r="C77">
        <v>31.5</v>
      </c>
      <c r="D77">
        <v>17.309999999999999</v>
      </c>
      <c r="E77">
        <v>24.87</v>
      </c>
      <c r="F77">
        <v>31.78</v>
      </c>
      <c r="G77">
        <v>60.91</v>
      </c>
      <c r="H77">
        <v>25.33</v>
      </c>
      <c r="I77">
        <v>61.62</v>
      </c>
      <c r="J77">
        <v>64.39</v>
      </c>
      <c r="K77">
        <v>80.72</v>
      </c>
      <c r="L77">
        <v>28.79</v>
      </c>
      <c r="M77">
        <v>63.32</v>
      </c>
      <c r="N77">
        <v>65.45</v>
      </c>
      <c r="O77">
        <v>52.77</v>
      </c>
      <c r="P77">
        <v>61.39</v>
      </c>
      <c r="Q77">
        <v>19.23</v>
      </c>
      <c r="R77">
        <v>1305.24</v>
      </c>
      <c r="S77">
        <v>32.840000000000003</v>
      </c>
      <c r="T77">
        <v>19</v>
      </c>
      <c r="U77">
        <v>18.98</v>
      </c>
      <c r="V77">
        <v>39.81</v>
      </c>
      <c r="W77">
        <v>45.805</v>
      </c>
      <c r="X77">
        <v>26.44</v>
      </c>
      <c r="Y77">
        <v>49.86</v>
      </c>
      <c r="Z77">
        <v>41.52</v>
      </c>
      <c r="AA77">
        <v>78.36</v>
      </c>
      <c r="AB77">
        <v>56.1</v>
      </c>
      <c r="AC77">
        <v>41.73</v>
      </c>
      <c r="AD77">
        <v>589.5</v>
      </c>
      <c r="AE77">
        <v>653.02</v>
      </c>
      <c r="AF77">
        <v>43.29</v>
      </c>
      <c r="AG77">
        <v>56.64</v>
      </c>
      <c r="AH77">
        <v>46.92</v>
      </c>
      <c r="AI77">
        <v>50.31</v>
      </c>
    </row>
    <row r="78" spans="1:35" x14ac:dyDescent="0.45">
      <c r="A78" s="2">
        <v>45939</v>
      </c>
      <c r="B78">
        <v>34.44</v>
      </c>
      <c r="C78">
        <v>32.520000000000003</v>
      </c>
      <c r="D78">
        <v>17.649999999999999</v>
      </c>
      <c r="E78">
        <v>25.2</v>
      </c>
      <c r="F78">
        <v>32.28</v>
      </c>
      <c r="G78">
        <v>62.65</v>
      </c>
      <c r="H78">
        <v>25.98</v>
      </c>
      <c r="I78">
        <v>64.83</v>
      </c>
      <c r="J78">
        <v>65.42</v>
      </c>
      <c r="K78">
        <v>83.43</v>
      </c>
      <c r="L78">
        <v>29.67</v>
      </c>
      <c r="M78">
        <v>65.06</v>
      </c>
      <c r="N78">
        <v>65.7</v>
      </c>
      <c r="O78">
        <v>52.81</v>
      </c>
      <c r="P78">
        <v>65.12</v>
      </c>
      <c r="Q78">
        <v>19.329999999999998</v>
      </c>
      <c r="R78">
        <v>1285.6400000000001</v>
      </c>
      <c r="S78">
        <v>33.369999999999997</v>
      </c>
      <c r="T78">
        <v>19.25</v>
      </c>
      <c r="U78">
        <v>18.75</v>
      </c>
      <c r="V78">
        <v>40.68</v>
      </c>
      <c r="W78">
        <v>46.575000000000003</v>
      </c>
      <c r="X78">
        <v>26.92</v>
      </c>
      <c r="Y78">
        <v>50.53</v>
      </c>
      <c r="Z78">
        <v>42.09</v>
      </c>
      <c r="AA78">
        <v>81.55</v>
      </c>
      <c r="AB78">
        <v>56.36</v>
      </c>
      <c r="AC78">
        <v>42.07</v>
      </c>
      <c r="AD78">
        <v>610.70000000000005</v>
      </c>
      <c r="AE78">
        <v>671.16</v>
      </c>
      <c r="AF78">
        <v>43.89</v>
      </c>
      <c r="AG78">
        <v>57.89</v>
      </c>
      <c r="AH78">
        <v>47.2</v>
      </c>
      <c r="AI78">
        <v>51.13</v>
      </c>
    </row>
    <row r="79" spans="1:35" x14ac:dyDescent="0.45">
      <c r="A79" s="2">
        <v>45938</v>
      </c>
      <c r="B79">
        <v>34.21</v>
      </c>
      <c r="C79">
        <v>32.79</v>
      </c>
      <c r="D79">
        <v>17.45</v>
      </c>
      <c r="E79">
        <v>25.67</v>
      </c>
      <c r="F79">
        <v>32.619999999999997</v>
      </c>
      <c r="G79">
        <v>63.53</v>
      </c>
      <c r="H79">
        <v>26.02</v>
      </c>
      <c r="I79">
        <v>65.650000000000006</v>
      </c>
      <c r="J79">
        <v>65.73</v>
      </c>
      <c r="K79">
        <v>84.19</v>
      </c>
      <c r="L79">
        <v>29.87</v>
      </c>
      <c r="M79">
        <v>66.8</v>
      </c>
      <c r="N79">
        <v>65.62</v>
      </c>
      <c r="O79">
        <v>52.63</v>
      </c>
      <c r="P79">
        <v>66.13</v>
      </c>
      <c r="Q79">
        <v>19.309999999999999</v>
      </c>
      <c r="R79">
        <v>1293.6099999999999</v>
      </c>
      <c r="S79">
        <v>33.615000000000002</v>
      </c>
      <c r="T79">
        <v>19.29</v>
      </c>
      <c r="U79">
        <v>18.43</v>
      </c>
      <c r="V79">
        <v>40.549999999999997</v>
      </c>
      <c r="W79">
        <v>47.094999999999999</v>
      </c>
      <c r="X79">
        <v>27.23</v>
      </c>
      <c r="Y79">
        <v>51.14</v>
      </c>
      <c r="Z79">
        <v>42.34</v>
      </c>
      <c r="AA79">
        <v>81.75</v>
      </c>
      <c r="AB79">
        <v>56.83</v>
      </c>
      <c r="AC79">
        <v>42.68</v>
      </c>
      <c r="AD79">
        <v>611.44000000000005</v>
      </c>
      <c r="AE79">
        <v>673.11</v>
      </c>
      <c r="AF79">
        <v>44.3</v>
      </c>
      <c r="AG79">
        <v>58.41</v>
      </c>
      <c r="AH79">
        <v>47.88</v>
      </c>
      <c r="AI79">
        <v>52.29</v>
      </c>
    </row>
    <row r="80" spans="1:35" x14ac:dyDescent="0.45">
      <c r="A80" s="2">
        <v>45937</v>
      </c>
      <c r="B80">
        <v>34.26</v>
      </c>
      <c r="C80">
        <v>32.270000000000003</v>
      </c>
      <c r="D80">
        <v>17.43</v>
      </c>
      <c r="E80">
        <v>25.36</v>
      </c>
      <c r="F80">
        <v>32.58</v>
      </c>
      <c r="G80">
        <v>61.87</v>
      </c>
      <c r="H80">
        <v>25.99</v>
      </c>
      <c r="I80">
        <v>64.81</v>
      </c>
      <c r="J80">
        <v>65.040000000000006</v>
      </c>
      <c r="K80">
        <v>83.35</v>
      </c>
      <c r="L80">
        <v>29.68</v>
      </c>
      <c r="M80">
        <v>64.790000000000006</v>
      </c>
      <c r="N80">
        <v>65.33</v>
      </c>
      <c r="O80">
        <v>52.88</v>
      </c>
      <c r="P80">
        <v>65.81</v>
      </c>
      <c r="Q80">
        <v>19.260000000000002</v>
      </c>
      <c r="R80">
        <v>1288.29</v>
      </c>
      <c r="S80">
        <v>33.69</v>
      </c>
      <c r="T80">
        <v>19.13</v>
      </c>
      <c r="U80">
        <v>18.23</v>
      </c>
      <c r="V80">
        <v>40.590000000000003</v>
      </c>
      <c r="W80">
        <v>47.05</v>
      </c>
      <c r="X80">
        <v>27.14</v>
      </c>
      <c r="Y80">
        <v>50.94</v>
      </c>
      <c r="Z80">
        <v>42.07</v>
      </c>
      <c r="AA80">
        <v>81.96</v>
      </c>
      <c r="AB80">
        <v>56.55</v>
      </c>
      <c r="AC80">
        <v>42.45</v>
      </c>
      <c r="AD80">
        <v>604.51</v>
      </c>
      <c r="AE80">
        <v>669.12</v>
      </c>
      <c r="AF80">
        <v>43.79</v>
      </c>
      <c r="AG80">
        <v>58.56</v>
      </c>
      <c r="AH80">
        <v>47.82</v>
      </c>
      <c r="AI80">
        <v>51.94</v>
      </c>
    </row>
    <row r="81" spans="1:35" x14ac:dyDescent="0.45">
      <c r="A81" s="2">
        <v>45936</v>
      </c>
      <c r="B81">
        <v>34.369999999999997</v>
      </c>
      <c r="C81">
        <v>32.049999999999997</v>
      </c>
      <c r="D81">
        <v>17.420000000000002</v>
      </c>
      <c r="E81">
        <v>25.1</v>
      </c>
      <c r="F81">
        <v>32.51</v>
      </c>
      <c r="G81">
        <v>62.71</v>
      </c>
      <c r="H81">
        <v>26.09</v>
      </c>
      <c r="I81">
        <v>65.03</v>
      </c>
      <c r="J81">
        <v>65.44</v>
      </c>
      <c r="K81">
        <v>84.78</v>
      </c>
      <c r="L81">
        <v>30.31</v>
      </c>
      <c r="M81">
        <v>65.319999999999993</v>
      </c>
      <c r="N81">
        <v>65.38</v>
      </c>
      <c r="O81">
        <v>52.76</v>
      </c>
      <c r="P81">
        <v>66.64</v>
      </c>
      <c r="Q81">
        <v>19.215</v>
      </c>
      <c r="R81">
        <v>1275.03</v>
      </c>
      <c r="S81">
        <v>33.47</v>
      </c>
      <c r="T81">
        <v>19.04</v>
      </c>
      <c r="U81">
        <v>18.434999999999999</v>
      </c>
      <c r="V81">
        <v>40.770000000000003</v>
      </c>
      <c r="W81">
        <v>47.134999999999998</v>
      </c>
      <c r="X81">
        <v>27.36</v>
      </c>
      <c r="Y81">
        <v>51.3</v>
      </c>
      <c r="Z81">
        <v>42.42</v>
      </c>
      <c r="AA81">
        <v>83.27</v>
      </c>
      <c r="AB81">
        <v>56.72</v>
      </c>
      <c r="AC81">
        <v>42.58</v>
      </c>
      <c r="AD81">
        <v>607.71</v>
      </c>
      <c r="AE81">
        <v>671.61</v>
      </c>
      <c r="AF81">
        <v>44.19</v>
      </c>
      <c r="AG81">
        <v>59.68</v>
      </c>
      <c r="AH81">
        <v>48.26</v>
      </c>
      <c r="AI81">
        <v>52.26</v>
      </c>
    </row>
    <row r="82" spans="1:35" x14ac:dyDescent="0.45">
      <c r="A82" s="2">
        <v>45933</v>
      </c>
      <c r="B82">
        <v>34.39</v>
      </c>
      <c r="C82">
        <v>32.32</v>
      </c>
      <c r="D82">
        <v>17.43</v>
      </c>
      <c r="E82">
        <v>25.59</v>
      </c>
      <c r="F82">
        <v>32.92</v>
      </c>
      <c r="G82">
        <v>62.31</v>
      </c>
      <c r="H82">
        <v>26.2</v>
      </c>
      <c r="I82">
        <v>64.64</v>
      </c>
      <c r="J82">
        <v>66.81</v>
      </c>
      <c r="K82">
        <v>83.85</v>
      </c>
      <c r="L82">
        <v>30.33</v>
      </c>
      <c r="M82">
        <v>65.06</v>
      </c>
      <c r="N82">
        <v>66.17</v>
      </c>
      <c r="O82">
        <v>52.45</v>
      </c>
      <c r="P82">
        <v>66.55</v>
      </c>
      <c r="Q82">
        <v>19.295000000000002</v>
      </c>
      <c r="R82">
        <v>1274.17</v>
      </c>
      <c r="S82">
        <v>33.74</v>
      </c>
      <c r="T82">
        <v>19.11</v>
      </c>
      <c r="U82">
        <v>17.53</v>
      </c>
      <c r="V82">
        <v>40.49</v>
      </c>
      <c r="W82">
        <v>47.188299999999998</v>
      </c>
      <c r="X82">
        <v>27.43</v>
      </c>
      <c r="Y82">
        <v>51.24</v>
      </c>
      <c r="Z82">
        <v>42.43</v>
      </c>
      <c r="AA82">
        <v>81.78</v>
      </c>
      <c r="AB82">
        <v>56.66</v>
      </c>
      <c r="AC82">
        <v>42.64</v>
      </c>
      <c r="AD82">
        <v>603.17999999999995</v>
      </c>
      <c r="AE82">
        <v>669.21</v>
      </c>
      <c r="AF82">
        <v>44.91</v>
      </c>
      <c r="AG82">
        <v>59.62</v>
      </c>
      <c r="AH82">
        <v>48.2</v>
      </c>
      <c r="AI82">
        <v>52.61</v>
      </c>
    </row>
    <row r="83" spans="1:35" x14ac:dyDescent="0.45">
      <c r="A83" s="2">
        <v>45932</v>
      </c>
      <c r="B83">
        <v>34.5182</v>
      </c>
      <c r="C83">
        <v>32.4</v>
      </c>
      <c r="D83">
        <v>17.440000000000001</v>
      </c>
      <c r="E83">
        <v>25.22</v>
      </c>
      <c r="F83">
        <v>32.81</v>
      </c>
      <c r="G83">
        <v>61.33</v>
      </c>
      <c r="H83">
        <v>26.27</v>
      </c>
      <c r="I83">
        <v>64</v>
      </c>
      <c r="J83">
        <v>66.900000000000006</v>
      </c>
      <c r="K83">
        <v>83.53</v>
      </c>
      <c r="L83">
        <v>30.24</v>
      </c>
      <c r="M83">
        <v>64.209999999999994</v>
      </c>
      <c r="N83">
        <v>65.25</v>
      </c>
      <c r="O83">
        <v>52.3</v>
      </c>
      <c r="P83">
        <v>66.989999999999995</v>
      </c>
      <c r="Q83">
        <v>19.274999999999999</v>
      </c>
      <c r="R83">
        <v>1288.07</v>
      </c>
      <c r="S83">
        <v>34.450000000000003</v>
      </c>
      <c r="T83">
        <v>19.079999999999998</v>
      </c>
      <c r="U83">
        <v>17.515000000000001</v>
      </c>
      <c r="V83">
        <v>40.479999999999997</v>
      </c>
      <c r="W83">
        <v>46.68</v>
      </c>
      <c r="X83">
        <v>27.18</v>
      </c>
      <c r="Y83">
        <v>50.59</v>
      </c>
      <c r="Z83">
        <v>42.47</v>
      </c>
      <c r="AA83">
        <v>80.150000000000006</v>
      </c>
      <c r="AB83">
        <v>56.25</v>
      </c>
      <c r="AC83">
        <v>42.26</v>
      </c>
      <c r="AD83">
        <v>605.73</v>
      </c>
      <c r="AE83">
        <v>669.22</v>
      </c>
      <c r="AF83">
        <v>44.77</v>
      </c>
      <c r="AG83">
        <v>59.51</v>
      </c>
      <c r="AH83">
        <v>47.94</v>
      </c>
      <c r="AI83">
        <v>52.33</v>
      </c>
    </row>
    <row r="84" spans="1:35" x14ac:dyDescent="0.45">
      <c r="A84" s="2">
        <v>45931</v>
      </c>
      <c r="B84">
        <v>34.369500000000002</v>
      </c>
      <c r="C84">
        <v>32.71</v>
      </c>
      <c r="D84">
        <v>17.46</v>
      </c>
      <c r="E84">
        <v>25.2</v>
      </c>
      <c r="F84">
        <v>32.6</v>
      </c>
      <c r="G84">
        <v>61.05</v>
      </c>
      <c r="H84">
        <v>26.21</v>
      </c>
      <c r="I84">
        <v>64.14</v>
      </c>
      <c r="J84">
        <v>66.78</v>
      </c>
      <c r="K84">
        <v>81.89</v>
      </c>
      <c r="L84">
        <v>30.58</v>
      </c>
      <c r="M84">
        <v>64.75</v>
      </c>
      <c r="N84">
        <v>65.56</v>
      </c>
      <c r="O84">
        <v>52.39</v>
      </c>
      <c r="P84">
        <v>66.25</v>
      </c>
      <c r="Q84">
        <v>19.39</v>
      </c>
      <c r="R84">
        <v>1278.74</v>
      </c>
      <c r="S84">
        <v>34.96</v>
      </c>
      <c r="T84">
        <v>18.989999999999998</v>
      </c>
      <c r="U84">
        <v>18.04</v>
      </c>
      <c r="V84">
        <v>40.25</v>
      </c>
      <c r="W84">
        <v>46.711599999999997</v>
      </c>
      <c r="X84">
        <v>27.15</v>
      </c>
      <c r="Y84">
        <v>50.57</v>
      </c>
      <c r="Z84">
        <v>42.13</v>
      </c>
      <c r="AA84">
        <v>80.209999999999994</v>
      </c>
      <c r="AB84">
        <v>55.94</v>
      </c>
      <c r="AC84">
        <v>42.5</v>
      </c>
      <c r="AD84">
        <v>603.25</v>
      </c>
      <c r="AE84">
        <v>668.45</v>
      </c>
      <c r="AF84">
        <v>44.49</v>
      </c>
      <c r="AG84">
        <v>58.84</v>
      </c>
      <c r="AH84">
        <v>47.61</v>
      </c>
      <c r="AI84">
        <v>52.41</v>
      </c>
    </row>
    <row r="85" spans="1:35" x14ac:dyDescent="0.45">
      <c r="A85" s="2">
        <v>45930</v>
      </c>
      <c r="B85">
        <v>34.340000000000003</v>
      </c>
      <c r="C85">
        <v>32.96</v>
      </c>
      <c r="D85">
        <v>17.55</v>
      </c>
      <c r="E85">
        <v>24.84</v>
      </c>
      <c r="F85">
        <v>32.200000000000003</v>
      </c>
      <c r="G85">
        <v>61.5</v>
      </c>
      <c r="H85">
        <v>25.92</v>
      </c>
      <c r="I85">
        <v>63.62</v>
      </c>
      <c r="J85">
        <v>68.209999999999994</v>
      </c>
      <c r="K85">
        <v>80.099999999999994</v>
      </c>
      <c r="L85">
        <v>31</v>
      </c>
      <c r="M85">
        <v>64.099999999999994</v>
      </c>
      <c r="N85">
        <v>64.400000000000006</v>
      </c>
      <c r="O85">
        <v>52.06</v>
      </c>
      <c r="P85">
        <v>65.849999999999994</v>
      </c>
      <c r="Q85">
        <v>19.53</v>
      </c>
      <c r="R85">
        <v>1288.26</v>
      </c>
      <c r="S85">
        <v>34.229999999999997</v>
      </c>
      <c r="T85">
        <v>18.89</v>
      </c>
      <c r="U85">
        <v>17.84</v>
      </c>
      <c r="V85">
        <v>40.58</v>
      </c>
      <c r="W85">
        <v>45.933399999999999</v>
      </c>
      <c r="X85">
        <v>27</v>
      </c>
      <c r="Y85">
        <v>50.55</v>
      </c>
      <c r="Z85">
        <v>41.61</v>
      </c>
      <c r="AA85">
        <v>80.209999999999994</v>
      </c>
      <c r="AB85">
        <v>55.24</v>
      </c>
      <c r="AC85">
        <v>41.97</v>
      </c>
      <c r="AD85">
        <v>600.37</v>
      </c>
      <c r="AE85">
        <v>666.18</v>
      </c>
      <c r="AF85">
        <v>43.93</v>
      </c>
      <c r="AG85">
        <v>58.01</v>
      </c>
      <c r="AH85">
        <v>47.2</v>
      </c>
      <c r="AI85">
        <v>51.95</v>
      </c>
    </row>
    <row r="86" spans="1:35" x14ac:dyDescent="0.45">
      <c r="A86" s="2">
        <v>45929</v>
      </c>
      <c r="B86">
        <v>34.200000000000003</v>
      </c>
      <c r="C86">
        <v>32.85</v>
      </c>
      <c r="D86">
        <v>17.690000000000001</v>
      </c>
      <c r="E86">
        <v>25.04</v>
      </c>
      <c r="F86">
        <v>32.11</v>
      </c>
      <c r="G86">
        <v>60.803600000000003</v>
      </c>
      <c r="H86">
        <v>25.78</v>
      </c>
      <c r="I86">
        <v>63.08</v>
      </c>
      <c r="J86">
        <v>67.459999999999994</v>
      </c>
      <c r="K86">
        <v>80.239999999999995</v>
      </c>
      <c r="L86">
        <v>30.99</v>
      </c>
      <c r="M86">
        <v>63.42</v>
      </c>
      <c r="N86">
        <v>64.27</v>
      </c>
      <c r="O86">
        <v>52.16</v>
      </c>
      <c r="P86">
        <v>65.53</v>
      </c>
      <c r="Q86">
        <v>19.425000000000001</v>
      </c>
      <c r="R86">
        <v>1278.4100000000001</v>
      </c>
      <c r="S86">
        <v>34.57</v>
      </c>
      <c r="T86">
        <v>18.82</v>
      </c>
      <c r="U86">
        <v>17.690000000000001</v>
      </c>
      <c r="V86">
        <v>40.15</v>
      </c>
      <c r="W86">
        <v>45.484999999999999</v>
      </c>
      <c r="X86">
        <v>26.98</v>
      </c>
      <c r="Y86">
        <v>50.46</v>
      </c>
      <c r="Z86">
        <v>41.31</v>
      </c>
      <c r="AA86">
        <v>80.510000000000005</v>
      </c>
      <c r="AB86">
        <v>54.57</v>
      </c>
      <c r="AC86">
        <v>41.63</v>
      </c>
      <c r="AD86">
        <v>598.73</v>
      </c>
      <c r="AE86">
        <v>663.68</v>
      </c>
      <c r="AF86">
        <v>43.78</v>
      </c>
      <c r="AG86">
        <v>57.67</v>
      </c>
      <c r="AH86">
        <v>47.22</v>
      </c>
      <c r="AI86">
        <v>51.5</v>
      </c>
    </row>
    <row r="87" spans="1:35" x14ac:dyDescent="0.45">
      <c r="A87" s="2">
        <v>45926</v>
      </c>
      <c r="B87">
        <v>33.54</v>
      </c>
      <c r="C87">
        <v>33.17</v>
      </c>
      <c r="D87">
        <v>17.600000000000001</v>
      </c>
      <c r="E87">
        <v>25.12</v>
      </c>
      <c r="F87">
        <v>32.17</v>
      </c>
      <c r="G87">
        <v>59.3</v>
      </c>
      <c r="H87">
        <v>25.73</v>
      </c>
      <c r="I87">
        <v>62.74</v>
      </c>
      <c r="J87">
        <v>67.14</v>
      </c>
      <c r="K87">
        <v>78.87</v>
      </c>
      <c r="L87">
        <v>30.73</v>
      </c>
      <c r="M87">
        <v>63.3</v>
      </c>
      <c r="N87">
        <v>63.82</v>
      </c>
      <c r="O87">
        <v>52.25</v>
      </c>
      <c r="P87">
        <v>64.319999999999993</v>
      </c>
      <c r="Q87">
        <v>19.420000000000002</v>
      </c>
      <c r="R87">
        <v>1273.2</v>
      </c>
      <c r="S87">
        <v>34.770000000000003</v>
      </c>
      <c r="T87">
        <v>18.98</v>
      </c>
      <c r="U87">
        <v>17.55</v>
      </c>
      <c r="V87">
        <v>39.950000000000003</v>
      </c>
      <c r="W87">
        <v>45.365000000000002</v>
      </c>
      <c r="X87">
        <v>26.67</v>
      </c>
      <c r="Y87">
        <v>50.02</v>
      </c>
      <c r="Z87">
        <v>41.2</v>
      </c>
      <c r="AA87">
        <v>80.44</v>
      </c>
      <c r="AB87">
        <v>54.26</v>
      </c>
      <c r="AC87">
        <v>41.58</v>
      </c>
      <c r="AD87">
        <v>595.97</v>
      </c>
      <c r="AE87">
        <v>661.82</v>
      </c>
      <c r="AF87">
        <v>43.59</v>
      </c>
      <c r="AG87">
        <v>57.12</v>
      </c>
      <c r="AH87">
        <v>47.2</v>
      </c>
      <c r="AI87">
        <v>51.54</v>
      </c>
    </row>
    <row r="88" spans="1:35" x14ac:dyDescent="0.45">
      <c r="A88" s="2">
        <v>45925</v>
      </c>
      <c r="B88">
        <v>33.880000000000003</v>
      </c>
      <c r="C88">
        <v>33.21</v>
      </c>
      <c r="D88">
        <v>17.41</v>
      </c>
      <c r="E88">
        <v>25.09</v>
      </c>
      <c r="F88">
        <v>31.57</v>
      </c>
      <c r="G88">
        <v>59.78</v>
      </c>
      <c r="H88">
        <v>25.27</v>
      </c>
      <c r="I88">
        <v>63.06</v>
      </c>
      <c r="J88">
        <v>66.180000000000007</v>
      </c>
      <c r="K88">
        <v>79.89</v>
      </c>
      <c r="L88">
        <v>30.58</v>
      </c>
      <c r="M88">
        <v>61.67</v>
      </c>
      <c r="N88">
        <v>63.96</v>
      </c>
      <c r="O88">
        <v>52.49</v>
      </c>
      <c r="P88">
        <v>64.760000000000005</v>
      </c>
      <c r="Q88">
        <v>19.37</v>
      </c>
      <c r="R88">
        <v>1282.54</v>
      </c>
      <c r="S88">
        <v>35.19</v>
      </c>
      <c r="T88">
        <v>18.84</v>
      </c>
      <c r="U88">
        <v>17.670000000000002</v>
      </c>
      <c r="V88">
        <v>39.840000000000003</v>
      </c>
      <c r="W88">
        <v>45.196899999999999</v>
      </c>
      <c r="X88">
        <v>26.47</v>
      </c>
      <c r="Y88">
        <v>50.05</v>
      </c>
      <c r="Z88">
        <v>40.75</v>
      </c>
      <c r="AA88">
        <v>80.459999999999994</v>
      </c>
      <c r="AB88">
        <v>53.86</v>
      </c>
      <c r="AC88">
        <v>41.04</v>
      </c>
      <c r="AD88">
        <v>593.53</v>
      </c>
      <c r="AE88">
        <v>658.05</v>
      </c>
      <c r="AF88">
        <v>43.05</v>
      </c>
      <c r="AG88">
        <v>57.02</v>
      </c>
      <c r="AH88">
        <v>46.62</v>
      </c>
      <c r="AI88">
        <v>50.94</v>
      </c>
    </row>
    <row r="89" spans="1:35" x14ac:dyDescent="0.45">
      <c r="A89" s="2">
        <v>45924</v>
      </c>
      <c r="B89">
        <v>33.680599999999998</v>
      </c>
      <c r="C89">
        <v>33.630000000000003</v>
      </c>
      <c r="D89">
        <v>17.68</v>
      </c>
      <c r="E89">
        <v>25.69</v>
      </c>
      <c r="F89">
        <v>32.090000000000003</v>
      </c>
      <c r="G89">
        <v>59.89</v>
      </c>
      <c r="H89">
        <v>25.33</v>
      </c>
      <c r="I89">
        <v>63.57</v>
      </c>
      <c r="J89">
        <v>66.47</v>
      </c>
      <c r="K89">
        <v>80.040000000000006</v>
      </c>
      <c r="L89">
        <v>31.05</v>
      </c>
      <c r="M89">
        <v>61.97</v>
      </c>
      <c r="N89">
        <v>65</v>
      </c>
      <c r="O89">
        <v>52.74</v>
      </c>
      <c r="P89">
        <v>64.58</v>
      </c>
      <c r="Q89">
        <v>19.565000000000001</v>
      </c>
      <c r="R89">
        <v>1292.72</v>
      </c>
      <c r="S89">
        <v>35.299999999999997</v>
      </c>
      <c r="T89">
        <v>18.68</v>
      </c>
      <c r="U89">
        <v>17.579999999999998</v>
      </c>
      <c r="V89">
        <v>40.54</v>
      </c>
      <c r="W89">
        <v>45.596299999999999</v>
      </c>
      <c r="X89">
        <v>26.47</v>
      </c>
      <c r="Y89">
        <v>50.24</v>
      </c>
      <c r="Z89">
        <v>41.24</v>
      </c>
      <c r="AA89">
        <v>80.849999999999994</v>
      </c>
      <c r="AB89">
        <v>54.51</v>
      </c>
      <c r="AC89">
        <v>41.35</v>
      </c>
      <c r="AD89">
        <v>596.1</v>
      </c>
      <c r="AE89">
        <v>661.1</v>
      </c>
      <c r="AF89">
        <v>43.41</v>
      </c>
      <c r="AG89">
        <v>57.27</v>
      </c>
      <c r="AH89">
        <v>47.01</v>
      </c>
      <c r="AI89">
        <v>51.29</v>
      </c>
    </row>
    <row r="90" spans="1:35" x14ac:dyDescent="0.45">
      <c r="A90" s="2">
        <v>45923</v>
      </c>
      <c r="B90">
        <v>33.47</v>
      </c>
      <c r="C90">
        <v>33.68</v>
      </c>
      <c r="D90">
        <v>17.760000000000002</v>
      </c>
      <c r="E90">
        <v>26.16</v>
      </c>
      <c r="F90">
        <v>32.04</v>
      </c>
      <c r="G90">
        <v>58.88</v>
      </c>
      <c r="H90">
        <v>25.74</v>
      </c>
      <c r="I90">
        <v>64.290000000000006</v>
      </c>
      <c r="J90">
        <v>67.430000000000007</v>
      </c>
      <c r="K90">
        <v>81.45</v>
      </c>
      <c r="L90">
        <v>31.32</v>
      </c>
      <c r="M90">
        <v>62.87</v>
      </c>
      <c r="N90">
        <v>65.23</v>
      </c>
      <c r="O90">
        <v>53.06</v>
      </c>
      <c r="P90">
        <v>63.66</v>
      </c>
      <c r="Q90">
        <v>19.785</v>
      </c>
      <c r="R90">
        <v>1297.01</v>
      </c>
      <c r="S90">
        <v>35.06</v>
      </c>
      <c r="T90">
        <v>19.14</v>
      </c>
      <c r="U90">
        <v>17.29</v>
      </c>
      <c r="V90">
        <v>40.78</v>
      </c>
      <c r="W90">
        <v>45.865900000000003</v>
      </c>
      <c r="X90">
        <v>26.87</v>
      </c>
      <c r="Y90">
        <v>50.53</v>
      </c>
      <c r="Z90">
        <v>41.27</v>
      </c>
      <c r="AA90">
        <v>81.09</v>
      </c>
      <c r="AB90">
        <v>55.24</v>
      </c>
      <c r="AC90">
        <v>41.47</v>
      </c>
      <c r="AD90">
        <v>598.20000000000005</v>
      </c>
      <c r="AE90">
        <v>663.21</v>
      </c>
      <c r="AF90">
        <v>43.89</v>
      </c>
      <c r="AG90">
        <v>57.62</v>
      </c>
      <c r="AH90">
        <v>47.85</v>
      </c>
      <c r="AI90">
        <v>51.51</v>
      </c>
    </row>
    <row r="91" spans="1:35" x14ac:dyDescent="0.45">
      <c r="A91" s="2">
        <v>45922</v>
      </c>
      <c r="B91">
        <v>33.67</v>
      </c>
      <c r="C91">
        <v>33.5</v>
      </c>
      <c r="D91">
        <v>17.73</v>
      </c>
      <c r="E91">
        <v>26.6</v>
      </c>
      <c r="F91">
        <v>32</v>
      </c>
      <c r="G91">
        <v>58.59</v>
      </c>
      <c r="H91">
        <v>25.79</v>
      </c>
      <c r="I91">
        <v>64.02</v>
      </c>
      <c r="J91">
        <v>66.900000000000006</v>
      </c>
      <c r="K91">
        <v>81.56</v>
      </c>
      <c r="L91">
        <v>30.79</v>
      </c>
      <c r="M91">
        <v>62.46</v>
      </c>
      <c r="N91">
        <v>64.760000000000005</v>
      </c>
      <c r="O91">
        <v>53.5</v>
      </c>
      <c r="P91">
        <v>64.430000000000007</v>
      </c>
      <c r="Q91">
        <v>19.940000000000001</v>
      </c>
      <c r="R91">
        <v>1306.69</v>
      </c>
      <c r="S91">
        <v>35.58</v>
      </c>
      <c r="T91">
        <v>19.55</v>
      </c>
      <c r="U91">
        <v>17.53</v>
      </c>
      <c r="V91">
        <v>38.18</v>
      </c>
      <c r="W91">
        <v>46.287199999999999</v>
      </c>
      <c r="X91">
        <v>26.92</v>
      </c>
      <c r="Y91">
        <v>50.88</v>
      </c>
      <c r="Z91">
        <v>41.24</v>
      </c>
      <c r="AA91">
        <v>81.25</v>
      </c>
      <c r="AB91">
        <v>55.57</v>
      </c>
      <c r="AC91">
        <v>41.61</v>
      </c>
      <c r="AD91">
        <v>602.20000000000005</v>
      </c>
      <c r="AE91">
        <v>666.84</v>
      </c>
      <c r="AF91">
        <v>43.78</v>
      </c>
      <c r="AG91">
        <v>57.36</v>
      </c>
      <c r="AH91">
        <v>47.63</v>
      </c>
      <c r="AI91">
        <v>51.74</v>
      </c>
    </row>
    <row r="92" spans="1:35" x14ac:dyDescent="0.45">
      <c r="A92" s="2">
        <v>45919</v>
      </c>
      <c r="B92">
        <v>33.450000000000003</v>
      </c>
      <c r="C92">
        <v>33.590000000000003</v>
      </c>
      <c r="D92">
        <v>17.79</v>
      </c>
      <c r="E92">
        <v>26.8</v>
      </c>
      <c r="F92">
        <v>31.76</v>
      </c>
      <c r="G92">
        <v>57.811199999999999</v>
      </c>
      <c r="H92">
        <v>25.59</v>
      </c>
      <c r="I92">
        <v>63.38</v>
      </c>
      <c r="J92">
        <v>66.099999999999994</v>
      </c>
      <c r="K92">
        <v>80.05</v>
      </c>
      <c r="L92">
        <v>30.93</v>
      </c>
      <c r="M92">
        <v>62.54</v>
      </c>
      <c r="N92">
        <v>64.14</v>
      </c>
      <c r="O92">
        <v>53.94</v>
      </c>
      <c r="P92">
        <v>64.44</v>
      </c>
      <c r="Q92">
        <v>19.940000000000001</v>
      </c>
      <c r="R92">
        <v>1308.19</v>
      </c>
      <c r="S92">
        <v>35.380000000000003</v>
      </c>
      <c r="T92">
        <v>19.47</v>
      </c>
      <c r="U92">
        <v>17.68</v>
      </c>
      <c r="V92">
        <v>37.83</v>
      </c>
      <c r="W92">
        <v>46.41</v>
      </c>
      <c r="X92">
        <v>26.89</v>
      </c>
      <c r="Y92">
        <v>50.73</v>
      </c>
      <c r="Z92">
        <v>41.22</v>
      </c>
      <c r="AA92">
        <v>80.790000000000006</v>
      </c>
      <c r="AB92">
        <v>55.26</v>
      </c>
      <c r="AC92">
        <v>41.36</v>
      </c>
      <c r="AD92">
        <v>599.35</v>
      </c>
      <c r="AE92">
        <v>663.7</v>
      </c>
      <c r="AF92">
        <v>43.68</v>
      </c>
      <c r="AG92">
        <v>56.84</v>
      </c>
      <c r="AH92">
        <v>47.43</v>
      </c>
      <c r="AI92">
        <v>51.37</v>
      </c>
    </row>
    <row r="93" spans="1:35" x14ac:dyDescent="0.45">
      <c r="A93" s="2">
        <v>45918</v>
      </c>
      <c r="B93">
        <v>33.479999999999997</v>
      </c>
      <c r="C93">
        <v>33.6</v>
      </c>
      <c r="D93">
        <v>17.72</v>
      </c>
      <c r="E93">
        <v>26.46</v>
      </c>
      <c r="F93">
        <v>32.07</v>
      </c>
      <c r="G93">
        <v>57.14</v>
      </c>
      <c r="H93">
        <v>25.6</v>
      </c>
      <c r="I93">
        <v>63.77</v>
      </c>
      <c r="J93">
        <v>65.95</v>
      </c>
      <c r="K93">
        <v>80.75</v>
      </c>
      <c r="L93">
        <v>30.82</v>
      </c>
      <c r="M93">
        <v>61.48</v>
      </c>
      <c r="N93">
        <v>64.3</v>
      </c>
      <c r="O93">
        <v>53.74</v>
      </c>
      <c r="P93">
        <v>64.75</v>
      </c>
      <c r="Q93">
        <v>19.940000000000001</v>
      </c>
      <c r="R93">
        <v>1299.78</v>
      </c>
      <c r="S93">
        <v>34.35</v>
      </c>
      <c r="T93">
        <v>19.36</v>
      </c>
      <c r="U93">
        <v>17.8</v>
      </c>
      <c r="V93">
        <v>37.770000000000003</v>
      </c>
      <c r="W93">
        <v>46.255000000000003</v>
      </c>
      <c r="X93">
        <v>26.89</v>
      </c>
      <c r="Y93">
        <v>50.18</v>
      </c>
      <c r="Z93">
        <v>41.45</v>
      </c>
      <c r="AA93">
        <v>81.489999999999995</v>
      </c>
      <c r="AB93">
        <v>55.21</v>
      </c>
      <c r="AC93">
        <v>41.66</v>
      </c>
      <c r="AD93">
        <v>595.32000000000005</v>
      </c>
      <c r="AE93">
        <v>662.26</v>
      </c>
      <c r="AF93">
        <v>43.84</v>
      </c>
      <c r="AG93">
        <v>56.97</v>
      </c>
      <c r="AH93">
        <v>47.56</v>
      </c>
      <c r="AI93">
        <v>51.44</v>
      </c>
    </row>
    <row r="94" spans="1:35" x14ac:dyDescent="0.45">
      <c r="A94" s="2">
        <v>45917</v>
      </c>
      <c r="B94">
        <v>33.96</v>
      </c>
      <c r="C94">
        <v>33.4</v>
      </c>
      <c r="D94">
        <v>17.98</v>
      </c>
      <c r="E94">
        <v>26.55</v>
      </c>
      <c r="F94">
        <v>32.32</v>
      </c>
      <c r="G94">
        <v>57.874499999999998</v>
      </c>
      <c r="H94">
        <v>25.95</v>
      </c>
      <c r="I94">
        <v>63.21</v>
      </c>
      <c r="J94">
        <v>66.53</v>
      </c>
      <c r="K94">
        <v>79.83</v>
      </c>
      <c r="L94">
        <v>30.94</v>
      </c>
      <c r="M94">
        <v>60.86</v>
      </c>
      <c r="N94">
        <v>64.099999999999994</v>
      </c>
      <c r="O94">
        <v>54.02</v>
      </c>
      <c r="P94">
        <v>65.8</v>
      </c>
      <c r="Q94">
        <v>19.850000000000001</v>
      </c>
      <c r="R94">
        <v>1293.6199999999999</v>
      </c>
      <c r="S94">
        <v>34.75</v>
      </c>
      <c r="T94">
        <v>19.16</v>
      </c>
      <c r="U94">
        <v>17.88</v>
      </c>
      <c r="V94">
        <v>37.43</v>
      </c>
      <c r="W94">
        <v>47.045000000000002</v>
      </c>
      <c r="X94">
        <v>27.14</v>
      </c>
      <c r="Y94">
        <v>49.98</v>
      </c>
      <c r="Z94">
        <v>41.06</v>
      </c>
      <c r="AA94">
        <v>81.17</v>
      </c>
      <c r="AB94">
        <v>55.29</v>
      </c>
      <c r="AC94">
        <v>41.79</v>
      </c>
      <c r="AD94">
        <v>590</v>
      </c>
      <c r="AE94">
        <v>659.18</v>
      </c>
      <c r="AF94">
        <v>43.53</v>
      </c>
      <c r="AG94">
        <v>55.8782</v>
      </c>
      <c r="AH94">
        <v>47.17</v>
      </c>
      <c r="AI94">
        <v>51.33</v>
      </c>
    </row>
    <row r="95" spans="1:35" x14ac:dyDescent="0.45">
      <c r="A95" s="2">
        <v>45916</v>
      </c>
      <c r="B95">
        <v>33.770000000000003</v>
      </c>
      <c r="C95">
        <v>33.76</v>
      </c>
      <c r="D95">
        <v>17.850000000000001</v>
      </c>
      <c r="E95">
        <v>26.22</v>
      </c>
      <c r="F95">
        <v>32.51</v>
      </c>
      <c r="G95">
        <v>57.915399999999998</v>
      </c>
      <c r="H95">
        <v>25.54</v>
      </c>
      <c r="I95">
        <v>63.32</v>
      </c>
      <c r="J95">
        <v>66.8</v>
      </c>
      <c r="K95">
        <v>80.69</v>
      </c>
      <c r="L95">
        <v>30.69</v>
      </c>
      <c r="M95">
        <v>61</v>
      </c>
      <c r="N95">
        <v>64.77</v>
      </c>
      <c r="O95">
        <v>53.87</v>
      </c>
      <c r="P95">
        <v>64.86</v>
      </c>
      <c r="Q95">
        <v>19.77</v>
      </c>
      <c r="R95">
        <v>1288.03</v>
      </c>
      <c r="S95">
        <v>34.82</v>
      </c>
      <c r="T95">
        <v>19.32</v>
      </c>
      <c r="U95">
        <v>18.059999999999999</v>
      </c>
      <c r="V95">
        <v>36.9</v>
      </c>
      <c r="W95">
        <v>47.020400000000002</v>
      </c>
      <c r="X95">
        <v>27.38</v>
      </c>
      <c r="Y95">
        <v>50.08</v>
      </c>
      <c r="Z95">
        <v>41.15</v>
      </c>
      <c r="AA95">
        <v>81.349999999999994</v>
      </c>
      <c r="AB95">
        <v>55.48</v>
      </c>
      <c r="AC95">
        <v>41.89</v>
      </c>
      <c r="AD95">
        <v>591.17999999999995</v>
      </c>
      <c r="AE95">
        <v>660</v>
      </c>
      <c r="AF95">
        <v>43.82</v>
      </c>
      <c r="AG95">
        <v>55.71</v>
      </c>
      <c r="AH95">
        <v>47.46</v>
      </c>
      <c r="AI95">
        <v>52.15</v>
      </c>
    </row>
    <row r="96" spans="1:35" x14ac:dyDescent="0.45">
      <c r="A96" s="2">
        <v>45915</v>
      </c>
      <c r="B96">
        <v>33.81</v>
      </c>
      <c r="C96">
        <v>33.799999999999997</v>
      </c>
      <c r="D96">
        <v>17.96</v>
      </c>
      <c r="E96">
        <v>25.71</v>
      </c>
      <c r="F96">
        <v>32.81</v>
      </c>
      <c r="G96">
        <v>58.435400000000001</v>
      </c>
      <c r="H96">
        <v>25.55</v>
      </c>
      <c r="I96">
        <v>63.02</v>
      </c>
      <c r="J96">
        <v>66.77</v>
      </c>
      <c r="K96">
        <v>79.19</v>
      </c>
      <c r="L96">
        <v>30.51</v>
      </c>
      <c r="M96">
        <v>60.93</v>
      </c>
      <c r="N96">
        <v>65.23</v>
      </c>
      <c r="O96">
        <v>53.43</v>
      </c>
      <c r="P96">
        <v>64.430000000000007</v>
      </c>
      <c r="Q96">
        <v>19.55</v>
      </c>
      <c r="R96">
        <v>1278.05</v>
      </c>
      <c r="S96">
        <v>34.24</v>
      </c>
      <c r="T96">
        <v>19.2</v>
      </c>
      <c r="U96">
        <v>18.399999999999999</v>
      </c>
      <c r="V96">
        <v>36.71</v>
      </c>
      <c r="W96">
        <v>47.107199999999999</v>
      </c>
      <c r="X96">
        <v>27.57</v>
      </c>
      <c r="Y96">
        <v>50.13</v>
      </c>
      <c r="Z96">
        <v>41.42</v>
      </c>
      <c r="AA96">
        <v>81.349999999999994</v>
      </c>
      <c r="AB96">
        <v>55.56</v>
      </c>
      <c r="AC96">
        <v>42.09</v>
      </c>
      <c r="AD96">
        <v>591.67999999999995</v>
      </c>
      <c r="AE96">
        <v>660.91</v>
      </c>
      <c r="AF96">
        <v>43.89</v>
      </c>
      <c r="AG96">
        <v>55.75</v>
      </c>
      <c r="AH96">
        <v>47.61</v>
      </c>
      <c r="AI96">
        <v>52.39</v>
      </c>
    </row>
    <row r="97" spans="1:35" x14ac:dyDescent="0.45">
      <c r="A97" s="2">
        <v>45912</v>
      </c>
      <c r="B97">
        <v>33.6</v>
      </c>
      <c r="C97">
        <v>33.22</v>
      </c>
      <c r="D97">
        <v>17.829999999999998</v>
      </c>
      <c r="E97">
        <v>25.8</v>
      </c>
      <c r="F97">
        <v>32.28</v>
      </c>
      <c r="G97">
        <v>57.768000000000001</v>
      </c>
      <c r="H97">
        <v>25.47</v>
      </c>
      <c r="I97">
        <v>62.83</v>
      </c>
      <c r="J97">
        <v>66.12</v>
      </c>
      <c r="K97">
        <v>78.66</v>
      </c>
      <c r="L97">
        <v>30.03</v>
      </c>
      <c r="M97">
        <v>60.57</v>
      </c>
      <c r="N97">
        <v>65.17</v>
      </c>
      <c r="O97">
        <v>53.15</v>
      </c>
      <c r="P97">
        <v>63.95</v>
      </c>
      <c r="Q97">
        <v>19.54</v>
      </c>
      <c r="R97">
        <v>1276.08</v>
      </c>
      <c r="S97">
        <v>32.270000000000003</v>
      </c>
      <c r="T97">
        <v>19.170000000000002</v>
      </c>
      <c r="U97">
        <v>17.97</v>
      </c>
      <c r="V97">
        <v>36.72</v>
      </c>
      <c r="W97">
        <v>46.74</v>
      </c>
      <c r="X97">
        <v>27.24</v>
      </c>
      <c r="Y97">
        <v>49.6</v>
      </c>
      <c r="Z97">
        <v>41.31</v>
      </c>
      <c r="AA97">
        <v>80.760000000000005</v>
      </c>
      <c r="AB97">
        <v>55.65</v>
      </c>
      <c r="AC97">
        <v>41.94</v>
      </c>
      <c r="AD97">
        <v>586.66</v>
      </c>
      <c r="AE97">
        <v>657.41</v>
      </c>
      <c r="AF97">
        <v>43.49</v>
      </c>
      <c r="AG97">
        <v>54.66</v>
      </c>
      <c r="AH97">
        <v>47.24</v>
      </c>
      <c r="AI97">
        <v>51.72</v>
      </c>
    </row>
    <row r="98" spans="1:35" x14ac:dyDescent="0.45">
      <c r="A98" s="2">
        <v>45911</v>
      </c>
      <c r="B98">
        <v>33.94</v>
      </c>
      <c r="C98">
        <v>34.020000000000003</v>
      </c>
      <c r="D98">
        <v>17.64</v>
      </c>
      <c r="E98">
        <v>26</v>
      </c>
      <c r="F98">
        <v>32.6</v>
      </c>
      <c r="G98">
        <v>57.547199999999997</v>
      </c>
      <c r="H98">
        <v>25.33</v>
      </c>
      <c r="I98">
        <v>62.74</v>
      </c>
      <c r="J98">
        <v>65.709999999999994</v>
      </c>
      <c r="K98">
        <v>77.86</v>
      </c>
      <c r="L98">
        <v>30.05</v>
      </c>
      <c r="M98">
        <v>60.56</v>
      </c>
      <c r="N98">
        <v>64.22</v>
      </c>
      <c r="O98">
        <v>53.24</v>
      </c>
      <c r="P98">
        <v>64.209999999999994</v>
      </c>
      <c r="Q98">
        <v>19.579999999999998</v>
      </c>
      <c r="R98">
        <v>1266.1099999999999</v>
      </c>
      <c r="S98">
        <v>32.32</v>
      </c>
      <c r="T98">
        <v>19.010000000000002</v>
      </c>
      <c r="U98">
        <v>18.03</v>
      </c>
      <c r="V98">
        <v>36.799999999999997</v>
      </c>
      <c r="W98">
        <v>47.225000000000001</v>
      </c>
      <c r="X98">
        <v>27.41</v>
      </c>
      <c r="Y98">
        <v>49.92</v>
      </c>
      <c r="Z98">
        <v>41.39</v>
      </c>
      <c r="AA98">
        <v>81.319999999999993</v>
      </c>
      <c r="AB98">
        <v>56.12</v>
      </c>
      <c r="AC98">
        <v>42.19</v>
      </c>
      <c r="AD98">
        <v>584.08000000000004</v>
      </c>
      <c r="AE98">
        <v>657.63</v>
      </c>
      <c r="AF98">
        <v>43.53</v>
      </c>
      <c r="AG98">
        <v>54.46</v>
      </c>
      <c r="AH98">
        <v>47.33</v>
      </c>
      <c r="AI98">
        <v>51.6</v>
      </c>
    </row>
    <row r="99" spans="1:35" x14ac:dyDescent="0.45">
      <c r="A99" s="2">
        <v>45910</v>
      </c>
      <c r="B99">
        <v>32.840000000000003</v>
      </c>
      <c r="C99">
        <v>32.89</v>
      </c>
      <c r="D99">
        <v>17.329999999999998</v>
      </c>
      <c r="E99">
        <v>25.92</v>
      </c>
      <c r="F99">
        <v>31.83</v>
      </c>
      <c r="G99">
        <v>56.45</v>
      </c>
      <c r="H99">
        <v>25.17</v>
      </c>
      <c r="I99">
        <v>62.56</v>
      </c>
      <c r="J99">
        <v>64.28</v>
      </c>
      <c r="K99">
        <v>76.650000000000006</v>
      </c>
      <c r="L99">
        <v>29.79</v>
      </c>
      <c r="M99">
        <v>59.73</v>
      </c>
      <c r="N99">
        <v>63.64</v>
      </c>
      <c r="O99">
        <v>53.16</v>
      </c>
      <c r="P99">
        <v>62.54</v>
      </c>
      <c r="Q99">
        <v>19.53</v>
      </c>
      <c r="R99">
        <v>1264.8</v>
      </c>
      <c r="S99">
        <v>32.92</v>
      </c>
      <c r="T99">
        <v>18.850000000000001</v>
      </c>
      <c r="U99">
        <v>17.75</v>
      </c>
      <c r="V99">
        <v>36.799999999999997</v>
      </c>
      <c r="W99">
        <v>46.85</v>
      </c>
      <c r="X99">
        <v>27.11</v>
      </c>
      <c r="Y99">
        <v>49.42</v>
      </c>
      <c r="Z99">
        <v>41.07</v>
      </c>
      <c r="AA99">
        <v>80.36</v>
      </c>
      <c r="AB99">
        <v>55.62</v>
      </c>
      <c r="AC99">
        <v>41.74</v>
      </c>
      <c r="AD99">
        <v>580.70000000000005</v>
      </c>
      <c r="AE99">
        <v>652.21</v>
      </c>
      <c r="AF99">
        <v>42.9</v>
      </c>
      <c r="AG99">
        <v>53.79</v>
      </c>
      <c r="AH99">
        <v>47.1</v>
      </c>
      <c r="AI99">
        <v>50.93</v>
      </c>
    </row>
    <row r="100" spans="1:35" x14ac:dyDescent="0.45">
      <c r="A100" s="2">
        <v>45909</v>
      </c>
      <c r="B100">
        <v>32.94</v>
      </c>
      <c r="C100">
        <v>32.695</v>
      </c>
      <c r="D100">
        <v>17.059999999999999</v>
      </c>
      <c r="E100">
        <v>26.09</v>
      </c>
      <c r="F100">
        <v>32.380000000000003</v>
      </c>
      <c r="G100">
        <v>56</v>
      </c>
      <c r="H100">
        <v>25.17</v>
      </c>
      <c r="I100">
        <v>61.62</v>
      </c>
      <c r="J100">
        <v>64.260000000000005</v>
      </c>
      <c r="K100">
        <v>74.92</v>
      </c>
      <c r="L100">
        <v>29.54</v>
      </c>
      <c r="M100">
        <v>59.03</v>
      </c>
      <c r="N100">
        <v>63.6</v>
      </c>
      <c r="O100">
        <v>52.71</v>
      </c>
      <c r="P100">
        <v>62.97</v>
      </c>
      <c r="Q100">
        <v>19.37</v>
      </c>
      <c r="R100">
        <v>1252.55</v>
      </c>
      <c r="S100">
        <v>32.68</v>
      </c>
      <c r="T100">
        <v>18.91</v>
      </c>
      <c r="U100">
        <v>17.670000000000002</v>
      </c>
      <c r="V100">
        <v>36.76</v>
      </c>
      <c r="W100">
        <v>46.655000000000001</v>
      </c>
      <c r="X100">
        <v>26.89</v>
      </c>
      <c r="Y100">
        <v>49.27</v>
      </c>
      <c r="Z100">
        <v>41.48</v>
      </c>
      <c r="AA100">
        <v>80.06</v>
      </c>
      <c r="AB100">
        <v>56.02</v>
      </c>
      <c r="AC100">
        <v>41.75</v>
      </c>
      <c r="AD100">
        <v>580.51</v>
      </c>
      <c r="AE100">
        <v>650.33000000000004</v>
      </c>
      <c r="AF100">
        <v>43.06</v>
      </c>
      <c r="AG100">
        <v>54.12</v>
      </c>
      <c r="AH100">
        <v>47.3</v>
      </c>
      <c r="AI100">
        <v>50.86</v>
      </c>
    </row>
    <row r="101" spans="1:35" x14ac:dyDescent="0.45">
      <c r="A101" s="2">
        <v>45908</v>
      </c>
      <c r="B101">
        <v>33.14</v>
      </c>
      <c r="C101">
        <v>33.229999999999997</v>
      </c>
      <c r="D101">
        <v>17.5</v>
      </c>
      <c r="E101">
        <v>26.09</v>
      </c>
      <c r="F101">
        <v>32.880000000000003</v>
      </c>
      <c r="G101">
        <v>56.647500000000001</v>
      </c>
      <c r="H101">
        <v>25.12</v>
      </c>
      <c r="I101">
        <v>60.98</v>
      </c>
      <c r="J101">
        <v>64.150000000000006</v>
      </c>
      <c r="K101">
        <v>74.19</v>
      </c>
      <c r="L101">
        <v>29.58</v>
      </c>
      <c r="M101">
        <v>59.34</v>
      </c>
      <c r="N101">
        <v>63.86</v>
      </c>
      <c r="O101">
        <v>52.89</v>
      </c>
      <c r="P101">
        <v>62.3</v>
      </c>
      <c r="Q101">
        <v>19.63</v>
      </c>
      <c r="R101">
        <v>1259.31</v>
      </c>
      <c r="S101">
        <v>32.54</v>
      </c>
      <c r="T101">
        <v>18.940000000000001</v>
      </c>
      <c r="U101">
        <v>17.37</v>
      </c>
      <c r="V101">
        <v>36.69</v>
      </c>
      <c r="W101">
        <v>46.74</v>
      </c>
      <c r="X101">
        <v>27</v>
      </c>
      <c r="Y101">
        <v>49.3</v>
      </c>
      <c r="Z101">
        <v>41.69</v>
      </c>
      <c r="AA101">
        <v>80.959999999999994</v>
      </c>
      <c r="AB101">
        <v>56.33</v>
      </c>
      <c r="AC101">
        <v>41.71</v>
      </c>
      <c r="AD101">
        <v>578.87</v>
      </c>
      <c r="AE101">
        <v>648.83000000000004</v>
      </c>
      <c r="AF101">
        <v>42.99</v>
      </c>
      <c r="AG101">
        <v>54.17</v>
      </c>
      <c r="AH101">
        <v>47.42</v>
      </c>
      <c r="AI101">
        <v>50.64</v>
      </c>
    </row>
    <row r="102" spans="1:35" x14ac:dyDescent="0.45">
      <c r="A102" s="2">
        <v>45905</v>
      </c>
      <c r="B102">
        <v>33.020000000000003</v>
      </c>
      <c r="C102">
        <v>33.83</v>
      </c>
      <c r="D102">
        <v>17.93</v>
      </c>
      <c r="E102">
        <v>26.06</v>
      </c>
      <c r="F102">
        <v>32.14</v>
      </c>
      <c r="G102">
        <v>56.5</v>
      </c>
      <c r="H102">
        <v>25.03</v>
      </c>
      <c r="I102">
        <v>60.21</v>
      </c>
      <c r="J102">
        <v>63.83</v>
      </c>
      <c r="K102">
        <v>73.63</v>
      </c>
      <c r="L102">
        <v>29.63</v>
      </c>
      <c r="M102">
        <v>57.92</v>
      </c>
      <c r="N102">
        <v>63.4</v>
      </c>
      <c r="O102">
        <v>52.48</v>
      </c>
      <c r="P102">
        <v>61.35</v>
      </c>
      <c r="Q102">
        <v>19.690000000000001</v>
      </c>
      <c r="R102">
        <v>1248.78</v>
      </c>
      <c r="S102">
        <v>33.33</v>
      </c>
      <c r="T102">
        <v>19.16</v>
      </c>
      <c r="U102">
        <v>17.97</v>
      </c>
      <c r="V102">
        <v>37.200000000000003</v>
      </c>
      <c r="W102">
        <v>46.13</v>
      </c>
      <c r="X102">
        <v>26.93</v>
      </c>
      <c r="Y102">
        <v>49.17</v>
      </c>
      <c r="Z102">
        <v>41.34</v>
      </c>
      <c r="AA102">
        <v>79.180000000000007</v>
      </c>
      <c r="AB102">
        <v>56.25</v>
      </c>
      <c r="AC102">
        <v>41.55</v>
      </c>
      <c r="AD102">
        <v>576.05999999999995</v>
      </c>
      <c r="AE102">
        <v>647.24</v>
      </c>
      <c r="AF102">
        <v>42.56</v>
      </c>
      <c r="AG102">
        <v>53.47</v>
      </c>
      <c r="AH102">
        <v>47.01</v>
      </c>
      <c r="AI102">
        <v>50.46</v>
      </c>
    </row>
    <row r="103" spans="1:35" x14ac:dyDescent="0.45">
      <c r="A103" s="2">
        <v>45904</v>
      </c>
      <c r="B103">
        <v>32.229999999999997</v>
      </c>
      <c r="C103">
        <v>33.4</v>
      </c>
      <c r="D103">
        <v>17.77</v>
      </c>
      <c r="E103">
        <v>25.78</v>
      </c>
      <c r="F103">
        <v>32.130000000000003</v>
      </c>
      <c r="G103">
        <v>55.73</v>
      </c>
      <c r="H103">
        <v>24.97</v>
      </c>
      <c r="I103">
        <v>59.3</v>
      </c>
      <c r="J103">
        <v>63.07</v>
      </c>
      <c r="K103">
        <v>73.069999999999993</v>
      </c>
      <c r="L103">
        <v>29.17</v>
      </c>
      <c r="M103">
        <v>56.57</v>
      </c>
      <c r="N103">
        <v>63.26</v>
      </c>
      <c r="O103">
        <v>52.59</v>
      </c>
      <c r="P103">
        <v>60.3</v>
      </c>
      <c r="Q103">
        <v>19.7</v>
      </c>
      <c r="R103">
        <v>1244.48</v>
      </c>
      <c r="S103">
        <v>33.729999999999997</v>
      </c>
      <c r="T103">
        <v>19.2</v>
      </c>
      <c r="U103">
        <v>18.43</v>
      </c>
      <c r="V103">
        <v>37.35</v>
      </c>
      <c r="W103">
        <v>45.37</v>
      </c>
      <c r="X103">
        <v>26.9</v>
      </c>
      <c r="Y103">
        <v>49.12</v>
      </c>
      <c r="Z103">
        <v>41.34</v>
      </c>
      <c r="AA103">
        <v>78.73</v>
      </c>
      <c r="AB103">
        <v>55.71</v>
      </c>
      <c r="AC103">
        <v>41.39</v>
      </c>
      <c r="AD103">
        <v>575.23</v>
      </c>
      <c r="AE103">
        <v>649.12</v>
      </c>
      <c r="AF103">
        <v>42.56</v>
      </c>
      <c r="AG103">
        <v>52.87</v>
      </c>
      <c r="AH103">
        <v>46.26</v>
      </c>
      <c r="AI103">
        <v>50.65</v>
      </c>
    </row>
    <row r="104" spans="1:35" x14ac:dyDescent="0.45">
      <c r="A104" s="2">
        <v>45903</v>
      </c>
      <c r="B104">
        <v>32.94</v>
      </c>
      <c r="C104">
        <v>33.049999999999997</v>
      </c>
      <c r="D104">
        <v>17.809999999999999</v>
      </c>
      <c r="E104">
        <v>25.58</v>
      </c>
      <c r="F104">
        <v>31.52</v>
      </c>
      <c r="G104">
        <v>56.01</v>
      </c>
      <c r="H104">
        <v>24.87</v>
      </c>
      <c r="I104">
        <v>58.73</v>
      </c>
      <c r="J104">
        <v>62.8</v>
      </c>
      <c r="K104">
        <v>72.91</v>
      </c>
      <c r="L104">
        <v>28.99</v>
      </c>
      <c r="M104">
        <v>57.7</v>
      </c>
      <c r="N104">
        <v>63.4</v>
      </c>
      <c r="O104">
        <v>52.62</v>
      </c>
      <c r="P104">
        <v>61.33</v>
      </c>
      <c r="Q104">
        <v>19.86</v>
      </c>
      <c r="R104">
        <v>1236.6099999999999</v>
      </c>
      <c r="S104">
        <v>33.51</v>
      </c>
      <c r="T104">
        <v>19.03</v>
      </c>
      <c r="U104">
        <v>18.25</v>
      </c>
      <c r="V104">
        <v>37.11</v>
      </c>
      <c r="W104">
        <v>45.494999999999997</v>
      </c>
      <c r="X104">
        <v>26.6</v>
      </c>
      <c r="Y104">
        <v>48.87</v>
      </c>
      <c r="Z104">
        <v>41.05</v>
      </c>
      <c r="AA104">
        <v>77.930000000000007</v>
      </c>
      <c r="AB104">
        <v>55.08</v>
      </c>
      <c r="AC104">
        <v>41.18</v>
      </c>
      <c r="AD104">
        <v>570.07000000000005</v>
      </c>
      <c r="AE104">
        <v>643.74</v>
      </c>
      <c r="AF104">
        <v>42.54</v>
      </c>
      <c r="AG104">
        <v>52.22</v>
      </c>
      <c r="AH104">
        <v>46.18</v>
      </c>
      <c r="AI104">
        <v>50.38</v>
      </c>
    </row>
    <row r="105" spans="1:35" x14ac:dyDescent="0.45">
      <c r="A105" s="2">
        <v>45902</v>
      </c>
      <c r="B105">
        <v>33.200000000000003</v>
      </c>
      <c r="C105">
        <v>32.729999999999997</v>
      </c>
      <c r="D105">
        <v>17.739999999999998</v>
      </c>
      <c r="E105">
        <v>25.68</v>
      </c>
      <c r="F105">
        <v>31.29</v>
      </c>
      <c r="G105">
        <v>54.91</v>
      </c>
      <c r="H105">
        <v>24.73</v>
      </c>
      <c r="I105">
        <v>58.05</v>
      </c>
      <c r="J105">
        <v>62.91</v>
      </c>
      <c r="K105">
        <v>71.92</v>
      </c>
      <c r="L105">
        <v>29</v>
      </c>
      <c r="M105">
        <v>57.25</v>
      </c>
      <c r="N105">
        <v>62.28</v>
      </c>
      <c r="O105">
        <v>52.35</v>
      </c>
      <c r="P105">
        <v>61.64</v>
      </c>
      <c r="Q105">
        <v>19.73</v>
      </c>
      <c r="R105">
        <v>1250.0899999999999</v>
      </c>
      <c r="S105">
        <v>33.97</v>
      </c>
      <c r="T105">
        <v>19.14</v>
      </c>
      <c r="U105">
        <v>18.14</v>
      </c>
      <c r="V105">
        <v>37.21</v>
      </c>
      <c r="W105">
        <v>45.380099999999999</v>
      </c>
      <c r="X105">
        <v>26.77</v>
      </c>
      <c r="Y105">
        <v>48.59</v>
      </c>
      <c r="Z105">
        <v>41.04</v>
      </c>
      <c r="AA105">
        <v>78.150000000000006</v>
      </c>
      <c r="AB105">
        <v>54.67</v>
      </c>
      <c r="AC105">
        <v>40.9</v>
      </c>
      <c r="AD105">
        <v>565.62</v>
      </c>
      <c r="AE105">
        <v>640.27</v>
      </c>
      <c r="AF105">
        <v>42.29</v>
      </c>
      <c r="AG105">
        <v>51.94</v>
      </c>
      <c r="AH105">
        <v>45.89</v>
      </c>
      <c r="AI105">
        <v>50.4</v>
      </c>
    </row>
    <row r="106" spans="1:35" x14ac:dyDescent="0.45">
      <c r="A106" s="2">
        <v>45898</v>
      </c>
      <c r="B106">
        <v>33.47</v>
      </c>
      <c r="C106">
        <v>32.81</v>
      </c>
      <c r="D106">
        <v>17.670000000000002</v>
      </c>
      <c r="E106">
        <v>26.15</v>
      </c>
      <c r="F106">
        <v>31.7</v>
      </c>
      <c r="G106">
        <v>53.8</v>
      </c>
      <c r="H106">
        <v>24.87</v>
      </c>
      <c r="I106">
        <v>58.82</v>
      </c>
      <c r="J106">
        <v>61.94</v>
      </c>
      <c r="K106">
        <v>72.239999999999995</v>
      </c>
      <c r="L106">
        <v>29.5</v>
      </c>
      <c r="M106">
        <v>57.67</v>
      </c>
      <c r="N106">
        <v>63.09</v>
      </c>
      <c r="O106">
        <v>51.98</v>
      </c>
      <c r="P106">
        <v>61.31</v>
      </c>
      <c r="Q106">
        <v>20</v>
      </c>
      <c r="R106">
        <v>1248.03</v>
      </c>
      <c r="S106">
        <v>35.29</v>
      </c>
      <c r="T106">
        <v>19.38</v>
      </c>
      <c r="U106">
        <v>18.29</v>
      </c>
      <c r="V106">
        <v>37.36</v>
      </c>
      <c r="W106">
        <v>44.86</v>
      </c>
      <c r="X106">
        <v>27.08</v>
      </c>
      <c r="Y106">
        <v>48.79</v>
      </c>
      <c r="Z106">
        <v>41.88</v>
      </c>
      <c r="AA106">
        <v>78.28</v>
      </c>
      <c r="AB106">
        <v>55.33</v>
      </c>
      <c r="AC106">
        <v>41.46</v>
      </c>
      <c r="AD106">
        <v>570.4</v>
      </c>
      <c r="AE106">
        <v>645.04999999999995</v>
      </c>
      <c r="AF106">
        <v>42.59</v>
      </c>
      <c r="AG106">
        <v>53</v>
      </c>
      <c r="AH106">
        <v>46.39</v>
      </c>
      <c r="AI106">
        <v>51.05</v>
      </c>
    </row>
    <row r="107" spans="1:35" x14ac:dyDescent="0.45">
      <c r="A107" s="2">
        <v>45897</v>
      </c>
      <c r="B107">
        <v>33.159999999999997</v>
      </c>
      <c r="C107">
        <v>32.58</v>
      </c>
      <c r="D107">
        <v>18.190000000000001</v>
      </c>
      <c r="E107">
        <v>26.39</v>
      </c>
      <c r="F107">
        <v>32.07</v>
      </c>
      <c r="G107">
        <v>53.418799999999997</v>
      </c>
      <c r="H107">
        <v>25.13</v>
      </c>
      <c r="I107">
        <v>59.9</v>
      </c>
      <c r="J107">
        <v>62.52</v>
      </c>
      <c r="K107">
        <v>73.64</v>
      </c>
      <c r="L107">
        <v>29.49</v>
      </c>
      <c r="M107">
        <v>57.15</v>
      </c>
      <c r="N107">
        <v>63.94</v>
      </c>
      <c r="O107">
        <v>52.54</v>
      </c>
      <c r="P107">
        <v>60.45</v>
      </c>
      <c r="Q107">
        <v>19.96</v>
      </c>
      <c r="R107">
        <v>1251.26</v>
      </c>
      <c r="S107">
        <v>35.54</v>
      </c>
      <c r="T107">
        <v>19.53</v>
      </c>
      <c r="U107">
        <v>18.315000000000001</v>
      </c>
      <c r="V107">
        <v>37.47</v>
      </c>
      <c r="W107">
        <v>44.87</v>
      </c>
      <c r="X107">
        <v>27.09</v>
      </c>
      <c r="Y107">
        <v>48.46</v>
      </c>
      <c r="Z107">
        <v>42.02</v>
      </c>
      <c r="AA107">
        <v>79.290000000000006</v>
      </c>
      <c r="AB107">
        <v>55.33</v>
      </c>
      <c r="AC107">
        <v>41.57</v>
      </c>
      <c r="AD107">
        <v>577.08000000000004</v>
      </c>
      <c r="AE107">
        <v>648.91999999999996</v>
      </c>
      <c r="AF107">
        <v>42.9</v>
      </c>
      <c r="AG107">
        <v>53.5</v>
      </c>
      <c r="AH107">
        <v>46.63</v>
      </c>
      <c r="AI107">
        <v>51.19</v>
      </c>
    </row>
    <row r="108" spans="1:35" x14ac:dyDescent="0.45">
      <c r="A108" s="2">
        <v>45896</v>
      </c>
      <c r="B108">
        <v>32.26</v>
      </c>
      <c r="C108">
        <v>32.549999999999997</v>
      </c>
      <c r="D108">
        <v>18.16</v>
      </c>
      <c r="E108">
        <v>26.56</v>
      </c>
      <c r="F108">
        <v>32.340000000000003</v>
      </c>
      <c r="G108">
        <v>52.967199999999998</v>
      </c>
      <c r="H108">
        <v>25.05</v>
      </c>
      <c r="I108">
        <v>59.77</v>
      </c>
      <c r="J108">
        <v>61.94</v>
      </c>
      <c r="K108">
        <v>72.47</v>
      </c>
      <c r="L108">
        <v>29.02</v>
      </c>
      <c r="M108">
        <v>57.38</v>
      </c>
      <c r="N108">
        <v>64.489999999999995</v>
      </c>
      <c r="O108">
        <v>52.68</v>
      </c>
      <c r="P108">
        <v>60.02</v>
      </c>
      <c r="Q108">
        <v>20.13</v>
      </c>
      <c r="R108">
        <v>1262.67</v>
      </c>
      <c r="S108">
        <v>35.51</v>
      </c>
      <c r="T108">
        <v>19.68</v>
      </c>
      <c r="U108">
        <v>18.02</v>
      </c>
      <c r="V108">
        <v>37.68</v>
      </c>
      <c r="W108">
        <v>44.67</v>
      </c>
      <c r="X108">
        <v>27</v>
      </c>
      <c r="Y108">
        <v>48.37</v>
      </c>
      <c r="Z108">
        <v>41.89</v>
      </c>
      <c r="AA108">
        <v>78.63</v>
      </c>
      <c r="AB108">
        <v>55.24</v>
      </c>
      <c r="AC108">
        <v>41.66</v>
      </c>
      <c r="AD108">
        <v>573.49</v>
      </c>
      <c r="AE108">
        <v>646.63</v>
      </c>
      <c r="AF108">
        <v>42.56</v>
      </c>
      <c r="AG108">
        <v>53.59</v>
      </c>
      <c r="AH108">
        <v>46.46</v>
      </c>
      <c r="AI108">
        <v>50.91</v>
      </c>
    </row>
    <row r="109" spans="1:35" x14ac:dyDescent="0.45">
      <c r="A109" s="2">
        <v>45895</v>
      </c>
      <c r="B109">
        <v>32.909999999999997</v>
      </c>
      <c r="C109">
        <v>32.44</v>
      </c>
      <c r="D109">
        <v>18.38</v>
      </c>
      <c r="E109">
        <v>26.12</v>
      </c>
      <c r="F109">
        <v>32.86</v>
      </c>
      <c r="G109">
        <v>53.39</v>
      </c>
      <c r="H109">
        <v>25.13</v>
      </c>
      <c r="I109">
        <v>59.5</v>
      </c>
      <c r="J109">
        <v>61.44</v>
      </c>
      <c r="K109">
        <v>72.39</v>
      </c>
      <c r="L109">
        <v>28.61</v>
      </c>
      <c r="M109">
        <v>58.1</v>
      </c>
      <c r="N109">
        <v>64.98</v>
      </c>
      <c r="O109">
        <v>52.55</v>
      </c>
      <c r="P109">
        <v>61.62</v>
      </c>
      <c r="Q109">
        <v>20.14</v>
      </c>
      <c r="R109">
        <v>1253.3900000000001</v>
      </c>
      <c r="S109">
        <v>35.97</v>
      </c>
      <c r="T109">
        <v>19.75</v>
      </c>
      <c r="U109">
        <v>17.96</v>
      </c>
      <c r="V109">
        <v>38.020000000000003</v>
      </c>
      <c r="W109">
        <v>45.19</v>
      </c>
      <c r="X109">
        <v>26.97</v>
      </c>
      <c r="Y109">
        <v>48.02</v>
      </c>
      <c r="Z109">
        <v>42.13</v>
      </c>
      <c r="AA109">
        <v>78.92</v>
      </c>
      <c r="AB109">
        <v>55.11</v>
      </c>
      <c r="AC109">
        <v>41.74</v>
      </c>
      <c r="AD109">
        <v>572.61</v>
      </c>
      <c r="AE109">
        <v>645.16</v>
      </c>
      <c r="AF109">
        <v>42.58</v>
      </c>
      <c r="AG109">
        <v>53.77</v>
      </c>
      <c r="AH109">
        <v>46.64</v>
      </c>
      <c r="AI109">
        <v>51.42</v>
      </c>
    </row>
    <row r="110" spans="1:35" x14ac:dyDescent="0.45">
      <c r="A110" s="2">
        <v>45894</v>
      </c>
      <c r="B110">
        <v>32.909999999999997</v>
      </c>
      <c r="C110">
        <v>32.71</v>
      </c>
      <c r="D110">
        <v>18.61</v>
      </c>
      <c r="E110">
        <v>26.69</v>
      </c>
      <c r="F110">
        <v>32.590000000000003</v>
      </c>
      <c r="G110">
        <v>52.93</v>
      </c>
      <c r="H110">
        <v>25.5</v>
      </c>
      <c r="I110">
        <v>59.26</v>
      </c>
      <c r="J110">
        <v>61.71</v>
      </c>
      <c r="K110">
        <v>72.73</v>
      </c>
      <c r="L110">
        <v>28.74</v>
      </c>
      <c r="M110">
        <v>58.35</v>
      </c>
      <c r="N110">
        <v>65.62</v>
      </c>
      <c r="O110">
        <v>53.23</v>
      </c>
      <c r="P110">
        <v>61.54</v>
      </c>
      <c r="Q110">
        <v>20.002600000000001</v>
      </c>
      <c r="R110">
        <v>1244.79</v>
      </c>
      <c r="S110">
        <v>35.93</v>
      </c>
      <c r="T110">
        <v>19.829999999999998</v>
      </c>
      <c r="U110">
        <v>17.22</v>
      </c>
      <c r="V110">
        <v>38.08</v>
      </c>
      <c r="W110">
        <v>45.62</v>
      </c>
      <c r="X110">
        <v>26.83</v>
      </c>
      <c r="Y110">
        <v>47.55</v>
      </c>
      <c r="Z110">
        <v>42.12</v>
      </c>
      <c r="AA110">
        <v>79.05</v>
      </c>
      <c r="AB110">
        <v>54.97</v>
      </c>
      <c r="AC110">
        <v>41.79</v>
      </c>
      <c r="AD110">
        <v>570.32000000000005</v>
      </c>
      <c r="AE110">
        <v>642.47</v>
      </c>
      <c r="AF110">
        <v>42.96</v>
      </c>
      <c r="AG110">
        <v>53.84</v>
      </c>
      <c r="AH110">
        <v>46.57</v>
      </c>
      <c r="AI110">
        <v>51.76</v>
      </c>
    </row>
    <row r="111" spans="1:35" x14ac:dyDescent="0.45">
      <c r="A111" s="2">
        <v>45891</v>
      </c>
      <c r="B111">
        <v>32.71</v>
      </c>
      <c r="C111">
        <v>32.799999999999997</v>
      </c>
      <c r="D111">
        <v>18.649999999999999</v>
      </c>
      <c r="E111">
        <v>26.63</v>
      </c>
      <c r="F111">
        <v>32.700000000000003</v>
      </c>
      <c r="G111">
        <v>53.23</v>
      </c>
      <c r="H111">
        <v>25.72</v>
      </c>
      <c r="I111">
        <v>59.66</v>
      </c>
      <c r="J111">
        <v>62.8</v>
      </c>
      <c r="K111">
        <v>73.510000000000005</v>
      </c>
      <c r="L111">
        <v>28.61</v>
      </c>
      <c r="M111">
        <v>58.8</v>
      </c>
      <c r="N111">
        <v>65.995000000000005</v>
      </c>
      <c r="O111">
        <v>53.58</v>
      </c>
      <c r="P111">
        <v>61.57</v>
      </c>
      <c r="Q111">
        <v>20.189599999999999</v>
      </c>
      <c r="R111">
        <v>1248.1300000000001</v>
      </c>
      <c r="S111">
        <v>35.69</v>
      </c>
      <c r="T111">
        <v>19.96</v>
      </c>
      <c r="U111">
        <v>17.36</v>
      </c>
      <c r="V111">
        <v>38.130000000000003</v>
      </c>
      <c r="W111">
        <v>45.782899999999998</v>
      </c>
      <c r="X111">
        <v>27.26</v>
      </c>
      <c r="Y111">
        <v>48.03</v>
      </c>
      <c r="Z111">
        <v>42.66</v>
      </c>
      <c r="AA111">
        <v>80.02</v>
      </c>
      <c r="AB111">
        <v>55.64</v>
      </c>
      <c r="AC111">
        <v>42.08</v>
      </c>
      <c r="AD111">
        <v>571.97</v>
      </c>
      <c r="AE111">
        <v>645.30999999999995</v>
      </c>
      <c r="AF111">
        <v>44.18</v>
      </c>
      <c r="AG111">
        <v>54.188000000000002</v>
      </c>
      <c r="AH111">
        <v>47.24</v>
      </c>
      <c r="AI111">
        <v>52.34</v>
      </c>
    </row>
    <row r="112" spans="1:35" x14ac:dyDescent="0.45">
      <c r="A112" s="2">
        <v>45890</v>
      </c>
      <c r="B112">
        <v>31.62</v>
      </c>
      <c r="C112">
        <v>31.9</v>
      </c>
      <c r="D112">
        <v>18.440000000000001</v>
      </c>
      <c r="E112">
        <v>26.15</v>
      </c>
      <c r="F112">
        <v>33.380000000000003</v>
      </c>
      <c r="G112">
        <v>52.009</v>
      </c>
      <c r="H112">
        <v>25.19</v>
      </c>
      <c r="I112">
        <v>58.57</v>
      </c>
      <c r="J112">
        <v>61.55</v>
      </c>
      <c r="K112">
        <v>71.22</v>
      </c>
      <c r="L112">
        <v>27.66</v>
      </c>
      <c r="M112">
        <v>56.91</v>
      </c>
      <c r="N112">
        <v>65.2</v>
      </c>
      <c r="O112">
        <v>53.57</v>
      </c>
      <c r="P112">
        <v>60</v>
      </c>
      <c r="Q112">
        <v>20.065000000000001</v>
      </c>
      <c r="R112">
        <v>1235.76</v>
      </c>
      <c r="S112">
        <v>35.51</v>
      </c>
      <c r="T112">
        <v>19.753</v>
      </c>
      <c r="U112">
        <v>17.600000000000001</v>
      </c>
      <c r="V112">
        <v>37.94</v>
      </c>
      <c r="W112">
        <v>45.58</v>
      </c>
      <c r="X112">
        <v>26.86</v>
      </c>
      <c r="Y112">
        <v>47.28</v>
      </c>
      <c r="Z112">
        <v>42.08</v>
      </c>
      <c r="AA112">
        <v>78.7</v>
      </c>
      <c r="AB112">
        <v>54.94</v>
      </c>
      <c r="AC112">
        <v>41.66</v>
      </c>
      <c r="AD112">
        <v>563.28</v>
      </c>
      <c r="AE112">
        <v>635.54999999999995</v>
      </c>
      <c r="AF112">
        <v>43.55</v>
      </c>
      <c r="AG112">
        <v>53.08</v>
      </c>
      <c r="AH112">
        <v>46.08</v>
      </c>
      <c r="AI112">
        <v>51.53</v>
      </c>
    </row>
    <row r="113" spans="1:35" x14ac:dyDescent="0.45">
      <c r="A113" s="2">
        <v>45889</v>
      </c>
      <c r="B113">
        <v>31.74</v>
      </c>
      <c r="C113">
        <v>32.04</v>
      </c>
      <c r="D113">
        <v>18.600000000000001</v>
      </c>
      <c r="E113">
        <v>26.35</v>
      </c>
      <c r="F113">
        <v>33.78</v>
      </c>
      <c r="G113">
        <v>51.75</v>
      </c>
      <c r="H113">
        <v>25.19</v>
      </c>
      <c r="I113">
        <v>58.78</v>
      </c>
      <c r="J113">
        <v>61.17</v>
      </c>
      <c r="K113">
        <v>71.36</v>
      </c>
      <c r="L113">
        <v>27.69</v>
      </c>
      <c r="M113">
        <v>57.11</v>
      </c>
      <c r="N113">
        <v>65.400000000000006</v>
      </c>
      <c r="O113">
        <v>53.8</v>
      </c>
      <c r="P113">
        <v>59.92</v>
      </c>
      <c r="Q113">
        <v>20.079999999999998</v>
      </c>
      <c r="R113">
        <v>1242.31</v>
      </c>
      <c r="S113">
        <v>35.04</v>
      </c>
      <c r="T113">
        <v>19.8</v>
      </c>
      <c r="U113">
        <v>17.690000000000001</v>
      </c>
      <c r="V113">
        <v>37.89</v>
      </c>
      <c r="W113">
        <v>45.674999999999997</v>
      </c>
      <c r="X113">
        <v>26.7</v>
      </c>
      <c r="Y113">
        <v>47.11</v>
      </c>
      <c r="Z113">
        <v>42.39</v>
      </c>
      <c r="AA113">
        <v>79.64</v>
      </c>
      <c r="AB113">
        <v>55.52</v>
      </c>
      <c r="AC113">
        <v>41.72</v>
      </c>
      <c r="AD113">
        <v>565.9</v>
      </c>
      <c r="AE113">
        <v>638.11</v>
      </c>
      <c r="AF113">
        <v>43.97</v>
      </c>
      <c r="AG113">
        <v>53.58</v>
      </c>
      <c r="AH113">
        <v>46.45</v>
      </c>
      <c r="AI113">
        <v>51.69</v>
      </c>
    </row>
    <row r="114" spans="1:35" x14ac:dyDescent="0.45">
      <c r="A114" s="2">
        <v>45888</v>
      </c>
      <c r="B114">
        <v>31.02</v>
      </c>
      <c r="C114">
        <v>32.19</v>
      </c>
      <c r="D114">
        <v>18.309999999999999</v>
      </c>
      <c r="E114">
        <v>26.25</v>
      </c>
      <c r="F114">
        <v>33.79</v>
      </c>
      <c r="G114">
        <v>51.68</v>
      </c>
      <c r="H114">
        <v>25.18</v>
      </c>
      <c r="I114">
        <v>60.09</v>
      </c>
      <c r="J114">
        <v>61.25</v>
      </c>
      <c r="K114">
        <v>71.44</v>
      </c>
      <c r="L114">
        <v>27.36</v>
      </c>
      <c r="M114">
        <v>56.67</v>
      </c>
      <c r="N114">
        <v>65.150000000000006</v>
      </c>
      <c r="O114">
        <v>53.65</v>
      </c>
      <c r="P114">
        <v>59.59</v>
      </c>
      <c r="Q114">
        <v>20.239999999999998</v>
      </c>
      <c r="R114">
        <v>1259.42</v>
      </c>
      <c r="S114">
        <v>34.5</v>
      </c>
      <c r="T114">
        <v>19.8383</v>
      </c>
      <c r="U114">
        <v>17.899999999999999</v>
      </c>
      <c r="V114">
        <v>37.840000000000003</v>
      </c>
      <c r="W114">
        <v>45.604999999999997</v>
      </c>
      <c r="X114">
        <v>26.61</v>
      </c>
      <c r="Y114">
        <v>47</v>
      </c>
      <c r="Z114">
        <v>42.39</v>
      </c>
      <c r="AA114">
        <v>80.02</v>
      </c>
      <c r="AB114">
        <v>54.9</v>
      </c>
      <c r="AC114">
        <v>41.29</v>
      </c>
      <c r="AD114">
        <v>569.28</v>
      </c>
      <c r="AE114">
        <v>639.80999999999995</v>
      </c>
      <c r="AF114">
        <v>43.82</v>
      </c>
      <c r="AG114">
        <v>53.215000000000003</v>
      </c>
      <c r="AH114">
        <v>46.56</v>
      </c>
      <c r="AI114">
        <v>51.62</v>
      </c>
    </row>
    <row r="115" spans="1:35" x14ac:dyDescent="0.45">
      <c r="A115" s="2">
        <v>45887</v>
      </c>
      <c r="B115">
        <v>31.32</v>
      </c>
      <c r="C115">
        <v>32.549999999999997</v>
      </c>
      <c r="D115">
        <v>18.43</v>
      </c>
      <c r="E115">
        <v>26.34</v>
      </c>
      <c r="F115">
        <v>33.64</v>
      </c>
      <c r="G115">
        <v>52.382100000000001</v>
      </c>
      <c r="H115">
        <v>25.13</v>
      </c>
      <c r="I115">
        <v>61.04</v>
      </c>
      <c r="J115">
        <v>61.19</v>
      </c>
      <c r="K115">
        <v>72.8</v>
      </c>
      <c r="L115">
        <v>28.29</v>
      </c>
      <c r="M115">
        <v>57.11</v>
      </c>
      <c r="N115">
        <v>65.58</v>
      </c>
      <c r="O115">
        <v>53.5</v>
      </c>
      <c r="P115">
        <v>60.04</v>
      </c>
      <c r="Q115">
        <v>20.38</v>
      </c>
      <c r="R115">
        <v>1266.67</v>
      </c>
      <c r="S115">
        <v>34.47</v>
      </c>
      <c r="T115">
        <v>19.965</v>
      </c>
      <c r="U115">
        <v>17.84</v>
      </c>
      <c r="V115">
        <v>37.83</v>
      </c>
      <c r="W115">
        <v>45.844999999999999</v>
      </c>
      <c r="X115">
        <v>26.84</v>
      </c>
      <c r="Y115">
        <v>47.35</v>
      </c>
      <c r="Z115">
        <v>42.45</v>
      </c>
      <c r="AA115">
        <v>80.3</v>
      </c>
      <c r="AB115">
        <v>54.35</v>
      </c>
      <c r="AC115">
        <v>41.29</v>
      </c>
      <c r="AD115">
        <v>577.11</v>
      </c>
      <c r="AE115">
        <v>643.29999999999995</v>
      </c>
      <c r="AF115">
        <v>43.55</v>
      </c>
      <c r="AG115">
        <v>53.13</v>
      </c>
      <c r="AH115">
        <v>46.28</v>
      </c>
      <c r="AI115">
        <v>51.54</v>
      </c>
    </row>
    <row r="116" spans="1:35" x14ac:dyDescent="0.45">
      <c r="A116" s="2">
        <v>45884</v>
      </c>
      <c r="B116">
        <v>30.97</v>
      </c>
      <c r="C116">
        <v>32.4</v>
      </c>
      <c r="D116">
        <v>18.5</v>
      </c>
      <c r="E116">
        <v>26.39</v>
      </c>
      <c r="F116">
        <v>33.450000000000003</v>
      </c>
      <c r="G116">
        <v>52.191600000000001</v>
      </c>
      <c r="H116">
        <v>24.98</v>
      </c>
      <c r="I116">
        <v>60.42</v>
      </c>
      <c r="J116">
        <v>61.34</v>
      </c>
      <c r="K116">
        <v>73.39</v>
      </c>
      <c r="L116">
        <v>28.2</v>
      </c>
      <c r="M116">
        <v>57.62</v>
      </c>
      <c r="N116">
        <v>66.89</v>
      </c>
      <c r="O116">
        <v>52.71</v>
      </c>
      <c r="P116">
        <v>59.68</v>
      </c>
      <c r="Q116">
        <v>20.54</v>
      </c>
      <c r="R116">
        <v>1277.43</v>
      </c>
      <c r="S116">
        <v>34.24</v>
      </c>
      <c r="T116">
        <v>19.905000000000001</v>
      </c>
      <c r="U116">
        <v>17.71</v>
      </c>
      <c r="V116">
        <v>37.549999999999997</v>
      </c>
      <c r="W116">
        <v>45.683999999999997</v>
      </c>
      <c r="X116">
        <v>26.83</v>
      </c>
      <c r="Y116">
        <v>47.27</v>
      </c>
      <c r="Z116">
        <v>42.58</v>
      </c>
      <c r="AA116">
        <v>80.150000000000006</v>
      </c>
      <c r="AB116">
        <v>54.5</v>
      </c>
      <c r="AC116">
        <v>41.27</v>
      </c>
      <c r="AD116">
        <v>577.34</v>
      </c>
      <c r="AE116">
        <v>643.44000000000005</v>
      </c>
      <c r="AF116">
        <v>43.89</v>
      </c>
      <c r="AG116">
        <v>53.16</v>
      </c>
      <c r="AH116">
        <v>46.61</v>
      </c>
      <c r="AI116">
        <v>51.79</v>
      </c>
    </row>
    <row r="117" spans="1:35" x14ac:dyDescent="0.45">
      <c r="A117" s="2">
        <v>45883</v>
      </c>
      <c r="B117">
        <v>30.72</v>
      </c>
      <c r="C117">
        <v>32.270000000000003</v>
      </c>
      <c r="D117">
        <v>18.63</v>
      </c>
      <c r="E117">
        <v>26.28</v>
      </c>
      <c r="F117">
        <v>33.270000000000003</v>
      </c>
      <c r="G117">
        <v>51.95</v>
      </c>
      <c r="H117">
        <v>25.03</v>
      </c>
      <c r="I117">
        <v>60.65</v>
      </c>
      <c r="J117">
        <v>60.99</v>
      </c>
      <c r="K117">
        <v>73.66</v>
      </c>
      <c r="L117">
        <v>27.89</v>
      </c>
      <c r="M117">
        <v>57.64</v>
      </c>
      <c r="N117">
        <v>66.53</v>
      </c>
      <c r="O117">
        <v>52.41</v>
      </c>
      <c r="P117">
        <v>59.3</v>
      </c>
      <c r="Q117">
        <v>20.52</v>
      </c>
      <c r="R117">
        <v>1259.07</v>
      </c>
      <c r="S117">
        <v>34.11</v>
      </c>
      <c r="T117">
        <v>19.98</v>
      </c>
      <c r="U117">
        <v>17.760000000000002</v>
      </c>
      <c r="V117">
        <v>37.590000000000003</v>
      </c>
      <c r="W117">
        <v>45.57</v>
      </c>
      <c r="X117">
        <v>26.74</v>
      </c>
      <c r="Y117">
        <v>47.33</v>
      </c>
      <c r="Z117">
        <v>42.5</v>
      </c>
      <c r="AA117">
        <v>78.8</v>
      </c>
      <c r="AB117">
        <v>54.1</v>
      </c>
      <c r="AC117">
        <v>41.5</v>
      </c>
      <c r="AD117">
        <v>579.89</v>
      </c>
      <c r="AE117">
        <v>644.95000000000005</v>
      </c>
      <c r="AF117">
        <v>43.5</v>
      </c>
      <c r="AG117">
        <v>53.3</v>
      </c>
      <c r="AH117">
        <v>46.06</v>
      </c>
      <c r="AI117">
        <v>51.56</v>
      </c>
    </row>
    <row r="118" spans="1:35" x14ac:dyDescent="0.45">
      <c r="A118" s="2">
        <v>45882</v>
      </c>
      <c r="B118">
        <v>31.01</v>
      </c>
      <c r="C118">
        <v>32.54</v>
      </c>
      <c r="D118">
        <v>18.829999999999998</v>
      </c>
      <c r="E118">
        <v>26.72</v>
      </c>
      <c r="F118">
        <v>34.07</v>
      </c>
      <c r="G118">
        <v>52.16</v>
      </c>
      <c r="H118">
        <v>25.27</v>
      </c>
      <c r="I118">
        <v>61.03</v>
      </c>
      <c r="J118">
        <v>61.99</v>
      </c>
      <c r="K118">
        <v>74.72</v>
      </c>
      <c r="L118">
        <v>28.18</v>
      </c>
      <c r="M118">
        <v>58.36</v>
      </c>
      <c r="N118">
        <v>66.81</v>
      </c>
      <c r="O118">
        <v>52.71</v>
      </c>
      <c r="P118">
        <v>60.56</v>
      </c>
      <c r="Q118">
        <v>20.56</v>
      </c>
      <c r="R118">
        <v>1265.1500000000001</v>
      </c>
      <c r="S118">
        <v>34.47</v>
      </c>
      <c r="T118">
        <v>19.93</v>
      </c>
      <c r="U118">
        <v>17.46</v>
      </c>
      <c r="V118">
        <v>37.44</v>
      </c>
      <c r="W118">
        <v>45.82</v>
      </c>
      <c r="X118">
        <v>26.91</v>
      </c>
      <c r="Y118">
        <v>47.64</v>
      </c>
      <c r="Z118">
        <v>42.38</v>
      </c>
      <c r="AA118">
        <v>79.27</v>
      </c>
      <c r="AB118">
        <v>54.2</v>
      </c>
      <c r="AC118">
        <v>41.36</v>
      </c>
      <c r="AD118">
        <v>580.34</v>
      </c>
      <c r="AE118">
        <v>644.89</v>
      </c>
      <c r="AF118">
        <v>43.31</v>
      </c>
      <c r="AG118">
        <v>53.36</v>
      </c>
      <c r="AH118">
        <v>46.02</v>
      </c>
      <c r="AI118">
        <v>51.1</v>
      </c>
    </row>
    <row r="119" spans="1:35" x14ac:dyDescent="0.45">
      <c r="A119" s="2">
        <v>45881</v>
      </c>
      <c r="B119">
        <v>30.73</v>
      </c>
      <c r="C119">
        <v>31.97</v>
      </c>
      <c r="D119">
        <v>18.61</v>
      </c>
      <c r="E119">
        <v>26.55</v>
      </c>
      <c r="F119">
        <v>33.99</v>
      </c>
      <c r="G119">
        <v>51.75</v>
      </c>
      <c r="H119">
        <v>24.94</v>
      </c>
      <c r="I119">
        <v>61.09</v>
      </c>
      <c r="J119">
        <v>62.33</v>
      </c>
      <c r="K119">
        <v>74.099999999999994</v>
      </c>
      <c r="L119">
        <v>28.39</v>
      </c>
      <c r="M119">
        <v>57.5</v>
      </c>
      <c r="N119">
        <v>66.349999999999994</v>
      </c>
      <c r="O119">
        <v>52.465000000000003</v>
      </c>
      <c r="P119">
        <v>58.73</v>
      </c>
      <c r="Q119">
        <v>20.27</v>
      </c>
      <c r="R119">
        <v>1264.47</v>
      </c>
      <c r="S119">
        <v>34.54</v>
      </c>
      <c r="T119">
        <v>20.149999999999999</v>
      </c>
      <c r="U119">
        <v>17.440000000000001</v>
      </c>
      <c r="V119">
        <v>37.49</v>
      </c>
      <c r="W119">
        <v>45.658999999999999</v>
      </c>
      <c r="X119">
        <v>26.96</v>
      </c>
      <c r="Y119">
        <v>47.51</v>
      </c>
      <c r="Z119">
        <v>42.15</v>
      </c>
      <c r="AA119">
        <v>79.23</v>
      </c>
      <c r="AB119">
        <v>53.81</v>
      </c>
      <c r="AC119">
        <v>41.03</v>
      </c>
      <c r="AD119">
        <v>580.04999999999995</v>
      </c>
      <c r="AE119">
        <v>642.69000000000005</v>
      </c>
      <c r="AF119">
        <v>42.89</v>
      </c>
      <c r="AG119">
        <v>52.967399999999998</v>
      </c>
      <c r="AH119">
        <v>45.99</v>
      </c>
      <c r="AI119">
        <v>50.64</v>
      </c>
    </row>
    <row r="120" spans="1:35" x14ac:dyDescent="0.45">
      <c r="A120" s="2">
        <v>45880</v>
      </c>
      <c r="B120">
        <v>30.295000000000002</v>
      </c>
      <c r="C120">
        <v>31.47</v>
      </c>
      <c r="D120">
        <v>17.98</v>
      </c>
      <c r="E120">
        <v>26.19</v>
      </c>
      <c r="F120">
        <v>33.44</v>
      </c>
      <c r="G120">
        <v>51.130899999999997</v>
      </c>
      <c r="H120">
        <v>24.6</v>
      </c>
      <c r="I120">
        <v>60.28</v>
      </c>
      <c r="J120">
        <v>61.54</v>
      </c>
      <c r="K120">
        <v>73.03</v>
      </c>
      <c r="L120">
        <v>27.64</v>
      </c>
      <c r="M120">
        <v>56.36</v>
      </c>
      <c r="N120">
        <v>65.680000000000007</v>
      </c>
      <c r="O120">
        <v>52.27</v>
      </c>
      <c r="P120">
        <v>57.82</v>
      </c>
      <c r="Q120">
        <v>20.034600000000001</v>
      </c>
      <c r="R120">
        <v>1246.96</v>
      </c>
      <c r="S120">
        <v>34.844799999999999</v>
      </c>
      <c r="T120">
        <v>20.079999999999998</v>
      </c>
      <c r="U120">
        <v>17.27</v>
      </c>
      <c r="V120">
        <v>37.43</v>
      </c>
      <c r="W120">
        <v>45.79</v>
      </c>
      <c r="X120">
        <v>26.65</v>
      </c>
      <c r="Y120">
        <v>47.28</v>
      </c>
      <c r="Z120">
        <v>41.94</v>
      </c>
      <c r="AA120">
        <v>77.790000000000006</v>
      </c>
      <c r="AB120">
        <v>53.2</v>
      </c>
      <c r="AC120">
        <v>40.64</v>
      </c>
      <c r="AD120">
        <v>572.85</v>
      </c>
      <c r="AE120">
        <v>635.91999999999996</v>
      </c>
      <c r="AF120">
        <v>42.35</v>
      </c>
      <c r="AG120">
        <v>52.37</v>
      </c>
      <c r="AH120">
        <v>45.23</v>
      </c>
      <c r="AI120">
        <v>49.99</v>
      </c>
    </row>
    <row r="121" spans="1:35" x14ac:dyDescent="0.45">
      <c r="A121" s="2">
        <v>45877</v>
      </c>
      <c r="B121">
        <v>30.27</v>
      </c>
      <c r="C121">
        <v>31.41</v>
      </c>
      <c r="D121">
        <v>17.829999999999998</v>
      </c>
      <c r="E121">
        <v>26.63</v>
      </c>
      <c r="F121">
        <v>33.97</v>
      </c>
      <c r="G121">
        <v>51.72</v>
      </c>
      <c r="H121">
        <v>24.51</v>
      </c>
      <c r="I121">
        <v>60.29</v>
      </c>
      <c r="J121">
        <v>61.64</v>
      </c>
      <c r="K121">
        <v>73.5</v>
      </c>
      <c r="L121">
        <v>27.81</v>
      </c>
      <c r="M121">
        <v>56.45</v>
      </c>
      <c r="N121">
        <v>65.069199999999995</v>
      </c>
      <c r="O121">
        <v>52.12</v>
      </c>
      <c r="P121">
        <v>58.19</v>
      </c>
      <c r="Q121">
        <v>19.93</v>
      </c>
      <c r="R121">
        <v>1229.4000000000001</v>
      </c>
      <c r="S121">
        <v>34.68</v>
      </c>
      <c r="T121">
        <v>20.14</v>
      </c>
      <c r="U121">
        <v>17.18</v>
      </c>
      <c r="V121">
        <v>37.83</v>
      </c>
      <c r="W121">
        <v>45.744999999999997</v>
      </c>
      <c r="X121">
        <v>26.63</v>
      </c>
      <c r="Y121">
        <v>47.34</v>
      </c>
      <c r="Z121">
        <v>42.34</v>
      </c>
      <c r="AA121">
        <v>77.930000000000007</v>
      </c>
      <c r="AB121">
        <v>53.6</v>
      </c>
      <c r="AC121">
        <v>40.53</v>
      </c>
      <c r="AD121">
        <v>574.54999999999995</v>
      </c>
      <c r="AE121">
        <v>637.17999999999995</v>
      </c>
      <c r="AF121">
        <v>42.68</v>
      </c>
      <c r="AG121">
        <v>52.52</v>
      </c>
      <c r="AH121">
        <v>45.88</v>
      </c>
      <c r="AI121">
        <v>50.16</v>
      </c>
    </row>
    <row r="122" spans="1:35" x14ac:dyDescent="0.45">
      <c r="A122" s="2">
        <v>45876</v>
      </c>
      <c r="B122">
        <v>30.3</v>
      </c>
      <c r="C122">
        <v>30.74</v>
      </c>
      <c r="D122">
        <v>17.72</v>
      </c>
      <c r="E122">
        <v>26.49</v>
      </c>
      <c r="F122">
        <v>33.53</v>
      </c>
      <c r="G122">
        <v>50.705500000000001</v>
      </c>
      <c r="H122">
        <v>24.38</v>
      </c>
      <c r="I122">
        <v>60.36</v>
      </c>
      <c r="J122">
        <v>61.65</v>
      </c>
      <c r="K122">
        <v>73.44</v>
      </c>
      <c r="L122">
        <v>28.05</v>
      </c>
      <c r="M122">
        <v>56.66</v>
      </c>
      <c r="N122">
        <v>64.58</v>
      </c>
      <c r="O122">
        <v>52.53</v>
      </c>
      <c r="P122">
        <v>58.2</v>
      </c>
      <c r="Q122">
        <v>19.946000000000002</v>
      </c>
      <c r="R122">
        <v>1218.33</v>
      </c>
      <c r="S122">
        <v>34.61</v>
      </c>
      <c r="T122">
        <v>20.100000000000001</v>
      </c>
      <c r="U122">
        <v>16.8</v>
      </c>
      <c r="V122">
        <v>37.83</v>
      </c>
      <c r="W122">
        <v>45.795000000000002</v>
      </c>
      <c r="X122">
        <v>26.6</v>
      </c>
      <c r="Y122">
        <v>47.34</v>
      </c>
      <c r="Z122">
        <v>42.33</v>
      </c>
      <c r="AA122">
        <v>76.62</v>
      </c>
      <c r="AB122">
        <v>53.68</v>
      </c>
      <c r="AC122">
        <v>40.49</v>
      </c>
      <c r="AD122">
        <v>569.24</v>
      </c>
      <c r="AE122">
        <v>632.25</v>
      </c>
      <c r="AF122">
        <v>42.49</v>
      </c>
      <c r="AG122">
        <v>52.2</v>
      </c>
      <c r="AH122">
        <v>45.6</v>
      </c>
      <c r="AI122">
        <v>49.95</v>
      </c>
    </row>
    <row r="123" spans="1:35" x14ac:dyDescent="0.45">
      <c r="A123" s="2">
        <v>45875</v>
      </c>
      <c r="B123">
        <v>30.33</v>
      </c>
      <c r="C123">
        <v>30.09</v>
      </c>
      <c r="D123">
        <v>17.66</v>
      </c>
      <c r="E123">
        <v>26.41</v>
      </c>
      <c r="F123">
        <v>32.840000000000003</v>
      </c>
      <c r="G123">
        <v>50.183300000000003</v>
      </c>
      <c r="H123">
        <v>24.4</v>
      </c>
      <c r="I123">
        <v>59.14</v>
      </c>
      <c r="J123">
        <v>60.76</v>
      </c>
      <c r="K123">
        <v>73.180000000000007</v>
      </c>
      <c r="L123">
        <v>27.45</v>
      </c>
      <c r="M123">
        <v>56.17</v>
      </c>
      <c r="N123">
        <v>64.2</v>
      </c>
      <c r="O123">
        <v>52.255000000000003</v>
      </c>
      <c r="P123">
        <v>58.36</v>
      </c>
      <c r="Q123">
        <v>19.850000000000001</v>
      </c>
      <c r="R123">
        <v>1242.3499999999999</v>
      </c>
      <c r="S123">
        <v>34.46</v>
      </c>
      <c r="T123">
        <v>20.25</v>
      </c>
      <c r="U123">
        <v>17.09</v>
      </c>
      <c r="V123">
        <v>38.04</v>
      </c>
      <c r="W123">
        <v>45.63</v>
      </c>
      <c r="X123">
        <v>26.66</v>
      </c>
      <c r="Y123">
        <v>47.73</v>
      </c>
      <c r="Z123">
        <v>41.84</v>
      </c>
      <c r="AA123">
        <v>76.03</v>
      </c>
      <c r="AB123">
        <v>52.98</v>
      </c>
      <c r="AC123">
        <v>40.380000000000003</v>
      </c>
      <c r="AD123">
        <v>567.32000000000005</v>
      </c>
      <c r="AE123">
        <v>632.78</v>
      </c>
      <c r="AF123">
        <v>42.02</v>
      </c>
      <c r="AG123">
        <v>51.43</v>
      </c>
      <c r="AH123">
        <v>44.82</v>
      </c>
      <c r="AI123">
        <v>49.52</v>
      </c>
    </row>
    <row r="124" spans="1:35" x14ac:dyDescent="0.45">
      <c r="A124" s="2">
        <v>45874</v>
      </c>
      <c r="B124">
        <v>30.17</v>
      </c>
      <c r="C124">
        <v>30.26</v>
      </c>
      <c r="D124">
        <v>17.62</v>
      </c>
      <c r="E124">
        <v>26.16</v>
      </c>
      <c r="F124">
        <v>31.79</v>
      </c>
      <c r="G124">
        <v>49.7</v>
      </c>
      <c r="H124">
        <v>24.24</v>
      </c>
      <c r="I124">
        <v>58.92</v>
      </c>
      <c r="J124">
        <v>60.19</v>
      </c>
      <c r="K124">
        <v>72.89</v>
      </c>
      <c r="L124">
        <v>27.02</v>
      </c>
      <c r="M124">
        <v>55.4</v>
      </c>
      <c r="N124">
        <v>62.98</v>
      </c>
      <c r="O124">
        <v>52.41</v>
      </c>
      <c r="P124">
        <v>57.86</v>
      </c>
      <c r="Q124">
        <v>19.785</v>
      </c>
      <c r="R124">
        <v>1244.1400000000001</v>
      </c>
      <c r="S124">
        <v>34.29</v>
      </c>
      <c r="T124">
        <v>20.010000000000002</v>
      </c>
      <c r="U124">
        <v>16.670000000000002</v>
      </c>
      <c r="V124">
        <v>37.78</v>
      </c>
      <c r="W124">
        <v>45.255000000000003</v>
      </c>
      <c r="X124">
        <v>26.41</v>
      </c>
      <c r="Y124">
        <v>46.93</v>
      </c>
      <c r="Z124">
        <v>41.49</v>
      </c>
      <c r="AA124">
        <v>75.03</v>
      </c>
      <c r="AB124">
        <v>53.48</v>
      </c>
      <c r="AC124">
        <v>40.229999999999997</v>
      </c>
      <c r="AD124">
        <v>560.27</v>
      </c>
      <c r="AE124">
        <v>627.97</v>
      </c>
      <c r="AF124">
        <v>41.83</v>
      </c>
      <c r="AG124">
        <v>51.33</v>
      </c>
      <c r="AH124">
        <v>44.45</v>
      </c>
      <c r="AI124">
        <v>48.74</v>
      </c>
    </row>
    <row r="125" spans="1:35" x14ac:dyDescent="0.45">
      <c r="A125" s="2">
        <v>45873</v>
      </c>
      <c r="B125">
        <v>29.9</v>
      </c>
      <c r="C125">
        <v>30.24</v>
      </c>
      <c r="D125">
        <v>17.59</v>
      </c>
      <c r="E125">
        <v>26.35</v>
      </c>
      <c r="F125">
        <v>31.94</v>
      </c>
      <c r="G125">
        <v>49.27</v>
      </c>
      <c r="H125">
        <v>24.13</v>
      </c>
      <c r="I125">
        <v>58.84</v>
      </c>
      <c r="J125">
        <v>59.23</v>
      </c>
      <c r="K125">
        <v>72.33</v>
      </c>
      <c r="L125">
        <v>26.93</v>
      </c>
      <c r="M125">
        <v>55.05</v>
      </c>
      <c r="N125">
        <v>62.02</v>
      </c>
      <c r="O125">
        <v>52.48</v>
      </c>
      <c r="P125">
        <v>57.47</v>
      </c>
      <c r="Q125">
        <v>19.71</v>
      </c>
      <c r="R125">
        <v>1233.68</v>
      </c>
      <c r="S125">
        <v>34.32</v>
      </c>
      <c r="T125">
        <v>20.21</v>
      </c>
      <c r="U125">
        <v>16.579999999999998</v>
      </c>
      <c r="V125">
        <v>37.630000000000003</v>
      </c>
      <c r="W125">
        <v>44.93</v>
      </c>
      <c r="X125">
        <v>26.28</v>
      </c>
      <c r="Y125">
        <v>46.58</v>
      </c>
      <c r="Z125">
        <v>41.3</v>
      </c>
      <c r="AA125">
        <v>75.290000000000006</v>
      </c>
      <c r="AB125">
        <v>53.31</v>
      </c>
      <c r="AC125">
        <v>40.21</v>
      </c>
      <c r="AD125">
        <v>564.1</v>
      </c>
      <c r="AE125">
        <v>631.16999999999996</v>
      </c>
      <c r="AF125">
        <v>41.86</v>
      </c>
      <c r="AG125">
        <v>51.35</v>
      </c>
      <c r="AH125">
        <v>44.3</v>
      </c>
      <c r="AI125">
        <v>48.57</v>
      </c>
    </row>
    <row r="126" spans="1:35" x14ac:dyDescent="0.45">
      <c r="A126" s="2">
        <v>45870</v>
      </c>
      <c r="B126">
        <v>29.6</v>
      </c>
      <c r="C126">
        <v>29.98</v>
      </c>
      <c r="D126">
        <v>17.61</v>
      </c>
      <c r="E126">
        <v>25.78</v>
      </c>
      <c r="F126">
        <v>31.7</v>
      </c>
      <c r="G126">
        <v>48.35</v>
      </c>
      <c r="H126">
        <v>23.98</v>
      </c>
      <c r="I126">
        <v>58.39</v>
      </c>
      <c r="J126">
        <v>59.6</v>
      </c>
      <c r="K126">
        <v>70.650000000000006</v>
      </c>
      <c r="L126">
        <v>26.65</v>
      </c>
      <c r="M126">
        <v>53.43</v>
      </c>
      <c r="N126">
        <v>60.34</v>
      </c>
      <c r="O126">
        <v>52.72</v>
      </c>
      <c r="P126">
        <v>56.52</v>
      </c>
      <c r="Q126">
        <v>19.664999999999999</v>
      </c>
      <c r="R126">
        <v>1217.1500000000001</v>
      </c>
      <c r="S126">
        <v>33.92</v>
      </c>
      <c r="T126">
        <v>19.95</v>
      </c>
      <c r="U126">
        <v>15.95</v>
      </c>
      <c r="V126">
        <v>37.32</v>
      </c>
      <c r="W126">
        <v>44.69</v>
      </c>
      <c r="X126">
        <v>25.91</v>
      </c>
      <c r="Y126">
        <v>45.86</v>
      </c>
      <c r="Z126">
        <v>40.75</v>
      </c>
      <c r="AA126">
        <v>74.069999999999993</v>
      </c>
      <c r="AB126">
        <v>52.43</v>
      </c>
      <c r="AC126">
        <v>39.94</v>
      </c>
      <c r="AD126">
        <v>553.88</v>
      </c>
      <c r="AE126">
        <v>621.72</v>
      </c>
      <c r="AF126">
        <v>41.43</v>
      </c>
      <c r="AG126">
        <v>50.85</v>
      </c>
      <c r="AH126">
        <v>43.68</v>
      </c>
      <c r="AI126">
        <v>47.83</v>
      </c>
    </row>
    <row r="127" spans="1:35" x14ac:dyDescent="0.45">
      <c r="A127" s="2">
        <v>45869</v>
      </c>
      <c r="B127">
        <v>29.68</v>
      </c>
      <c r="C127">
        <v>29.83</v>
      </c>
      <c r="D127">
        <v>17.27</v>
      </c>
      <c r="E127">
        <v>25.42</v>
      </c>
      <c r="F127">
        <v>31.75</v>
      </c>
      <c r="G127">
        <v>48.65</v>
      </c>
      <c r="H127">
        <v>23.49</v>
      </c>
      <c r="I127">
        <v>58.36</v>
      </c>
      <c r="J127">
        <v>60.14</v>
      </c>
      <c r="K127">
        <v>72.81</v>
      </c>
      <c r="L127">
        <v>26.55</v>
      </c>
      <c r="M127">
        <v>53.05</v>
      </c>
      <c r="N127">
        <v>60.51</v>
      </c>
      <c r="O127">
        <v>52.64</v>
      </c>
      <c r="P127">
        <v>57.43</v>
      </c>
      <c r="Q127">
        <v>19.655000000000001</v>
      </c>
      <c r="R127">
        <v>1212.49</v>
      </c>
      <c r="S127">
        <v>33.85</v>
      </c>
      <c r="T127">
        <v>20.039899999999999</v>
      </c>
      <c r="U127">
        <v>16.010000000000002</v>
      </c>
      <c r="V127">
        <v>37.56</v>
      </c>
      <c r="W127">
        <v>45.05</v>
      </c>
      <c r="X127">
        <v>26.02</v>
      </c>
      <c r="Y127">
        <v>46.18</v>
      </c>
      <c r="Z127">
        <v>41.15</v>
      </c>
      <c r="AA127">
        <v>73.62</v>
      </c>
      <c r="AB127">
        <v>52.72</v>
      </c>
      <c r="AC127">
        <v>39.81</v>
      </c>
      <c r="AD127">
        <v>565.01</v>
      </c>
      <c r="AE127">
        <v>632.08000000000004</v>
      </c>
      <c r="AF127">
        <v>41.94</v>
      </c>
      <c r="AG127">
        <v>51.26</v>
      </c>
      <c r="AH127">
        <v>43.86</v>
      </c>
      <c r="AI127">
        <v>48.25</v>
      </c>
    </row>
    <row r="128" spans="1:35" x14ac:dyDescent="0.45">
      <c r="A128" s="2">
        <v>45868</v>
      </c>
      <c r="B128">
        <v>30.24</v>
      </c>
      <c r="C128">
        <v>29.48</v>
      </c>
      <c r="D128">
        <v>17.579999999999998</v>
      </c>
      <c r="E128">
        <v>26.175000000000001</v>
      </c>
      <c r="F128">
        <v>32.21</v>
      </c>
      <c r="G128">
        <v>47.99</v>
      </c>
      <c r="H128">
        <v>23.84</v>
      </c>
      <c r="I128">
        <v>58.35</v>
      </c>
      <c r="J128">
        <v>60.17</v>
      </c>
      <c r="K128">
        <v>73.680000000000007</v>
      </c>
      <c r="L128">
        <v>26.88</v>
      </c>
      <c r="M128">
        <v>53.99</v>
      </c>
      <c r="N128">
        <v>60.44</v>
      </c>
      <c r="O128">
        <v>52.7</v>
      </c>
      <c r="P128">
        <v>57.89</v>
      </c>
      <c r="Q128">
        <v>19.66</v>
      </c>
      <c r="R128">
        <v>1219.6199999999999</v>
      </c>
      <c r="S128">
        <v>33.659999999999997</v>
      </c>
      <c r="T128">
        <v>20.260000000000002</v>
      </c>
      <c r="U128">
        <v>16.03</v>
      </c>
      <c r="V128">
        <v>37.619999999999997</v>
      </c>
      <c r="W128">
        <v>45.19</v>
      </c>
      <c r="X128">
        <v>26.15</v>
      </c>
      <c r="Y128">
        <v>46.38</v>
      </c>
      <c r="Z128">
        <v>41.63</v>
      </c>
      <c r="AA128">
        <v>73.98</v>
      </c>
      <c r="AB128">
        <v>53.48</v>
      </c>
      <c r="AC128">
        <v>40.04</v>
      </c>
      <c r="AD128">
        <v>568.02</v>
      </c>
      <c r="AE128">
        <v>634.46</v>
      </c>
      <c r="AF128">
        <v>42.47</v>
      </c>
      <c r="AG128">
        <v>52.2</v>
      </c>
      <c r="AH128">
        <v>44.54</v>
      </c>
      <c r="AI128">
        <v>49.13</v>
      </c>
    </row>
    <row r="129" spans="1:35" x14ac:dyDescent="0.45">
      <c r="A129" s="2">
        <v>45867</v>
      </c>
      <c r="B129">
        <v>30.44</v>
      </c>
      <c r="C129">
        <v>29.83</v>
      </c>
      <c r="D129">
        <v>17.8</v>
      </c>
      <c r="E129">
        <v>26.37</v>
      </c>
      <c r="F129">
        <v>32.25</v>
      </c>
      <c r="G129">
        <v>49.44</v>
      </c>
      <c r="H129">
        <v>24.04</v>
      </c>
      <c r="I129">
        <v>58.62</v>
      </c>
      <c r="J129">
        <v>60.93</v>
      </c>
      <c r="K129">
        <v>73.489999999999995</v>
      </c>
      <c r="L129">
        <v>26.76</v>
      </c>
      <c r="M129">
        <v>54.54</v>
      </c>
      <c r="N129">
        <v>60.98</v>
      </c>
      <c r="O129">
        <v>53.49</v>
      </c>
      <c r="P129">
        <v>58.56</v>
      </c>
      <c r="Q129">
        <v>19.600000000000001</v>
      </c>
      <c r="R129">
        <v>1191.75</v>
      </c>
      <c r="S129">
        <v>33.28</v>
      </c>
      <c r="T129">
        <v>20.145</v>
      </c>
      <c r="U129">
        <v>15.9</v>
      </c>
      <c r="V129">
        <v>37.39</v>
      </c>
      <c r="W129">
        <v>45.834299999999999</v>
      </c>
      <c r="X129">
        <v>26.37</v>
      </c>
      <c r="Y129">
        <v>46.79</v>
      </c>
      <c r="Z129">
        <v>41.89</v>
      </c>
      <c r="AA129">
        <v>73.88</v>
      </c>
      <c r="AB129">
        <v>54.12</v>
      </c>
      <c r="AC129">
        <v>40.39</v>
      </c>
      <c r="AD129">
        <v>567.26</v>
      </c>
      <c r="AE129">
        <v>635.26</v>
      </c>
      <c r="AF129">
        <v>42.91</v>
      </c>
      <c r="AG129">
        <v>52.69</v>
      </c>
      <c r="AH129">
        <v>44.96</v>
      </c>
      <c r="AI129">
        <v>49.06</v>
      </c>
    </row>
    <row r="130" spans="1:35" x14ac:dyDescent="0.45">
      <c r="A130" s="2">
        <v>45866</v>
      </c>
      <c r="B130">
        <v>30.29</v>
      </c>
      <c r="C130">
        <v>29.78</v>
      </c>
      <c r="D130">
        <v>17.75</v>
      </c>
      <c r="E130">
        <v>26.55</v>
      </c>
      <c r="F130">
        <v>32.130000000000003</v>
      </c>
      <c r="G130">
        <v>49.15</v>
      </c>
      <c r="H130">
        <v>24.05</v>
      </c>
      <c r="I130">
        <v>59.06</v>
      </c>
      <c r="J130">
        <v>60.06</v>
      </c>
      <c r="K130">
        <v>72.709999999999994</v>
      </c>
      <c r="L130">
        <v>26.52</v>
      </c>
      <c r="M130">
        <v>54.22</v>
      </c>
      <c r="N130">
        <v>60.45</v>
      </c>
      <c r="O130">
        <v>53.23</v>
      </c>
      <c r="P130">
        <v>58.7</v>
      </c>
      <c r="Q130">
        <v>19.600000000000001</v>
      </c>
      <c r="R130">
        <v>1208.1300000000001</v>
      </c>
      <c r="S130">
        <v>33.43</v>
      </c>
      <c r="T130">
        <v>20.32</v>
      </c>
      <c r="U130">
        <v>16.78</v>
      </c>
      <c r="V130">
        <v>37.61</v>
      </c>
      <c r="W130">
        <v>45.64</v>
      </c>
      <c r="X130">
        <v>26.22</v>
      </c>
      <c r="Y130">
        <v>46.72</v>
      </c>
      <c r="Z130">
        <v>41.67</v>
      </c>
      <c r="AA130">
        <v>74.27</v>
      </c>
      <c r="AB130">
        <v>54.16</v>
      </c>
      <c r="AC130">
        <v>40.119999999999997</v>
      </c>
      <c r="AD130">
        <v>568.14</v>
      </c>
      <c r="AE130">
        <v>636.94000000000005</v>
      </c>
      <c r="AF130">
        <v>42.8</v>
      </c>
      <c r="AG130">
        <v>52.91</v>
      </c>
      <c r="AH130">
        <v>45.78</v>
      </c>
      <c r="AI130">
        <v>48.78</v>
      </c>
    </row>
    <row r="131" spans="1:35" x14ac:dyDescent="0.45">
      <c r="A131" s="2">
        <v>45863</v>
      </c>
      <c r="B131">
        <v>30.31</v>
      </c>
      <c r="C131">
        <v>30.34</v>
      </c>
      <c r="D131">
        <v>17.600000000000001</v>
      </c>
      <c r="E131">
        <v>26.752199999999998</v>
      </c>
      <c r="F131">
        <v>33.35</v>
      </c>
      <c r="G131">
        <v>49.61</v>
      </c>
      <c r="H131">
        <v>24.19</v>
      </c>
      <c r="I131">
        <v>59.43</v>
      </c>
      <c r="J131">
        <v>61.05</v>
      </c>
      <c r="K131">
        <v>73.209999999999994</v>
      </c>
      <c r="L131">
        <v>26.94</v>
      </c>
      <c r="M131">
        <v>54.74</v>
      </c>
      <c r="N131">
        <v>62.15</v>
      </c>
      <c r="O131">
        <v>53.8</v>
      </c>
      <c r="P131">
        <v>58.93</v>
      </c>
      <c r="Q131">
        <v>19.63</v>
      </c>
      <c r="R131">
        <v>1206.58</v>
      </c>
      <c r="S131">
        <v>33.79</v>
      </c>
      <c r="T131">
        <v>20.350000000000001</v>
      </c>
      <c r="U131">
        <v>16.47</v>
      </c>
      <c r="V131">
        <v>37.72</v>
      </c>
      <c r="W131">
        <v>46.051099999999998</v>
      </c>
      <c r="X131">
        <v>26.48</v>
      </c>
      <c r="Y131">
        <v>47.01</v>
      </c>
      <c r="Z131">
        <v>42.81</v>
      </c>
      <c r="AA131">
        <v>75.680000000000007</v>
      </c>
      <c r="AB131">
        <v>55.16</v>
      </c>
      <c r="AC131">
        <v>40.64</v>
      </c>
      <c r="AD131">
        <v>566.37</v>
      </c>
      <c r="AE131">
        <v>637.1</v>
      </c>
      <c r="AF131">
        <v>43.72</v>
      </c>
      <c r="AG131">
        <v>53.5</v>
      </c>
      <c r="AH131">
        <v>46.38</v>
      </c>
      <c r="AI131">
        <v>49.56</v>
      </c>
    </row>
    <row r="132" spans="1:35" x14ac:dyDescent="0.45">
      <c r="A132" s="2">
        <v>45862</v>
      </c>
      <c r="B132">
        <v>30.45</v>
      </c>
      <c r="C132">
        <v>30.49</v>
      </c>
      <c r="D132">
        <v>17.809999999999999</v>
      </c>
      <c r="E132">
        <v>27</v>
      </c>
      <c r="F132">
        <v>33.29</v>
      </c>
      <c r="G132">
        <v>49.98</v>
      </c>
      <c r="H132">
        <v>24.3</v>
      </c>
      <c r="I132">
        <v>59.39</v>
      </c>
      <c r="J132">
        <v>60.85</v>
      </c>
      <c r="K132">
        <v>73.31</v>
      </c>
      <c r="L132">
        <v>27.13</v>
      </c>
      <c r="M132">
        <v>55.44</v>
      </c>
      <c r="N132">
        <v>62</v>
      </c>
      <c r="O132">
        <v>54.06</v>
      </c>
      <c r="P132">
        <v>59.18</v>
      </c>
      <c r="Q132">
        <v>19.61</v>
      </c>
      <c r="R132">
        <v>1198.1099999999999</v>
      </c>
      <c r="S132">
        <v>33.950000000000003</v>
      </c>
      <c r="T132">
        <v>20.11</v>
      </c>
      <c r="U132">
        <v>15.994999999999999</v>
      </c>
      <c r="V132">
        <v>37.68</v>
      </c>
      <c r="W132">
        <v>45.98</v>
      </c>
      <c r="X132">
        <v>26.58</v>
      </c>
      <c r="Y132">
        <v>46.97</v>
      </c>
      <c r="Z132">
        <v>42.7</v>
      </c>
      <c r="AA132">
        <v>76.55</v>
      </c>
      <c r="AB132">
        <v>55.12</v>
      </c>
      <c r="AC132">
        <v>40.770000000000003</v>
      </c>
      <c r="AD132">
        <v>565.01</v>
      </c>
      <c r="AE132">
        <v>634.41999999999996</v>
      </c>
      <c r="AF132">
        <v>43.4</v>
      </c>
      <c r="AG132">
        <v>53.93</v>
      </c>
      <c r="AH132">
        <v>45.9</v>
      </c>
      <c r="AI132">
        <v>49.12</v>
      </c>
    </row>
    <row r="133" spans="1:35" x14ac:dyDescent="0.45">
      <c r="A133" s="2">
        <v>45861</v>
      </c>
      <c r="B133">
        <v>30.35</v>
      </c>
      <c r="C133">
        <v>30.41</v>
      </c>
      <c r="D133">
        <v>17.809999999999999</v>
      </c>
      <c r="E133">
        <v>27.09</v>
      </c>
      <c r="F133">
        <v>33.450000000000003</v>
      </c>
      <c r="G133">
        <v>50.3</v>
      </c>
      <c r="H133">
        <v>24.21</v>
      </c>
      <c r="I133">
        <v>59.8</v>
      </c>
      <c r="J133">
        <v>60.47</v>
      </c>
      <c r="K133">
        <v>73.849999999999994</v>
      </c>
      <c r="L133">
        <v>27.48</v>
      </c>
      <c r="M133">
        <v>56.27</v>
      </c>
      <c r="N133">
        <v>62.58</v>
      </c>
      <c r="O133">
        <v>54.73</v>
      </c>
      <c r="P133">
        <v>59.25</v>
      </c>
      <c r="Q133">
        <v>19.54</v>
      </c>
      <c r="R133">
        <v>1157.6300000000001</v>
      </c>
      <c r="S133">
        <v>33.86</v>
      </c>
      <c r="T133">
        <v>20.105</v>
      </c>
      <c r="U133">
        <v>16</v>
      </c>
      <c r="V133">
        <v>37.97</v>
      </c>
      <c r="W133">
        <v>46.134999999999998</v>
      </c>
      <c r="X133">
        <v>26.82</v>
      </c>
      <c r="Y133">
        <v>47.17</v>
      </c>
      <c r="Z133">
        <v>43.21</v>
      </c>
      <c r="AA133">
        <v>76.489999999999995</v>
      </c>
      <c r="AB133">
        <v>56.2</v>
      </c>
      <c r="AC133">
        <v>40.9</v>
      </c>
      <c r="AD133">
        <v>563.80999999999995</v>
      </c>
      <c r="AE133">
        <v>634.21</v>
      </c>
      <c r="AF133">
        <v>44.4</v>
      </c>
      <c r="AG133">
        <v>54.25</v>
      </c>
      <c r="AH133">
        <v>46.3</v>
      </c>
      <c r="AI133">
        <v>49.84</v>
      </c>
    </row>
    <row r="134" spans="1:35" x14ac:dyDescent="0.45">
      <c r="A134" s="2">
        <v>45860</v>
      </c>
      <c r="B134">
        <v>30.364999999999998</v>
      </c>
      <c r="C134">
        <v>30.39</v>
      </c>
      <c r="D134">
        <v>17.559999999999999</v>
      </c>
      <c r="E134">
        <v>26.52</v>
      </c>
      <c r="F134">
        <v>32.93</v>
      </c>
      <c r="G134">
        <v>49.55</v>
      </c>
      <c r="H134">
        <v>23.99</v>
      </c>
      <c r="I134">
        <v>58.72</v>
      </c>
      <c r="J134">
        <v>59.03</v>
      </c>
      <c r="K134">
        <v>72.89</v>
      </c>
      <c r="L134">
        <v>27</v>
      </c>
      <c r="M134">
        <v>55.74</v>
      </c>
      <c r="N134">
        <v>61.43</v>
      </c>
      <c r="O134">
        <v>54.61</v>
      </c>
      <c r="P134">
        <v>58.664999999999999</v>
      </c>
      <c r="Q134">
        <v>19.34</v>
      </c>
      <c r="R134">
        <v>1161.01</v>
      </c>
      <c r="S134">
        <v>33.869999999999997</v>
      </c>
      <c r="T134">
        <v>19.795000000000002</v>
      </c>
      <c r="U134">
        <v>15.82</v>
      </c>
      <c r="V134">
        <v>37.5</v>
      </c>
      <c r="W134">
        <v>46.155000000000001</v>
      </c>
      <c r="X134">
        <v>26.55</v>
      </c>
      <c r="Y134">
        <v>47.09</v>
      </c>
      <c r="Z134">
        <v>42.42</v>
      </c>
      <c r="AA134">
        <v>72.98</v>
      </c>
      <c r="AB134">
        <v>54.96</v>
      </c>
      <c r="AC134">
        <v>40.43</v>
      </c>
      <c r="AD134">
        <v>561.25</v>
      </c>
      <c r="AE134">
        <v>628.86</v>
      </c>
      <c r="AF134">
        <v>43.16</v>
      </c>
      <c r="AG134">
        <v>53.37</v>
      </c>
      <c r="AH134">
        <v>45.21</v>
      </c>
      <c r="AI134">
        <v>48.55</v>
      </c>
    </row>
    <row r="135" spans="1:35" x14ac:dyDescent="0.45">
      <c r="A135" s="2">
        <v>45859</v>
      </c>
      <c r="B135">
        <v>29.98</v>
      </c>
      <c r="C135">
        <v>30.3</v>
      </c>
      <c r="D135">
        <v>17.73</v>
      </c>
      <c r="E135">
        <v>26.34</v>
      </c>
      <c r="F135">
        <v>32.9</v>
      </c>
      <c r="G135">
        <v>48.93</v>
      </c>
      <c r="H135">
        <v>24.03</v>
      </c>
      <c r="I135">
        <v>59.36</v>
      </c>
      <c r="J135">
        <v>59.24</v>
      </c>
      <c r="K135">
        <v>73.87</v>
      </c>
      <c r="L135">
        <v>27.08</v>
      </c>
      <c r="M135">
        <v>55.7</v>
      </c>
      <c r="N135">
        <v>61.53</v>
      </c>
      <c r="O135">
        <v>54.75</v>
      </c>
      <c r="P135">
        <v>57.81</v>
      </c>
      <c r="Q135">
        <v>19.12</v>
      </c>
      <c r="R135">
        <v>1143.31</v>
      </c>
      <c r="S135">
        <v>33.93</v>
      </c>
      <c r="T135">
        <v>19.899999999999999</v>
      </c>
      <c r="U135">
        <v>15.35</v>
      </c>
      <c r="V135">
        <v>37.82</v>
      </c>
      <c r="W135">
        <v>46.367600000000003</v>
      </c>
      <c r="X135">
        <v>26.37</v>
      </c>
      <c r="Y135">
        <v>46.71</v>
      </c>
      <c r="Z135">
        <v>42.42</v>
      </c>
      <c r="AA135">
        <v>72.61</v>
      </c>
      <c r="AB135">
        <v>54.51</v>
      </c>
      <c r="AC135">
        <v>40.01</v>
      </c>
      <c r="AD135">
        <v>564.16999999999996</v>
      </c>
      <c r="AE135">
        <v>628.77</v>
      </c>
      <c r="AF135">
        <v>43.03</v>
      </c>
      <c r="AG135">
        <v>53.41</v>
      </c>
      <c r="AH135">
        <v>45.25</v>
      </c>
      <c r="AI135">
        <v>48.03</v>
      </c>
    </row>
    <row r="136" spans="1:35" x14ac:dyDescent="0.45">
      <c r="A136" s="2">
        <v>45856</v>
      </c>
      <c r="B136">
        <v>29.73</v>
      </c>
      <c r="C136">
        <v>30.16</v>
      </c>
      <c r="D136">
        <v>17.690000000000001</v>
      </c>
      <c r="E136">
        <v>26.11</v>
      </c>
      <c r="F136">
        <v>32.86</v>
      </c>
      <c r="G136">
        <v>48.32</v>
      </c>
      <c r="H136">
        <v>23.93</v>
      </c>
      <c r="I136">
        <v>59.24</v>
      </c>
      <c r="J136">
        <v>59.46</v>
      </c>
      <c r="K136">
        <v>72.39</v>
      </c>
      <c r="L136">
        <v>26.85</v>
      </c>
      <c r="M136">
        <v>54.81</v>
      </c>
      <c r="N136">
        <v>61.2</v>
      </c>
      <c r="O136">
        <v>54.5</v>
      </c>
      <c r="P136">
        <v>57.45</v>
      </c>
      <c r="Q136">
        <v>18.91</v>
      </c>
      <c r="R136">
        <v>1121.1300000000001</v>
      </c>
      <c r="S136">
        <v>32.994999999999997</v>
      </c>
      <c r="T136">
        <v>19.98</v>
      </c>
      <c r="U136">
        <v>15.574999999999999</v>
      </c>
      <c r="V136">
        <v>38.130000000000003</v>
      </c>
      <c r="W136">
        <v>45.695</v>
      </c>
      <c r="X136">
        <v>26.45</v>
      </c>
      <c r="Y136">
        <v>46.59</v>
      </c>
      <c r="Z136">
        <v>42.13</v>
      </c>
      <c r="AA136">
        <v>71.81</v>
      </c>
      <c r="AB136">
        <v>54.48</v>
      </c>
      <c r="AC136">
        <v>39.799999999999997</v>
      </c>
      <c r="AD136">
        <v>561.26</v>
      </c>
      <c r="AE136">
        <v>627.58000000000004</v>
      </c>
      <c r="AF136">
        <v>42.92</v>
      </c>
      <c r="AG136">
        <v>53.46</v>
      </c>
      <c r="AH136">
        <v>44.65</v>
      </c>
      <c r="AI136">
        <v>47.79</v>
      </c>
    </row>
    <row r="137" spans="1:35" x14ac:dyDescent="0.45">
      <c r="A137" s="2">
        <v>45855</v>
      </c>
      <c r="B137">
        <v>29.6</v>
      </c>
      <c r="C137">
        <v>30.23</v>
      </c>
      <c r="D137">
        <v>17.760000000000002</v>
      </c>
      <c r="E137">
        <v>26.08</v>
      </c>
      <c r="F137">
        <v>32.340000000000003</v>
      </c>
      <c r="G137">
        <v>48.2014</v>
      </c>
      <c r="H137">
        <v>23.93</v>
      </c>
      <c r="I137">
        <v>59.48</v>
      </c>
      <c r="J137">
        <v>59.79</v>
      </c>
      <c r="K137">
        <v>73.06</v>
      </c>
      <c r="L137">
        <v>27.69</v>
      </c>
      <c r="M137">
        <v>53.57</v>
      </c>
      <c r="N137">
        <v>61.52</v>
      </c>
      <c r="O137">
        <v>55.01</v>
      </c>
      <c r="P137">
        <v>56.92</v>
      </c>
      <c r="Q137">
        <v>18.96</v>
      </c>
      <c r="R137">
        <v>1110.4000000000001</v>
      </c>
      <c r="S137">
        <v>33.15</v>
      </c>
      <c r="T137">
        <v>20.05</v>
      </c>
      <c r="U137">
        <v>15.67</v>
      </c>
      <c r="V137">
        <v>38.17</v>
      </c>
      <c r="W137">
        <v>45.872</v>
      </c>
      <c r="X137">
        <v>26.28</v>
      </c>
      <c r="Y137">
        <v>46.71</v>
      </c>
      <c r="Z137">
        <v>42.35</v>
      </c>
      <c r="AA137">
        <v>72.39</v>
      </c>
      <c r="AB137">
        <v>54.36</v>
      </c>
      <c r="AC137">
        <v>39.83</v>
      </c>
      <c r="AD137">
        <v>561.79999999999995</v>
      </c>
      <c r="AE137">
        <v>628.04</v>
      </c>
      <c r="AF137">
        <v>42.98</v>
      </c>
      <c r="AG137">
        <v>53.51</v>
      </c>
      <c r="AH137">
        <v>44.98</v>
      </c>
      <c r="AI137">
        <v>47.75</v>
      </c>
    </row>
    <row r="138" spans="1:35" x14ac:dyDescent="0.45">
      <c r="A138" s="2">
        <v>45854</v>
      </c>
      <c r="B138">
        <v>29.26</v>
      </c>
      <c r="C138">
        <v>29.77</v>
      </c>
      <c r="D138">
        <v>17.7</v>
      </c>
      <c r="E138">
        <v>26.35</v>
      </c>
      <c r="F138">
        <v>31.97</v>
      </c>
      <c r="G138">
        <v>48.003799999999998</v>
      </c>
      <c r="H138">
        <v>23.71</v>
      </c>
      <c r="I138">
        <v>58.98</v>
      </c>
      <c r="J138">
        <v>59.77</v>
      </c>
      <c r="K138">
        <v>73.08</v>
      </c>
      <c r="L138">
        <v>27.57</v>
      </c>
      <c r="M138">
        <v>53.43</v>
      </c>
      <c r="N138">
        <v>60.8</v>
      </c>
      <c r="O138">
        <v>55.27</v>
      </c>
      <c r="P138">
        <v>56.51</v>
      </c>
      <c r="Q138">
        <v>18.779</v>
      </c>
      <c r="R138">
        <v>1115.6500000000001</v>
      </c>
      <c r="S138">
        <v>32.5</v>
      </c>
      <c r="T138">
        <v>19.86</v>
      </c>
      <c r="U138">
        <v>15.41</v>
      </c>
      <c r="V138">
        <v>38.1</v>
      </c>
      <c r="W138">
        <v>45.56</v>
      </c>
      <c r="X138">
        <v>26.19</v>
      </c>
      <c r="Y138">
        <v>46.47</v>
      </c>
      <c r="Z138">
        <v>42.18</v>
      </c>
      <c r="AA138">
        <v>72.02</v>
      </c>
      <c r="AB138">
        <v>54.55</v>
      </c>
      <c r="AC138">
        <v>39.85</v>
      </c>
      <c r="AD138">
        <v>557.29</v>
      </c>
      <c r="AE138">
        <v>624.22</v>
      </c>
      <c r="AF138">
        <v>42.74</v>
      </c>
      <c r="AG138">
        <v>53.47</v>
      </c>
      <c r="AH138">
        <v>44.63</v>
      </c>
      <c r="AI138">
        <v>47.76</v>
      </c>
    </row>
    <row r="139" spans="1:35" x14ac:dyDescent="0.45">
      <c r="A139" s="2">
        <v>45853</v>
      </c>
      <c r="B139">
        <v>29.29</v>
      </c>
      <c r="C139">
        <v>29.89</v>
      </c>
      <c r="D139">
        <v>17.72</v>
      </c>
      <c r="E139">
        <v>26.96</v>
      </c>
      <c r="F139">
        <v>31.66</v>
      </c>
      <c r="G139">
        <v>48.12</v>
      </c>
      <c r="H139">
        <v>23.8</v>
      </c>
      <c r="I139">
        <v>58.27</v>
      </c>
      <c r="J139">
        <v>59.38</v>
      </c>
      <c r="K139">
        <v>73.069999999999993</v>
      </c>
      <c r="L139">
        <v>27.47</v>
      </c>
      <c r="M139">
        <v>52.86</v>
      </c>
      <c r="N139">
        <v>60.25</v>
      </c>
      <c r="O139">
        <v>54.875</v>
      </c>
      <c r="P139">
        <v>56.68</v>
      </c>
      <c r="Q139">
        <v>18.690000000000001</v>
      </c>
      <c r="R139">
        <v>1123</v>
      </c>
      <c r="S139">
        <v>32.840000000000003</v>
      </c>
      <c r="T139">
        <v>19.41</v>
      </c>
      <c r="U139">
        <v>15.04</v>
      </c>
      <c r="V139">
        <v>38.090000000000003</v>
      </c>
      <c r="W139">
        <v>44.89</v>
      </c>
      <c r="X139">
        <v>26.07</v>
      </c>
      <c r="Y139">
        <v>46.04</v>
      </c>
      <c r="Z139">
        <v>41.82</v>
      </c>
      <c r="AA139">
        <v>71.69</v>
      </c>
      <c r="AB139">
        <v>54.18</v>
      </c>
      <c r="AC139">
        <v>39.590000000000003</v>
      </c>
      <c r="AD139">
        <v>556.72</v>
      </c>
      <c r="AE139">
        <v>622.14</v>
      </c>
      <c r="AF139">
        <v>42.56</v>
      </c>
      <c r="AG139">
        <v>54.45</v>
      </c>
      <c r="AH139">
        <v>44.69</v>
      </c>
      <c r="AI139">
        <v>47.32</v>
      </c>
    </row>
    <row r="140" spans="1:35" x14ac:dyDescent="0.45">
      <c r="A140" s="2">
        <v>45852</v>
      </c>
      <c r="B140">
        <v>29.395</v>
      </c>
      <c r="C140">
        <v>30.21</v>
      </c>
      <c r="D140">
        <v>17.63</v>
      </c>
      <c r="E140">
        <v>27.36</v>
      </c>
      <c r="F140">
        <v>32.14</v>
      </c>
      <c r="G140">
        <v>48.69</v>
      </c>
      <c r="H140">
        <v>24.09</v>
      </c>
      <c r="I140">
        <v>57.81</v>
      </c>
      <c r="J140">
        <v>59.61</v>
      </c>
      <c r="K140">
        <v>73.2</v>
      </c>
      <c r="L140">
        <v>27.31</v>
      </c>
      <c r="M140">
        <v>52.99</v>
      </c>
      <c r="N140">
        <v>60.82</v>
      </c>
      <c r="O140">
        <v>54.92</v>
      </c>
      <c r="P140">
        <v>55.55</v>
      </c>
      <c r="Q140">
        <v>18.71</v>
      </c>
      <c r="R140">
        <v>1119.94</v>
      </c>
      <c r="S140">
        <v>32.97</v>
      </c>
      <c r="T140">
        <v>19.37</v>
      </c>
      <c r="U140">
        <v>15.24</v>
      </c>
      <c r="V140">
        <v>38.65</v>
      </c>
      <c r="W140">
        <v>45.49</v>
      </c>
      <c r="X140">
        <v>26.39</v>
      </c>
      <c r="Y140">
        <v>46.44</v>
      </c>
      <c r="Z140">
        <v>42.35</v>
      </c>
      <c r="AA140">
        <v>72.41</v>
      </c>
      <c r="AB140">
        <v>54.71</v>
      </c>
      <c r="AC140">
        <v>40.03</v>
      </c>
      <c r="AD140">
        <v>556.21</v>
      </c>
      <c r="AE140">
        <v>624.80999999999995</v>
      </c>
      <c r="AF140">
        <v>43.12</v>
      </c>
      <c r="AG140">
        <v>54.4</v>
      </c>
      <c r="AH140">
        <v>45.3</v>
      </c>
      <c r="AI140">
        <v>48.16</v>
      </c>
    </row>
    <row r="141" spans="1:35" x14ac:dyDescent="0.45">
      <c r="A141" s="2">
        <v>45849</v>
      </c>
      <c r="B141">
        <v>29.2</v>
      </c>
      <c r="C141">
        <v>30.51</v>
      </c>
      <c r="D141">
        <v>17.87</v>
      </c>
      <c r="E141">
        <v>27.13</v>
      </c>
      <c r="F141">
        <v>31.95</v>
      </c>
      <c r="G141">
        <v>48.83</v>
      </c>
      <c r="H141">
        <v>24.08</v>
      </c>
      <c r="I141">
        <v>58.3</v>
      </c>
      <c r="J141">
        <v>60.13</v>
      </c>
      <c r="K141">
        <v>72.56</v>
      </c>
      <c r="L141">
        <v>27.53</v>
      </c>
      <c r="M141">
        <v>52.98</v>
      </c>
      <c r="N141">
        <v>60.99</v>
      </c>
      <c r="O141">
        <v>54.88</v>
      </c>
      <c r="P141">
        <v>54.95</v>
      </c>
      <c r="Q141">
        <v>18.73</v>
      </c>
      <c r="R141">
        <v>1127.21</v>
      </c>
      <c r="S141">
        <v>33.17</v>
      </c>
      <c r="T141">
        <v>19.21</v>
      </c>
      <c r="U141">
        <v>15.22</v>
      </c>
      <c r="V141">
        <v>38.89</v>
      </c>
      <c r="W141">
        <v>45.76</v>
      </c>
      <c r="X141">
        <v>26.36</v>
      </c>
      <c r="Y141">
        <v>46.13</v>
      </c>
      <c r="Z141">
        <v>42.45</v>
      </c>
      <c r="AA141">
        <v>72.36</v>
      </c>
      <c r="AB141">
        <v>54.7</v>
      </c>
      <c r="AC141">
        <v>39.92</v>
      </c>
      <c r="AD141">
        <v>554.20000000000005</v>
      </c>
      <c r="AE141">
        <v>623.62</v>
      </c>
      <c r="AF141">
        <v>43.28</v>
      </c>
      <c r="AG141">
        <v>54.41</v>
      </c>
      <c r="AH141">
        <v>45.57</v>
      </c>
      <c r="AI141">
        <v>47.99</v>
      </c>
    </row>
    <row r="142" spans="1:35" x14ac:dyDescent="0.45">
      <c r="A142" s="2">
        <v>45848</v>
      </c>
      <c r="B142">
        <v>29.32</v>
      </c>
      <c r="C142">
        <v>31.1</v>
      </c>
      <c r="D142">
        <v>17.760000000000002</v>
      </c>
      <c r="E142">
        <v>27.19</v>
      </c>
      <c r="F142">
        <v>32.049999999999997</v>
      </c>
      <c r="G142">
        <v>49.12</v>
      </c>
      <c r="H142">
        <v>24.11</v>
      </c>
      <c r="I142">
        <v>58.38</v>
      </c>
      <c r="J142">
        <v>60.29</v>
      </c>
      <c r="K142">
        <v>73.14</v>
      </c>
      <c r="L142">
        <v>27.72</v>
      </c>
      <c r="M142">
        <v>53.95</v>
      </c>
      <c r="N142">
        <v>61.32</v>
      </c>
      <c r="O142">
        <v>55.27</v>
      </c>
      <c r="P142">
        <v>55.01</v>
      </c>
      <c r="Q142">
        <v>18.75</v>
      </c>
      <c r="R142">
        <v>1115.69</v>
      </c>
      <c r="S142">
        <v>33.25</v>
      </c>
      <c r="T142">
        <v>19.079999999999998</v>
      </c>
      <c r="U142">
        <v>15.12</v>
      </c>
      <c r="V142">
        <v>39</v>
      </c>
      <c r="W142">
        <v>46.01</v>
      </c>
      <c r="X142">
        <v>26.58</v>
      </c>
      <c r="Y142">
        <v>46.41</v>
      </c>
      <c r="Z142">
        <v>42.86</v>
      </c>
      <c r="AA142">
        <v>72.94</v>
      </c>
      <c r="AB142">
        <v>55.45</v>
      </c>
      <c r="AC142">
        <v>40.270000000000003</v>
      </c>
      <c r="AD142">
        <v>555.45000000000005</v>
      </c>
      <c r="AE142">
        <v>625.82000000000005</v>
      </c>
      <c r="AF142">
        <v>43.75</v>
      </c>
      <c r="AG142">
        <v>54.63</v>
      </c>
      <c r="AH142">
        <v>46.39</v>
      </c>
      <c r="AI142">
        <v>48.53</v>
      </c>
    </row>
    <row r="143" spans="1:35" x14ac:dyDescent="0.45">
      <c r="A143" s="2">
        <v>45847</v>
      </c>
      <c r="B143">
        <v>29.07</v>
      </c>
      <c r="C143">
        <v>31.04</v>
      </c>
      <c r="D143">
        <v>17.47</v>
      </c>
      <c r="E143">
        <v>27.15</v>
      </c>
      <c r="F143">
        <v>32.72</v>
      </c>
      <c r="G143">
        <v>48.81</v>
      </c>
      <c r="H143">
        <v>23.98</v>
      </c>
      <c r="I143">
        <v>58.03</v>
      </c>
      <c r="J143">
        <v>60.28</v>
      </c>
      <c r="K143">
        <v>72.08</v>
      </c>
      <c r="L143">
        <v>28.16</v>
      </c>
      <c r="M143">
        <v>54</v>
      </c>
      <c r="N143">
        <v>61.08</v>
      </c>
      <c r="O143">
        <v>55.66</v>
      </c>
      <c r="P143">
        <v>54.58</v>
      </c>
      <c r="Q143">
        <v>18.75</v>
      </c>
      <c r="R143">
        <v>1110.01</v>
      </c>
      <c r="S143">
        <v>32.79</v>
      </c>
      <c r="T143">
        <v>19.13</v>
      </c>
      <c r="U143">
        <v>14.89</v>
      </c>
      <c r="V143">
        <v>38.89</v>
      </c>
      <c r="W143">
        <v>46.07</v>
      </c>
      <c r="X143">
        <v>26.24</v>
      </c>
      <c r="Y143">
        <v>46.13</v>
      </c>
      <c r="Z143">
        <v>43.26</v>
      </c>
      <c r="AA143">
        <v>73.3</v>
      </c>
      <c r="AB143">
        <v>55.28</v>
      </c>
      <c r="AC143">
        <v>40.01</v>
      </c>
      <c r="AD143">
        <v>556.25</v>
      </c>
      <c r="AE143">
        <v>624.05999999999995</v>
      </c>
      <c r="AF143">
        <v>43.84</v>
      </c>
      <c r="AG143">
        <v>54.58</v>
      </c>
      <c r="AH143">
        <v>46.05</v>
      </c>
      <c r="AI143">
        <v>49.17</v>
      </c>
    </row>
    <row r="144" spans="1:35" x14ac:dyDescent="0.45">
      <c r="A144" s="2">
        <v>45846</v>
      </c>
      <c r="B144">
        <v>29.12</v>
      </c>
      <c r="C144">
        <v>31.41</v>
      </c>
      <c r="D144">
        <v>17.309999999999999</v>
      </c>
      <c r="E144">
        <v>26.78</v>
      </c>
      <c r="F144">
        <v>32.619999999999997</v>
      </c>
      <c r="G144">
        <v>49.3</v>
      </c>
      <c r="H144">
        <v>23.95</v>
      </c>
      <c r="I144">
        <v>57.66</v>
      </c>
      <c r="J144">
        <v>60.89</v>
      </c>
      <c r="K144">
        <v>72.08</v>
      </c>
      <c r="L144">
        <v>28.71</v>
      </c>
      <c r="M144">
        <v>53.81</v>
      </c>
      <c r="N144">
        <v>60.9</v>
      </c>
      <c r="O144">
        <v>55.69</v>
      </c>
      <c r="P144">
        <v>55.13</v>
      </c>
      <c r="Q144">
        <v>18.73</v>
      </c>
      <c r="R144">
        <v>1089.56</v>
      </c>
      <c r="S144">
        <v>32.119999999999997</v>
      </c>
      <c r="T144">
        <v>18.84</v>
      </c>
      <c r="U144">
        <v>14.51</v>
      </c>
      <c r="V144">
        <v>38.9</v>
      </c>
      <c r="W144">
        <v>45.98</v>
      </c>
      <c r="X144">
        <v>26.14</v>
      </c>
      <c r="Y144">
        <v>46</v>
      </c>
      <c r="Z144">
        <v>42.59</v>
      </c>
      <c r="AA144">
        <v>73.19</v>
      </c>
      <c r="AB144">
        <v>54.82</v>
      </c>
      <c r="AC144">
        <v>39.79</v>
      </c>
      <c r="AD144">
        <v>552.34</v>
      </c>
      <c r="AE144">
        <v>620.34</v>
      </c>
      <c r="AF144">
        <v>43.27</v>
      </c>
      <c r="AG144">
        <v>54.33</v>
      </c>
      <c r="AH144">
        <v>45.55</v>
      </c>
      <c r="AI144">
        <v>48.34</v>
      </c>
    </row>
    <row r="145" spans="1:35" x14ac:dyDescent="0.45">
      <c r="A145" s="2">
        <v>45845</v>
      </c>
      <c r="B145">
        <v>28.86</v>
      </c>
      <c r="C145">
        <v>31.02</v>
      </c>
      <c r="D145">
        <v>17.34</v>
      </c>
      <c r="E145">
        <v>26.72</v>
      </c>
      <c r="F145">
        <v>32.25</v>
      </c>
      <c r="G145">
        <v>49.62</v>
      </c>
      <c r="H145">
        <v>23.93</v>
      </c>
      <c r="I145">
        <v>57.63</v>
      </c>
      <c r="J145">
        <v>61.11</v>
      </c>
      <c r="K145">
        <v>70.069999999999993</v>
      </c>
      <c r="L145">
        <v>28.6</v>
      </c>
      <c r="M145">
        <v>53.84</v>
      </c>
      <c r="N145">
        <v>59.12</v>
      </c>
      <c r="O145">
        <v>55.36</v>
      </c>
      <c r="P145">
        <v>54.62</v>
      </c>
      <c r="Q145">
        <v>18.68</v>
      </c>
      <c r="R145">
        <v>1082.42</v>
      </c>
      <c r="S145">
        <v>32.44</v>
      </c>
      <c r="T145">
        <v>18.86</v>
      </c>
      <c r="U145">
        <v>14.18</v>
      </c>
      <c r="V145">
        <v>39.08</v>
      </c>
      <c r="W145">
        <v>45.5</v>
      </c>
      <c r="X145">
        <v>25.98</v>
      </c>
      <c r="Y145">
        <v>46.18</v>
      </c>
      <c r="Z145">
        <v>42.23</v>
      </c>
      <c r="AA145">
        <v>72.819999999999993</v>
      </c>
      <c r="AB145">
        <v>54.53</v>
      </c>
      <c r="AC145">
        <v>39.42</v>
      </c>
      <c r="AD145">
        <v>552.03</v>
      </c>
      <c r="AE145">
        <v>620.67999999999995</v>
      </c>
      <c r="AF145">
        <v>42.68</v>
      </c>
      <c r="AG145">
        <v>53.98</v>
      </c>
      <c r="AH145">
        <v>45.52</v>
      </c>
      <c r="AI145">
        <v>47.87</v>
      </c>
    </row>
    <row r="146" spans="1:35" x14ac:dyDescent="0.45">
      <c r="A146" s="2">
        <v>45841</v>
      </c>
      <c r="B146">
        <v>28.91</v>
      </c>
      <c r="C146">
        <v>31.82</v>
      </c>
      <c r="D146">
        <v>17.47</v>
      </c>
      <c r="E146">
        <v>27.08</v>
      </c>
      <c r="F146">
        <v>32.82</v>
      </c>
      <c r="G146">
        <v>50.06</v>
      </c>
      <c r="H146">
        <v>24.41</v>
      </c>
      <c r="I146">
        <v>59.44</v>
      </c>
      <c r="J146">
        <v>61.7</v>
      </c>
      <c r="K146">
        <v>72.7</v>
      </c>
      <c r="L146">
        <v>29.31</v>
      </c>
      <c r="M146">
        <v>54.79</v>
      </c>
      <c r="N146">
        <v>59.72</v>
      </c>
      <c r="O146">
        <v>55.79</v>
      </c>
      <c r="P146">
        <v>54.72</v>
      </c>
      <c r="Q146">
        <v>18.63</v>
      </c>
      <c r="R146">
        <v>1106.73</v>
      </c>
      <c r="S146">
        <v>33.04</v>
      </c>
      <c r="T146">
        <v>18.84</v>
      </c>
      <c r="U146">
        <v>13.96</v>
      </c>
      <c r="V146">
        <v>38.89</v>
      </c>
      <c r="W146">
        <v>45.96</v>
      </c>
      <c r="X146">
        <v>26.48</v>
      </c>
      <c r="Y146">
        <v>46.67</v>
      </c>
      <c r="Z146">
        <v>42.21</v>
      </c>
      <c r="AA146">
        <v>74.599999999999994</v>
      </c>
      <c r="AB146">
        <v>54.9</v>
      </c>
      <c r="AC146">
        <v>39.82</v>
      </c>
      <c r="AD146">
        <v>556.22</v>
      </c>
      <c r="AE146">
        <v>625.34</v>
      </c>
      <c r="AF146">
        <v>43.08</v>
      </c>
      <c r="AG146">
        <v>54.29</v>
      </c>
      <c r="AH146">
        <v>45.62</v>
      </c>
      <c r="AI146">
        <v>48.21</v>
      </c>
    </row>
    <row r="147" spans="1:35" x14ac:dyDescent="0.45">
      <c r="A147" s="2">
        <v>45840</v>
      </c>
      <c r="B147">
        <v>28.7</v>
      </c>
      <c r="C147">
        <v>31.85</v>
      </c>
      <c r="D147">
        <v>17.48</v>
      </c>
      <c r="E147">
        <v>27</v>
      </c>
      <c r="F147">
        <v>32.19</v>
      </c>
      <c r="G147">
        <v>49.75</v>
      </c>
      <c r="H147">
        <v>24.41</v>
      </c>
      <c r="I147">
        <v>58.75</v>
      </c>
      <c r="J147">
        <v>61.59</v>
      </c>
      <c r="K147">
        <v>71.95</v>
      </c>
      <c r="L147">
        <v>28.91</v>
      </c>
      <c r="M147">
        <v>54.31</v>
      </c>
      <c r="N147">
        <v>59.34</v>
      </c>
      <c r="O147">
        <v>55.6</v>
      </c>
      <c r="P147">
        <v>55</v>
      </c>
      <c r="Q147">
        <v>18.559999999999999</v>
      </c>
      <c r="R147">
        <v>1107.69</v>
      </c>
      <c r="S147">
        <v>33.07</v>
      </c>
      <c r="T147">
        <v>18.600000000000001</v>
      </c>
      <c r="U147">
        <v>13.76</v>
      </c>
      <c r="V147">
        <v>38.44</v>
      </c>
      <c r="W147">
        <v>46.265000000000001</v>
      </c>
      <c r="X147">
        <v>26.54</v>
      </c>
      <c r="Y147">
        <v>46.33</v>
      </c>
      <c r="Z147">
        <v>42.17</v>
      </c>
      <c r="AA147">
        <v>74.459999999999994</v>
      </c>
      <c r="AB147">
        <v>55.27</v>
      </c>
      <c r="AC147">
        <v>39.61</v>
      </c>
      <c r="AD147">
        <v>550.79999999999995</v>
      </c>
      <c r="AE147">
        <v>620.45000000000005</v>
      </c>
      <c r="AF147">
        <v>43.27</v>
      </c>
      <c r="AG147">
        <v>54.3</v>
      </c>
      <c r="AH147">
        <v>45.51</v>
      </c>
      <c r="AI147">
        <v>48.29</v>
      </c>
    </row>
    <row r="148" spans="1:35" x14ac:dyDescent="0.45">
      <c r="A148" s="2">
        <v>45839</v>
      </c>
      <c r="B148">
        <v>28.71</v>
      </c>
      <c r="C148">
        <v>31.51</v>
      </c>
      <c r="D148">
        <v>17.489999999999998</v>
      </c>
      <c r="E148">
        <v>27.14</v>
      </c>
      <c r="F148">
        <v>32.06</v>
      </c>
      <c r="G148">
        <v>48.857199999999999</v>
      </c>
      <c r="H148">
        <v>24.38</v>
      </c>
      <c r="I148">
        <v>57.58</v>
      </c>
      <c r="J148">
        <v>61.12</v>
      </c>
      <c r="K148">
        <v>71.64</v>
      </c>
      <c r="L148">
        <v>28.79</v>
      </c>
      <c r="M148">
        <v>54.21</v>
      </c>
      <c r="N148">
        <v>58.63</v>
      </c>
      <c r="O148">
        <v>55.84</v>
      </c>
      <c r="P148">
        <v>55.27</v>
      </c>
      <c r="Q148">
        <v>18.579999999999998</v>
      </c>
      <c r="R148">
        <v>1100.01</v>
      </c>
      <c r="S148">
        <v>32.479999999999997</v>
      </c>
      <c r="T148">
        <v>18.66</v>
      </c>
      <c r="U148">
        <v>13.72</v>
      </c>
      <c r="V148">
        <v>38.25</v>
      </c>
      <c r="W148">
        <v>45.96</v>
      </c>
      <c r="X148">
        <v>26.35</v>
      </c>
      <c r="Y148">
        <v>46.19</v>
      </c>
      <c r="Z148">
        <v>42.01</v>
      </c>
      <c r="AA148">
        <v>74.42</v>
      </c>
      <c r="AB148">
        <v>54.98</v>
      </c>
      <c r="AC148">
        <v>39.85</v>
      </c>
      <c r="AD148">
        <v>546.99</v>
      </c>
      <c r="AE148">
        <v>617.65</v>
      </c>
      <c r="AF148">
        <v>42.87</v>
      </c>
      <c r="AG148">
        <v>54.07</v>
      </c>
      <c r="AH148">
        <v>45.19</v>
      </c>
      <c r="AI148">
        <v>48.05</v>
      </c>
    </row>
    <row r="149" spans="1:35" x14ac:dyDescent="0.45">
      <c r="A149" s="2">
        <v>45838</v>
      </c>
      <c r="B149">
        <v>28.71</v>
      </c>
      <c r="C149">
        <v>31.45</v>
      </c>
      <c r="D149">
        <v>17.63</v>
      </c>
      <c r="E149">
        <v>27.12</v>
      </c>
      <c r="F149">
        <v>32.26</v>
      </c>
      <c r="G149">
        <v>48.59</v>
      </c>
      <c r="H149">
        <v>24.34</v>
      </c>
      <c r="I149">
        <v>57.4</v>
      </c>
      <c r="J149">
        <v>60.56</v>
      </c>
      <c r="K149">
        <v>71.78</v>
      </c>
      <c r="L149">
        <v>28.85</v>
      </c>
      <c r="M149">
        <v>53.75</v>
      </c>
      <c r="N149">
        <v>58.04</v>
      </c>
      <c r="O149">
        <v>55.68</v>
      </c>
      <c r="P149">
        <v>55.1</v>
      </c>
      <c r="Q149">
        <v>18.62</v>
      </c>
      <c r="R149">
        <v>1062.78</v>
      </c>
      <c r="S149">
        <v>32.26</v>
      </c>
      <c r="T149">
        <v>18.72</v>
      </c>
      <c r="U149">
        <v>13.75</v>
      </c>
      <c r="V149">
        <v>38.54</v>
      </c>
      <c r="W149">
        <v>45.61</v>
      </c>
      <c r="X149">
        <v>26.32</v>
      </c>
      <c r="Y149">
        <v>46.2</v>
      </c>
      <c r="Z149">
        <v>42.31</v>
      </c>
      <c r="AA149">
        <v>74.97</v>
      </c>
      <c r="AB149">
        <v>54.81</v>
      </c>
      <c r="AC149">
        <v>39.72</v>
      </c>
      <c r="AD149">
        <v>551.64</v>
      </c>
      <c r="AE149">
        <v>617.85</v>
      </c>
      <c r="AF149">
        <v>42.8</v>
      </c>
      <c r="AG149">
        <v>54.5</v>
      </c>
      <c r="AH149">
        <v>45.74</v>
      </c>
      <c r="AI149">
        <v>48.14</v>
      </c>
    </row>
    <row r="150" spans="1:35" x14ac:dyDescent="0.45">
      <c r="A150" s="2">
        <v>45835</v>
      </c>
      <c r="B150">
        <v>28.46</v>
      </c>
      <c r="C150">
        <v>31.05</v>
      </c>
      <c r="D150">
        <v>17.489999999999998</v>
      </c>
      <c r="E150">
        <v>27.23</v>
      </c>
      <c r="F150">
        <v>31.69</v>
      </c>
      <c r="G150">
        <v>48.49</v>
      </c>
      <c r="H150">
        <v>24.07</v>
      </c>
      <c r="I150">
        <v>57.85</v>
      </c>
      <c r="J150">
        <v>60.32</v>
      </c>
      <c r="K150">
        <v>70.739999999999995</v>
      </c>
      <c r="L150">
        <v>28.14</v>
      </c>
      <c r="M150">
        <v>52.64</v>
      </c>
      <c r="N150">
        <v>58.17</v>
      </c>
      <c r="O150">
        <v>55.86</v>
      </c>
      <c r="P150">
        <v>55.18</v>
      </c>
      <c r="Q150">
        <v>18.57</v>
      </c>
      <c r="R150">
        <v>1067.6300000000001</v>
      </c>
      <c r="S150">
        <v>30.49</v>
      </c>
      <c r="T150">
        <v>18.57</v>
      </c>
      <c r="U150">
        <v>13.73</v>
      </c>
      <c r="V150">
        <v>38.26</v>
      </c>
      <c r="W150">
        <v>45.37</v>
      </c>
      <c r="X150">
        <v>26.09</v>
      </c>
      <c r="Y150">
        <v>45.58</v>
      </c>
      <c r="Z150">
        <v>42.3</v>
      </c>
      <c r="AA150">
        <v>75.28</v>
      </c>
      <c r="AB150">
        <v>54.63</v>
      </c>
      <c r="AC150">
        <v>39.72</v>
      </c>
      <c r="AD150">
        <v>548.09</v>
      </c>
      <c r="AE150">
        <v>614.91</v>
      </c>
      <c r="AF150">
        <v>42.61</v>
      </c>
      <c r="AG150">
        <v>54.36</v>
      </c>
      <c r="AH150">
        <v>46.02</v>
      </c>
      <c r="AI150">
        <v>47.86</v>
      </c>
    </row>
    <row r="151" spans="1:35" x14ac:dyDescent="0.45">
      <c r="A151" s="2">
        <v>45834</v>
      </c>
      <c r="B151">
        <v>28.79</v>
      </c>
      <c r="C151">
        <v>31.26</v>
      </c>
      <c r="D151">
        <v>17.510000000000002</v>
      </c>
      <c r="E151">
        <v>26.85</v>
      </c>
      <c r="F151">
        <v>31.65</v>
      </c>
      <c r="G151">
        <v>49.107799999999997</v>
      </c>
      <c r="H151">
        <v>24.07</v>
      </c>
      <c r="I151">
        <v>57.85</v>
      </c>
      <c r="J151">
        <v>60.31</v>
      </c>
      <c r="K151">
        <v>71.94</v>
      </c>
      <c r="L151">
        <v>28.13</v>
      </c>
      <c r="M151">
        <v>52.98</v>
      </c>
      <c r="N151">
        <v>59.31</v>
      </c>
      <c r="O151">
        <v>55.71</v>
      </c>
      <c r="P151">
        <v>55.54</v>
      </c>
      <c r="Q151">
        <v>18.53</v>
      </c>
      <c r="R151">
        <v>1068.73</v>
      </c>
      <c r="S151">
        <v>30.19</v>
      </c>
      <c r="T151">
        <v>18.5</v>
      </c>
      <c r="U151">
        <v>13.61</v>
      </c>
      <c r="V151">
        <v>38.159999999999997</v>
      </c>
      <c r="W151">
        <v>45.32</v>
      </c>
      <c r="X151">
        <v>26.43</v>
      </c>
      <c r="Y151">
        <v>45.92</v>
      </c>
      <c r="Z151">
        <v>41.64</v>
      </c>
      <c r="AA151">
        <v>73.97</v>
      </c>
      <c r="AB151">
        <v>54.26</v>
      </c>
      <c r="AC151">
        <v>39.69</v>
      </c>
      <c r="AD151">
        <v>546.22</v>
      </c>
      <c r="AE151">
        <v>611.87</v>
      </c>
      <c r="AF151">
        <v>42.14</v>
      </c>
      <c r="AG151">
        <v>53.97</v>
      </c>
      <c r="AH151">
        <v>45.33</v>
      </c>
      <c r="AI151">
        <v>47.5</v>
      </c>
    </row>
    <row r="152" spans="1:35" x14ac:dyDescent="0.45">
      <c r="A152" s="2">
        <v>45833</v>
      </c>
      <c r="B152">
        <v>28.805</v>
      </c>
      <c r="C152">
        <v>30.86</v>
      </c>
      <c r="D152">
        <v>17.18</v>
      </c>
      <c r="E152">
        <v>26.81</v>
      </c>
      <c r="F152">
        <v>30.57</v>
      </c>
      <c r="G152">
        <v>47.315899999999999</v>
      </c>
      <c r="H152">
        <v>23.82</v>
      </c>
      <c r="I152">
        <v>57.31</v>
      </c>
      <c r="J152">
        <v>59.68</v>
      </c>
      <c r="K152">
        <v>72.37</v>
      </c>
      <c r="L152">
        <v>27.57</v>
      </c>
      <c r="M152">
        <v>52.89</v>
      </c>
      <c r="N152">
        <v>58.42</v>
      </c>
      <c r="O152">
        <v>55</v>
      </c>
      <c r="P152">
        <v>55.53</v>
      </c>
      <c r="Q152">
        <v>18.36</v>
      </c>
      <c r="R152">
        <v>1094.58</v>
      </c>
      <c r="S152">
        <v>30.68</v>
      </c>
      <c r="T152">
        <v>18.22</v>
      </c>
      <c r="U152">
        <v>13.54</v>
      </c>
      <c r="V152">
        <v>37.82</v>
      </c>
      <c r="W152">
        <v>44.6</v>
      </c>
      <c r="X152">
        <v>26.03</v>
      </c>
      <c r="Y152">
        <v>45.32</v>
      </c>
      <c r="Z152">
        <v>41.15</v>
      </c>
      <c r="AA152">
        <v>72.44</v>
      </c>
      <c r="AB152">
        <v>53.75</v>
      </c>
      <c r="AC152">
        <v>39.28</v>
      </c>
      <c r="AD152">
        <v>541.16</v>
      </c>
      <c r="AE152">
        <v>607.12</v>
      </c>
      <c r="AF152">
        <v>41.89</v>
      </c>
      <c r="AG152">
        <v>53.8</v>
      </c>
      <c r="AH152">
        <v>44.67</v>
      </c>
      <c r="AI152">
        <v>47.17</v>
      </c>
    </row>
    <row r="153" spans="1:35" x14ac:dyDescent="0.45">
      <c r="A153" s="2">
        <v>45832</v>
      </c>
      <c r="B153">
        <v>28.55</v>
      </c>
      <c r="C153">
        <v>30.96</v>
      </c>
      <c r="D153">
        <v>17.38</v>
      </c>
      <c r="E153">
        <v>26.61</v>
      </c>
      <c r="F153">
        <v>30.56</v>
      </c>
      <c r="G153">
        <v>47.313000000000002</v>
      </c>
      <c r="H153">
        <v>23.77</v>
      </c>
      <c r="I153">
        <v>56.82</v>
      </c>
      <c r="J153">
        <v>59.21</v>
      </c>
      <c r="K153">
        <v>72.650000000000006</v>
      </c>
      <c r="L153">
        <v>27.98</v>
      </c>
      <c r="M153">
        <v>53.46</v>
      </c>
      <c r="N153">
        <v>57.86</v>
      </c>
      <c r="O153">
        <v>54.8</v>
      </c>
      <c r="P153">
        <v>55.57</v>
      </c>
      <c r="Q153">
        <v>18.25</v>
      </c>
      <c r="R153">
        <v>1113.58</v>
      </c>
      <c r="S153">
        <v>30.86</v>
      </c>
      <c r="T153">
        <v>18.3</v>
      </c>
      <c r="U153">
        <v>13.62</v>
      </c>
      <c r="V153">
        <v>37.72</v>
      </c>
      <c r="W153">
        <v>44.79</v>
      </c>
      <c r="X153">
        <v>26.05</v>
      </c>
      <c r="Y153">
        <v>45.62</v>
      </c>
      <c r="Z153">
        <v>41.39</v>
      </c>
      <c r="AA153">
        <v>72.739999999999995</v>
      </c>
      <c r="AB153">
        <v>54.32</v>
      </c>
      <c r="AC153">
        <v>39.409999999999997</v>
      </c>
      <c r="AD153">
        <v>539.78</v>
      </c>
      <c r="AE153">
        <v>606.78</v>
      </c>
      <c r="AF153">
        <v>42.04</v>
      </c>
      <c r="AG153">
        <v>54.16</v>
      </c>
      <c r="AH153">
        <v>44.95</v>
      </c>
      <c r="AI153">
        <v>47.2</v>
      </c>
    </row>
    <row r="154" spans="1:35" x14ac:dyDescent="0.45">
      <c r="A154" s="2">
        <v>45831</v>
      </c>
      <c r="B154">
        <v>28.03</v>
      </c>
      <c r="C154">
        <v>30.03</v>
      </c>
      <c r="D154">
        <v>16.89</v>
      </c>
      <c r="E154">
        <v>25.96</v>
      </c>
      <c r="F154">
        <v>29.51</v>
      </c>
      <c r="G154">
        <v>46.97</v>
      </c>
      <c r="H154">
        <v>23.53</v>
      </c>
      <c r="I154">
        <v>55.18</v>
      </c>
      <c r="J154">
        <v>57.94</v>
      </c>
      <c r="K154">
        <v>69.42</v>
      </c>
      <c r="L154">
        <v>27.66</v>
      </c>
      <c r="M154">
        <v>52.35</v>
      </c>
      <c r="N154">
        <v>56.55</v>
      </c>
      <c r="O154">
        <v>54.31</v>
      </c>
      <c r="P154">
        <v>54.13</v>
      </c>
      <c r="Q154">
        <v>17.96</v>
      </c>
      <c r="R154">
        <v>1114.49</v>
      </c>
      <c r="S154">
        <v>30.08</v>
      </c>
      <c r="T154">
        <v>17.66</v>
      </c>
      <c r="U154">
        <v>13.4</v>
      </c>
      <c r="V154">
        <v>37.1</v>
      </c>
      <c r="W154">
        <v>44.86</v>
      </c>
      <c r="X154">
        <v>25.79</v>
      </c>
      <c r="Y154">
        <v>45.33</v>
      </c>
      <c r="Z154">
        <v>40.75</v>
      </c>
      <c r="AA154">
        <v>72.02</v>
      </c>
      <c r="AB154">
        <v>53.46</v>
      </c>
      <c r="AC154">
        <v>39.17</v>
      </c>
      <c r="AD154">
        <v>531.65</v>
      </c>
      <c r="AE154">
        <v>600.15</v>
      </c>
      <c r="AF154">
        <v>41.57</v>
      </c>
      <c r="AG154">
        <v>53.03</v>
      </c>
      <c r="AH154">
        <v>43.96</v>
      </c>
      <c r="AI154">
        <v>46.45</v>
      </c>
    </row>
    <row r="155" spans="1:35" x14ac:dyDescent="0.45">
      <c r="A155" s="2">
        <v>45828</v>
      </c>
      <c r="B155">
        <v>27.925000000000001</v>
      </c>
      <c r="C155">
        <v>30.1</v>
      </c>
      <c r="D155">
        <v>17.18</v>
      </c>
      <c r="E155">
        <v>26.5</v>
      </c>
      <c r="F155">
        <v>29.72</v>
      </c>
      <c r="G155">
        <v>47.08</v>
      </c>
      <c r="H155">
        <v>23.41</v>
      </c>
      <c r="I155">
        <v>54.84</v>
      </c>
      <c r="J155">
        <v>58.11</v>
      </c>
      <c r="K155">
        <v>68.53</v>
      </c>
      <c r="L155">
        <v>27.67</v>
      </c>
      <c r="M155">
        <v>51.73</v>
      </c>
      <c r="N155">
        <v>54.71</v>
      </c>
      <c r="O155">
        <v>53.9</v>
      </c>
      <c r="P155">
        <v>53.5</v>
      </c>
      <c r="Q155">
        <v>17.72</v>
      </c>
      <c r="R155">
        <v>1122.7</v>
      </c>
      <c r="S155">
        <v>29.96</v>
      </c>
      <c r="T155">
        <v>17.260000000000002</v>
      </c>
      <c r="U155">
        <v>13.345000000000001</v>
      </c>
      <c r="V155">
        <v>36.56</v>
      </c>
      <c r="W155">
        <v>44.6</v>
      </c>
      <c r="X155">
        <v>25.55</v>
      </c>
      <c r="Y155">
        <v>45.1</v>
      </c>
      <c r="Z155">
        <v>40.340000000000003</v>
      </c>
      <c r="AA155">
        <v>71.760000000000005</v>
      </c>
      <c r="AB155">
        <v>52.68</v>
      </c>
      <c r="AC155">
        <v>38.9</v>
      </c>
      <c r="AD155">
        <v>526.83000000000004</v>
      </c>
      <c r="AE155">
        <v>594.28</v>
      </c>
      <c r="AF155">
        <v>41.29</v>
      </c>
      <c r="AG155">
        <v>51.892699999999998</v>
      </c>
      <c r="AH155">
        <v>43.81</v>
      </c>
      <c r="AI155">
        <v>46.36</v>
      </c>
    </row>
    <row r="156" spans="1:35" x14ac:dyDescent="0.45">
      <c r="A156" s="2">
        <v>45826</v>
      </c>
      <c r="B156">
        <v>27.96</v>
      </c>
      <c r="C156">
        <v>30.34</v>
      </c>
      <c r="D156">
        <v>17.87</v>
      </c>
      <c r="E156">
        <v>26.7</v>
      </c>
      <c r="F156">
        <v>29.36</v>
      </c>
      <c r="G156">
        <v>47.413699999999999</v>
      </c>
      <c r="H156">
        <v>23.59</v>
      </c>
      <c r="I156">
        <v>56.03</v>
      </c>
      <c r="J156">
        <v>58.97</v>
      </c>
      <c r="K156">
        <v>67.87</v>
      </c>
      <c r="L156">
        <v>28.08</v>
      </c>
      <c r="M156">
        <v>51.8</v>
      </c>
      <c r="N156">
        <v>54.58</v>
      </c>
      <c r="O156">
        <v>53.79</v>
      </c>
      <c r="P156">
        <v>53.93</v>
      </c>
      <c r="Q156">
        <v>17.82</v>
      </c>
      <c r="R156">
        <v>1128.6199999999999</v>
      </c>
      <c r="S156">
        <v>30.11</v>
      </c>
      <c r="T156">
        <v>16.989999999999998</v>
      </c>
      <c r="U156">
        <v>13.36</v>
      </c>
      <c r="V156">
        <v>36.36</v>
      </c>
      <c r="W156">
        <v>45.08</v>
      </c>
      <c r="X156">
        <v>25.86</v>
      </c>
      <c r="Y156">
        <v>45.32</v>
      </c>
      <c r="Z156">
        <v>40.28</v>
      </c>
      <c r="AA156">
        <v>73.05</v>
      </c>
      <c r="AB156">
        <v>53.25</v>
      </c>
      <c r="AC156">
        <v>39.22</v>
      </c>
      <c r="AD156">
        <v>528.99</v>
      </c>
      <c r="AE156">
        <v>597.44000000000005</v>
      </c>
      <c r="AF156">
        <v>41.67</v>
      </c>
      <c r="AG156">
        <v>52.247599999999998</v>
      </c>
      <c r="AH156">
        <v>43.98</v>
      </c>
      <c r="AI156">
        <v>46.46</v>
      </c>
    </row>
    <row r="157" spans="1:35" x14ac:dyDescent="0.45">
      <c r="A157" s="2">
        <v>45825</v>
      </c>
      <c r="B157">
        <v>28</v>
      </c>
      <c r="C157">
        <v>30.45</v>
      </c>
      <c r="D157">
        <v>18.02</v>
      </c>
      <c r="E157">
        <v>26.98</v>
      </c>
      <c r="F157">
        <v>29.39</v>
      </c>
      <c r="G157">
        <v>47.62</v>
      </c>
      <c r="H157">
        <v>23.53</v>
      </c>
      <c r="I157">
        <v>55.65</v>
      </c>
      <c r="J157">
        <v>58.91</v>
      </c>
      <c r="K157">
        <v>66.63</v>
      </c>
      <c r="L157">
        <v>28.11</v>
      </c>
      <c r="M157">
        <v>51.56</v>
      </c>
      <c r="N157">
        <v>54.88</v>
      </c>
      <c r="O157">
        <v>53.83</v>
      </c>
      <c r="P157">
        <v>54.44</v>
      </c>
      <c r="Q157">
        <v>17.895</v>
      </c>
      <c r="R157">
        <v>1141.58</v>
      </c>
      <c r="S157">
        <v>30.21</v>
      </c>
      <c r="T157">
        <v>17.239999999999998</v>
      </c>
      <c r="U157">
        <v>13.31</v>
      </c>
      <c r="V157">
        <v>36.83</v>
      </c>
      <c r="W157">
        <v>45.09</v>
      </c>
      <c r="X157">
        <v>25.77</v>
      </c>
      <c r="Y157">
        <v>45.45</v>
      </c>
      <c r="Z157">
        <v>40.4</v>
      </c>
      <c r="AA157">
        <v>72.28</v>
      </c>
      <c r="AB157">
        <v>53.42</v>
      </c>
      <c r="AC157">
        <v>39.200000000000003</v>
      </c>
      <c r="AD157">
        <v>529.08000000000004</v>
      </c>
      <c r="AE157">
        <v>597.53</v>
      </c>
      <c r="AF157">
        <v>41.74</v>
      </c>
      <c r="AG157">
        <v>52.33</v>
      </c>
      <c r="AH157">
        <v>44.43</v>
      </c>
      <c r="AI157">
        <v>46.26</v>
      </c>
    </row>
    <row r="158" spans="1:35" x14ac:dyDescent="0.45">
      <c r="A158" s="2">
        <v>45824</v>
      </c>
      <c r="B158">
        <v>28.12</v>
      </c>
      <c r="C158">
        <v>31.11</v>
      </c>
      <c r="D158">
        <v>18.010000000000002</v>
      </c>
      <c r="E158">
        <v>27.35</v>
      </c>
      <c r="F158">
        <v>29.38</v>
      </c>
      <c r="G158">
        <v>47.7117</v>
      </c>
      <c r="H158">
        <v>23.93</v>
      </c>
      <c r="I158">
        <v>56.46</v>
      </c>
      <c r="J158">
        <v>59.82</v>
      </c>
      <c r="K158">
        <v>68.19</v>
      </c>
      <c r="L158">
        <v>28.31</v>
      </c>
      <c r="M158">
        <v>53.04</v>
      </c>
      <c r="N158">
        <v>55.79</v>
      </c>
      <c r="O158">
        <v>54.56</v>
      </c>
      <c r="P158">
        <v>55.01</v>
      </c>
      <c r="Q158">
        <v>18.045000000000002</v>
      </c>
      <c r="R158">
        <v>1139.1600000000001</v>
      </c>
      <c r="S158">
        <v>30.63</v>
      </c>
      <c r="T158">
        <v>17.559999999999999</v>
      </c>
      <c r="U158">
        <v>13.26</v>
      </c>
      <c r="V158">
        <v>37.479999999999997</v>
      </c>
      <c r="W158">
        <v>45.97</v>
      </c>
      <c r="X158">
        <v>26.09</v>
      </c>
      <c r="Y158">
        <v>45.76</v>
      </c>
      <c r="Z158">
        <v>41.13</v>
      </c>
      <c r="AA158">
        <v>73.150000000000006</v>
      </c>
      <c r="AB158">
        <v>53.77</v>
      </c>
      <c r="AC158">
        <v>39.619999999999997</v>
      </c>
      <c r="AD158">
        <v>534.29</v>
      </c>
      <c r="AE158">
        <v>602.67999999999995</v>
      </c>
      <c r="AF158">
        <v>42.21</v>
      </c>
      <c r="AG158">
        <v>53.08</v>
      </c>
      <c r="AH158">
        <v>44.91</v>
      </c>
      <c r="AI158">
        <v>47.21</v>
      </c>
    </row>
    <row r="159" spans="1:35" x14ac:dyDescent="0.45">
      <c r="A159" s="2">
        <v>45821</v>
      </c>
      <c r="B159">
        <v>28.15</v>
      </c>
      <c r="C159">
        <v>31.83</v>
      </c>
      <c r="D159">
        <v>18.62</v>
      </c>
      <c r="E159">
        <v>27.66</v>
      </c>
      <c r="F159">
        <v>29.86</v>
      </c>
      <c r="G159">
        <v>48.2913</v>
      </c>
      <c r="H159">
        <v>24.26</v>
      </c>
      <c r="I159">
        <v>55.85</v>
      </c>
      <c r="J159">
        <v>61.06</v>
      </c>
      <c r="K159">
        <v>66.42</v>
      </c>
      <c r="L159">
        <v>28.14</v>
      </c>
      <c r="M159">
        <v>53.3</v>
      </c>
      <c r="N159">
        <v>56</v>
      </c>
      <c r="O159">
        <v>54.04</v>
      </c>
      <c r="P159">
        <v>54.77</v>
      </c>
      <c r="Q159">
        <v>18.2</v>
      </c>
      <c r="R159">
        <v>1135.24</v>
      </c>
      <c r="S159">
        <v>30.75</v>
      </c>
      <c r="T159">
        <v>17.88</v>
      </c>
      <c r="U159">
        <v>13.02</v>
      </c>
      <c r="V159">
        <v>37.130000000000003</v>
      </c>
      <c r="W159">
        <v>45.19</v>
      </c>
      <c r="X159">
        <v>26.32</v>
      </c>
      <c r="Y159">
        <v>45.88</v>
      </c>
      <c r="Z159">
        <v>41.51</v>
      </c>
      <c r="AA159">
        <v>73.599999999999994</v>
      </c>
      <c r="AB159">
        <v>55.22</v>
      </c>
      <c r="AC159">
        <v>40.42</v>
      </c>
      <c r="AD159">
        <v>526.96</v>
      </c>
      <c r="AE159">
        <v>597</v>
      </c>
      <c r="AF159">
        <v>42.83</v>
      </c>
      <c r="AG159">
        <v>53.54</v>
      </c>
      <c r="AH159">
        <v>45.49</v>
      </c>
      <c r="AI159">
        <v>47.43</v>
      </c>
    </row>
    <row r="160" spans="1:35" x14ac:dyDescent="0.45">
      <c r="A160" s="2">
        <v>45820</v>
      </c>
      <c r="B160">
        <v>28.42</v>
      </c>
      <c r="C160">
        <v>32.51</v>
      </c>
      <c r="D160">
        <v>18.899999999999999</v>
      </c>
      <c r="E160">
        <v>28.08</v>
      </c>
      <c r="F160">
        <v>30.63</v>
      </c>
      <c r="G160">
        <v>48.584800000000001</v>
      </c>
      <c r="H160">
        <v>24.54</v>
      </c>
      <c r="I160">
        <v>56.74</v>
      </c>
      <c r="J160">
        <v>61.57</v>
      </c>
      <c r="K160">
        <v>67.69</v>
      </c>
      <c r="L160">
        <v>28.15</v>
      </c>
      <c r="M160">
        <v>54.77</v>
      </c>
      <c r="N160">
        <v>56.89</v>
      </c>
      <c r="O160">
        <v>54.8</v>
      </c>
      <c r="P160">
        <v>55.79</v>
      </c>
      <c r="Q160">
        <v>18.899999999999999</v>
      </c>
      <c r="R160">
        <v>1136.43</v>
      </c>
      <c r="S160">
        <v>31.57</v>
      </c>
      <c r="T160">
        <v>18.395</v>
      </c>
      <c r="U160">
        <v>13.36</v>
      </c>
      <c r="V160">
        <v>38.07</v>
      </c>
      <c r="W160">
        <v>46.07</v>
      </c>
      <c r="X160">
        <v>26.64</v>
      </c>
      <c r="Y160">
        <v>46</v>
      </c>
      <c r="Z160">
        <v>42.22</v>
      </c>
      <c r="AA160">
        <v>74.209999999999994</v>
      </c>
      <c r="AB160">
        <v>56.27</v>
      </c>
      <c r="AC160">
        <v>40.78</v>
      </c>
      <c r="AD160">
        <v>533.66</v>
      </c>
      <c r="AE160">
        <v>603.75</v>
      </c>
      <c r="AF160">
        <v>43.57</v>
      </c>
      <c r="AG160">
        <v>54.73</v>
      </c>
      <c r="AH160">
        <v>46.02</v>
      </c>
      <c r="AI160">
        <v>48.25</v>
      </c>
    </row>
    <row r="161" spans="1:35" x14ac:dyDescent="0.45">
      <c r="A161" s="2">
        <v>45819</v>
      </c>
      <c r="B161">
        <v>28.29</v>
      </c>
      <c r="C161">
        <v>32.54</v>
      </c>
      <c r="D161">
        <v>18.91</v>
      </c>
      <c r="E161">
        <v>27.93</v>
      </c>
      <c r="F161">
        <v>30.62</v>
      </c>
      <c r="G161">
        <v>48.44</v>
      </c>
      <c r="H161">
        <v>24.45</v>
      </c>
      <c r="I161">
        <v>55.83</v>
      </c>
      <c r="J161">
        <v>61.56</v>
      </c>
      <c r="K161">
        <v>66.989999999999995</v>
      </c>
      <c r="L161">
        <v>28.22</v>
      </c>
      <c r="M161">
        <v>54.08</v>
      </c>
      <c r="N161">
        <v>56.52</v>
      </c>
      <c r="O161">
        <v>55.33</v>
      </c>
      <c r="P161">
        <v>55.86</v>
      </c>
      <c r="Q161">
        <v>18.96</v>
      </c>
      <c r="R161">
        <v>1140.6300000000001</v>
      </c>
      <c r="S161">
        <v>32.11</v>
      </c>
      <c r="T161">
        <v>18.72</v>
      </c>
      <c r="U161">
        <v>13.32</v>
      </c>
      <c r="V161">
        <v>38.46</v>
      </c>
      <c r="W161">
        <v>45.76</v>
      </c>
      <c r="X161">
        <v>26.6</v>
      </c>
      <c r="Y161">
        <v>45.66</v>
      </c>
      <c r="Z161">
        <v>42.11</v>
      </c>
      <c r="AA161">
        <v>73.67</v>
      </c>
      <c r="AB161">
        <v>55.43</v>
      </c>
      <c r="AC161">
        <v>40.409999999999997</v>
      </c>
      <c r="AD161">
        <v>532.41</v>
      </c>
      <c r="AE161">
        <v>601.36</v>
      </c>
      <c r="AF161">
        <v>43.11</v>
      </c>
      <c r="AG161">
        <v>54.37</v>
      </c>
      <c r="AH161">
        <v>45.9</v>
      </c>
      <c r="AI161">
        <v>47.93</v>
      </c>
    </row>
    <row r="162" spans="1:35" x14ac:dyDescent="0.45">
      <c r="A162" s="2">
        <v>45818</v>
      </c>
      <c r="B162">
        <v>28.1</v>
      </c>
      <c r="C162">
        <v>31.82</v>
      </c>
      <c r="D162">
        <v>18.84</v>
      </c>
      <c r="E162">
        <v>27.82</v>
      </c>
      <c r="F162">
        <v>30.83</v>
      </c>
      <c r="G162">
        <v>48.231099999999998</v>
      </c>
      <c r="H162">
        <v>24.28</v>
      </c>
      <c r="I162">
        <v>55.8</v>
      </c>
      <c r="J162">
        <v>61.36</v>
      </c>
      <c r="K162">
        <v>66.16</v>
      </c>
      <c r="L162">
        <v>27.72</v>
      </c>
      <c r="M162">
        <v>54.66</v>
      </c>
      <c r="N162">
        <v>56.48</v>
      </c>
      <c r="O162">
        <v>55.26</v>
      </c>
      <c r="P162">
        <v>55.69</v>
      </c>
      <c r="Q162">
        <v>18.920000000000002</v>
      </c>
      <c r="R162">
        <v>1132.02</v>
      </c>
      <c r="S162">
        <v>32.17</v>
      </c>
      <c r="T162">
        <v>18.78</v>
      </c>
      <c r="U162">
        <v>13.4</v>
      </c>
      <c r="V162">
        <v>38.72</v>
      </c>
      <c r="W162">
        <v>45.65</v>
      </c>
      <c r="X162">
        <v>26.71</v>
      </c>
      <c r="Y162">
        <v>45.43</v>
      </c>
      <c r="Z162">
        <v>42.12</v>
      </c>
      <c r="AA162">
        <v>73.88</v>
      </c>
      <c r="AB162">
        <v>55.67</v>
      </c>
      <c r="AC162">
        <v>40.31</v>
      </c>
      <c r="AD162">
        <v>534.21</v>
      </c>
      <c r="AE162">
        <v>603.08000000000004</v>
      </c>
      <c r="AF162">
        <v>43.21</v>
      </c>
      <c r="AG162">
        <v>54.57</v>
      </c>
      <c r="AH162">
        <v>45.94</v>
      </c>
      <c r="AI162">
        <v>47.93</v>
      </c>
    </row>
    <row r="163" spans="1:35" x14ac:dyDescent="0.45">
      <c r="A163" s="2">
        <v>45817</v>
      </c>
      <c r="B163">
        <v>28.3</v>
      </c>
      <c r="C163">
        <v>31.75</v>
      </c>
      <c r="D163">
        <v>18.59</v>
      </c>
      <c r="E163">
        <v>28.12</v>
      </c>
      <c r="F163">
        <v>30</v>
      </c>
      <c r="G163">
        <v>48.53</v>
      </c>
      <c r="H163">
        <v>24.32</v>
      </c>
      <c r="I163">
        <v>54.71</v>
      </c>
      <c r="J163">
        <v>61.09</v>
      </c>
      <c r="K163">
        <v>66.48</v>
      </c>
      <c r="L163">
        <v>27.62</v>
      </c>
      <c r="M163">
        <v>54.44</v>
      </c>
      <c r="N163">
        <v>55.85</v>
      </c>
      <c r="O163">
        <v>55.24</v>
      </c>
      <c r="P163">
        <v>55.52</v>
      </c>
      <c r="Q163">
        <v>18.829999999999998</v>
      </c>
      <c r="R163">
        <v>1149.18</v>
      </c>
      <c r="S163">
        <v>31.66</v>
      </c>
      <c r="T163">
        <v>18.71</v>
      </c>
      <c r="U163">
        <v>13.26</v>
      </c>
      <c r="V163">
        <v>38.57</v>
      </c>
      <c r="W163">
        <v>45.32</v>
      </c>
      <c r="X163">
        <v>26.44</v>
      </c>
      <c r="Y163">
        <v>45.3</v>
      </c>
      <c r="Z163">
        <v>42.31</v>
      </c>
      <c r="AA163">
        <v>73.930000000000007</v>
      </c>
      <c r="AB163">
        <v>55.62</v>
      </c>
      <c r="AC163">
        <v>40.340000000000003</v>
      </c>
      <c r="AD163">
        <v>530.70000000000005</v>
      </c>
      <c r="AE163">
        <v>599.67999999999995</v>
      </c>
      <c r="AF163">
        <v>43.08</v>
      </c>
      <c r="AG163">
        <v>54.02</v>
      </c>
      <c r="AH163">
        <v>45.91</v>
      </c>
      <c r="AI163">
        <v>48.18</v>
      </c>
    </row>
    <row r="164" spans="1:35" x14ac:dyDescent="0.45">
      <c r="A164" s="2">
        <v>45814</v>
      </c>
      <c r="B164">
        <v>28.22</v>
      </c>
      <c r="C164">
        <v>31.84</v>
      </c>
      <c r="D164">
        <v>18.510000000000002</v>
      </c>
      <c r="E164">
        <v>27.95</v>
      </c>
      <c r="F164">
        <v>29.46</v>
      </c>
      <c r="G164">
        <v>48.5916</v>
      </c>
      <c r="H164">
        <v>24.25</v>
      </c>
      <c r="I164">
        <v>54.11</v>
      </c>
      <c r="J164">
        <v>61.24</v>
      </c>
      <c r="K164">
        <v>65.569999999999993</v>
      </c>
      <c r="L164">
        <v>27.72</v>
      </c>
      <c r="M164">
        <v>53.94</v>
      </c>
      <c r="N164">
        <v>55.46</v>
      </c>
      <c r="O164">
        <v>54.91</v>
      </c>
      <c r="P164">
        <v>54.92</v>
      </c>
      <c r="Q164">
        <v>18.829999999999998</v>
      </c>
      <c r="R164">
        <v>1164.01</v>
      </c>
      <c r="S164">
        <v>31.61</v>
      </c>
      <c r="T164">
        <v>18.670000000000002</v>
      </c>
      <c r="U164">
        <v>13.64</v>
      </c>
      <c r="V164">
        <v>38.51</v>
      </c>
      <c r="W164">
        <v>45.31</v>
      </c>
      <c r="X164">
        <v>26.37</v>
      </c>
      <c r="Y164">
        <v>45.39</v>
      </c>
      <c r="Z164">
        <v>42.52</v>
      </c>
      <c r="AA164">
        <v>73.819999999999993</v>
      </c>
      <c r="AB164">
        <v>55.64</v>
      </c>
      <c r="AC164">
        <v>40.35</v>
      </c>
      <c r="AD164">
        <v>529.91999999999996</v>
      </c>
      <c r="AE164">
        <v>599.14</v>
      </c>
      <c r="AF164">
        <v>43.04</v>
      </c>
      <c r="AG164">
        <v>53.63</v>
      </c>
      <c r="AH164">
        <v>46.14</v>
      </c>
      <c r="AI164">
        <v>48.3</v>
      </c>
    </row>
    <row r="165" spans="1:35" x14ac:dyDescent="0.45">
      <c r="A165" s="2">
        <v>45813</v>
      </c>
      <c r="B165">
        <v>28.29</v>
      </c>
      <c r="C165">
        <v>32.17</v>
      </c>
      <c r="D165">
        <v>18.559999999999999</v>
      </c>
      <c r="E165">
        <v>27.96</v>
      </c>
      <c r="F165">
        <v>29.75</v>
      </c>
      <c r="G165">
        <v>48.796100000000003</v>
      </c>
      <c r="H165">
        <v>24.31</v>
      </c>
      <c r="I165">
        <v>53.74</v>
      </c>
      <c r="J165">
        <v>60.72</v>
      </c>
      <c r="K165">
        <v>65.36</v>
      </c>
      <c r="L165">
        <v>27.6</v>
      </c>
      <c r="M165">
        <v>54.03</v>
      </c>
      <c r="N165">
        <v>55.77</v>
      </c>
      <c r="O165">
        <v>54.18</v>
      </c>
      <c r="P165">
        <v>54.99</v>
      </c>
      <c r="Q165">
        <v>18.78</v>
      </c>
      <c r="R165">
        <v>1160.74</v>
      </c>
      <c r="S165">
        <v>31.44</v>
      </c>
      <c r="T165">
        <v>18.61</v>
      </c>
      <c r="U165">
        <v>13.74</v>
      </c>
      <c r="V165">
        <v>38.479999999999997</v>
      </c>
      <c r="W165">
        <v>45.53</v>
      </c>
      <c r="X165">
        <v>26.36</v>
      </c>
      <c r="Y165">
        <v>45.32</v>
      </c>
      <c r="Z165">
        <v>42.57</v>
      </c>
      <c r="AA165">
        <v>73.39</v>
      </c>
      <c r="AB165">
        <v>55.47</v>
      </c>
      <c r="AC165">
        <v>40.22</v>
      </c>
      <c r="AD165">
        <v>524.79</v>
      </c>
      <c r="AE165">
        <v>593.04999999999995</v>
      </c>
      <c r="AF165">
        <v>43.04</v>
      </c>
      <c r="AG165">
        <v>53.36</v>
      </c>
      <c r="AH165">
        <v>46.17</v>
      </c>
      <c r="AI165">
        <v>47.98</v>
      </c>
    </row>
    <row r="166" spans="1:35" x14ac:dyDescent="0.45">
      <c r="A166" s="2">
        <v>45812</v>
      </c>
      <c r="B166">
        <v>28.18</v>
      </c>
      <c r="C166">
        <v>31.88</v>
      </c>
      <c r="D166">
        <v>18.45</v>
      </c>
      <c r="E166">
        <v>27.66</v>
      </c>
      <c r="F166">
        <v>30.22</v>
      </c>
      <c r="G166">
        <v>48.064999999999998</v>
      </c>
      <c r="H166">
        <v>24.14</v>
      </c>
      <c r="I166">
        <v>53.96</v>
      </c>
      <c r="J166">
        <v>60.25</v>
      </c>
      <c r="K166">
        <v>63.98</v>
      </c>
      <c r="L166">
        <v>27.44</v>
      </c>
      <c r="M166">
        <v>53.46</v>
      </c>
      <c r="N166">
        <v>55.24</v>
      </c>
      <c r="O166">
        <v>53.92</v>
      </c>
      <c r="P166">
        <v>54.79</v>
      </c>
      <c r="Q166">
        <v>18.91</v>
      </c>
      <c r="R166">
        <v>1163.42</v>
      </c>
      <c r="S166">
        <v>31.36</v>
      </c>
      <c r="T166">
        <v>18.59</v>
      </c>
      <c r="U166">
        <v>13.86</v>
      </c>
      <c r="V166">
        <v>38.380000000000003</v>
      </c>
      <c r="W166">
        <v>45.25</v>
      </c>
      <c r="X166">
        <v>26.33</v>
      </c>
      <c r="Y166">
        <v>45.25</v>
      </c>
      <c r="Z166">
        <v>42.46</v>
      </c>
      <c r="AA166">
        <v>74.08</v>
      </c>
      <c r="AB166">
        <v>55.56</v>
      </c>
      <c r="AC166">
        <v>40.19</v>
      </c>
      <c r="AD166">
        <v>528.77</v>
      </c>
      <c r="AE166">
        <v>595.92999999999995</v>
      </c>
      <c r="AF166">
        <v>43.08</v>
      </c>
      <c r="AG166">
        <v>53.23</v>
      </c>
      <c r="AH166">
        <v>45.93</v>
      </c>
      <c r="AI166">
        <v>47.74</v>
      </c>
    </row>
    <row r="167" spans="1:35" x14ac:dyDescent="0.45">
      <c r="A167" s="2">
        <v>45811</v>
      </c>
      <c r="B167">
        <v>27.96</v>
      </c>
      <c r="C167">
        <v>31.58</v>
      </c>
      <c r="D167">
        <v>18.420000000000002</v>
      </c>
      <c r="E167">
        <v>27.78</v>
      </c>
      <c r="F167">
        <v>29.92</v>
      </c>
      <c r="G167">
        <v>47.95</v>
      </c>
      <c r="H167">
        <v>24.09</v>
      </c>
      <c r="I167">
        <v>53.15</v>
      </c>
      <c r="J167">
        <v>60.39</v>
      </c>
      <c r="K167">
        <v>61.89</v>
      </c>
      <c r="L167">
        <v>27.58</v>
      </c>
      <c r="M167">
        <v>53.13</v>
      </c>
      <c r="N167">
        <v>55.29</v>
      </c>
      <c r="O167">
        <v>53.96</v>
      </c>
      <c r="P167">
        <v>53.76</v>
      </c>
      <c r="Q167">
        <v>19.079999999999998</v>
      </c>
      <c r="R167">
        <v>1178.43</v>
      </c>
      <c r="S167">
        <v>30.84</v>
      </c>
      <c r="T167">
        <v>18.59</v>
      </c>
      <c r="U167">
        <v>13.96</v>
      </c>
      <c r="V167">
        <v>38</v>
      </c>
      <c r="W167">
        <v>44.61</v>
      </c>
      <c r="X167">
        <v>26.07</v>
      </c>
      <c r="Y167">
        <v>45.34</v>
      </c>
      <c r="Z167">
        <v>42.12</v>
      </c>
      <c r="AA167">
        <v>74.13</v>
      </c>
      <c r="AB167">
        <v>55.03</v>
      </c>
      <c r="AC167">
        <v>40.06</v>
      </c>
      <c r="AD167">
        <v>527.29999999999995</v>
      </c>
      <c r="AE167">
        <v>596.09</v>
      </c>
      <c r="AF167">
        <v>42.84</v>
      </c>
      <c r="AG167">
        <v>52.95</v>
      </c>
      <c r="AH167">
        <v>45.2</v>
      </c>
      <c r="AI167">
        <v>47.87</v>
      </c>
    </row>
    <row r="168" spans="1:35" x14ac:dyDescent="0.45">
      <c r="A168" s="2">
        <v>45810</v>
      </c>
      <c r="B168">
        <v>27.72</v>
      </c>
      <c r="C168">
        <v>31.53</v>
      </c>
      <c r="D168">
        <v>18.559999999999999</v>
      </c>
      <c r="E168">
        <v>27.6</v>
      </c>
      <c r="F168">
        <v>30.49</v>
      </c>
      <c r="G168">
        <v>47.72</v>
      </c>
      <c r="H168">
        <v>24.15</v>
      </c>
      <c r="I168">
        <v>52.84</v>
      </c>
      <c r="J168">
        <v>60.64</v>
      </c>
      <c r="K168">
        <v>61.74</v>
      </c>
      <c r="L168">
        <v>27.27</v>
      </c>
      <c r="M168">
        <v>53.27</v>
      </c>
      <c r="N168">
        <v>55.7</v>
      </c>
      <c r="O168">
        <v>54.54</v>
      </c>
      <c r="P168">
        <v>53.26</v>
      </c>
      <c r="Q168">
        <v>18.8</v>
      </c>
      <c r="R168">
        <v>1176.3599999999999</v>
      </c>
      <c r="S168">
        <v>30.05</v>
      </c>
      <c r="T168">
        <v>18.45</v>
      </c>
      <c r="U168">
        <v>13.81</v>
      </c>
      <c r="V168">
        <v>38.159999999999997</v>
      </c>
      <c r="W168">
        <v>45.04</v>
      </c>
      <c r="X168">
        <v>26.15</v>
      </c>
      <c r="Y168">
        <v>45.39</v>
      </c>
      <c r="Z168">
        <v>42.34</v>
      </c>
      <c r="AA168">
        <v>75.040000000000006</v>
      </c>
      <c r="AB168">
        <v>55.54</v>
      </c>
      <c r="AC168">
        <v>40.29</v>
      </c>
      <c r="AD168">
        <v>523.21</v>
      </c>
      <c r="AE168">
        <v>592.71</v>
      </c>
      <c r="AF168">
        <v>43.14</v>
      </c>
      <c r="AG168">
        <v>53.285800000000002</v>
      </c>
      <c r="AH168">
        <v>45.62</v>
      </c>
      <c r="AI168">
        <v>48.32</v>
      </c>
    </row>
    <row r="169" spans="1:35" x14ac:dyDescent="0.45">
      <c r="A169" s="2">
        <v>45807</v>
      </c>
      <c r="B169">
        <v>27.67</v>
      </c>
      <c r="C169">
        <v>31.5</v>
      </c>
      <c r="D169">
        <v>18.88</v>
      </c>
      <c r="E169">
        <v>27.24</v>
      </c>
      <c r="F169">
        <v>30.37</v>
      </c>
      <c r="G169">
        <v>46.64</v>
      </c>
      <c r="H169">
        <v>23.96</v>
      </c>
      <c r="I169">
        <v>52.38</v>
      </c>
      <c r="J169">
        <v>60.17</v>
      </c>
      <c r="K169">
        <v>60.63</v>
      </c>
      <c r="L169">
        <v>27.21</v>
      </c>
      <c r="M169">
        <v>52.21</v>
      </c>
      <c r="N169">
        <v>55</v>
      </c>
      <c r="O169">
        <v>54.31</v>
      </c>
      <c r="P169">
        <v>52.82</v>
      </c>
      <c r="Q169">
        <v>18.75</v>
      </c>
      <c r="R169">
        <v>1173.3699999999999</v>
      </c>
      <c r="S169">
        <v>29.99</v>
      </c>
      <c r="T169">
        <v>18.57</v>
      </c>
      <c r="U169">
        <v>13.59</v>
      </c>
      <c r="V169">
        <v>38.33</v>
      </c>
      <c r="W169">
        <v>44.39</v>
      </c>
      <c r="X169">
        <v>25.81</v>
      </c>
      <c r="Y169">
        <v>44.96</v>
      </c>
      <c r="Z169">
        <v>41.97</v>
      </c>
      <c r="AA169">
        <v>74.12</v>
      </c>
      <c r="AB169">
        <v>55.18</v>
      </c>
      <c r="AC169">
        <v>39.92</v>
      </c>
      <c r="AD169">
        <v>519.11</v>
      </c>
      <c r="AE169">
        <v>589.39</v>
      </c>
      <c r="AF169">
        <v>42.49</v>
      </c>
      <c r="AG169">
        <v>52.85</v>
      </c>
      <c r="AH169">
        <v>45.45</v>
      </c>
      <c r="AI169">
        <v>47.77</v>
      </c>
    </row>
    <row r="170" spans="1:35" x14ac:dyDescent="0.45">
      <c r="A170" s="2">
        <v>45806</v>
      </c>
      <c r="B170">
        <v>28.02</v>
      </c>
      <c r="C170">
        <v>32.08</v>
      </c>
      <c r="D170">
        <v>18.95</v>
      </c>
      <c r="E170">
        <v>27.84</v>
      </c>
      <c r="F170">
        <v>30.72</v>
      </c>
      <c r="G170">
        <v>46.613599999999998</v>
      </c>
      <c r="H170">
        <v>24.3</v>
      </c>
      <c r="I170">
        <v>52.87</v>
      </c>
      <c r="J170">
        <v>61.23</v>
      </c>
      <c r="K170">
        <v>61.8</v>
      </c>
      <c r="L170">
        <v>27.7</v>
      </c>
      <c r="M170">
        <v>53.05</v>
      </c>
      <c r="N170">
        <v>55.71</v>
      </c>
      <c r="O170">
        <v>54.59</v>
      </c>
      <c r="P170">
        <v>53.86</v>
      </c>
      <c r="Q170">
        <v>18.829999999999998</v>
      </c>
      <c r="R170">
        <v>1179.81</v>
      </c>
      <c r="S170">
        <v>30.54</v>
      </c>
      <c r="T170">
        <v>18.59</v>
      </c>
      <c r="U170">
        <v>13.51</v>
      </c>
      <c r="V170">
        <v>38.39</v>
      </c>
      <c r="W170">
        <v>43.97</v>
      </c>
      <c r="X170">
        <v>25.64</v>
      </c>
      <c r="Y170">
        <v>44.78</v>
      </c>
      <c r="Z170">
        <v>41.85</v>
      </c>
      <c r="AA170">
        <v>74.03</v>
      </c>
      <c r="AB170">
        <v>54.9</v>
      </c>
      <c r="AC170">
        <v>39.79</v>
      </c>
      <c r="AD170">
        <v>519.92999999999995</v>
      </c>
      <c r="AE170">
        <v>590.04999999999995</v>
      </c>
      <c r="AF170">
        <v>42.76</v>
      </c>
      <c r="AG170">
        <v>52.94</v>
      </c>
      <c r="AH170">
        <v>45.36</v>
      </c>
      <c r="AI170">
        <v>47.58</v>
      </c>
    </row>
    <row r="171" spans="1:35" x14ac:dyDescent="0.45">
      <c r="A171" s="2">
        <v>45805</v>
      </c>
      <c r="B171">
        <v>27.83</v>
      </c>
      <c r="C171">
        <v>32.17</v>
      </c>
      <c r="D171">
        <v>18.91</v>
      </c>
      <c r="E171">
        <v>27.93</v>
      </c>
      <c r="F171">
        <v>31.25</v>
      </c>
      <c r="G171">
        <v>46.5428</v>
      </c>
      <c r="H171">
        <v>24.47</v>
      </c>
      <c r="I171">
        <v>53.26</v>
      </c>
      <c r="J171">
        <v>60.9</v>
      </c>
      <c r="K171">
        <v>60.75</v>
      </c>
      <c r="L171">
        <v>27.69</v>
      </c>
      <c r="M171">
        <v>52.03</v>
      </c>
      <c r="N171">
        <v>55.85</v>
      </c>
      <c r="O171">
        <v>54.284999999999997</v>
      </c>
      <c r="P171">
        <v>53.33</v>
      </c>
      <c r="Q171">
        <v>18.940000000000001</v>
      </c>
      <c r="R171">
        <v>1189.1400000000001</v>
      </c>
      <c r="S171">
        <v>30.56</v>
      </c>
      <c r="T171">
        <v>18.66</v>
      </c>
      <c r="U171">
        <v>13.71</v>
      </c>
      <c r="V171">
        <v>38.6</v>
      </c>
      <c r="W171">
        <v>44.23</v>
      </c>
      <c r="X171">
        <v>25.56</v>
      </c>
      <c r="Y171">
        <v>44.76</v>
      </c>
      <c r="Z171">
        <v>41.77</v>
      </c>
      <c r="AA171">
        <v>73.61</v>
      </c>
      <c r="AB171">
        <v>54.62</v>
      </c>
      <c r="AC171">
        <v>39.67</v>
      </c>
      <c r="AD171">
        <v>518.91</v>
      </c>
      <c r="AE171">
        <v>587.73</v>
      </c>
      <c r="AF171">
        <v>42.47</v>
      </c>
      <c r="AG171">
        <v>52.59</v>
      </c>
      <c r="AH171">
        <v>45.24</v>
      </c>
      <c r="AI171">
        <v>47.55</v>
      </c>
    </row>
    <row r="172" spans="1:35" x14ac:dyDescent="0.45">
      <c r="A172" s="2">
        <v>45804</v>
      </c>
      <c r="B172">
        <v>27.9</v>
      </c>
      <c r="C172">
        <v>32.75</v>
      </c>
      <c r="D172">
        <v>19.04</v>
      </c>
      <c r="E172">
        <v>27.78</v>
      </c>
      <c r="F172">
        <v>30.82</v>
      </c>
      <c r="G172">
        <v>46.83</v>
      </c>
      <c r="H172">
        <v>24.52</v>
      </c>
      <c r="I172">
        <v>53.58</v>
      </c>
      <c r="J172">
        <v>61.13</v>
      </c>
      <c r="K172">
        <v>59.98</v>
      </c>
      <c r="L172">
        <v>27.99</v>
      </c>
      <c r="M172">
        <v>51.91</v>
      </c>
      <c r="N172">
        <v>55.02</v>
      </c>
      <c r="O172">
        <v>54.53</v>
      </c>
      <c r="P172">
        <v>54.04</v>
      </c>
      <c r="Q172">
        <v>18.91</v>
      </c>
      <c r="R172">
        <v>1187.06</v>
      </c>
      <c r="S172">
        <v>30.86</v>
      </c>
      <c r="T172">
        <v>18.62</v>
      </c>
      <c r="U172">
        <v>13.585000000000001</v>
      </c>
      <c r="V172">
        <v>38.21</v>
      </c>
      <c r="W172">
        <v>45.38</v>
      </c>
      <c r="X172">
        <v>25.87</v>
      </c>
      <c r="Y172">
        <v>44.82</v>
      </c>
      <c r="Z172">
        <v>42.31</v>
      </c>
      <c r="AA172">
        <v>74.95</v>
      </c>
      <c r="AB172">
        <v>55.2</v>
      </c>
      <c r="AC172">
        <v>40.07</v>
      </c>
      <c r="AD172">
        <v>521.22</v>
      </c>
      <c r="AE172">
        <v>591.15</v>
      </c>
      <c r="AF172">
        <v>42.92</v>
      </c>
      <c r="AG172">
        <v>53</v>
      </c>
      <c r="AH172">
        <v>45.55</v>
      </c>
      <c r="AI172">
        <v>47.66</v>
      </c>
    </row>
    <row r="173" spans="1:35" x14ac:dyDescent="0.45">
      <c r="A173" s="2">
        <v>45800</v>
      </c>
      <c r="B173">
        <v>28.2</v>
      </c>
      <c r="C173">
        <v>32.85</v>
      </c>
      <c r="D173">
        <v>19.16</v>
      </c>
      <c r="E173">
        <v>27.81</v>
      </c>
      <c r="F173">
        <v>29.85</v>
      </c>
      <c r="G173">
        <v>46.76</v>
      </c>
      <c r="H173">
        <v>24.58</v>
      </c>
      <c r="I173">
        <v>53.52</v>
      </c>
      <c r="J173">
        <v>60.67</v>
      </c>
      <c r="K173">
        <v>58.96</v>
      </c>
      <c r="L173">
        <v>27.65</v>
      </c>
      <c r="M173">
        <v>52.52</v>
      </c>
      <c r="N173">
        <v>53.23</v>
      </c>
      <c r="O173">
        <v>54.58</v>
      </c>
      <c r="P173">
        <v>54.78</v>
      </c>
      <c r="Q173">
        <v>19.149999999999999</v>
      </c>
      <c r="R173">
        <v>1195.77</v>
      </c>
      <c r="S173">
        <v>31.24</v>
      </c>
      <c r="T173">
        <v>18.45</v>
      </c>
      <c r="U173">
        <v>13.14</v>
      </c>
      <c r="V173">
        <v>39.17</v>
      </c>
      <c r="W173">
        <v>45.36</v>
      </c>
      <c r="X173">
        <v>25.65</v>
      </c>
      <c r="Y173">
        <v>44.44</v>
      </c>
      <c r="Z173">
        <v>41.26</v>
      </c>
      <c r="AA173">
        <v>73.03</v>
      </c>
      <c r="AB173">
        <v>55.03</v>
      </c>
      <c r="AC173">
        <v>39.880000000000003</v>
      </c>
      <c r="AD173">
        <v>509.24</v>
      </c>
      <c r="AE173">
        <v>579.11</v>
      </c>
      <c r="AF173">
        <v>42.4</v>
      </c>
      <c r="AG173">
        <v>52.26</v>
      </c>
      <c r="AH173">
        <v>45.32</v>
      </c>
      <c r="AI173">
        <v>46.96</v>
      </c>
    </row>
    <row r="174" spans="1:35" x14ac:dyDescent="0.45">
      <c r="A174" s="2">
        <v>45799</v>
      </c>
      <c r="B174">
        <v>28.3</v>
      </c>
      <c r="C174">
        <v>32.634999999999998</v>
      </c>
      <c r="D174">
        <v>18.91</v>
      </c>
      <c r="E174">
        <v>27.27</v>
      </c>
      <c r="F174">
        <v>29.99</v>
      </c>
      <c r="G174">
        <v>45.76</v>
      </c>
      <c r="H174">
        <v>24.24</v>
      </c>
      <c r="I174">
        <v>53.7</v>
      </c>
      <c r="J174">
        <v>59.83</v>
      </c>
      <c r="K174">
        <v>58.29</v>
      </c>
      <c r="L174">
        <v>27.52</v>
      </c>
      <c r="M174">
        <v>51.43</v>
      </c>
      <c r="N174">
        <v>53.88</v>
      </c>
      <c r="O174">
        <v>53.79</v>
      </c>
      <c r="P174">
        <v>54.75</v>
      </c>
      <c r="Q174">
        <v>19.11</v>
      </c>
      <c r="R174">
        <v>1194.49</v>
      </c>
      <c r="S174">
        <v>31.7</v>
      </c>
      <c r="T174">
        <v>18.53</v>
      </c>
      <c r="U174">
        <v>13.17</v>
      </c>
      <c r="V174">
        <v>39.28</v>
      </c>
      <c r="W174">
        <v>45.08</v>
      </c>
      <c r="X174">
        <v>25.41</v>
      </c>
      <c r="Y174">
        <v>44</v>
      </c>
      <c r="Z174">
        <v>41.64</v>
      </c>
      <c r="AA174">
        <v>72.37</v>
      </c>
      <c r="AB174">
        <v>54.77</v>
      </c>
      <c r="AC174">
        <v>39.53</v>
      </c>
      <c r="AD174">
        <v>514</v>
      </c>
      <c r="AE174">
        <v>583.09</v>
      </c>
      <c r="AF174">
        <v>42.65</v>
      </c>
      <c r="AG174">
        <v>52.54</v>
      </c>
      <c r="AH174">
        <v>45.09</v>
      </c>
      <c r="AI174">
        <v>47.54</v>
      </c>
    </row>
    <row r="175" spans="1:35" x14ac:dyDescent="0.45">
      <c r="A175" s="2">
        <v>45798</v>
      </c>
      <c r="B175">
        <v>28.4</v>
      </c>
      <c r="C175">
        <v>32.69</v>
      </c>
      <c r="D175">
        <v>18.79</v>
      </c>
      <c r="E175">
        <v>27.46</v>
      </c>
      <c r="F175">
        <v>30.09</v>
      </c>
      <c r="G175">
        <v>45.66</v>
      </c>
      <c r="H175">
        <v>24.49</v>
      </c>
      <c r="I175">
        <v>53.72</v>
      </c>
      <c r="J175">
        <v>60.32</v>
      </c>
      <c r="K175">
        <v>59.1</v>
      </c>
      <c r="L175">
        <v>27.67</v>
      </c>
      <c r="M175">
        <v>51.45</v>
      </c>
      <c r="N175">
        <v>54.14</v>
      </c>
      <c r="O175">
        <v>54.03</v>
      </c>
      <c r="P175">
        <v>54.99</v>
      </c>
      <c r="Q175">
        <v>19.18</v>
      </c>
      <c r="R175">
        <v>1216.71</v>
      </c>
      <c r="S175">
        <v>31.42</v>
      </c>
      <c r="T175">
        <v>18.57</v>
      </c>
      <c r="U175">
        <v>13.21</v>
      </c>
      <c r="V175">
        <v>39.299999999999997</v>
      </c>
      <c r="W175">
        <v>45.22</v>
      </c>
      <c r="X175">
        <v>25.41</v>
      </c>
      <c r="Y175">
        <v>43.94</v>
      </c>
      <c r="Z175">
        <v>41.68</v>
      </c>
      <c r="AA175">
        <v>72.31</v>
      </c>
      <c r="AB175">
        <v>55.04</v>
      </c>
      <c r="AC175">
        <v>39.43</v>
      </c>
      <c r="AD175">
        <v>513.04</v>
      </c>
      <c r="AE175">
        <v>582.86</v>
      </c>
      <c r="AF175">
        <v>42.71</v>
      </c>
      <c r="AG175">
        <v>52.48</v>
      </c>
      <c r="AH175">
        <v>45.94</v>
      </c>
      <c r="AI175">
        <v>47.65</v>
      </c>
    </row>
    <row r="176" spans="1:35" x14ac:dyDescent="0.45">
      <c r="A176" s="2">
        <v>45797</v>
      </c>
      <c r="B176">
        <v>28.28</v>
      </c>
      <c r="C176">
        <v>32.75</v>
      </c>
      <c r="D176">
        <v>18.53</v>
      </c>
      <c r="E176">
        <v>27.36</v>
      </c>
      <c r="F176">
        <v>30.77</v>
      </c>
      <c r="G176">
        <v>45.57</v>
      </c>
      <c r="H176">
        <v>24.5</v>
      </c>
      <c r="I176">
        <v>53.48</v>
      </c>
      <c r="J176">
        <v>60.53</v>
      </c>
      <c r="K176">
        <v>58.4</v>
      </c>
      <c r="L176">
        <v>28.16</v>
      </c>
      <c r="M176">
        <v>51.61</v>
      </c>
      <c r="N176">
        <v>53.89</v>
      </c>
      <c r="O176">
        <v>54.07</v>
      </c>
      <c r="P176">
        <v>55.2</v>
      </c>
      <c r="Q176">
        <v>19.059999999999999</v>
      </c>
      <c r="R176">
        <v>1214.3900000000001</v>
      </c>
      <c r="S176">
        <v>31.86</v>
      </c>
      <c r="T176">
        <v>18.71</v>
      </c>
      <c r="U176">
        <v>13.09</v>
      </c>
      <c r="V176">
        <v>39.89</v>
      </c>
      <c r="W176">
        <v>45.2</v>
      </c>
      <c r="X176">
        <v>25.63</v>
      </c>
      <c r="Y176">
        <v>44.19</v>
      </c>
      <c r="Z176">
        <v>41.77</v>
      </c>
      <c r="AA176">
        <v>72.989999999999995</v>
      </c>
      <c r="AB176">
        <v>55.17</v>
      </c>
      <c r="AC176">
        <v>39.61</v>
      </c>
      <c r="AD176">
        <v>520.27</v>
      </c>
      <c r="AE176">
        <v>592.85</v>
      </c>
      <c r="AF176">
        <v>43.1</v>
      </c>
      <c r="AG176">
        <v>52.8</v>
      </c>
      <c r="AH176">
        <v>46.35</v>
      </c>
      <c r="AI176">
        <v>47.84</v>
      </c>
    </row>
    <row r="177" spans="1:35" x14ac:dyDescent="0.45">
      <c r="A177" s="2">
        <v>45796</v>
      </c>
      <c r="B177">
        <v>28.14</v>
      </c>
      <c r="C177">
        <v>32.96</v>
      </c>
      <c r="D177">
        <v>18.739999999999998</v>
      </c>
      <c r="E177">
        <v>27.9</v>
      </c>
      <c r="F177">
        <v>30.53</v>
      </c>
      <c r="G177">
        <v>45.16</v>
      </c>
      <c r="H177">
        <v>24.69</v>
      </c>
      <c r="I177">
        <v>53.82</v>
      </c>
      <c r="J177">
        <v>60.57</v>
      </c>
      <c r="K177">
        <v>58.82</v>
      </c>
      <c r="L177">
        <v>28.18</v>
      </c>
      <c r="M177">
        <v>51.08</v>
      </c>
      <c r="N177">
        <v>52.9</v>
      </c>
      <c r="O177">
        <v>54.78</v>
      </c>
      <c r="P177">
        <v>54.7</v>
      </c>
      <c r="Q177">
        <v>19.05</v>
      </c>
      <c r="R177">
        <v>1210.94</v>
      </c>
      <c r="S177">
        <v>32.49</v>
      </c>
      <c r="T177">
        <v>18.649999999999999</v>
      </c>
      <c r="U177">
        <v>12.865</v>
      </c>
      <c r="V177">
        <v>39.909999999999997</v>
      </c>
      <c r="W177">
        <v>45.15</v>
      </c>
      <c r="X177">
        <v>25.63</v>
      </c>
      <c r="Y177">
        <v>44.05</v>
      </c>
      <c r="Z177">
        <v>41.56</v>
      </c>
      <c r="AA177">
        <v>72.569999999999993</v>
      </c>
      <c r="AB177">
        <v>55.02</v>
      </c>
      <c r="AC177">
        <v>39.33</v>
      </c>
      <c r="AD177">
        <v>522.01</v>
      </c>
      <c r="AE177">
        <v>594.85</v>
      </c>
      <c r="AF177">
        <v>42.73</v>
      </c>
      <c r="AG177">
        <v>52.645000000000003</v>
      </c>
      <c r="AH177">
        <v>46.19</v>
      </c>
      <c r="AI177">
        <v>47.3</v>
      </c>
    </row>
    <row r="178" spans="1:35" x14ac:dyDescent="0.45">
      <c r="A178" s="2">
        <v>45793</v>
      </c>
      <c r="B178">
        <v>28.24</v>
      </c>
      <c r="C178">
        <v>32.61</v>
      </c>
      <c r="D178">
        <v>18.39</v>
      </c>
      <c r="E178">
        <v>27.69</v>
      </c>
      <c r="F178">
        <v>30.32</v>
      </c>
      <c r="G178">
        <v>44.57</v>
      </c>
      <c r="H178">
        <v>24.87</v>
      </c>
      <c r="I178">
        <v>54.01</v>
      </c>
      <c r="J178">
        <v>59.51</v>
      </c>
      <c r="K178">
        <v>58.79</v>
      </c>
      <c r="L178">
        <v>28</v>
      </c>
      <c r="M178">
        <v>51.24</v>
      </c>
      <c r="N178">
        <v>52.5</v>
      </c>
      <c r="O178">
        <v>54.66</v>
      </c>
      <c r="P178">
        <v>54.42</v>
      </c>
      <c r="Q178">
        <v>18.88</v>
      </c>
      <c r="R178">
        <v>1206.5899999999999</v>
      </c>
      <c r="S178">
        <v>32.43</v>
      </c>
      <c r="T178">
        <v>18.48</v>
      </c>
      <c r="U178">
        <v>12.75</v>
      </c>
      <c r="V178">
        <v>40.19</v>
      </c>
      <c r="W178">
        <v>45.41</v>
      </c>
      <c r="X178">
        <v>25.47</v>
      </c>
      <c r="Y178">
        <v>43.89</v>
      </c>
      <c r="Z178">
        <v>40.85</v>
      </c>
      <c r="AA178">
        <v>72.489999999999995</v>
      </c>
      <c r="AB178">
        <v>54.41</v>
      </c>
      <c r="AC178">
        <v>38.9</v>
      </c>
      <c r="AD178">
        <v>521.51</v>
      </c>
      <c r="AE178">
        <v>594.20000000000005</v>
      </c>
      <c r="AF178">
        <v>42.25</v>
      </c>
      <c r="AG178">
        <v>52.19</v>
      </c>
      <c r="AH178">
        <v>45.61</v>
      </c>
      <c r="AI178">
        <v>46.85</v>
      </c>
    </row>
    <row r="179" spans="1:35" x14ac:dyDescent="0.45">
      <c r="A179" s="2">
        <v>45792</v>
      </c>
      <c r="B179">
        <v>28.25</v>
      </c>
      <c r="C179">
        <v>33.07</v>
      </c>
      <c r="D179">
        <v>18.27</v>
      </c>
      <c r="E179">
        <v>27.62</v>
      </c>
      <c r="F179">
        <v>30.49</v>
      </c>
      <c r="G179">
        <v>45.06</v>
      </c>
      <c r="H179">
        <v>25.08</v>
      </c>
      <c r="I179">
        <v>53.99</v>
      </c>
      <c r="J179">
        <v>59.26</v>
      </c>
      <c r="K179">
        <v>58.8</v>
      </c>
      <c r="L179">
        <v>28.01</v>
      </c>
      <c r="M179">
        <v>51.09</v>
      </c>
      <c r="N179">
        <v>52.15</v>
      </c>
      <c r="O179">
        <v>54.77</v>
      </c>
      <c r="P179">
        <v>54.57</v>
      </c>
      <c r="Q179">
        <v>18.84</v>
      </c>
      <c r="R179">
        <v>1220.27</v>
      </c>
      <c r="S179">
        <v>31.91</v>
      </c>
      <c r="T179">
        <v>18.3</v>
      </c>
      <c r="U179">
        <v>12.81</v>
      </c>
      <c r="V179">
        <v>40.130000000000003</v>
      </c>
      <c r="W179">
        <v>45.6</v>
      </c>
      <c r="X179">
        <v>25.55</v>
      </c>
      <c r="Y179">
        <v>43.83</v>
      </c>
      <c r="Z179">
        <v>40.86</v>
      </c>
      <c r="AA179">
        <v>72.3</v>
      </c>
      <c r="AB179">
        <v>54.02</v>
      </c>
      <c r="AC179">
        <v>38.799999999999997</v>
      </c>
      <c r="AD179">
        <v>519.25</v>
      </c>
      <c r="AE179">
        <v>590.46</v>
      </c>
      <c r="AF179">
        <v>42.09</v>
      </c>
      <c r="AG179">
        <v>52.25</v>
      </c>
      <c r="AH179">
        <v>45.62</v>
      </c>
      <c r="AI179">
        <v>46.53</v>
      </c>
    </row>
    <row r="180" spans="1:35" x14ac:dyDescent="0.45">
      <c r="A180" s="2">
        <v>45791</v>
      </c>
      <c r="B180">
        <v>28.58</v>
      </c>
      <c r="C180">
        <v>33.24</v>
      </c>
      <c r="D180">
        <v>17.97</v>
      </c>
      <c r="E180">
        <v>28.01</v>
      </c>
      <c r="F180">
        <v>30.68</v>
      </c>
      <c r="G180">
        <v>44.95</v>
      </c>
      <c r="H180">
        <v>25.07</v>
      </c>
      <c r="I180">
        <v>53.77</v>
      </c>
      <c r="J180">
        <v>59.36</v>
      </c>
      <c r="K180">
        <v>58.61</v>
      </c>
      <c r="L180">
        <v>28.2</v>
      </c>
      <c r="M180">
        <v>50.22</v>
      </c>
      <c r="N180">
        <v>52.22</v>
      </c>
      <c r="O180">
        <v>53.97</v>
      </c>
      <c r="P180">
        <v>55.6</v>
      </c>
      <c r="Q180">
        <v>18.829999999999998</v>
      </c>
      <c r="R180">
        <v>1187.8599999999999</v>
      </c>
      <c r="S180">
        <v>32.479999999999997</v>
      </c>
      <c r="T180">
        <v>18.16</v>
      </c>
      <c r="U180">
        <v>12.82</v>
      </c>
      <c r="V180">
        <v>40.21</v>
      </c>
      <c r="W180">
        <v>45.33</v>
      </c>
      <c r="X180">
        <v>25.16</v>
      </c>
      <c r="Y180">
        <v>43.44</v>
      </c>
      <c r="Z180">
        <v>40.340000000000003</v>
      </c>
      <c r="AA180">
        <v>71.45</v>
      </c>
      <c r="AB180">
        <v>52.94</v>
      </c>
      <c r="AC180">
        <v>38.25</v>
      </c>
      <c r="AD180">
        <v>518.67999999999995</v>
      </c>
      <c r="AE180">
        <v>587.59</v>
      </c>
      <c r="AF180">
        <v>41.88</v>
      </c>
      <c r="AG180">
        <v>52.2</v>
      </c>
      <c r="AH180">
        <v>45.11</v>
      </c>
      <c r="AI180">
        <v>46.26</v>
      </c>
    </row>
    <row r="181" spans="1:35" x14ac:dyDescent="0.45">
      <c r="A181" s="2">
        <v>45790</v>
      </c>
      <c r="B181">
        <v>28.34</v>
      </c>
      <c r="C181">
        <v>32.56</v>
      </c>
      <c r="D181">
        <v>17.54</v>
      </c>
      <c r="E181">
        <v>28.06</v>
      </c>
      <c r="F181">
        <v>30.8</v>
      </c>
      <c r="G181">
        <v>45.11</v>
      </c>
      <c r="H181">
        <v>24.87</v>
      </c>
      <c r="I181">
        <v>53.28</v>
      </c>
      <c r="J181">
        <v>59.08</v>
      </c>
      <c r="K181">
        <v>58.12</v>
      </c>
      <c r="L181">
        <v>28.33</v>
      </c>
      <c r="M181">
        <v>50.41</v>
      </c>
      <c r="N181">
        <v>52.07</v>
      </c>
      <c r="O181">
        <v>54.01</v>
      </c>
      <c r="P181">
        <v>54.7</v>
      </c>
      <c r="Q181">
        <v>18.755299999999998</v>
      </c>
      <c r="R181">
        <v>1198.98</v>
      </c>
      <c r="S181">
        <v>32.46</v>
      </c>
      <c r="T181">
        <v>18.36</v>
      </c>
      <c r="U181">
        <v>12.74</v>
      </c>
      <c r="V181">
        <v>40.299999999999997</v>
      </c>
      <c r="W181">
        <v>45.62</v>
      </c>
      <c r="X181">
        <v>25.42</v>
      </c>
      <c r="Y181">
        <v>43.4</v>
      </c>
      <c r="Z181">
        <v>40.590000000000003</v>
      </c>
      <c r="AA181">
        <v>72.25</v>
      </c>
      <c r="AB181">
        <v>53.19</v>
      </c>
      <c r="AC181">
        <v>38.42</v>
      </c>
      <c r="AD181">
        <v>515.59</v>
      </c>
      <c r="AE181">
        <v>586.84</v>
      </c>
      <c r="AF181">
        <v>42.1</v>
      </c>
      <c r="AG181">
        <v>52.04</v>
      </c>
      <c r="AH181">
        <v>45.23</v>
      </c>
      <c r="AI181">
        <v>46</v>
      </c>
    </row>
    <row r="182" spans="1:35" x14ac:dyDescent="0.45">
      <c r="A182" s="2">
        <v>45789</v>
      </c>
      <c r="B182">
        <v>28.45</v>
      </c>
      <c r="C182">
        <v>32.35</v>
      </c>
      <c r="D182">
        <v>17.399999999999999</v>
      </c>
      <c r="E182">
        <v>27.75</v>
      </c>
      <c r="F182">
        <v>30.5</v>
      </c>
      <c r="G182">
        <v>44.74</v>
      </c>
      <c r="H182">
        <v>24.5</v>
      </c>
      <c r="I182">
        <v>52.95</v>
      </c>
      <c r="J182">
        <v>57.84</v>
      </c>
      <c r="K182">
        <v>58.04</v>
      </c>
      <c r="L182">
        <v>27.49</v>
      </c>
      <c r="M182">
        <v>50.19</v>
      </c>
      <c r="N182">
        <v>51.6</v>
      </c>
      <c r="O182">
        <v>54.32</v>
      </c>
      <c r="P182">
        <v>55.06</v>
      </c>
      <c r="Q182">
        <v>18.7</v>
      </c>
      <c r="R182">
        <v>1197.26</v>
      </c>
      <c r="S182">
        <v>32.619999999999997</v>
      </c>
      <c r="T182">
        <v>18.13</v>
      </c>
      <c r="U182">
        <v>12.69</v>
      </c>
      <c r="V182">
        <v>40.04</v>
      </c>
      <c r="W182">
        <v>44.75</v>
      </c>
      <c r="X182">
        <v>25.18</v>
      </c>
      <c r="Y182">
        <v>43.08</v>
      </c>
      <c r="Z182">
        <v>40.380000000000003</v>
      </c>
      <c r="AA182">
        <v>72.8</v>
      </c>
      <c r="AB182">
        <v>53.53</v>
      </c>
      <c r="AC182">
        <v>38.24</v>
      </c>
      <c r="AD182">
        <v>507.85</v>
      </c>
      <c r="AE182">
        <v>582.99</v>
      </c>
      <c r="AF182">
        <v>41.81</v>
      </c>
      <c r="AG182">
        <v>51.6</v>
      </c>
      <c r="AH182">
        <v>45.09</v>
      </c>
      <c r="AI182">
        <v>45.66</v>
      </c>
    </row>
    <row r="183" spans="1:35" x14ac:dyDescent="0.45">
      <c r="A183" s="2">
        <v>45786</v>
      </c>
      <c r="B183">
        <v>27.78</v>
      </c>
      <c r="C183">
        <v>32.200000000000003</v>
      </c>
      <c r="D183">
        <v>17.41</v>
      </c>
      <c r="E183">
        <v>27.62</v>
      </c>
      <c r="F183">
        <v>30.88</v>
      </c>
      <c r="G183">
        <v>45.330300000000001</v>
      </c>
      <c r="H183">
        <v>24.45</v>
      </c>
      <c r="I183">
        <v>51.75</v>
      </c>
      <c r="J183">
        <v>58.12</v>
      </c>
      <c r="K183">
        <v>57.69</v>
      </c>
      <c r="L183">
        <v>27.56</v>
      </c>
      <c r="M183">
        <v>50.64</v>
      </c>
      <c r="N183">
        <v>51.048299999999998</v>
      </c>
      <c r="O183">
        <v>52.39</v>
      </c>
      <c r="P183">
        <v>53.25</v>
      </c>
      <c r="Q183">
        <v>18.690000000000001</v>
      </c>
      <c r="R183">
        <v>1171.1199999999999</v>
      </c>
      <c r="S183">
        <v>31.41</v>
      </c>
      <c r="T183">
        <v>18.149999999999999</v>
      </c>
      <c r="U183">
        <v>12.49</v>
      </c>
      <c r="V183">
        <v>39.54</v>
      </c>
      <c r="W183">
        <v>45.17</v>
      </c>
      <c r="X183">
        <v>25.01</v>
      </c>
      <c r="Y183">
        <v>42.85</v>
      </c>
      <c r="Z183">
        <v>40.770000000000003</v>
      </c>
      <c r="AA183">
        <v>72.010000000000005</v>
      </c>
      <c r="AB183">
        <v>53.58</v>
      </c>
      <c r="AC183">
        <v>38.29</v>
      </c>
      <c r="AD183">
        <v>487.97</v>
      </c>
      <c r="AE183">
        <v>564.34</v>
      </c>
      <c r="AF183">
        <v>41.68</v>
      </c>
      <c r="AG183">
        <v>50.79</v>
      </c>
      <c r="AH183">
        <v>44.38</v>
      </c>
      <c r="AI183">
        <v>45.81</v>
      </c>
    </row>
    <row r="184" spans="1:35" x14ac:dyDescent="0.45">
      <c r="A184" s="2">
        <v>45785</v>
      </c>
      <c r="B184">
        <v>27.85</v>
      </c>
      <c r="C184">
        <v>32.15</v>
      </c>
      <c r="D184">
        <v>17.45</v>
      </c>
      <c r="E184">
        <v>27.16</v>
      </c>
      <c r="F184">
        <v>29.94</v>
      </c>
      <c r="G184">
        <v>45.02</v>
      </c>
      <c r="H184">
        <v>24.31</v>
      </c>
      <c r="I184">
        <v>51.16</v>
      </c>
      <c r="J184">
        <v>58.11</v>
      </c>
      <c r="K184">
        <v>57.2</v>
      </c>
      <c r="L184">
        <v>27.48</v>
      </c>
      <c r="M184">
        <v>49.85</v>
      </c>
      <c r="N184">
        <v>50.26</v>
      </c>
      <c r="O184">
        <v>51.54</v>
      </c>
      <c r="P184">
        <v>53.45</v>
      </c>
      <c r="Q184">
        <v>18.614999999999998</v>
      </c>
      <c r="R184">
        <v>1159.53</v>
      </c>
      <c r="S184">
        <v>31.19</v>
      </c>
      <c r="T184">
        <v>18.14</v>
      </c>
      <c r="U184">
        <v>12.6</v>
      </c>
      <c r="V184">
        <v>39.44</v>
      </c>
      <c r="W184">
        <v>44.23</v>
      </c>
      <c r="X184">
        <v>24.83</v>
      </c>
      <c r="Y184">
        <v>42.81</v>
      </c>
      <c r="Z184">
        <v>40.46</v>
      </c>
      <c r="AA184">
        <v>71.83</v>
      </c>
      <c r="AB184">
        <v>53.58</v>
      </c>
      <c r="AC184">
        <v>38.11</v>
      </c>
      <c r="AD184">
        <v>488.29</v>
      </c>
      <c r="AE184">
        <v>565.05999999999995</v>
      </c>
      <c r="AF184">
        <v>41.32</v>
      </c>
      <c r="AG184">
        <v>50.32</v>
      </c>
      <c r="AH184">
        <v>44.26</v>
      </c>
      <c r="AI184">
        <v>45.36</v>
      </c>
    </row>
    <row r="185" spans="1:35" x14ac:dyDescent="0.45">
      <c r="A185" s="2">
        <v>45784</v>
      </c>
      <c r="B185">
        <v>27.58</v>
      </c>
      <c r="C185">
        <v>31.75</v>
      </c>
      <c r="D185">
        <v>17.71</v>
      </c>
      <c r="E185">
        <v>27.56</v>
      </c>
      <c r="F185">
        <v>29.66</v>
      </c>
      <c r="G185">
        <v>44.79</v>
      </c>
      <c r="H185">
        <v>24.68</v>
      </c>
      <c r="I185">
        <v>51</v>
      </c>
      <c r="J185">
        <v>59.09</v>
      </c>
      <c r="K185">
        <v>57.79</v>
      </c>
      <c r="L185">
        <v>26.4</v>
      </c>
      <c r="M185">
        <v>50.23</v>
      </c>
      <c r="N185">
        <v>50.37</v>
      </c>
      <c r="O185">
        <v>53.22</v>
      </c>
      <c r="P185">
        <v>52.69</v>
      </c>
      <c r="Q185">
        <v>18.510000000000002</v>
      </c>
      <c r="R185">
        <v>1159</v>
      </c>
      <c r="S185">
        <v>30.31</v>
      </c>
      <c r="T185">
        <v>18.18</v>
      </c>
      <c r="U185">
        <v>12.42</v>
      </c>
      <c r="V185">
        <v>39.53</v>
      </c>
      <c r="W185">
        <v>44.56</v>
      </c>
      <c r="X185">
        <v>24.89</v>
      </c>
      <c r="Y185">
        <v>42.89</v>
      </c>
      <c r="Z185">
        <v>40.44</v>
      </c>
      <c r="AA185">
        <v>71.98</v>
      </c>
      <c r="AB185">
        <v>54.15</v>
      </c>
      <c r="AC185">
        <v>38.43</v>
      </c>
      <c r="AD185">
        <v>483.3</v>
      </c>
      <c r="AE185">
        <v>561.15</v>
      </c>
      <c r="AF185">
        <v>41.32</v>
      </c>
      <c r="AG185">
        <v>50.21</v>
      </c>
      <c r="AH185">
        <v>44.38</v>
      </c>
      <c r="AI185">
        <v>44.99</v>
      </c>
    </row>
    <row r="186" spans="1:35" x14ac:dyDescent="0.45">
      <c r="A186" s="2">
        <v>45783</v>
      </c>
      <c r="B186">
        <v>27.82</v>
      </c>
      <c r="C186">
        <v>31.62</v>
      </c>
      <c r="D186">
        <v>17.739999999999998</v>
      </c>
      <c r="E186">
        <v>27.35</v>
      </c>
      <c r="F186">
        <v>29.48</v>
      </c>
      <c r="G186">
        <v>45.45</v>
      </c>
      <c r="H186">
        <v>24.64</v>
      </c>
      <c r="I186">
        <v>51.56</v>
      </c>
      <c r="J186">
        <v>58.39</v>
      </c>
      <c r="K186">
        <v>58.5</v>
      </c>
      <c r="L186">
        <v>26.61</v>
      </c>
      <c r="M186">
        <v>50.71</v>
      </c>
      <c r="N186">
        <v>50.13</v>
      </c>
      <c r="O186">
        <v>53.68</v>
      </c>
      <c r="P186">
        <v>53.95</v>
      </c>
      <c r="Q186">
        <v>18.55</v>
      </c>
      <c r="R186">
        <v>1146.8599999999999</v>
      </c>
      <c r="S186">
        <v>30.76</v>
      </c>
      <c r="T186">
        <v>18.309999999999999</v>
      </c>
      <c r="U186">
        <v>12.22</v>
      </c>
      <c r="V186">
        <v>39.72</v>
      </c>
      <c r="W186">
        <v>44.82</v>
      </c>
      <c r="X186">
        <v>25.05</v>
      </c>
      <c r="Y186">
        <v>42.77</v>
      </c>
      <c r="Z186">
        <v>40.67</v>
      </c>
      <c r="AA186">
        <v>72.430000000000007</v>
      </c>
      <c r="AB186">
        <v>54.34</v>
      </c>
      <c r="AC186">
        <v>38.57</v>
      </c>
      <c r="AD186">
        <v>481.41</v>
      </c>
      <c r="AE186">
        <v>558.79999999999995</v>
      </c>
      <c r="AF186">
        <v>41.62</v>
      </c>
      <c r="AG186">
        <v>49.98</v>
      </c>
      <c r="AH186">
        <v>44.18</v>
      </c>
      <c r="AI186">
        <v>45.22</v>
      </c>
    </row>
    <row r="187" spans="1:35" x14ac:dyDescent="0.45">
      <c r="A187" s="2">
        <v>45782</v>
      </c>
      <c r="B187">
        <v>27.7</v>
      </c>
      <c r="C187">
        <v>31.58</v>
      </c>
      <c r="D187">
        <v>17.649999999999999</v>
      </c>
      <c r="E187">
        <v>27.03</v>
      </c>
      <c r="F187">
        <v>29.83</v>
      </c>
      <c r="G187">
        <v>44.700299999999999</v>
      </c>
      <c r="H187">
        <v>24.86</v>
      </c>
      <c r="I187">
        <v>52.96</v>
      </c>
      <c r="J187">
        <v>56.68</v>
      </c>
      <c r="K187">
        <v>58.38</v>
      </c>
      <c r="L187">
        <v>26.71</v>
      </c>
      <c r="M187">
        <v>50.44</v>
      </c>
      <c r="N187">
        <v>50.44</v>
      </c>
      <c r="O187">
        <v>54.32</v>
      </c>
      <c r="P187">
        <v>53.4</v>
      </c>
      <c r="Q187">
        <v>18.55</v>
      </c>
      <c r="R187">
        <v>1153.77</v>
      </c>
      <c r="S187">
        <v>30.7</v>
      </c>
      <c r="T187">
        <v>18.23</v>
      </c>
      <c r="U187">
        <v>12.27</v>
      </c>
      <c r="V187">
        <v>39.71</v>
      </c>
      <c r="W187">
        <v>44.49</v>
      </c>
      <c r="X187">
        <v>24.99</v>
      </c>
      <c r="Y187">
        <v>42.66</v>
      </c>
      <c r="Z187">
        <v>40.72</v>
      </c>
      <c r="AA187">
        <v>72.39</v>
      </c>
      <c r="AB187">
        <v>54.64</v>
      </c>
      <c r="AC187">
        <v>38.64</v>
      </c>
      <c r="AD187">
        <v>485.93</v>
      </c>
      <c r="AE187">
        <v>563.51</v>
      </c>
      <c r="AF187">
        <v>41.84</v>
      </c>
      <c r="AG187">
        <v>50.14</v>
      </c>
      <c r="AH187">
        <v>44.28</v>
      </c>
      <c r="AI187">
        <v>45.07</v>
      </c>
    </row>
    <row r="188" spans="1:35" x14ac:dyDescent="0.45">
      <c r="A188" s="2">
        <v>45779</v>
      </c>
      <c r="B188">
        <v>27.66</v>
      </c>
      <c r="C188">
        <v>31.35</v>
      </c>
      <c r="D188">
        <v>17.63</v>
      </c>
      <c r="E188">
        <v>27.27</v>
      </c>
      <c r="F188">
        <v>30.09</v>
      </c>
      <c r="G188">
        <v>44.44</v>
      </c>
      <c r="H188">
        <v>24.85</v>
      </c>
      <c r="I188">
        <v>50.95</v>
      </c>
      <c r="J188">
        <v>56.94</v>
      </c>
      <c r="K188">
        <v>57.71</v>
      </c>
      <c r="L188">
        <v>27.12</v>
      </c>
      <c r="M188">
        <v>50.19</v>
      </c>
      <c r="N188">
        <v>50.1</v>
      </c>
      <c r="O188">
        <v>53.91</v>
      </c>
      <c r="P188">
        <v>53.42</v>
      </c>
      <c r="Q188">
        <v>18.54</v>
      </c>
      <c r="R188">
        <v>1144.05</v>
      </c>
      <c r="S188">
        <v>30.94</v>
      </c>
      <c r="T188">
        <v>18.14</v>
      </c>
      <c r="U188">
        <v>12.24</v>
      </c>
      <c r="V188">
        <v>40.33</v>
      </c>
      <c r="W188">
        <v>44.29</v>
      </c>
      <c r="X188">
        <v>25.31</v>
      </c>
      <c r="Y188">
        <v>42.84</v>
      </c>
      <c r="Z188">
        <v>40.340000000000003</v>
      </c>
      <c r="AA188">
        <v>71.89</v>
      </c>
      <c r="AB188">
        <v>54.47</v>
      </c>
      <c r="AC188">
        <v>38.6</v>
      </c>
      <c r="AD188">
        <v>488.83</v>
      </c>
      <c r="AE188">
        <v>566.76</v>
      </c>
      <c r="AF188">
        <v>41.86</v>
      </c>
      <c r="AG188">
        <v>50.27</v>
      </c>
      <c r="AH188">
        <v>44.55</v>
      </c>
      <c r="AI188">
        <v>44.99</v>
      </c>
    </row>
    <row r="189" spans="1:35" x14ac:dyDescent="0.45">
      <c r="A189" s="2">
        <v>45778</v>
      </c>
      <c r="B189">
        <v>26.92</v>
      </c>
      <c r="C189">
        <v>31.07</v>
      </c>
      <c r="D189">
        <v>17.3</v>
      </c>
      <c r="E189">
        <v>26.86</v>
      </c>
      <c r="F189">
        <v>29.45</v>
      </c>
      <c r="G189">
        <v>43.74</v>
      </c>
      <c r="H189">
        <v>24.12</v>
      </c>
      <c r="I189">
        <v>47.82</v>
      </c>
      <c r="J189">
        <v>56.67</v>
      </c>
      <c r="K189">
        <v>55.6</v>
      </c>
      <c r="L189">
        <v>26.88</v>
      </c>
      <c r="M189">
        <v>49.27</v>
      </c>
      <c r="N189">
        <v>49.3</v>
      </c>
      <c r="O189">
        <v>53.54</v>
      </c>
      <c r="P189">
        <v>51.59</v>
      </c>
      <c r="Q189">
        <v>18.34</v>
      </c>
      <c r="R189">
        <v>1134.71</v>
      </c>
      <c r="S189">
        <v>30.66</v>
      </c>
      <c r="T189">
        <v>17.96</v>
      </c>
      <c r="U189">
        <v>12.11</v>
      </c>
      <c r="V189">
        <v>40.01</v>
      </c>
      <c r="W189">
        <v>43.06</v>
      </c>
      <c r="X189">
        <v>24.65</v>
      </c>
      <c r="Y189">
        <v>42.31</v>
      </c>
      <c r="Z189">
        <v>39.46</v>
      </c>
      <c r="AA189">
        <v>71.17</v>
      </c>
      <c r="AB189">
        <v>53.52</v>
      </c>
      <c r="AC189">
        <v>37.880000000000003</v>
      </c>
      <c r="AD189">
        <v>481.68</v>
      </c>
      <c r="AE189">
        <v>558.47</v>
      </c>
      <c r="AF189">
        <v>41.07</v>
      </c>
      <c r="AG189">
        <v>48.78</v>
      </c>
      <c r="AH189">
        <v>43.12</v>
      </c>
      <c r="AI189">
        <v>44.26</v>
      </c>
    </row>
    <row r="190" spans="1:35" x14ac:dyDescent="0.45">
      <c r="A190" s="2">
        <v>45777</v>
      </c>
      <c r="B190">
        <v>27.06</v>
      </c>
      <c r="C190">
        <v>31.13</v>
      </c>
      <c r="D190">
        <v>17.309999999999999</v>
      </c>
      <c r="E190">
        <v>26.89</v>
      </c>
      <c r="F190">
        <v>29.48</v>
      </c>
      <c r="G190">
        <v>44.33</v>
      </c>
      <c r="H190">
        <v>24.17</v>
      </c>
      <c r="I190">
        <v>47.48</v>
      </c>
      <c r="J190">
        <v>56.97</v>
      </c>
      <c r="K190">
        <v>56.19</v>
      </c>
      <c r="L190">
        <v>27.04</v>
      </c>
      <c r="M190">
        <v>49.52</v>
      </c>
      <c r="N190">
        <v>49.52</v>
      </c>
      <c r="O190">
        <v>53.57</v>
      </c>
      <c r="P190">
        <v>51.66</v>
      </c>
      <c r="Q190">
        <v>18.309999999999999</v>
      </c>
      <c r="R190">
        <v>1150.95</v>
      </c>
      <c r="S190">
        <v>30.67</v>
      </c>
      <c r="T190">
        <v>17.88</v>
      </c>
      <c r="U190">
        <v>12.07</v>
      </c>
      <c r="V190">
        <v>40.43</v>
      </c>
      <c r="W190">
        <v>42.61</v>
      </c>
      <c r="X190">
        <v>24.67</v>
      </c>
      <c r="Y190">
        <v>42.45</v>
      </c>
      <c r="Z190">
        <v>39.49</v>
      </c>
      <c r="AA190">
        <v>71.430000000000007</v>
      </c>
      <c r="AB190">
        <v>53.86</v>
      </c>
      <c r="AC190">
        <v>38.1</v>
      </c>
      <c r="AD190">
        <v>475.47</v>
      </c>
      <c r="AE190">
        <v>554.54</v>
      </c>
      <c r="AF190">
        <v>41.04</v>
      </c>
      <c r="AG190">
        <v>48.85</v>
      </c>
      <c r="AH190">
        <v>43.64</v>
      </c>
      <c r="AI190">
        <v>44.21</v>
      </c>
    </row>
    <row r="191" spans="1:35" x14ac:dyDescent="0.45">
      <c r="A191" s="2">
        <v>45776</v>
      </c>
      <c r="B191">
        <v>27.14</v>
      </c>
      <c r="C191">
        <v>31.44</v>
      </c>
      <c r="D191">
        <v>17.100000000000001</v>
      </c>
      <c r="E191">
        <v>26.41</v>
      </c>
      <c r="F191">
        <v>30.3</v>
      </c>
      <c r="G191">
        <v>44.8</v>
      </c>
      <c r="H191">
        <v>23.7</v>
      </c>
      <c r="I191">
        <v>47.15</v>
      </c>
      <c r="J191">
        <v>56.42</v>
      </c>
      <c r="K191">
        <v>56.1</v>
      </c>
      <c r="L191">
        <v>27.36</v>
      </c>
      <c r="M191">
        <v>49.14</v>
      </c>
      <c r="N191">
        <v>49.99</v>
      </c>
      <c r="O191">
        <v>53.54</v>
      </c>
      <c r="P191">
        <v>51.68</v>
      </c>
      <c r="Q191">
        <v>18.2</v>
      </c>
      <c r="R191">
        <v>1141.28</v>
      </c>
      <c r="S191">
        <v>31.18</v>
      </c>
      <c r="T191">
        <v>17.989999999999998</v>
      </c>
      <c r="U191">
        <v>12.05</v>
      </c>
      <c r="V191">
        <v>40.74</v>
      </c>
      <c r="W191">
        <v>43.35</v>
      </c>
      <c r="X191">
        <v>24.55</v>
      </c>
      <c r="Y191">
        <v>42.45</v>
      </c>
      <c r="Z191">
        <v>39.67</v>
      </c>
      <c r="AA191">
        <v>72.02</v>
      </c>
      <c r="AB191">
        <v>53.67</v>
      </c>
      <c r="AC191">
        <v>38.35</v>
      </c>
      <c r="AD191">
        <v>475.53</v>
      </c>
      <c r="AE191">
        <v>554.32000000000005</v>
      </c>
      <c r="AF191">
        <v>40.94</v>
      </c>
      <c r="AG191">
        <v>48.92</v>
      </c>
      <c r="AH191">
        <v>43</v>
      </c>
      <c r="AI191">
        <v>44.67</v>
      </c>
    </row>
    <row r="192" spans="1:35" x14ac:dyDescent="0.45">
      <c r="A192" s="2">
        <v>45775</v>
      </c>
      <c r="B192">
        <v>27.14</v>
      </c>
      <c r="C192">
        <v>31.24</v>
      </c>
      <c r="D192">
        <v>16.93</v>
      </c>
      <c r="E192">
        <v>26.18</v>
      </c>
      <c r="F192">
        <v>30.3</v>
      </c>
      <c r="G192">
        <v>44.6021</v>
      </c>
      <c r="H192">
        <v>23.71</v>
      </c>
      <c r="I192">
        <v>46.47</v>
      </c>
      <c r="J192">
        <v>58.12</v>
      </c>
      <c r="K192">
        <v>55.65</v>
      </c>
      <c r="L192">
        <v>27.21</v>
      </c>
      <c r="M192">
        <v>49.09</v>
      </c>
      <c r="N192">
        <v>49.71</v>
      </c>
      <c r="O192">
        <v>53.29</v>
      </c>
      <c r="P192">
        <v>51.85</v>
      </c>
      <c r="Q192">
        <v>18.14</v>
      </c>
      <c r="R192">
        <v>1138.9000000000001</v>
      </c>
      <c r="S192">
        <v>31.48</v>
      </c>
      <c r="T192">
        <v>17.64</v>
      </c>
      <c r="U192">
        <v>11.95</v>
      </c>
      <c r="V192">
        <v>40.85</v>
      </c>
      <c r="W192">
        <v>43.6</v>
      </c>
      <c r="X192">
        <v>24.52</v>
      </c>
      <c r="Y192">
        <v>42.37</v>
      </c>
      <c r="Z192">
        <v>39.47</v>
      </c>
      <c r="AA192">
        <v>71.739999999999995</v>
      </c>
      <c r="AB192">
        <v>53.71</v>
      </c>
      <c r="AC192">
        <v>38.19</v>
      </c>
      <c r="AD192">
        <v>472.41</v>
      </c>
      <c r="AE192">
        <v>550.85</v>
      </c>
      <c r="AF192">
        <v>41.04</v>
      </c>
      <c r="AG192">
        <v>48.79</v>
      </c>
      <c r="AH192">
        <v>43.61</v>
      </c>
      <c r="AI192">
        <v>44.23</v>
      </c>
    </row>
    <row r="193" spans="1:35" x14ac:dyDescent="0.45">
      <c r="A193" s="2">
        <v>45772</v>
      </c>
      <c r="B193">
        <v>27.25</v>
      </c>
      <c r="C193">
        <v>31.67</v>
      </c>
      <c r="D193">
        <v>16.77</v>
      </c>
      <c r="E193">
        <v>26.26</v>
      </c>
      <c r="F193">
        <v>30.04</v>
      </c>
      <c r="G193">
        <v>44.4285</v>
      </c>
      <c r="H193">
        <v>23.43</v>
      </c>
      <c r="I193">
        <v>46.34</v>
      </c>
      <c r="J193">
        <v>57.94</v>
      </c>
      <c r="K193">
        <v>55.81</v>
      </c>
      <c r="L193">
        <v>26.94</v>
      </c>
      <c r="M193">
        <v>48.38</v>
      </c>
      <c r="N193">
        <v>49.52</v>
      </c>
      <c r="O193">
        <v>52.85</v>
      </c>
      <c r="P193">
        <v>51.91</v>
      </c>
      <c r="Q193">
        <v>18.16</v>
      </c>
      <c r="R193">
        <v>1128.6600000000001</v>
      </c>
      <c r="S193">
        <v>31.96</v>
      </c>
      <c r="T193">
        <v>17.47</v>
      </c>
      <c r="U193">
        <v>12.01</v>
      </c>
      <c r="V193">
        <v>41.16</v>
      </c>
      <c r="W193">
        <v>43.76</v>
      </c>
      <c r="X193">
        <v>24.51</v>
      </c>
      <c r="Y193">
        <v>42.04</v>
      </c>
      <c r="Z193">
        <v>39.36</v>
      </c>
      <c r="AA193">
        <v>70.77</v>
      </c>
      <c r="AB193">
        <v>53.04</v>
      </c>
      <c r="AC193">
        <v>37.94</v>
      </c>
      <c r="AD193">
        <v>472.56</v>
      </c>
      <c r="AE193">
        <v>550.64</v>
      </c>
      <c r="AF193">
        <v>40.950000000000003</v>
      </c>
      <c r="AG193">
        <v>48.78</v>
      </c>
      <c r="AH193">
        <v>43.62</v>
      </c>
      <c r="AI193">
        <v>44.04</v>
      </c>
    </row>
    <row r="194" spans="1:35" x14ac:dyDescent="0.45">
      <c r="A194" s="2">
        <v>45771</v>
      </c>
      <c r="B194">
        <v>27.29</v>
      </c>
      <c r="C194">
        <v>31.7</v>
      </c>
      <c r="D194">
        <v>16.760000000000002</v>
      </c>
      <c r="E194">
        <v>25.96</v>
      </c>
      <c r="F194">
        <v>30.19</v>
      </c>
      <c r="G194">
        <v>44.55</v>
      </c>
      <c r="H194">
        <v>23.43</v>
      </c>
      <c r="I194">
        <v>46.18</v>
      </c>
      <c r="J194">
        <v>57.34</v>
      </c>
      <c r="K194">
        <v>55.95</v>
      </c>
      <c r="L194">
        <v>26.74</v>
      </c>
      <c r="M194">
        <v>47.96</v>
      </c>
      <c r="N194">
        <v>49.95</v>
      </c>
      <c r="O194">
        <v>53.74</v>
      </c>
      <c r="P194">
        <v>51.97</v>
      </c>
      <c r="Q194">
        <v>18.12</v>
      </c>
      <c r="R194">
        <v>1133.95</v>
      </c>
      <c r="S194">
        <v>32.18</v>
      </c>
      <c r="T194">
        <v>17.57</v>
      </c>
      <c r="U194">
        <v>12</v>
      </c>
      <c r="V194">
        <v>41.05</v>
      </c>
      <c r="W194">
        <v>43.805</v>
      </c>
      <c r="X194">
        <v>24.51</v>
      </c>
      <c r="Y194">
        <v>42.06</v>
      </c>
      <c r="Z194">
        <v>39.03</v>
      </c>
      <c r="AA194">
        <v>70.28</v>
      </c>
      <c r="AB194">
        <v>52.96</v>
      </c>
      <c r="AC194">
        <v>37.89</v>
      </c>
      <c r="AD194">
        <v>467.35</v>
      </c>
      <c r="AE194">
        <v>546.69000000000005</v>
      </c>
      <c r="AF194">
        <v>40.72</v>
      </c>
      <c r="AG194">
        <v>48.41</v>
      </c>
      <c r="AH194">
        <v>43.32</v>
      </c>
      <c r="AI194">
        <v>43.48</v>
      </c>
    </row>
    <row r="195" spans="1:35" x14ac:dyDescent="0.45">
      <c r="A195" s="2">
        <v>45770</v>
      </c>
      <c r="B195">
        <v>27.2</v>
      </c>
      <c r="C195">
        <v>31.19</v>
      </c>
      <c r="D195">
        <v>16.61</v>
      </c>
      <c r="E195">
        <v>25.59</v>
      </c>
      <c r="F195">
        <v>29.43</v>
      </c>
      <c r="G195">
        <v>43.98</v>
      </c>
      <c r="H195">
        <v>23.07</v>
      </c>
      <c r="I195">
        <v>45.5</v>
      </c>
      <c r="J195">
        <v>56.51</v>
      </c>
      <c r="K195">
        <v>55.6</v>
      </c>
      <c r="L195">
        <v>26.31</v>
      </c>
      <c r="M195">
        <v>47.55</v>
      </c>
      <c r="N195">
        <v>49.35</v>
      </c>
      <c r="O195">
        <v>53.18</v>
      </c>
      <c r="P195">
        <v>51.66</v>
      </c>
      <c r="Q195">
        <v>17.899999999999999</v>
      </c>
      <c r="R195">
        <v>1088.18</v>
      </c>
      <c r="S195">
        <v>31.77</v>
      </c>
      <c r="T195">
        <v>17.23</v>
      </c>
      <c r="U195">
        <v>11.62</v>
      </c>
      <c r="V195">
        <v>40.369999999999997</v>
      </c>
      <c r="W195">
        <v>42.823799999999999</v>
      </c>
      <c r="X195">
        <v>24</v>
      </c>
      <c r="Y195">
        <v>41.52</v>
      </c>
      <c r="Z195">
        <v>38.44</v>
      </c>
      <c r="AA195">
        <v>69.48</v>
      </c>
      <c r="AB195">
        <v>52.23</v>
      </c>
      <c r="AC195">
        <v>37.549999999999997</v>
      </c>
      <c r="AD195">
        <v>454.56</v>
      </c>
      <c r="AE195">
        <v>535.41999999999996</v>
      </c>
      <c r="AF195">
        <v>40.119999999999997</v>
      </c>
      <c r="AG195">
        <v>47.77</v>
      </c>
      <c r="AH195">
        <v>42.43</v>
      </c>
      <c r="AI195">
        <v>42.69</v>
      </c>
    </row>
    <row r="196" spans="1:35" x14ac:dyDescent="0.45">
      <c r="A196" s="2">
        <v>45769</v>
      </c>
      <c r="B196">
        <v>27.16</v>
      </c>
      <c r="C196">
        <v>30.91</v>
      </c>
      <c r="D196">
        <v>16.36</v>
      </c>
      <c r="E196">
        <v>25.55</v>
      </c>
      <c r="F196">
        <v>29.25</v>
      </c>
      <c r="G196">
        <v>43.835999999999999</v>
      </c>
      <c r="H196">
        <v>22.91</v>
      </c>
      <c r="I196">
        <v>44.33</v>
      </c>
      <c r="J196">
        <v>55.51</v>
      </c>
      <c r="K196">
        <v>54.81</v>
      </c>
      <c r="L196">
        <v>25.86</v>
      </c>
      <c r="M196">
        <v>48.16</v>
      </c>
      <c r="N196">
        <v>49.05</v>
      </c>
      <c r="O196">
        <v>53.5</v>
      </c>
      <c r="P196">
        <v>50.9</v>
      </c>
      <c r="Q196">
        <v>17.91</v>
      </c>
      <c r="R196">
        <v>1074.5899999999999</v>
      </c>
      <c r="S196">
        <v>31.66</v>
      </c>
      <c r="T196">
        <v>17.010000000000002</v>
      </c>
      <c r="U196">
        <v>11.64</v>
      </c>
      <c r="V196">
        <v>40.409999999999997</v>
      </c>
      <c r="W196">
        <v>43.094999999999999</v>
      </c>
      <c r="X196">
        <v>23.96</v>
      </c>
      <c r="Y196">
        <v>41.39</v>
      </c>
      <c r="Z196">
        <v>38.03</v>
      </c>
      <c r="AA196">
        <v>69.27</v>
      </c>
      <c r="AB196">
        <v>52.45</v>
      </c>
      <c r="AC196">
        <v>37.58</v>
      </c>
      <c r="AD196">
        <v>444.48</v>
      </c>
      <c r="AE196">
        <v>527.25</v>
      </c>
      <c r="AF196">
        <v>39.840000000000003</v>
      </c>
      <c r="AG196">
        <v>47.1</v>
      </c>
      <c r="AH196">
        <v>42.68</v>
      </c>
      <c r="AI196">
        <v>42.81</v>
      </c>
    </row>
    <row r="197" spans="1:35" x14ac:dyDescent="0.45">
      <c r="A197" s="2">
        <v>45768</v>
      </c>
      <c r="B197">
        <v>27.04</v>
      </c>
      <c r="C197">
        <v>30.05</v>
      </c>
      <c r="D197">
        <v>16.03</v>
      </c>
      <c r="E197">
        <v>25.17</v>
      </c>
      <c r="F197">
        <v>28.63</v>
      </c>
      <c r="G197">
        <v>43.48</v>
      </c>
      <c r="H197">
        <v>23.04</v>
      </c>
      <c r="I197">
        <v>44.22</v>
      </c>
      <c r="J197">
        <v>54.34</v>
      </c>
      <c r="K197">
        <v>54.39</v>
      </c>
      <c r="L197">
        <v>25.2</v>
      </c>
      <c r="M197">
        <v>47.6</v>
      </c>
      <c r="N197">
        <v>47.02</v>
      </c>
      <c r="O197">
        <v>53</v>
      </c>
      <c r="P197">
        <v>49.39</v>
      </c>
      <c r="Q197">
        <v>17.78</v>
      </c>
      <c r="R197">
        <v>1125.21</v>
      </c>
      <c r="S197">
        <v>31.71</v>
      </c>
      <c r="T197">
        <v>16.760000000000002</v>
      </c>
      <c r="U197">
        <v>11.51</v>
      </c>
      <c r="V197">
        <v>39.9</v>
      </c>
      <c r="W197">
        <v>43.38</v>
      </c>
      <c r="X197">
        <v>23.48</v>
      </c>
      <c r="Y197">
        <v>40.770000000000003</v>
      </c>
      <c r="Z197">
        <v>37.03</v>
      </c>
      <c r="AA197">
        <v>67.92</v>
      </c>
      <c r="AB197">
        <v>51.82</v>
      </c>
      <c r="AC197">
        <v>36.82</v>
      </c>
      <c r="AD197">
        <v>433.11</v>
      </c>
      <c r="AE197">
        <v>513.88</v>
      </c>
      <c r="AF197">
        <v>38.97</v>
      </c>
      <c r="AG197">
        <v>46.09</v>
      </c>
      <c r="AH197">
        <v>41.77</v>
      </c>
      <c r="AI197">
        <v>41.94</v>
      </c>
    </row>
    <row r="198" spans="1:35" x14ac:dyDescent="0.45">
      <c r="A198" s="2">
        <v>45764</v>
      </c>
      <c r="B198">
        <v>26.82</v>
      </c>
      <c r="C198">
        <v>29.95</v>
      </c>
      <c r="D198">
        <v>16.13</v>
      </c>
      <c r="E198">
        <v>25.3019</v>
      </c>
      <c r="F198">
        <v>28.29</v>
      </c>
      <c r="G198">
        <v>43.2</v>
      </c>
      <c r="H198">
        <v>22.77</v>
      </c>
      <c r="I198">
        <v>44.88</v>
      </c>
      <c r="J198">
        <v>54.93</v>
      </c>
      <c r="K198">
        <v>54.31</v>
      </c>
      <c r="L198">
        <v>25.22</v>
      </c>
      <c r="M198">
        <v>47.9</v>
      </c>
      <c r="N198">
        <v>47.34</v>
      </c>
      <c r="O198">
        <v>52.26</v>
      </c>
      <c r="P198">
        <v>49.29</v>
      </c>
      <c r="Q198">
        <v>17.72</v>
      </c>
      <c r="R198">
        <v>1161.81</v>
      </c>
      <c r="S198">
        <v>31.91</v>
      </c>
      <c r="T198">
        <v>16.760000000000002</v>
      </c>
      <c r="U198">
        <v>11.73</v>
      </c>
      <c r="V198">
        <v>40.19</v>
      </c>
      <c r="W198">
        <v>43.5</v>
      </c>
      <c r="X198">
        <v>23.61</v>
      </c>
      <c r="Y198">
        <v>41.1</v>
      </c>
      <c r="Z198">
        <v>37.4</v>
      </c>
      <c r="AA198">
        <v>68.069999999999993</v>
      </c>
      <c r="AB198">
        <v>51.95</v>
      </c>
      <c r="AC198">
        <v>36.97</v>
      </c>
      <c r="AD198">
        <v>444.1</v>
      </c>
      <c r="AE198">
        <v>526.41</v>
      </c>
      <c r="AF198">
        <v>39.22</v>
      </c>
      <c r="AG198">
        <v>46.55</v>
      </c>
      <c r="AH198">
        <v>41.9</v>
      </c>
      <c r="AI198">
        <v>42.13</v>
      </c>
    </row>
    <row r="199" spans="1:35" x14ac:dyDescent="0.45">
      <c r="A199" s="2">
        <v>45763</v>
      </c>
      <c r="B199">
        <v>26.92</v>
      </c>
      <c r="C199">
        <v>29.43</v>
      </c>
      <c r="D199">
        <v>15.93</v>
      </c>
      <c r="E199">
        <v>25.25</v>
      </c>
      <c r="F199">
        <v>27.74</v>
      </c>
      <c r="G199">
        <v>43.351100000000002</v>
      </c>
      <c r="H199">
        <v>22.44</v>
      </c>
      <c r="I199">
        <v>44.99</v>
      </c>
      <c r="J199">
        <v>53.02</v>
      </c>
      <c r="K199">
        <v>54.06</v>
      </c>
      <c r="L199">
        <v>24.79</v>
      </c>
      <c r="M199">
        <v>47.43</v>
      </c>
      <c r="N199">
        <v>47.35</v>
      </c>
      <c r="O199">
        <v>51.13</v>
      </c>
      <c r="P199">
        <v>49.16</v>
      </c>
      <c r="Q199">
        <v>17.78</v>
      </c>
      <c r="R199">
        <v>1172.69</v>
      </c>
      <c r="S199">
        <v>31.21</v>
      </c>
      <c r="T199">
        <v>16.68</v>
      </c>
      <c r="U199">
        <v>11.5</v>
      </c>
      <c r="V199">
        <v>40.04</v>
      </c>
      <c r="W199">
        <v>43.03</v>
      </c>
      <c r="X199">
        <v>23.42</v>
      </c>
      <c r="Y199">
        <v>40.83</v>
      </c>
      <c r="Z199">
        <v>37.22</v>
      </c>
      <c r="AA199">
        <v>66.78</v>
      </c>
      <c r="AB199">
        <v>51.29</v>
      </c>
      <c r="AC199">
        <v>36.549999999999997</v>
      </c>
      <c r="AD199">
        <v>444.18</v>
      </c>
      <c r="AE199">
        <v>525.66</v>
      </c>
      <c r="AF199">
        <v>38.96</v>
      </c>
      <c r="AG199">
        <v>46.26</v>
      </c>
      <c r="AH199">
        <v>41.07</v>
      </c>
      <c r="AI199">
        <v>41.76</v>
      </c>
    </row>
    <row r="200" spans="1:35" x14ac:dyDescent="0.45">
      <c r="A200" s="2">
        <v>45762</v>
      </c>
      <c r="B200">
        <v>26.7</v>
      </c>
      <c r="C200">
        <v>29.35</v>
      </c>
      <c r="D200">
        <v>16.14</v>
      </c>
      <c r="E200">
        <v>25.414100000000001</v>
      </c>
      <c r="F200">
        <v>27.58</v>
      </c>
      <c r="G200">
        <v>43.15</v>
      </c>
      <c r="H200">
        <v>22.63</v>
      </c>
      <c r="I200">
        <v>46.05</v>
      </c>
      <c r="J200">
        <v>52.19</v>
      </c>
      <c r="K200">
        <v>54.38</v>
      </c>
      <c r="L200">
        <v>24.86</v>
      </c>
      <c r="M200">
        <v>47.1</v>
      </c>
      <c r="N200">
        <v>47.414999999999999</v>
      </c>
      <c r="O200">
        <v>51.13</v>
      </c>
      <c r="P200">
        <v>50.17</v>
      </c>
      <c r="Q200">
        <v>17.89</v>
      </c>
      <c r="R200">
        <v>1168.02</v>
      </c>
      <c r="S200">
        <v>31.85</v>
      </c>
      <c r="T200">
        <v>16.79</v>
      </c>
      <c r="U200">
        <v>11.74</v>
      </c>
      <c r="V200">
        <v>40.24</v>
      </c>
      <c r="W200">
        <v>42.68</v>
      </c>
      <c r="X200">
        <v>23.36</v>
      </c>
      <c r="Y200">
        <v>40.53</v>
      </c>
      <c r="Z200">
        <v>37.200000000000003</v>
      </c>
      <c r="AA200">
        <v>67.44</v>
      </c>
      <c r="AB200">
        <v>51.45</v>
      </c>
      <c r="AC200">
        <v>36.65</v>
      </c>
      <c r="AD200">
        <v>457.99</v>
      </c>
      <c r="AE200">
        <v>537.61</v>
      </c>
      <c r="AF200">
        <v>39</v>
      </c>
      <c r="AG200">
        <v>46.89</v>
      </c>
      <c r="AH200">
        <v>41.39</v>
      </c>
      <c r="AI200">
        <v>41.54</v>
      </c>
    </row>
    <row r="201" spans="1:35" x14ac:dyDescent="0.45">
      <c r="A201" s="2">
        <v>45761</v>
      </c>
      <c r="B201">
        <v>26.96</v>
      </c>
      <c r="C201">
        <v>29.13</v>
      </c>
      <c r="D201">
        <v>16.09</v>
      </c>
      <c r="E201">
        <v>25.19</v>
      </c>
      <c r="F201">
        <v>27.59</v>
      </c>
      <c r="G201">
        <v>43.14</v>
      </c>
      <c r="H201">
        <v>22.65</v>
      </c>
      <c r="I201">
        <v>45.77</v>
      </c>
      <c r="J201">
        <v>51.91</v>
      </c>
      <c r="K201">
        <v>54.35</v>
      </c>
      <c r="L201">
        <v>25.01</v>
      </c>
      <c r="M201">
        <v>47.22</v>
      </c>
      <c r="N201">
        <v>46.92</v>
      </c>
      <c r="O201">
        <v>51.03</v>
      </c>
      <c r="P201">
        <v>50.56</v>
      </c>
      <c r="Q201">
        <v>17.79</v>
      </c>
      <c r="R201">
        <v>1158.0899999999999</v>
      </c>
      <c r="S201">
        <v>32.130000000000003</v>
      </c>
      <c r="T201">
        <v>16.71</v>
      </c>
      <c r="U201">
        <v>11.93</v>
      </c>
      <c r="V201">
        <v>40.01</v>
      </c>
      <c r="W201">
        <v>43.1</v>
      </c>
      <c r="X201">
        <v>23.29</v>
      </c>
      <c r="Y201">
        <v>40.44</v>
      </c>
      <c r="Z201">
        <v>36.82</v>
      </c>
      <c r="AA201">
        <v>66.900000000000006</v>
      </c>
      <c r="AB201">
        <v>51.2</v>
      </c>
      <c r="AC201">
        <v>36.15</v>
      </c>
      <c r="AD201">
        <v>457.48</v>
      </c>
      <c r="AE201">
        <v>539.12</v>
      </c>
      <c r="AF201">
        <v>38.85</v>
      </c>
      <c r="AG201">
        <v>46.61</v>
      </c>
      <c r="AH201">
        <v>40.72</v>
      </c>
      <c r="AI201">
        <v>40.92</v>
      </c>
    </row>
    <row r="202" spans="1:35" x14ac:dyDescent="0.45">
      <c r="A202" s="2">
        <v>45758</v>
      </c>
      <c r="B202">
        <v>27.09</v>
      </c>
      <c r="C202">
        <v>28.39</v>
      </c>
      <c r="D202">
        <v>15.87</v>
      </c>
      <c r="E202">
        <v>24.96</v>
      </c>
      <c r="F202">
        <v>27.25</v>
      </c>
      <c r="G202">
        <v>42.085000000000001</v>
      </c>
      <c r="H202">
        <v>22.46</v>
      </c>
      <c r="I202">
        <v>45.62</v>
      </c>
      <c r="J202">
        <v>50.68</v>
      </c>
      <c r="K202">
        <v>54.31</v>
      </c>
      <c r="L202">
        <v>24.69</v>
      </c>
      <c r="M202">
        <v>45.62</v>
      </c>
      <c r="N202">
        <v>45.92</v>
      </c>
      <c r="O202">
        <v>50.76</v>
      </c>
      <c r="P202">
        <v>49.68</v>
      </c>
      <c r="Q202">
        <v>17.61</v>
      </c>
      <c r="R202">
        <v>1175.45</v>
      </c>
      <c r="S202">
        <v>32.08</v>
      </c>
      <c r="T202">
        <v>16.510000000000002</v>
      </c>
      <c r="U202">
        <v>11.87</v>
      </c>
      <c r="V202">
        <v>39.58</v>
      </c>
      <c r="W202">
        <v>42.39</v>
      </c>
      <c r="X202">
        <v>22.77</v>
      </c>
      <c r="Y202">
        <v>39.869999999999997</v>
      </c>
      <c r="Z202">
        <v>36.369999999999997</v>
      </c>
      <c r="AA202">
        <v>65.819999999999993</v>
      </c>
      <c r="AB202">
        <v>51.05</v>
      </c>
      <c r="AC202">
        <v>35.57</v>
      </c>
      <c r="AD202">
        <v>454.4</v>
      </c>
      <c r="AE202">
        <v>533.94000000000005</v>
      </c>
      <c r="AF202">
        <v>38.97</v>
      </c>
      <c r="AG202">
        <v>45.81</v>
      </c>
      <c r="AH202">
        <v>40.31</v>
      </c>
      <c r="AI202">
        <v>40.53</v>
      </c>
    </row>
    <row r="204" spans="1:35" x14ac:dyDescent="0.45">
      <c r="A204" t="s">
        <v>78</v>
      </c>
      <c r="B204">
        <f>AVERAGE(_xlfn.ANCHORARRAY(B2))</f>
        <v>31.727474626865664</v>
      </c>
      <c r="C204">
        <f t="shared" ref="C204:AI204" si="0">AVERAGE(_xlfn.ANCHORARRAY(C2))</f>
        <v>34.35609452736319</v>
      </c>
      <c r="D204">
        <f t="shared" si="0"/>
        <v>18.051094527363176</v>
      </c>
      <c r="E204">
        <f t="shared" si="0"/>
        <v>25.987379104477622</v>
      </c>
      <c r="F204">
        <f t="shared" si="0"/>
        <v>32.641840796019899</v>
      </c>
      <c r="G204">
        <f t="shared" si="0"/>
        <v>57.609646268656725</v>
      </c>
      <c r="H204">
        <f t="shared" si="0"/>
        <v>25.414975124378117</v>
      </c>
      <c r="I204">
        <f t="shared" si="0"/>
        <v>60.038606965174083</v>
      </c>
      <c r="J204">
        <f t="shared" si="0"/>
        <v>64.082537313432837</v>
      </c>
      <c r="K204">
        <f t="shared" si="0"/>
        <v>79.866766169154218</v>
      </c>
      <c r="L204">
        <f t="shared" si="0"/>
        <v>29.771542288557203</v>
      </c>
      <c r="M204">
        <f t="shared" si="0"/>
        <v>60.050348258706443</v>
      </c>
      <c r="N204">
        <f t="shared" si="0"/>
        <v>61.75468706467661</v>
      </c>
      <c r="O204">
        <f t="shared" si="0"/>
        <v>53.648781094527372</v>
      </c>
      <c r="P204">
        <f t="shared" si="0"/>
        <v>59.442064676616987</v>
      </c>
      <c r="Q204">
        <f t="shared" si="0"/>
        <v>19.134683084577112</v>
      </c>
      <c r="R204">
        <f t="shared" si="0"/>
        <v>1227.8596019900494</v>
      </c>
      <c r="S204">
        <f t="shared" si="0"/>
        <v>33.61375522388056</v>
      </c>
      <c r="T204">
        <f t="shared" si="0"/>
        <v>19.08878905472638</v>
      </c>
      <c r="U204">
        <f t="shared" si="0"/>
        <v>16.41940298507463</v>
      </c>
      <c r="V204">
        <f t="shared" si="0"/>
        <v>38.543134328358221</v>
      </c>
      <c r="W204">
        <f t="shared" si="0"/>
        <v>45.441907462686544</v>
      </c>
      <c r="X204">
        <f t="shared" si="0"/>
        <v>26.266019900497518</v>
      </c>
      <c r="Y204">
        <f t="shared" si="0"/>
        <v>48.701393034825898</v>
      </c>
      <c r="Z204">
        <f t="shared" si="0"/>
        <v>41.516965174129389</v>
      </c>
      <c r="AA204">
        <f t="shared" si="0"/>
        <v>78.138606965174148</v>
      </c>
      <c r="AB204">
        <f t="shared" si="0"/>
        <v>55.967860696517434</v>
      </c>
      <c r="AC204">
        <f t="shared" si="0"/>
        <v>41.389452736318404</v>
      </c>
      <c r="AD204">
        <f t="shared" si="0"/>
        <v>572.19233830845769</v>
      </c>
      <c r="AE204">
        <f t="shared" si="0"/>
        <v>639.80263681592032</v>
      </c>
      <c r="AF204">
        <f t="shared" si="0"/>
        <v>43.41940298507464</v>
      </c>
      <c r="AG204">
        <f t="shared" si="0"/>
        <v>55.26174676616921</v>
      </c>
      <c r="AH204">
        <f t="shared" si="0"/>
        <v>46.781791044776128</v>
      </c>
      <c r="AI204">
        <f t="shared" si="0"/>
        <v>50.232288557213906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9753668"><![CDATA[{"EWM^FG_TOTAL_RETURNC(-5AY,0,AM)":[-6.5953016,0.5545378,1.3602853,1.2694955,-1.8624663,-2.534771,-3.8624942,6.0265183,-3.3724844,2.9019594,-5.907011,3.9981008,-1.8503666,6.270492,-0.88700056,-3.4630418,-2.9423594,-6.769836,2.6818156,-1.1509538,-9.046125,2.7080297,6.6155314,3.9189816,4.849279,-9.41667,1.6099334,-1.4486194,-3.8585186,-2.7634263,7.9039574,-1.5299022,-3.0602634,-0.8742094,3.772664,2.1038413,0.14117956,2.1146536,0.27612448,2.5699854,2.7292967,-0.6108582,3.7845135,9.395111,6.8627477,-8.183485,-1.6386867,0.63477755,-2.2624433,-0.37878752,-2.8305888,3.0434847,2.5316358,1.156044,-0.12463331,3.4525752,3.6590219,0.5042672,2.006948,5.8160424,6.320381],"EWI^FG_PRICE(0,-200D)":[56.17,55.83,56.63,55.39,54.91,54.77,54.44,54.02,54.92,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,44.23,44.04,43.48,42.69,42.81,41.94,42.13,41.76,41.54,40.92,40.53],"EWJ^FG_PRICE(0,-200D)":[86.09,85.21,85.84,84.63,84.56,84.86,84.78,83.72,85.48,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,71.74,70.77,70.28,69.48,69.27,67.92,68.07,66.78,67.44,66.9,65.82],"TUR^FG_PRICE(0,-200D)":[41.58,40.39,39.56,39.86,39.43,39.08,38.64,38.87,38.41,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,31.48,31.96,32.18,31.77,31.66,31.71,31.91,31.21,31.85,32.13,32.08],"EWY^FG_PRICE(0,-200D)":[124.5,125.56,122.7,117.32,117.97,115.99,115.66,110.97,112.22,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,55.65,55.81,55.95,55.6,54.81,54.39,54.31,54.06,54.38,54.35,54.31],"ECH^FG_PRICE(0,-200D)":[46.875,47.06,47.37,46.78,46.4,46.175,45.2,43.89,44.09,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,31.24,31.67,31.7,31.19,30.91,30.05,29.95,29.43,29.35,29.13,28.39],"QQQ^FG_TOTAL_RETURNC(-5AY,0,AM)":[0.5112529,-0.1335144,0.6880045,7.695234,-1.848805,6.4291954,3.236711,2.6085973,-4.3488383,7.467711,3.517139,0.59503317,-12.389493,-1.4212608,7.1654797,-15.609259,-1.3248205,-8.012783,11.155748,-3.502816,-10.530406,3.4391403,-0.23113489,-4.8054457,11.192012,-0.91136694,6.6911817,3.1465888,8.010912,4.5665026,5.4066777,-2.2713125,-4.2645693,-3.617382,12.886965,5.320108,4.549229,2.534163,1.2738109,-2.535981,5.474293,5.1353455,-3.1746328,1.4572144,3.5635233,2.7550101,1.9153833,2.6786566,-0.33105612,-2.430737,-7.5852513,1.4052987,9.336948,5.5333257,3.4976006,0.5535364,5.087638,6.1864376,-2.5984287,0.39018393,1.378715],"KSA^FG_TOTAL_RETURNC(-5AY,0,AM)":[-1.111114,3.1781673,7.934034,9.858751,1.1283159,4.4001937,-0.6522894,3.2323241,1.1497021,4.5707464,-8.5568905,4.4099927,9.093344,4.181576,3.9922714,4.5820355,-9.058607,-8.269352,5.0286055,3.9482713,-10.281605,4.987848,-9.223646,-1.584202,3.1725168,-7.801777,4.740906,8.342099,-0.8501291,1.9558907,3.719914,-4.0318847,-5.3737106,-6.1435223,8.443344,8.77986,2.7639985,2.2528768,-0.7194221,-2.0380497,-6.7267656,2.1781921,3.3973455,0.83333254,2.2668362,-2.5398314,-2.7244687,0.29268265,4.2680264,-2.3504198,-0.14588237,-0.8035004,-5.7682934,1.3455153,-2.2739112,-0.08023381,7.467878,2.19177,-8.749694,-1.6208053,9.563065],"GREK^FG_TOTAL_RETURNC(-5AY,0,AM)":[-9.854328,7.198274,7.5995207,7.436466,-1.565218,-0.42402744,-2.342087,4.3241262,-5.5729685,3.4304738,-6.865197,3.3888578,5.932069,-3.2154322,0.479877,-4.004407,1.8369794,-10.595387,1.053524,0.41701794,-11.378736,12.980318,8.494818,4.1745186,12.801207,8.678246,-8.507371,5.169511,10.533035,7.529366,5.4024816,-1.9220889,-13.169586,0.12037754,12.623989,0.8826494,4.183531,3.9378285,-0.27418137,2.0244956,0.31847954,-2.582544,6.6255927,-1.1232138,5.094135,-9.110719,-2.8963804,4.474163,6.8134785,2.3311734,13.833022,3.1357527,11.44228,5.999875,4.8306704,3.460157,1.8703341,-0.7935226,2.4466753,4.102874,13.549018],"EPOL^FG_TOTAL_RETURNC(-5AY,0,AM)":[-4.2835293,-0.5327642,-2.8387845,12.072765,10.870636,-1.864934,-0.8159578,2.1480918,-3.624159,7.985139,-14.3164215,6.805098,-3.9173722,-11.489993,9.882748,-19.817078,4.1825175,-9.524727,-2.238804,-10.687023,-14.996118,14.076781,18.429493,7.1932554,7.514453,-5.7945013,-4.4388113,16.921043,1.2485743,7.062781,10.000002,-7.044262,-12.3911915,12.799525,13.989639,5.9640884,-6.3576164,9.900988,1.2012005,2.416277,1.9453645,1.4635801,-2.9759526,2.8151274,1.5937924,-8.08528,-3.3260405,-0.7598102,11.137438,7.8038335,12.460446,6.5775514,1.3861418,4.957521,1.7671227,-1.705426,1.2933731,7.53659,-1.3321698,6.0994983,9.782612],"EWT^FG_PRICE(0,-200D)":[69.83,71.19,71.32,69.94,69.71,68.25,67.45,66.54,67.34,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,46.47,46.34,46.18,45.5,44.33,44.22,44.88,44.99,46.05,45.77,45.62],"UAE^FG_TOTAL_RETURNC(-5AY,0,AM)":[10.332203,-1.3560653,4.0593266,2.1755457,9.104252,-1.2958765,-0.5645752,4.861605,0.3045678,-0.13562441,9.7980385,1.4626384,3.6128283,4.3674946,7.8677297,-0.5285442,-9.936232,-5.7137785,5.5211425,0.24257898,-8.227468,2.175343,-1.2903214,-0.47612786,-6.0155334,2.5910378,-4.1638193,10.113966,-5.821472,4.061997,3.4576297,-1.179558,1.3925791,-12.720728,10.753083,1.1978984,1.2786031,-3.2558143,1.5796661,-2.6369214,-4.444438,3.8615942,7.345462,0.5420089,3.975737,-1.6850293,2.5339484,5.5894613,4.0536404,2.226138,-3.4383953,6.76558,3.3351898,3.2827377,8.481431,-3.7974775,-2.8895736,6.269932,-7.099998,6.522417,5.408156],"EWQ^FG_PRICE(0,-200D)":[45.82,45.53,46.15,45.65,45.51,45.16,45.05,44.55,45.29,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,41.04,40.95,40.72,40.12,39.84,38.97,39.22,38.96,39.0,38.85,38.97],"MCHI^FG_PRICE(0,-200D)":[64.23,63.91,63.29,62.66,62.74,62.78,62.49,61.65,62.52,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,51.85,51.91,51.97,51.66,50.9,49.39,49.29,49.16,50.17,50.56,49.68],"EWM^FG_PRICE(0,-200D)":[29.27,29.84,30.06,29.5,28.78,28.43,28.26,27.88,28.17,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,23.71,23.43,23.43,23.07,22.91,23.04,22.77,22.44,22.63,22.65,22.46],"EWI^FG_TOTAL_RETURNC(-5AY,0,AM)":[-4.5133057,5.537915,5.1136374,2.1939516,4.2626023,-1.2575924,0.030601025,0.73393583,-3.3697605,5.183792,-5.2269993,5.291629,-3.0358195,-5.29117,-0.6281018,-8.749163,5.6142926,-13.118535,0.90090036,-4.5048656,-8.669787,12.936258,12.649357,1.4294386,9.809661,0.033330917,0.2665758,5.2176833,-3.7586868,5.547178,6.2440276,-2.7586162,-6.197965,-4.404998,13.789547,3.8321614,-2.0335972,7.190132,5.865848,-1.0604501,2.1436214,-3.625822,3.5425425,4.067898,2.096808,-2.5862098,-5.413842,0.66615343,7.1329474,5.6994796,4.9019575,4.3691516,6.514442,2.3390412,2.507317,4.056251,0.8814931,1.1844635,1.5735984,3.6647081,3.7112236],"EWY^FG_TOTAL_RETURNC(-5AY,0,AM)":[4.18638,-0.14755726,0.28418303,5.0782084,-0.72275996,1.1518002,-2.6640832,-5.418831,-6.5810976,-0.71196556,-3.9250135,5.5084467,-10.496956,2.5637507,0.124287605,-8.08276,1.4405727,-13.979286,4.127252,-5.4004965,-15.764666,7.398963,12.620616,-0.9355664,14.493263,-10.5641365,2.5641084,1.1166692,4.005277,-0.6022155,7.605219,-6.134242,-6.9613276,-7.295555,15.995609,6.0966372,-8.194721,6.565821,4.6794534,-4.6043873,-1.3589442,4.6555758,-1.5736043,0.5534172,1.4217854,-7.024413,-6.890404,-8.223915,5.752039,0.45938492,0.21950006,2.390945,10.160435,14.466011,3.8874745,-1.7009139,11.074198,20.762718,-6.22291,11.11083,26.114262],"ENZL^FG_PRICE(0,-200D)":[47.234,47.11,47.52,46.87,46.624,46.755,46.11,46.09,45.755,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,43.6,43.76,43.805,42.8238,43.095,43.38,43.5,43.03,42.68,43.1,42.39],"EPU^FG_PRICE(0,-200D)":[92.57,92.07,91.61,90.43,88.38,86.2,85.04,84.78,82.63,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,44.6021,44.4285,44.55,43.98,43.836,43.48,43.2,43.3511,43.15,43.14,42.085],"EWG^FG_TOTAL_RETURNC(-5AY,0,AM)":[-2.2677839,1.7482519,3.7488341,5.6007266,2.0245194,-0.5179107,-0.54285526,0.60327053,-5.3398013,1.8702865,-5.152506,3.516829,-4.2347136,-7.623887,1.6506195,-12.009472,5.190313,-12.394381,1.4193535,-7.5487733,-9.357792,12.145746,12.409746,0.59581995,11.736525,-2.5008917,2.1619558,5.4878116,-2.8221667,0.912416,4.8094034,-4.520732,-6.7283688,-5.4580154,15.179658,4.071343,-0.7746756,4.005432,3.6227226,-2.4251997,2.453196,-1.149118,1.2736797,4.708159,4.496455,-3.0946016,-1.8552303,-0.40285587,8.089614,3.8284302,3.6595464,6.097889,5.4953337,2.7446508,-0.9692669,-0.0238657,-1.3610303,-0.096833706,-0.8480787,3.8856268,2.187717],"SET-BKK^FG_TOTAL_RETURNC(-5AY,0,AM)":[0.34406185,2.031386,5.8198214,0.41480064,-0.53317547,0.59735775,-3.371185,4.7744155,0.35873652,0.39889812,-2.0783246,4.0032983,-0.8358836,2.7855873,0.27059317,-1.3197303,-1.7205954,-3.207928,-0.61594844,3.1787395,-2.0995736,0.86034536,1.1406779,2.2660732,1.2099743,-3.5062194,-0.72918534,-5.054271,0.77495575,-3.984505,4.305315,1.6549349,-6.2072515,-5.654371,-0.03890395,2.029276,-2.7947843,-0.40761828,0.530386,-1.1589766,-0.89135766,-3.6204576,0.48041344,3.8402438,6.832123,0.06965399,-1.6276658,-1.8269241,-4.1578054,-10.383487,-2.3485541,-0.36836863,-0.60710907,-7.009387,13.974237,0.23750067,4.16137,2.1404147,-4.480714,-0.21166205,6.143391],"CNYA^FG_TOTAL_RETURNC(-5AY,0,AM)":[7.0094585,-0.9519458,-6.6590366,4.8624635,5.8601856,-2.4908721,-4.9228725,1.07373,-1.4164388,3.5201192,-0.023126602,0.33730268,-7.3888836,3.002894,-10.807514,-9.436542,1.6913295,10.9291315,-5.3916273,-3.3739686,-8.744133,-9.131831,11.075724,1.7864704,13.401723,-7.718402,-0.91911554,-0.24737716,-6.6955924,-3.8544893,7.929361,-7.2322726,-2.3540854,-5.011511,1.5659928,-1.2628257,-5.731988,6.727195,-0.10547042,3.5452843,-1.1537075,-4.3474913,-1.8555045,-0.6033838,17.159058,1.761651,-1.0862172,0.30477047,-3.2867134,1.0846019,0.4291892,-3.3475816,3.242445,1.975131,6.9571376,9.954012,2.1810532,3.1286597,-3.7425578,2.9156923,4.422462],"GREK^FG_PRICE(0,-200D)":[75.62,77.2,75.35,73.06,72.25,72.2,70.74,69.88,70.03,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,49.71,49.52,49.95,49.35,49.05,47.02,47.34,47.35,47.415,46.92,45.92],"EWN^FG_TOTAL_RETURNC(-5AY,0,AM)":[1.633048,4.0170193,4.475236,6.4796686,1.0822892,-0.63924193,2.7629972,4.6405077,-5.3673387,4.7868013,-4.664111,1.281631,-10.055858,-4.991126,3.151989,-13.014936,2.1857977,-9.293884,8.219564,-8.226019,-12.428403,8.502293,14.315855,0.2761364,12.275135,-3.8642764,1.5441179,2.148199,1.6304374,0.6501436,5.1389813,-7.3761406,-8.803063,-3.3535004,15.199351,6.2289476,3.2937407,3.5574913,3.6447406,-1.4551342,4.450369,-0.26182532,-4.1409492,4.859817,1.4260173,-6.5221667,-4.804677,-0.17280579,1.840353,2.6997566,0.36040545,3.3375502,8.217502,4.0530324,-3.0721128,0.5883455,8.811319,2.9408813,-2.014625,1.7423034,11.368418],"QAT^FG_TOTAL_RETURNC(-5AY,0,AM)":[0.9029746,-3.5924911,3.7819862,5.2518725,-1.4541686,0.62030554,-1.3385773,5.027926,2.1783233,2.6276708,-2.4951696,2.0606875,6.7210317,4.787755,5.7030916,-0.49423575,-5.091059,-6.1075926,6.9187284,4.134834,-8.205438,-1.4989078,-2.7684987,-8.1078,4.032254,-5.581397,-1.094693,2.0475984,3.7418604,-3.3530116,6.1270237,-4.449141,-3.6031127,-8.913165,9.027779,4.9797297,-4.0816307,4.5428514,-2.970302,-1.2471616,-5.166471,6.9809437,1.4218092,2.803731,4.488635,-0.054377317,-0.92492104,-1.0274708,1.5219927,-0.055527687,-1.3888896,2.535212,3.4615278,0.9904742,5.5465817,2.0408154,-2.8750062,-0.9008944,-1.9220829,1.1859894,5.006075],"EWU^FG_PRICE(0,-200D)":[46.44,46.24,46.5,45.83,45.57,45.07,45.16,44.7,45.18,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,38.19,37.94,37.89,37.55,37.58,36.82,36.97,36.55,36.65,36.15,35.57],"EWL^FG_PRICE(0,-200D)":[62.22,61.05,62.57,61.19,60.87,60.59,60.49,60.16,60.51,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,53.71,53.04,52.96,52.23,52.45,51.82,51.95,51.29,51.45,51.2,51.05],"CNYA^JULIAN(FG_PRICE(0,-200D).DATES)":[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],"ECH^FG_TOTAL_RETURNC(-5AY,0,AM)":[-0.2665758,4.944873,6.972301,-4.2857113,-8.550996,-0.23707747,-4.4714093,1.669085,-7.030696,-5.834925,5.2181005,-7.871413,11.547649,1.323986,12.18294,-13.018161,20.913755,-17.90871,9.12093,6.7700386,-14.842361,5.657232,3.5433054,3.470409,8.51866,-2.3619294,2.1700382,-1.0793865,3.4494877,2.1467805,7.585728,-8.91822,-7.4231205,-7.254678,9.715927,6.53466,-8.401275,1.896286,0.91151,2.7098298,4.3605685,-6.8091335,-1.3529181,4.427898,3.2270193,-4.3257,-3.6854088,-0.4990816,6.3245773,7.0707083,3.9832234,5.645168,2.0356297,-1.1189103,-3.9291441,9.989953,0.12190342,6.4535856,8.264219,6.2199473,16.974758],"EPOL^FG_PRICE(0,-200D)":[38.38,38.25,38.44,37.74,36.89,37.26,36.15,35.84,35.92,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,30.3,30.04,30.19,29.43,29.25,28.63,28.29,27.74,27.58,27.59,27.25],"ECH^JULIAN(FG_TOTAL_RETURNC(-5AY,0,AM).DATES)":[44225,44253,44284,44315,44344,44376,44406,44435,44468,44498,44529,44559,44589,44620,44649,44680,44708,44741,44771,44802,44833,44862,44894,44924,44953,44985,45014,45044,45072,45106,45135,45167,45198,45226,45259,45289,45320,45351,45379,45411,45441,45471,45502,45533,45562,45594,45625,45653,45686,45716,45744,45776,45806,45835,45867,45898,45929,45959,45989,46020,46051],"EZA^FG_PRICE(0,-200D)":[79.58,80.14,79.02,77.38,76.34,75.56,73.52,73.44,72.78,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,49.09,48.38,47.96,47.55,48.16,47.6,47.9,47.43,47.1,47.22,45.62],"EPU^FG_TOTAL_RETURNC(-5AY,0,AM)":[-0.7877946,8.020687,-8.79417,-5.50133,3.004694,-11.198431,0.03451109,-8.416695,-0.18832088,13.283026,-5.696207,6.134796,10.902893,7.035339,7.118249,-14.389062,-2.222228,-12.407762,-1.8946588,1.1201262,-6.9900694,8.706355,9.293545,1.0196805,9.749306,-7.868016,4.8553705,1.8719196,-4.5280457,4.2794466,11.027503,-3.3442914,-6.7655206,-3.5046399,6.046915,13.655651,-0.7617831,3.0277252,11.433208,6.4615846,3.7385106,-4.718399,0.89485645,-0.68982244,9.278095,1.1577845,-4.3088017,-3.124565,0.5207062,1.7180204,7.960868,1.3556242,4.0482163,5.9789658,1.959157,8.818769,13.017845,3.8096428,2.1387815,12.060356,28.658794],"EWD^FG_PRICE(0,-200D)":[53.45,52.93,53.64,52.72,52.38,51.74,51.52,50.46,51.31,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,43.61,43.62,43.32,42.43,42.68,41.77,41.9,41.07,41.39,40.72,40.31],"EWG^FG_PRICE(0,-200D)":[43.44,44.01,44.3,43.84,43.48,43.1,42.82,42.54,43.34,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,39.47,39.36,39.03,38.44,38.03,37.03,37.4,37.22,37.2,36.82,36.37],"SET-BKK^FG_PRICE(0,-200D)":[1331.07,1338.9,1334.45,1307.07,1314.39,1311.64,1317.56,1296.37,1283.2,1275.6,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,1138.9,1128.66,1133.95,1088.18,1074.59,1125.21,1161.81,1172.69,1168.02,1158.09,1175.45],"EWW^FG_PRICE(0,-200D)":[78.45,78.73,77.86,76.7,76.08,75.75,75.36,74.61,74.0,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,58.12,57.94,57.34,56.51,55.51,54.34,54.93,53.02,52.19,51.91,50.68],"CNYA^FG_PRICE(0,-200D)":[35.89,35.52,35.64,35.58,35.55,35.78,35.805,35.5,35.515,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,27.14,27.25,27.29,27.2,27.16,27.04,26.82,26.92,26.7,26.96,27.09],"EWU^FG_TOTAL_RETURNC(-5AY,0,AM)":[-1.5498698,3.9356709,3.6878467,4.3505907,2.8301954,-1.2896895,0.8231759,0.39310455,-3.0120492,4.596269,-4.0083113,5.804026,1.3517618,-0.7409632,0.95551014,-4.4661403,2.8173327,-7.424635,2.3848891,-3.8175344,-11.940795,8.212376,9.354043,0.93933344,5.7448983,-0.92082024,-1.2391567,6.4303637,-4.391396,0.2456069,4.3260217,-3.3653796,-1.616919,-4.5195937,7.1499467,4.451227,-1.0589957,0.15289783,4.45801,2.2508025,1.886797,-0.21585226,2.8956413,4.6809673,0.2661705,-3.955394,-1.0503054,-3.1484723,3.8574815,5.018425,1.4848828,2.0218134,3.75489,1.8675089,1.6867995,2.6491642,0.4100442,2.8825402,0.7471442,3.9956927,5.4974914],"VNM^FG_TOTAL_RETURNC(-5AY,0,AM)":[-3.2590032,4.0189147,1.6477227,6.7635655,3.036654,4.827225,-6.1318455,2.0397663,-3.4919083,6.449914,1.8226624,2.1536112,-6.7110896,-0.45918226,-2.050227,-10.832024,-6.6901503,-7.484275,0.1359582,3.4623265,-14.173227,-10.168195,3.8297892,-1.6255975,9.335577,-13.384617,7.9040766,0.0,1.2345672,8.211386,11.269724,0.7427335,-9.24933,-11.00443,10.041499,2.736485,-0.9287894,5.54688,2.8867483,-11.079139,2.508092,-3.9463282,-1.3147056,4.662776,1.8297553,-6.406254,-1.8363893,-1.8707514,0.17331839,4.1522503,2.823925,-2.6655912,12.116182,1.6284227,15.804804,15.031457,-3.2804847,2.600336,1.0468364,3.373146,-0.5813956],"EZA^FG_TOTAL_RETURNC(-5AY,0,AM)":[-0.20444989,5.2811265,6.4216256,3.7992716,3.9146662,-6.530958,-1.1185646,-0.6992996,-4.0389357,1.5108943,-7.1018515,7.04509,4.2557716,9.117281,5.905807,-14.039808,-0.10429621,-8.093614,-1.3937235,0.09423494,-14.168042,5.5662155,14.675331,0.33208132,5.6612372,-11.106289,2.0985842,2.652967,-12.665897,6.4816356,14.59502,-9.290952,-7.81672,-1.5417278,9.341251,4.4730425,-5.886573,-5.542845,5.43741,4.901719,3.1151056,3.8472772,0.39243698,8.783627,8.962154,-2.7352095,-5.3649783,-4.988199,2.0560741,1.6483545,7.207203,3.2352924,7.9568624,0.3977418,3.6094308,5.738902,9.970522,2.0971298,3.0733585,8.168292,16.294025],"EPHE^FG_TOTAL_RETURNC(-5AY,0,AM)":[-8.328229,0.83500147,-1.0930777,-1.7079711,4.9063087,2.64194,-9.174895,6.173277,-2.6759207,7.5016975,0.28418303,1.9162416,-1.7364323,3.9760232,-6.2822523,-6.6385984,2.428031,-11.56795,0.5036831,3.0069351,-14.520955,5.341506,11.263514,-0.51074624,9.769893,-9.243989,3.6728501,-1.3148248,-3.6269426,1.8308997,3.2824397,-8.943092,1.0957837,-6.623846,8.2975025,4.023123,1.6160011,3.975761,0.6190777,-5.8993816,-5.3461494,-0.34514666,3.890729,9.800792,7.764876,-6.9697022,-7.093734,-0.9766698,-5.238104,0.50251484,4.0833354,5.724585,5.414617,-1.0253787,-3.1582773,-0.8342862,-4.2447386,-1.1980891,1.899755,0.31193495,2.2319674],"EWC^FG_PRICE(0,-200D)":[56.53,56.35,56.18,55.69,55.77,55.2,55.02,54.75,55.13,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,42.37,42.04,42.06,41.52,41.39,40.77,41.1,40.83,40.53,40.44,39.87],"EWL^FG_TOTAL_RETURNC(-5AY,0,AM)":[-1.9376457,-1.8169403,3.307891,4.81416,4.1016817,2.76407,1.7490387,2.2586465,-8.5613785,6.51989,-0.6221175,7.0678473,-8.185589,-1.520133,3.7964106,-6.7524076,-1.357758,-7.5684967,4.896295,-4.98966,-8.978701,4.626429,7.4205875,0.6860733,5.7095885,-3.600806,2.674663,7.994616,-1.5595734,-1.5779078,4.937458,-2.7185261,-6.341362,-4.4985056,8.723867,6.697607,0.0,-3.003937,1.6659498,-3.1932712,3.559029,3.1460881,3.1321406,6.1544657,-0.56839585,-4.1349053,-4.2138815,-3.8389683,7.0133805,4.315388,1.4498353,2.2675276,2.2917867,1.401937,-0.93355775,2.2357821,-1.3735831,1.9974351,3.8807034,4.3756485,3.0985951],"EIDO^FG_TOTAL_RETURNC(-5AY,0,AM)":[-4.7518015,1.7817378,-0.8752763,-3.443706,-2.3319602,-4.7361374,-0.14836192,3.4670591,1.3403535,13.037324,-2.549106,-0.027519464,0.21598339,4.870689,2.2194862,1.4073133,-2.5773168,-7.5047374,3.1236053,2.1635652,-0.67768097,1.2366652,-1.8112898,-2.8470337,5.040145,-2.7176201,3.1427264,4.7397375,-3.8787842,-1.5736461,1.8744588,0.25674105,-4.950917,-8.57656,6.4833045,3.7843108,-3.3602178,3.7088633,0.7152438,-8.166891,-3.528279,-0.062412024,4.0996313,8.923233,5.308926,-6.388521,-7.6601744,-5.3185344,-0.27698874,-13.683069,2.5689244,4.459369,10.81872,-5.220616,1.7724395,-0.73032975,0.11318922,3.5613298,1.9104838,0.8655071,-5.7411966],"EWJ^FG_TOTAL_RETURNC(-5AY,0,AM)":[-0.49020052,1.8360972,2.1547914,-2.3676276,0.79364777,0.16115904,-0.49861073,0.41267872,4.19786,-3.6483943,-1.8274844,1.2523055,-6.4828577,0.3027916,0.12711287,-10.155511,3.0377984,-8.420247,6.1236143,-4.024935,-8.59158,2.0706415,9.765315,-0.35886168,7.1988344,-4.896295,3.1641006,1.9580722,2.3963332,2.812028,3.5604,-4.0816364,-1.3256907,-4.0968657,8.076799,4.0871263,3.164947,4.458225,3.2262683,-5.059564,-0.39857626,1.8971324,0.8939028,3.9070487,-0.642997,-3.8266778,1.945579,-1.28842,0.54627657,0.5433202,1.0953665,4.045069,2.7908921,2.5103211,-1.8597245,5.9556007,2.8487563,3.3784628,-0.26432872,1.3859153,6.165993],"EWD^FG_TOTAL_RETURNC(-5AY,0,AM)":[0.4939437,3.2686234,5.782962,6.9291234,1.977706,-1.3869703,4.5814633,-1.3510764,-7.345915,7.3012233,-5.1555037,6.039119,-11.742126,-8.270675,6.716025,-11.025768,1.7822266,-13.095629,10.171676,-10.732132,-11.3307,12.109959,8.913183,0.41872263,8.074355,-0.42289495,-2.9728174,8.578932,-6.04676,-0.5720854,2.8768659,-5.3970814,-2.5421262,-6.5817475,18.409098,10.898495,-5.295163,5.7784915,1.0622144,-1.5515506,3.863752,0.094389915,-1.6397536,6.2642097,3.8744926,-6.384444,-5.4998755,-2.53492,8.651805,5.3737164,-0.4636109,0.13973713,5.488372,3.7377357,-2.30335,3.1806111,1.7891884,3.2189727,-1.7029166,4.2262316,8.373892],"EWW^FG_TOTAL_RETURNC(-5AY,0,AM)":[-7.4953794,1.1694431,8.68175,5.657387,3.041339,1.1396885,3.0240297,0.4624009,-3.602165,0.37367344,-7.6111674,13.948846,-5.63857,6.292224,8.343267,-9.369272,7.5460196,-10.68989,0.085544586,-1.8803418,-2.3519099,11.016941,6.066692,-2.4551451,15.018821,-0.70628524,2.8625965,2.6817322,0.5584717,2.8958678,4.5258284,-2.1725833,-8.930248,-6.3541117,13.827252,10.999131,-2.1665454,-1.7173827,6.238508,-2.9721498,-3.8810432,-11.687058,-1.3425231,-5.389434,2.1196008,-3.8361728,-3.121984,-1.4950991,3.688264,1.5273333,2.1773577,9.2987175,8.525348,0.2977848,1.0112762,1.6576409,8.911848,-0.044471025,1.4681816,5.0576925,11.260807],"KSA^FG_PRICE(0,-200D)":[39.87,40.14,40.12,39.61,39.01,38.93,38.3,37.94,37.83,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,40.85,41.16,41.05,40.37,40.41,39.9,40.19,40.04,40.24,40.01,39.58],"EWQ^FG_TOTAL_RETURNC(-5AY,0,AM)":[-3.887242,4.569316,2.7753234,8.072388,3.6151052,-0.984174,0.6811738,0.23418665,-2.4922073,4.6592116,-3.6886334,5.725026,-3.8510919,-5.6608796,3.0568838,-9.502882,4.8558354,-9.952587,5.7908654,-5.9743524,-10.878241,12.691296,9.53958,1.6656518,9.99999,-0.89551806,1.6976953,6.542814,-4.068738,2.235639,3.2402515,-2.5771856,-6.783658,-5.1418962,11.4632845,4.7971845,-0.17865896,2.8125763,2.984333,-1.9560516,1.2068987,-5.91954,1.164639,4.212451,3.2387614,-6.5418243,-5.6726513,0.2199769,7.099271,2.382195,2.048552,1.4622092,4.445529,1.9022226,0.704062,-0.7457435,2.794075,2.4668813,-0.64646006,1.4546514,1.8448472],"MCHI^FG_TOTAL_RETURNC(-5AY,0,AM)":[10.560883,-0.4684627,-7.2781563,3.1323552,-1.7527103,2.0293117,-13.922226,-3.8204074,-3.4357846,3.9483547,-5.3004026,-6.3408194,-1.886481,-2.006352,-6.6200314,-7.801938,-0.49543977,11.50304,-10.725838,0.52324533,-14.154154,-15.438437,23.883068,9.321022,15.871048,-14.642411,3.7400723,-3.8872123,-6.3704967,0.09473562,11.693001,-7.801133,-5.107403,-3.1647086,1.1927485,-1.5297413,-8.001971,4.028821,1.8979192,7.651651,4.0448904,-4.81894,-2.4662018,0.9725213,22.778725,-1.8042803,-5.4923115,2.2100449,1.6431451,11.046637,1.8476963,-5.29595,4.2182684,3.448224,6.1254144,4.6960354,6.883049,-0.061041117,-5.0236645,-1.747179,6.3939095],"UAE^FG_PRICE(0,-200D)":[20.66,20.75,20.71,20.41,20.46,20.62,20.3,20.09,19.87,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,17.64,17.47,17.57,17.23,17.01,16.76,16.76,16.68,16.79,16.71,16.51],"EIDO^FG_PRICE(0,-200D)":[17.58,17.26,19.18,19.2,19.01,19.05,18.94,19.13,19.14,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,16.93,16.77,16.76,16.61,16.36,16.03,16.13,15.93,16.14,16.09,15.87],"ENZL^FG_TOTAL_RETURNC(-5AY,0,AM)":[-1.784426,-7.6366305,-0.55972934,5.0976157,-5.6996465,0.20911694,0.44118166,2.228725,-2.2915304,3.973937,-8.771926,2.5919318,-12.486708,5.6310654,1.1580825,-9.213156,-4.165733,-5.247998,7.2702885,-3.0561268,-9.800559,2.4251103,9.09934,5.2016735,6.1451554,-6.279916,0.44943094,1.5253186,-3.0849278,0.082445145,2.4196863,-6.9450083,-3.0641258,-7.3379993,12.378168,7.337785,-2.629131,-4.6166897,0.9991169,-0.37371516,-0.88261366,1.9776225,-0.8798897,8.211267,1.907301,-3.9645731,2.2841573,-4.5585814,-1.5879929,-6.343949,-0.75525045,3.0915618,1.4302254,4.1609883,1.0233641,-2.1257043,1.3932228,0.41772127,-0.10793209,0.79592466,4.016745],"EWN^FG_PRICE(0,-200D)":[63.48,63.05,63.7,62.81,62.33,62.14,61.539,60.64,61.91,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,48.79,48.78,48.41,47.77,47.1,46.09,46.55,46.26,46.89,46.61,45.81],"QAT^FG_PRICE(0,-200D)":[19.82,20.0,19.94,19.937,19.82,19.9,19.71,19.71,19.46,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,18.14,18.16,18.12,17.9,17.91,17.78,17.72,17.78,17.89,17.79,17.61],"EWZ^FG_TOTAL_RETURNC(-5AY,0,AM)":[-8.165461,-6.6978636,1.4733553,12.882304,6.4860344,6.9847107,-3.2926798,-6.733924,-12.574357,-9.3102455,0.068211555,-0.08932352,14.340555,5.585873,15.110981,-13.444269,9.002137,-18.52486,4.463637,11.268091,-10.281825,8.560586,-2.7345002,-0.92068315,5.8948874,-8.551306,-0.95342994,4.6649456,5.907321,10.15395,3.7278652,-3.7436366,-4.5737386,-2.4127781,12.896765,7.202184,-5.2345457,-0.36221743,-1.7873406,-2.0666182,-5.8897676,-5.5311623,1.57336,7.5648427,-0.4353702,-5.112684,-9.535623,-7.576603,9.3528385,-2.2699594,7.6731563,5.392921,1.2426853,3.4371614,-4.90405,10.239161,5.05085,0.6131053,7.7934623,-3.4783304,21.726704],"EWA^FG_PRICE(0,-200D)":[28.42,28.17,28.24,27.62,27.38,27.07,26.7,26.46,26.74,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,24.52,24.51,24.51,24.0,23.96,23.48,23.61,23.42,23.36,23.29,22.77],"TUR^FG_TOTAL_RETURNC(-5AY,0,AM)":[0.037527084,0.22505522,-14.595806,2.8921962,-2.3424149,-5.01954,3.9716363,8.00364,-11.621052,1.4768958,-10.093898,5.2197337,-1.7946124,-4.9746275,10.897446,7.3699474,-7.4472904,-4.7390223,0.6802678,17.827438,-2.4261117,21.0217,26.148678,10.646999,-5.164075,0.6239414,-5.5806103,-7.5522423,-4.5204997,-2.0083249,19.127644,13.295317,2.1456957,-11.825728,4.735291,-8.390456,10.62578,4.9846053,-4.134446,12.047863,5.6617856,-0.023269653,-0.07139444,-11.931419,-0.54083467,-8.401304,8.281398,1.8805623,-1.7017841,-5.798298,-4.6966195,-4.560751,-2.0525932,1.3557911,9.150541,6.039667,-2.0402431,-1.9091666,-1.2090802,3.7796617,20.836973],"SPY^FG_PRICE(0,-200D)":[694.04,695.42,695.49,692.73,689.23,688.98,685.4,677.58,691.66,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,550.85,550.64,546.69,535.42,527.25,513.88,526.41,525.66,537.61,539.12,533.94],"INDA^FG_PRICE(0,-200D)":[51.61,51.49,51.69,51.44,51.24,51.795,51.55,51.73,52.85,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,53.29,52.85,53.74,53.18,53.5,53.0,52.26,51.13,51.13,51.03,50.76],"QQQ^FG_PRICE(0,-200D)":[629.43,633.22,631.13,625.46,622.72,620.76,616.28,608.06,621.26,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,472.41,472.56,467.35,454.56,444.48,433.11,444.1,444.18,457.99,457.48,454.4],"EWC^FG_TOTAL_RETURNC(-5AY,0,AM)":[-1.0669231,5.130708,5.875051,5.695832,5.1944375,-0.8457482,0.32154322,0.32051802,-3.3280075,7.90416,-2.3226142,0.92384815,-2.1243155,2.41158,6.2009335,-8.721363,1.5384555,-8.975613,3.883493,-0.93458295,-11.149227,6.5636992,4.4082165,-3.2372475,8.156454,-4.54163,-1.32159,4.7619104,-4.034096,3.4353614,3.4402966,-3.6333144,-2.9582381,-5.9175134,10.101652,7.2699666,0.05452633,0.19073486,4.106605,-1.5673935,-0.98195076,0.35158396,3.0466437,5.259025,3.032565,-0.43426156,4.797673,-5.7576714,3.1576395,-0.6266594,-1.6007781,4.633963,5.488801,2.4670243,2.6546717,4.274416,3.4228325,0.5747199,3.8423657,4.0171027,4.049325],"EWT^FG_TOTAL_RETURNC(-5AY,0,AM)":[5.329275,5.6198,1.8135071,9.796667,-4.560751,2.3412466,0.37605762,-0.18732548,-3.2843292,1.9081473,2.7292848,6.3082337,-6.315321,1.8645406,-2.847308,-9.9677925,0.23251772,-8.047825,-0.46574473,-2.1056771,-13.4634495,-3.4062147,16.893017,-2.211231,11.635912,-3.7241101,3.3874989,-2.7673244,6.557381,0.04273653,4.186249,-5.022544,-3.842008,-2.4466872,12.701332,5.9368134,-1.3686657,2.0484567,5.0723076,-1.5817583,6.5122128,6.192434,-5.0931873,5.133188,2.6447177,-0.2702713,-3.9747,2.102518,-2.7973294,-0.5285859,-5.884671,-1.4010847,12.131489,9.419334,1.3310313,0.341177,7.242441,6.4204097,-3.9028704,2.69413,10.263693],"VNM^FG_PRICE(0,-200D)":[18.81,18.5,18.76,18.91,19.42,19.625,19.39,19.51,19.73,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,11.95,12.01,12.0,11.62,11.64,11.51,11.73,11.5,11.74,11.93,11.87],"EPHE^FG_PRICE(0,-200D)":[25.65,26.33,26.23,26.03,26.21,26.35,26.27,26.0,26.42,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,26.18,26.26,25.96,25.59,25.55,25.17,25.3019,25.25,25.4141,25.19,24.96],"EWA^FG_TOTAL_RETURNC(-5AY,0,AM)":[-0.8764565,3.2000065,1.7543912,5.573368,1.5571594,-0.6917119,-0.64910054,-0.038433075,-5.190313,7.2992682,-6.4625797,4.6524763,-9.686446,6.557369,10.935556,-7.8710675,1.5052915,-11.209196,5.964589,-1.6710579,-10.5545635,3.9499998,10.966802,-1.3168991,11.588371,-8.259827,-1.3985991,2.5709271,-3.1114936,1.5266061,3.5362482,-4.366618,-2.7576864,-4.463047,9.002436,10.899496,-1.9720614,0.25146008,3.093648,-2.9602587,1.1282921,2.9175282,0.32746792,6.28314,3.8387775,-4.916823,2.7605057,-7.4383974,2.4106383,-2.6379883,-2.1675706,4.6016216,4.439914,3.3047557,1.0732055,2.692449,-0.36928058,0.07413626,-4.2592583,4.1971684,7.326281],"EWZ^FG_PRICE(0,-200D)":[38.12,38.33,37.89,36.61,36.59,35.95,35.02,33.62,33.17,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,27.21,26.94,26.74,26.31,25.86,25.2,25.22,24.79,24.86,25.01,24.69],"SPY^FG_TOTAL_RETURNC(-5AY,0,AM)":[-0.374192,2.7805448,4.3954372,6.1347246,-0.0047564507,2.1612763,3.0278206,2.1785975,-3.1969726,5.7083607,1.1649489,3.1379938,-7.441151,-1.2037575,6.0321927,-10.735565,0.7912636,-8.014441,8.3215,-2.2718966,-9.52186,7.2300673,1.5963197,-2.5321543,5.800128,-2.322024,1.6756892,3.6327362,0.9833336,4.695809,4.2934537,-1.6983271,-4.4869423,-3.9300144,10.696888,4.9779654,3.3578038,3.4217477,3.2723904,-2.4872422,3.1447291,3.778386,0.09922981,2.494669,2.6641726,1.8023729,3.571856,-0.9230137,1.1428356,-1.2678444,-6.201744,-0.24114847,6.4457297,4.5220375,3.3094287,1.5411019,3.1720161,3.5725117,-0.5819142,0.9474158,0.8999109],"INDA^FG_TOTAL_RETURNC(-5AY,0,AM)":[-1.8309474,4.8288226,2.4859905,-0.85612535,6.2125206,0.49917698,0.38237572,6.5874934,2.943039,-0.26547313,-2.9893517,2.836001,-2.0982027,-2.3219466,3.7257195,-3.8342893,-5.2245617,-4.7630606,8.33968,0.0351429,-5.2237034,4.6465635,2.8578162,-3.0309975,-3.2678187,-5.018359,-0.36082268,6.3631654,2.1887183,3.3364654,2.6765108,-0.69663525,0.06788969,-2.849394,6.2150836,6.9690943,2.3970485,2.36094,0.840497,1.8220544,1.4277577,4.692197,1.9003272,0.7565141,3.2477736,-6.578726,-0.8327365,-2.3573995,-4.858756,-4.790187,6.611228,4.4071794,1.9611478,2.326429,-4.2427483,-2.8229594,0.34629107,4.6970844,0.18311739,-2.2664905,-3.4785867]}]]></FdsFormulaCache>
</file>

<file path=customXml/itemProps1.xml><?xml version="1.0" encoding="utf-8"?>
<ds:datastoreItem xmlns:ds="http://schemas.openxmlformats.org/officeDocument/2006/customXml" ds:itemID="{A4CB0C41-733B-4E4B-B99C-B5DCEC02A53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2026-01-30T06:14:30Z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